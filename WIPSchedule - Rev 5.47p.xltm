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856" yWindow="7824" windowWidth="27600" windowHeight="15048" tabRatio="600" firstSheet="2" activeTab="2" autoFilterDateGrouping="1"/>
  </bookViews>
  <sheets>
    <sheet xmlns:r="http://schemas.openxmlformats.org/officeDocument/2006/relationships" name="Settings" sheetId="1" state="hidden" r:id="rId1"/>
    <sheet xmlns:r="http://schemas.openxmlformats.org/officeDocument/2006/relationships" name="DictionaryOutput" sheetId="2" state="hidden" r:id="rId2"/>
    <sheet xmlns:r="http://schemas.openxmlformats.org/officeDocument/2006/relationships" name="Start" sheetId="3" state="visible" r:id="rId3"/>
    <sheet xmlns:r="http://schemas.openxmlformats.org/officeDocument/2006/relationships" name="Jobs-Ops" sheetId="4" state="visible" r:id="rId4"/>
    <sheet xmlns:r="http://schemas.openxmlformats.org/officeDocument/2006/relationships" name="Jobs-GAAP" sheetId="5" state="visible" r:id="rId5"/>
    <sheet xmlns:r="http://schemas.openxmlformats.org/officeDocument/2006/relationships" name="Jobs-Ops vs GAAP" sheetId="6" state="visible" r:id="rId6"/>
    <sheet xmlns:r="http://schemas.openxmlformats.org/officeDocument/2006/relationships" name="JV's-Ops" sheetId="7" state="visible" r:id="rId7"/>
    <sheet xmlns:r="http://schemas.openxmlformats.org/officeDocument/2006/relationships" name="JV's-GAAP" sheetId="8" state="visible" r:id="rId8"/>
    <sheet xmlns:r="http://schemas.openxmlformats.org/officeDocument/2006/relationships" name="JV's-Ops vs GAAP" sheetId="9" state="visible" r:id="rId9"/>
    <sheet xmlns:r="http://schemas.openxmlformats.org/officeDocument/2006/relationships" name="Legend" sheetId="10" state="visible" r:id="rId10"/>
    <sheet xmlns:r="http://schemas.openxmlformats.org/officeDocument/2006/relationships" name="Change Log" sheetId="11" state="hidden" r:id="rId11"/>
  </sheets>
  <definedNames>
    <definedName name="AcctAppr">Settings!$C$25</definedName>
    <definedName name="AcctApproved">Settings!$C$25</definedName>
    <definedName name="CheckClosedMonth">Settings!$C$21</definedName>
    <definedName name="ClearFormOnOpen">Settings!$C$34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Departments">Settings!$C$31</definedName>
    <definedName name="EditClosedJobs">Settings!$C$35</definedName>
    <definedName name="ErrorCtl">Settings!$C$16</definedName>
    <definedName name="FinalAppr">Settings!$C$24</definedName>
    <definedName name="GAAPView">Settings!$C$26</definedName>
    <definedName name="InitAppr">Settings!$C$23</definedName>
    <definedName name="LastClosedMth">Settings!$C$20</definedName>
    <definedName name="LMOFP">Settings!$C$37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UsePostedBatch1">Settings!$C$36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  <definedName name="ALLPlus" localSheetId="3">'Jobs-Ops'!$D$2</definedName>
    <definedName name="APYHeading" localSheetId="3">'Jobs-Ops'!$AF$2</definedName>
    <definedName name="APYPlus" localSheetId="3">'Jobs-Ops'!$AK$2</definedName>
    <definedName name="BBOps" localSheetId="3">'Jobs-Ops'!$AZ$6:$CA$6</definedName>
    <definedName name="BBOpsCopyTo" localSheetId="3">'Jobs-Ops'!$AZ$7:$CA$596</definedName>
    <definedName name="BHeading" localSheetId="3">'Jobs-Ops'!$AQ$2</definedName>
    <definedName name="BonusProfitNotes" localSheetId="3">'Jobs-Ops'!$AA$6:$AA$437</definedName>
    <definedName name="BonusProfitNotesShow" localSheetId="3">'Jobs-Ops'!$AB$6:$AB$437</definedName>
    <definedName name="BPlus" localSheetId="3">'Jobs-Ops'!$AT$2</definedName>
    <definedName name="CalcCells" localSheetId="3">'Jobs-Ops'!$AX$7:$CM$437</definedName>
    <definedName name="Changed" localSheetId="3">'Jobs-Ops'!$AY$6:$AY$437</definedName>
    <definedName name="ChangeTracker" localSheetId="3">'Jobs-Ops'!$AZ$6:$BD$437</definedName>
    <definedName name="Close" localSheetId="3">'Jobs-Ops'!$G$6:$G$437</definedName>
    <definedName name="COLAPYBonusProfit" localSheetId="3">'Jobs-Ops'!$AJ$1</definedName>
    <definedName name="COLAPYCalcProfit" localSheetId="3">'Jobs-Ops'!$AI$1</definedName>
    <definedName name="COLAPYCost" localSheetId="3">'Jobs-Ops'!$AH$1</definedName>
    <definedName name="COLAPYPctComp" localSheetId="3">'Jobs-Ops'!$AF$1</definedName>
    <definedName name="COLAPYRev" localSheetId="3">'Jobs-Ops'!$AG$1</definedName>
    <definedName name="COLBCost" localSheetId="3">'Jobs-Ops'!$AR$1</definedName>
    <definedName name="COLBILLBillExRev" localSheetId="3">'Jobs-Ops'!$AW$1</definedName>
    <definedName name="COLBILLBillings" localSheetId="3">'Jobs-Ops'!$AU$1</definedName>
    <definedName name="COLBILLRevExBill" localSheetId="3">'Jobs-Ops'!$AV$1</definedName>
    <definedName name="COLBProfit" localSheetId="3">'Jobs-Ops'!$AS$1</definedName>
    <definedName name="COLBRev" localSheetId="3">'Jobs-Ops'!$AQ$1</definedName>
    <definedName name="COLChgProjProfit" localSheetId="3">'Jobs-Ops'!$R$1</definedName>
    <definedName name="COLClose" localSheetId="3">'Jobs-Ops'!$G$1</definedName>
    <definedName name="COLCompDate" localSheetId="3">'Jobs-Ops'!$S$1</definedName>
    <definedName name="COLCurConAmt" localSheetId="3">'Jobs-Ops'!$E$1</definedName>
    <definedName name="COLCYBonusProfit" localSheetId="3">'Jobs-Ops'!$AO$1</definedName>
    <definedName name="COLCYCalcProfit" localSheetId="3">'Jobs-Ops'!$AN$1</definedName>
    <definedName name="COLCYCost" localSheetId="3">'Jobs-Ops'!$AM$1</definedName>
    <definedName name="COLCYRev" localSheetId="3">'Jobs-Ops'!$AL$1</definedName>
    <definedName name="COLDone" localSheetId="3">'Jobs-Ops'!$H$1</definedName>
    <definedName name="COLExAll" localSheetId="3">'Jobs-Ops'!$D$1</definedName>
    <definedName name="COLJobDesc" localSheetId="3">'Jobs-Ops'!$B$1</definedName>
    <definedName name="COLJobNumber" localSheetId="3">'Jobs-Ops'!$A$1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3">'Jobs-Ops'!$AD$1</definedName>
    <definedName name="COLJTDCost" localSheetId="3">'Jobs-Ops'!$X$1</definedName>
    <definedName name="COLJTDEarnedRev" localSheetId="3">'Jobs-Ops'!$W$1</definedName>
    <definedName name="COLJTDPctComp" localSheetId="3">'Jobs-Ops'!$U$1</definedName>
    <definedName name="COLJTDPriorProfit" localSheetId="3">'Jobs-Ops'!$AC$1</definedName>
    <definedName name="COLJTDProfit" localSheetId="3">'Jobs-Ops'!$Y$1</definedName>
    <definedName name="COLOvrCostProj" localSheetId="3">'Jobs-Ops'!$M$1</definedName>
    <definedName name="COLOvrCostProjNotes" localSheetId="3">'Jobs-Ops'!$N$1</definedName>
    <definedName name="COLOvrCostProjNotes2" localSheetId="3">'Jobs-Ops'!$O$1</definedName>
    <definedName name="COLOvrRevProj" localSheetId="3">'Jobs-Ops'!$I$1</definedName>
    <definedName name="COLOvrRevProjNotes" localSheetId="3">'Jobs-Ops'!$J$1</definedName>
    <definedName name="COLOvrRevProjNotes2" localSheetId="3">'Jobs-Ops'!$K$1</definedName>
    <definedName name="COLPMProjCost" localSheetId="3">'Jobs-Ops'!$L$1</definedName>
    <definedName name="COLPMProjRev" localSheetId="3">'Jobs-Ops'!$F$1</definedName>
    <definedName name="COLPriorProjProfit" localSheetId="3">'Jobs-Ops'!$Q$1</definedName>
    <definedName name="COLPrjMngr" localSheetId="3">'Jobs-Ops'!$C$1</definedName>
    <definedName name="COLProjProfit" localSheetId="3">'Jobs-Ops'!$P$1</definedName>
    <definedName name="COLSP1" localSheetId="3">'Jobs-Ops'!$T$1</definedName>
    <definedName name="COLSP2" localSheetId="3">'Jobs-Ops'!$AE$1</definedName>
    <definedName name="COLSP3" localSheetId="3">'Jobs-Ops'!$AK$1</definedName>
    <definedName name="COLSP4" localSheetId="3">'Jobs-Ops'!$AP$1</definedName>
    <definedName name="COLSP5" localSheetId="3">'Jobs-Ops'!$AT$1</definedName>
    <definedName name="COLZBatchSeq" localSheetId="3">'Jobs-Ops'!$CD$1</definedName>
    <definedName name="COLZContractStatus" localSheetId="3">'Jobs-Ops'!$BM$1</definedName>
    <definedName name="COLZGAAPCost" localSheetId="3">'Jobs-Ops'!$BI$1</definedName>
    <definedName name="COLZGAAPCostComment" localSheetId="3">'Jobs-Ops'!$BU$1</definedName>
    <definedName name="COLZGAAPCostNew" localSheetId="3">'Jobs-Ops'!$BY$1</definedName>
    <definedName name="COLZGAAPCostNotes" localSheetId="3">'Jobs-Ops'!$BS$1</definedName>
    <definedName name="COLZGAAPPYCost" localSheetId="3">'Jobs-Ops'!$CF$1</definedName>
    <definedName name="COLZGAAPPYRev" localSheetId="3">'Jobs-Ops'!$CE$1</definedName>
    <definedName name="COLZGAAPRev" localSheetId="3">'Jobs-Ops'!$BH$1</definedName>
    <definedName name="COLZGAAPRevComment" localSheetId="3">'Jobs-Ops'!$BT$1</definedName>
    <definedName name="COLZGAAPRevNew" localSheetId="3">'Jobs-Ops'!$BX$1</definedName>
    <definedName name="COLZGAAPRevNotes" localSheetId="3">'Jobs-Ops'!$BR$1</definedName>
    <definedName name="COLZJCOP" localSheetId="3">'Jobs-Ops'!$BD$1</definedName>
    <definedName name="COLZJCOR" localSheetId="3">'Jobs-Ops'!$BC$1</definedName>
    <definedName name="COLZOPsBonus" localSheetId="3">'Jobs-Ops'!$BG$1</definedName>
    <definedName name="COLZOPsBonusNew" localSheetId="3">'Jobs-Ops'!$CB$1</definedName>
    <definedName name="COLZOPsCChg" localSheetId="3">'Jobs-Ops'!$BA$1</definedName>
    <definedName name="COLZOPsCost" localSheetId="3">'Jobs-Ops'!$BF$1</definedName>
    <definedName name="COLZOPsCostComment" localSheetId="3">'Jobs-Ops'!$BW$1</definedName>
    <definedName name="COLZOPsCostNew" localSheetId="3">'Jobs-Ops'!$CA$1</definedName>
    <definedName name="COLZOPsCostNotes" localSheetId="3">'Jobs-Ops'!$BQ$1</definedName>
    <definedName name="COLZOpsPYCost" localSheetId="3">'Jobs-Ops'!$CH$1</definedName>
    <definedName name="COLZOpsPYRev" localSheetId="3">'Jobs-Ops'!$CG$1</definedName>
    <definedName name="COLZOPsRChg" localSheetId="3">'Jobs-Ops'!$AZ$1</definedName>
    <definedName name="COLZOPsRev" localSheetId="3">'Jobs-Ops'!$BE$1</definedName>
    <definedName name="COLZOPsRevComment" localSheetId="3">'Jobs-Ops'!$BV$1</definedName>
    <definedName name="COLZOPsRevNew" localSheetId="3">'Jobs-Ops'!$BZ$1</definedName>
    <definedName name="COLZOPsRevNotes" localSheetId="3">'Jobs-Ops'!$BP$1</definedName>
    <definedName name="COLZORGBilledAmt" localSheetId="3">'Jobs-Ops'!$CL$1</definedName>
    <definedName name="COLZORGCYBilledAmt" localSheetId="3">'Jobs-Ops'!$CM$1</definedName>
    <definedName name="COLZORGCYCost" localSheetId="3">'Jobs-Ops'!$CK$1</definedName>
    <definedName name="COLZORGJTDCost" localSheetId="3">'Jobs-Ops'!$CJ$1</definedName>
    <definedName name="COLZPriorBonusProfit" localSheetId="3">'Jobs-Ops'!$BK$1</definedName>
    <definedName name="COLZPriorGAAPProfit" localSheetId="3">'Jobs-Ops'!$BL$1</definedName>
    <definedName name="COLZPriorJTDGAAPProfit" localSheetId="3">'Jobs-Ops'!$BO$1</definedName>
    <definedName name="COLZPriorJTDOPsProfit" localSheetId="3">'Jobs-Ops'!$BN$1</definedName>
    <definedName name="COLZPriorOPsProfit" localSheetId="3">'Jobs-Ops'!$BJ$1</definedName>
    <definedName name="COLZRowVersion" localSheetId="3">'Jobs-Ops'!$CI$1</definedName>
    <definedName name="COLZudChg" localSheetId="3">'Jobs-Ops'!$BB$1</definedName>
    <definedName name="COLZUserName" localSheetId="3">'Jobs-Ops'!$CC$1</definedName>
    <definedName name="Comments" localSheetId="3">'Jobs-Ops'!$BT$6:$BW$437</definedName>
    <definedName name="CurrentRole" localSheetId="3">'Jobs-Ops'!$A$2</definedName>
    <definedName name="CYHeading" localSheetId="3">'Jobs-Ops'!$AL$2</definedName>
    <definedName name="CYPlus" localSheetId="3">'Jobs-Ops'!$AP$2</definedName>
    <definedName name="Done" localSheetId="3">'Jobs-Ops'!$H$6:$H$437</definedName>
    <definedName name="DoneHeading" localSheetId="3">'Jobs-Ops'!$H$3</definedName>
    <definedName name="ExecOvrBonusAdj" localSheetId="3">'Jobs-Ops'!$Z$6:$Z$437</definedName>
    <definedName name="ExecOvrCostAdj" localSheetId="3">'Jobs-Ops'!$M$6:$M$437</definedName>
    <definedName name="ExecOvrCostAdj1" localSheetId="3">'Jobs-Ops'!$M$7:$M$437</definedName>
    <definedName name="ExecOvrCostAdj2" localSheetId="3">'Jobs-Ops'!$M$3:$M$437</definedName>
    <definedName name="ExecOvrRevAdj" localSheetId="3">'Jobs-Ops'!$I$6:$I$437</definedName>
    <definedName name="ExecOvrRevAdj1" localSheetId="3">'Jobs-Ops'!$I$7:$I$437</definedName>
    <definedName name="ExecOvrRevAdj2" localSheetId="3">'Jobs-Ops'!$I$3:$I$437</definedName>
    <definedName name="Formulas" localSheetId="3">'Jobs-Ops'!$A$6:$AX$6</definedName>
    <definedName name="GAAPCost" localSheetId="3">'Jobs-Ops'!$BI$6:$BI$437</definedName>
    <definedName name="GAAPCostComment" localSheetId="3">'Jobs-Ops'!$BU$6:$BU$437</definedName>
    <definedName name="GAAPCostNew" localSheetId="3">'Jobs-Ops'!$BY$6:$BY$437</definedName>
    <definedName name="GAAPCostNotes" localSheetId="3">'Jobs-Ops'!$BS$6:$BS$437</definedName>
    <definedName name="GAAPRev" localSheetId="3">'Jobs-Ops'!$BH$6:$BH$437</definedName>
    <definedName name="GAAPRevComment" localSheetId="3">'Jobs-Ops'!$BT$6:$BT$437</definedName>
    <definedName name="GAAPRevNew" localSheetId="3">'Jobs-Ops'!$BX$6:$BX$437</definedName>
    <definedName name="GAAPRevNotes" localSheetId="3">'Jobs-Ops'!$BR$6:$BR$437</definedName>
    <definedName name="JCOP" localSheetId="3">'Jobs-Ops'!$BD$6:$BD$437</definedName>
    <definedName name="JCOR" localSheetId="3">'Jobs-Ops'!$BC$6:$BC$437</definedName>
    <definedName name="JobDesc" localSheetId="3">'Jobs-Ops'!$B$6:$B$437</definedName>
    <definedName name="JTDChgInProfitHead" localSheetId="3">'Jobs-Ops'!$AD$3</definedName>
    <definedName name="JTDHeading" localSheetId="3">'Jobs-Ops'!$U$2</definedName>
    <definedName name="JTDPlus" localSheetId="3">'Jobs-Ops'!$AE$2</definedName>
    <definedName name="JTDPriorProfitHead" localSheetId="3">'Jobs-Ops'!$AC$3</definedName>
    <definedName name="JTDProfit" localSheetId="3">'Jobs-Ops'!$Y$6:$Y$437</definedName>
    <definedName name="JTDProfitChange" localSheetId="3">'Jobs-Ops'!$AD$6:$AD$437</definedName>
    <definedName name="MyJobNos" localSheetId="3">'Jobs-Ops'!$A$7:$A$437</definedName>
    <definedName name="NotesCost" localSheetId="3">'Jobs-Ops'!$N$7:$N$437</definedName>
    <definedName name="NotesCost1" localSheetId="3">'Jobs-Ops'!$N$6:$N$437</definedName>
    <definedName name="NotesCostShow" localSheetId="3">'Jobs-Ops'!$O$6:$O$437</definedName>
    <definedName name="NotesRev" localSheetId="3">'Jobs-Ops'!$J$7:$J$437</definedName>
    <definedName name="NotesRev1" localSheetId="3">'Jobs-Ops'!$J$6:$J$437</definedName>
    <definedName name="NotesRevShow" localSheetId="3">'Jobs-Ops'!$K$6:$K$437</definedName>
    <definedName name="OPsCChng" localSheetId="3">'Jobs-Ops'!$BA$6:$BA$437</definedName>
    <definedName name="OPsCost" localSheetId="3">'Jobs-Ops'!$BF$6:$BF$437</definedName>
    <definedName name="OpsCostComment" localSheetId="3">'Jobs-Ops'!$BW$6:$BW$437</definedName>
    <definedName name="OpsCostNew" localSheetId="3">'Jobs-Ops'!$CA$6:$CA$437</definedName>
    <definedName name="OPSCostNotes" localSheetId="3">'Jobs-Ops'!$BQ$6:$BQ$437</definedName>
    <definedName name="OPsRChng" localSheetId="3">'Jobs-Ops'!$AZ$6:$AZ$437</definedName>
    <definedName name="OPsRev" localSheetId="3">'Jobs-Ops'!$BE$6:$BE$437</definedName>
    <definedName name="OpsRevComment" localSheetId="3">'Jobs-Ops'!$BV$6:$BV$437</definedName>
    <definedName name="OpsRevNew" localSheetId="3">'Jobs-Ops'!$BZ$6:$BZ$437</definedName>
    <definedName name="OPSRevNotes" localSheetId="3">'Jobs-Ops'!$BP$6:$BP$437</definedName>
    <definedName name="OverrideCostHead" localSheetId="3">'Jobs-Ops'!$M$3</definedName>
    <definedName name="OverrideCostHeadNotes" localSheetId="3">'Jobs-Ops'!$N$3</definedName>
    <definedName name="OverrideRevHead" localSheetId="3">'Jobs-Ops'!$I$3</definedName>
    <definedName name="OverrideRevHeadNotes" localSheetId="3">'Jobs-Ops'!$J$3</definedName>
    <definedName name="PriorGAAPProfit" localSheetId="3">'Jobs-Ops'!$BL$6:$BL$437</definedName>
    <definedName name="PriorJTDGAAPProfit" localSheetId="3">'Jobs-Ops'!$BO$6:$BO$437</definedName>
    <definedName name="PriorJTDOPsProfit" localSheetId="3">'Jobs-Ops'!$BN$6:$BN$437</definedName>
    <definedName name="PriorJTDProfit" localSheetId="3">'Jobs-Ops'!$AC$7:$AC$437</definedName>
    <definedName name="PriorOPsProfit" localSheetId="3">'Jobs-Ops'!$BJ$6:$BJ$437</definedName>
    <definedName name="PriorProjProfit" localSheetId="3">'Jobs-Ops'!$Q$7:$Q$437</definedName>
    <definedName name="SDEndRow" localSheetId="3">'Jobs-Ops'!$A$437</definedName>
    <definedName name="SDStartRow" localSheetId="3">'Jobs-Ops'!$A$6</definedName>
    <definedName name="SummaryData" localSheetId="3">'Jobs-Ops'!$A$7:$CM$24</definedName>
    <definedName name="SummaryDataInput" localSheetId="3">'Jobs-Ops'!$A$7:$AX$437</definedName>
    <definedName name="UserName" localSheetId="3">'Jobs-Ops'!$CC$6:$CC$437</definedName>
    <definedName name="ALLPlus" localSheetId="4">'Jobs-GAAP'!$D$2</definedName>
    <definedName name="APYHeading" localSheetId="4">'Jobs-GAAP'!$AC$2</definedName>
    <definedName name="APYPlus" localSheetId="4">'Jobs-GAAP'!$AG$2</definedName>
    <definedName name="BBGAAP" localSheetId="4">'Jobs-GAAP'!$AU$6:$BS$6</definedName>
    <definedName name="BBGAAPCopyTo" localSheetId="4">'Jobs-GAAP'!$AU$7:$BS$166</definedName>
    <definedName name="BHeading" localSheetId="4">'Jobs-GAAP'!$AL$2</definedName>
    <definedName name="BPlus" localSheetId="4">'Jobs-GAAP'!$AO$2</definedName>
    <definedName name="CalcCells" localSheetId="4">'Jobs-GAAP'!$AS$7:$CF$436</definedName>
    <definedName name="Changed" localSheetId="4">'Jobs-GAAP'!$AT$6:$AT$436</definedName>
    <definedName name="ChangeTracker" localSheetId="4">'Jobs-GAAP'!$AU$6:$AY$436</definedName>
    <definedName name="Close" localSheetId="4">'Jobs-GAAP'!$G$6:$G$436</definedName>
    <definedName name="COLAPYCalcProfit" localSheetId="4">'Jobs-GAAP'!$AF$1</definedName>
    <definedName name="COLAPYCost" localSheetId="4">'Jobs-GAAP'!$AE$1</definedName>
    <definedName name="COLAPYPctComp" localSheetId="4">'Jobs-GAAP'!$AC$1</definedName>
    <definedName name="COLAPYRev" localSheetId="4">'Jobs-GAAP'!$AD$1</definedName>
    <definedName name="COLBCost" localSheetId="4">'Jobs-GAAP'!$AM$1</definedName>
    <definedName name="COLBILLBillExRev" localSheetId="4">'Jobs-GAAP'!$AR$1</definedName>
    <definedName name="COLBILLBillings" localSheetId="4">'Jobs-GAAP'!$AP$1</definedName>
    <definedName name="COLBILLRevExBill" localSheetId="4">'Jobs-GAAP'!$AQ$1</definedName>
    <definedName name="COLBProfit" localSheetId="4">'Jobs-GAAP'!$AN$1</definedName>
    <definedName name="COLBRev" localSheetId="4">'Jobs-GAAP'!$AL$1</definedName>
    <definedName name="COLChgProjProfit" localSheetId="4">'Jobs-GAAP'!$S$1</definedName>
    <definedName name="COLClose" localSheetId="4">'Jobs-GAAP'!$G$1</definedName>
    <definedName name="COLCompDate" localSheetId="4">'Jobs-GAAP'!$T$1</definedName>
    <definedName name="COLCurConAmt" localSheetId="4">'Jobs-GAAP'!$E$1</definedName>
    <definedName name="COLCYCalcProfit" localSheetId="4">'Jobs-GAAP'!$AJ$1</definedName>
    <definedName name="COLCYCost" localSheetId="4">'Jobs-GAAP'!$AI$1</definedName>
    <definedName name="COLCYRev" localSheetId="4">'Jobs-GAAP'!$AH$1</definedName>
    <definedName name="COLDone" localSheetId="4">'Jobs-GAAP'!$H$1</definedName>
    <definedName name="COLExAll" localSheetId="4">'Jobs-GAAP'!$D$1</definedName>
    <definedName name="COLGAAPDone" localSheetId="4">'Jobs-GAAP'!$I$1</definedName>
    <definedName name="COLJobDesc" localSheetId="4">'Jobs-GAAP'!$B$1</definedName>
    <definedName name="COLJobNumber" localSheetId="4">'Jobs-GAAP'!$A$1</definedName>
    <definedName name="COLJTDChgProfit" localSheetId="4">'Jobs-GAAP'!$AA$1</definedName>
    <definedName name="COLJTDCost" localSheetId="4">'Jobs-GAAP'!$X$1</definedName>
    <definedName name="COLJTDEarnedRev" localSheetId="4">'Jobs-GAAP'!$W$1</definedName>
    <definedName name="COLJTDPctComp" localSheetId="4">'Jobs-GAAP'!$V$1</definedName>
    <definedName name="COLJTDPriorProfit" localSheetId="4">'Jobs-GAAP'!$Z$1</definedName>
    <definedName name="COLJTDProfit" localSheetId="4">'Jobs-GAAP'!$Y$1</definedName>
    <definedName name="COLOvrCostProj" localSheetId="4">'Jobs-GAAP'!$N$1</definedName>
    <definedName name="COLOvrCostProjNotes" localSheetId="4">'Jobs-GAAP'!$O$1</definedName>
    <definedName name="COLOvrCostProjNotes2" localSheetId="4">'Jobs-GAAP'!$P$1</definedName>
    <definedName name="COLOvrRevProj" localSheetId="4">'Jobs-GAAP'!$J$1</definedName>
    <definedName name="COLOvrRevProjNotes" localSheetId="4">'Jobs-GAAP'!$K$1</definedName>
    <definedName name="COLOvrRevProjNotes2" localSheetId="4">'Jobs-GAAP'!$L$1</definedName>
    <definedName name="COLPMProjCost" localSheetId="4">'Jobs-GAAP'!$M$1</definedName>
    <definedName name="COLPMProjRev" localSheetId="4">'Jobs-GAAP'!$F$1</definedName>
    <definedName name="COLPriorProjProfit" localSheetId="4">'Jobs-GAAP'!$R$1</definedName>
    <definedName name="COLPrjMngr" localSheetId="4">'Jobs-GAAP'!$C$1</definedName>
    <definedName name="COLProjProfit" localSheetId="4">'Jobs-GAAP'!$Q$1</definedName>
    <definedName name="COLSP1" localSheetId="4">'Jobs-GAAP'!$U$1</definedName>
    <definedName name="COLSP2" localSheetId="4">'Jobs-GAAP'!$AB$1</definedName>
    <definedName name="COLSP3" localSheetId="4">'Jobs-GAAP'!$AG$1</definedName>
    <definedName name="COLSP4" localSheetId="4">'Jobs-GAAP'!$AK$1</definedName>
    <definedName name="COLSP5" localSheetId="4">'Jobs-GAAP'!$AO$1</definedName>
    <definedName name="COLZBatchSeq" localSheetId="4">'Jobs-GAAP'!$BW$1</definedName>
    <definedName name="COLZContractStatus" localSheetId="4">'Jobs-GAAP'!$BG$1</definedName>
    <definedName name="COLZGAAPCost" localSheetId="4">'Jobs-GAAP'!$BC$1</definedName>
    <definedName name="COLZGAAPCostComment" localSheetId="4">'Jobs-GAAP'!$BO$1</definedName>
    <definedName name="COLZGAAPCostNew" localSheetId="4">'Jobs-GAAP'!$BS$1</definedName>
    <definedName name="COLZGAAPCostNotes" localSheetId="4">'Jobs-GAAP'!$BM$1</definedName>
    <definedName name="COLZGAAPPYCost" localSheetId="4">'Jobs-GAAP'!$BY$1</definedName>
    <definedName name="COLZGAAPPYRev" localSheetId="4">'Jobs-GAAP'!$BX$1</definedName>
    <definedName name="COLZGAAPRev" localSheetId="4">'Jobs-GAAP'!$BB$1</definedName>
    <definedName name="COLZGAAPRevComment" localSheetId="4">'Jobs-GAAP'!$BN$1</definedName>
    <definedName name="COLZGAAPRevNew" localSheetId="4">'Jobs-GAAP'!$BR$1</definedName>
    <definedName name="COLZGAAPRevNotes" localSheetId="4">'Jobs-GAAP'!$BL$1</definedName>
    <definedName name="COLZJCOP" localSheetId="4">'Jobs-GAAP'!$AY$1</definedName>
    <definedName name="COLZJCOR" localSheetId="4">'Jobs-GAAP'!$AX$1</definedName>
    <definedName name="COLZOPsCChg" localSheetId="4">'Jobs-GAAP'!$AV$1</definedName>
    <definedName name="COLZOPsCost" localSheetId="4">'Jobs-GAAP'!$BA$1</definedName>
    <definedName name="COLZOPsCostComment" localSheetId="4">'Jobs-GAAP'!$BQ$1</definedName>
    <definedName name="COLZOPsCostNew" localSheetId="4">'Jobs-GAAP'!$BU$1</definedName>
    <definedName name="COLZOPsCostNotes" localSheetId="4">'Jobs-GAAP'!$BK$1</definedName>
    <definedName name="COLZOpsPYCost" localSheetId="4">'Jobs-GAAP'!$CA$1</definedName>
    <definedName name="COLZOpsPYRev" localSheetId="4">'Jobs-GAAP'!$BZ$1</definedName>
    <definedName name="COLZOPsRChg" localSheetId="4">'Jobs-GAAP'!$AU$1</definedName>
    <definedName name="COLZOPsRev" localSheetId="4">'Jobs-GAAP'!$AZ$1</definedName>
    <definedName name="COLZOPsRevComment" localSheetId="4">'Jobs-GAAP'!$BP$1</definedName>
    <definedName name="COLZOPsRevNew" localSheetId="4">'Jobs-GAAP'!$BT$1</definedName>
    <definedName name="COLZOPsRevNotes" localSheetId="4">'Jobs-GAAP'!$BJ$1</definedName>
    <definedName name="COLZORGBilledAmt" localSheetId="4">'Jobs-GAAP'!$CE$1</definedName>
    <definedName name="COLZORGCYBilledAmt" localSheetId="4">'Jobs-GAAP'!$CF$1</definedName>
    <definedName name="COLZORGCYCost" localSheetId="4">'Jobs-GAAP'!$CD$1</definedName>
    <definedName name="COLZORGJTDCost" localSheetId="4">'Jobs-GAAP'!$CC$1</definedName>
    <definedName name="COLZPriorBonusProfit" localSheetId="4">'Jobs-GAAP'!$BE$1</definedName>
    <definedName name="COLZPriorGAAPProfit" localSheetId="4">'Jobs-GAAP'!$BF$1</definedName>
    <definedName name="COLZPriorJTDGAAPProfit" localSheetId="4">'Jobs-GAAP'!$BI$1</definedName>
    <definedName name="COLZPriorJTDOPsProfit" localSheetId="4">'Jobs-GAAP'!$BH$1</definedName>
    <definedName name="COLZPriorOPsProfit" localSheetId="4">'Jobs-GAAP'!$BD$1</definedName>
    <definedName name="COLZRowVersion" localSheetId="4">'Jobs-GAAP'!$CB$1</definedName>
    <definedName name="COLZudChg" localSheetId="4">'Jobs-GAAP'!$AW$1</definedName>
    <definedName name="COLZUserName" localSheetId="4">'Jobs-GAAP'!$BV$1</definedName>
    <definedName name="Comments" localSheetId="4">'Jobs-GAAP'!$BN$6:$BQ$436</definedName>
    <definedName name="CurrentRole" localSheetId="4">'Jobs-GAAP'!$A$2</definedName>
    <definedName name="CYHeading" localSheetId="4">'Jobs-GAAP'!$AH$2</definedName>
    <definedName name="CYPlus" localSheetId="4">'Jobs-GAAP'!$AK$2</definedName>
    <definedName name="Done" localSheetId="4">'Jobs-GAAP'!$H$6:$H$436</definedName>
    <definedName name="DoneGAAP" localSheetId="4">'Jobs-GAAP'!$I$6:$I$436</definedName>
    <definedName name="DoneGAAPHeading" localSheetId="4">'Jobs-GAAP'!$I$3</definedName>
    <definedName name="DoneHeading" localSheetId="4">'Jobs-GAAP'!$H$3</definedName>
    <definedName name="ExecOvrCostAdj" localSheetId="4">'Jobs-GAAP'!$N$6:$N$436</definedName>
    <definedName name="ExecOvrCostAdj1" localSheetId="4">'Jobs-GAAP'!$N$7:$N$436</definedName>
    <definedName name="ExecOvrCostAdj2" localSheetId="4">'Jobs-GAAP'!$N$3:$N$436</definedName>
    <definedName name="ExecOvrRevAdj" localSheetId="4">'Jobs-GAAP'!$J$6:$J$436</definedName>
    <definedName name="ExecOvrRevAdj1" localSheetId="4">'Jobs-GAAP'!$J$7:$J$436</definedName>
    <definedName name="ExecOvrRevAdj2" localSheetId="4">'Jobs-GAAP'!$J$3:$J$436</definedName>
    <definedName name="Formulas" localSheetId="4">'Jobs-GAAP'!$A$6:$AS$6</definedName>
    <definedName name="GAAPCost" localSheetId="4">'Jobs-GAAP'!$BC$6:$BC$436</definedName>
    <definedName name="GAAPCostComment" localSheetId="4">'Jobs-GAAP'!$BO$6:$BO$436</definedName>
    <definedName name="GAAPCostNew" localSheetId="4">'Jobs-GAAP'!$BS$6:$BS$436</definedName>
    <definedName name="GAAPCostNotes" localSheetId="4">'Jobs-GAAP'!$BM$6:$BM$436</definedName>
    <definedName name="GAAPRev" localSheetId="4">'Jobs-GAAP'!$BB$6:$BB$436</definedName>
    <definedName name="GAAPRevComment" localSheetId="4">'Jobs-GAAP'!$BN$6:$BN$436</definedName>
    <definedName name="GAAPRevNew" localSheetId="4">'Jobs-GAAP'!$BR$6:$BR$436</definedName>
    <definedName name="GAAPRevNotes" localSheetId="4">'Jobs-GAAP'!$BL$6:$BL$436</definedName>
    <definedName name="JCOP" localSheetId="4">'Jobs-GAAP'!$AY$6:$AY$436</definedName>
    <definedName name="JCOR" localSheetId="4">'Jobs-GAAP'!$AX$6:$AX$436</definedName>
    <definedName name="JobDesc" localSheetId="4">'Jobs-GAAP'!$B$6:$B$436</definedName>
    <definedName name="JTDChgInProfitHead" localSheetId="4">'Jobs-GAAP'!$AA$3</definedName>
    <definedName name="JTDHeading" localSheetId="4">'Jobs-GAAP'!$V$2</definedName>
    <definedName name="JTDPlus" localSheetId="4">'Jobs-GAAP'!$AB$2</definedName>
    <definedName name="JTDPriorProfitHead" localSheetId="4">'Jobs-GAAP'!$Z$3</definedName>
    <definedName name="JTDProfit" localSheetId="4">'Jobs-GAAP'!$Y$6:$Y$436</definedName>
    <definedName name="JTDProfitChange" localSheetId="4">'Jobs-GAAP'!$AA$6:$AA$436</definedName>
    <definedName name="MyJobNos" localSheetId="4">'Jobs-GAAP'!$A$7:$A$436</definedName>
    <definedName name="NotesCost" localSheetId="4">'Jobs-GAAP'!$O$7:$O$436</definedName>
    <definedName name="NotesCost1" localSheetId="4">'Jobs-GAAP'!$O$6:$O$436</definedName>
    <definedName name="NotesCostShow" localSheetId="4">'Jobs-GAAP'!$P$6:$P$436</definedName>
    <definedName name="NotesRev" localSheetId="4">'Jobs-GAAP'!$K$7:$K$436</definedName>
    <definedName name="NotesRev1" localSheetId="4">'Jobs-GAAP'!$K$6:$K$436</definedName>
    <definedName name="NotesRevShow" localSheetId="4">'Jobs-GAAP'!$L$6:$L$436</definedName>
    <definedName name="OPsCChng" localSheetId="4">'Jobs-GAAP'!$AV$6:$AV$436</definedName>
    <definedName name="OPsCost" localSheetId="4">'Jobs-GAAP'!$BA$6:$BA$436</definedName>
    <definedName name="OpsCostComment" localSheetId="4">'Jobs-GAAP'!$BQ$6:$BQ$436</definedName>
    <definedName name="OpsCostNew" localSheetId="4">'Jobs-GAAP'!$BU$6:$BU$436</definedName>
    <definedName name="OPSCostNotes" localSheetId="4">'Jobs-GAAP'!$BK$6:$BK$436</definedName>
    <definedName name="OPsRChng" localSheetId="4">'Jobs-GAAP'!$AU$6:$AU$436</definedName>
    <definedName name="OPsRev" localSheetId="4">'Jobs-GAAP'!$AZ$6:$AZ$436</definedName>
    <definedName name="OpsRevComment" localSheetId="4">'Jobs-GAAP'!$BP$6:$BP$436</definedName>
    <definedName name="OpsRevNew" localSheetId="4">'Jobs-GAAP'!$BT$6:$BT$436</definedName>
    <definedName name="OPSRevNotes" localSheetId="4">'Jobs-GAAP'!$BJ$6:$BJ$436</definedName>
    <definedName name="OverrideCostHead" localSheetId="4">'Jobs-GAAP'!$N$3</definedName>
    <definedName name="OverrideCostHeadNotes" localSheetId="4">'Jobs-GAAP'!$O$3</definedName>
    <definedName name="OverrideRevHead" localSheetId="4">'Jobs-GAAP'!$J$3</definedName>
    <definedName name="OverrideRevHeadNotes" localSheetId="4">'Jobs-GAAP'!$K$3</definedName>
    <definedName name="PriorGAAPProfit" localSheetId="4">'Jobs-GAAP'!$BF$6:$BF$436</definedName>
    <definedName name="PriorJTDGAAPProfit" localSheetId="4">'Jobs-GAAP'!$BI$6:$BI$436</definedName>
    <definedName name="PriorJTDOPsProfit" localSheetId="4">'Jobs-GAAP'!$BH$6:$BH$436</definedName>
    <definedName name="PriorJTDProfit" localSheetId="4">'Jobs-GAAP'!$Z$7:$Z$436</definedName>
    <definedName name="PriorOPsProfit" localSheetId="4">'Jobs-GAAP'!$BD$6:$BD$436</definedName>
    <definedName name="PriorProjProfit" localSheetId="4">'Jobs-GAAP'!$R$7:$R$436</definedName>
    <definedName name="SDEndRow" localSheetId="4">'Jobs-GAAP'!$A$436</definedName>
    <definedName name="SDStartRow" localSheetId="4">'Jobs-GAAP'!$A$6</definedName>
    <definedName name="SummaryData" localSheetId="4">'Jobs-GAAP'!$A$7:$CF$24</definedName>
    <definedName name="SummaryDataInput" localSheetId="4">'Jobs-GAAP'!$A$7:$AS$436</definedName>
    <definedName name="UserName" localSheetId="4">'Jobs-GAAP'!$BV$6:$BV$436</definedName>
    <definedName name="ALLPlus" localSheetId="5">'Jobs-Ops vs GAAP'!$D$2</definedName>
    <definedName name="Changed" localSheetId="5">'Jobs-Ops vs GAAP'!$AB$6:$AB$437</definedName>
    <definedName name="ChangeTracker" localSheetId="5">'Jobs-Ops vs GAAP'!$AC$6:$AG$437</definedName>
    <definedName name="COLExAll" localSheetId="5">'Jobs-Ops vs GAAP'!$D$1</definedName>
    <definedName name="COLGAAPPctComp" localSheetId="5">'Jobs-Ops vs GAAP'!$H$1</definedName>
    <definedName name="COLJobDesc" localSheetId="5">'Jobs-Ops vs GAAP'!$B$1</definedName>
    <definedName name="COLJobNumber" localSheetId="5">'Jobs-Ops vs GAAP'!$A$1</definedName>
    <definedName name="COLOpsPctComp" localSheetId="5">'Jobs-Ops vs GAAP'!$F$1</definedName>
    <definedName name="COLPrjMngr" localSheetId="5">'Jobs-Ops vs GAAP'!$C$1</definedName>
    <definedName name="COLZBatchSeq" localSheetId="5">'Jobs-Ops vs GAAP'!$BE$1</definedName>
    <definedName name="COLZContractStatus" localSheetId="5">'Jobs-Ops vs GAAP'!$AO$1</definedName>
    <definedName name="COLZGAAPCost" localSheetId="5">'Jobs-Ops vs GAAP'!$AK$1</definedName>
    <definedName name="COLZGAAPCostComment" localSheetId="5">'Jobs-Ops vs GAAP'!$AW$1</definedName>
    <definedName name="COLZGAAPCostNew" localSheetId="5">'Jobs-Ops vs GAAP'!$BA$1</definedName>
    <definedName name="COLZGAAPCostNotes" localSheetId="5">'Jobs-Ops vs GAAP'!$AU$1</definedName>
    <definedName name="COLZGAAPPYCost" localSheetId="5">'Jobs-Ops vs GAAP'!$BG$1</definedName>
    <definedName name="COLZGAAPPYRev" localSheetId="5">'Jobs-Ops vs GAAP'!$BF$1</definedName>
    <definedName name="COLZGAAPRev" localSheetId="5">'Jobs-Ops vs GAAP'!$AJ$1</definedName>
    <definedName name="COLZGAAPRevComment" localSheetId="5">'Jobs-Ops vs GAAP'!$AV$1</definedName>
    <definedName name="COLZGAAPRevNew" localSheetId="5">'Jobs-Ops vs GAAP'!$AZ$1</definedName>
    <definedName name="COLZGAAPRevNotes" localSheetId="5">'Jobs-Ops vs GAAP'!$AT$1</definedName>
    <definedName name="COLZJCOP" localSheetId="5">'Jobs-Ops vs GAAP'!$AG$1</definedName>
    <definedName name="COLZJCOR" localSheetId="5">'Jobs-Ops vs GAAP'!$AF$1</definedName>
    <definedName name="COLZOPsCChg" localSheetId="5">'Jobs-Ops vs GAAP'!$AD$1</definedName>
    <definedName name="COLZOPsCost" localSheetId="5">'Jobs-Ops vs GAAP'!$AI$1</definedName>
    <definedName name="COLZOPsCostComment" localSheetId="5">'Jobs-Ops vs GAAP'!$AY$1</definedName>
    <definedName name="COLZOPsCostNew" localSheetId="5">'Jobs-Ops vs GAAP'!$BC$1</definedName>
    <definedName name="COLZOPsCostNotes" localSheetId="5">'Jobs-Ops vs GAAP'!$AS$1</definedName>
    <definedName name="COLZOpsPYCost" localSheetId="5">'Jobs-Ops vs GAAP'!$BI$1</definedName>
    <definedName name="COLZOpsPYRev" localSheetId="5">'Jobs-Ops vs GAAP'!$BH$1</definedName>
    <definedName name="COLZOPsRChg" localSheetId="5">'Jobs-Ops vs GAAP'!$AC$1</definedName>
    <definedName name="COLZOPsRev" localSheetId="5">'Jobs-Ops vs GAAP'!$AH$1</definedName>
    <definedName name="COLZOPsRevComment" localSheetId="5">'Jobs-Ops vs GAAP'!$AX$1</definedName>
    <definedName name="COLZOPsRevNew" localSheetId="5">'Jobs-Ops vs GAAP'!$BB$1</definedName>
    <definedName name="COLZOPsRevNotes" localSheetId="5">'Jobs-Ops vs GAAP'!$AR$1</definedName>
    <definedName name="COLZORGBilledAmt" localSheetId="5">'Jobs-Ops vs GAAP'!$BM$1</definedName>
    <definedName name="COLZORGCYBilledAmt" localSheetId="5">'Jobs-Ops vs GAAP'!$BN$1</definedName>
    <definedName name="COLZORGCYCost" localSheetId="5">'Jobs-Ops vs GAAP'!$BL$1</definedName>
    <definedName name="COLZORGJTDCost" localSheetId="5">'Jobs-Ops vs GAAP'!$BK$1</definedName>
    <definedName name="COLZPriorBonusProfit" localSheetId="5">'Jobs-Ops vs GAAP'!$AM$1</definedName>
    <definedName name="COLZPriorGAAPProfit" localSheetId="5">'Jobs-Ops vs GAAP'!$AN$1</definedName>
    <definedName name="COLZPriorJTDGAAPProfit" localSheetId="5">'Jobs-Ops vs GAAP'!$AQ$1</definedName>
    <definedName name="COLZPriorJTDOPsProfit" localSheetId="5">'Jobs-Ops vs GAAP'!$AP$1</definedName>
    <definedName name="COLZPriorOPsProfit" localSheetId="5">'Jobs-Ops vs GAAP'!$AL$1</definedName>
    <definedName name="COLZRowVersion" localSheetId="5">'Jobs-Ops vs GAAP'!$BJ$1</definedName>
    <definedName name="COLZudChg" localSheetId="5">'Jobs-Ops vs GAAP'!$AE$1</definedName>
    <definedName name="COLZUserName" localSheetId="5">'Jobs-Ops vs GAAP'!$BD$1</definedName>
    <definedName name="Comments" localSheetId="5">'Jobs-Ops vs GAAP'!$AV$6:$AY$437</definedName>
    <definedName name="CurrentRole" localSheetId="5">'Jobs-Ops vs GAAP'!$A$2</definedName>
    <definedName name="Formulas" localSheetId="5">'Jobs-Ops vs GAAP'!$A$6:$Q$6</definedName>
    <definedName name="GAAPCost" localSheetId="5">'Jobs-Ops vs GAAP'!$AK$6:$AK$437</definedName>
    <definedName name="GAAPCostComment" localSheetId="5">'Jobs-Ops vs GAAP'!$AW$6:$AW$437</definedName>
    <definedName name="GAAPCostNew" localSheetId="5">'Jobs-Ops vs GAAP'!$BA$6:$BA$437</definedName>
    <definedName name="GAAPCostNotes" localSheetId="5">'Jobs-Ops vs GAAP'!$AU$6:$AU$437</definedName>
    <definedName name="GAAPRev" localSheetId="5">'Jobs-Ops vs GAAP'!$AJ$6:$AJ$437</definedName>
    <definedName name="GAAPRevComment" localSheetId="5">'Jobs-Ops vs GAAP'!$AV$6:$AV$437</definedName>
    <definedName name="GAAPRevNew" localSheetId="5">'Jobs-Ops vs GAAP'!$AZ$6:$AZ$437</definedName>
    <definedName name="GAAPRevNotes" localSheetId="5">'Jobs-Ops vs GAAP'!$AT$6:$AT$437</definedName>
    <definedName name="JCOP" localSheetId="5">'Jobs-Ops vs GAAP'!$AG$6:$AG$437</definedName>
    <definedName name="JCOR" localSheetId="5">'Jobs-Ops vs GAAP'!$AF$6:$AF$437</definedName>
    <definedName name="JobDesc" localSheetId="5">'Jobs-Ops vs GAAP'!$B$6:$B$437</definedName>
    <definedName name="OPsCChng" localSheetId="5">'Jobs-Ops vs GAAP'!$AD$6:$AD$437</definedName>
    <definedName name="OPsCost" localSheetId="5">'Jobs-Ops vs GAAP'!$AI$6:$AI$437</definedName>
    <definedName name="OpsCostComment" localSheetId="5">'Jobs-Ops vs GAAP'!$AY$6:$AY$437</definedName>
    <definedName name="OpsCostNew" localSheetId="5">'Jobs-Ops vs GAAP'!$BC$6:$BC$437</definedName>
    <definedName name="OPSCostNotes" localSheetId="5">'Jobs-Ops vs GAAP'!$AS$6:$AS$437</definedName>
    <definedName name="OPsRChng" localSheetId="5">'Jobs-Ops vs GAAP'!$AC$6:$AC$437</definedName>
    <definedName name="OPsRev" localSheetId="5">'Jobs-Ops vs GAAP'!$AH$6:$AH$437</definedName>
    <definedName name="OpsRevComment" localSheetId="5">'Jobs-Ops vs GAAP'!$AX$6:$AX$437</definedName>
    <definedName name="OpsRevNew" localSheetId="5">'Jobs-Ops vs GAAP'!$BB$6:$BB$437</definedName>
    <definedName name="OPSRevNotes" localSheetId="5">'Jobs-Ops vs GAAP'!$AR$6:$AR$437</definedName>
    <definedName name="PriorGAAPProfit" localSheetId="5">'Jobs-Ops vs GAAP'!$AN$6:$AN$437</definedName>
    <definedName name="PriorJTDGAAPProfit" localSheetId="5">'Jobs-Ops vs GAAP'!$AQ$6:$AQ$437</definedName>
    <definedName name="PriorJTDOPsProfit" localSheetId="5">'Jobs-Ops vs GAAP'!$AP$6:$AP$437</definedName>
    <definedName name="PriorOPsProfit" localSheetId="5">'Jobs-Ops vs GAAP'!$AL$6:$AL$437</definedName>
    <definedName name="SDEndRow" localSheetId="5">'Jobs-Ops vs GAAP'!#REF!</definedName>
    <definedName name="SDStartRow" localSheetId="5">'Jobs-Ops vs GAAP'!$A$6</definedName>
    <definedName name="SummaryData" localSheetId="5">'Jobs-Ops vs GAAP'!$A$7:$BN$437</definedName>
    <definedName name="SummaryDataInput" localSheetId="5">'Jobs-Ops vs GAAP'!$A$7:$Q$437</definedName>
    <definedName name="SummaryDataOG" localSheetId="5">'Jobs-Ops vs GAAP'!$A$7:$BM$437</definedName>
    <definedName name="UserName" localSheetId="5">'Jobs-Ops vs GAAP'!$BD$6:$BD$437</definedName>
    <definedName name="ALLPlus" localSheetId="6">'JV''s-Ops'!$G$2</definedName>
    <definedName name="APYHeading" localSheetId="6">'JV''s-Ops'!$S$2</definedName>
    <definedName name="APYPlus" localSheetId="6">'JV''s-Ops'!$V$2</definedName>
    <definedName name="BHeading" localSheetId="6">'JV''s-Ops'!$AA$2</definedName>
    <definedName name="BPlus" localSheetId="6">'JV''s-Ops'!$AD$2</definedName>
    <definedName name="ChangedJV" localSheetId="6">'JV''s-Ops'!$AL$4:$AP$49</definedName>
    <definedName name="COLDone" localSheetId="6">'JV''s-Ops'!$H$1</definedName>
    <definedName name="COLJVAPYCalcProfit" localSheetId="6">'JV''s-Ops'!$U$1</definedName>
    <definedName name="COLJVAPYCost" localSheetId="6">'JV''s-Ops'!$T$1</definedName>
    <definedName name="COLJVAPYRev" localSheetId="6">'JV''s-Ops'!$S$1</definedName>
    <definedName name="COLJVBCost" localSheetId="6">'JV''s-Ops'!$AB$1</definedName>
    <definedName name="COLJVBILLBillExRev" localSheetId="6">'JV''s-Ops'!$AG$1</definedName>
    <definedName name="COLJVBILLBillings" localSheetId="6">'JV''s-Ops'!$AE$1</definedName>
    <definedName name="COLJVBILLRevExBill" localSheetId="6">'JV''s-Ops'!$AF$1</definedName>
    <definedName name="COLJVBProfit" localSheetId="6">'JV''s-Ops'!$AC$1</definedName>
    <definedName name="COLJVBRev" localSheetId="6">'JV''s-Ops'!$AA$1</definedName>
    <definedName name="COLJVCurContAmt" localSheetId="6">'JV''s-Ops'!$I$1</definedName>
    <definedName name="COLJVCYCalcProfit" localSheetId="6">'JV''s-Ops'!$Y$1</definedName>
    <definedName name="COLJVCYCost" localSheetId="6">'JV''s-Ops'!$X$1</definedName>
    <definedName name="COLJVCYRev" localSheetId="6">'JV''s-Ops'!$W$1</definedName>
    <definedName name="COLJVJobDesc" localSheetId="6">'JV''s-Ops'!$D$1</definedName>
    <definedName name="COLJVJobNo" localSheetId="6">'JV''s-Ops'!$B$1</definedName>
    <definedName name="COLJVJTDCost" localSheetId="6">'JV''s-Ops'!$P$1</definedName>
    <definedName name="COLJVJTDEarnedRev" localSheetId="6">'JV''s-Ops'!$O$1</definedName>
    <definedName name="COLJVMMJobNo" localSheetId="6">'JV''s-Ops'!$A$1</definedName>
    <definedName name="COLJVOJTDPctComp" localSheetId="6">'JV''s-Ops'!$N$1</definedName>
    <definedName name="COLJVOJTDProfit" localSheetId="6">'JV''s-Ops'!$Q$1</definedName>
    <definedName name="COLJVOvrCostProj" localSheetId="6">'JV''s-Ops'!$K$1</definedName>
    <definedName name="COLJVOvrRevProj" localSheetId="6">'JV''s-Ops'!$J$1</definedName>
    <definedName name="COLJVPartners" localSheetId="6">'JV''s-Ops'!$E$1</definedName>
    <definedName name="COLJVProjProfit" localSheetId="6">'JV''s-Ops'!$L$1</definedName>
    <definedName name="COLJVSharePct" localSheetId="6">'JV''s-Ops'!$F$1</definedName>
    <definedName name="COLJVSupJobNo" localSheetId="6">'JV''s-Ops'!$C$1</definedName>
    <definedName name="COLJVZJTDER" localSheetId="6">'JV''s-Ops'!$AM$1</definedName>
    <definedName name="COLJVZJTDER2" localSheetId="6">'JV''s-Ops'!$AO$1</definedName>
    <definedName name="COLJVZOJTDCost" localSheetId="6">'JV''s-Ops'!$AN$1</definedName>
    <definedName name="COLJVZOJTDCost2" localSheetId="6">'JV''s-Ops'!$AP$1</definedName>
    <definedName name="COLJVZudChg" localSheetId="6">'JV''s-Ops'!$AL$1</definedName>
    <definedName name="COLZBatchSeq" localSheetId="6">'JV''s-Ops'!$AR$1</definedName>
    <definedName name="COLZRowVersion" localSheetId="6">'JV''s-Ops'!$AS$1</definedName>
    <definedName name="COLZUserName" localSheetId="6">'JV''s-Ops'!$AQ$1</definedName>
    <definedName name="CYHeading" localSheetId="6">'JV''s-Ops'!$W$2</definedName>
    <definedName name="CYPlus" localSheetId="6">'JV''s-Ops'!$Z$2</definedName>
    <definedName name="Done" localSheetId="6">'JV''s-Ops'!$H$4:$H$49</definedName>
    <definedName name="FormulasJV" localSheetId="6">'JV''s-Ops'!$A$4:$AG$4</definedName>
    <definedName name="JTDBill" localSheetId="6">'JV''s-Ops'!$AE$4:$AE$49</definedName>
    <definedName name="JTDBillHeading" localSheetId="6">'JV''s-Ops'!$AE$3</definedName>
    <definedName name="JTDHeading" localSheetId="6">'JV''s-Ops'!$N$2</definedName>
    <definedName name="JTDPlus" localSheetId="6">'JV''s-Ops'!$R$2</definedName>
    <definedName name="JVJTDEarnedRevenue" localSheetId="6">'JV''s-Ops'!$O$4:$O$49</definedName>
    <definedName name="JVJTDER" localSheetId="6">'JV''s-Ops'!$AM$4:$AM$49</definedName>
    <definedName name="OJTDC" localSheetId="6">'JV''s-Ops'!$AN$4:$AN$49</definedName>
    <definedName name="OPCCA" localSheetId="6">'JV''s-Ops'!$I$4:$I$49</definedName>
    <definedName name="OPCCAHeading" localSheetId="6">'JV''s-Ops'!$I$3</definedName>
    <definedName name="OpsJTDCost" localSheetId="6">'JV''s-Ops'!$P$4:$P$49</definedName>
    <definedName name="OpsJTDEarnedRev" localSheetId="6">'JV''s-Ops'!$O$4:$O$49</definedName>
    <definedName name="SummaryDataJV" localSheetId="6">'JV''s-Ops'!$A$7:$AG$26</definedName>
    <definedName name="ALLPlus" localSheetId="7">'JV''s-GAAP'!$G$2</definedName>
    <definedName name="APYHeading" localSheetId="7">'JV''s-GAAP'!$S$2</definedName>
    <definedName name="APYPlus" localSheetId="7">'JV''s-GAAP'!$V$2</definedName>
    <definedName name="BHeading" localSheetId="7">'JV''s-GAAP'!$AA$2</definedName>
    <definedName name="BPlus" localSheetId="7">'JV''s-GAAP'!$AD$2</definedName>
    <definedName name="ChangedJV" localSheetId="7">'JV''s-GAAP'!$AL$4:$AP$49</definedName>
    <definedName name="COLDone" localSheetId="7">'JV''s-GAAP'!$H$1</definedName>
    <definedName name="COLDoneGAAP" localSheetId="7">'JV''s-GAAP'!$I$1</definedName>
    <definedName name="COLJVAPYCalcProfit" localSheetId="7">'JV''s-GAAP'!$U$1</definedName>
    <definedName name="COLJVAPYCost" localSheetId="7">'JV''s-GAAP'!$T$1</definedName>
    <definedName name="COLJVAPYRev" localSheetId="7">'JV''s-GAAP'!$S$1</definedName>
    <definedName name="COLJVBCost" localSheetId="7">'JV''s-GAAP'!$AB$1</definedName>
    <definedName name="COLJVBILLBillExRev" localSheetId="7">'JV''s-GAAP'!$AG$1</definedName>
    <definedName name="COLJVBILLBillings" localSheetId="7">'JV''s-GAAP'!$AE$1</definedName>
    <definedName name="COLJVBILLRevExBill" localSheetId="7">'JV''s-GAAP'!$AF$1</definedName>
    <definedName name="COLJVBProfit" localSheetId="7">'JV''s-GAAP'!$AC$1</definedName>
    <definedName name="COLJVBRev" localSheetId="7">'JV''s-GAAP'!$AA$1</definedName>
    <definedName name="COLJVCurContAmt" localSheetId="7">'JV''s-GAAP'!$J$1</definedName>
    <definedName name="COLJVCYCalcProfit" localSheetId="7">'JV''s-GAAP'!$Y$1</definedName>
    <definedName name="COLJVCYCost" localSheetId="7">'JV''s-GAAP'!$X$1</definedName>
    <definedName name="COLJVCYRev" localSheetId="7">'JV''s-GAAP'!$W$1</definedName>
    <definedName name="COLJVJobDesc" localSheetId="7">'JV''s-GAAP'!$D$1</definedName>
    <definedName name="COLJVJobNo" localSheetId="7">'JV''s-GAAP'!$B$1</definedName>
    <definedName name="COLJVJTDCost" localSheetId="7">'JV''s-GAAP'!$P$1</definedName>
    <definedName name="COLJVJTDEarnedRev" localSheetId="7">'JV''s-GAAP'!$O$1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OvrCostProj" localSheetId="7">'JV''s-GAAP'!$K$1</definedName>
    <definedName name="COLJVPartners" localSheetId="7">'JV''s-GAAP'!$E$1</definedName>
    <definedName name="COLJVProjFinalProfit" localSheetId="7">'JV''s-GAAP'!$L$1</definedName>
    <definedName name="COLJVSharePct" localSheetId="7">'JV''s-GAAP'!$F$1</definedName>
    <definedName name="COLJVSupJobNo" localSheetId="7">'JV''s-GAAP'!$C$1</definedName>
    <definedName name="COLJVZJTDER" localSheetId="7">'JV''s-GAAP'!$AM$1</definedName>
    <definedName name="COLJVZJTDER2" localSheetId="7">'JV''s-GAAP'!$AO$1</definedName>
    <definedName name="COLJVZOJTDCost" localSheetId="7">'JV''s-GAAP'!$AN$1</definedName>
    <definedName name="COLJVZOJTDCost2" localSheetId="7">'JV''s-GAAP'!$AP$1</definedName>
    <definedName name="COLJVZudChg" localSheetId="7">'JV''s-GAAP'!$AL$1</definedName>
    <definedName name="COLZBatchSeq" localSheetId="7">'JV''s-GAAP'!$AR$1</definedName>
    <definedName name="COLZRowVersion" localSheetId="7">'JV''s-GAAP'!$AS$1</definedName>
    <definedName name="COLZUserName" localSheetId="7">'JV''s-GAAP'!$AQ$1</definedName>
    <definedName name="CYHeading" localSheetId="7">'JV''s-GAAP'!$W$2</definedName>
    <definedName name="CYPlus" localSheetId="7">'JV''s-GAAP'!$Z$2</definedName>
    <definedName name="Done" localSheetId="7">'JV''s-GAAP'!$H$4:$H$49</definedName>
    <definedName name="DoneGAAP" localSheetId="7">'JV''s-GAAP'!$I$4:$I$49</definedName>
    <definedName name="FormulasJV" localSheetId="7">'JV''s-GAAP'!$A$4:$AG$4</definedName>
    <definedName name="JTDBill" localSheetId="7">'JV''s-GAAP'!$AE$4:$AE$49</definedName>
    <definedName name="JTDBillHeading" localSheetId="7">'JV''s-GAAP'!$AE$3</definedName>
    <definedName name="JTDHeading" localSheetId="7">'JV''s-GAAP'!$N$2</definedName>
    <definedName name="JTDPlus" localSheetId="7">'JV''s-GAAP'!$R$2</definedName>
    <definedName name="JVJTDEarnedRevenue" localSheetId="7">'JV''s-GAAP'!$O$4:$O$49</definedName>
    <definedName name="JVJTDER" localSheetId="7">'JV''s-GAAP'!$AM$4:$AM$49</definedName>
    <definedName name="OJTDC" localSheetId="7">'JV''s-GAAP'!$AN$4:$AN$49</definedName>
    <definedName name="OPCCA" localSheetId="7">'JV''s-GAAP'!$J$4:$J$49</definedName>
    <definedName name="OPCCAHeading" localSheetId="7">'JV''s-GAAP'!$J$3</definedName>
    <definedName name="OpsJTDCost" localSheetId="7">'JV''s-GAAP'!$P$4:$P$49</definedName>
    <definedName name="OpsJTDEarnedRev" localSheetId="7">'JV''s-GAAP'!$O$4:$O$49</definedName>
    <definedName name="SummaryDataJV" localSheetId="7">'JV''s-GAAP'!$A$7:$AG$26</definedName>
    <definedName name="ChangedJV" localSheetId="8">'JV''s-Ops vs GAAP'!$U$4:$AA$50</definedName>
    <definedName name="COLJVChgProjProfit" localSheetId="8">'JV''s-Ops vs GAAP'!$P$1</definedName>
    <definedName name="COLJVCompDate" localSheetId="8">'JV''s-Ops vs GAAP'!$Q$1</definedName>
    <definedName name="COLJVCurContAmt" localSheetId="8">'JV''s-Ops vs GAAP'!$I$1</definedName>
    <definedName name="COLJVJobDesc" localSheetId="8">'JV''s-Ops vs GAAP'!$D$1</definedName>
    <definedName name="COLJVJobNo" localSheetId="8">'JV''s-Ops vs GAAP'!$B$1</definedName>
    <definedName name="COLJVMMJobNo" localSheetId="8">'JV''s-Ops vs GAAP'!$A$1</definedName>
    <definedName name="COLJVOvrCostProj" localSheetId="8">'JV''s-Ops vs GAAP'!$K$1</definedName>
    <definedName name="COLJVOvrRevProj" localSheetId="8">'JV''s-Ops vs GAAP'!$J$1</definedName>
    <definedName name="COLJVPartners" localSheetId="8">'JV''s-Ops vs GAAP'!$E$1</definedName>
    <definedName name="COLJVPriorProjProfit" localSheetId="8">'JV''s-Ops vs GAAP'!$O$1</definedName>
    <definedName name="COLJVProjProfit" localSheetId="8">'JV''s-Ops vs GAAP'!$M$1</definedName>
    <definedName name="COLJVSharePct" localSheetId="8">'JV''s-Ops vs GAAP'!$F$1</definedName>
    <definedName name="COLJVSupJobNo" localSheetId="8">'JV''s-Ops vs GAAP'!$C$1</definedName>
    <definedName name="COLJVZOJTDCost" localSheetId="8">'JV''s-Ops vs GAAP'!$X$1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8">'JV''s-Ops vs GAAP'!$U$1</definedName>
    <definedName name="FormulasJV" localSheetId="8">'JV''s-Ops vs GAAP'!$A$4:$R$4</definedName>
    <definedName name="JVJTDER" localSheetId="8">'JV''s-Ops vs GAAP'!$V$4:$V$50</definedName>
    <definedName name="OJTDC" localSheetId="8">'JV''s-Ops vs GAAP'!$X$4:$X$50</definedName>
    <definedName name="OJTDER" localSheetId="8">'JV''s-Ops vs GAAP'!$W$4:$W$50</definedName>
    <definedName name="OPCCA" localSheetId="8">'JV''s-Ops vs GAAP'!$I$4:$I$50</definedName>
    <definedName name="OPCCAHeading" localSheetId="8">'JV''s-Ops vs GAAP'!$I$3</definedName>
    <definedName name="SummaryDataJV" localSheetId="8">'JV''s-Ops vs GAAP'!$A$5:$R$50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_(* #,##0_);_(* \(#,##0\);_(* &quot;-&quot;??_);_(@_)"/>
    <numFmt numFmtId="165" formatCode="0;\-0;;@"/>
    <numFmt numFmtId="166" formatCode="0%;\-0%;;"/>
    <numFmt numFmtId="167" formatCode="m/d/yyyy;@"/>
  </numFmts>
  <fonts count="44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sz val="10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Arial"/>
      <family val="2"/>
      <sz val="10"/>
    </font>
    <font>
      <name val="Arial"/>
      <family val="2"/>
      <color theme="10"/>
      <sz val="10"/>
      <u val="single"/>
    </font>
    <font>
      <name val="Calibri"/>
      <family val="2"/>
      <sz val="11"/>
    </font>
    <font>
      <name val="Arial"/>
      <family val="2"/>
      <sz val="10"/>
    </font>
    <font>
      <name val="Segoe UI"/>
      <family val="2"/>
      <color rgb="FF000000"/>
      <sz val="8"/>
    </font>
    <font>
      <name val="Arial"/>
      <family val="2"/>
      <sz val="8"/>
    </font>
    <font>
      <name val="Aptos"/>
      <family val="2"/>
      <sz val="11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Wingdings 2"/>
      <charset val="2"/>
      <family val="1"/>
      <b val="1"/>
      <color theme="1"/>
      <sz val="11"/>
    </font>
    <font>
      <name val="Aptos"/>
      <family val="2"/>
      <sz val="12"/>
    </font>
    <font>
      <name val="Calibri"/>
      <family val="2"/>
      <b val="1"/>
      <color theme="1"/>
      <sz val="12"/>
      <scheme val="minor"/>
    </font>
    <font>
      <name val="Arial"/>
      <family val="2"/>
      <color rgb="FF000000"/>
      <sz val="9"/>
    </font>
    <font>
      <name val="Wingdings 2"/>
      <charset val="2"/>
      <family val="1"/>
      <sz val="11"/>
    </font>
    <font>
      <name val="Arial"/>
      <family val="2"/>
      <b val="1"/>
      <sz val="11"/>
    </font>
    <font>
      <name val="Calibri"/>
      <family val="2"/>
      <b val="1"/>
      <sz val="18"/>
    </font>
    <font>
      <name val="Calibri"/>
      <family val="2"/>
      <b val="1"/>
      <color theme="1"/>
      <sz val="18"/>
      <scheme val="minor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1">
    <xf numFmtId="0" fontId="0" fillId="0" borderId="0"/>
    <xf numFmtId="0" fontId="19" fillId="0" borderId="0"/>
    <xf numFmtId="44" fontId="19" fillId="0" borderId="0"/>
    <xf numFmtId="44" fontId="28" fillId="0" borderId="0"/>
    <xf numFmtId="0" fontId="28" fillId="0" borderId="0"/>
    <xf numFmtId="0" fontId="19" fillId="0" borderId="0"/>
    <xf numFmtId="43" fontId="19" fillId="0" borderId="0"/>
    <xf numFmtId="9" fontId="19" fillId="0" borderId="0"/>
    <xf numFmtId="9" fontId="28" fillId="0" borderId="0"/>
    <xf numFmtId="0" fontId="26" fillId="0" borderId="0"/>
    <xf numFmtId="43" fontId="28" fillId="0" borderId="0"/>
  </cellStyleXfs>
  <cellXfs count="305">
    <xf numFmtId="0" fontId="0" fillId="0" borderId="0" pivotButton="0" quotePrefix="0" xfId="0"/>
    <xf numFmtId="0" fontId="20" fillId="0" borderId="0" pivotButton="0" quotePrefix="0" xfId="0"/>
    <xf numFmtId="0" fontId="22" fillId="0" borderId="0" pivotButton="0" quotePrefix="0" xfId="0"/>
    <xf numFmtId="0" fontId="18" fillId="0" borderId="0" pivotButton="0" quotePrefix="0" xfId="5"/>
    <xf numFmtId="0" fontId="18" fillId="0" borderId="0" applyAlignment="1" pivotButton="0" quotePrefix="0" xfId="5">
      <alignment horizontal="right"/>
    </xf>
    <xf numFmtId="0" fontId="17" fillId="0" borderId="0" pivotButton="0" quotePrefix="0" xfId="5"/>
    <xf numFmtId="0" fontId="23" fillId="0" borderId="0" applyAlignment="1" pivotButton="0" quotePrefix="0" xfId="5">
      <alignment horizontal="right"/>
    </xf>
    <xf numFmtId="0" fontId="23" fillId="0" borderId="0" applyAlignment="1" pivotButton="0" quotePrefix="0" xfId="5">
      <alignment horizontal="center"/>
    </xf>
    <xf numFmtId="164" fontId="20" fillId="6" borderId="1" pivotButton="0" quotePrefix="0" xfId="6"/>
    <xf numFmtId="164" fontId="20" fillId="7" borderId="1" pivotButton="0" quotePrefix="0" xfId="6"/>
    <xf numFmtId="164" fontId="20" fillId="0" borderId="0" pivotButton="0" quotePrefix="0" xfId="6"/>
    <xf numFmtId="164" fontId="20" fillId="5" borderId="1" pivotButton="0" quotePrefix="0" xfId="6"/>
    <xf numFmtId="164" fontId="20" fillId="10" borderId="1" pivotButton="0" quotePrefix="0" xfId="6"/>
    <xf numFmtId="14" fontId="18" fillId="0" borderId="0" pivotButton="0" quotePrefix="0" xfId="5"/>
    <xf numFmtId="0" fontId="18" fillId="11" borderId="8" applyProtection="1" pivotButton="0" quotePrefix="0" xfId="5">
      <protection locked="0" hidden="0"/>
    </xf>
    <xf numFmtId="0" fontId="23" fillId="0" borderId="0" pivotButton="0" quotePrefix="0" xfId="5"/>
    <xf numFmtId="10" fontId="0" fillId="8" borderId="1" pivotButton="0" quotePrefix="0" xfId="7"/>
    <xf numFmtId="0" fontId="15" fillId="0" borderId="0" pivotButton="0" quotePrefix="0" xfId="5"/>
    <xf numFmtId="0" fontId="26" fillId="0" borderId="0" pivotButton="0" quotePrefix="0" xfId="9"/>
    <xf numFmtId="14" fontId="0" fillId="0" borderId="0" pivotButton="0" quotePrefix="0" xfId="0"/>
    <xf numFmtId="49" fontId="0" fillId="0" borderId="0" pivotButton="0" quotePrefix="0" xfId="0"/>
    <xf numFmtId="0" fontId="27" fillId="0" borderId="0" pivotButton="0" quotePrefix="0" xfId="0"/>
    <xf numFmtId="0" fontId="23" fillId="0" borderId="0" applyAlignment="1" pivotButton="0" quotePrefix="0" xfId="5">
      <alignment horizontal="center" wrapText="1"/>
    </xf>
    <xf numFmtId="10" fontId="20" fillId="8" borderId="1" pivotButton="0" quotePrefix="0" xfId="7"/>
    <xf numFmtId="10" fontId="20" fillId="8" borderId="1" pivotButton="0" quotePrefix="0" xfId="8"/>
    <xf numFmtId="164" fontId="20" fillId="9" borderId="1" pivotButton="0" quotePrefix="0" xfId="6"/>
    <xf numFmtId="0" fontId="22" fillId="0" borderId="4" applyAlignment="1" pivotButton="0" quotePrefix="0" xfId="0">
      <alignment horizontal="center"/>
    </xf>
    <xf numFmtId="0" fontId="22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horizontal="left"/>
    </xf>
    <xf numFmtId="0" fontId="20" fillId="0" borderId="0" applyAlignment="1" pivotButton="0" quotePrefix="0" xfId="0">
      <alignment horizontal="left"/>
    </xf>
    <xf numFmtId="9" fontId="0" fillId="0" borderId="0" pivotButton="0" quotePrefix="0" xfId="8"/>
    <xf numFmtId="0" fontId="20" fillId="0" borderId="10" pivotButton="0" quotePrefix="0" xfId="0"/>
    <xf numFmtId="0" fontId="31" fillId="0" borderId="0" pivotButton="0" quotePrefix="0" xfId="0"/>
    <xf numFmtId="0" fontId="13" fillId="3" borderId="1" pivotButton="0" quotePrefix="0" xfId="5"/>
    <xf numFmtId="0" fontId="13" fillId="0" borderId="0" pivotButton="0" quotePrefix="0" xfId="5"/>
    <xf numFmtId="164" fontId="27" fillId="2" borderId="1" applyProtection="1" pivotButton="0" quotePrefix="0" xfId="10">
      <protection locked="0" hidden="0"/>
    </xf>
    <xf numFmtId="164" fontId="27" fillId="7" borderId="1" pivotButton="0" quotePrefix="0" xfId="10"/>
    <xf numFmtId="164" fontId="27" fillId="5" borderId="1" pivotButton="0" quotePrefix="0" xfId="10"/>
    <xf numFmtId="164" fontId="27" fillId="6" borderId="1" pivotButton="0" quotePrefix="0" xfId="10"/>
    <xf numFmtId="164" fontId="27" fillId="0" borderId="0" pivotButton="0" quotePrefix="0" xfId="0"/>
    <xf numFmtId="0" fontId="33" fillId="0" borderId="4" applyAlignment="1" pivotButton="0" quotePrefix="0" xfId="0">
      <alignment horizontal="center" wrapText="1"/>
    </xf>
    <xf numFmtId="0" fontId="33" fillId="2" borderId="3" applyAlignment="1" pivotButton="0" quotePrefix="0" xfId="0">
      <alignment horizontal="center" wrapText="1"/>
    </xf>
    <xf numFmtId="0" fontId="33" fillId="7" borderId="4" applyAlignment="1" pivotButton="0" quotePrefix="0" xfId="0">
      <alignment horizontal="center" wrapText="1"/>
    </xf>
    <xf numFmtId="0" fontId="33" fillId="2" borderId="4" applyAlignment="1" pivotButton="0" quotePrefix="0" xfId="0">
      <alignment horizontal="center" wrapText="1"/>
    </xf>
    <xf numFmtId="0" fontId="33" fillId="5" borderId="4" applyAlignment="1" pivotButton="0" quotePrefix="0" xfId="0">
      <alignment horizontal="center" wrapText="1"/>
    </xf>
    <xf numFmtId="0" fontId="33" fillId="5" borderId="3" applyAlignment="1" pivotButton="0" quotePrefix="0" xfId="0">
      <alignment horizontal="center" wrapText="1"/>
    </xf>
    <xf numFmtId="0" fontId="33" fillId="6" borderId="3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3" applyAlignment="1" pivotButton="0" quotePrefix="0" xfId="0">
      <alignment vertical="top" wrapText="1"/>
    </xf>
    <xf numFmtId="0" fontId="0" fillId="0" borderId="9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0" fillId="0" borderId="2" applyAlignment="1" pivotButton="0" quotePrefix="0" xfId="0">
      <alignment vertical="top" wrapText="1"/>
    </xf>
    <xf numFmtId="0" fontId="0" fillId="0" borderId="16" applyAlignment="1" pivotButton="0" quotePrefix="0" xfId="0">
      <alignment vertical="top" wrapText="1"/>
    </xf>
    <xf numFmtId="0" fontId="0" fillId="0" borderId="18" applyAlignment="1" pivotButton="0" quotePrefix="0" xfId="0">
      <alignment vertical="top" wrapText="1"/>
    </xf>
    <xf numFmtId="14" fontId="0" fillId="0" borderId="19" applyAlignment="1" pivotButton="0" quotePrefix="0" xfId="0">
      <alignment vertical="top"/>
    </xf>
    <xf numFmtId="14" fontId="0" fillId="0" borderId="20" applyAlignment="1" pivotButton="0" quotePrefix="0" xfId="0">
      <alignment vertical="top"/>
    </xf>
    <xf numFmtId="14" fontId="0" fillId="0" borderId="13" applyAlignment="1" pivotButton="0" quotePrefix="0" xfId="0">
      <alignment vertical="top"/>
    </xf>
    <xf numFmtId="14" fontId="0" fillId="0" borderId="14" applyAlignment="1" pivotButton="0" quotePrefix="0" xfId="0">
      <alignment vertical="top"/>
    </xf>
    <xf numFmtId="14" fontId="0" fillId="0" borderId="15" applyAlignment="1" pivotButton="0" quotePrefix="0" xfId="0">
      <alignment vertical="top"/>
    </xf>
    <xf numFmtId="14" fontId="0" fillId="0" borderId="17" applyAlignment="1" pivotButton="0" quotePrefix="0" xfId="0">
      <alignment vertical="top"/>
    </xf>
    <xf numFmtId="0" fontId="0" fillId="2" borderId="1" applyAlignment="1" pivotButton="0" quotePrefix="0" xfId="0">
      <alignment vertical="top" wrapText="1"/>
    </xf>
    <xf numFmtId="0" fontId="18" fillId="0" borderId="0" applyProtection="1" pivotButton="0" quotePrefix="0" xfId="5">
      <protection locked="0" hidden="0"/>
    </xf>
    <xf numFmtId="0" fontId="23" fillId="10" borderId="7" applyAlignment="1" pivotButton="0" quotePrefix="0" xfId="5">
      <alignment horizontal="center" wrapText="1"/>
    </xf>
    <xf numFmtId="164" fontId="23" fillId="10" borderId="1" applyAlignment="1" pivotButton="0" quotePrefix="0" xfId="5">
      <alignment wrapText="1"/>
    </xf>
    <xf numFmtId="0" fontId="20" fillId="0" borderId="0" applyAlignment="1" pivotButton="0" quotePrefix="0" xfId="0">
      <alignment horizontal="center"/>
    </xf>
    <xf numFmtId="164" fontId="20" fillId="2" borderId="1" pivotButton="0" quotePrefix="0" xfId="6"/>
    <xf numFmtId="164" fontId="20" fillId="2" borderId="1" applyProtection="1" pivotButton="0" quotePrefix="0" xfId="6">
      <protection locked="0" hidden="0"/>
    </xf>
    <xf numFmtId="164" fontId="20" fillId="2" borderId="1" applyProtection="1" pivotButton="0" quotePrefix="0" xfId="6">
      <protection locked="0" hidden="0"/>
    </xf>
    <xf numFmtId="164" fontId="20" fillId="2" borderId="1" applyAlignment="1" applyProtection="1" pivotButton="0" quotePrefix="0" xfId="6">
      <alignment vertical="top"/>
      <protection locked="0" hidden="0"/>
    </xf>
    <xf numFmtId="49" fontId="12" fillId="0" borderId="0" pivotButton="0" quotePrefix="0" xfId="5"/>
    <xf numFmtId="0" fontId="12" fillId="0" borderId="0" pivotButton="0" quotePrefix="0" xfId="5"/>
    <xf numFmtId="0" fontId="37" fillId="0" borderId="0" pivotButton="0" quotePrefix="0" xfId="0"/>
    <xf numFmtId="0" fontId="23" fillId="0" borderId="0" applyAlignment="1" pivotButton="0" quotePrefix="0" xfId="5">
      <alignment horizontal="center" vertical="top" textRotation="90"/>
    </xf>
    <xf numFmtId="0" fontId="11" fillId="0" borderId="0" pivotButton="0" quotePrefix="0" xfId="5"/>
    <xf numFmtId="49" fontId="11" fillId="0" borderId="0" applyProtection="1" pivotButton="0" quotePrefix="0" xfId="5">
      <protection locked="0" hidden="0"/>
    </xf>
    <xf numFmtId="49" fontId="11" fillId="0" borderId="0" pivotButton="0" quotePrefix="0" xfId="5"/>
    <xf numFmtId="0" fontId="11" fillId="0" borderId="0" applyProtection="1" pivotButton="0" quotePrefix="0" xfId="5">
      <protection locked="0" hidden="0"/>
    </xf>
    <xf numFmtId="0" fontId="18" fillId="0" borderId="0" applyProtection="1" pivotButton="0" quotePrefix="0" xfId="5">
      <protection locked="1" hidden="1"/>
    </xf>
    <xf numFmtId="0" fontId="18" fillId="0" borderId="0" applyAlignment="1" applyProtection="1" pivotButton="0" quotePrefix="0" xfId="5">
      <alignment textRotation="90"/>
      <protection locked="1" hidden="1"/>
    </xf>
    <xf numFmtId="0" fontId="23" fillId="7" borderId="3" applyAlignment="1" pivotButton="0" quotePrefix="0" xfId="5">
      <alignment wrapText="1"/>
    </xf>
    <xf numFmtId="0" fontId="38" fillId="0" borderId="1" applyAlignment="1" pivotButton="0" quotePrefix="0" xfId="5">
      <alignment horizontal="center" vertical="center"/>
    </xf>
    <xf numFmtId="0" fontId="23" fillId="0" borderId="5" applyAlignment="1" pivotButton="0" quotePrefix="0" xfId="5">
      <alignment horizontal="center"/>
    </xf>
    <xf numFmtId="0" fontId="13" fillId="0" borderId="1" pivotButton="0" quotePrefix="0" xfId="5"/>
    <xf numFmtId="0" fontId="10" fillId="0" borderId="0" applyAlignment="1" pivotButton="0" quotePrefix="0" xfId="5">
      <alignment horizontal="center" vertical="top" textRotation="90"/>
    </xf>
    <xf numFmtId="0" fontId="10" fillId="0" borderId="0" applyAlignment="1" pivotButton="0" quotePrefix="0" xfId="5">
      <alignment textRotation="90"/>
    </xf>
    <xf numFmtId="0" fontId="0" fillId="0" borderId="25" pivotButton="0" quotePrefix="0" xfId="0"/>
    <xf numFmtId="14" fontId="0" fillId="0" borderId="26" applyAlignment="1" pivotButton="0" quotePrefix="0" xfId="0">
      <alignment vertical="top"/>
    </xf>
    <xf numFmtId="14" fontId="0" fillId="0" borderId="6" applyAlignment="1" pivotButton="0" quotePrefix="0" xfId="0">
      <alignment vertical="top"/>
    </xf>
    <xf numFmtId="14" fontId="0" fillId="0" borderId="27" applyAlignment="1" pivotButton="0" quotePrefix="0" xfId="0">
      <alignment vertical="top"/>
    </xf>
    <xf numFmtId="164" fontId="9" fillId="5" borderId="1" pivotButton="0" quotePrefix="0" xfId="5"/>
    <xf numFmtId="0" fontId="23" fillId="3" borderId="1" applyAlignment="1" pivotButton="0" quotePrefix="0" xfId="5">
      <alignment horizontal="left"/>
    </xf>
    <xf numFmtId="164" fontId="9" fillId="2" borderId="1" pivotButton="0" quotePrefix="0" xfId="5"/>
    <xf numFmtId="164" fontId="9" fillId="5" borderId="2" pivotButton="0" quotePrefix="0" xfId="5"/>
    <xf numFmtId="0" fontId="8" fillId="0" borderId="0" pivotButton="0" quotePrefix="0" xfId="5"/>
    <xf numFmtId="49" fontId="18" fillId="0" borderId="0" pivotButton="0" quotePrefix="0" xfId="5"/>
    <xf numFmtId="164" fontId="23" fillId="2" borderId="1" applyAlignment="1" pivotButton="0" quotePrefix="0" xfId="5">
      <alignment horizontal="center" vertical="center"/>
    </xf>
    <xf numFmtId="164" fontId="35" fillId="2" borderId="1" applyAlignment="1" pivotButton="0" quotePrefix="0" xfId="6">
      <alignment horizontal="center" vertical="center"/>
    </xf>
    <xf numFmtId="164" fontId="34" fillId="2" borderId="1" applyAlignment="1" pivotButton="0" quotePrefix="0" xfId="6">
      <alignment horizontal="center" vertical="center"/>
    </xf>
    <xf numFmtId="164" fontId="9" fillId="2" borderId="6" pivotButton="0" quotePrefix="0" xfId="5"/>
    <xf numFmtId="43" fontId="7" fillId="0" borderId="0" pivotButton="0" quotePrefix="0" xfId="10"/>
    <xf numFmtId="43" fontId="18" fillId="0" borderId="0" pivotButton="0" quotePrefix="0" xfId="10"/>
    <xf numFmtId="164" fontId="36" fillId="2" borderId="1" applyAlignment="1" applyProtection="1" pivotButton="0" quotePrefix="0" xfId="5">
      <alignment horizontal="center"/>
      <protection locked="0" hidden="0"/>
    </xf>
    <xf numFmtId="0" fontId="24" fillId="0" borderId="0" applyAlignment="1" pivotButton="0" quotePrefix="0" xfId="5">
      <alignment horizontal="center"/>
    </xf>
    <xf numFmtId="0" fontId="22" fillId="0" borderId="0" applyAlignment="1" pivotButton="0" quotePrefix="0" xfId="0">
      <alignment horizontal="center" textRotation="90"/>
    </xf>
    <xf numFmtId="164" fontId="35" fillId="2" borderId="1" applyAlignment="1" pivotButton="0" quotePrefix="0" xfId="6">
      <alignment horizontal="center"/>
    </xf>
    <xf numFmtId="164" fontId="34" fillId="2" borderId="1" applyAlignment="1" pivotButton="0" quotePrefix="0" xfId="6">
      <alignment horizontal="center"/>
    </xf>
    <xf numFmtId="164" fontId="27" fillId="5" borderId="1" pivotButton="0" quotePrefix="0" xfId="10"/>
    <xf numFmtId="164" fontId="27" fillId="6" borderId="1" pivotButton="0" quotePrefix="0" xfId="10"/>
    <xf numFmtId="165" fontId="5" fillId="3" borderId="1" applyAlignment="1" pivotButton="0" quotePrefix="0" xfId="5">
      <alignment horizontal="left"/>
    </xf>
    <xf numFmtId="164" fontId="4" fillId="5" borderId="2" pivotButton="0" quotePrefix="0" xfId="5"/>
    <xf numFmtId="164" fontId="36" fillId="2" borderId="2" applyAlignment="1" applyProtection="1" pivotButton="0" quotePrefix="0" xfId="5">
      <alignment horizontal="center"/>
      <protection locked="0" hidden="0"/>
    </xf>
    <xf numFmtId="165" fontId="3" fillId="3" borderId="1" applyAlignment="1" pivotButton="0" quotePrefix="0" xfId="5">
      <alignment horizontal="left"/>
    </xf>
    <xf numFmtId="49" fontId="14" fillId="0" borderId="28" applyAlignment="1" pivotButton="0" quotePrefix="0" xfId="5">
      <alignment horizontal="right"/>
    </xf>
    <xf numFmtId="0" fontId="23" fillId="12" borderId="3" applyAlignment="1" pivotButton="0" quotePrefix="0" xfId="5">
      <alignment wrapText="1"/>
    </xf>
    <xf numFmtId="14" fontId="23" fillId="3" borderId="1" applyAlignment="1" pivotButton="0" quotePrefix="0" xfId="5">
      <alignment horizontal="left"/>
    </xf>
    <xf numFmtId="0" fontId="30" fillId="0" borderId="0" applyAlignment="1" pivotButton="0" quotePrefix="0" xfId="0">
      <alignment horizontal="center"/>
    </xf>
    <xf numFmtId="165" fontId="2" fillId="3" borderId="1" applyAlignment="1" pivotButton="0" quotePrefix="0" xfId="5">
      <alignment horizontal="left"/>
    </xf>
    <xf numFmtId="0" fontId="13" fillId="9" borderId="1" pivotButton="0" quotePrefix="0" xfId="5"/>
    <xf numFmtId="0" fontId="23" fillId="9" borderId="1" applyAlignment="1" pivotButton="0" quotePrefix="0" xfId="5">
      <alignment horizontal="left"/>
    </xf>
    <xf numFmtId="0" fontId="33" fillId="9" borderId="3" applyAlignment="1" pivotButton="0" quotePrefix="0" xfId="0">
      <alignment horizontal="center" wrapText="1"/>
    </xf>
    <xf numFmtId="0" fontId="27" fillId="9" borderId="1" pivotButton="0" quotePrefix="0" xfId="0"/>
    <xf numFmtId="0" fontId="27" fillId="9" borderId="1" applyAlignment="1" pivotButton="0" quotePrefix="0" xfId="0">
      <alignment horizontal="left"/>
    </xf>
    <xf numFmtId="9" fontId="27" fillId="9" borderId="1" pivotButton="0" quotePrefix="0" xfId="8"/>
    <xf numFmtId="9" fontId="2" fillId="3" borderId="1" applyAlignment="1" pivotButton="0" quotePrefix="0" xfId="8">
      <alignment horizontal="center"/>
    </xf>
    <xf numFmtId="0" fontId="33" fillId="3" borderId="3" applyAlignment="1" pivotButton="0" quotePrefix="0" xfId="0">
      <alignment horizontal="center" wrapText="1"/>
    </xf>
    <xf numFmtId="0" fontId="41" fillId="0" borderId="4" applyAlignment="1" pivotButton="0" quotePrefix="0" xfId="0">
      <alignment horizontal="center" vertical="center" textRotation="90" wrapText="1"/>
    </xf>
    <xf numFmtId="49" fontId="2" fillId="3" borderId="1" applyAlignment="1" pivotButton="0" quotePrefix="0" xfId="5">
      <alignment horizontal="left"/>
    </xf>
    <xf numFmtId="164" fontId="40" fillId="2" borderId="7" applyAlignment="1" applyProtection="1" pivotButton="0" quotePrefix="0" xfId="10">
      <alignment horizontal="center" vertical="top"/>
      <protection locked="0" hidden="0"/>
    </xf>
    <xf numFmtId="0" fontId="41" fillId="0" borderId="12" applyAlignment="1" pivotButton="0" quotePrefix="0" xfId="0">
      <alignment horizontal="center"/>
    </xf>
    <xf numFmtId="0" fontId="41" fillId="0" borderId="4" applyAlignment="1" pivotButton="0" quotePrefix="0" xfId="0">
      <alignment horizontal="center"/>
    </xf>
    <xf numFmtId="0" fontId="41" fillId="0" borderId="0" applyAlignment="1" pivotButton="0" quotePrefix="0" xfId="0">
      <alignment horizontal="center"/>
    </xf>
    <xf numFmtId="0" fontId="41" fillId="0" borderId="0" pivotButton="0" quotePrefix="0" xfId="0"/>
    <xf numFmtId="166" fontId="27" fillId="5" borderId="1" pivotButton="0" quotePrefix="0" xfId="8"/>
    <xf numFmtId="164" fontId="40" fillId="3" borderId="7" applyAlignment="1" pivotButton="0" quotePrefix="0" xfId="10">
      <alignment horizontal="center" vertical="top"/>
    </xf>
    <xf numFmtId="164" fontId="40" fillId="3" borderId="1" applyAlignment="1" pivotButton="0" quotePrefix="0" xfId="10">
      <alignment horizontal="center" vertical="top"/>
    </xf>
    <xf numFmtId="9" fontId="27" fillId="9" borderId="1" applyAlignment="1" pivotButton="0" quotePrefix="0" xfId="8">
      <alignment horizontal="center"/>
    </xf>
    <xf numFmtId="165" fontId="27" fillId="9" borderId="1" pivotButton="0" quotePrefix="0" xfId="0"/>
    <xf numFmtId="165" fontId="27" fillId="9" borderId="1" applyAlignment="1" pivotButton="0" quotePrefix="0" xfId="0">
      <alignment horizontal="left"/>
    </xf>
    <xf numFmtId="164" fontId="27" fillId="3" borderId="1" pivotButton="0" quotePrefix="0" xfId="10"/>
    <xf numFmtId="164" fontId="27" fillId="7" borderId="1" pivotButton="0" quotePrefix="0" xfId="10"/>
    <xf numFmtId="164" fontId="40" fillId="9" borderId="7" applyAlignment="1" pivotButton="0" quotePrefix="0" xfId="10">
      <alignment horizontal="center" vertical="top"/>
    </xf>
    <xf numFmtId="164" fontId="27" fillId="9" borderId="1" pivotButton="0" quotePrefix="0" xfId="10"/>
    <xf numFmtId="166" fontId="27" fillId="5" borderId="1" pivotButton="0" quotePrefix="0" xfId="8"/>
    <xf numFmtId="164" fontId="40" fillId="9" borderId="1" applyAlignment="1" pivotButton="0" quotePrefix="0" xfId="10">
      <alignment horizontal="center" vertical="top"/>
    </xf>
    <xf numFmtId="166" fontId="2" fillId="3" borderId="1" applyAlignment="1" pivotButton="0" quotePrefix="0" xfId="8">
      <alignment horizontal="center"/>
    </xf>
    <xf numFmtId="165" fontId="2" fillId="3" borderId="1" applyAlignment="1" pivotButton="0" quotePrefix="0" xfId="5">
      <alignment horizontal="left" wrapText="1"/>
    </xf>
    <xf numFmtId="49" fontId="18" fillId="0" borderId="0" applyAlignment="1" pivotButton="0" quotePrefix="0" xfId="5">
      <alignment horizontal="center"/>
    </xf>
    <xf numFmtId="164" fontId="11" fillId="0" borderId="0" pivotButton="0" quotePrefix="0" xfId="5"/>
    <xf numFmtId="11" fontId="0" fillId="0" borderId="0" pivotButton="0" quotePrefix="0" xfId="0"/>
    <xf numFmtId="164" fontId="20" fillId="12" borderId="1" pivotButton="0" quotePrefix="0" xfId="6"/>
    <xf numFmtId="167" fontId="20" fillId="2" borderId="1" applyAlignment="1" pivotButton="0" quotePrefix="0" xfId="6">
      <alignment horizontal="right"/>
    </xf>
    <xf numFmtId="167" fontId="20" fillId="2" borderId="1" applyAlignment="1" applyProtection="1" pivotButton="0" quotePrefix="0" xfId="6">
      <alignment horizontal="right"/>
      <protection locked="0" hidden="0"/>
    </xf>
    <xf numFmtId="0" fontId="23" fillId="7" borderId="1" applyAlignment="1" pivotButton="0" quotePrefix="0" xfId="5">
      <alignment horizontal="center" wrapText="1"/>
    </xf>
    <xf numFmtId="0" fontId="23" fillId="12" borderId="1" applyAlignment="1" pivotButton="0" quotePrefix="0" xfId="5">
      <alignment horizontal="center" wrapText="1"/>
    </xf>
    <xf numFmtId="0" fontId="22" fillId="0" borderId="12" applyAlignment="1" pivotButton="0" quotePrefix="0" xfId="0">
      <alignment horizontal="center"/>
    </xf>
    <xf numFmtId="0" fontId="23" fillId="5" borderId="1" applyAlignment="1" pivotButton="0" quotePrefix="0" xfId="5">
      <alignment horizontal="center" wrapText="1"/>
    </xf>
    <xf numFmtId="0" fontId="23" fillId="6" borderId="1" applyAlignment="1" pivotButton="0" quotePrefix="0" xfId="5">
      <alignment horizontal="center" wrapText="1"/>
    </xf>
    <xf numFmtId="0" fontId="27" fillId="3" borderId="1" pivotButton="0" quotePrefix="0" xfId="0"/>
    <xf numFmtId="0" fontId="27" fillId="3" borderId="1" applyAlignment="1" pivotButton="0" quotePrefix="0" xfId="0">
      <alignment horizontal="left"/>
    </xf>
    <xf numFmtId="9" fontId="27" fillId="3" borderId="1" pivotButton="0" quotePrefix="0" xfId="8"/>
    <xf numFmtId="0" fontId="27" fillId="7" borderId="1" pivotButton="0" quotePrefix="0" xfId="0"/>
    <xf numFmtId="14" fontId="27" fillId="7" borderId="1" pivotButton="0" quotePrefix="0" xfId="0"/>
    <xf numFmtId="165" fontId="27" fillId="3" borderId="1" pivotButton="0" quotePrefix="0" xfId="0"/>
    <xf numFmtId="165" fontId="27" fillId="3" borderId="1" applyAlignment="1" pivotButton="0" quotePrefix="0" xfId="0">
      <alignment horizontal="left"/>
    </xf>
    <xf numFmtId="166" fontId="27" fillId="3" borderId="1" pivotButton="0" quotePrefix="0" xfId="8"/>
    <xf numFmtId="164" fontId="27" fillId="7" borderId="1" pivotButton="0" quotePrefix="0" xfId="0"/>
    <xf numFmtId="9" fontId="0" fillId="0" borderId="0" pivotButton="0" quotePrefix="0" xfId="8"/>
    <xf numFmtId="0" fontId="6" fillId="0" borderId="0" applyAlignment="1" applyProtection="1" pivotButton="0" quotePrefix="0" xfId="5">
      <alignment horizontal="center" textRotation="90"/>
      <protection locked="1" hidden="1"/>
    </xf>
    <xf numFmtId="164" fontId="9" fillId="2" borderId="2" applyAlignment="1" applyProtection="1" pivotButton="0" quotePrefix="0" xfId="5">
      <alignment horizontal="center"/>
      <protection locked="0" hidden="0"/>
    </xf>
    <xf numFmtId="0" fontId="18" fillId="0" borderId="0" applyAlignment="1" pivotButton="0" quotePrefix="0" xfId="5">
      <alignment horizontal="center"/>
    </xf>
    <xf numFmtId="14" fontId="18" fillId="0" borderId="0" applyAlignment="1" pivotButton="0" quotePrefix="0" xfId="5">
      <alignment horizontal="center"/>
    </xf>
    <xf numFmtId="165" fontId="9" fillId="2" borderId="2" applyAlignment="1" applyProtection="1" pivotButton="0" quotePrefix="0" xfId="5">
      <alignment horizontal="center"/>
      <protection locked="0" hidden="0"/>
    </xf>
    <xf numFmtId="9" fontId="4" fillId="5" borderId="2" pivotButton="0" quotePrefix="0" xfId="5"/>
    <xf numFmtId="0" fontId="1" fillId="9" borderId="1" pivotButton="0" quotePrefix="0" xfId="5"/>
    <xf numFmtId="0" fontId="1" fillId="9" borderId="1" applyAlignment="1" pivotButton="0" quotePrefix="0" xfId="5">
      <alignment horizontal="left"/>
    </xf>
    <xf numFmtId="0" fontId="1" fillId="0" borderId="1" applyProtection="1" pivotButton="0" quotePrefix="0" xfId="5">
      <protection locked="0" hidden="0"/>
    </xf>
    <xf numFmtId="164" fontId="1" fillId="5" borderId="1" pivotButton="0" quotePrefix="0" xfId="5"/>
    <xf numFmtId="164" fontId="1" fillId="5" borderId="2" pivotButton="0" quotePrefix="0" xfId="5"/>
    <xf numFmtId="164" fontId="1" fillId="2" borderId="2" applyAlignment="1" applyProtection="1" pivotButton="0" quotePrefix="0" xfId="5">
      <alignment horizontal="center"/>
      <protection locked="0" hidden="0"/>
    </xf>
    <xf numFmtId="164" fontId="1" fillId="2" borderId="6" applyAlignment="1" applyProtection="1" pivotButton="0" quotePrefix="0" xfId="5">
      <alignment vertical="top" wrapText="1"/>
      <protection locked="0" hidden="0"/>
    </xf>
    <xf numFmtId="164" fontId="1" fillId="2" borderId="1" applyProtection="1" pivotButton="0" quotePrefix="0" xfId="5">
      <protection locked="0" hidden="0"/>
    </xf>
    <xf numFmtId="164" fontId="1" fillId="2" borderId="1" applyAlignment="1" pivotButton="0" quotePrefix="0" xfId="5">
      <alignment horizontal="center" vertical="center"/>
    </xf>
    <xf numFmtId="0" fontId="1" fillId="0" borderId="0" pivotButton="0" quotePrefix="0" xfId="5"/>
    <xf numFmtId="49" fontId="1" fillId="0" borderId="0" pivotButton="0" quotePrefix="0" xfId="5"/>
    <xf numFmtId="49" fontId="1" fillId="0" borderId="0" applyProtection="1" pivotButton="0" quotePrefix="0" xfId="5">
      <protection locked="0" hidden="0"/>
    </xf>
    <xf numFmtId="164" fontId="1" fillId="0" borderId="0" pivotButton="0" quotePrefix="0" xfId="5"/>
    <xf numFmtId="0" fontId="1" fillId="0" borderId="0" applyProtection="1" pivotButton="0" quotePrefix="0" xfId="5">
      <protection locked="0" hidden="0"/>
    </xf>
    <xf numFmtId="49" fontId="1" fillId="0" borderId="0" applyAlignment="1" pivotButton="0" quotePrefix="0" xfId="5">
      <alignment horizontal="center"/>
    </xf>
    <xf numFmtId="43" fontId="1" fillId="0" borderId="0" pivotButton="0" quotePrefix="0" xfId="10"/>
    <xf numFmtId="164" fontId="1" fillId="2" borderId="1" applyAlignment="1" applyProtection="1" pivotButton="0" quotePrefix="0" xfId="5">
      <alignment vertical="top"/>
      <protection locked="0" hidden="0"/>
    </xf>
    <xf numFmtId="3" fontId="1" fillId="0" borderId="0" pivotButton="0" quotePrefix="0" xfId="5"/>
    <xf numFmtId="0" fontId="1" fillId="9" borderId="1" applyAlignment="1" pivotButton="0" quotePrefix="0" xfId="5">
      <alignment horizontal="right"/>
    </xf>
    <xf numFmtId="164" fontId="1" fillId="2" borderId="6" applyProtection="1" pivotButton="0" quotePrefix="0" xfId="5">
      <protection locked="0" hidden="0"/>
    </xf>
    <xf numFmtId="0" fontId="1" fillId="3" borderId="1" pivotButton="0" quotePrefix="0" xfId="5"/>
    <xf numFmtId="0" fontId="1" fillId="3" borderId="1" applyAlignment="1" pivotButton="0" quotePrefix="0" xfId="5">
      <alignment horizontal="left"/>
    </xf>
    <xf numFmtId="165" fontId="1" fillId="2" borderId="2" applyAlignment="1" applyProtection="1" pivotButton="0" quotePrefix="0" xfId="5">
      <alignment horizontal="center"/>
      <protection locked="0" hidden="0"/>
    </xf>
    <xf numFmtId="14" fontId="1" fillId="3" borderId="1" applyAlignment="1" pivotButton="0" quotePrefix="0" xfId="5">
      <alignment horizontal="right"/>
    </xf>
    <xf numFmtId="0" fontId="1" fillId="3" borderId="1" applyAlignment="1" pivotButton="0" quotePrefix="0" xfId="5">
      <alignment horizontal="right"/>
    </xf>
    <xf numFmtId="167" fontId="16" fillId="11" borderId="11" applyProtection="1" pivotButton="0" quotePrefix="0" xfId="5">
      <protection locked="0" hidden="0"/>
    </xf>
    <xf numFmtId="165" fontId="1" fillId="3" borderId="1" pivotButton="0" quotePrefix="0" xfId="5"/>
    <xf numFmtId="165" fontId="1" fillId="3" borderId="1" applyAlignment="1" pivotButton="0" quotePrefix="0" xfId="5">
      <alignment horizontal="left"/>
    </xf>
    <xf numFmtId="9" fontId="1" fillId="5" borderId="2" pivotButton="0" quotePrefix="0" xfId="5"/>
    <xf numFmtId="165" fontId="1" fillId="3" borderId="1" applyAlignment="1" pivotButton="0" quotePrefix="0" xfId="5">
      <alignment horizontal="right"/>
    </xf>
    <xf numFmtId="0" fontId="24" fillId="0" borderId="0" applyAlignment="1" pivotButton="0" quotePrefix="0" xfId="5">
      <alignment horizontal="center"/>
    </xf>
    <xf numFmtId="0" fontId="23" fillId="7" borderId="7" applyAlignment="1" pivotButton="0" quotePrefix="0" xfId="5">
      <alignment horizontal="center" wrapText="1"/>
    </xf>
    <xf numFmtId="0" fontId="23" fillId="7" borderId="4" applyAlignment="1" pivotButton="0" quotePrefix="0" xfId="5">
      <alignment horizontal="center" wrapText="1"/>
    </xf>
    <xf numFmtId="0" fontId="23" fillId="7" borderId="3" applyAlignment="1" pivotButton="0" quotePrefix="0" xfId="5">
      <alignment horizontal="center" wrapText="1"/>
    </xf>
    <xf numFmtId="0" fontId="23" fillId="6" borderId="4" applyAlignment="1" pivotButton="0" quotePrefix="0" xfId="5">
      <alignment horizontal="center" wrapText="1"/>
    </xf>
    <xf numFmtId="0" fontId="23" fillId="6" borderId="3" applyAlignment="1" pivotButton="0" quotePrefix="0" xfId="5">
      <alignment horizontal="center" wrapText="1"/>
    </xf>
    <xf numFmtId="0" fontId="23" fillId="5" borderId="7" applyAlignment="1" pivotButton="0" quotePrefix="0" xfId="5">
      <alignment horizontal="center" wrapText="1"/>
    </xf>
    <xf numFmtId="0" fontId="23" fillId="5" borderId="4" applyAlignment="1" pivotButton="0" quotePrefix="0" xfId="5">
      <alignment horizontal="center" wrapText="1"/>
    </xf>
    <xf numFmtId="0" fontId="23" fillId="5" borderId="3" applyAlignment="1" pivotButton="0" quotePrefix="0" xfId="5">
      <alignment horizontal="center" wrapText="1"/>
    </xf>
    <xf numFmtId="0" fontId="23" fillId="4" borderId="2" applyAlignment="1" pivotButton="0" quotePrefix="0" xfId="5">
      <alignment horizontal="center"/>
    </xf>
    <xf numFmtId="0" fontId="23" fillId="4" borderId="5" applyAlignment="1" pivotButton="0" quotePrefix="0" xfId="5">
      <alignment horizontal="center"/>
    </xf>
    <xf numFmtId="0" fontId="23" fillId="2" borderId="7" applyAlignment="1" pivotButton="0" quotePrefix="0" xfId="5">
      <alignment horizontal="center" textRotation="90" wrapText="1"/>
    </xf>
    <xf numFmtId="0" fontId="23" fillId="2" borderId="4" applyAlignment="1" pivotButton="0" quotePrefix="0" xfId="5">
      <alignment horizontal="center" textRotation="90" wrapText="1"/>
    </xf>
    <xf numFmtId="0" fontId="23" fillId="2" borderId="7" applyAlignment="1" pivotButton="0" quotePrefix="0" xfId="5">
      <alignment horizontal="center" wrapText="1"/>
    </xf>
    <xf numFmtId="0" fontId="23" fillId="2" borderId="4" applyAlignment="1" pivotButton="0" quotePrefix="0" xfId="5">
      <alignment horizontal="center" wrapText="1"/>
    </xf>
    <xf numFmtId="0" fontId="23" fillId="2" borderId="3" applyAlignment="1" pivotButton="0" quotePrefix="0" xfId="5">
      <alignment horizontal="center" wrapText="1"/>
    </xf>
    <xf numFmtId="0" fontId="23" fillId="6" borderId="7" applyAlignment="1" pivotButton="0" quotePrefix="0" xfId="5">
      <alignment horizontal="center" wrapText="1"/>
    </xf>
    <xf numFmtId="0" fontId="23" fillId="2" borderId="3" applyAlignment="1" pivotButton="0" quotePrefix="0" xfId="5">
      <alignment horizontal="center" textRotation="90" wrapText="1"/>
    </xf>
    <xf numFmtId="0" fontId="23" fillId="8" borderId="4" applyAlignment="1" pivotButton="0" quotePrefix="0" xfId="5">
      <alignment horizontal="center" wrapText="1"/>
    </xf>
    <xf numFmtId="0" fontId="23" fillId="8" borderId="3" applyAlignment="1" pivotButton="0" quotePrefix="0" xfId="5">
      <alignment horizontal="center" wrapText="1"/>
    </xf>
    <xf numFmtId="0" fontId="23" fillId="4" borderId="6" applyAlignment="1" pivotButton="0" quotePrefix="0" xfId="5">
      <alignment horizontal="center"/>
    </xf>
    <xf numFmtId="0" fontId="23" fillId="9" borderId="7" applyAlignment="1" pivotButton="0" quotePrefix="0" xfId="5">
      <alignment horizontal="center" wrapText="1"/>
    </xf>
    <xf numFmtId="0" fontId="23" fillId="9" borderId="4" applyAlignment="1" pivotButton="0" quotePrefix="0" xfId="5">
      <alignment horizontal="center" wrapText="1"/>
    </xf>
    <xf numFmtId="0" fontId="23" fillId="9" borderId="3" applyAlignment="1" pivotButton="0" quotePrefix="0" xfId="5">
      <alignment horizontal="center" wrapText="1"/>
    </xf>
    <xf numFmtId="0" fontId="23" fillId="0" borderId="7" applyAlignment="1" pivotButton="0" quotePrefix="0" xfId="5">
      <alignment horizontal="center" wrapText="1"/>
    </xf>
    <xf numFmtId="0" fontId="23" fillId="0" borderId="4" applyAlignment="1" pivotButton="0" quotePrefix="0" xfId="5">
      <alignment horizontal="center" wrapText="1"/>
    </xf>
    <xf numFmtId="0" fontId="23" fillId="0" borderId="3" applyAlignment="1" pivotButton="0" quotePrefix="0" xfId="5">
      <alignment horizontal="center" wrapText="1"/>
    </xf>
    <xf numFmtId="0" fontId="23" fillId="3" borderId="2" applyAlignment="1" pivotButton="0" quotePrefix="0" xfId="5">
      <alignment horizontal="center"/>
    </xf>
    <xf numFmtId="0" fontId="23" fillId="3" borderId="5" applyAlignment="1" pivotButton="0" quotePrefix="0" xfId="5">
      <alignment horizontal="center"/>
    </xf>
    <xf numFmtId="0" fontId="23" fillId="3" borderId="6" applyAlignment="1" pivotButton="0" quotePrefix="0" xfId="5">
      <alignment horizontal="center"/>
    </xf>
    <xf numFmtId="0" fontId="23" fillId="4" borderId="1" applyAlignment="1" pivotButton="0" quotePrefix="0" xfId="5">
      <alignment horizontal="center"/>
    </xf>
    <xf numFmtId="0" fontId="23" fillId="8" borderId="7" applyAlignment="1" pivotButton="0" quotePrefix="0" xfId="5">
      <alignment horizontal="center" wrapText="1"/>
    </xf>
    <xf numFmtId="0" fontId="23" fillId="10" borderId="7" applyAlignment="1" pivotButton="0" quotePrefix="0" xfId="5">
      <alignment horizontal="center" wrapText="1"/>
    </xf>
    <xf numFmtId="0" fontId="23" fillId="10" borderId="4" applyAlignment="1" pivotButton="0" quotePrefix="0" xfId="5">
      <alignment horizontal="center" wrapText="1"/>
    </xf>
    <xf numFmtId="0" fontId="23" fillId="10" borderId="3" applyAlignment="1" pivotButton="0" quotePrefix="0" xfId="5">
      <alignment horizontal="center" wrapText="1"/>
    </xf>
    <xf numFmtId="0" fontId="23" fillId="7" borderId="1" applyAlignment="1" pivotButton="0" quotePrefix="0" xfId="5">
      <alignment horizontal="center" wrapText="1"/>
    </xf>
    <xf numFmtId="0" fontId="23" fillId="3" borderId="7" applyAlignment="1" pivotButton="0" quotePrefix="0" xfId="5">
      <alignment horizontal="center" wrapText="1"/>
    </xf>
    <xf numFmtId="0" fontId="23" fillId="3" borderId="4" applyAlignment="1" pivotButton="0" quotePrefix="0" xfId="5">
      <alignment horizontal="center" wrapText="1"/>
    </xf>
    <xf numFmtId="0" fontId="23" fillId="3" borderId="3" applyAlignment="1" pivotButton="0" quotePrefix="0" xfId="5">
      <alignment horizontal="center" wrapText="1"/>
    </xf>
    <xf numFmtId="0" fontId="23" fillId="12" borderId="1" applyAlignment="1" pivotButton="0" quotePrefix="0" xfId="5">
      <alignment horizontal="center" wrapText="1"/>
    </xf>
    <xf numFmtId="0" fontId="22" fillId="4" borderId="2" applyAlignment="1" pivotButton="0" quotePrefix="0" xfId="0">
      <alignment horizontal="center"/>
    </xf>
    <xf numFmtId="0" fontId="22" fillId="4" borderId="5" applyAlignment="1" pivotButton="0" quotePrefix="0" xfId="0">
      <alignment horizontal="center"/>
    </xf>
    <xf numFmtId="0" fontId="22" fillId="4" borderId="6" applyAlignment="1" pivotButton="0" quotePrefix="0" xfId="0">
      <alignment horizontal="center"/>
    </xf>
    <xf numFmtId="0" fontId="42" fillId="9" borderId="2" applyAlignment="1" pivotButton="0" quotePrefix="0" xfId="0">
      <alignment horizontal="center"/>
    </xf>
    <xf numFmtId="0" fontId="42" fillId="9" borderId="5" applyAlignment="1" pivotButton="0" quotePrefix="0" xfId="0">
      <alignment horizontal="center"/>
    </xf>
    <xf numFmtId="0" fontId="42" fillId="9" borderId="6" applyAlignment="1" pivotButton="0" quotePrefix="0" xfId="0">
      <alignment horizontal="center"/>
    </xf>
    <xf numFmtId="0" fontId="42" fillId="9" borderId="5" applyAlignment="1" pivotButton="0" quotePrefix="0" xfId="0">
      <alignment horizontal="left"/>
    </xf>
    <xf numFmtId="49" fontId="43" fillId="3" borderId="2" applyAlignment="1" pivotButton="0" quotePrefix="0" xfId="5">
      <alignment horizontal="center"/>
    </xf>
    <xf numFmtId="49" fontId="43" fillId="3" borderId="5" applyAlignment="1" pivotButton="0" quotePrefix="0" xfId="5">
      <alignment horizontal="center"/>
    </xf>
    <xf numFmtId="49" fontId="43" fillId="3" borderId="6" applyAlignment="1" pivotButton="0" quotePrefix="0" xfId="5">
      <alignment horizontal="center"/>
    </xf>
    <xf numFmtId="49" fontId="43" fillId="3" borderId="5" applyAlignment="1" pivotButton="0" quotePrefix="0" xfId="5">
      <alignment horizontal="left"/>
    </xf>
    <xf numFmtId="0" fontId="42" fillId="3" borderId="2" applyAlignment="1" pivotButton="0" quotePrefix="0" xfId="0">
      <alignment horizontal="center"/>
    </xf>
    <xf numFmtId="0" fontId="42" fillId="3" borderId="5" applyAlignment="1" pivotButton="0" quotePrefix="0" xfId="0">
      <alignment horizontal="center"/>
    </xf>
    <xf numFmtId="0" fontId="42" fillId="3" borderId="6" applyAlignment="1" pivotButton="0" quotePrefix="0" xfId="0">
      <alignment horizontal="center"/>
    </xf>
    <xf numFmtId="167" fontId="16" fillId="11" borderId="11" applyProtection="1" pivotButton="0" quotePrefix="0" xfId="5">
      <protection locked="0" hidden="0"/>
    </xf>
    <xf numFmtId="0" fontId="23" fillId="3" borderId="34" applyAlignment="1" pivotButton="0" quotePrefix="0" xfId="5">
      <alignment horizontal="center"/>
    </xf>
    <xf numFmtId="0" fontId="0" fillId="0" borderId="37" pivotButton="0" quotePrefix="0" xfId="0"/>
    <xf numFmtId="0" fontId="0" fillId="0" borderId="38" pivotButton="0" quotePrefix="0" xfId="0"/>
    <xf numFmtId="0" fontId="23" fillId="4" borderId="34" applyAlignment="1" pivotButton="0" quotePrefix="0" xfId="5">
      <alignment horizontal="center"/>
    </xf>
    <xf numFmtId="0" fontId="0" fillId="0" borderId="40" pivotButton="0" quotePrefix="0" xfId="0"/>
    <xf numFmtId="0" fontId="23" fillId="9" borderId="30" applyAlignment="1" pivotButton="0" quotePrefix="0" xfId="5">
      <alignment horizontal="center" wrapText="1"/>
    </xf>
    <xf numFmtId="0" fontId="23" fillId="0" borderId="30" applyAlignment="1" pivotButton="0" quotePrefix="0" xfId="5">
      <alignment horizontal="center" wrapText="1"/>
    </xf>
    <xf numFmtId="0" fontId="23" fillId="5" borderId="30" applyAlignment="1" pivotButton="0" quotePrefix="0" xfId="5">
      <alignment horizontal="center" wrapText="1"/>
    </xf>
    <xf numFmtId="0" fontId="23" fillId="2" borderId="30" applyAlignment="1" pivotButton="0" quotePrefix="0" xfId="5">
      <alignment horizontal="center" textRotation="90" wrapText="1"/>
    </xf>
    <xf numFmtId="0" fontId="23" fillId="2" borderId="30" applyAlignment="1" pivotButton="0" quotePrefix="0" xfId="5">
      <alignment horizontal="center" wrapText="1"/>
    </xf>
    <xf numFmtId="0" fontId="23" fillId="6" borderId="30" applyAlignment="1" pivotButton="0" quotePrefix="0" xfId="5">
      <alignment horizontal="center" wrapText="1"/>
    </xf>
    <xf numFmtId="0" fontId="23" fillId="7" borderId="30" applyAlignment="1" pivotButton="0" quotePrefix="0" xfId="5">
      <alignment horizontal="center" wrapText="1"/>
    </xf>
    <xf numFmtId="0" fontId="23" fillId="8" borderId="30" applyAlignment="1" pivotButton="0" quotePrefix="0" xfId="5">
      <alignment horizontal="center" wrapText="1"/>
    </xf>
    <xf numFmtId="0" fontId="23" fillId="10" borderId="30" applyAlignment="1" pivotButton="0" quotePrefix="0" xfId="5">
      <alignment horizontal="center" wrapText="1"/>
    </xf>
    <xf numFmtId="0" fontId="0" fillId="0" borderId="32" pivotButton="0" quotePrefix="0" xfId="0"/>
    <xf numFmtId="0" fontId="0" fillId="0" borderId="4" pivotButton="0" quotePrefix="0" xfId="0"/>
    <xf numFmtId="0" fontId="0" fillId="0" borderId="33" pivotButton="0" quotePrefix="0" xfId="0"/>
    <xf numFmtId="0" fontId="0" fillId="0" borderId="3" pivotButton="0" quotePrefix="0" xfId="0"/>
    <xf numFmtId="167" fontId="20" fillId="2" borderId="1" applyAlignment="1" pivotButton="0" quotePrefix="0" xfId="6">
      <alignment horizontal="right"/>
    </xf>
    <xf numFmtId="167" fontId="20" fillId="2" borderId="1" applyAlignment="1" applyProtection="1" pivotButton="0" quotePrefix="0" xfId="6">
      <alignment horizontal="right"/>
      <protection locked="0" hidden="0"/>
    </xf>
    <xf numFmtId="0" fontId="23" fillId="3" borderId="30" applyAlignment="1" pivotButton="0" quotePrefix="0" xfId="5">
      <alignment horizontal="center" wrapText="1"/>
    </xf>
    <xf numFmtId="165" fontId="9" fillId="2" borderId="2" applyAlignment="1" applyProtection="1" pivotButton="0" quotePrefix="0" xfId="5">
      <alignment horizontal="center"/>
      <protection locked="0" hidden="0"/>
    </xf>
    <xf numFmtId="165" fontId="1" fillId="2" borderId="2" applyAlignment="1" applyProtection="1" pivotButton="0" quotePrefix="0" xfId="5">
      <alignment horizontal="center"/>
      <protection locked="0" hidden="0"/>
    </xf>
    <xf numFmtId="0" fontId="0" fillId="0" borderId="5" pivotButton="0" quotePrefix="0" xfId="0"/>
    <xf numFmtId="0" fontId="0" fillId="0" borderId="6" pivotButton="0" quotePrefix="0" xfId="0"/>
    <xf numFmtId="165" fontId="5" fillId="3" borderId="1" applyAlignment="1" pivotButton="0" quotePrefix="0" xfId="5">
      <alignment horizontal="left"/>
    </xf>
    <xf numFmtId="165" fontId="3" fillId="3" borderId="1" applyAlignment="1" pivotButton="0" quotePrefix="0" xfId="5">
      <alignment horizontal="left"/>
    </xf>
    <xf numFmtId="165" fontId="1" fillId="3" borderId="1" pivotButton="0" quotePrefix="0" xfId="5"/>
    <xf numFmtId="165" fontId="1" fillId="3" borderId="1" applyAlignment="1" pivotButton="0" quotePrefix="0" xfId="5">
      <alignment horizontal="left"/>
    </xf>
    <xf numFmtId="165" fontId="1" fillId="3" borderId="1" applyAlignment="1" pivotButton="0" quotePrefix="0" xfId="5">
      <alignment horizontal="right"/>
    </xf>
    <xf numFmtId="0" fontId="22" fillId="4" borderId="34" applyAlignment="1" pivotButton="0" quotePrefix="0" xfId="0">
      <alignment horizontal="center"/>
    </xf>
    <xf numFmtId="166" fontId="27" fillId="5" borderId="1" pivotButton="0" quotePrefix="0" xfId="8"/>
    <xf numFmtId="0" fontId="42" fillId="9" borderId="34" applyAlignment="1" pivotButton="0" quotePrefix="0" xfId="0">
      <alignment horizontal="center"/>
    </xf>
    <xf numFmtId="165" fontId="27" fillId="9" borderId="1" applyAlignment="1" pivotButton="0" quotePrefix="0" xfId="0">
      <alignment horizontal="left"/>
    </xf>
    <xf numFmtId="165" fontId="27" fillId="9" borderId="1" pivotButton="0" quotePrefix="0" xfId="0"/>
    <xf numFmtId="49" fontId="43" fillId="3" borderId="34" applyAlignment="1" pivotButton="0" quotePrefix="0" xfId="5">
      <alignment horizontal="center"/>
    </xf>
    <xf numFmtId="166" fontId="2" fillId="3" borderId="1" applyAlignment="1" pivotButton="0" quotePrefix="0" xfId="8">
      <alignment horizontal="center"/>
    </xf>
    <xf numFmtId="165" fontId="2" fillId="3" borderId="1" applyAlignment="1" pivotButton="0" quotePrefix="0" xfId="5">
      <alignment horizontal="left"/>
    </xf>
    <xf numFmtId="165" fontId="2" fillId="3" borderId="1" applyAlignment="1" pivotButton="0" quotePrefix="0" xfId="5">
      <alignment horizontal="left" wrapText="1"/>
    </xf>
    <xf numFmtId="0" fontId="42" fillId="3" borderId="34" applyAlignment="1" pivotButton="0" quotePrefix="0" xfId="0">
      <alignment horizontal="center"/>
    </xf>
    <xf numFmtId="165" fontId="27" fillId="3" borderId="1" pivotButton="0" quotePrefix="0" xfId="0"/>
    <xf numFmtId="165" fontId="27" fillId="3" borderId="1" applyAlignment="1" pivotButton="0" quotePrefix="0" xfId="0">
      <alignment horizontal="left"/>
    </xf>
    <xf numFmtId="166" fontId="27" fillId="3" borderId="1" pivotButton="0" quotePrefix="0" xfId="8"/>
  </cellXfs>
  <cellStyles count="11">
    <cellStyle name="Normal" xfId="0" builtinId="0"/>
    <cellStyle name="Normal 2" xfId="1"/>
    <cellStyle name="Currency 2" xfId="2"/>
    <cellStyle name="Currency 3" xfId="3"/>
    <cellStyle name="Normal 3" xfId="4"/>
    <cellStyle name="Normal 4" xfId="5"/>
    <cellStyle name="Comma 2" xfId="6"/>
    <cellStyle name="Percent 2" xfId="7"/>
    <cellStyle name="Percent" xfId="8" builtinId="5"/>
    <cellStyle name="Hyperlink" xfId="9" builtinId="8"/>
    <cellStyle name="Comma" xfId="10" builtinId="3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WES@2024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E40"/>
  <sheetViews>
    <sheetView workbookViewId="0">
      <selection activeCell="C37" sqref="C37"/>
    </sheetView>
  </sheetViews>
  <sheetFormatPr baseColWidth="8" defaultRowHeight="13.2"/>
  <cols>
    <col width="26.109375" customWidth="1" min="2" max="2"/>
    <col width="64.88671875" customWidth="1" min="3" max="3"/>
    <col width="87.109375" customWidth="1" min="4" max="4"/>
  </cols>
  <sheetData>
    <row r="2">
      <c r="C2" s="1" t="n"/>
    </row>
    <row r="3" ht="14.4" customHeight="1">
      <c r="B3" s="1" t="inlineStr">
        <is>
          <t>Vista Server Name</t>
        </is>
      </c>
      <c r="C3" s="32" t="inlineStr">
        <is>
          <t>10.112.11.8</t>
        </is>
      </c>
      <c r="D3" s="21" t="inlineStr">
        <is>
          <t>Tstpri-vptst1</t>
        </is>
      </c>
      <c r="E3" t="inlineStr">
        <is>
          <t>VM111VPPRD1</t>
        </is>
      </c>
    </row>
    <row r="4">
      <c r="B4" s="1" t="inlineStr">
        <is>
          <t>Vista DBName</t>
        </is>
      </c>
      <c r="C4" s="1" t="inlineStr">
        <is>
          <t>Viewpoint</t>
        </is>
      </c>
    </row>
    <row r="5">
      <c r="B5" s="1" t="inlineStr">
        <is>
          <t>P&amp;P Server Name</t>
        </is>
      </c>
      <c r="C5" s="1" t="inlineStr">
        <is>
          <t>10.103.30.11</t>
        </is>
      </c>
      <c r="D5" s="1" t="inlineStr">
        <is>
          <t>10.103.30.5</t>
        </is>
      </c>
      <c r="E5" s="1" t="inlineStr">
        <is>
          <t>10.102.30.10</t>
        </is>
      </c>
    </row>
    <row r="6">
      <c r="B6" s="1" t="inlineStr">
        <is>
          <t>P&amp;P DBName</t>
        </is>
      </c>
      <c r="C6" s="1" t="inlineStr">
        <is>
          <t>PnpMain</t>
        </is>
      </c>
      <c r="D6" s="1" t="inlineStr">
        <is>
          <t>PnpMain</t>
        </is>
      </c>
    </row>
    <row r="7">
      <c r="B7" s="1" t="inlineStr">
        <is>
          <t>WIP DBName</t>
        </is>
      </c>
      <c r="C7" s="1" t="inlineStr">
        <is>
          <t>WipDb</t>
        </is>
      </c>
      <c r="D7" s="1" t="n"/>
    </row>
    <row r="8">
      <c r="B8" s="1" t="inlineStr">
        <is>
          <t>VP Username</t>
        </is>
      </c>
      <c r="C8" s="1" t="inlineStr">
        <is>
          <t>WIPexcel</t>
        </is>
      </c>
      <c r="D8" s="1" t="n"/>
    </row>
    <row r="9" ht="15.6" customHeight="1">
      <c r="B9" s="1" t="inlineStr">
        <is>
          <t>VP Password</t>
        </is>
      </c>
      <c r="C9" s="75" t="inlineStr">
        <is>
          <t>WIP@MR@2024</t>
        </is>
      </c>
      <c r="D9" s="18" t="n"/>
    </row>
    <row r="10">
      <c r="B10" s="1" t="inlineStr">
        <is>
          <t>P&amp;P Username</t>
        </is>
      </c>
      <c r="C10" s="1" t="inlineStr">
        <is>
          <t>wip.excel.sql</t>
        </is>
      </c>
      <c r="D10" s="1" t="n"/>
    </row>
    <row r="11">
      <c r="B11" s="1" t="inlineStr">
        <is>
          <t>P&amp;P Password</t>
        </is>
      </c>
      <c r="C11" s="18" t="inlineStr">
        <is>
          <t>WES@2024</t>
        </is>
      </c>
      <c r="D11" s="18" t="n"/>
    </row>
    <row r="12">
      <c r="B12" s="1" t="n"/>
      <c r="C12" s="18" t="n"/>
      <c r="D12" s="18" t="n"/>
    </row>
    <row r="13">
      <c r="B13" s="1" t="n"/>
      <c r="C13" s="18" t="n"/>
      <c r="D13" s="18" t="n"/>
    </row>
    <row r="14">
      <c r="B14" s="1" t="n"/>
    </row>
    <row r="15">
      <c r="B15" s="1" t="inlineStr">
        <is>
          <t>Protect Sheet</t>
        </is>
      </c>
      <c r="C15" s="2" t="b">
        <v>1</v>
      </c>
    </row>
    <row r="16">
      <c r="B16" s="1" t="inlineStr">
        <is>
          <t>Error Control</t>
        </is>
      </c>
      <c r="C16" t="b">
        <v>1</v>
      </c>
    </row>
    <row r="17">
      <c r="B17" s="1" t="inlineStr">
        <is>
          <t>Complete All</t>
        </is>
      </c>
      <c r="C17" t="b">
        <v>0</v>
      </c>
    </row>
    <row r="18">
      <c r="B18" s="1" t="inlineStr">
        <is>
          <t>Complete All GAAP</t>
        </is>
      </c>
      <c r="C18" t="b">
        <v>0</v>
      </c>
    </row>
    <row r="19">
      <c r="B19" t="inlineStr">
        <is>
          <t>Sent</t>
        </is>
      </c>
      <c r="C19" s="2" t="b">
        <v>0</v>
      </c>
    </row>
    <row r="20">
      <c r="B20" t="inlineStr">
        <is>
          <t>Last Closed Month</t>
        </is>
      </c>
      <c r="C20" s="19" t="n"/>
    </row>
    <row r="21">
      <c r="B21" t="inlineStr">
        <is>
          <t>Check Closed Month?</t>
        </is>
      </c>
      <c r="C21" s="19" t="inlineStr">
        <is>
          <t>N</t>
        </is>
      </c>
    </row>
    <row r="22">
      <c r="B22" t="inlineStr">
        <is>
          <t>Ready For Ops</t>
        </is>
      </c>
      <c r="C22" s="19" t="inlineStr">
        <is>
          <t>N</t>
        </is>
      </c>
    </row>
    <row r="23">
      <c r="B23" t="inlineStr">
        <is>
          <t>Initial Approved</t>
        </is>
      </c>
      <c r="C23" t="inlineStr">
        <is>
          <t>N</t>
        </is>
      </c>
    </row>
    <row r="24">
      <c r="B24" t="inlineStr">
        <is>
          <t>Final Approved</t>
        </is>
      </c>
      <c r="C24" t="inlineStr">
        <is>
          <t>N</t>
        </is>
      </c>
    </row>
    <row r="25">
      <c r="B25" t="inlineStr">
        <is>
          <t>Acct Approved</t>
        </is>
      </c>
      <c r="C25" t="inlineStr">
        <is>
          <t>N</t>
        </is>
      </c>
    </row>
    <row r="26">
      <c r="B26" t="inlineStr">
        <is>
          <t>GAAP View</t>
        </is>
      </c>
      <c r="C26" t="inlineStr">
        <is>
          <t>N</t>
        </is>
      </c>
    </row>
    <row r="27">
      <c r="B27" t="inlineStr">
        <is>
          <t>Send Approvals</t>
        </is>
      </c>
      <c r="C27" s="2" t="b">
        <v>0</v>
      </c>
      <c r="D27" t="inlineStr">
        <is>
          <t>WipInitialApproval</t>
        </is>
      </c>
    </row>
    <row r="28">
      <c r="B28" t="inlineStr">
        <is>
          <t>Send JV</t>
        </is>
      </c>
      <c r="C28" s="2" t="b">
        <v>0</v>
      </c>
      <c r="D28" t="inlineStr">
        <is>
          <t>WipFinalApproval</t>
        </is>
      </c>
    </row>
    <row r="29">
      <c r="B29" t="inlineStr">
        <is>
          <t>Role</t>
        </is>
      </c>
      <c r="D29" t="inlineStr">
        <is>
          <t>WIPAccounting</t>
        </is>
      </c>
    </row>
    <row r="30">
      <c r="B30" t="inlineStr">
        <is>
          <t>Companies</t>
        </is>
      </c>
      <c r="D30" t="inlineStr">
        <is>
          <t>WipViewOnly</t>
        </is>
      </c>
    </row>
    <row r="31">
      <c r="B31" t="inlineStr">
        <is>
          <t>Departments</t>
        </is>
      </c>
    </row>
    <row r="32">
      <c r="B32" t="inlineStr">
        <is>
          <t>Pull New Data?</t>
        </is>
      </c>
      <c r="C32" t="inlineStr">
        <is>
          <t>N</t>
        </is>
      </c>
    </row>
    <row r="33">
      <c r="B33" t="inlineStr">
        <is>
          <t>UserName</t>
        </is>
      </c>
    </row>
    <row r="34">
      <c r="B34" t="inlineStr">
        <is>
          <t>Clear Form on Open</t>
        </is>
      </c>
      <c r="C34" t="b">
        <v>1</v>
      </c>
    </row>
    <row r="35">
      <c r="B35" t="inlineStr">
        <is>
          <t>Edit Closed Jobs</t>
        </is>
      </c>
      <c r="C35" t="b">
        <v>0</v>
      </c>
    </row>
    <row r="36">
      <c r="B36" t="inlineStr">
        <is>
          <t>Use Posted Batch</t>
        </is>
      </c>
      <c r="C36" t="inlineStr">
        <is>
          <t>Y</t>
        </is>
      </c>
    </row>
    <row r="37">
      <c r="B37" t="inlineStr">
        <is>
          <t>Last Month Only for Previous</t>
        </is>
      </c>
      <c r="C37" t="inlineStr">
        <is>
          <t>N</t>
        </is>
      </c>
    </row>
    <row r="38">
      <c r="B38" t="inlineStr">
        <is>
          <t>Dropdown List Range</t>
        </is>
      </c>
      <c r="C38" s="2" t="inlineStr">
        <is>
          <t>Department</t>
        </is>
      </c>
    </row>
    <row r="39">
      <c r="C39" s="2" t="inlineStr">
        <is>
          <t>PM</t>
        </is>
      </c>
    </row>
    <row r="40">
      <c r="B40" t="inlineStr">
        <is>
          <t>Sort Option</t>
        </is>
      </c>
      <c r="C40" t="n">
        <v>1</v>
      </c>
    </row>
  </sheetData>
  <hyperlinks>
    <hyperlink xmlns:r="http://schemas.openxmlformats.org/officeDocument/2006/relationships" ref="C11" r:id="rId1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20">
    <outlinePr summaryBelow="1" summaryRight="1"/>
    <pageSetUpPr/>
  </sheetPr>
  <dimension ref="A1:D304"/>
  <sheetViews>
    <sheetView topLeftCell="A16" workbookViewId="0">
      <selection activeCell="B28" sqref="B28"/>
    </sheetView>
  </sheetViews>
  <sheetFormatPr baseColWidth="8" defaultRowHeight="13.2"/>
  <cols>
    <col width="15.33203125" bestFit="1" customWidth="1" min="1" max="1"/>
    <col width="26.88671875" bestFit="1" customWidth="1" min="2" max="2"/>
    <col width="14.109375" bestFit="1" customWidth="1" min="3" max="3"/>
    <col width="12.21875" bestFit="1" customWidth="1" min="4" max="4"/>
  </cols>
  <sheetData>
    <row r="1">
      <c r="A1" t="inlineStr">
        <is>
          <t>Sheet CodeName</t>
        </is>
      </c>
      <c r="B1" t="inlineStr">
        <is>
          <t>Named Range</t>
        </is>
      </c>
      <c r="C1" t="inlineStr">
        <is>
          <t>Column Number</t>
        </is>
      </c>
      <c r="D1" t="inlineStr">
        <is>
          <t>Column Letter</t>
        </is>
      </c>
    </row>
    <row r="2">
      <c r="A2" t="inlineStr">
        <is>
          <t>Sheet11</t>
        </is>
      </c>
      <c r="B2" t="inlineStr">
        <is>
          <t>COLAPYBonusProfit</t>
        </is>
      </c>
      <c r="C2" t="n">
        <v>36</v>
      </c>
      <c r="D2" t="inlineStr">
        <is>
          <t>AJ</t>
        </is>
      </c>
    </row>
    <row r="3">
      <c r="A3" t="inlineStr">
        <is>
          <t>Sheet11</t>
        </is>
      </c>
      <c r="B3" t="inlineStr">
        <is>
          <t>COLAPYCalcProfit</t>
        </is>
      </c>
      <c r="C3" t="n">
        <v>35</v>
      </c>
      <c r="D3" t="inlineStr">
        <is>
          <t>AI</t>
        </is>
      </c>
    </row>
    <row r="4">
      <c r="A4" t="inlineStr">
        <is>
          <t>Sheet11</t>
        </is>
      </c>
      <c r="B4" t="inlineStr">
        <is>
          <t>COLAPYCost</t>
        </is>
      </c>
      <c r="C4" t="n">
        <v>34</v>
      </c>
      <c r="D4" t="inlineStr">
        <is>
          <t>AH</t>
        </is>
      </c>
    </row>
    <row r="5">
      <c r="A5" t="inlineStr">
        <is>
          <t>Sheet11</t>
        </is>
      </c>
      <c r="B5" t="inlineStr">
        <is>
          <t>COLAPYPctComp</t>
        </is>
      </c>
      <c r="C5" t="n">
        <v>32</v>
      </c>
      <c r="D5" t="inlineStr">
        <is>
          <t>AF</t>
        </is>
      </c>
    </row>
    <row r="6">
      <c r="A6" t="inlineStr">
        <is>
          <t>Sheet11</t>
        </is>
      </c>
      <c r="B6" t="inlineStr">
        <is>
          <t>COLAPYRev</t>
        </is>
      </c>
      <c r="C6" t="n">
        <v>33</v>
      </c>
      <c r="D6" t="inlineStr">
        <is>
          <t>AG</t>
        </is>
      </c>
    </row>
    <row r="7">
      <c r="A7" t="inlineStr">
        <is>
          <t>Sheet11</t>
        </is>
      </c>
      <c r="B7" t="inlineStr">
        <is>
          <t>COLBCost</t>
        </is>
      </c>
      <c r="C7" t="n">
        <v>44</v>
      </c>
      <c r="D7" t="inlineStr">
        <is>
          <t>AR</t>
        </is>
      </c>
    </row>
    <row r="8">
      <c r="A8" t="inlineStr">
        <is>
          <t>Sheet11</t>
        </is>
      </c>
      <c r="B8" t="inlineStr">
        <is>
          <t>COLBILLBillExRev</t>
        </is>
      </c>
      <c r="C8" t="n">
        <v>49</v>
      </c>
      <c r="D8" t="inlineStr">
        <is>
          <t>AW</t>
        </is>
      </c>
    </row>
    <row r="9">
      <c r="A9" t="inlineStr">
        <is>
          <t>Sheet11</t>
        </is>
      </c>
      <c r="B9" t="inlineStr">
        <is>
          <t>COLBILLBillings</t>
        </is>
      </c>
      <c r="C9" t="n">
        <v>47</v>
      </c>
      <c r="D9" t="inlineStr">
        <is>
          <t>AU</t>
        </is>
      </c>
    </row>
    <row r="10">
      <c r="A10" t="inlineStr">
        <is>
          <t>Sheet11</t>
        </is>
      </c>
      <c r="B10" t="inlineStr">
        <is>
          <t>COLBILLRevExBill</t>
        </is>
      </c>
      <c r="C10" t="n">
        <v>48</v>
      </c>
      <c r="D10" t="inlineStr">
        <is>
          <t>AV</t>
        </is>
      </c>
    </row>
    <row r="11">
      <c r="A11" t="inlineStr">
        <is>
          <t>Sheet11</t>
        </is>
      </c>
      <c r="B11" t="inlineStr">
        <is>
          <t>COLBProfit</t>
        </is>
      </c>
      <c r="C11" t="n">
        <v>45</v>
      </c>
      <c r="D11" t="inlineStr">
        <is>
          <t>AS</t>
        </is>
      </c>
    </row>
    <row r="12">
      <c r="A12" t="inlineStr">
        <is>
          <t>Sheet11</t>
        </is>
      </c>
      <c r="B12" t="inlineStr">
        <is>
          <t>COLBRev</t>
        </is>
      </c>
      <c r="C12" t="n">
        <v>43</v>
      </c>
      <c r="D12" t="inlineStr">
        <is>
          <t>AQ</t>
        </is>
      </c>
    </row>
    <row r="13">
      <c r="A13" t="inlineStr">
        <is>
          <t>Sheet11</t>
        </is>
      </c>
      <c r="B13" t="inlineStr">
        <is>
          <t>COLChgProjProfit</t>
        </is>
      </c>
      <c r="C13" t="n">
        <v>18</v>
      </c>
      <c r="D13" t="inlineStr">
        <is>
          <t>R</t>
        </is>
      </c>
    </row>
    <row r="14">
      <c r="A14" t="inlineStr">
        <is>
          <t>Sheet11</t>
        </is>
      </c>
      <c r="B14" t="inlineStr">
        <is>
          <t>COLClose</t>
        </is>
      </c>
      <c r="C14" t="n">
        <v>7</v>
      </c>
      <c r="D14" t="inlineStr">
        <is>
          <t>G</t>
        </is>
      </c>
    </row>
    <row r="15">
      <c r="A15" t="inlineStr">
        <is>
          <t>Sheet11</t>
        </is>
      </c>
      <c r="B15" t="inlineStr">
        <is>
          <t>COLCompDate</t>
        </is>
      </c>
      <c r="C15" t="n">
        <v>19</v>
      </c>
      <c r="D15" t="inlineStr">
        <is>
          <t>S</t>
        </is>
      </c>
    </row>
    <row r="16">
      <c r="A16" t="inlineStr">
        <is>
          <t>Sheet11</t>
        </is>
      </c>
      <c r="B16" t="inlineStr">
        <is>
          <t>COLCurConAmt</t>
        </is>
      </c>
      <c r="C16" t="n">
        <v>5</v>
      </c>
      <c r="D16" t="inlineStr">
        <is>
          <t>E</t>
        </is>
      </c>
    </row>
    <row r="17">
      <c r="A17" t="inlineStr">
        <is>
          <t>Sheet11</t>
        </is>
      </c>
      <c r="B17" t="inlineStr">
        <is>
          <t>COLCYBonusProfit</t>
        </is>
      </c>
      <c r="C17" t="n">
        <v>41</v>
      </c>
      <c r="D17" t="inlineStr">
        <is>
          <t>AO</t>
        </is>
      </c>
    </row>
    <row r="18">
      <c r="A18" t="inlineStr">
        <is>
          <t>Sheet11</t>
        </is>
      </c>
      <c r="B18" t="inlineStr">
        <is>
          <t>COLCYCalcProfit</t>
        </is>
      </c>
      <c r="C18" t="n">
        <v>40</v>
      </c>
      <c r="D18" t="inlineStr">
        <is>
          <t>AN</t>
        </is>
      </c>
    </row>
    <row r="19">
      <c r="A19" t="inlineStr">
        <is>
          <t>Sheet11</t>
        </is>
      </c>
      <c r="B19" t="inlineStr">
        <is>
          <t>COLCYCost</t>
        </is>
      </c>
      <c r="C19" t="n">
        <v>39</v>
      </c>
      <c r="D19" t="inlineStr">
        <is>
          <t>AM</t>
        </is>
      </c>
    </row>
    <row r="20">
      <c r="A20" t="inlineStr">
        <is>
          <t>Sheet11</t>
        </is>
      </c>
      <c r="B20" t="inlineStr">
        <is>
          <t>COLCYRev</t>
        </is>
      </c>
      <c r="C20" t="n">
        <v>38</v>
      </c>
      <c r="D20" t="inlineStr">
        <is>
          <t>AL</t>
        </is>
      </c>
    </row>
    <row r="21">
      <c r="A21" t="inlineStr">
        <is>
          <t>Sheet11</t>
        </is>
      </c>
      <c r="B21" t="inlineStr">
        <is>
          <t>COLDone</t>
        </is>
      </c>
      <c r="C21" t="n">
        <v>8</v>
      </c>
      <c r="D21" t="inlineStr">
        <is>
          <t>H</t>
        </is>
      </c>
    </row>
    <row r="22">
      <c r="A22" t="inlineStr">
        <is>
          <t>Sheet11</t>
        </is>
      </c>
      <c r="B22" t="inlineStr">
        <is>
          <t>COLExAll</t>
        </is>
      </c>
      <c r="C22" t="n">
        <v>4</v>
      </c>
      <c r="D22" t="inlineStr">
        <is>
          <t>D</t>
        </is>
      </c>
    </row>
    <row r="23">
      <c r="A23" t="inlineStr">
        <is>
          <t>Sheet11</t>
        </is>
      </c>
      <c r="B23" t="inlineStr">
        <is>
          <t>COLJobDesc</t>
        </is>
      </c>
      <c r="C23" t="n">
        <v>2</v>
      </c>
      <c r="D23" t="inlineStr">
        <is>
          <t>B</t>
        </is>
      </c>
    </row>
    <row r="24">
      <c r="A24" t="inlineStr">
        <is>
          <t>Sheet11</t>
        </is>
      </c>
      <c r="B24" t="inlineStr">
        <is>
          <t>COLJobNumber</t>
        </is>
      </c>
      <c r="C24" t="n">
        <v>1</v>
      </c>
      <c r="D24" t="inlineStr">
        <is>
          <t>A</t>
        </is>
      </c>
    </row>
    <row r="25">
      <c r="A25" t="inlineStr">
        <is>
          <t>Sheet11</t>
        </is>
      </c>
      <c r="B25" t="inlineStr">
        <is>
          <t>COLJTDBonusProfit</t>
        </is>
      </c>
      <c r="C25" t="n">
        <v>26</v>
      </c>
      <c r="D25" t="inlineStr">
        <is>
          <t>Z</t>
        </is>
      </c>
    </row>
    <row r="26">
      <c r="A26" t="inlineStr">
        <is>
          <t>Sheet11</t>
        </is>
      </c>
      <c r="B26" t="inlineStr">
        <is>
          <t>COLJTDBonusProfitNotes</t>
        </is>
      </c>
      <c r="C26" t="n">
        <v>27</v>
      </c>
      <c r="D26" t="inlineStr">
        <is>
          <t>AA</t>
        </is>
      </c>
    </row>
    <row r="27">
      <c r="A27" t="inlineStr">
        <is>
          <t>Sheet11</t>
        </is>
      </c>
      <c r="B27" t="inlineStr">
        <is>
          <t>COLJTDBonusProfitNotesShow</t>
        </is>
      </c>
      <c r="C27" t="n">
        <v>28</v>
      </c>
      <c r="D27" t="inlineStr">
        <is>
          <t>AB</t>
        </is>
      </c>
    </row>
    <row r="28">
      <c r="A28" t="inlineStr">
        <is>
          <t>Sheet11</t>
        </is>
      </c>
      <c r="B28" t="inlineStr">
        <is>
          <t>COLJTDCalcEarnedRev</t>
        </is>
      </c>
      <c r="C28" t="n">
        <v>22</v>
      </c>
      <c r="D28" t="inlineStr">
        <is>
          <t>V</t>
        </is>
      </c>
    </row>
    <row r="29">
      <c r="A29" t="inlineStr">
        <is>
          <t>Sheet11</t>
        </is>
      </c>
      <c r="B29" t="inlineStr">
        <is>
          <t>COLJTDChgProfit</t>
        </is>
      </c>
      <c r="C29" t="n">
        <v>30</v>
      </c>
      <c r="D29" t="inlineStr">
        <is>
          <t>AD</t>
        </is>
      </c>
    </row>
    <row r="30">
      <c r="A30" t="inlineStr">
        <is>
          <t>Sheet11</t>
        </is>
      </c>
      <c r="B30" t="inlineStr">
        <is>
          <t>COLJTDCost</t>
        </is>
      </c>
      <c r="C30" t="n">
        <v>24</v>
      </c>
      <c r="D30" t="inlineStr">
        <is>
          <t>X</t>
        </is>
      </c>
    </row>
    <row r="31">
      <c r="A31" t="inlineStr">
        <is>
          <t>Sheet11</t>
        </is>
      </c>
      <c r="B31" t="inlineStr">
        <is>
          <t>COLJTDEarnedRev</t>
        </is>
      </c>
      <c r="C31" t="n">
        <v>23</v>
      </c>
      <c r="D31" t="inlineStr">
        <is>
          <t>W</t>
        </is>
      </c>
    </row>
    <row r="32">
      <c r="A32" t="inlineStr">
        <is>
          <t>Sheet11</t>
        </is>
      </c>
      <c r="B32" t="inlineStr">
        <is>
          <t>COLJTDPctComp</t>
        </is>
      </c>
      <c r="C32" t="n">
        <v>21</v>
      </c>
      <c r="D32" t="inlineStr">
        <is>
          <t>U</t>
        </is>
      </c>
    </row>
    <row r="33">
      <c r="A33" t="inlineStr">
        <is>
          <t>Sheet11</t>
        </is>
      </c>
      <c r="B33" t="inlineStr">
        <is>
          <t>COLJTDPriorProfit</t>
        </is>
      </c>
      <c r="C33" t="n">
        <v>29</v>
      </c>
      <c r="D33" t="inlineStr">
        <is>
          <t>AC</t>
        </is>
      </c>
    </row>
    <row r="34">
      <c r="A34" t="inlineStr">
        <is>
          <t>Sheet11</t>
        </is>
      </c>
      <c r="B34" t="inlineStr">
        <is>
          <t>COLJTDProfit</t>
        </is>
      </c>
      <c r="C34" t="n">
        <v>25</v>
      </c>
      <c r="D34" t="inlineStr">
        <is>
          <t>Y</t>
        </is>
      </c>
    </row>
    <row r="35">
      <c r="A35" t="inlineStr">
        <is>
          <t>Sheet11</t>
        </is>
      </c>
      <c r="B35" t="inlineStr">
        <is>
          <t>COLOvrCostProj</t>
        </is>
      </c>
      <c r="C35" t="n">
        <v>13</v>
      </c>
      <c r="D35" t="inlineStr">
        <is>
          <t>M</t>
        </is>
      </c>
    </row>
    <row r="36">
      <c r="A36" t="inlineStr">
        <is>
          <t>Sheet11</t>
        </is>
      </c>
      <c r="B36" t="inlineStr">
        <is>
          <t>COLOvrCostProjNotes</t>
        </is>
      </c>
      <c r="C36" t="n">
        <v>14</v>
      </c>
      <c r="D36" t="inlineStr">
        <is>
          <t>N</t>
        </is>
      </c>
    </row>
    <row r="37">
      <c r="A37" t="inlineStr">
        <is>
          <t>Sheet11</t>
        </is>
      </c>
      <c r="B37" t="inlineStr">
        <is>
          <t>COLOvrCostProjNotes2</t>
        </is>
      </c>
      <c r="C37" t="n">
        <v>15</v>
      </c>
      <c r="D37" t="inlineStr">
        <is>
          <t>O</t>
        </is>
      </c>
    </row>
    <row r="38">
      <c r="A38" t="inlineStr">
        <is>
          <t>Sheet11</t>
        </is>
      </c>
      <c r="B38" t="inlineStr">
        <is>
          <t>COLOvrRevProj</t>
        </is>
      </c>
      <c r="C38" t="n">
        <v>9</v>
      </c>
      <c r="D38" t="inlineStr">
        <is>
          <t>I</t>
        </is>
      </c>
    </row>
    <row r="39">
      <c r="A39" t="inlineStr">
        <is>
          <t>Sheet11</t>
        </is>
      </c>
      <c r="B39" t="inlineStr">
        <is>
          <t>COLOvrRevProjNotes</t>
        </is>
      </c>
      <c r="C39" t="n">
        <v>10</v>
      </c>
      <c r="D39" t="inlineStr">
        <is>
          <t>J</t>
        </is>
      </c>
    </row>
    <row r="40">
      <c r="A40" t="inlineStr">
        <is>
          <t>Sheet11</t>
        </is>
      </c>
      <c r="B40" t="inlineStr">
        <is>
          <t>COLOvrRevProjNotes2</t>
        </is>
      </c>
      <c r="C40" t="n">
        <v>11</v>
      </c>
      <c r="D40" t="inlineStr">
        <is>
          <t>K</t>
        </is>
      </c>
    </row>
    <row r="41">
      <c r="A41" t="inlineStr">
        <is>
          <t>Sheet11</t>
        </is>
      </c>
      <c r="B41" t="inlineStr">
        <is>
          <t>COLPMProjCost</t>
        </is>
      </c>
      <c r="C41" t="n">
        <v>12</v>
      </c>
      <c r="D41" t="inlineStr">
        <is>
          <t>L</t>
        </is>
      </c>
    </row>
    <row r="42">
      <c r="A42" t="inlineStr">
        <is>
          <t>Sheet11</t>
        </is>
      </c>
      <c r="B42" t="inlineStr">
        <is>
          <t>COLPMProjRev</t>
        </is>
      </c>
      <c r="C42" t="n">
        <v>6</v>
      </c>
      <c r="D42" t="inlineStr">
        <is>
          <t>F</t>
        </is>
      </c>
    </row>
    <row r="43">
      <c r="A43" t="inlineStr">
        <is>
          <t>Sheet11</t>
        </is>
      </c>
      <c r="B43" t="inlineStr">
        <is>
          <t>COLPriorProjProfit</t>
        </is>
      </c>
      <c r="C43" t="n">
        <v>17</v>
      </c>
      <c r="D43" t="inlineStr">
        <is>
          <t>Q</t>
        </is>
      </c>
    </row>
    <row r="44">
      <c r="A44" t="inlineStr">
        <is>
          <t>Sheet11</t>
        </is>
      </c>
      <c r="B44" t="inlineStr">
        <is>
          <t>COLPrjMngr</t>
        </is>
      </c>
      <c r="C44" t="n">
        <v>3</v>
      </c>
      <c r="D44" t="inlineStr">
        <is>
          <t>C</t>
        </is>
      </c>
    </row>
    <row r="45">
      <c r="A45" t="inlineStr">
        <is>
          <t>Sheet11</t>
        </is>
      </c>
      <c r="B45" t="inlineStr">
        <is>
          <t>COLProjProfit</t>
        </is>
      </c>
      <c r="C45" t="n">
        <v>16</v>
      </c>
      <c r="D45" t="inlineStr">
        <is>
          <t>P</t>
        </is>
      </c>
    </row>
    <row r="46">
      <c r="A46" t="inlineStr">
        <is>
          <t>Sheet11</t>
        </is>
      </c>
      <c r="B46" t="inlineStr">
        <is>
          <t>COLSP1</t>
        </is>
      </c>
      <c r="C46" t="n">
        <v>20</v>
      </c>
      <c r="D46" t="inlineStr">
        <is>
          <t>T</t>
        </is>
      </c>
    </row>
    <row r="47">
      <c r="A47" t="inlineStr">
        <is>
          <t>Sheet11</t>
        </is>
      </c>
      <c r="B47" t="inlineStr">
        <is>
          <t>COLSP2</t>
        </is>
      </c>
      <c r="C47" t="n">
        <v>31</v>
      </c>
      <c r="D47" t="inlineStr">
        <is>
          <t>AE</t>
        </is>
      </c>
    </row>
    <row r="48">
      <c r="A48" t="inlineStr">
        <is>
          <t>Sheet11</t>
        </is>
      </c>
      <c r="B48" t="inlineStr">
        <is>
          <t>COLSP3</t>
        </is>
      </c>
      <c r="C48" t="n">
        <v>37</v>
      </c>
      <c r="D48" t="inlineStr">
        <is>
          <t>AK</t>
        </is>
      </c>
    </row>
    <row r="49">
      <c r="A49" t="inlineStr">
        <is>
          <t>Sheet11</t>
        </is>
      </c>
      <c r="B49" t="inlineStr">
        <is>
          <t>COLSP4</t>
        </is>
      </c>
      <c r="C49" t="n">
        <v>42</v>
      </c>
      <c r="D49" t="inlineStr">
        <is>
          <t>AP</t>
        </is>
      </c>
    </row>
    <row r="50">
      <c r="A50" t="inlineStr">
        <is>
          <t>Sheet11</t>
        </is>
      </c>
      <c r="B50" t="inlineStr">
        <is>
          <t>COLSP5</t>
        </is>
      </c>
      <c r="C50" t="n">
        <v>46</v>
      </c>
      <c r="D50" t="inlineStr">
        <is>
          <t>AT</t>
        </is>
      </c>
    </row>
    <row r="51">
      <c r="A51" t="inlineStr">
        <is>
          <t>Sheet11</t>
        </is>
      </c>
      <c r="B51" t="inlineStr">
        <is>
          <t>COLZBatchSeq</t>
        </is>
      </c>
      <c r="C51" t="n">
        <v>82</v>
      </c>
      <c r="D51" t="inlineStr">
        <is>
          <t>CD</t>
        </is>
      </c>
    </row>
    <row r="52">
      <c r="A52" t="inlineStr">
        <is>
          <t>Sheet11</t>
        </is>
      </c>
      <c r="B52" t="inlineStr">
        <is>
          <t>COLZContractStatus</t>
        </is>
      </c>
      <c r="C52" t="n">
        <v>65</v>
      </c>
      <c r="D52" t="inlineStr">
        <is>
          <t>BM</t>
        </is>
      </c>
    </row>
    <row r="53">
      <c r="A53" t="inlineStr">
        <is>
          <t>Sheet11</t>
        </is>
      </c>
      <c r="B53" t="inlineStr">
        <is>
          <t>COLZGAAPCost</t>
        </is>
      </c>
      <c r="C53" t="n">
        <v>61</v>
      </c>
      <c r="D53" t="inlineStr">
        <is>
          <t>BI</t>
        </is>
      </c>
    </row>
    <row r="54">
      <c r="A54" t="inlineStr">
        <is>
          <t>Sheet11</t>
        </is>
      </c>
      <c r="B54" t="inlineStr">
        <is>
          <t>COLZGAAPCostComment</t>
        </is>
      </c>
      <c r="C54" t="n">
        <v>73</v>
      </c>
      <c r="D54" t="inlineStr">
        <is>
          <t>BU</t>
        </is>
      </c>
    </row>
    <row r="55">
      <c r="A55" t="inlineStr">
        <is>
          <t>Sheet11</t>
        </is>
      </c>
      <c r="B55" t="inlineStr">
        <is>
          <t>COLZGAAPCostNew</t>
        </is>
      </c>
      <c r="C55" t="n">
        <v>77</v>
      </c>
      <c r="D55" t="inlineStr">
        <is>
          <t>BY</t>
        </is>
      </c>
    </row>
    <row r="56">
      <c r="A56" t="inlineStr">
        <is>
          <t>Sheet11</t>
        </is>
      </c>
      <c r="B56" t="inlineStr">
        <is>
          <t>COLZGAAPCostNotes</t>
        </is>
      </c>
      <c r="C56" t="n">
        <v>71</v>
      </c>
      <c r="D56" t="inlineStr">
        <is>
          <t>BS</t>
        </is>
      </c>
    </row>
    <row r="57">
      <c r="A57" t="inlineStr">
        <is>
          <t>Sheet11</t>
        </is>
      </c>
      <c r="B57" t="inlineStr">
        <is>
          <t>COLZGAAPPYCost</t>
        </is>
      </c>
      <c r="C57" t="n">
        <v>84</v>
      </c>
      <c r="D57" t="inlineStr">
        <is>
          <t>CF</t>
        </is>
      </c>
    </row>
    <row r="58">
      <c r="A58" t="inlineStr">
        <is>
          <t>Sheet11</t>
        </is>
      </c>
      <c r="B58" t="inlineStr">
        <is>
          <t>COLZGAAPPYRev</t>
        </is>
      </c>
      <c r="C58" t="n">
        <v>83</v>
      </c>
      <c r="D58" t="inlineStr">
        <is>
          <t>CE</t>
        </is>
      </c>
    </row>
    <row r="59">
      <c r="A59" t="inlineStr">
        <is>
          <t>Sheet11</t>
        </is>
      </c>
      <c r="B59" t="inlineStr">
        <is>
          <t>COLZGAAPRev</t>
        </is>
      </c>
      <c r="C59" t="n">
        <v>60</v>
      </c>
      <c r="D59" t="inlineStr">
        <is>
          <t>BH</t>
        </is>
      </c>
    </row>
    <row r="60">
      <c r="A60" t="inlineStr">
        <is>
          <t>Sheet11</t>
        </is>
      </c>
      <c r="B60" t="inlineStr">
        <is>
          <t>COLZGAAPRevComment</t>
        </is>
      </c>
      <c r="C60" t="n">
        <v>72</v>
      </c>
      <c r="D60" t="inlineStr">
        <is>
          <t>BT</t>
        </is>
      </c>
    </row>
    <row r="61">
      <c r="A61" t="inlineStr">
        <is>
          <t>Sheet11</t>
        </is>
      </c>
      <c r="B61" t="inlineStr">
        <is>
          <t>COLZGAAPRevNew</t>
        </is>
      </c>
      <c r="C61" t="n">
        <v>76</v>
      </c>
      <c r="D61" t="inlineStr">
        <is>
          <t>BX</t>
        </is>
      </c>
    </row>
    <row r="62">
      <c r="A62" t="inlineStr">
        <is>
          <t>Sheet11</t>
        </is>
      </c>
      <c r="B62" t="inlineStr">
        <is>
          <t>COLZGAAPRevNotes</t>
        </is>
      </c>
      <c r="C62" t="n">
        <v>70</v>
      </c>
      <c r="D62" t="inlineStr">
        <is>
          <t>BR</t>
        </is>
      </c>
    </row>
    <row r="63">
      <c r="A63" t="inlineStr">
        <is>
          <t>Sheet11</t>
        </is>
      </c>
      <c r="B63" t="inlineStr">
        <is>
          <t>COLZJCOP</t>
        </is>
      </c>
      <c r="C63" t="n">
        <v>56</v>
      </c>
      <c r="D63" t="inlineStr">
        <is>
          <t>BD</t>
        </is>
      </c>
    </row>
    <row r="64">
      <c r="A64" t="inlineStr">
        <is>
          <t>Sheet11</t>
        </is>
      </c>
      <c r="B64" t="inlineStr">
        <is>
          <t>COLZJCOR</t>
        </is>
      </c>
      <c r="C64" t="n">
        <v>55</v>
      </c>
      <c r="D64" t="inlineStr">
        <is>
          <t>BC</t>
        </is>
      </c>
    </row>
    <row r="65">
      <c r="A65" t="inlineStr">
        <is>
          <t>Sheet11</t>
        </is>
      </c>
      <c r="B65" t="inlineStr">
        <is>
          <t>COLZOPsBonus</t>
        </is>
      </c>
      <c r="C65" t="n">
        <v>59</v>
      </c>
      <c r="D65" t="inlineStr">
        <is>
          <t>BG</t>
        </is>
      </c>
    </row>
    <row r="66">
      <c r="A66" t="inlineStr">
        <is>
          <t>Sheet11</t>
        </is>
      </c>
      <c r="B66" t="inlineStr">
        <is>
          <t>COLZOPsBonusNew</t>
        </is>
      </c>
      <c r="C66" t="n">
        <v>80</v>
      </c>
      <c r="D66" t="inlineStr">
        <is>
          <t>CB</t>
        </is>
      </c>
    </row>
    <row r="67">
      <c r="A67" t="inlineStr">
        <is>
          <t>Sheet11</t>
        </is>
      </c>
      <c r="B67" t="inlineStr">
        <is>
          <t>COLZOPsCChg</t>
        </is>
      </c>
      <c r="C67" t="n">
        <v>53</v>
      </c>
      <c r="D67" t="inlineStr">
        <is>
          <t>BA</t>
        </is>
      </c>
    </row>
    <row r="68">
      <c r="A68" t="inlineStr">
        <is>
          <t>Sheet11</t>
        </is>
      </c>
      <c r="B68" t="inlineStr">
        <is>
          <t>COLZOPsCost</t>
        </is>
      </c>
      <c r="C68" t="n">
        <v>58</v>
      </c>
      <c r="D68" t="inlineStr">
        <is>
          <t>BF</t>
        </is>
      </c>
    </row>
    <row r="69">
      <c r="A69" t="inlineStr">
        <is>
          <t>Sheet11</t>
        </is>
      </c>
      <c r="B69" t="inlineStr">
        <is>
          <t>COLZOPsCostComment</t>
        </is>
      </c>
      <c r="C69" t="n">
        <v>75</v>
      </c>
      <c r="D69" t="inlineStr">
        <is>
          <t>BW</t>
        </is>
      </c>
    </row>
    <row r="70">
      <c r="A70" t="inlineStr">
        <is>
          <t>Sheet11</t>
        </is>
      </c>
      <c r="B70" t="inlineStr">
        <is>
          <t>COLZOPsCostNew</t>
        </is>
      </c>
      <c r="C70" t="n">
        <v>79</v>
      </c>
      <c r="D70" t="inlineStr">
        <is>
          <t>CA</t>
        </is>
      </c>
    </row>
    <row r="71">
      <c r="A71" t="inlineStr">
        <is>
          <t>Sheet11</t>
        </is>
      </c>
      <c r="B71" t="inlineStr">
        <is>
          <t>COLZOPsCostNotes</t>
        </is>
      </c>
      <c r="C71" t="n">
        <v>69</v>
      </c>
      <c r="D71" t="inlineStr">
        <is>
          <t>BQ</t>
        </is>
      </c>
    </row>
    <row r="72">
      <c r="A72" t="inlineStr">
        <is>
          <t>Sheet11</t>
        </is>
      </c>
      <c r="B72" t="inlineStr">
        <is>
          <t>COLZOpsPYCost</t>
        </is>
      </c>
      <c r="C72" t="n">
        <v>86</v>
      </c>
      <c r="D72" t="inlineStr">
        <is>
          <t>CH</t>
        </is>
      </c>
    </row>
    <row r="73">
      <c r="A73" t="inlineStr">
        <is>
          <t>Sheet11</t>
        </is>
      </c>
      <c r="B73" t="inlineStr">
        <is>
          <t>COLZOpsPYRev</t>
        </is>
      </c>
      <c r="C73" t="n">
        <v>85</v>
      </c>
      <c r="D73" t="inlineStr">
        <is>
          <t>CG</t>
        </is>
      </c>
    </row>
    <row r="74">
      <c r="A74" t="inlineStr">
        <is>
          <t>Sheet11</t>
        </is>
      </c>
      <c r="B74" t="inlineStr">
        <is>
          <t>COLZOPsRChg</t>
        </is>
      </c>
      <c r="C74" t="n">
        <v>52</v>
      </c>
      <c r="D74" t="inlineStr">
        <is>
          <t>AZ</t>
        </is>
      </c>
    </row>
    <row r="75">
      <c r="A75" t="inlineStr">
        <is>
          <t>Sheet11</t>
        </is>
      </c>
      <c r="B75" t="inlineStr">
        <is>
          <t>COLZOPsRev</t>
        </is>
      </c>
      <c r="C75" t="n">
        <v>57</v>
      </c>
      <c r="D75" t="inlineStr">
        <is>
          <t>BE</t>
        </is>
      </c>
    </row>
    <row r="76">
      <c r="A76" t="inlineStr">
        <is>
          <t>Sheet11</t>
        </is>
      </c>
      <c r="B76" t="inlineStr">
        <is>
          <t>COLZOPsRevComment</t>
        </is>
      </c>
      <c r="C76" t="n">
        <v>74</v>
      </c>
      <c r="D76" t="inlineStr">
        <is>
          <t>BV</t>
        </is>
      </c>
    </row>
    <row r="77">
      <c r="A77" t="inlineStr">
        <is>
          <t>Sheet11</t>
        </is>
      </c>
      <c r="B77" t="inlineStr">
        <is>
          <t>COLZOPsRevNew</t>
        </is>
      </c>
      <c r="C77" t="n">
        <v>78</v>
      </c>
      <c r="D77" t="inlineStr">
        <is>
          <t>BZ</t>
        </is>
      </c>
    </row>
    <row r="78">
      <c r="A78" t="inlineStr">
        <is>
          <t>Sheet11</t>
        </is>
      </c>
      <c r="B78" t="inlineStr">
        <is>
          <t>COLZOPsRevNotes</t>
        </is>
      </c>
      <c r="C78" t="n">
        <v>68</v>
      </c>
      <c r="D78" t="inlineStr">
        <is>
          <t>BP</t>
        </is>
      </c>
    </row>
    <row r="79">
      <c r="A79" t="inlineStr">
        <is>
          <t>Sheet11</t>
        </is>
      </c>
      <c r="B79" t="inlineStr">
        <is>
          <t>COLZORGBilledAmt</t>
        </is>
      </c>
      <c r="C79" t="n">
        <v>90</v>
      </c>
      <c r="D79" t="inlineStr">
        <is>
          <t>CL</t>
        </is>
      </c>
    </row>
    <row r="80">
      <c r="A80" t="inlineStr">
        <is>
          <t>Sheet11</t>
        </is>
      </c>
      <c r="B80" t="inlineStr">
        <is>
          <t>COLZORGCYBilledAmt</t>
        </is>
      </c>
      <c r="C80" t="n">
        <v>91</v>
      </c>
      <c r="D80" t="inlineStr">
        <is>
          <t>CM</t>
        </is>
      </c>
    </row>
    <row r="81">
      <c r="A81" t="inlineStr">
        <is>
          <t>Sheet11</t>
        </is>
      </c>
      <c r="B81" t="inlineStr">
        <is>
          <t>COLZORGCYCost</t>
        </is>
      </c>
      <c r="C81" t="n">
        <v>89</v>
      </c>
      <c r="D81" t="inlineStr">
        <is>
          <t>CK</t>
        </is>
      </c>
    </row>
    <row r="82">
      <c r="A82" t="inlineStr">
        <is>
          <t>Sheet11</t>
        </is>
      </c>
      <c r="B82" t="inlineStr">
        <is>
          <t>COLZORGJTDCost</t>
        </is>
      </c>
      <c r="C82" t="n">
        <v>88</v>
      </c>
      <c r="D82" t="inlineStr">
        <is>
          <t>CJ</t>
        </is>
      </c>
    </row>
    <row r="83">
      <c r="A83" t="inlineStr">
        <is>
          <t>Sheet11</t>
        </is>
      </c>
      <c r="B83" t="inlineStr">
        <is>
          <t>COLZPriorBonusProfit</t>
        </is>
      </c>
      <c r="C83" t="n">
        <v>63</v>
      </c>
      <c r="D83" t="inlineStr">
        <is>
          <t>BK</t>
        </is>
      </c>
    </row>
    <row r="84">
      <c r="A84" t="inlineStr">
        <is>
          <t>Sheet11</t>
        </is>
      </c>
      <c r="B84" t="inlineStr">
        <is>
          <t>COLZPriorGAAPProfit</t>
        </is>
      </c>
      <c r="C84" t="n">
        <v>64</v>
      </c>
      <c r="D84" t="inlineStr">
        <is>
          <t>BL</t>
        </is>
      </c>
    </row>
    <row r="85">
      <c r="A85" t="inlineStr">
        <is>
          <t>Sheet11</t>
        </is>
      </c>
      <c r="B85" t="inlineStr">
        <is>
          <t>COLZPriorJTDGAAPProfit</t>
        </is>
      </c>
      <c r="C85" t="n">
        <v>67</v>
      </c>
      <c r="D85" t="inlineStr">
        <is>
          <t>BO</t>
        </is>
      </c>
    </row>
    <row r="86">
      <c r="A86" t="inlineStr">
        <is>
          <t>Sheet11</t>
        </is>
      </c>
      <c r="B86" t="inlineStr">
        <is>
          <t>COLZPriorJTDOPsProfit</t>
        </is>
      </c>
      <c r="C86" t="n">
        <v>66</v>
      </c>
      <c r="D86" t="inlineStr">
        <is>
          <t>BN</t>
        </is>
      </c>
    </row>
    <row r="87">
      <c r="A87" t="inlineStr">
        <is>
          <t>Sheet11</t>
        </is>
      </c>
      <c r="B87" t="inlineStr">
        <is>
          <t>COLZPriorOPsProfit</t>
        </is>
      </c>
      <c r="C87" t="n">
        <v>62</v>
      </c>
      <c r="D87" t="inlineStr">
        <is>
          <t>BJ</t>
        </is>
      </c>
    </row>
    <row r="88">
      <c r="A88" t="inlineStr">
        <is>
          <t>Sheet11</t>
        </is>
      </c>
      <c r="B88" t="inlineStr">
        <is>
          <t>COLZRowVersion</t>
        </is>
      </c>
      <c r="C88" t="n">
        <v>87</v>
      </c>
      <c r="D88" t="inlineStr">
        <is>
          <t>CI</t>
        </is>
      </c>
    </row>
    <row r="89">
      <c r="A89" t="inlineStr">
        <is>
          <t>Sheet11</t>
        </is>
      </c>
      <c r="B89" t="inlineStr">
        <is>
          <t>COLZudChg</t>
        </is>
      </c>
      <c r="C89" t="n">
        <v>54</v>
      </c>
      <c r="D89" t="inlineStr">
        <is>
          <t>BB</t>
        </is>
      </c>
    </row>
    <row r="90">
      <c r="A90" t="inlineStr">
        <is>
          <t>Sheet11</t>
        </is>
      </c>
      <c r="B90" t="inlineStr">
        <is>
          <t>COLZUserName</t>
        </is>
      </c>
      <c r="C90" t="n">
        <v>81</v>
      </c>
      <c r="D90" t="inlineStr">
        <is>
          <t>CC</t>
        </is>
      </c>
    </row>
    <row r="91">
      <c r="A91" t="inlineStr">
        <is>
          <t>Sheet12</t>
        </is>
      </c>
      <c r="B91" t="inlineStr">
        <is>
          <t>COLAPYCalcProfit</t>
        </is>
      </c>
      <c r="C91" t="n">
        <v>32</v>
      </c>
      <c r="D91" t="inlineStr">
        <is>
          <t>AF</t>
        </is>
      </c>
    </row>
    <row r="92">
      <c r="A92" t="inlineStr">
        <is>
          <t>Sheet12</t>
        </is>
      </c>
      <c r="B92" t="inlineStr">
        <is>
          <t>COLAPYCost</t>
        </is>
      </c>
      <c r="C92" t="n">
        <v>31</v>
      </c>
      <c r="D92" t="inlineStr">
        <is>
          <t>AE</t>
        </is>
      </c>
    </row>
    <row r="93">
      <c r="A93" t="inlineStr">
        <is>
          <t>Sheet12</t>
        </is>
      </c>
      <c r="B93" t="inlineStr">
        <is>
          <t>COLAPYPctComp</t>
        </is>
      </c>
      <c r="C93" t="n">
        <v>29</v>
      </c>
      <c r="D93" t="inlineStr">
        <is>
          <t>AC</t>
        </is>
      </c>
    </row>
    <row r="94">
      <c r="A94" t="inlineStr">
        <is>
          <t>Sheet12</t>
        </is>
      </c>
      <c r="B94" t="inlineStr">
        <is>
          <t>COLAPYRev</t>
        </is>
      </c>
      <c r="C94" t="n">
        <v>30</v>
      </c>
      <c r="D94" t="inlineStr">
        <is>
          <t>AD</t>
        </is>
      </c>
    </row>
    <row r="95">
      <c r="A95" t="inlineStr">
        <is>
          <t>Sheet12</t>
        </is>
      </c>
      <c r="B95" t="inlineStr">
        <is>
          <t>COLBCost</t>
        </is>
      </c>
      <c r="C95" t="n">
        <v>39</v>
      </c>
      <c r="D95" t="inlineStr">
        <is>
          <t>AM</t>
        </is>
      </c>
    </row>
    <row r="96">
      <c r="A96" t="inlineStr">
        <is>
          <t>Sheet12</t>
        </is>
      </c>
      <c r="B96" t="inlineStr">
        <is>
          <t>COLBILLBillExRev</t>
        </is>
      </c>
      <c r="C96" t="n">
        <v>44</v>
      </c>
      <c r="D96" t="inlineStr">
        <is>
          <t>AR</t>
        </is>
      </c>
    </row>
    <row r="97">
      <c r="A97" t="inlineStr">
        <is>
          <t>Sheet12</t>
        </is>
      </c>
      <c r="B97" t="inlineStr">
        <is>
          <t>COLBILLBillings</t>
        </is>
      </c>
      <c r="C97" t="n">
        <v>42</v>
      </c>
      <c r="D97" t="inlineStr">
        <is>
          <t>AP</t>
        </is>
      </c>
    </row>
    <row r="98">
      <c r="A98" t="inlineStr">
        <is>
          <t>Sheet12</t>
        </is>
      </c>
      <c r="B98" t="inlineStr">
        <is>
          <t>COLBILLRevExBill</t>
        </is>
      </c>
      <c r="C98" t="n">
        <v>43</v>
      </c>
      <c r="D98" t="inlineStr">
        <is>
          <t>AQ</t>
        </is>
      </c>
    </row>
    <row r="99">
      <c r="A99" t="inlineStr">
        <is>
          <t>Sheet12</t>
        </is>
      </c>
      <c r="B99" t="inlineStr">
        <is>
          <t>COLBProfit</t>
        </is>
      </c>
      <c r="C99" t="n">
        <v>40</v>
      </c>
      <c r="D99" t="inlineStr">
        <is>
          <t>AN</t>
        </is>
      </c>
    </row>
    <row r="100">
      <c r="A100" t="inlineStr">
        <is>
          <t>Sheet12</t>
        </is>
      </c>
      <c r="B100" t="inlineStr">
        <is>
          <t>COLBRev</t>
        </is>
      </c>
      <c r="C100" t="n">
        <v>38</v>
      </c>
      <c r="D100" t="inlineStr">
        <is>
          <t>AL</t>
        </is>
      </c>
    </row>
    <row r="101">
      <c r="A101" t="inlineStr">
        <is>
          <t>Sheet12</t>
        </is>
      </c>
      <c r="B101" t="inlineStr">
        <is>
          <t>COLChgProjProfit</t>
        </is>
      </c>
      <c r="C101" t="n">
        <v>19</v>
      </c>
      <c r="D101" t="inlineStr">
        <is>
          <t>S</t>
        </is>
      </c>
    </row>
    <row r="102">
      <c r="A102" t="inlineStr">
        <is>
          <t>Sheet12</t>
        </is>
      </c>
      <c r="B102" t="inlineStr">
        <is>
          <t>COLClose</t>
        </is>
      </c>
      <c r="C102" t="n">
        <v>7</v>
      </c>
      <c r="D102" t="inlineStr">
        <is>
          <t>G</t>
        </is>
      </c>
    </row>
    <row r="103">
      <c r="A103" t="inlineStr">
        <is>
          <t>Sheet12</t>
        </is>
      </c>
      <c r="B103" t="inlineStr">
        <is>
          <t>COLCompDate</t>
        </is>
      </c>
      <c r="C103" t="n">
        <v>20</v>
      </c>
      <c r="D103" t="inlineStr">
        <is>
          <t>T</t>
        </is>
      </c>
    </row>
    <row r="104">
      <c r="A104" t="inlineStr">
        <is>
          <t>Sheet12</t>
        </is>
      </c>
      <c r="B104" t="inlineStr">
        <is>
          <t>COLCurConAmt</t>
        </is>
      </c>
      <c r="C104" t="n">
        <v>5</v>
      </c>
      <c r="D104" t="inlineStr">
        <is>
          <t>E</t>
        </is>
      </c>
    </row>
    <row r="105">
      <c r="A105" t="inlineStr">
        <is>
          <t>Sheet12</t>
        </is>
      </c>
      <c r="B105" t="inlineStr">
        <is>
          <t>COLCYCalcProfit</t>
        </is>
      </c>
      <c r="C105" t="n">
        <v>36</v>
      </c>
      <c r="D105" t="inlineStr">
        <is>
          <t>AJ</t>
        </is>
      </c>
    </row>
    <row r="106">
      <c r="A106" t="inlineStr">
        <is>
          <t>Sheet12</t>
        </is>
      </c>
      <c r="B106" t="inlineStr">
        <is>
          <t>COLCYCost</t>
        </is>
      </c>
      <c r="C106" t="n">
        <v>35</v>
      </c>
      <c r="D106" t="inlineStr">
        <is>
          <t>AI</t>
        </is>
      </c>
    </row>
    <row r="107">
      <c r="A107" t="inlineStr">
        <is>
          <t>Sheet12</t>
        </is>
      </c>
      <c r="B107" t="inlineStr">
        <is>
          <t>COLCYRev</t>
        </is>
      </c>
      <c r="C107" t="n">
        <v>34</v>
      </c>
      <c r="D107" t="inlineStr">
        <is>
          <t>AH</t>
        </is>
      </c>
    </row>
    <row r="108">
      <c r="A108" t="inlineStr">
        <is>
          <t>Sheet12</t>
        </is>
      </c>
      <c r="B108" t="inlineStr">
        <is>
          <t>COLDone</t>
        </is>
      </c>
      <c r="C108" t="n">
        <v>8</v>
      </c>
      <c r="D108" t="inlineStr">
        <is>
          <t>H</t>
        </is>
      </c>
    </row>
    <row r="109">
      <c r="A109" t="inlineStr">
        <is>
          <t>Sheet12</t>
        </is>
      </c>
      <c r="B109" t="inlineStr">
        <is>
          <t>COLExAll</t>
        </is>
      </c>
      <c r="C109" t="n">
        <v>4</v>
      </c>
      <c r="D109" t="inlineStr">
        <is>
          <t>D</t>
        </is>
      </c>
    </row>
    <row r="110">
      <c r="A110" t="inlineStr">
        <is>
          <t>Sheet12</t>
        </is>
      </c>
      <c r="B110" t="inlineStr">
        <is>
          <t>COLGAAPDone</t>
        </is>
      </c>
      <c r="C110" t="n">
        <v>9</v>
      </c>
      <c r="D110" t="inlineStr">
        <is>
          <t>I</t>
        </is>
      </c>
    </row>
    <row r="111">
      <c r="A111" t="inlineStr">
        <is>
          <t>Sheet12</t>
        </is>
      </c>
      <c r="B111" t="inlineStr">
        <is>
          <t>COLJobDesc</t>
        </is>
      </c>
      <c r="C111" t="n">
        <v>2</v>
      </c>
      <c r="D111" t="inlineStr">
        <is>
          <t>B</t>
        </is>
      </c>
    </row>
    <row r="112">
      <c r="A112" t="inlineStr">
        <is>
          <t>Sheet12</t>
        </is>
      </c>
      <c r="B112" t="inlineStr">
        <is>
          <t>COLJobNumber</t>
        </is>
      </c>
      <c r="C112" t="n">
        <v>1</v>
      </c>
      <c r="D112" t="inlineStr">
        <is>
          <t>A</t>
        </is>
      </c>
    </row>
    <row r="113">
      <c r="A113" t="inlineStr">
        <is>
          <t>Sheet12</t>
        </is>
      </c>
      <c r="B113" t="inlineStr">
        <is>
          <t>COLJTDChgProfit</t>
        </is>
      </c>
      <c r="C113" t="n">
        <v>27</v>
      </c>
      <c r="D113" t="inlineStr">
        <is>
          <t>AA</t>
        </is>
      </c>
    </row>
    <row r="114">
      <c r="A114" t="inlineStr">
        <is>
          <t>Sheet12</t>
        </is>
      </c>
      <c r="B114" t="inlineStr">
        <is>
          <t>COLJTDCost</t>
        </is>
      </c>
      <c r="C114" t="n">
        <v>24</v>
      </c>
      <c r="D114" t="inlineStr">
        <is>
          <t>X</t>
        </is>
      </c>
    </row>
    <row r="115">
      <c r="A115" t="inlineStr">
        <is>
          <t>Sheet12</t>
        </is>
      </c>
      <c r="B115" t="inlineStr">
        <is>
          <t>COLJTDEarnedRev</t>
        </is>
      </c>
      <c r="C115" t="n">
        <v>23</v>
      </c>
      <c r="D115" t="inlineStr">
        <is>
          <t>W</t>
        </is>
      </c>
    </row>
    <row r="116">
      <c r="A116" t="inlineStr">
        <is>
          <t>Sheet12</t>
        </is>
      </c>
      <c r="B116" t="inlineStr">
        <is>
          <t>COLJTDPctComp</t>
        </is>
      </c>
      <c r="C116" t="n">
        <v>22</v>
      </c>
      <c r="D116" t="inlineStr">
        <is>
          <t>V</t>
        </is>
      </c>
    </row>
    <row r="117">
      <c r="A117" t="inlineStr">
        <is>
          <t>Sheet12</t>
        </is>
      </c>
      <c r="B117" t="inlineStr">
        <is>
          <t>COLJTDPriorProfit</t>
        </is>
      </c>
      <c r="C117" t="n">
        <v>26</v>
      </c>
      <c r="D117" t="inlineStr">
        <is>
          <t>Z</t>
        </is>
      </c>
    </row>
    <row r="118">
      <c r="A118" t="inlineStr">
        <is>
          <t>Sheet12</t>
        </is>
      </c>
      <c r="B118" t="inlineStr">
        <is>
          <t>COLJTDProfit</t>
        </is>
      </c>
      <c r="C118" t="n">
        <v>25</v>
      </c>
      <c r="D118" t="inlineStr">
        <is>
          <t>Y</t>
        </is>
      </c>
    </row>
    <row r="119">
      <c r="A119" t="inlineStr">
        <is>
          <t>Sheet12</t>
        </is>
      </c>
      <c r="B119" t="inlineStr">
        <is>
          <t>COLOvrCostProj</t>
        </is>
      </c>
      <c r="C119" t="n">
        <v>14</v>
      </c>
      <c r="D119" t="inlineStr">
        <is>
          <t>N</t>
        </is>
      </c>
    </row>
    <row r="120">
      <c r="A120" t="inlineStr">
        <is>
          <t>Sheet12</t>
        </is>
      </c>
      <c r="B120" t="inlineStr">
        <is>
          <t>COLOvrCostProjNotes</t>
        </is>
      </c>
      <c r="C120" t="n">
        <v>15</v>
      </c>
      <c r="D120" t="inlineStr">
        <is>
          <t>O</t>
        </is>
      </c>
    </row>
    <row r="121">
      <c r="A121" t="inlineStr">
        <is>
          <t>Sheet12</t>
        </is>
      </c>
      <c r="B121" t="inlineStr">
        <is>
          <t>COLOvrCostProjNotes2</t>
        </is>
      </c>
      <c r="C121" t="n">
        <v>16</v>
      </c>
      <c r="D121" t="inlineStr">
        <is>
          <t>P</t>
        </is>
      </c>
    </row>
    <row r="122">
      <c r="A122" t="inlineStr">
        <is>
          <t>Sheet12</t>
        </is>
      </c>
      <c r="B122" t="inlineStr">
        <is>
          <t>COLOvrRevProj</t>
        </is>
      </c>
      <c r="C122" t="n">
        <v>10</v>
      </c>
      <c r="D122" t="inlineStr">
        <is>
          <t>J</t>
        </is>
      </c>
    </row>
    <row r="123">
      <c r="A123" t="inlineStr">
        <is>
          <t>Sheet12</t>
        </is>
      </c>
      <c r="B123" t="inlineStr">
        <is>
          <t>COLOvrRevProjNotes</t>
        </is>
      </c>
      <c r="C123" t="n">
        <v>11</v>
      </c>
      <c r="D123" t="inlineStr">
        <is>
          <t>K</t>
        </is>
      </c>
    </row>
    <row r="124">
      <c r="A124" t="inlineStr">
        <is>
          <t>Sheet12</t>
        </is>
      </c>
      <c r="B124" t="inlineStr">
        <is>
          <t>COLOvrRevProjNotes2</t>
        </is>
      </c>
      <c r="C124" t="n">
        <v>12</v>
      </c>
      <c r="D124" t="inlineStr">
        <is>
          <t>L</t>
        </is>
      </c>
    </row>
    <row r="125">
      <c r="A125" t="inlineStr">
        <is>
          <t>Sheet12</t>
        </is>
      </c>
      <c r="B125" t="inlineStr">
        <is>
          <t>COLPMProjCost</t>
        </is>
      </c>
      <c r="C125" t="n">
        <v>13</v>
      </c>
      <c r="D125" t="inlineStr">
        <is>
          <t>M</t>
        </is>
      </c>
    </row>
    <row r="126">
      <c r="A126" t="inlineStr">
        <is>
          <t>Sheet12</t>
        </is>
      </c>
      <c r="B126" t="inlineStr">
        <is>
          <t>COLPMProjRev</t>
        </is>
      </c>
      <c r="C126" t="n">
        <v>6</v>
      </c>
      <c r="D126" t="inlineStr">
        <is>
          <t>F</t>
        </is>
      </c>
    </row>
    <row r="127">
      <c r="A127" t="inlineStr">
        <is>
          <t>Sheet12</t>
        </is>
      </c>
      <c r="B127" t="inlineStr">
        <is>
          <t>COLPriorProjProfit</t>
        </is>
      </c>
      <c r="C127" t="n">
        <v>18</v>
      </c>
      <c r="D127" t="inlineStr">
        <is>
          <t>R</t>
        </is>
      </c>
    </row>
    <row r="128">
      <c r="A128" t="inlineStr">
        <is>
          <t>Sheet12</t>
        </is>
      </c>
      <c r="B128" t="inlineStr">
        <is>
          <t>COLPrjMngr</t>
        </is>
      </c>
      <c r="C128" t="n">
        <v>3</v>
      </c>
      <c r="D128" t="inlineStr">
        <is>
          <t>C</t>
        </is>
      </c>
    </row>
    <row r="129">
      <c r="A129" t="inlineStr">
        <is>
          <t>Sheet12</t>
        </is>
      </c>
      <c r="B129" t="inlineStr">
        <is>
          <t>COLProjProfit</t>
        </is>
      </c>
      <c r="C129" t="n">
        <v>17</v>
      </c>
      <c r="D129" t="inlineStr">
        <is>
          <t>Q</t>
        </is>
      </c>
    </row>
    <row r="130">
      <c r="A130" t="inlineStr">
        <is>
          <t>Sheet12</t>
        </is>
      </c>
      <c r="B130" t="inlineStr">
        <is>
          <t>COLSP1</t>
        </is>
      </c>
      <c r="C130" t="n">
        <v>21</v>
      </c>
      <c r="D130" t="inlineStr">
        <is>
          <t>U</t>
        </is>
      </c>
    </row>
    <row r="131">
      <c r="A131" t="inlineStr">
        <is>
          <t>Sheet12</t>
        </is>
      </c>
      <c r="B131" t="inlineStr">
        <is>
          <t>COLSP2</t>
        </is>
      </c>
      <c r="C131" t="n">
        <v>28</v>
      </c>
      <c r="D131" t="inlineStr">
        <is>
          <t>AB</t>
        </is>
      </c>
    </row>
    <row r="132">
      <c r="A132" t="inlineStr">
        <is>
          <t>Sheet12</t>
        </is>
      </c>
      <c r="B132" t="inlineStr">
        <is>
          <t>COLSP3</t>
        </is>
      </c>
      <c r="C132" t="n">
        <v>33</v>
      </c>
      <c r="D132" t="inlineStr">
        <is>
          <t>AG</t>
        </is>
      </c>
    </row>
    <row r="133">
      <c r="A133" t="inlineStr">
        <is>
          <t>Sheet12</t>
        </is>
      </c>
      <c r="B133" t="inlineStr">
        <is>
          <t>COLSP4</t>
        </is>
      </c>
      <c r="C133" t="n">
        <v>37</v>
      </c>
      <c r="D133" t="inlineStr">
        <is>
          <t>AK</t>
        </is>
      </c>
    </row>
    <row r="134">
      <c r="A134" t="inlineStr">
        <is>
          <t>Sheet12</t>
        </is>
      </c>
      <c r="B134" t="inlineStr">
        <is>
          <t>COLSP5</t>
        </is>
      </c>
      <c r="C134" t="n">
        <v>41</v>
      </c>
      <c r="D134" t="inlineStr">
        <is>
          <t>AO</t>
        </is>
      </c>
    </row>
    <row r="135">
      <c r="A135" t="inlineStr">
        <is>
          <t>Sheet12</t>
        </is>
      </c>
      <c r="B135" t="inlineStr">
        <is>
          <t>COLZBatchSeq</t>
        </is>
      </c>
      <c r="C135" t="n">
        <v>75</v>
      </c>
      <c r="D135" t="inlineStr">
        <is>
          <t>BW</t>
        </is>
      </c>
    </row>
    <row r="136">
      <c r="A136" t="inlineStr">
        <is>
          <t>Sheet12</t>
        </is>
      </c>
      <c r="B136" t="inlineStr">
        <is>
          <t>COLZContractStatus</t>
        </is>
      </c>
      <c r="C136" t="n">
        <v>59</v>
      </c>
      <c r="D136" t="inlineStr">
        <is>
          <t>BG</t>
        </is>
      </c>
    </row>
    <row r="137">
      <c r="A137" t="inlineStr">
        <is>
          <t>Sheet12</t>
        </is>
      </c>
      <c r="B137" t="inlineStr">
        <is>
          <t>COLZGAAPCost</t>
        </is>
      </c>
      <c r="C137" t="n">
        <v>55</v>
      </c>
      <c r="D137" t="inlineStr">
        <is>
          <t>BC</t>
        </is>
      </c>
    </row>
    <row r="138">
      <c r="A138" t="inlineStr">
        <is>
          <t>Sheet12</t>
        </is>
      </c>
      <c r="B138" t="inlineStr">
        <is>
          <t>COLZGAAPCostComment</t>
        </is>
      </c>
      <c r="C138" t="n">
        <v>67</v>
      </c>
      <c r="D138" t="inlineStr">
        <is>
          <t>BO</t>
        </is>
      </c>
    </row>
    <row r="139">
      <c r="A139" t="inlineStr">
        <is>
          <t>Sheet12</t>
        </is>
      </c>
      <c r="B139" t="inlineStr">
        <is>
          <t>COLZGAAPCostNew</t>
        </is>
      </c>
      <c r="C139" t="n">
        <v>71</v>
      </c>
      <c r="D139" t="inlineStr">
        <is>
          <t>BS</t>
        </is>
      </c>
    </row>
    <row r="140">
      <c r="A140" t="inlineStr">
        <is>
          <t>Sheet12</t>
        </is>
      </c>
      <c r="B140" t="inlineStr">
        <is>
          <t>COLZGAAPCostNotes</t>
        </is>
      </c>
      <c r="C140" t="n">
        <v>65</v>
      </c>
      <c r="D140" t="inlineStr">
        <is>
          <t>BM</t>
        </is>
      </c>
    </row>
    <row r="141">
      <c r="A141" t="inlineStr">
        <is>
          <t>Sheet12</t>
        </is>
      </c>
      <c r="B141" t="inlineStr">
        <is>
          <t>COLZGAAPPYCost</t>
        </is>
      </c>
      <c r="C141" t="n">
        <v>77</v>
      </c>
      <c r="D141" t="inlineStr">
        <is>
          <t>BY</t>
        </is>
      </c>
    </row>
    <row r="142">
      <c r="A142" t="inlineStr">
        <is>
          <t>Sheet12</t>
        </is>
      </c>
      <c r="B142" t="inlineStr">
        <is>
          <t>COLZGAAPPYRev</t>
        </is>
      </c>
      <c r="C142" t="n">
        <v>76</v>
      </c>
      <c r="D142" t="inlineStr">
        <is>
          <t>BX</t>
        </is>
      </c>
    </row>
    <row r="143">
      <c r="A143" t="inlineStr">
        <is>
          <t>Sheet12</t>
        </is>
      </c>
      <c r="B143" t="inlineStr">
        <is>
          <t>COLZGAAPRev</t>
        </is>
      </c>
      <c r="C143" t="n">
        <v>54</v>
      </c>
      <c r="D143" t="inlineStr">
        <is>
          <t>BB</t>
        </is>
      </c>
    </row>
    <row r="144">
      <c r="A144" t="inlineStr">
        <is>
          <t>Sheet12</t>
        </is>
      </c>
      <c r="B144" t="inlineStr">
        <is>
          <t>COLZGAAPRevComment</t>
        </is>
      </c>
      <c r="C144" t="n">
        <v>66</v>
      </c>
      <c r="D144" t="inlineStr">
        <is>
          <t>BN</t>
        </is>
      </c>
    </row>
    <row r="145">
      <c r="A145" t="inlineStr">
        <is>
          <t>Sheet12</t>
        </is>
      </c>
      <c r="B145" t="inlineStr">
        <is>
          <t>COLZGAAPRevNew</t>
        </is>
      </c>
      <c r="C145" t="n">
        <v>70</v>
      </c>
      <c r="D145" t="inlineStr">
        <is>
          <t>BR</t>
        </is>
      </c>
    </row>
    <row r="146">
      <c r="A146" t="inlineStr">
        <is>
          <t>Sheet12</t>
        </is>
      </c>
      <c r="B146" t="inlineStr">
        <is>
          <t>COLZGAAPRevNotes</t>
        </is>
      </c>
      <c r="C146" t="n">
        <v>64</v>
      </c>
      <c r="D146" t="inlineStr">
        <is>
          <t>BL</t>
        </is>
      </c>
    </row>
    <row r="147">
      <c r="A147" t="inlineStr">
        <is>
          <t>Sheet12</t>
        </is>
      </c>
      <c r="B147" t="inlineStr">
        <is>
          <t>COLZJCOP</t>
        </is>
      </c>
      <c r="C147" t="n">
        <v>51</v>
      </c>
      <c r="D147" t="inlineStr">
        <is>
          <t>AY</t>
        </is>
      </c>
    </row>
    <row r="148">
      <c r="A148" t="inlineStr">
        <is>
          <t>Sheet12</t>
        </is>
      </c>
      <c r="B148" t="inlineStr">
        <is>
          <t>COLZJCOR</t>
        </is>
      </c>
      <c r="C148" t="n">
        <v>50</v>
      </c>
      <c r="D148" t="inlineStr">
        <is>
          <t>AX</t>
        </is>
      </c>
    </row>
    <row r="149">
      <c r="A149" t="inlineStr">
        <is>
          <t>Sheet12</t>
        </is>
      </c>
      <c r="B149" t="inlineStr">
        <is>
          <t>COLZOPsCChg</t>
        </is>
      </c>
      <c r="C149" t="n">
        <v>48</v>
      </c>
      <c r="D149" t="inlineStr">
        <is>
          <t>AV</t>
        </is>
      </c>
    </row>
    <row r="150">
      <c r="A150" t="inlineStr">
        <is>
          <t>Sheet12</t>
        </is>
      </c>
      <c r="B150" t="inlineStr">
        <is>
          <t>COLZOPsCost</t>
        </is>
      </c>
      <c r="C150" t="n">
        <v>53</v>
      </c>
      <c r="D150" t="inlineStr">
        <is>
          <t>BA</t>
        </is>
      </c>
    </row>
    <row r="151">
      <c r="A151" t="inlineStr">
        <is>
          <t>Sheet12</t>
        </is>
      </c>
      <c r="B151" t="inlineStr">
        <is>
          <t>COLZOPsCostComment</t>
        </is>
      </c>
      <c r="C151" t="n">
        <v>69</v>
      </c>
      <c r="D151" t="inlineStr">
        <is>
          <t>BQ</t>
        </is>
      </c>
    </row>
    <row r="152">
      <c r="A152" t="inlineStr">
        <is>
          <t>Sheet12</t>
        </is>
      </c>
      <c r="B152" t="inlineStr">
        <is>
          <t>COLZOPsCostNew</t>
        </is>
      </c>
      <c r="C152" t="n">
        <v>73</v>
      </c>
      <c r="D152" t="inlineStr">
        <is>
          <t>BU</t>
        </is>
      </c>
    </row>
    <row r="153">
      <c r="A153" t="inlineStr">
        <is>
          <t>Sheet12</t>
        </is>
      </c>
      <c r="B153" t="inlineStr">
        <is>
          <t>COLZOPsCostNotes</t>
        </is>
      </c>
      <c r="C153" t="n">
        <v>63</v>
      </c>
      <c r="D153" t="inlineStr">
        <is>
          <t>BK</t>
        </is>
      </c>
    </row>
    <row r="154">
      <c r="A154" t="inlineStr">
        <is>
          <t>Sheet12</t>
        </is>
      </c>
      <c r="B154" t="inlineStr">
        <is>
          <t>COLZOpsPYCost</t>
        </is>
      </c>
      <c r="C154" t="n">
        <v>79</v>
      </c>
      <c r="D154" t="inlineStr">
        <is>
          <t>CA</t>
        </is>
      </c>
    </row>
    <row r="155">
      <c r="A155" t="inlineStr">
        <is>
          <t>Sheet12</t>
        </is>
      </c>
      <c r="B155" t="inlineStr">
        <is>
          <t>COLZOpsPYRev</t>
        </is>
      </c>
      <c r="C155" t="n">
        <v>78</v>
      </c>
      <c r="D155" t="inlineStr">
        <is>
          <t>BZ</t>
        </is>
      </c>
    </row>
    <row r="156">
      <c r="A156" t="inlineStr">
        <is>
          <t>Sheet12</t>
        </is>
      </c>
      <c r="B156" t="inlineStr">
        <is>
          <t>COLZOPsRChg</t>
        </is>
      </c>
      <c r="C156" t="n">
        <v>47</v>
      </c>
      <c r="D156" t="inlineStr">
        <is>
          <t>AU</t>
        </is>
      </c>
    </row>
    <row r="157">
      <c r="A157" t="inlineStr">
        <is>
          <t>Sheet12</t>
        </is>
      </c>
      <c r="B157" t="inlineStr">
        <is>
          <t>COLZOPsRev</t>
        </is>
      </c>
      <c r="C157" t="n">
        <v>52</v>
      </c>
      <c r="D157" t="inlineStr">
        <is>
          <t>AZ</t>
        </is>
      </c>
    </row>
    <row r="158">
      <c r="A158" t="inlineStr">
        <is>
          <t>Sheet12</t>
        </is>
      </c>
      <c r="B158" t="inlineStr">
        <is>
          <t>COLZOPsRevComment</t>
        </is>
      </c>
      <c r="C158" t="n">
        <v>68</v>
      </c>
      <c r="D158" t="inlineStr">
        <is>
          <t>BP</t>
        </is>
      </c>
    </row>
    <row r="159">
      <c r="A159" t="inlineStr">
        <is>
          <t>Sheet12</t>
        </is>
      </c>
      <c r="B159" t="inlineStr">
        <is>
          <t>COLZOPsRevNew</t>
        </is>
      </c>
      <c r="C159" t="n">
        <v>72</v>
      </c>
      <c r="D159" t="inlineStr">
        <is>
          <t>BT</t>
        </is>
      </c>
    </row>
    <row r="160">
      <c r="A160" t="inlineStr">
        <is>
          <t>Sheet12</t>
        </is>
      </c>
      <c r="B160" t="inlineStr">
        <is>
          <t>COLZOPsRevNotes</t>
        </is>
      </c>
      <c r="C160" t="n">
        <v>62</v>
      </c>
      <c r="D160" t="inlineStr">
        <is>
          <t>BJ</t>
        </is>
      </c>
    </row>
    <row r="161">
      <c r="A161" t="inlineStr">
        <is>
          <t>Sheet12</t>
        </is>
      </c>
      <c r="B161" t="inlineStr">
        <is>
          <t>COLZORGBilledAmt</t>
        </is>
      </c>
      <c r="C161" t="n">
        <v>83</v>
      </c>
      <c r="D161" t="inlineStr">
        <is>
          <t>CE</t>
        </is>
      </c>
    </row>
    <row r="162">
      <c r="A162" t="inlineStr">
        <is>
          <t>Sheet12</t>
        </is>
      </c>
      <c r="B162" t="inlineStr">
        <is>
          <t>COLZORGCYBilledAmt</t>
        </is>
      </c>
      <c r="C162" t="n">
        <v>84</v>
      </c>
      <c r="D162" t="inlineStr">
        <is>
          <t>CF</t>
        </is>
      </c>
    </row>
    <row r="163">
      <c r="A163" t="inlineStr">
        <is>
          <t>Sheet12</t>
        </is>
      </c>
      <c r="B163" t="inlineStr">
        <is>
          <t>COLZORGCYCost</t>
        </is>
      </c>
      <c r="C163" t="n">
        <v>82</v>
      </c>
      <c r="D163" t="inlineStr">
        <is>
          <t>CD</t>
        </is>
      </c>
    </row>
    <row r="164">
      <c r="A164" t="inlineStr">
        <is>
          <t>Sheet12</t>
        </is>
      </c>
      <c r="B164" t="inlineStr">
        <is>
          <t>COLZORGJTDCost</t>
        </is>
      </c>
      <c r="C164" t="n">
        <v>81</v>
      </c>
      <c r="D164" t="inlineStr">
        <is>
          <t>CC</t>
        </is>
      </c>
    </row>
    <row r="165">
      <c r="A165" t="inlineStr">
        <is>
          <t>Sheet12</t>
        </is>
      </c>
      <c r="B165" t="inlineStr">
        <is>
          <t>COLZPriorBonusProfit</t>
        </is>
      </c>
      <c r="C165" t="n">
        <v>57</v>
      </c>
      <c r="D165" t="inlineStr">
        <is>
          <t>BE</t>
        </is>
      </c>
    </row>
    <row r="166">
      <c r="A166" t="inlineStr">
        <is>
          <t>Sheet12</t>
        </is>
      </c>
      <c r="B166" t="inlineStr">
        <is>
          <t>COLZPriorGAAPProfit</t>
        </is>
      </c>
      <c r="C166" t="n">
        <v>58</v>
      </c>
      <c r="D166" t="inlineStr">
        <is>
          <t>BF</t>
        </is>
      </c>
    </row>
    <row r="167">
      <c r="A167" t="inlineStr">
        <is>
          <t>Sheet12</t>
        </is>
      </c>
      <c r="B167" t="inlineStr">
        <is>
          <t>COLZPriorJTDGAAPProfit</t>
        </is>
      </c>
      <c r="C167" t="n">
        <v>61</v>
      </c>
      <c r="D167" t="inlineStr">
        <is>
          <t>BI</t>
        </is>
      </c>
    </row>
    <row r="168">
      <c r="A168" t="inlineStr">
        <is>
          <t>Sheet12</t>
        </is>
      </c>
      <c r="B168" t="inlineStr">
        <is>
          <t>COLZPriorJTDOPsProfit</t>
        </is>
      </c>
      <c r="C168" t="n">
        <v>60</v>
      </c>
      <c r="D168" t="inlineStr">
        <is>
          <t>BH</t>
        </is>
      </c>
    </row>
    <row r="169">
      <c r="A169" t="inlineStr">
        <is>
          <t>Sheet12</t>
        </is>
      </c>
      <c r="B169" t="inlineStr">
        <is>
          <t>COLZPriorOPsProfit</t>
        </is>
      </c>
      <c r="C169" t="n">
        <v>56</v>
      </c>
      <c r="D169" t="inlineStr">
        <is>
          <t>BD</t>
        </is>
      </c>
    </row>
    <row r="170">
      <c r="A170" t="inlineStr">
        <is>
          <t>Sheet12</t>
        </is>
      </c>
      <c r="B170" t="inlineStr">
        <is>
          <t>COLZRowVersion</t>
        </is>
      </c>
      <c r="C170" t="n">
        <v>80</v>
      </c>
      <c r="D170" t="inlineStr">
        <is>
          <t>CB</t>
        </is>
      </c>
    </row>
    <row r="171">
      <c r="A171" t="inlineStr">
        <is>
          <t>Sheet12</t>
        </is>
      </c>
      <c r="B171" t="inlineStr">
        <is>
          <t>COLZudChg</t>
        </is>
      </c>
      <c r="C171" t="n">
        <v>49</v>
      </c>
      <c r="D171" t="inlineStr">
        <is>
          <t>AW</t>
        </is>
      </c>
    </row>
    <row r="172">
      <c r="A172" t="inlineStr">
        <is>
          <t>Sheet12</t>
        </is>
      </c>
      <c r="B172" t="inlineStr">
        <is>
          <t>COLZUserName</t>
        </is>
      </c>
      <c r="C172" t="n">
        <v>74</v>
      </c>
      <c r="D172" t="inlineStr">
        <is>
          <t>BV</t>
        </is>
      </c>
    </row>
    <row r="173">
      <c r="A173" t="inlineStr">
        <is>
          <t>Sheet13</t>
        </is>
      </c>
      <c r="B173" t="inlineStr">
        <is>
          <t>COLExAll</t>
        </is>
      </c>
      <c r="C173" t="n">
        <v>4</v>
      </c>
      <c r="D173" t="inlineStr">
        <is>
          <t>D</t>
        </is>
      </c>
    </row>
    <row r="174">
      <c r="A174" t="inlineStr">
        <is>
          <t>Sheet13</t>
        </is>
      </c>
      <c r="B174" t="inlineStr">
        <is>
          <t>COLGAAPPctComp</t>
        </is>
      </c>
      <c r="C174" t="n">
        <v>8</v>
      </c>
      <c r="D174" t="inlineStr">
        <is>
          <t>H</t>
        </is>
      </c>
    </row>
    <row r="175">
      <c r="A175" t="inlineStr">
        <is>
          <t>Sheet13</t>
        </is>
      </c>
      <c r="B175" t="inlineStr">
        <is>
          <t>COLJobDesc</t>
        </is>
      </c>
      <c r="C175" t="n">
        <v>2</v>
      </c>
      <c r="D175" t="inlineStr">
        <is>
          <t>B</t>
        </is>
      </c>
    </row>
    <row r="176">
      <c r="A176" t="inlineStr">
        <is>
          <t>Sheet13</t>
        </is>
      </c>
      <c r="B176" t="inlineStr">
        <is>
          <t>COLJobNumber</t>
        </is>
      </c>
      <c r="C176" t="n">
        <v>1</v>
      </c>
      <c r="D176" t="inlineStr">
        <is>
          <t>A</t>
        </is>
      </c>
    </row>
    <row r="177">
      <c r="A177" t="inlineStr">
        <is>
          <t>Sheet13</t>
        </is>
      </c>
      <c r="B177" t="inlineStr">
        <is>
          <t>COLOpsPctComp</t>
        </is>
      </c>
      <c r="C177" t="n">
        <v>6</v>
      </c>
      <c r="D177" t="inlineStr">
        <is>
          <t>F</t>
        </is>
      </c>
    </row>
    <row r="178">
      <c r="A178" t="inlineStr">
        <is>
          <t>Sheet13</t>
        </is>
      </c>
      <c r="B178" t="inlineStr">
        <is>
          <t>COLPrjMngr</t>
        </is>
      </c>
      <c r="C178" t="n">
        <v>3</v>
      </c>
      <c r="D178" t="inlineStr">
        <is>
          <t>C</t>
        </is>
      </c>
    </row>
    <row r="179">
      <c r="A179" t="inlineStr">
        <is>
          <t>Sheet13</t>
        </is>
      </c>
      <c r="B179" t="inlineStr">
        <is>
          <t>COLZBatchSeq</t>
        </is>
      </c>
      <c r="C179" t="n">
        <v>57</v>
      </c>
      <c r="D179" t="inlineStr">
        <is>
          <t>BE</t>
        </is>
      </c>
    </row>
    <row r="180">
      <c r="A180" t="inlineStr">
        <is>
          <t>Sheet13</t>
        </is>
      </c>
      <c r="B180" t="inlineStr">
        <is>
          <t>COLZContractStatus</t>
        </is>
      </c>
      <c r="C180" t="n">
        <v>41</v>
      </c>
      <c r="D180" t="inlineStr">
        <is>
          <t>AO</t>
        </is>
      </c>
    </row>
    <row r="181">
      <c r="A181" t="inlineStr">
        <is>
          <t>Sheet13</t>
        </is>
      </c>
      <c r="B181" t="inlineStr">
        <is>
          <t>COLZGAAPCost</t>
        </is>
      </c>
      <c r="C181" t="n">
        <v>37</v>
      </c>
      <c r="D181" t="inlineStr">
        <is>
          <t>AK</t>
        </is>
      </c>
    </row>
    <row r="182">
      <c r="A182" t="inlineStr">
        <is>
          <t>Sheet13</t>
        </is>
      </c>
      <c r="B182" t="inlineStr">
        <is>
          <t>COLZGAAPCostComment</t>
        </is>
      </c>
      <c r="C182" t="n">
        <v>49</v>
      </c>
      <c r="D182" t="inlineStr">
        <is>
          <t>AW</t>
        </is>
      </c>
    </row>
    <row r="183">
      <c r="A183" t="inlineStr">
        <is>
          <t>Sheet13</t>
        </is>
      </c>
      <c r="B183" t="inlineStr">
        <is>
          <t>COLZGAAPCostNew</t>
        </is>
      </c>
      <c r="C183" t="n">
        <v>53</v>
      </c>
      <c r="D183" t="inlineStr">
        <is>
          <t>BA</t>
        </is>
      </c>
    </row>
    <row r="184">
      <c r="A184" t="inlineStr">
        <is>
          <t>Sheet13</t>
        </is>
      </c>
      <c r="B184" t="inlineStr">
        <is>
          <t>COLZGAAPCostNotes</t>
        </is>
      </c>
      <c r="C184" t="n">
        <v>47</v>
      </c>
      <c r="D184" t="inlineStr">
        <is>
          <t>AU</t>
        </is>
      </c>
    </row>
    <row r="185">
      <c r="A185" t="inlineStr">
        <is>
          <t>Sheet13</t>
        </is>
      </c>
      <c r="B185" t="inlineStr">
        <is>
          <t>COLZGAAPPYCost</t>
        </is>
      </c>
      <c r="C185" t="n">
        <v>59</v>
      </c>
      <c r="D185" t="inlineStr">
        <is>
          <t>BG</t>
        </is>
      </c>
    </row>
    <row r="186">
      <c r="A186" t="inlineStr">
        <is>
          <t>Sheet13</t>
        </is>
      </c>
      <c r="B186" t="inlineStr">
        <is>
          <t>COLZGAAPPYRev</t>
        </is>
      </c>
      <c r="C186" t="n">
        <v>58</v>
      </c>
      <c r="D186" t="inlineStr">
        <is>
          <t>BF</t>
        </is>
      </c>
    </row>
    <row r="187">
      <c r="A187" t="inlineStr">
        <is>
          <t>Sheet13</t>
        </is>
      </c>
      <c r="B187" t="inlineStr">
        <is>
          <t>COLZGAAPRev</t>
        </is>
      </c>
      <c r="C187" t="n">
        <v>36</v>
      </c>
      <c r="D187" t="inlineStr">
        <is>
          <t>AJ</t>
        </is>
      </c>
    </row>
    <row r="188">
      <c r="A188" t="inlineStr">
        <is>
          <t>Sheet13</t>
        </is>
      </c>
      <c r="B188" t="inlineStr">
        <is>
          <t>COLZGAAPRevComment</t>
        </is>
      </c>
      <c r="C188" t="n">
        <v>48</v>
      </c>
      <c r="D188" t="inlineStr">
        <is>
          <t>AV</t>
        </is>
      </c>
    </row>
    <row r="189">
      <c r="A189" t="inlineStr">
        <is>
          <t>Sheet13</t>
        </is>
      </c>
      <c r="B189" t="inlineStr">
        <is>
          <t>COLZGAAPRevNew</t>
        </is>
      </c>
      <c r="C189" t="n">
        <v>52</v>
      </c>
      <c r="D189" t="inlineStr">
        <is>
          <t>AZ</t>
        </is>
      </c>
    </row>
    <row r="190">
      <c r="A190" t="inlineStr">
        <is>
          <t>Sheet13</t>
        </is>
      </c>
      <c r="B190" t="inlineStr">
        <is>
          <t>COLZGAAPRevNotes</t>
        </is>
      </c>
      <c r="C190" t="n">
        <v>46</v>
      </c>
      <c r="D190" t="inlineStr">
        <is>
          <t>AT</t>
        </is>
      </c>
    </row>
    <row r="191">
      <c r="A191" t="inlineStr">
        <is>
          <t>Sheet13</t>
        </is>
      </c>
      <c r="B191" t="inlineStr">
        <is>
          <t>COLZJCOP</t>
        </is>
      </c>
      <c r="C191" t="n">
        <v>33</v>
      </c>
      <c r="D191" t="inlineStr">
        <is>
          <t>AG</t>
        </is>
      </c>
    </row>
    <row r="192">
      <c r="A192" t="inlineStr">
        <is>
          <t>Sheet13</t>
        </is>
      </c>
      <c r="B192" t="inlineStr">
        <is>
          <t>COLZJCOR</t>
        </is>
      </c>
      <c r="C192" t="n">
        <v>32</v>
      </c>
      <c r="D192" t="inlineStr">
        <is>
          <t>AF</t>
        </is>
      </c>
    </row>
    <row r="193">
      <c r="A193" t="inlineStr">
        <is>
          <t>Sheet13</t>
        </is>
      </c>
      <c r="B193" t="inlineStr">
        <is>
          <t>COLZOPsCChg</t>
        </is>
      </c>
      <c r="C193" t="n">
        <v>30</v>
      </c>
      <c r="D193" t="inlineStr">
        <is>
          <t>AD</t>
        </is>
      </c>
    </row>
    <row r="194">
      <c r="A194" t="inlineStr">
        <is>
          <t>Sheet13</t>
        </is>
      </c>
      <c r="B194" t="inlineStr">
        <is>
          <t>COLZOPsCost</t>
        </is>
      </c>
      <c r="C194" t="n">
        <v>35</v>
      </c>
      <c r="D194" t="inlineStr">
        <is>
          <t>AI</t>
        </is>
      </c>
    </row>
    <row r="195">
      <c r="A195" t="inlineStr">
        <is>
          <t>Sheet13</t>
        </is>
      </c>
      <c r="B195" t="inlineStr">
        <is>
          <t>COLZOPsCostComment</t>
        </is>
      </c>
      <c r="C195" t="n">
        <v>51</v>
      </c>
      <c r="D195" t="inlineStr">
        <is>
          <t>AY</t>
        </is>
      </c>
    </row>
    <row r="196">
      <c r="A196" t="inlineStr">
        <is>
          <t>Sheet13</t>
        </is>
      </c>
      <c r="B196" t="inlineStr">
        <is>
          <t>COLZOPsCostNew</t>
        </is>
      </c>
      <c r="C196" t="n">
        <v>55</v>
      </c>
      <c r="D196" t="inlineStr">
        <is>
          <t>BC</t>
        </is>
      </c>
    </row>
    <row r="197">
      <c r="A197" t="inlineStr">
        <is>
          <t>Sheet13</t>
        </is>
      </c>
      <c r="B197" t="inlineStr">
        <is>
          <t>COLZOPsCostNotes</t>
        </is>
      </c>
      <c r="C197" t="n">
        <v>45</v>
      </c>
      <c r="D197" t="inlineStr">
        <is>
          <t>AS</t>
        </is>
      </c>
    </row>
    <row r="198">
      <c r="A198" t="inlineStr">
        <is>
          <t>Sheet13</t>
        </is>
      </c>
      <c r="B198" t="inlineStr">
        <is>
          <t>COLZOpsPYCost</t>
        </is>
      </c>
      <c r="C198" t="n">
        <v>61</v>
      </c>
      <c r="D198" t="inlineStr">
        <is>
          <t>BI</t>
        </is>
      </c>
    </row>
    <row r="199">
      <c r="A199" t="inlineStr">
        <is>
          <t>Sheet13</t>
        </is>
      </c>
      <c r="B199" t="inlineStr">
        <is>
          <t>COLZOpsPYRev</t>
        </is>
      </c>
      <c r="C199" t="n">
        <v>60</v>
      </c>
      <c r="D199" t="inlineStr">
        <is>
          <t>BH</t>
        </is>
      </c>
    </row>
    <row r="200">
      <c r="A200" t="inlineStr">
        <is>
          <t>Sheet13</t>
        </is>
      </c>
      <c r="B200" t="inlineStr">
        <is>
          <t>COLZOPsRChg</t>
        </is>
      </c>
      <c r="C200" t="n">
        <v>29</v>
      </c>
      <c r="D200" t="inlineStr">
        <is>
          <t>AC</t>
        </is>
      </c>
    </row>
    <row r="201">
      <c r="A201" t="inlineStr">
        <is>
          <t>Sheet13</t>
        </is>
      </c>
      <c r="B201" t="inlineStr">
        <is>
          <t>COLZOPsRev</t>
        </is>
      </c>
      <c r="C201" t="n">
        <v>34</v>
      </c>
      <c r="D201" t="inlineStr">
        <is>
          <t>AH</t>
        </is>
      </c>
    </row>
    <row r="202">
      <c r="A202" t="inlineStr">
        <is>
          <t>Sheet13</t>
        </is>
      </c>
      <c r="B202" t="inlineStr">
        <is>
          <t>COLZOPsRevComment</t>
        </is>
      </c>
      <c r="C202" t="n">
        <v>50</v>
      </c>
      <c r="D202" t="inlineStr">
        <is>
          <t>AX</t>
        </is>
      </c>
    </row>
    <row r="203">
      <c r="A203" t="inlineStr">
        <is>
          <t>Sheet13</t>
        </is>
      </c>
      <c r="B203" t="inlineStr">
        <is>
          <t>COLZOPsRevNew</t>
        </is>
      </c>
      <c r="C203" t="n">
        <v>54</v>
      </c>
      <c r="D203" t="inlineStr">
        <is>
          <t>BB</t>
        </is>
      </c>
    </row>
    <row r="204">
      <c r="A204" t="inlineStr">
        <is>
          <t>Sheet13</t>
        </is>
      </c>
      <c r="B204" t="inlineStr">
        <is>
          <t>COLZOPsRevNotes</t>
        </is>
      </c>
      <c r="C204" t="n">
        <v>44</v>
      </c>
      <c r="D204" t="inlineStr">
        <is>
          <t>AR</t>
        </is>
      </c>
    </row>
    <row r="205">
      <c r="A205" t="inlineStr">
        <is>
          <t>Sheet13</t>
        </is>
      </c>
      <c r="B205" t="inlineStr">
        <is>
          <t>COLZORGBilledAmt</t>
        </is>
      </c>
      <c r="C205" t="n">
        <v>65</v>
      </c>
      <c r="D205" t="inlineStr">
        <is>
          <t>BM</t>
        </is>
      </c>
    </row>
    <row r="206">
      <c r="A206" t="inlineStr">
        <is>
          <t>Sheet13</t>
        </is>
      </c>
      <c r="B206" t="inlineStr">
        <is>
          <t>COLZORGCYBilledAmt</t>
        </is>
      </c>
      <c r="C206" t="n">
        <v>66</v>
      </c>
      <c r="D206" t="inlineStr">
        <is>
          <t>BN</t>
        </is>
      </c>
    </row>
    <row r="207">
      <c r="A207" t="inlineStr">
        <is>
          <t>Sheet13</t>
        </is>
      </c>
      <c r="B207" t="inlineStr">
        <is>
          <t>COLZORGCYCost</t>
        </is>
      </c>
      <c r="C207" t="n">
        <v>64</v>
      </c>
      <c r="D207" t="inlineStr">
        <is>
          <t>BL</t>
        </is>
      </c>
    </row>
    <row r="208">
      <c r="A208" t="inlineStr">
        <is>
          <t>Sheet13</t>
        </is>
      </c>
      <c r="B208" t="inlineStr">
        <is>
          <t>COLZORGJTDCost</t>
        </is>
      </c>
      <c r="C208" t="n">
        <v>63</v>
      </c>
      <c r="D208" t="inlineStr">
        <is>
          <t>BK</t>
        </is>
      </c>
    </row>
    <row r="209">
      <c r="A209" t="inlineStr">
        <is>
          <t>Sheet13</t>
        </is>
      </c>
      <c r="B209" t="inlineStr">
        <is>
          <t>COLZPriorBonusProfit</t>
        </is>
      </c>
      <c r="C209" t="n">
        <v>39</v>
      </c>
      <c r="D209" t="inlineStr">
        <is>
          <t>AM</t>
        </is>
      </c>
    </row>
    <row r="210">
      <c r="A210" t="inlineStr">
        <is>
          <t>Sheet13</t>
        </is>
      </c>
      <c r="B210" t="inlineStr">
        <is>
          <t>COLZPriorGAAPProfit</t>
        </is>
      </c>
      <c r="C210" t="n">
        <v>40</v>
      </c>
      <c r="D210" t="inlineStr">
        <is>
          <t>AN</t>
        </is>
      </c>
    </row>
    <row r="211">
      <c r="A211" t="inlineStr">
        <is>
          <t>Sheet13</t>
        </is>
      </c>
      <c r="B211" t="inlineStr">
        <is>
          <t>COLZPriorJTDGAAPProfit</t>
        </is>
      </c>
      <c r="C211" t="n">
        <v>43</v>
      </c>
      <c r="D211" t="inlineStr">
        <is>
          <t>AQ</t>
        </is>
      </c>
    </row>
    <row r="212">
      <c r="A212" t="inlineStr">
        <is>
          <t>Sheet13</t>
        </is>
      </c>
      <c r="B212" t="inlineStr">
        <is>
          <t>COLZPriorJTDOPsProfit</t>
        </is>
      </c>
      <c r="C212" t="n">
        <v>42</v>
      </c>
      <c r="D212" t="inlineStr">
        <is>
          <t>AP</t>
        </is>
      </c>
    </row>
    <row r="213">
      <c r="A213" t="inlineStr">
        <is>
          <t>Sheet13</t>
        </is>
      </c>
      <c r="B213" t="inlineStr">
        <is>
          <t>COLZPriorOPsProfit</t>
        </is>
      </c>
      <c r="C213" t="n">
        <v>38</v>
      </c>
      <c r="D213" t="inlineStr">
        <is>
          <t>AL</t>
        </is>
      </c>
    </row>
    <row r="214">
      <c r="A214" t="inlineStr">
        <is>
          <t>Sheet13</t>
        </is>
      </c>
      <c r="B214" t="inlineStr">
        <is>
          <t>COLZRowVersion</t>
        </is>
      </c>
      <c r="C214" t="n">
        <v>62</v>
      </c>
      <c r="D214" t="inlineStr">
        <is>
          <t>BJ</t>
        </is>
      </c>
    </row>
    <row r="215">
      <c r="A215" t="inlineStr">
        <is>
          <t>Sheet13</t>
        </is>
      </c>
      <c r="B215" t="inlineStr">
        <is>
          <t>COLZudChg</t>
        </is>
      </c>
      <c r="C215" t="n">
        <v>31</v>
      </c>
      <c r="D215" t="inlineStr">
        <is>
          <t>AE</t>
        </is>
      </c>
    </row>
    <row r="216">
      <c r="A216" t="inlineStr">
        <is>
          <t>Sheet13</t>
        </is>
      </c>
      <c r="B216" t="inlineStr">
        <is>
          <t>COLZUserName</t>
        </is>
      </c>
      <c r="C216" t="n">
        <v>56</v>
      </c>
      <c r="D216" t="inlineStr">
        <is>
          <t>BD</t>
        </is>
      </c>
    </row>
    <row r="217">
      <c r="A217" t="inlineStr">
        <is>
          <t>Sheet14</t>
        </is>
      </c>
      <c r="B217" t="inlineStr">
        <is>
          <t>COLDone</t>
        </is>
      </c>
      <c r="C217" t="n">
        <v>8</v>
      </c>
      <c r="D217" t="inlineStr">
        <is>
          <t>H</t>
        </is>
      </c>
    </row>
    <row r="218">
      <c r="A218" t="inlineStr">
        <is>
          <t>Sheet14</t>
        </is>
      </c>
      <c r="B218" t="inlineStr">
        <is>
          <t>COLJVAPYCalcProfit</t>
        </is>
      </c>
      <c r="C218" t="n">
        <v>21</v>
      </c>
      <c r="D218" t="inlineStr">
        <is>
          <t>U</t>
        </is>
      </c>
    </row>
    <row r="219">
      <c r="A219" t="inlineStr">
        <is>
          <t>Sheet14</t>
        </is>
      </c>
      <c r="B219" t="inlineStr">
        <is>
          <t>COLJVAPYCost</t>
        </is>
      </c>
      <c r="C219" t="n">
        <v>20</v>
      </c>
      <c r="D219" t="inlineStr">
        <is>
          <t>T</t>
        </is>
      </c>
    </row>
    <row r="220">
      <c r="A220" t="inlineStr">
        <is>
          <t>Sheet14</t>
        </is>
      </c>
      <c r="B220" t="inlineStr">
        <is>
          <t>COLJVAPYRev</t>
        </is>
      </c>
      <c r="C220" t="n">
        <v>19</v>
      </c>
      <c r="D220" t="inlineStr">
        <is>
          <t>S</t>
        </is>
      </c>
    </row>
    <row r="221">
      <c r="A221" t="inlineStr">
        <is>
          <t>Sheet14</t>
        </is>
      </c>
      <c r="B221" t="inlineStr">
        <is>
          <t>COLJVBCost</t>
        </is>
      </c>
      <c r="C221" t="n">
        <v>28</v>
      </c>
      <c r="D221" t="inlineStr">
        <is>
          <t>AB</t>
        </is>
      </c>
    </row>
    <row r="222">
      <c r="A222" t="inlineStr">
        <is>
          <t>Sheet14</t>
        </is>
      </c>
      <c r="B222" t="inlineStr">
        <is>
          <t>COLJVBILLBillExRev</t>
        </is>
      </c>
      <c r="C222" t="n">
        <v>33</v>
      </c>
      <c r="D222" t="inlineStr">
        <is>
          <t>AG</t>
        </is>
      </c>
    </row>
    <row r="223">
      <c r="A223" t="inlineStr">
        <is>
          <t>Sheet14</t>
        </is>
      </c>
      <c r="B223" t="inlineStr">
        <is>
          <t>COLJVBILLBillings</t>
        </is>
      </c>
      <c r="C223" t="n">
        <v>31</v>
      </c>
      <c r="D223" t="inlineStr">
        <is>
          <t>AE</t>
        </is>
      </c>
    </row>
    <row r="224">
      <c r="A224" t="inlineStr">
        <is>
          <t>Sheet14</t>
        </is>
      </c>
      <c r="B224" t="inlineStr">
        <is>
          <t>COLJVBILLRevExBill</t>
        </is>
      </c>
      <c r="C224" t="n">
        <v>32</v>
      </c>
      <c r="D224" t="inlineStr">
        <is>
          <t>AF</t>
        </is>
      </c>
    </row>
    <row r="225">
      <c r="A225" t="inlineStr">
        <is>
          <t>Sheet14</t>
        </is>
      </c>
      <c r="B225" t="inlineStr">
        <is>
          <t>COLJVBProfit</t>
        </is>
      </c>
      <c r="C225" t="n">
        <v>29</v>
      </c>
      <c r="D225" t="inlineStr">
        <is>
          <t>AC</t>
        </is>
      </c>
    </row>
    <row r="226">
      <c r="A226" t="inlineStr">
        <is>
          <t>Sheet14</t>
        </is>
      </c>
      <c r="B226" t="inlineStr">
        <is>
          <t>COLJVBRev</t>
        </is>
      </c>
      <c r="C226" t="n">
        <v>27</v>
      </c>
      <c r="D226" t="inlineStr">
        <is>
          <t>AA</t>
        </is>
      </c>
    </row>
    <row r="227">
      <c r="A227" t="inlineStr">
        <is>
          <t>Sheet14</t>
        </is>
      </c>
      <c r="B227" t="inlineStr">
        <is>
          <t>COLJVCurContAmt</t>
        </is>
      </c>
      <c r="C227" t="n">
        <v>9</v>
      </c>
      <c r="D227" t="inlineStr">
        <is>
          <t>I</t>
        </is>
      </c>
    </row>
    <row r="228">
      <c r="A228" t="inlineStr">
        <is>
          <t>Sheet14</t>
        </is>
      </c>
      <c r="B228" t="inlineStr">
        <is>
          <t>COLJVCYCalcProfit</t>
        </is>
      </c>
      <c r="C228" t="n">
        <v>25</v>
      </c>
      <c r="D228" t="inlineStr">
        <is>
          <t>Y</t>
        </is>
      </c>
    </row>
    <row r="229">
      <c r="A229" t="inlineStr">
        <is>
          <t>Sheet14</t>
        </is>
      </c>
      <c r="B229" t="inlineStr">
        <is>
          <t>COLJVCYCost</t>
        </is>
      </c>
      <c r="C229" t="n">
        <v>24</v>
      </c>
      <c r="D229" t="inlineStr">
        <is>
          <t>X</t>
        </is>
      </c>
    </row>
    <row r="230">
      <c r="A230" t="inlineStr">
        <is>
          <t>Sheet14</t>
        </is>
      </c>
      <c r="B230" t="inlineStr">
        <is>
          <t>COLJVCYRev</t>
        </is>
      </c>
      <c r="C230" t="n">
        <v>23</v>
      </c>
      <c r="D230" t="inlineStr">
        <is>
          <t>W</t>
        </is>
      </c>
    </row>
    <row r="231">
      <c r="A231" t="inlineStr">
        <is>
          <t>Sheet14</t>
        </is>
      </c>
      <c r="B231" t="inlineStr">
        <is>
          <t>COLJVJobDesc</t>
        </is>
      </c>
      <c r="C231" t="n">
        <v>4</v>
      </c>
      <c r="D231" t="inlineStr">
        <is>
          <t>D</t>
        </is>
      </c>
    </row>
    <row r="232">
      <c r="A232" t="inlineStr">
        <is>
          <t>Sheet14</t>
        </is>
      </c>
      <c r="B232" t="inlineStr">
        <is>
          <t>COLJVJobNo</t>
        </is>
      </c>
      <c r="C232" t="n">
        <v>2</v>
      </c>
      <c r="D232" t="inlineStr">
        <is>
          <t>B</t>
        </is>
      </c>
    </row>
    <row r="233">
      <c r="A233" t="inlineStr">
        <is>
          <t>Sheet14</t>
        </is>
      </c>
      <c r="B233" t="inlineStr">
        <is>
          <t>COLJVJTDCost</t>
        </is>
      </c>
      <c r="C233" t="n">
        <v>16</v>
      </c>
      <c r="D233" t="inlineStr">
        <is>
          <t>P</t>
        </is>
      </c>
    </row>
    <row r="234">
      <c r="A234" t="inlineStr">
        <is>
          <t>Sheet14</t>
        </is>
      </c>
      <c r="B234" t="inlineStr">
        <is>
          <t>COLJVJTDEarnedRev</t>
        </is>
      </c>
      <c r="C234" t="n">
        <v>15</v>
      </c>
      <c r="D234" t="inlineStr">
        <is>
          <t>O</t>
        </is>
      </c>
    </row>
    <row r="235">
      <c r="A235" t="inlineStr">
        <is>
          <t>Sheet14</t>
        </is>
      </c>
      <c r="B235" t="inlineStr">
        <is>
          <t>COLJVMMJobNo</t>
        </is>
      </c>
      <c r="C235" t="n">
        <v>1</v>
      </c>
      <c r="D235" t="inlineStr">
        <is>
          <t>A</t>
        </is>
      </c>
    </row>
    <row r="236">
      <c r="A236" t="inlineStr">
        <is>
          <t>Sheet14</t>
        </is>
      </c>
      <c r="B236" t="inlineStr">
        <is>
          <t>COLJVOJTDPctComp</t>
        </is>
      </c>
      <c r="C236" t="n">
        <v>14</v>
      </c>
      <c r="D236" t="inlineStr">
        <is>
          <t>N</t>
        </is>
      </c>
    </row>
    <row r="237">
      <c r="A237" t="inlineStr">
        <is>
          <t>Sheet14</t>
        </is>
      </c>
      <c r="B237" t="inlineStr">
        <is>
          <t>COLJVOJTDProfit</t>
        </is>
      </c>
      <c r="C237" t="n">
        <v>17</v>
      </c>
      <c r="D237" t="inlineStr">
        <is>
          <t>Q</t>
        </is>
      </c>
    </row>
    <row r="238">
      <c r="A238" t="inlineStr">
        <is>
          <t>Sheet14</t>
        </is>
      </c>
      <c r="B238" t="inlineStr">
        <is>
          <t>COLJVOvrCostProj</t>
        </is>
      </c>
      <c r="C238" t="n">
        <v>11</v>
      </c>
      <c r="D238" t="inlineStr">
        <is>
          <t>K</t>
        </is>
      </c>
    </row>
    <row r="239">
      <c r="A239" t="inlineStr">
        <is>
          <t>Sheet14</t>
        </is>
      </c>
      <c r="B239" t="inlineStr">
        <is>
          <t>COLJVOvrRevProj</t>
        </is>
      </c>
      <c r="C239" t="n">
        <v>10</v>
      </c>
      <c r="D239" t="inlineStr">
        <is>
          <t>J</t>
        </is>
      </c>
    </row>
    <row r="240">
      <c r="A240" t="inlineStr">
        <is>
          <t>Sheet14</t>
        </is>
      </c>
      <c r="B240" t="inlineStr">
        <is>
          <t>COLJVPartners</t>
        </is>
      </c>
      <c r="C240" t="n">
        <v>5</v>
      </c>
      <c r="D240" t="inlineStr">
        <is>
          <t>E</t>
        </is>
      </c>
    </row>
    <row r="241">
      <c r="A241" t="inlineStr">
        <is>
          <t>Sheet14</t>
        </is>
      </c>
      <c r="B241" t="inlineStr">
        <is>
          <t>COLJVProjProfit</t>
        </is>
      </c>
      <c r="C241" t="n">
        <v>12</v>
      </c>
      <c r="D241" t="inlineStr">
        <is>
          <t>L</t>
        </is>
      </c>
    </row>
    <row r="242">
      <c r="A242" t="inlineStr">
        <is>
          <t>Sheet14</t>
        </is>
      </c>
      <c r="B242" t="inlineStr">
        <is>
          <t>COLJVSharePct</t>
        </is>
      </c>
      <c r="C242" t="n">
        <v>6</v>
      </c>
      <c r="D242" t="inlineStr">
        <is>
          <t>F</t>
        </is>
      </c>
    </row>
    <row r="243">
      <c r="A243" t="inlineStr">
        <is>
          <t>Sheet14</t>
        </is>
      </c>
      <c r="B243" t="inlineStr">
        <is>
          <t>COLJVSupJobNo</t>
        </is>
      </c>
      <c r="C243" t="n">
        <v>3</v>
      </c>
      <c r="D243" t="inlineStr">
        <is>
          <t>C</t>
        </is>
      </c>
    </row>
    <row r="244">
      <c r="A244" t="inlineStr">
        <is>
          <t>Sheet14</t>
        </is>
      </c>
      <c r="B244" t="inlineStr">
        <is>
          <t>COLJVZJTDER</t>
        </is>
      </c>
      <c r="C244" t="n">
        <v>39</v>
      </c>
      <c r="D244" t="inlineStr">
        <is>
          <t>AM</t>
        </is>
      </c>
    </row>
    <row r="245">
      <c r="A245" t="inlineStr">
        <is>
          <t>Sheet14</t>
        </is>
      </c>
      <c r="B245" t="inlineStr">
        <is>
          <t>COLJVZJTDER2</t>
        </is>
      </c>
      <c r="C245" t="n">
        <v>41</v>
      </c>
      <c r="D245" t="inlineStr">
        <is>
          <t>AO</t>
        </is>
      </c>
    </row>
    <row r="246">
      <c r="A246" t="inlineStr">
        <is>
          <t>Sheet14</t>
        </is>
      </c>
      <c r="B246" t="inlineStr">
        <is>
          <t>COLJVZOJTDCost</t>
        </is>
      </c>
      <c r="C246" t="n">
        <v>40</v>
      </c>
      <c r="D246" t="inlineStr">
        <is>
          <t>AN</t>
        </is>
      </c>
    </row>
    <row r="247">
      <c r="A247" t="inlineStr">
        <is>
          <t>Sheet14</t>
        </is>
      </c>
      <c r="B247" t="inlineStr">
        <is>
          <t>COLJVZOJTDCost2</t>
        </is>
      </c>
      <c r="C247" t="n">
        <v>42</v>
      </c>
      <c r="D247" t="inlineStr">
        <is>
          <t>AP</t>
        </is>
      </c>
    </row>
    <row r="248">
      <c r="A248" t="inlineStr">
        <is>
          <t>Sheet14</t>
        </is>
      </c>
      <c r="B248" t="inlineStr">
        <is>
          <t>COLJVZudChg</t>
        </is>
      </c>
      <c r="C248" t="n">
        <v>38</v>
      </c>
      <c r="D248" t="inlineStr">
        <is>
          <t>AL</t>
        </is>
      </c>
    </row>
    <row r="249">
      <c r="A249" t="inlineStr">
        <is>
          <t>Sheet14</t>
        </is>
      </c>
      <c r="B249" t="inlineStr">
        <is>
          <t>COLZBatchSeq</t>
        </is>
      </c>
      <c r="C249" t="n">
        <v>44</v>
      </c>
      <c r="D249" t="inlineStr">
        <is>
          <t>AR</t>
        </is>
      </c>
    </row>
    <row r="250">
      <c r="A250" t="inlineStr">
        <is>
          <t>Sheet14</t>
        </is>
      </c>
      <c r="B250" t="inlineStr">
        <is>
          <t>COLZRowVersion</t>
        </is>
      </c>
      <c r="C250" t="n">
        <v>45</v>
      </c>
      <c r="D250" t="inlineStr">
        <is>
          <t>AS</t>
        </is>
      </c>
    </row>
    <row r="251">
      <c r="A251" t="inlineStr">
        <is>
          <t>Sheet14</t>
        </is>
      </c>
      <c r="B251" t="inlineStr">
        <is>
          <t>COLZUserName</t>
        </is>
      </c>
      <c r="C251" t="n">
        <v>43</v>
      </c>
      <c r="D251" t="inlineStr">
        <is>
          <t>AQ</t>
        </is>
      </c>
    </row>
    <row r="252">
      <c r="A252" t="inlineStr">
        <is>
          <t>Sheet15</t>
        </is>
      </c>
      <c r="B252" t="inlineStr">
        <is>
          <t>COLDone</t>
        </is>
      </c>
      <c r="C252" t="n">
        <v>8</v>
      </c>
      <c r="D252" t="inlineStr">
        <is>
          <t>H</t>
        </is>
      </c>
    </row>
    <row r="253">
      <c r="A253" t="inlineStr">
        <is>
          <t>Sheet15</t>
        </is>
      </c>
      <c r="B253" t="inlineStr">
        <is>
          <t>COLDoneGAAP</t>
        </is>
      </c>
      <c r="C253" t="n">
        <v>9</v>
      </c>
      <c r="D253" t="inlineStr">
        <is>
          <t>I</t>
        </is>
      </c>
    </row>
    <row r="254">
      <c r="A254" t="inlineStr">
        <is>
          <t>Sheet15</t>
        </is>
      </c>
      <c r="B254" t="inlineStr">
        <is>
          <t>COLJVAPYCalcProfit</t>
        </is>
      </c>
      <c r="C254" t="n">
        <v>21</v>
      </c>
      <c r="D254" t="inlineStr">
        <is>
          <t>U</t>
        </is>
      </c>
    </row>
    <row r="255">
      <c r="A255" t="inlineStr">
        <is>
          <t>Sheet15</t>
        </is>
      </c>
      <c r="B255" t="inlineStr">
        <is>
          <t>COLJVAPYCost</t>
        </is>
      </c>
      <c r="C255" t="n">
        <v>20</v>
      </c>
      <c r="D255" t="inlineStr">
        <is>
          <t>T</t>
        </is>
      </c>
    </row>
    <row r="256">
      <c r="A256" t="inlineStr">
        <is>
          <t>Sheet15</t>
        </is>
      </c>
      <c r="B256" t="inlineStr">
        <is>
          <t>COLJVAPYRev</t>
        </is>
      </c>
      <c r="C256" t="n">
        <v>19</v>
      </c>
      <c r="D256" t="inlineStr">
        <is>
          <t>S</t>
        </is>
      </c>
    </row>
    <row r="257">
      <c r="A257" t="inlineStr">
        <is>
          <t>Sheet15</t>
        </is>
      </c>
      <c r="B257" t="inlineStr">
        <is>
          <t>COLJVBCost</t>
        </is>
      </c>
      <c r="C257" t="n">
        <v>28</v>
      </c>
      <c r="D257" t="inlineStr">
        <is>
          <t>AB</t>
        </is>
      </c>
    </row>
    <row r="258">
      <c r="A258" t="inlineStr">
        <is>
          <t>Sheet15</t>
        </is>
      </c>
      <c r="B258" t="inlineStr">
        <is>
          <t>COLJVBILLBillExRev</t>
        </is>
      </c>
      <c r="C258" t="n">
        <v>33</v>
      </c>
      <c r="D258" t="inlineStr">
        <is>
          <t>AG</t>
        </is>
      </c>
    </row>
    <row r="259">
      <c r="A259" t="inlineStr">
        <is>
          <t>Sheet15</t>
        </is>
      </c>
      <c r="B259" t="inlineStr">
        <is>
          <t>COLJVBILLBillings</t>
        </is>
      </c>
      <c r="C259" t="n">
        <v>31</v>
      </c>
      <c r="D259" t="inlineStr">
        <is>
          <t>AE</t>
        </is>
      </c>
    </row>
    <row r="260">
      <c r="A260" t="inlineStr">
        <is>
          <t>Sheet15</t>
        </is>
      </c>
      <c r="B260" t="inlineStr">
        <is>
          <t>COLJVBILLRevExBill</t>
        </is>
      </c>
      <c r="C260" t="n">
        <v>32</v>
      </c>
      <c r="D260" t="inlineStr">
        <is>
          <t>AF</t>
        </is>
      </c>
    </row>
    <row r="261">
      <c r="A261" t="inlineStr">
        <is>
          <t>Sheet15</t>
        </is>
      </c>
      <c r="B261" t="inlineStr">
        <is>
          <t>COLJVBProfit</t>
        </is>
      </c>
      <c r="C261" t="n">
        <v>29</v>
      </c>
      <c r="D261" t="inlineStr">
        <is>
          <t>AC</t>
        </is>
      </c>
    </row>
    <row r="262">
      <c r="A262" t="inlineStr">
        <is>
          <t>Sheet15</t>
        </is>
      </c>
      <c r="B262" t="inlineStr">
        <is>
          <t>COLJVBRev</t>
        </is>
      </c>
      <c r="C262" t="n">
        <v>27</v>
      </c>
      <c r="D262" t="inlineStr">
        <is>
          <t>AA</t>
        </is>
      </c>
    </row>
    <row r="263">
      <c r="A263" t="inlineStr">
        <is>
          <t>Sheet15</t>
        </is>
      </c>
      <c r="B263" t="inlineStr">
        <is>
          <t>COLJVCurContAmt</t>
        </is>
      </c>
      <c r="C263" t="n">
        <v>10</v>
      </c>
      <c r="D263" t="inlineStr">
        <is>
          <t>J</t>
        </is>
      </c>
    </row>
    <row r="264">
      <c r="A264" t="inlineStr">
        <is>
          <t>Sheet15</t>
        </is>
      </c>
      <c r="B264" t="inlineStr">
        <is>
          <t>COLJVCYCalcProfit</t>
        </is>
      </c>
      <c r="C264" t="n">
        <v>25</v>
      </c>
      <c r="D264" t="inlineStr">
        <is>
          <t>Y</t>
        </is>
      </c>
    </row>
    <row r="265">
      <c r="A265" t="inlineStr">
        <is>
          <t>Sheet15</t>
        </is>
      </c>
      <c r="B265" t="inlineStr">
        <is>
          <t>COLJVCYCost</t>
        </is>
      </c>
      <c r="C265" t="n">
        <v>24</v>
      </c>
      <c r="D265" t="inlineStr">
        <is>
          <t>X</t>
        </is>
      </c>
    </row>
    <row r="266">
      <c r="A266" t="inlineStr">
        <is>
          <t>Sheet15</t>
        </is>
      </c>
      <c r="B266" t="inlineStr">
        <is>
          <t>COLJVCYRev</t>
        </is>
      </c>
      <c r="C266" t="n">
        <v>23</v>
      </c>
      <c r="D266" t="inlineStr">
        <is>
          <t>W</t>
        </is>
      </c>
    </row>
    <row r="267">
      <c r="A267" t="inlineStr">
        <is>
          <t>Sheet15</t>
        </is>
      </c>
      <c r="B267" t="inlineStr">
        <is>
          <t>COLJVJobDesc</t>
        </is>
      </c>
      <c r="C267" t="n">
        <v>4</v>
      </c>
      <c r="D267" t="inlineStr">
        <is>
          <t>D</t>
        </is>
      </c>
    </row>
    <row r="268">
      <c r="A268" t="inlineStr">
        <is>
          <t>Sheet15</t>
        </is>
      </c>
      <c r="B268" t="inlineStr">
        <is>
          <t>COLJVJobNo</t>
        </is>
      </c>
      <c r="C268" t="n">
        <v>2</v>
      </c>
      <c r="D268" t="inlineStr">
        <is>
          <t>B</t>
        </is>
      </c>
    </row>
    <row r="269">
      <c r="A269" t="inlineStr">
        <is>
          <t>Sheet15</t>
        </is>
      </c>
      <c r="B269" t="inlineStr">
        <is>
          <t>COLJVJTDCost</t>
        </is>
      </c>
      <c r="C269" t="n">
        <v>16</v>
      </c>
      <c r="D269" t="inlineStr">
        <is>
          <t>P</t>
        </is>
      </c>
    </row>
    <row r="270">
      <c r="A270" t="inlineStr">
        <is>
          <t>Sheet15</t>
        </is>
      </c>
      <c r="B270" t="inlineStr">
        <is>
          <t>COLJVJTDEarnedRev</t>
        </is>
      </c>
      <c r="C270" t="n">
        <v>15</v>
      </c>
      <c r="D270" t="inlineStr">
        <is>
          <t>O</t>
        </is>
      </c>
    </row>
    <row r="271">
      <c r="A271" t="inlineStr">
        <is>
          <t>Sheet15</t>
        </is>
      </c>
      <c r="B271" t="inlineStr">
        <is>
          <t>COLJVJTDPctComp</t>
        </is>
      </c>
      <c r="C271" t="n">
        <v>14</v>
      </c>
      <c r="D271" t="inlineStr">
        <is>
          <t>N</t>
        </is>
      </c>
    </row>
    <row r="272">
      <c r="A272" t="inlineStr">
        <is>
          <t>Sheet15</t>
        </is>
      </c>
      <c r="B272" t="inlineStr">
        <is>
          <t>COLJVJTDProfit</t>
        </is>
      </c>
      <c r="C272" t="n">
        <v>17</v>
      </c>
      <c r="D272" t="inlineStr">
        <is>
          <t>Q</t>
        </is>
      </c>
    </row>
    <row r="273">
      <c r="A273" t="inlineStr">
        <is>
          <t>Sheet15</t>
        </is>
      </c>
      <c r="B273" t="inlineStr">
        <is>
          <t>COLJVMMJobNo</t>
        </is>
      </c>
      <c r="C273" t="n">
        <v>1</v>
      </c>
      <c r="D273" t="inlineStr">
        <is>
          <t>A</t>
        </is>
      </c>
    </row>
    <row r="274">
      <c r="A274" t="inlineStr">
        <is>
          <t>Sheet15</t>
        </is>
      </c>
      <c r="B274" t="inlineStr">
        <is>
          <t>COLJVOvrCostProj</t>
        </is>
      </c>
      <c r="C274" t="n">
        <v>11</v>
      </c>
      <c r="D274" t="inlineStr">
        <is>
          <t>K</t>
        </is>
      </c>
    </row>
    <row r="275">
      <c r="A275" t="inlineStr">
        <is>
          <t>Sheet15</t>
        </is>
      </c>
      <c r="B275" t="inlineStr">
        <is>
          <t>COLJVPartners</t>
        </is>
      </c>
      <c r="C275" t="n">
        <v>5</v>
      </c>
      <c r="D275" t="inlineStr">
        <is>
          <t>E</t>
        </is>
      </c>
    </row>
    <row r="276">
      <c r="A276" t="inlineStr">
        <is>
          <t>Sheet15</t>
        </is>
      </c>
      <c r="B276" t="inlineStr">
        <is>
          <t>COLJVProjFinalProfit</t>
        </is>
      </c>
      <c r="C276" t="n">
        <v>12</v>
      </c>
      <c r="D276" t="inlineStr">
        <is>
          <t>L</t>
        </is>
      </c>
    </row>
    <row r="277">
      <c r="A277" t="inlineStr">
        <is>
          <t>Sheet15</t>
        </is>
      </c>
      <c r="B277" t="inlineStr">
        <is>
          <t>COLJVSharePct</t>
        </is>
      </c>
      <c r="C277" t="n">
        <v>6</v>
      </c>
      <c r="D277" t="inlineStr">
        <is>
          <t>F</t>
        </is>
      </c>
    </row>
    <row r="278">
      <c r="A278" t="inlineStr">
        <is>
          <t>Sheet15</t>
        </is>
      </c>
      <c r="B278" t="inlineStr">
        <is>
          <t>COLJVSupJobNo</t>
        </is>
      </c>
      <c r="C278" t="n">
        <v>3</v>
      </c>
      <c r="D278" t="inlineStr">
        <is>
          <t>C</t>
        </is>
      </c>
    </row>
    <row r="279">
      <c r="A279" t="inlineStr">
        <is>
          <t>Sheet15</t>
        </is>
      </c>
      <c r="B279" t="inlineStr">
        <is>
          <t>COLJVZJTDER</t>
        </is>
      </c>
      <c r="C279" t="n">
        <v>39</v>
      </c>
      <c r="D279" t="inlineStr">
        <is>
          <t>AM</t>
        </is>
      </c>
    </row>
    <row r="280">
      <c r="A280" t="inlineStr">
        <is>
          <t>Sheet15</t>
        </is>
      </c>
      <c r="B280" t="inlineStr">
        <is>
          <t>COLJVZJTDER2</t>
        </is>
      </c>
      <c r="C280" t="n">
        <v>41</v>
      </c>
      <c r="D280" t="inlineStr">
        <is>
          <t>AO</t>
        </is>
      </c>
    </row>
    <row r="281">
      <c r="A281" t="inlineStr">
        <is>
          <t>Sheet15</t>
        </is>
      </c>
      <c r="B281" t="inlineStr">
        <is>
          <t>COLJVZOJTDCost</t>
        </is>
      </c>
      <c r="C281" t="n">
        <v>40</v>
      </c>
      <c r="D281" t="inlineStr">
        <is>
          <t>AN</t>
        </is>
      </c>
    </row>
    <row r="282">
      <c r="A282" t="inlineStr">
        <is>
          <t>Sheet15</t>
        </is>
      </c>
      <c r="B282" t="inlineStr">
        <is>
          <t>COLJVZOJTDCost2</t>
        </is>
      </c>
      <c r="C282" t="n">
        <v>42</v>
      </c>
      <c r="D282" t="inlineStr">
        <is>
          <t>AP</t>
        </is>
      </c>
    </row>
    <row r="283">
      <c r="A283" t="inlineStr">
        <is>
          <t>Sheet15</t>
        </is>
      </c>
      <c r="B283" t="inlineStr">
        <is>
          <t>COLJVZudChg</t>
        </is>
      </c>
      <c r="C283" t="n">
        <v>38</v>
      </c>
      <c r="D283" t="inlineStr">
        <is>
          <t>AL</t>
        </is>
      </c>
    </row>
    <row r="284">
      <c r="A284" t="inlineStr">
        <is>
          <t>Sheet15</t>
        </is>
      </c>
      <c r="B284" t="inlineStr">
        <is>
          <t>COLZBatchSeq</t>
        </is>
      </c>
      <c r="C284" t="n">
        <v>44</v>
      </c>
      <c r="D284" t="inlineStr">
        <is>
          <t>AR</t>
        </is>
      </c>
    </row>
    <row r="285">
      <c r="A285" t="inlineStr">
        <is>
          <t>Sheet15</t>
        </is>
      </c>
      <c r="B285" t="inlineStr">
        <is>
          <t>COLZRowVersion</t>
        </is>
      </c>
      <c r="C285" t="n">
        <v>45</v>
      </c>
      <c r="D285" t="inlineStr">
        <is>
          <t>AS</t>
        </is>
      </c>
    </row>
    <row r="286">
      <c r="A286" t="inlineStr">
        <is>
          <t>Sheet15</t>
        </is>
      </c>
      <c r="B286" t="inlineStr">
        <is>
          <t>COLZUserName</t>
        </is>
      </c>
      <c r="C286" t="n">
        <v>43</v>
      </c>
      <c r="D286" t="inlineStr">
        <is>
          <t>AQ</t>
        </is>
      </c>
    </row>
    <row r="287">
      <c r="A287" t="inlineStr">
        <is>
          <t>Sheet16</t>
        </is>
      </c>
      <c r="B287" t="inlineStr">
        <is>
          <t>COLJVChgProjProfit</t>
        </is>
      </c>
      <c r="C287" t="n">
        <v>16</v>
      </c>
      <c r="D287" t="inlineStr">
        <is>
          <t>P</t>
        </is>
      </c>
    </row>
    <row r="288">
      <c r="A288" t="inlineStr">
        <is>
          <t>Sheet16</t>
        </is>
      </c>
      <c r="B288" t="inlineStr">
        <is>
          <t>COLJVCompDate</t>
        </is>
      </c>
      <c r="C288" t="n">
        <v>17</v>
      </c>
      <c r="D288" t="inlineStr">
        <is>
          <t>Q</t>
        </is>
      </c>
    </row>
    <row r="289">
      <c r="A289" t="inlineStr">
        <is>
          <t>Sheet16</t>
        </is>
      </c>
      <c r="B289" t="inlineStr">
        <is>
          <t>COLJVCurContAmt</t>
        </is>
      </c>
      <c r="C289" t="n">
        <v>9</v>
      </c>
      <c r="D289" t="inlineStr">
        <is>
          <t>I</t>
        </is>
      </c>
    </row>
    <row r="290">
      <c r="A290" t="inlineStr">
        <is>
          <t>Sheet16</t>
        </is>
      </c>
      <c r="B290" t="inlineStr">
        <is>
          <t>COLJVJobDesc</t>
        </is>
      </c>
      <c r="C290" t="n">
        <v>4</v>
      </c>
      <c r="D290" t="inlineStr">
        <is>
          <t>D</t>
        </is>
      </c>
    </row>
    <row r="291">
      <c r="A291" t="inlineStr">
        <is>
          <t>Sheet16</t>
        </is>
      </c>
      <c r="B291" t="inlineStr">
        <is>
          <t>COLJVJobNo</t>
        </is>
      </c>
      <c r="C291" t="n">
        <v>2</v>
      </c>
      <c r="D291" t="inlineStr">
        <is>
          <t>B</t>
        </is>
      </c>
    </row>
    <row r="292">
      <c r="A292" t="inlineStr">
        <is>
          <t>Sheet16</t>
        </is>
      </c>
      <c r="B292" t="inlineStr">
        <is>
          <t>COLJVMMJobNo</t>
        </is>
      </c>
      <c r="C292" t="n">
        <v>1</v>
      </c>
      <c r="D292" t="inlineStr">
        <is>
          <t>A</t>
        </is>
      </c>
    </row>
    <row r="293">
      <c r="A293" t="inlineStr">
        <is>
          <t>Sheet16</t>
        </is>
      </c>
      <c r="B293" t="inlineStr">
        <is>
          <t>COLJVOvrCostProj</t>
        </is>
      </c>
      <c r="C293" t="n">
        <v>11</v>
      </c>
      <c r="D293" t="inlineStr">
        <is>
          <t>K</t>
        </is>
      </c>
    </row>
    <row r="294">
      <c r="A294" t="inlineStr">
        <is>
          <t>Sheet16</t>
        </is>
      </c>
      <c r="B294" t="inlineStr">
        <is>
          <t>COLJVOvrRevProj</t>
        </is>
      </c>
      <c r="C294" t="n">
        <v>10</v>
      </c>
      <c r="D294" t="inlineStr">
        <is>
          <t>J</t>
        </is>
      </c>
    </row>
    <row r="295">
      <c r="A295" t="inlineStr">
        <is>
          <t>Sheet16</t>
        </is>
      </c>
      <c r="B295" t="inlineStr">
        <is>
          <t>COLJVPartners</t>
        </is>
      </c>
      <c r="C295" t="n">
        <v>5</v>
      </c>
      <c r="D295" t="inlineStr">
        <is>
          <t>E</t>
        </is>
      </c>
    </row>
    <row r="296">
      <c r="A296" t="inlineStr">
        <is>
          <t>Sheet16</t>
        </is>
      </c>
      <c r="B296" t="inlineStr">
        <is>
          <t>COLJVPriorProjProfit</t>
        </is>
      </c>
      <c r="C296" t="n">
        <v>15</v>
      </c>
      <c r="D296" t="inlineStr">
        <is>
          <t>O</t>
        </is>
      </c>
    </row>
    <row r="297">
      <c r="A297" t="inlineStr">
        <is>
          <t>Sheet16</t>
        </is>
      </c>
      <c r="B297" t="inlineStr">
        <is>
          <t>COLJVProjProfit</t>
        </is>
      </c>
      <c r="C297" t="n">
        <v>13</v>
      </c>
      <c r="D297" t="inlineStr">
        <is>
          <t>M</t>
        </is>
      </c>
    </row>
    <row r="298">
      <c r="A298" t="inlineStr">
        <is>
          <t>Sheet16</t>
        </is>
      </c>
      <c r="B298" t="inlineStr">
        <is>
          <t>COLJVSharePct</t>
        </is>
      </c>
      <c r="C298" t="n">
        <v>6</v>
      </c>
      <c r="D298" t="inlineStr">
        <is>
          <t>F</t>
        </is>
      </c>
    </row>
    <row r="299">
      <c r="A299" t="inlineStr">
        <is>
          <t>Sheet16</t>
        </is>
      </c>
      <c r="B299" t="inlineStr">
        <is>
          <t>COLJVSupJobNo</t>
        </is>
      </c>
      <c r="C299" t="n">
        <v>3</v>
      </c>
      <c r="D299" t="inlineStr">
        <is>
          <t>C</t>
        </is>
      </c>
    </row>
    <row r="300">
      <c r="A300" t="inlineStr">
        <is>
          <t>Sheet16</t>
        </is>
      </c>
      <c r="B300" t="inlineStr">
        <is>
          <t>COLJVZOJTDCost</t>
        </is>
      </c>
      <c r="C300" t="n">
        <v>24</v>
      </c>
      <c r="D300" t="inlineStr">
        <is>
          <t>X</t>
        </is>
      </c>
    </row>
    <row r="301">
      <c r="A301" t="inlineStr">
        <is>
          <t>Sheet16</t>
        </is>
      </c>
      <c r="B301" t="inlineStr">
        <is>
          <t>COLJVZOJTDCost2</t>
        </is>
      </c>
      <c r="C301" t="n">
        <v>27</v>
      </c>
      <c r="D301" t="inlineStr">
        <is>
          <t>AA</t>
        </is>
      </c>
    </row>
    <row r="302">
      <c r="A302" t="inlineStr">
        <is>
          <t>Sheet16</t>
        </is>
      </c>
      <c r="B302" t="inlineStr">
        <is>
          <t>COLJVZOJTDER</t>
        </is>
      </c>
      <c r="C302" t="n">
        <v>23</v>
      </c>
      <c r="D302" t="inlineStr">
        <is>
          <t>W</t>
        </is>
      </c>
    </row>
    <row r="303">
      <c r="A303" t="inlineStr">
        <is>
          <t>Sheet16</t>
        </is>
      </c>
      <c r="B303" t="inlineStr">
        <is>
          <t>COLJVZOJTDER2</t>
        </is>
      </c>
      <c r="C303" t="n">
        <v>26</v>
      </c>
      <c r="D303" t="inlineStr">
        <is>
          <t>Z</t>
        </is>
      </c>
    </row>
    <row r="304">
      <c r="A304" t="inlineStr">
        <is>
          <t>Sheet16</t>
        </is>
      </c>
      <c r="B304" t="inlineStr">
        <is>
          <t>COLJVZudChg</t>
        </is>
      </c>
      <c r="C304" t="n">
        <v>21</v>
      </c>
      <c r="D304" t="inlineStr">
        <is>
          <t>U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outlinePr summaryBelow="1" summaryRight="1"/>
    <pageSetUpPr/>
  </sheetPr>
  <dimension ref="A1:D13"/>
  <sheetViews>
    <sheetView tabSelected="1" zoomScaleNormal="100" workbookViewId="0">
      <selection activeCell="F11" sqref="F11"/>
    </sheetView>
  </sheetViews>
  <sheetFormatPr baseColWidth="8" defaultRowHeight="13.2"/>
  <cols>
    <col width="20.109375" customWidth="1" min="1" max="1"/>
    <col width="17.77734375" customWidth="1" min="2" max="2"/>
    <col width="21.77734375" customWidth="1" min="3" max="3"/>
  </cols>
  <sheetData>
    <row r="1" ht="18" customHeight="1">
      <c r="A1" s="207" t="inlineStr">
        <is>
          <t>GAAP WIP Schedule</t>
        </is>
      </c>
    </row>
    <row r="2" ht="18.6" customHeight="1" thickBot="1">
      <c r="A2" s="4" t="inlineStr">
        <is>
          <t>Sort Option:</t>
        </is>
      </c>
      <c r="B2" s="207" t="n"/>
      <c r="C2" s="207" t="n"/>
      <c r="D2" s="207" t="n"/>
    </row>
    <row r="3" ht="14.4" customHeight="1">
      <c r="A3" s="4" t="inlineStr">
        <is>
          <t>Company:</t>
        </is>
      </c>
      <c r="B3" s="14" t="n"/>
      <c r="C3" s="5" t="inlineStr">
        <is>
          <t>&lt;&lt;&lt; F4 will open Lookup</t>
        </is>
      </c>
      <c r="D3" s="3" t="n"/>
    </row>
    <row r="4" ht="14.4" customHeight="1">
      <c r="A4" s="4" t="inlineStr">
        <is>
          <t>Month:</t>
        </is>
      </c>
      <c r="B4" s="261" t="n"/>
      <c r="C4" s="65" t="n"/>
      <c r="D4" s="3" t="n"/>
    </row>
    <row r="5" ht="15" customHeight="1" thickBot="1">
      <c r="A5" s="4" t="inlineStr">
        <is>
          <t>Division:</t>
        </is>
      </c>
      <c r="B5" s="116" t="inlineStr"/>
      <c r="C5" s="17" t="inlineStr">
        <is>
          <t>&lt;&lt;&lt; F4 will open Lookup</t>
        </is>
      </c>
      <c r="D5" s="3" t="n"/>
    </row>
    <row r="11" ht="19.8" customHeight="1"/>
    <row r="12" ht="30.6" customHeight="1"/>
    <row r="13" ht="11.4" customHeight="1">
      <c r="C13" s="119" t="inlineStr">
        <is>
          <t>Update JC In Vista</t>
        </is>
      </c>
    </row>
    <row r="14" ht="36" customHeight="1"/>
  </sheetData>
  <mergeCells count="1">
    <mergeCell ref="A1:D1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1">
    <outlinePr summaryBelow="1" summaryRight="1"/>
    <pageSetUpPr fitToPage="1"/>
  </sheetPr>
  <dimension ref="A1:CX629"/>
  <sheetViews>
    <sheetView showGridLines="0" zoomScaleNormal="100" zoomScaleSheetLayoutView="50" workbookViewId="0">
      <pane xSplit="4" ySplit="5" topLeftCell="AI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baseColWidth="8" defaultColWidth="9.109375" defaultRowHeight="14.4"/>
  <cols>
    <col width="9.77734375" customWidth="1" style="3" min="1" max="1"/>
    <col width="60.77734375" customWidth="1" style="3" min="2" max="2"/>
    <col width="17.77734375" customWidth="1" style="3" min="3" max="3"/>
    <col width="2.44140625" customWidth="1" style="3" min="4" max="4"/>
    <col width="14.77734375" customWidth="1" style="3" min="5" max="6"/>
    <col width="4.21875" customWidth="1" style="173" min="7" max="7"/>
    <col width="4.77734375" customWidth="1" style="3" min="8" max="8"/>
    <col width="14.77734375" customWidth="1" style="3" min="9" max="9"/>
    <col hidden="1" width="50.77734375" customWidth="1" style="3" min="10" max="10"/>
    <col width="2.77734375" customWidth="1" style="3" min="11" max="11"/>
    <col width="14.77734375" customWidth="1" style="3" min="12" max="13"/>
    <col hidden="1" width="50.77734375" customWidth="1" style="3" min="14" max="14"/>
    <col width="2.77734375" customWidth="1" style="3" min="15" max="15"/>
    <col width="13.77734375" customWidth="1" style="3" min="16" max="18"/>
    <col width="11.77734375" customWidth="1" style="3" min="19" max="19"/>
    <col width="2.77734375" customWidth="1" style="3" min="20" max="20"/>
    <col width="9.77734375" customWidth="1" style="3" min="21" max="21"/>
    <col width="15.21875" customWidth="1" style="3" min="22" max="22"/>
    <col width="14.77734375" customWidth="1" style="3" min="23" max="24"/>
    <col width="13.77734375" customWidth="1" style="3" min="25" max="26"/>
    <col hidden="1" width="50.77734375" customWidth="1" style="3" min="27" max="27"/>
    <col width="2.77734375" customWidth="1" style="3" min="28" max="28"/>
    <col width="13.77734375" customWidth="1" style="3" min="29" max="30"/>
    <col width="2.77734375" customWidth="1" style="3" min="31" max="31"/>
    <col width="11.77734375" customWidth="1" style="3" min="32" max="32"/>
    <col width="14.77734375" customWidth="1" style="3" min="33" max="34"/>
    <col width="13.77734375" customWidth="1" style="3" min="35" max="36"/>
    <col width="2.77734375" customWidth="1" style="3" min="37" max="37"/>
    <col width="14.77734375" customWidth="1" style="3" min="38" max="39"/>
    <col width="13.77734375" customWidth="1" style="3" min="40" max="41"/>
    <col width="2.77734375" customWidth="1" style="3" min="42" max="42"/>
    <col width="14.77734375" customWidth="1" style="3" min="43" max="45"/>
    <col width="2.77734375" customWidth="1" style="3" min="46" max="46"/>
    <col width="14.77734375" customWidth="1" style="3" min="47" max="49"/>
    <col width="2.77734375" customWidth="1" style="3" min="50" max="50"/>
    <col width="66.5546875" customWidth="1" style="3" min="51" max="51"/>
    <col width="13.33203125" customWidth="1" style="3" min="52" max="52"/>
    <col width="11.88671875" customWidth="1" style="3" min="53" max="53"/>
    <col width="9.109375" customWidth="1" style="3" min="54" max="54"/>
    <col width="14.109375" customWidth="1" style="3" min="55" max="55"/>
    <col width="14.6640625" customWidth="1" style="3" min="56" max="56"/>
    <col width="16.33203125" customWidth="1" style="3" min="57" max="57"/>
    <col width="19.109375" customWidth="1" style="3" min="58" max="59"/>
    <col width="18.88671875" customWidth="1" style="3" min="60" max="60"/>
    <col width="15.109375" customWidth="1" style="3" min="61" max="61"/>
    <col width="20.5546875" customWidth="1" style="3" min="62" max="62"/>
    <col width="21.6640625" customWidth="1" style="3" min="63" max="63"/>
    <col width="22.77734375" customWidth="1" style="3" min="64" max="64"/>
    <col width="20" customWidth="1" style="3" min="65" max="65"/>
    <col width="19.88671875" customWidth="1" style="3" min="66" max="66"/>
    <col width="22.21875" customWidth="1" style="3" min="67" max="67"/>
    <col width="20.21875" customWidth="1" style="3" min="68" max="68"/>
    <col width="23.88671875" customWidth="1" style="3" min="69" max="69"/>
    <col width="22.21875" customWidth="1" style="3" min="70" max="70"/>
    <col width="24.44140625" customWidth="1" style="3" min="71" max="71"/>
    <col width="19.44140625" customWidth="1" style="3" min="72" max="72"/>
    <col width="25.6640625" customWidth="1" style="3" min="73" max="73"/>
    <col width="22.109375" customWidth="1" style="3" min="74" max="74"/>
    <col width="19.6640625" customWidth="1" style="3" min="75" max="75"/>
    <col width="19.44140625" customWidth="1" style="3" min="76" max="76"/>
    <col width="20.77734375" customWidth="1" style="3" min="77" max="77"/>
    <col width="14.88671875" customWidth="1" style="3" min="78" max="78"/>
    <col width="18.5546875" customWidth="1" style="3" min="79" max="80"/>
    <col width="15.6640625" customWidth="1" style="3" min="81" max="81"/>
    <col width="18.6640625" customWidth="1" style="3" min="82" max="82"/>
    <col width="20.77734375" customWidth="1" style="3" min="83" max="83"/>
    <col width="26" customWidth="1" style="3" min="84" max="84"/>
    <col width="24.77734375" customWidth="1" style="3" min="85" max="85"/>
    <col width="25.44140625" customWidth="1" style="3" min="86" max="86"/>
    <col width="30" customWidth="1" style="150" min="87" max="87"/>
    <col width="21.77734375" customWidth="1" style="104" min="88" max="91"/>
    <col width="9.109375" customWidth="1" style="3" min="92" max="98"/>
    <col width="10.109375" customWidth="1" style="3" min="99" max="101"/>
    <col width="9.109375" customWidth="1" style="3" min="102" max="16384"/>
  </cols>
  <sheetData>
    <row r="1" ht="21.6" customHeight="1">
      <c r="A1" s="81" t="inlineStr">
        <is>
          <t>COLJobNumber</t>
        </is>
      </c>
      <c r="B1" s="81" t="inlineStr">
        <is>
          <t>COLJobDesc</t>
        </is>
      </c>
      <c r="C1" s="81" t="inlineStr">
        <is>
          <t>COLPrjMngr</t>
        </is>
      </c>
      <c r="D1" s="82" t="inlineStr">
        <is>
          <t>COLExAll</t>
        </is>
      </c>
      <c r="E1" s="81" t="inlineStr">
        <is>
          <t>COLCurConAmt</t>
        </is>
      </c>
      <c r="F1" s="81" t="inlineStr">
        <is>
          <t>COLPMProjRev</t>
        </is>
      </c>
      <c r="G1" s="171" t="inlineStr">
        <is>
          <t>COLClose</t>
        </is>
      </c>
      <c r="H1" s="82" t="inlineStr">
        <is>
          <t>COLDone</t>
        </is>
      </c>
      <c r="I1" s="81" t="inlineStr">
        <is>
          <t>COLOvrRevProj</t>
        </is>
      </c>
      <c r="J1" s="81" t="inlineStr">
        <is>
          <t>COLOvrRevProjNotes</t>
        </is>
      </c>
      <c r="K1" s="82" t="inlineStr">
        <is>
          <t>COLOvrRevProjNotes2</t>
        </is>
      </c>
      <c r="L1" s="81" t="inlineStr">
        <is>
          <t>COLPMProjCost</t>
        </is>
      </c>
      <c r="M1" s="81" t="inlineStr">
        <is>
          <t>COLOvrCostProj</t>
        </is>
      </c>
      <c r="N1" s="81" t="inlineStr">
        <is>
          <t>COLOvrCostProjNotes</t>
        </is>
      </c>
      <c r="O1" s="82" t="inlineStr">
        <is>
          <t>COLOvrCostProjNotes2</t>
        </is>
      </c>
      <c r="P1" s="81" t="inlineStr">
        <is>
          <t>COLProjProfit</t>
        </is>
      </c>
      <c r="Q1" s="81" t="inlineStr">
        <is>
          <t>COLPriorProjProfit</t>
        </is>
      </c>
      <c r="R1" s="81" t="inlineStr">
        <is>
          <t>COLChgProjProfit</t>
        </is>
      </c>
      <c r="S1" s="81" t="inlineStr">
        <is>
          <t>COLCompDate</t>
        </is>
      </c>
      <c r="T1" s="82" t="inlineStr">
        <is>
          <t>COLSP1</t>
        </is>
      </c>
      <c r="U1" s="81" t="inlineStr">
        <is>
          <t>COLJTDPctComp</t>
        </is>
      </c>
      <c r="V1" s="81" t="inlineStr">
        <is>
          <t>COLJTDCalcEarnedRev</t>
        </is>
      </c>
      <c r="W1" s="81" t="inlineStr">
        <is>
          <t>COLJTDEarnedRev</t>
        </is>
      </c>
      <c r="X1" s="81" t="inlineStr">
        <is>
          <t>COLJTDCost</t>
        </is>
      </c>
      <c r="Y1" s="81" t="inlineStr">
        <is>
          <t>COLJTDProfit</t>
        </is>
      </c>
      <c r="Z1" s="81" t="inlineStr">
        <is>
          <t>COLJTDBonusProfit</t>
        </is>
      </c>
      <c r="AA1" s="81" t="inlineStr">
        <is>
          <t>COLJTDBonusProfitNotes</t>
        </is>
      </c>
      <c r="AB1" s="82" t="inlineStr">
        <is>
          <t>COLJTDBonusProfitNotesShow</t>
        </is>
      </c>
      <c r="AC1" s="81" t="inlineStr">
        <is>
          <t>COLJTDPriorProfit</t>
        </is>
      </c>
      <c r="AD1" s="81" t="inlineStr">
        <is>
          <t>COLJTDChgProfit</t>
        </is>
      </c>
      <c r="AE1" s="88" t="inlineStr">
        <is>
          <t>COLSP2</t>
        </is>
      </c>
      <c r="AF1" s="3" t="inlineStr">
        <is>
          <t>COLAPYPctComp</t>
        </is>
      </c>
      <c r="AG1" s="3" t="inlineStr">
        <is>
          <t>COLAPYRev</t>
        </is>
      </c>
      <c r="AH1" s="3" t="inlineStr">
        <is>
          <t>COLAPYCost</t>
        </is>
      </c>
      <c r="AI1" s="3" t="inlineStr">
        <is>
          <t>COLAPYCalcProfit</t>
        </is>
      </c>
      <c r="AJ1" s="3" t="inlineStr">
        <is>
          <t>COLAPYBonusProfit</t>
        </is>
      </c>
      <c r="AK1" s="87" t="inlineStr">
        <is>
          <t>COLSP3</t>
        </is>
      </c>
      <c r="AL1" s="3" t="inlineStr">
        <is>
          <t>COLCYRev</t>
        </is>
      </c>
      <c r="AM1" s="3" t="inlineStr">
        <is>
          <t>COLCYCost</t>
        </is>
      </c>
      <c r="AN1" s="3" t="inlineStr">
        <is>
          <t>COLCYCalcProfit</t>
        </is>
      </c>
      <c r="AO1" s="3" t="inlineStr">
        <is>
          <t>COLCYBonusProfit</t>
        </is>
      </c>
      <c r="AP1" s="87" t="inlineStr">
        <is>
          <t>COLSP4</t>
        </is>
      </c>
      <c r="AQ1" s="3" t="inlineStr">
        <is>
          <t>COLBRev</t>
        </is>
      </c>
      <c r="AR1" s="3" t="inlineStr">
        <is>
          <t>COLBCost</t>
        </is>
      </c>
      <c r="AS1" s="3" t="inlineStr">
        <is>
          <t>COLBProfit</t>
        </is>
      </c>
      <c r="AT1" s="87" t="inlineStr">
        <is>
          <t>COLSP5</t>
        </is>
      </c>
      <c r="AU1" s="3" t="inlineStr">
        <is>
          <t>COLBILLBillings</t>
        </is>
      </c>
      <c r="AV1" s="3" t="inlineStr">
        <is>
          <t>COLBILLRevExBill</t>
        </is>
      </c>
      <c r="AW1" s="3" t="inlineStr">
        <is>
          <t>COLBILLBillExRev</t>
        </is>
      </c>
      <c r="AX1" s="76" t="n"/>
      <c r="AZ1" s="3" t="inlineStr">
        <is>
          <t>COLZOPsRChg</t>
        </is>
      </c>
      <c r="BA1" s="3" t="inlineStr">
        <is>
          <t>COLZOPsCChg</t>
        </is>
      </c>
      <c r="BB1" s="3" t="inlineStr">
        <is>
          <t>COLZudChg</t>
        </is>
      </c>
      <c r="BC1" s="3" t="inlineStr">
        <is>
          <t>COLZOPsRChg</t>
        </is>
      </c>
      <c r="BD1" s="3" t="inlineStr">
        <is>
          <t>COLZOPsCChg</t>
        </is>
      </c>
      <c r="BE1" s="3" t="inlineStr">
        <is>
          <t>COLZOPsRev</t>
        </is>
      </c>
      <c r="BF1" s="3" t="inlineStr">
        <is>
          <t>COLZOPsCost</t>
        </is>
      </c>
      <c r="BG1" s="3" t="inlineStr">
        <is>
          <t>COLZOPsBonus</t>
        </is>
      </c>
      <c r="BH1" s="3" t="inlineStr">
        <is>
          <t>COLZGAAPRev</t>
        </is>
      </c>
      <c r="BI1" s="3" t="inlineStr">
        <is>
          <t>COLZGAAPCost</t>
        </is>
      </c>
      <c r="BJ1" s="3" t="inlineStr">
        <is>
          <t>COLZPriorOPsProfit</t>
        </is>
      </c>
      <c r="BK1" s="3" t="inlineStr">
        <is>
          <t>COLZPriorBonusProfit</t>
        </is>
      </c>
      <c r="BL1" s="3" t="inlineStr">
        <is>
          <t>COLZPriorGAAPProfit</t>
        </is>
      </c>
      <c r="BM1" s="3" t="inlineStr">
        <is>
          <t>COLZContractStatus</t>
        </is>
      </c>
      <c r="BN1" s="3" t="inlineStr">
        <is>
          <t>COLZPriorJTDOPsProfit</t>
        </is>
      </c>
      <c r="BO1" s="3" t="inlineStr">
        <is>
          <t>COLZPriorJTDGAAPProfit</t>
        </is>
      </c>
      <c r="BP1" s="3" t="inlineStr">
        <is>
          <t>COLZOPsRevNotes</t>
        </is>
      </c>
      <c r="BQ1" s="3" t="inlineStr">
        <is>
          <t>COLZOPsCostNotes</t>
        </is>
      </c>
      <c r="BR1" s="3" t="inlineStr">
        <is>
          <t>COLZGAAPRevNotes</t>
        </is>
      </c>
      <c r="BS1" s="3" t="inlineStr">
        <is>
          <t>COLZGAAPCostNotes</t>
        </is>
      </c>
      <c r="BT1" s="3" t="inlineStr">
        <is>
          <t>COLZGAAPRevComment</t>
        </is>
      </c>
      <c r="BU1" s="3" t="inlineStr">
        <is>
          <t>COLZGAAPCostComment</t>
        </is>
      </c>
      <c r="BV1" s="3" t="inlineStr">
        <is>
          <t>COLZOPsRevComment</t>
        </is>
      </c>
      <c r="BW1" s="3" t="inlineStr">
        <is>
          <t>COLZOPsCostComment</t>
        </is>
      </c>
      <c r="BX1" s="3" t="inlineStr">
        <is>
          <t>COLZGAAPRevNew</t>
        </is>
      </c>
      <c r="BY1" s="3" t="inlineStr">
        <is>
          <t>COLZGAAPCostNew</t>
        </is>
      </c>
      <c r="BZ1" s="3" t="inlineStr">
        <is>
          <t>COLZOPsRevNew</t>
        </is>
      </c>
      <c r="CA1" s="3" t="inlineStr">
        <is>
          <t>COLZOPsCostNew</t>
        </is>
      </c>
      <c r="CB1" s="3" t="inlineStr">
        <is>
          <t>COLZOPsBonusNew</t>
        </is>
      </c>
      <c r="CC1" s="3" t="inlineStr">
        <is>
          <t>COLZUserName</t>
        </is>
      </c>
      <c r="CD1" s="3" t="inlineStr">
        <is>
          <t>COLZBatchSeq</t>
        </is>
      </c>
      <c r="CE1" s="3" t="inlineStr">
        <is>
          <t>COLZGAAPPYRev</t>
        </is>
      </c>
      <c r="CF1" s="3" t="inlineStr">
        <is>
          <t>COLZGAAPPYCost</t>
        </is>
      </c>
      <c r="CG1" s="3" t="inlineStr">
        <is>
          <t>COLZOpsPYRev</t>
        </is>
      </c>
      <c r="CH1" s="3" t="inlineStr">
        <is>
          <t>COLZOpsPYCost</t>
        </is>
      </c>
      <c r="CI1" s="150" t="inlineStr">
        <is>
          <t>COLZRowVersion</t>
        </is>
      </c>
      <c r="CJ1" s="103" t="inlineStr">
        <is>
          <t>COLZORGJTDCost</t>
        </is>
      </c>
      <c r="CK1" s="103" t="inlineStr">
        <is>
          <t>COLZORGCYCost</t>
        </is>
      </c>
      <c r="CL1" s="103" t="inlineStr">
        <is>
          <t>COLZORGBilledAmt</t>
        </is>
      </c>
      <c r="CM1" s="103" t="inlineStr">
        <is>
          <t>COLZORGCYBilledAmt</t>
        </is>
      </c>
    </row>
    <row r="2" ht="15.6" customFormat="1" customHeight="1" s="7">
      <c r="A2" s="262" t="n"/>
      <c r="B2" s="263" t="n"/>
      <c r="C2" s="264" t="n"/>
      <c r="D2" s="85" t="inlineStr">
        <is>
          <t>-</t>
        </is>
      </c>
      <c r="E2" s="265" t="inlineStr">
        <is>
          <t>J O B   A T   C O M P L E T I O N</t>
        </is>
      </c>
      <c r="F2" s="263" t="n"/>
      <c r="G2" s="263" t="n"/>
      <c r="H2" s="263" t="n"/>
      <c r="I2" s="263" t="n"/>
      <c r="J2" s="263" t="n"/>
      <c r="K2" s="263" t="n"/>
      <c r="L2" s="263" t="n"/>
      <c r="M2" s="263" t="n"/>
      <c r="N2" s="263" t="n"/>
      <c r="O2" s="263" t="n"/>
      <c r="P2" s="263" t="n"/>
      <c r="Q2" s="263" t="n"/>
      <c r="R2" s="263" t="n"/>
      <c r="S2" s="264" t="n"/>
      <c r="U2" s="265" t="inlineStr">
        <is>
          <t>J O B   T O   D A T E</t>
        </is>
      </c>
      <c r="V2" s="263" t="n"/>
      <c r="W2" s="263" t="n"/>
      <c r="X2" s="263" t="n"/>
      <c r="Y2" s="263" t="n"/>
      <c r="Z2" s="263" t="n"/>
      <c r="AA2" s="263" t="n"/>
      <c r="AB2" s="263" t="n"/>
      <c r="AC2" s="263" t="n"/>
      <c r="AD2" s="264" t="n"/>
      <c r="AE2" s="84" t="inlineStr">
        <is>
          <t>-</t>
        </is>
      </c>
      <c r="AF2" s="237" t="inlineStr">
        <is>
          <t>A L L   P R I O R   Y E A R S   C O M B I N E D</t>
        </is>
      </c>
      <c r="AG2" s="263" t="n"/>
      <c r="AH2" s="263" t="n"/>
      <c r="AI2" s="263" t="n"/>
      <c r="AJ2" s="266" t="n"/>
      <c r="AK2" s="84" t="inlineStr">
        <is>
          <t>-</t>
        </is>
      </c>
      <c r="AL2" s="237" t="inlineStr">
        <is>
          <t>C U R R E N T   Y E A R</t>
        </is>
      </c>
      <c r="AM2" s="263" t="n"/>
      <c r="AN2" s="263" t="n"/>
      <c r="AO2" s="266" t="n"/>
      <c r="AP2" s="84" t="inlineStr">
        <is>
          <t>-</t>
        </is>
      </c>
      <c r="AQ2" s="216" t="inlineStr">
        <is>
          <t>B A C K L O G</t>
        </is>
      </c>
      <c r="AR2" s="263" t="n"/>
      <c r="AS2" s="263" t="n"/>
      <c r="AT2" s="84" t="inlineStr">
        <is>
          <t>-</t>
        </is>
      </c>
      <c r="AU2" s="265" t="inlineStr">
        <is>
          <t>B I L L I N G S</t>
        </is>
      </c>
      <c r="AV2" s="263" t="n"/>
      <c r="AW2" s="264" t="n"/>
      <c r="AY2" s="3" t="n"/>
      <c r="AZ2" s="3" t="n"/>
      <c r="BA2" s="3" t="n"/>
      <c r="BB2" s="3" t="n"/>
      <c r="BC2" s="3" t="n"/>
      <c r="BD2" s="3" t="n"/>
      <c r="BE2" s="3" t="n"/>
      <c r="BF2" s="3" t="n"/>
      <c r="BG2" s="3" t="n"/>
      <c r="BH2" s="3" t="n"/>
      <c r="BI2" s="3" t="n"/>
      <c r="BJ2" s="3" t="n"/>
      <c r="BK2" s="3" t="n"/>
      <c r="BL2" s="3" t="n"/>
      <c r="BM2" s="3" t="n"/>
      <c r="BN2" s="3" t="n"/>
      <c r="BO2" s="3" t="n"/>
      <c r="BP2" s="3" t="n"/>
      <c r="BQ2" s="3" t="n"/>
      <c r="BR2" s="3" t="n"/>
      <c r="BS2" s="3" t="n"/>
      <c r="BT2" s="3" t="n"/>
      <c r="BU2" s="3" t="n"/>
      <c r="BV2" s="3" t="n"/>
      <c r="BW2" s="3" t="n"/>
      <c r="BX2" s="3" t="n"/>
      <c r="BY2" s="3" t="n"/>
      <c r="BZ2" s="3" t="n"/>
      <c r="CA2" s="3" t="n"/>
      <c r="CB2" s="3" t="n"/>
      <c r="CC2" s="3" t="n"/>
      <c r="CD2" s="3" t="n"/>
      <c r="CE2" s="3" t="n"/>
      <c r="CF2" s="3" t="n"/>
      <c r="CH2" s="3" t="n"/>
      <c r="CI2" s="150" t="n"/>
      <c r="CJ2" s="104" t="n"/>
      <c r="CK2" s="104" t="n"/>
      <c r="CL2" s="104" t="n"/>
      <c r="CM2" s="104" t="n"/>
      <c r="CN2" s="3" t="n"/>
      <c r="CO2" s="3" t="n"/>
      <c r="CP2" s="3" t="n"/>
      <c r="CQ2" s="3" t="n"/>
      <c r="CR2" s="3" t="n"/>
      <c r="CS2" s="3" t="n"/>
      <c r="CT2" s="3" t="n"/>
      <c r="CU2" s="3" t="n"/>
      <c r="CV2" s="3" t="n"/>
      <c r="CW2" s="3" t="n"/>
      <c r="CX2" s="3" t="n"/>
    </row>
    <row r="3" ht="14.4" customFormat="1" customHeight="1" s="7">
      <c r="A3" s="267" t="inlineStr">
        <is>
          <t>Job No.</t>
        </is>
      </c>
      <c r="B3" s="267" t="inlineStr">
        <is>
          <t>Job Description</t>
        </is>
      </c>
      <c r="C3" s="267" t="inlineStr">
        <is>
          <t>Project Manager</t>
        </is>
      </c>
      <c r="D3" s="268" t="n"/>
      <c r="E3" s="269" t="inlineStr">
        <is>
          <t>Current Contract Amount</t>
        </is>
      </c>
      <c r="F3" s="269" t="inlineStr">
        <is>
          <t>PM Projected Revenue</t>
        </is>
      </c>
      <c r="G3" s="270" t="inlineStr">
        <is>
          <t>Close</t>
        </is>
      </c>
      <c r="H3" s="218" t="inlineStr">
        <is>
          <t>Op's Done</t>
        </is>
      </c>
      <c r="I3" s="271" t="inlineStr">
        <is>
          <t>Ops Override Revenue Projection</t>
        </is>
      </c>
      <c r="J3" s="271" t="inlineStr">
        <is>
          <t>Ops Override Revenue Notes</t>
        </is>
      </c>
      <c r="K3" s="270" t="inlineStr">
        <is>
          <t>Notes</t>
        </is>
      </c>
      <c r="L3" s="272" t="inlineStr">
        <is>
          <t>PM Projected Cost</t>
        </is>
      </c>
      <c r="M3" s="271" t="inlineStr">
        <is>
          <t>Ops Override Cost Projection</t>
        </is>
      </c>
      <c r="N3" s="271" t="inlineStr">
        <is>
          <t>Ops Override Cost Notes</t>
        </is>
      </c>
      <c r="O3" s="270" t="inlineStr">
        <is>
          <t>Notes</t>
        </is>
      </c>
      <c r="P3" s="273" t="inlineStr">
        <is>
          <t>Projected Profit</t>
        </is>
      </c>
      <c r="Q3" s="273" t="inlineStr">
        <is>
          <t>Prior Projected Profit</t>
        </is>
      </c>
      <c r="R3" s="273" t="inlineStr">
        <is>
          <t>Change In Projected Profit</t>
        </is>
      </c>
      <c r="S3" s="271" t="inlineStr">
        <is>
          <t>Completion Date</t>
        </is>
      </c>
      <c r="T3" s="22" t="n"/>
      <c r="U3" s="274" t="inlineStr">
        <is>
          <t>JTD Percent Complete</t>
        </is>
      </c>
      <c r="V3" s="269" t="inlineStr">
        <is>
          <t>JTD Calculated Earned Revenue</t>
        </is>
      </c>
      <c r="W3" s="269" t="inlineStr">
        <is>
          <t>JTD Earned Revenue</t>
        </is>
      </c>
      <c r="X3" s="272" t="inlineStr">
        <is>
          <t>JTD Cost</t>
        </is>
      </c>
      <c r="Y3" s="273" t="inlineStr">
        <is>
          <t>JTD Profit</t>
        </is>
      </c>
      <c r="Z3" s="271" t="inlineStr">
        <is>
          <t>Bonus JTD Profit</t>
        </is>
      </c>
      <c r="AA3" s="271" t="inlineStr">
        <is>
          <t>Bonus Profit Notes</t>
        </is>
      </c>
      <c r="AB3" s="270" t="inlineStr">
        <is>
          <t>Notes</t>
        </is>
      </c>
      <c r="AC3" s="273" t="inlineStr">
        <is>
          <t>JTD Prior Profit</t>
        </is>
      </c>
      <c r="AD3" s="273" t="inlineStr">
        <is>
          <t>JTD Change In Profit</t>
        </is>
      </c>
      <c r="AE3" s="22" t="n"/>
      <c r="AF3" s="226" t="inlineStr">
        <is>
          <t>Previous Yr Percent Complete</t>
        </is>
      </c>
      <c r="AG3" s="215" t="inlineStr">
        <is>
          <t>Previous Yr Revenue</t>
        </is>
      </c>
      <c r="AH3" s="212" t="inlineStr">
        <is>
          <t>Previous Yr Cost</t>
        </is>
      </c>
      <c r="AI3" s="210" t="inlineStr">
        <is>
          <t>Previous Yr Calculated Profit</t>
        </is>
      </c>
      <c r="AJ3" s="210" t="inlineStr">
        <is>
          <t>Previous Year Bonus Profit</t>
        </is>
      </c>
      <c r="AK3" s="22" t="n"/>
      <c r="AL3" s="215" t="inlineStr">
        <is>
          <t>Current Yr Revenue</t>
        </is>
      </c>
      <c r="AM3" s="212" t="inlineStr">
        <is>
          <t>Current Yr Cost</t>
        </is>
      </c>
      <c r="AN3" s="210" t="inlineStr">
        <is>
          <t>Current Yr Calculated Profit</t>
        </is>
      </c>
      <c r="AO3" s="242" t="inlineStr">
        <is>
          <t>Current Year Bonus Profit</t>
        </is>
      </c>
      <c r="AP3" s="22" t="n"/>
      <c r="AQ3" s="267" t="inlineStr">
        <is>
          <t>Remaining Revenue (Backlog)</t>
        </is>
      </c>
      <c r="AR3" s="267" t="inlineStr">
        <is>
          <t>Remaining Cost</t>
        </is>
      </c>
      <c r="AS3" s="267" t="inlineStr">
        <is>
          <t>Bonus Remaining Profit</t>
        </is>
      </c>
      <c r="AT3" s="22" t="n"/>
      <c r="AU3" s="275" t="inlineStr">
        <is>
          <t>JTD Billings</t>
        </is>
      </c>
      <c r="AV3" s="275" t="inlineStr">
        <is>
          <t>Revenue in Excess of Billing</t>
        </is>
      </c>
      <c r="AW3" s="275" t="inlineStr">
        <is>
          <t>Billings in Excess of Revenue</t>
        </is>
      </c>
      <c r="AX3" s="22" t="n"/>
      <c r="AY3" s="3" t="n"/>
      <c r="AZ3" s="3" t="n"/>
      <c r="BA3" s="3" t="n"/>
      <c r="BB3" s="3" t="n"/>
      <c r="BC3" s="3" t="n"/>
      <c r="BD3" s="3" t="n"/>
      <c r="BE3" s="3" t="n"/>
      <c r="BF3" s="3" t="n"/>
      <c r="BG3" s="3" t="n"/>
      <c r="BH3" s="3" t="n"/>
      <c r="BI3" s="3" t="n"/>
      <c r="BJ3" s="3" t="n"/>
      <c r="BK3" s="3" t="n"/>
      <c r="BL3" s="3" t="n"/>
      <c r="BM3" s="3" t="n"/>
      <c r="BN3" s="3" t="n"/>
      <c r="BO3" s="3" t="n"/>
      <c r="BP3" s="3" t="n"/>
      <c r="BQ3" s="3" t="n"/>
      <c r="BR3" s="3" t="n"/>
      <c r="BS3" s="3" t="n"/>
      <c r="BT3" s="3" t="n"/>
      <c r="BU3" s="3" t="n"/>
      <c r="BV3" s="3" t="n"/>
      <c r="BW3" s="3" t="n"/>
      <c r="BX3" s="3" t="n"/>
      <c r="BY3" s="3" t="n"/>
      <c r="BZ3" s="3" t="n"/>
      <c r="CA3" s="3" t="n"/>
      <c r="CB3" s="3" t="n"/>
      <c r="CC3" s="3" t="n"/>
      <c r="CD3" s="3" t="n"/>
      <c r="CE3" s="3" t="n"/>
      <c r="CF3" s="3" t="n"/>
      <c r="CG3" s="3" t="n"/>
      <c r="CH3" s="3" t="n"/>
      <c r="CI3" s="150" t="n"/>
      <c r="CJ3" s="104" t="n"/>
      <c r="CK3" s="104" t="n"/>
      <c r="CL3" s="104" t="n"/>
      <c r="CM3" s="104" t="n"/>
      <c r="CN3" s="3" t="n"/>
      <c r="CO3" s="3" t="n"/>
      <c r="CP3" s="3" t="n"/>
      <c r="CQ3" s="3" t="n"/>
      <c r="CR3" s="3" t="n"/>
      <c r="CS3" s="3" t="n"/>
      <c r="CT3" s="3" t="n"/>
      <c r="CU3" s="3" t="n"/>
      <c r="CV3" s="3" t="n"/>
      <c r="CW3" s="3" t="n"/>
      <c r="CX3" s="3" t="n"/>
    </row>
    <row r="4" customFormat="1" s="7">
      <c r="A4" s="276" t="n"/>
      <c r="B4" s="276" t="n"/>
      <c r="C4" s="276" t="n"/>
      <c r="D4" s="276" t="n"/>
      <c r="E4" s="276" t="n"/>
      <c r="F4" s="276" t="n"/>
      <c r="G4" s="276" t="n"/>
      <c r="H4" s="276" t="n"/>
      <c r="I4" s="276" t="n"/>
      <c r="J4" s="276" t="n"/>
      <c r="K4" s="276" t="n"/>
      <c r="L4" s="276" t="n"/>
      <c r="M4" s="276" t="n"/>
      <c r="N4" s="276" t="n"/>
      <c r="O4" s="276" t="n"/>
      <c r="P4" s="276" t="n"/>
      <c r="Q4" s="276" t="n"/>
      <c r="R4" s="276" t="n"/>
      <c r="S4" s="276" t="n"/>
      <c r="T4" s="22" t="n"/>
      <c r="U4" s="276" t="n"/>
      <c r="V4" s="276" t="n"/>
      <c r="W4" s="276" t="n"/>
      <c r="X4" s="276" t="n"/>
      <c r="Y4" s="276" t="n"/>
      <c r="Z4" s="276" t="n"/>
      <c r="AA4" s="276" t="n"/>
      <c r="AB4" s="276" t="n"/>
      <c r="AC4" s="276" t="n"/>
      <c r="AD4" s="276" t="n"/>
      <c r="AE4" s="22" t="n"/>
      <c r="AF4" s="277" t="n"/>
      <c r="AG4" s="277" t="n"/>
      <c r="AH4" s="277" t="n"/>
      <c r="AI4" s="277" t="n"/>
      <c r="AJ4" s="277" t="n"/>
      <c r="AK4" s="22" t="n"/>
      <c r="AL4" s="277" t="n"/>
      <c r="AM4" s="277" t="n"/>
      <c r="AN4" s="277" t="n"/>
      <c r="AO4" s="277" t="n"/>
      <c r="AP4" s="22" t="n"/>
      <c r="AQ4" s="276" t="n"/>
      <c r="AR4" s="276" t="n"/>
      <c r="AS4" s="276" t="n"/>
      <c r="AT4" s="22" t="n"/>
      <c r="AU4" s="276" t="n"/>
      <c r="AV4" s="276" t="n"/>
      <c r="AW4" s="276" t="n"/>
      <c r="AX4" s="22" t="n"/>
      <c r="AY4" s="3" t="n"/>
      <c r="AZ4" s="3" t="n"/>
      <c r="BA4" s="3" t="n"/>
      <c r="BB4" s="3" t="n"/>
      <c r="BC4" s="3" t="n"/>
      <c r="BD4" s="3" t="n"/>
      <c r="BE4" s="3" t="n"/>
      <c r="BF4" s="3" t="n"/>
      <c r="BG4" s="3" t="n"/>
      <c r="BH4" s="3" t="n"/>
      <c r="BI4" s="3" t="n"/>
      <c r="BJ4" s="3" t="n"/>
      <c r="BK4" s="3" t="n"/>
      <c r="BL4" s="3" t="n"/>
      <c r="BM4" s="3" t="n"/>
      <c r="BN4" s="3" t="n"/>
      <c r="BO4" s="3" t="n"/>
      <c r="BP4" s="3" t="n"/>
      <c r="BQ4" s="3" t="n"/>
      <c r="BR4" s="3" t="n"/>
      <c r="BS4" s="3" t="n"/>
      <c r="BT4" s="3" t="n"/>
      <c r="BU4" s="3" t="n"/>
      <c r="BV4" s="3" t="n"/>
      <c r="BW4" s="3" t="n"/>
      <c r="BX4" s="3" t="n"/>
      <c r="BY4" s="3" t="n"/>
      <c r="BZ4" s="3" t="n"/>
      <c r="CA4" s="3" t="n"/>
      <c r="CB4" s="3" t="n"/>
      <c r="CC4" s="3" t="n"/>
      <c r="CD4" s="3" t="n"/>
      <c r="CE4" s="3" t="n"/>
      <c r="CF4" s="3" t="n"/>
      <c r="CG4" s="3" t="n"/>
      <c r="CH4" s="3" t="n"/>
      <c r="CI4" s="150" t="n"/>
      <c r="CJ4" s="104" t="n"/>
      <c r="CK4" s="104" t="n"/>
      <c r="CL4" s="104" t="n"/>
      <c r="CM4" s="104" t="n"/>
      <c r="CN4" s="3" t="n"/>
      <c r="CO4" s="3" t="n"/>
      <c r="CP4" s="3" t="n"/>
      <c r="CQ4" s="3" t="n"/>
      <c r="CR4" s="3" t="n"/>
      <c r="CS4" s="3" t="n"/>
      <c r="CT4" s="3" t="n"/>
      <c r="CU4" s="3" t="n"/>
      <c r="CV4" s="3" t="n"/>
      <c r="CW4" s="3" t="n"/>
      <c r="CX4" s="3" t="n"/>
    </row>
    <row r="5" customFormat="1" s="7">
      <c r="A5" s="278" t="n"/>
      <c r="B5" s="278" t="n"/>
      <c r="C5" s="278" t="n"/>
      <c r="D5" s="278" t="n"/>
      <c r="E5" s="278" t="n"/>
      <c r="F5" s="278" t="n"/>
      <c r="G5" s="278" t="n"/>
      <c r="H5" s="276" t="n"/>
      <c r="I5" s="278" t="n"/>
      <c r="J5" s="278" t="n"/>
      <c r="K5" s="278" t="n"/>
      <c r="L5" s="278" t="n"/>
      <c r="M5" s="278" t="n"/>
      <c r="N5" s="278" t="n"/>
      <c r="O5" s="278" t="n"/>
      <c r="P5" s="278" t="n"/>
      <c r="Q5" s="278" t="n"/>
      <c r="R5" s="278" t="n"/>
      <c r="S5" s="278" t="n"/>
      <c r="T5" s="22" t="n"/>
      <c r="U5" s="278" t="n"/>
      <c r="V5" s="278" t="n"/>
      <c r="W5" s="278" t="n"/>
      <c r="X5" s="278" t="n"/>
      <c r="Y5" s="278" t="n"/>
      <c r="Z5" s="278" t="n"/>
      <c r="AA5" s="278" t="n"/>
      <c r="AB5" s="278" t="n"/>
      <c r="AC5" s="278" t="n"/>
      <c r="AD5" s="278" t="n"/>
      <c r="AE5" s="22" t="n"/>
      <c r="AF5" s="279" t="n"/>
      <c r="AG5" s="279" t="n"/>
      <c r="AH5" s="279" t="n"/>
      <c r="AI5" s="279" t="n"/>
      <c r="AJ5" s="279" t="n"/>
      <c r="AK5" s="22" t="n"/>
      <c r="AL5" s="279" t="n"/>
      <c r="AM5" s="279" t="n"/>
      <c r="AN5" s="279" t="n"/>
      <c r="AO5" s="279" t="n"/>
      <c r="AP5" s="22" t="n"/>
      <c r="AQ5" s="278" t="n"/>
      <c r="AR5" s="278" t="n"/>
      <c r="AS5" s="278" t="n"/>
      <c r="AT5" s="22" t="n"/>
      <c r="AU5" s="278" t="n"/>
      <c r="AV5" s="278" t="n"/>
      <c r="AW5" s="278" t="n"/>
      <c r="AX5" s="22" t="n"/>
      <c r="AZ5" s="3" t="inlineStr">
        <is>
          <t>OPsRChng</t>
        </is>
      </c>
      <c r="BA5" s="3" t="inlineStr">
        <is>
          <t>OPsCChng</t>
        </is>
      </c>
      <c r="BB5" s="3" t="inlineStr">
        <is>
          <t>ud</t>
        </is>
      </c>
      <c r="BC5" s="3" t="inlineStr">
        <is>
          <t>JCOR</t>
        </is>
      </c>
      <c r="BD5" s="3" t="inlineStr">
        <is>
          <t>JCOP</t>
        </is>
      </c>
      <c r="BE5" s="3" t="inlineStr">
        <is>
          <t>OPsRev</t>
        </is>
      </c>
      <c r="BF5" s="3" t="inlineStr">
        <is>
          <t>OPsCost</t>
        </is>
      </c>
      <c r="BG5" s="3" t="n"/>
      <c r="BH5" s="3" t="inlineStr">
        <is>
          <t>GAAPRev</t>
        </is>
      </c>
      <c r="BI5" s="3" t="inlineStr">
        <is>
          <t>GAAPCost</t>
        </is>
      </c>
      <c r="BJ5" s="3" t="inlineStr">
        <is>
          <t>PriorOPsProfit</t>
        </is>
      </c>
      <c r="BK5" s="3" t="inlineStr">
        <is>
          <t>PriorBonusProfit</t>
        </is>
      </c>
      <c r="BL5" s="3" t="inlineStr">
        <is>
          <t>PriorGAAPProfit</t>
        </is>
      </c>
      <c r="BM5" s="3" t="n"/>
      <c r="BN5" s="3" t="inlineStr">
        <is>
          <t>PriorJTDOPsProfit</t>
        </is>
      </c>
      <c r="BO5" s="3" t="inlineStr">
        <is>
          <t>PriorJTDGAAPProfit</t>
        </is>
      </c>
      <c r="BP5" s="3" t="inlineStr">
        <is>
          <t>OPSRevNotes</t>
        </is>
      </c>
      <c r="BQ5" s="3" t="inlineStr">
        <is>
          <t>OPsCostNotes</t>
        </is>
      </c>
      <c r="BR5" s="3" t="inlineStr">
        <is>
          <t>GAAPRevNotes</t>
        </is>
      </c>
      <c r="BS5" s="3" t="inlineStr">
        <is>
          <t>GAAPCostNotes</t>
        </is>
      </c>
      <c r="BT5" s="3" t="inlineStr">
        <is>
          <t>GAAPRevComment</t>
        </is>
      </c>
      <c r="BU5" s="3" t="inlineStr">
        <is>
          <t>GAAPCostComment</t>
        </is>
      </c>
      <c r="BV5" s="3" t="inlineStr">
        <is>
          <t>OpsRevComment</t>
        </is>
      </c>
      <c r="BW5" s="3" t="inlineStr">
        <is>
          <t>OpsCostComment</t>
        </is>
      </c>
      <c r="BX5" s="3" t="inlineStr">
        <is>
          <t>GAAPRevNew</t>
        </is>
      </c>
      <c r="BY5" s="3" t="inlineStr">
        <is>
          <t>GAAPCostNew</t>
        </is>
      </c>
      <c r="BZ5" s="3" t="inlineStr">
        <is>
          <t>OpsRevNew</t>
        </is>
      </c>
      <c r="CA5" s="3" t="inlineStr">
        <is>
          <t>OpsCostNew</t>
        </is>
      </c>
      <c r="CB5" s="3" t="inlineStr">
        <is>
          <t>OpsBonusNew</t>
        </is>
      </c>
      <c r="CC5" s="3" t="inlineStr">
        <is>
          <t>UserName</t>
        </is>
      </c>
      <c r="CD5" s="3" t="inlineStr">
        <is>
          <t>BatchSeq</t>
        </is>
      </c>
      <c r="CE5" s="3" t="n"/>
      <c r="CF5" s="3" t="n"/>
      <c r="CG5" s="3" t="n"/>
      <c r="CH5" s="3" t="n"/>
      <c r="CI5" s="150" t="n"/>
      <c r="CJ5" s="104" t="n"/>
      <c r="CK5" s="104" t="n"/>
      <c r="CL5" s="104" t="n"/>
      <c r="CM5" s="104" t="n"/>
      <c r="CN5" s="3" t="n"/>
      <c r="CO5" s="3" t="n"/>
      <c r="CP5" s="3" t="n"/>
      <c r="CQ5" s="3" t="n"/>
      <c r="CR5" s="3" t="n"/>
      <c r="CS5" s="3" t="n"/>
      <c r="CT5" s="3" t="n"/>
      <c r="CU5" s="3" t="n"/>
      <c r="CV5" s="3" t="n"/>
      <c r="CW5" s="3" t="n"/>
      <c r="CX5" s="3" t="n"/>
    </row>
    <row r="6" ht="19.8" customHeight="1">
      <c r="A6" s="121" t="n"/>
      <c r="B6" s="122" t="n"/>
      <c r="C6" s="122" t="n"/>
      <c r="D6" s="86" t="n"/>
      <c r="E6" s="93" t="n"/>
      <c r="F6" s="96" t="n"/>
      <c r="G6" s="172" t="n"/>
      <c r="H6" s="105" t="n"/>
      <c r="I6" s="102">
        <f>F6</f>
        <v/>
      </c>
      <c r="J6" s="95" t="n"/>
      <c r="K6" s="99" t="n"/>
      <c r="L6" s="8" t="n"/>
      <c r="M6" s="69">
        <f>L6</f>
        <v/>
      </c>
      <c r="N6" s="69" t="n"/>
      <c r="O6" s="100" t="n"/>
      <c r="P6" s="9">
        <f>I6-M6</f>
        <v/>
      </c>
      <c r="Q6" s="9">
        <f>IF(LEFT(B6,4)&lt;&gt;"    ",0,BN6)</f>
        <v/>
      </c>
      <c r="R6" s="9">
        <f>+P6-Q6</f>
        <v/>
      </c>
      <c r="S6" s="280" t="n"/>
      <c r="T6" s="10" t="n"/>
      <c r="U6" s="16">
        <f>IF(LEFT(B6,4)&lt;&gt;"    ","",IF(M6&lt;&gt;0,X6/M6,0))</f>
        <v/>
      </c>
      <c r="V6" s="11">
        <f>IF(LEFT(B6,4)&lt;&gt;"    ","",U6*I6)</f>
        <v/>
      </c>
      <c r="W6" s="11">
        <f>IF(LEFT(B6,4)&lt;&gt;"    ","",X6+Z6)</f>
        <v/>
      </c>
      <c r="X6" s="8" t="n"/>
      <c r="Y6" s="9">
        <f>IF(LEFT(B6,4)&lt;&gt;"    ",0,IF(P6&lt;0,P6,IF(U6&gt;0.3,W6-X6,0)))</f>
        <v/>
      </c>
      <c r="Z6" s="71">
        <f>Y6</f>
        <v/>
      </c>
      <c r="AA6" s="71" t="n"/>
      <c r="AB6" s="108" t="n"/>
      <c r="AC6" s="9">
        <f>IF(LEFT(B6,4)&lt;&gt;"    ",0,BK6)</f>
        <v/>
      </c>
      <c r="AD6" s="9">
        <f>Z6-AC6</f>
        <v/>
      </c>
      <c r="AE6" s="10" t="n"/>
      <c r="AF6" s="24" t="n"/>
      <c r="AG6" s="11" t="n"/>
      <c r="AH6" s="8" t="n"/>
      <c r="AI6" s="9">
        <f>IF(LEFT(B6,4)&lt;&gt;"    ","",AG6-AH6)</f>
        <v/>
      </c>
      <c r="AJ6" s="9" t="n"/>
      <c r="AK6" s="10" t="n"/>
      <c r="AL6" s="11">
        <f>IF(LEFT(B6,4)&lt;&gt;"    ","",W6-AG6)</f>
        <v/>
      </c>
      <c r="AM6" s="8">
        <f>IF(LEFT(B6,4)&lt;&gt;"    ","",X6-AH6)</f>
        <v/>
      </c>
      <c r="AN6" s="9">
        <f>IF(LEFT(B6,4)&lt;&gt;"    ","",Y6-AI6)</f>
        <v/>
      </c>
      <c r="AO6" s="83">
        <f>IF(LEFT(B6,4)&lt;&gt;"    ","",Z6-AJ6)</f>
        <v/>
      </c>
      <c r="AP6" s="10" t="n"/>
      <c r="AQ6" s="25">
        <f>IF(LEFT(B6,4)&lt;&gt;"    ","",I6-W6)</f>
        <v/>
      </c>
      <c r="AR6" s="25">
        <f>M6-X6</f>
        <v/>
      </c>
      <c r="AS6" s="25">
        <f>IF(LEFT(B6,4)&lt;&gt;"    ","",P6-Z6)</f>
        <v/>
      </c>
      <c r="AT6" s="10" t="n"/>
      <c r="AU6" s="12" t="n"/>
      <c r="AV6" s="12">
        <f>IF(LEFT(B6,4)&lt;&gt;"    ","",IF(W6-AU6&gt;=0,W6-AU6," "))</f>
        <v/>
      </c>
      <c r="AW6" s="12">
        <f>IF(LEFT(B6,4)&lt;&gt;"    ","",IF(AU6-W6&gt;=0,AU6-W6," "))</f>
        <v/>
      </c>
      <c r="AX6" s="34" t="n"/>
      <c r="AY6" s="73" t="n"/>
      <c r="AZ6" s="77" t="inlineStr">
        <is>
          <t>T</t>
        </is>
      </c>
      <c r="BA6" s="77" t="inlineStr">
        <is>
          <t>T</t>
        </is>
      </c>
      <c r="BB6" s="78" t="inlineStr">
        <is>
          <t>T</t>
        </is>
      </c>
      <c r="BC6" s="79" t="inlineStr">
        <is>
          <t>T</t>
        </is>
      </c>
      <c r="BD6" s="79" t="inlineStr">
        <is>
          <t>T</t>
        </is>
      </c>
      <c r="BE6" s="77" t="n"/>
      <c r="BF6" s="77" t="n"/>
      <c r="BG6" s="77" t="n"/>
      <c r="BH6" s="97" t="n"/>
      <c r="BI6" s="97" t="n"/>
      <c r="BJ6" s="77" t="n"/>
      <c r="BK6" s="77" t="n"/>
      <c r="BL6" s="77" t="n"/>
      <c r="BM6" s="77" t="n"/>
      <c r="BN6" s="77" t="n"/>
      <c r="BO6" s="77" t="n"/>
      <c r="BP6" s="77" t="n"/>
      <c r="BQ6" s="77" t="n"/>
      <c r="BR6" s="77" t="n"/>
      <c r="BS6" s="77" t="n"/>
      <c r="BT6" s="77" t="n"/>
      <c r="BU6" s="77" t="n"/>
      <c r="BV6" s="77" t="n"/>
      <c r="BW6" s="77" t="n"/>
      <c r="BX6" s="77" t="n"/>
      <c r="BY6" s="77" t="n"/>
      <c r="BZ6" s="151">
        <f>I6</f>
        <v/>
      </c>
      <c r="CA6" s="151">
        <f>M6</f>
        <v/>
      </c>
      <c r="CB6" s="151" t="n"/>
      <c r="CC6" s="80" t="n"/>
    </row>
    <row r="7" ht="14.1" customHeight="1">
      <c r="A7" s="177" t="n"/>
      <c r="B7" s="178" t="n"/>
      <c r="C7" s="178" t="n"/>
      <c r="D7" s="179" t="n"/>
      <c r="E7" s="180" t="n"/>
      <c r="F7" s="181" t="n"/>
      <c r="G7" s="182" t="n"/>
      <c r="H7" s="105" t="n"/>
      <c r="I7" s="183">
        <f>F7</f>
        <v/>
      </c>
      <c r="J7" s="184" t="n"/>
      <c r="K7" s="185" t="n"/>
      <c r="L7" s="8" t="n"/>
      <c r="M7" s="184">
        <f>L7</f>
        <v/>
      </c>
      <c r="N7" s="71" t="n"/>
      <c r="O7" s="101" t="n"/>
      <c r="P7" s="9">
        <f>I7-M7</f>
        <v/>
      </c>
      <c r="Q7" s="9">
        <f>IF(LEFT(B7,4)&lt;&gt;"    ",0,BN7)</f>
        <v/>
      </c>
      <c r="R7" s="9">
        <f>+P7-Q7</f>
        <v/>
      </c>
      <c r="S7" s="280" t="n"/>
      <c r="T7" s="10" t="n"/>
      <c r="U7" s="23">
        <f>IF(LEFT(B7,4)&lt;&gt;"    ","",IF(M7&lt;&gt;0,X7/M7,0))</f>
        <v/>
      </c>
      <c r="V7" s="11">
        <f>IF(LEFT(B7,4)&lt;&gt;"    ","",U7*I7)</f>
        <v/>
      </c>
      <c r="W7" s="11">
        <f>IF(LEFT(B7,4)&lt;&gt;"    ","",X7+Z7)</f>
        <v/>
      </c>
      <c r="X7" s="8" t="n"/>
      <c r="Y7" s="9">
        <f>IF(LEFT(B7,4)&lt;&gt;"    ",0,IF(P7&lt;0,P7,IF(U7&gt;0.3,W7-X7,0)))</f>
        <v/>
      </c>
      <c r="Z7" s="71">
        <f>Y7</f>
        <v/>
      </c>
      <c r="AA7" s="72" t="n"/>
      <c r="AB7" s="109" t="n"/>
      <c r="AC7" s="9">
        <f>IF(LEFT(B7,4)&lt;&gt;"    ",0,BK7)</f>
        <v/>
      </c>
      <c r="AD7" s="9">
        <f>Z7-AC7</f>
        <v/>
      </c>
      <c r="AE7" s="10" t="n"/>
      <c r="AF7" s="24" t="n"/>
      <c r="AG7" s="11" t="n"/>
      <c r="AH7" s="8" t="n"/>
      <c r="AI7" s="9">
        <f>IF(LEFT(B7,4)&lt;&gt;"    ","",AG7-AH7)</f>
        <v/>
      </c>
      <c r="AJ7" s="9" t="n"/>
      <c r="AK7" s="10" t="n"/>
      <c r="AL7" s="11">
        <f>IF(LEFT(B7,4)&lt;&gt;"    ","",W7-AG7)</f>
        <v/>
      </c>
      <c r="AM7" s="8">
        <f>IF(LEFT(B7,4)&lt;&gt;"    ","",X7-AH7)</f>
        <v/>
      </c>
      <c r="AN7" s="9">
        <f>IF(LEFT(B7,4)&lt;&gt;"    ","",Y7-AI7)</f>
        <v/>
      </c>
      <c r="AO7" s="9">
        <f>IF(LEFT(B7,4)&lt;&gt;"    ","",Z7-AJ7)</f>
        <v/>
      </c>
      <c r="AP7" s="10" t="n"/>
      <c r="AQ7" s="25">
        <f>IF(LEFT(B7,4)&lt;&gt;"    ","",I7-W7)</f>
        <v/>
      </c>
      <c r="AR7" s="25">
        <f>M7-X7</f>
        <v/>
      </c>
      <c r="AS7" s="25">
        <f>IF(LEFT(B7,4)&lt;&gt;"    ","",P7-Z7)</f>
        <v/>
      </c>
      <c r="AT7" s="10" t="n"/>
      <c r="AU7" s="12" t="n"/>
      <c r="AV7" s="12">
        <f>IF(LEFT(B7,4)&lt;&gt;"    ","",IF(W7-AU7&gt;=0,W7-AU7," "))</f>
        <v/>
      </c>
      <c r="AW7" s="12">
        <f>IF(LEFT(B7,4)&lt;&gt;"    ","",IF(AU7-W7&gt;=0,AU7-W7," "))</f>
        <v/>
      </c>
      <c r="AX7" s="186" t="n"/>
      <c r="AY7" s="187" t="n"/>
      <c r="AZ7" s="186" t="n"/>
      <c r="BA7" s="186" t="n"/>
      <c r="BB7" s="188" t="n"/>
      <c r="BC7" s="187" t="n"/>
      <c r="BD7" s="187" t="n"/>
      <c r="BE7" s="186" t="n"/>
      <c r="BF7" s="186" t="n"/>
      <c r="BG7" s="186" t="n"/>
      <c r="BH7" s="186" t="n"/>
      <c r="BI7" s="186" t="n"/>
      <c r="BJ7" s="186" t="n"/>
      <c r="BK7" s="186" t="n"/>
      <c r="BL7" s="186" t="n"/>
      <c r="BM7" s="186" t="n"/>
      <c r="BN7" s="186" t="n"/>
      <c r="BO7" s="186" t="n"/>
      <c r="BP7" s="186" t="n"/>
      <c r="BQ7" s="186" t="n"/>
      <c r="BR7" s="186" t="n"/>
      <c r="BS7" s="186" t="n"/>
      <c r="BT7" s="186" t="n"/>
      <c r="BU7" s="186" t="n"/>
      <c r="BV7" s="186" t="n"/>
      <c r="BW7" s="186" t="n"/>
      <c r="BX7" s="186" t="n"/>
      <c r="BY7" s="186" t="n"/>
      <c r="BZ7" s="189" t="n"/>
      <c r="CA7" s="189" t="n"/>
      <c r="CB7" s="189" t="n"/>
      <c r="CC7" s="190" t="n"/>
      <c r="CD7" s="186" t="n"/>
      <c r="CE7" s="186" t="n"/>
      <c r="CF7" s="186" t="n"/>
      <c r="CG7" s="186" t="n"/>
      <c r="CH7" s="186" t="n"/>
      <c r="CI7" s="191" t="n"/>
      <c r="CJ7" s="192" t="n"/>
      <c r="CK7" s="192" t="n"/>
      <c r="CL7" s="192" t="n"/>
      <c r="CM7" s="192" t="n"/>
    </row>
    <row r="8">
      <c r="A8" s="177" t="n"/>
      <c r="B8" s="178" t="n"/>
      <c r="C8" s="178" t="n"/>
      <c r="D8" s="179" t="n"/>
      <c r="E8" s="180" t="n"/>
      <c r="F8" s="181" t="n"/>
      <c r="G8" s="182" t="n"/>
      <c r="H8" s="105" t="n"/>
      <c r="I8" s="183">
        <f>F8</f>
        <v/>
      </c>
      <c r="J8" s="184" t="n"/>
      <c r="K8" s="185" t="n"/>
      <c r="L8" s="8" t="n"/>
      <c r="M8" s="184">
        <f>L8</f>
        <v/>
      </c>
      <c r="N8" s="72" t="n"/>
      <c r="O8" s="101" t="n"/>
      <c r="P8" s="9">
        <f>I8-M8</f>
        <v/>
      </c>
      <c r="Q8" s="9">
        <f>IF(LEFT(B8,4)&lt;&gt;"    ",0,BN8)</f>
        <v/>
      </c>
      <c r="R8" s="9">
        <f>+P8-Q8</f>
        <v/>
      </c>
      <c r="S8" s="280" t="n"/>
      <c r="T8" s="10" t="n"/>
      <c r="U8" s="23">
        <f>IF(LEFT(B8,4)&lt;&gt;"    ","",IF(M8&lt;&gt;0,X8/M8,0))</f>
        <v/>
      </c>
      <c r="V8" s="11">
        <f>IF(LEFT(B8,4)&lt;&gt;"    ","",U8*I8)</f>
        <v/>
      </c>
      <c r="W8" s="11">
        <f>IF(LEFT(B8,4)&lt;&gt;"    ","",X8+Z8)</f>
        <v/>
      </c>
      <c r="X8" s="8" t="n"/>
      <c r="Y8" s="9">
        <f>IF(LEFT(B8,4)&lt;&gt;"    ",0,IF(P8&lt;0,P8,IF(U8&gt;0.3,W8-X8,0)))</f>
        <v/>
      </c>
      <c r="Z8" s="71">
        <f>Y8</f>
        <v/>
      </c>
      <c r="AA8" s="71" t="n"/>
      <c r="AB8" s="109" t="n"/>
      <c r="AC8" s="9">
        <f>IF(LEFT(B8,4)&lt;&gt;"    ",0,BK8)</f>
        <v/>
      </c>
      <c r="AD8" s="9">
        <f>Z8-AC8</f>
        <v/>
      </c>
      <c r="AE8" s="10" t="n"/>
      <c r="AF8" s="24" t="n"/>
      <c r="AG8" s="11" t="n"/>
      <c r="AH8" s="8" t="n"/>
      <c r="AI8" s="9">
        <f>IF(LEFT(B8,4)&lt;&gt;"    ","",AG8-AH8)</f>
        <v/>
      </c>
      <c r="AJ8" s="9" t="n"/>
      <c r="AK8" s="10" t="n"/>
      <c r="AL8" s="11">
        <f>IF(LEFT(B8,4)&lt;&gt;"    ","",W8-AG8)</f>
        <v/>
      </c>
      <c r="AM8" s="8">
        <f>IF(LEFT(B8,4)&lt;&gt;"    ","",X8-AH8)</f>
        <v/>
      </c>
      <c r="AN8" s="9">
        <f>IF(LEFT(B8,4)&lt;&gt;"    ","",Y8-AI8)</f>
        <v/>
      </c>
      <c r="AO8" s="9">
        <f>IF(LEFT(B8,4)&lt;&gt;"    ","",Z8-AJ8)</f>
        <v/>
      </c>
      <c r="AP8" s="10" t="n"/>
      <c r="AQ8" s="25">
        <f>IF(LEFT(B8,4)&lt;&gt;"    ","",I8-W8)</f>
        <v/>
      </c>
      <c r="AR8" s="25">
        <f>M8-X8</f>
        <v/>
      </c>
      <c r="AS8" s="25">
        <f>IF(LEFT(B8,4)&lt;&gt;"    ","",P8-Z8)</f>
        <v/>
      </c>
      <c r="AT8" s="10" t="n"/>
      <c r="AU8" s="12" t="n"/>
      <c r="AV8" s="12">
        <f>IF(LEFT(B8,4)&lt;&gt;"    ","",IF(W8-AU8&gt;=0,W8-AU8," "))</f>
        <v/>
      </c>
      <c r="AW8" s="12">
        <f>IF(LEFT(B8,4)&lt;&gt;"    ","",IF(AU8-W8&gt;=0,AU8-W8," "))</f>
        <v/>
      </c>
      <c r="AX8" s="186" t="n"/>
      <c r="AY8" s="187" t="n"/>
      <c r="AZ8" s="186" t="n"/>
      <c r="BA8" s="186" t="n"/>
      <c r="BB8" s="188" t="n"/>
      <c r="BC8" s="187" t="n"/>
      <c r="BD8" s="187" t="n"/>
      <c r="BE8" s="186" t="n"/>
      <c r="BF8" s="186" t="n"/>
      <c r="BG8" s="186" t="n"/>
      <c r="BH8" s="186" t="n"/>
      <c r="BI8" s="186" t="n"/>
      <c r="BJ8" s="186" t="n"/>
      <c r="BK8" s="186" t="n"/>
      <c r="BL8" s="186" t="n"/>
      <c r="BM8" s="186" t="n"/>
      <c r="BN8" s="186" t="n"/>
      <c r="BO8" s="186" t="n"/>
      <c r="BP8" s="186" t="n"/>
      <c r="BQ8" s="186" t="n"/>
      <c r="BR8" s="186" t="n"/>
      <c r="BS8" s="186" t="n"/>
      <c r="BT8" s="186" t="n"/>
      <c r="BU8" s="186" t="n"/>
      <c r="BV8" s="186" t="n"/>
      <c r="BW8" s="186" t="n"/>
      <c r="BX8" s="186" t="n"/>
      <c r="BY8" s="186" t="n"/>
      <c r="BZ8" s="189" t="n"/>
      <c r="CA8" s="189" t="n"/>
      <c r="CB8" s="189" t="n"/>
      <c r="CC8" s="190" t="n"/>
      <c r="CD8" s="186" t="n"/>
      <c r="CE8" s="186" t="n"/>
      <c r="CF8" s="186" t="n"/>
      <c r="CG8" s="186" t="n"/>
      <c r="CH8" s="186" t="n"/>
      <c r="CI8" s="191" t="n"/>
      <c r="CJ8" s="192" t="n"/>
      <c r="CK8" s="192" t="n"/>
      <c r="CL8" s="192" t="n"/>
      <c r="CM8" s="192" t="n"/>
    </row>
    <row r="9">
      <c r="A9" s="177" t="n"/>
      <c r="B9" s="178" t="n"/>
      <c r="C9" s="178" t="n"/>
      <c r="D9" s="179" t="n"/>
      <c r="E9" s="180" t="n"/>
      <c r="F9" s="181" t="n"/>
      <c r="G9" s="182" t="n"/>
      <c r="H9" s="105" t="n"/>
      <c r="I9" s="183">
        <f>F9</f>
        <v/>
      </c>
      <c r="J9" s="193" t="n"/>
      <c r="K9" s="185" t="n"/>
      <c r="L9" s="8" t="n"/>
      <c r="M9" s="184">
        <f>L9</f>
        <v/>
      </c>
      <c r="N9" s="72" t="n"/>
      <c r="O9" s="101" t="n"/>
      <c r="P9" s="9">
        <f>I9-M9</f>
        <v/>
      </c>
      <c r="Q9" s="9">
        <f>IF(LEFT(B9,4)&lt;&gt;"    ",0,BN9)</f>
        <v/>
      </c>
      <c r="R9" s="9">
        <f>+P9-Q9</f>
        <v/>
      </c>
      <c r="S9" s="280" t="n"/>
      <c r="T9" s="10" t="n"/>
      <c r="U9" s="23">
        <f>IF(LEFT(B9,4)&lt;&gt;"    ","",IF(M9&lt;&gt;0,X9/M9,0))</f>
        <v/>
      </c>
      <c r="V9" s="11">
        <f>IF(LEFT(B9,4)&lt;&gt;"    ","",U9*I9)</f>
        <v/>
      </c>
      <c r="W9" s="11">
        <f>IF(LEFT(B9,4)&lt;&gt;"    ","",X9+Z9)</f>
        <v/>
      </c>
      <c r="X9" s="8" t="n"/>
      <c r="Y9" s="9">
        <f>IF(LEFT(B9,4)&lt;&gt;"    ",0,IF(P9&lt;0,P9,IF(U9&gt;0.3,W9-X9,0)))</f>
        <v/>
      </c>
      <c r="Z9" s="71">
        <f>Y9</f>
        <v/>
      </c>
      <c r="AA9" s="72" t="n"/>
      <c r="AB9" s="109" t="n"/>
      <c r="AC9" s="9">
        <f>IF(LEFT(B9,4)&lt;&gt;"    ",0,BK9)</f>
        <v/>
      </c>
      <c r="AD9" s="9">
        <f>Z9-AC9</f>
        <v/>
      </c>
      <c r="AE9" s="10" t="n"/>
      <c r="AF9" s="24" t="n"/>
      <c r="AG9" s="11" t="n"/>
      <c r="AH9" s="8" t="n"/>
      <c r="AI9" s="9">
        <f>IF(LEFT(B9,4)&lt;&gt;"    ","",AG9-AH9)</f>
        <v/>
      </c>
      <c r="AJ9" s="9" t="n"/>
      <c r="AK9" s="10" t="n"/>
      <c r="AL9" s="11">
        <f>IF(LEFT(B9,4)&lt;&gt;"    ","",W9-AG9)</f>
        <v/>
      </c>
      <c r="AM9" s="8">
        <f>IF(LEFT(B9,4)&lt;&gt;"    ","",X9-AH9)</f>
        <v/>
      </c>
      <c r="AN9" s="9">
        <f>IF(LEFT(B9,4)&lt;&gt;"    ","",Y9-AI9)</f>
        <v/>
      </c>
      <c r="AO9" s="9">
        <f>IF(LEFT(B9,4)&lt;&gt;"    ","",Z9-AJ9)</f>
        <v/>
      </c>
      <c r="AP9" s="10" t="n"/>
      <c r="AQ9" s="25">
        <f>IF(LEFT(B9,4)&lt;&gt;"    ","",I9-W9)</f>
        <v/>
      </c>
      <c r="AR9" s="25">
        <f>M9-X9</f>
        <v/>
      </c>
      <c r="AS9" s="25">
        <f>IF(LEFT(B9,4)&lt;&gt;"    ","",P9-Z9)</f>
        <v/>
      </c>
      <c r="AT9" s="10" t="n"/>
      <c r="AU9" s="12" t="n"/>
      <c r="AV9" s="12">
        <f>IF(LEFT(B9,4)&lt;&gt;"    ","",IF(W9-AU9&gt;=0,W9-AU9," "))</f>
        <v/>
      </c>
      <c r="AW9" s="12">
        <f>IF(LEFT(B9,4)&lt;&gt;"    ","",IF(AU9-W9&gt;=0,AU9-W9," "))</f>
        <v/>
      </c>
      <c r="AX9" s="186" t="n"/>
      <c r="AY9" s="187" t="n"/>
      <c r="AZ9" s="186" t="n"/>
      <c r="BA9" s="186" t="n"/>
      <c r="BB9" s="188" t="n"/>
      <c r="BC9" s="187" t="n"/>
      <c r="BD9" s="187" t="n"/>
      <c r="BE9" s="186" t="n"/>
      <c r="BF9" s="186" t="n"/>
      <c r="BG9" s="186" t="n"/>
      <c r="BH9" s="186" t="n"/>
      <c r="BI9" s="186" t="n"/>
      <c r="BJ9" s="186" t="n"/>
      <c r="BK9" s="186" t="n"/>
      <c r="BL9" s="186" t="n"/>
      <c r="BM9" s="186" t="n"/>
      <c r="BN9" s="186" t="n"/>
      <c r="BO9" s="186" t="n"/>
      <c r="BP9" s="186" t="n"/>
      <c r="BQ9" s="186" t="n"/>
      <c r="BR9" s="186" t="n"/>
      <c r="BS9" s="186" t="n"/>
      <c r="BT9" s="186" t="n"/>
      <c r="BU9" s="186" t="n"/>
      <c r="BV9" s="186" t="n"/>
      <c r="BW9" s="186" t="n"/>
      <c r="BX9" s="186" t="n"/>
      <c r="BY9" s="186" t="n"/>
      <c r="BZ9" s="189" t="n"/>
      <c r="CA9" s="189" t="n"/>
      <c r="CB9" s="189" t="n"/>
      <c r="CC9" s="190" t="n"/>
      <c r="CD9" s="186" t="n"/>
      <c r="CE9" s="192" t="n"/>
      <c r="CF9" s="192" t="n"/>
      <c r="CG9" s="192" t="n"/>
      <c r="CH9" s="192" t="n"/>
      <c r="CI9" s="191" t="n"/>
      <c r="CJ9" s="192" t="n"/>
      <c r="CK9" s="192" t="n"/>
      <c r="CL9" s="192" t="n"/>
      <c r="CM9" s="192" t="n"/>
    </row>
    <row r="10">
      <c r="A10" s="177" t="n"/>
      <c r="B10" s="178" t="n"/>
      <c r="C10" s="178" t="n"/>
      <c r="D10" s="179" t="n"/>
      <c r="E10" s="180" t="n"/>
      <c r="F10" s="181" t="n"/>
      <c r="G10" s="182" t="n"/>
      <c r="H10" s="105" t="n"/>
      <c r="I10" s="183">
        <f>F10</f>
        <v/>
      </c>
      <c r="J10" s="193" t="n"/>
      <c r="K10" s="185" t="n"/>
      <c r="L10" s="8" t="n"/>
      <c r="M10" s="184">
        <f>L10</f>
        <v/>
      </c>
      <c r="N10" s="72" t="n"/>
      <c r="O10" s="101" t="n"/>
      <c r="P10" s="9">
        <f>I10-M10</f>
        <v/>
      </c>
      <c r="Q10" s="9">
        <f>IF(LEFT(B10,4)&lt;&gt;"    ",0,BN10)</f>
        <v/>
      </c>
      <c r="R10" s="9">
        <f>+P10-Q10</f>
        <v/>
      </c>
      <c r="S10" s="280" t="n"/>
      <c r="T10" s="10" t="n"/>
      <c r="U10" s="23">
        <f>IF(LEFT(B10,4)&lt;&gt;"    ","",IF(M10&lt;&gt;0,X10/M10,0))</f>
        <v/>
      </c>
      <c r="V10" s="11">
        <f>IF(LEFT(B10,4)&lt;&gt;"    ","",U10*I10)</f>
        <v/>
      </c>
      <c r="W10" s="11">
        <f>IF(LEFT(B10,4)&lt;&gt;"    ","",X10+Z10)</f>
        <v/>
      </c>
      <c r="X10" s="8" t="n"/>
      <c r="Y10" s="9">
        <f>IF(LEFT(B10,4)&lt;&gt;"    ",0,IF(P10&lt;0,P10,IF(U10&gt;0.3,W10-X10,0)))</f>
        <v/>
      </c>
      <c r="Z10" s="71">
        <f>Y10</f>
        <v/>
      </c>
      <c r="AA10" s="72" t="n"/>
      <c r="AB10" s="109" t="n"/>
      <c r="AC10" s="9">
        <f>IF(LEFT(B10,4)&lt;&gt;"    ",0,BK10)</f>
        <v/>
      </c>
      <c r="AD10" s="9">
        <f>Z10-AC10</f>
        <v/>
      </c>
      <c r="AE10" s="10" t="n"/>
      <c r="AF10" s="24" t="n"/>
      <c r="AG10" s="11" t="n"/>
      <c r="AH10" s="8" t="n"/>
      <c r="AI10" s="9">
        <f>IF(LEFT(B10,4)&lt;&gt;"    ","",AG10-AH10)</f>
        <v/>
      </c>
      <c r="AJ10" s="9" t="n"/>
      <c r="AK10" s="10" t="n"/>
      <c r="AL10" s="11">
        <f>IF(LEFT(B10,4)&lt;&gt;"    ","",W10-AG10)</f>
        <v/>
      </c>
      <c r="AM10" s="8">
        <f>IF(LEFT(B10,4)&lt;&gt;"    ","",X10-AH10)</f>
        <v/>
      </c>
      <c r="AN10" s="9">
        <f>IF(LEFT(B10,4)&lt;&gt;"    ","",Y10-AI10)</f>
        <v/>
      </c>
      <c r="AO10" s="9">
        <f>IF(LEFT(B10,4)&lt;&gt;"    ","",Z10-AJ10)</f>
        <v/>
      </c>
      <c r="AP10" s="10" t="n"/>
      <c r="AQ10" s="25">
        <f>IF(LEFT(B10,4)&lt;&gt;"    ","",I10-W10)</f>
        <v/>
      </c>
      <c r="AR10" s="25">
        <f>M10-X10</f>
        <v/>
      </c>
      <c r="AS10" s="25">
        <f>IF(LEFT(B10,4)&lt;&gt;"    ","",P10-Z10)</f>
        <v/>
      </c>
      <c r="AT10" s="10" t="n"/>
      <c r="AU10" s="12" t="n"/>
      <c r="AV10" s="12">
        <f>IF(LEFT(B10,4)&lt;&gt;"    ","",IF(W10-AU10&gt;=0,W10-AU10," "))</f>
        <v/>
      </c>
      <c r="AW10" s="12">
        <f>IF(LEFT(B10,4)&lt;&gt;"    ","",IF(AU10-W10&gt;=0,AU10-W10," "))</f>
        <v/>
      </c>
      <c r="AX10" s="186" t="n"/>
      <c r="AY10" s="187" t="n"/>
      <c r="AZ10" s="186" t="n"/>
      <c r="BA10" s="186" t="n"/>
      <c r="BB10" s="188" t="n"/>
      <c r="BC10" s="187" t="n"/>
      <c r="BD10" s="187" t="n"/>
      <c r="BE10" s="186" t="n"/>
      <c r="BF10" s="186" t="n"/>
      <c r="BG10" s="186" t="n"/>
      <c r="BH10" s="186" t="n"/>
      <c r="BI10" s="186" t="n"/>
      <c r="BJ10" s="186" t="n"/>
      <c r="BK10" s="186" t="n"/>
      <c r="BL10" s="186" t="n"/>
      <c r="BM10" s="186" t="n"/>
      <c r="BN10" s="186" t="n"/>
      <c r="BO10" s="186" t="n"/>
      <c r="BP10" s="186" t="n"/>
      <c r="BQ10" s="186" t="n"/>
      <c r="BR10" s="186" t="n"/>
      <c r="BS10" s="186" t="n"/>
      <c r="BT10" s="186" t="n"/>
      <c r="BU10" s="186" t="n"/>
      <c r="BV10" s="186" t="n"/>
      <c r="BW10" s="186" t="n"/>
      <c r="BX10" s="186" t="n"/>
      <c r="BY10" s="186" t="n"/>
      <c r="BZ10" s="189" t="n"/>
      <c r="CA10" s="189" t="n"/>
      <c r="CB10" s="189" t="n"/>
      <c r="CC10" s="190" t="n"/>
      <c r="CD10" s="186" t="n"/>
      <c r="CE10" s="192" t="n"/>
      <c r="CF10" s="192" t="n"/>
      <c r="CG10" s="192" t="n"/>
      <c r="CH10" s="192" t="n"/>
      <c r="CI10" s="191" t="n"/>
      <c r="CJ10" s="192" t="n"/>
      <c r="CK10" s="192" t="n"/>
      <c r="CL10" s="192" t="n"/>
      <c r="CM10" s="192" t="n"/>
    </row>
    <row r="11">
      <c r="A11" s="177" t="n"/>
      <c r="B11" s="178" t="n"/>
      <c r="C11" s="178" t="n"/>
      <c r="D11" s="179" t="n"/>
      <c r="E11" s="180" t="n"/>
      <c r="F11" s="181" t="n"/>
      <c r="G11" s="182" t="n"/>
      <c r="H11" s="105" t="n"/>
      <c r="I11" s="183">
        <f>F11</f>
        <v/>
      </c>
      <c r="J11" s="193" t="n"/>
      <c r="K11" s="185" t="n"/>
      <c r="L11" s="8" t="n"/>
      <c r="M11" s="184">
        <f>L11</f>
        <v/>
      </c>
      <c r="N11" s="72" t="n"/>
      <c r="O11" s="101" t="n"/>
      <c r="P11" s="9">
        <f>I11-M11</f>
        <v/>
      </c>
      <c r="Q11" s="9">
        <f>IF(LEFT(B11,4)&lt;&gt;"    ",0,BN11)</f>
        <v/>
      </c>
      <c r="R11" s="9">
        <f>+P11-Q11</f>
        <v/>
      </c>
      <c r="S11" s="280" t="n"/>
      <c r="T11" s="10" t="n"/>
      <c r="U11" s="23">
        <f>IF(LEFT(B11,4)&lt;&gt;"    ","",IF(M11&lt;&gt;0,X11/M11,0))</f>
        <v/>
      </c>
      <c r="V11" s="11">
        <f>IF(LEFT(B11,4)&lt;&gt;"    ","",U11*I11)</f>
        <v/>
      </c>
      <c r="W11" s="11">
        <f>IF(LEFT(B11,4)&lt;&gt;"    ","",X11+Z11)</f>
        <v/>
      </c>
      <c r="X11" s="8" t="n"/>
      <c r="Y11" s="9">
        <f>IF(LEFT(B11,4)&lt;&gt;"    ",0,IF(P11&lt;0,P11,IF(U11&gt;0.3,W11-X11,0)))</f>
        <v/>
      </c>
      <c r="Z11" s="71">
        <f>Y11</f>
        <v/>
      </c>
      <c r="AA11" s="72" t="n"/>
      <c r="AB11" s="109" t="n"/>
      <c r="AC11" s="9">
        <f>IF(LEFT(B11,4)&lt;&gt;"    ",0,BK11)</f>
        <v/>
      </c>
      <c r="AD11" s="9">
        <f>Z11-AC11</f>
        <v/>
      </c>
      <c r="AE11" s="10" t="n"/>
      <c r="AF11" s="24" t="n"/>
      <c r="AG11" s="11" t="n"/>
      <c r="AH11" s="8" t="n"/>
      <c r="AI11" s="9">
        <f>IF(LEFT(B11,4)&lt;&gt;"    ","",AG11-AH11)</f>
        <v/>
      </c>
      <c r="AJ11" s="9" t="n"/>
      <c r="AK11" s="10" t="n"/>
      <c r="AL11" s="11">
        <f>IF(LEFT(B11,4)&lt;&gt;"    ","",W11-AG11)</f>
        <v/>
      </c>
      <c r="AM11" s="8">
        <f>IF(LEFT(B11,4)&lt;&gt;"    ","",X11-AH11)</f>
        <v/>
      </c>
      <c r="AN11" s="9">
        <f>IF(LEFT(B11,4)&lt;&gt;"    ","",Y11-AI11)</f>
        <v/>
      </c>
      <c r="AO11" s="9">
        <f>IF(LEFT(B11,4)&lt;&gt;"    ","",Z11-AJ11)</f>
        <v/>
      </c>
      <c r="AP11" s="10" t="n"/>
      <c r="AQ11" s="25">
        <f>IF(LEFT(B11,4)&lt;&gt;"    ","",I11-W11)</f>
        <v/>
      </c>
      <c r="AR11" s="25">
        <f>M11-X11</f>
        <v/>
      </c>
      <c r="AS11" s="25">
        <f>IF(LEFT(B11,4)&lt;&gt;"    ","",P11-Z11)</f>
        <v/>
      </c>
      <c r="AT11" s="10" t="n"/>
      <c r="AU11" s="12" t="n"/>
      <c r="AV11" s="12">
        <f>IF(LEFT(B11,4)&lt;&gt;"    ","",IF(W11-AU11&gt;=0,W11-AU11," "))</f>
        <v/>
      </c>
      <c r="AW11" s="12">
        <f>IF(LEFT(B11,4)&lt;&gt;"    ","",IF(AU11-W11&gt;=0,AU11-W11," "))</f>
        <v/>
      </c>
      <c r="AX11" s="186" t="n"/>
      <c r="AY11" s="187" t="n"/>
      <c r="AZ11" s="186" t="n"/>
      <c r="BA11" s="186" t="n"/>
      <c r="BB11" s="188" t="n"/>
      <c r="BC11" s="187" t="n"/>
      <c r="BD11" s="187" t="n"/>
      <c r="BE11" s="186" t="n"/>
      <c r="BF11" s="186" t="n"/>
      <c r="BG11" s="186" t="n"/>
      <c r="BH11" s="186" t="n"/>
      <c r="BI11" s="186" t="n"/>
      <c r="BJ11" s="186" t="n"/>
      <c r="BK11" s="194" t="n"/>
      <c r="BL11" s="186" t="n"/>
      <c r="BM11" s="186" t="n"/>
      <c r="BN11" s="186" t="n"/>
      <c r="BO11" s="186" t="n"/>
      <c r="BP11" s="186" t="n"/>
      <c r="BQ11" s="186" t="n"/>
      <c r="BR11" s="186" t="n"/>
      <c r="BS11" s="186" t="n"/>
      <c r="BT11" s="186" t="n"/>
      <c r="BU11" s="186" t="n"/>
      <c r="BV11" s="186" t="n"/>
      <c r="BW11" s="186" t="n"/>
      <c r="BX11" s="186" t="n"/>
      <c r="BY11" s="186" t="n"/>
      <c r="BZ11" s="189" t="n"/>
      <c r="CA11" s="189" t="n"/>
      <c r="CB11" s="189" t="n"/>
      <c r="CC11" s="190" t="n"/>
      <c r="CD11" s="186" t="n"/>
      <c r="CE11" s="186" t="n"/>
      <c r="CF11" s="186" t="n"/>
      <c r="CG11" s="186" t="n"/>
      <c r="CH11" s="186" t="n"/>
      <c r="CI11" s="191" t="n"/>
      <c r="CJ11" s="192" t="n"/>
      <c r="CK11" s="192" t="n"/>
      <c r="CL11" s="192" t="n"/>
      <c r="CM11" s="192" t="n"/>
    </row>
    <row r="12">
      <c r="A12" s="177" t="n"/>
      <c r="B12" s="178" t="n"/>
      <c r="C12" s="178" t="n"/>
      <c r="D12" s="179" t="n"/>
      <c r="E12" s="180" t="n"/>
      <c r="F12" s="181" t="n"/>
      <c r="G12" s="182" t="n"/>
      <c r="H12" s="105" t="n"/>
      <c r="I12" s="183">
        <f>F12</f>
        <v/>
      </c>
      <c r="J12" s="193" t="n"/>
      <c r="K12" s="185" t="n"/>
      <c r="L12" s="8" t="n"/>
      <c r="M12" s="184">
        <f>L12</f>
        <v/>
      </c>
      <c r="N12" s="71" t="n"/>
      <c r="O12" s="101" t="n"/>
      <c r="P12" s="9">
        <f>I12-M12</f>
        <v/>
      </c>
      <c r="Q12" s="9">
        <f>IF(LEFT(B12,4)&lt;&gt;"    ",0,BN12)</f>
        <v/>
      </c>
      <c r="R12" s="9">
        <f>+P12-Q12</f>
        <v/>
      </c>
      <c r="S12" s="280" t="n"/>
      <c r="T12" s="10" t="n"/>
      <c r="U12" s="23">
        <f>IF(LEFT(B12,4)&lt;&gt;"    ","",IF(M12&lt;&gt;0,X12/M12,0))</f>
        <v/>
      </c>
      <c r="V12" s="11">
        <f>IF(LEFT(B12,4)&lt;&gt;"    ","",U12*I12)</f>
        <v/>
      </c>
      <c r="W12" s="11">
        <f>IF(LEFT(B12,4)&lt;&gt;"    ","",X12+Z12)</f>
        <v/>
      </c>
      <c r="X12" s="8" t="n"/>
      <c r="Y12" s="9">
        <f>IF(LEFT(B12,4)&lt;&gt;"    ",0,IF(P12&lt;0,P12,IF(U12&gt;0.3,W12-X12,0)))</f>
        <v/>
      </c>
      <c r="Z12" s="71">
        <f>Y12</f>
        <v/>
      </c>
      <c r="AA12" s="72" t="n"/>
      <c r="AB12" s="109" t="n"/>
      <c r="AC12" s="9">
        <f>IF(LEFT(B12,4)&lt;&gt;"    ",0,BK12)</f>
        <v/>
      </c>
      <c r="AD12" s="9">
        <f>Z12-AC12</f>
        <v/>
      </c>
      <c r="AE12" s="10" t="n"/>
      <c r="AF12" s="24" t="n"/>
      <c r="AG12" s="11" t="n"/>
      <c r="AH12" s="8" t="n"/>
      <c r="AI12" s="9">
        <f>IF(LEFT(B12,4)&lt;&gt;"    ","",AG12-AH12)</f>
        <v/>
      </c>
      <c r="AJ12" s="9" t="n"/>
      <c r="AK12" s="10" t="n"/>
      <c r="AL12" s="11">
        <f>IF(LEFT(B12,4)&lt;&gt;"    ","",W12-AG12)</f>
        <v/>
      </c>
      <c r="AM12" s="8">
        <f>IF(LEFT(B12,4)&lt;&gt;"    ","",X12-AH12)</f>
        <v/>
      </c>
      <c r="AN12" s="9">
        <f>IF(LEFT(B12,4)&lt;&gt;"    ","",Y12-AI12)</f>
        <v/>
      </c>
      <c r="AO12" s="9">
        <f>IF(LEFT(B12,4)&lt;&gt;"    ","",Z12-AJ12)</f>
        <v/>
      </c>
      <c r="AP12" s="10" t="n"/>
      <c r="AQ12" s="25">
        <f>IF(LEFT(B12,4)&lt;&gt;"    ","",I12-W12)</f>
        <v/>
      </c>
      <c r="AR12" s="25">
        <f>M12-X12</f>
        <v/>
      </c>
      <c r="AS12" s="25">
        <f>IF(LEFT(B12,4)&lt;&gt;"    ","",P12-Z12)</f>
        <v/>
      </c>
      <c r="AT12" s="10" t="n"/>
      <c r="AU12" s="12" t="n"/>
      <c r="AV12" s="12">
        <f>IF(LEFT(B12,4)&lt;&gt;"    ","",IF(W12-AU12&gt;=0,W12-AU12," "))</f>
        <v/>
      </c>
      <c r="AW12" s="12">
        <f>IF(LEFT(B12,4)&lt;&gt;"    ","",IF(AU12-W12&gt;=0,AU12-W12," "))</f>
        <v/>
      </c>
      <c r="AX12" s="186" t="n"/>
      <c r="AY12" s="187" t="n"/>
      <c r="AZ12" s="186" t="n"/>
      <c r="BA12" s="186" t="n"/>
      <c r="BB12" s="188" t="n"/>
      <c r="BC12" s="187" t="n"/>
      <c r="BD12" s="187" t="n"/>
      <c r="BE12" s="186" t="n"/>
      <c r="BF12" s="186" t="n"/>
      <c r="BG12" s="186" t="n"/>
      <c r="BH12" s="186" t="n"/>
      <c r="BI12" s="186" t="n"/>
      <c r="BJ12" s="186" t="n"/>
      <c r="BK12" s="186" t="n"/>
      <c r="BL12" s="186" t="n"/>
      <c r="BM12" s="186" t="n"/>
      <c r="BN12" s="186" t="n"/>
      <c r="BO12" s="186" t="n"/>
      <c r="BP12" s="186" t="n"/>
      <c r="BQ12" s="186" t="n"/>
      <c r="BR12" s="186" t="n"/>
      <c r="BS12" s="186" t="n"/>
      <c r="BT12" s="186" t="n"/>
      <c r="BU12" s="186" t="n"/>
      <c r="BV12" s="186" t="n"/>
      <c r="BW12" s="186" t="n"/>
      <c r="BX12" s="186" t="n"/>
      <c r="BY12" s="186" t="n"/>
      <c r="BZ12" s="189" t="n"/>
      <c r="CA12" s="189" t="n"/>
      <c r="CB12" s="189" t="n"/>
      <c r="CC12" s="190" t="n"/>
      <c r="CD12" s="186" t="n"/>
      <c r="CE12" s="186" t="n"/>
      <c r="CF12" s="186" t="n"/>
      <c r="CG12" s="186" t="n"/>
      <c r="CH12" s="186" t="n"/>
      <c r="CI12" s="191" t="n"/>
      <c r="CJ12" s="192" t="n"/>
      <c r="CK12" s="192" t="n"/>
      <c r="CL12" s="192" t="n"/>
      <c r="CM12" s="192" t="n"/>
    </row>
    <row r="13">
      <c r="A13" s="177" t="n"/>
      <c r="B13" s="178" t="n"/>
      <c r="C13" s="178" t="n"/>
      <c r="D13" s="179" t="n"/>
      <c r="E13" s="180" t="n"/>
      <c r="F13" s="181" t="n"/>
      <c r="G13" s="182" t="n"/>
      <c r="H13" s="105" t="n"/>
      <c r="I13" s="183">
        <f>F13</f>
        <v/>
      </c>
      <c r="J13" s="193" t="n"/>
      <c r="K13" s="185" t="n"/>
      <c r="L13" s="8" t="n"/>
      <c r="M13" s="184">
        <f>L13</f>
        <v/>
      </c>
      <c r="N13" s="71" t="n"/>
      <c r="O13" s="101" t="n"/>
      <c r="P13" s="9">
        <f>I13-M13</f>
        <v/>
      </c>
      <c r="Q13" s="9">
        <f>IF(LEFT(B13,4)&lt;&gt;"    ",0,BN13)</f>
        <v/>
      </c>
      <c r="R13" s="9">
        <f>+P13-Q13</f>
        <v/>
      </c>
      <c r="S13" s="280" t="n"/>
      <c r="T13" s="10" t="n"/>
      <c r="U13" s="23">
        <f>IF(LEFT(B13,4)&lt;&gt;"    ","",IF(M13&lt;&gt;0,X13/M13,0))</f>
        <v/>
      </c>
      <c r="V13" s="11">
        <f>IF(LEFT(B13,4)&lt;&gt;"    ","",U13*I13)</f>
        <v/>
      </c>
      <c r="W13" s="11">
        <f>IF(LEFT(B13,4)&lt;&gt;"    ","",X13+Z13)</f>
        <v/>
      </c>
      <c r="X13" s="8" t="n"/>
      <c r="Y13" s="9">
        <f>IF(LEFT(B13,4)&lt;&gt;"    ",0,IF(P13&lt;0,P13,IF(U13&gt;0.3,W13-X13,0)))</f>
        <v/>
      </c>
      <c r="Z13" s="71">
        <f>Y13</f>
        <v/>
      </c>
      <c r="AA13" s="71" t="n"/>
      <c r="AB13" s="109" t="n"/>
      <c r="AC13" s="9">
        <f>IF(LEFT(B13,4)&lt;&gt;"    ",0,BK13)</f>
        <v/>
      </c>
      <c r="AD13" s="9">
        <f>Z13-AC13</f>
        <v/>
      </c>
      <c r="AE13" s="10" t="n"/>
      <c r="AF13" s="24" t="n"/>
      <c r="AG13" s="11" t="n"/>
      <c r="AH13" s="8" t="n"/>
      <c r="AI13" s="9">
        <f>IF(LEFT(B13,4)&lt;&gt;"    ","",AG13-AH13)</f>
        <v/>
      </c>
      <c r="AJ13" s="9" t="n"/>
      <c r="AK13" s="10" t="n"/>
      <c r="AL13" s="11">
        <f>IF(LEFT(B13,4)&lt;&gt;"    ","",W13-AG13)</f>
        <v/>
      </c>
      <c r="AM13" s="8">
        <f>IF(LEFT(B13,4)&lt;&gt;"    ","",X13-AH13)</f>
        <v/>
      </c>
      <c r="AN13" s="9">
        <f>IF(LEFT(B13,4)&lt;&gt;"    ","",Y13-AI13)</f>
        <v/>
      </c>
      <c r="AO13" s="9">
        <f>IF(LEFT(B13,4)&lt;&gt;"    ","",Z13-AJ13)</f>
        <v/>
      </c>
      <c r="AP13" s="10" t="n"/>
      <c r="AQ13" s="25">
        <f>IF(LEFT(B13,4)&lt;&gt;"    ","",I13-W13)</f>
        <v/>
      </c>
      <c r="AR13" s="25">
        <f>M13-X13</f>
        <v/>
      </c>
      <c r="AS13" s="25">
        <f>IF(LEFT(B13,4)&lt;&gt;"    ","",P13-Z13)</f>
        <v/>
      </c>
      <c r="AT13" s="10" t="n"/>
      <c r="AU13" s="12" t="n"/>
      <c r="AV13" s="12">
        <f>IF(LEFT(B13,4)&lt;&gt;"    ","",IF(W13-AU13&gt;=0,W13-AU13," "))</f>
        <v/>
      </c>
      <c r="AW13" s="12">
        <f>IF(LEFT(B13,4)&lt;&gt;"    ","",IF(AU13-W13&gt;=0,AU13-W13," "))</f>
        <v/>
      </c>
      <c r="AX13" s="186" t="n"/>
      <c r="AY13" s="187" t="n"/>
      <c r="AZ13" s="186" t="n"/>
      <c r="BA13" s="186" t="n"/>
      <c r="BB13" s="188" t="n"/>
      <c r="BC13" s="187" t="n"/>
      <c r="BD13" s="187" t="n"/>
      <c r="BE13" s="186" t="n"/>
      <c r="BF13" s="186" t="n"/>
      <c r="BG13" s="186" t="n"/>
      <c r="BH13" s="186" t="n"/>
      <c r="BI13" s="186" t="n"/>
      <c r="BJ13" s="186" t="n"/>
      <c r="BK13" s="186" t="n"/>
      <c r="BL13" s="186" t="n"/>
      <c r="BM13" s="186" t="n"/>
      <c r="BN13" s="186" t="n"/>
      <c r="BO13" s="186" t="n"/>
      <c r="BP13" s="186" t="n"/>
      <c r="BQ13" s="186" t="n"/>
      <c r="BR13" s="186" t="n"/>
      <c r="BS13" s="186" t="n"/>
      <c r="BT13" s="186" t="n"/>
      <c r="BU13" s="186" t="n"/>
      <c r="BV13" s="186" t="n"/>
      <c r="BW13" s="186" t="n"/>
      <c r="BX13" s="186" t="n"/>
      <c r="BY13" s="186" t="n"/>
      <c r="BZ13" s="189" t="n"/>
      <c r="CA13" s="189" t="n"/>
      <c r="CB13" s="189" t="n"/>
      <c r="CC13" s="190" t="n"/>
      <c r="CD13" s="186" t="n"/>
      <c r="CE13" s="186" t="n"/>
      <c r="CF13" s="186" t="n"/>
      <c r="CG13" s="186" t="n"/>
      <c r="CH13" s="186" t="n"/>
      <c r="CI13" s="191" t="n"/>
      <c r="CJ13" s="192" t="n"/>
      <c r="CK13" s="192" t="n"/>
      <c r="CL13" s="192" t="n"/>
      <c r="CM13" s="192" t="n"/>
    </row>
    <row r="14">
      <c r="A14" s="177" t="n"/>
      <c r="B14" s="178" t="n"/>
      <c r="C14" s="178" t="n"/>
      <c r="D14" s="179" t="n"/>
      <c r="E14" s="180" t="n"/>
      <c r="F14" s="181" t="n"/>
      <c r="G14" s="182" t="n"/>
      <c r="H14" s="105" t="n"/>
      <c r="I14" s="183">
        <f>F14</f>
        <v/>
      </c>
      <c r="J14" s="193" t="n"/>
      <c r="K14" s="185" t="n"/>
      <c r="L14" s="8" t="n"/>
      <c r="M14" s="184">
        <f>L14</f>
        <v/>
      </c>
      <c r="N14" s="72" t="n"/>
      <c r="O14" s="101" t="n"/>
      <c r="P14" s="9">
        <f>I14-M14</f>
        <v/>
      </c>
      <c r="Q14" s="9">
        <f>IF(LEFT(B14,4)&lt;&gt;"    ",0,BN14)</f>
        <v/>
      </c>
      <c r="R14" s="9">
        <f>+P14-Q14</f>
        <v/>
      </c>
      <c r="S14" s="280" t="n"/>
      <c r="T14" s="10" t="n"/>
      <c r="U14" s="23">
        <f>IF(LEFT(B14,4)&lt;&gt;"    ","",IF(M14&lt;&gt;0,X14/M14,0))</f>
        <v/>
      </c>
      <c r="V14" s="11">
        <f>IF(LEFT(B14,4)&lt;&gt;"    ","",U14*I14)</f>
        <v/>
      </c>
      <c r="W14" s="11">
        <f>IF(LEFT(B14,4)&lt;&gt;"    ","",X14+Z14)</f>
        <v/>
      </c>
      <c r="X14" s="8" t="n"/>
      <c r="Y14" s="9">
        <f>IF(LEFT(B14,4)&lt;&gt;"    ",0,IF(P14&lt;0,P14,IF(U14&gt;0.3,W14-X14,0)))</f>
        <v/>
      </c>
      <c r="Z14" s="71">
        <f>Y14</f>
        <v/>
      </c>
      <c r="AA14" s="72" t="n"/>
      <c r="AB14" s="109" t="n"/>
      <c r="AC14" s="9">
        <f>IF(LEFT(B14,4)&lt;&gt;"    ",0,BK14)</f>
        <v/>
      </c>
      <c r="AD14" s="9">
        <f>Z14-AC14</f>
        <v/>
      </c>
      <c r="AE14" s="10" t="n"/>
      <c r="AF14" s="24" t="n"/>
      <c r="AG14" s="11" t="n"/>
      <c r="AH14" s="8" t="n"/>
      <c r="AI14" s="9">
        <f>IF(LEFT(B14,4)&lt;&gt;"    ","",AG14-AH14)</f>
        <v/>
      </c>
      <c r="AJ14" s="9" t="n"/>
      <c r="AK14" s="10" t="n"/>
      <c r="AL14" s="11">
        <f>IF(LEFT(B14,4)&lt;&gt;"    ","",W14-AG14)</f>
        <v/>
      </c>
      <c r="AM14" s="8">
        <f>IF(LEFT(B14,4)&lt;&gt;"    ","",X14-AH14)</f>
        <v/>
      </c>
      <c r="AN14" s="9">
        <f>IF(LEFT(B14,4)&lt;&gt;"    ","",Y14-AI14)</f>
        <v/>
      </c>
      <c r="AO14" s="9">
        <f>IF(LEFT(B14,4)&lt;&gt;"    ","",Z14-AJ14)</f>
        <v/>
      </c>
      <c r="AP14" s="10" t="n"/>
      <c r="AQ14" s="25">
        <f>IF(LEFT(B14,4)&lt;&gt;"    ","",I14-W14)</f>
        <v/>
      </c>
      <c r="AR14" s="25">
        <f>M14-X14</f>
        <v/>
      </c>
      <c r="AS14" s="25">
        <f>IF(LEFT(B14,4)&lt;&gt;"    ","",P14-Z14)</f>
        <v/>
      </c>
      <c r="AT14" s="10" t="n"/>
      <c r="AU14" s="12" t="n"/>
      <c r="AV14" s="12">
        <f>IF(LEFT(B14,4)&lt;&gt;"    ","",IF(W14-AU14&gt;=0,W14-AU14," "))</f>
        <v/>
      </c>
      <c r="AW14" s="12">
        <f>IF(LEFT(B14,4)&lt;&gt;"    ","",IF(AU14-W14&gt;=0,AU14-W14," "))</f>
        <v/>
      </c>
      <c r="AX14" s="186" t="n"/>
      <c r="AY14" s="187" t="n"/>
      <c r="AZ14" s="186" t="n"/>
      <c r="BA14" s="186" t="n"/>
      <c r="BB14" s="188" t="n"/>
      <c r="BC14" s="187" t="n"/>
      <c r="BD14" s="187" t="n"/>
      <c r="BE14" s="186" t="n"/>
      <c r="BF14" s="186" t="n"/>
      <c r="BG14" s="186" t="n"/>
      <c r="BH14" s="186" t="n"/>
      <c r="BI14" s="186" t="n"/>
      <c r="BJ14" s="186" t="n"/>
      <c r="BK14" s="186" t="n"/>
      <c r="BL14" s="186" t="n"/>
      <c r="BM14" s="186" t="n"/>
      <c r="BN14" s="186" t="n"/>
      <c r="BO14" s="186" t="n"/>
      <c r="BP14" s="186" t="n"/>
      <c r="BQ14" s="186" t="n"/>
      <c r="BR14" s="186" t="n"/>
      <c r="BS14" s="186" t="n"/>
      <c r="BT14" s="186" t="n"/>
      <c r="BU14" s="186" t="n"/>
      <c r="BV14" s="186" t="n"/>
      <c r="BW14" s="186" t="n"/>
      <c r="BX14" s="186" t="n"/>
      <c r="BY14" s="186" t="n"/>
      <c r="BZ14" s="189" t="n"/>
      <c r="CA14" s="189" t="n"/>
      <c r="CB14" s="189" t="n"/>
      <c r="CC14" s="190" t="n"/>
      <c r="CD14" s="186" t="n"/>
      <c r="CE14" s="186" t="n"/>
      <c r="CF14" s="186" t="n"/>
      <c r="CG14" s="186" t="n"/>
      <c r="CH14" s="186" t="n"/>
      <c r="CI14" s="191" t="n"/>
      <c r="CJ14" s="192" t="n"/>
      <c r="CK14" s="192" t="n"/>
      <c r="CL14" s="192" t="n"/>
      <c r="CM14" s="192" t="n"/>
    </row>
    <row r="15">
      <c r="A15" s="177" t="n"/>
      <c r="B15" s="178" t="n"/>
      <c r="C15" s="178" t="n"/>
      <c r="D15" s="179" t="n"/>
      <c r="E15" s="180" t="n"/>
      <c r="F15" s="181" t="n"/>
      <c r="G15" s="182" t="n"/>
      <c r="H15" s="105" t="n"/>
      <c r="I15" s="183">
        <f>F15</f>
        <v/>
      </c>
      <c r="J15" s="193" t="n"/>
      <c r="K15" s="185" t="n"/>
      <c r="L15" s="8" t="n"/>
      <c r="M15" s="184">
        <f>L15</f>
        <v/>
      </c>
      <c r="N15" s="72" t="n"/>
      <c r="O15" s="101" t="n"/>
      <c r="P15" s="9">
        <f>I15-M15</f>
        <v/>
      </c>
      <c r="Q15" s="9">
        <f>IF(LEFT(B15,4)&lt;&gt;"    ",0,BN15)</f>
        <v/>
      </c>
      <c r="R15" s="9">
        <f>+P15-Q15</f>
        <v/>
      </c>
      <c r="S15" s="280" t="n"/>
      <c r="T15" s="10" t="n"/>
      <c r="U15" s="23">
        <f>IF(LEFT(B15,4)&lt;&gt;"    ","",IF(M15&lt;&gt;0,X15/M15,0))</f>
        <v/>
      </c>
      <c r="V15" s="11">
        <f>IF(LEFT(B15,4)&lt;&gt;"    ","",U15*I15)</f>
        <v/>
      </c>
      <c r="W15" s="11">
        <f>IF(LEFT(B15,4)&lt;&gt;"    ","",X15+Z15)</f>
        <v/>
      </c>
      <c r="X15" s="8" t="n"/>
      <c r="Y15" s="9">
        <f>IF(LEFT(B15,4)&lt;&gt;"    ",0,IF(P15&lt;0,P15,IF(U15&gt;0.3,W15-X15,0)))</f>
        <v/>
      </c>
      <c r="Z15" s="71">
        <f>Y15</f>
        <v/>
      </c>
      <c r="AA15" s="71" t="n"/>
      <c r="AB15" s="109" t="n"/>
      <c r="AC15" s="9">
        <f>IF(LEFT(B15,4)&lt;&gt;"    ",0,BK15)</f>
        <v/>
      </c>
      <c r="AD15" s="9">
        <f>Z15-AC15</f>
        <v/>
      </c>
      <c r="AE15" s="10" t="n"/>
      <c r="AF15" s="24" t="n"/>
      <c r="AG15" s="11" t="n"/>
      <c r="AH15" s="8" t="n"/>
      <c r="AI15" s="9">
        <f>IF(LEFT(B15,4)&lt;&gt;"    ","",AG15-AH15)</f>
        <v/>
      </c>
      <c r="AJ15" s="9" t="n"/>
      <c r="AK15" s="10" t="n"/>
      <c r="AL15" s="11">
        <f>IF(LEFT(B15,4)&lt;&gt;"    ","",W15-AG15)</f>
        <v/>
      </c>
      <c r="AM15" s="8">
        <f>IF(LEFT(B15,4)&lt;&gt;"    ","",X15-AH15)</f>
        <v/>
      </c>
      <c r="AN15" s="9">
        <f>IF(LEFT(B15,4)&lt;&gt;"    ","",Y15-AI15)</f>
        <v/>
      </c>
      <c r="AO15" s="9">
        <f>IF(LEFT(B15,4)&lt;&gt;"    ","",Z15-AJ15)</f>
        <v/>
      </c>
      <c r="AP15" s="10" t="n"/>
      <c r="AQ15" s="25">
        <f>IF(LEFT(B15,4)&lt;&gt;"    ","",I15-W15)</f>
        <v/>
      </c>
      <c r="AR15" s="25">
        <f>M15-X15</f>
        <v/>
      </c>
      <c r="AS15" s="25">
        <f>IF(LEFT(B15,4)&lt;&gt;"    ","",P15-Z15)</f>
        <v/>
      </c>
      <c r="AT15" s="10" t="n"/>
      <c r="AU15" s="12" t="n"/>
      <c r="AV15" s="12">
        <f>IF(LEFT(B15,4)&lt;&gt;"    ","",IF(W15-AU15&gt;=0,W15-AU15," "))</f>
        <v/>
      </c>
      <c r="AW15" s="12">
        <f>IF(LEFT(B15,4)&lt;&gt;"    ","",IF(AU15-W15&gt;=0,AU15-W15," "))</f>
        <v/>
      </c>
      <c r="AX15" s="186" t="n"/>
      <c r="AY15" s="187" t="n"/>
      <c r="AZ15" s="186" t="n"/>
      <c r="BA15" s="186" t="n"/>
      <c r="BB15" s="188" t="n"/>
      <c r="BC15" s="187" t="n"/>
      <c r="BD15" s="187" t="n"/>
      <c r="BE15" s="186" t="n"/>
      <c r="BF15" s="186" t="n"/>
      <c r="BG15" s="186" t="n"/>
      <c r="BH15" s="186" t="n"/>
      <c r="BI15" s="186" t="n"/>
      <c r="BJ15" s="186" t="n"/>
      <c r="BK15" s="186" t="n"/>
      <c r="BL15" s="186" t="n"/>
      <c r="BM15" s="186" t="n"/>
      <c r="BN15" s="186" t="n"/>
      <c r="BO15" s="186" t="n"/>
      <c r="BP15" s="186" t="n"/>
      <c r="BQ15" s="186" t="n"/>
      <c r="BR15" s="186" t="n"/>
      <c r="BS15" s="186" t="n"/>
      <c r="BT15" s="186" t="n"/>
      <c r="BU15" s="186" t="n"/>
      <c r="BV15" s="186" t="n"/>
      <c r="BW15" s="186" t="n"/>
      <c r="BX15" s="186" t="n"/>
      <c r="BY15" s="186" t="n"/>
      <c r="BZ15" s="189" t="n"/>
      <c r="CA15" s="189" t="n"/>
      <c r="CB15" s="189" t="n"/>
      <c r="CC15" s="190" t="n"/>
      <c r="CD15" s="186" t="n"/>
      <c r="CE15" s="186" t="n"/>
      <c r="CF15" s="186" t="n"/>
      <c r="CG15" s="186" t="n"/>
      <c r="CH15" s="186" t="n"/>
      <c r="CI15" s="191" t="n"/>
      <c r="CJ15" s="192" t="n"/>
      <c r="CK15" s="192" t="n"/>
      <c r="CL15" s="192" t="n"/>
      <c r="CM15" s="192" t="n"/>
    </row>
    <row r="16">
      <c r="A16" s="177" t="n"/>
      <c r="B16" s="178" t="n"/>
      <c r="C16" s="178" t="n"/>
      <c r="D16" s="179" t="n"/>
      <c r="E16" s="180" t="n"/>
      <c r="F16" s="181" t="n"/>
      <c r="G16" s="182" t="n"/>
      <c r="H16" s="105" t="n"/>
      <c r="I16" s="183">
        <f>F16</f>
        <v/>
      </c>
      <c r="J16" s="193" t="n"/>
      <c r="K16" s="185" t="n"/>
      <c r="L16" s="8" t="n"/>
      <c r="M16" s="184">
        <f>L16</f>
        <v/>
      </c>
      <c r="N16" s="72" t="n"/>
      <c r="O16" s="101" t="n"/>
      <c r="P16" s="9">
        <f>I16-M16</f>
        <v/>
      </c>
      <c r="Q16" s="9">
        <f>IF(LEFT(B16,4)&lt;&gt;"    ",0,BN16)</f>
        <v/>
      </c>
      <c r="R16" s="9">
        <f>+P16-Q16</f>
        <v/>
      </c>
      <c r="S16" s="280" t="n"/>
      <c r="T16" s="10" t="n"/>
      <c r="U16" s="23">
        <f>IF(LEFT(B16,4)&lt;&gt;"    ","",IF(M16&lt;&gt;0,X16/M16,0))</f>
        <v/>
      </c>
      <c r="V16" s="11">
        <f>IF(LEFT(B16,4)&lt;&gt;"    ","",U16*I16)</f>
        <v/>
      </c>
      <c r="W16" s="11">
        <f>IF(LEFT(B16,4)&lt;&gt;"    ","",X16+Z16)</f>
        <v/>
      </c>
      <c r="X16" s="8" t="n"/>
      <c r="Y16" s="9">
        <f>IF(LEFT(B16,4)&lt;&gt;"    ",0,IF(P16&lt;0,P16,IF(U16&gt;0.3,W16-X16,0)))</f>
        <v/>
      </c>
      <c r="Z16" s="71">
        <f>Y16</f>
        <v/>
      </c>
      <c r="AA16" s="72" t="n"/>
      <c r="AB16" s="109" t="n"/>
      <c r="AC16" s="9">
        <f>IF(LEFT(B16,4)&lt;&gt;"    ",0,BK16)</f>
        <v/>
      </c>
      <c r="AD16" s="9">
        <f>Z16-AC16</f>
        <v/>
      </c>
      <c r="AE16" s="10" t="n"/>
      <c r="AF16" s="24" t="n"/>
      <c r="AG16" s="11" t="n"/>
      <c r="AH16" s="8" t="n"/>
      <c r="AI16" s="9">
        <f>IF(LEFT(B16,4)&lt;&gt;"    ","",AG16-AH16)</f>
        <v/>
      </c>
      <c r="AJ16" s="9" t="n"/>
      <c r="AK16" s="10" t="n"/>
      <c r="AL16" s="11">
        <f>IF(LEFT(B16,4)&lt;&gt;"    ","",W16-AG16)</f>
        <v/>
      </c>
      <c r="AM16" s="8">
        <f>IF(LEFT(B16,4)&lt;&gt;"    ","",X16-AH16)</f>
        <v/>
      </c>
      <c r="AN16" s="9">
        <f>IF(LEFT(B16,4)&lt;&gt;"    ","",Y16-AI16)</f>
        <v/>
      </c>
      <c r="AO16" s="9">
        <f>IF(LEFT(B16,4)&lt;&gt;"    ","",Z16-AJ16)</f>
        <v/>
      </c>
      <c r="AP16" s="10" t="n"/>
      <c r="AQ16" s="25">
        <f>IF(LEFT(B16,4)&lt;&gt;"    ","",I16-W16)</f>
        <v/>
      </c>
      <c r="AR16" s="25">
        <f>M16-X16</f>
        <v/>
      </c>
      <c r="AS16" s="25">
        <f>IF(LEFT(B16,4)&lt;&gt;"    ","",P16-Z16)</f>
        <v/>
      </c>
      <c r="AT16" s="10" t="n"/>
      <c r="AU16" s="12" t="n"/>
      <c r="AV16" s="12">
        <f>IF(LEFT(B16,4)&lt;&gt;"    ","",IF(W16-AU16&gt;=0,W16-AU16," "))</f>
        <v/>
      </c>
      <c r="AW16" s="12">
        <f>IF(LEFT(B16,4)&lt;&gt;"    ","",IF(AU16-W16&gt;=0,AU16-W16," "))</f>
        <v/>
      </c>
      <c r="AX16" s="186" t="n"/>
      <c r="AY16" s="187" t="n"/>
      <c r="AZ16" s="186" t="n"/>
      <c r="BA16" s="186" t="n"/>
      <c r="BB16" s="188" t="n"/>
      <c r="BC16" s="187" t="n"/>
      <c r="BD16" s="187" t="n"/>
      <c r="BE16" s="186" t="n"/>
      <c r="BF16" s="186" t="n"/>
      <c r="BG16" s="186" t="n"/>
      <c r="BH16" s="186" t="n"/>
      <c r="BI16" s="186" t="n"/>
      <c r="BJ16" s="186" t="n"/>
      <c r="BK16" s="186" t="n"/>
      <c r="BL16" s="186" t="n"/>
      <c r="BM16" s="186" t="n"/>
      <c r="BN16" s="186" t="n"/>
      <c r="BO16" s="186" t="n"/>
      <c r="BP16" s="186" t="n"/>
      <c r="BQ16" s="186" t="n"/>
      <c r="BR16" s="186" t="n"/>
      <c r="BS16" s="186" t="n"/>
      <c r="BT16" s="186" t="n"/>
      <c r="BU16" s="186" t="n"/>
      <c r="BV16" s="186" t="n"/>
      <c r="BW16" s="186" t="n"/>
      <c r="BX16" s="186" t="n"/>
      <c r="BY16" s="186" t="n"/>
      <c r="BZ16" s="189" t="n"/>
      <c r="CA16" s="189" t="n"/>
      <c r="CB16" s="189" t="n"/>
      <c r="CC16" s="190" t="n"/>
      <c r="CD16" s="186" t="n"/>
      <c r="CE16" s="186" t="n"/>
      <c r="CF16" s="186" t="n"/>
      <c r="CG16" s="186" t="n"/>
      <c r="CH16" s="186" t="n"/>
      <c r="CI16" s="191" t="n"/>
      <c r="CJ16" s="192" t="n"/>
      <c r="CK16" s="192" t="n"/>
      <c r="CL16" s="192" t="n"/>
      <c r="CM16" s="192" t="n"/>
    </row>
    <row r="17">
      <c r="A17" s="177" t="n"/>
      <c r="B17" s="178" t="n"/>
      <c r="C17" s="178" t="n"/>
      <c r="D17" s="179" t="n"/>
      <c r="E17" s="180" t="n"/>
      <c r="F17" s="181" t="n"/>
      <c r="G17" s="182" t="n"/>
      <c r="H17" s="105" t="n"/>
      <c r="I17" s="183">
        <f>F17</f>
        <v/>
      </c>
      <c r="J17" s="193" t="n"/>
      <c r="K17" s="185" t="n"/>
      <c r="L17" s="8" t="n"/>
      <c r="M17" s="184">
        <f>L17</f>
        <v/>
      </c>
      <c r="N17" s="72" t="n"/>
      <c r="O17" s="101" t="n"/>
      <c r="P17" s="9">
        <f>I17-M17</f>
        <v/>
      </c>
      <c r="Q17" s="9">
        <f>IF(LEFT(B17,4)&lt;&gt;"    ",0,BN17)</f>
        <v/>
      </c>
      <c r="R17" s="9">
        <f>+P17-Q17</f>
        <v/>
      </c>
      <c r="S17" s="280" t="n"/>
      <c r="T17" s="10" t="n"/>
      <c r="U17" s="23">
        <f>IF(LEFT(B17,4)&lt;&gt;"    ","",IF(M17&lt;&gt;0,X17/M17,0))</f>
        <v/>
      </c>
      <c r="V17" s="11">
        <f>IF(LEFT(B17,4)&lt;&gt;"    ","",U17*I17)</f>
        <v/>
      </c>
      <c r="W17" s="11">
        <f>IF(LEFT(B17,4)&lt;&gt;"    ","",X17+Z17)</f>
        <v/>
      </c>
      <c r="X17" s="8" t="n"/>
      <c r="Y17" s="9">
        <f>IF(LEFT(B17,4)&lt;&gt;"    ",0,IF(P17&lt;0,P17,IF(U17&gt;0.3,W17-X17,0)))</f>
        <v/>
      </c>
      <c r="Z17" s="71">
        <f>Y17</f>
        <v/>
      </c>
      <c r="AA17" s="71" t="n"/>
      <c r="AB17" s="109" t="n"/>
      <c r="AC17" s="9">
        <f>IF(LEFT(B17,4)&lt;&gt;"    ",0,BK17)</f>
        <v/>
      </c>
      <c r="AD17" s="9">
        <f>Z17-AC17</f>
        <v/>
      </c>
      <c r="AE17" s="10" t="n"/>
      <c r="AF17" s="24" t="n"/>
      <c r="AG17" s="11" t="n"/>
      <c r="AH17" s="8" t="n"/>
      <c r="AI17" s="9">
        <f>IF(LEFT(B17,4)&lt;&gt;"    ","",AG17-AH17)</f>
        <v/>
      </c>
      <c r="AJ17" s="9" t="n"/>
      <c r="AK17" s="10" t="n"/>
      <c r="AL17" s="11">
        <f>IF(LEFT(B17,4)&lt;&gt;"    ","",W17-AG17)</f>
        <v/>
      </c>
      <c r="AM17" s="8">
        <f>IF(LEFT(B17,4)&lt;&gt;"    ","",X17-AH17)</f>
        <v/>
      </c>
      <c r="AN17" s="9">
        <f>IF(LEFT(B17,4)&lt;&gt;"    ","",Y17-AI17)</f>
        <v/>
      </c>
      <c r="AO17" s="9">
        <f>IF(LEFT(B17,4)&lt;&gt;"    ","",Z17-AJ17)</f>
        <v/>
      </c>
      <c r="AP17" s="10" t="n"/>
      <c r="AQ17" s="25">
        <f>IF(LEFT(B17,4)&lt;&gt;"    ","",I17-W17)</f>
        <v/>
      </c>
      <c r="AR17" s="25">
        <f>M17-X17</f>
        <v/>
      </c>
      <c r="AS17" s="25">
        <f>IF(LEFT(B17,4)&lt;&gt;"    ","",P17-Z17)</f>
        <v/>
      </c>
      <c r="AT17" s="10" t="n"/>
      <c r="AU17" s="12" t="n"/>
      <c r="AV17" s="12">
        <f>IF(LEFT(B17,4)&lt;&gt;"    ","",IF(W17-AU17&gt;=0,W17-AU17," "))</f>
        <v/>
      </c>
      <c r="AW17" s="12">
        <f>IF(LEFT(B17,4)&lt;&gt;"    ","",IF(AU17-W17&gt;=0,AU17-W17," "))</f>
        <v/>
      </c>
      <c r="AX17" s="186" t="n"/>
      <c r="AY17" s="187" t="n"/>
      <c r="AZ17" s="186" t="n"/>
      <c r="BA17" s="186" t="n"/>
      <c r="BB17" s="188" t="n"/>
      <c r="BC17" s="187" t="n"/>
      <c r="BD17" s="187" t="n"/>
      <c r="BE17" s="186" t="n"/>
      <c r="BF17" s="186" t="n"/>
      <c r="BG17" s="186" t="n"/>
      <c r="BH17" s="186" t="n"/>
      <c r="BI17" s="186" t="n"/>
      <c r="BJ17" s="186" t="n"/>
      <c r="BK17" s="186" t="n"/>
      <c r="BL17" s="186" t="n"/>
      <c r="BM17" s="186" t="n"/>
      <c r="BN17" s="186" t="n"/>
      <c r="BO17" s="186" t="n"/>
      <c r="BP17" s="186" t="n"/>
      <c r="BQ17" s="186" t="n"/>
      <c r="BR17" s="186" t="n"/>
      <c r="BS17" s="186" t="n"/>
      <c r="BT17" s="186" t="n"/>
      <c r="BU17" s="186" t="n"/>
      <c r="BV17" s="186" t="n"/>
      <c r="BW17" s="186" t="n"/>
      <c r="BX17" s="186" t="n"/>
      <c r="BY17" s="186" t="n"/>
      <c r="BZ17" s="189" t="n"/>
      <c r="CA17" s="189" t="n"/>
      <c r="CB17" s="189" t="n"/>
      <c r="CC17" s="190" t="n"/>
      <c r="CD17" s="186" t="n"/>
      <c r="CE17" s="186" t="n"/>
      <c r="CF17" s="186" t="n"/>
      <c r="CG17" s="186" t="n"/>
      <c r="CH17" s="186" t="n"/>
      <c r="CI17" s="191" t="n"/>
      <c r="CJ17" s="192" t="n"/>
      <c r="CK17" s="192" t="n"/>
      <c r="CL17" s="192" t="n"/>
      <c r="CM17" s="192" t="n"/>
    </row>
    <row r="18">
      <c r="A18" s="177" t="n"/>
      <c r="B18" s="178" t="n"/>
      <c r="C18" s="178" t="n"/>
      <c r="D18" s="179" t="n"/>
      <c r="E18" s="180" t="n"/>
      <c r="F18" s="181" t="n"/>
      <c r="G18" s="182" t="n"/>
      <c r="H18" s="105" t="n"/>
      <c r="I18" s="183">
        <f>F18</f>
        <v/>
      </c>
      <c r="J18" s="193" t="n"/>
      <c r="K18" s="185" t="n"/>
      <c r="L18" s="8" t="n"/>
      <c r="M18" s="184">
        <f>L18</f>
        <v/>
      </c>
      <c r="N18" s="72" t="n"/>
      <c r="O18" s="101" t="n"/>
      <c r="P18" s="9">
        <f>I18-M18</f>
        <v/>
      </c>
      <c r="Q18" s="9">
        <f>IF(LEFT(B18,4)&lt;&gt;"    ",0,BN18)</f>
        <v/>
      </c>
      <c r="R18" s="9">
        <f>+P18-Q18</f>
        <v/>
      </c>
      <c r="S18" s="280" t="n"/>
      <c r="T18" s="10" t="n"/>
      <c r="U18" s="23">
        <f>IF(LEFT(B18,4)&lt;&gt;"    ","",IF(M18&lt;&gt;0,X18/M18,0))</f>
        <v/>
      </c>
      <c r="V18" s="11">
        <f>IF(LEFT(B18,4)&lt;&gt;"    ","",U18*I18)</f>
        <v/>
      </c>
      <c r="W18" s="11">
        <f>IF(LEFT(B18,4)&lt;&gt;"    ","",X18+Z18)</f>
        <v/>
      </c>
      <c r="X18" s="8" t="n"/>
      <c r="Y18" s="9">
        <f>IF(LEFT(B18,4)&lt;&gt;"    ",0,IF(P18&lt;0,P18,IF(U18&gt;0.3,W18-X18,0)))</f>
        <v/>
      </c>
      <c r="Z18" s="71">
        <f>Y18</f>
        <v/>
      </c>
      <c r="AA18" s="71" t="n"/>
      <c r="AB18" s="109" t="n"/>
      <c r="AC18" s="9">
        <f>IF(LEFT(B18,4)&lt;&gt;"    ",0,BK18)</f>
        <v/>
      </c>
      <c r="AD18" s="9">
        <f>Z18-AC18</f>
        <v/>
      </c>
      <c r="AE18" s="10" t="n"/>
      <c r="AF18" s="24" t="n"/>
      <c r="AG18" s="11" t="n"/>
      <c r="AH18" s="8" t="n"/>
      <c r="AI18" s="9">
        <f>IF(LEFT(B18,4)&lt;&gt;"    ","",AG18-AH18)</f>
        <v/>
      </c>
      <c r="AJ18" s="9" t="n"/>
      <c r="AK18" s="10" t="n"/>
      <c r="AL18" s="11">
        <f>IF(LEFT(B18,4)&lt;&gt;"    ","",W18-AG18)</f>
        <v/>
      </c>
      <c r="AM18" s="8">
        <f>IF(LEFT(B18,4)&lt;&gt;"    ","",X18-AH18)</f>
        <v/>
      </c>
      <c r="AN18" s="9">
        <f>IF(LEFT(B18,4)&lt;&gt;"    ","",Y18-AI18)</f>
        <v/>
      </c>
      <c r="AO18" s="9">
        <f>IF(LEFT(B18,4)&lt;&gt;"    ","",Z18-AJ18)</f>
        <v/>
      </c>
      <c r="AP18" s="10" t="n"/>
      <c r="AQ18" s="25">
        <f>IF(LEFT(B18,4)&lt;&gt;"    ","",I18-W18)</f>
        <v/>
      </c>
      <c r="AR18" s="25">
        <f>M18-X18</f>
        <v/>
      </c>
      <c r="AS18" s="25">
        <f>IF(LEFT(B18,4)&lt;&gt;"    ","",P18-Z18)</f>
        <v/>
      </c>
      <c r="AT18" s="10" t="n"/>
      <c r="AU18" s="12" t="n"/>
      <c r="AV18" s="12">
        <f>IF(LEFT(B18,4)&lt;&gt;"    ","",IF(W18-AU18&gt;=0,W18-AU18," "))</f>
        <v/>
      </c>
      <c r="AW18" s="12">
        <f>IF(LEFT(B18,4)&lt;&gt;"    ","",IF(AU18-W18&gt;=0,AU18-W18," "))</f>
        <v/>
      </c>
      <c r="AX18" s="186" t="n"/>
      <c r="AY18" s="187" t="n"/>
      <c r="AZ18" s="186" t="n"/>
      <c r="BA18" s="186" t="n"/>
      <c r="BB18" s="188" t="n"/>
      <c r="BC18" s="187" t="n"/>
      <c r="BD18" s="187" t="n"/>
      <c r="BE18" s="186" t="n"/>
      <c r="BF18" s="186" t="n"/>
      <c r="BG18" s="186" t="n"/>
      <c r="BH18" s="186" t="n"/>
      <c r="BI18" s="186" t="n"/>
      <c r="BJ18" s="186" t="n"/>
      <c r="BK18" s="186" t="n"/>
      <c r="BL18" s="186" t="n"/>
      <c r="BM18" s="186" t="n"/>
      <c r="BN18" s="186" t="n"/>
      <c r="BO18" s="186" t="n"/>
      <c r="BP18" s="186" t="n"/>
      <c r="BQ18" s="186" t="n"/>
      <c r="BR18" s="186" t="n"/>
      <c r="BS18" s="186" t="n"/>
      <c r="BT18" s="186" t="n"/>
      <c r="BU18" s="186" t="n"/>
      <c r="BV18" s="186" t="n"/>
      <c r="BW18" s="186" t="n"/>
      <c r="BX18" s="186" t="n"/>
      <c r="BY18" s="186" t="n"/>
      <c r="BZ18" s="189" t="n"/>
      <c r="CA18" s="189" t="n"/>
      <c r="CB18" s="189" t="n"/>
      <c r="CC18" s="190" t="n"/>
      <c r="CD18" s="186" t="n"/>
      <c r="CE18" s="186" t="n"/>
      <c r="CF18" s="186" t="n"/>
      <c r="CG18" s="186" t="n"/>
      <c r="CH18" s="186" t="n"/>
      <c r="CI18" s="191" t="n"/>
      <c r="CJ18" s="192" t="n"/>
      <c r="CK18" s="192" t="n"/>
      <c r="CL18" s="192" t="n"/>
      <c r="CM18" s="192" t="n"/>
    </row>
    <row r="19">
      <c r="A19" s="177" t="n"/>
      <c r="B19" s="178" t="n"/>
      <c r="C19" s="178" t="n"/>
      <c r="D19" s="179" t="n"/>
      <c r="E19" s="180" t="n"/>
      <c r="F19" s="181" t="n"/>
      <c r="G19" s="182" t="n"/>
      <c r="H19" s="105" t="n"/>
      <c r="I19" s="183">
        <f>F19</f>
        <v/>
      </c>
      <c r="J19" s="184" t="n"/>
      <c r="K19" s="185" t="n"/>
      <c r="L19" s="8" t="n"/>
      <c r="M19" s="184">
        <f>L19</f>
        <v/>
      </c>
      <c r="N19" s="72" t="n"/>
      <c r="O19" s="101" t="n"/>
      <c r="P19" s="9">
        <f>I19-M19</f>
        <v/>
      </c>
      <c r="Q19" s="9">
        <f>IF(LEFT(B19,4)&lt;&gt;"    ",0,BN19)</f>
        <v/>
      </c>
      <c r="R19" s="9">
        <f>+P19-Q19</f>
        <v/>
      </c>
      <c r="S19" s="280" t="n"/>
      <c r="T19" s="10" t="n"/>
      <c r="U19" s="23">
        <f>IF(LEFT(B19,4)&lt;&gt;"    ","",IF(M19&lt;&gt;0,X19/M19,0))</f>
        <v/>
      </c>
      <c r="V19" s="11">
        <f>IF(LEFT(B19,4)&lt;&gt;"    ","",U19*I19)</f>
        <v/>
      </c>
      <c r="W19" s="11">
        <f>IF(LEFT(B19,4)&lt;&gt;"    ","",X19+Z19)</f>
        <v/>
      </c>
      <c r="X19" s="8" t="n"/>
      <c r="Y19" s="9">
        <f>IF(LEFT(B19,4)&lt;&gt;"    ",0,IF(P19&lt;0,P19,IF(U19&gt;0.3,W19-X19,0)))</f>
        <v/>
      </c>
      <c r="Z19" s="71">
        <f>Y19</f>
        <v/>
      </c>
      <c r="AA19" s="71" t="n"/>
      <c r="AB19" s="109" t="n"/>
      <c r="AC19" s="9">
        <f>IF(LEFT(B19,4)&lt;&gt;"    ",0,BK19)</f>
        <v/>
      </c>
      <c r="AD19" s="9">
        <f>Z19-AC19</f>
        <v/>
      </c>
      <c r="AE19" s="10" t="n"/>
      <c r="AF19" s="24" t="n"/>
      <c r="AG19" s="11" t="n"/>
      <c r="AH19" s="8" t="n"/>
      <c r="AI19" s="9">
        <f>IF(LEFT(B19,4)&lt;&gt;"    ","",AG19-AH19)</f>
        <v/>
      </c>
      <c r="AJ19" s="9" t="n"/>
      <c r="AK19" s="10" t="n"/>
      <c r="AL19" s="11">
        <f>IF(LEFT(B19,4)&lt;&gt;"    ","",W19-AG19)</f>
        <v/>
      </c>
      <c r="AM19" s="8">
        <f>IF(LEFT(B19,4)&lt;&gt;"    ","",X19-AH19)</f>
        <v/>
      </c>
      <c r="AN19" s="9">
        <f>IF(LEFT(B19,4)&lt;&gt;"    ","",Y19-AI19)</f>
        <v/>
      </c>
      <c r="AO19" s="9">
        <f>IF(LEFT(B19,4)&lt;&gt;"    ","",Z19-AJ19)</f>
        <v/>
      </c>
      <c r="AP19" s="10" t="n"/>
      <c r="AQ19" s="25">
        <f>IF(LEFT(B19,4)&lt;&gt;"    ","",I19-W19)</f>
        <v/>
      </c>
      <c r="AR19" s="25">
        <f>M19-X19</f>
        <v/>
      </c>
      <c r="AS19" s="25">
        <f>IF(LEFT(B19,4)&lt;&gt;"    ","",P19-Z19)</f>
        <v/>
      </c>
      <c r="AT19" s="10" t="n"/>
      <c r="AU19" s="12" t="n"/>
      <c r="AV19" s="12">
        <f>IF(LEFT(B19,4)&lt;&gt;"    ","",IF(W19-AU19&gt;=0,W19-AU19," "))</f>
        <v/>
      </c>
      <c r="AW19" s="12">
        <f>IF(LEFT(B19,4)&lt;&gt;"    ","",IF(AU19-W19&gt;=0,AU19-W19," "))</f>
        <v/>
      </c>
      <c r="AX19" s="186" t="n"/>
      <c r="AY19" s="187" t="n"/>
      <c r="AZ19" s="186" t="n"/>
      <c r="BA19" s="186" t="n"/>
      <c r="BB19" s="188" t="n"/>
      <c r="BC19" s="187" t="n"/>
      <c r="BD19" s="187" t="n"/>
      <c r="BE19" s="186" t="n"/>
      <c r="BF19" s="186" t="n"/>
      <c r="BG19" s="186" t="n"/>
      <c r="BH19" s="186" t="n"/>
      <c r="BI19" s="186" t="n"/>
      <c r="BJ19" s="186" t="n"/>
      <c r="BK19" s="186" t="n"/>
      <c r="BL19" s="186" t="n"/>
      <c r="BM19" s="186" t="n"/>
      <c r="BN19" s="186" t="n"/>
      <c r="BO19" s="186" t="n"/>
      <c r="BP19" s="186" t="n"/>
      <c r="BQ19" s="186" t="n"/>
      <c r="BR19" s="186" t="n"/>
      <c r="BS19" s="186" t="n"/>
      <c r="BT19" s="186" t="n"/>
      <c r="BU19" s="186" t="n"/>
      <c r="BV19" s="186" t="n"/>
      <c r="BW19" s="186" t="n"/>
      <c r="BX19" s="186" t="n"/>
      <c r="BY19" s="186" t="n"/>
      <c r="BZ19" s="189" t="n"/>
      <c r="CA19" s="189" t="n"/>
      <c r="CB19" s="189" t="n"/>
      <c r="CC19" s="190" t="n"/>
      <c r="CD19" s="186" t="n"/>
      <c r="CE19" s="186" t="n"/>
      <c r="CF19" s="186" t="n"/>
      <c r="CG19" s="186" t="n"/>
      <c r="CH19" s="186" t="n"/>
      <c r="CI19" s="191" t="n"/>
      <c r="CJ19" s="192" t="n"/>
      <c r="CK19" s="192" t="n"/>
      <c r="CL19" s="192" t="n"/>
      <c r="CM19" s="192" t="n"/>
    </row>
    <row r="20">
      <c r="A20" s="177" t="n"/>
      <c r="B20" s="178" t="n"/>
      <c r="C20" s="178" t="n"/>
      <c r="D20" s="179" t="n"/>
      <c r="E20" s="180" t="n"/>
      <c r="F20" s="181" t="n"/>
      <c r="G20" s="182" t="n"/>
      <c r="H20" s="105" t="n"/>
      <c r="I20" s="183">
        <f>F20</f>
        <v/>
      </c>
      <c r="J20" s="184" t="n"/>
      <c r="K20" s="185" t="n"/>
      <c r="L20" s="8" t="n"/>
      <c r="M20" s="184">
        <f>L20</f>
        <v/>
      </c>
      <c r="N20" s="72" t="n"/>
      <c r="O20" s="101" t="n"/>
      <c r="P20" s="9">
        <f>I20-M20</f>
        <v/>
      </c>
      <c r="Q20" s="9">
        <f>IF(LEFT(B20,4)&lt;&gt;"    ",0,BN20)</f>
        <v/>
      </c>
      <c r="R20" s="9">
        <f>+P20-Q20</f>
        <v/>
      </c>
      <c r="S20" s="280" t="n"/>
      <c r="T20" s="10" t="n"/>
      <c r="U20" s="23">
        <f>IF(LEFT(B20,4)&lt;&gt;"    ","",IF(M20&lt;&gt;0,X20/M20,0))</f>
        <v/>
      </c>
      <c r="V20" s="11">
        <f>IF(LEFT(B20,4)&lt;&gt;"    ","",U20*I20)</f>
        <v/>
      </c>
      <c r="W20" s="11">
        <f>IF(LEFT(B20,4)&lt;&gt;"    ","",X20+Z20)</f>
        <v/>
      </c>
      <c r="X20" s="8" t="n"/>
      <c r="Y20" s="9">
        <f>IF(LEFT(B20,4)&lt;&gt;"    ",0,IF(P20&lt;0,P20,IF(U20&gt;0.3,W20-X20,0)))</f>
        <v/>
      </c>
      <c r="Z20" s="71">
        <f>Y20</f>
        <v/>
      </c>
      <c r="AA20" s="71" t="n"/>
      <c r="AB20" s="109" t="n"/>
      <c r="AC20" s="9">
        <f>IF(LEFT(B20,4)&lt;&gt;"    ",0,BK20)</f>
        <v/>
      </c>
      <c r="AD20" s="9">
        <f>Z20-AC20</f>
        <v/>
      </c>
      <c r="AE20" s="10" t="n"/>
      <c r="AF20" s="24" t="n"/>
      <c r="AG20" s="11" t="n"/>
      <c r="AH20" s="8" t="n"/>
      <c r="AI20" s="9">
        <f>IF(LEFT(B20,4)&lt;&gt;"    ","",AG20-AH20)</f>
        <v/>
      </c>
      <c r="AJ20" s="9" t="n"/>
      <c r="AK20" s="10" t="n"/>
      <c r="AL20" s="11">
        <f>IF(LEFT(B20,4)&lt;&gt;"    ","",W20-AG20)</f>
        <v/>
      </c>
      <c r="AM20" s="8">
        <f>IF(LEFT(B20,4)&lt;&gt;"    ","",X20-AH20)</f>
        <v/>
      </c>
      <c r="AN20" s="9">
        <f>IF(LEFT(B20,4)&lt;&gt;"    ","",Y20-AI20)</f>
        <v/>
      </c>
      <c r="AO20" s="9">
        <f>IF(LEFT(B20,4)&lt;&gt;"    ","",Z20-AJ20)</f>
        <v/>
      </c>
      <c r="AP20" s="10" t="n"/>
      <c r="AQ20" s="25">
        <f>IF(LEFT(B20,4)&lt;&gt;"    ","",I20-W20)</f>
        <v/>
      </c>
      <c r="AR20" s="25">
        <f>M20-X20</f>
        <v/>
      </c>
      <c r="AS20" s="25">
        <f>IF(LEFT(B20,4)&lt;&gt;"    ","",P20-Z20)</f>
        <v/>
      </c>
      <c r="AT20" s="10" t="n"/>
      <c r="AU20" s="12" t="n"/>
      <c r="AV20" s="12">
        <f>IF(LEFT(B20,4)&lt;&gt;"    ","",IF(W20-AU20&gt;=0,W20-AU20," "))</f>
        <v/>
      </c>
      <c r="AW20" s="12">
        <f>IF(LEFT(B20,4)&lt;&gt;"    ","",IF(AU20-W20&gt;=0,AU20-W20," "))</f>
        <v/>
      </c>
      <c r="AX20" s="186" t="n"/>
      <c r="AY20" s="187" t="n"/>
      <c r="AZ20" s="186" t="n"/>
      <c r="BA20" s="186" t="n"/>
      <c r="BB20" s="188" t="n"/>
      <c r="BC20" s="187" t="n"/>
      <c r="BD20" s="187" t="n"/>
      <c r="BE20" s="186" t="n"/>
      <c r="BF20" s="186" t="n"/>
      <c r="BG20" s="186" t="n"/>
      <c r="BH20" s="186" t="n"/>
      <c r="BI20" s="186" t="n"/>
      <c r="BJ20" s="186" t="n"/>
      <c r="BK20" s="186" t="n"/>
      <c r="BL20" s="186" t="n"/>
      <c r="BM20" s="186" t="n"/>
      <c r="BN20" s="186" t="n"/>
      <c r="BO20" s="186" t="n"/>
      <c r="BP20" s="186" t="n"/>
      <c r="BQ20" s="186" t="n"/>
      <c r="BR20" s="186" t="n"/>
      <c r="BS20" s="186" t="n"/>
      <c r="BT20" s="186" t="n"/>
      <c r="BU20" s="186" t="n"/>
      <c r="BV20" s="186" t="n"/>
      <c r="BW20" s="186" t="n"/>
      <c r="BX20" s="186" t="n"/>
      <c r="BY20" s="186" t="n"/>
      <c r="BZ20" s="189" t="n"/>
      <c r="CA20" s="189" t="n"/>
      <c r="CB20" s="189" t="n"/>
      <c r="CC20" s="190" t="n"/>
      <c r="CD20" s="186" t="n"/>
      <c r="CE20" s="186" t="n"/>
      <c r="CF20" s="186" t="n"/>
      <c r="CG20" s="186" t="n"/>
      <c r="CH20" s="186" t="n"/>
      <c r="CI20" s="191" t="n"/>
      <c r="CJ20" s="192" t="n"/>
      <c r="CK20" s="192" t="n"/>
      <c r="CL20" s="192" t="n"/>
      <c r="CM20" s="192" t="n"/>
    </row>
    <row r="21">
      <c r="A21" s="177" t="n"/>
      <c r="B21" s="178" t="n"/>
      <c r="C21" s="178" t="n"/>
      <c r="D21" s="179" t="n"/>
      <c r="E21" s="180" t="n"/>
      <c r="F21" s="181" t="n"/>
      <c r="G21" s="182" t="n"/>
      <c r="H21" s="105" t="n"/>
      <c r="I21" s="183">
        <f>F21</f>
        <v/>
      </c>
      <c r="J21" s="184" t="n"/>
      <c r="K21" s="185" t="n"/>
      <c r="L21" s="8" t="n"/>
      <c r="M21" s="184">
        <f>L21</f>
        <v/>
      </c>
      <c r="N21" s="71" t="n"/>
      <c r="O21" s="101" t="n"/>
      <c r="P21" s="9">
        <f>I21-M21</f>
        <v/>
      </c>
      <c r="Q21" s="9">
        <f>IF(LEFT(B21,4)&lt;&gt;"    ",0,BN21)</f>
        <v/>
      </c>
      <c r="R21" s="9">
        <f>+P21-Q21</f>
        <v/>
      </c>
      <c r="S21" s="280" t="n"/>
      <c r="T21" s="10" t="n"/>
      <c r="U21" s="23">
        <f>IF(LEFT(B21,4)&lt;&gt;"    ","",IF(M21&lt;&gt;0,X21/M21,0))</f>
        <v/>
      </c>
      <c r="V21" s="11">
        <f>IF(LEFT(B21,4)&lt;&gt;"    ","",U21*I21)</f>
        <v/>
      </c>
      <c r="W21" s="11">
        <f>IF(LEFT(B21,4)&lt;&gt;"    ","",X21+Z21)</f>
        <v/>
      </c>
      <c r="X21" s="8" t="n"/>
      <c r="Y21" s="9">
        <f>IF(LEFT(B21,4)&lt;&gt;"    ",0,IF(P21&lt;0,P21,IF(U21&gt;0.3,W21-X21,0)))</f>
        <v/>
      </c>
      <c r="Z21" s="71">
        <f>Y21</f>
        <v/>
      </c>
      <c r="AA21" s="71" t="n"/>
      <c r="AB21" s="109" t="n"/>
      <c r="AC21" s="9">
        <f>IF(LEFT(B21,4)&lt;&gt;"    ",0,BK21)</f>
        <v/>
      </c>
      <c r="AD21" s="9">
        <f>Z21-AC21</f>
        <v/>
      </c>
      <c r="AE21" s="10" t="n"/>
      <c r="AF21" s="24" t="n"/>
      <c r="AG21" s="11" t="n"/>
      <c r="AH21" s="8" t="n"/>
      <c r="AI21" s="9">
        <f>IF(LEFT(B21,4)&lt;&gt;"    ","",AG21-AH21)</f>
        <v/>
      </c>
      <c r="AJ21" s="9" t="n"/>
      <c r="AK21" s="10" t="n"/>
      <c r="AL21" s="11">
        <f>IF(LEFT(B21,4)&lt;&gt;"    ","",W21-AG21)</f>
        <v/>
      </c>
      <c r="AM21" s="8">
        <f>IF(LEFT(B21,4)&lt;&gt;"    ","",X21-AH21)</f>
        <v/>
      </c>
      <c r="AN21" s="9">
        <f>IF(LEFT(B21,4)&lt;&gt;"    ","",Y21-AI21)</f>
        <v/>
      </c>
      <c r="AO21" s="9">
        <f>IF(LEFT(B21,4)&lt;&gt;"    ","",Z21-AJ21)</f>
        <v/>
      </c>
      <c r="AP21" s="10" t="n"/>
      <c r="AQ21" s="25">
        <f>IF(LEFT(B21,4)&lt;&gt;"    ","",I21-W21)</f>
        <v/>
      </c>
      <c r="AR21" s="25">
        <f>M21-X21</f>
        <v/>
      </c>
      <c r="AS21" s="25">
        <f>IF(LEFT(B21,4)&lt;&gt;"    ","",P21-Z21)</f>
        <v/>
      </c>
      <c r="AT21" s="10" t="n"/>
      <c r="AU21" s="12" t="n"/>
      <c r="AV21" s="12">
        <f>IF(LEFT(B21,4)&lt;&gt;"    ","",IF(W21-AU21&gt;=0,W21-AU21," "))</f>
        <v/>
      </c>
      <c r="AW21" s="12">
        <f>IF(LEFT(B21,4)&lt;&gt;"    ","",IF(AU21-W21&gt;=0,AU21-W21," "))</f>
        <v/>
      </c>
      <c r="AX21" s="186" t="n"/>
      <c r="AY21" s="187" t="n"/>
      <c r="AZ21" s="186" t="n"/>
      <c r="BA21" s="186" t="n"/>
      <c r="BB21" s="188" t="n"/>
      <c r="BC21" s="187" t="n"/>
      <c r="BD21" s="187" t="n"/>
      <c r="BE21" s="186" t="n"/>
      <c r="BF21" s="186" t="n"/>
      <c r="BG21" s="186" t="n"/>
      <c r="BH21" s="186" t="n"/>
      <c r="BI21" s="186" t="n"/>
      <c r="BJ21" s="186" t="n"/>
      <c r="BK21" s="186" t="n"/>
      <c r="BL21" s="186" t="n"/>
      <c r="BM21" s="186" t="n"/>
      <c r="BN21" s="186" t="n"/>
      <c r="BO21" s="186" t="n"/>
      <c r="BP21" s="186" t="n"/>
      <c r="BQ21" s="186" t="n"/>
      <c r="BR21" s="186" t="n"/>
      <c r="BS21" s="186" t="n"/>
      <c r="BT21" s="186" t="n"/>
      <c r="BU21" s="186" t="n"/>
      <c r="BV21" s="186" t="n"/>
      <c r="BW21" s="186" t="n"/>
      <c r="BX21" s="186" t="n"/>
      <c r="BY21" s="186" t="n"/>
      <c r="BZ21" s="189" t="n"/>
      <c r="CA21" s="189" t="n"/>
      <c r="CB21" s="189" t="n"/>
      <c r="CC21" s="190" t="n"/>
      <c r="CD21" s="186" t="n"/>
      <c r="CE21" s="186" t="n"/>
      <c r="CF21" s="186" t="n"/>
      <c r="CG21" s="186" t="n"/>
      <c r="CH21" s="186" t="n"/>
      <c r="CI21" s="191" t="n"/>
      <c r="CJ21" s="192" t="n"/>
      <c r="CK21" s="192" t="n"/>
      <c r="CL21" s="192" t="n"/>
      <c r="CM21" s="192" t="n"/>
    </row>
    <row r="22">
      <c r="A22" s="177" t="n"/>
      <c r="B22" s="178" t="n"/>
      <c r="C22" s="178" t="n"/>
      <c r="D22" s="179" t="n"/>
      <c r="E22" s="180" t="n"/>
      <c r="F22" s="181" t="n"/>
      <c r="G22" s="182" t="n"/>
      <c r="H22" s="105" t="n"/>
      <c r="I22" s="183">
        <f>F22</f>
        <v/>
      </c>
      <c r="J22" s="184" t="n"/>
      <c r="K22" s="185" t="n"/>
      <c r="L22" s="8" t="n"/>
      <c r="M22" s="184">
        <f>L22</f>
        <v/>
      </c>
      <c r="N22" s="71" t="n"/>
      <c r="O22" s="101" t="n"/>
      <c r="P22" s="9">
        <f>I22-M22</f>
        <v/>
      </c>
      <c r="Q22" s="9">
        <f>IF(LEFT(B22,4)&lt;&gt;"    ",0,BN22)</f>
        <v/>
      </c>
      <c r="R22" s="9">
        <f>+P22-Q22</f>
        <v/>
      </c>
      <c r="S22" s="280" t="n"/>
      <c r="T22" s="10" t="n"/>
      <c r="U22" s="23">
        <f>IF(LEFT(B22,4)&lt;&gt;"    ","",IF(M22&lt;&gt;0,X22/M22,0))</f>
        <v/>
      </c>
      <c r="V22" s="11">
        <f>IF(LEFT(B22,4)&lt;&gt;"    ","",U22*I22)</f>
        <v/>
      </c>
      <c r="W22" s="11">
        <f>IF(LEFT(B22,4)&lt;&gt;"    ","",X22+Z22)</f>
        <v/>
      </c>
      <c r="X22" s="8" t="n"/>
      <c r="Y22" s="9">
        <f>IF(LEFT(B22,4)&lt;&gt;"    ",0,IF(P22&lt;0,P22,IF(U22&gt;0.3,W22-X22,0)))</f>
        <v/>
      </c>
      <c r="Z22" s="71">
        <f>Y22</f>
        <v/>
      </c>
      <c r="AA22" s="71" t="n"/>
      <c r="AB22" s="109" t="n"/>
      <c r="AC22" s="9">
        <f>IF(LEFT(B22,4)&lt;&gt;"    ",0,BK22)</f>
        <v/>
      </c>
      <c r="AD22" s="9">
        <f>Z22-AC22</f>
        <v/>
      </c>
      <c r="AE22" s="10" t="n"/>
      <c r="AF22" s="24" t="n"/>
      <c r="AG22" s="11" t="n"/>
      <c r="AH22" s="8" t="n"/>
      <c r="AI22" s="9">
        <f>IF(LEFT(B22,4)&lt;&gt;"    ","",AG22-AH22)</f>
        <v/>
      </c>
      <c r="AJ22" s="9" t="n"/>
      <c r="AK22" s="10" t="n"/>
      <c r="AL22" s="11">
        <f>IF(LEFT(B22,4)&lt;&gt;"    ","",W22-AG22)</f>
        <v/>
      </c>
      <c r="AM22" s="8">
        <f>IF(LEFT(B22,4)&lt;&gt;"    ","",X22-AH22)</f>
        <v/>
      </c>
      <c r="AN22" s="9">
        <f>IF(LEFT(B22,4)&lt;&gt;"    ","",Y22-AI22)</f>
        <v/>
      </c>
      <c r="AO22" s="9">
        <f>IF(LEFT(B22,4)&lt;&gt;"    ","",Z22-AJ22)</f>
        <v/>
      </c>
      <c r="AP22" s="10" t="n"/>
      <c r="AQ22" s="25">
        <f>IF(LEFT(B22,4)&lt;&gt;"    ","",I22-W22)</f>
        <v/>
      </c>
      <c r="AR22" s="25">
        <f>M22-X22</f>
        <v/>
      </c>
      <c r="AS22" s="25">
        <f>IF(LEFT(B22,4)&lt;&gt;"    ","",P22-Z22)</f>
        <v/>
      </c>
      <c r="AT22" s="10" t="n"/>
      <c r="AU22" s="12" t="n"/>
      <c r="AV22" s="12">
        <f>IF(LEFT(B22,4)&lt;&gt;"    ","",IF(W22-AU22&gt;=0,W22-AU22," "))</f>
        <v/>
      </c>
      <c r="AW22" s="12">
        <f>IF(LEFT(B22,4)&lt;&gt;"    ","",IF(AU22-W22&gt;=0,AU22-W22," "))</f>
        <v/>
      </c>
      <c r="AX22" s="186" t="n"/>
      <c r="AY22" s="187" t="n"/>
      <c r="AZ22" s="186" t="n"/>
      <c r="BA22" s="186" t="n"/>
      <c r="BB22" s="188" t="n"/>
      <c r="BC22" s="187" t="n"/>
      <c r="BD22" s="187" t="n"/>
      <c r="BE22" s="186" t="n"/>
      <c r="BF22" s="186" t="n"/>
      <c r="BG22" s="186" t="n"/>
      <c r="BH22" s="186" t="n"/>
      <c r="BI22" s="186" t="n"/>
      <c r="BJ22" s="186" t="n"/>
      <c r="BK22" s="186" t="n"/>
      <c r="BL22" s="186" t="n"/>
      <c r="BM22" s="186" t="n"/>
      <c r="BN22" s="186" t="n"/>
      <c r="BO22" s="186" t="n"/>
      <c r="BP22" s="186" t="n"/>
      <c r="BQ22" s="186" t="n"/>
      <c r="BR22" s="186" t="n"/>
      <c r="BS22" s="186" t="n"/>
      <c r="BT22" s="186" t="n"/>
      <c r="BU22" s="186" t="n"/>
      <c r="BV22" s="186" t="n"/>
      <c r="BW22" s="186" t="n"/>
      <c r="BX22" s="186" t="n"/>
      <c r="BY22" s="186" t="n"/>
      <c r="BZ22" s="189" t="n"/>
      <c r="CA22" s="189" t="n"/>
      <c r="CB22" s="189" t="n"/>
      <c r="CC22" s="190" t="n"/>
      <c r="CD22" s="186" t="n"/>
      <c r="CE22" s="186" t="n"/>
      <c r="CF22" s="186" t="n"/>
      <c r="CG22" s="186" t="n"/>
      <c r="CH22" s="186" t="n"/>
      <c r="CI22" s="191" t="n"/>
      <c r="CJ22" s="192" t="n"/>
      <c r="CK22" s="192" t="n"/>
      <c r="CL22" s="192" t="n"/>
      <c r="CM22" s="192" t="n"/>
    </row>
    <row r="23">
      <c r="A23" s="177" t="n"/>
      <c r="B23" s="178" t="n"/>
      <c r="C23" s="178" t="n"/>
      <c r="D23" s="179" t="n"/>
      <c r="E23" s="180" t="n"/>
      <c r="F23" s="181" t="n"/>
      <c r="G23" s="182" t="n"/>
      <c r="H23" s="105" t="n"/>
      <c r="I23" s="183">
        <f>F23</f>
        <v/>
      </c>
      <c r="J23" s="184" t="n"/>
      <c r="K23" s="185" t="n"/>
      <c r="L23" s="8" t="n"/>
      <c r="M23" s="184">
        <f>L23</f>
        <v/>
      </c>
      <c r="N23" s="71" t="n"/>
      <c r="O23" s="101" t="n"/>
      <c r="P23" s="9">
        <f>I23-M23</f>
        <v/>
      </c>
      <c r="Q23" s="9">
        <f>IF(LEFT(B23,4)&lt;&gt;"    ",0,BN23)</f>
        <v/>
      </c>
      <c r="R23" s="9">
        <f>+P23-Q23</f>
        <v/>
      </c>
      <c r="S23" s="280" t="n"/>
      <c r="T23" s="10" t="n"/>
      <c r="U23" s="23">
        <f>IF(LEFT(B23,4)&lt;&gt;"    ","",IF(M23&lt;&gt;0,X23/M23,0))</f>
        <v/>
      </c>
      <c r="V23" s="11">
        <f>IF(LEFT(B23,4)&lt;&gt;"    ","",U23*I23)</f>
        <v/>
      </c>
      <c r="W23" s="11">
        <f>IF(LEFT(B23,4)&lt;&gt;"    ","",X23+Z23)</f>
        <v/>
      </c>
      <c r="X23" s="8" t="n"/>
      <c r="Y23" s="9">
        <f>IF(LEFT(B23,4)&lt;&gt;"    ",0,IF(P23&lt;0,P23,IF(U23&gt;0.3,W23-X23,0)))</f>
        <v/>
      </c>
      <c r="Z23" s="71">
        <f>Y23</f>
        <v/>
      </c>
      <c r="AA23" s="71" t="n"/>
      <c r="AB23" s="109" t="n"/>
      <c r="AC23" s="9">
        <f>IF(LEFT(B23,4)&lt;&gt;"    ",0,BK23)</f>
        <v/>
      </c>
      <c r="AD23" s="9">
        <f>Z23-AC23</f>
        <v/>
      </c>
      <c r="AE23" s="10" t="n"/>
      <c r="AF23" s="24" t="n"/>
      <c r="AG23" s="11" t="n"/>
      <c r="AH23" s="8" t="n"/>
      <c r="AI23" s="9">
        <f>IF(LEFT(B23,4)&lt;&gt;"    ","",AG23-AH23)</f>
        <v/>
      </c>
      <c r="AJ23" s="9" t="n"/>
      <c r="AK23" s="10" t="n"/>
      <c r="AL23" s="11">
        <f>IF(LEFT(B23,4)&lt;&gt;"    ","",W23-AG23)</f>
        <v/>
      </c>
      <c r="AM23" s="8">
        <f>IF(LEFT(B23,4)&lt;&gt;"    ","",X23-AH23)</f>
        <v/>
      </c>
      <c r="AN23" s="9">
        <f>IF(LEFT(B23,4)&lt;&gt;"    ","",Y23-AI23)</f>
        <v/>
      </c>
      <c r="AO23" s="9">
        <f>IF(LEFT(B23,4)&lt;&gt;"    ","",Z23-AJ23)</f>
        <v/>
      </c>
      <c r="AP23" s="10" t="n"/>
      <c r="AQ23" s="25">
        <f>IF(LEFT(B23,4)&lt;&gt;"    ","",I23-W23)</f>
        <v/>
      </c>
      <c r="AR23" s="25">
        <f>M23-X23</f>
        <v/>
      </c>
      <c r="AS23" s="25">
        <f>IF(LEFT(B23,4)&lt;&gt;"    ","",P23-Z23)</f>
        <v/>
      </c>
      <c r="AT23" s="10" t="n"/>
      <c r="AU23" s="12" t="n"/>
      <c r="AV23" s="12">
        <f>IF(LEFT(B23,4)&lt;&gt;"    ","",IF(W23-AU23&gt;=0,W23-AU23," "))</f>
        <v/>
      </c>
      <c r="AW23" s="12">
        <f>IF(LEFT(B23,4)&lt;&gt;"    ","",IF(AU23-W23&gt;=0,AU23-W23," "))</f>
        <v/>
      </c>
      <c r="AX23" s="186" t="n"/>
      <c r="AY23" s="187" t="n"/>
      <c r="AZ23" s="186" t="n"/>
      <c r="BA23" s="186" t="n"/>
      <c r="BB23" s="188" t="n"/>
      <c r="BC23" s="187" t="n"/>
      <c r="BD23" s="187" t="n"/>
      <c r="BE23" s="186" t="n"/>
      <c r="BF23" s="186" t="n"/>
      <c r="BG23" s="186" t="n"/>
      <c r="BH23" s="186" t="n"/>
      <c r="BI23" s="186" t="n"/>
      <c r="BJ23" s="186" t="n"/>
      <c r="BK23" s="186" t="n"/>
      <c r="BL23" s="186" t="n"/>
      <c r="BM23" s="186" t="n"/>
      <c r="BN23" s="186" t="n"/>
      <c r="BO23" s="186" t="n"/>
      <c r="BP23" s="186" t="n"/>
      <c r="BQ23" s="186" t="n"/>
      <c r="BR23" s="186" t="n"/>
      <c r="BS23" s="186" t="n"/>
      <c r="BT23" s="186" t="n"/>
      <c r="BU23" s="186" t="n"/>
      <c r="BV23" s="186" t="n"/>
      <c r="BW23" s="186" t="n"/>
      <c r="BX23" s="186" t="n"/>
      <c r="BY23" s="186" t="n"/>
      <c r="BZ23" s="189" t="n"/>
      <c r="CA23" s="189" t="n"/>
      <c r="CB23" s="189" t="n"/>
      <c r="CC23" s="190" t="n"/>
      <c r="CD23" s="186" t="n"/>
      <c r="CE23" s="186" t="n"/>
      <c r="CF23" s="186" t="n"/>
      <c r="CG23" s="186" t="n"/>
      <c r="CH23" s="186" t="n"/>
      <c r="CI23" s="191" t="n"/>
      <c r="CJ23" s="192" t="n"/>
      <c r="CK23" s="192" t="n"/>
      <c r="CL23" s="192" t="n"/>
      <c r="CM23" s="192" t="n"/>
    </row>
    <row r="24">
      <c r="A24" s="177" t="n"/>
      <c r="B24" s="178" t="n"/>
      <c r="C24" s="178" t="n"/>
      <c r="D24" s="179" t="n"/>
      <c r="E24" s="180" t="n"/>
      <c r="F24" s="181" t="n"/>
      <c r="G24" s="182" t="n"/>
      <c r="H24" s="105" t="n"/>
      <c r="I24" s="183">
        <f>F24</f>
        <v/>
      </c>
      <c r="J24" s="184" t="n"/>
      <c r="K24" s="185" t="n"/>
      <c r="L24" s="8" t="n"/>
      <c r="M24" s="184">
        <f>L24</f>
        <v/>
      </c>
      <c r="N24" s="71" t="n"/>
      <c r="O24" s="101" t="n"/>
      <c r="P24" s="9">
        <f>I24-M24</f>
        <v/>
      </c>
      <c r="Q24" s="9">
        <f>IF(LEFT(B24,4)&lt;&gt;"    ",0,BN24)</f>
        <v/>
      </c>
      <c r="R24" s="9">
        <f>+P24-Q24</f>
        <v/>
      </c>
      <c r="S24" s="280" t="n"/>
      <c r="T24" s="10" t="n"/>
      <c r="U24" s="23">
        <f>IF(LEFT(B24,4)&lt;&gt;"    ","",IF(M24&lt;&gt;0,X24/M24,0))</f>
        <v/>
      </c>
      <c r="V24" s="11">
        <f>IF(LEFT(B24,4)&lt;&gt;"    ","",U24*I24)</f>
        <v/>
      </c>
      <c r="W24" s="11">
        <f>IF(LEFT(B24,4)&lt;&gt;"    ","",X24+Z24)</f>
        <v/>
      </c>
      <c r="X24" s="8" t="n"/>
      <c r="Y24" s="9">
        <f>IF(LEFT(B24,4)&lt;&gt;"    ",0,IF(P24&lt;0,P24,IF(U24&gt;0.3,W24-X24,0)))</f>
        <v/>
      </c>
      <c r="Z24" s="71">
        <f>Y24</f>
        <v/>
      </c>
      <c r="AA24" s="71" t="n"/>
      <c r="AB24" s="109" t="n"/>
      <c r="AC24" s="9">
        <f>IF(LEFT(B24,4)&lt;&gt;"    ",0,BK24)</f>
        <v/>
      </c>
      <c r="AD24" s="9">
        <f>Z24-AC24</f>
        <v/>
      </c>
      <c r="AE24" s="10" t="n"/>
      <c r="AF24" s="24" t="n"/>
      <c r="AG24" s="11" t="n"/>
      <c r="AH24" s="8" t="n"/>
      <c r="AI24" s="9">
        <f>IF(LEFT(B24,4)&lt;&gt;"    ","",AG24-AH24)</f>
        <v/>
      </c>
      <c r="AJ24" s="9" t="n"/>
      <c r="AK24" s="10" t="n"/>
      <c r="AL24" s="11">
        <f>IF(LEFT(B24,4)&lt;&gt;"    ","",W24-AG24)</f>
        <v/>
      </c>
      <c r="AM24" s="8">
        <f>IF(LEFT(B24,4)&lt;&gt;"    ","",X24-AH24)</f>
        <v/>
      </c>
      <c r="AN24" s="9">
        <f>IF(LEFT(B24,4)&lt;&gt;"    ","",Y24-AI24)</f>
        <v/>
      </c>
      <c r="AO24" s="9">
        <f>IF(LEFT(B24,4)&lt;&gt;"    ","",Z24-AJ24)</f>
        <v/>
      </c>
      <c r="AP24" s="10" t="n"/>
      <c r="AQ24" s="25">
        <f>IF(LEFT(B24,4)&lt;&gt;"    ","",I24-W24)</f>
        <v/>
      </c>
      <c r="AR24" s="25">
        <f>M24-X24</f>
        <v/>
      </c>
      <c r="AS24" s="25">
        <f>IF(LEFT(B24,4)&lt;&gt;"    ","",P24-Z24)</f>
        <v/>
      </c>
      <c r="AT24" s="10" t="n"/>
      <c r="AU24" s="12" t="n"/>
      <c r="AV24" s="12">
        <f>IF(LEFT(B24,4)&lt;&gt;"    ","",IF(W24-AU24&gt;=0,W24-AU24," "))</f>
        <v/>
      </c>
      <c r="AW24" s="12">
        <f>IF(LEFT(B24,4)&lt;&gt;"    ","",IF(AU24-W24&gt;=0,AU24-W24," "))</f>
        <v/>
      </c>
      <c r="AX24" s="186" t="n"/>
      <c r="AY24" s="187" t="n"/>
      <c r="AZ24" s="186" t="n"/>
      <c r="BA24" s="186" t="n"/>
      <c r="BB24" s="188" t="n"/>
      <c r="BC24" s="187" t="n"/>
      <c r="BD24" s="187" t="n"/>
      <c r="BE24" s="186" t="n"/>
      <c r="BF24" s="186" t="n"/>
      <c r="BG24" s="186" t="n"/>
      <c r="BH24" s="186" t="n"/>
      <c r="BI24" s="186" t="n"/>
      <c r="BJ24" s="186" t="n"/>
      <c r="BK24" s="186" t="n"/>
      <c r="BL24" s="186" t="n"/>
      <c r="BM24" s="186" t="n"/>
      <c r="BN24" s="186" t="n"/>
      <c r="BO24" s="186" t="n"/>
      <c r="BP24" s="186" t="n"/>
      <c r="BQ24" s="186" t="n"/>
      <c r="BR24" s="186" t="n"/>
      <c r="BS24" s="186" t="n"/>
      <c r="BT24" s="186" t="n"/>
      <c r="BU24" s="186" t="n"/>
      <c r="BV24" s="186" t="n"/>
      <c r="BW24" s="186" t="n"/>
      <c r="BX24" s="186" t="n"/>
      <c r="BY24" s="186" t="n"/>
      <c r="BZ24" s="189" t="n"/>
      <c r="CA24" s="189" t="n"/>
      <c r="CB24" s="189" t="n"/>
      <c r="CC24" s="190" t="n"/>
      <c r="CD24" s="186" t="n"/>
      <c r="CE24" s="186" t="n"/>
      <c r="CF24" s="186" t="n"/>
      <c r="CG24" s="186" t="n"/>
      <c r="CH24" s="186" t="n"/>
      <c r="CI24" s="191" t="n"/>
      <c r="CJ24" s="192" t="n"/>
      <c r="CK24" s="192" t="n"/>
      <c r="CL24" s="192" t="n"/>
      <c r="CM24" s="192" t="n"/>
    </row>
    <row r="25">
      <c r="A25" s="177" t="n"/>
      <c r="B25" s="178" t="n"/>
      <c r="C25" s="178" t="n"/>
      <c r="D25" s="179" t="n"/>
      <c r="E25" s="180" t="n"/>
      <c r="F25" s="181" t="n"/>
      <c r="G25" s="182" t="n"/>
      <c r="H25" s="105" t="n"/>
      <c r="I25" s="183">
        <f>F25</f>
        <v/>
      </c>
      <c r="J25" s="193" t="n"/>
      <c r="K25" s="185" t="n"/>
      <c r="L25" s="8" t="n"/>
      <c r="M25" s="184">
        <f>L25</f>
        <v/>
      </c>
      <c r="N25" s="71" t="n"/>
      <c r="O25" s="101" t="n"/>
      <c r="P25" s="9">
        <f>I25-M25</f>
        <v/>
      </c>
      <c r="Q25" s="9">
        <f>IF(LEFT(B25,4)&lt;&gt;"    ",0,BN25)</f>
        <v/>
      </c>
      <c r="R25" s="9">
        <f>+P25-Q25</f>
        <v/>
      </c>
      <c r="S25" s="280" t="n"/>
      <c r="T25" s="10" t="n"/>
      <c r="U25" s="23">
        <f>IF(LEFT(B25,4)&lt;&gt;"    ","",IF(M25&lt;&gt;0,X25/M25,0))</f>
        <v/>
      </c>
      <c r="V25" s="11">
        <f>IF(LEFT(B25,4)&lt;&gt;"    ","",U25*I25)</f>
        <v/>
      </c>
      <c r="W25" s="11">
        <f>IF(LEFT(B25,4)&lt;&gt;"    ","",X25+Z25)</f>
        <v/>
      </c>
      <c r="X25" s="8" t="n"/>
      <c r="Y25" s="9">
        <f>IF(LEFT(B25,4)&lt;&gt;"    ",0,IF(P25&lt;0,P25,IF(U25&gt;0.3,W25-X25,0)))</f>
        <v/>
      </c>
      <c r="Z25" s="71">
        <f>Y25</f>
        <v/>
      </c>
      <c r="AA25" s="71" t="n"/>
      <c r="AB25" s="109" t="n"/>
      <c r="AC25" s="9">
        <f>IF(LEFT(B25,4)&lt;&gt;"    ",0,BK25)</f>
        <v/>
      </c>
      <c r="AD25" s="9">
        <f>Z25-AC25</f>
        <v/>
      </c>
      <c r="AE25" s="10" t="n"/>
      <c r="AF25" s="24" t="n"/>
      <c r="AG25" s="11" t="n"/>
      <c r="AH25" s="8" t="n"/>
      <c r="AI25" s="9">
        <f>IF(LEFT(B25,4)&lt;&gt;"    ","",AG25-AH25)</f>
        <v/>
      </c>
      <c r="AJ25" s="9" t="n"/>
      <c r="AK25" s="10" t="n"/>
      <c r="AL25" s="11">
        <f>IF(LEFT(B25,4)&lt;&gt;"    ","",W25-AG25)</f>
        <v/>
      </c>
      <c r="AM25" s="8">
        <f>IF(LEFT(B25,4)&lt;&gt;"    ","",X25-AH25)</f>
        <v/>
      </c>
      <c r="AN25" s="9">
        <f>IF(LEFT(B25,4)&lt;&gt;"    ","",Y25-AI25)</f>
        <v/>
      </c>
      <c r="AO25" s="9">
        <f>IF(LEFT(B25,4)&lt;&gt;"    ","",Z25-AJ25)</f>
        <v/>
      </c>
      <c r="AP25" s="10" t="n"/>
      <c r="AQ25" s="25">
        <f>IF(LEFT(B25,4)&lt;&gt;"    ","",I25-W25)</f>
        <v/>
      </c>
      <c r="AR25" s="25">
        <f>M25-X25</f>
        <v/>
      </c>
      <c r="AS25" s="25">
        <f>IF(LEFT(B25,4)&lt;&gt;"    ","",P25-Z25)</f>
        <v/>
      </c>
      <c r="AT25" s="10" t="n"/>
      <c r="AU25" s="12" t="n"/>
      <c r="AV25" s="12">
        <f>IF(LEFT(B25,4)&lt;&gt;"    ","",IF(W25-AU25&gt;=0,W25-AU25," "))</f>
        <v/>
      </c>
      <c r="AW25" s="12">
        <f>IF(LEFT(B25,4)&lt;&gt;"    ","",IF(AU25-W25&gt;=0,AU25-W25," "))</f>
        <v/>
      </c>
      <c r="AX25" s="186" t="n"/>
      <c r="AY25" s="187" t="n"/>
      <c r="AZ25" s="186" t="n"/>
      <c r="BA25" s="186" t="n"/>
      <c r="BB25" s="188" t="n"/>
      <c r="BC25" s="187" t="n"/>
      <c r="BD25" s="187" t="n"/>
      <c r="BE25" s="186" t="n"/>
      <c r="BF25" s="186" t="n"/>
      <c r="BG25" s="186" t="n"/>
      <c r="BH25" s="186" t="n"/>
      <c r="BI25" s="186" t="n"/>
      <c r="BJ25" s="186" t="n"/>
      <c r="BK25" s="186" t="n"/>
      <c r="BL25" s="186" t="n"/>
      <c r="BM25" s="186" t="n"/>
      <c r="BN25" s="186" t="n"/>
      <c r="BO25" s="186" t="n"/>
      <c r="BP25" s="186" t="n"/>
      <c r="BQ25" s="186" t="n"/>
      <c r="BR25" s="186" t="n"/>
      <c r="BS25" s="186" t="n"/>
      <c r="BT25" s="186" t="n"/>
      <c r="BU25" s="186" t="n"/>
      <c r="BV25" s="186" t="n"/>
      <c r="BW25" s="186" t="n"/>
      <c r="BX25" s="186" t="n"/>
      <c r="BY25" s="186" t="n"/>
      <c r="BZ25" s="189" t="n"/>
      <c r="CA25" s="189" t="n"/>
      <c r="CB25" s="189" t="n"/>
      <c r="CC25" s="190" t="n"/>
      <c r="CD25" s="186" t="n"/>
      <c r="CE25" s="186" t="n"/>
      <c r="CF25" s="186" t="n"/>
      <c r="CG25" s="186" t="n"/>
      <c r="CH25" s="186" t="n"/>
      <c r="CI25" s="191" t="n"/>
      <c r="CJ25" s="192" t="n"/>
      <c r="CK25" s="192" t="n"/>
      <c r="CL25" s="192" t="n"/>
      <c r="CM25" s="192" t="n"/>
    </row>
    <row r="26">
      <c r="A26" s="177" t="n"/>
      <c r="B26" s="178" t="n"/>
      <c r="C26" s="178" t="n"/>
      <c r="D26" s="179" t="n"/>
      <c r="E26" s="180" t="n"/>
      <c r="F26" s="181" t="n"/>
      <c r="G26" s="182" t="n"/>
      <c r="H26" s="105" t="n"/>
      <c r="I26" s="183">
        <f>F26</f>
        <v/>
      </c>
      <c r="J26" s="193" t="n"/>
      <c r="K26" s="185" t="n"/>
      <c r="L26" s="8" t="n"/>
      <c r="M26" s="184">
        <f>L26</f>
        <v/>
      </c>
      <c r="N26" s="71" t="n"/>
      <c r="O26" s="101" t="n"/>
      <c r="P26" s="9">
        <f>I26-M26</f>
        <v/>
      </c>
      <c r="Q26" s="9">
        <f>IF(LEFT(B26,4)&lt;&gt;"    ",0,BN26)</f>
        <v/>
      </c>
      <c r="R26" s="9">
        <f>+P26-Q26</f>
        <v/>
      </c>
      <c r="S26" s="280" t="n"/>
      <c r="T26" s="10" t="n"/>
      <c r="U26" s="23">
        <f>IF(LEFT(B26,4)&lt;&gt;"    ","",IF(M26&lt;&gt;0,X26/M26,0))</f>
        <v/>
      </c>
      <c r="V26" s="11">
        <f>IF(LEFT(B26,4)&lt;&gt;"    ","",U26*I26)</f>
        <v/>
      </c>
      <c r="W26" s="11">
        <f>IF(LEFT(B26,4)&lt;&gt;"    ","",X26+Z26)</f>
        <v/>
      </c>
      <c r="X26" s="8" t="n"/>
      <c r="Y26" s="9">
        <f>IF(LEFT(B26,4)&lt;&gt;"    ",0,IF(P26&lt;0,P26,IF(U26&gt;0.3,W26-X26,0)))</f>
        <v/>
      </c>
      <c r="Z26" s="71">
        <f>Y26</f>
        <v/>
      </c>
      <c r="AA26" s="71" t="n"/>
      <c r="AB26" s="109" t="n"/>
      <c r="AC26" s="9">
        <f>IF(LEFT(B26,4)&lt;&gt;"    ",0,BK26)</f>
        <v/>
      </c>
      <c r="AD26" s="9">
        <f>Z26-AC26</f>
        <v/>
      </c>
      <c r="AE26" s="10" t="n"/>
      <c r="AF26" s="24" t="n"/>
      <c r="AG26" s="11" t="n"/>
      <c r="AH26" s="8" t="n"/>
      <c r="AI26" s="9">
        <f>IF(LEFT(B26,4)&lt;&gt;"    ","",AG26-AH26)</f>
        <v/>
      </c>
      <c r="AJ26" s="9" t="n"/>
      <c r="AK26" s="10" t="n"/>
      <c r="AL26" s="11">
        <f>IF(LEFT(B26,4)&lt;&gt;"    ","",W26-AG26)</f>
        <v/>
      </c>
      <c r="AM26" s="8">
        <f>IF(LEFT(B26,4)&lt;&gt;"    ","",X26-AH26)</f>
        <v/>
      </c>
      <c r="AN26" s="9">
        <f>IF(LEFT(B26,4)&lt;&gt;"    ","",Y26-AI26)</f>
        <v/>
      </c>
      <c r="AO26" s="9">
        <f>IF(LEFT(B26,4)&lt;&gt;"    ","",Z26-AJ26)</f>
        <v/>
      </c>
      <c r="AP26" s="10" t="n"/>
      <c r="AQ26" s="25">
        <f>IF(LEFT(B26,4)&lt;&gt;"    ","",I26-W26)</f>
        <v/>
      </c>
      <c r="AR26" s="25">
        <f>M26-X26</f>
        <v/>
      </c>
      <c r="AS26" s="25">
        <f>IF(LEFT(B26,4)&lt;&gt;"    ","",P26-Z26)</f>
        <v/>
      </c>
      <c r="AT26" s="10" t="n"/>
      <c r="AU26" s="12" t="n"/>
      <c r="AV26" s="12">
        <f>IF(LEFT(B26,4)&lt;&gt;"    ","",IF(W26-AU26&gt;=0,W26-AU26," "))</f>
        <v/>
      </c>
      <c r="AW26" s="12">
        <f>IF(LEFT(B26,4)&lt;&gt;"    ","",IF(AU26-W26&gt;=0,AU26-W26," "))</f>
        <v/>
      </c>
      <c r="AX26" s="186" t="n"/>
      <c r="AY26" s="187" t="n"/>
      <c r="AZ26" s="186" t="n"/>
      <c r="BA26" s="186" t="n"/>
      <c r="BB26" s="188" t="n"/>
      <c r="BC26" s="187" t="n"/>
      <c r="BD26" s="187" t="n"/>
      <c r="BE26" s="186" t="n"/>
      <c r="BF26" s="186" t="n"/>
      <c r="BG26" s="186" t="n"/>
      <c r="BH26" s="186" t="n"/>
      <c r="BI26" s="186" t="n"/>
      <c r="BJ26" s="186" t="n"/>
      <c r="BK26" s="186" t="n"/>
      <c r="BL26" s="186" t="n"/>
      <c r="BM26" s="186" t="n"/>
      <c r="BN26" s="186" t="n"/>
      <c r="BO26" s="186" t="n"/>
      <c r="BP26" s="186" t="n"/>
      <c r="BQ26" s="186" t="n"/>
      <c r="BR26" s="186" t="n"/>
      <c r="BS26" s="186" t="n"/>
      <c r="BT26" s="186" t="n"/>
      <c r="BU26" s="186" t="n"/>
      <c r="BV26" s="186" t="n"/>
      <c r="BW26" s="186" t="n"/>
      <c r="BX26" s="186" t="n"/>
      <c r="BY26" s="186" t="n"/>
      <c r="BZ26" s="189" t="n"/>
      <c r="CA26" s="189" t="n"/>
      <c r="CB26" s="189" t="n"/>
      <c r="CC26" s="190" t="n"/>
      <c r="CD26" s="186" t="n"/>
      <c r="CE26" s="186" t="n"/>
      <c r="CF26" s="186" t="n"/>
      <c r="CG26" s="186" t="n"/>
      <c r="CH26" s="186" t="n"/>
      <c r="CI26" s="191" t="n"/>
      <c r="CJ26" s="192" t="n"/>
      <c r="CK26" s="192" t="n"/>
      <c r="CL26" s="192" t="n"/>
      <c r="CM26" s="192" t="n"/>
    </row>
    <row r="27">
      <c r="A27" s="177" t="n"/>
      <c r="B27" s="178" t="n"/>
      <c r="C27" s="178" t="n"/>
      <c r="D27" s="179" t="n"/>
      <c r="E27" s="180" t="n"/>
      <c r="F27" s="181" t="n"/>
      <c r="G27" s="182" t="n"/>
      <c r="H27" s="105" t="n"/>
      <c r="I27" s="183">
        <f>F27</f>
        <v/>
      </c>
      <c r="J27" s="184" t="n"/>
      <c r="K27" s="185" t="n"/>
      <c r="L27" s="8" t="n"/>
      <c r="M27" s="184">
        <f>L27</f>
        <v/>
      </c>
      <c r="N27" s="71" t="n"/>
      <c r="O27" s="101" t="n"/>
      <c r="P27" s="9">
        <f>I27-M27</f>
        <v/>
      </c>
      <c r="Q27" s="9">
        <f>IF(LEFT(B27,4)&lt;&gt;"    ",0,BN27)</f>
        <v/>
      </c>
      <c r="R27" s="9">
        <f>+P27-Q27</f>
        <v/>
      </c>
      <c r="S27" s="280" t="n"/>
      <c r="T27" s="10" t="n"/>
      <c r="U27" s="23">
        <f>IF(LEFT(B27,4)&lt;&gt;"    ","",IF(M27&lt;&gt;0,X27/M27,0))</f>
        <v/>
      </c>
      <c r="V27" s="11">
        <f>IF(LEFT(B27,4)&lt;&gt;"    ","",U27*I27)</f>
        <v/>
      </c>
      <c r="W27" s="11">
        <f>IF(LEFT(B27,4)&lt;&gt;"    ","",X27+Z27)</f>
        <v/>
      </c>
      <c r="X27" s="8" t="n"/>
      <c r="Y27" s="9">
        <f>IF(LEFT(B27,4)&lt;&gt;"    ",0,IF(P27&lt;0,P27,IF(U27&gt;0.3,W27-X27,0)))</f>
        <v/>
      </c>
      <c r="Z27" s="71">
        <f>Y27</f>
        <v/>
      </c>
      <c r="AA27" s="71" t="n"/>
      <c r="AB27" s="109" t="n"/>
      <c r="AC27" s="9">
        <f>IF(LEFT(B27,4)&lt;&gt;"    ",0,BK27)</f>
        <v/>
      </c>
      <c r="AD27" s="9">
        <f>Z27-AC27</f>
        <v/>
      </c>
      <c r="AE27" s="10" t="n"/>
      <c r="AF27" s="24" t="n"/>
      <c r="AG27" s="11" t="n"/>
      <c r="AH27" s="8" t="n"/>
      <c r="AI27" s="9">
        <f>IF(LEFT(B27,4)&lt;&gt;"    ","",AG27-AH27)</f>
        <v/>
      </c>
      <c r="AJ27" s="9" t="n"/>
      <c r="AK27" s="10" t="n"/>
      <c r="AL27" s="11">
        <f>IF(LEFT(B27,4)&lt;&gt;"    ","",W27-AG27)</f>
        <v/>
      </c>
      <c r="AM27" s="8">
        <f>IF(LEFT(B27,4)&lt;&gt;"    ","",X27-AH27)</f>
        <v/>
      </c>
      <c r="AN27" s="9">
        <f>IF(LEFT(B27,4)&lt;&gt;"    ","",Y27-AI27)</f>
        <v/>
      </c>
      <c r="AO27" s="9">
        <f>IF(LEFT(B27,4)&lt;&gt;"    ","",Z27-AJ27)</f>
        <v/>
      </c>
      <c r="AP27" s="10" t="n"/>
      <c r="AQ27" s="25">
        <f>IF(LEFT(B27,4)&lt;&gt;"    ","",I27-W27)</f>
        <v/>
      </c>
      <c r="AR27" s="25">
        <f>M27-X27</f>
        <v/>
      </c>
      <c r="AS27" s="25">
        <f>IF(LEFT(B27,4)&lt;&gt;"    ","",P27-Z27)</f>
        <v/>
      </c>
      <c r="AT27" s="10" t="n"/>
      <c r="AU27" s="12" t="n"/>
      <c r="AV27" s="12">
        <f>IF(LEFT(B27,4)&lt;&gt;"    ","",IF(W27-AU27&gt;=0,W27-AU27," "))</f>
        <v/>
      </c>
      <c r="AW27" s="12">
        <f>IF(LEFT(B27,4)&lt;&gt;"    ","",IF(AU27-W27&gt;=0,AU27-W27," "))</f>
        <v/>
      </c>
      <c r="AX27" s="186" t="n"/>
      <c r="AY27" s="187" t="n"/>
      <c r="AZ27" s="186" t="n"/>
      <c r="BA27" s="186" t="n"/>
      <c r="BB27" s="188" t="n"/>
      <c r="BC27" s="187" t="n"/>
      <c r="BD27" s="187" t="n"/>
      <c r="BE27" s="186" t="n"/>
      <c r="BF27" s="186" t="n"/>
      <c r="BG27" s="186" t="n"/>
      <c r="BH27" s="186" t="n"/>
      <c r="BI27" s="186" t="n"/>
      <c r="BJ27" s="186" t="n"/>
      <c r="BK27" s="186" t="n"/>
      <c r="BL27" s="186" t="n"/>
      <c r="BM27" s="186" t="n"/>
      <c r="BN27" s="186" t="n"/>
      <c r="BO27" s="186" t="n"/>
      <c r="BP27" s="186" t="n"/>
      <c r="BQ27" s="186" t="n"/>
      <c r="BR27" s="186" t="n"/>
      <c r="BS27" s="186" t="n"/>
      <c r="BT27" s="186" t="n"/>
      <c r="BU27" s="186" t="n"/>
      <c r="BV27" s="186" t="n"/>
      <c r="BW27" s="186" t="n"/>
      <c r="BX27" s="186" t="n"/>
      <c r="BY27" s="186" t="n"/>
      <c r="BZ27" s="189" t="n"/>
      <c r="CA27" s="189" t="n"/>
      <c r="CB27" s="189" t="n"/>
      <c r="CC27" s="190" t="n"/>
      <c r="CD27" s="186" t="n"/>
      <c r="CE27" s="186" t="n"/>
      <c r="CF27" s="186" t="n"/>
      <c r="CG27" s="186" t="n"/>
      <c r="CH27" s="186" t="n"/>
      <c r="CI27" s="191" t="n"/>
      <c r="CJ27" s="192" t="n"/>
      <c r="CK27" s="192" t="n"/>
      <c r="CL27" s="192" t="n"/>
      <c r="CM27" s="192" t="n"/>
    </row>
    <row r="28">
      <c r="A28" s="177" t="n"/>
      <c r="B28" s="178" t="n"/>
      <c r="C28" s="178" t="n"/>
      <c r="D28" s="179" t="n"/>
      <c r="E28" s="180" t="n"/>
      <c r="F28" s="181" t="n"/>
      <c r="G28" s="182" t="n"/>
      <c r="H28" s="105" t="n"/>
      <c r="I28" s="183">
        <f>F28</f>
        <v/>
      </c>
      <c r="J28" s="184" t="n"/>
      <c r="K28" s="185" t="n"/>
      <c r="L28" s="8" t="n"/>
      <c r="M28" s="184">
        <f>L28</f>
        <v/>
      </c>
      <c r="N28" s="184" t="n"/>
      <c r="O28" s="185" t="n"/>
      <c r="P28" s="9">
        <f>I28-M28</f>
        <v/>
      </c>
      <c r="Q28" s="9">
        <f>IF(LEFT(B28,4)&lt;&gt;"    ",0,BN28)</f>
        <v/>
      </c>
      <c r="R28" s="9">
        <f>+P28-Q28</f>
        <v/>
      </c>
      <c r="S28" s="280" t="n"/>
      <c r="T28" s="10" t="n"/>
      <c r="U28" s="23">
        <f>IF(LEFT(B28,4)&lt;&gt;"    ","",IF(M28&lt;&gt;0,X28/M28,0))</f>
        <v/>
      </c>
      <c r="V28" s="11">
        <f>IF(LEFT(B28,4)&lt;&gt;"    ","",U28*I28)</f>
        <v/>
      </c>
      <c r="W28" s="11">
        <f>IF(LEFT(B28,4)&lt;&gt;"    ","",X28+Z28)</f>
        <v/>
      </c>
      <c r="X28" s="8" t="n"/>
      <c r="Y28" s="9">
        <f>IF(LEFT(B28,4)&lt;&gt;"    ",0,IF(P28&lt;0,P28,IF(U28&gt;0.3,W28-X28,0)))</f>
        <v/>
      </c>
      <c r="Z28" s="71">
        <f>Y28</f>
        <v/>
      </c>
      <c r="AA28" s="71" t="n"/>
      <c r="AB28" s="109" t="n"/>
      <c r="AC28" s="9">
        <f>IF(LEFT(B28,4)&lt;&gt;"    ",0,BK28)</f>
        <v/>
      </c>
      <c r="AD28" s="9">
        <f>Z28-AC28</f>
        <v/>
      </c>
      <c r="AE28" s="10" t="n"/>
      <c r="AF28" s="24" t="n"/>
      <c r="AG28" s="11" t="n"/>
      <c r="AH28" s="8" t="n"/>
      <c r="AI28" s="9">
        <f>IF(LEFT(B28,4)&lt;&gt;"    ","",AG28-AH28)</f>
        <v/>
      </c>
      <c r="AJ28" s="9" t="n"/>
      <c r="AK28" s="10" t="n"/>
      <c r="AL28" s="11">
        <f>IF(LEFT(B28,4)&lt;&gt;"    ","",W28-AG28)</f>
        <v/>
      </c>
      <c r="AM28" s="8">
        <f>IF(LEFT(B28,4)&lt;&gt;"    ","",X28-AH28)</f>
        <v/>
      </c>
      <c r="AN28" s="9">
        <f>IF(LEFT(B28,4)&lt;&gt;"    ","",Y28-AI28)</f>
        <v/>
      </c>
      <c r="AO28" s="9">
        <f>IF(LEFT(B28,4)&lt;&gt;"    ","",Z28-AJ28)</f>
        <v/>
      </c>
      <c r="AP28" s="10" t="n"/>
      <c r="AQ28" s="25">
        <f>IF(LEFT(B28,4)&lt;&gt;"    ","",I28-W28)</f>
        <v/>
      </c>
      <c r="AR28" s="25">
        <f>M28-X28</f>
        <v/>
      </c>
      <c r="AS28" s="25">
        <f>IF(LEFT(B28,4)&lt;&gt;"    ","",P28-Z28)</f>
        <v/>
      </c>
      <c r="AT28" s="10" t="n"/>
      <c r="AU28" s="12" t="n"/>
      <c r="AV28" s="12">
        <f>IF(LEFT(B28,4)&lt;&gt;"    ","",IF(W28-AU28&gt;=0,W28-AU28," "))</f>
        <v/>
      </c>
      <c r="AW28" s="12">
        <f>IF(LEFT(B28,4)&lt;&gt;"    ","",IF(AU28-W28&gt;=0,AU28-W28," "))</f>
        <v/>
      </c>
      <c r="AX28" s="186" t="n"/>
      <c r="AY28" s="187" t="n"/>
      <c r="AZ28" s="186" t="n"/>
      <c r="BA28" s="186" t="n"/>
      <c r="BB28" s="188" t="n"/>
      <c r="BC28" s="187" t="n"/>
      <c r="BD28" s="187" t="n"/>
      <c r="BE28" s="186" t="n"/>
      <c r="BF28" s="186" t="n"/>
      <c r="BG28" s="186" t="n"/>
      <c r="BH28" s="186" t="n"/>
      <c r="BI28" s="186" t="n"/>
      <c r="BJ28" s="186" t="n"/>
      <c r="BK28" s="186" t="n"/>
      <c r="BL28" s="186" t="n"/>
      <c r="BM28" s="186" t="n"/>
      <c r="BN28" s="186" t="n"/>
      <c r="BO28" s="186" t="n"/>
      <c r="BP28" s="186" t="n"/>
      <c r="BQ28" s="186" t="n"/>
      <c r="BR28" s="186" t="n"/>
      <c r="BS28" s="186" t="n"/>
      <c r="BT28" s="186" t="n"/>
      <c r="BU28" s="186" t="n"/>
      <c r="BV28" s="186" t="n"/>
      <c r="BW28" s="186" t="n"/>
      <c r="BX28" s="186" t="n"/>
      <c r="BY28" s="186" t="n"/>
      <c r="BZ28" s="189" t="n"/>
      <c r="CA28" s="189" t="n"/>
      <c r="CB28" s="189" t="n"/>
      <c r="CC28" s="190" t="n"/>
      <c r="CD28" s="186" t="n"/>
      <c r="CE28" s="186" t="n"/>
      <c r="CF28" s="186" t="n"/>
      <c r="CG28" s="186" t="n"/>
      <c r="CH28" s="186" t="n"/>
      <c r="CI28" s="191" t="n"/>
      <c r="CJ28" s="192" t="n"/>
      <c r="CK28" s="192" t="n"/>
      <c r="CL28" s="192" t="n"/>
      <c r="CM28" s="192" t="n"/>
    </row>
    <row r="29">
      <c r="A29" s="177" t="n"/>
      <c r="B29" s="178" t="n"/>
      <c r="C29" s="178" t="n"/>
      <c r="D29" s="179" t="n"/>
      <c r="E29" s="180" t="n"/>
      <c r="F29" s="181" t="n"/>
      <c r="G29" s="182" t="n"/>
      <c r="H29" s="105" t="n"/>
      <c r="I29" s="183">
        <f>F29</f>
        <v/>
      </c>
      <c r="J29" s="184" t="n"/>
      <c r="K29" s="185" t="n"/>
      <c r="L29" s="8" t="n"/>
      <c r="M29" s="184">
        <f>L29</f>
        <v/>
      </c>
      <c r="N29" s="71" t="n"/>
      <c r="O29" s="101" t="n"/>
      <c r="P29" s="9">
        <f>I29-M29</f>
        <v/>
      </c>
      <c r="Q29" s="9">
        <f>IF(LEFT(B29,4)&lt;&gt;"    ",0,BN29)</f>
        <v/>
      </c>
      <c r="R29" s="9">
        <f>+P29-Q29</f>
        <v/>
      </c>
      <c r="S29" s="280" t="n"/>
      <c r="T29" s="10" t="n"/>
      <c r="U29" s="23">
        <f>IF(LEFT(B29,4)&lt;&gt;"    ","",IF(M29&lt;&gt;0,X29/M29,0))</f>
        <v/>
      </c>
      <c r="V29" s="11">
        <f>IF(LEFT(B29,4)&lt;&gt;"    ","",U29*I29)</f>
        <v/>
      </c>
      <c r="W29" s="11">
        <f>IF(LEFT(B29,4)&lt;&gt;"    ","",X29+Z29)</f>
        <v/>
      </c>
      <c r="X29" s="8" t="n"/>
      <c r="Y29" s="9">
        <f>IF(LEFT(B29,4)&lt;&gt;"    ",0,IF(P29&lt;0,P29,IF(U29&gt;0.3,W29-X29,0)))</f>
        <v/>
      </c>
      <c r="Z29" s="71">
        <f>Y29</f>
        <v/>
      </c>
      <c r="AA29" s="71" t="n"/>
      <c r="AB29" s="109" t="n"/>
      <c r="AC29" s="9">
        <f>IF(LEFT(B29,4)&lt;&gt;"    ",0,BK29)</f>
        <v/>
      </c>
      <c r="AD29" s="9">
        <f>Z29-AC29</f>
        <v/>
      </c>
      <c r="AE29" s="10" t="n"/>
      <c r="AF29" s="24" t="n"/>
      <c r="AG29" s="11" t="n"/>
      <c r="AH29" s="8" t="n"/>
      <c r="AI29" s="9">
        <f>IF(LEFT(B29,4)&lt;&gt;"    ","",AG29-AH29)</f>
        <v/>
      </c>
      <c r="AJ29" s="9" t="n"/>
      <c r="AK29" s="10" t="n"/>
      <c r="AL29" s="11">
        <f>IF(LEFT(B29,4)&lt;&gt;"    ","",W29-AG29)</f>
        <v/>
      </c>
      <c r="AM29" s="8">
        <f>IF(LEFT(B29,4)&lt;&gt;"    ","",X29-AH29)</f>
        <v/>
      </c>
      <c r="AN29" s="9">
        <f>IF(LEFT(B29,4)&lt;&gt;"    ","",Y29-AI29)</f>
        <v/>
      </c>
      <c r="AO29" s="9">
        <f>IF(LEFT(B29,4)&lt;&gt;"    ","",Z29-AJ29)</f>
        <v/>
      </c>
      <c r="AP29" s="10" t="n"/>
      <c r="AQ29" s="25">
        <f>IF(LEFT(B29,4)&lt;&gt;"    ","",I29-W29)</f>
        <v/>
      </c>
      <c r="AR29" s="25">
        <f>M29-X29</f>
        <v/>
      </c>
      <c r="AS29" s="25">
        <f>IF(LEFT(B29,4)&lt;&gt;"    ","",P29-Z29)</f>
        <v/>
      </c>
      <c r="AT29" s="10" t="n"/>
      <c r="AU29" s="12" t="n"/>
      <c r="AV29" s="12">
        <f>IF(LEFT(B29,4)&lt;&gt;"    ","",IF(W29-AU29&gt;=0,W29-AU29," "))</f>
        <v/>
      </c>
      <c r="AW29" s="12">
        <f>IF(LEFT(B29,4)&lt;&gt;"    ","",IF(AU29-W29&gt;=0,AU29-W29," "))</f>
        <v/>
      </c>
      <c r="AX29" s="186" t="n"/>
      <c r="AY29" s="187" t="n"/>
      <c r="AZ29" s="186" t="n"/>
      <c r="BA29" s="186" t="n"/>
      <c r="BB29" s="188" t="n"/>
      <c r="BC29" s="187" t="n"/>
      <c r="BD29" s="187" t="n"/>
      <c r="BE29" s="186" t="n"/>
      <c r="BF29" s="186" t="n"/>
      <c r="BG29" s="186" t="n"/>
      <c r="BH29" s="186" t="n"/>
      <c r="BI29" s="186" t="n"/>
      <c r="BJ29" s="186" t="n"/>
      <c r="BK29" s="186" t="n"/>
      <c r="BL29" s="186" t="n"/>
      <c r="BM29" s="186" t="n"/>
      <c r="BN29" s="186" t="n"/>
      <c r="BO29" s="186" t="n"/>
      <c r="BP29" s="186" t="n"/>
      <c r="BQ29" s="186" t="n"/>
      <c r="BR29" s="186" t="n"/>
      <c r="BS29" s="186" t="n"/>
      <c r="BT29" s="186" t="n"/>
      <c r="BU29" s="186" t="n"/>
      <c r="BV29" s="186" t="n"/>
      <c r="BW29" s="186" t="n"/>
      <c r="BX29" s="186" t="n"/>
      <c r="BY29" s="186" t="n"/>
      <c r="BZ29" s="189" t="n"/>
      <c r="CA29" s="189" t="n"/>
      <c r="CB29" s="189" t="n"/>
      <c r="CC29" s="190" t="n"/>
      <c r="CD29" s="186" t="n"/>
      <c r="CE29" s="186" t="n"/>
      <c r="CF29" s="186" t="n"/>
      <c r="CG29" s="186" t="n"/>
      <c r="CH29" s="186" t="n"/>
      <c r="CI29" s="191" t="n"/>
      <c r="CJ29" s="192" t="n"/>
      <c r="CK29" s="192" t="n"/>
      <c r="CL29" s="192" t="n"/>
      <c r="CM29" s="192" t="n"/>
    </row>
    <row r="30">
      <c r="A30" s="177" t="n"/>
      <c r="B30" s="178" t="n"/>
      <c r="C30" s="178" t="n"/>
      <c r="D30" s="179" t="n"/>
      <c r="E30" s="180" t="n"/>
      <c r="F30" s="181" t="n"/>
      <c r="G30" s="182" t="n"/>
      <c r="H30" s="105" t="n"/>
      <c r="I30" s="183">
        <f>F30</f>
        <v/>
      </c>
      <c r="J30" s="184" t="n"/>
      <c r="K30" s="185" t="n"/>
      <c r="L30" s="8" t="n"/>
      <c r="M30" s="184">
        <f>L30</f>
        <v/>
      </c>
      <c r="N30" s="71" t="n"/>
      <c r="O30" s="101" t="n"/>
      <c r="P30" s="9">
        <f>I30-M30</f>
        <v/>
      </c>
      <c r="Q30" s="9">
        <f>IF(LEFT(B30,4)&lt;&gt;"    ",0,BN30)</f>
        <v/>
      </c>
      <c r="R30" s="9">
        <f>+P30-Q30</f>
        <v/>
      </c>
      <c r="S30" s="280" t="n"/>
      <c r="T30" s="10" t="n"/>
      <c r="U30" s="23">
        <f>IF(LEFT(B30,4)&lt;&gt;"    ","",IF(M30&lt;&gt;0,X30/M30,0))</f>
        <v/>
      </c>
      <c r="V30" s="11">
        <f>IF(LEFT(B30,4)&lt;&gt;"    ","",U30*I30)</f>
        <v/>
      </c>
      <c r="W30" s="11">
        <f>IF(LEFT(B30,4)&lt;&gt;"    ","",X30+Z30)</f>
        <v/>
      </c>
      <c r="X30" s="8" t="n"/>
      <c r="Y30" s="9">
        <f>IF(LEFT(B30,4)&lt;&gt;"    ",0,IF(P30&lt;0,P30,IF(U30&gt;0.3,W30-X30,0)))</f>
        <v/>
      </c>
      <c r="Z30" s="71">
        <f>Y30</f>
        <v/>
      </c>
      <c r="AA30" s="71" t="n"/>
      <c r="AB30" s="109" t="n"/>
      <c r="AC30" s="9">
        <f>IF(LEFT(B30,4)&lt;&gt;"    ",0,BK30)</f>
        <v/>
      </c>
      <c r="AD30" s="9">
        <f>Z30-AC30</f>
        <v/>
      </c>
      <c r="AE30" s="10" t="n"/>
      <c r="AF30" s="24" t="n"/>
      <c r="AG30" s="11" t="n"/>
      <c r="AH30" s="8" t="n"/>
      <c r="AI30" s="9">
        <f>IF(LEFT(B30,4)&lt;&gt;"    ","",AG30-AH30)</f>
        <v/>
      </c>
      <c r="AJ30" s="9" t="n"/>
      <c r="AK30" s="10" t="n"/>
      <c r="AL30" s="11">
        <f>IF(LEFT(B30,4)&lt;&gt;"    ","",W30-AG30)</f>
        <v/>
      </c>
      <c r="AM30" s="8">
        <f>IF(LEFT(B30,4)&lt;&gt;"    ","",X30-AH30)</f>
        <v/>
      </c>
      <c r="AN30" s="9">
        <f>IF(LEFT(B30,4)&lt;&gt;"    ","",Y30-AI30)</f>
        <v/>
      </c>
      <c r="AO30" s="9">
        <f>IF(LEFT(B30,4)&lt;&gt;"    ","",Z30-AJ30)</f>
        <v/>
      </c>
      <c r="AP30" s="10" t="n"/>
      <c r="AQ30" s="25">
        <f>IF(LEFT(B30,4)&lt;&gt;"    ","",I30-W30)</f>
        <v/>
      </c>
      <c r="AR30" s="25">
        <f>M30-X30</f>
        <v/>
      </c>
      <c r="AS30" s="25">
        <f>IF(LEFT(B30,4)&lt;&gt;"    ","",P30-Z30)</f>
        <v/>
      </c>
      <c r="AT30" s="10" t="n"/>
      <c r="AU30" s="12" t="n"/>
      <c r="AV30" s="12">
        <f>IF(LEFT(B30,4)&lt;&gt;"    ","",IF(W30-AU30&gt;=0,W30-AU30," "))</f>
        <v/>
      </c>
      <c r="AW30" s="12">
        <f>IF(LEFT(B30,4)&lt;&gt;"    ","",IF(AU30-W30&gt;=0,AU30-W30," "))</f>
        <v/>
      </c>
      <c r="AX30" s="186" t="n"/>
      <c r="AY30" s="187" t="n"/>
      <c r="AZ30" s="186" t="n"/>
      <c r="BA30" s="186" t="n"/>
      <c r="BB30" s="188" t="n"/>
      <c r="BC30" s="187" t="n"/>
      <c r="BD30" s="187" t="n"/>
      <c r="BE30" s="186" t="n"/>
      <c r="BF30" s="186" t="n"/>
      <c r="BG30" s="186" t="n"/>
      <c r="BH30" s="186" t="n"/>
      <c r="BI30" s="186" t="n"/>
      <c r="BJ30" s="186" t="n"/>
      <c r="BK30" s="186" t="n"/>
      <c r="BL30" s="186" t="n"/>
      <c r="BM30" s="186" t="n"/>
      <c r="BN30" s="186" t="n"/>
      <c r="BO30" s="186" t="n"/>
      <c r="BP30" s="186" t="n"/>
      <c r="BQ30" s="186" t="n"/>
      <c r="BR30" s="186" t="n"/>
      <c r="BS30" s="186" t="n"/>
      <c r="BT30" s="186" t="n"/>
      <c r="BU30" s="186" t="n"/>
      <c r="BV30" s="186" t="n"/>
      <c r="BW30" s="186" t="n"/>
      <c r="BX30" s="186" t="n"/>
      <c r="BY30" s="186" t="n"/>
      <c r="BZ30" s="189" t="n"/>
      <c r="CA30" s="189" t="n"/>
      <c r="CB30" s="189" t="n"/>
      <c r="CC30" s="190" t="n"/>
      <c r="CD30" s="186" t="n"/>
      <c r="CE30" s="186" t="n"/>
      <c r="CF30" s="186" t="n"/>
      <c r="CG30" s="186" t="n"/>
      <c r="CH30" s="186" t="n"/>
      <c r="CI30" s="191" t="n"/>
      <c r="CJ30" s="192" t="n"/>
      <c r="CK30" s="192" t="n"/>
      <c r="CL30" s="192" t="n"/>
      <c r="CM30" s="192" t="n"/>
    </row>
    <row r="31">
      <c r="A31" s="177" t="n"/>
      <c r="B31" s="178" t="n"/>
      <c r="C31" s="178" t="n"/>
      <c r="D31" s="179" t="n"/>
      <c r="E31" s="180" t="n"/>
      <c r="F31" s="181" t="n"/>
      <c r="G31" s="182" t="n"/>
      <c r="H31" s="105" t="n"/>
      <c r="I31" s="183">
        <f>F31</f>
        <v/>
      </c>
      <c r="J31" s="184" t="n"/>
      <c r="K31" s="185" t="n"/>
      <c r="L31" s="8" t="n"/>
      <c r="M31" s="184">
        <f>L31</f>
        <v/>
      </c>
      <c r="N31" s="71" t="n"/>
      <c r="O31" s="101" t="n"/>
      <c r="P31" s="9">
        <f>I31-M31</f>
        <v/>
      </c>
      <c r="Q31" s="9">
        <f>IF(LEFT(B31,4)&lt;&gt;"    ",0,BN31)</f>
        <v/>
      </c>
      <c r="R31" s="9">
        <f>+P31-Q31</f>
        <v/>
      </c>
      <c r="S31" s="280" t="n"/>
      <c r="T31" s="10" t="n"/>
      <c r="U31" s="23">
        <f>IF(LEFT(B31,4)&lt;&gt;"    ","",IF(M31&lt;&gt;0,X31/M31,0))</f>
        <v/>
      </c>
      <c r="V31" s="11">
        <f>IF(LEFT(B31,4)&lt;&gt;"    ","",U31*I31)</f>
        <v/>
      </c>
      <c r="W31" s="11">
        <f>IF(LEFT(B31,4)&lt;&gt;"    ","",X31+Z31)</f>
        <v/>
      </c>
      <c r="X31" s="8" t="n"/>
      <c r="Y31" s="9">
        <f>IF(LEFT(B31,4)&lt;&gt;"    ",0,IF(P31&lt;0,P31,IF(U31&gt;0.3,W31-X31,0)))</f>
        <v/>
      </c>
      <c r="Z31" s="71">
        <f>Y31</f>
        <v/>
      </c>
      <c r="AA31" s="71" t="n"/>
      <c r="AB31" s="109" t="n"/>
      <c r="AC31" s="9">
        <f>IF(LEFT(B31,4)&lt;&gt;"    ",0,BK31)</f>
        <v/>
      </c>
      <c r="AD31" s="9">
        <f>Z31-AC31</f>
        <v/>
      </c>
      <c r="AE31" s="10" t="n"/>
      <c r="AF31" s="24" t="n"/>
      <c r="AG31" s="11" t="n"/>
      <c r="AH31" s="8" t="n"/>
      <c r="AI31" s="9">
        <f>IF(LEFT(B31,4)&lt;&gt;"    ","",AG31-AH31)</f>
        <v/>
      </c>
      <c r="AJ31" s="9" t="n"/>
      <c r="AK31" s="10" t="n"/>
      <c r="AL31" s="11">
        <f>IF(LEFT(B31,4)&lt;&gt;"    ","",W31-AG31)</f>
        <v/>
      </c>
      <c r="AM31" s="8">
        <f>IF(LEFT(B31,4)&lt;&gt;"    ","",X31-AH31)</f>
        <v/>
      </c>
      <c r="AN31" s="9">
        <f>IF(LEFT(B31,4)&lt;&gt;"    ","",Y31-AI31)</f>
        <v/>
      </c>
      <c r="AO31" s="9">
        <f>IF(LEFT(B31,4)&lt;&gt;"    ","",Z31-AJ31)</f>
        <v/>
      </c>
      <c r="AP31" s="10" t="n"/>
      <c r="AQ31" s="25">
        <f>IF(LEFT(B31,4)&lt;&gt;"    ","",I31-W31)</f>
        <v/>
      </c>
      <c r="AR31" s="25">
        <f>M31-X31</f>
        <v/>
      </c>
      <c r="AS31" s="25">
        <f>IF(LEFT(B31,4)&lt;&gt;"    ","",P31-Z31)</f>
        <v/>
      </c>
      <c r="AT31" s="10" t="n"/>
      <c r="AU31" s="12" t="n"/>
      <c r="AV31" s="12">
        <f>IF(LEFT(B31,4)&lt;&gt;"    ","",IF(W31-AU31&gt;=0,W31-AU31," "))</f>
        <v/>
      </c>
      <c r="AW31" s="12">
        <f>IF(LEFT(B31,4)&lt;&gt;"    ","",IF(AU31-W31&gt;=0,AU31-W31," "))</f>
        <v/>
      </c>
      <c r="AX31" s="186" t="n"/>
      <c r="AY31" s="187" t="n"/>
      <c r="AZ31" s="186" t="n"/>
      <c r="BA31" s="186" t="n"/>
      <c r="BB31" s="188" t="n"/>
      <c r="BC31" s="187" t="n"/>
      <c r="BD31" s="187" t="n"/>
      <c r="BE31" s="186" t="n"/>
      <c r="BF31" s="186" t="n"/>
      <c r="BG31" s="186" t="n"/>
      <c r="BH31" s="186" t="n"/>
      <c r="BI31" s="186" t="n"/>
      <c r="BJ31" s="186" t="n"/>
      <c r="BK31" s="186" t="n"/>
      <c r="BL31" s="186" t="n"/>
      <c r="BM31" s="186" t="n"/>
      <c r="BN31" s="186" t="n"/>
      <c r="BO31" s="186" t="n"/>
      <c r="BP31" s="186" t="n"/>
      <c r="BQ31" s="186" t="n"/>
      <c r="BR31" s="186" t="n"/>
      <c r="BS31" s="186" t="n"/>
      <c r="BT31" s="186" t="n"/>
      <c r="BU31" s="186" t="n"/>
      <c r="BV31" s="186" t="n"/>
      <c r="BW31" s="186" t="n"/>
      <c r="BX31" s="186" t="n"/>
      <c r="BY31" s="186" t="n"/>
      <c r="BZ31" s="189" t="n"/>
      <c r="CA31" s="189" t="n"/>
      <c r="CB31" s="189" t="n"/>
      <c r="CC31" s="190" t="n"/>
      <c r="CD31" s="186" t="n"/>
      <c r="CE31" s="186" t="n"/>
      <c r="CF31" s="186" t="n"/>
      <c r="CG31" s="186" t="n"/>
      <c r="CH31" s="186" t="n"/>
      <c r="CI31" s="191" t="n"/>
      <c r="CJ31" s="192" t="n"/>
      <c r="CK31" s="192" t="n"/>
      <c r="CL31" s="192" t="n"/>
      <c r="CM31" s="192" t="n"/>
    </row>
    <row r="32">
      <c r="A32" s="177" t="n"/>
      <c r="B32" s="178" t="n"/>
      <c r="C32" s="178" t="n"/>
      <c r="D32" s="179" t="n"/>
      <c r="E32" s="180" t="n"/>
      <c r="F32" s="181" t="n"/>
      <c r="G32" s="182" t="n"/>
      <c r="H32" s="105" t="n"/>
      <c r="I32" s="183">
        <f>F32</f>
        <v/>
      </c>
      <c r="J32" s="184" t="n"/>
      <c r="K32" s="185" t="n"/>
      <c r="L32" s="8" t="n"/>
      <c r="M32" s="184">
        <f>L32</f>
        <v/>
      </c>
      <c r="N32" s="71" t="n"/>
      <c r="O32" s="101" t="n"/>
      <c r="P32" s="9">
        <f>I32-M32</f>
        <v/>
      </c>
      <c r="Q32" s="9">
        <f>IF(LEFT(B32,4)&lt;&gt;"    ",0,BN32)</f>
        <v/>
      </c>
      <c r="R32" s="9">
        <f>+P32-Q32</f>
        <v/>
      </c>
      <c r="S32" s="280" t="n"/>
      <c r="T32" s="10" t="n"/>
      <c r="U32" s="23">
        <f>IF(LEFT(B32,4)&lt;&gt;"    ","",IF(M32&lt;&gt;0,X32/M32,0))</f>
        <v/>
      </c>
      <c r="V32" s="11">
        <f>IF(LEFT(B32,4)&lt;&gt;"    ","",U32*I32)</f>
        <v/>
      </c>
      <c r="W32" s="11">
        <f>IF(LEFT(B32,4)&lt;&gt;"    ","",X32+Z32)</f>
        <v/>
      </c>
      <c r="X32" s="8" t="n"/>
      <c r="Y32" s="9">
        <f>IF(LEFT(B32,4)&lt;&gt;"    ",0,IF(P32&lt;0,P32,IF(U32&gt;0.3,W32-X32,0)))</f>
        <v/>
      </c>
      <c r="Z32" s="71">
        <f>Y32</f>
        <v/>
      </c>
      <c r="AA32" s="71" t="n"/>
      <c r="AB32" s="109" t="n"/>
      <c r="AC32" s="9">
        <f>IF(LEFT(B32,4)&lt;&gt;"    ",0,BK32)</f>
        <v/>
      </c>
      <c r="AD32" s="9">
        <f>Z32-AC32</f>
        <v/>
      </c>
      <c r="AE32" s="10" t="n"/>
      <c r="AF32" s="24" t="n"/>
      <c r="AG32" s="11" t="n"/>
      <c r="AH32" s="8" t="n"/>
      <c r="AI32" s="9">
        <f>IF(LEFT(B32,4)&lt;&gt;"    ","",AG32-AH32)</f>
        <v/>
      </c>
      <c r="AJ32" s="9" t="n"/>
      <c r="AK32" s="10" t="n"/>
      <c r="AL32" s="11">
        <f>IF(LEFT(B32,4)&lt;&gt;"    ","",W32-AG32)</f>
        <v/>
      </c>
      <c r="AM32" s="8">
        <f>IF(LEFT(B32,4)&lt;&gt;"    ","",X32-AH32)</f>
        <v/>
      </c>
      <c r="AN32" s="9">
        <f>IF(LEFT(B32,4)&lt;&gt;"    ","",Y32-AI32)</f>
        <v/>
      </c>
      <c r="AO32" s="9">
        <f>IF(LEFT(B32,4)&lt;&gt;"    ","",Z32-AJ32)</f>
        <v/>
      </c>
      <c r="AP32" s="10" t="n"/>
      <c r="AQ32" s="25">
        <f>IF(LEFT(B32,4)&lt;&gt;"    ","",I32-W32)</f>
        <v/>
      </c>
      <c r="AR32" s="25">
        <f>M32-X32</f>
        <v/>
      </c>
      <c r="AS32" s="25">
        <f>IF(LEFT(B32,4)&lt;&gt;"    ","",P32-Z32)</f>
        <v/>
      </c>
      <c r="AT32" s="10" t="n"/>
      <c r="AU32" s="12" t="n"/>
      <c r="AV32" s="12">
        <f>IF(LEFT(B32,4)&lt;&gt;"    ","",IF(W32-AU32&gt;=0,W32-AU32," "))</f>
        <v/>
      </c>
      <c r="AW32" s="12">
        <f>IF(LEFT(B32,4)&lt;&gt;"    ","",IF(AU32-W32&gt;=0,AU32-W32," "))</f>
        <v/>
      </c>
      <c r="AX32" s="186" t="n"/>
      <c r="AY32" s="187" t="n"/>
      <c r="AZ32" s="186" t="n"/>
      <c r="BA32" s="186" t="n"/>
      <c r="BB32" s="188" t="n"/>
      <c r="BC32" s="187" t="n"/>
      <c r="BD32" s="187" t="n"/>
      <c r="BE32" s="186" t="n"/>
      <c r="BF32" s="186" t="n"/>
      <c r="BG32" s="186" t="n"/>
      <c r="BH32" s="186" t="n"/>
      <c r="BI32" s="186" t="n"/>
      <c r="BJ32" s="186" t="n"/>
      <c r="BK32" s="186" t="n"/>
      <c r="BL32" s="186" t="n"/>
      <c r="BM32" s="186" t="n"/>
      <c r="BN32" s="186" t="n"/>
      <c r="BO32" s="186" t="n"/>
      <c r="BP32" s="186" t="n"/>
      <c r="BQ32" s="186" t="n"/>
      <c r="BR32" s="186" t="n"/>
      <c r="BS32" s="186" t="n"/>
      <c r="BT32" s="186" t="n"/>
      <c r="BU32" s="186" t="n"/>
      <c r="BV32" s="186" t="n"/>
      <c r="BW32" s="186" t="n"/>
      <c r="BX32" s="186" t="n"/>
      <c r="BY32" s="186" t="n"/>
      <c r="BZ32" s="189" t="n"/>
      <c r="CA32" s="189" t="n"/>
      <c r="CB32" s="189" t="n"/>
      <c r="CC32" s="190" t="n"/>
      <c r="CD32" s="186" t="n"/>
      <c r="CE32" s="186" t="n"/>
      <c r="CF32" s="186" t="n"/>
      <c r="CG32" s="186" t="n"/>
      <c r="CH32" s="186" t="n"/>
      <c r="CI32" s="191" t="n"/>
      <c r="CJ32" s="192" t="n"/>
      <c r="CK32" s="192" t="n"/>
      <c r="CL32" s="192" t="n"/>
      <c r="CM32" s="192" t="n"/>
    </row>
    <row r="33">
      <c r="A33" s="177" t="n"/>
      <c r="B33" s="178" t="n"/>
      <c r="C33" s="178" t="n"/>
      <c r="D33" s="179" t="n"/>
      <c r="E33" s="180" t="n"/>
      <c r="F33" s="181" t="n"/>
      <c r="G33" s="182" t="n"/>
      <c r="H33" s="105" t="n"/>
      <c r="I33" s="183">
        <f>F33</f>
        <v/>
      </c>
      <c r="J33" s="184" t="n"/>
      <c r="K33" s="185" t="n"/>
      <c r="L33" s="8" t="n"/>
      <c r="M33" s="184">
        <f>L33</f>
        <v/>
      </c>
      <c r="N33" s="71" t="n"/>
      <c r="O33" s="101" t="n"/>
      <c r="P33" s="9">
        <f>I33-M33</f>
        <v/>
      </c>
      <c r="Q33" s="9">
        <f>IF(LEFT(B33,4)&lt;&gt;"    ",0,BN33)</f>
        <v/>
      </c>
      <c r="R33" s="9">
        <f>+P33-Q33</f>
        <v/>
      </c>
      <c r="S33" s="280" t="n"/>
      <c r="T33" s="10" t="n"/>
      <c r="U33" s="23">
        <f>IF(LEFT(B33,4)&lt;&gt;"    ","",IF(M33&lt;&gt;0,X33/M33,0))</f>
        <v/>
      </c>
      <c r="V33" s="11">
        <f>IF(LEFT(B33,4)&lt;&gt;"    ","",U33*I33)</f>
        <v/>
      </c>
      <c r="W33" s="11">
        <f>IF(LEFT(B33,4)&lt;&gt;"    ","",X33+Z33)</f>
        <v/>
      </c>
      <c r="X33" s="8" t="n"/>
      <c r="Y33" s="9">
        <f>IF(LEFT(B33,4)&lt;&gt;"    ",0,IF(P33&lt;0,P33,IF(U33&gt;0.3,W33-X33,0)))</f>
        <v/>
      </c>
      <c r="Z33" s="71">
        <f>Y33</f>
        <v/>
      </c>
      <c r="AA33" s="71" t="n"/>
      <c r="AB33" s="109" t="n"/>
      <c r="AC33" s="9">
        <f>IF(LEFT(B33,4)&lt;&gt;"    ",0,BK33)</f>
        <v/>
      </c>
      <c r="AD33" s="9">
        <f>Z33-AC33</f>
        <v/>
      </c>
      <c r="AE33" s="10" t="n"/>
      <c r="AF33" s="24" t="n"/>
      <c r="AG33" s="11" t="n"/>
      <c r="AH33" s="8" t="n"/>
      <c r="AI33" s="9">
        <f>IF(LEFT(B33,4)&lt;&gt;"    ","",AG33-AH33)</f>
        <v/>
      </c>
      <c r="AJ33" s="9" t="n"/>
      <c r="AK33" s="10" t="n"/>
      <c r="AL33" s="11">
        <f>IF(LEFT(B33,4)&lt;&gt;"    ","",W33-AG33)</f>
        <v/>
      </c>
      <c r="AM33" s="8">
        <f>IF(LEFT(B33,4)&lt;&gt;"    ","",X33-AH33)</f>
        <v/>
      </c>
      <c r="AN33" s="9">
        <f>IF(LEFT(B33,4)&lt;&gt;"    ","",Y33-AI33)</f>
        <v/>
      </c>
      <c r="AO33" s="9">
        <f>IF(LEFT(B33,4)&lt;&gt;"    ","",Z33-AJ33)</f>
        <v/>
      </c>
      <c r="AP33" s="10" t="n"/>
      <c r="AQ33" s="25">
        <f>IF(LEFT(B33,4)&lt;&gt;"    ","",I33-W33)</f>
        <v/>
      </c>
      <c r="AR33" s="25">
        <f>M33-X33</f>
        <v/>
      </c>
      <c r="AS33" s="25">
        <f>IF(LEFT(B33,4)&lt;&gt;"    ","",P33-Z33)</f>
        <v/>
      </c>
      <c r="AT33" s="10" t="n"/>
      <c r="AU33" s="12" t="n"/>
      <c r="AV33" s="12">
        <f>IF(LEFT(B33,4)&lt;&gt;"    ","",IF(W33-AU33&gt;=0,W33-AU33," "))</f>
        <v/>
      </c>
      <c r="AW33" s="12">
        <f>IF(LEFT(B33,4)&lt;&gt;"    ","",IF(AU33-W33&gt;=0,AU33-W33," "))</f>
        <v/>
      </c>
      <c r="AX33" s="186" t="n"/>
      <c r="AY33" s="187" t="n"/>
      <c r="AZ33" s="186" t="n"/>
      <c r="BA33" s="186" t="n"/>
      <c r="BB33" s="188" t="n"/>
      <c r="BC33" s="187" t="n"/>
      <c r="BD33" s="187" t="n"/>
      <c r="BE33" s="186" t="n"/>
      <c r="BF33" s="186" t="n"/>
      <c r="BG33" s="186" t="n"/>
      <c r="BH33" s="186" t="n"/>
      <c r="BI33" s="186" t="n"/>
      <c r="BJ33" s="186" t="n"/>
      <c r="BK33" s="186" t="n"/>
      <c r="BL33" s="186" t="n"/>
      <c r="BM33" s="186" t="n"/>
      <c r="BN33" s="186" t="n"/>
      <c r="BO33" s="186" t="n"/>
      <c r="BP33" s="186" t="n"/>
      <c r="BQ33" s="186" t="n"/>
      <c r="BR33" s="186" t="n"/>
      <c r="BS33" s="186" t="n"/>
      <c r="BT33" s="186" t="n"/>
      <c r="BU33" s="186" t="n"/>
      <c r="BV33" s="186" t="n"/>
      <c r="BW33" s="186" t="n"/>
      <c r="BX33" s="186" t="n"/>
      <c r="BY33" s="186" t="n"/>
      <c r="BZ33" s="189" t="n"/>
      <c r="CA33" s="189" t="n"/>
      <c r="CB33" s="189" t="n"/>
      <c r="CC33" s="190" t="n"/>
      <c r="CD33" s="186" t="n"/>
      <c r="CE33" s="186" t="n"/>
      <c r="CF33" s="186" t="n"/>
      <c r="CG33" s="186" t="n"/>
      <c r="CH33" s="186" t="n"/>
      <c r="CI33" s="191" t="n"/>
      <c r="CJ33" s="192" t="n"/>
      <c r="CK33" s="192" t="n"/>
      <c r="CL33" s="192" t="n"/>
      <c r="CM33" s="192" t="n"/>
    </row>
    <row r="34">
      <c r="A34" s="177" t="n"/>
      <c r="B34" s="178" t="n"/>
      <c r="C34" s="178" t="n"/>
      <c r="D34" s="179" t="n"/>
      <c r="E34" s="180" t="n"/>
      <c r="F34" s="181" t="n"/>
      <c r="G34" s="182" t="n"/>
      <c r="H34" s="105" t="n"/>
      <c r="I34" s="183">
        <f>F34</f>
        <v/>
      </c>
      <c r="J34" s="184" t="n"/>
      <c r="K34" s="185" t="n"/>
      <c r="L34" s="8" t="n"/>
      <c r="M34" s="184">
        <f>L34</f>
        <v/>
      </c>
      <c r="N34" s="71" t="n"/>
      <c r="O34" s="101" t="n"/>
      <c r="P34" s="9">
        <f>I34-M34</f>
        <v/>
      </c>
      <c r="Q34" s="9">
        <f>IF(LEFT(B34,4)&lt;&gt;"    ",0,BN34)</f>
        <v/>
      </c>
      <c r="R34" s="9">
        <f>+P34-Q34</f>
        <v/>
      </c>
      <c r="S34" s="280" t="n"/>
      <c r="T34" s="10" t="n"/>
      <c r="U34" s="23">
        <f>IF(LEFT(B34,4)&lt;&gt;"    ","",IF(M34&lt;&gt;0,X34/M34,0))</f>
        <v/>
      </c>
      <c r="V34" s="11">
        <f>IF(LEFT(B34,4)&lt;&gt;"    ","",U34*I34)</f>
        <v/>
      </c>
      <c r="W34" s="11">
        <f>IF(LEFT(B34,4)&lt;&gt;"    ","",X34+Z34)</f>
        <v/>
      </c>
      <c r="X34" s="8" t="n"/>
      <c r="Y34" s="9">
        <f>IF(LEFT(B34,4)&lt;&gt;"    ",0,IF(P34&lt;0,P34,IF(U34&gt;0.3,W34-X34,0)))</f>
        <v/>
      </c>
      <c r="Z34" s="71">
        <f>Y34</f>
        <v/>
      </c>
      <c r="AA34" s="71" t="n"/>
      <c r="AB34" s="109" t="n"/>
      <c r="AC34" s="9">
        <f>IF(LEFT(B34,4)&lt;&gt;"    ",0,BK34)</f>
        <v/>
      </c>
      <c r="AD34" s="9">
        <f>Z34-AC34</f>
        <v/>
      </c>
      <c r="AE34" s="10" t="n"/>
      <c r="AF34" s="24" t="n"/>
      <c r="AG34" s="11" t="n"/>
      <c r="AH34" s="8" t="n"/>
      <c r="AI34" s="9">
        <f>IF(LEFT(B34,4)&lt;&gt;"    ","",AG34-AH34)</f>
        <v/>
      </c>
      <c r="AJ34" s="9" t="n"/>
      <c r="AK34" s="10" t="n"/>
      <c r="AL34" s="11">
        <f>IF(LEFT(B34,4)&lt;&gt;"    ","",W34-AG34)</f>
        <v/>
      </c>
      <c r="AM34" s="8">
        <f>IF(LEFT(B34,4)&lt;&gt;"    ","",X34-AH34)</f>
        <v/>
      </c>
      <c r="AN34" s="9">
        <f>IF(LEFT(B34,4)&lt;&gt;"    ","",Y34-AI34)</f>
        <v/>
      </c>
      <c r="AO34" s="9">
        <f>IF(LEFT(B34,4)&lt;&gt;"    ","",Z34-AJ34)</f>
        <v/>
      </c>
      <c r="AP34" s="10" t="n"/>
      <c r="AQ34" s="25">
        <f>IF(LEFT(B34,4)&lt;&gt;"    ","",I34-W34)</f>
        <v/>
      </c>
      <c r="AR34" s="25">
        <f>M34-X34</f>
        <v/>
      </c>
      <c r="AS34" s="25">
        <f>IF(LEFT(B34,4)&lt;&gt;"    ","",P34-Z34)</f>
        <v/>
      </c>
      <c r="AT34" s="10" t="n"/>
      <c r="AU34" s="12" t="n"/>
      <c r="AV34" s="12">
        <f>IF(LEFT(B34,4)&lt;&gt;"    ","",IF(W34-AU34&gt;=0,W34-AU34," "))</f>
        <v/>
      </c>
      <c r="AW34" s="12">
        <f>IF(LEFT(B34,4)&lt;&gt;"    ","",IF(AU34-W34&gt;=0,AU34-W34," "))</f>
        <v/>
      </c>
      <c r="AX34" s="186" t="n"/>
      <c r="AY34" s="187" t="n"/>
      <c r="AZ34" s="186" t="n"/>
      <c r="BA34" s="186" t="n"/>
      <c r="BB34" s="188" t="n"/>
      <c r="BC34" s="187" t="n"/>
      <c r="BD34" s="187" t="n"/>
      <c r="BE34" s="186" t="n"/>
      <c r="BF34" s="186" t="n"/>
      <c r="BG34" s="186" t="n"/>
      <c r="BH34" s="186" t="n"/>
      <c r="BI34" s="186" t="n"/>
      <c r="BJ34" s="186" t="n"/>
      <c r="BK34" s="186" t="n"/>
      <c r="BL34" s="186" t="n"/>
      <c r="BM34" s="186" t="n"/>
      <c r="BN34" s="186" t="n"/>
      <c r="BO34" s="186" t="n"/>
      <c r="BP34" s="186" t="n"/>
      <c r="BQ34" s="186" t="n"/>
      <c r="BR34" s="186" t="n"/>
      <c r="BS34" s="186" t="n"/>
      <c r="BT34" s="186" t="n"/>
      <c r="BU34" s="186" t="n"/>
      <c r="BV34" s="186" t="n"/>
      <c r="BW34" s="186" t="n"/>
      <c r="BX34" s="186" t="n"/>
      <c r="BY34" s="186" t="n"/>
      <c r="BZ34" s="189" t="n"/>
      <c r="CA34" s="189" t="n"/>
      <c r="CB34" s="189" t="n"/>
      <c r="CC34" s="190" t="n"/>
      <c r="CD34" s="186" t="n"/>
      <c r="CE34" s="186" t="n"/>
      <c r="CF34" s="186" t="n"/>
      <c r="CG34" s="186" t="n"/>
      <c r="CH34" s="186" t="n"/>
      <c r="CI34" s="191" t="n"/>
      <c r="CJ34" s="192" t="n"/>
      <c r="CK34" s="192" t="n"/>
      <c r="CL34" s="192" t="n"/>
      <c r="CM34" s="192" t="n"/>
    </row>
    <row r="35">
      <c r="A35" s="177" t="n"/>
      <c r="B35" s="178" t="n"/>
      <c r="C35" s="178" t="n"/>
      <c r="D35" s="179" t="n"/>
      <c r="E35" s="180" t="n"/>
      <c r="F35" s="181" t="n"/>
      <c r="G35" s="182" t="n"/>
      <c r="H35" s="105" t="n"/>
      <c r="I35" s="183">
        <f>F35</f>
        <v/>
      </c>
      <c r="J35" s="184" t="n"/>
      <c r="K35" s="185" t="n"/>
      <c r="L35" s="8" t="n"/>
      <c r="M35" s="184">
        <f>L35</f>
        <v/>
      </c>
      <c r="N35" s="71" t="n"/>
      <c r="O35" s="101" t="n"/>
      <c r="P35" s="9">
        <f>I35-M35</f>
        <v/>
      </c>
      <c r="Q35" s="9">
        <f>IF(LEFT(B35,4)&lt;&gt;"    ",0,BN35)</f>
        <v/>
      </c>
      <c r="R35" s="9">
        <f>+P35-Q35</f>
        <v/>
      </c>
      <c r="S35" s="280" t="n"/>
      <c r="T35" s="10" t="n"/>
      <c r="U35" s="23">
        <f>IF(LEFT(B35,4)&lt;&gt;"    ","",IF(M35&lt;&gt;0,X35/M35,0))</f>
        <v/>
      </c>
      <c r="V35" s="11">
        <f>IF(LEFT(B35,4)&lt;&gt;"    ","",U35*I35)</f>
        <v/>
      </c>
      <c r="W35" s="11">
        <f>IF(LEFT(B35,4)&lt;&gt;"    ","",X35+Z35)</f>
        <v/>
      </c>
      <c r="X35" s="8" t="n"/>
      <c r="Y35" s="9">
        <f>IF(LEFT(B35,4)&lt;&gt;"    ",0,IF(P35&lt;0,P35,IF(U35&gt;0.3,W35-X35,0)))</f>
        <v/>
      </c>
      <c r="Z35" s="71">
        <f>Y35</f>
        <v/>
      </c>
      <c r="AA35" s="71" t="n"/>
      <c r="AB35" s="109" t="n"/>
      <c r="AC35" s="9">
        <f>IF(LEFT(B35,4)&lt;&gt;"    ",0,BK35)</f>
        <v/>
      </c>
      <c r="AD35" s="9">
        <f>Z35-AC35</f>
        <v/>
      </c>
      <c r="AE35" s="10" t="n"/>
      <c r="AF35" s="24" t="n"/>
      <c r="AG35" s="11" t="n"/>
      <c r="AH35" s="8" t="n"/>
      <c r="AI35" s="9">
        <f>IF(LEFT(B35,4)&lt;&gt;"    ","",AG35-AH35)</f>
        <v/>
      </c>
      <c r="AJ35" s="9" t="n"/>
      <c r="AK35" s="10" t="n"/>
      <c r="AL35" s="11">
        <f>IF(LEFT(B35,4)&lt;&gt;"    ","",W35-AG35)</f>
        <v/>
      </c>
      <c r="AM35" s="8">
        <f>IF(LEFT(B35,4)&lt;&gt;"    ","",X35-AH35)</f>
        <v/>
      </c>
      <c r="AN35" s="9">
        <f>IF(LEFT(B35,4)&lt;&gt;"    ","",Y35-AI35)</f>
        <v/>
      </c>
      <c r="AO35" s="9">
        <f>IF(LEFT(B35,4)&lt;&gt;"    ","",Z35-AJ35)</f>
        <v/>
      </c>
      <c r="AP35" s="10" t="n"/>
      <c r="AQ35" s="25">
        <f>IF(LEFT(B35,4)&lt;&gt;"    ","",I35-W35)</f>
        <v/>
      </c>
      <c r="AR35" s="25">
        <f>M35-X35</f>
        <v/>
      </c>
      <c r="AS35" s="25">
        <f>IF(LEFT(B35,4)&lt;&gt;"    ","",P35-Z35)</f>
        <v/>
      </c>
      <c r="AT35" s="10" t="n"/>
      <c r="AU35" s="12" t="n"/>
      <c r="AV35" s="12">
        <f>IF(LEFT(B35,4)&lt;&gt;"    ","",IF(W35-AU35&gt;=0,W35-AU35," "))</f>
        <v/>
      </c>
      <c r="AW35" s="12">
        <f>IF(LEFT(B35,4)&lt;&gt;"    ","",IF(AU35-W35&gt;=0,AU35-W35," "))</f>
        <v/>
      </c>
      <c r="AX35" s="186" t="n"/>
      <c r="AY35" s="187" t="n"/>
      <c r="AZ35" s="186" t="n"/>
      <c r="BA35" s="186" t="n"/>
      <c r="BB35" s="188" t="n"/>
      <c r="BC35" s="187" t="n"/>
      <c r="BD35" s="187" t="n"/>
      <c r="BE35" s="186" t="n"/>
      <c r="BF35" s="186" t="n"/>
      <c r="BG35" s="186" t="n"/>
      <c r="BH35" s="186" t="n"/>
      <c r="BI35" s="186" t="n"/>
      <c r="BJ35" s="186" t="n"/>
      <c r="BK35" s="186" t="n"/>
      <c r="BL35" s="186" t="n"/>
      <c r="BM35" s="186" t="n"/>
      <c r="BN35" s="186" t="n"/>
      <c r="BO35" s="186" t="n"/>
      <c r="BP35" s="186" t="n"/>
      <c r="BQ35" s="186" t="n"/>
      <c r="BR35" s="186" t="n"/>
      <c r="BS35" s="186" t="n"/>
      <c r="BT35" s="186" t="n"/>
      <c r="BU35" s="186" t="n"/>
      <c r="BV35" s="186" t="n"/>
      <c r="BW35" s="186" t="n"/>
      <c r="BX35" s="186" t="n"/>
      <c r="BY35" s="186" t="n"/>
      <c r="BZ35" s="189" t="n"/>
      <c r="CA35" s="189" t="n"/>
      <c r="CB35" s="189" t="n"/>
      <c r="CC35" s="190" t="n"/>
      <c r="CD35" s="186" t="n"/>
      <c r="CE35" s="186" t="n"/>
      <c r="CF35" s="186" t="n"/>
      <c r="CG35" s="186" t="n"/>
      <c r="CH35" s="186" t="n"/>
      <c r="CI35" s="191" t="n"/>
      <c r="CJ35" s="192" t="n"/>
      <c r="CK35" s="192" t="n"/>
      <c r="CL35" s="192" t="n"/>
      <c r="CM35" s="192" t="n"/>
    </row>
    <row r="36">
      <c r="A36" s="177" t="n"/>
      <c r="B36" s="178" t="n"/>
      <c r="C36" s="178" t="n"/>
      <c r="D36" s="179" t="n"/>
      <c r="E36" s="180" t="n"/>
      <c r="F36" s="181" t="n"/>
      <c r="G36" s="182" t="n"/>
      <c r="H36" s="105" t="n"/>
      <c r="I36" s="183">
        <f>F36</f>
        <v/>
      </c>
      <c r="J36" s="184" t="n"/>
      <c r="K36" s="185" t="n"/>
      <c r="L36" s="8" t="n"/>
      <c r="M36" s="184">
        <f>L36</f>
        <v/>
      </c>
      <c r="N36" s="71" t="n"/>
      <c r="O36" s="101" t="n"/>
      <c r="P36" s="9">
        <f>I36-M36</f>
        <v/>
      </c>
      <c r="Q36" s="9">
        <f>IF(LEFT(B36,4)&lt;&gt;"    ",0,BN36)</f>
        <v/>
      </c>
      <c r="R36" s="9">
        <f>+P36-Q36</f>
        <v/>
      </c>
      <c r="S36" s="280" t="n"/>
      <c r="T36" s="10" t="n"/>
      <c r="U36" s="23">
        <f>IF(LEFT(B36,4)&lt;&gt;"    ","",IF(M36&lt;&gt;0,X36/M36,0))</f>
        <v/>
      </c>
      <c r="V36" s="11">
        <f>IF(LEFT(B36,4)&lt;&gt;"    ","",U36*I36)</f>
        <v/>
      </c>
      <c r="W36" s="11">
        <f>IF(LEFT(B36,4)&lt;&gt;"    ","",X36+Z36)</f>
        <v/>
      </c>
      <c r="X36" s="8" t="n"/>
      <c r="Y36" s="9">
        <f>IF(LEFT(B36,4)&lt;&gt;"    ",0,IF(P36&lt;0,P36,IF(U36&gt;0.3,W36-X36,0)))</f>
        <v/>
      </c>
      <c r="Z36" s="71">
        <f>Y36</f>
        <v/>
      </c>
      <c r="AA36" s="71" t="n"/>
      <c r="AB36" s="109" t="n"/>
      <c r="AC36" s="9">
        <f>IF(LEFT(B36,4)&lt;&gt;"    ",0,BK36)</f>
        <v/>
      </c>
      <c r="AD36" s="9">
        <f>Z36-AC36</f>
        <v/>
      </c>
      <c r="AE36" s="10" t="n"/>
      <c r="AF36" s="24" t="n"/>
      <c r="AG36" s="11" t="n"/>
      <c r="AH36" s="8" t="n"/>
      <c r="AI36" s="9">
        <f>IF(LEFT(B36,4)&lt;&gt;"    ","",AG36-AH36)</f>
        <v/>
      </c>
      <c r="AJ36" s="9" t="n"/>
      <c r="AK36" s="10" t="n"/>
      <c r="AL36" s="11">
        <f>IF(LEFT(B36,4)&lt;&gt;"    ","",W36-AG36)</f>
        <v/>
      </c>
      <c r="AM36" s="8">
        <f>IF(LEFT(B36,4)&lt;&gt;"    ","",X36-AH36)</f>
        <v/>
      </c>
      <c r="AN36" s="9">
        <f>IF(LEFT(B36,4)&lt;&gt;"    ","",Y36-AI36)</f>
        <v/>
      </c>
      <c r="AO36" s="9">
        <f>IF(LEFT(B36,4)&lt;&gt;"    ","",Z36-AJ36)</f>
        <v/>
      </c>
      <c r="AP36" s="10" t="n"/>
      <c r="AQ36" s="25">
        <f>IF(LEFT(B36,4)&lt;&gt;"    ","",I36-W36)</f>
        <v/>
      </c>
      <c r="AR36" s="25">
        <f>M36-X36</f>
        <v/>
      </c>
      <c r="AS36" s="25">
        <f>IF(LEFT(B36,4)&lt;&gt;"    ","",P36-Z36)</f>
        <v/>
      </c>
      <c r="AT36" s="10" t="n"/>
      <c r="AU36" s="12" t="n"/>
      <c r="AV36" s="12">
        <f>IF(LEFT(B36,4)&lt;&gt;"    ","",IF(W36-AU36&gt;=0,W36-AU36," "))</f>
        <v/>
      </c>
      <c r="AW36" s="12">
        <f>IF(LEFT(B36,4)&lt;&gt;"    ","",IF(AU36-W36&gt;=0,AU36-W36," "))</f>
        <v/>
      </c>
      <c r="AX36" s="186" t="n"/>
      <c r="AY36" s="187" t="n"/>
      <c r="AZ36" s="186" t="n"/>
      <c r="BA36" s="186" t="n"/>
      <c r="BB36" s="188" t="n"/>
      <c r="BC36" s="187" t="n"/>
      <c r="BD36" s="187" t="n"/>
      <c r="BE36" s="186" t="n"/>
      <c r="BF36" s="186" t="n"/>
      <c r="BG36" s="186" t="n"/>
      <c r="BH36" s="186" t="n"/>
      <c r="BI36" s="186" t="n"/>
      <c r="BJ36" s="186" t="n"/>
      <c r="BK36" s="186" t="n"/>
      <c r="BL36" s="186" t="n"/>
      <c r="BM36" s="186" t="n"/>
      <c r="BN36" s="186" t="n"/>
      <c r="BO36" s="186" t="n"/>
      <c r="BP36" s="186" t="n"/>
      <c r="BQ36" s="186" t="n"/>
      <c r="BR36" s="186" t="n"/>
      <c r="BS36" s="186" t="n"/>
      <c r="BT36" s="186" t="n"/>
      <c r="BU36" s="186" t="n"/>
      <c r="BV36" s="186" t="n"/>
      <c r="BW36" s="186" t="n"/>
      <c r="BX36" s="186" t="n"/>
      <c r="BY36" s="186" t="n"/>
      <c r="BZ36" s="189" t="n"/>
      <c r="CA36" s="189" t="n"/>
      <c r="CB36" s="189" t="n"/>
      <c r="CC36" s="190" t="n"/>
      <c r="CD36" s="186" t="n"/>
      <c r="CE36" s="186" t="n"/>
      <c r="CF36" s="186" t="n"/>
      <c r="CG36" s="186" t="n"/>
      <c r="CH36" s="186" t="n"/>
      <c r="CI36" s="191" t="n"/>
      <c r="CJ36" s="192" t="n"/>
      <c r="CK36" s="192" t="n"/>
      <c r="CL36" s="192" t="n"/>
      <c r="CM36" s="192" t="n"/>
    </row>
    <row r="37">
      <c r="A37" s="177" t="n"/>
      <c r="B37" s="178" t="n"/>
      <c r="C37" s="178" t="n"/>
      <c r="D37" s="179" t="n"/>
      <c r="E37" s="180" t="n"/>
      <c r="F37" s="181" t="n"/>
      <c r="G37" s="182" t="n"/>
      <c r="H37" s="105" t="n"/>
      <c r="I37" s="183">
        <f>F37</f>
        <v/>
      </c>
      <c r="J37" s="184" t="n"/>
      <c r="K37" s="185" t="n"/>
      <c r="L37" s="8" t="n"/>
      <c r="M37" s="184">
        <f>L37</f>
        <v/>
      </c>
      <c r="N37" s="71" t="n"/>
      <c r="O37" s="101" t="n"/>
      <c r="P37" s="9">
        <f>I37-M37</f>
        <v/>
      </c>
      <c r="Q37" s="9">
        <f>IF(LEFT(B37,4)&lt;&gt;"    ",0,BN37)</f>
        <v/>
      </c>
      <c r="R37" s="9">
        <f>+P37-Q37</f>
        <v/>
      </c>
      <c r="S37" s="280" t="n"/>
      <c r="T37" s="10" t="n"/>
      <c r="U37" s="23">
        <f>IF(LEFT(B37,4)&lt;&gt;"    ","",IF(M37&lt;&gt;0,X37/M37,0))</f>
        <v/>
      </c>
      <c r="V37" s="11">
        <f>IF(LEFT(B37,4)&lt;&gt;"    ","",U37*I37)</f>
        <v/>
      </c>
      <c r="W37" s="11">
        <f>IF(LEFT(B37,4)&lt;&gt;"    ","",X37+Z37)</f>
        <v/>
      </c>
      <c r="X37" s="8" t="n"/>
      <c r="Y37" s="9">
        <f>IF(LEFT(B37,4)&lt;&gt;"    ",0,IF(P37&lt;0,P37,IF(U37&gt;0.3,W37-X37,0)))</f>
        <v/>
      </c>
      <c r="Z37" s="71">
        <f>Y37</f>
        <v/>
      </c>
      <c r="AA37" s="71" t="n"/>
      <c r="AB37" s="109" t="n"/>
      <c r="AC37" s="9">
        <f>IF(LEFT(B37,4)&lt;&gt;"    ",0,BK37)</f>
        <v/>
      </c>
      <c r="AD37" s="9">
        <f>Z37-AC37</f>
        <v/>
      </c>
      <c r="AE37" s="10" t="n"/>
      <c r="AF37" s="24" t="n"/>
      <c r="AG37" s="11" t="n"/>
      <c r="AH37" s="8" t="n"/>
      <c r="AI37" s="9">
        <f>IF(LEFT(B37,4)&lt;&gt;"    ","",AG37-AH37)</f>
        <v/>
      </c>
      <c r="AJ37" s="9" t="n"/>
      <c r="AK37" s="10" t="n"/>
      <c r="AL37" s="11">
        <f>IF(LEFT(B37,4)&lt;&gt;"    ","",W37-AG37)</f>
        <v/>
      </c>
      <c r="AM37" s="8">
        <f>IF(LEFT(B37,4)&lt;&gt;"    ","",X37-AH37)</f>
        <v/>
      </c>
      <c r="AN37" s="9">
        <f>IF(LEFT(B37,4)&lt;&gt;"    ","",Y37-AI37)</f>
        <v/>
      </c>
      <c r="AO37" s="9">
        <f>IF(LEFT(B37,4)&lt;&gt;"    ","",Z37-AJ37)</f>
        <v/>
      </c>
      <c r="AP37" s="10" t="n"/>
      <c r="AQ37" s="25">
        <f>IF(LEFT(B37,4)&lt;&gt;"    ","",I37-W37)</f>
        <v/>
      </c>
      <c r="AR37" s="25">
        <f>M37-X37</f>
        <v/>
      </c>
      <c r="AS37" s="25">
        <f>IF(LEFT(B37,4)&lt;&gt;"    ","",P37-Z37)</f>
        <v/>
      </c>
      <c r="AT37" s="10" t="n"/>
      <c r="AU37" s="12" t="n"/>
      <c r="AV37" s="12">
        <f>IF(LEFT(B37,4)&lt;&gt;"    ","",IF(W37-AU37&gt;=0,W37-AU37," "))</f>
        <v/>
      </c>
      <c r="AW37" s="12">
        <f>IF(LEFT(B37,4)&lt;&gt;"    ","",IF(AU37-W37&gt;=0,AU37-W37," "))</f>
        <v/>
      </c>
      <c r="AX37" s="186" t="n"/>
      <c r="AY37" s="187" t="n"/>
      <c r="AZ37" s="186" t="n"/>
      <c r="BA37" s="186" t="n"/>
      <c r="BB37" s="188" t="n"/>
      <c r="BC37" s="187" t="n"/>
      <c r="BD37" s="187" t="n"/>
      <c r="BE37" s="186" t="n"/>
      <c r="BF37" s="186" t="n"/>
      <c r="BG37" s="186" t="n"/>
      <c r="BH37" s="186" t="n"/>
      <c r="BI37" s="186" t="n"/>
      <c r="BJ37" s="186" t="n"/>
      <c r="BK37" s="186" t="n"/>
      <c r="BL37" s="186" t="n"/>
      <c r="BM37" s="186" t="n"/>
      <c r="BN37" s="186" t="n"/>
      <c r="BO37" s="186" t="n"/>
      <c r="BP37" s="186" t="n"/>
      <c r="BQ37" s="186" t="n"/>
      <c r="BR37" s="186" t="n"/>
      <c r="BS37" s="186" t="n"/>
      <c r="BT37" s="186" t="n"/>
      <c r="BU37" s="186" t="n"/>
      <c r="BV37" s="186" t="n"/>
      <c r="BW37" s="186" t="n"/>
      <c r="BX37" s="186" t="n"/>
      <c r="BY37" s="186" t="n"/>
      <c r="BZ37" s="189" t="n"/>
      <c r="CA37" s="189" t="n"/>
      <c r="CB37" s="189" t="n"/>
      <c r="CC37" s="190" t="n"/>
      <c r="CD37" s="186" t="n"/>
      <c r="CE37" s="186" t="n"/>
      <c r="CF37" s="186" t="n"/>
      <c r="CG37" s="186" t="n"/>
      <c r="CH37" s="186" t="n"/>
      <c r="CI37" s="191" t="n"/>
      <c r="CJ37" s="192" t="n"/>
      <c r="CK37" s="192" t="n"/>
      <c r="CL37" s="192" t="n"/>
      <c r="CM37" s="192" t="n"/>
    </row>
    <row r="38">
      <c r="A38" s="177" t="n"/>
      <c r="B38" s="178" t="n"/>
      <c r="C38" s="178" t="n"/>
      <c r="D38" s="179" t="n"/>
      <c r="E38" s="180" t="n"/>
      <c r="F38" s="181" t="n"/>
      <c r="G38" s="182" t="n"/>
      <c r="H38" s="105" t="n"/>
      <c r="I38" s="183">
        <f>F38</f>
        <v/>
      </c>
      <c r="J38" s="184" t="n"/>
      <c r="K38" s="185" t="n"/>
      <c r="L38" s="8" t="n"/>
      <c r="M38" s="184">
        <f>L38</f>
        <v/>
      </c>
      <c r="N38" s="71" t="n"/>
      <c r="O38" s="101" t="n"/>
      <c r="P38" s="9">
        <f>I38-M38</f>
        <v/>
      </c>
      <c r="Q38" s="9">
        <f>IF(LEFT(B38,4)&lt;&gt;"    ",0,BN38)</f>
        <v/>
      </c>
      <c r="R38" s="9">
        <f>+P38-Q38</f>
        <v/>
      </c>
      <c r="S38" s="280" t="n"/>
      <c r="T38" s="10" t="n"/>
      <c r="U38" s="23">
        <f>IF(LEFT(B38,4)&lt;&gt;"    ","",IF(M38&lt;&gt;0,X38/M38,0))</f>
        <v/>
      </c>
      <c r="V38" s="11">
        <f>IF(LEFT(B38,4)&lt;&gt;"    ","",U38*I38)</f>
        <v/>
      </c>
      <c r="W38" s="11">
        <f>IF(LEFT(B38,4)&lt;&gt;"    ","",X38+Z38)</f>
        <v/>
      </c>
      <c r="X38" s="8" t="n"/>
      <c r="Y38" s="9">
        <f>IF(LEFT(B38,4)&lt;&gt;"    ",0,IF(P38&lt;0,P38,IF(U38&gt;0.3,W38-X38,0)))</f>
        <v/>
      </c>
      <c r="Z38" s="71">
        <f>Y38</f>
        <v/>
      </c>
      <c r="AA38" s="71" t="n"/>
      <c r="AB38" s="109" t="n"/>
      <c r="AC38" s="9">
        <f>IF(LEFT(B38,4)&lt;&gt;"    ",0,BK38)</f>
        <v/>
      </c>
      <c r="AD38" s="9">
        <f>Z38-AC38</f>
        <v/>
      </c>
      <c r="AE38" s="10" t="n"/>
      <c r="AF38" s="24" t="n"/>
      <c r="AG38" s="11" t="n"/>
      <c r="AH38" s="8" t="n"/>
      <c r="AI38" s="9">
        <f>IF(LEFT(B38,4)&lt;&gt;"    ","",AG38-AH38)</f>
        <v/>
      </c>
      <c r="AJ38" s="9" t="n"/>
      <c r="AK38" s="10" t="n"/>
      <c r="AL38" s="11">
        <f>IF(LEFT(B38,4)&lt;&gt;"    ","",W38-AG38)</f>
        <v/>
      </c>
      <c r="AM38" s="8">
        <f>IF(LEFT(B38,4)&lt;&gt;"    ","",X38-AH38)</f>
        <v/>
      </c>
      <c r="AN38" s="9">
        <f>IF(LEFT(B38,4)&lt;&gt;"    ","",Y38-AI38)</f>
        <v/>
      </c>
      <c r="AO38" s="9">
        <f>IF(LEFT(B38,4)&lt;&gt;"    ","",Z38-AJ38)</f>
        <v/>
      </c>
      <c r="AP38" s="10" t="n"/>
      <c r="AQ38" s="25">
        <f>IF(LEFT(B38,4)&lt;&gt;"    ","",I38-W38)</f>
        <v/>
      </c>
      <c r="AR38" s="25">
        <f>M38-X38</f>
        <v/>
      </c>
      <c r="AS38" s="25">
        <f>IF(LEFT(B38,4)&lt;&gt;"    ","",P38-Z38)</f>
        <v/>
      </c>
      <c r="AT38" s="10" t="n"/>
      <c r="AU38" s="12" t="n"/>
      <c r="AV38" s="12">
        <f>IF(LEFT(B38,4)&lt;&gt;"    ","",IF(W38-AU38&gt;=0,W38-AU38," "))</f>
        <v/>
      </c>
      <c r="AW38" s="12">
        <f>IF(LEFT(B38,4)&lt;&gt;"    ","",IF(AU38-W38&gt;=0,AU38-W38," "))</f>
        <v/>
      </c>
      <c r="AX38" s="186" t="n"/>
      <c r="AY38" s="187" t="n"/>
      <c r="AZ38" s="186" t="n"/>
      <c r="BA38" s="186" t="n"/>
      <c r="BB38" s="188" t="n"/>
      <c r="BC38" s="187" t="n"/>
      <c r="BD38" s="187" t="n"/>
      <c r="BE38" s="186" t="n"/>
      <c r="BF38" s="186" t="n"/>
      <c r="BG38" s="186" t="n"/>
      <c r="BH38" s="186" t="n"/>
      <c r="BI38" s="186" t="n"/>
      <c r="BJ38" s="186" t="n"/>
      <c r="BK38" s="186" t="n"/>
      <c r="BL38" s="186" t="n"/>
      <c r="BM38" s="186" t="n"/>
      <c r="BN38" s="186" t="n"/>
      <c r="BO38" s="186" t="n"/>
      <c r="BP38" s="186" t="n"/>
      <c r="BQ38" s="186" t="n"/>
      <c r="BR38" s="186" t="n"/>
      <c r="BS38" s="186" t="n"/>
      <c r="BT38" s="186" t="n"/>
      <c r="BU38" s="186" t="n"/>
      <c r="BV38" s="186" t="n"/>
      <c r="BW38" s="186" t="n"/>
      <c r="BX38" s="186" t="n"/>
      <c r="BY38" s="186" t="n"/>
      <c r="BZ38" s="189" t="n"/>
      <c r="CA38" s="189" t="n"/>
      <c r="CB38" s="189" t="n"/>
      <c r="CC38" s="190" t="n"/>
      <c r="CD38" s="186" t="n"/>
      <c r="CE38" s="186" t="n"/>
      <c r="CF38" s="186" t="n"/>
      <c r="CG38" s="186" t="n"/>
      <c r="CH38" s="186" t="n"/>
      <c r="CI38" s="191" t="n"/>
      <c r="CJ38" s="192" t="n"/>
      <c r="CK38" s="192" t="n"/>
      <c r="CL38" s="192" t="n"/>
      <c r="CM38" s="192" t="n"/>
    </row>
    <row r="39">
      <c r="A39" s="177" t="n"/>
      <c r="B39" s="178" t="n"/>
      <c r="C39" s="178" t="n"/>
      <c r="D39" s="179" t="n"/>
      <c r="E39" s="180" t="n"/>
      <c r="F39" s="181" t="n"/>
      <c r="G39" s="182" t="n"/>
      <c r="H39" s="105" t="n"/>
      <c r="I39" s="183">
        <f>F39</f>
        <v/>
      </c>
      <c r="J39" s="184" t="n"/>
      <c r="K39" s="185" t="n"/>
      <c r="L39" s="8" t="n"/>
      <c r="M39" s="184">
        <f>L39</f>
        <v/>
      </c>
      <c r="N39" s="71" t="n"/>
      <c r="O39" s="101" t="n"/>
      <c r="P39" s="9">
        <f>I39-M39</f>
        <v/>
      </c>
      <c r="Q39" s="9">
        <f>IF(LEFT(B39,4)&lt;&gt;"    ",0,BN39)</f>
        <v/>
      </c>
      <c r="R39" s="9">
        <f>+P39-Q39</f>
        <v/>
      </c>
      <c r="S39" s="280" t="n"/>
      <c r="T39" s="10" t="n"/>
      <c r="U39" s="23">
        <f>IF(LEFT(B39,4)&lt;&gt;"    ","",IF(M39&lt;&gt;0,X39/M39,0))</f>
        <v/>
      </c>
      <c r="V39" s="11">
        <f>IF(LEFT(B39,4)&lt;&gt;"    ","",U39*I39)</f>
        <v/>
      </c>
      <c r="W39" s="11">
        <f>IF(LEFT(B39,4)&lt;&gt;"    ","",X39+Z39)</f>
        <v/>
      </c>
      <c r="X39" s="8" t="n"/>
      <c r="Y39" s="9">
        <f>IF(LEFT(B39,4)&lt;&gt;"    ",0,IF(P39&lt;0,P39,IF(U39&gt;0.3,W39-X39,0)))</f>
        <v/>
      </c>
      <c r="Z39" s="71">
        <f>Y39</f>
        <v/>
      </c>
      <c r="AA39" s="71" t="n"/>
      <c r="AB39" s="109" t="n"/>
      <c r="AC39" s="9">
        <f>IF(LEFT(B39,4)&lt;&gt;"    ",0,BK39)</f>
        <v/>
      </c>
      <c r="AD39" s="9">
        <f>Z39-AC39</f>
        <v/>
      </c>
      <c r="AE39" s="10" t="n"/>
      <c r="AF39" s="24" t="n"/>
      <c r="AG39" s="11" t="n"/>
      <c r="AH39" s="8" t="n"/>
      <c r="AI39" s="9">
        <f>IF(LEFT(B39,4)&lt;&gt;"    ","",AG39-AH39)</f>
        <v/>
      </c>
      <c r="AJ39" s="9" t="n"/>
      <c r="AK39" s="10" t="n"/>
      <c r="AL39" s="11">
        <f>IF(LEFT(B39,4)&lt;&gt;"    ","",W39-AG39)</f>
        <v/>
      </c>
      <c r="AM39" s="8">
        <f>IF(LEFT(B39,4)&lt;&gt;"    ","",X39-AH39)</f>
        <v/>
      </c>
      <c r="AN39" s="9">
        <f>IF(LEFT(B39,4)&lt;&gt;"    ","",Y39-AI39)</f>
        <v/>
      </c>
      <c r="AO39" s="9">
        <f>IF(LEFT(B39,4)&lt;&gt;"    ","",Z39-AJ39)</f>
        <v/>
      </c>
      <c r="AP39" s="10" t="n"/>
      <c r="AQ39" s="25">
        <f>IF(LEFT(B39,4)&lt;&gt;"    ","",I39-W39)</f>
        <v/>
      </c>
      <c r="AR39" s="25">
        <f>M39-X39</f>
        <v/>
      </c>
      <c r="AS39" s="25">
        <f>IF(LEFT(B39,4)&lt;&gt;"    ","",P39-Z39)</f>
        <v/>
      </c>
      <c r="AT39" s="10" t="n"/>
      <c r="AU39" s="12" t="n"/>
      <c r="AV39" s="12">
        <f>IF(LEFT(B39,4)&lt;&gt;"    ","",IF(W39-AU39&gt;=0,W39-AU39," "))</f>
        <v/>
      </c>
      <c r="AW39" s="12">
        <f>IF(LEFT(B39,4)&lt;&gt;"    ","",IF(AU39-W39&gt;=0,AU39-W39," "))</f>
        <v/>
      </c>
      <c r="AX39" s="186" t="n"/>
      <c r="AY39" s="187" t="n"/>
      <c r="AZ39" s="186" t="n"/>
      <c r="BA39" s="186" t="n"/>
      <c r="BB39" s="188" t="n"/>
      <c r="BC39" s="187" t="n"/>
      <c r="BD39" s="187" t="n"/>
      <c r="BE39" s="186" t="n"/>
      <c r="BF39" s="186" t="n"/>
      <c r="BG39" s="186" t="n"/>
      <c r="BH39" s="186" t="n"/>
      <c r="BI39" s="186" t="n"/>
      <c r="BJ39" s="186" t="n"/>
      <c r="BK39" s="186" t="n"/>
      <c r="BL39" s="186" t="n"/>
      <c r="BM39" s="186" t="n"/>
      <c r="BN39" s="186" t="n"/>
      <c r="BO39" s="186" t="n"/>
      <c r="BP39" s="186" t="n"/>
      <c r="BQ39" s="186" t="n"/>
      <c r="BR39" s="186" t="n"/>
      <c r="BS39" s="186" t="n"/>
      <c r="BT39" s="186" t="n"/>
      <c r="BU39" s="186" t="n"/>
      <c r="BV39" s="186" t="n"/>
      <c r="BW39" s="186" t="n"/>
      <c r="BX39" s="186" t="n"/>
      <c r="BY39" s="186" t="n"/>
      <c r="BZ39" s="189" t="n"/>
      <c r="CA39" s="189" t="n"/>
      <c r="CB39" s="189" t="n"/>
      <c r="CC39" s="190" t="n"/>
      <c r="CD39" s="186" t="n"/>
      <c r="CE39" s="186" t="n"/>
      <c r="CF39" s="186" t="n"/>
      <c r="CG39" s="186" t="n"/>
      <c r="CH39" s="186" t="n"/>
      <c r="CI39" s="191" t="n"/>
      <c r="CJ39" s="192" t="n"/>
      <c r="CK39" s="192" t="n"/>
      <c r="CL39" s="192" t="n"/>
      <c r="CM39" s="192" t="n"/>
    </row>
    <row r="40">
      <c r="A40" s="177" t="n"/>
      <c r="B40" s="178" t="n"/>
      <c r="C40" s="178" t="n"/>
      <c r="D40" s="179" t="n"/>
      <c r="E40" s="180" t="n"/>
      <c r="F40" s="181" t="n"/>
      <c r="G40" s="182" t="n"/>
      <c r="H40" s="105" t="n"/>
      <c r="I40" s="183">
        <f>F40</f>
        <v/>
      </c>
      <c r="J40" s="184" t="n"/>
      <c r="K40" s="185" t="n"/>
      <c r="L40" s="8" t="n"/>
      <c r="M40" s="184">
        <f>L40</f>
        <v/>
      </c>
      <c r="N40" s="71" t="n"/>
      <c r="O40" s="101" t="n"/>
      <c r="P40" s="9">
        <f>I40-M40</f>
        <v/>
      </c>
      <c r="Q40" s="9">
        <f>IF(LEFT(B40,4)&lt;&gt;"    ",0,BN40)</f>
        <v/>
      </c>
      <c r="R40" s="9">
        <f>+P40-Q40</f>
        <v/>
      </c>
      <c r="S40" s="280" t="n"/>
      <c r="T40" s="10" t="n"/>
      <c r="U40" s="23">
        <f>IF(LEFT(B40,4)&lt;&gt;"    ","",IF(M40&lt;&gt;0,X40/M40,0))</f>
        <v/>
      </c>
      <c r="V40" s="11">
        <f>IF(LEFT(B40,4)&lt;&gt;"    ","",U40*I40)</f>
        <v/>
      </c>
      <c r="W40" s="11">
        <f>IF(LEFT(B40,4)&lt;&gt;"    ","",X40+Z40)</f>
        <v/>
      </c>
      <c r="X40" s="8" t="n"/>
      <c r="Y40" s="9">
        <f>IF(LEFT(B40,4)&lt;&gt;"    ",0,IF(P40&lt;0,P40,IF(U40&gt;0.3,W40-X40,0)))</f>
        <v/>
      </c>
      <c r="Z40" s="71">
        <f>Y40</f>
        <v/>
      </c>
      <c r="AA40" s="71" t="n"/>
      <c r="AB40" s="109" t="n"/>
      <c r="AC40" s="9">
        <f>IF(LEFT(B40,4)&lt;&gt;"    ",0,BK40)</f>
        <v/>
      </c>
      <c r="AD40" s="9">
        <f>Z40-AC40</f>
        <v/>
      </c>
      <c r="AE40" s="10" t="n"/>
      <c r="AF40" s="24" t="n"/>
      <c r="AG40" s="11" t="n"/>
      <c r="AH40" s="8" t="n"/>
      <c r="AI40" s="9">
        <f>IF(LEFT(B40,4)&lt;&gt;"    ","",AG40-AH40)</f>
        <v/>
      </c>
      <c r="AJ40" s="9" t="n"/>
      <c r="AK40" s="10" t="n"/>
      <c r="AL40" s="11">
        <f>IF(LEFT(B40,4)&lt;&gt;"    ","",W40-AG40)</f>
        <v/>
      </c>
      <c r="AM40" s="8">
        <f>IF(LEFT(B40,4)&lt;&gt;"    ","",X40-AH40)</f>
        <v/>
      </c>
      <c r="AN40" s="9">
        <f>IF(LEFT(B40,4)&lt;&gt;"    ","",Y40-AI40)</f>
        <v/>
      </c>
      <c r="AO40" s="9">
        <f>IF(LEFT(B40,4)&lt;&gt;"    ","",Z40-AJ40)</f>
        <v/>
      </c>
      <c r="AP40" s="10" t="n"/>
      <c r="AQ40" s="25">
        <f>IF(LEFT(B40,4)&lt;&gt;"    ","",I40-W40)</f>
        <v/>
      </c>
      <c r="AR40" s="25">
        <f>M40-X40</f>
        <v/>
      </c>
      <c r="AS40" s="25">
        <f>IF(LEFT(B40,4)&lt;&gt;"    ","",P40-Z40)</f>
        <v/>
      </c>
      <c r="AT40" s="10" t="n"/>
      <c r="AU40" s="12" t="n"/>
      <c r="AV40" s="12">
        <f>IF(LEFT(B40,4)&lt;&gt;"    ","",IF(W40-AU40&gt;=0,W40-AU40," "))</f>
        <v/>
      </c>
      <c r="AW40" s="12">
        <f>IF(LEFT(B40,4)&lt;&gt;"    ","",IF(AU40-W40&gt;=0,AU40-W40," "))</f>
        <v/>
      </c>
      <c r="AX40" s="186" t="n"/>
      <c r="AY40" s="187" t="n"/>
      <c r="AZ40" s="186" t="n"/>
      <c r="BA40" s="186" t="n"/>
      <c r="BB40" s="188" t="n"/>
      <c r="BC40" s="187" t="n"/>
      <c r="BD40" s="187" t="n"/>
      <c r="BE40" s="186" t="n"/>
      <c r="BF40" s="186" t="n"/>
      <c r="BG40" s="186" t="n"/>
      <c r="BH40" s="186" t="n"/>
      <c r="BI40" s="186" t="n"/>
      <c r="BJ40" s="186" t="n"/>
      <c r="BK40" s="186" t="n"/>
      <c r="BL40" s="186" t="n"/>
      <c r="BM40" s="186" t="n"/>
      <c r="BN40" s="186" t="n"/>
      <c r="BO40" s="186" t="n"/>
      <c r="BP40" s="186" t="n"/>
      <c r="BQ40" s="186" t="n"/>
      <c r="BR40" s="186" t="n"/>
      <c r="BS40" s="186" t="n"/>
      <c r="BT40" s="186" t="n"/>
      <c r="BU40" s="186" t="n"/>
      <c r="BV40" s="186" t="n"/>
      <c r="BW40" s="186" t="n"/>
      <c r="BX40" s="186" t="n"/>
      <c r="BY40" s="186" t="n"/>
      <c r="BZ40" s="189" t="n"/>
      <c r="CA40" s="189" t="n"/>
      <c r="CB40" s="189" t="n"/>
      <c r="CC40" s="190" t="n"/>
      <c r="CD40" s="186" t="n"/>
      <c r="CE40" s="186" t="n"/>
      <c r="CF40" s="186" t="n"/>
      <c r="CG40" s="186" t="n"/>
      <c r="CH40" s="186" t="n"/>
      <c r="CI40" s="191" t="n"/>
      <c r="CJ40" s="192" t="n"/>
      <c r="CK40" s="192" t="n"/>
      <c r="CL40" s="192" t="n"/>
      <c r="CM40" s="192" t="n"/>
    </row>
    <row r="41">
      <c r="A41" s="177" t="n"/>
      <c r="B41" s="178" t="n"/>
      <c r="C41" s="178" t="n"/>
      <c r="D41" s="179" t="n"/>
      <c r="E41" s="180" t="n"/>
      <c r="F41" s="181" t="n"/>
      <c r="G41" s="182" t="n"/>
      <c r="H41" s="105" t="n"/>
      <c r="I41" s="183">
        <f>F41</f>
        <v/>
      </c>
      <c r="J41" s="184" t="n"/>
      <c r="K41" s="185" t="n"/>
      <c r="L41" s="8" t="n"/>
      <c r="M41" s="184">
        <f>L41</f>
        <v/>
      </c>
      <c r="N41" s="71" t="n"/>
      <c r="O41" s="101" t="n"/>
      <c r="P41" s="9">
        <f>I41-M41</f>
        <v/>
      </c>
      <c r="Q41" s="9">
        <f>IF(LEFT(B41,4)&lt;&gt;"    ",0,BN41)</f>
        <v/>
      </c>
      <c r="R41" s="9">
        <f>+P41-Q41</f>
        <v/>
      </c>
      <c r="S41" s="280" t="n"/>
      <c r="T41" s="10" t="n"/>
      <c r="U41" s="23">
        <f>IF(LEFT(B41,4)&lt;&gt;"    ","",IF(M41&lt;&gt;0,X41/M41,0))</f>
        <v/>
      </c>
      <c r="V41" s="11">
        <f>IF(LEFT(B41,4)&lt;&gt;"    ","",U41*I41)</f>
        <v/>
      </c>
      <c r="W41" s="11">
        <f>IF(LEFT(B41,4)&lt;&gt;"    ","",X41+Z41)</f>
        <v/>
      </c>
      <c r="X41" s="8" t="n"/>
      <c r="Y41" s="9">
        <f>IF(LEFT(B41,4)&lt;&gt;"    ",0,IF(P41&lt;0,P41,IF(U41&gt;0.3,W41-X41,0)))</f>
        <v/>
      </c>
      <c r="Z41" s="71">
        <f>Y41</f>
        <v/>
      </c>
      <c r="AA41" s="71" t="n"/>
      <c r="AB41" s="109" t="n"/>
      <c r="AC41" s="9">
        <f>IF(LEFT(B41,4)&lt;&gt;"    ",0,BK41)</f>
        <v/>
      </c>
      <c r="AD41" s="9">
        <f>Z41-AC41</f>
        <v/>
      </c>
      <c r="AE41" s="10" t="n"/>
      <c r="AF41" s="24" t="n"/>
      <c r="AG41" s="11" t="n"/>
      <c r="AH41" s="8" t="n"/>
      <c r="AI41" s="9">
        <f>IF(LEFT(B41,4)&lt;&gt;"    ","",AG41-AH41)</f>
        <v/>
      </c>
      <c r="AJ41" s="9" t="n"/>
      <c r="AK41" s="10" t="n"/>
      <c r="AL41" s="11">
        <f>IF(LEFT(B41,4)&lt;&gt;"    ","",W41-AG41)</f>
        <v/>
      </c>
      <c r="AM41" s="8">
        <f>IF(LEFT(B41,4)&lt;&gt;"    ","",X41-AH41)</f>
        <v/>
      </c>
      <c r="AN41" s="9">
        <f>IF(LEFT(B41,4)&lt;&gt;"    ","",Y41-AI41)</f>
        <v/>
      </c>
      <c r="AO41" s="9">
        <f>IF(LEFT(B41,4)&lt;&gt;"    ","",Z41-AJ41)</f>
        <v/>
      </c>
      <c r="AP41" s="10" t="n"/>
      <c r="AQ41" s="25">
        <f>IF(LEFT(B41,4)&lt;&gt;"    ","",I41-W41)</f>
        <v/>
      </c>
      <c r="AR41" s="25">
        <f>M41-X41</f>
        <v/>
      </c>
      <c r="AS41" s="25">
        <f>IF(LEFT(B41,4)&lt;&gt;"    ","",P41-Z41)</f>
        <v/>
      </c>
      <c r="AT41" s="10" t="n"/>
      <c r="AU41" s="12" t="n"/>
      <c r="AV41" s="12">
        <f>IF(LEFT(B41,4)&lt;&gt;"    ","",IF(W41-AU41&gt;=0,W41-AU41," "))</f>
        <v/>
      </c>
      <c r="AW41" s="12">
        <f>IF(LEFT(B41,4)&lt;&gt;"    ","",IF(AU41-W41&gt;=0,AU41-W41," "))</f>
        <v/>
      </c>
      <c r="AX41" s="186" t="n"/>
      <c r="AY41" s="187" t="n"/>
      <c r="AZ41" s="186" t="n"/>
      <c r="BA41" s="186" t="n"/>
      <c r="BB41" s="188" t="n"/>
      <c r="BC41" s="187" t="n"/>
      <c r="BD41" s="187" t="n"/>
      <c r="BE41" s="186" t="n"/>
      <c r="BF41" s="186" t="n"/>
      <c r="BG41" s="186" t="n"/>
      <c r="BH41" s="186" t="n"/>
      <c r="BI41" s="186" t="n"/>
      <c r="BJ41" s="186" t="n"/>
      <c r="BK41" s="186" t="n"/>
      <c r="BL41" s="186" t="n"/>
      <c r="BM41" s="186" t="n"/>
      <c r="BN41" s="186" t="n"/>
      <c r="BO41" s="186" t="n"/>
      <c r="BP41" s="186" t="n"/>
      <c r="BQ41" s="186" t="n"/>
      <c r="BR41" s="186" t="n"/>
      <c r="BS41" s="186" t="n"/>
      <c r="BT41" s="186" t="n"/>
      <c r="BU41" s="186" t="n"/>
      <c r="BV41" s="186" t="n"/>
      <c r="BW41" s="186" t="n"/>
      <c r="BX41" s="186" t="n"/>
      <c r="BY41" s="186" t="n"/>
      <c r="BZ41" s="189" t="n"/>
      <c r="CA41" s="189" t="n"/>
      <c r="CB41" s="189" t="n"/>
      <c r="CC41" s="190" t="n"/>
      <c r="CD41" s="186" t="n"/>
      <c r="CE41" s="186" t="n"/>
      <c r="CF41" s="186" t="n"/>
      <c r="CG41" s="186" t="n"/>
      <c r="CH41" s="186" t="n"/>
      <c r="CI41" s="191" t="n"/>
      <c r="CJ41" s="192" t="n"/>
      <c r="CK41" s="192" t="n"/>
      <c r="CL41" s="192" t="n"/>
      <c r="CM41" s="192" t="n"/>
    </row>
    <row r="42">
      <c r="A42" s="177" t="n"/>
      <c r="B42" s="178" t="n"/>
      <c r="C42" s="178" t="n"/>
      <c r="D42" s="179" t="n"/>
      <c r="E42" s="180" t="n"/>
      <c r="F42" s="181" t="n"/>
      <c r="G42" s="182" t="n"/>
      <c r="H42" s="105" t="n"/>
      <c r="I42" s="183">
        <f>F42</f>
        <v/>
      </c>
      <c r="J42" s="184" t="n"/>
      <c r="K42" s="185" t="n"/>
      <c r="L42" s="8" t="n"/>
      <c r="M42" s="184">
        <f>L42</f>
        <v/>
      </c>
      <c r="N42" s="71" t="n"/>
      <c r="O42" s="101" t="n"/>
      <c r="P42" s="9">
        <f>I42-M42</f>
        <v/>
      </c>
      <c r="Q42" s="9">
        <f>IF(LEFT(B42,4)&lt;&gt;"    ",0,BN42)</f>
        <v/>
      </c>
      <c r="R42" s="9">
        <f>+P42-Q42</f>
        <v/>
      </c>
      <c r="S42" s="280" t="n"/>
      <c r="T42" s="10" t="n"/>
      <c r="U42" s="23">
        <f>IF(LEFT(B42,4)&lt;&gt;"    ","",IF(M42&lt;&gt;0,X42/M42,0))</f>
        <v/>
      </c>
      <c r="V42" s="11">
        <f>IF(LEFT(B42,4)&lt;&gt;"    ","",U42*I42)</f>
        <v/>
      </c>
      <c r="W42" s="11">
        <f>IF(LEFT(B42,4)&lt;&gt;"    ","",X42+Z42)</f>
        <v/>
      </c>
      <c r="X42" s="8" t="n"/>
      <c r="Y42" s="9">
        <f>IF(LEFT(B42,4)&lt;&gt;"    ",0,IF(P42&lt;0,P42,IF(U42&gt;0.3,W42-X42,0)))</f>
        <v/>
      </c>
      <c r="Z42" s="71">
        <f>Y42</f>
        <v/>
      </c>
      <c r="AA42" s="71" t="n"/>
      <c r="AB42" s="109" t="n"/>
      <c r="AC42" s="9">
        <f>IF(LEFT(B42,4)&lt;&gt;"    ",0,BK42)</f>
        <v/>
      </c>
      <c r="AD42" s="9">
        <f>Z42-AC42</f>
        <v/>
      </c>
      <c r="AE42" s="10" t="n"/>
      <c r="AF42" s="24" t="n"/>
      <c r="AG42" s="11" t="n"/>
      <c r="AH42" s="8" t="n"/>
      <c r="AI42" s="9">
        <f>IF(LEFT(B42,4)&lt;&gt;"    ","",AG42-AH42)</f>
        <v/>
      </c>
      <c r="AJ42" s="9" t="n"/>
      <c r="AK42" s="10" t="n"/>
      <c r="AL42" s="11">
        <f>IF(LEFT(B42,4)&lt;&gt;"    ","",W42-AG42)</f>
        <v/>
      </c>
      <c r="AM42" s="8">
        <f>IF(LEFT(B42,4)&lt;&gt;"    ","",X42-AH42)</f>
        <v/>
      </c>
      <c r="AN42" s="9">
        <f>IF(LEFT(B42,4)&lt;&gt;"    ","",Y42-AI42)</f>
        <v/>
      </c>
      <c r="AO42" s="9">
        <f>IF(LEFT(B42,4)&lt;&gt;"    ","",Z42-AJ42)</f>
        <v/>
      </c>
      <c r="AP42" s="10" t="n"/>
      <c r="AQ42" s="25">
        <f>IF(LEFT(B42,4)&lt;&gt;"    ","",I42-W42)</f>
        <v/>
      </c>
      <c r="AR42" s="25">
        <f>M42-X42</f>
        <v/>
      </c>
      <c r="AS42" s="25">
        <f>IF(LEFT(B42,4)&lt;&gt;"    ","",P42-Z42)</f>
        <v/>
      </c>
      <c r="AT42" s="10" t="n"/>
      <c r="AU42" s="12" t="n"/>
      <c r="AV42" s="12">
        <f>IF(LEFT(B42,4)&lt;&gt;"    ","",IF(W42-AU42&gt;=0,W42-AU42," "))</f>
        <v/>
      </c>
      <c r="AW42" s="12">
        <f>IF(LEFT(B42,4)&lt;&gt;"    ","",IF(AU42-W42&gt;=0,AU42-W42," "))</f>
        <v/>
      </c>
      <c r="AX42" s="186" t="n"/>
      <c r="AY42" s="187" t="n"/>
      <c r="AZ42" s="186" t="n"/>
      <c r="BA42" s="186" t="n"/>
      <c r="BB42" s="188" t="n"/>
      <c r="BC42" s="187" t="n"/>
      <c r="BD42" s="187" t="n"/>
      <c r="BE42" s="186" t="n"/>
      <c r="BF42" s="186" t="n"/>
      <c r="BG42" s="186" t="n"/>
      <c r="BH42" s="186" t="n"/>
      <c r="BI42" s="186" t="n"/>
      <c r="BJ42" s="186" t="n"/>
      <c r="BK42" s="186" t="n"/>
      <c r="BL42" s="186" t="n"/>
      <c r="BM42" s="186" t="n"/>
      <c r="BN42" s="186" t="n"/>
      <c r="BO42" s="186" t="n"/>
      <c r="BP42" s="186" t="n"/>
      <c r="BQ42" s="186" t="n"/>
      <c r="BR42" s="186" t="n"/>
      <c r="BS42" s="186" t="n"/>
      <c r="BT42" s="186" t="n"/>
      <c r="BU42" s="186" t="n"/>
      <c r="BV42" s="186" t="n"/>
      <c r="BW42" s="186" t="n"/>
      <c r="BX42" s="186" t="n"/>
      <c r="BY42" s="186" t="n"/>
      <c r="BZ42" s="189" t="n"/>
      <c r="CA42" s="189" t="n"/>
      <c r="CB42" s="189" t="n"/>
      <c r="CC42" s="190" t="n"/>
      <c r="CD42" s="186" t="n"/>
      <c r="CE42" s="186" t="n"/>
      <c r="CF42" s="186" t="n"/>
      <c r="CG42" s="186" t="n"/>
      <c r="CH42" s="186" t="n"/>
      <c r="CI42" s="191" t="n"/>
      <c r="CJ42" s="192" t="n"/>
      <c r="CK42" s="192" t="n"/>
      <c r="CL42" s="192" t="n"/>
      <c r="CM42" s="192" t="n"/>
    </row>
    <row r="43">
      <c r="A43" s="177" t="n"/>
      <c r="B43" s="178" t="n"/>
      <c r="C43" s="178" t="n"/>
      <c r="D43" s="179" t="n"/>
      <c r="E43" s="180" t="n"/>
      <c r="F43" s="181" t="n"/>
      <c r="G43" s="182" t="n"/>
      <c r="H43" s="105" t="n"/>
      <c r="I43" s="183">
        <f>F43</f>
        <v/>
      </c>
      <c r="J43" s="184" t="n"/>
      <c r="K43" s="185" t="n"/>
      <c r="L43" s="8" t="n"/>
      <c r="M43" s="184">
        <f>L43</f>
        <v/>
      </c>
      <c r="N43" s="71" t="n"/>
      <c r="O43" s="101" t="n"/>
      <c r="P43" s="9">
        <f>I43-M43</f>
        <v/>
      </c>
      <c r="Q43" s="9">
        <f>IF(LEFT(B43,4)&lt;&gt;"    ",0,BN43)</f>
        <v/>
      </c>
      <c r="R43" s="9">
        <f>+P43-Q43</f>
        <v/>
      </c>
      <c r="S43" s="280" t="n"/>
      <c r="T43" s="10" t="n"/>
      <c r="U43" s="23">
        <f>IF(LEFT(B43,4)&lt;&gt;"    ","",IF(M43&lt;&gt;0,X43/M43,0))</f>
        <v/>
      </c>
      <c r="V43" s="11">
        <f>IF(LEFT(B43,4)&lt;&gt;"    ","",U43*I43)</f>
        <v/>
      </c>
      <c r="W43" s="11">
        <f>IF(LEFT(B43,4)&lt;&gt;"    ","",X43+Z43)</f>
        <v/>
      </c>
      <c r="X43" s="8" t="n"/>
      <c r="Y43" s="9">
        <f>IF(LEFT(B43,4)&lt;&gt;"    ",0,IF(P43&lt;0,P43,IF(U43&gt;0.3,W43-X43,0)))</f>
        <v/>
      </c>
      <c r="Z43" s="71">
        <f>Y43</f>
        <v/>
      </c>
      <c r="AA43" s="71" t="n"/>
      <c r="AB43" s="109" t="n"/>
      <c r="AC43" s="9">
        <f>IF(LEFT(B43,4)&lt;&gt;"    ",0,BK43)</f>
        <v/>
      </c>
      <c r="AD43" s="9">
        <f>Z43-AC43</f>
        <v/>
      </c>
      <c r="AE43" s="10" t="n"/>
      <c r="AF43" s="24" t="n"/>
      <c r="AG43" s="11" t="n"/>
      <c r="AH43" s="8" t="n"/>
      <c r="AI43" s="9">
        <f>IF(LEFT(B43,4)&lt;&gt;"    ","",AG43-AH43)</f>
        <v/>
      </c>
      <c r="AJ43" s="9" t="n"/>
      <c r="AK43" s="10" t="n"/>
      <c r="AL43" s="11">
        <f>IF(LEFT(B43,4)&lt;&gt;"    ","",W43-AG43)</f>
        <v/>
      </c>
      <c r="AM43" s="8">
        <f>IF(LEFT(B43,4)&lt;&gt;"    ","",X43-AH43)</f>
        <v/>
      </c>
      <c r="AN43" s="9">
        <f>IF(LEFT(B43,4)&lt;&gt;"    ","",Y43-AI43)</f>
        <v/>
      </c>
      <c r="AO43" s="9">
        <f>IF(LEFT(B43,4)&lt;&gt;"    ","",Z43-AJ43)</f>
        <v/>
      </c>
      <c r="AP43" s="10" t="n"/>
      <c r="AQ43" s="25">
        <f>IF(LEFT(B43,4)&lt;&gt;"    ","",I43-W43)</f>
        <v/>
      </c>
      <c r="AR43" s="25">
        <f>M43-X43</f>
        <v/>
      </c>
      <c r="AS43" s="25">
        <f>IF(LEFT(B43,4)&lt;&gt;"    ","",P43-Z43)</f>
        <v/>
      </c>
      <c r="AT43" s="10" t="n"/>
      <c r="AU43" s="12" t="n"/>
      <c r="AV43" s="12">
        <f>IF(LEFT(B43,4)&lt;&gt;"    ","",IF(W43-AU43&gt;=0,W43-AU43," "))</f>
        <v/>
      </c>
      <c r="AW43" s="12">
        <f>IF(LEFT(B43,4)&lt;&gt;"    ","",IF(AU43-W43&gt;=0,AU43-W43," "))</f>
        <v/>
      </c>
      <c r="AX43" s="186" t="n"/>
      <c r="AY43" s="187" t="n"/>
      <c r="AZ43" s="186" t="n"/>
      <c r="BA43" s="186" t="n"/>
      <c r="BB43" s="188" t="n"/>
      <c r="BC43" s="187" t="n"/>
      <c r="BD43" s="187" t="n"/>
      <c r="BE43" s="186" t="n"/>
      <c r="BF43" s="186" t="n"/>
      <c r="BG43" s="186" t="n"/>
      <c r="BH43" s="186" t="n"/>
      <c r="BI43" s="186" t="n"/>
      <c r="BJ43" s="186" t="n"/>
      <c r="BK43" s="186" t="n"/>
      <c r="BL43" s="186" t="n"/>
      <c r="BM43" s="186" t="n"/>
      <c r="BN43" s="186" t="n"/>
      <c r="BO43" s="186" t="n"/>
      <c r="BP43" s="186" t="n"/>
      <c r="BQ43" s="186" t="n"/>
      <c r="BR43" s="186" t="n"/>
      <c r="BS43" s="186" t="n"/>
      <c r="BT43" s="186" t="n"/>
      <c r="BU43" s="186" t="n"/>
      <c r="BV43" s="186" t="n"/>
      <c r="BW43" s="186" t="n"/>
      <c r="BX43" s="186" t="n"/>
      <c r="BY43" s="186" t="n"/>
      <c r="BZ43" s="189" t="n"/>
      <c r="CA43" s="189" t="n"/>
      <c r="CB43" s="189" t="n"/>
      <c r="CC43" s="190" t="n"/>
      <c r="CD43" s="186" t="n"/>
      <c r="CE43" s="186" t="n"/>
      <c r="CF43" s="186" t="n"/>
      <c r="CG43" s="186" t="n"/>
      <c r="CH43" s="186" t="n"/>
      <c r="CI43" s="191" t="n"/>
      <c r="CJ43" s="192" t="n"/>
      <c r="CK43" s="192" t="n"/>
      <c r="CL43" s="192" t="n"/>
      <c r="CM43" s="192" t="n"/>
    </row>
    <row r="44">
      <c r="A44" s="177" t="n"/>
      <c r="B44" s="178" t="n"/>
      <c r="C44" s="178" t="n"/>
      <c r="D44" s="179" t="n"/>
      <c r="E44" s="180" t="n"/>
      <c r="F44" s="181" t="n"/>
      <c r="G44" s="182" t="n"/>
      <c r="H44" s="105" t="n"/>
      <c r="I44" s="183">
        <f>F44</f>
        <v/>
      </c>
      <c r="J44" s="184" t="n"/>
      <c r="K44" s="185" t="n"/>
      <c r="L44" s="8" t="n"/>
      <c r="M44" s="184">
        <f>L44</f>
        <v/>
      </c>
      <c r="N44" s="71" t="n"/>
      <c r="O44" s="101" t="n"/>
      <c r="P44" s="9">
        <f>I44-M44</f>
        <v/>
      </c>
      <c r="Q44" s="9">
        <f>IF(LEFT(B44,4)&lt;&gt;"    ",0,BN44)</f>
        <v/>
      </c>
      <c r="R44" s="9">
        <f>+P44-Q44</f>
        <v/>
      </c>
      <c r="S44" s="280" t="n"/>
      <c r="T44" s="10" t="n"/>
      <c r="U44" s="23">
        <f>IF(LEFT(B44,4)&lt;&gt;"    ","",IF(M44&lt;&gt;0,X44/M44,0))</f>
        <v/>
      </c>
      <c r="V44" s="11">
        <f>IF(LEFT(B44,4)&lt;&gt;"    ","",U44*I44)</f>
        <v/>
      </c>
      <c r="W44" s="11">
        <f>IF(LEFT(B44,4)&lt;&gt;"    ","",X44+Z44)</f>
        <v/>
      </c>
      <c r="X44" s="8" t="n"/>
      <c r="Y44" s="9">
        <f>IF(LEFT(B44,4)&lt;&gt;"    ",0,IF(P44&lt;0,P44,IF(U44&gt;0.3,W44-X44,0)))</f>
        <v/>
      </c>
      <c r="Z44" s="71">
        <f>Y44</f>
        <v/>
      </c>
      <c r="AA44" s="71" t="n"/>
      <c r="AB44" s="109" t="n"/>
      <c r="AC44" s="9">
        <f>IF(LEFT(B44,4)&lt;&gt;"    ",0,BK44)</f>
        <v/>
      </c>
      <c r="AD44" s="9">
        <f>Z44-AC44</f>
        <v/>
      </c>
      <c r="AE44" s="10" t="n"/>
      <c r="AF44" s="24" t="n"/>
      <c r="AG44" s="11" t="n"/>
      <c r="AH44" s="8" t="n"/>
      <c r="AI44" s="9">
        <f>IF(LEFT(B44,4)&lt;&gt;"    ","",AG44-AH44)</f>
        <v/>
      </c>
      <c r="AJ44" s="9" t="n"/>
      <c r="AK44" s="10" t="n"/>
      <c r="AL44" s="11">
        <f>IF(LEFT(B44,4)&lt;&gt;"    ","",W44-AG44)</f>
        <v/>
      </c>
      <c r="AM44" s="8">
        <f>IF(LEFT(B44,4)&lt;&gt;"    ","",X44-AH44)</f>
        <v/>
      </c>
      <c r="AN44" s="9">
        <f>IF(LEFT(B44,4)&lt;&gt;"    ","",Y44-AI44)</f>
        <v/>
      </c>
      <c r="AO44" s="9">
        <f>IF(LEFT(B44,4)&lt;&gt;"    ","",Z44-AJ44)</f>
        <v/>
      </c>
      <c r="AP44" s="10" t="n"/>
      <c r="AQ44" s="25">
        <f>IF(LEFT(B44,4)&lt;&gt;"    ","",I44-W44)</f>
        <v/>
      </c>
      <c r="AR44" s="25">
        <f>M44-X44</f>
        <v/>
      </c>
      <c r="AS44" s="25">
        <f>IF(LEFT(B44,4)&lt;&gt;"    ","",P44-Z44)</f>
        <v/>
      </c>
      <c r="AT44" s="10" t="n"/>
      <c r="AU44" s="12" t="n"/>
      <c r="AV44" s="12">
        <f>IF(LEFT(B44,4)&lt;&gt;"    ","",IF(W44-AU44&gt;=0,W44-AU44," "))</f>
        <v/>
      </c>
      <c r="AW44" s="12">
        <f>IF(LEFT(B44,4)&lt;&gt;"    ","",IF(AU44-W44&gt;=0,AU44-W44," "))</f>
        <v/>
      </c>
      <c r="AX44" s="186" t="n"/>
      <c r="AY44" s="187" t="n"/>
      <c r="AZ44" s="186" t="n"/>
      <c r="BA44" s="186" t="n"/>
      <c r="BB44" s="188" t="n"/>
      <c r="BC44" s="187" t="n"/>
      <c r="BD44" s="187" t="n"/>
      <c r="BE44" s="186" t="n"/>
      <c r="BF44" s="186" t="n"/>
      <c r="BG44" s="186" t="n"/>
      <c r="BH44" s="186" t="n"/>
      <c r="BI44" s="186" t="n"/>
      <c r="BJ44" s="186" t="n"/>
      <c r="BK44" s="186" t="n"/>
      <c r="BL44" s="186" t="n"/>
      <c r="BM44" s="186" t="n"/>
      <c r="BN44" s="186" t="n"/>
      <c r="BO44" s="186" t="n"/>
      <c r="BP44" s="186" t="n"/>
      <c r="BQ44" s="186" t="n"/>
      <c r="BR44" s="186" t="n"/>
      <c r="BS44" s="186" t="n"/>
      <c r="BT44" s="186" t="n"/>
      <c r="BU44" s="186" t="n"/>
      <c r="BV44" s="186" t="n"/>
      <c r="BW44" s="186" t="n"/>
      <c r="BX44" s="186" t="n"/>
      <c r="BY44" s="186" t="n"/>
      <c r="BZ44" s="189" t="n"/>
      <c r="CA44" s="189" t="n"/>
      <c r="CB44" s="189" t="n"/>
      <c r="CC44" s="190" t="n"/>
      <c r="CD44" s="186" t="n"/>
      <c r="CE44" s="186" t="n"/>
      <c r="CF44" s="186" t="n"/>
      <c r="CG44" s="186" t="n"/>
      <c r="CH44" s="186" t="n"/>
      <c r="CI44" s="191" t="n"/>
      <c r="CJ44" s="192" t="n"/>
      <c r="CK44" s="192" t="n"/>
      <c r="CL44" s="192" t="n"/>
      <c r="CM44" s="192" t="n"/>
    </row>
    <row r="45">
      <c r="A45" s="177" t="n"/>
      <c r="B45" s="178" t="n"/>
      <c r="C45" s="178" t="n"/>
      <c r="D45" s="179" t="n"/>
      <c r="E45" s="180" t="n"/>
      <c r="F45" s="181" t="n"/>
      <c r="G45" s="182" t="n"/>
      <c r="H45" s="105" t="n"/>
      <c r="I45" s="183">
        <f>F45</f>
        <v/>
      </c>
      <c r="J45" s="184" t="n"/>
      <c r="K45" s="185" t="n"/>
      <c r="L45" s="8" t="n"/>
      <c r="M45" s="184">
        <f>L45</f>
        <v/>
      </c>
      <c r="N45" s="71" t="n"/>
      <c r="O45" s="101" t="n"/>
      <c r="P45" s="9">
        <f>I45-M45</f>
        <v/>
      </c>
      <c r="Q45" s="9">
        <f>IF(LEFT(B45,4)&lt;&gt;"    ",0,BN45)</f>
        <v/>
      </c>
      <c r="R45" s="9">
        <f>+P45-Q45</f>
        <v/>
      </c>
      <c r="S45" s="280" t="n"/>
      <c r="T45" s="10" t="n"/>
      <c r="U45" s="23">
        <f>IF(LEFT(B45,4)&lt;&gt;"    ","",IF(M45&lt;&gt;0,X45/M45,0))</f>
        <v/>
      </c>
      <c r="V45" s="11">
        <f>IF(LEFT(B45,4)&lt;&gt;"    ","",U45*I45)</f>
        <v/>
      </c>
      <c r="W45" s="11">
        <f>IF(LEFT(B45,4)&lt;&gt;"    ","",X45+Z45)</f>
        <v/>
      </c>
      <c r="X45" s="8" t="n"/>
      <c r="Y45" s="9">
        <f>IF(LEFT(B45,4)&lt;&gt;"    ",0,IF(P45&lt;0,P45,IF(U45&gt;0.3,W45-X45,0)))</f>
        <v/>
      </c>
      <c r="Z45" s="71">
        <f>Y45</f>
        <v/>
      </c>
      <c r="AA45" s="71" t="n"/>
      <c r="AB45" s="109" t="n"/>
      <c r="AC45" s="9">
        <f>IF(LEFT(B45,4)&lt;&gt;"    ",0,BK45)</f>
        <v/>
      </c>
      <c r="AD45" s="9">
        <f>Z45-AC45</f>
        <v/>
      </c>
      <c r="AE45" s="10" t="n"/>
      <c r="AF45" s="24" t="n"/>
      <c r="AG45" s="11" t="n"/>
      <c r="AH45" s="8" t="n"/>
      <c r="AI45" s="9">
        <f>IF(LEFT(B45,4)&lt;&gt;"    ","",AG45-AH45)</f>
        <v/>
      </c>
      <c r="AJ45" s="9" t="n"/>
      <c r="AK45" s="10" t="n"/>
      <c r="AL45" s="11">
        <f>IF(LEFT(B45,4)&lt;&gt;"    ","",W45-AG45)</f>
        <v/>
      </c>
      <c r="AM45" s="8">
        <f>IF(LEFT(B45,4)&lt;&gt;"    ","",X45-AH45)</f>
        <v/>
      </c>
      <c r="AN45" s="9">
        <f>IF(LEFT(B45,4)&lt;&gt;"    ","",Y45-AI45)</f>
        <v/>
      </c>
      <c r="AO45" s="9">
        <f>IF(LEFT(B45,4)&lt;&gt;"    ","",Z45-AJ45)</f>
        <v/>
      </c>
      <c r="AP45" s="10" t="n"/>
      <c r="AQ45" s="25">
        <f>IF(LEFT(B45,4)&lt;&gt;"    ","",I45-W45)</f>
        <v/>
      </c>
      <c r="AR45" s="25">
        <f>M45-X45</f>
        <v/>
      </c>
      <c r="AS45" s="25">
        <f>IF(LEFT(B45,4)&lt;&gt;"    ","",P45-Z45)</f>
        <v/>
      </c>
      <c r="AT45" s="10" t="n"/>
      <c r="AU45" s="12" t="n"/>
      <c r="AV45" s="12">
        <f>IF(LEFT(B45,4)&lt;&gt;"    ","",IF(W45-AU45&gt;=0,W45-AU45," "))</f>
        <v/>
      </c>
      <c r="AW45" s="12">
        <f>IF(LEFT(B45,4)&lt;&gt;"    ","",IF(AU45-W45&gt;=0,AU45-W45," "))</f>
        <v/>
      </c>
      <c r="AX45" s="186" t="n"/>
      <c r="AY45" s="187" t="n"/>
      <c r="AZ45" s="186" t="n"/>
      <c r="BA45" s="186" t="n"/>
      <c r="BB45" s="188" t="n"/>
      <c r="BC45" s="187" t="n"/>
      <c r="BD45" s="187" t="n"/>
      <c r="BE45" s="186" t="n"/>
      <c r="BF45" s="186" t="n"/>
      <c r="BG45" s="186" t="n"/>
      <c r="BH45" s="186" t="n"/>
      <c r="BI45" s="186" t="n"/>
      <c r="BJ45" s="186" t="n"/>
      <c r="BK45" s="186" t="n"/>
      <c r="BL45" s="186" t="n"/>
      <c r="BM45" s="186" t="n"/>
      <c r="BN45" s="186" t="n"/>
      <c r="BO45" s="186" t="n"/>
      <c r="BP45" s="186" t="n"/>
      <c r="BQ45" s="186" t="n"/>
      <c r="BR45" s="186" t="n"/>
      <c r="BS45" s="186" t="n"/>
      <c r="BT45" s="186" t="n"/>
      <c r="BU45" s="186" t="n"/>
      <c r="BV45" s="186" t="n"/>
      <c r="BW45" s="186" t="n"/>
      <c r="BX45" s="186" t="n"/>
      <c r="BY45" s="186" t="n"/>
      <c r="BZ45" s="189" t="n"/>
      <c r="CA45" s="189" t="n"/>
      <c r="CB45" s="189" t="n"/>
      <c r="CC45" s="190" t="n"/>
      <c r="CD45" s="186" t="n"/>
      <c r="CE45" s="186" t="n"/>
      <c r="CF45" s="186" t="n"/>
      <c r="CG45" s="186" t="n"/>
      <c r="CH45" s="186" t="n"/>
      <c r="CI45" s="191" t="n"/>
      <c r="CJ45" s="192" t="n"/>
      <c r="CK45" s="192" t="n"/>
      <c r="CL45" s="192" t="n"/>
      <c r="CM45" s="192" t="n"/>
    </row>
    <row r="46">
      <c r="A46" s="177" t="n"/>
      <c r="B46" s="178" t="n"/>
      <c r="C46" s="178" t="n"/>
      <c r="D46" s="179" t="n"/>
      <c r="E46" s="180" t="n"/>
      <c r="F46" s="181" t="n"/>
      <c r="G46" s="182" t="n"/>
      <c r="H46" s="105" t="n"/>
      <c r="I46" s="183">
        <f>F46</f>
        <v/>
      </c>
      <c r="J46" s="184" t="n"/>
      <c r="K46" s="185" t="n"/>
      <c r="L46" s="8" t="n"/>
      <c r="M46" s="184">
        <f>L46</f>
        <v/>
      </c>
      <c r="N46" s="71" t="n"/>
      <c r="O46" s="101" t="n"/>
      <c r="P46" s="9">
        <f>I46-M46</f>
        <v/>
      </c>
      <c r="Q46" s="9">
        <f>IF(LEFT(B46,4)&lt;&gt;"    ",0,BN46)</f>
        <v/>
      </c>
      <c r="R46" s="9">
        <f>+P46-Q46</f>
        <v/>
      </c>
      <c r="S46" s="280" t="n"/>
      <c r="T46" s="10" t="n"/>
      <c r="U46" s="23">
        <f>IF(LEFT(B46,4)&lt;&gt;"    ","",IF(M46&lt;&gt;0,X46/M46,0))</f>
        <v/>
      </c>
      <c r="V46" s="11">
        <f>IF(LEFT(B46,4)&lt;&gt;"    ","",U46*I46)</f>
        <v/>
      </c>
      <c r="W46" s="11">
        <f>IF(LEFT(B46,4)&lt;&gt;"    ","",X46+Z46)</f>
        <v/>
      </c>
      <c r="X46" s="8" t="n"/>
      <c r="Y46" s="9">
        <f>IF(LEFT(B46,4)&lt;&gt;"    ",0,IF(P46&lt;0,P46,IF(U46&gt;0.3,W46-X46,0)))</f>
        <v/>
      </c>
      <c r="Z46" s="71">
        <f>Y46</f>
        <v/>
      </c>
      <c r="AA46" s="71" t="n"/>
      <c r="AB46" s="109" t="n"/>
      <c r="AC46" s="9">
        <f>IF(LEFT(B46,4)&lt;&gt;"    ",0,BK46)</f>
        <v/>
      </c>
      <c r="AD46" s="9">
        <f>Z46-AC46</f>
        <v/>
      </c>
      <c r="AE46" s="10" t="n"/>
      <c r="AF46" s="24" t="n"/>
      <c r="AG46" s="11" t="n"/>
      <c r="AH46" s="8" t="n"/>
      <c r="AI46" s="9">
        <f>IF(LEFT(B46,4)&lt;&gt;"    ","",AG46-AH46)</f>
        <v/>
      </c>
      <c r="AJ46" s="9" t="n"/>
      <c r="AK46" s="10" t="n"/>
      <c r="AL46" s="11">
        <f>IF(LEFT(B46,4)&lt;&gt;"    ","",W46-AG46)</f>
        <v/>
      </c>
      <c r="AM46" s="8">
        <f>IF(LEFT(B46,4)&lt;&gt;"    ","",X46-AH46)</f>
        <v/>
      </c>
      <c r="AN46" s="9">
        <f>IF(LEFT(B46,4)&lt;&gt;"    ","",Y46-AI46)</f>
        <v/>
      </c>
      <c r="AO46" s="9">
        <f>IF(LEFT(B46,4)&lt;&gt;"    ","",Z46-AJ46)</f>
        <v/>
      </c>
      <c r="AP46" s="10" t="n"/>
      <c r="AQ46" s="25">
        <f>IF(LEFT(B46,4)&lt;&gt;"    ","",I46-W46)</f>
        <v/>
      </c>
      <c r="AR46" s="25">
        <f>M46-X46</f>
        <v/>
      </c>
      <c r="AS46" s="25">
        <f>IF(LEFT(B46,4)&lt;&gt;"    ","",P46-Z46)</f>
        <v/>
      </c>
      <c r="AT46" s="10" t="n"/>
      <c r="AU46" s="12" t="n"/>
      <c r="AV46" s="12">
        <f>IF(LEFT(B46,4)&lt;&gt;"    ","",IF(W46-AU46&gt;=0,W46-AU46," "))</f>
        <v/>
      </c>
      <c r="AW46" s="12">
        <f>IF(LEFT(B46,4)&lt;&gt;"    ","",IF(AU46-W46&gt;=0,AU46-W46," "))</f>
        <v/>
      </c>
      <c r="AX46" s="186" t="n"/>
      <c r="AY46" s="187" t="n"/>
      <c r="AZ46" s="186" t="n"/>
      <c r="BA46" s="186" t="n"/>
      <c r="BB46" s="188" t="n"/>
      <c r="BC46" s="187" t="n"/>
      <c r="BD46" s="187" t="n"/>
      <c r="BE46" s="186" t="n"/>
      <c r="BF46" s="186" t="n"/>
      <c r="BG46" s="186" t="n"/>
      <c r="BH46" s="186" t="n"/>
      <c r="BI46" s="186" t="n"/>
      <c r="BJ46" s="186" t="n"/>
      <c r="BK46" s="186" t="n"/>
      <c r="BL46" s="186" t="n"/>
      <c r="BM46" s="186" t="n"/>
      <c r="BN46" s="186" t="n"/>
      <c r="BO46" s="186" t="n"/>
      <c r="BP46" s="186" t="n"/>
      <c r="BQ46" s="186" t="n"/>
      <c r="BR46" s="186" t="n"/>
      <c r="BS46" s="186" t="n"/>
      <c r="BT46" s="186" t="n"/>
      <c r="BU46" s="186" t="n"/>
      <c r="BV46" s="186" t="n"/>
      <c r="BW46" s="186" t="n"/>
      <c r="BX46" s="186" t="n"/>
      <c r="BY46" s="186" t="n"/>
      <c r="BZ46" s="189" t="n"/>
      <c r="CA46" s="189" t="n"/>
      <c r="CB46" s="189" t="n"/>
      <c r="CC46" s="190" t="n"/>
      <c r="CD46" s="186" t="n"/>
      <c r="CE46" s="186" t="n"/>
      <c r="CF46" s="186" t="n"/>
      <c r="CG46" s="186" t="n"/>
      <c r="CH46" s="186" t="n"/>
      <c r="CI46" s="191" t="n"/>
      <c r="CJ46" s="192" t="n"/>
      <c r="CK46" s="192" t="n"/>
      <c r="CL46" s="192" t="n"/>
      <c r="CM46" s="192" t="n"/>
    </row>
    <row r="47">
      <c r="A47" s="177" t="n"/>
      <c r="B47" s="178" t="n"/>
      <c r="C47" s="178" t="n"/>
      <c r="D47" s="179" t="n"/>
      <c r="E47" s="180" t="n"/>
      <c r="F47" s="181" t="n"/>
      <c r="G47" s="182" t="n"/>
      <c r="H47" s="105" t="n"/>
      <c r="I47" s="183">
        <f>F47</f>
        <v/>
      </c>
      <c r="J47" s="184" t="n"/>
      <c r="K47" s="185" t="n"/>
      <c r="L47" s="8" t="n"/>
      <c r="M47" s="184">
        <f>L47</f>
        <v/>
      </c>
      <c r="N47" s="184" t="n"/>
      <c r="O47" s="185" t="n"/>
      <c r="P47" s="9">
        <f>I47-M47</f>
        <v/>
      </c>
      <c r="Q47" s="9">
        <f>IF(LEFT(B47,4)&lt;&gt;"    ",0,BN47)</f>
        <v/>
      </c>
      <c r="R47" s="9">
        <f>+P47-Q47</f>
        <v/>
      </c>
      <c r="S47" s="280" t="n"/>
      <c r="T47" s="10" t="n"/>
      <c r="U47" s="23">
        <f>IF(LEFT(B47,4)&lt;&gt;"    ","",IF(M47&lt;&gt;0,X47/M47,0))</f>
        <v/>
      </c>
      <c r="V47" s="11">
        <f>IF(LEFT(B47,4)&lt;&gt;"    ","",U47*I47)</f>
        <v/>
      </c>
      <c r="W47" s="11">
        <f>IF(LEFT(B47,4)&lt;&gt;"    ","",X47+Z47)</f>
        <v/>
      </c>
      <c r="X47" s="8" t="n"/>
      <c r="Y47" s="9">
        <f>IF(LEFT(B47,4)&lt;&gt;"    ",0,IF(P47&lt;0,P47,IF(U47&gt;0.3,W47-X47,0)))</f>
        <v/>
      </c>
      <c r="Z47" s="71">
        <f>Y47</f>
        <v/>
      </c>
      <c r="AA47" s="71" t="n"/>
      <c r="AB47" s="109" t="n"/>
      <c r="AC47" s="9">
        <f>IF(LEFT(B47,4)&lt;&gt;"    ",0,BK47)</f>
        <v/>
      </c>
      <c r="AD47" s="9">
        <f>Z47-AC47</f>
        <v/>
      </c>
      <c r="AE47" s="10" t="n"/>
      <c r="AF47" s="24" t="n"/>
      <c r="AG47" s="11" t="n"/>
      <c r="AH47" s="8" t="n"/>
      <c r="AI47" s="9">
        <f>IF(LEFT(B47,4)&lt;&gt;"    ","",AG47-AH47)</f>
        <v/>
      </c>
      <c r="AJ47" s="9" t="n"/>
      <c r="AK47" s="10" t="n"/>
      <c r="AL47" s="11">
        <f>IF(LEFT(B47,4)&lt;&gt;"    ","",W47-AG47)</f>
        <v/>
      </c>
      <c r="AM47" s="8">
        <f>IF(LEFT(B47,4)&lt;&gt;"    ","",X47-AH47)</f>
        <v/>
      </c>
      <c r="AN47" s="9">
        <f>IF(LEFT(B47,4)&lt;&gt;"    ","",Y47-AI47)</f>
        <v/>
      </c>
      <c r="AO47" s="9">
        <f>IF(LEFT(B47,4)&lt;&gt;"    ","",Z47-AJ47)</f>
        <v/>
      </c>
      <c r="AP47" s="10" t="n"/>
      <c r="AQ47" s="25">
        <f>IF(LEFT(B47,4)&lt;&gt;"    ","",I47-W47)</f>
        <v/>
      </c>
      <c r="AR47" s="25">
        <f>M47-X47</f>
        <v/>
      </c>
      <c r="AS47" s="25">
        <f>IF(LEFT(B47,4)&lt;&gt;"    ","",P47-Z47)</f>
        <v/>
      </c>
      <c r="AT47" s="10" t="n"/>
      <c r="AU47" s="12" t="n"/>
      <c r="AV47" s="12">
        <f>IF(LEFT(B47,4)&lt;&gt;"    ","",IF(W47-AU47&gt;=0,W47-AU47," "))</f>
        <v/>
      </c>
      <c r="AW47" s="12">
        <f>IF(LEFT(B47,4)&lt;&gt;"    ","",IF(AU47-W47&gt;=0,AU47-W47," "))</f>
        <v/>
      </c>
      <c r="AX47" s="186" t="n"/>
      <c r="AY47" s="187" t="n"/>
      <c r="AZ47" s="186" t="n"/>
      <c r="BA47" s="186" t="n"/>
      <c r="BB47" s="188" t="n"/>
      <c r="BC47" s="187" t="n"/>
      <c r="BD47" s="187" t="n"/>
      <c r="BE47" s="186" t="n"/>
      <c r="BF47" s="186" t="n"/>
      <c r="BG47" s="186" t="n"/>
      <c r="BH47" s="186" t="n"/>
      <c r="BI47" s="186" t="n"/>
      <c r="BJ47" s="186" t="n"/>
      <c r="BK47" s="186" t="n"/>
      <c r="BL47" s="186" t="n"/>
      <c r="BM47" s="186" t="n"/>
      <c r="BN47" s="186" t="n"/>
      <c r="BO47" s="186" t="n"/>
      <c r="BP47" s="186" t="n"/>
      <c r="BQ47" s="186" t="n"/>
      <c r="BR47" s="186" t="n"/>
      <c r="BS47" s="186" t="n"/>
      <c r="BT47" s="186" t="n"/>
      <c r="BU47" s="186" t="n"/>
      <c r="BV47" s="186" t="n"/>
      <c r="BW47" s="186" t="n"/>
      <c r="BX47" s="186" t="n"/>
      <c r="BY47" s="186" t="n"/>
      <c r="BZ47" s="189" t="n"/>
      <c r="CA47" s="189" t="n"/>
      <c r="CB47" s="189" t="n"/>
      <c r="CC47" s="190" t="n"/>
      <c r="CD47" s="186" t="n"/>
      <c r="CE47" s="186" t="n"/>
      <c r="CF47" s="186" t="n"/>
      <c r="CG47" s="186" t="n"/>
      <c r="CH47" s="186" t="n"/>
      <c r="CI47" s="191" t="n"/>
      <c r="CJ47" s="192" t="n"/>
      <c r="CK47" s="192" t="n"/>
      <c r="CL47" s="192" t="n"/>
      <c r="CM47" s="192" t="n"/>
    </row>
    <row r="48">
      <c r="A48" s="177" t="n"/>
      <c r="B48" s="178" t="n"/>
      <c r="C48" s="178" t="n"/>
      <c r="D48" s="179" t="n"/>
      <c r="E48" s="180" t="n"/>
      <c r="F48" s="181" t="n"/>
      <c r="G48" s="182" t="n"/>
      <c r="H48" s="105" t="n"/>
      <c r="I48" s="183">
        <f>F48</f>
        <v/>
      </c>
      <c r="J48" s="184" t="n"/>
      <c r="K48" s="185" t="n"/>
      <c r="L48" s="8" t="n"/>
      <c r="M48" s="184">
        <f>L48</f>
        <v/>
      </c>
      <c r="N48" s="71" t="n"/>
      <c r="O48" s="101" t="n"/>
      <c r="P48" s="9">
        <f>I48-M48</f>
        <v/>
      </c>
      <c r="Q48" s="9">
        <f>IF(LEFT(B48,4)&lt;&gt;"    ",0,BN48)</f>
        <v/>
      </c>
      <c r="R48" s="9">
        <f>+P48-Q48</f>
        <v/>
      </c>
      <c r="S48" s="280" t="n"/>
      <c r="T48" s="10" t="n"/>
      <c r="U48" s="23">
        <f>IF(LEFT(B48,4)&lt;&gt;"    ","",IF(M48&lt;&gt;0,X48/M48,0))</f>
        <v/>
      </c>
      <c r="V48" s="11">
        <f>IF(LEFT(B48,4)&lt;&gt;"    ","",U48*I48)</f>
        <v/>
      </c>
      <c r="W48" s="11">
        <f>IF(LEFT(B48,4)&lt;&gt;"    ","",X48+Z48)</f>
        <v/>
      </c>
      <c r="X48" s="8" t="n"/>
      <c r="Y48" s="9">
        <f>IF(LEFT(B48,4)&lt;&gt;"    ",0,IF(P48&lt;0,P48,IF(U48&gt;0.3,W48-X48,0)))</f>
        <v/>
      </c>
      <c r="Z48" s="71">
        <f>Y48</f>
        <v/>
      </c>
      <c r="AA48" s="71" t="n"/>
      <c r="AB48" s="109" t="n"/>
      <c r="AC48" s="9">
        <f>IF(LEFT(B48,4)&lt;&gt;"    ",0,BK48)</f>
        <v/>
      </c>
      <c r="AD48" s="9">
        <f>Z48-AC48</f>
        <v/>
      </c>
      <c r="AE48" s="10" t="n"/>
      <c r="AF48" s="24" t="n"/>
      <c r="AG48" s="11" t="n"/>
      <c r="AH48" s="8" t="n"/>
      <c r="AI48" s="9">
        <f>IF(LEFT(B48,4)&lt;&gt;"    ","",AG48-AH48)</f>
        <v/>
      </c>
      <c r="AJ48" s="9" t="n"/>
      <c r="AK48" s="10" t="n"/>
      <c r="AL48" s="11">
        <f>IF(LEFT(B48,4)&lt;&gt;"    ","",W48-AG48)</f>
        <v/>
      </c>
      <c r="AM48" s="8">
        <f>IF(LEFT(B48,4)&lt;&gt;"    ","",X48-AH48)</f>
        <v/>
      </c>
      <c r="AN48" s="9">
        <f>IF(LEFT(B48,4)&lt;&gt;"    ","",Y48-AI48)</f>
        <v/>
      </c>
      <c r="AO48" s="9">
        <f>IF(LEFT(B48,4)&lt;&gt;"    ","",Z48-AJ48)</f>
        <v/>
      </c>
      <c r="AP48" s="10" t="n"/>
      <c r="AQ48" s="25">
        <f>IF(LEFT(B48,4)&lt;&gt;"    ","",I48-W48)</f>
        <v/>
      </c>
      <c r="AR48" s="25">
        <f>M48-X48</f>
        <v/>
      </c>
      <c r="AS48" s="25">
        <f>IF(LEFT(B48,4)&lt;&gt;"    ","",P48-Z48)</f>
        <v/>
      </c>
      <c r="AT48" s="10" t="n"/>
      <c r="AU48" s="12" t="n"/>
      <c r="AV48" s="12">
        <f>IF(LEFT(B48,4)&lt;&gt;"    ","",IF(W48-AU48&gt;=0,W48-AU48," "))</f>
        <v/>
      </c>
      <c r="AW48" s="12">
        <f>IF(LEFT(B48,4)&lt;&gt;"    ","",IF(AU48-W48&gt;=0,AU48-W48," "))</f>
        <v/>
      </c>
      <c r="AX48" s="186" t="n"/>
      <c r="AY48" s="187" t="n"/>
      <c r="AZ48" s="186" t="n"/>
      <c r="BA48" s="186" t="n"/>
      <c r="BB48" s="188" t="n"/>
      <c r="BC48" s="187" t="n"/>
      <c r="BD48" s="187" t="n"/>
      <c r="BE48" s="186" t="n"/>
      <c r="BF48" s="186" t="n"/>
      <c r="BG48" s="186" t="n"/>
      <c r="BH48" s="186" t="n"/>
      <c r="BI48" s="186" t="n"/>
      <c r="BJ48" s="186" t="n"/>
      <c r="BK48" s="186" t="n"/>
      <c r="BL48" s="186" t="n"/>
      <c r="BM48" s="186" t="n"/>
      <c r="BN48" s="186" t="n"/>
      <c r="BO48" s="186" t="n"/>
      <c r="BP48" s="186" t="n"/>
      <c r="BQ48" s="186" t="n"/>
      <c r="BR48" s="186" t="n"/>
      <c r="BS48" s="186" t="n"/>
      <c r="BT48" s="186" t="n"/>
      <c r="BU48" s="186" t="n"/>
      <c r="BV48" s="186" t="n"/>
      <c r="BW48" s="186" t="n"/>
      <c r="BX48" s="186" t="n"/>
      <c r="BY48" s="186" t="n"/>
      <c r="BZ48" s="189" t="n"/>
      <c r="CA48" s="189" t="n"/>
      <c r="CB48" s="189" t="n"/>
      <c r="CC48" s="190" t="n"/>
      <c r="CD48" s="186" t="n"/>
      <c r="CE48" s="186" t="n"/>
      <c r="CF48" s="186" t="n"/>
      <c r="CG48" s="186" t="n"/>
      <c r="CH48" s="186" t="n"/>
      <c r="CI48" s="191" t="n"/>
      <c r="CJ48" s="192" t="n"/>
      <c r="CK48" s="192" t="n"/>
      <c r="CL48" s="192" t="n"/>
      <c r="CM48" s="192" t="n"/>
    </row>
    <row r="49">
      <c r="A49" s="177" t="n"/>
      <c r="B49" s="178" t="n"/>
      <c r="C49" s="178" t="n"/>
      <c r="D49" s="179" t="n"/>
      <c r="E49" s="180" t="n"/>
      <c r="F49" s="181" t="n"/>
      <c r="G49" s="182" t="n"/>
      <c r="H49" s="105" t="n"/>
      <c r="I49" s="183">
        <f>F49</f>
        <v/>
      </c>
      <c r="J49" s="184" t="n"/>
      <c r="K49" s="185" t="n"/>
      <c r="L49" s="8" t="n"/>
      <c r="M49" s="184">
        <f>L49</f>
        <v/>
      </c>
      <c r="N49" s="71" t="n"/>
      <c r="O49" s="101" t="n"/>
      <c r="P49" s="9">
        <f>I49-M49</f>
        <v/>
      </c>
      <c r="Q49" s="9">
        <f>IF(LEFT(B49,4)&lt;&gt;"    ",0,BN49)</f>
        <v/>
      </c>
      <c r="R49" s="9">
        <f>+P49-Q49</f>
        <v/>
      </c>
      <c r="S49" s="280" t="n"/>
      <c r="T49" s="10" t="n"/>
      <c r="U49" s="23">
        <f>IF(LEFT(B49,4)&lt;&gt;"    ","",IF(M49&lt;&gt;0,X49/M49,0))</f>
        <v/>
      </c>
      <c r="V49" s="11">
        <f>IF(LEFT(B49,4)&lt;&gt;"    ","",U49*I49)</f>
        <v/>
      </c>
      <c r="W49" s="11">
        <f>IF(LEFT(B49,4)&lt;&gt;"    ","",X49+Z49)</f>
        <v/>
      </c>
      <c r="X49" s="8" t="n"/>
      <c r="Y49" s="9">
        <f>IF(LEFT(B49,4)&lt;&gt;"    ",0,IF(P49&lt;0,P49,IF(U49&gt;0.3,W49-X49,0)))</f>
        <v/>
      </c>
      <c r="Z49" s="71">
        <f>Y49</f>
        <v/>
      </c>
      <c r="AA49" s="71" t="n"/>
      <c r="AB49" s="109" t="n"/>
      <c r="AC49" s="9">
        <f>IF(LEFT(B49,4)&lt;&gt;"    ",0,BK49)</f>
        <v/>
      </c>
      <c r="AD49" s="9">
        <f>Z49-AC49</f>
        <v/>
      </c>
      <c r="AE49" s="10" t="n"/>
      <c r="AF49" s="24" t="n"/>
      <c r="AG49" s="11" t="n"/>
      <c r="AH49" s="8" t="n"/>
      <c r="AI49" s="9">
        <f>IF(LEFT(B49,4)&lt;&gt;"    ","",AG49-AH49)</f>
        <v/>
      </c>
      <c r="AJ49" s="9" t="n"/>
      <c r="AK49" s="10" t="n"/>
      <c r="AL49" s="11">
        <f>IF(LEFT(B49,4)&lt;&gt;"    ","",W49-AG49)</f>
        <v/>
      </c>
      <c r="AM49" s="8">
        <f>IF(LEFT(B49,4)&lt;&gt;"    ","",X49-AH49)</f>
        <v/>
      </c>
      <c r="AN49" s="9">
        <f>IF(LEFT(B49,4)&lt;&gt;"    ","",Y49-AI49)</f>
        <v/>
      </c>
      <c r="AO49" s="9">
        <f>IF(LEFT(B49,4)&lt;&gt;"    ","",Z49-AJ49)</f>
        <v/>
      </c>
      <c r="AP49" s="10" t="n"/>
      <c r="AQ49" s="25">
        <f>IF(LEFT(B49,4)&lt;&gt;"    ","",I49-W49)</f>
        <v/>
      </c>
      <c r="AR49" s="25">
        <f>M49-X49</f>
        <v/>
      </c>
      <c r="AS49" s="25">
        <f>IF(LEFT(B49,4)&lt;&gt;"    ","",P49-Z49)</f>
        <v/>
      </c>
      <c r="AT49" s="10" t="n"/>
      <c r="AU49" s="12" t="n"/>
      <c r="AV49" s="12">
        <f>IF(LEFT(B49,4)&lt;&gt;"    ","",IF(W49-AU49&gt;=0,W49-AU49," "))</f>
        <v/>
      </c>
      <c r="AW49" s="12">
        <f>IF(LEFT(B49,4)&lt;&gt;"    ","",IF(AU49-W49&gt;=0,AU49-W49," "))</f>
        <v/>
      </c>
      <c r="AX49" s="186" t="n"/>
      <c r="AY49" s="187" t="n"/>
      <c r="AZ49" s="186" t="n"/>
      <c r="BA49" s="186" t="n"/>
      <c r="BB49" s="188" t="n"/>
      <c r="BC49" s="187" t="n"/>
      <c r="BD49" s="187" t="n"/>
      <c r="BE49" s="186" t="n"/>
      <c r="BF49" s="186" t="n"/>
      <c r="BG49" s="186" t="n"/>
      <c r="BH49" s="186" t="n"/>
      <c r="BI49" s="186" t="n"/>
      <c r="BJ49" s="186" t="n"/>
      <c r="BK49" s="186" t="n"/>
      <c r="BL49" s="186" t="n"/>
      <c r="BM49" s="186" t="n"/>
      <c r="BN49" s="186" t="n"/>
      <c r="BO49" s="186" t="n"/>
      <c r="BP49" s="186" t="n"/>
      <c r="BQ49" s="186" t="n"/>
      <c r="BR49" s="186" t="n"/>
      <c r="BS49" s="186" t="n"/>
      <c r="BT49" s="186" t="n"/>
      <c r="BU49" s="186" t="n"/>
      <c r="BV49" s="186" t="n"/>
      <c r="BW49" s="186" t="n"/>
      <c r="BX49" s="186" t="n"/>
      <c r="BY49" s="186" t="n"/>
      <c r="BZ49" s="189" t="n"/>
      <c r="CA49" s="189" t="n"/>
      <c r="CB49" s="189" t="n"/>
      <c r="CC49" s="190" t="n"/>
      <c r="CD49" s="186" t="n"/>
      <c r="CE49" s="186" t="n"/>
      <c r="CF49" s="186" t="n"/>
      <c r="CG49" s="186" t="n"/>
      <c r="CH49" s="186" t="n"/>
      <c r="CI49" s="191" t="n"/>
      <c r="CJ49" s="192" t="n"/>
      <c r="CK49" s="192" t="n"/>
      <c r="CL49" s="192" t="n"/>
      <c r="CM49" s="192" t="n"/>
    </row>
    <row r="50">
      <c r="A50" s="177" t="n"/>
      <c r="B50" s="178" t="n"/>
      <c r="C50" s="178" t="n"/>
      <c r="D50" s="179" t="n"/>
      <c r="E50" s="180" t="n"/>
      <c r="F50" s="181" t="n"/>
      <c r="G50" s="182" t="n"/>
      <c r="H50" s="105" t="n"/>
      <c r="I50" s="183">
        <f>F50</f>
        <v/>
      </c>
      <c r="J50" s="184" t="n"/>
      <c r="K50" s="185" t="n"/>
      <c r="L50" s="8" t="n"/>
      <c r="M50" s="184">
        <f>L50</f>
        <v/>
      </c>
      <c r="N50" s="71" t="n"/>
      <c r="O50" s="101" t="n"/>
      <c r="P50" s="9">
        <f>I50-M50</f>
        <v/>
      </c>
      <c r="Q50" s="9">
        <f>IF(LEFT(B50,4)&lt;&gt;"    ",0,BN50)</f>
        <v/>
      </c>
      <c r="R50" s="9">
        <f>+P50-Q50</f>
        <v/>
      </c>
      <c r="S50" s="280" t="n"/>
      <c r="T50" s="10" t="n"/>
      <c r="U50" s="23">
        <f>IF(LEFT(B50,4)&lt;&gt;"    ","",IF(M50&lt;&gt;0,X50/M50,0))</f>
        <v/>
      </c>
      <c r="V50" s="11">
        <f>IF(LEFT(B50,4)&lt;&gt;"    ","",U50*I50)</f>
        <v/>
      </c>
      <c r="W50" s="11">
        <f>IF(LEFT(B50,4)&lt;&gt;"    ","",X50+Z50)</f>
        <v/>
      </c>
      <c r="X50" s="8" t="n"/>
      <c r="Y50" s="9">
        <f>IF(LEFT(B50,4)&lt;&gt;"    ",0,IF(P50&lt;0,P50,IF(U50&gt;0.3,W50-X50,0)))</f>
        <v/>
      </c>
      <c r="Z50" s="71">
        <f>Y50</f>
        <v/>
      </c>
      <c r="AA50" s="71" t="n"/>
      <c r="AB50" s="109" t="n"/>
      <c r="AC50" s="9">
        <f>IF(LEFT(B50,4)&lt;&gt;"    ",0,BK50)</f>
        <v/>
      </c>
      <c r="AD50" s="9">
        <f>Z50-AC50</f>
        <v/>
      </c>
      <c r="AE50" s="10" t="n"/>
      <c r="AF50" s="24" t="n"/>
      <c r="AG50" s="11" t="n"/>
      <c r="AH50" s="8" t="n"/>
      <c r="AI50" s="9">
        <f>IF(LEFT(B50,4)&lt;&gt;"    ","",AG50-AH50)</f>
        <v/>
      </c>
      <c r="AJ50" s="9" t="n"/>
      <c r="AK50" s="10" t="n"/>
      <c r="AL50" s="11">
        <f>IF(LEFT(B50,4)&lt;&gt;"    ","",W50-AG50)</f>
        <v/>
      </c>
      <c r="AM50" s="8">
        <f>IF(LEFT(B50,4)&lt;&gt;"    ","",X50-AH50)</f>
        <v/>
      </c>
      <c r="AN50" s="9">
        <f>IF(LEFT(B50,4)&lt;&gt;"    ","",Y50-AI50)</f>
        <v/>
      </c>
      <c r="AO50" s="9">
        <f>IF(LEFT(B50,4)&lt;&gt;"    ","",Z50-AJ50)</f>
        <v/>
      </c>
      <c r="AP50" s="10" t="n"/>
      <c r="AQ50" s="25">
        <f>IF(LEFT(B50,4)&lt;&gt;"    ","",I50-W50)</f>
        <v/>
      </c>
      <c r="AR50" s="25">
        <f>M50-X50</f>
        <v/>
      </c>
      <c r="AS50" s="25">
        <f>IF(LEFT(B50,4)&lt;&gt;"    ","",P50-Z50)</f>
        <v/>
      </c>
      <c r="AT50" s="10" t="n"/>
      <c r="AU50" s="12" t="n"/>
      <c r="AV50" s="12">
        <f>IF(LEFT(B50,4)&lt;&gt;"    ","",IF(W50-AU50&gt;=0,W50-AU50," "))</f>
        <v/>
      </c>
      <c r="AW50" s="12">
        <f>IF(LEFT(B50,4)&lt;&gt;"    ","",IF(AU50-W50&gt;=0,AU50-W50," "))</f>
        <v/>
      </c>
      <c r="AX50" s="186" t="n"/>
      <c r="AY50" s="187" t="n"/>
      <c r="AZ50" s="186" t="n"/>
      <c r="BA50" s="186" t="n"/>
      <c r="BB50" s="188" t="n"/>
      <c r="BC50" s="187" t="n"/>
      <c r="BD50" s="187" t="n"/>
      <c r="BE50" s="186" t="n"/>
      <c r="BF50" s="186" t="n"/>
      <c r="BG50" s="186" t="n"/>
      <c r="BH50" s="186" t="n"/>
      <c r="BI50" s="186" t="n"/>
      <c r="BJ50" s="186" t="n"/>
      <c r="BK50" s="186" t="n"/>
      <c r="BL50" s="186" t="n"/>
      <c r="BM50" s="186" t="n"/>
      <c r="BN50" s="186" t="n"/>
      <c r="BO50" s="186" t="n"/>
      <c r="BP50" s="186" t="n"/>
      <c r="BQ50" s="186" t="n"/>
      <c r="BR50" s="186" t="n"/>
      <c r="BS50" s="186" t="n"/>
      <c r="BT50" s="186" t="n"/>
      <c r="BU50" s="186" t="n"/>
      <c r="BV50" s="186" t="n"/>
      <c r="BW50" s="186" t="n"/>
      <c r="BX50" s="186" t="n"/>
      <c r="BY50" s="186" t="n"/>
      <c r="BZ50" s="189" t="n"/>
      <c r="CA50" s="189" t="n"/>
      <c r="CB50" s="189" t="n"/>
      <c r="CC50" s="190" t="n"/>
      <c r="CD50" s="186" t="n"/>
      <c r="CE50" s="186" t="n"/>
      <c r="CF50" s="186" t="n"/>
      <c r="CG50" s="186" t="n"/>
      <c r="CH50" s="186" t="n"/>
      <c r="CI50" s="191" t="n"/>
      <c r="CJ50" s="192" t="n"/>
      <c r="CK50" s="192" t="n"/>
      <c r="CL50" s="192" t="n"/>
      <c r="CM50" s="192" t="n"/>
    </row>
    <row r="51">
      <c r="A51" s="177" t="n"/>
      <c r="B51" s="178" t="n"/>
      <c r="C51" s="178" t="n"/>
      <c r="D51" s="179" t="n"/>
      <c r="E51" s="180" t="n"/>
      <c r="F51" s="181" t="n"/>
      <c r="G51" s="182" t="n"/>
      <c r="H51" s="105" t="n"/>
      <c r="I51" s="183">
        <f>F51</f>
        <v/>
      </c>
      <c r="J51" s="184" t="n"/>
      <c r="K51" s="185" t="n"/>
      <c r="L51" s="8" t="n"/>
      <c r="M51" s="184">
        <f>L51</f>
        <v/>
      </c>
      <c r="N51" s="71" t="n"/>
      <c r="O51" s="101" t="n"/>
      <c r="P51" s="9">
        <f>I51-M51</f>
        <v/>
      </c>
      <c r="Q51" s="9">
        <f>IF(LEFT(B51,4)&lt;&gt;"    ",0,BN51)</f>
        <v/>
      </c>
      <c r="R51" s="9">
        <f>+P51-Q51</f>
        <v/>
      </c>
      <c r="S51" s="280" t="n"/>
      <c r="T51" s="10" t="n"/>
      <c r="U51" s="23">
        <f>IF(LEFT(B51,4)&lt;&gt;"    ","",IF(M51&lt;&gt;0,X51/M51,0))</f>
        <v/>
      </c>
      <c r="V51" s="11">
        <f>IF(LEFT(B51,4)&lt;&gt;"    ","",U51*I51)</f>
        <v/>
      </c>
      <c r="W51" s="11">
        <f>IF(LEFT(B51,4)&lt;&gt;"    ","",X51+Z51)</f>
        <v/>
      </c>
      <c r="X51" s="8" t="n"/>
      <c r="Y51" s="9">
        <f>IF(LEFT(B51,4)&lt;&gt;"    ",0,IF(P51&lt;0,P51,IF(U51&gt;0.3,W51-X51,0)))</f>
        <v/>
      </c>
      <c r="Z51" s="71">
        <f>Y51</f>
        <v/>
      </c>
      <c r="AA51" s="71" t="n"/>
      <c r="AB51" s="109" t="n"/>
      <c r="AC51" s="9">
        <f>IF(LEFT(B51,4)&lt;&gt;"    ",0,BK51)</f>
        <v/>
      </c>
      <c r="AD51" s="9">
        <f>Z51-AC51</f>
        <v/>
      </c>
      <c r="AE51" s="10" t="n"/>
      <c r="AF51" s="24" t="n"/>
      <c r="AG51" s="11" t="n"/>
      <c r="AH51" s="8" t="n"/>
      <c r="AI51" s="9">
        <f>IF(LEFT(B51,4)&lt;&gt;"    ","",AG51-AH51)</f>
        <v/>
      </c>
      <c r="AJ51" s="9" t="n"/>
      <c r="AK51" s="10" t="n"/>
      <c r="AL51" s="11">
        <f>IF(LEFT(B51,4)&lt;&gt;"    ","",W51-AG51)</f>
        <v/>
      </c>
      <c r="AM51" s="8">
        <f>IF(LEFT(B51,4)&lt;&gt;"    ","",X51-AH51)</f>
        <v/>
      </c>
      <c r="AN51" s="9">
        <f>IF(LEFT(B51,4)&lt;&gt;"    ","",Y51-AI51)</f>
        <v/>
      </c>
      <c r="AO51" s="9">
        <f>IF(LEFT(B51,4)&lt;&gt;"    ","",Z51-AJ51)</f>
        <v/>
      </c>
      <c r="AP51" s="10" t="n"/>
      <c r="AQ51" s="25">
        <f>IF(LEFT(B51,4)&lt;&gt;"    ","",I51-W51)</f>
        <v/>
      </c>
      <c r="AR51" s="25">
        <f>M51-X51</f>
        <v/>
      </c>
      <c r="AS51" s="25">
        <f>IF(LEFT(B51,4)&lt;&gt;"    ","",P51-Z51)</f>
        <v/>
      </c>
      <c r="AT51" s="10" t="n"/>
      <c r="AU51" s="12" t="n"/>
      <c r="AV51" s="12">
        <f>IF(LEFT(B51,4)&lt;&gt;"    ","",IF(W51-AU51&gt;=0,W51-AU51," "))</f>
        <v/>
      </c>
      <c r="AW51" s="12">
        <f>IF(LEFT(B51,4)&lt;&gt;"    ","",IF(AU51-W51&gt;=0,AU51-W51," "))</f>
        <v/>
      </c>
      <c r="AX51" s="186" t="n"/>
      <c r="AY51" s="187" t="n"/>
      <c r="AZ51" s="186" t="n"/>
      <c r="BA51" s="186" t="n"/>
      <c r="BB51" s="188" t="n"/>
      <c r="BC51" s="187" t="n"/>
      <c r="BD51" s="187" t="n"/>
      <c r="BE51" s="186" t="n"/>
      <c r="BF51" s="186" t="n"/>
      <c r="BG51" s="186" t="n"/>
      <c r="BH51" s="186" t="n"/>
      <c r="BI51" s="186" t="n"/>
      <c r="BJ51" s="186" t="n"/>
      <c r="BK51" s="186" t="n"/>
      <c r="BL51" s="186" t="n"/>
      <c r="BM51" s="186" t="n"/>
      <c r="BN51" s="186" t="n"/>
      <c r="BO51" s="186" t="n"/>
      <c r="BP51" s="186" t="n"/>
      <c r="BQ51" s="186" t="n"/>
      <c r="BR51" s="186" t="n"/>
      <c r="BS51" s="186" t="n"/>
      <c r="BT51" s="186" t="n"/>
      <c r="BU51" s="186" t="n"/>
      <c r="BV51" s="186" t="n"/>
      <c r="BW51" s="186" t="n"/>
      <c r="BX51" s="186" t="n"/>
      <c r="BY51" s="186" t="n"/>
      <c r="BZ51" s="189" t="n"/>
      <c r="CA51" s="189" t="n"/>
      <c r="CB51" s="189" t="n"/>
      <c r="CC51" s="190" t="n"/>
      <c r="CD51" s="186" t="n"/>
      <c r="CE51" s="186" t="n"/>
      <c r="CF51" s="186" t="n"/>
      <c r="CG51" s="186" t="n"/>
      <c r="CH51" s="186" t="n"/>
      <c r="CI51" s="191" t="n"/>
      <c r="CJ51" s="192" t="n"/>
      <c r="CK51" s="192" t="n"/>
      <c r="CL51" s="192" t="n"/>
      <c r="CM51" s="192" t="n"/>
    </row>
    <row r="52">
      <c r="A52" s="177" t="n"/>
      <c r="B52" s="178" t="n"/>
      <c r="C52" s="178" t="n"/>
      <c r="D52" s="179" t="n"/>
      <c r="E52" s="180" t="n"/>
      <c r="F52" s="181" t="n"/>
      <c r="G52" s="182" t="n"/>
      <c r="H52" s="105" t="n"/>
      <c r="I52" s="183">
        <f>F52</f>
        <v/>
      </c>
      <c r="J52" s="184" t="n"/>
      <c r="K52" s="185" t="n"/>
      <c r="L52" s="8" t="n"/>
      <c r="M52" s="184">
        <f>L52</f>
        <v/>
      </c>
      <c r="N52" s="71" t="n"/>
      <c r="O52" s="101" t="n"/>
      <c r="P52" s="9">
        <f>I52-M52</f>
        <v/>
      </c>
      <c r="Q52" s="9">
        <f>IF(LEFT(B52,4)&lt;&gt;"    ",0,BN52)</f>
        <v/>
      </c>
      <c r="R52" s="9">
        <f>+P52-Q52</f>
        <v/>
      </c>
      <c r="S52" s="280" t="n"/>
      <c r="T52" s="10" t="n"/>
      <c r="U52" s="23">
        <f>IF(LEFT(B52,4)&lt;&gt;"    ","",IF(M52&lt;&gt;0,X52/M52,0))</f>
        <v/>
      </c>
      <c r="V52" s="11">
        <f>IF(LEFT(B52,4)&lt;&gt;"    ","",U52*I52)</f>
        <v/>
      </c>
      <c r="W52" s="11">
        <f>IF(LEFT(B52,4)&lt;&gt;"    ","",X52+Z52)</f>
        <v/>
      </c>
      <c r="X52" s="8" t="n"/>
      <c r="Y52" s="9">
        <f>IF(LEFT(B52,4)&lt;&gt;"    ",0,IF(P52&lt;0,P52,IF(U52&gt;0.3,W52-X52,0)))</f>
        <v/>
      </c>
      <c r="Z52" s="71">
        <f>Y52</f>
        <v/>
      </c>
      <c r="AA52" s="71" t="n"/>
      <c r="AB52" s="109" t="n"/>
      <c r="AC52" s="9">
        <f>IF(LEFT(B52,4)&lt;&gt;"    ",0,BK52)</f>
        <v/>
      </c>
      <c r="AD52" s="9">
        <f>Z52-AC52</f>
        <v/>
      </c>
      <c r="AE52" s="10" t="n"/>
      <c r="AF52" s="24" t="n"/>
      <c r="AG52" s="11" t="n"/>
      <c r="AH52" s="8" t="n"/>
      <c r="AI52" s="9">
        <f>IF(LEFT(B52,4)&lt;&gt;"    ","",AG52-AH52)</f>
        <v/>
      </c>
      <c r="AJ52" s="9" t="n"/>
      <c r="AK52" s="10" t="n"/>
      <c r="AL52" s="11">
        <f>IF(LEFT(B52,4)&lt;&gt;"    ","",W52-AG52)</f>
        <v/>
      </c>
      <c r="AM52" s="8">
        <f>IF(LEFT(B52,4)&lt;&gt;"    ","",X52-AH52)</f>
        <v/>
      </c>
      <c r="AN52" s="9">
        <f>IF(LEFT(B52,4)&lt;&gt;"    ","",Y52-AI52)</f>
        <v/>
      </c>
      <c r="AO52" s="9">
        <f>IF(LEFT(B52,4)&lt;&gt;"    ","",Z52-AJ52)</f>
        <v/>
      </c>
      <c r="AP52" s="10" t="n"/>
      <c r="AQ52" s="25">
        <f>IF(LEFT(B52,4)&lt;&gt;"    ","",I52-W52)</f>
        <v/>
      </c>
      <c r="AR52" s="25">
        <f>M52-X52</f>
        <v/>
      </c>
      <c r="AS52" s="25">
        <f>IF(LEFT(B52,4)&lt;&gt;"    ","",P52-Z52)</f>
        <v/>
      </c>
      <c r="AT52" s="10" t="n"/>
      <c r="AU52" s="12" t="n"/>
      <c r="AV52" s="12">
        <f>IF(LEFT(B52,4)&lt;&gt;"    ","",IF(W52-AU52&gt;=0,W52-AU52," "))</f>
        <v/>
      </c>
      <c r="AW52" s="12">
        <f>IF(LEFT(B52,4)&lt;&gt;"    ","",IF(AU52-W52&gt;=0,AU52-W52," "))</f>
        <v/>
      </c>
      <c r="AX52" s="186" t="n"/>
      <c r="AY52" s="187" t="n"/>
      <c r="AZ52" s="186" t="n"/>
      <c r="BA52" s="186" t="n"/>
      <c r="BB52" s="188" t="n"/>
      <c r="BC52" s="187" t="n"/>
      <c r="BD52" s="187" t="n"/>
      <c r="BE52" s="186" t="n"/>
      <c r="BF52" s="186" t="n"/>
      <c r="BG52" s="186" t="n"/>
      <c r="BH52" s="186" t="n"/>
      <c r="BI52" s="186" t="n"/>
      <c r="BJ52" s="186" t="n"/>
      <c r="BK52" s="186" t="n"/>
      <c r="BL52" s="186" t="n"/>
      <c r="BM52" s="186" t="n"/>
      <c r="BN52" s="186" t="n"/>
      <c r="BO52" s="186" t="n"/>
      <c r="BP52" s="186" t="n"/>
      <c r="BQ52" s="186" t="n"/>
      <c r="BR52" s="186" t="n"/>
      <c r="BS52" s="186" t="n"/>
      <c r="BT52" s="186" t="n"/>
      <c r="BU52" s="186" t="n"/>
      <c r="BV52" s="186" t="n"/>
      <c r="BW52" s="186" t="n"/>
      <c r="BX52" s="186" t="n"/>
      <c r="BY52" s="186" t="n"/>
      <c r="BZ52" s="189" t="n"/>
      <c r="CA52" s="189" t="n"/>
      <c r="CB52" s="189" t="n"/>
      <c r="CC52" s="190" t="n"/>
      <c r="CD52" s="186" t="n"/>
      <c r="CE52" s="186" t="n"/>
      <c r="CF52" s="186" t="n"/>
      <c r="CG52" s="186" t="n"/>
      <c r="CH52" s="186" t="n"/>
      <c r="CI52" s="191" t="n"/>
      <c r="CJ52" s="192" t="n"/>
      <c r="CK52" s="192" t="n"/>
      <c r="CL52" s="192" t="n"/>
      <c r="CM52" s="192" t="n"/>
    </row>
    <row r="53">
      <c r="A53" s="177" t="n"/>
      <c r="B53" s="178" t="n"/>
      <c r="C53" s="178" t="n"/>
      <c r="D53" s="179" t="n"/>
      <c r="E53" s="180" t="n"/>
      <c r="F53" s="181" t="n"/>
      <c r="G53" s="182" t="n"/>
      <c r="H53" s="105" t="n"/>
      <c r="I53" s="183">
        <f>F53</f>
        <v/>
      </c>
      <c r="J53" s="184" t="n"/>
      <c r="K53" s="185" t="n"/>
      <c r="L53" s="8" t="n"/>
      <c r="M53" s="184">
        <f>L53</f>
        <v/>
      </c>
      <c r="N53" s="71" t="n"/>
      <c r="O53" s="101" t="n"/>
      <c r="P53" s="9">
        <f>I53-M53</f>
        <v/>
      </c>
      <c r="Q53" s="9">
        <f>IF(LEFT(B53,4)&lt;&gt;"    ",0,BN53)</f>
        <v/>
      </c>
      <c r="R53" s="9">
        <f>+P53-Q53</f>
        <v/>
      </c>
      <c r="S53" s="280" t="n"/>
      <c r="T53" s="10" t="n"/>
      <c r="U53" s="23">
        <f>IF(LEFT(B53,4)&lt;&gt;"    ","",IF(M53&lt;&gt;0,X53/M53,0))</f>
        <v/>
      </c>
      <c r="V53" s="11">
        <f>IF(LEFT(B53,4)&lt;&gt;"    ","",U53*I53)</f>
        <v/>
      </c>
      <c r="W53" s="11">
        <f>IF(LEFT(B53,4)&lt;&gt;"    ","",X53+Z53)</f>
        <v/>
      </c>
      <c r="X53" s="8" t="n"/>
      <c r="Y53" s="9">
        <f>IF(LEFT(B53,4)&lt;&gt;"    ",0,IF(P53&lt;0,P53,IF(U53&gt;0.3,W53-X53,0)))</f>
        <v/>
      </c>
      <c r="Z53" s="71">
        <f>Y53</f>
        <v/>
      </c>
      <c r="AA53" s="71" t="n"/>
      <c r="AB53" s="109" t="n"/>
      <c r="AC53" s="9">
        <f>IF(LEFT(B53,4)&lt;&gt;"    ",0,BK53)</f>
        <v/>
      </c>
      <c r="AD53" s="9">
        <f>Z53-AC53</f>
        <v/>
      </c>
      <c r="AE53" s="10" t="n"/>
      <c r="AF53" s="24" t="n"/>
      <c r="AG53" s="11" t="n"/>
      <c r="AH53" s="8" t="n"/>
      <c r="AI53" s="9">
        <f>IF(LEFT(B53,4)&lt;&gt;"    ","",AG53-AH53)</f>
        <v/>
      </c>
      <c r="AJ53" s="9" t="n"/>
      <c r="AK53" s="10" t="n"/>
      <c r="AL53" s="11">
        <f>IF(LEFT(B53,4)&lt;&gt;"    ","",W53-AG53)</f>
        <v/>
      </c>
      <c r="AM53" s="8">
        <f>IF(LEFT(B53,4)&lt;&gt;"    ","",X53-AH53)</f>
        <v/>
      </c>
      <c r="AN53" s="9">
        <f>IF(LEFT(B53,4)&lt;&gt;"    ","",Y53-AI53)</f>
        <v/>
      </c>
      <c r="AO53" s="9">
        <f>IF(LEFT(B53,4)&lt;&gt;"    ","",Z53-AJ53)</f>
        <v/>
      </c>
      <c r="AP53" s="10" t="n"/>
      <c r="AQ53" s="25">
        <f>IF(LEFT(B53,4)&lt;&gt;"    ","",I53-W53)</f>
        <v/>
      </c>
      <c r="AR53" s="25">
        <f>M53-X53</f>
        <v/>
      </c>
      <c r="AS53" s="25">
        <f>IF(LEFT(B53,4)&lt;&gt;"    ","",P53-Z53)</f>
        <v/>
      </c>
      <c r="AT53" s="10" t="n"/>
      <c r="AU53" s="12" t="n"/>
      <c r="AV53" s="12">
        <f>IF(LEFT(B53,4)&lt;&gt;"    ","",IF(W53-AU53&gt;=0,W53-AU53," "))</f>
        <v/>
      </c>
      <c r="AW53" s="12">
        <f>IF(LEFT(B53,4)&lt;&gt;"    ","",IF(AU53-W53&gt;=0,AU53-W53," "))</f>
        <v/>
      </c>
      <c r="AX53" s="186" t="n"/>
      <c r="AY53" s="187" t="n"/>
      <c r="AZ53" s="186" t="n"/>
      <c r="BA53" s="186" t="n"/>
      <c r="BB53" s="188" t="n"/>
      <c r="BC53" s="187" t="n"/>
      <c r="BD53" s="187" t="n"/>
      <c r="BE53" s="186" t="n"/>
      <c r="BF53" s="186" t="n"/>
      <c r="BG53" s="186" t="n"/>
      <c r="BH53" s="186" t="n"/>
      <c r="BI53" s="186" t="n"/>
      <c r="BJ53" s="186" t="n"/>
      <c r="BK53" s="186" t="n"/>
      <c r="BL53" s="186" t="n"/>
      <c r="BM53" s="186" t="n"/>
      <c r="BN53" s="186" t="n"/>
      <c r="BO53" s="186" t="n"/>
      <c r="BP53" s="186" t="n"/>
      <c r="BQ53" s="186" t="n"/>
      <c r="BR53" s="186" t="n"/>
      <c r="BS53" s="186" t="n"/>
      <c r="BT53" s="186" t="n"/>
      <c r="BU53" s="186" t="n"/>
      <c r="BV53" s="186" t="n"/>
      <c r="BW53" s="186" t="n"/>
      <c r="BX53" s="186" t="n"/>
      <c r="BY53" s="186" t="n"/>
      <c r="BZ53" s="189" t="n"/>
      <c r="CA53" s="189" t="n"/>
      <c r="CB53" s="189" t="n"/>
      <c r="CC53" s="190" t="n"/>
      <c r="CD53" s="186" t="n"/>
      <c r="CE53" s="186" t="n"/>
      <c r="CF53" s="186" t="n"/>
      <c r="CG53" s="186" t="n"/>
      <c r="CH53" s="186" t="n"/>
      <c r="CI53" s="191" t="n"/>
      <c r="CJ53" s="192" t="n"/>
      <c r="CK53" s="192" t="n"/>
      <c r="CL53" s="192" t="n"/>
      <c r="CM53" s="192" t="n"/>
    </row>
    <row r="54">
      <c r="A54" s="177" t="n"/>
      <c r="B54" s="178" t="n"/>
      <c r="C54" s="178" t="n"/>
      <c r="D54" s="179" t="n"/>
      <c r="E54" s="180" t="n"/>
      <c r="F54" s="181" t="n"/>
      <c r="G54" s="182" t="n"/>
      <c r="H54" s="105" t="n"/>
      <c r="I54" s="183">
        <f>F54</f>
        <v/>
      </c>
      <c r="J54" s="184" t="n"/>
      <c r="K54" s="185" t="n"/>
      <c r="L54" s="8" t="n"/>
      <c r="M54" s="184">
        <f>L54</f>
        <v/>
      </c>
      <c r="N54" s="71" t="n"/>
      <c r="O54" s="101" t="n"/>
      <c r="P54" s="9">
        <f>I54-M54</f>
        <v/>
      </c>
      <c r="Q54" s="9">
        <f>IF(LEFT(B54,4)&lt;&gt;"    ",0,BN54)</f>
        <v/>
      </c>
      <c r="R54" s="9">
        <f>+P54-Q54</f>
        <v/>
      </c>
      <c r="S54" s="280" t="n"/>
      <c r="T54" s="10" t="n"/>
      <c r="U54" s="23">
        <f>IF(LEFT(B54,4)&lt;&gt;"    ","",IF(M54&lt;&gt;0,X54/M54,0))</f>
        <v/>
      </c>
      <c r="V54" s="11">
        <f>IF(LEFT(B54,4)&lt;&gt;"    ","",U54*I54)</f>
        <v/>
      </c>
      <c r="W54" s="11">
        <f>IF(LEFT(B54,4)&lt;&gt;"    ","",X54+Z54)</f>
        <v/>
      </c>
      <c r="X54" s="8" t="n"/>
      <c r="Y54" s="9">
        <f>IF(LEFT(B54,4)&lt;&gt;"    ",0,IF(P54&lt;0,P54,IF(U54&gt;0.3,W54-X54,0)))</f>
        <v/>
      </c>
      <c r="Z54" s="71">
        <f>Y54</f>
        <v/>
      </c>
      <c r="AA54" s="71" t="n"/>
      <c r="AB54" s="109" t="n"/>
      <c r="AC54" s="9">
        <f>IF(LEFT(B54,4)&lt;&gt;"    ",0,BK54)</f>
        <v/>
      </c>
      <c r="AD54" s="9">
        <f>Z54-AC54</f>
        <v/>
      </c>
      <c r="AE54" s="10" t="n"/>
      <c r="AF54" s="24" t="n"/>
      <c r="AG54" s="11" t="n"/>
      <c r="AH54" s="8" t="n"/>
      <c r="AI54" s="9">
        <f>IF(LEFT(B54,4)&lt;&gt;"    ","",AG54-AH54)</f>
        <v/>
      </c>
      <c r="AJ54" s="9" t="n"/>
      <c r="AK54" s="10" t="n"/>
      <c r="AL54" s="11">
        <f>IF(LEFT(B54,4)&lt;&gt;"    ","",W54-AG54)</f>
        <v/>
      </c>
      <c r="AM54" s="8">
        <f>IF(LEFT(B54,4)&lt;&gt;"    ","",X54-AH54)</f>
        <v/>
      </c>
      <c r="AN54" s="9">
        <f>IF(LEFT(B54,4)&lt;&gt;"    ","",Y54-AI54)</f>
        <v/>
      </c>
      <c r="AO54" s="9">
        <f>IF(LEFT(B54,4)&lt;&gt;"    ","",Z54-AJ54)</f>
        <v/>
      </c>
      <c r="AP54" s="10" t="n"/>
      <c r="AQ54" s="25">
        <f>IF(LEFT(B54,4)&lt;&gt;"    ","",I54-W54)</f>
        <v/>
      </c>
      <c r="AR54" s="25">
        <f>M54-X54</f>
        <v/>
      </c>
      <c r="AS54" s="25">
        <f>IF(LEFT(B54,4)&lt;&gt;"    ","",P54-Z54)</f>
        <v/>
      </c>
      <c r="AT54" s="10" t="n"/>
      <c r="AU54" s="12" t="n"/>
      <c r="AV54" s="12">
        <f>IF(LEFT(B54,4)&lt;&gt;"    ","",IF(W54-AU54&gt;=0,W54-AU54," "))</f>
        <v/>
      </c>
      <c r="AW54" s="12">
        <f>IF(LEFT(B54,4)&lt;&gt;"    ","",IF(AU54-W54&gt;=0,AU54-W54," "))</f>
        <v/>
      </c>
      <c r="AX54" s="186" t="n"/>
      <c r="AY54" s="187" t="n"/>
      <c r="AZ54" s="186" t="n"/>
      <c r="BA54" s="186" t="n"/>
      <c r="BB54" s="188" t="n"/>
      <c r="BC54" s="187" t="n"/>
      <c r="BD54" s="187" t="n"/>
      <c r="BE54" s="186" t="n"/>
      <c r="BF54" s="186" t="n"/>
      <c r="BG54" s="186" t="n"/>
      <c r="BH54" s="186" t="n"/>
      <c r="BI54" s="186" t="n"/>
      <c r="BJ54" s="186" t="n"/>
      <c r="BK54" s="186" t="n"/>
      <c r="BL54" s="186" t="n"/>
      <c r="BM54" s="186" t="n"/>
      <c r="BN54" s="186" t="n"/>
      <c r="BO54" s="186" t="n"/>
      <c r="BP54" s="186" t="n"/>
      <c r="BQ54" s="186" t="n"/>
      <c r="BR54" s="186" t="n"/>
      <c r="BS54" s="186" t="n"/>
      <c r="BT54" s="186" t="n"/>
      <c r="BU54" s="186" t="n"/>
      <c r="BV54" s="186" t="n"/>
      <c r="BW54" s="186" t="n"/>
      <c r="BX54" s="186" t="n"/>
      <c r="BY54" s="186" t="n"/>
      <c r="BZ54" s="189" t="n"/>
      <c r="CA54" s="189" t="n"/>
      <c r="CB54" s="189" t="n"/>
      <c r="CC54" s="190" t="n"/>
      <c r="CD54" s="186" t="n"/>
      <c r="CE54" s="186" t="n"/>
      <c r="CF54" s="186" t="n"/>
      <c r="CG54" s="186" t="n"/>
      <c r="CH54" s="186" t="n"/>
      <c r="CI54" s="191" t="n"/>
      <c r="CJ54" s="192" t="n"/>
      <c r="CK54" s="192" t="n"/>
      <c r="CL54" s="192" t="n"/>
      <c r="CM54" s="192" t="n"/>
    </row>
    <row r="55">
      <c r="A55" s="177" t="n"/>
      <c r="B55" s="178" t="n"/>
      <c r="C55" s="178" t="n"/>
      <c r="D55" s="179" t="n"/>
      <c r="E55" s="180" t="n"/>
      <c r="F55" s="181" t="n"/>
      <c r="G55" s="182" t="n"/>
      <c r="H55" s="105" t="n"/>
      <c r="I55" s="183">
        <f>F55</f>
        <v/>
      </c>
      <c r="J55" s="184" t="n"/>
      <c r="K55" s="185" t="n"/>
      <c r="L55" s="8" t="n"/>
      <c r="M55" s="184">
        <f>L55</f>
        <v/>
      </c>
      <c r="N55" s="71" t="n"/>
      <c r="O55" s="101" t="n"/>
      <c r="P55" s="9">
        <f>I55-M55</f>
        <v/>
      </c>
      <c r="Q55" s="9">
        <f>IF(LEFT(B55,4)&lt;&gt;"    ",0,BN55)</f>
        <v/>
      </c>
      <c r="R55" s="9">
        <f>+P55-Q55</f>
        <v/>
      </c>
      <c r="S55" s="280" t="n"/>
      <c r="T55" s="10" t="n"/>
      <c r="U55" s="23">
        <f>IF(LEFT(B55,4)&lt;&gt;"    ","",IF(M55&lt;&gt;0,X55/M55,0))</f>
        <v/>
      </c>
      <c r="V55" s="11">
        <f>IF(LEFT(B55,4)&lt;&gt;"    ","",U55*I55)</f>
        <v/>
      </c>
      <c r="W55" s="11">
        <f>IF(LEFT(B55,4)&lt;&gt;"    ","",X55+Z55)</f>
        <v/>
      </c>
      <c r="X55" s="8" t="n"/>
      <c r="Y55" s="9">
        <f>IF(LEFT(B55,4)&lt;&gt;"    ",0,IF(P55&lt;0,P55,IF(U55&gt;0.3,W55-X55,0)))</f>
        <v/>
      </c>
      <c r="Z55" s="71">
        <f>Y55</f>
        <v/>
      </c>
      <c r="AA55" s="71" t="n"/>
      <c r="AB55" s="109" t="n"/>
      <c r="AC55" s="9">
        <f>IF(LEFT(B55,4)&lt;&gt;"    ",0,BK55)</f>
        <v/>
      </c>
      <c r="AD55" s="9">
        <f>Z55-AC55</f>
        <v/>
      </c>
      <c r="AE55" s="10" t="n"/>
      <c r="AF55" s="24" t="n"/>
      <c r="AG55" s="11" t="n"/>
      <c r="AH55" s="8" t="n"/>
      <c r="AI55" s="9">
        <f>IF(LEFT(B55,4)&lt;&gt;"    ","",AG55-AH55)</f>
        <v/>
      </c>
      <c r="AJ55" s="9" t="n"/>
      <c r="AK55" s="10" t="n"/>
      <c r="AL55" s="11">
        <f>IF(LEFT(B55,4)&lt;&gt;"    ","",W55-AG55)</f>
        <v/>
      </c>
      <c r="AM55" s="8">
        <f>IF(LEFT(B55,4)&lt;&gt;"    ","",X55-AH55)</f>
        <v/>
      </c>
      <c r="AN55" s="9">
        <f>IF(LEFT(B55,4)&lt;&gt;"    ","",Y55-AI55)</f>
        <v/>
      </c>
      <c r="AO55" s="9">
        <f>IF(LEFT(B55,4)&lt;&gt;"    ","",Z55-AJ55)</f>
        <v/>
      </c>
      <c r="AP55" s="10" t="n"/>
      <c r="AQ55" s="25">
        <f>IF(LEFT(B55,4)&lt;&gt;"    ","",I55-W55)</f>
        <v/>
      </c>
      <c r="AR55" s="25">
        <f>M55-X55</f>
        <v/>
      </c>
      <c r="AS55" s="25">
        <f>IF(LEFT(B55,4)&lt;&gt;"    ","",P55-Z55)</f>
        <v/>
      </c>
      <c r="AT55" s="10" t="n"/>
      <c r="AU55" s="12" t="n"/>
      <c r="AV55" s="12">
        <f>IF(LEFT(B55,4)&lt;&gt;"    ","",IF(W55-AU55&gt;=0,W55-AU55," "))</f>
        <v/>
      </c>
      <c r="AW55" s="12">
        <f>IF(LEFT(B55,4)&lt;&gt;"    ","",IF(AU55-W55&gt;=0,AU55-W55," "))</f>
        <v/>
      </c>
      <c r="AX55" s="186" t="n"/>
      <c r="AY55" s="187" t="n"/>
      <c r="AZ55" s="186" t="n"/>
      <c r="BA55" s="186" t="n"/>
      <c r="BB55" s="188" t="n"/>
      <c r="BC55" s="187" t="n"/>
      <c r="BD55" s="187" t="n"/>
      <c r="BE55" s="186" t="n"/>
      <c r="BF55" s="186" t="n"/>
      <c r="BG55" s="186" t="n"/>
      <c r="BH55" s="186" t="n"/>
      <c r="BI55" s="186" t="n"/>
      <c r="BJ55" s="186" t="n"/>
      <c r="BK55" s="186" t="n"/>
      <c r="BL55" s="186" t="n"/>
      <c r="BM55" s="186" t="n"/>
      <c r="BN55" s="186" t="n"/>
      <c r="BO55" s="186" t="n"/>
      <c r="BP55" s="186" t="n"/>
      <c r="BQ55" s="186" t="n"/>
      <c r="BR55" s="186" t="n"/>
      <c r="BS55" s="186" t="n"/>
      <c r="BT55" s="186" t="n"/>
      <c r="BU55" s="186" t="n"/>
      <c r="BV55" s="186" t="n"/>
      <c r="BW55" s="186" t="n"/>
      <c r="BX55" s="186" t="n"/>
      <c r="BY55" s="186" t="n"/>
      <c r="BZ55" s="189" t="n"/>
      <c r="CA55" s="189" t="n"/>
      <c r="CB55" s="189" t="n"/>
      <c r="CC55" s="190" t="n"/>
      <c r="CD55" s="186" t="n"/>
      <c r="CE55" s="186" t="n"/>
      <c r="CF55" s="186" t="n"/>
      <c r="CG55" s="186" t="n"/>
      <c r="CH55" s="186" t="n"/>
      <c r="CI55" s="191" t="n"/>
      <c r="CJ55" s="192" t="n"/>
      <c r="CK55" s="192" t="n"/>
      <c r="CL55" s="192" t="n"/>
      <c r="CM55" s="192" t="n"/>
    </row>
    <row r="56">
      <c r="A56" s="177" t="n"/>
      <c r="B56" s="178" t="n"/>
      <c r="C56" s="178" t="n"/>
      <c r="D56" s="179" t="n"/>
      <c r="E56" s="180" t="n"/>
      <c r="F56" s="181" t="n"/>
      <c r="G56" s="182" t="n"/>
      <c r="H56" s="105" t="n"/>
      <c r="I56" s="183">
        <f>F56</f>
        <v/>
      </c>
      <c r="J56" s="184" t="n"/>
      <c r="K56" s="185" t="n"/>
      <c r="L56" s="8" t="n"/>
      <c r="M56" s="184">
        <f>L56</f>
        <v/>
      </c>
      <c r="N56" s="71" t="n"/>
      <c r="O56" s="101" t="n"/>
      <c r="P56" s="9">
        <f>I56-M56</f>
        <v/>
      </c>
      <c r="Q56" s="9">
        <f>IF(LEFT(B56,4)&lt;&gt;"    ",0,BN56)</f>
        <v/>
      </c>
      <c r="R56" s="9">
        <f>+P56-Q56</f>
        <v/>
      </c>
      <c r="S56" s="280" t="n"/>
      <c r="T56" s="10" t="n"/>
      <c r="U56" s="23">
        <f>IF(LEFT(B56,4)&lt;&gt;"    ","",IF(M56&lt;&gt;0,X56/M56,0))</f>
        <v/>
      </c>
      <c r="V56" s="11">
        <f>IF(LEFT(B56,4)&lt;&gt;"    ","",U56*I56)</f>
        <v/>
      </c>
      <c r="W56" s="11">
        <f>IF(LEFT(B56,4)&lt;&gt;"    ","",X56+Z56)</f>
        <v/>
      </c>
      <c r="X56" s="8" t="n"/>
      <c r="Y56" s="9">
        <f>IF(LEFT(B56,4)&lt;&gt;"    ",0,IF(P56&lt;0,P56,IF(U56&gt;0.3,W56-X56,0)))</f>
        <v/>
      </c>
      <c r="Z56" s="71">
        <f>Y56</f>
        <v/>
      </c>
      <c r="AA56" s="71" t="n"/>
      <c r="AB56" s="109" t="n"/>
      <c r="AC56" s="9">
        <f>IF(LEFT(B56,4)&lt;&gt;"    ",0,BK56)</f>
        <v/>
      </c>
      <c r="AD56" s="9">
        <f>Z56-AC56</f>
        <v/>
      </c>
      <c r="AE56" s="10" t="n"/>
      <c r="AF56" s="24" t="n"/>
      <c r="AG56" s="11" t="n"/>
      <c r="AH56" s="8" t="n"/>
      <c r="AI56" s="9">
        <f>IF(LEFT(B56,4)&lt;&gt;"    ","",AG56-AH56)</f>
        <v/>
      </c>
      <c r="AJ56" s="9" t="n"/>
      <c r="AK56" s="10" t="n"/>
      <c r="AL56" s="11">
        <f>IF(LEFT(B56,4)&lt;&gt;"    ","",W56-AG56)</f>
        <v/>
      </c>
      <c r="AM56" s="8">
        <f>IF(LEFT(B56,4)&lt;&gt;"    ","",X56-AH56)</f>
        <v/>
      </c>
      <c r="AN56" s="9">
        <f>IF(LEFT(B56,4)&lt;&gt;"    ","",Y56-AI56)</f>
        <v/>
      </c>
      <c r="AO56" s="9">
        <f>IF(LEFT(B56,4)&lt;&gt;"    ","",Z56-AJ56)</f>
        <v/>
      </c>
      <c r="AP56" s="10" t="n"/>
      <c r="AQ56" s="25">
        <f>IF(LEFT(B56,4)&lt;&gt;"    ","",I56-W56)</f>
        <v/>
      </c>
      <c r="AR56" s="25">
        <f>M56-X56</f>
        <v/>
      </c>
      <c r="AS56" s="25">
        <f>IF(LEFT(B56,4)&lt;&gt;"    ","",P56-Z56)</f>
        <v/>
      </c>
      <c r="AT56" s="10" t="n"/>
      <c r="AU56" s="12" t="n"/>
      <c r="AV56" s="12">
        <f>IF(LEFT(B56,4)&lt;&gt;"    ","",IF(W56-AU56&gt;=0,W56-AU56," "))</f>
        <v/>
      </c>
      <c r="AW56" s="12">
        <f>IF(LEFT(B56,4)&lt;&gt;"    ","",IF(AU56-W56&gt;=0,AU56-W56," "))</f>
        <v/>
      </c>
      <c r="AX56" s="186" t="n"/>
      <c r="AY56" s="187" t="n"/>
      <c r="AZ56" s="186" t="n"/>
      <c r="BA56" s="186" t="n"/>
      <c r="BB56" s="188" t="n"/>
      <c r="BC56" s="187" t="n"/>
      <c r="BD56" s="187" t="n"/>
      <c r="BE56" s="186" t="n"/>
      <c r="BF56" s="186" t="n"/>
      <c r="BG56" s="186" t="n"/>
      <c r="BH56" s="186" t="n"/>
      <c r="BI56" s="186" t="n"/>
      <c r="BJ56" s="186" t="n"/>
      <c r="BK56" s="186" t="n"/>
      <c r="BL56" s="186" t="n"/>
      <c r="BM56" s="186" t="n"/>
      <c r="BN56" s="186" t="n"/>
      <c r="BO56" s="186" t="n"/>
      <c r="BP56" s="186" t="n"/>
      <c r="BQ56" s="186" t="n"/>
      <c r="BR56" s="186" t="n"/>
      <c r="BS56" s="186" t="n"/>
      <c r="BT56" s="186" t="n"/>
      <c r="BU56" s="186" t="n"/>
      <c r="BV56" s="186" t="n"/>
      <c r="BW56" s="186" t="n"/>
      <c r="BX56" s="186" t="n"/>
      <c r="BY56" s="186" t="n"/>
      <c r="BZ56" s="189" t="n"/>
      <c r="CA56" s="189" t="n"/>
      <c r="CB56" s="189" t="n"/>
      <c r="CC56" s="190" t="n"/>
      <c r="CD56" s="186" t="n"/>
      <c r="CE56" s="186" t="n"/>
      <c r="CF56" s="186" t="n"/>
      <c r="CG56" s="186" t="n"/>
      <c r="CH56" s="186" t="n"/>
      <c r="CI56" s="191" t="n"/>
      <c r="CJ56" s="192" t="n"/>
      <c r="CK56" s="192" t="n"/>
      <c r="CL56" s="192" t="n"/>
      <c r="CM56" s="192" t="n"/>
    </row>
    <row r="57">
      <c r="A57" s="177" t="n"/>
      <c r="B57" s="178" t="n"/>
      <c r="C57" s="178" t="n"/>
      <c r="D57" s="179" t="n"/>
      <c r="E57" s="180" t="n"/>
      <c r="F57" s="181" t="n"/>
      <c r="G57" s="182" t="n"/>
      <c r="H57" s="105" t="n"/>
      <c r="I57" s="183">
        <f>F57</f>
        <v/>
      </c>
      <c r="J57" s="184" t="n"/>
      <c r="K57" s="185" t="n"/>
      <c r="L57" s="8" t="n"/>
      <c r="M57" s="184">
        <f>L57</f>
        <v/>
      </c>
      <c r="N57" s="71" t="n"/>
      <c r="O57" s="101" t="n"/>
      <c r="P57" s="9">
        <f>I57-M57</f>
        <v/>
      </c>
      <c r="Q57" s="9">
        <f>IF(LEFT(B57,4)&lt;&gt;"    ",0,BN57)</f>
        <v/>
      </c>
      <c r="R57" s="9">
        <f>+P57-Q57</f>
        <v/>
      </c>
      <c r="S57" s="280" t="n"/>
      <c r="T57" s="10" t="n"/>
      <c r="U57" s="23">
        <f>IF(LEFT(B57,4)&lt;&gt;"    ","",IF(M57&lt;&gt;0,X57/M57,0))</f>
        <v/>
      </c>
      <c r="V57" s="11">
        <f>IF(LEFT(B57,4)&lt;&gt;"    ","",U57*I57)</f>
        <v/>
      </c>
      <c r="W57" s="11">
        <f>IF(LEFT(B57,4)&lt;&gt;"    ","",X57+Z57)</f>
        <v/>
      </c>
      <c r="X57" s="8" t="n"/>
      <c r="Y57" s="9">
        <f>IF(LEFT(B57,4)&lt;&gt;"    ",0,IF(P57&lt;0,P57,IF(U57&gt;0.3,W57-X57,0)))</f>
        <v/>
      </c>
      <c r="Z57" s="71">
        <f>Y57</f>
        <v/>
      </c>
      <c r="AA57" s="71" t="n"/>
      <c r="AB57" s="109" t="n"/>
      <c r="AC57" s="9">
        <f>IF(LEFT(B57,4)&lt;&gt;"    ",0,BK57)</f>
        <v/>
      </c>
      <c r="AD57" s="9">
        <f>Z57-AC57</f>
        <v/>
      </c>
      <c r="AE57" s="10" t="n"/>
      <c r="AF57" s="24" t="n"/>
      <c r="AG57" s="11" t="n"/>
      <c r="AH57" s="8" t="n"/>
      <c r="AI57" s="9">
        <f>IF(LEFT(B57,4)&lt;&gt;"    ","",AG57-AH57)</f>
        <v/>
      </c>
      <c r="AJ57" s="9" t="n"/>
      <c r="AK57" s="10" t="n"/>
      <c r="AL57" s="11">
        <f>IF(LEFT(B57,4)&lt;&gt;"    ","",W57-AG57)</f>
        <v/>
      </c>
      <c r="AM57" s="8">
        <f>IF(LEFT(B57,4)&lt;&gt;"    ","",X57-AH57)</f>
        <v/>
      </c>
      <c r="AN57" s="9">
        <f>IF(LEFT(B57,4)&lt;&gt;"    ","",Y57-AI57)</f>
        <v/>
      </c>
      <c r="AO57" s="9">
        <f>IF(LEFT(B57,4)&lt;&gt;"    ","",Z57-AJ57)</f>
        <v/>
      </c>
      <c r="AP57" s="10" t="n"/>
      <c r="AQ57" s="25">
        <f>IF(LEFT(B57,4)&lt;&gt;"    ","",I57-W57)</f>
        <v/>
      </c>
      <c r="AR57" s="25">
        <f>M57-X57</f>
        <v/>
      </c>
      <c r="AS57" s="25">
        <f>IF(LEFT(B57,4)&lt;&gt;"    ","",P57-Z57)</f>
        <v/>
      </c>
      <c r="AT57" s="10" t="n"/>
      <c r="AU57" s="12" t="n"/>
      <c r="AV57" s="12">
        <f>IF(LEFT(B57,4)&lt;&gt;"    ","",IF(W57-AU57&gt;=0,W57-AU57," "))</f>
        <v/>
      </c>
      <c r="AW57" s="12">
        <f>IF(LEFT(B57,4)&lt;&gt;"    ","",IF(AU57-W57&gt;=0,AU57-W57," "))</f>
        <v/>
      </c>
      <c r="AX57" s="186" t="n"/>
      <c r="AY57" s="187" t="n"/>
      <c r="AZ57" s="186" t="n"/>
      <c r="BA57" s="186" t="n"/>
      <c r="BB57" s="188" t="n"/>
      <c r="BC57" s="187" t="n"/>
      <c r="BD57" s="187" t="n"/>
      <c r="BE57" s="186" t="n"/>
      <c r="BF57" s="186" t="n"/>
      <c r="BG57" s="186" t="n"/>
      <c r="BH57" s="186" t="n"/>
      <c r="BI57" s="186" t="n"/>
      <c r="BJ57" s="186" t="n"/>
      <c r="BK57" s="186" t="n"/>
      <c r="BL57" s="186" t="n"/>
      <c r="BM57" s="186" t="n"/>
      <c r="BN57" s="186" t="n"/>
      <c r="BO57" s="186" t="n"/>
      <c r="BP57" s="186" t="n"/>
      <c r="BQ57" s="186" t="n"/>
      <c r="BR57" s="186" t="n"/>
      <c r="BS57" s="186" t="n"/>
      <c r="BT57" s="186" t="n"/>
      <c r="BU57" s="186" t="n"/>
      <c r="BV57" s="186" t="n"/>
      <c r="BW57" s="186" t="n"/>
      <c r="BX57" s="186" t="n"/>
      <c r="BY57" s="186" t="n"/>
      <c r="BZ57" s="189" t="n"/>
      <c r="CA57" s="189" t="n"/>
      <c r="CB57" s="189" t="n"/>
      <c r="CC57" s="190" t="n"/>
      <c r="CD57" s="186" t="n"/>
      <c r="CE57" s="186" t="n"/>
      <c r="CF57" s="186" t="n"/>
      <c r="CG57" s="186" t="n"/>
      <c r="CH57" s="186" t="n"/>
      <c r="CI57" s="191" t="n"/>
      <c r="CJ57" s="192" t="n"/>
      <c r="CK57" s="192" t="n"/>
      <c r="CL57" s="192" t="n"/>
      <c r="CM57" s="192" t="n"/>
    </row>
    <row r="58">
      <c r="A58" s="177" t="n"/>
      <c r="B58" s="178" t="n"/>
      <c r="C58" s="178" t="n"/>
      <c r="D58" s="179" t="n"/>
      <c r="E58" s="180" t="n"/>
      <c r="F58" s="181" t="n"/>
      <c r="G58" s="182" t="n"/>
      <c r="H58" s="105" t="n"/>
      <c r="I58" s="183">
        <f>F58</f>
        <v/>
      </c>
      <c r="J58" s="184" t="n"/>
      <c r="K58" s="185" t="n"/>
      <c r="L58" s="8" t="n"/>
      <c r="M58" s="184">
        <f>L58</f>
        <v/>
      </c>
      <c r="N58" s="71" t="n"/>
      <c r="O58" s="101" t="n"/>
      <c r="P58" s="9">
        <f>I58-M58</f>
        <v/>
      </c>
      <c r="Q58" s="9">
        <f>IF(LEFT(B58,4)&lt;&gt;"    ",0,BN58)</f>
        <v/>
      </c>
      <c r="R58" s="9">
        <f>+P58-Q58</f>
        <v/>
      </c>
      <c r="S58" s="280" t="n"/>
      <c r="T58" s="10" t="n"/>
      <c r="U58" s="23">
        <f>IF(LEFT(B58,4)&lt;&gt;"    ","",IF(M58&lt;&gt;0,X58/M58,0))</f>
        <v/>
      </c>
      <c r="V58" s="11">
        <f>IF(LEFT(B58,4)&lt;&gt;"    ","",U58*I58)</f>
        <v/>
      </c>
      <c r="W58" s="11">
        <f>IF(LEFT(B58,4)&lt;&gt;"    ","",X58+Z58)</f>
        <v/>
      </c>
      <c r="X58" s="8" t="n"/>
      <c r="Y58" s="9">
        <f>IF(LEFT(B58,4)&lt;&gt;"    ",0,IF(P58&lt;0,P58,IF(U58&gt;0.3,W58-X58,0)))</f>
        <v/>
      </c>
      <c r="Z58" s="71">
        <f>Y58</f>
        <v/>
      </c>
      <c r="AA58" s="71" t="n"/>
      <c r="AB58" s="109" t="n"/>
      <c r="AC58" s="9">
        <f>IF(LEFT(B58,4)&lt;&gt;"    ",0,BK58)</f>
        <v/>
      </c>
      <c r="AD58" s="9">
        <f>Z58-AC58</f>
        <v/>
      </c>
      <c r="AE58" s="10" t="n"/>
      <c r="AF58" s="24" t="n"/>
      <c r="AG58" s="11" t="n"/>
      <c r="AH58" s="8" t="n"/>
      <c r="AI58" s="9">
        <f>IF(LEFT(B58,4)&lt;&gt;"    ","",AG58-AH58)</f>
        <v/>
      </c>
      <c r="AJ58" s="9" t="n"/>
      <c r="AK58" s="10" t="n"/>
      <c r="AL58" s="11">
        <f>IF(LEFT(B58,4)&lt;&gt;"    ","",W58-AG58)</f>
        <v/>
      </c>
      <c r="AM58" s="8">
        <f>IF(LEFT(B58,4)&lt;&gt;"    ","",X58-AH58)</f>
        <v/>
      </c>
      <c r="AN58" s="9">
        <f>IF(LEFT(B58,4)&lt;&gt;"    ","",Y58-AI58)</f>
        <v/>
      </c>
      <c r="AO58" s="9">
        <f>IF(LEFT(B58,4)&lt;&gt;"    ","",Z58-AJ58)</f>
        <v/>
      </c>
      <c r="AP58" s="10" t="n"/>
      <c r="AQ58" s="25">
        <f>IF(LEFT(B58,4)&lt;&gt;"    ","",I58-W58)</f>
        <v/>
      </c>
      <c r="AR58" s="25">
        <f>M58-X58</f>
        <v/>
      </c>
      <c r="AS58" s="25">
        <f>IF(LEFT(B58,4)&lt;&gt;"    ","",P58-Z58)</f>
        <v/>
      </c>
      <c r="AT58" s="10" t="n"/>
      <c r="AU58" s="12" t="n"/>
      <c r="AV58" s="12">
        <f>IF(LEFT(B58,4)&lt;&gt;"    ","",IF(W58-AU58&gt;=0,W58-AU58," "))</f>
        <v/>
      </c>
      <c r="AW58" s="12">
        <f>IF(LEFT(B58,4)&lt;&gt;"    ","",IF(AU58-W58&gt;=0,AU58-W58," "))</f>
        <v/>
      </c>
      <c r="AX58" s="186" t="n"/>
      <c r="AY58" s="187" t="n"/>
      <c r="AZ58" s="186" t="n"/>
      <c r="BA58" s="186" t="n"/>
      <c r="BB58" s="188" t="n"/>
      <c r="BC58" s="187" t="n"/>
      <c r="BD58" s="187" t="n"/>
      <c r="BE58" s="186" t="n"/>
      <c r="BF58" s="186" t="n"/>
      <c r="BG58" s="186" t="n"/>
      <c r="BH58" s="186" t="n"/>
      <c r="BI58" s="186" t="n"/>
      <c r="BJ58" s="186" t="n"/>
      <c r="BK58" s="186" t="n"/>
      <c r="BL58" s="186" t="n"/>
      <c r="BM58" s="186" t="n"/>
      <c r="BN58" s="186" t="n"/>
      <c r="BO58" s="186" t="n"/>
      <c r="BP58" s="186" t="n"/>
      <c r="BQ58" s="186" t="n"/>
      <c r="BR58" s="186" t="n"/>
      <c r="BS58" s="186" t="n"/>
      <c r="BT58" s="186" t="n"/>
      <c r="BU58" s="186" t="n"/>
      <c r="BV58" s="186" t="n"/>
      <c r="BW58" s="186" t="n"/>
      <c r="BX58" s="186" t="n"/>
      <c r="BY58" s="186" t="n"/>
      <c r="BZ58" s="189" t="n"/>
      <c r="CA58" s="189" t="n"/>
      <c r="CB58" s="189" t="n"/>
      <c r="CC58" s="190" t="n"/>
      <c r="CD58" s="186" t="n"/>
      <c r="CE58" s="186" t="n"/>
      <c r="CF58" s="186" t="n"/>
      <c r="CG58" s="186" t="n"/>
      <c r="CH58" s="186" t="n"/>
      <c r="CI58" s="191" t="n"/>
      <c r="CJ58" s="192" t="n"/>
      <c r="CK58" s="192" t="n"/>
      <c r="CL58" s="192" t="n"/>
      <c r="CM58" s="192" t="n"/>
    </row>
    <row r="59">
      <c r="A59" s="177" t="n"/>
      <c r="B59" s="178" t="n"/>
      <c r="C59" s="178" t="n"/>
      <c r="D59" s="179" t="n"/>
      <c r="E59" s="180" t="n"/>
      <c r="F59" s="181" t="n"/>
      <c r="G59" s="182" t="n"/>
      <c r="H59" s="105" t="n"/>
      <c r="I59" s="183">
        <f>F59</f>
        <v/>
      </c>
      <c r="J59" s="184" t="n"/>
      <c r="K59" s="185" t="n"/>
      <c r="L59" s="8" t="n"/>
      <c r="M59" s="184">
        <f>L59</f>
        <v/>
      </c>
      <c r="N59" s="71" t="n"/>
      <c r="O59" s="101" t="n"/>
      <c r="P59" s="9">
        <f>I59-M59</f>
        <v/>
      </c>
      <c r="Q59" s="9">
        <f>IF(LEFT(B59,4)&lt;&gt;"    ",0,BN59)</f>
        <v/>
      </c>
      <c r="R59" s="9">
        <f>+P59-Q59</f>
        <v/>
      </c>
      <c r="S59" s="280" t="n"/>
      <c r="T59" s="10" t="n"/>
      <c r="U59" s="23">
        <f>IF(LEFT(B59,4)&lt;&gt;"    ","",IF(M59&lt;&gt;0,X59/M59,0))</f>
        <v/>
      </c>
      <c r="V59" s="11">
        <f>IF(LEFT(B59,4)&lt;&gt;"    ","",U59*I59)</f>
        <v/>
      </c>
      <c r="W59" s="11">
        <f>IF(LEFT(B59,4)&lt;&gt;"    ","",X59+Z59)</f>
        <v/>
      </c>
      <c r="X59" s="8" t="n"/>
      <c r="Y59" s="9">
        <f>IF(LEFT(B59,4)&lt;&gt;"    ",0,IF(P59&lt;0,P59,IF(U59&gt;0.3,W59-X59,0)))</f>
        <v/>
      </c>
      <c r="Z59" s="71">
        <f>Y59</f>
        <v/>
      </c>
      <c r="AA59" s="71" t="n"/>
      <c r="AB59" s="109" t="n"/>
      <c r="AC59" s="9">
        <f>IF(LEFT(B59,4)&lt;&gt;"    ",0,BK59)</f>
        <v/>
      </c>
      <c r="AD59" s="9">
        <f>Z59-AC59</f>
        <v/>
      </c>
      <c r="AE59" s="10" t="n"/>
      <c r="AF59" s="24" t="n"/>
      <c r="AG59" s="11" t="n"/>
      <c r="AH59" s="8" t="n"/>
      <c r="AI59" s="9">
        <f>IF(LEFT(B59,4)&lt;&gt;"    ","",AG59-AH59)</f>
        <v/>
      </c>
      <c r="AJ59" s="9" t="n"/>
      <c r="AK59" s="10" t="n"/>
      <c r="AL59" s="11">
        <f>IF(LEFT(B59,4)&lt;&gt;"    ","",W59-AG59)</f>
        <v/>
      </c>
      <c r="AM59" s="8">
        <f>IF(LEFT(B59,4)&lt;&gt;"    ","",X59-AH59)</f>
        <v/>
      </c>
      <c r="AN59" s="9">
        <f>IF(LEFT(B59,4)&lt;&gt;"    ","",Y59-AI59)</f>
        <v/>
      </c>
      <c r="AO59" s="9">
        <f>IF(LEFT(B59,4)&lt;&gt;"    ","",Z59-AJ59)</f>
        <v/>
      </c>
      <c r="AP59" s="10" t="n"/>
      <c r="AQ59" s="25">
        <f>IF(LEFT(B59,4)&lt;&gt;"    ","",I59-W59)</f>
        <v/>
      </c>
      <c r="AR59" s="25">
        <f>M59-X59</f>
        <v/>
      </c>
      <c r="AS59" s="25">
        <f>IF(LEFT(B59,4)&lt;&gt;"    ","",P59-Z59)</f>
        <v/>
      </c>
      <c r="AT59" s="10" t="n"/>
      <c r="AU59" s="12" t="n"/>
      <c r="AV59" s="12">
        <f>IF(LEFT(B59,4)&lt;&gt;"    ","",IF(W59-AU59&gt;=0,W59-AU59," "))</f>
        <v/>
      </c>
      <c r="AW59" s="12">
        <f>IF(LEFT(B59,4)&lt;&gt;"    ","",IF(AU59-W59&gt;=0,AU59-W59," "))</f>
        <v/>
      </c>
      <c r="AX59" s="186" t="n"/>
      <c r="AY59" s="187" t="n"/>
      <c r="AZ59" s="186" t="n"/>
      <c r="BA59" s="186" t="n"/>
      <c r="BB59" s="188" t="n"/>
      <c r="BC59" s="187" t="n"/>
      <c r="BD59" s="187" t="n"/>
      <c r="BE59" s="186" t="n"/>
      <c r="BF59" s="186" t="n"/>
      <c r="BG59" s="186" t="n"/>
      <c r="BH59" s="186" t="n"/>
      <c r="BI59" s="186" t="n"/>
      <c r="BJ59" s="186" t="n"/>
      <c r="BK59" s="186" t="n"/>
      <c r="BL59" s="186" t="n"/>
      <c r="BM59" s="186" t="n"/>
      <c r="BN59" s="186" t="n"/>
      <c r="BO59" s="186" t="n"/>
      <c r="BP59" s="186" t="n"/>
      <c r="BQ59" s="186" t="n"/>
      <c r="BR59" s="186" t="n"/>
      <c r="BS59" s="186" t="n"/>
      <c r="BT59" s="186" t="n"/>
      <c r="BU59" s="186" t="n"/>
      <c r="BV59" s="186" t="n"/>
      <c r="BW59" s="186" t="n"/>
      <c r="BX59" s="186" t="n"/>
      <c r="BY59" s="186" t="n"/>
      <c r="BZ59" s="189" t="n"/>
      <c r="CA59" s="189" t="n"/>
      <c r="CB59" s="189" t="n"/>
      <c r="CC59" s="190" t="n"/>
      <c r="CD59" s="186" t="n"/>
      <c r="CE59" s="186" t="n"/>
      <c r="CF59" s="186" t="n"/>
      <c r="CG59" s="186" t="n"/>
      <c r="CH59" s="186" t="n"/>
      <c r="CI59" s="191" t="n"/>
      <c r="CJ59" s="192" t="n"/>
      <c r="CK59" s="192" t="n"/>
      <c r="CL59" s="192" t="n"/>
      <c r="CM59" s="192" t="n"/>
    </row>
    <row r="60">
      <c r="A60" s="177" t="n"/>
      <c r="B60" s="178" t="n"/>
      <c r="C60" s="178" t="n"/>
      <c r="D60" s="179" t="n"/>
      <c r="E60" s="180" t="n"/>
      <c r="F60" s="181" t="n"/>
      <c r="G60" s="182" t="n"/>
      <c r="H60" s="105" t="n"/>
      <c r="I60" s="183">
        <f>F60</f>
        <v/>
      </c>
      <c r="J60" s="184" t="n"/>
      <c r="K60" s="185" t="n"/>
      <c r="L60" s="8" t="n"/>
      <c r="M60" s="184">
        <f>L60</f>
        <v/>
      </c>
      <c r="N60" s="71" t="n"/>
      <c r="O60" s="101" t="n"/>
      <c r="P60" s="9">
        <f>I60-M60</f>
        <v/>
      </c>
      <c r="Q60" s="9">
        <f>IF(LEFT(B60,4)&lt;&gt;"    ",0,BN60)</f>
        <v/>
      </c>
      <c r="R60" s="9">
        <f>+P60-Q60</f>
        <v/>
      </c>
      <c r="S60" s="280" t="n"/>
      <c r="T60" s="10" t="n"/>
      <c r="U60" s="23">
        <f>IF(LEFT(B60,4)&lt;&gt;"    ","",IF(M60&lt;&gt;0,X60/M60,0))</f>
        <v/>
      </c>
      <c r="V60" s="11">
        <f>IF(LEFT(B60,4)&lt;&gt;"    ","",U60*I60)</f>
        <v/>
      </c>
      <c r="W60" s="11">
        <f>IF(LEFT(B60,4)&lt;&gt;"    ","",X60+Z60)</f>
        <v/>
      </c>
      <c r="X60" s="8" t="n"/>
      <c r="Y60" s="9">
        <f>IF(LEFT(B60,4)&lt;&gt;"    ",0,IF(P60&lt;0,P60,IF(U60&gt;0.3,W60-X60,0)))</f>
        <v/>
      </c>
      <c r="Z60" s="71">
        <f>Y60</f>
        <v/>
      </c>
      <c r="AA60" s="71" t="n"/>
      <c r="AB60" s="109" t="n"/>
      <c r="AC60" s="9">
        <f>IF(LEFT(B60,4)&lt;&gt;"    ",0,BK60)</f>
        <v/>
      </c>
      <c r="AD60" s="9">
        <f>Z60-AC60</f>
        <v/>
      </c>
      <c r="AE60" s="10" t="n"/>
      <c r="AF60" s="24" t="n"/>
      <c r="AG60" s="11" t="n"/>
      <c r="AH60" s="8" t="n"/>
      <c r="AI60" s="9">
        <f>IF(LEFT(B60,4)&lt;&gt;"    ","",AG60-AH60)</f>
        <v/>
      </c>
      <c r="AJ60" s="9" t="n"/>
      <c r="AK60" s="10" t="n"/>
      <c r="AL60" s="11">
        <f>IF(LEFT(B60,4)&lt;&gt;"    ","",W60-AG60)</f>
        <v/>
      </c>
      <c r="AM60" s="8">
        <f>IF(LEFT(B60,4)&lt;&gt;"    ","",X60-AH60)</f>
        <v/>
      </c>
      <c r="AN60" s="9">
        <f>IF(LEFT(B60,4)&lt;&gt;"    ","",Y60-AI60)</f>
        <v/>
      </c>
      <c r="AO60" s="9">
        <f>IF(LEFT(B60,4)&lt;&gt;"    ","",Z60-AJ60)</f>
        <v/>
      </c>
      <c r="AP60" s="10" t="n"/>
      <c r="AQ60" s="25">
        <f>IF(LEFT(B60,4)&lt;&gt;"    ","",I60-W60)</f>
        <v/>
      </c>
      <c r="AR60" s="25">
        <f>M60-X60</f>
        <v/>
      </c>
      <c r="AS60" s="25">
        <f>IF(LEFT(B60,4)&lt;&gt;"    ","",P60-Z60)</f>
        <v/>
      </c>
      <c r="AT60" s="10" t="n"/>
      <c r="AU60" s="12" t="n"/>
      <c r="AV60" s="12">
        <f>IF(LEFT(B60,4)&lt;&gt;"    ","",IF(W60-AU60&gt;=0,W60-AU60," "))</f>
        <v/>
      </c>
      <c r="AW60" s="12">
        <f>IF(LEFT(B60,4)&lt;&gt;"    ","",IF(AU60-W60&gt;=0,AU60-W60," "))</f>
        <v/>
      </c>
      <c r="AX60" s="186" t="n"/>
      <c r="AY60" s="187" t="n"/>
      <c r="AZ60" s="186" t="n"/>
      <c r="BA60" s="186" t="n"/>
      <c r="BB60" s="188" t="n"/>
      <c r="BC60" s="187" t="n"/>
      <c r="BD60" s="187" t="n"/>
      <c r="BE60" s="186" t="n"/>
      <c r="BF60" s="186" t="n"/>
      <c r="BG60" s="186" t="n"/>
      <c r="BH60" s="186" t="n"/>
      <c r="BI60" s="186" t="n"/>
      <c r="BJ60" s="186" t="n"/>
      <c r="BK60" s="186" t="n"/>
      <c r="BL60" s="186" t="n"/>
      <c r="BM60" s="186" t="n"/>
      <c r="BN60" s="186" t="n"/>
      <c r="BO60" s="186" t="n"/>
      <c r="BP60" s="186" t="n"/>
      <c r="BQ60" s="186" t="n"/>
      <c r="BR60" s="186" t="n"/>
      <c r="BS60" s="186" t="n"/>
      <c r="BT60" s="186" t="n"/>
      <c r="BU60" s="186" t="n"/>
      <c r="BV60" s="186" t="n"/>
      <c r="BW60" s="186" t="n"/>
      <c r="BX60" s="186" t="n"/>
      <c r="BY60" s="186" t="n"/>
      <c r="BZ60" s="189" t="n"/>
      <c r="CA60" s="189" t="n"/>
      <c r="CB60" s="189" t="n"/>
      <c r="CC60" s="190" t="n"/>
      <c r="CD60" s="186" t="n"/>
      <c r="CE60" s="186" t="n"/>
      <c r="CF60" s="186" t="n"/>
      <c r="CG60" s="186" t="n"/>
      <c r="CH60" s="186" t="n"/>
      <c r="CI60" s="191" t="n"/>
      <c r="CJ60" s="192" t="n"/>
      <c r="CK60" s="192" t="n"/>
      <c r="CL60" s="192" t="n"/>
      <c r="CM60" s="192" t="n"/>
    </row>
    <row r="61">
      <c r="A61" s="177" t="n"/>
      <c r="B61" s="178" t="n"/>
      <c r="C61" s="178" t="n"/>
      <c r="D61" s="179" t="n"/>
      <c r="E61" s="180" t="n"/>
      <c r="F61" s="181" t="n"/>
      <c r="G61" s="182" t="n"/>
      <c r="H61" s="105" t="n"/>
      <c r="I61" s="183">
        <f>F61</f>
        <v/>
      </c>
      <c r="J61" s="184" t="n"/>
      <c r="K61" s="185" t="n"/>
      <c r="L61" s="8" t="n"/>
      <c r="M61" s="184">
        <f>L61</f>
        <v/>
      </c>
      <c r="N61" s="71" t="n"/>
      <c r="O61" s="101" t="n"/>
      <c r="P61" s="9">
        <f>I61-M61</f>
        <v/>
      </c>
      <c r="Q61" s="9">
        <f>IF(LEFT(B61,4)&lt;&gt;"    ",0,BN61)</f>
        <v/>
      </c>
      <c r="R61" s="9">
        <f>+P61-Q61</f>
        <v/>
      </c>
      <c r="S61" s="280" t="n"/>
      <c r="T61" s="10" t="n"/>
      <c r="U61" s="23">
        <f>IF(LEFT(B61,4)&lt;&gt;"    ","",IF(M61&lt;&gt;0,X61/M61,0))</f>
        <v/>
      </c>
      <c r="V61" s="11">
        <f>IF(LEFT(B61,4)&lt;&gt;"    ","",U61*I61)</f>
        <v/>
      </c>
      <c r="W61" s="11">
        <f>IF(LEFT(B61,4)&lt;&gt;"    ","",X61+Z61)</f>
        <v/>
      </c>
      <c r="X61" s="8" t="n"/>
      <c r="Y61" s="9">
        <f>IF(LEFT(B61,4)&lt;&gt;"    ",0,IF(P61&lt;0,P61,IF(U61&gt;0.3,W61-X61,0)))</f>
        <v/>
      </c>
      <c r="Z61" s="71">
        <f>Y61</f>
        <v/>
      </c>
      <c r="AA61" s="71" t="n"/>
      <c r="AB61" s="109" t="n"/>
      <c r="AC61" s="9">
        <f>IF(LEFT(B61,4)&lt;&gt;"    ",0,BK61)</f>
        <v/>
      </c>
      <c r="AD61" s="9">
        <f>Z61-AC61</f>
        <v/>
      </c>
      <c r="AE61" s="10" t="n"/>
      <c r="AF61" s="24" t="n"/>
      <c r="AG61" s="11" t="n"/>
      <c r="AH61" s="8" t="n"/>
      <c r="AI61" s="9">
        <f>IF(LEFT(B61,4)&lt;&gt;"    ","",AG61-AH61)</f>
        <v/>
      </c>
      <c r="AJ61" s="9" t="n"/>
      <c r="AK61" s="10" t="n"/>
      <c r="AL61" s="11">
        <f>IF(LEFT(B61,4)&lt;&gt;"    ","",W61-AG61)</f>
        <v/>
      </c>
      <c r="AM61" s="8">
        <f>IF(LEFT(B61,4)&lt;&gt;"    ","",X61-AH61)</f>
        <v/>
      </c>
      <c r="AN61" s="9">
        <f>IF(LEFT(B61,4)&lt;&gt;"    ","",Y61-AI61)</f>
        <v/>
      </c>
      <c r="AO61" s="9">
        <f>IF(LEFT(B61,4)&lt;&gt;"    ","",Z61-AJ61)</f>
        <v/>
      </c>
      <c r="AP61" s="10" t="n"/>
      <c r="AQ61" s="25">
        <f>IF(LEFT(B61,4)&lt;&gt;"    ","",I61-W61)</f>
        <v/>
      </c>
      <c r="AR61" s="25">
        <f>M61-X61</f>
        <v/>
      </c>
      <c r="AS61" s="25">
        <f>IF(LEFT(B61,4)&lt;&gt;"    ","",P61-Z61)</f>
        <v/>
      </c>
      <c r="AT61" s="10" t="n"/>
      <c r="AU61" s="12" t="n"/>
      <c r="AV61" s="12">
        <f>IF(LEFT(B61,4)&lt;&gt;"    ","",IF(W61-AU61&gt;=0,W61-AU61," "))</f>
        <v/>
      </c>
      <c r="AW61" s="12">
        <f>IF(LEFT(B61,4)&lt;&gt;"    ","",IF(AU61-W61&gt;=0,AU61-W61," "))</f>
        <v/>
      </c>
      <c r="AX61" s="186" t="n"/>
      <c r="AY61" s="187" t="n"/>
      <c r="AZ61" s="186" t="n"/>
      <c r="BA61" s="186" t="n"/>
      <c r="BB61" s="188" t="n"/>
      <c r="BC61" s="187" t="n"/>
      <c r="BD61" s="187" t="n"/>
      <c r="BE61" s="186" t="n"/>
      <c r="BF61" s="186" t="n"/>
      <c r="BG61" s="186" t="n"/>
      <c r="BH61" s="186" t="n"/>
      <c r="BI61" s="186" t="n"/>
      <c r="BJ61" s="186" t="n"/>
      <c r="BK61" s="186" t="n"/>
      <c r="BL61" s="186" t="n"/>
      <c r="BM61" s="186" t="n"/>
      <c r="BN61" s="186" t="n"/>
      <c r="BO61" s="186" t="n"/>
      <c r="BP61" s="186" t="n"/>
      <c r="BQ61" s="186" t="n"/>
      <c r="BR61" s="186" t="n"/>
      <c r="BS61" s="186" t="n"/>
      <c r="BT61" s="186" t="n"/>
      <c r="BU61" s="186" t="n"/>
      <c r="BV61" s="186" t="n"/>
      <c r="BW61" s="186" t="n"/>
      <c r="BX61" s="186" t="n"/>
      <c r="BY61" s="186" t="n"/>
      <c r="BZ61" s="189" t="n"/>
      <c r="CA61" s="189" t="n"/>
      <c r="CB61" s="189" t="n"/>
      <c r="CC61" s="190" t="n"/>
      <c r="CD61" s="186" t="n"/>
      <c r="CE61" s="186" t="n"/>
      <c r="CF61" s="186" t="n"/>
      <c r="CG61" s="186" t="n"/>
      <c r="CH61" s="186" t="n"/>
      <c r="CI61" s="191" t="n"/>
      <c r="CJ61" s="192" t="n"/>
      <c r="CK61" s="192" t="n"/>
      <c r="CL61" s="192" t="n"/>
      <c r="CM61" s="192" t="n"/>
    </row>
    <row r="62">
      <c r="A62" s="177" t="n"/>
      <c r="B62" s="178" t="n"/>
      <c r="C62" s="178" t="n"/>
      <c r="D62" s="179" t="n"/>
      <c r="E62" s="180" t="n"/>
      <c r="F62" s="181" t="n"/>
      <c r="G62" s="182" t="n"/>
      <c r="H62" s="105" t="n"/>
      <c r="I62" s="183">
        <f>F62</f>
        <v/>
      </c>
      <c r="J62" s="184" t="n"/>
      <c r="K62" s="185" t="n"/>
      <c r="L62" s="8" t="n"/>
      <c r="M62" s="184">
        <f>L62</f>
        <v/>
      </c>
      <c r="N62" s="71" t="n"/>
      <c r="O62" s="101" t="n"/>
      <c r="P62" s="9">
        <f>I62-M62</f>
        <v/>
      </c>
      <c r="Q62" s="9">
        <f>IF(LEFT(B62,4)&lt;&gt;"    ",0,BN62)</f>
        <v/>
      </c>
      <c r="R62" s="9">
        <f>+P62-Q62</f>
        <v/>
      </c>
      <c r="S62" s="280" t="n"/>
      <c r="T62" s="10" t="n"/>
      <c r="U62" s="23">
        <f>IF(LEFT(B62,4)&lt;&gt;"    ","",IF(M62&lt;&gt;0,X62/M62,0))</f>
        <v/>
      </c>
      <c r="V62" s="11">
        <f>IF(LEFT(B62,4)&lt;&gt;"    ","",U62*I62)</f>
        <v/>
      </c>
      <c r="W62" s="11">
        <f>IF(LEFT(B62,4)&lt;&gt;"    ","",X62+Z62)</f>
        <v/>
      </c>
      <c r="X62" s="8" t="n"/>
      <c r="Y62" s="9">
        <f>IF(LEFT(B62,4)&lt;&gt;"    ",0,IF(P62&lt;0,P62,IF(U62&gt;0.3,W62-X62,0)))</f>
        <v/>
      </c>
      <c r="Z62" s="71">
        <f>Y62</f>
        <v/>
      </c>
      <c r="AA62" s="71" t="n"/>
      <c r="AB62" s="109" t="n"/>
      <c r="AC62" s="9">
        <f>IF(LEFT(B62,4)&lt;&gt;"    ",0,BK62)</f>
        <v/>
      </c>
      <c r="AD62" s="9">
        <f>Z62-AC62</f>
        <v/>
      </c>
      <c r="AE62" s="10" t="n"/>
      <c r="AF62" s="24" t="n"/>
      <c r="AG62" s="11" t="n"/>
      <c r="AH62" s="8" t="n"/>
      <c r="AI62" s="9">
        <f>IF(LEFT(B62,4)&lt;&gt;"    ","",AG62-AH62)</f>
        <v/>
      </c>
      <c r="AJ62" s="9" t="n"/>
      <c r="AK62" s="10" t="n"/>
      <c r="AL62" s="11">
        <f>IF(LEFT(B62,4)&lt;&gt;"    ","",W62-AG62)</f>
        <v/>
      </c>
      <c r="AM62" s="8">
        <f>IF(LEFT(B62,4)&lt;&gt;"    ","",X62-AH62)</f>
        <v/>
      </c>
      <c r="AN62" s="9">
        <f>IF(LEFT(B62,4)&lt;&gt;"    ","",Y62-AI62)</f>
        <v/>
      </c>
      <c r="AO62" s="9">
        <f>IF(LEFT(B62,4)&lt;&gt;"    ","",Z62-AJ62)</f>
        <v/>
      </c>
      <c r="AP62" s="10" t="n"/>
      <c r="AQ62" s="25">
        <f>IF(LEFT(B62,4)&lt;&gt;"    ","",I62-W62)</f>
        <v/>
      </c>
      <c r="AR62" s="25">
        <f>M62-X62</f>
        <v/>
      </c>
      <c r="AS62" s="25">
        <f>IF(LEFT(B62,4)&lt;&gt;"    ","",P62-Z62)</f>
        <v/>
      </c>
      <c r="AT62" s="10" t="n"/>
      <c r="AU62" s="12" t="n"/>
      <c r="AV62" s="12">
        <f>IF(LEFT(B62,4)&lt;&gt;"    ","",IF(W62-AU62&gt;=0,W62-AU62," "))</f>
        <v/>
      </c>
      <c r="AW62" s="12">
        <f>IF(LEFT(B62,4)&lt;&gt;"    ","",IF(AU62-W62&gt;=0,AU62-W62," "))</f>
        <v/>
      </c>
      <c r="AX62" s="186" t="n"/>
      <c r="AY62" s="187" t="n"/>
      <c r="AZ62" s="186" t="n"/>
      <c r="BA62" s="186" t="n"/>
      <c r="BB62" s="188" t="n"/>
      <c r="BC62" s="187" t="n"/>
      <c r="BD62" s="187" t="n"/>
      <c r="BE62" s="186" t="n"/>
      <c r="BF62" s="186" t="n"/>
      <c r="BG62" s="186" t="n"/>
      <c r="BH62" s="186" t="n"/>
      <c r="BI62" s="186" t="n"/>
      <c r="BJ62" s="186" t="n"/>
      <c r="BK62" s="186" t="n"/>
      <c r="BL62" s="186" t="n"/>
      <c r="BM62" s="186" t="n"/>
      <c r="BN62" s="186" t="n"/>
      <c r="BO62" s="186" t="n"/>
      <c r="BP62" s="186" t="n"/>
      <c r="BQ62" s="186" t="n"/>
      <c r="BR62" s="186" t="n"/>
      <c r="BS62" s="186" t="n"/>
      <c r="BT62" s="186" t="n"/>
      <c r="BU62" s="186" t="n"/>
      <c r="BV62" s="186" t="n"/>
      <c r="BW62" s="186" t="n"/>
      <c r="BX62" s="186" t="n"/>
      <c r="BY62" s="186" t="n"/>
      <c r="BZ62" s="189" t="n"/>
      <c r="CA62" s="189" t="n"/>
      <c r="CB62" s="189" t="n"/>
      <c r="CC62" s="190" t="n"/>
      <c r="CD62" s="186" t="n"/>
      <c r="CE62" s="186" t="n"/>
      <c r="CF62" s="186" t="n"/>
      <c r="CG62" s="186" t="n"/>
      <c r="CH62" s="186" t="n"/>
      <c r="CI62" s="191" t="n"/>
      <c r="CJ62" s="192" t="n"/>
      <c r="CK62" s="192" t="n"/>
      <c r="CL62" s="192" t="n"/>
      <c r="CM62" s="192" t="n"/>
    </row>
    <row r="63">
      <c r="A63" s="177" t="n"/>
      <c r="B63" s="178" t="n"/>
      <c r="C63" s="178" t="n"/>
      <c r="D63" s="179" t="n"/>
      <c r="E63" s="180" t="n"/>
      <c r="F63" s="181" t="n"/>
      <c r="G63" s="182" t="n"/>
      <c r="H63" s="105" t="n"/>
      <c r="I63" s="183">
        <f>F63</f>
        <v/>
      </c>
      <c r="J63" s="184" t="n"/>
      <c r="K63" s="185" t="n"/>
      <c r="L63" s="8" t="n"/>
      <c r="M63" s="184">
        <f>L63</f>
        <v/>
      </c>
      <c r="N63" s="71" t="n"/>
      <c r="O63" s="101" t="n"/>
      <c r="P63" s="9">
        <f>I63-M63</f>
        <v/>
      </c>
      <c r="Q63" s="9">
        <f>IF(LEFT(B63,4)&lt;&gt;"    ",0,BN63)</f>
        <v/>
      </c>
      <c r="R63" s="9">
        <f>+P63-Q63</f>
        <v/>
      </c>
      <c r="S63" s="280" t="n"/>
      <c r="T63" s="10" t="n"/>
      <c r="U63" s="23">
        <f>IF(LEFT(B63,4)&lt;&gt;"    ","",IF(M63&lt;&gt;0,X63/M63,0))</f>
        <v/>
      </c>
      <c r="V63" s="11">
        <f>IF(LEFT(B63,4)&lt;&gt;"    ","",U63*I63)</f>
        <v/>
      </c>
      <c r="W63" s="11">
        <f>IF(LEFT(B63,4)&lt;&gt;"    ","",X63+Z63)</f>
        <v/>
      </c>
      <c r="X63" s="8" t="n"/>
      <c r="Y63" s="9">
        <f>IF(LEFT(B63,4)&lt;&gt;"    ",0,IF(P63&lt;0,P63,IF(U63&gt;0.3,W63-X63,0)))</f>
        <v/>
      </c>
      <c r="Z63" s="71">
        <f>Y63</f>
        <v/>
      </c>
      <c r="AA63" s="71" t="n"/>
      <c r="AB63" s="109" t="n"/>
      <c r="AC63" s="9">
        <f>IF(LEFT(B63,4)&lt;&gt;"    ",0,BK63)</f>
        <v/>
      </c>
      <c r="AD63" s="9">
        <f>Z63-AC63</f>
        <v/>
      </c>
      <c r="AE63" s="10" t="n"/>
      <c r="AF63" s="24" t="n"/>
      <c r="AG63" s="11" t="n"/>
      <c r="AH63" s="8" t="n"/>
      <c r="AI63" s="9">
        <f>IF(LEFT(B63,4)&lt;&gt;"    ","",AG63-AH63)</f>
        <v/>
      </c>
      <c r="AJ63" s="9" t="n"/>
      <c r="AK63" s="10" t="n"/>
      <c r="AL63" s="11">
        <f>IF(LEFT(B63,4)&lt;&gt;"    ","",W63-AG63)</f>
        <v/>
      </c>
      <c r="AM63" s="8">
        <f>IF(LEFT(B63,4)&lt;&gt;"    ","",X63-AH63)</f>
        <v/>
      </c>
      <c r="AN63" s="9">
        <f>IF(LEFT(B63,4)&lt;&gt;"    ","",Y63-AI63)</f>
        <v/>
      </c>
      <c r="AO63" s="9">
        <f>IF(LEFT(B63,4)&lt;&gt;"    ","",Z63-AJ63)</f>
        <v/>
      </c>
      <c r="AP63" s="10" t="n"/>
      <c r="AQ63" s="25">
        <f>IF(LEFT(B63,4)&lt;&gt;"    ","",I63-W63)</f>
        <v/>
      </c>
      <c r="AR63" s="25">
        <f>M63-X63</f>
        <v/>
      </c>
      <c r="AS63" s="25">
        <f>IF(LEFT(B63,4)&lt;&gt;"    ","",P63-Z63)</f>
        <v/>
      </c>
      <c r="AT63" s="10" t="n"/>
      <c r="AU63" s="12" t="n"/>
      <c r="AV63" s="12">
        <f>IF(LEFT(B63,4)&lt;&gt;"    ","",IF(W63-AU63&gt;=0,W63-AU63," "))</f>
        <v/>
      </c>
      <c r="AW63" s="12">
        <f>IF(LEFT(B63,4)&lt;&gt;"    ","",IF(AU63-W63&gt;=0,AU63-W63," "))</f>
        <v/>
      </c>
      <c r="AX63" s="186" t="n"/>
      <c r="AY63" s="187" t="n"/>
      <c r="AZ63" s="186" t="n"/>
      <c r="BA63" s="186" t="n"/>
      <c r="BB63" s="188" t="n"/>
      <c r="BC63" s="187" t="n"/>
      <c r="BD63" s="187" t="n"/>
      <c r="BE63" s="186" t="n"/>
      <c r="BF63" s="186" t="n"/>
      <c r="BG63" s="186" t="n"/>
      <c r="BH63" s="186" t="n"/>
      <c r="BI63" s="186" t="n"/>
      <c r="BJ63" s="186" t="n"/>
      <c r="BK63" s="186" t="n"/>
      <c r="BL63" s="186" t="n"/>
      <c r="BM63" s="186" t="n"/>
      <c r="BN63" s="186" t="n"/>
      <c r="BO63" s="186" t="n"/>
      <c r="BP63" s="186" t="n"/>
      <c r="BQ63" s="186" t="n"/>
      <c r="BR63" s="186" t="n"/>
      <c r="BS63" s="186" t="n"/>
      <c r="BT63" s="186" t="n"/>
      <c r="BU63" s="186" t="n"/>
      <c r="BV63" s="186" t="n"/>
      <c r="BW63" s="186" t="n"/>
      <c r="BX63" s="186" t="n"/>
      <c r="BY63" s="186" t="n"/>
      <c r="BZ63" s="189" t="n"/>
      <c r="CA63" s="189" t="n"/>
      <c r="CB63" s="189" t="n"/>
      <c r="CC63" s="190" t="n"/>
      <c r="CD63" s="186" t="n"/>
      <c r="CE63" s="186" t="n"/>
      <c r="CF63" s="186" t="n"/>
      <c r="CG63" s="186" t="n"/>
      <c r="CH63" s="186" t="n"/>
      <c r="CI63" s="191" t="n"/>
      <c r="CJ63" s="192" t="n"/>
      <c r="CK63" s="192" t="n"/>
      <c r="CL63" s="192" t="n"/>
      <c r="CM63" s="192" t="n"/>
    </row>
    <row r="64">
      <c r="A64" s="177" t="n"/>
      <c r="B64" s="178" t="n"/>
      <c r="C64" s="178" t="n"/>
      <c r="D64" s="179" t="n"/>
      <c r="E64" s="180" t="n"/>
      <c r="F64" s="181" t="n"/>
      <c r="G64" s="182" t="n"/>
      <c r="H64" s="105" t="n"/>
      <c r="I64" s="183">
        <f>F64</f>
        <v/>
      </c>
      <c r="J64" s="184" t="n"/>
      <c r="K64" s="185" t="n"/>
      <c r="L64" s="8" t="n"/>
      <c r="M64" s="184">
        <f>L64</f>
        <v/>
      </c>
      <c r="N64" s="71" t="n"/>
      <c r="O64" s="101" t="n"/>
      <c r="P64" s="9">
        <f>I64-M64</f>
        <v/>
      </c>
      <c r="Q64" s="9">
        <f>IF(LEFT(B64,4)&lt;&gt;"    ",0,BN64)</f>
        <v/>
      </c>
      <c r="R64" s="9">
        <f>+P64-Q64</f>
        <v/>
      </c>
      <c r="S64" s="280" t="n"/>
      <c r="T64" s="10" t="n"/>
      <c r="U64" s="23">
        <f>IF(LEFT(B64,4)&lt;&gt;"    ","",IF(M64&lt;&gt;0,X64/M64,0))</f>
        <v/>
      </c>
      <c r="V64" s="11">
        <f>IF(LEFT(B64,4)&lt;&gt;"    ","",U64*I64)</f>
        <v/>
      </c>
      <c r="W64" s="11">
        <f>IF(LEFT(B64,4)&lt;&gt;"    ","",X64+Z64)</f>
        <v/>
      </c>
      <c r="X64" s="8" t="n"/>
      <c r="Y64" s="9">
        <f>IF(LEFT(B64,4)&lt;&gt;"    ",0,IF(P64&lt;0,P64,IF(U64&gt;0.3,W64-X64,0)))</f>
        <v/>
      </c>
      <c r="Z64" s="71">
        <f>Y64</f>
        <v/>
      </c>
      <c r="AA64" s="71" t="n"/>
      <c r="AB64" s="109" t="n"/>
      <c r="AC64" s="9">
        <f>IF(LEFT(B64,4)&lt;&gt;"    ",0,BK64)</f>
        <v/>
      </c>
      <c r="AD64" s="9">
        <f>Z64-AC64</f>
        <v/>
      </c>
      <c r="AE64" s="10" t="n"/>
      <c r="AF64" s="24" t="n"/>
      <c r="AG64" s="11" t="n"/>
      <c r="AH64" s="8" t="n"/>
      <c r="AI64" s="9">
        <f>IF(LEFT(B64,4)&lt;&gt;"    ","",AG64-AH64)</f>
        <v/>
      </c>
      <c r="AJ64" s="9" t="n"/>
      <c r="AK64" s="10" t="n"/>
      <c r="AL64" s="11">
        <f>IF(LEFT(B64,4)&lt;&gt;"    ","",W64-AG64)</f>
        <v/>
      </c>
      <c r="AM64" s="8">
        <f>IF(LEFT(B64,4)&lt;&gt;"    ","",X64-AH64)</f>
        <v/>
      </c>
      <c r="AN64" s="9">
        <f>IF(LEFT(B64,4)&lt;&gt;"    ","",Y64-AI64)</f>
        <v/>
      </c>
      <c r="AO64" s="9">
        <f>IF(LEFT(B64,4)&lt;&gt;"    ","",Z64-AJ64)</f>
        <v/>
      </c>
      <c r="AP64" s="10" t="n"/>
      <c r="AQ64" s="25">
        <f>IF(LEFT(B64,4)&lt;&gt;"    ","",I64-W64)</f>
        <v/>
      </c>
      <c r="AR64" s="25">
        <f>M64-X64</f>
        <v/>
      </c>
      <c r="AS64" s="25">
        <f>IF(LEFT(B64,4)&lt;&gt;"    ","",P64-Z64)</f>
        <v/>
      </c>
      <c r="AT64" s="10" t="n"/>
      <c r="AU64" s="12" t="n"/>
      <c r="AV64" s="12">
        <f>IF(LEFT(B64,4)&lt;&gt;"    ","",IF(W64-AU64&gt;=0,W64-AU64," "))</f>
        <v/>
      </c>
      <c r="AW64" s="12">
        <f>IF(LEFT(B64,4)&lt;&gt;"    ","",IF(AU64-W64&gt;=0,AU64-W64," "))</f>
        <v/>
      </c>
      <c r="AX64" s="186" t="n"/>
      <c r="AY64" s="187" t="n"/>
      <c r="AZ64" s="186" t="n"/>
      <c r="BA64" s="186" t="n"/>
      <c r="BB64" s="188" t="n"/>
      <c r="BC64" s="187" t="n"/>
      <c r="BD64" s="187" t="n"/>
      <c r="BE64" s="186" t="n"/>
      <c r="BF64" s="186" t="n"/>
      <c r="BG64" s="186" t="n"/>
      <c r="BH64" s="186" t="n"/>
      <c r="BI64" s="186" t="n"/>
      <c r="BJ64" s="186" t="n"/>
      <c r="BK64" s="186" t="n"/>
      <c r="BL64" s="186" t="n"/>
      <c r="BM64" s="186" t="n"/>
      <c r="BN64" s="186" t="n"/>
      <c r="BO64" s="186" t="n"/>
      <c r="BP64" s="186" t="n"/>
      <c r="BQ64" s="186" t="n"/>
      <c r="BR64" s="186" t="n"/>
      <c r="BS64" s="186" t="n"/>
      <c r="BT64" s="186" t="n"/>
      <c r="BU64" s="186" t="n"/>
      <c r="BV64" s="186" t="n"/>
      <c r="BW64" s="186" t="n"/>
      <c r="BX64" s="186" t="n"/>
      <c r="BY64" s="186" t="n"/>
      <c r="BZ64" s="189" t="n"/>
      <c r="CA64" s="189" t="n"/>
      <c r="CB64" s="189" t="n"/>
      <c r="CC64" s="190" t="n"/>
      <c r="CD64" s="186" t="n"/>
      <c r="CE64" s="186" t="n"/>
      <c r="CF64" s="186" t="n"/>
      <c r="CG64" s="186" t="n"/>
      <c r="CH64" s="186" t="n"/>
      <c r="CI64" s="191" t="n"/>
      <c r="CJ64" s="192" t="n"/>
      <c r="CK64" s="192" t="n"/>
      <c r="CL64" s="192" t="n"/>
      <c r="CM64" s="192" t="n"/>
    </row>
    <row r="65">
      <c r="A65" s="177" t="n"/>
      <c r="B65" s="178" t="n"/>
      <c r="C65" s="178" t="n"/>
      <c r="D65" s="179" t="n"/>
      <c r="E65" s="180" t="n"/>
      <c r="F65" s="181" t="n"/>
      <c r="G65" s="182" t="n"/>
      <c r="H65" s="105" t="n"/>
      <c r="I65" s="183">
        <f>F65</f>
        <v/>
      </c>
      <c r="J65" s="184" t="n"/>
      <c r="K65" s="185" t="n"/>
      <c r="L65" s="8" t="n"/>
      <c r="M65" s="184">
        <f>L65</f>
        <v/>
      </c>
      <c r="N65" s="71" t="n"/>
      <c r="O65" s="101" t="n"/>
      <c r="P65" s="9">
        <f>I65-M65</f>
        <v/>
      </c>
      <c r="Q65" s="9">
        <f>IF(LEFT(B65,4)&lt;&gt;"    ",0,BN65)</f>
        <v/>
      </c>
      <c r="R65" s="9">
        <f>+P65-Q65</f>
        <v/>
      </c>
      <c r="S65" s="280" t="n"/>
      <c r="T65" s="10" t="n"/>
      <c r="U65" s="23">
        <f>IF(LEFT(B65,4)&lt;&gt;"    ","",IF(M65&lt;&gt;0,X65/M65,0))</f>
        <v/>
      </c>
      <c r="V65" s="11">
        <f>IF(LEFT(B65,4)&lt;&gt;"    ","",U65*I65)</f>
        <v/>
      </c>
      <c r="W65" s="11">
        <f>IF(LEFT(B65,4)&lt;&gt;"    ","",X65+Z65)</f>
        <v/>
      </c>
      <c r="X65" s="8" t="n"/>
      <c r="Y65" s="9">
        <f>IF(LEFT(B65,4)&lt;&gt;"    ",0,IF(P65&lt;0,P65,IF(U65&gt;0.3,W65-X65,0)))</f>
        <v/>
      </c>
      <c r="Z65" s="71">
        <f>Y65</f>
        <v/>
      </c>
      <c r="AA65" s="71" t="n"/>
      <c r="AB65" s="109" t="n"/>
      <c r="AC65" s="9">
        <f>IF(LEFT(B65,4)&lt;&gt;"    ",0,BK65)</f>
        <v/>
      </c>
      <c r="AD65" s="9">
        <f>Z65-AC65</f>
        <v/>
      </c>
      <c r="AE65" s="10" t="n"/>
      <c r="AF65" s="24" t="n"/>
      <c r="AG65" s="11" t="n"/>
      <c r="AH65" s="8" t="n"/>
      <c r="AI65" s="9">
        <f>IF(LEFT(B65,4)&lt;&gt;"    ","",AG65-AH65)</f>
        <v/>
      </c>
      <c r="AJ65" s="9" t="n"/>
      <c r="AK65" s="10" t="n"/>
      <c r="AL65" s="11">
        <f>IF(LEFT(B65,4)&lt;&gt;"    ","",W65-AG65)</f>
        <v/>
      </c>
      <c r="AM65" s="8">
        <f>IF(LEFT(B65,4)&lt;&gt;"    ","",X65-AH65)</f>
        <v/>
      </c>
      <c r="AN65" s="9">
        <f>IF(LEFT(B65,4)&lt;&gt;"    ","",Y65-AI65)</f>
        <v/>
      </c>
      <c r="AO65" s="9">
        <f>IF(LEFT(B65,4)&lt;&gt;"    ","",Z65-AJ65)</f>
        <v/>
      </c>
      <c r="AP65" s="10" t="n"/>
      <c r="AQ65" s="25">
        <f>IF(LEFT(B65,4)&lt;&gt;"    ","",I65-W65)</f>
        <v/>
      </c>
      <c r="AR65" s="25">
        <f>M65-X65</f>
        <v/>
      </c>
      <c r="AS65" s="25">
        <f>IF(LEFT(B65,4)&lt;&gt;"    ","",P65-Z65)</f>
        <v/>
      </c>
      <c r="AT65" s="10" t="n"/>
      <c r="AU65" s="12" t="n"/>
      <c r="AV65" s="12">
        <f>IF(LEFT(B65,4)&lt;&gt;"    ","",IF(W65-AU65&gt;=0,W65-AU65," "))</f>
        <v/>
      </c>
      <c r="AW65" s="12">
        <f>IF(LEFT(B65,4)&lt;&gt;"    ","",IF(AU65-W65&gt;=0,AU65-W65," "))</f>
        <v/>
      </c>
      <c r="AX65" s="186" t="n"/>
      <c r="AY65" s="187" t="n"/>
      <c r="AZ65" s="186" t="n"/>
      <c r="BA65" s="186" t="n"/>
      <c r="BB65" s="188" t="n"/>
      <c r="BC65" s="187" t="n"/>
      <c r="BD65" s="187" t="n"/>
      <c r="BE65" s="186" t="n"/>
      <c r="BF65" s="186" t="n"/>
      <c r="BG65" s="186" t="n"/>
      <c r="BH65" s="186" t="n"/>
      <c r="BI65" s="186" t="n"/>
      <c r="BJ65" s="186" t="n"/>
      <c r="BK65" s="186" t="n"/>
      <c r="BL65" s="186" t="n"/>
      <c r="BM65" s="186" t="n"/>
      <c r="BN65" s="186" t="n"/>
      <c r="BO65" s="186" t="n"/>
      <c r="BP65" s="186" t="n"/>
      <c r="BQ65" s="186" t="n"/>
      <c r="BR65" s="186" t="n"/>
      <c r="BS65" s="186" t="n"/>
      <c r="BT65" s="186" t="n"/>
      <c r="BU65" s="186" t="n"/>
      <c r="BV65" s="186" t="n"/>
      <c r="BW65" s="186" t="n"/>
      <c r="BX65" s="186" t="n"/>
      <c r="BY65" s="186" t="n"/>
      <c r="BZ65" s="189" t="n"/>
      <c r="CA65" s="189" t="n"/>
      <c r="CB65" s="189" t="n"/>
      <c r="CC65" s="190" t="n"/>
      <c r="CD65" s="186" t="n"/>
      <c r="CE65" s="186" t="n"/>
      <c r="CF65" s="186" t="n"/>
      <c r="CG65" s="186" t="n"/>
      <c r="CH65" s="186" t="n"/>
      <c r="CI65" s="191" t="n"/>
      <c r="CJ65" s="192" t="n"/>
      <c r="CK65" s="192" t="n"/>
      <c r="CL65" s="192" t="n"/>
      <c r="CM65" s="192" t="n"/>
    </row>
    <row r="66">
      <c r="A66" s="177" t="n"/>
      <c r="B66" s="178" t="n"/>
      <c r="C66" s="178" t="n"/>
      <c r="D66" s="179" t="n"/>
      <c r="E66" s="180" t="n"/>
      <c r="F66" s="181" t="n"/>
      <c r="G66" s="182" t="n"/>
      <c r="H66" s="105" t="n"/>
      <c r="I66" s="183">
        <f>F66</f>
        <v/>
      </c>
      <c r="J66" s="184" t="n"/>
      <c r="K66" s="185" t="n"/>
      <c r="L66" s="8" t="n"/>
      <c r="M66" s="184">
        <f>L66</f>
        <v/>
      </c>
      <c r="N66" s="184" t="n"/>
      <c r="O66" s="185" t="n"/>
      <c r="P66" s="9">
        <f>I66-M66</f>
        <v/>
      </c>
      <c r="Q66" s="9">
        <f>IF(LEFT(B66,4)&lt;&gt;"    ",0,BN66)</f>
        <v/>
      </c>
      <c r="R66" s="9">
        <f>+P66-Q66</f>
        <v/>
      </c>
      <c r="S66" s="280" t="n"/>
      <c r="T66" s="10" t="n"/>
      <c r="U66" s="23">
        <f>IF(LEFT(B66,4)&lt;&gt;"    ","",IF(M66&lt;&gt;0,X66/M66,0))</f>
        <v/>
      </c>
      <c r="V66" s="11">
        <f>IF(LEFT(B66,4)&lt;&gt;"    ","",U66*I66)</f>
        <v/>
      </c>
      <c r="W66" s="11">
        <f>IF(LEFT(B66,4)&lt;&gt;"    ","",X66+Z66)</f>
        <v/>
      </c>
      <c r="X66" s="8" t="n"/>
      <c r="Y66" s="9">
        <f>IF(LEFT(B66,4)&lt;&gt;"    ",0,IF(P66&lt;0,P66,IF(U66&gt;0.3,W66-X66,0)))</f>
        <v/>
      </c>
      <c r="Z66" s="71">
        <f>Y66</f>
        <v/>
      </c>
      <c r="AA66" s="71" t="n"/>
      <c r="AB66" s="109" t="n"/>
      <c r="AC66" s="9">
        <f>IF(LEFT(B66,4)&lt;&gt;"    ",0,BK66)</f>
        <v/>
      </c>
      <c r="AD66" s="9">
        <f>Z66-AC66</f>
        <v/>
      </c>
      <c r="AE66" s="10" t="n"/>
      <c r="AF66" s="24" t="n"/>
      <c r="AG66" s="11" t="n"/>
      <c r="AH66" s="8" t="n"/>
      <c r="AI66" s="9">
        <f>IF(LEFT(B66,4)&lt;&gt;"    ","",AG66-AH66)</f>
        <v/>
      </c>
      <c r="AJ66" s="9" t="n"/>
      <c r="AK66" s="10" t="n"/>
      <c r="AL66" s="11">
        <f>IF(LEFT(B66,4)&lt;&gt;"    ","",W66-AG66)</f>
        <v/>
      </c>
      <c r="AM66" s="8">
        <f>IF(LEFT(B66,4)&lt;&gt;"    ","",X66-AH66)</f>
        <v/>
      </c>
      <c r="AN66" s="9">
        <f>IF(LEFT(B66,4)&lt;&gt;"    ","",Y66-AI66)</f>
        <v/>
      </c>
      <c r="AO66" s="9">
        <f>IF(LEFT(B66,4)&lt;&gt;"    ","",Z66-AJ66)</f>
        <v/>
      </c>
      <c r="AP66" s="10" t="n"/>
      <c r="AQ66" s="25">
        <f>IF(LEFT(B66,4)&lt;&gt;"    ","",I66-W66)</f>
        <v/>
      </c>
      <c r="AR66" s="25">
        <f>M66-X66</f>
        <v/>
      </c>
      <c r="AS66" s="25">
        <f>IF(LEFT(B66,4)&lt;&gt;"    ","",P66-Z66)</f>
        <v/>
      </c>
      <c r="AT66" s="10" t="n"/>
      <c r="AU66" s="12" t="n"/>
      <c r="AV66" s="12">
        <f>IF(LEFT(B66,4)&lt;&gt;"    ","",IF(W66-AU66&gt;=0,W66-AU66," "))</f>
        <v/>
      </c>
      <c r="AW66" s="12">
        <f>IF(LEFT(B66,4)&lt;&gt;"    ","",IF(AU66-W66&gt;=0,AU66-W66," "))</f>
        <v/>
      </c>
      <c r="AX66" s="186" t="n"/>
      <c r="AY66" s="187" t="n"/>
      <c r="AZ66" s="186" t="n"/>
      <c r="BA66" s="186" t="n"/>
      <c r="BB66" s="188" t="n"/>
      <c r="BC66" s="187" t="n"/>
      <c r="BD66" s="187" t="n"/>
      <c r="BE66" s="186" t="n"/>
      <c r="BF66" s="186" t="n"/>
      <c r="BG66" s="186" t="n"/>
      <c r="BH66" s="186" t="n"/>
      <c r="BI66" s="186" t="n"/>
      <c r="BJ66" s="186" t="n"/>
      <c r="BK66" s="186" t="n"/>
      <c r="BL66" s="186" t="n"/>
      <c r="BM66" s="186" t="n"/>
      <c r="BN66" s="186" t="n"/>
      <c r="BO66" s="186" t="n"/>
      <c r="BP66" s="186" t="n"/>
      <c r="BQ66" s="186" t="n"/>
      <c r="BR66" s="186" t="n"/>
      <c r="BS66" s="186" t="n"/>
      <c r="BT66" s="186" t="n"/>
      <c r="BU66" s="186" t="n"/>
      <c r="BV66" s="186" t="n"/>
      <c r="BW66" s="186" t="n"/>
      <c r="BX66" s="186" t="n"/>
      <c r="BY66" s="186" t="n"/>
      <c r="BZ66" s="189" t="n"/>
      <c r="CA66" s="189" t="n"/>
      <c r="CB66" s="189" t="n"/>
      <c r="CC66" s="190" t="n"/>
      <c r="CD66" s="186" t="n"/>
      <c r="CE66" s="186" t="n"/>
      <c r="CF66" s="186" t="n"/>
      <c r="CG66" s="186" t="n"/>
      <c r="CH66" s="186" t="n"/>
      <c r="CI66" s="191" t="n"/>
      <c r="CJ66" s="192" t="n"/>
      <c r="CK66" s="192" t="n"/>
      <c r="CL66" s="192" t="n"/>
      <c r="CM66" s="192" t="n"/>
    </row>
    <row r="67">
      <c r="A67" s="177" t="n"/>
      <c r="B67" s="178" t="n"/>
      <c r="C67" s="178" t="n"/>
      <c r="D67" s="179" t="n"/>
      <c r="E67" s="180" t="n"/>
      <c r="F67" s="181" t="n"/>
      <c r="G67" s="182" t="n"/>
      <c r="H67" s="105" t="n"/>
      <c r="I67" s="183">
        <f>F67</f>
        <v/>
      </c>
      <c r="J67" s="184" t="n"/>
      <c r="K67" s="185" t="n"/>
      <c r="L67" s="8" t="n"/>
      <c r="M67" s="184">
        <f>L67</f>
        <v/>
      </c>
      <c r="N67" s="71" t="n"/>
      <c r="O67" s="101" t="n"/>
      <c r="P67" s="9">
        <f>I67-M67</f>
        <v/>
      </c>
      <c r="Q67" s="9">
        <f>IF(LEFT(B67,4)&lt;&gt;"    ",0,BN67)</f>
        <v/>
      </c>
      <c r="R67" s="9">
        <f>+P67-Q67</f>
        <v/>
      </c>
      <c r="S67" s="280" t="n"/>
      <c r="T67" s="10" t="n"/>
      <c r="U67" s="23">
        <f>IF(LEFT(B67,4)&lt;&gt;"    ","",IF(M67&lt;&gt;0,X67/M67,0))</f>
        <v/>
      </c>
      <c r="V67" s="11">
        <f>IF(LEFT(B67,4)&lt;&gt;"    ","",U67*I67)</f>
        <v/>
      </c>
      <c r="W67" s="11">
        <f>IF(LEFT(B67,4)&lt;&gt;"    ","",X67+Z67)</f>
        <v/>
      </c>
      <c r="X67" s="8" t="n"/>
      <c r="Y67" s="9">
        <f>IF(LEFT(B67,4)&lt;&gt;"    ",0,IF(P67&lt;0,P67,IF(U67&gt;0.3,W67-X67,0)))</f>
        <v/>
      </c>
      <c r="Z67" s="71">
        <f>Y67</f>
        <v/>
      </c>
      <c r="AA67" s="71" t="n"/>
      <c r="AB67" s="109" t="n"/>
      <c r="AC67" s="9">
        <f>IF(LEFT(B67,4)&lt;&gt;"    ",0,BK67)</f>
        <v/>
      </c>
      <c r="AD67" s="9">
        <f>Z67-AC67</f>
        <v/>
      </c>
      <c r="AE67" s="10" t="n"/>
      <c r="AF67" s="24" t="n"/>
      <c r="AG67" s="11" t="n"/>
      <c r="AH67" s="8" t="n"/>
      <c r="AI67" s="9">
        <f>IF(LEFT(B67,4)&lt;&gt;"    ","",AG67-AH67)</f>
        <v/>
      </c>
      <c r="AJ67" s="9" t="n"/>
      <c r="AK67" s="10" t="n"/>
      <c r="AL67" s="11">
        <f>IF(LEFT(B67,4)&lt;&gt;"    ","",W67-AG67)</f>
        <v/>
      </c>
      <c r="AM67" s="8">
        <f>IF(LEFT(B67,4)&lt;&gt;"    ","",X67-AH67)</f>
        <v/>
      </c>
      <c r="AN67" s="9">
        <f>IF(LEFT(B67,4)&lt;&gt;"    ","",Y67-AI67)</f>
        <v/>
      </c>
      <c r="AO67" s="9">
        <f>IF(LEFT(B67,4)&lt;&gt;"    ","",Z67-AJ67)</f>
        <v/>
      </c>
      <c r="AP67" s="10" t="n"/>
      <c r="AQ67" s="25">
        <f>IF(LEFT(B67,4)&lt;&gt;"    ","",I67-W67)</f>
        <v/>
      </c>
      <c r="AR67" s="25">
        <f>M67-X67</f>
        <v/>
      </c>
      <c r="AS67" s="25">
        <f>IF(LEFT(B67,4)&lt;&gt;"    ","",P67-Z67)</f>
        <v/>
      </c>
      <c r="AT67" s="10" t="n"/>
      <c r="AU67" s="12" t="n"/>
      <c r="AV67" s="12">
        <f>IF(LEFT(B67,4)&lt;&gt;"    ","",IF(W67-AU67&gt;=0,W67-AU67," "))</f>
        <v/>
      </c>
      <c r="AW67" s="12">
        <f>IF(LEFT(B67,4)&lt;&gt;"    ","",IF(AU67-W67&gt;=0,AU67-W67," "))</f>
        <v/>
      </c>
      <c r="AX67" s="186" t="n"/>
      <c r="AY67" s="187" t="n"/>
      <c r="AZ67" s="186" t="n"/>
      <c r="BA67" s="186" t="n"/>
      <c r="BB67" s="188" t="n"/>
      <c r="BC67" s="187" t="n"/>
      <c r="BD67" s="187" t="n"/>
      <c r="BE67" s="186" t="n"/>
      <c r="BF67" s="186" t="n"/>
      <c r="BG67" s="186" t="n"/>
      <c r="BH67" s="186" t="n"/>
      <c r="BI67" s="186" t="n"/>
      <c r="BJ67" s="186" t="n"/>
      <c r="BK67" s="186" t="n"/>
      <c r="BL67" s="186" t="n"/>
      <c r="BM67" s="186" t="n"/>
      <c r="BN67" s="186" t="n"/>
      <c r="BO67" s="186" t="n"/>
      <c r="BP67" s="186" t="n"/>
      <c r="BQ67" s="186" t="n"/>
      <c r="BR67" s="186" t="n"/>
      <c r="BS67" s="186" t="n"/>
      <c r="BT67" s="186" t="n"/>
      <c r="BU67" s="186" t="n"/>
      <c r="BV67" s="186" t="n"/>
      <c r="BW67" s="186" t="n"/>
      <c r="BX67" s="186" t="n"/>
      <c r="BY67" s="186" t="n"/>
      <c r="BZ67" s="189" t="n"/>
      <c r="CA67" s="189" t="n"/>
      <c r="CB67" s="189" t="n"/>
      <c r="CC67" s="190" t="n"/>
      <c r="CD67" s="186" t="n"/>
      <c r="CE67" s="186" t="n"/>
      <c r="CF67" s="186" t="n"/>
      <c r="CG67" s="186" t="n"/>
      <c r="CH67" s="186" t="n"/>
      <c r="CI67" s="191" t="n"/>
      <c r="CJ67" s="192" t="n"/>
      <c r="CK67" s="192" t="n"/>
      <c r="CL67" s="192" t="n"/>
      <c r="CM67" s="192" t="n"/>
    </row>
    <row r="68">
      <c r="A68" s="177" t="n"/>
      <c r="B68" s="195" t="n"/>
      <c r="C68" s="178" t="n"/>
      <c r="D68" s="179" t="n"/>
      <c r="E68" s="180" t="n"/>
      <c r="F68" s="181" t="n"/>
      <c r="G68" s="182" t="n"/>
      <c r="H68" s="105" t="n"/>
      <c r="I68" s="183">
        <f>F68</f>
        <v/>
      </c>
      <c r="J68" s="184" t="n"/>
      <c r="K68" s="185" t="n"/>
      <c r="L68" s="8" t="n"/>
      <c r="M68" s="184">
        <f>L68</f>
        <v/>
      </c>
      <c r="N68" s="71" t="n"/>
      <c r="O68" s="101" t="n"/>
      <c r="P68" s="9">
        <f>I68-M68</f>
        <v/>
      </c>
      <c r="Q68" s="9">
        <f>IF(LEFT(B68,4)&lt;&gt;"    ",0,BN68)</f>
        <v/>
      </c>
      <c r="R68" s="9">
        <f>+P68-Q68</f>
        <v/>
      </c>
      <c r="S68" s="280" t="n"/>
      <c r="T68" s="10" t="n"/>
      <c r="U68" s="23">
        <f>IF(LEFT(B68,4)&lt;&gt;"    ","",IF(M68&lt;&gt;0,X68/M68,0))</f>
        <v/>
      </c>
      <c r="V68" s="11">
        <f>IF(LEFT(B68,4)&lt;&gt;"    ","",U68*I68)</f>
        <v/>
      </c>
      <c r="W68" s="11">
        <f>IF(LEFT(B68,4)&lt;&gt;"    ","",X68+Z68)</f>
        <v/>
      </c>
      <c r="X68" s="8" t="n"/>
      <c r="Y68" s="9">
        <f>IF(LEFT(B68,4)&lt;&gt;"    ",0,IF(P68&lt;0,P68,IF(U68&gt;0.3,W68-X68,0)))</f>
        <v/>
      </c>
      <c r="Z68" s="71">
        <f>Y68</f>
        <v/>
      </c>
      <c r="AA68" s="71" t="n"/>
      <c r="AB68" s="109" t="n"/>
      <c r="AC68" s="9">
        <f>IF(LEFT(B68,4)&lt;&gt;"    ",0,BK68)</f>
        <v/>
      </c>
      <c r="AD68" s="9">
        <f>Z68-AC68</f>
        <v/>
      </c>
      <c r="AE68" s="10" t="n"/>
      <c r="AF68" s="24" t="n"/>
      <c r="AG68" s="11" t="n"/>
      <c r="AH68" s="8" t="n"/>
      <c r="AI68" s="9">
        <f>IF(LEFT(B68,4)&lt;&gt;"    ","",AG68-AH68)</f>
        <v/>
      </c>
      <c r="AJ68" s="9" t="n"/>
      <c r="AK68" s="10" t="n"/>
      <c r="AL68" s="11">
        <f>IF(LEFT(B68,4)&lt;&gt;"    ","",W68-AG68)</f>
        <v/>
      </c>
      <c r="AM68" s="8">
        <f>IF(LEFT(B68,4)&lt;&gt;"    ","",X68-AH68)</f>
        <v/>
      </c>
      <c r="AN68" s="9">
        <f>IF(LEFT(B68,4)&lt;&gt;"    ","",Y68-AI68)</f>
        <v/>
      </c>
      <c r="AO68" s="9">
        <f>IF(LEFT(B68,4)&lt;&gt;"    ","",Z68-AJ68)</f>
        <v/>
      </c>
      <c r="AP68" s="10" t="n"/>
      <c r="AQ68" s="25">
        <f>IF(LEFT(B68,4)&lt;&gt;"    ","",I68-W68)</f>
        <v/>
      </c>
      <c r="AR68" s="25">
        <f>M68-X68</f>
        <v/>
      </c>
      <c r="AS68" s="25">
        <f>IF(LEFT(B68,4)&lt;&gt;"    ","",P68-Z68)</f>
        <v/>
      </c>
      <c r="AT68" s="10" t="n"/>
      <c r="AU68" s="12" t="n"/>
      <c r="AV68" s="12">
        <f>IF(LEFT(B68,4)&lt;&gt;"    ","",IF(W68-AU68&gt;=0,W68-AU68," "))</f>
        <v/>
      </c>
      <c r="AW68" s="12">
        <f>IF(LEFT(B68,4)&lt;&gt;"    ","",IF(AU68-W68&gt;=0,AU68-W68," "))</f>
        <v/>
      </c>
      <c r="AX68" s="186" t="n"/>
      <c r="AY68" s="187" t="n"/>
      <c r="AZ68" s="186" t="n"/>
      <c r="BA68" s="186" t="n"/>
      <c r="BB68" s="188" t="n"/>
      <c r="BC68" s="187" t="n"/>
      <c r="BD68" s="187" t="n"/>
      <c r="BE68" s="186" t="n"/>
      <c r="BF68" s="186" t="n"/>
      <c r="BG68" s="186" t="n"/>
      <c r="BH68" s="186" t="n"/>
      <c r="BI68" s="186" t="n"/>
      <c r="BJ68" s="186" t="n"/>
      <c r="BK68" s="186" t="n"/>
      <c r="BL68" s="186" t="n"/>
      <c r="BM68" s="186" t="n"/>
      <c r="BN68" s="186" t="n"/>
      <c r="BO68" s="186" t="n"/>
      <c r="BP68" s="186" t="n"/>
      <c r="BQ68" s="186" t="n"/>
      <c r="BR68" s="186" t="n"/>
      <c r="BS68" s="186" t="n"/>
      <c r="BT68" s="186" t="n"/>
      <c r="BU68" s="186" t="n"/>
      <c r="BV68" s="186" t="n"/>
      <c r="BW68" s="186" t="n"/>
      <c r="BX68" s="186" t="n"/>
      <c r="BY68" s="186" t="n"/>
      <c r="BZ68" s="189" t="n"/>
      <c r="CA68" s="189" t="n"/>
      <c r="CB68" s="189" t="n"/>
      <c r="CC68" s="190" t="n"/>
      <c r="CD68" s="186" t="n"/>
      <c r="CE68" s="186" t="n"/>
      <c r="CF68" s="186" t="n"/>
      <c r="CG68" s="186" t="n"/>
      <c r="CH68" s="186" t="n"/>
      <c r="CI68" s="191" t="n"/>
      <c r="CJ68" s="192" t="n"/>
      <c r="CK68" s="192" t="n"/>
      <c r="CL68" s="192" t="n"/>
      <c r="CM68" s="192" t="n"/>
    </row>
    <row r="69">
      <c r="A69" s="177" t="n"/>
      <c r="B69" s="195" t="n"/>
      <c r="C69" s="178" t="n"/>
      <c r="D69" s="179" t="n"/>
      <c r="E69" s="180" t="n"/>
      <c r="F69" s="181" t="n"/>
      <c r="G69" s="182" t="n"/>
      <c r="H69" s="105" t="n"/>
      <c r="I69" s="183">
        <f>F69</f>
        <v/>
      </c>
      <c r="J69" s="184" t="n"/>
      <c r="K69" s="185" t="n"/>
      <c r="L69" s="8" t="n"/>
      <c r="M69" s="184">
        <f>L69</f>
        <v/>
      </c>
      <c r="N69" s="71" t="n"/>
      <c r="O69" s="101" t="n"/>
      <c r="P69" s="9">
        <f>I69-M69</f>
        <v/>
      </c>
      <c r="Q69" s="9">
        <f>IF(LEFT(B69,4)&lt;&gt;"    ",0,BN69)</f>
        <v/>
      </c>
      <c r="R69" s="9">
        <f>+P69-Q69</f>
        <v/>
      </c>
      <c r="S69" s="280" t="n"/>
      <c r="T69" s="10" t="n"/>
      <c r="U69" s="23">
        <f>IF(LEFT(B69,4)&lt;&gt;"    ","",IF(M69&lt;&gt;0,X69/M69,0))</f>
        <v/>
      </c>
      <c r="V69" s="11">
        <f>IF(LEFT(B69,4)&lt;&gt;"    ","",U69*I69)</f>
        <v/>
      </c>
      <c r="W69" s="11">
        <f>IF(LEFT(B69,4)&lt;&gt;"    ","",X69+Z69)</f>
        <v/>
      </c>
      <c r="X69" s="8" t="n"/>
      <c r="Y69" s="9">
        <f>IF(LEFT(B69,4)&lt;&gt;"    ",0,IF(P69&lt;0,P69,IF(U69&gt;0.3,W69-X69,0)))</f>
        <v/>
      </c>
      <c r="Z69" s="71">
        <f>Y69</f>
        <v/>
      </c>
      <c r="AA69" s="71" t="n"/>
      <c r="AB69" s="109" t="n"/>
      <c r="AC69" s="9">
        <f>IF(LEFT(B69,4)&lt;&gt;"    ",0,BK69)</f>
        <v/>
      </c>
      <c r="AD69" s="9">
        <f>Z69-AC69</f>
        <v/>
      </c>
      <c r="AE69" s="10" t="n"/>
      <c r="AF69" s="24" t="n"/>
      <c r="AG69" s="11" t="n"/>
      <c r="AH69" s="8" t="n"/>
      <c r="AI69" s="9">
        <f>IF(LEFT(B69,4)&lt;&gt;"    ","",AG69-AH69)</f>
        <v/>
      </c>
      <c r="AJ69" s="9" t="n"/>
      <c r="AK69" s="10" t="n"/>
      <c r="AL69" s="11">
        <f>IF(LEFT(B69,4)&lt;&gt;"    ","",W69-AG69)</f>
        <v/>
      </c>
      <c r="AM69" s="8">
        <f>IF(LEFT(B69,4)&lt;&gt;"    ","",X69-AH69)</f>
        <v/>
      </c>
      <c r="AN69" s="9">
        <f>IF(LEFT(B69,4)&lt;&gt;"    ","",Y69-AI69)</f>
        <v/>
      </c>
      <c r="AO69" s="9">
        <f>IF(LEFT(B69,4)&lt;&gt;"    ","",Z69-AJ69)</f>
        <v/>
      </c>
      <c r="AP69" s="10" t="n"/>
      <c r="AQ69" s="25">
        <f>IF(LEFT(B69,4)&lt;&gt;"    ","",I69-W69)</f>
        <v/>
      </c>
      <c r="AR69" s="25">
        <f>M69-X69</f>
        <v/>
      </c>
      <c r="AS69" s="25">
        <f>IF(LEFT(B69,4)&lt;&gt;"    ","",P69-Z69)</f>
        <v/>
      </c>
      <c r="AT69" s="10" t="n"/>
      <c r="AU69" s="12" t="n"/>
      <c r="AV69" s="12">
        <f>IF(LEFT(B69,4)&lt;&gt;"    ","",IF(W69-AU69&gt;=0,W69-AU69," "))</f>
        <v/>
      </c>
      <c r="AW69" s="12">
        <f>IF(LEFT(B69,4)&lt;&gt;"    ","",IF(AU69-W69&gt;=0,AU69-W69," "))</f>
        <v/>
      </c>
      <c r="AX69" s="186" t="n"/>
      <c r="AY69" s="187" t="n"/>
      <c r="AZ69" s="186" t="n"/>
      <c r="BA69" s="186" t="n"/>
      <c r="BB69" s="188" t="n"/>
      <c r="BC69" s="187" t="n"/>
      <c r="BD69" s="187" t="n"/>
      <c r="BE69" s="186" t="n"/>
      <c r="BF69" s="186" t="n"/>
      <c r="BG69" s="186" t="n"/>
      <c r="BH69" s="186" t="n"/>
      <c r="BI69" s="186" t="n"/>
      <c r="BJ69" s="186" t="n"/>
      <c r="BK69" s="186" t="n"/>
      <c r="BL69" s="186" t="n"/>
      <c r="BM69" s="186" t="n"/>
      <c r="BN69" s="186" t="n"/>
      <c r="BO69" s="186" t="n"/>
      <c r="BP69" s="186" t="n"/>
      <c r="BQ69" s="186" t="n"/>
      <c r="BR69" s="186" t="n"/>
      <c r="BS69" s="186" t="n"/>
      <c r="BT69" s="186" t="n"/>
      <c r="BU69" s="186" t="n"/>
      <c r="BV69" s="186" t="n"/>
      <c r="BW69" s="186" t="n"/>
      <c r="BX69" s="186" t="n"/>
      <c r="BY69" s="186" t="n"/>
      <c r="BZ69" s="189" t="n"/>
      <c r="CA69" s="189" t="n"/>
      <c r="CB69" s="189" t="n"/>
      <c r="CC69" s="190" t="n"/>
      <c r="CD69" s="186" t="n"/>
      <c r="CE69" s="186" t="n"/>
      <c r="CF69" s="186" t="n"/>
      <c r="CG69" s="186" t="n"/>
      <c r="CH69" s="186" t="n"/>
      <c r="CI69" s="191" t="n"/>
      <c r="CJ69" s="192" t="n"/>
      <c r="CK69" s="192" t="n"/>
      <c r="CL69" s="192" t="n"/>
      <c r="CM69" s="192" t="n"/>
    </row>
    <row r="70">
      <c r="A70" s="177" t="n"/>
      <c r="B70" s="195" t="n"/>
      <c r="C70" s="178" t="n"/>
      <c r="D70" s="179" t="n"/>
      <c r="E70" s="180" t="n"/>
      <c r="F70" s="181" t="n"/>
      <c r="G70" s="182" t="n"/>
      <c r="H70" s="105" t="n"/>
      <c r="I70" s="183">
        <f>F70</f>
        <v/>
      </c>
      <c r="J70" s="184" t="n"/>
      <c r="K70" s="185" t="n"/>
      <c r="L70" s="8" t="n"/>
      <c r="M70" s="184">
        <f>L70</f>
        <v/>
      </c>
      <c r="N70" s="71" t="n"/>
      <c r="O70" s="101" t="n"/>
      <c r="P70" s="9">
        <f>I70-M70</f>
        <v/>
      </c>
      <c r="Q70" s="9">
        <f>IF(LEFT(B70,4)&lt;&gt;"    ",0,BN70)</f>
        <v/>
      </c>
      <c r="R70" s="9">
        <f>+P70-Q70</f>
        <v/>
      </c>
      <c r="S70" s="280" t="n"/>
      <c r="T70" s="10" t="n"/>
      <c r="U70" s="23">
        <f>IF(LEFT(B70,4)&lt;&gt;"    ","",IF(M70&lt;&gt;0,X70/M70,0))</f>
        <v/>
      </c>
      <c r="V70" s="11">
        <f>IF(LEFT(B70,4)&lt;&gt;"    ","",U70*I70)</f>
        <v/>
      </c>
      <c r="W70" s="11">
        <f>IF(LEFT(B70,4)&lt;&gt;"    ","",X70+Z70)</f>
        <v/>
      </c>
      <c r="X70" s="8" t="n"/>
      <c r="Y70" s="9">
        <f>IF(LEFT(B70,4)&lt;&gt;"    ",0,IF(P70&lt;0,P70,IF(U70&gt;0.3,W70-X70,0)))</f>
        <v/>
      </c>
      <c r="Z70" s="71">
        <f>Y70</f>
        <v/>
      </c>
      <c r="AA70" s="71" t="n"/>
      <c r="AB70" s="109" t="n"/>
      <c r="AC70" s="9">
        <f>IF(LEFT(B70,4)&lt;&gt;"    ",0,BK70)</f>
        <v/>
      </c>
      <c r="AD70" s="9">
        <f>Z70-AC70</f>
        <v/>
      </c>
      <c r="AE70" s="10" t="n"/>
      <c r="AF70" s="24" t="n"/>
      <c r="AG70" s="11" t="n"/>
      <c r="AH70" s="8" t="n"/>
      <c r="AI70" s="9">
        <f>IF(LEFT(B70,4)&lt;&gt;"    ","",AG70-AH70)</f>
        <v/>
      </c>
      <c r="AJ70" s="9" t="n"/>
      <c r="AK70" s="10" t="n"/>
      <c r="AL70" s="11">
        <f>IF(LEFT(B70,4)&lt;&gt;"    ","",W70-AG70)</f>
        <v/>
      </c>
      <c r="AM70" s="8">
        <f>IF(LEFT(B70,4)&lt;&gt;"    ","",X70-AH70)</f>
        <v/>
      </c>
      <c r="AN70" s="9">
        <f>IF(LEFT(B70,4)&lt;&gt;"    ","",Y70-AI70)</f>
        <v/>
      </c>
      <c r="AO70" s="9">
        <f>IF(LEFT(B70,4)&lt;&gt;"    ","",Z70-AJ70)</f>
        <v/>
      </c>
      <c r="AP70" s="10" t="n"/>
      <c r="AQ70" s="25">
        <f>IF(LEFT(B70,4)&lt;&gt;"    ","",I70-W70)</f>
        <v/>
      </c>
      <c r="AR70" s="25">
        <f>M70-X70</f>
        <v/>
      </c>
      <c r="AS70" s="25">
        <f>IF(LEFT(B70,4)&lt;&gt;"    ","",P70-Z70)</f>
        <v/>
      </c>
      <c r="AT70" s="10" t="n"/>
      <c r="AU70" s="12" t="n"/>
      <c r="AV70" s="12">
        <f>IF(LEFT(B70,4)&lt;&gt;"    ","",IF(W70-AU70&gt;=0,W70-AU70," "))</f>
        <v/>
      </c>
      <c r="AW70" s="12">
        <f>IF(LEFT(B70,4)&lt;&gt;"    ","",IF(AU70-W70&gt;=0,AU70-W70," "))</f>
        <v/>
      </c>
      <c r="AX70" s="186" t="n"/>
      <c r="AY70" s="187" t="n"/>
      <c r="AZ70" s="186" t="n"/>
      <c r="BA70" s="186" t="n"/>
      <c r="BB70" s="188" t="n"/>
      <c r="BC70" s="187" t="n"/>
      <c r="BD70" s="187" t="n"/>
      <c r="BE70" s="186" t="n"/>
      <c r="BF70" s="186" t="n"/>
      <c r="BG70" s="186" t="n"/>
      <c r="BH70" s="186" t="n"/>
      <c r="BI70" s="186" t="n"/>
      <c r="BJ70" s="186" t="n"/>
      <c r="BK70" s="186" t="n"/>
      <c r="BL70" s="186" t="n"/>
      <c r="BM70" s="186" t="n"/>
      <c r="BN70" s="186" t="n"/>
      <c r="BO70" s="186" t="n"/>
      <c r="BP70" s="186" t="n"/>
      <c r="BQ70" s="186" t="n"/>
      <c r="BR70" s="186" t="n"/>
      <c r="BS70" s="186" t="n"/>
      <c r="BT70" s="186" t="n"/>
      <c r="BU70" s="186" t="n"/>
      <c r="BV70" s="186" t="n"/>
      <c r="BW70" s="186" t="n"/>
      <c r="BX70" s="186" t="n"/>
      <c r="BY70" s="186" t="n"/>
      <c r="BZ70" s="189" t="n"/>
      <c r="CA70" s="189" t="n"/>
      <c r="CB70" s="189" t="n"/>
      <c r="CC70" s="190" t="n"/>
      <c r="CD70" s="186" t="n"/>
      <c r="CE70" s="186" t="n"/>
      <c r="CF70" s="186" t="n"/>
      <c r="CG70" s="186" t="n"/>
      <c r="CH70" s="186" t="n"/>
      <c r="CI70" s="191" t="n"/>
      <c r="CJ70" s="192" t="n"/>
      <c r="CK70" s="192" t="n"/>
      <c r="CL70" s="192" t="n"/>
      <c r="CM70" s="192" t="n"/>
    </row>
    <row r="71">
      <c r="A71" s="177" t="n"/>
      <c r="B71" s="178" t="n"/>
      <c r="C71" s="178" t="n"/>
      <c r="D71" s="179" t="n"/>
      <c r="E71" s="180" t="n"/>
      <c r="F71" s="181" t="n"/>
      <c r="G71" s="182" t="n"/>
      <c r="H71" s="105" t="n"/>
      <c r="I71" s="183">
        <f>F71</f>
        <v/>
      </c>
      <c r="J71" s="184" t="n"/>
      <c r="K71" s="185" t="n"/>
      <c r="L71" s="8" t="n"/>
      <c r="M71" s="184">
        <f>L71</f>
        <v/>
      </c>
      <c r="N71" s="71" t="n"/>
      <c r="O71" s="101" t="n"/>
      <c r="P71" s="9">
        <f>I71-M71</f>
        <v/>
      </c>
      <c r="Q71" s="9">
        <f>IF(LEFT(B71,4)&lt;&gt;"    ",0,BN71)</f>
        <v/>
      </c>
      <c r="R71" s="9">
        <f>+P71-Q71</f>
        <v/>
      </c>
      <c r="S71" s="280" t="n"/>
      <c r="T71" s="10" t="n"/>
      <c r="U71" s="23">
        <f>IF(LEFT(B71,4)&lt;&gt;"    ","",IF(M71&lt;&gt;0,X71/M71,0))</f>
        <v/>
      </c>
      <c r="V71" s="11">
        <f>IF(LEFT(B71,4)&lt;&gt;"    ","",U71*I71)</f>
        <v/>
      </c>
      <c r="W71" s="11">
        <f>IF(LEFT(B71,4)&lt;&gt;"    ","",X71+Z71)</f>
        <v/>
      </c>
      <c r="X71" s="8" t="n"/>
      <c r="Y71" s="9">
        <f>IF(LEFT(B71,4)&lt;&gt;"    ",0,IF(P71&lt;0,P71,IF(U71&gt;0.3,W71-X71,0)))</f>
        <v/>
      </c>
      <c r="Z71" s="71">
        <f>Y71</f>
        <v/>
      </c>
      <c r="AA71" s="71" t="n"/>
      <c r="AB71" s="109" t="n"/>
      <c r="AC71" s="9">
        <f>IF(LEFT(B71,4)&lt;&gt;"    ",0,BK71)</f>
        <v/>
      </c>
      <c r="AD71" s="9">
        <f>Z71-AC71</f>
        <v/>
      </c>
      <c r="AE71" s="10" t="n"/>
      <c r="AF71" s="24" t="n"/>
      <c r="AG71" s="11" t="n"/>
      <c r="AH71" s="8" t="n"/>
      <c r="AI71" s="9">
        <f>IF(LEFT(B71,4)&lt;&gt;"    ","",AG71-AH71)</f>
        <v/>
      </c>
      <c r="AJ71" s="9" t="n"/>
      <c r="AK71" s="10" t="n"/>
      <c r="AL71" s="11">
        <f>IF(LEFT(B71,4)&lt;&gt;"    ","",W71-AG71)</f>
        <v/>
      </c>
      <c r="AM71" s="8">
        <f>IF(LEFT(B71,4)&lt;&gt;"    ","",X71-AH71)</f>
        <v/>
      </c>
      <c r="AN71" s="9">
        <f>IF(LEFT(B71,4)&lt;&gt;"    ","",Y71-AI71)</f>
        <v/>
      </c>
      <c r="AO71" s="9">
        <f>IF(LEFT(B71,4)&lt;&gt;"    ","",Z71-AJ71)</f>
        <v/>
      </c>
      <c r="AP71" s="10" t="n"/>
      <c r="AQ71" s="25">
        <f>IF(LEFT(B71,4)&lt;&gt;"    ","",I71-W71)</f>
        <v/>
      </c>
      <c r="AR71" s="25">
        <f>M71-X71</f>
        <v/>
      </c>
      <c r="AS71" s="25">
        <f>IF(LEFT(B71,4)&lt;&gt;"    ","",P71-Z71)</f>
        <v/>
      </c>
      <c r="AT71" s="10" t="n"/>
      <c r="AU71" s="12" t="n"/>
      <c r="AV71" s="12">
        <f>IF(LEFT(B71,4)&lt;&gt;"    ","",IF(W71-AU71&gt;=0,W71-AU71," "))</f>
        <v/>
      </c>
      <c r="AW71" s="12">
        <f>IF(LEFT(B71,4)&lt;&gt;"    ","",IF(AU71-W71&gt;=0,AU71-W71," "))</f>
        <v/>
      </c>
      <c r="AX71" s="186" t="n"/>
      <c r="AY71" s="187" t="n"/>
      <c r="AZ71" s="186" t="n"/>
      <c r="BA71" s="186" t="n"/>
      <c r="BB71" s="188" t="n"/>
      <c r="BC71" s="187" t="n"/>
      <c r="BD71" s="187" t="n"/>
      <c r="BE71" s="186" t="n"/>
      <c r="BF71" s="186" t="n"/>
      <c r="BG71" s="186" t="n"/>
      <c r="BH71" s="186" t="n"/>
      <c r="BI71" s="186" t="n"/>
      <c r="BJ71" s="186" t="n"/>
      <c r="BK71" s="186" t="n"/>
      <c r="BL71" s="186" t="n"/>
      <c r="BM71" s="186" t="n"/>
      <c r="BN71" s="186" t="n"/>
      <c r="BO71" s="186" t="n"/>
      <c r="BP71" s="186" t="n"/>
      <c r="BQ71" s="186" t="n"/>
      <c r="BR71" s="186" t="n"/>
      <c r="BS71" s="186" t="n"/>
      <c r="BT71" s="186" t="n"/>
      <c r="BU71" s="186" t="n"/>
      <c r="BV71" s="186" t="n"/>
      <c r="BW71" s="186" t="n"/>
      <c r="BX71" s="186" t="n"/>
      <c r="BY71" s="186" t="n"/>
      <c r="BZ71" s="189" t="n"/>
      <c r="CA71" s="189" t="n"/>
      <c r="CB71" s="189" t="n"/>
      <c r="CC71" s="190" t="n"/>
      <c r="CD71" s="186" t="n"/>
      <c r="CE71" s="186" t="n"/>
      <c r="CF71" s="186" t="n"/>
      <c r="CG71" s="186" t="n"/>
      <c r="CH71" s="186" t="n"/>
      <c r="CI71" s="191" t="n"/>
      <c r="CJ71" s="192" t="n"/>
      <c r="CK71" s="192" t="n"/>
      <c r="CL71" s="192" t="n"/>
      <c r="CM71" s="192" t="n"/>
    </row>
    <row r="72">
      <c r="A72" s="177" t="n"/>
      <c r="B72" s="178" t="n"/>
      <c r="C72" s="178" t="n"/>
      <c r="D72" s="179" t="n"/>
      <c r="E72" s="180" t="n"/>
      <c r="F72" s="181" t="n"/>
      <c r="G72" s="182" t="n"/>
      <c r="H72" s="105" t="n"/>
      <c r="I72" s="183">
        <f>F72</f>
        <v/>
      </c>
      <c r="J72" s="184" t="n"/>
      <c r="K72" s="185" t="n"/>
      <c r="L72" s="8" t="n"/>
      <c r="M72" s="184">
        <f>L72</f>
        <v/>
      </c>
      <c r="N72" s="71" t="n"/>
      <c r="O72" s="101" t="n"/>
      <c r="P72" s="9">
        <f>I72-M72</f>
        <v/>
      </c>
      <c r="Q72" s="9">
        <f>IF(LEFT(B72,4)&lt;&gt;"    ",0,BN72)</f>
        <v/>
      </c>
      <c r="R72" s="9">
        <f>+P72-Q72</f>
        <v/>
      </c>
      <c r="S72" s="280" t="n"/>
      <c r="T72" s="10" t="n"/>
      <c r="U72" s="23">
        <f>IF(LEFT(B72,4)&lt;&gt;"    ","",IF(M72&lt;&gt;0,X72/M72,0))</f>
        <v/>
      </c>
      <c r="V72" s="11">
        <f>IF(LEFT(B72,4)&lt;&gt;"    ","",U72*I72)</f>
        <v/>
      </c>
      <c r="W72" s="11">
        <f>IF(LEFT(B72,4)&lt;&gt;"    ","",X72+Z72)</f>
        <v/>
      </c>
      <c r="X72" s="8" t="n"/>
      <c r="Y72" s="9">
        <f>IF(LEFT(B72,4)&lt;&gt;"    ",0,IF(P72&lt;0,P72,IF(U72&gt;0.3,W72-X72,0)))</f>
        <v/>
      </c>
      <c r="Z72" s="71">
        <f>Y72</f>
        <v/>
      </c>
      <c r="AA72" s="71" t="n"/>
      <c r="AB72" s="109" t="n"/>
      <c r="AC72" s="9">
        <f>IF(LEFT(B72,4)&lt;&gt;"    ",0,BK72)</f>
        <v/>
      </c>
      <c r="AD72" s="9">
        <f>Z72-AC72</f>
        <v/>
      </c>
      <c r="AE72" s="10" t="n"/>
      <c r="AF72" s="24" t="n"/>
      <c r="AG72" s="11" t="n"/>
      <c r="AH72" s="8" t="n"/>
      <c r="AI72" s="9">
        <f>IF(LEFT(B72,4)&lt;&gt;"    ","",AG72-AH72)</f>
        <v/>
      </c>
      <c r="AJ72" s="9" t="n"/>
      <c r="AK72" s="10" t="n"/>
      <c r="AL72" s="11">
        <f>IF(LEFT(B72,4)&lt;&gt;"    ","",W72-AG72)</f>
        <v/>
      </c>
      <c r="AM72" s="8">
        <f>IF(LEFT(B72,4)&lt;&gt;"    ","",X72-AH72)</f>
        <v/>
      </c>
      <c r="AN72" s="9">
        <f>IF(LEFT(B72,4)&lt;&gt;"    ","",Y72-AI72)</f>
        <v/>
      </c>
      <c r="AO72" s="9">
        <f>IF(LEFT(B72,4)&lt;&gt;"    ","",Z72-AJ72)</f>
        <v/>
      </c>
      <c r="AP72" s="10" t="n"/>
      <c r="AQ72" s="25">
        <f>IF(LEFT(B72,4)&lt;&gt;"    ","",I72-W72)</f>
        <v/>
      </c>
      <c r="AR72" s="25">
        <f>M72-X72</f>
        <v/>
      </c>
      <c r="AS72" s="25">
        <f>IF(LEFT(B72,4)&lt;&gt;"    ","",P72-Z72)</f>
        <v/>
      </c>
      <c r="AT72" s="10" t="n"/>
      <c r="AU72" s="12" t="n"/>
      <c r="AV72" s="12">
        <f>IF(LEFT(B72,4)&lt;&gt;"    ","",IF(W72-AU72&gt;=0,W72-AU72," "))</f>
        <v/>
      </c>
      <c r="AW72" s="12">
        <f>IF(LEFT(B72,4)&lt;&gt;"    ","",IF(AU72-W72&gt;=0,AU72-W72," "))</f>
        <v/>
      </c>
      <c r="AX72" s="186" t="n"/>
      <c r="AY72" s="187" t="n"/>
      <c r="AZ72" s="186" t="n"/>
      <c r="BA72" s="186" t="n"/>
      <c r="BB72" s="188" t="n"/>
      <c r="BC72" s="187" t="n"/>
      <c r="BD72" s="187" t="n"/>
      <c r="BE72" s="186" t="n"/>
      <c r="BF72" s="186" t="n"/>
      <c r="BG72" s="186" t="n"/>
      <c r="BH72" s="186" t="n"/>
      <c r="BI72" s="186" t="n"/>
      <c r="BJ72" s="186" t="n"/>
      <c r="BK72" s="186" t="n"/>
      <c r="BL72" s="186" t="n"/>
      <c r="BM72" s="186" t="n"/>
      <c r="BN72" s="186" t="n"/>
      <c r="BO72" s="186" t="n"/>
      <c r="BP72" s="186" t="n"/>
      <c r="BQ72" s="186" t="n"/>
      <c r="BR72" s="186" t="n"/>
      <c r="BS72" s="186" t="n"/>
      <c r="BT72" s="186" t="n"/>
      <c r="BU72" s="186" t="n"/>
      <c r="BV72" s="186" t="n"/>
      <c r="BW72" s="186" t="n"/>
      <c r="BX72" s="186" t="n"/>
      <c r="BY72" s="186" t="n"/>
      <c r="BZ72" s="189" t="n"/>
      <c r="CA72" s="189" t="n"/>
      <c r="CB72" s="189" t="n"/>
      <c r="CC72" s="190" t="n"/>
      <c r="CD72" s="186" t="n"/>
      <c r="CE72" s="186" t="n"/>
      <c r="CF72" s="186" t="n"/>
      <c r="CG72" s="186" t="n"/>
      <c r="CH72" s="186" t="n"/>
      <c r="CI72" s="191" t="n"/>
      <c r="CJ72" s="192" t="n"/>
      <c r="CK72" s="192" t="n"/>
      <c r="CL72" s="192" t="n"/>
      <c r="CM72" s="192" t="n"/>
    </row>
    <row r="73">
      <c r="A73" s="177" t="n"/>
      <c r="B73" s="178" t="n"/>
      <c r="C73" s="178" t="n"/>
      <c r="D73" s="179" t="n"/>
      <c r="E73" s="180" t="n"/>
      <c r="F73" s="181" t="n"/>
      <c r="G73" s="182" t="n"/>
      <c r="H73" s="105" t="n"/>
      <c r="I73" s="183">
        <f>F73</f>
        <v/>
      </c>
      <c r="J73" s="184" t="n"/>
      <c r="K73" s="185" t="n"/>
      <c r="L73" s="8" t="n"/>
      <c r="M73" s="184">
        <f>L73</f>
        <v/>
      </c>
      <c r="N73" s="71" t="n"/>
      <c r="O73" s="101" t="n"/>
      <c r="P73" s="9">
        <f>I73-M73</f>
        <v/>
      </c>
      <c r="Q73" s="9">
        <f>IF(LEFT(B73,4)&lt;&gt;"    ",0,BN73)</f>
        <v/>
      </c>
      <c r="R73" s="9">
        <f>+P73-Q73</f>
        <v/>
      </c>
      <c r="S73" s="280" t="n"/>
      <c r="T73" s="10" t="n"/>
      <c r="U73" s="23">
        <f>IF(LEFT(B73,4)&lt;&gt;"    ","",IF(M73&lt;&gt;0,X73/M73,0))</f>
        <v/>
      </c>
      <c r="V73" s="11">
        <f>IF(LEFT(B73,4)&lt;&gt;"    ","",U73*I73)</f>
        <v/>
      </c>
      <c r="W73" s="11">
        <f>IF(LEFT(B73,4)&lt;&gt;"    ","",X73+Z73)</f>
        <v/>
      </c>
      <c r="X73" s="8" t="n"/>
      <c r="Y73" s="9">
        <f>IF(LEFT(B73,4)&lt;&gt;"    ",0,IF(P73&lt;0,P73,IF(U73&gt;0.3,W73-X73,0)))</f>
        <v/>
      </c>
      <c r="Z73" s="71">
        <f>Y73</f>
        <v/>
      </c>
      <c r="AA73" s="71" t="n"/>
      <c r="AB73" s="109" t="n"/>
      <c r="AC73" s="9">
        <f>IF(LEFT(B73,4)&lt;&gt;"    ",0,BK73)</f>
        <v/>
      </c>
      <c r="AD73" s="9">
        <f>Z73-AC73</f>
        <v/>
      </c>
      <c r="AE73" s="10" t="n"/>
      <c r="AF73" s="24" t="n"/>
      <c r="AG73" s="11" t="n"/>
      <c r="AH73" s="8" t="n"/>
      <c r="AI73" s="9">
        <f>IF(LEFT(B73,4)&lt;&gt;"    ","",AG73-AH73)</f>
        <v/>
      </c>
      <c r="AJ73" s="9" t="n"/>
      <c r="AK73" s="10" t="n"/>
      <c r="AL73" s="11">
        <f>IF(LEFT(B73,4)&lt;&gt;"    ","",W73-AG73)</f>
        <v/>
      </c>
      <c r="AM73" s="8">
        <f>IF(LEFT(B73,4)&lt;&gt;"    ","",X73-AH73)</f>
        <v/>
      </c>
      <c r="AN73" s="9">
        <f>IF(LEFT(B73,4)&lt;&gt;"    ","",Y73-AI73)</f>
        <v/>
      </c>
      <c r="AO73" s="9">
        <f>IF(LEFT(B73,4)&lt;&gt;"    ","",Z73-AJ73)</f>
        <v/>
      </c>
      <c r="AP73" s="10" t="n"/>
      <c r="AQ73" s="25">
        <f>IF(LEFT(B73,4)&lt;&gt;"    ","",I73-W73)</f>
        <v/>
      </c>
      <c r="AR73" s="25">
        <f>M73-X73</f>
        <v/>
      </c>
      <c r="AS73" s="25">
        <f>IF(LEFT(B73,4)&lt;&gt;"    ","",P73-Z73)</f>
        <v/>
      </c>
      <c r="AT73" s="10" t="n"/>
      <c r="AU73" s="12" t="n"/>
      <c r="AV73" s="12">
        <f>IF(LEFT(B73,4)&lt;&gt;"    ","",IF(W73-AU73&gt;=0,W73-AU73," "))</f>
        <v/>
      </c>
      <c r="AW73" s="12">
        <f>IF(LEFT(B73,4)&lt;&gt;"    ","",IF(AU73-W73&gt;=0,AU73-W73," "))</f>
        <v/>
      </c>
      <c r="AX73" s="186" t="n"/>
      <c r="AY73" s="187" t="n"/>
      <c r="AZ73" s="186" t="n"/>
      <c r="BA73" s="186" t="n"/>
      <c r="BB73" s="188" t="n"/>
      <c r="BC73" s="187" t="n"/>
      <c r="BD73" s="187" t="n"/>
      <c r="BE73" s="186" t="n"/>
      <c r="BF73" s="186" t="n"/>
      <c r="BG73" s="186" t="n"/>
      <c r="BH73" s="186" t="n"/>
      <c r="BI73" s="186" t="n"/>
      <c r="BJ73" s="186" t="n"/>
      <c r="BK73" s="186" t="n"/>
      <c r="BL73" s="186" t="n"/>
      <c r="BM73" s="186" t="n"/>
      <c r="BN73" s="186" t="n"/>
      <c r="BO73" s="186" t="n"/>
      <c r="BP73" s="186" t="n"/>
      <c r="BQ73" s="186" t="n"/>
      <c r="BR73" s="186" t="n"/>
      <c r="BS73" s="186" t="n"/>
      <c r="BT73" s="186" t="n"/>
      <c r="BU73" s="186" t="n"/>
      <c r="BV73" s="186" t="n"/>
      <c r="BW73" s="186" t="n"/>
      <c r="BX73" s="186" t="n"/>
      <c r="BY73" s="186" t="n"/>
      <c r="BZ73" s="189" t="n"/>
      <c r="CA73" s="189" t="n"/>
      <c r="CB73" s="189" t="n"/>
      <c r="CC73" s="190" t="n"/>
      <c r="CD73" s="186" t="n"/>
      <c r="CE73" s="186" t="n"/>
      <c r="CF73" s="186" t="n"/>
      <c r="CG73" s="186" t="n"/>
      <c r="CH73" s="186" t="n"/>
      <c r="CI73" s="191" t="n"/>
      <c r="CJ73" s="192" t="n"/>
      <c r="CK73" s="192" t="n"/>
      <c r="CL73" s="192" t="n"/>
      <c r="CM73" s="192" t="n"/>
    </row>
    <row r="74">
      <c r="A74" s="177" t="n"/>
      <c r="B74" s="178" t="n"/>
      <c r="C74" s="178" t="n"/>
      <c r="D74" s="179" t="n"/>
      <c r="E74" s="180" t="n"/>
      <c r="F74" s="181" t="n"/>
      <c r="G74" s="182" t="n"/>
      <c r="H74" s="105" t="n"/>
      <c r="I74" s="183">
        <f>F74</f>
        <v/>
      </c>
      <c r="J74" s="184" t="n"/>
      <c r="K74" s="185" t="n"/>
      <c r="L74" s="8" t="n"/>
      <c r="M74" s="184">
        <f>L74</f>
        <v/>
      </c>
      <c r="N74" s="71" t="n"/>
      <c r="O74" s="101" t="n"/>
      <c r="P74" s="9">
        <f>I74-M74</f>
        <v/>
      </c>
      <c r="Q74" s="9">
        <f>IF(LEFT(B74,4)&lt;&gt;"    ",0,BN74)</f>
        <v/>
      </c>
      <c r="R74" s="9">
        <f>+P74-Q74</f>
        <v/>
      </c>
      <c r="S74" s="280" t="n"/>
      <c r="T74" s="10" t="n"/>
      <c r="U74" s="23">
        <f>IF(LEFT(B74,4)&lt;&gt;"    ","",IF(M74&lt;&gt;0,X74/M74,0))</f>
        <v/>
      </c>
      <c r="V74" s="11">
        <f>IF(LEFT(B74,4)&lt;&gt;"    ","",U74*I74)</f>
        <v/>
      </c>
      <c r="W74" s="11">
        <f>IF(LEFT(B74,4)&lt;&gt;"    ","",X74+Z74)</f>
        <v/>
      </c>
      <c r="X74" s="8" t="n"/>
      <c r="Y74" s="9">
        <f>IF(LEFT(B74,4)&lt;&gt;"    ",0,IF(P74&lt;0,P74,IF(U74&gt;0.3,W74-X74,0)))</f>
        <v/>
      </c>
      <c r="Z74" s="71">
        <f>Y74</f>
        <v/>
      </c>
      <c r="AA74" s="71" t="n"/>
      <c r="AB74" s="109" t="n"/>
      <c r="AC74" s="9">
        <f>IF(LEFT(B74,4)&lt;&gt;"    ",0,BK74)</f>
        <v/>
      </c>
      <c r="AD74" s="9">
        <f>Z74-AC74</f>
        <v/>
      </c>
      <c r="AE74" s="10" t="n"/>
      <c r="AF74" s="24" t="n"/>
      <c r="AG74" s="11" t="n"/>
      <c r="AH74" s="8" t="n"/>
      <c r="AI74" s="9">
        <f>IF(LEFT(B74,4)&lt;&gt;"    ","",AG74-AH74)</f>
        <v/>
      </c>
      <c r="AJ74" s="9" t="n"/>
      <c r="AK74" s="10" t="n"/>
      <c r="AL74" s="11">
        <f>IF(LEFT(B74,4)&lt;&gt;"    ","",W74-AG74)</f>
        <v/>
      </c>
      <c r="AM74" s="8">
        <f>IF(LEFT(B74,4)&lt;&gt;"    ","",X74-AH74)</f>
        <v/>
      </c>
      <c r="AN74" s="9">
        <f>IF(LEFT(B74,4)&lt;&gt;"    ","",Y74-AI74)</f>
        <v/>
      </c>
      <c r="AO74" s="9">
        <f>IF(LEFT(B74,4)&lt;&gt;"    ","",Z74-AJ74)</f>
        <v/>
      </c>
      <c r="AP74" s="10" t="n"/>
      <c r="AQ74" s="25">
        <f>IF(LEFT(B74,4)&lt;&gt;"    ","",I74-W74)</f>
        <v/>
      </c>
      <c r="AR74" s="25">
        <f>M74-X74</f>
        <v/>
      </c>
      <c r="AS74" s="25">
        <f>IF(LEFT(B74,4)&lt;&gt;"    ","",P74-Z74)</f>
        <v/>
      </c>
      <c r="AT74" s="10" t="n"/>
      <c r="AU74" s="12" t="n"/>
      <c r="AV74" s="12">
        <f>IF(LEFT(B74,4)&lt;&gt;"    ","",IF(W74-AU74&gt;=0,W74-AU74," "))</f>
        <v/>
      </c>
      <c r="AW74" s="12">
        <f>IF(LEFT(B74,4)&lt;&gt;"    ","",IF(AU74-W74&gt;=0,AU74-W74," "))</f>
        <v/>
      </c>
      <c r="AX74" s="186" t="n"/>
      <c r="AY74" s="187" t="n"/>
      <c r="AZ74" s="186" t="n"/>
      <c r="BA74" s="186" t="n"/>
      <c r="BB74" s="188" t="n"/>
      <c r="BC74" s="187" t="n"/>
      <c r="BD74" s="187" t="n"/>
      <c r="BE74" s="186" t="n"/>
      <c r="BF74" s="186" t="n"/>
      <c r="BG74" s="186" t="n"/>
      <c r="BH74" s="186" t="n"/>
      <c r="BI74" s="186" t="n"/>
      <c r="BJ74" s="186" t="n"/>
      <c r="BK74" s="186" t="n"/>
      <c r="BL74" s="186" t="n"/>
      <c r="BM74" s="186" t="n"/>
      <c r="BN74" s="186" t="n"/>
      <c r="BO74" s="186" t="n"/>
      <c r="BP74" s="186" t="n"/>
      <c r="BQ74" s="186" t="n"/>
      <c r="BR74" s="186" t="n"/>
      <c r="BS74" s="186" t="n"/>
      <c r="BT74" s="186" t="n"/>
      <c r="BU74" s="186" t="n"/>
      <c r="BV74" s="186" t="n"/>
      <c r="BW74" s="186" t="n"/>
      <c r="BX74" s="186" t="n"/>
      <c r="BY74" s="186" t="n"/>
      <c r="BZ74" s="189" t="n"/>
      <c r="CA74" s="189" t="n"/>
      <c r="CB74" s="189" t="n"/>
      <c r="CC74" s="190" t="n"/>
      <c r="CD74" s="186" t="n"/>
      <c r="CE74" s="186" t="n"/>
      <c r="CF74" s="186" t="n"/>
      <c r="CG74" s="186" t="n"/>
      <c r="CH74" s="186" t="n"/>
      <c r="CI74" s="191" t="n"/>
      <c r="CJ74" s="192" t="n"/>
      <c r="CK74" s="192" t="n"/>
      <c r="CL74" s="192" t="n"/>
      <c r="CM74" s="192" t="n"/>
    </row>
    <row r="75">
      <c r="A75" s="177" t="n"/>
      <c r="B75" s="178" t="n"/>
      <c r="C75" s="178" t="n"/>
      <c r="D75" s="179" t="n"/>
      <c r="E75" s="180" t="n"/>
      <c r="F75" s="181" t="n"/>
      <c r="G75" s="182" t="n"/>
      <c r="H75" s="105" t="n"/>
      <c r="I75" s="183">
        <f>F75</f>
        <v/>
      </c>
      <c r="J75" s="184" t="n"/>
      <c r="K75" s="185" t="n"/>
      <c r="L75" s="8" t="n"/>
      <c r="M75" s="184">
        <f>L75</f>
        <v/>
      </c>
      <c r="N75" s="71" t="n"/>
      <c r="O75" s="101" t="n"/>
      <c r="P75" s="9">
        <f>I75-M75</f>
        <v/>
      </c>
      <c r="Q75" s="9">
        <f>IF(LEFT(B75,4)&lt;&gt;"    ",0,BN75)</f>
        <v/>
      </c>
      <c r="R75" s="9">
        <f>+P75-Q75</f>
        <v/>
      </c>
      <c r="S75" s="280" t="n"/>
      <c r="T75" s="10" t="n"/>
      <c r="U75" s="23">
        <f>IF(LEFT(B75,4)&lt;&gt;"    ","",IF(M75&lt;&gt;0,X75/M75,0))</f>
        <v/>
      </c>
      <c r="V75" s="11">
        <f>IF(LEFT(B75,4)&lt;&gt;"    ","",U75*I75)</f>
        <v/>
      </c>
      <c r="W75" s="11">
        <f>IF(LEFT(B75,4)&lt;&gt;"    ","",X75+Z75)</f>
        <v/>
      </c>
      <c r="X75" s="8" t="n"/>
      <c r="Y75" s="9">
        <f>IF(LEFT(B75,4)&lt;&gt;"    ",0,IF(P75&lt;0,P75,IF(U75&gt;0.3,W75-X75,0)))</f>
        <v/>
      </c>
      <c r="Z75" s="71">
        <f>Y75</f>
        <v/>
      </c>
      <c r="AA75" s="71" t="n"/>
      <c r="AB75" s="109" t="n"/>
      <c r="AC75" s="9">
        <f>IF(LEFT(B75,4)&lt;&gt;"    ",0,BK75)</f>
        <v/>
      </c>
      <c r="AD75" s="9">
        <f>Z75-AC75</f>
        <v/>
      </c>
      <c r="AE75" s="10" t="n"/>
      <c r="AF75" s="24" t="n"/>
      <c r="AG75" s="11" t="n"/>
      <c r="AH75" s="8" t="n"/>
      <c r="AI75" s="9">
        <f>IF(LEFT(B75,4)&lt;&gt;"    ","",AG75-AH75)</f>
        <v/>
      </c>
      <c r="AJ75" s="9" t="n"/>
      <c r="AK75" s="10" t="n"/>
      <c r="AL75" s="11">
        <f>IF(LEFT(B75,4)&lt;&gt;"    ","",W75-AG75)</f>
        <v/>
      </c>
      <c r="AM75" s="8">
        <f>IF(LEFT(B75,4)&lt;&gt;"    ","",X75-AH75)</f>
        <v/>
      </c>
      <c r="AN75" s="9">
        <f>IF(LEFT(B75,4)&lt;&gt;"    ","",Y75-AI75)</f>
        <v/>
      </c>
      <c r="AO75" s="9">
        <f>IF(LEFT(B75,4)&lt;&gt;"    ","",Z75-AJ75)</f>
        <v/>
      </c>
      <c r="AP75" s="10" t="n"/>
      <c r="AQ75" s="25">
        <f>IF(LEFT(B75,4)&lt;&gt;"    ","",I75-W75)</f>
        <v/>
      </c>
      <c r="AR75" s="25">
        <f>M75-X75</f>
        <v/>
      </c>
      <c r="AS75" s="25">
        <f>IF(LEFT(B75,4)&lt;&gt;"    ","",P75-Z75)</f>
        <v/>
      </c>
      <c r="AT75" s="10" t="n"/>
      <c r="AU75" s="12" t="n"/>
      <c r="AV75" s="12">
        <f>IF(LEFT(B75,4)&lt;&gt;"    ","",IF(W75-AU75&gt;=0,W75-AU75," "))</f>
        <v/>
      </c>
      <c r="AW75" s="12">
        <f>IF(LEFT(B75,4)&lt;&gt;"    ","",IF(AU75-W75&gt;=0,AU75-W75," "))</f>
        <v/>
      </c>
      <c r="AX75" s="186" t="n"/>
      <c r="AY75" s="187" t="n"/>
      <c r="AZ75" s="186" t="n"/>
      <c r="BA75" s="186" t="n"/>
      <c r="BB75" s="188" t="n"/>
      <c r="BC75" s="187" t="n"/>
      <c r="BD75" s="187" t="n"/>
      <c r="BE75" s="186" t="n"/>
      <c r="BF75" s="186" t="n"/>
      <c r="BG75" s="186" t="n"/>
      <c r="BH75" s="186" t="n"/>
      <c r="BI75" s="186" t="n"/>
      <c r="BJ75" s="186" t="n"/>
      <c r="BK75" s="186" t="n"/>
      <c r="BL75" s="186" t="n"/>
      <c r="BM75" s="186" t="n"/>
      <c r="BN75" s="186" t="n"/>
      <c r="BO75" s="186" t="n"/>
      <c r="BP75" s="186" t="n"/>
      <c r="BQ75" s="186" t="n"/>
      <c r="BR75" s="186" t="n"/>
      <c r="BS75" s="186" t="n"/>
      <c r="BT75" s="186" t="n"/>
      <c r="BU75" s="186" t="n"/>
      <c r="BV75" s="186" t="n"/>
      <c r="BW75" s="186" t="n"/>
      <c r="BX75" s="186" t="n"/>
      <c r="BY75" s="186" t="n"/>
      <c r="BZ75" s="189" t="n"/>
      <c r="CA75" s="189" t="n"/>
      <c r="CB75" s="189" t="n"/>
      <c r="CC75" s="190" t="n"/>
      <c r="CD75" s="186" t="n"/>
      <c r="CE75" s="186" t="n"/>
      <c r="CF75" s="186" t="n"/>
      <c r="CG75" s="186" t="n"/>
      <c r="CH75" s="186" t="n"/>
      <c r="CI75" s="191" t="n"/>
      <c r="CJ75" s="192" t="n"/>
      <c r="CK75" s="192" t="n"/>
      <c r="CL75" s="192" t="n"/>
      <c r="CM75" s="192" t="n"/>
    </row>
    <row r="76">
      <c r="A76" s="177" t="n"/>
      <c r="B76" s="178" t="n"/>
      <c r="C76" s="178" t="n"/>
      <c r="D76" s="179" t="n"/>
      <c r="E76" s="180" t="n"/>
      <c r="F76" s="181" t="n"/>
      <c r="G76" s="182" t="n"/>
      <c r="H76" s="105" t="n"/>
      <c r="I76" s="183">
        <f>F76</f>
        <v/>
      </c>
      <c r="J76" s="184" t="n"/>
      <c r="K76" s="185" t="n"/>
      <c r="L76" s="8" t="n"/>
      <c r="M76" s="184">
        <f>L76</f>
        <v/>
      </c>
      <c r="N76" s="71" t="n"/>
      <c r="O76" s="101" t="n"/>
      <c r="P76" s="9">
        <f>I76-M76</f>
        <v/>
      </c>
      <c r="Q76" s="9">
        <f>IF(LEFT(B76,4)&lt;&gt;"    ",0,BN76)</f>
        <v/>
      </c>
      <c r="R76" s="9">
        <f>+P76-Q76</f>
        <v/>
      </c>
      <c r="S76" s="280" t="n"/>
      <c r="T76" s="10" t="n"/>
      <c r="U76" s="23">
        <f>IF(LEFT(B76,4)&lt;&gt;"    ","",IF(M76&lt;&gt;0,X76/M76,0))</f>
        <v/>
      </c>
      <c r="V76" s="11">
        <f>IF(LEFT(B76,4)&lt;&gt;"    ","",U76*I76)</f>
        <v/>
      </c>
      <c r="W76" s="11">
        <f>IF(LEFT(B76,4)&lt;&gt;"    ","",X76+Z76)</f>
        <v/>
      </c>
      <c r="X76" s="8" t="n"/>
      <c r="Y76" s="9">
        <f>IF(LEFT(B76,4)&lt;&gt;"    ",0,IF(P76&lt;0,P76,IF(U76&gt;0.3,W76-X76,0)))</f>
        <v/>
      </c>
      <c r="Z76" s="71">
        <f>Y76</f>
        <v/>
      </c>
      <c r="AA76" s="71" t="n"/>
      <c r="AB76" s="109" t="n"/>
      <c r="AC76" s="9">
        <f>IF(LEFT(B76,4)&lt;&gt;"    ",0,BK76)</f>
        <v/>
      </c>
      <c r="AD76" s="9">
        <f>Z76-AC76</f>
        <v/>
      </c>
      <c r="AE76" s="10" t="n"/>
      <c r="AF76" s="24" t="n"/>
      <c r="AG76" s="11" t="n"/>
      <c r="AH76" s="8" t="n"/>
      <c r="AI76" s="9">
        <f>IF(LEFT(B76,4)&lt;&gt;"    ","",AG76-AH76)</f>
        <v/>
      </c>
      <c r="AJ76" s="9" t="n"/>
      <c r="AK76" s="10" t="n"/>
      <c r="AL76" s="11">
        <f>IF(LEFT(B76,4)&lt;&gt;"    ","",W76-AG76)</f>
        <v/>
      </c>
      <c r="AM76" s="8">
        <f>IF(LEFT(B76,4)&lt;&gt;"    ","",X76-AH76)</f>
        <v/>
      </c>
      <c r="AN76" s="9">
        <f>IF(LEFT(B76,4)&lt;&gt;"    ","",Y76-AI76)</f>
        <v/>
      </c>
      <c r="AO76" s="9">
        <f>IF(LEFT(B76,4)&lt;&gt;"    ","",Z76-AJ76)</f>
        <v/>
      </c>
      <c r="AP76" s="10" t="n"/>
      <c r="AQ76" s="25">
        <f>IF(LEFT(B76,4)&lt;&gt;"    ","",I76-W76)</f>
        <v/>
      </c>
      <c r="AR76" s="25">
        <f>M76-X76</f>
        <v/>
      </c>
      <c r="AS76" s="25">
        <f>IF(LEFT(B76,4)&lt;&gt;"    ","",P76-Z76)</f>
        <v/>
      </c>
      <c r="AT76" s="10" t="n"/>
      <c r="AU76" s="12" t="n"/>
      <c r="AV76" s="12">
        <f>IF(LEFT(B76,4)&lt;&gt;"    ","",IF(W76-AU76&gt;=0,W76-AU76," "))</f>
        <v/>
      </c>
      <c r="AW76" s="12">
        <f>IF(LEFT(B76,4)&lt;&gt;"    ","",IF(AU76-W76&gt;=0,AU76-W76," "))</f>
        <v/>
      </c>
      <c r="AX76" s="186" t="n"/>
      <c r="AY76" s="187" t="n"/>
      <c r="AZ76" s="186" t="n"/>
      <c r="BA76" s="186" t="n"/>
      <c r="BB76" s="188" t="n"/>
      <c r="BC76" s="187" t="n"/>
      <c r="BD76" s="187" t="n"/>
      <c r="BE76" s="186" t="n"/>
      <c r="BF76" s="186" t="n"/>
      <c r="BG76" s="186" t="n"/>
      <c r="BH76" s="186" t="n"/>
      <c r="BI76" s="186" t="n"/>
      <c r="BJ76" s="186" t="n"/>
      <c r="BK76" s="186" t="n"/>
      <c r="BL76" s="186" t="n"/>
      <c r="BM76" s="186" t="n"/>
      <c r="BN76" s="186" t="n"/>
      <c r="BO76" s="186" t="n"/>
      <c r="BP76" s="186" t="n"/>
      <c r="BQ76" s="186" t="n"/>
      <c r="BR76" s="186" t="n"/>
      <c r="BS76" s="186" t="n"/>
      <c r="BT76" s="186" t="n"/>
      <c r="BU76" s="186" t="n"/>
      <c r="BV76" s="186" t="n"/>
      <c r="BW76" s="186" t="n"/>
      <c r="BX76" s="186" t="n"/>
      <c r="BY76" s="186" t="n"/>
      <c r="BZ76" s="189" t="n"/>
      <c r="CA76" s="189" t="n"/>
      <c r="CB76" s="189" t="n"/>
      <c r="CC76" s="190" t="n"/>
      <c r="CD76" s="186" t="n"/>
      <c r="CE76" s="186" t="n"/>
      <c r="CF76" s="186" t="n"/>
      <c r="CG76" s="186" t="n"/>
      <c r="CH76" s="186" t="n"/>
      <c r="CI76" s="191" t="n"/>
      <c r="CJ76" s="192" t="n"/>
      <c r="CK76" s="192" t="n"/>
      <c r="CL76" s="192" t="n"/>
      <c r="CM76" s="192" t="n"/>
    </row>
    <row r="77">
      <c r="A77" s="177" t="n"/>
      <c r="B77" s="178" t="n"/>
      <c r="C77" s="178" t="n"/>
      <c r="D77" s="179" t="n"/>
      <c r="E77" s="180" t="n"/>
      <c r="F77" s="181" t="n"/>
      <c r="G77" s="182" t="n"/>
      <c r="H77" s="105" t="n"/>
      <c r="I77" s="183">
        <f>F77</f>
        <v/>
      </c>
      <c r="J77" s="184" t="n"/>
      <c r="K77" s="185" t="n"/>
      <c r="L77" s="8" t="n"/>
      <c r="M77" s="184">
        <f>L77</f>
        <v/>
      </c>
      <c r="N77" s="71" t="n"/>
      <c r="O77" s="101" t="n"/>
      <c r="P77" s="9">
        <f>I77-M77</f>
        <v/>
      </c>
      <c r="Q77" s="9">
        <f>IF(LEFT(B77,4)&lt;&gt;"    ",0,BN77)</f>
        <v/>
      </c>
      <c r="R77" s="9">
        <f>+P77-Q77</f>
        <v/>
      </c>
      <c r="S77" s="280" t="n"/>
      <c r="T77" s="10" t="n"/>
      <c r="U77" s="23">
        <f>IF(LEFT(B77,4)&lt;&gt;"    ","",IF(M77&lt;&gt;0,X77/M77,0))</f>
        <v/>
      </c>
      <c r="V77" s="11">
        <f>IF(LEFT(B77,4)&lt;&gt;"    ","",U77*I77)</f>
        <v/>
      </c>
      <c r="W77" s="11">
        <f>IF(LEFT(B77,4)&lt;&gt;"    ","",X77+Z77)</f>
        <v/>
      </c>
      <c r="X77" s="8" t="n"/>
      <c r="Y77" s="9">
        <f>IF(LEFT(B77,4)&lt;&gt;"    ",0,IF(P77&lt;0,P77,IF(U77&gt;0.3,W77-X77,0)))</f>
        <v/>
      </c>
      <c r="Z77" s="71">
        <f>Y77</f>
        <v/>
      </c>
      <c r="AA77" s="71" t="n"/>
      <c r="AB77" s="109" t="n"/>
      <c r="AC77" s="9">
        <f>IF(LEFT(B77,4)&lt;&gt;"    ",0,BK77)</f>
        <v/>
      </c>
      <c r="AD77" s="9">
        <f>Z77-AC77</f>
        <v/>
      </c>
      <c r="AE77" s="10" t="n"/>
      <c r="AF77" s="24" t="n"/>
      <c r="AG77" s="11" t="n"/>
      <c r="AH77" s="8" t="n"/>
      <c r="AI77" s="9">
        <f>IF(LEFT(B77,4)&lt;&gt;"    ","",AG77-AH77)</f>
        <v/>
      </c>
      <c r="AJ77" s="9" t="n"/>
      <c r="AK77" s="10" t="n"/>
      <c r="AL77" s="11">
        <f>IF(LEFT(B77,4)&lt;&gt;"    ","",W77-AG77)</f>
        <v/>
      </c>
      <c r="AM77" s="8">
        <f>IF(LEFT(B77,4)&lt;&gt;"    ","",X77-AH77)</f>
        <v/>
      </c>
      <c r="AN77" s="9">
        <f>IF(LEFT(B77,4)&lt;&gt;"    ","",Y77-AI77)</f>
        <v/>
      </c>
      <c r="AO77" s="9">
        <f>IF(LEFT(B77,4)&lt;&gt;"    ","",Z77-AJ77)</f>
        <v/>
      </c>
      <c r="AP77" s="10" t="n"/>
      <c r="AQ77" s="25">
        <f>IF(LEFT(B77,4)&lt;&gt;"    ","",I77-W77)</f>
        <v/>
      </c>
      <c r="AR77" s="25">
        <f>M77-X77</f>
        <v/>
      </c>
      <c r="AS77" s="25">
        <f>IF(LEFT(B77,4)&lt;&gt;"    ","",P77-Z77)</f>
        <v/>
      </c>
      <c r="AT77" s="10" t="n"/>
      <c r="AU77" s="12" t="n"/>
      <c r="AV77" s="12">
        <f>IF(LEFT(B77,4)&lt;&gt;"    ","",IF(W77-AU77&gt;=0,W77-AU77," "))</f>
        <v/>
      </c>
      <c r="AW77" s="12">
        <f>IF(LEFT(B77,4)&lt;&gt;"    ","",IF(AU77-W77&gt;=0,AU77-W77," "))</f>
        <v/>
      </c>
      <c r="AX77" s="186" t="n"/>
      <c r="AY77" s="187" t="n"/>
      <c r="AZ77" s="186" t="n"/>
      <c r="BA77" s="186" t="n"/>
      <c r="BB77" s="188" t="n"/>
      <c r="BC77" s="187" t="n"/>
      <c r="BD77" s="187" t="n"/>
      <c r="BE77" s="186" t="n"/>
      <c r="BF77" s="186" t="n"/>
      <c r="BG77" s="186" t="n"/>
      <c r="BH77" s="186" t="n"/>
      <c r="BI77" s="186" t="n"/>
      <c r="BJ77" s="186" t="n"/>
      <c r="BK77" s="186" t="n"/>
      <c r="BL77" s="186" t="n"/>
      <c r="BM77" s="186" t="n"/>
      <c r="BN77" s="186" t="n"/>
      <c r="BO77" s="186" t="n"/>
      <c r="BP77" s="186" t="n"/>
      <c r="BQ77" s="186" t="n"/>
      <c r="BR77" s="186" t="n"/>
      <c r="BS77" s="186" t="n"/>
      <c r="BT77" s="186" t="n"/>
      <c r="BU77" s="186" t="n"/>
      <c r="BV77" s="186" t="n"/>
      <c r="BW77" s="186" t="n"/>
      <c r="BX77" s="186" t="n"/>
      <c r="BY77" s="186" t="n"/>
      <c r="BZ77" s="189" t="n"/>
      <c r="CA77" s="189" t="n"/>
      <c r="CB77" s="189" t="n"/>
      <c r="CC77" s="190" t="n"/>
      <c r="CD77" s="186" t="n"/>
      <c r="CE77" s="186" t="n"/>
      <c r="CF77" s="186" t="n"/>
      <c r="CG77" s="186" t="n"/>
      <c r="CH77" s="186" t="n"/>
      <c r="CI77" s="191" t="n"/>
      <c r="CJ77" s="192" t="n"/>
      <c r="CK77" s="192" t="n"/>
      <c r="CL77" s="192" t="n"/>
      <c r="CM77" s="192" t="n"/>
    </row>
    <row r="78">
      <c r="A78" s="177" t="n"/>
      <c r="B78" s="178" t="n"/>
      <c r="C78" s="178" t="n"/>
      <c r="D78" s="179" t="n"/>
      <c r="E78" s="180" t="n"/>
      <c r="F78" s="181" t="n"/>
      <c r="G78" s="182" t="n"/>
      <c r="H78" s="105" t="n"/>
      <c r="I78" s="183">
        <f>F78</f>
        <v/>
      </c>
      <c r="J78" s="184" t="n"/>
      <c r="K78" s="185" t="n"/>
      <c r="L78" s="8" t="n"/>
      <c r="M78" s="184">
        <f>L78</f>
        <v/>
      </c>
      <c r="N78" s="71" t="n"/>
      <c r="O78" s="101" t="n"/>
      <c r="P78" s="9">
        <f>I78-M78</f>
        <v/>
      </c>
      <c r="Q78" s="9">
        <f>IF(LEFT(B78,4)&lt;&gt;"    ",0,BN78)</f>
        <v/>
      </c>
      <c r="R78" s="9">
        <f>+P78-Q78</f>
        <v/>
      </c>
      <c r="S78" s="280" t="n"/>
      <c r="T78" s="10" t="n"/>
      <c r="U78" s="23">
        <f>IF(LEFT(B78,4)&lt;&gt;"    ","",IF(M78&lt;&gt;0,X78/M78,0))</f>
        <v/>
      </c>
      <c r="V78" s="11">
        <f>IF(LEFT(B78,4)&lt;&gt;"    ","",U78*I78)</f>
        <v/>
      </c>
      <c r="W78" s="11">
        <f>IF(LEFT(B78,4)&lt;&gt;"    ","",X78+Z78)</f>
        <v/>
      </c>
      <c r="X78" s="8" t="n"/>
      <c r="Y78" s="9">
        <f>IF(LEFT(B78,4)&lt;&gt;"    ",0,IF(P78&lt;0,P78,IF(U78&gt;0.3,W78-X78,0)))</f>
        <v/>
      </c>
      <c r="Z78" s="71">
        <f>Y78</f>
        <v/>
      </c>
      <c r="AA78" s="71" t="n"/>
      <c r="AB78" s="109" t="n"/>
      <c r="AC78" s="9">
        <f>IF(LEFT(B78,4)&lt;&gt;"    ",0,BK78)</f>
        <v/>
      </c>
      <c r="AD78" s="9">
        <f>Z78-AC78</f>
        <v/>
      </c>
      <c r="AE78" s="10" t="n"/>
      <c r="AF78" s="24" t="n"/>
      <c r="AG78" s="11" t="n"/>
      <c r="AH78" s="8" t="n"/>
      <c r="AI78" s="9">
        <f>IF(LEFT(B78,4)&lt;&gt;"    ","",AG78-AH78)</f>
        <v/>
      </c>
      <c r="AJ78" s="9" t="n"/>
      <c r="AK78" s="10" t="n"/>
      <c r="AL78" s="11">
        <f>IF(LEFT(B78,4)&lt;&gt;"    ","",W78-AG78)</f>
        <v/>
      </c>
      <c r="AM78" s="8">
        <f>IF(LEFT(B78,4)&lt;&gt;"    ","",X78-AH78)</f>
        <v/>
      </c>
      <c r="AN78" s="9">
        <f>IF(LEFT(B78,4)&lt;&gt;"    ","",Y78-AI78)</f>
        <v/>
      </c>
      <c r="AO78" s="9">
        <f>IF(LEFT(B78,4)&lt;&gt;"    ","",Z78-AJ78)</f>
        <v/>
      </c>
      <c r="AP78" s="10" t="n"/>
      <c r="AQ78" s="25">
        <f>IF(LEFT(B78,4)&lt;&gt;"    ","",I78-W78)</f>
        <v/>
      </c>
      <c r="AR78" s="25">
        <f>M78-X78</f>
        <v/>
      </c>
      <c r="AS78" s="25">
        <f>IF(LEFT(B78,4)&lt;&gt;"    ","",P78-Z78)</f>
        <v/>
      </c>
      <c r="AT78" s="10" t="n"/>
      <c r="AU78" s="12" t="n"/>
      <c r="AV78" s="12">
        <f>IF(LEFT(B78,4)&lt;&gt;"    ","",IF(W78-AU78&gt;=0,W78-AU78," "))</f>
        <v/>
      </c>
      <c r="AW78" s="12">
        <f>IF(LEFT(B78,4)&lt;&gt;"    ","",IF(AU78-W78&gt;=0,AU78-W78," "))</f>
        <v/>
      </c>
      <c r="AX78" s="186" t="n"/>
      <c r="AY78" s="187" t="n"/>
      <c r="AZ78" s="186" t="n"/>
      <c r="BA78" s="186" t="n"/>
      <c r="BB78" s="188" t="n"/>
      <c r="BC78" s="187" t="n"/>
      <c r="BD78" s="187" t="n"/>
      <c r="BE78" s="186" t="n"/>
      <c r="BF78" s="186" t="n"/>
      <c r="BG78" s="186" t="n"/>
      <c r="BH78" s="186" t="n"/>
      <c r="BI78" s="186" t="n"/>
      <c r="BJ78" s="186" t="n"/>
      <c r="BK78" s="186" t="n"/>
      <c r="BL78" s="186" t="n"/>
      <c r="BM78" s="186" t="n"/>
      <c r="BN78" s="186" t="n"/>
      <c r="BO78" s="186" t="n"/>
      <c r="BP78" s="186" t="n"/>
      <c r="BQ78" s="186" t="n"/>
      <c r="BR78" s="186" t="n"/>
      <c r="BS78" s="186" t="n"/>
      <c r="BT78" s="186" t="n"/>
      <c r="BU78" s="186" t="n"/>
      <c r="BV78" s="186" t="n"/>
      <c r="BW78" s="186" t="n"/>
      <c r="BX78" s="186" t="n"/>
      <c r="BY78" s="186" t="n"/>
      <c r="BZ78" s="189" t="n"/>
      <c r="CA78" s="189" t="n"/>
      <c r="CB78" s="189" t="n"/>
      <c r="CC78" s="190" t="n"/>
      <c r="CD78" s="186" t="n"/>
      <c r="CE78" s="186" t="n"/>
      <c r="CF78" s="186" t="n"/>
      <c r="CG78" s="186" t="n"/>
      <c r="CH78" s="186" t="n"/>
      <c r="CI78" s="191" t="n"/>
      <c r="CJ78" s="192" t="n"/>
      <c r="CK78" s="192" t="n"/>
      <c r="CL78" s="192" t="n"/>
      <c r="CM78" s="192" t="n"/>
    </row>
    <row r="79">
      <c r="A79" s="177" t="n"/>
      <c r="B79" s="178" t="n"/>
      <c r="C79" s="178" t="n"/>
      <c r="D79" s="179" t="n"/>
      <c r="E79" s="180" t="n"/>
      <c r="F79" s="181" t="n"/>
      <c r="G79" s="182" t="n"/>
      <c r="H79" s="105" t="n"/>
      <c r="I79" s="183">
        <f>F79</f>
        <v/>
      </c>
      <c r="J79" s="184" t="n"/>
      <c r="K79" s="185" t="n"/>
      <c r="L79" s="8" t="n"/>
      <c r="M79" s="184">
        <f>L79</f>
        <v/>
      </c>
      <c r="N79" s="71" t="n"/>
      <c r="O79" s="101" t="n"/>
      <c r="P79" s="9">
        <f>I79-M79</f>
        <v/>
      </c>
      <c r="Q79" s="9">
        <f>IF(LEFT(B79,4)&lt;&gt;"    ",0,BN79)</f>
        <v/>
      </c>
      <c r="R79" s="9">
        <f>+P79-Q79</f>
        <v/>
      </c>
      <c r="S79" s="280" t="n"/>
      <c r="T79" s="10" t="n"/>
      <c r="U79" s="23">
        <f>IF(LEFT(B79,4)&lt;&gt;"    ","",IF(M79&lt;&gt;0,X79/M79,0))</f>
        <v/>
      </c>
      <c r="V79" s="11">
        <f>IF(LEFT(B79,4)&lt;&gt;"    ","",U79*I79)</f>
        <v/>
      </c>
      <c r="W79" s="11">
        <f>IF(LEFT(B79,4)&lt;&gt;"    ","",X79+Z79)</f>
        <v/>
      </c>
      <c r="X79" s="8" t="n"/>
      <c r="Y79" s="9">
        <f>IF(LEFT(B79,4)&lt;&gt;"    ",0,IF(P79&lt;0,P79,IF(U79&gt;0.3,W79-X79,0)))</f>
        <v/>
      </c>
      <c r="Z79" s="71">
        <f>Y79</f>
        <v/>
      </c>
      <c r="AA79" s="71" t="n"/>
      <c r="AB79" s="109" t="n"/>
      <c r="AC79" s="9">
        <f>IF(LEFT(B79,4)&lt;&gt;"    ",0,BK79)</f>
        <v/>
      </c>
      <c r="AD79" s="9">
        <f>Z79-AC79</f>
        <v/>
      </c>
      <c r="AE79" s="10" t="n"/>
      <c r="AF79" s="24" t="n"/>
      <c r="AG79" s="11" t="n"/>
      <c r="AH79" s="8" t="n"/>
      <c r="AI79" s="9">
        <f>IF(LEFT(B79,4)&lt;&gt;"    ","",AG79-AH79)</f>
        <v/>
      </c>
      <c r="AJ79" s="9" t="n"/>
      <c r="AK79" s="10" t="n"/>
      <c r="AL79" s="11">
        <f>IF(LEFT(B79,4)&lt;&gt;"    ","",W79-AG79)</f>
        <v/>
      </c>
      <c r="AM79" s="8">
        <f>IF(LEFT(B79,4)&lt;&gt;"    ","",X79-AH79)</f>
        <v/>
      </c>
      <c r="AN79" s="9">
        <f>IF(LEFT(B79,4)&lt;&gt;"    ","",Y79-AI79)</f>
        <v/>
      </c>
      <c r="AO79" s="9">
        <f>IF(LEFT(B79,4)&lt;&gt;"    ","",Z79-AJ79)</f>
        <v/>
      </c>
      <c r="AP79" s="10" t="n"/>
      <c r="AQ79" s="25">
        <f>IF(LEFT(B79,4)&lt;&gt;"    ","",I79-W79)</f>
        <v/>
      </c>
      <c r="AR79" s="25">
        <f>M79-X79</f>
        <v/>
      </c>
      <c r="AS79" s="25">
        <f>IF(LEFT(B79,4)&lt;&gt;"    ","",P79-Z79)</f>
        <v/>
      </c>
      <c r="AT79" s="10" t="n"/>
      <c r="AU79" s="12" t="n"/>
      <c r="AV79" s="12">
        <f>IF(LEFT(B79,4)&lt;&gt;"    ","",IF(W79-AU79&gt;=0,W79-AU79," "))</f>
        <v/>
      </c>
      <c r="AW79" s="12">
        <f>IF(LEFT(B79,4)&lt;&gt;"    ","",IF(AU79-W79&gt;=0,AU79-W79," "))</f>
        <v/>
      </c>
      <c r="AX79" s="186" t="n"/>
      <c r="AY79" s="187" t="n"/>
      <c r="AZ79" s="186" t="n"/>
      <c r="BA79" s="186" t="n"/>
      <c r="BB79" s="188" t="n"/>
      <c r="BC79" s="187" t="n"/>
      <c r="BD79" s="187" t="n"/>
      <c r="BE79" s="186" t="n"/>
      <c r="BF79" s="186" t="n"/>
      <c r="BG79" s="186" t="n"/>
      <c r="BH79" s="186" t="n"/>
      <c r="BI79" s="186" t="n"/>
      <c r="BJ79" s="186" t="n"/>
      <c r="BK79" s="186" t="n"/>
      <c r="BL79" s="186" t="n"/>
      <c r="BM79" s="186" t="n"/>
      <c r="BN79" s="186" t="n"/>
      <c r="BO79" s="186" t="n"/>
      <c r="BP79" s="186" t="n"/>
      <c r="BQ79" s="186" t="n"/>
      <c r="BR79" s="186" t="n"/>
      <c r="BS79" s="186" t="n"/>
      <c r="BT79" s="186" t="n"/>
      <c r="BU79" s="186" t="n"/>
      <c r="BV79" s="186" t="n"/>
      <c r="BW79" s="186" t="n"/>
      <c r="BX79" s="186" t="n"/>
      <c r="BY79" s="186" t="n"/>
      <c r="BZ79" s="189" t="n"/>
      <c r="CA79" s="189" t="n"/>
      <c r="CB79" s="189" t="n"/>
      <c r="CC79" s="190" t="n"/>
      <c r="CD79" s="186" t="n"/>
      <c r="CE79" s="186" t="n"/>
      <c r="CF79" s="186" t="n"/>
      <c r="CG79" s="186" t="n"/>
      <c r="CH79" s="186" t="n"/>
      <c r="CI79" s="191" t="n"/>
      <c r="CJ79" s="192" t="n"/>
      <c r="CK79" s="192" t="n"/>
      <c r="CL79" s="192" t="n"/>
      <c r="CM79" s="192" t="n"/>
    </row>
    <row r="80">
      <c r="A80" s="177" t="n"/>
      <c r="B80" s="178" t="n"/>
      <c r="C80" s="178" t="n"/>
      <c r="D80" s="179" t="n"/>
      <c r="E80" s="180" t="n"/>
      <c r="F80" s="181" t="n"/>
      <c r="G80" s="182" t="n"/>
      <c r="H80" s="105" t="n"/>
      <c r="I80" s="183">
        <f>F80</f>
        <v/>
      </c>
      <c r="J80" s="184" t="n"/>
      <c r="K80" s="185" t="n"/>
      <c r="L80" s="8" t="n"/>
      <c r="M80" s="184">
        <f>L80</f>
        <v/>
      </c>
      <c r="N80" s="71" t="n"/>
      <c r="O80" s="101" t="n"/>
      <c r="P80" s="9">
        <f>I80-M80</f>
        <v/>
      </c>
      <c r="Q80" s="9">
        <f>IF(LEFT(B80,4)&lt;&gt;"    ",0,BN80)</f>
        <v/>
      </c>
      <c r="R80" s="9">
        <f>+P80-Q80</f>
        <v/>
      </c>
      <c r="S80" s="280" t="n"/>
      <c r="T80" s="10" t="n"/>
      <c r="U80" s="23">
        <f>IF(LEFT(B80,4)&lt;&gt;"    ","",IF(M80&lt;&gt;0,X80/M80,0))</f>
        <v/>
      </c>
      <c r="V80" s="11">
        <f>IF(LEFT(B80,4)&lt;&gt;"    ","",U80*I80)</f>
        <v/>
      </c>
      <c r="W80" s="11">
        <f>IF(LEFT(B80,4)&lt;&gt;"    ","",X80+Z80)</f>
        <v/>
      </c>
      <c r="X80" s="8" t="n"/>
      <c r="Y80" s="9">
        <f>IF(LEFT(B80,4)&lt;&gt;"    ",0,IF(P80&lt;0,P80,IF(U80&gt;0.3,W80-X80,0)))</f>
        <v/>
      </c>
      <c r="Z80" s="71">
        <f>Y80</f>
        <v/>
      </c>
      <c r="AA80" s="71" t="n"/>
      <c r="AB80" s="109" t="n"/>
      <c r="AC80" s="9">
        <f>IF(LEFT(B80,4)&lt;&gt;"    ",0,BK80)</f>
        <v/>
      </c>
      <c r="AD80" s="9">
        <f>Z80-AC80</f>
        <v/>
      </c>
      <c r="AE80" s="10" t="n"/>
      <c r="AF80" s="24" t="n"/>
      <c r="AG80" s="11" t="n"/>
      <c r="AH80" s="8" t="n"/>
      <c r="AI80" s="9">
        <f>IF(LEFT(B80,4)&lt;&gt;"    ","",AG80-AH80)</f>
        <v/>
      </c>
      <c r="AJ80" s="9" t="n"/>
      <c r="AK80" s="10" t="n"/>
      <c r="AL80" s="11">
        <f>IF(LEFT(B80,4)&lt;&gt;"    ","",W80-AG80)</f>
        <v/>
      </c>
      <c r="AM80" s="8">
        <f>IF(LEFT(B80,4)&lt;&gt;"    ","",X80-AH80)</f>
        <v/>
      </c>
      <c r="AN80" s="9">
        <f>IF(LEFT(B80,4)&lt;&gt;"    ","",Y80-AI80)</f>
        <v/>
      </c>
      <c r="AO80" s="9">
        <f>IF(LEFT(B80,4)&lt;&gt;"    ","",Z80-AJ80)</f>
        <v/>
      </c>
      <c r="AP80" s="10" t="n"/>
      <c r="AQ80" s="25">
        <f>IF(LEFT(B80,4)&lt;&gt;"    ","",I80-W80)</f>
        <v/>
      </c>
      <c r="AR80" s="25">
        <f>M80-X80</f>
        <v/>
      </c>
      <c r="AS80" s="25">
        <f>IF(LEFT(B80,4)&lt;&gt;"    ","",P80-Z80)</f>
        <v/>
      </c>
      <c r="AT80" s="10" t="n"/>
      <c r="AU80" s="12" t="n"/>
      <c r="AV80" s="12">
        <f>IF(LEFT(B80,4)&lt;&gt;"    ","",IF(W80-AU80&gt;=0,W80-AU80," "))</f>
        <v/>
      </c>
      <c r="AW80" s="12">
        <f>IF(LEFT(B80,4)&lt;&gt;"    ","",IF(AU80-W80&gt;=0,AU80-W80," "))</f>
        <v/>
      </c>
      <c r="AX80" s="186" t="n"/>
      <c r="AY80" s="187" t="n"/>
      <c r="AZ80" s="186" t="n"/>
      <c r="BA80" s="186" t="n"/>
      <c r="BB80" s="188" t="n"/>
      <c r="BC80" s="187" t="n"/>
      <c r="BD80" s="187" t="n"/>
      <c r="BE80" s="186" t="n"/>
      <c r="BF80" s="186" t="n"/>
      <c r="BG80" s="186" t="n"/>
      <c r="BH80" s="186" t="n"/>
      <c r="BI80" s="186" t="n"/>
      <c r="BJ80" s="186" t="n"/>
      <c r="BK80" s="186" t="n"/>
      <c r="BL80" s="186" t="n"/>
      <c r="BM80" s="186" t="n"/>
      <c r="BN80" s="186" t="n"/>
      <c r="BO80" s="186" t="n"/>
      <c r="BP80" s="186" t="n"/>
      <c r="BQ80" s="186" t="n"/>
      <c r="BR80" s="186" t="n"/>
      <c r="BS80" s="186" t="n"/>
      <c r="BT80" s="186" t="n"/>
      <c r="BU80" s="186" t="n"/>
      <c r="BV80" s="186" t="n"/>
      <c r="BW80" s="186" t="n"/>
      <c r="BX80" s="186" t="n"/>
      <c r="BY80" s="186" t="n"/>
      <c r="BZ80" s="189" t="n"/>
      <c r="CA80" s="189" t="n"/>
      <c r="CB80" s="189" t="n"/>
      <c r="CC80" s="190" t="n"/>
      <c r="CD80" s="186" t="n"/>
      <c r="CE80" s="186" t="n"/>
      <c r="CF80" s="186" t="n"/>
      <c r="CG80" s="186" t="n"/>
      <c r="CH80" s="186" t="n"/>
      <c r="CI80" s="191" t="n"/>
      <c r="CJ80" s="192" t="n"/>
      <c r="CK80" s="192" t="n"/>
      <c r="CL80" s="192" t="n"/>
      <c r="CM80" s="192" t="n"/>
    </row>
    <row r="81">
      <c r="A81" s="177" t="n"/>
      <c r="B81" s="178" t="n"/>
      <c r="C81" s="178" t="n"/>
      <c r="D81" s="179" t="n"/>
      <c r="E81" s="180" t="n"/>
      <c r="F81" s="181" t="n"/>
      <c r="G81" s="182" t="n"/>
      <c r="H81" s="105" t="n"/>
      <c r="I81" s="183">
        <f>F81</f>
        <v/>
      </c>
      <c r="J81" s="184" t="n"/>
      <c r="K81" s="185" t="n"/>
      <c r="L81" s="8" t="n"/>
      <c r="M81" s="184">
        <f>L81</f>
        <v/>
      </c>
      <c r="N81" s="71" t="n"/>
      <c r="O81" s="101" t="n"/>
      <c r="P81" s="9">
        <f>I81-M81</f>
        <v/>
      </c>
      <c r="Q81" s="9">
        <f>IF(LEFT(B81,4)&lt;&gt;"    ",0,BN81)</f>
        <v/>
      </c>
      <c r="R81" s="9">
        <f>+P81-Q81</f>
        <v/>
      </c>
      <c r="S81" s="280" t="n"/>
      <c r="T81" s="10" t="n"/>
      <c r="U81" s="23">
        <f>IF(LEFT(B81,4)&lt;&gt;"    ","",IF(M81&lt;&gt;0,X81/M81,0))</f>
        <v/>
      </c>
      <c r="V81" s="11">
        <f>IF(LEFT(B81,4)&lt;&gt;"    ","",U81*I81)</f>
        <v/>
      </c>
      <c r="W81" s="11">
        <f>IF(LEFT(B81,4)&lt;&gt;"    ","",X81+Z81)</f>
        <v/>
      </c>
      <c r="X81" s="8" t="n"/>
      <c r="Y81" s="9">
        <f>IF(LEFT(B81,4)&lt;&gt;"    ",0,IF(P81&lt;0,P81,IF(U81&gt;0.3,W81-X81,0)))</f>
        <v/>
      </c>
      <c r="Z81" s="71">
        <f>Y81</f>
        <v/>
      </c>
      <c r="AA81" s="71" t="n"/>
      <c r="AB81" s="109" t="n"/>
      <c r="AC81" s="9">
        <f>IF(LEFT(B81,4)&lt;&gt;"    ",0,BK81)</f>
        <v/>
      </c>
      <c r="AD81" s="9">
        <f>Z81-AC81</f>
        <v/>
      </c>
      <c r="AE81" s="10" t="n"/>
      <c r="AF81" s="24" t="n"/>
      <c r="AG81" s="11" t="n"/>
      <c r="AH81" s="8" t="n"/>
      <c r="AI81" s="9">
        <f>IF(LEFT(B81,4)&lt;&gt;"    ","",AG81-AH81)</f>
        <v/>
      </c>
      <c r="AJ81" s="9" t="n"/>
      <c r="AK81" s="10" t="n"/>
      <c r="AL81" s="11">
        <f>IF(LEFT(B81,4)&lt;&gt;"    ","",W81-AG81)</f>
        <v/>
      </c>
      <c r="AM81" s="8">
        <f>IF(LEFT(B81,4)&lt;&gt;"    ","",X81-AH81)</f>
        <v/>
      </c>
      <c r="AN81" s="9">
        <f>IF(LEFT(B81,4)&lt;&gt;"    ","",Y81-AI81)</f>
        <v/>
      </c>
      <c r="AO81" s="9">
        <f>IF(LEFT(B81,4)&lt;&gt;"    ","",Z81-AJ81)</f>
        <v/>
      </c>
      <c r="AP81" s="10" t="n"/>
      <c r="AQ81" s="25">
        <f>IF(LEFT(B81,4)&lt;&gt;"    ","",I81-W81)</f>
        <v/>
      </c>
      <c r="AR81" s="25">
        <f>M81-X81</f>
        <v/>
      </c>
      <c r="AS81" s="25">
        <f>IF(LEFT(B81,4)&lt;&gt;"    ","",P81-Z81)</f>
        <v/>
      </c>
      <c r="AT81" s="10" t="n"/>
      <c r="AU81" s="12" t="n"/>
      <c r="AV81" s="12">
        <f>IF(LEFT(B81,4)&lt;&gt;"    ","",IF(W81-AU81&gt;=0,W81-AU81," "))</f>
        <v/>
      </c>
      <c r="AW81" s="12">
        <f>IF(LEFT(B81,4)&lt;&gt;"    ","",IF(AU81-W81&gt;=0,AU81-W81," "))</f>
        <v/>
      </c>
      <c r="AX81" s="186" t="n"/>
      <c r="AY81" s="187" t="n"/>
      <c r="AZ81" s="186" t="n"/>
      <c r="BA81" s="186" t="n"/>
      <c r="BB81" s="188" t="n"/>
      <c r="BC81" s="187" t="n"/>
      <c r="BD81" s="187" t="n"/>
      <c r="BE81" s="186" t="n"/>
      <c r="BF81" s="186" t="n"/>
      <c r="BG81" s="186" t="n"/>
      <c r="BH81" s="186" t="n"/>
      <c r="BI81" s="186" t="n"/>
      <c r="BJ81" s="186" t="n"/>
      <c r="BK81" s="186" t="n"/>
      <c r="BL81" s="186" t="n"/>
      <c r="BM81" s="186" t="n"/>
      <c r="BN81" s="186" t="n"/>
      <c r="BO81" s="186" t="n"/>
      <c r="BP81" s="186" t="n"/>
      <c r="BQ81" s="186" t="n"/>
      <c r="BR81" s="186" t="n"/>
      <c r="BS81" s="186" t="n"/>
      <c r="BT81" s="186" t="n"/>
      <c r="BU81" s="186" t="n"/>
      <c r="BV81" s="186" t="n"/>
      <c r="BW81" s="186" t="n"/>
      <c r="BX81" s="186" t="n"/>
      <c r="BY81" s="186" t="n"/>
      <c r="BZ81" s="189" t="n"/>
      <c r="CA81" s="189" t="n"/>
      <c r="CB81" s="189" t="n"/>
      <c r="CC81" s="190" t="n"/>
      <c r="CD81" s="186" t="n"/>
      <c r="CE81" s="186" t="n"/>
      <c r="CF81" s="186" t="n"/>
      <c r="CG81" s="186" t="n"/>
      <c r="CH81" s="186" t="n"/>
      <c r="CI81" s="191" t="n"/>
      <c r="CJ81" s="192" t="n"/>
      <c r="CK81" s="192" t="n"/>
      <c r="CL81" s="192" t="n"/>
      <c r="CM81" s="192" t="n"/>
    </row>
    <row r="82">
      <c r="A82" s="177" t="n"/>
      <c r="B82" s="178" t="n"/>
      <c r="C82" s="178" t="n"/>
      <c r="D82" s="179" t="n"/>
      <c r="E82" s="180" t="n"/>
      <c r="F82" s="181" t="n"/>
      <c r="G82" s="182" t="n"/>
      <c r="H82" s="105" t="n"/>
      <c r="I82" s="183">
        <f>F82</f>
        <v/>
      </c>
      <c r="J82" s="184" t="n"/>
      <c r="K82" s="185" t="n"/>
      <c r="L82" s="8" t="n"/>
      <c r="M82" s="184">
        <f>L82</f>
        <v/>
      </c>
      <c r="N82" s="71" t="n"/>
      <c r="O82" s="101" t="n"/>
      <c r="P82" s="9">
        <f>I82-M82</f>
        <v/>
      </c>
      <c r="Q82" s="9">
        <f>IF(LEFT(B82,4)&lt;&gt;"    ",0,BN82)</f>
        <v/>
      </c>
      <c r="R82" s="9">
        <f>+P82-Q82</f>
        <v/>
      </c>
      <c r="S82" s="280" t="n"/>
      <c r="T82" s="10" t="n"/>
      <c r="U82" s="23">
        <f>IF(LEFT(B82,4)&lt;&gt;"    ","",IF(M82&lt;&gt;0,X82/M82,0))</f>
        <v/>
      </c>
      <c r="V82" s="11">
        <f>IF(LEFT(B82,4)&lt;&gt;"    ","",U82*I82)</f>
        <v/>
      </c>
      <c r="W82" s="11">
        <f>IF(LEFT(B82,4)&lt;&gt;"    ","",X82+Z82)</f>
        <v/>
      </c>
      <c r="X82" s="8" t="n"/>
      <c r="Y82" s="9">
        <f>IF(LEFT(B82,4)&lt;&gt;"    ",0,IF(P82&lt;0,P82,IF(U82&gt;0.3,W82-X82,0)))</f>
        <v/>
      </c>
      <c r="Z82" s="71">
        <f>Y82</f>
        <v/>
      </c>
      <c r="AA82" s="71" t="n"/>
      <c r="AB82" s="109" t="n"/>
      <c r="AC82" s="9">
        <f>IF(LEFT(B82,4)&lt;&gt;"    ",0,BK82)</f>
        <v/>
      </c>
      <c r="AD82" s="9">
        <f>Z82-AC82</f>
        <v/>
      </c>
      <c r="AE82" s="10" t="n"/>
      <c r="AF82" s="24" t="n"/>
      <c r="AG82" s="11" t="n"/>
      <c r="AH82" s="8" t="n"/>
      <c r="AI82" s="9">
        <f>IF(LEFT(B82,4)&lt;&gt;"    ","",AG82-AH82)</f>
        <v/>
      </c>
      <c r="AJ82" s="9" t="n"/>
      <c r="AK82" s="10" t="n"/>
      <c r="AL82" s="11">
        <f>IF(LEFT(B82,4)&lt;&gt;"    ","",W82-AG82)</f>
        <v/>
      </c>
      <c r="AM82" s="8">
        <f>IF(LEFT(B82,4)&lt;&gt;"    ","",X82-AH82)</f>
        <v/>
      </c>
      <c r="AN82" s="9">
        <f>IF(LEFT(B82,4)&lt;&gt;"    ","",Y82-AI82)</f>
        <v/>
      </c>
      <c r="AO82" s="9">
        <f>IF(LEFT(B82,4)&lt;&gt;"    ","",Z82-AJ82)</f>
        <v/>
      </c>
      <c r="AP82" s="10" t="n"/>
      <c r="AQ82" s="25">
        <f>IF(LEFT(B82,4)&lt;&gt;"    ","",I82-W82)</f>
        <v/>
      </c>
      <c r="AR82" s="25">
        <f>M82-X82</f>
        <v/>
      </c>
      <c r="AS82" s="25">
        <f>IF(LEFT(B82,4)&lt;&gt;"    ","",P82-Z82)</f>
        <v/>
      </c>
      <c r="AT82" s="10" t="n"/>
      <c r="AU82" s="12" t="n"/>
      <c r="AV82" s="12">
        <f>IF(LEFT(B82,4)&lt;&gt;"    ","",IF(W82-AU82&gt;=0,W82-AU82," "))</f>
        <v/>
      </c>
      <c r="AW82" s="12">
        <f>IF(LEFT(B82,4)&lt;&gt;"    ","",IF(AU82-W82&gt;=0,AU82-W82," "))</f>
        <v/>
      </c>
      <c r="AX82" s="186" t="n"/>
      <c r="AY82" s="187" t="n"/>
      <c r="AZ82" s="186" t="n"/>
      <c r="BA82" s="186" t="n"/>
      <c r="BB82" s="188" t="n"/>
      <c r="BC82" s="187" t="n"/>
      <c r="BD82" s="187" t="n"/>
      <c r="BE82" s="186" t="n"/>
      <c r="BF82" s="186" t="n"/>
      <c r="BG82" s="186" t="n"/>
      <c r="BH82" s="186" t="n"/>
      <c r="BI82" s="186" t="n"/>
      <c r="BJ82" s="186" t="n"/>
      <c r="BK82" s="186" t="n"/>
      <c r="BL82" s="186" t="n"/>
      <c r="BM82" s="186" t="n"/>
      <c r="BN82" s="186" t="n"/>
      <c r="BO82" s="186" t="n"/>
      <c r="BP82" s="186" t="n"/>
      <c r="BQ82" s="186" t="n"/>
      <c r="BR82" s="186" t="n"/>
      <c r="BS82" s="186" t="n"/>
      <c r="BT82" s="186" t="n"/>
      <c r="BU82" s="186" t="n"/>
      <c r="BV82" s="186" t="n"/>
      <c r="BW82" s="186" t="n"/>
      <c r="BX82" s="186" t="n"/>
      <c r="BY82" s="186" t="n"/>
      <c r="BZ82" s="189" t="n"/>
      <c r="CA82" s="189" t="n"/>
      <c r="CB82" s="189" t="n"/>
      <c r="CC82" s="190" t="n"/>
      <c r="CD82" s="186" t="n"/>
      <c r="CE82" s="186" t="n"/>
      <c r="CF82" s="186" t="n"/>
      <c r="CG82" s="186" t="n"/>
      <c r="CH82" s="186" t="n"/>
      <c r="CI82" s="191" t="n"/>
      <c r="CJ82" s="192" t="n"/>
      <c r="CK82" s="192" t="n"/>
      <c r="CL82" s="192" t="n"/>
      <c r="CM82" s="192" t="n"/>
    </row>
    <row r="83">
      <c r="A83" s="177" t="n"/>
      <c r="B83" s="178" t="n"/>
      <c r="C83" s="178" t="n"/>
      <c r="D83" s="179" t="n"/>
      <c r="E83" s="180" t="n"/>
      <c r="F83" s="181" t="n"/>
      <c r="G83" s="182" t="n"/>
      <c r="H83" s="105" t="n"/>
      <c r="I83" s="183">
        <f>F83</f>
        <v/>
      </c>
      <c r="J83" s="184" t="n"/>
      <c r="K83" s="185" t="n"/>
      <c r="L83" s="8" t="n"/>
      <c r="M83" s="184">
        <f>L83</f>
        <v/>
      </c>
      <c r="N83" s="71" t="n"/>
      <c r="O83" s="101" t="n"/>
      <c r="P83" s="9">
        <f>I83-M83</f>
        <v/>
      </c>
      <c r="Q83" s="9">
        <f>IF(LEFT(B83,4)&lt;&gt;"    ",0,BN83)</f>
        <v/>
      </c>
      <c r="R83" s="9">
        <f>+P83-Q83</f>
        <v/>
      </c>
      <c r="S83" s="280" t="n"/>
      <c r="T83" s="10" t="n"/>
      <c r="U83" s="23">
        <f>IF(LEFT(B83,4)&lt;&gt;"    ","",IF(M83&lt;&gt;0,X83/M83,0))</f>
        <v/>
      </c>
      <c r="V83" s="11">
        <f>IF(LEFT(B83,4)&lt;&gt;"    ","",U83*I83)</f>
        <v/>
      </c>
      <c r="W83" s="11">
        <f>IF(LEFT(B83,4)&lt;&gt;"    ","",X83+Z83)</f>
        <v/>
      </c>
      <c r="X83" s="8" t="n"/>
      <c r="Y83" s="9">
        <f>IF(LEFT(B83,4)&lt;&gt;"    ",0,IF(P83&lt;0,P83,IF(U83&gt;0.3,W83-X83,0)))</f>
        <v/>
      </c>
      <c r="Z83" s="71">
        <f>Y83</f>
        <v/>
      </c>
      <c r="AA83" s="71" t="n"/>
      <c r="AB83" s="109" t="n"/>
      <c r="AC83" s="9">
        <f>IF(LEFT(B83,4)&lt;&gt;"    ",0,BK83)</f>
        <v/>
      </c>
      <c r="AD83" s="9">
        <f>Z83-AC83</f>
        <v/>
      </c>
      <c r="AE83" s="10" t="n"/>
      <c r="AF83" s="24" t="n"/>
      <c r="AG83" s="11" t="n"/>
      <c r="AH83" s="8" t="n"/>
      <c r="AI83" s="9">
        <f>IF(LEFT(B83,4)&lt;&gt;"    ","",AG83-AH83)</f>
        <v/>
      </c>
      <c r="AJ83" s="9" t="n"/>
      <c r="AK83" s="10" t="n"/>
      <c r="AL83" s="11">
        <f>IF(LEFT(B83,4)&lt;&gt;"    ","",W83-AG83)</f>
        <v/>
      </c>
      <c r="AM83" s="8">
        <f>IF(LEFT(B83,4)&lt;&gt;"    ","",X83-AH83)</f>
        <v/>
      </c>
      <c r="AN83" s="9">
        <f>IF(LEFT(B83,4)&lt;&gt;"    ","",Y83-AI83)</f>
        <v/>
      </c>
      <c r="AO83" s="9">
        <f>IF(LEFT(B83,4)&lt;&gt;"    ","",Z83-AJ83)</f>
        <v/>
      </c>
      <c r="AP83" s="10" t="n"/>
      <c r="AQ83" s="25">
        <f>IF(LEFT(B83,4)&lt;&gt;"    ","",I83-W83)</f>
        <v/>
      </c>
      <c r="AR83" s="25">
        <f>M83-X83</f>
        <v/>
      </c>
      <c r="AS83" s="25">
        <f>IF(LEFT(B83,4)&lt;&gt;"    ","",P83-Z83)</f>
        <v/>
      </c>
      <c r="AT83" s="10" t="n"/>
      <c r="AU83" s="12" t="n"/>
      <c r="AV83" s="12">
        <f>IF(LEFT(B83,4)&lt;&gt;"    ","",IF(W83-AU83&gt;=0,W83-AU83," "))</f>
        <v/>
      </c>
      <c r="AW83" s="12">
        <f>IF(LEFT(B83,4)&lt;&gt;"    ","",IF(AU83-W83&gt;=0,AU83-W83," "))</f>
        <v/>
      </c>
      <c r="AX83" s="186" t="n"/>
      <c r="AY83" s="187" t="n"/>
      <c r="AZ83" s="186" t="n"/>
      <c r="BA83" s="186" t="n"/>
      <c r="BB83" s="188" t="n"/>
      <c r="BC83" s="187" t="n"/>
      <c r="BD83" s="187" t="n"/>
      <c r="BE83" s="186" t="n"/>
      <c r="BF83" s="186" t="n"/>
      <c r="BG83" s="186" t="n"/>
      <c r="BH83" s="186" t="n"/>
      <c r="BI83" s="186" t="n"/>
      <c r="BJ83" s="186" t="n"/>
      <c r="BK83" s="186" t="n"/>
      <c r="BL83" s="186" t="n"/>
      <c r="BM83" s="186" t="n"/>
      <c r="BN83" s="186" t="n"/>
      <c r="BO83" s="186" t="n"/>
      <c r="BP83" s="186" t="n"/>
      <c r="BQ83" s="186" t="n"/>
      <c r="BR83" s="186" t="n"/>
      <c r="BS83" s="186" t="n"/>
      <c r="BT83" s="186" t="n"/>
      <c r="BU83" s="186" t="n"/>
      <c r="BV83" s="186" t="n"/>
      <c r="BW83" s="186" t="n"/>
      <c r="BX83" s="186" t="n"/>
      <c r="BY83" s="186" t="n"/>
      <c r="BZ83" s="189" t="n"/>
      <c r="CA83" s="189" t="n"/>
      <c r="CB83" s="189" t="n"/>
      <c r="CC83" s="190" t="n"/>
      <c r="CD83" s="186" t="n"/>
      <c r="CE83" s="186" t="n"/>
      <c r="CF83" s="186" t="n"/>
      <c r="CG83" s="186" t="n"/>
      <c r="CH83" s="186" t="n"/>
      <c r="CI83" s="191" t="n"/>
      <c r="CJ83" s="192" t="n"/>
      <c r="CK83" s="192" t="n"/>
      <c r="CL83" s="192" t="n"/>
      <c r="CM83" s="192" t="n"/>
    </row>
    <row r="84">
      <c r="A84" s="177" t="n"/>
      <c r="B84" s="178" t="n"/>
      <c r="C84" s="178" t="n"/>
      <c r="D84" s="179" t="n"/>
      <c r="E84" s="180" t="n"/>
      <c r="F84" s="181" t="n"/>
      <c r="G84" s="182" t="n"/>
      <c r="H84" s="105" t="n"/>
      <c r="I84" s="183">
        <f>F84</f>
        <v/>
      </c>
      <c r="J84" s="184" t="n"/>
      <c r="K84" s="185" t="n"/>
      <c r="L84" s="8" t="n"/>
      <c r="M84" s="184">
        <f>L84</f>
        <v/>
      </c>
      <c r="N84" s="71" t="n"/>
      <c r="O84" s="101" t="n"/>
      <c r="P84" s="9">
        <f>I84-M84</f>
        <v/>
      </c>
      <c r="Q84" s="9">
        <f>IF(LEFT(B84,4)&lt;&gt;"    ",0,BN84)</f>
        <v/>
      </c>
      <c r="R84" s="9">
        <f>+P84-Q84</f>
        <v/>
      </c>
      <c r="S84" s="280" t="n"/>
      <c r="T84" s="10" t="n"/>
      <c r="U84" s="23">
        <f>IF(LEFT(B84,4)&lt;&gt;"    ","",IF(M84&lt;&gt;0,X84/M84,0))</f>
        <v/>
      </c>
      <c r="V84" s="11">
        <f>IF(LEFT(B84,4)&lt;&gt;"    ","",U84*I84)</f>
        <v/>
      </c>
      <c r="W84" s="11">
        <f>IF(LEFT(B84,4)&lt;&gt;"    ","",X84+Z84)</f>
        <v/>
      </c>
      <c r="X84" s="8" t="n"/>
      <c r="Y84" s="9">
        <f>IF(LEFT(B84,4)&lt;&gt;"    ",0,IF(P84&lt;0,P84,IF(U84&gt;0.3,W84-X84,0)))</f>
        <v/>
      </c>
      <c r="Z84" s="71">
        <f>Y84</f>
        <v/>
      </c>
      <c r="AA84" s="71" t="n"/>
      <c r="AB84" s="109" t="n"/>
      <c r="AC84" s="9">
        <f>IF(LEFT(B84,4)&lt;&gt;"    ",0,BK84)</f>
        <v/>
      </c>
      <c r="AD84" s="9">
        <f>Z84-AC84</f>
        <v/>
      </c>
      <c r="AE84" s="10" t="n"/>
      <c r="AF84" s="24" t="n"/>
      <c r="AG84" s="11" t="n"/>
      <c r="AH84" s="8" t="n"/>
      <c r="AI84" s="9">
        <f>IF(LEFT(B84,4)&lt;&gt;"    ","",AG84-AH84)</f>
        <v/>
      </c>
      <c r="AJ84" s="9" t="n"/>
      <c r="AK84" s="10" t="n"/>
      <c r="AL84" s="11">
        <f>IF(LEFT(B84,4)&lt;&gt;"    ","",W84-AG84)</f>
        <v/>
      </c>
      <c r="AM84" s="8">
        <f>IF(LEFT(B84,4)&lt;&gt;"    ","",X84-AH84)</f>
        <v/>
      </c>
      <c r="AN84" s="9">
        <f>IF(LEFT(B84,4)&lt;&gt;"    ","",Y84-AI84)</f>
        <v/>
      </c>
      <c r="AO84" s="9">
        <f>IF(LEFT(B84,4)&lt;&gt;"    ","",Z84-AJ84)</f>
        <v/>
      </c>
      <c r="AP84" s="10" t="n"/>
      <c r="AQ84" s="25">
        <f>IF(LEFT(B84,4)&lt;&gt;"    ","",I84-W84)</f>
        <v/>
      </c>
      <c r="AR84" s="25">
        <f>M84-X84</f>
        <v/>
      </c>
      <c r="AS84" s="25">
        <f>IF(LEFT(B84,4)&lt;&gt;"    ","",P84-Z84)</f>
        <v/>
      </c>
      <c r="AT84" s="10" t="n"/>
      <c r="AU84" s="12" t="n"/>
      <c r="AV84" s="12">
        <f>IF(LEFT(B84,4)&lt;&gt;"    ","",IF(W84-AU84&gt;=0,W84-AU84," "))</f>
        <v/>
      </c>
      <c r="AW84" s="12">
        <f>IF(LEFT(B84,4)&lt;&gt;"    ","",IF(AU84-W84&gt;=0,AU84-W84," "))</f>
        <v/>
      </c>
      <c r="AX84" s="186" t="n"/>
      <c r="AY84" s="187" t="n"/>
      <c r="AZ84" s="186" t="n"/>
      <c r="BA84" s="186" t="n"/>
      <c r="BB84" s="188" t="n"/>
      <c r="BC84" s="187" t="n"/>
      <c r="BD84" s="187" t="n"/>
      <c r="BE84" s="186" t="n"/>
      <c r="BF84" s="186" t="n"/>
      <c r="BG84" s="186" t="n"/>
      <c r="BH84" s="186" t="n"/>
      <c r="BI84" s="186" t="n"/>
      <c r="BJ84" s="186" t="n"/>
      <c r="BK84" s="186" t="n"/>
      <c r="BL84" s="186" t="n"/>
      <c r="BM84" s="186" t="n"/>
      <c r="BN84" s="186" t="n"/>
      <c r="BO84" s="186" t="n"/>
      <c r="BP84" s="186" t="n"/>
      <c r="BQ84" s="186" t="n"/>
      <c r="BR84" s="186" t="n"/>
      <c r="BS84" s="186" t="n"/>
      <c r="BT84" s="186" t="n"/>
      <c r="BU84" s="186" t="n"/>
      <c r="BV84" s="186" t="n"/>
      <c r="BW84" s="186" t="n"/>
      <c r="BX84" s="186" t="n"/>
      <c r="BY84" s="186" t="n"/>
      <c r="BZ84" s="189" t="n"/>
      <c r="CA84" s="189" t="n"/>
      <c r="CB84" s="189" t="n"/>
      <c r="CC84" s="190" t="n"/>
      <c r="CD84" s="186" t="n"/>
      <c r="CE84" s="186" t="n"/>
      <c r="CF84" s="186" t="n"/>
      <c r="CG84" s="186" t="n"/>
      <c r="CH84" s="186" t="n"/>
      <c r="CI84" s="191" t="n"/>
      <c r="CJ84" s="192" t="n"/>
      <c r="CK84" s="192" t="n"/>
      <c r="CL84" s="192" t="n"/>
      <c r="CM84" s="192" t="n"/>
    </row>
    <row r="85">
      <c r="A85" s="177" t="n"/>
      <c r="B85" s="178" t="n"/>
      <c r="C85" s="178" t="n"/>
      <c r="D85" s="179" t="n"/>
      <c r="E85" s="180" t="n"/>
      <c r="F85" s="181" t="n"/>
      <c r="G85" s="182" t="n"/>
      <c r="H85" s="105" t="n"/>
      <c r="I85" s="183">
        <f>F85</f>
        <v/>
      </c>
      <c r="J85" s="184" t="n"/>
      <c r="K85" s="185" t="n"/>
      <c r="L85" s="8" t="n"/>
      <c r="M85" s="184">
        <f>L85</f>
        <v/>
      </c>
      <c r="N85" s="71" t="n"/>
      <c r="O85" s="101" t="n"/>
      <c r="P85" s="9">
        <f>I85-M85</f>
        <v/>
      </c>
      <c r="Q85" s="9">
        <f>IF(LEFT(B85,4)&lt;&gt;"    ",0,BN85)</f>
        <v/>
      </c>
      <c r="R85" s="9">
        <f>+P85-Q85</f>
        <v/>
      </c>
      <c r="S85" s="280" t="n"/>
      <c r="T85" s="10" t="n"/>
      <c r="U85" s="23">
        <f>IF(LEFT(B85,4)&lt;&gt;"    ","",IF(M85&lt;&gt;0,X85/M85,0))</f>
        <v/>
      </c>
      <c r="V85" s="11">
        <f>IF(LEFT(B85,4)&lt;&gt;"    ","",U85*I85)</f>
        <v/>
      </c>
      <c r="W85" s="11">
        <f>IF(LEFT(B85,4)&lt;&gt;"    ","",X85+Z85)</f>
        <v/>
      </c>
      <c r="X85" s="8" t="n"/>
      <c r="Y85" s="9">
        <f>IF(LEFT(B85,4)&lt;&gt;"    ",0,IF(P85&lt;0,P85,IF(U85&gt;0.3,W85-X85,0)))</f>
        <v/>
      </c>
      <c r="Z85" s="71">
        <f>Y85</f>
        <v/>
      </c>
      <c r="AA85" s="71" t="n"/>
      <c r="AB85" s="109" t="n"/>
      <c r="AC85" s="9">
        <f>IF(LEFT(B85,4)&lt;&gt;"    ",0,BK85)</f>
        <v/>
      </c>
      <c r="AD85" s="9">
        <f>Z85-AC85</f>
        <v/>
      </c>
      <c r="AE85" s="10" t="n"/>
      <c r="AF85" s="24" t="n"/>
      <c r="AG85" s="11" t="n"/>
      <c r="AH85" s="8" t="n"/>
      <c r="AI85" s="9">
        <f>IF(LEFT(B85,4)&lt;&gt;"    ","",AG85-AH85)</f>
        <v/>
      </c>
      <c r="AJ85" s="9" t="n"/>
      <c r="AK85" s="10" t="n"/>
      <c r="AL85" s="11">
        <f>IF(LEFT(B85,4)&lt;&gt;"    ","",W85-AG85)</f>
        <v/>
      </c>
      <c r="AM85" s="8">
        <f>IF(LEFT(B85,4)&lt;&gt;"    ","",X85-AH85)</f>
        <v/>
      </c>
      <c r="AN85" s="9">
        <f>IF(LEFT(B85,4)&lt;&gt;"    ","",Y85-AI85)</f>
        <v/>
      </c>
      <c r="AO85" s="9">
        <f>IF(LEFT(B85,4)&lt;&gt;"    ","",Z85-AJ85)</f>
        <v/>
      </c>
      <c r="AP85" s="10" t="n"/>
      <c r="AQ85" s="25">
        <f>IF(LEFT(B85,4)&lt;&gt;"    ","",I85-W85)</f>
        <v/>
      </c>
      <c r="AR85" s="25">
        <f>M85-X85</f>
        <v/>
      </c>
      <c r="AS85" s="25">
        <f>IF(LEFT(B85,4)&lt;&gt;"    ","",P85-Z85)</f>
        <v/>
      </c>
      <c r="AT85" s="10" t="n"/>
      <c r="AU85" s="12" t="n"/>
      <c r="AV85" s="12">
        <f>IF(LEFT(B85,4)&lt;&gt;"    ","",IF(W85-AU85&gt;=0,W85-AU85," "))</f>
        <v/>
      </c>
      <c r="AW85" s="12">
        <f>IF(LEFT(B85,4)&lt;&gt;"    ","",IF(AU85-W85&gt;=0,AU85-W85," "))</f>
        <v/>
      </c>
      <c r="AX85" s="186" t="n"/>
      <c r="AY85" s="187" t="n"/>
      <c r="AZ85" s="186" t="n"/>
      <c r="BA85" s="186" t="n"/>
      <c r="BB85" s="188" t="n"/>
      <c r="BC85" s="187" t="n"/>
      <c r="BD85" s="187" t="n"/>
      <c r="BE85" s="186" t="n"/>
      <c r="BF85" s="186" t="n"/>
      <c r="BG85" s="186" t="n"/>
      <c r="BH85" s="186" t="n"/>
      <c r="BI85" s="186" t="n"/>
      <c r="BJ85" s="186" t="n"/>
      <c r="BK85" s="186" t="n"/>
      <c r="BL85" s="186" t="n"/>
      <c r="BM85" s="186" t="n"/>
      <c r="BN85" s="186" t="n"/>
      <c r="BO85" s="186" t="n"/>
      <c r="BP85" s="186" t="n"/>
      <c r="BQ85" s="186" t="n"/>
      <c r="BR85" s="186" t="n"/>
      <c r="BS85" s="186" t="n"/>
      <c r="BT85" s="186" t="n"/>
      <c r="BU85" s="186" t="n"/>
      <c r="BV85" s="186" t="n"/>
      <c r="BW85" s="186" t="n"/>
      <c r="BX85" s="186" t="n"/>
      <c r="BY85" s="186" t="n"/>
      <c r="BZ85" s="189" t="n"/>
      <c r="CA85" s="189" t="n"/>
      <c r="CB85" s="189" t="n"/>
      <c r="CC85" s="190" t="n"/>
      <c r="CD85" s="186" t="n"/>
      <c r="CE85" s="186" t="n"/>
      <c r="CF85" s="186" t="n"/>
      <c r="CG85" s="186" t="n"/>
      <c r="CH85" s="186" t="n"/>
      <c r="CI85" s="191" t="n"/>
      <c r="CJ85" s="192" t="n"/>
      <c r="CK85" s="192" t="n"/>
      <c r="CL85" s="192" t="n"/>
      <c r="CM85" s="192" t="n"/>
    </row>
    <row r="86">
      <c r="A86" s="177" t="n"/>
      <c r="B86" s="178" t="n"/>
      <c r="C86" s="178" t="n"/>
      <c r="D86" s="179" t="n"/>
      <c r="E86" s="180" t="n"/>
      <c r="F86" s="181" t="n"/>
      <c r="G86" s="182" t="n"/>
      <c r="H86" s="105" t="n"/>
      <c r="I86" s="183">
        <f>F86</f>
        <v/>
      </c>
      <c r="J86" s="184" t="n"/>
      <c r="K86" s="185" t="n"/>
      <c r="L86" s="8" t="n"/>
      <c r="M86" s="184">
        <f>L86</f>
        <v/>
      </c>
      <c r="N86" s="71" t="n"/>
      <c r="O86" s="101" t="n"/>
      <c r="P86" s="9">
        <f>I86-M86</f>
        <v/>
      </c>
      <c r="Q86" s="9">
        <f>IF(LEFT(B86,4)&lt;&gt;"    ",0,BN86)</f>
        <v/>
      </c>
      <c r="R86" s="9">
        <f>+P86-Q86</f>
        <v/>
      </c>
      <c r="S86" s="280" t="n"/>
      <c r="T86" s="10" t="n"/>
      <c r="U86" s="23">
        <f>IF(LEFT(B86,4)&lt;&gt;"    ","",IF(M86&lt;&gt;0,X86/M86,0))</f>
        <v/>
      </c>
      <c r="V86" s="11">
        <f>IF(LEFT(B86,4)&lt;&gt;"    ","",U86*I86)</f>
        <v/>
      </c>
      <c r="W86" s="11">
        <f>IF(LEFT(B86,4)&lt;&gt;"    ","",X86+Z86)</f>
        <v/>
      </c>
      <c r="X86" s="8" t="n"/>
      <c r="Y86" s="9">
        <f>IF(LEFT(B86,4)&lt;&gt;"    ",0,IF(P86&lt;0,P86,IF(U86&gt;0.3,W86-X86,0)))</f>
        <v/>
      </c>
      <c r="Z86" s="71">
        <f>Y86</f>
        <v/>
      </c>
      <c r="AA86" s="71" t="n"/>
      <c r="AB86" s="109" t="n"/>
      <c r="AC86" s="9">
        <f>IF(LEFT(B86,4)&lt;&gt;"    ",0,BK86)</f>
        <v/>
      </c>
      <c r="AD86" s="9">
        <f>Z86-AC86</f>
        <v/>
      </c>
      <c r="AE86" s="10" t="n"/>
      <c r="AF86" s="24" t="n"/>
      <c r="AG86" s="11" t="n"/>
      <c r="AH86" s="8" t="n"/>
      <c r="AI86" s="9">
        <f>IF(LEFT(B86,4)&lt;&gt;"    ","",AG86-AH86)</f>
        <v/>
      </c>
      <c r="AJ86" s="9" t="n"/>
      <c r="AK86" s="10" t="n"/>
      <c r="AL86" s="11">
        <f>IF(LEFT(B86,4)&lt;&gt;"    ","",W86-AG86)</f>
        <v/>
      </c>
      <c r="AM86" s="8">
        <f>IF(LEFT(B86,4)&lt;&gt;"    ","",X86-AH86)</f>
        <v/>
      </c>
      <c r="AN86" s="9">
        <f>IF(LEFT(B86,4)&lt;&gt;"    ","",Y86-AI86)</f>
        <v/>
      </c>
      <c r="AO86" s="9">
        <f>IF(LEFT(B86,4)&lt;&gt;"    ","",Z86-AJ86)</f>
        <v/>
      </c>
      <c r="AP86" s="10" t="n"/>
      <c r="AQ86" s="25">
        <f>IF(LEFT(B86,4)&lt;&gt;"    ","",I86-W86)</f>
        <v/>
      </c>
      <c r="AR86" s="25">
        <f>M86-X86</f>
        <v/>
      </c>
      <c r="AS86" s="25">
        <f>IF(LEFT(B86,4)&lt;&gt;"    ","",P86-Z86)</f>
        <v/>
      </c>
      <c r="AT86" s="10" t="n"/>
      <c r="AU86" s="12" t="n"/>
      <c r="AV86" s="12">
        <f>IF(LEFT(B86,4)&lt;&gt;"    ","",IF(W86-AU86&gt;=0,W86-AU86," "))</f>
        <v/>
      </c>
      <c r="AW86" s="12">
        <f>IF(LEFT(B86,4)&lt;&gt;"    ","",IF(AU86-W86&gt;=0,AU86-W86," "))</f>
        <v/>
      </c>
      <c r="AX86" s="186" t="n"/>
      <c r="AY86" s="187" t="n"/>
      <c r="AZ86" s="186" t="n"/>
      <c r="BA86" s="186" t="n"/>
      <c r="BB86" s="188" t="n"/>
      <c r="BC86" s="187" t="n"/>
      <c r="BD86" s="187" t="n"/>
      <c r="BE86" s="186" t="n"/>
      <c r="BF86" s="186" t="n"/>
      <c r="BG86" s="186" t="n"/>
      <c r="BH86" s="186" t="n"/>
      <c r="BI86" s="186" t="n"/>
      <c r="BJ86" s="186" t="n"/>
      <c r="BK86" s="186" t="n"/>
      <c r="BL86" s="186" t="n"/>
      <c r="BM86" s="186" t="n"/>
      <c r="BN86" s="186" t="n"/>
      <c r="BO86" s="186" t="n"/>
      <c r="BP86" s="186" t="n"/>
      <c r="BQ86" s="186" t="n"/>
      <c r="BR86" s="186" t="n"/>
      <c r="BS86" s="186" t="n"/>
      <c r="BT86" s="186" t="n"/>
      <c r="BU86" s="186" t="n"/>
      <c r="BV86" s="186" t="n"/>
      <c r="BW86" s="186" t="n"/>
      <c r="BX86" s="186" t="n"/>
      <c r="BY86" s="186" t="n"/>
      <c r="BZ86" s="189" t="n"/>
      <c r="CA86" s="189" t="n"/>
      <c r="CB86" s="189" t="n"/>
      <c r="CC86" s="190" t="n"/>
      <c r="CD86" s="186" t="n"/>
      <c r="CE86" s="186" t="n"/>
      <c r="CF86" s="186" t="n"/>
      <c r="CG86" s="186" t="n"/>
      <c r="CH86" s="186" t="n"/>
      <c r="CI86" s="191" t="n"/>
      <c r="CJ86" s="192" t="n"/>
      <c r="CK86" s="192" t="n"/>
      <c r="CL86" s="192" t="n"/>
      <c r="CM86" s="192" t="n"/>
    </row>
    <row r="87">
      <c r="A87" s="177" t="n"/>
      <c r="B87" s="178" t="n"/>
      <c r="C87" s="178" t="n"/>
      <c r="D87" s="179" t="n"/>
      <c r="E87" s="180" t="n"/>
      <c r="F87" s="181" t="n"/>
      <c r="G87" s="182" t="n"/>
      <c r="H87" s="105" t="n"/>
      <c r="I87" s="183">
        <f>F87</f>
        <v/>
      </c>
      <c r="J87" s="184" t="n"/>
      <c r="K87" s="185" t="n"/>
      <c r="L87" s="8" t="n"/>
      <c r="M87" s="184">
        <f>L87</f>
        <v/>
      </c>
      <c r="N87" s="71" t="n"/>
      <c r="O87" s="101" t="n"/>
      <c r="P87" s="9">
        <f>I87-M87</f>
        <v/>
      </c>
      <c r="Q87" s="9">
        <f>IF(LEFT(B87,4)&lt;&gt;"    ",0,BN87)</f>
        <v/>
      </c>
      <c r="R87" s="9">
        <f>+P87-Q87</f>
        <v/>
      </c>
      <c r="S87" s="280" t="n"/>
      <c r="T87" s="10" t="n"/>
      <c r="U87" s="23">
        <f>IF(LEFT(B87,4)&lt;&gt;"    ","",IF(M87&lt;&gt;0,X87/M87,0))</f>
        <v/>
      </c>
      <c r="V87" s="11">
        <f>IF(LEFT(B87,4)&lt;&gt;"    ","",U87*I87)</f>
        <v/>
      </c>
      <c r="W87" s="11">
        <f>IF(LEFT(B87,4)&lt;&gt;"    ","",X87+Z87)</f>
        <v/>
      </c>
      <c r="X87" s="8" t="n"/>
      <c r="Y87" s="9">
        <f>IF(LEFT(B87,4)&lt;&gt;"    ",0,IF(P87&lt;0,P87,IF(U87&gt;0.3,W87-X87,0)))</f>
        <v/>
      </c>
      <c r="Z87" s="71">
        <f>Y87</f>
        <v/>
      </c>
      <c r="AA87" s="71" t="n"/>
      <c r="AB87" s="109" t="n"/>
      <c r="AC87" s="9">
        <f>IF(LEFT(B87,4)&lt;&gt;"    ",0,BK87)</f>
        <v/>
      </c>
      <c r="AD87" s="9">
        <f>Z87-AC87</f>
        <v/>
      </c>
      <c r="AE87" s="10" t="n"/>
      <c r="AF87" s="24" t="n"/>
      <c r="AG87" s="11" t="n"/>
      <c r="AH87" s="8" t="n"/>
      <c r="AI87" s="9">
        <f>IF(LEFT(B87,4)&lt;&gt;"    ","",AG87-AH87)</f>
        <v/>
      </c>
      <c r="AJ87" s="9" t="n"/>
      <c r="AK87" s="10" t="n"/>
      <c r="AL87" s="11">
        <f>IF(LEFT(B87,4)&lt;&gt;"    ","",W87-AG87)</f>
        <v/>
      </c>
      <c r="AM87" s="8">
        <f>IF(LEFT(B87,4)&lt;&gt;"    ","",X87-AH87)</f>
        <v/>
      </c>
      <c r="AN87" s="9">
        <f>IF(LEFT(B87,4)&lt;&gt;"    ","",Y87-AI87)</f>
        <v/>
      </c>
      <c r="AO87" s="9">
        <f>IF(LEFT(B87,4)&lt;&gt;"    ","",Z87-AJ87)</f>
        <v/>
      </c>
      <c r="AP87" s="10" t="n"/>
      <c r="AQ87" s="25">
        <f>IF(LEFT(B87,4)&lt;&gt;"    ","",I87-W87)</f>
        <v/>
      </c>
      <c r="AR87" s="25">
        <f>M87-X87</f>
        <v/>
      </c>
      <c r="AS87" s="25">
        <f>IF(LEFT(B87,4)&lt;&gt;"    ","",P87-Z87)</f>
        <v/>
      </c>
      <c r="AT87" s="10" t="n"/>
      <c r="AU87" s="12" t="n"/>
      <c r="AV87" s="12">
        <f>IF(LEFT(B87,4)&lt;&gt;"    ","",IF(W87-AU87&gt;=0,W87-AU87," "))</f>
        <v/>
      </c>
      <c r="AW87" s="12">
        <f>IF(LEFT(B87,4)&lt;&gt;"    ","",IF(AU87-W87&gt;=0,AU87-W87," "))</f>
        <v/>
      </c>
      <c r="AX87" s="186" t="n"/>
      <c r="AY87" s="187" t="n"/>
      <c r="AZ87" s="186" t="n"/>
      <c r="BA87" s="186" t="n"/>
      <c r="BB87" s="188" t="n"/>
      <c r="BC87" s="187" t="n"/>
      <c r="BD87" s="187" t="n"/>
      <c r="BE87" s="186" t="n"/>
      <c r="BF87" s="186" t="n"/>
      <c r="BG87" s="186" t="n"/>
      <c r="BH87" s="186" t="n"/>
      <c r="BI87" s="186" t="n"/>
      <c r="BJ87" s="186" t="n"/>
      <c r="BK87" s="186" t="n"/>
      <c r="BL87" s="186" t="n"/>
      <c r="BM87" s="186" t="n"/>
      <c r="BN87" s="186" t="n"/>
      <c r="BO87" s="186" t="n"/>
      <c r="BP87" s="186" t="n"/>
      <c r="BQ87" s="186" t="n"/>
      <c r="BR87" s="186" t="n"/>
      <c r="BS87" s="186" t="n"/>
      <c r="BT87" s="186" t="n"/>
      <c r="BU87" s="186" t="n"/>
      <c r="BV87" s="186" t="n"/>
      <c r="BW87" s="186" t="n"/>
      <c r="BX87" s="186" t="n"/>
      <c r="BY87" s="186" t="n"/>
      <c r="BZ87" s="189" t="n"/>
      <c r="CA87" s="189" t="n"/>
      <c r="CB87" s="189" t="n"/>
      <c r="CC87" s="190" t="n"/>
      <c r="CD87" s="186" t="n"/>
      <c r="CE87" s="186" t="n"/>
      <c r="CF87" s="186" t="n"/>
      <c r="CG87" s="186" t="n"/>
      <c r="CH87" s="186" t="n"/>
      <c r="CI87" s="191" t="n"/>
      <c r="CJ87" s="192" t="n"/>
      <c r="CK87" s="192" t="n"/>
      <c r="CL87" s="192" t="n"/>
      <c r="CM87" s="192" t="n"/>
    </row>
    <row r="88">
      <c r="A88" s="177" t="n"/>
      <c r="B88" s="178" t="n"/>
      <c r="C88" s="178" t="n"/>
      <c r="D88" s="179" t="n"/>
      <c r="E88" s="180" t="n"/>
      <c r="F88" s="181" t="n"/>
      <c r="G88" s="182" t="n"/>
      <c r="H88" s="105" t="n"/>
      <c r="I88" s="183">
        <f>F88</f>
        <v/>
      </c>
      <c r="J88" s="184" t="n"/>
      <c r="K88" s="185" t="n"/>
      <c r="L88" s="8" t="n"/>
      <c r="M88" s="184">
        <f>L88</f>
        <v/>
      </c>
      <c r="N88" s="71" t="n"/>
      <c r="O88" s="101" t="n"/>
      <c r="P88" s="9">
        <f>I88-M88</f>
        <v/>
      </c>
      <c r="Q88" s="9">
        <f>IF(LEFT(B88,4)&lt;&gt;"    ",0,BN88)</f>
        <v/>
      </c>
      <c r="R88" s="9">
        <f>+P88-Q88</f>
        <v/>
      </c>
      <c r="S88" s="280" t="n"/>
      <c r="T88" s="10" t="n"/>
      <c r="U88" s="23">
        <f>IF(LEFT(B88,4)&lt;&gt;"    ","",IF(M88&lt;&gt;0,X88/M88,0))</f>
        <v/>
      </c>
      <c r="V88" s="11">
        <f>IF(LEFT(B88,4)&lt;&gt;"    ","",U88*I88)</f>
        <v/>
      </c>
      <c r="W88" s="11">
        <f>IF(LEFT(B88,4)&lt;&gt;"    ","",X88+Z88)</f>
        <v/>
      </c>
      <c r="X88" s="8" t="n"/>
      <c r="Y88" s="9">
        <f>IF(LEFT(B88,4)&lt;&gt;"    ",0,IF(P88&lt;0,P88,IF(U88&gt;0.3,W88-X88,0)))</f>
        <v/>
      </c>
      <c r="Z88" s="71">
        <f>Y88</f>
        <v/>
      </c>
      <c r="AA88" s="71" t="n"/>
      <c r="AB88" s="109" t="n"/>
      <c r="AC88" s="9">
        <f>IF(LEFT(B88,4)&lt;&gt;"    ",0,BK88)</f>
        <v/>
      </c>
      <c r="AD88" s="9">
        <f>Z88-AC88</f>
        <v/>
      </c>
      <c r="AE88" s="10" t="n"/>
      <c r="AF88" s="24" t="n"/>
      <c r="AG88" s="11" t="n"/>
      <c r="AH88" s="8" t="n"/>
      <c r="AI88" s="9">
        <f>IF(LEFT(B88,4)&lt;&gt;"    ","",AG88-AH88)</f>
        <v/>
      </c>
      <c r="AJ88" s="9" t="n"/>
      <c r="AK88" s="10" t="n"/>
      <c r="AL88" s="11">
        <f>IF(LEFT(B88,4)&lt;&gt;"    ","",W88-AG88)</f>
        <v/>
      </c>
      <c r="AM88" s="8">
        <f>IF(LEFT(B88,4)&lt;&gt;"    ","",X88-AH88)</f>
        <v/>
      </c>
      <c r="AN88" s="9">
        <f>IF(LEFT(B88,4)&lt;&gt;"    ","",Y88-AI88)</f>
        <v/>
      </c>
      <c r="AO88" s="9">
        <f>IF(LEFT(B88,4)&lt;&gt;"    ","",Z88-AJ88)</f>
        <v/>
      </c>
      <c r="AP88" s="10" t="n"/>
      <c r="AQ88" s="25">
        <f>IF(LEFT(B88,4)&lt;&gt;"    ","",I88-W88)</f>
        <v/>
      </c>
      <c r="AR88" s="25">
        <f>M88-X88</f>
        <v/>
      </c>
      <c r="AS88" s="25">
        <f>IF(LEFT(B88,4)&lt;&gt;"    ","",P88-Z88)</f>
        <v/>
      </c>
      <c r="AT88" s="10" t="n"/>
      <c r="AU88" s="12" t="n"/>
      <c r="AV88" s="12">
        <f>IF(LEFT(B88,4)&lt;&gt;"    ","",IF(W88-AU88&gt;=0,W88-AU88," "))</f>
        <v/>
      </c>
      <c r="AW88" s="12">
        <f>IF(LEFT(B88,4)&lt;&gt;"    ","",IF(AU88-W88&gt;=0,AU88-W88," "))</f>
        <v/>
      </c>
      <c r="AX88" s="186" t="n"/>
      <c r="AY88" s="187" t="n"/>
      <c r="AZ88" s="186" t="n"/>
      <c r="BA88" s="186" t="n"/>
      <c r="BB88" s="188" t="n"/>
      <c r="BC88" s="187" t="n"/>
      <c r="BD88" s="187" t="n"/>
      <c r="BE88" s="186" t="n"/>
      <c r="BF88" s="186" t="n"/>
      <c r="BG88" s="186" t="n"/>
      <c r="BH88" s="186" t="n"/>
      <c r="BI88" s="186" t="n"/>
      <c r="BJ88" s="186" t="n"/>
      <c r="BK88" s="186" t="n"/>
      <c r="BL88" s="186" t="n"/>
      <c r="BM88" s="186" t="n"/>
      <c r="BN88" s="186" t="n"/>
      <c r="BO88" s="186" t="n"/>
      <c r="BP88" s="186" t="n"/>
      <c r="BQ88" s="186" t="n"/>
      <c r="BR88" s="186" t="n"/>
      <c r="BS88" s="186" t="n"/>
      <c r="BT88" s="186" t="n"/>
      <c r="BU88" s="186" t="n"/>
      <c r="BV88" s="186" t="n"/>
      <c r="BW88" s="186" t="n"/>
      <c r="BX88" s="186" t="n"/>
      <c r="BY88" s="186" t="n"/>
      <c r="BZ88" s="189" t="n"/>
      <c r="CA88" s="189" t="n"/>
      <c r="CB88" s="189" t="n"/>
      <c r="CC88" s="190" t="n"/>
      <c r="CD88" s="186" t="n"/>
      <c r="CE88" s="186" t="n"/>
      <c r="CF88" s="186" t="n"/>
      <c r="CG88" s="186" t="n"/>
      <c r="CH88" s="186" t="n"/>
      <c r="CI88" s="191" t="n"/>
      <c r="CJ88" s="192" t="n"/>
      <c r="CK88" s="192" t="n"/>
      <c r="CL88" s="192" t="n"/>
      <c r="CM88" s="192" t="n"/>
    </row>
    <row r="89">
      <c r="A89" s="177" t="n"/>
      <c r="B89" s="178" t="n"/>
      <c r="C89" s="178" t="n"/>
      <c r="D89" s="179" t="n"/>
      <c r="E89" s="180" t="n"/>
      <c r="F89" s="181" t="n"/>
      <c r="G89" s="182" t="n"/>
      <c r="H89" s="105" t="n"/>
      <c r="I89" s="183">
        <f>F89</f>
        <v/>
      </c>
      <c r="J89" s="184" t="n"/>
      <c r="K89" s="185" t="n"/>
      <c r="L89" s="8" t="n"/>
      <c r="M89" s="184">
        <f>L89</f>
        <v/>
      </c>
      <c r="N89" s="71" t="n"/>
      <c r="O89" s="101" t="n"/>
      <c r="P89" s="9">
        <f>I89-M89</f>
        <v/>
      </c>
      <c r="Q89" s="9">
        <f>IF(LEFT(B89,4)&lt;&gt;"    ",0,BN89)</f>
        <v/>
      </c>
      <c r="R89" s="9">
        <f>+P89-Q89</f>
        <v/>
      </c>
      <c r="S89" s="280" t="n"/>
      <c r="T89" s="10" t="n"/>
      <c r="U89" s="23">
        <f>IF(LEFT(B89,4)&lt;&gt;"    ","",IF(M89&lt;&gt;0,X89/M89,0))</f>
        <v/>
      </c>
      <c r="V89" s="11">
        <f>IF(LEFT(B89,4)&lt;&gt;"    ","",U89*I89)</f>
        <v/>
      </c>
      <c r="W89" s="11">
        <f>IF(LEFT(B89,4)&lt;&gt;"    ","",X89+Z89)</f>
        <v/>
      </c>
      <c r="X89" s="8" t="n"/>
      <c r="Y89" s="9">
        <f>IF(LEFT(B89,4)&lt;&gt;"    ",0,IF(P89&lt;0,P89,IF(U89&gt;0.3,W89-X89,0)))</f>
        <v/>
      </c>
      <c r="Z89" s="71">
        <f>Y89</f>
        <v/>
      </c>
      <c r="AA89" s="71" t="n"/>
      <c r="AB89" s="109" t="n"/>
      <c r="AC89" s="9">
        <f>IF(LEFT(B89,4)&lt;&gt;"    ",0,BK89)</f>
        <v/>
      </c>
      <c r="AD89" s="9">
        <f>Z89-AC89</f>
        <v/>
      </c>
      <c r="AE89" s="10" t="n"/>
      <c r="AF89" s="24" t="n"/>
      <c r="AG89" s="11" t="n"/>
      <c r="AH89" s="8" t="n"/>
      <c r="AI89" s="9">
        <f>IF(LEFT(B89,4)&lt;&gt;"    ","",AG89-AH89)</f>
        <v/>
      </c>
      <c r="AJ89" s="9" t="n"/>
      <c r="AK89" s="10" t="n"/>
      <c r="AL89" s="11">
        <f>IF(LEFT(B89,4)&lt;&gt;"    ","",W89-AG89)</f>
        <v/>
      </c>
      <c r="AM89" s="8">
        <f>IF(LEFT(B89,4)&lt;&gt;"    ","",X89-AH89)</f>
        <v/>
      </c>
      <c r="AN89" s="9">
        <f>IF(LEFT(B89,4)&lt;&gt;"    ","",Y89-AI89)</f>
        <v/>
      </c>
      <c r="AO89" s="9">
        <f>IF(LEFT(B89,4)&lt;&gt;"    ","",Z89-AJ89)</f>
        <v/>
      </c>
      <c r="AP89" s="10" t="n"/>
      <c r="AQ89" s="25">
        <f>IF(LEFT(B89,4)&lt;&gt;"    ","",I89-W89)</f>
        <v/>
      </c>
      <c r="AR89" s="25">
        <f>M89-X89</f>
        <v/>
      </c>
      <c r="AS89" s="25">
        <f>IF(LEFT(B89,4)&lt;&gt;"    ","",P89-Z89)</f>
        <v/>
      </c>
      <c r="AT89" s="10" t="n"/>
      <c r="AU89" s="12" t="n"/>
      <c r="AV89" s="12">
        <f>IF(LEFT(B89,4)&lt;&gt;"    ","",IF(W89-AU89&gt;=0,W89-AU89," "))</f>
        <v/>
      </c>
      <c r="AW89" s="12">
        <f>IF(LEFT(B89,4)&lt;&gt;"    ","",IF(AU89-W89&gt;=0,AU89-W89," "))</f>
        <v/>
      </c>
      <c r="AX89" s="186" t="n"/>
      <c r="AY89" s="187" t="n"/>
      <c r="AZ89" s="186" t="n"/>
      <c r="BA89" s="186" t="n"/>
      <c r="BB89" s="188" t="n"/>
      <c r="BC89" s="187" t="n"/>
      <c r="BD89" s="187" t="n"/>
      <c r="BE89" s="186" t="n"/>
      <c r="BF89" s="186" t="n"/>
      <c r="BG89" s="186" t="n"/>
      <c r="BH89" s="186" t="n"/>
      <c r="BI89" s="186" t="n"/>
      <c r="BJ89" s="186" t="n"/>
      <c r="BK89" s="186" t="n"/>
      <c r="BL89" s="186" t="n"/>
      <c r="BM89" s="186" t="n"/>
      <c r="BN89" s="186" t="n"/>
      <c r="BO89" s="186" t="n"/>
      <c r="BP89" s="186" t="n"/>
      <c r="BQ89" s="186" t="n"/>
      <c r="BR89" s="186" t="n"/>
      <c r="BS89" s="186" t="n"/>
      <c r="BT89" s="186" t="n"/>
      <c r="BU89" s="186" t="n"/>
      <c r="BV89" s="186" t="n"/>
      <c r="BW89" s="186" t="n"/>
      <c r="BX89" s="186" t="n"/>
      <c r="BY89" s="186" t="n"/>
      <c r="BZ89" s="189" t="n"/>
      <c r="CA89" s="189" t="n"/>
      <c r="CB89" s="189" t="n"/>
      <c r="CC89" s="190" t="n"/>
      <c r="CD89" s="186" t="n"/>
      <c r="CE89" s="186" t="n"/>
      <c r="CF89" s="186" t="n"/>
      <c r="CG89" s="186" t="n"/>
      <c r="CH89" s="186" t="n"/>
      <c r="CI89" s="191" t="n"/>
      <c r="CJ89" s="192" t="n"/>
      <c r="CK89" s="192" t="n"/>
      <c r="CL89" s="192" t="n"/>
      <c r="CM89" s="192" t="n"/>
    </row>
    <row r="90">
      <c r="A90" s="177" t="n"/>
      <c r="B90" s="178" t="n"/>
      <c r="C90" s="178" t="n"/>
      <c r="D90" s="179" t="n"/>
      <c r="E90" s="180" t="n"/>
      <c r="F90" s="181" t="n"/>
      <c r="G90" s="182" t="n"/>
      <c r="H90" s="105" t="n"/>
      <c r="I90" s="183">
        <f>F90</f>
        <v/>
      </c>
      <c r="J90" s="184" t="n"/>
      <c r="K90" s="185" t="n"/>
      <c r="L90" s="8" t="n"/>
      <c r="M90" s="184">
        <f>L90</f>
        <v/>
      </c>
      <c r="N90" s="71" t="n"/>
      <c r="O90" s="101" t="n"/>
      <c r="P90" s="9">
        <f>I90-M90</f>
        <v/>
      </c>
      <c r="Q90" s="9">
        <f>IF(LEFT(B90,4)&lt;&gt;"    ",0,BN90)</f>
        <v/>
      </c>
      <c r="R90" s="9">
        <f>+P90-Q90</f>
        <v/>
      </c>
      <c r="S90" s="280" t="n"/>
      <c r="T90" s="10" t="n"/>
      <c r="U90" s="23">
        <f>IF(LEFT(B90,4)&lt;&gt;"    ","",IF(M90&lt;&gt;0,X90/M90,0))</f>
        <v/>
      </c>
      <c r="V90" s="11">
        <f>IF(LEFT(B90,4)&lt;&gt;"    ","",U90*I90)</f>
        <v/>
      </c>
      <c r="W90" s="11">
        <f>IF(LEFT(B90,4)&lt;&gt;"    ","",X90+Z90)</f>
        <v/>
      </c>
      <c r="X90" s="8" t="n"/>
      <c r="Y90" s="9">
        <f>IF(LEFT(B90,4)&lt;&gt;"    ",0,IF(P90&lt;0,P90,IF(U90&gt;0.3,W90-X90,0)))</f>
        <v/>
      </c>
      <c r="Z90" s="71">
        <f>Y90</f>
        <v/>
      </c>
      <c r="AA90" s="71" t="n"/>
      <c r="AB90" s="109" t="n"/>
      <c r="AC90" s="9">
        <f>IF(LEFT(B90,4)&lt;&gt;"    ",0,BK90)</f>
        <v/>
      </c>
      <c r="AD90" s="9">
        <f>Z90-AC90</f>
        <v/>
      </c>
      <c r="AE90" s="10" t="n"/>
      <c r="AF90" s="24" t="n"/>
      <c r="AG90" s="11" t="n"/>
      <c r="AH90" s="8" t="n"/>
      <c r="AI90" s="9">
        <f>IF(LEFT(B90,4)&lt;&gt;"    ","",AG90-AH90)</f>
        <v/>
      </c>
      <c r="AJ90" s="9" t="n"/>
      <c r="AK90" s="10" t="n"/>
      <c r="AL90" s="11">
        <f>IF(LEFT(B90,4)&lt;&gt;"    ","",W90-AG90)</f>
        <v/>
      </c>
      <c r="AM90" s="8">
        <f>IF(LEFT(B90,4)&lt;&gt;"    ","",X90-AH90)</f>
        <v/>
      </c>
      <c r="AN90" s="9">
        <f>IF(LEFT(B90,4)&lt;&gt;"    ","",Y90-AI90)</f>
        <v/>
      </c>
      <c r="AO90" s="9">
        <f>IF(LEFT(B90,4)&lt;&gt;"    ","",Z90-AJ90)</f>
        <v/>
      </c>
      <c r="AP90" s="10" t="n"/>
      <c r="AQ90" s="25">
        <f>IF(LEFT(B90,4)&lt;&gt;"    ","",I90-W90)</f>
        <v/>
      </c>
      <c r="AR90" s="25">
        <f>M90-X90</f>
        <v/>
      </c>
      <c r="AS90" s="25">
        <f>IF(LEFT(B90,4)&lt;&gt;"    ","",P90-Z90)</f>
        <v/>
      </c>
      <c r="AT90" s="10" t="n"/>
      <c r="AU90" s="12" t="n"/>
      <c r="AV90" s="12">
        <f>IF(LEFT(B90,4)&lt;&gt;"    ","",IF(W90-AU90&gt;=0,W90-AU90," "))</f>
        <v/>
      </c>
      <c r="AW90" s="12">
        <f>IF(LEFT(B90,4)&lt;&gt;"    ","",IF(AU90-W90&gt;=0,AU90-W90," "))</f>
        <v/>
      </c>
      <c r="AX90" s="186" t="n"/>
      <c r="AY90" s="187" t="n"/>
      <c r="AZ90" s="186" t="n"/>
      <c r="BA90" s="186" t="n"/>
      <c r="BB90" s="188" t="n"/>
      <c r="BC90" s="187" t="n"/>
      <c r="BD90" s="187" t="n"/>
      <c r="BE90" s="186" t="n"/>
      <c r="BF90" s="186" t="n"/>
      <c r="BG90" s="186" t="n"/>
      <c r="BH90" s="186" t="n"/>
      <c r="BI90" s="186" t="n"/>
      <c r="BJ90" s="186" t="n"/>
      <c r="BK90" s="186" t="n"/>
      <c r="BL90" s="186" t="n"/>
      <c r="BM90" s="186" t="n"/>
      <c r="BN90" s="186" t="n"/>
      <c r="BO90" s="186" t="n"/>
      <c r="BP90" s="186" t="n"/>
      <c r="BQ90" s="186" t="n"/>
      <c r="BR90" s="186" t="n"/>
      <c r="BS90" s="186" t="n"/>
      <c r="BT90" s="186" t="n"/>
      <c r="BU90" s="186" t="n"/>
      <c r="BV90" s="186" t="n"/>
      <c r="BW90" s="186" t="n"/>
      <c r="BX90" s="186" t="n"/>
      <c r="BY90" s="186" t="n"/>
      <c r="BZ90" s="189" t="n"/>
      <c r="CA90" s="189" t="n"/>
      <c r="CB90" s="189" t="n"/>
      <c r="CC90" s="190" t="n"/>
      <c r="CD90" s="186" t="n"/>
      <c r="CE90" s="186" t="n"/>
      <c r="CF90" s="186" t="n"/>
      <c r="CG90" s="186" t="n"/>
      <c r="CH90" s="186" t="n"/>
      <c r="CI90" s="191" t="n"/>
      <c r="CJ90" s="192" t="n"/>
      <c r="CK90" s="192" t="n"/>
      <c r="CL90" s="192" t="n"/>
      <c r="CM90" s="192" t="n"/>
    </row>
    <row r="91">
      <c r="A91" s="177" t="n"/>
      <c r="B91" s="178" t="n"/>
      <c r="C91" s="178" t="n"/>
      <c r="D91" s="179" t="n"/>
      <c r="E91" s="180" t="n"/>
      <c r="F91" s="181" t="n"/>
      <c r="G91" s="182" t="n"/>
      <c r="H91" s="105" t="n"/>
      <c r="I91" s="183">
        <f>F91</f>
        <v/>
      </c>
      <c r="J91" s="184" t="n"/>
      <c r="K91" s="185" t="n"/>
      <c r="L91" s="8" t="n"/>
      <c r="M91" s="184">
        <f>L91</f>
        <v/>
      </c>
      <c r="N91" s="71" t="n"/>
      <c r="O91" s="101" t="n"/>
      <c r="P91" s="9">
        <f>I91-M91</f>
        <v/>
      </c>
      <c r="Q91" s="9">
        <f>IF(LEFT(B91,4)&lt;&gt;"    ",0,BN91)</f>
        <v/>
      </c>
      <c r="R91" s="9">
        <f>+P91-Q91</f>
        <v/>
      </c>
      <c r="S91" s="280" t="n"/>
      <c r="T91" s="10" t="n"/>
      <c r="U91" s="23">
        <f>IF(LEFT(B91,4)&lt;&gt;"    ","",IF(M91&lt;&gt;0,X91/M91,0))</f>
        <v/>
      </c>
      <c r="V91" s="11">
        <f>IF(LEFT(B91,4)&lt;&gt;"    ","",U91*I91)</f>
        <v/>
      </c>
      <c r="W91" s="11">
        <f>IF(LEFT(B91,4)&lt;&gt;"    ","",X91+Z91)</f>
        <v/>
      </c>
      <c r="X91" s="8" t="n"/>
      <c r="Y91" s="9">
        <f>IF(LEFT(B91,4)&lt;&gt;"    ",0,IF(P91&lt;0,P91,IF(U91&gt;0.3,W91-X91,0)))</f>
        <v/>
      </c>
      <c r="Z91" s="71">
        <f>Y91</f>
        <v/>
      </c>
      <c r="AA91" s="71" t="n"/>
      <c r="AB91" s="109" t="n"/>
      <c r="AC91" s="9">
        <f>IF(LEFT(B91,4)&lt;&gt;"    ",0,BK91)</f>
        <v/>
      </c>
      <c r="AD91" s="9">
        <f>Z91-AC91</f>
        <v/>
      </c>
      <c r="AE91" s="10" t="n"/>
      <c r="AF91" s="24" t="n"/>
      <c r="AG91" s="11" t="n"/>
      <c r="AH91" s="8" t="n"/>
      <c r="AI91" s="9">
        <f>IF(LEFT(B91,4)&lt;&gt;"    ","",AG91-AH91)</f>
        <v/>
      </c>
      <c r="AJ91" s="9" t="n"/>
      <c r="AK91" s="10" t="n"/>
      <c r="AL91" s="11">
        <f>IF(LEFT(B91,4)&lt;&gt;"    ","",W91-AG91)</f>
        <v/>
      </c>
      <c r="AM91" s="8">
        <f>IF(LEFT(B91,4)&lt;&gt;"    ","",X91-AH91)</f>
        <v/>
      </c>
      <c r="AN91" s="9">
        <f>IF(LEFT(B91,4)&lt;&gt;"    ","",Y91-AI91)</f>
        <v/>
      </c>
      <c r="AO91" s="9">
        <f>IF(LEFT(B91,4)&lt;&gt;"    ","",Z91-AJ91)</f>
        <v/>
      </c>
      <c r="AP91" s="10" t="n"/>
      <c r="AQ91" s="25">
        <f>IF(LEFT(B91,4)&lt;&gt;"    ","",I91-W91)</f>
        <v/>
      </c>
      <c r="AR91" s="25">
        <f>M91-X91</f>
        <v/>
      </c>
      <c r="AS91" s="25">
        <f>IF(LEFT(B91,4)&lt;&gt;"    ","",P91-Z91)</f>
        <v/>
      </c>
      <c r="AT91" s="10" t="n"/>
      <c r="AU91" s="12" t="n"/>
      <c r="AV91" s="12">
        <f>IF(LEFT(B91,4)&lt;&gt;"    ","",IF(W91-AU91&gt;=0,W91-AU91," "))</f>
        <v/>
      </c>
      <c r="AW91" s="12">
        <f>IF(LEFT(B91,4)&lt;&gt;"    ","",IF(AU91-W91&gt;=0,AU91-W91," "))</f>
        <v/>
      </c>
      <c r="AX91" s="186" t="n"/>
      <c r="AY91" s="187" t="n"/>
      <c r="AZ91" s="186" t="n"/>
      <c r="BA91" s="186" t="n"/>
      <c r="BB91" s="188" t="n"/>
      <c r="BC91" s="187" t="n"/>
      <c r="BD91" s="187" t="n"/>
      <c r="BE91" s="186" t="n"/>
      <c r="BF91" s="186" t="n"/>
      <c r="BG91" s="186" t="n"/>
      <c r="BH91" s="186" t="n"/>
      <c r="BI91" s="186" t="n"/>
      <c r="BJ91" s="186" t="n"/>
      <c r="BK91" s="186" t="n"/>
      <c r="BL91" s="186" t="n"/>
      <c r="BM91" s="186" t="n"/>
      <c r="BN91" s="186" t="n"/>
      <c r="BO91" s="186" t="n"/>
      <c r="BP91" s="186" t="n"/>
      <c r="BQ91" s="186" t="n"/>
      <c r="BR91" s="186" t="n"/>
      <c r="BS91" s="186" t="n"/>
      <c r="BT91" s="186" t="n"/>
      <c r="BU91" s="186" t="n"/>
      <c r="BV91" s="186" t="n"/>
      <c r="BW91" s="186" t="n"/>
      <c r="BX91" s="186" t="n"/>
      <c r="BY91" s="186" t="n"/>
      <c r="BZ91" s="189" t="n"/>
      <c r="CA91" s="189" t="n"/>
      <c r="CB91" s="189" t="n"/>
      <c r="CC91" s="190" t="n"/>
      <c r="CD91" s="186" t="n"/>
      <c r="CE91" s="186" t="n"/>
      <c r="CF91" s="186" t="n"/>
      <c r="CG91" s="186" t="n"/>
      <c r="CH91" s="186" t="n"/>
      <c r="CI91" s="191" t="n"/>
      <c r="CJ91" s="192" t="n"/>
      <c r="CK91" s="192" t="n"/>
      <c r="CL91" s="192" t="n"/>
      <c r="CM91" s="192" t="n"/>
    </row>
    <row r="92">
      <c r="A92" s="177" t="n"/>
      <c r="B92" s="178" t="n"/>
      <c r="C92" s="178" t="n"/>
      <c r="D92" s="179" t="n"/>
      <c r="E92" s="180" t="n"/>
      <c r="F92" s="181" t="n"/>
      <c r="G92" s="182" t="n"/>
      <c r="H92" s="105" t="n"/>
      <c r="I92" s="183">
        <f>F92</f>
        <v/>
      </c>
      <c r="J92" s="184" t="n"/>
      <c r="K92" s="185" t="n"/>
      <c r="L92" s="8" t="n"/>
      <c r="M92" s="184">
        <f>L92</f>
        <v/>
      </c>
      <c r="N92" s="71" t="n"/>
      <c r="O92" s="101" t="n"/>
      <c r="P92" s="9">
        <f>I92-M92</f>
        <v/>
      </c>
      <c r="Q92" s="9">
        <f>IF(LEFT(B92,4)&lt;&gt;"    ",0,BN92)</f>
        <v/>
      </c>
      <c r="R92" s="9">
        <f>+P92-Q92</f>
        <v/>
      </c>
      <c r="S92" s="280" t="n"/>
      <c r="T92" s="10" t="n"/>
      <c r="U92" s="23">
        <f>IF(LEFT(B92,4)&lt;&gt;"    ","",IF(M92&lt;&gt;0,X92/M92,0))</f>
        <v/>
      </c>
      <c r="V92" s="11">
        <f>IF(LEFT(B92,4)&lt;&gt;"    ","",U92*I92)</f>
        <v/>
      </c>
      <c r="W92" s="11">
        <f>IF(LEFT(B92,4)&lt;&gt;"    ","",X92+Z92)</f>
        <v/>
      </c>
      <c r="X92" s="8" t="n"/>
      <c r="Y92" s="9">
        <f>IF(LEFT(B92,4)&lt;&gt;"    ",0,IF(P92&lt;0,P92,IF(U92&gt;0.3,W92-X92,0)))</f>
        <v/>
      </c>
      <c r="Z92" s="71">
        <f>Y92</f>
        <v/>
      </c>
      <c r="AA92" s="71" t="n"/>
      <c r="AB92" s="109" t="n"/>
      <c r="AC92" s="9">
        <f>IF(LEFT(B92,4)&lt;&gt;"    ",0,BK92)</f>
        <v/>
      </c>
      <c r="AD92" s="9">
        <f>Z92-AC92</f>
        <v/>
      </c>
      <c r="AE92" s="10" t="n"/>
      <c r="AF92" s="24" t="n"/>
      <c r="AG92" s="11" t="n"/>
      <c r="AH92" s="8" t="n"/>
      <c r="AI92" s="9">
        <f>IF(LEFT(B92,4)&lt;&gt;"    ","",AG92-AH92)</f>
        <v/>
      </c>
      <c r="AJ92" s="9" t="n"/>
      <c r="AK92" s="10" t="n"/>
      <c r="AL92" s="11">
        <f>IF(LEFT(B92,4)&lt;&gt;"    ","",W92-AG92)</f>
        <v/>
      </c>
      <c r="AM92" s="8">
        <f>IF(LEFT(B92,4)&lt;&gt;"    ","",X92-AH92)</f>
        <v/>
      </c>
      <c r="AN92" s="9">
        <f>IF(LEFT(B92,4)&lt;&gt;"    ","",Y92-AI92)</f>
        <v/>
      </c>
      <c r="AO92" s="9">
        <f>IF(LEFT(B92,4)&lt;&gt;"    ","",Z92-AJ92)</f>
        <v/>
      </c>
      <c r="AP92" s="10" t="n"/>
      <c r="AQ92" s="25">
        <f>IF(LEFT(B92,4)&lt;&gt;"    ","",I92-W92)</f>
        <v/>
      </c>
      <c r="AR92" s="25">
        <f>M92-X92</f>
        <v/>
      </c>
      <c r="AS92" s="25">
        <f>IF(LEFT(B92,4)&lt;&gt;"    ","",P92-Z92)</f>
        <v/>
      </c>
      <c r="AT92" s="10" t="n"/>
      <c r="AU92" s="12" t="n"/>
      <c r="AV92" s="12">
        <f>IF(LEFT(B92,4)&lt;&gt;"    ","",IF(W92-AU92&gt;=0,W92-AU92," "))</f>
        <v/>
      </c>
      <c r="AW92" s="12">
        <f>IF(LEFT(B92,4)&lt;&gt;"    ","",IF(AU92-W92&gt;=0,AU92-W92," "))</f>
        <v/>
      </c>
      <c r="AX92" s="186" t="n"/>
      <c r="AY92" s="187" t="n"/>
      <c r="AZ92" s="186" t="n"/>
      <c r="BA92" s="186" t="n"/>
      <c r="BB92" s="188" t="n"/>
      <c r="BC92" s="187" t="n"/>
      <c r="BD92" s="187" t="n"/>
      <c r="BE92" s="186" t="n"/>
      <c r="BF92" s="186" t="n"/>
      <c r="BG92" s="186" t="n"/>
      <c r="BH92" s="186" t="n"/>
      <c r="BI92" s="186" t="n"/>
      <c r="BJ92" s="186" t="n"/>
      <c r="BK92" s="186" t="n"/>
      <c r="BL92" s="186" t="n"/>
      <c r="BM92" s="186" t="n"/>
      <c r="BN92" s="186" t="n"/>
      <c r="BO92" s="186" t="n"/>
      <c r="BP92" s="186" t="n"/>
      <c r="BQ92" s="186" t="n"/>
      <c r="BR92" s="186" t="n"/>
      <c r="BS92" s="186" t="n"/>
      <c r="BT92" s="186" t="n"/>
      <c r="BU92" s="186" t="n"/>
      <c r="BV92" s="186" t="n"/>
      <c r="BW92" s="186" t="n"/>
      <c r="BX92" s="186" t="n"/>
      <c r="BY92" s="186" t="n"/>
      <c r="BZ92" s="189" t="n"/>
      <c r="CA92" s="189" t="n"/>
      <c r="CB92" s="189" t="n"/>
      <c r="CC92" s="190" t="n"/>
      <c r="CD92" s="186" t="n"/>
      <c r="CE92" s="186" t="n"/>
      <c r="CF92" s="186" t="n"/>
      <c r="CG92" s="186" t="n"/>
      <c r="CH92" s="186" t="n"/>
      <c r="CI92" s="191" t="n"/>
      <c r="CJ92" s="192" t="n"/>
      <c r="CK92" s="192" t="n"/>
      <c r="CL92" s="192" t="n"/>
      <c r="CM92" s="192" t="n"/>
    </row>
    <row r="93">
      <c r="A93" s="177" t="n"/>
      <c r="B93" s="178" t="n"/>
      <c r="C93" s="178" t="n"/>
      <c r="D93" s="179" t="n"/>
      <c r="E93" s="180" t="n"/>
      <c r="F93" s="181" t="n"/>
      <c r="G93" s="182" t="n"/>
      <c r="H93" s="105" t="n"/>
      <c r="I93" s="183">
        <f>F93</f>
        <v/>
      </c>
      <c r="J93" s="184" t="n"/>
      <c r="K93" s="185" t="n"/>
      <c r="L93" s="8" t="n"/>
      <c r="M93" s="184">
        <f>L93</f>
        <v/>
      </c>
      <c r="N93" s="71" t="n"/>
      <c r="O93" s="101" t="n"/>
      <c r="P93" s="9">
        <f>I93-M93</f>
        <v/>
      </c>
      <c r="Q93" s="9">
        <f>IF(LEFT(B93,4)&lt;&gt;"    ",0,BN93)</f>
        <v/>
      </c>
      <c r="R93" s="9">
        <f>+P93-Q93</f>
        <v/>
      </c>
      <c r="S93" s="280" t="n"/>
      <c r="T93" s="10" t="n"/>
      <c r="U93" s="23">
        <f>IF(LEFT(B93,4)&lt;&gt;"    ","",IF(M93&lt;&gt;0,X93/M93,0))</f>
        <v/>
      </c>
      <c r="V93" s="11">
        <f>IF(LEFT(B93,4)&lt;&gt;"    ","",U93*I93)</f>
        <v/>
      </c>
      <c r="W93" s="11">
        <f>IF(LEFT(B93,4)&lt;&gt;"    ","",X93+Z93)</f>
        <v/>
      </c>
      <c r="X93" s="8" t="n"/>
      <c r="Y93" s="9">
        <f>IF(LEFT(B93,4)&lt;&gt;"    ",0,IF(P93&lt;0,P93,IF(U93&gt;0.3,W93-X93,0)))</f>
        <v/>
      </c>
      <c r="Z93" s="71">
        <f>Y93</f>
        <v/>
      </c>
      <c r="AA93" s="71" t="n"/>
      <c r="AB93" s="109" t="n"/>
      <c r="AC93" s="9">
        <f>IF(LEFT(B93,4)&lt;&gt;"    ",0,BK93)</f>
        <v/>
      </c>
      <c r="AD93" s="9">
        <f>Z93-AC93</f>
        <v/>
      </c>
      <c r="AE93" s="10" t="n"/>
      <c r="AF93" s="24" t="n"/>
      <c r="AG93" s="11" t="n"/>
      <c r="AH93" s="8" t="n"/>
      <c r="AI93" s="9">
        <f>IF(LEFT(B93,4)&lt;&gt;"    ","",AG93-AH93)</f>
        <v/>
      </c>
      <c r="AJ93" s="9" t="n"/>
      <c r="AK93" s="10" t="n"/>
      <c r="AL93" s="11">
        <f>IF(LEFT(B93,4)&lt;&gt;"    ","",W93-AG93)</f>
        <v/>
      </c>
      <c r="AM93" s="8">
        <f>IF(LEFT(B93,4)&lt;&gt;"    ","",X93-AH93)</f>
        <v/>
      </c>
      <c r="AN93" s="9">
        <f>IF(LEFT(B93,4)&lt;&gt;"    ","",Y93-AI93)</f>
        <v/>
      </c>
      <c r="AO93" s="9">
        <f>IF(LEFT(B93,4)&lt;&gt;"    ","",Z93-AJ93)</f>
        <v/>
      </c>
      <c r="AP93" s="10" t="n"/>
      <c r="AQ93" s="25">
        <f>IF(LEFT(B93,4)&lt;&gt;"    ","",I93-W93)</f>
        <v/>
      </c>
      <c r="AR93" s="25">
        <f>M93-X93</f>
        <v/>
      </c>
      <c r="AS93" s="25">
        <f>IF(LEFT(B93,4)&lt;&gt;"    ","",P93-Z93)</f>
        <v/>
      </c>
      <c r="AT93" s="10" t="n"/>
      <c r="AU93" s="12" t="n"/>
      <c r="AV93" s="12">
        <f>IF(LEFT(B93,4)&lt;&gt;"    ","",IF(W93-AU93&gt;=0,W93-AU93," "))</f>
        <v/>
      </c>
      <c r="AW93" s="12">
        <f>IF(LEFT(B93,4)&lt;&gt;"    ","",IF(AU93-W93&gt;=0,AU93-W93," "))</f>
        <v/>
      </c>
      <c r="AX93" s="186" t="n"/>
      <c r="AY93" s="187" t="n"/>
      <c r="AZ93" s="186" t="n"/>
      <c r="BA93" s="186" t="n"/>
      <c r="BB93" s="188" t="n"/>
      <c r="BC93" s="187" t="n"/>
      <c r="BD93" s="187" t="n"/>
      <c r="BE93" s="186" t="n"/>
      <c r="BF93" s="186" t="n"/>
      <c r="BG93" s="186" t="n"/>
      <c r="BH93" s="186" t="n"/>
      <c r="BI93" s="186" t="n"/>
      <c r="BJ93" s="186" t="n"/>
      <c r="BK93" s="186" t="n"/>
      <c r="BL93" s="186" t="n"/>
      <c r="BM93" s="186" t="n"/>
      <c r="BN93" s="186" t="n"/>
      <c r="BO93" s="186" t="n"/>
      <c r="BP93" s="186" t="n"/>
      <c r="BQ93" s="186" t="n"/>
      <c r="BR93" s="186" t="n"/>
      <c r="BS93" s="186" t="n"/>
      <c r="BT93" s="186" t="n"/>
      <c r="BU93" s="186" t="n"/>
      <c r="BV93" s="186" t="n"/>
      <c r="BW93" s="186" t="n"/>
      <c r="BX93" s="186" t="n"/>
      <c r="BY93" s="186" t="n"/>
      <c r="BZ93" s="189" t="n"/>
      <c r="CA93" s="189" t="n"/>
      <c r="CB93" s="189" t="n"/>
      <c r="CC93" s="190" t="n"/>
      <c r="CD93" s="186" t="n"/>
      <c r="CE93" s="186" t="n"/>
      <c r="CF93" s="186" t="n"/>
      <c r="CG93" s="186" t="n"/>
      <c r="CH93" s="186" t="n"/>
      <c r="CI93" s="191" t="n"/>
      <c r="CJ93" s="192" t="n"/>
      <c r="CK93" s="192" t="n"/>
      <c r="CL93" s="192" t="n"/>
      <c r="CM93" s="192" t="n"/>
    </row>
    <row r="94">
      <c r="A94" s="177" t="n"/>
      <c r="B94" s="178" t="n"/>
      <c r="C94" s="178" t="n"/>
      <c r="D94" s="179" t="n"/>
      <c r="E94" s="180" t="n"/>
      <c r="F94" s="181" t="n"/>
      <c r="G94" s="182" t="n"/>
      <c r="H94" s="105" t="n"/>
      <c r="I94" s="183">
        <f>F94</f>
        <v/>
      </c>
      <c r="J94" s="184" t="n"/>
      <c r="K94" s="185" t="n"/>
      <c r="L94" s="8" t="n"/>
      <c r="M94" s="184">
        <f>L94</f>
        <v/>
      </c>
      <c r="N94" s="71" t="n"/>
      <c r="O94" s="101" t="n"/>
      <c r="P94" s="9">
        <f>I94-M94</f>
        <v/>
      </c>
      <c r="Q94" s="9">
        <f>IF(LEFT(B94,4)&lt;&gt;"    ",0,BN94)</f>
        <v/>
      </c>
      <c r="R94" s="9">
        <f>+P94-Q94</f>
        <v/>
      </c>
      <c r="S94" s="280" t="n"/>
      <c r="T94" s="10" t="n"/>
      <c r="U94" s="23">
        <f>IF(LEFT(B94,4)&lt;&gt;"    ","",IF(M94&lt;&gt;0,X94/M94,0))</f>
        <v/>
      </c>
      <c r="V94" s="11">
        <f>IF(LEFT(B94,4)&lt;&gt;"    ","",U94*I94)</f>
        <v/>
      </c>
      <c r="W94" s="11">
        <f>IF(LEFT(B94,4)&lt;&gt;"    ","",X94+Z94)</f>
        <v/>
      </c>
      <c r="X94" s="8" t="n"/>
      <c r="Y94" s="9">
        <f>IF(LEFT(B94,4)&lt;&gt;"    ",0,IF(P94&lt;0,P94,IF(U94&gt;0.3,W94-X94,0)))</f>
        <v/>
      </c>
      <c r="Z94" s="71">
        <f>Y94</f>
        <v/>
      </c>
      <c r="AA94" s="71" t="n"/>
      <c r="AB94" s="109" t="n"/>
      <c r="AC94" s="9">
        <f>IF(LEFT(B94,4)&lt;&gt;"    ",0,BK94)</f>
        <v/>
      </c>
      <c r="AD94" s="9">
        <f>Z94-AC94</f>
        <v/>
      </c>
      <c r="AE94" s="10" t="n"/>
      <c r="AF94" s="24" t="n"/>
      <c r="AG94" s="11" t="n"/>
      <c r="AH94" s="8" t="n"/>
      <c r="AI94" s="9">
        <f>IF(LEFT(B94,4)&lt;&gt;"    ","",AG94-AH94)</f>
        <v/>
      </c>
      <c r="AJ94" s="9" t="n"/>
      <c r="AK94" s="10" t="n"/>
      <c r="AL94" s="11">
        <f>IF(LEFT(B94,4)&lt;&gt;"    ","",W94-AG94)</f>
        <v/>
      </c>
      <c r="AM94" s="8">
        <f>IF(LEFT(B94,4)&lt;&gt;"    ","",X94-AH94)</f>
        <v/>
      </c>
      <c r="AN94" s="9">
        <f>IF(LEFT(B94,4)&lt;&gt;"    ","",Y94-AI94)</f>
        <v/>
      </c>
      <c r="AO94" s="9">
        <f>IF(LEFT(B94,4)&lt;&gt;"    ","",Z94-AJ94)</f>
        <v/>
      </c>
      <c r="AP94" s="10" t="n"/>
      <c r="AQ94" s="25">
        <f>IF(LEFT(B94,4)&lt;&gt;"    ","",I94-W94)</f>
        <v/>
      </c>
      <c r="AR94" s="25">
        <f>M94-X94</f>
        <v/>
      </c>
      <c r="AS94" s="25">
        <f>IF(LEFT(B94,4)&lt;&gt;"    ","",P94-Z94)</f>
        <v/>
      </c>
      <c r="AT94" s="10" t="n"/>
      <c r="AU94" s="12" t="n"/>
      <c r="AV94" s="12">
        <f>IF(LEFT(B94,4)&lt;&gt;"    ","",IF(W94-AU94&gt;=0,W94-AU94," "))</f>
        <v/>
      </c>
      <c r="AW94" s="12">
        <f>IF(LEFT(B94,4)&lt;&gt;"    ","",IF(AU94-W94&gt;=0,AU94-W94," "))</f>
        <v/>
      </c>
      <c r="AX94" s="186" t="n"/>
      <c r="AY94" s="187" t="n"/>
      <c r="AZ94" s="186" t="n"/>
      <c r="BA94" s="186" t="n"/>
      <c r="BB94" s="188" t="n"/>
      <c r="BC94" s="187" t="n"/>
      <c r="BD94" s="187" t="n"/>
      <c r="BE94" s="186" t="n"/>
      <c r="BF94" s="186" t="n"/>
      <c r="BG94" s="186" t="n"/>
      <c r="BH94" s="186" t="n"/>
      <c r="BI94" s="186" t="n"/>
      <c r="BJ94" s="186" t="n"/>
      <c r="BK94" s="186" t="n"/>
      <c r="BL94" s="186" t="n"/>
      <c r="BM94" s="186" t="n"/>
      <c r="BN94" s="186" t="n"/>
      <c r="BO94" s="186" t="n"/>
      <c r="BP94" s="186" t="n"/>
      <c r="BQ94" s="186" t="n"/>
      <c r="BR94" s="186" t="n"/>
      <c r="BS94" s="186" t="n"/>
      <c r="BT94" s="186" t="n"/>
      <c r="BU94" s="186" t="n"/>
      <c r="BV94" s="186" t="n"/>
      <c r="BW94" s="186" t="n"/>
      <c r="BX94" s="186" t="n"/>
      <c r="BY94" s="186" t="n"/>
      <c r="BZ94" s="189" t="n"/>
      <c r="CA94" s="189" t="n"/>
      <c r="CB94" s="189" t="n"/>
      <c r="CC94" s="190" t="n"/>
      <c r="CD94" s="186" t="n"/>
      <c r="CE94" s="186" t="n"/>
      <c r="CF94" s="186" t="n"/>
      <c r="CG94" s="186" t="n"/>
      <c r="CH94" s="186" t="n"/>
      <c r="CI94" s="191" t="n"/>
      <c r="CJ94" s="192" t="n"/>
      <c r="CK94" s="192" t="n"/>
      <c r="CL94" s="192" t="n"/>
      <c r="CM94" s="192" t="n"/>
    </row>
    <row r="95">
      <c r="A95" s="177" t="n"/>
      <c r="B95" s="178" t="n"/>
      <c r="C95" s="178" t="n"/>
      <c r="D95" s="179" t="n"/>
      <c r="E95" s="180" t="n"/>
      <c r="F95" s="181" t="n"/>
      <c r="G95" s="182" t="n"/>
      <c r="H95" s="105" t="n"/>
      <c r="I95" s="183">
        <f>F95</f>
        <v/>
      </c>
      <c r="J95" s="184" t="n"/>
      <c r="K95" s="185" t="n"/>
      <c r="L95" s="8" t="n"/>
      <c r="M95" s="184">
        <f>L95</f>
        <v/>
      </c>
      <c r="N95" s="184" t="n"/>
      <c r="O95" s="185" t="n"/>
      <c r="P95" s="9">
        <f>I95-M95</f>
        <v/>
      </c>
      <c r="Q95" s="9">
        <f>IF(LEFT(B95,4)&lt;&gt;"    ",0,BN95)</f>
        <v/>
      </c>
      <c r="R95" s="9">
        <f>+P95-Q95</f>
        <v/>
      </c>
      <c r="S95" s="280" t="n"/>
      <c r="T95" s="10" t="n"/>
      <c r="U95" s="23">
        <f>IF(LEFT(B95,4)&lt;&gt;"    ","",IF(M95&lt;&gt;0,X95/M95,0))</f>
        <v/>
      </c>
      <c r="V95" s="11">
        <f>IF(LEFT(B95,4)&lt;&gt;"    ","",U95*I95)</f>
        <v/>
      </c>
      <c r="W95" s="11">
        <f>IF(LEFT(B95,4)&lt;&gt;"    ","",X95+Z95)</f>
        <v/>
      </c>
      <c r="X95" s="8" t="n"/>
      <c r="Y95" s="9">
        <f>IF(LEFT(B95,4)&lt;&gt;"    ",0,IF(P95&lt;0,P95,IF(U95&gt;0.3,W95-X95,0)))</f>
        <v/>
      </c>
      <c r="Z95" s="71">
        <f>Y95</f>
        <v/>
      </c>
      <c r="AA95" s="71" t="n"/>
      <c r="AB95" s="109" t="n"/>
      <c r="AC95" s="9">
        <f>IF(LEFT(B95,4)&lt;&gt;"    ",0,BK95)</f>
        <v/>
      </c>
      <c r="AD95" s="9">
        <f>Z95-AC95</f>
        <v/>
      </c>
      <c r="AE95" s="10" t="n"/>
      <c r="AF95" s="24" t="n"/>
      <c r="AG95" s="11" t="n"/>
      <c r="AH95" s="8" t="n"/>
      <c r="AI95" s="9">
        <f>IF(LEFT(B95,4)&lt;&gt;"    ","",AG95-AH95)</f>
        <v/>
      </c>
      <c r="AJ95" s="9" t="n"/>
      <c r="AK95" s="10" t="n"/>
      <c r="AL95" s="11">
        <f>IF(LEFT(B95,4)&lt;&gt;"    ","",W95-AG95)</f>
        <v/>
      </c>
      <c r="AM95" s="8">
        <f>IF(LEFT(B95,4)&lt;&gt;"    ","",X95-AH95)</f>
        <v/>
      </c>
      <c r="AN95" s="9">
        <f>IF(LEFT(B95,4)&lt;&gt;"    ","",Y95-AI95)</f>
        <v/>
      </c>
      <c r="AO95" s="9">
        <f>IF(LEFT(B95,4)&lt;&gt;"    ","",Z95-AJ95)</f>
        <v/>
      </c>
      <c r="AP95" s="10" t="n"/>
      <c r="AQ95" s="25">
        <f>IF(LEFT(B95,4)&lt;&gt;"    ","",I95-W95)</f>
        <v/>
      </c>
      <c r="AR95" s="25">
        <f>M95-X95</f>
        <v/>
      </c>
      <c r="AS95" s="25">
        <f>IF(LEFT(B95,4)&lt;&gt;"    ","",P95-Z95)</f>
        <v/>
      </c>
      <c r="AT95" s="10" t="n"/>
      <c r="AU95" s="12" t="n"/>
      <c r="AV95" s="12">
        <f>IF(LEFT(B95,4)&lt;&gt;"    ","",IF(W95-AU95&gt;=0,W95-AU95," "))</f>
        <v/>
      </c>
      <c r="AW95" s="12">
        <f>IF(LEFT(B95,4)&lt;&gt;"    ","",IF(AU95-W95&gt;=0,AU95-W95," "))</f>
        <v/>
      </c>
      <c r="AX95" s="186" t="n"/>
      <c r="AY95" s="187" t="n"/>
      <c r="AZ95" s="186" t="n"/>
      <c r="BA95" s="186" t="n"/>
      <c r="BB95" s="188" t="n"/>
      <c r="BC95" s="187" t="n"/>
      <c r="BD95" s="187" t="n"/>
      <c r="BE95" s="186" t="n"/>
      <c r="BF95" s="186" t="n"/>
      <c r="BG95" s="186" t="n"/>
      <c r="BH95" s="186" t="n"/>
      <c r="BI95" s="186" t="n"/>
      <c r="BJ95" s="186" t="n"/>
      <c r="BK95" s="186" t="n"/>
      <c r="BL95" s="186" t="n"/>
      <c r="BM95" s="186" t="n"/>
      <c r="BN95" s="186" t="n"/>
      <c r="BO95" s="186" t="n"/>
      <c r="BP95" s="186" t="n"/>
      <c r="BQ95" s="186" t="n"/>
      <c r="BR95" s="186" t="n"/>
      <c r="BS95" s="186" t="n"/>
      <c r="BT95" s="186" t="n"/>
      <c r="BU95" s="186" t="n"/>
      <c r="BV95" s="186" t="n"/>
      <c r="BW95" s="186" t="n"/>
      <c r="BX95" s="186" t="n"/>
      <c r="BY95" s="186" t="n"/>
      <c r="BZ95" s="189" t="n"/>
      <c r="CA95" s="189" t="n"/>
      <c r="CB95" s="189" t="n"/>
      <c r="CC95" s="190" t="n"/>
      <c r="CD95" s="186" t="n"/>
      <c r="CE95" s="186" t="n"/>
      <c r="CF95" s="186" t="n"/>
      <c r="CG95" s="186" t="n"/>
      <c r="CH95" s="186" t="n"/>
      <c r="CI95" s="191" t="n"/>
      <c r="CJ95" s="192" t="n"/>
      <c r="CK95" s="192" t="n"/>
      <c r="CL95" s="192" t="n"/>
      <c r="CM95" s="192" t="n"/>
    </row>
    <row r="96">
      <c r="A96" s="177" t="n"/>
      <c r="B96" s="178" t="n"/>
      <c r="C96" s="178" t="n"/>
      <c r="D96" s="179" t="n"/>
      <c r="E96" s="180" t="n"/>
      <c r="F96" s="181" t="n"/>
      <c r="G96" s="182" t="n"/>
      <c r="H96" s="105" t="n"/>
      <c r="I96" s="183">
        <f>F96</f>
        <v/>
      </c>
      <c r="J96" s="184" t="n"/>
      <c r="K96" s="185" t="n"/>
      <c r="L96" s="8" t="n"/>
      <c r="M96" s="184">
        <f>L96</f>
        <v/>
      </c>
      <c r="N96" s="71" t="n"/>
      <c r="O96" s="101" t="n"/>
      <c r="P96" s="9">
        <f>I96-M96</f>
        <v/>
      </c>
      <c r="Q96" s="9">
        <f>IF(LEFT(B96,4)&lt;&gt;"    ",0,BN96)</f>
        <v/>
      </c>
      <c r="R96" s="9">
        <f>+P96-Q96</f>
        <v/>
      </c>
      <c r="S96" s="280" t="n"/>
      <c r="T96" s="10" t="n"/>
      <c r="U96" s="23">
        <f>IF(LEFT(B96,4)&lt;&gt;"    ","",IF(M96&lt;&gt;0,X96/M96,0))</f>
        <v/>
      </c>
      <c r="V96" s="11">
        <f>IF(LEFT(B96,4)&lt;&gt;"    ","",U96*I96)</f>
        <v/>
      </c>
      <c r="W96" s="11">
        <f>IF(LEFT(B96,4)&lt;&gt;"    ","",X96+Z96)</f>
        <v/>
      </c>
      <c r="X96" s="8" t="n"/>
      <c r="Y96" s="9">
        <f>IF(LEFT(B96,4)&lt;&gt;"    ",0,IF(P96&lt;0,P96,IF(U96&gt;0.3,W96-X96,0)))</f>
        <v/>
      </c>
      <c r="Z96" s="71">
        <f>Y96</f>
        <v/>
      </c>
      <c r="AA96" s="71" t="n"/>
      <c r="AB96" s="109" t="n"/>
      <c r="AC96" s="9">
        <f>IF(LEFT(B96,4)&lt;&gt;"    ",0,BK96)</f>
        <v/>
      </c>
      <c r="AD96" s="9">
        <f>Z96-AC96</f>
        <v/>
      </c>
      <c r="AE96" s="10" t="n"/>
      <c r="AF96" s="24" t="n"/>
      <c r="AG96" s="11" t="n"/>
      <c r="AH96" s="8" t="n"/>
      <c r="AI96" s="9">
        <f>IF(LEFT(B96,4)&lt;&gt;"    ","",AG96-AH96)</f>
        <v/>
      </c>
      <c r="AJ96" s="9" t="n"/>
      <c r="AK96" s="10" t="n"/>
      <c r="AL96" s="11">
        <f>IF(LEFT(B96,4)&lt;&gt;"    ","",W96-AG96)</f>
        <v/>
      </c>
      <c r="AM96" s="8">
        <f>IF(LEFT(B96,4)&lt;&gt;"    ","",X96-AH96)</f>
        <v/>
      </c>
      <c r="AN96" s="9">
        <f>IF(LEFT(B96,4)&lt;&gt;"    ","",Y96-AI96)</f>
        <v/>
      </c>
      <c r="AO96" s="9">
        <f>IF(LEFT(B96,4)&lt;&gt;"    ","",Z96-AJ96)</f>
        <v/>
      </c>
      <c r="AP96" s="10" t="n"/>
      <c r="AQ96" s="25">
        <f>IF(LEFT(B96,4)&lt;&gt;"    ","",I96-W96)</f>
        <v/>
      </c>
      <c r="AR96" s="25">
        <f>M96-X96</f>
        <v/>
      </c>
      <c r="AS96" s="25">
        <f>IF(LEFT(B96,4)&lt;&gt;"    ","",P96-Z96)</f>
        <v/>
      </c>
      <c r="AT96" s="10" t="n"/>
      <c r="AU96" s="12" t="n"/>
      <c r="AV96" s="12">
        <f>IF(LEFT(B96,4)&lt;&gt;"    ","",IF(W96-AU96&gt;=0,W96-AU96," "))</f>
        <v/>
      </c>
      <c r="AW96" s="12">
        <f>IF(LEFT(B96,4)&lt;&gt;"    ","",IF(AU96-W96&gt;=0,AU96-W96," "))</f>
        <v/>
      </c>
      <c r="AX96" s="186" t="n"/>
      <c r="AY96" s="187" t="n"/>
      <c r="AZ96" s="186" t="n"/>
      <c r="BA96" s="186" t="n"/>
      <c r="BB96" s="188" t="n"/>
      <c r="BC96" s="187" t="n"/>
      <c r="BD96" s="187" t="n"/>
      <c r="BE96" s="186" t="n"/>
      <c r="BF96" s="186" t="n"/>
      <c r="BG96" s="186" t="n"/>
      <c r="BH96" s="186" t="n"/>
      <c r="BI96" s="186" t="n"/>
      <c r="BJ96" s="186" t="n"/>
      <c r="BK96" s="186" t="n"/>
      <c r="BL96" s="186" t="n"/>
      <c r="BM96" s="186" t="n"/>
      <c r="BN96" s="186" t="n"/>
      <c r="BO96" s="186" t="n"/>
      <c r="BP96" s="186" t="n"/>
      <c r="BQ96" s="186" t="n"/>
      <c r="BR96" s="186" t="n"/>
      <c r="BS96" s="186" t="n"/>
      <c r="BT96" s="186" t="n"/>
      <c r="BU96" s="186" t="n"/>
      <c r="BV96" s="186" t="n"/>
      <c r="BW96" s="186" t="n"/>
      <c r="BX96" s="186" t="n"/>
      <c r="BY96" s="186" t="n"/>
      <c r="BZ96" s="189" t="n"/>
      <c r="CA96" s="189" t="n"/>
      <c r="CB96" s="189" t="n"/>
      <c r="CC96" s="190" t="n"/>
      <c r="CD96" s="186" t="n"/>
      <c r="CE96" s="186" t="n"/>
      <c r="CF96" s="186" t="n"/>
      <c r="CG96" s="186" t="n"/>
      <c r="CH96" s="186" t="n"/>
      <c r="CI96" s="191" t="n"/>
      <c r="CJ96" s="192" t="n"/>
      <c r="CK96" s="192" t="n"/>
      <c r="CL96" s="192" t="n"/>
      <c r="CM96" s="192" t="n"/>
    </row>
    <row r="97">
      <c r="A97" s="177" t="n"/>
      <c r="B97" s="178" t="n"/>
      <c r="C97" s="178" t="n"/>
      <c r="D97" s="179" t="n"/>
      <c r="E97" s="180" t="n"/>
      <c r="F97" s="181" t="n"/>
      <c r="G97" s="182" t="n"/>
      <c r="H97" s="105" t="n"/>
      <c r="I97" s="183">
        <f>F97</f>
        <v/>
      </c>
      <c r="J97" s="184" t="n"/>
      <c r="K97" s="185" t="n"/>
      <c r="L97" s="8" t="n"/>
      <c r="M97" s="184">
        <f>L97</f>
        <v/>
      </c>
      <c r="N97" s="71" t="n"/>
      <c r="O97" s="101" t="n"/>
      <c r="P97" s="9">
        <f>I97-M97</f>
        <v/>
      </c>
      <c r="Q97" s="9">
        <f>IF(LEFT(B97,4)&lt;&gt;"    ",0,BN97)</f>
        <v/>
      </c>
      <c r="R97" s="9">
        <f>+P97-Q97</f>
        <v/>
      </c>
      <c r="S97" s="280" t="n"/>
      <c r="T97" s="10" t="n"/>
      <c r="U97" s="23">
        <f>IF(LEFT(B97,4)&lt;&gt;"    ","",IF(M97&lt;&gt;0,X97/M97,0))</f>
        <v/>
      </c>
      <c r="V97" s="11">
        <f>IF(LEFT(B97,4)&lt;&gt;"    ","",U97*I97)</f>
        <v/>
      </c>
      <c r="W97" s="11">
        <f>IF(LEFT(B97,4)&lt;&gt;"    ","",X97+Z97)</f>
        <v/>
      </c>
      <c r="X97" s="8" t="n"/>
      <c r="Y97" s="9">
        <f>IF(LEFT(B97,4)&lt;&gt;"    ",0,IF(P97&lt;0,P97,IF(U97&gt;0.3,W97-X97,0)))</f>
        <v/>
      </c>
      <c r="Z97" s="71">
        <f>Y97</f>
        <v/>
      </c>
      <c r="AA97" s="71" t="n"/>
      <c r="AB97" s="109" t="n"/>
      <c r="AC97" s="9">
        <f>IF(LEFT(B97,4)&lt;&gt;"    ",0,BK97)</f>
        <v/>
      </c>
      <c r="AD97" s="9">
        <f>Z97-AC97</f>
        <v/>
      </c>
      <c r="AE97" s="10" t="n"/>
      <c r="AF97" s="24" t="n"/>
      <c r="AG97" s="11" t="n"/>
      <c r="AH97" s="8" t="n"/>
      <c r="AI97" s="9">
        <f>IF(LEFT(B97,4)&lt;&gt;"    ","",AG97-AH97)</f>
        <v/>
      </c>
      <c r="AJ97" s="9" t="n"/>
      <c r="AK97" s="10" t="n"/>
      <c r="AL97" s="11">
        <f>IF(LEFT(B97,4)&lt;&gt;"    ","",W97-AG97)</f>
        <v/>
      </c>
      <c r="AM97" s="8">
        <f>IF(LEFT(B97,4)&lt;&gt;"    ","",X97-AH97)</f>
        <v/>
      </c>
      <c r="AN97" s="9">
        <f>IF(LEFT(B97,4)&lt;&gt;"    ","",Y97-AI97)</f>
        <v/>
      </c>
      <c r="AO97" s="9">
        <f>IF(LEFT(B97,4)&lt;&gt;"    ","",Z97-AJ97)</f>
        <v/>
      </c>
      <c r="AP97" s="10" t="n"/>
      <c r="AQ97" s="25">
        <f>IF(LEFT(B97,4)&lt;&gt;"    ","",I97-W97)</f>
        <v/>
      </c>
      <c r="AR97" s="25">
        <f>M97-X97</f>
        <v/>
      </c>
      <c r="AS97" s="25">
        <f>IF(LEFT(B97,4)&lt;&gt;"    ","",P97-Z97)</f>
        <v/>
      </c>
      <c r="AT97" s="10" t="n"/>
      <c r="AU97" s="12" t="n"/>
      <c r="AV97" s="12">
        <f>IF(LEFT(B97,4)&lt;&gt;"    ","",IF(W97-AU97&gt;=0,W97-AU97," "))</f>
        <v/>
      </c>
      <c r="AW97" s="12">
        <f>IF(LEFT(B97,4)&lt;&gt;"    ","",IF(AU97-W97&gt;=0,AU97-W97," "))</f>
        <v/>
      </c>
      <c r="AX97" s="186" t="n"/>
      <c r="AY97" s="187" t="n"/>
      <c r="AZ97" s="186" t="n"/>
      <c r="BA97" s="186" t="n"/>
      <c r="BB97" s="188" t="n"/>
      <c r="BC97" s="187" t="n"/>
      <c r="BD97" s="187" t="n"/>
      <c r="BE97" s="186" t="n"/>
      <c r="BF97" s="186" t="n"/>
      <c r="BG97" s="186" t="n"/>
      <c r="BH97" s="186" t="n"/>
      <c r="BI97" s="186" t="n"/>
      <c r="BJ97" s="186" t="n"/>
      <c r="BK97" s="186" t="n"/>
      <c r="BL97" s="186" t="n"/>
      <c r="BM97" s="186" t="n"/>
      <c r="BN97" s="186" t="n"/>
      <c r="BO97" s="186" t="n"/>
      <c r="BP97" s="186" t="n"/>
      <c r="BQ97" s="186" t="n"/>
      <c r="BR97" s="186" t="n"/>
      <c r="BS97" s="186" t="n"/>
      <c r="BT97" s="186" t="n"/>
      <c r="BU97" s="186" t="n"/>
      <c r="BV97" s="186" t="n"/>
      <c r="BW97" s="186" t="n"/>
      <c r="BX97" s="186" t="n"/>
      <c r="BY97" s="186" t="n"/>
      <c r="BZ97" s="189" t="n"/>
      <c r="CA97" s="189" t="n"/>
      <c r="CB97" s="189" t="n"/>
      <c r="CC97" s="190" t="n"/>
      <c r="CD97" s="186" t="n"/>
      <c r="CE97" s="186" t="n"/>
      <c r="CF97" s="186" t="n"/>
      <c r="CG97" s="186" t="n"/>
      <c r="CH97" s="186" t="n"/>
      <c r="CI97" s="191" t="n"/>
      <c r="CJ97" s="192" t="n"/>
      <c r="CK97" s="192" t="n"/>
      <c r="CL97" s="192" t="n"/>
      <c r="CM97" s="192" t="n"/>
    </row>
    <row r="98">
      <c r="A98" s="177" t="n"/>
      <c r="B98" s="178" t="n"/>
      <c r="C98" s="178" t="n"/>
      <c r="D98" s="179" t="n"/>
      <c r="E98" s="180" t="n"/>
      <c r="F98" s="181" t="n"/>
      <c r="G98" s="182" t="n"/>
      <c r="H98" s="105" t="n"/>
      <c r="I98" s="183">
        <f>F98</f>
        <v/>
      </c>
      <c r="J98" s="184" t="n"/>
      <c r="K98" s="185" t="n"/>
      <c r="L98" s="8" t="n"/>
      <c r="M98" s="184">
        <f>L98</f>
        <v/>
      </c>
      <c r="N98" s="71" t="n"/>
      <c r="O98" s="101" t="n"/>
      <c r="P98" s="9">
        <f>I98-M98</f>
        <v/>
      </c>
      <c r="Q98" s="9">
        <f>IF(LEFT(B98,4)&lt;&gt;"    ",0,BN98)</f>
        <v/>
      </c>
      <c r="R98" s="9">
        <f>+P98-Q98</f>
        <v/>
      </c>
      <c r="S98" s="280" t="n"/>
      <c r="T98" s="10" t="n"/>
      <c r="U98" s="23">
        <f>IF(LEFT(B98,4)&lt;&gt;"    ","",IF(M98&lt;&gt;0,X98/M98,0))</f>
        <v/>
      </c>
      <c r="V98" s="11">
        <f>IF(LEFT(B98,4)&lt;&gt;"    ","",U98*I98)</f>
        <v/>
      </c>
      <c r="W98" s="11">
        <f>IF(LEFT(B98,4)&lt;&gt;"    ","",X98+Z98)</f>
        <v/>
      </c>
      <c r="X98" s="8" t="n"/>
      <c r="Y98" s="9">
        <f>IF(LEFT(B98,4)&lt;&gt;"    ",0,IF(P98&lt;0,P98,IF(U98&gt;0.3,W98-X98,0)))</f>
        <v/>
      </c>
      <c r="Z98" s="71">
        <f>Y98</f>
        <v/>
      </c>
      <c r="AA98" s="71" t="n"/>
      <c r="AB98" s="109" t="n"/>
      <c r="AC98" s="9">
        <f>IF(LEFT(B98,4)&lt;&gt;"    ",0,BK98)</f>
        <v/>
      </c>
      <c r="AD98" s="9">
        <f>Z98-AC98</f>
        <v/>
      </c>
      <c r="AE98" s="10" t="n"/>
      <c r="AF98" s="24" t="n"/>
      <c r="AG98" s="11" t="n"/>
      <c r="AH98" s="8" t="n"/>
      <c r="AI98" s="9">
        <f>IF(LEFT(B98,4)&lt;&gt;"    ","",AG98-AH98)</f>
        <v/>
      </c>
      <c r="AJ98" s="9" t="n"/>
      <c r="AK98" s="10" t="n"/>
      <c r="AL98" s="11">
        <f>IF(LEFT(B98,4)&lt;&gt;"    ","",W98-AG98)</f>
        <v/>
      </c>
      <c r="AM98" s="8">
        <f>IF(LEFT(B98,4)&lt;&gt;"    ","",X98-AH98)</f>
        <v/>
      </c>
      <c r="AN98" s="9">
        <f>IF(LEFT(B98,4)&lt;&gt;"    ","",Y98-AI98)</f>
        <v/>
      </c>
      <c r="AO98" s="9">
        <f>IF(LEFT(B98,4)&lt;&gt;"    ","",Z98-AJ98)</f>
        <v/>
      </c>
      <c r="AP98" s="10" t="n"/>
      <c r="AQ98" s="25">
        <f>IF(LEFT(B98,4)&lt;&gt;"    ","",I98-W98)</f>
        <v/>
      </c>
      <c r="AR98" s="25">
        <f>M98-X98</f>
        <v/>
      </c>
      <c r="AS98" s="25">
        <f>IF(LEFT(B98,4)&lt;&gt;"    ","",P98-Z98)</f>
        <v/>
      </c>
      <c r="AT98" s="10" t="n"/>
      <c r="AU98" s="12" t="n"/>
      <c r="AV98" s="12">
        <f>IF(LEFT(B98,4)&lt;&gt;"    ","",IF(W98-AU98&gt;=0,W98-AU98," "))</f>
        <v/>
      </c>
      <c r="AW98" s="12">
        <f>IF(LEFT(B98,4)&lt;&gt;"    ","",IF(AU98-W98&gt;=0,AU98-W98," "))</f>
        <v/>
      </c>
      <c r="AX98" s="186" t="n"/>
      <c r="AY98" s="187" t="n"/>
      <c r="AZ98" s="186" t="n"/>
      <c r="BA98" s="186" t="n"/>
      <c r="BB98" s="188" t="n"/>
      <c r="BC98" s="187" t="n"/>
      <c r="BD98" s="187" t="n"/>
      <c r="BE98" s="186" t="n"/>
      <c r="BF98" s="186" t="n"/>
      <c r="BG98" s="186" t="n"/>
      <c r="BH98" s="186" t="n"/>
      <c r="BI98" s="186" t="n"/>
      <c r="BJ98" s="186" t="n"/>
      <c r="BK98" s="186" t="n"/>
      <c r="BL98" s="186" t="n"/>
      <c r="BM98" s="186" t="n"/>
      <c r="BN98" s="186" t="n"/>
      <c r="BO98" s="186" t="n"/>
      <c r="BP98" s="186" t="n"/>
      <c r="BQ98" s="186" t="n"/>
      <c r="BR98" s="186" t="n"/>
      <c r="BS98" s="186" t="n"/>
      <c r="BT98" s="186" t="n"/>
      <c r="BU98" s="186" t="n"/>
      <c r="BV98" s="186" t="n"/>
      <c r="BW98" s="186" t="n"/>
      <c r="BX98" s="186" t="n"/>
      <c r="BY98" s="186" t="n"/>
      <c r="BZ98" s="189" t="n"/>
      <c r="CA98" s="189" t="n"/>
      <c r="CB98" s="189" t="n"/>
      <c r="CC98" s="190" t="n"/>
      <c r="CD98" s="186" t="n"/>
      <c r="CE98" s="186" t="n"/>
      <c r="CF98" s="186" t="n"/>
      <c r="CG98" s="186" t="n"/>
      <c r="CH98" s="186" t="n"/>
      <c r="CI98" s="191" t="n"/>
      <c r="CJ98" s="192" t="n"/>
      <c r="CK98" s="192" t="n"/>
      <c r="CL98" s="192" t="n"/>
      <c r="CM98" s="192" t="n"/>
    </row>
    <row r="99">
      <c r="A99" s="177" t="n"/>
      <c r="B99" s="178" t="n"/>
      <c r="C99" s="178" t="n"/>
      <c r="D99" s="179" t="n"/>
      <c r="E99" s="180" t="n"/>
      <c r="F99" s="181" t="n"/>
      <c r="G99" s="182" t="n"/>
      <c r="H99" s="105" t="n"/>
      <c r="I99" s="183">
        <f>F99</f>
        <v/>
      </c>
      <c r="J99" s="184" t="n"/>
      <c r="K99" s="185" t="n"/>
      <c r="L99" s="8" t="n"/>
      <c r="M99" s="184">
        <f>L99</f>
        <v/>
      </c>
      <c r="N99" s="71" t="n"/>
      <c r="O99" s="101" t="n"/>
      <c r="P99" s="9">
        <f>I99-M99</f>
        <v/>
      </c>
      <c r="Q99" s="9">
        <f>IF(LEFT(B99,4)&lt;&gt;"    ",0,BN99)</f>
        <v/>
      </c>
      <c r="R99" s="9">
        <f>+P99-Q99</f>
        <v/>
      </c>
      <c r="S99" s="280" t="n"/>
      <c r="T99" s="10" t="n"/>
      <c r="U99" s="23">
        <f>IF(LEFT(B99,4)&lt;&gt;"    ","",IF(M99&lt;&gt;0,X99/M99,0))</f>
        <v/>
      </c>
      <c r="V99" s="11">
        <f>IF(LEFT(B99,4)&lt;&gt;"    ","",U99*I99)</f>
        <v/>
      </c>
      <c r="W99" s="11">
        <f>IF(LEFT(B99,4)&lt;&gt;"    ","",X99+Z99)</f>
        <v/>
      </c>
      <c r="X99" s="8" t="n"/>
      <c r="Y99" s="9">
        <f>IF(LEFT(B99,4)&lt;&gt;"    ",0,IF(P99&lt;0,P99,IF(U99&gt;0.3,W99-X99,0)))</f>
        <v/>
      </c>
      <c r="Z99" s="71">
        <f>Y99</f>
        <v/>
      </c>
      <c r="AA99" s="71" t="n"/>
      <c r="AB99" s="109" t="n"/>
      <c r="AC99" s="9">
        <f>IF(LEFT(B99,4)&lt;&gt;"    ",0,BK99)</f>
        <v/>
      </c>
      <c r="AD99" s="9">
        <f>Z99-AC99</f>
        <v/>
      </c>
      <c r="AE99" s="10" t="n"/>
      <c r="AF99" s="24" t="n"/>
      <c r="AG99" s="11" t="n"/>
      <c r="AH99" s="8" t="n"/>
      <c r="AI99" s="9">
        <f>IF(LEFT(B99,4)&lt;&gt;"    ","",AG99-AH99)</f>
        <v/>
      </c>
      <c r="AJ99" s="9" t="n"/>
      <c r="AK99" s="10" t="n"/>
      <c r="AL99" s="11">
        <f>IF(LEFT(B99,4)&lt;&gt;"    ","",W99-AG99)</f>
        <v/>
      </c>
      <c r="AM99" s="8">
        <f>IF(LEFT(B99,4)&lt;&gt;"    ","",X99-AH99)</f>
        <v/>
      </c>
      <c r="AN99" s="9">
        <f>IF(LEFT(B99,4)&lt;&gt;"    ","",Y99-AI99)</f>
        <v/>
      </c>
      <c r="AO99" s="9">
        <f>IF(LEFT(B99,4)&lt;&gt;"    ","",Z99-AJ99)</f>
        <v/>
      </c>
      <c r="AP99" s="10" t="n"/>
      <c r="AQ99" s="25">
        <f>IF(LEFT(B99,4)&lt;&gt;"    ","",I99-W99)</f>
        <v/>
      </c>
      <c r="AR99" s="25">
        <f>M99-X99</f>
        <v/>
      </c>
      <c r="AS99" s="25">
        <f>IF(LEFT(B99,4)&lt;&gt;"    ","",P99-Z99)</f>
        <v/>
      </c>
      <c r="AT99" s="10" t="n"/>
      <c r="AU99" s="12" t="n"/>
      <c r="AV99" s="12">
        <f>IF(LEFT(B99,4)&lt;&gt;"    ","",IF(W99-AU99&gt;=0,W99-AU99," "))</f>
        <v/>
      </c>
      <c r="AW99" s="12">
        <f>IF(LEFT(B99,4)&lt;&gt;"    ","",IF(AU99-W99&gt;=0,AU99-W99," "))</f>
        <v/>
      </c>
      <c r="AX99" s="186" t="n"/>
      <c r="AY99" s="187" t="n"/>
      <c r="AZ99" s="186" t="n"/>
      <c r="BA99" s="186" t="n"/>
      <c r="BB99" s="188" t="n"/>
      <c r="BC99" s="187" t="n"/>
      <c r="BD99" s="187" t="n"/>
      <c r="BE99" s="186" t="n"/>
      <c r="BF99" s="186" t="n"/>
      <c r="BG99" s="186" t="n"/>
      <c r="BH99" s="186" t="n"/>
      <c r="BI99" s="186" t="n"/>
      <c r="BJ99" s="186" t="n"/>
      <c r="BK99" s="186" t="n"/>
      <c r="BL99" s="186" t="n"/>
      <c r="BM99" s="186" t="n"/>
      <c r="BN99" s="186" t="n"/>
      <c r="BO99" s="186" t="n"/>
      <c r="BP99" s="186" t="n"/>
      <c r="BQ99" s="186" t="n"/>
      <c r="BR99" s="186" t="n"/>
      <c r="BS99" s="186" t="n"/>
      <c r="BT99" s="186" t="n"/>
      <c r="BU99" s="186" t="n"/>
      <c r="BV99" s="186" t="n"/>
      <c r="BW99" s="186" t="n"/>
      <c r="BX99" s="186" t="n"/>
      <c r="BY99" s="186" t="n"/>
      <c r="BZ99" s="189" t="n"/>
      <c r="CA99" s="189" t="n"/>
      <c r="CB99" s="189" t="n"/>
      <c r="CC99" s="190" t="n"/>
      <c r="CD99" s="186" t="n"/>
      <c r="CE99" s="186" t="n"/>
      <c r="CF99" s="186" t="n"/>
      <c r="CG99" s="186" t="n"/>
      <c r="CH99" s="186" t="n"/>
      <c r="CI99" s="191" t="n"/>
      <c r="CJ99" s="192" t="n"/>
      <c r="CK99" s="192" t="n"/>
      <c r="CL99" s="192" t="n"/>
      <c r="CM99" s="192" t="n"/>
    </row>
    <row r="100">
      <c r="A100" s="177" t="n"/>
      <c r="B100" s="178" t="n"/>
      <c r="C100" s="178" t="n"/>
      <c r="D100" s="179" t="n"/>
      <c r="E100" s="180" t="n"/>
      <c r="F100" s="181" t="n"/>
      <c r="G100" s="182" t="n"/>
      <c r="H100" s="105" t="n"/>
      <c r="I100" s="183">
        <f>F100</f>
        <v/>
      </c>
      <c r="J100" s="184" t="n"/>
      <c r="K100" s="185" t="n"/>
      <c r="L100" s="8" t="n"/>
      <c r="M100" s="184">
        <f>L100</f>
        <v/>
      </c>
      <c r="N100" s="71" t="n"/>
      <c r="O100" s="101" t="n"/>
      <c r="P100" s="9">
        <f>I100-M100</f>
        <v/>
      </c>
      <c r="Q100" s="9">
        <f>IF(LEFT(B100,4)&lt;&gt;"    ",0,BN100)</f>
        <v/>
      </c>
      <c r="R100" s="9">
        <f>+P100-Q100</f>
        <v/>
      </c>
      <c r="S100" s="280" t="n"/>
      <c r="T100" s="10" t="n"/>
      <c r="U100" s="23">
        <f>IF(LEFT(B100,4)&lt;&gt;"    ","",IF(M100&lt;&gt;0,X100/M100,0))</f>
        <v/>
      </c>
      <c r="V100" s="11">
        <f>IF(LEFT(B100,4)&lt;&gt;"    ","",U100*I100)</f>
        <v/>
      </c>
      <c r="W100" s="11">
        <f>IF(LEFT(B100,4)&lt;&gt;"    ","",X100+Z100)</f>
        <v/>
      </c>
      <c r="X100" s="8" t="n"/>
      <c r="Y100" s="9">
        <f>IF(LEFT(B100,4)&lt;&gt;"    ",0,IF(P100&lt;0,P100,IF(U100&gt;0.3,W100-X100,0)))</f>
        <v/>
      </c>
      <c r="Z100" s="71">
        <f>Y100</f>
        <v/>
      </c>
      <c r="AA100" s="71" t="n"/>
      <c r="AB100" s="109" t="n"/>
      <c r="AC100" s="9">
        <f>IF(LEFT(B100,4)&lt;&gt;"    ",0,BK100)</f>
        <v/>
      </c>
      <c r="AD100" s="9">
        <f>Z100-AC100</f>
        <v/>
      </c>
      <c r="AE100" s="10" t="n"/>
      <c r="AF100" s="24" t="n"/>
      <c r="AG100" s="11" t="n"/>
      <c r="AH100" s="8" t="n"/>
      <c r="AI100" s="9">
        <f>IF(LEFT(B100,4)&lt;&gt;"    ","",AG100-AH100)</f>
        <v/>
      </c>
      <c r="AJ100" s="9" t="n"/>
      <c r="AK100" s="10" t="n"/>
      <c r="AL100" s="11">
        <f>IF(LEFT(B100,4)&lt;&gt;"    ","",W100-AG100)</f>
        <v/>
      </c>
      <c r="AM100" s="8">
        <f>IF(LEFT(B100,4)&lt;&gt;"    ","",X100-AH100)</f>
        <v/>
      </c>
      <c r="AN100" s="9">
        <f>IF(LEFT(B100,4)&lt;&gt;"    ","",Y100-AI100)</f>
        <v/>
      </c>
      <c r="AO100" s="9">
        <f>IF(LEFT(B100,4)&lt;&gt;"    ","",Z100-AJ100)</f>
        <v/>
      </c>
      <c r="AP100" s="10" t="n"/>
      <c r="AQ100" s="25">
        <f>IF(LEFT(B100,4)&lt;&gt;"    ","",I100-W100)</f>
        <v/>
      </c>
      <c r="AR100" s="25">
        <f>M100-X100</f>
        <v/>
      </c>
      <c r="AS100" s="25">
        <f>IF(LEFT(B100,4)&lt;&gt;"    ","",P100-Z100)</f>
        <v/>
      </c>
      <c r="AT100" s="10" t="n"/>
      <c r="AU100" s="12" t="n"/>
      <c r="AV100" s="12">
        <f>IF(LEFT(B100,4)&lt;&gt;"    ","",IF(W100-AU100&gt;=0,W100-AU100," "))</f>
        <v/>
      </c>
      <c r="AW100" s="12">
        <f>IF(LEFT(B100,4)&lt;&gt;"    ","",IF(AU100-W100&gt;=0,AU100-W100," "))</f>
        <v/>
      </c>
      <c r="AX100" s="186" t="n"/>
      <c r="AY100" s="187" t="n"/>
      <c r="AZ100" s="186" t="n"/>
      <c r="BA100" s="186" t="n"/>
      <c r="BB100" s="188" t="n"/>
      <c r="BC100" s="187" t="n"/>
      <c r="BD100" s="187" t="n"/>
      <c r="BE100" s="186" t="n"/>
      <c r="BF100" s="186" t="n"/>
      <c r="BG100" s="186" t="n"/>
      <c r="BH100" s="186" t="n"/>
      <c r="BI100" s="186" t="n"/>
      <c r="BJ100" s="186" t="n"/>
      <c r="BK100" s="186" t="n"/>
      <c r="BL100" s="186" t="n"/>
      <c r="BM100" s="186" t="n"/>
      <c r="BN100" s="186" t="n"/>
      <c r="BO100" s="186" t="n"/>
      <c r="BP100" s="186" t="n"/>
      <c r="BQ100" s="186" t="n"/>
      <c r="BR100" s="186" t="n"/>
      <c r="BS100" s="186" t="n"/>
      <c r="BT100" s="186" t="n"/>
      <c r="BU100" s="186" t="n"/>
      <c r="BV100" s="186" t="n"/>
      <c r="BW100" s="186" t="n"/>
      <c r="BX100" s="186" t="n"/>
      <c r="BY100" s="186" t="n"/>
      <c r="BZ100" s="189" t="n"/>
      <c r="CA100" s="189" t="n"/>
      <c r="CB100" s="189" t="n"/>
      <c r="CC100" s="190" t="n"/>
      <c r="CD100" s="186" t="n"/>
      <c r="CE100" s="186" t="n"/>
      <c r="CF100" s="186" t="n"/>
      <c r="CG100" s="186" t="n"/>
      <c r="CH100" s="186" t="n"/>
      <c r="CI100" s="191" t="n"/>
      <c r="CJ100" s="192" t="n"/>
      <c r="CK100" s="192" t="n"/>
      <c r="CL100" s="192" t="n"/>
      <c r="CM100" s="192" t="n"/>
    </row>
    <row r="101">
      <c r="A101" s="177" t="n"/>
      <c r="B101" s="178" t="n"/>
      <c r="C101" s="178" t="n"/>
      <c r="D101" s="179" t="n"/>
      <c r="E101" s="180" t="n"/>
      <c r="F101" s="181" t="n"/>
      <c r="G101" s="182" t="n"/>
      <c r="H101" s="105" t="n"/>
      <c r="I101" s="183">
        <f>F101</f>
        <v/>
      </c>
      <c r="J101" s="184" t="n"/>
      <c r="K101" s="185" t="n"/>
      <c r="L101" s="8" t="n"/>
      <c r="M101" s="184">
        <f>L101</f>
        <v/>
      </c>
      <c r="N101" s="71" t="n"/>
      <c r="O101" s="101" t="n"/>
      <c r="P101" s="9">
        <f>I101-M101</f>
        <v/>
      </c>
      <c r="Q101" s="9">
        <f>IF(LEFT(B101,4)&lt;&gt;"    ",0,BN101)</f>
        <v/>
      </c>
      <c r="R101" s="9">
        <f>+P101-Q101</f>
        <v/>
      </c>
      <c r="S101" s="280" t="n"/>
      <c r="T101" s="10" t="n"/>
      <c r="U101" s="23">
        <f>IF(LEFT(B101,4)&lt;&gt;"    ","",IF(M101&lt;&gt;0,X101/M101,0))</f>
        <v/>
      </c>
      <c r="V101" s="11">
        <f>IF(LEFT(B101,4)&lt;&gt;"    ","",U101*I101)</f>
        <v/>
      </c>
      <c r="W101" s="11">
        <f>IF(LEFT(B101,4)&lt;&gt;"    ","",X101+Z101)</f>
        <v/>
      </c>
      <c r="X101" s="8" t="n"/>
      <c r="Y101" s="9">
        <f>IF(LEFT(B101,4)&lt;&gt;"    ",0,IF(P101&lt;0,P101,IF(U101&gt;0.3,W101-X101,0)))</f>
        <v/>
      </c>
      <c r="Z101" s="71">
        <f>Y101</f>
        <v/>
      </c>
      <c r="AA101" s="71" t="n"/>
      <c r="AB101" s="109" t="n"/>
      <c r="AC101" s="9">
        <f>IF(LEFT(B101,4)&lt;&gt;"    ",0,BK101)</f>
        <v/>
      </c>
      <c r="AD101" s="9">
        <f>Z101-AC101</f>
        <v/>
      </c>
      <c r="AE101" s="10" t="n"/>
      <c r="AF101" s="24" t="n"/>
      <c r="AG101" s="11" t="n"/>
      <c r="AH101" s="8" t="n"/>
      <c r="AI101" s="9">
        <f>IF(LEFT(B101,4)&lt;&gt;"    ","",AG101-AH101)</f>
        <v/>
      </c>
      <c r="AJ101" s="9" t="n"/>
      <c r="AK101" s="10" t="n"/>
      <c r="AL101" s="11">
        <f>IF(LEFT(B101,4)&lt;&gt;"    ","",W101-AG101)</f>
        <v/>
      </c>
      <c r="AM101" s="8">
        <f>IF(LEFT(B101,4)&lt;&gt;"    ","",X101-AH101)</f>
        <v/>
      </c>
      <c r="AN101" s="9">
        <f>IF(LEFT(B101,4)&lt;&gt;"    ","",Y101-AI101)</f>
        <v/>
      </c>
      <c r="AO101" s="9">
        <f>IF(LEFT(B101,4)&lt;&gt;"    ","",Z101-AJ101)</f>
        <v/>
      </c>
      <c r="AP101" s="10" t="n"/>
      <c r="AQ101" s="25">
        <f>IF(LEFT(B101,4)&lt;&gt;"    ","",I101-W101)</f>
        <v/>
      </c>
      <c r="AR101" s="25">
        <f>M101-X101</f>
        <v/>
      </c>
      <c r="AS101" s="25">
        <f>IF(LEFT(B101,4)&lt;&gt;"    ","",P101-Z101)</f>
        <v/>
      </c>
      <c r="AT101" s="10" t="n"/>
      <c r="AU101" s="12" t="n"/>
      <c r="AV101" s="12">
        <f>IF(LEFT(B101,4)&lt;&gt;"    ","",IF(W101-AU101&gt;=0,W101-AU101," "))</f>
        <v/>
      </c>
      <c r="AW101" s="12">
        <f>IF(LEFT(B101,4)&lt;&gt;"    ","",IF(AU101-W101&gt;=0,AU101-W101," "))</f>
        <v/>
      </c>
      <c r="AX101" s="186" t="n"/>
      <c r="AY101" s="187" t="n"/>
      <c r="AZ101" s="186" t="n"/>
      <c r="BA101" s="186" t="n"/>
      <c r="BB101" s="188" t="n"/>
      <c r="BC101" s="187" t="n"/>
      <c r="BD101" s="187" t="n"/>
      <c r="BE101" s="186" t="n"/>
      <c r="BF101" s="186" t="n"/>
      <c r="BG101" s="186" t="n"/>
      <c r="BH101" s="186" t="n"/>
      <c r="BI101" s="186" t="n"/>
      <c r="BJ101" s="186" t="n"/>
      <c r="BK101" s="186" t="n"/>
      <c r="BL101" s="186" t="n"/>
      <c r="BM101" s="186" t="n"/>
      <c r="BN101" s="186" t="n"/>
      <c r="BO101" s="186" t="n"/>
      <c r="BP101" s="186" t="n"/>
      <c r="BQ101" s="186" t="n"/>
      <c r="BR101" s="186" t="n"/>
      <c r="BS101" s="186" t="n"/>
      <c r="BT101" s="186" t="n"/>
      <c r="BU101" s="186" t="n"/>
      <c r="BV101" s="186" t="n"/>
      <c r="BW101" s="186" t="n"/>
      <c r="BX101" s="186" t="n"/>
      <c r="BY101" s="186" t="n"/>
      <c r="BZ101" s="189" t="n"/>
      <c r="CA101" s="189" t="n"/>
      <c r="CB101" s="189" t="n"/>
      <c r="CC101" s="190" t="n"/>
      <c r="CD101" s="186" t="n"/>
      <c r="CE101" s="186" t="n"/>
      <c r="CF101" s="186" t="n"/>
      <c r="CG101" s="186" t="n"/>
      <c r="CH101" s="186" t="n"/>
      <c r="CI101" s="191" t="n"/>
      <c r="CJ101" s="192" t="n"/>
      <c r="CK101" s="192" t="n"/>
      <c r="CL101" s="192" t="n"/>
      <c r="CM101" s="192" t="n"/>
    </row>
    <row r="102">
      <c r="A102" s="177" t="n"/>
      <c r="B102" s="178" t="n"/>
      <c r="C102" s="178" t="n"/>
      <c r="D102" s="179" t="n"/>
      <c r="E102" s="180" t="n"/>
      <c r="F102" s="181" t="n"/>
      <c r="G102" s="182" t="n"/>
      <c r="H102" s="105" t="n"/>
      <c r="I102" s="183">
        <f>F102</f>
        <v/>
      </c>
      <c r="J102" s="184" t="n"/>
      <c r="K102" s="185" t="n"/>
      <c r="L102" s="8" t="n"/>
      <c r="M102" s="184">
        <f>L102</f>
        <v/>
      </c>
      <c r="N102" s="71" t="n"/>
      <c r="O102" s="101" t="n"/>
      <c r="P102" s="9">
        <f>I102-M102</f>
        <v/>
      </c>
      <c r="Q102" s="9">
        <f>IF(LEFT(B102,4)&lt;&gt;"    ",0,BN102)</f>
        <v/>
      </c>
      <c r="R102" s="9">
        <f>+P102-Q102</f>
        <v/>
      </c>
      <c r="S102" s="280" t="n"/>
      <c r="T102" s="10" t="n"/>
      <c r="U102" s="23">
        <f>IF(LEFT(B102,4)&lt;&gt;"    ","",IF(M102&lt;&gt;0,X102/M102,0))</f>
        <v/>
      </c>
      <c r="V102" s="11">
        <f>IF(LEFT(B102,4)&lt;&gt;"    ","",U102*I102)</f>
        <v/>
      </c>
      <c r="W102" s="11">
        <f>IF(LEFT(B102,4)&lt;&gt;"    ","",X102+Z102)</f>
        <v/>
      </c>
      <c r="X102" s="8" t="n"/>
      <c r="Y102" s="9">
        <f>IF(LEFT(B102,4)&lt;&gt;"    ",0,IF(P102&lt;0,P102,IF(U102&gt;0.3,W102-X102,0)))</f>
        <v/>
      </c>
      <c r="Z102" s="71">
        <f>Y102</f>
        <v/>
      </c>
      <c r="AA102" s="71" t="n"/>
      <c r="AB102" s="109" t="n"/>
      <c r="AC102" s="9">
        <f>IF(LEFT(B102,4)&lt;&gt;"    ",0,BK102)</f>
        <v/>
      </c>
      <c r="AD102" s="9">
        <f>Z102-AC102</f>
        <v/>
      </c>
      <c r="AE102" s="10" t="n"/>
      <c r="AF102" s="24" t="n"/>
      <c r="AG102" s="11" t="n"/>
      <c r="AH102" s="8" t="n"/>
      <c r="AI102" s="9">
        <f>IF(LEFT(B102,4)&lt;&gt;"    ","",AG102-AH102)</f>
        <v/>
      </c>
      <c r="AJ102" s="9" t="n"/>
      <c r="AK102" s="10" t="n"/>
      <c r="AL102" s="11">
        <f>IF(LEFT(B102,4)&lt;&gt;"    ","",W102-AG102)</f>
        <v/>
      </c>
      <c r="AM102" s="8">
        <f>IF(LEFT(B102,4)&lt;&gt;"    ","",X102-AH102)</f>
        <v/>
      </c>
      <c r="AN102" s="9">
        <f>IF(LEFT(B102,4)&lt;&gt;"    ","",Y102-AI102)</f>
        <v/>
      </c>
      <c r="AO102" s="9">
        <f>IF(LEFT(B102,4)&lt;&gt;"    ","",Z102-AJ102)</f>
        <v/>
      </c>
      <c r="AP102" s="10" t="n"/>
      <c r="AQ102" s="25">
        <f>IF(LEFT(B102,4)&lt;&gt;"    ","",I102-W102)</f>
        <v/>
      </c>
      <c r="AR102" s="25">
        <f>M102-X102</f>
        <v/>
      </c>
      <c r="AS102" s="25">
        <f>IF(LEFT(B102,4)&lt;&gt;"    ","",P102-Z102)</f>
        <v/>
      </c>
      <c r="AT102" s="10" t="n"/>
      <c r="AU102" s="12" t="n"/>
      <c r="AV102" s="12">
        <f>IF(LEFT(B102,4)&lt;&gt;"    ","",IF(W102-AU102&gt;=0,W102-AU102," "))</f>
        <v/>
      </c>
      <c r="AW102" s="12">
        <f>IF(LEFT(B102,4)&lt;&gt;"    ","",IF(AU102-W102&gt;=0,AU102-W102," "))</f>
        <v/>
      </c>
      <c r="AX102" s="186" t="n"/>
      <c r="AY102" s="187" t="n"/>
      <c r="AZ102" s="186" t="n"/>
      <c r="BA102" s="186" t="n"/>
      <c r="BB102" s="188" t="n"/>
      <c r="BC102" s="187" t="n"/>
      <c r="BD102" s="187" t="n"/>
      <c r="BE102" s="186" t="n"/>
      <c r="BF102" s="186" t="n"/>
      <c r="BG102" s="186" t="n"/>
      <c r="BH102" s="186" t="n"/>
      <c r="BI102" s="186" t="n"/>
      <c r="BJ102" s="186" t="n"/>
      <c r="BK102" s="186" t="n"/>
      <c r="BL102" s="186" t="n"/>
      <c r="BM102" s="186" t="n"/>
      <c r="BN102" s="186" t="n"/>
      <c r="BO102" s="186" t="n"/>
      <c r="BP102" s="186" t="n"/>
      <c r="BQ102" s="186" t="n"/>
      <c r="BR102" s="186" t="n"/>
      <c r="BS102" s="186" t="n"/>
      <c r="BT102" s="186" t="n"/>
      <c r="BU102" s="186" t="n"/>
      <c r="BV102" s="186" t="n"/>
      <c r="BW102" s="186" t="n"/>
      <c r="BX102" s="186" t="n"/>
      <c r="BY102" s="186" t="n"/>
      <c r="BZ102" s="189" t="n"/>
      <c r="CA102" s="189" t="n"/>
      <c r="CB102" s="189" t="n"/>
      <c r="CC102" s="190" t="n"/>
      <c r="CD102" s="186" t="n"/>
      <c r="CE102" s="186" t="n"/>
      <c r="CF102" s="186" t="n"/>
      <c r="CG102" s="186" t="n"/>
      <c r="CH102" s="186" t="n"/>
      <c r="CI102" s="191" t="n"/>
      <c r="CJ102" s="192" t="n"/>
      <c r="CK102" s="192" t="n"/>
      <c r="CL102" s="192" t="n"/>
      <c r="CM102" s="192" t="n"/>
    </row>
    <row r="103">
      <c r="A103" s="177" t="n"/>
      <c r="B103" s="178" t="n"/>
      <c r="C103" s="178" t="n"/>
      <c r="D103" s="179" t="n"/>
      <c r="E103" s="180" t="n"/>
      <c r="F103" s="181" t="n"/>
      <c r="G103" s="182" t="n"/>
      <c r="H103" s="105" t="n"/>
      <c r="I103" s="183">
        <f>F103</f>
        <v/>
      </c>
      <c r="J103" s="184" t="n"/>
      <c r="K103" s="185" t="n"/>
      <c r="L103" s="8" t="n"/>
      <c r="M103" s="184">
        <f>L103</f>
        <v/>
      </c>
      <c r="N103" s="71" t="n"/>
      <c r="O103" s="101" t="n"/>
      <c r="P103" s="9">
        <f>I103-M103</f>
        <v/>
      </c>
      <c r="Q103" s="9">
        <f>IF(LEFT(B103,4)&lt;&gt;"    ",0,BN103)</f>
        <v/>
      </c>
      <c r="R103" s="9">
        <f>+P103-Q103</f>
        <v/>
      </c>
      <c r="S103" s="280" t="n"/>
      <c r="T103" s="10" t="n"/>
      <c r="U103" s="23">
        <f>IF(LEFT(B103,4)&lt;&gt;"    ","",IF(M103&lt;&gt;0,X103/M103,0))</f>
        <v/>
      </c>
      <c r="V103" s="11">
        <f>IF(LEFT(B103,4)&lt;&gt;"    ","",U103*I103)</f>
        <v/>
      </c>
      <c r="W103" s="11">
        <f>IF(LEFT(B103,4)&lt;&gt;"    ","",X103+Z103)</f>
        <v/>
      </c>
      <c r="X103" s="8" t="n"/>
      <c r="Y103" s="9">
        <f>IF(LEFT(B103,4)&lt;&gt;"    ",0,IF(P103&lt;0,P103,IF(U103&gt;0.3,W103-X103,0)))</f>
        <v/>
      </c>
      <c r="Z103" s="71">
        <f>Y103</f>
        <v/>
      </c>
      <c r="AA103" s="71" t="n"/>
      <c r="AB103" s="109" t="n"/>
      <c r="AC103" s="9">
        <f>IF(LEFT(B103,4)&lt;&gt;"    ",0,BK103)</f>
        <v/>
      </c>
      <c r="AD103" s="9">
        <f>Z103-AC103</f>
        <v/>
      </c>
      <c r="AE103" s="10" t="n"/>
      <c r="AF103" s="24" t="n"/>
      <c r="AG103" s="11" t="n"/>
      <c r="AH103" s="8" t="n"/>
      <c r="AI103" s="9">
        <f>IF(LEFT(B103,4)&lt;&gt;"    ","",AG103-AH103)</f>
        <v/>
      </c>
      <c r="AJ103" s="9" t="n"/>
      <c r="AK103" s="10" t="n"/>
      <c r="AL103" s="11">
        <f>IF(LEFT(B103,4)&lt;&gt;"    ","",W103-AG103)</f>
        <v/>
      </c>
      <c r="AM103" s="8">
        <f>IF(LEFT(B103,4)&lt;&gt;"    ","",X103-AH103)</f>
        <v/>
      </c>
      <c r="AN103" s="9">
        <f>IF(LEFT(B103,4)&lt;&gt;"    ","",Y103-AI103)</f>
        <v/>
      </c>
      <c r="AO103" s="9">
        <f>IF(LEFT(B103,4)&lt;&gt;"    ","",Z103-AJ103)</f>
        <v/>
      </c>
      <c r="AP103" s="10" t="n"/>
      <c r="AQ103" s="25">
        <f>IF(LEFT(B103,4)&lt;&gt;"    ","",I103-W103)</f>
        <v/>
      </c>
      <c r="AR103" s="25">
        <f>M103-X103</f>
        <v/>
      </c>
      <c r="AS103" s="25">
        <f>IF(LEFT(B103,4)&lt;&gt;"    ","",P103-Z103)</f>
        <v/>
      </c>
      <c r="AT103" s="10" t="n"/>
      <c r="AU103" s="12" t="n"/>
      <c r="AV103" s="12">
        <f>IF(LEFT(B103,4)&lt;&gt;"    ","",IF(W103-AU103&gt;=0,W103-AU103," "))</f>
        <v/>
      </c>
      <c r="AW103" s="12">
        <f>IF(LEFT(B103,4)&lt;&gt;"    ","",IF(AU103-W103&gt;=0,AU103-W103," "))</f>
        <v/>
      </c>
      <c r="AX103" s="186" t="n"/>
      <c r="AY103" s="187" t="n"/>
      <c r="AZ103" s="186" t="n"/>
      <c r="BA103" s="186" t="n"/>
      <c r="BB103" s="188" t="n"/>
      <c r="BC103" s="187" t="n"/>
      <c r="BD103" s="187" t="n"/>
      <c r="BE103" s="186" t="n"/>
      <c r="BF103" s="186" t="n"/>
      <c r="BG103" s="186" t="n"/>
      <c r="BH103" s="186" t="n"/>
      <c r="BI103" s="186" t="n"/>
      <c r="BJ103" s="186" t="n"/>
      <c r="BK103" s="186" t="n"/>
      <c r="BL103" s="186" t="n"/>
      <c r="BM103" s="186" t="n"/>
      <c r="BN103" s="186" t="n"/>
      <c r="BO103" s="186" t="n"/>
      <c r="BP103" s="186" t="n"/>
      <c r="BQ103" s="186" t="n"/>
      <c r="BR103" s="186" t="n"/>
      <c r="BS103" s="186" t="n"/>
      <c r="BT103" s="186" t="n"/>
      <c r="BU103" s="186" t="n"/>
      <c r="BV103" s="186" t="n"/>
      <c r="BW103" s="186" t="n"/>
      <c r="BX103" s="186" t="n"/>
      <c r="BY103" s="186" t="n"/>
      <c r="BZ103" s="189" t="n"/>
      <c r="CA103" s="189" t="n"/>
      <c r="CB103" s="189" t="n"/>
      <c r="CC103" s="190" t="n"/>
      <c r="CD103" s="186" t="n"/>
      <c r="CE103" s="186" t="n"/>
      <c r="CF103" s="186" t="n"/>
      <c r="CG103" s="186" t="n"/>
      <c r="CH103" s="186" t="n"/>
      <c r="CI103" s="191" t="n"/>
      <c r="CJ103" s="192" t="n"/>
      <c r="CK103" s="192" t="n"/>
      <c r="CL103" s="192" t="n"/>
      <c r="CM103" s="192" t="n"/>
    </row>
    <row r="104">
      <c r="A104" s="177" t="n"/>
      <c r="B104" s="178" t="n"/>
      <c r="C104" s="178" t="n"/>
      <c r="D104" s="179" t="n"/>
      <c r="E104" s="180" t="n"/>
      <c r="F104" s="181" t="n"/>
      <c r="G104" s="182" t="n"/>
      <c r="H104" s="105" t="n"/>
      <c r="I104" s="183">
        <f>F104</f>
        <v/>
      </c>
      <c r="J104" s="184" t="n"/>
      <c r="K104" s="185" t="n"/>
      <c r="L104" s="8" t="n"/>
      <c r="M104" s="184">
        <f>L104</f>
        <v/>
      </c>
      <c r="N104" s="71" t="n"/>
      <c r="O104" s="101" t="n"/>
      <c r="P104" s="9">
        <f>I104-M104</f>
        <v/>
      </c>
      <c r="Q104" s="9">
        <f>IF(LEFT(B104,4)&lt;&gt;"    ",0,BN104)</f>
        <v/>
      </c>
      <c r="R104" s="9">
        <f>+P104-Q104</f>
        <v/>
      </c>
      <c r="S104" s="281" t="n"/>
      <c r="T104" s="10" t="n"/>
      <c r="U104" s="23">
        <f>IF(LEFT(B104,4)&lt;&gt;"    ","",IF(M104&lt;&gt;0,X104/M104,0))</f>
        <v/>
      </c>
      <c r="V104" s="11">
        <f>IF(LEFT(B104,4)&lt;&gt;"    ","",U104*I104)</f>
        <v/>
      </c>
      <c r="W104" s="11">
        <f>IF(LEFT(B104,4)&lt;&gt;"    ","",X104+Z104)</f>
        <v/>
      </c>
      <c r="X104" s="8" t="n"/>
      <c r="Y104" s="9">
        <f>IF(LEFT(B104,4)&lt;&gt;"    ",0,IF(P104&lt;0,P104,IF(U104&gt;0.3,W104-X104,0)))</f>
        <v/>
      </c>
      <c r="Z104" s="71">
        <f>Y104</f>
        <v/>
      </c>
      <c r="AA104" s="71" t="n"/>
      <c r="AB104" s="109" t="n"/>
      <c r="AC104" s="9">
        <f>IF(LEFT(B104,4)&lt;&gt;"    ",0,BK104)</f>
        <v/>
      </c>
      <c r="AD104" s="9">
        <f>Z104-AC104</f>
        <v/>
      </c>
      <c r="AE104" s="10" t="n"/>
      <c r="AF104" s="24" t="n"/>
      <c r="AG104" s="11" t="n"/>
      <c r="AH104" s="8" t="n"/>
      <c r="AI104" s="9">
        <f>IF(LEFT(B104,4)&lt;&gt;"    ","",AG104-AH104)</f>
        <v/>
      </c>
      <c r="AJ104" s="9" t="n"/>
      <c r="AK104" s="10" t="n"/>
      <c r="AL104" s="11">
        <f>IF(LEFT(B104,4)&lt;&gt;"    ","",W104-AG104)</f>
        <v/>
      </c>
      <c r="AM104" s="8">
        <f>IF(LEFT(B104,4)&lt;&gt;"    ","",X104-AH104)</f>
        <v/>
      </c>
      <c r="AN104" s="9">
        <f>IF(LEFT(B104,4)&lt;&gt;"    ","",Y104-AI104)</f>
        <v/>
      </c>
      <c r="AO104" s="9">
        <f>IF(LEFT(B104,4)&lt;&gt;"    ","",Z104-AJ104)</f>
        <v/>
      </c>
      <c r="AP104" s="10" t="n"/>
      <c r="AQ104" s="25">
        <f>IF(LEFT(B104,4)&lt;&gt;"    ","",I104-W104)</f>
        <v/>
      </c>
      <c r="AR104" s="25">
        <f>M104-X104</f>
        <v/>
      </c>
      <c r="AS104" s="25">
        <f>IF(LEFT(B104,4)&lt;&gt;"    ","",P104-Z104)</f>
        <v/>
      </c>
      <c r="AT104" s="10" t="n"/>
      <c r="AU104" s="12" t="n"/>
      <c r="AV104" s="12">
        <f>IF(LEFT(B104,4)&lt;&gt;"    ","",IF(W104-AU104&gt;=0,W104-AU104," "))</f>
        <v/>
      </c>
      <c r="AW104" s="12">
        <f>IF(LEFT(B104,4)&lt;&gt;"    ","",IF(AU104-W104&gt;=0,AU104-W104," "))</f>
        <v/>
      </c>
      <c r="AX104" s="186" t="n"/>
      <c r="AY104" s="187" t="n"/>
      <c r="AZ104" s="186" t="n"/>
      <c r="BA104" s="186" t="n"/>
      <c r="BB104" s="188" t="n"/>
      <c r="BC104" s="187" t="n"/>
      <c r="BD104" s="187" t="n"/>
      <c r="BE104" s="186" t="n"/>
      <c r="BF104" s="186" t="n"/>
      <c r="BG104" s="186" t="n"/>
      <c r="BH104" s="186" t="n"/>
      <c r="BI104" s="186" t="n"/>
      <c r="BJ104" s="186" t="n"/>
      <c r="BK104" s="186" t="n"/>
      <c r="BL104" s="186" t="n"/>
      <c r="BM104" s="186" t="n"/>
      <c r="BN104" s="186" t="n"/>
      <c r="BO104" s="186" t="n"/>
      <c r="BP104" s="186" t="n"/>
      <c r="BQ104" s="186" t="n"/>
      <c r="BR104" s="186" t="n"/>
      <c r="BS104" s="186" t="n"/>
      <c r="BT104" s="186" t="n"/>
      <c r="BU104" s="186" t="n"/>
      <c r="BV104" s="186" t="n"/>
      <c r="BW104" s="186" t="n"/>
      <c r="BX104" s="186" t="n"/>
      <c r="BY104" s="186" t="n"/>
      <c r="BZ104" s="189" t="n"/>
      <c r="CA104" s="189" t="n"/>
      <c r="CB104" s="189" t="n"/>
      <c r="CC104" s="190" t="n"/>
      <c r="CD104" s="186" t="n"/>
      <c r="CE104" s="186" t="n"/>
      <c r="CF104" s="186" t="n"/>
      <c r="CG104" s="186" t="n"/>
      <c r="CH104" s="186" t="n"/>
      <c r="CI104" s="191" t="n"/>
      <c r="CJ104" s="192" t="n"/>
      <c r="CK104" s="192" t="n"/>
      <c r="CL104" s="192" t="n"/>
      <c r="CM104" s="192" t="n"/>
    </row>
    <row r="105">
      <c r="A105" s="177" t="n"/>
      <c r="B105" s="178" t="n"/>
      <c r="C105" s="178" t="n"/>
      <c r="D105" s="179" t="n"/>
      <c r="E105" s="180" t="n"/>
      <c r="F105" s="181" t="n"/>
      <c r="G105" s="182" t="n"/>
      <c r="H105" s="105" t="n"/>
      <c r="I105" s="183">
        <f>F105</f>
        <v/>
      </c>
      <c r="J105" s="184" t="n"/>
      <c r="K105" s="185" t="n"/>
      <c r="L105" s="8" t="n"/>
      <c r="M105" s="184">
        <f>L105</f>
        <v/>
      </c>
      <c r="N105" s="71" t="n"/>
      <c r="O105" s="101" t="n"/>
      <c r="P105" s="9">
        <f>I105-M105</f>
        <v/>
      </c>
      <c r="Q105" s="9">
        <f>IF(LEFT(B105,4)&lt;&gt;"    ",0,BN105)</f>
        <v/>
      </c>
      <c r="R105" s="9">
        <f>+P105-Q105</f>
        <v/>
      </c>
      <c r="S105" s="281" t="n"/>
      <c r="T105" s="10" t="n"/>
      <c r="U105" s="23">
        <f>IF(LEFT(B105,4)&lt;&gt;"    ","",IF(M105&lt;&gt;0,X105/M105,0))</f>
        <v/>
      </c>
      <c r="V105" s="11">
        <f>IF(LEFT(B105,4)&lt;&gt;"    ","",U105*I105)</f>
        <v/>
      </c>
      <c r="W105" s="11">
        <f>IF(LEFT(B105,4)&lt;&gt;"    ","",X105+Z105)</f>
        <v/>
      </c>
      <c r="X105" s="8" t="n"/>
      <c r="Y105" s="9">
        <f>IF(LEFT(B105,4)&lt;&gt;"    ",0,IF(P105&lt;0,P105,IF(U105&gt;0.3,W105-X105,0)))</f>
        <v/>
      </c>
      <c r="Z105" s="71">
        <f>Y105</f>
        <v/>
      </c>
      <c r="AA105" s="71" t="n"/>
      <c r="AB105" s="109" t="n"/>
      <c r="AC105" s="9">
        <f>IF(LEFT(B105,4)&lt;&gt;"    ",0,BK105)</f>
        <v/>
      </c>
      <c r="AD105" s="9">
        <f>Z105-AC105</f>
        <v/>
      </c>
      <c r="AE105" s="10" t="n"/>
      <c r="AF105" s="24" t="n"/>
      <c r="AG105" s="11" t="n"/>
      <c r="AH105" s="8" t="n"/>
      <c r="AI105" s="9">
        <f>IF(LEFT(B105,4)&lt;&gt;"    ","",AG105-AH105)</f>
        <v/>
      </c>
      <c r="AJ105" s="9" t="n"/>
      <c r="AK105" s="10" t="n"/>
      <c r="AL105" s="11">
        <f>IF(LEFT(B105,4)&lt;&gt;"    ","",W105-AG105)</f>
        <v/>
      </c>
      <c r="AM105" s="8">
        <f>IF(LEFT(B105,4)&lt;&gt;"    ","",X105-AH105)</f>
        <v/>
      </c>
      <c r="AN105" s="9">
        <f>IF(LEFT(B105,4)&lt;&gt;"    ","",Y105-AI105)</f>
        <v/>
      </c>
      <c r="AO105" s="9">
        <f>IF(LEFT(B105,4)&lt;&gt;"    ","",Z105-AJ105)</f>
        <v/>
      </c>
      <c r="AP105" s="10" t="n"/>
      <c r="AQ105" s="25">
        <f>IF(LEFT(B105,4)&lt;&gt;"    ","",I105-W105)</f>
        <v/>
      </c>
      <c r="AR105" s="25">
        <f>M105-X105</f>
        <v/>
      </c>
      <c r="AS105" s="25">
        <f>IF(LEFT(B105,4)&lt;&gt;"    ","",P105-Z105)</f>
        <v/>
      </c>
      <c r="AT105" s="10" t="n"/>
      <c r="AU105" s="12" t="n"/>
      <c r="AV105" s="12">
        <f>IF(LEFT(B105,4)&lt;&gt;"    ","",IF(W105-AU105&gt;=0,W105-AU105," "))</f>
        <v/>
      </c>
      <c r="AW105" s="12">
        <f>IF(LEFT(B105,4)&lt;&gt;"    ","",IF(AU105-W105&gt;=0,AU105-W105," "))</f>
        <v/>
      </c>
      <c r="AX105" s="186" t="n"/>
      <c r="AY105" s="187" t="n"/>
      <c r="AZ105" s="186" t="n"/>
      <c r="BA105" s="186" t="n"/>
      <c r="BB105" s="188" t="n"/>
      <c r="BC105" s="187" t="n"/>
      <c r="BD105" s="187" t="n"/>
      <c r="BE105" s="186" t="n"/>
      <c r="BF105" s="186" t="n"/>
      <c r="BG105" s="186" t="n"/>
      <c r="BH105" s="186" t="n"/>
      <c r="BI105" s="186" t="n"/>
      <c r="BJ105" s="186" t="n"/>
      <c r="BK105" s="186" t="n"/>
      <c r="BL105" s="186" t="n"/>
      <c r="BM105" s="186" t="n"/>
      <c r="BN105" s="186" t="n"/>
      <c r="BO105" s="186" t="n"/>
      <c r="BP105" s="186" t="n"/>
      <c r="BQ105" s="186" t="n"/>
      <c r="BR105" s="186" t="n"/>
      <c r="BS105" s="186" t="n"/>
      <c r="BT105" s="186" t="n"/>
      <c r="BU105" s="186" t="n"/>
      <c r="BV105" s="186" t="n"/>
      <c r="BW105" s="186" t="n"/>
      <c r="BX105" s="186" t="n"/>
      <c r="BY105" s="186" t="n"/>
      <c r="BZ105" s="189" t="n"/>
      <c r="CA105" s="189" t="n"/>
      <c r="CB105" s="189" t="n"/>
      <c r="CC105" s="190" t="n"/>
      <c r="CD105" s="186" t="n"/>
      <c r="CE105" s="186" t="n"/>
      <c r="CF105" s="186" t="n"/>
      <c r="CG105" s="186" t="n"/>
      <c r="CH105" s="186" t="n"/>
      <c r="CI105" s="191" t="n"/>
      <c r="CJ105" s="192" t="n"/>
      <c r="CK105" s="192" t="n"/>
      <c r="CL105" s="192" t="n"/>
      <c r="CM105" s="192" t="n"/>
    </row>
    <row r="106">
      <c r="A106" s="177" t="n"/>
      <c r="B106" s="178" t="n"/>
      <c r="C106" s="178" t="n"/>
      <c r="D106" s="179" t="n"/>
      <c r="E106" s="180" t="n"/>
      <c r="F106" s="181" t="n"/>
      <c r="G106" s="182" t="n"/>
      <c r="H106" s="105" t="n"/>
      <c r="I106" s="183">
        <f>F106</f>
        <v/>
      </c>
      <c r="J106" s="184" t="n"/>
      <c r="K106" s="185" t="n"/>
      <c r="L106" s="8" t="n"/>
      <c r="M106" s="184">
        <f>L106</f>
        <v/>
      </c>
      <c r="N106" s="71" t="n"/>
      <c r="O106" s="101" t="n"/>
      <c r="P106" s="9">
        <f>I106-M106</f>
        <v/>
      </c>
      <c r="Q106" s="9">
        <f>IF(LEFT(B106,4)&lt;&gt;"    ",0,BN106)</f>
        <v/>
      </c>
      <c r="R106" s="9">
        <f>+P106-Q106</f>
        <v/>
      </c>
      <c r="S106" s="281" t="n"/>
      <c r="T106" s="10" t="n"/>
      <c r="U106" s="23">
        <f>IF(LEFT(B106,4)&lt;&gt;"    ","",IF(M106&lt;&gt;0,X106/M106,0))</f>
        <v/>
      </c>
      <c r="V106" s="11">
        <f>IF(LEFT(B106,4)&lt;&gt;"    ","",U106*I106)</f>
        <v/>
      </c>
      <c r="W106" s="11">
        <f>IF(LEFT(B106,4)&lt;&gt;"    ","",X106+Z106)</f>
        <v/>
      </c>
      <c r="X106" s="8" t="n"/>
      <c r="Y106" s="9">
        <f>IF(LEFT(B106,4)&lt;&gt;"    ",0,IF(P106&lt;0,P106,IF(U106&gt;0.3,W106-X106,0)))</f>
        <v/>
      </c>
      <c r="Z106" s="71">
        <f>Y106</f>
        <v/>
      </c>
      <c r="AA106" s="71" t="n"/>
      <c r="AB106" s="109" t="n"/>
      <c r="AC106" s="9">
        <f>IF(LEFT(B106,4)&lt;&gt;"    ",0,BK106)</f>
        <v/>
      </c>
      <c r="AD106" s="9">
        <f>Z106-AC106</f>
        <v/>
      </c>
      <c r="AE106" s="10" t="n"/>
      <c r="AF106" s="24" t="n"/>
      <c r="AG106" s="11" t="n"/>
      <c r="AH106" s="8" t="n"/>
      <c r="AI106" s="9">
        <f>IF(LEFT(B106,4)&lt;&gt;"    ","",AG106-AH106)</f>
        <v/>
      </c>
      <c r="AJ106" s="9" t="n"/>
      <c r="AK106" s="10" t="n"/>
      <c r="AL106" s="11">
        <f>IF(LEFT(B106,4)&lt;&gt;"    ","",W106-AG106)</f>
        <v/>
      </c>
      <c r="AM106" s="8">
        <f>IF(LEFT(B106,4)&lt;&gt;"    ","",X106-AH106)</f>
        <v/>
      </c>
      <c r="AN106" s="9">
        <f>IF(LEFT(B106,4)&lt;&gt;"    ","",Y106-AI106)</f>
        <v/>
      </c>
      <c r="AO106" s="9">
        <f>IF(LEFT(B106,4)&lt;&gt;"    ","",Z106-AJ106)</f>
        <v/>
      </c>
      <c r="AP106" s="10" t="n"/>
      <c r="AQ106" s="25">
        <f>IF(LEFT(B106,4)&lt;&gt;"    ","",I106-W106)</f>
        <v/>
      </c>
      <c r="AR106" s="25">
        <f>M106-X106</f>
        <v/>
      </c>
      <c r="AS106" s="25">
        <f>IF(LEFT(B106,4)&lt;&gt;"    ","",P106-Z106)</f>
        <v/>
      </c>
      <c r="AT106" s="10" t="n"/>
      <c r="AU106" s="12" t="n"/>
      <c r="AV106" s="12">
        <f>IF(LEFT(B106,4)&lt;&gt;"    ","",IF(W106-AU106&gt;=0,W106-AU106," "))</f>
        <v/>
      </c>
      <c r="AW106" s="12">
        <f>IF(LEFT(B106,4)&lt;&gt;"    ","",IF(AU106-W106&gt;=0,AU106-W106," "))</f>
        <v/>
      </c>
      <c r="AX106" s="186" t="n"/>
      <c r="AY106" s="187" t="n"/>
      <c r="AZ106" s="186" t="n"/>
      <c r="BA106" s="186" t="n"/>
      <c r="BB106" s="188" t="n"/>
      <c r="BC106" s="187" t="n"/>
      <c r="BD106" s="187" t="n"/>
      <c r="BE106" s="186" t="n"/>
      <c r="BF106" s="186" t="n"/>
      <c r="BG106" s="186" t="n"/>
      <c r="BH106" s="186" t="n"/>
      <c r="BI106" s="186" t="n"/>
      <c r="BJ106" s="186" t="n"/>
      <c r="BK106" s="186" t="n"/>
      <c r="BL106" s="186" t="n"/>
      <c r="BM106" s="186" t="n"/>
      <c r="BN106" s="186" t="n"/>
      <c r="BO106" s="186" t="n"/>
      <c r="BP106" s="186" t="n"/>
      <c r="BQ106" s="186" t="n"/>
      <c r="BR106" s="186" t="n"/>
      <c r="BS106" s="186" t="n"/>
      <c r="BT106" s="186" t="n"/>
      <c r="BU106" s="186" t="n"/>
      <c r="BV106" s="186" t="n"/>
      <c r="BW106" s="186" t="n"/>
      <c r="BX106" s="186" t="n"/>
      <c r="BY106" s="186" t="n"/>
      <c r="BZ106" s="189" t="n"/>
      <c r="CA106" s="189" t="n"/>
      <c r="CB106" s="189" t="n"/>
      <c r="CC106" s="190" t="n"/>
      <c r="CD106" s="186" t="n"/>
      <c r="CE106" s="186" t="n"/>
      <c r="CF106" s="186" t="n"/>
      <c r="CG106" s="186" t="n"/>
      <c r="CH106" s="186" t="n"/>
      <c r="CI106" s="191" t="n"/>
      <c r="CJ106" s="192" t="n"/>
      <c r="CK106" s="192" t="n"/>
      <c r="CL106" s="192" t="n"/>
      <c r="CM106" s="192" t="n"/>
    </row>
    <row r="107">
      <c r="A107" s="177" t="n"/>
      <c r="B107" s="178" t="n"/>
      <c r="C107" s="178" t="n"/>
      <c r="D107" s="179" t="n"/>
      <c r="E107" s="180" t="n"/>
      <c r="F107" s="181" t="n"/>
      <c r="G107" s="182" t="n"/>
      <c r="H107" s="105" t="n"/>
      <c r="I107" s="183">
        <f>F107</f>
        <v/>
      </c>
      <c r="J107" s="184" t="n"/>
      <c r="K107" s="185" t="n"/>
      <c r="L107" s="8" t="n"/>
      <c r="M107" s="184">
        <f>L107</f>
        <v/>
      </c>
      <c r="N107" s="71" t="n"/>
      <c r="O107" s="101" t="n"/>
      <c r="P107" s="9">
        <f>I107-M107</f>
        <v/>
      </c>
      <c r="Q107" s="9">
        <f>IF(LEFT(B107,4)&lt;&gt;"    ",0,BN107)</f>
        <v/>
      </c>
      <c r="R107" s="9">
        <f>+P107-Q107</f>
        <v/>
      </c>
      <c r="S107" s="281" t="n"/>
      <c r="T107" s="10" t="n"/>
      <c r="U107" s="23">
        <f>IF(LEFT(B107,4)&lt;&gt;"    ","",IF(M107&lt;&gt;0,X107/M107,0))</f>
        <v/>
      </c>
      <c r="V107" s="11">
        <f>IF(LEFT(B107,4)&lt;&gt;"    ","",U107*I107)</f>
        <v/>
      </c>
      <c r="W107" s="11">
        <f>IF(LEFT(B107,4)&lt;&gt;"    ","",X107+Z107)</f>
        <v/>
      </c>
      <c r="X107" s="8" t="n"/>
      <c r="Y107" s="9">
        <f>IF(LEFT(B107,4)&lt;&gt;"    ",0,IF(P107&lt;0,P107,IF(U107&gt;0.3,W107-X107,0)))</f>
        <v/>
      </c>
      <c r="Z107" s="71">
        <f>Y107</f>
        <v/>
      </c>
      <c r="AA107" s="71" t="n"/>
      <c r="AB107" s="109" t="n"/>
      <c r="AC107" s="9">
        <f>IF(LEFT(B107,4)&lt;&gt;"    ",0,BK107)</f>
        <v/>
      </c>
      <c r="AD107" s="9">
        <f>Z107-AC107</f>
        <v/>
      </c>
      <c r="AE107" s="10" t="n"/>
      <c r="AF107" s="24" t="n"/>
      <c r="AG107" s="11" t="n"/>
      <c r="AH107" s="8" t="n"/>
      <c r="AI107" s="9">
        <f>IF(LEFT(B107,4)&lt;&gt;"    ","",AG107-AH107)</f>
        <v/>
      </c>
      <c r="AJ107" s="9" t="n"/>
      <c r="AK107" s="10" t="n"/>
      <c r="AL107" s="11">
        <f>IF(LEFT(B107,4)&lt;&gt;"    ","",W107-AG107)</f>
        <v/>
      </c>
      <c r="AM107" s="8">
        <f>IF(LEFT(B107,4)&lt;&gt;"    ","",X107-AH107)</f>
        <v/>
      </c>
      <c r="AN107" s="9">
        <f>IF(LEFT(B107,4)&lt;&gt;"    ","",Y107-AI107)</f>
        <v/>
      </c>
      <c r="AO107" s="9">
        <f>IF(LEFT(B107,4)&lt;&gt;"    ","",Z107-AJ107)</f>
        <v/>
      </c>
      <c r="AP107" s="10" t="n"/>
      <c r="AQ107" s="25">
        <f>IF(LEFT(B107,4)&lt;&gt;"    ","",I107-W107)</f>
        <v/>
      </c>
      <c r="AR107" s="25">
        <f>M107-X107</f>
        <v/>
      </c>
      <c r="AS107" s="25">
        <f>IF(LEFT(B107,4)&lt;&gt;"    ","",P107-Z107)</f>
        <v/>
      </c>
      <c r="AT107" s="10" t="n"/>
      <c r="AU107" s="12" t="n"/>
      <c r="AV107" s="12">
        <f>IF(LEFT(B107,4)&lt;&gt;"    ","",IF(W107-AU107&gt;=0,W107-AU107," "))</f>
        <v/>
      </c>
      <c r="AW107" s="12">
        <f>IF(LEFT(B107,4)&lt;&gt;"    ","",IF(AU107-W107&gt;=0,AU107-W107," "))</f>
        <v/>
      </c>
      <c r="AX107" s="186" t="n"/>
      <c r="AY107" s="187" t="n"/>
      <c r="AZ107" s="186" t="n"/>
      <c r="BA107" s="186" t="n"/>
      <c r="BB107" s="188" t="n"/>
      <c r="BC107" s="187" t="n"/>
      <c r="BD107" s="187" t="n"/>
      <c r="BE107" s="186" t="n"/>
      <c r="BF107" s="186" t="n"/>
      <c r="BG107" s="186" t="n"/>
      <c r="BH107" s="186" t="n"/>
      <c r="BI107" s="186" t="n"/>
      <c r="BJ107" s="186" t="n"/>
      <c r="BK107" s="186" t="n"/>
      <c r="BL107" s="186" t="n"/>
      <c r="BM107" s="186" t="n"/>
      <c r="BN107" s="186" t="n"/>
      <c r="BO107" s="186" t="n"/>
      <c r="BP107" s="186" t="n"/>
      <c r="BQ107" s="186" t="n"/>
      <c r="BR107" s="186" t="n"/>
      <c r="BS107" s="186" t="n"/>
      <c r="BT107" s="186" t="n"/>
      <c r="BU107" s="186" t="n"/>
      <c r="BV107" s="186" t="n"/>
      <c r="BW107" s="186" t="n"/>
      <c r="BX107" s="186" t="n"/>
      <c r="BY107" s="186" t="n"/>
      <c r="BZ107" s="189" t="n"/>
      <c r="CA107" s="189" t="n"/>
      <c r="CB107" s="189" t="n"/>
      <c r="CC107" s="190" t="n"/>
      <c r="CD107" s="186" t="n"/>
      <c r="CE107" s="186" t="n"/>
      <c r="CF107" s="186" t="n"/>
      <c r="CG107" s="186" t="n"/>
      <c r="CH107" s="186" t="n"/>
      <c r="CI107" s="191" t="n"/>
      <c r="CJ107" s="192" t="n"/>
      <c r="CK107" s="192" t="n"/>
      <c r="CL107" s="192" t="n"/>
      <c r="CM107" s="192" t="n"/>
    </row>
    <row r="108">
      <c r="A108" s="177" t="n"/>
      <c r="B108" s="178" t="n"/>
      <c r="C108" s="178" t="n"/>
      <c r="D108" s="179" t="n"/>
      <c r="E108" s="180" t="n"/>
      <c r="F108" s="181" t="n"/>
      <c r="G108" s="182" t="n"/>
      <c r="H108" s="105" t="n"/>
      <c r="I108" s="183">
        <f>F108</f>
        <v/>
      </c>
      <c r="J108" s="184" t="n"/>
      <c r="K108" s="185" t="n"/>
      <c r="L108" s="8" t="n"/>
      <c r="M108" s="184">
        <f>L108</f>
        <v/>
      </c>
      <c r="N108" s="71" t="n"/>
      <c r="O108" s="101" t="n"/>
      <c r="P108" s="9">
        <f>I108-M108</f>
        <v/>
      </c>
      <c r="Q108" s="9">
        <f>IF(LEFT(B108,4)&lt;&gt;"    ",0,BN108)</f>
        <v/>
      </c>
      <c r="R108" s="9">
        <f>+P108-Q108</f>
        <v/>
      </c>
      <c r="S108" s="281" t="n"/>
      <c r="T108" s="10" t="n"/>
      <c r="U108" s="23">
        <f>IF(LEFT(B108,4)&lt;&gt;"    ","",IF(M108&lt;&gt;0,X108/M108,0))</f>
        <v/>
      </c>
      <c r="V108" s="11">
        <f>IF(LEFT(B108,4)&lt;&gt;"    ","",U108*I108)</f>
        <v/>
      </c>
      <c r="W108" s="11">
        <f>IF(LEFT(B108,4)&lt;&gt;"    ","",X108+Z108)</f>
        <v/>
      </c>
      <c r="X108" s="8" t="n"/>
      <c r="Y108" s="9">
        <f>IF(LEFT(B108,4)&lt;&gt;"    ",0,IF(P108&lt;0,P108,IF(U108&gt;0.3,W108-X108,0)))</f>
        <v/>
      </c>
      <c r="Z108" s="71">
        <f>Y108</f>
        <v/>
      </c>
      <c r="AA108" s="71" t="n"/>
      <c r="AB108" s="109" t="n"/>
      <c r="AC108" s="9">
        <f>IF(LEFT(B108,4)&lt;&gt;"    ",0,BK108)</f>
        <v/>
      </c>
      <c r="AD108" s="9">
        <f>Z108-AC108</f>
        <v/>
      </c>
      <c r="AE108" s="10" t="n"/>
      <c r="AF108" s="24" t="n"/>
      <c r="AG108" s="11" t="n"/>
      <c r="AH108" s="8" t="n"/>
      <c r="AI108" s="9">
        <f>IF(LEFT(B108,4)&lt;&gt;"    ","",AG108-AH108)</f>
        <v/>
      </c>
      <c r="AJ108" s="9" t="n"/>
      <c r="AK108" s="10" t="n"/>
      <c r="AL108" s="11">
        <f>IF(LEFT(B108,4)&lt;&gt;"    ","",W108-AG108)</f>
        <v/>
      </c>
      <c r="AM108" s="8">
        <f>IF(LEFT(B108,4)&lt;&gt;"    ","",X108-AH108)</f>
        <v/>
      </c>
      <c r="AN108" s="9">
        <f>IF(LEFT(B108,4)&lt;&gt;"    ","",Y108-AI108)</f>
        <v/>
      </c>
      <c r="AO108" s="9">
        <f>IF(LEFT(B108,4)&lt;&gt;"    ","",Z108-AJ108)</f>
        <v/>
      </c>
      <c r="AP108" s="10" t="n"/>
      <c r="AQ108" s="25">
        <f>IF(LEFT(B108,4)&lt;&gt;"    ","",I108-W108)</f>
        <v/>
      </c>
      <c r="AR108" s="25">
        <f>M108-X108</f>
        <v/>
      </c>
      <c r="AS108" s="25">
        <f>IF(LEFT(B108,4)&lt;&gt;"    ","",P108-Z108)</f>
        <v/>
      </c>
      <c r="AT108" s="10" t="n"/>
      <c r="AU108" s="12" t="n"/>
      <c r="AV108" s="12">
        <f>IF(LEFT(B108,4)&lt;&gt;"    ","",IF(W108-AU108&gt;=0,W108-AU108," "))</f>
        <v/>
      </c>
      <c r="AW108" s="12">
        <f>IF(LEFT(B108,4)&lt;&gt;"    ","",IF(AU108-W108&gt;=0,AU108-W108," "))</f>
        <v/>
      </c>
      <c r="AX108" s="186" t="n"/>
      <c r="AY108" s="187" t="n"/>
      <c r="AZ108" s="186" t="n"/>
      <c r="BA108" s="186" t="n"/>
      <c r="BB108" s="188" t="n"/>
      <c r="BC108" s="187" t="n"/>
      <c r="BD108" s="187" t="n"/>
      <c r="BE108" s="186" t="n"/>
      <c r="BF108" s="186" t="n"/>
      <c r="BG108" s="186" t="n"/>
      <c r="BH108" s="186" t="n"/>
      <c r="BI108" s="186" t="n"/>
      <c r="BJ108" s="186" t="n"/>
      <c r="BK108" s="186" t="n"/>
      <c r="BL108" s="186" t="n"/>
      <c r="BM108" s="186" t="n"/>
      <c r="BN108" s="186" t="n"/>
      <c r="BO108" s="186" t="n"/>
      <c r="BP108" s="186" t="n"/>
      <c r="BQ108" s="186" t="n"/>
      <c r="BR108" s="186" t="n"/>
      <c r="BS108" s="186" t="n"/>
      <c r="BT108" s="186" t="n"/>
      <c r="BU108" s="186" t="n"/>
      <c r="BV108" s="186" t="n"/>
      <c r="BW108" s="186" t="n"/>
      <c r="BX108" s="186" t="n"/>
      <c r="BY108" s="186" t="n"/>
      <c r="BZ108" s="189" t="n"/>
      <c r="CA108" s="189" t="n"/>
      <c r="CB108" s="189" t="n"/>
      <c r="CC108" s="190" t="n"/>
      <c r="CD108" s="186" t="n"/>
      <c r="CE108" s="186" t="n"/>
      <c r="CF108" s="186" t="n"/>
      <c r="CG108" s="186" t="n"/>
      <c r="CH108" s="186" t="n"/>
      <c r="CI108" s="191" t="n"/>
      <c r="CJ108" s="192" t="n"/>
      <c r="CK108" s="192" t="n"/>
      <c r="CL108" s="192" t="n"/>
      <c r="CM108" s="192" t="n"/>
    </row>
    <row r="109">
      <c r="A109" s="177" t="n"/>
      <c r="B109" s="178" t="n"/>
      <c r="C109" s="178" t="n"/>
      <c r="D109" s="179" t="n"/>
      <c r="E109" s="180" t="n"/>
      <c r="F109" s="181" t="n"/>
      <c r="G109" s="182" t="n"/>
      <c r="H109" s="105" t="n"/>
      <c r="I109" s="183">
        <f>F109</f>
        <v/>
      </c>
      <c r="J109" s="184" t="n"/>
      <c r="K109" s="185" t="n"/>
      <c r="L109" s="8" t="n"/>
      <c r="M109" s="184">
        <f>L109</f>
        <v/>
      </c>
      <c r="N109" s="71" t="n"/>
      <c r="O109" s="101" t="n"/>
      <c r="P109" s="9">
        <f>I109-M109</f>
        <v/>
      </c>
      <c r="Q109" s="9">
        <f>IF(LEFT(B109,4)&lt;&gt;"    ",0,BN109)</f>
        <v/>
      </c>
      <c r="R109" s="9">
        <f>+P109-Q109</f>
        <v/>
      </c>
      <c r="S109" s="281" t="n"/>
      <c r="T109" s="10" t="n"/>
      <c r="U109" s="23">
        <f>IF(LEFT(B109,4)&lt;&gt;"    ","",IF(M109&lt;&gt;0,X109/M109,0))</f>
        <v/>
      </c>
      <c r="V109" s="11">
        <f>IF(LEFT(B109,4)&lt;&gt;"    ","",U109*I109)</f>
        <v/>
      </c>
      <c r="W109" s="11">
        <f>IF(LEFT(B109,4)&lt;&gt;"    ","",X109+Z109)</f>
        <v/>
      </c>
      <c r="X109" s="8" t="n"/>
      <c r="Y109" s="9">
        <f>IF(LEFT(B109,4)&lt;&gt;"    ",0,IF(P109&lt;0,P109,IF(U109&gt;0.3,W109-X109,0)))</f>
        <v/>
      </c>
      <c r="Z109" s="71">
        <f>Y109</f>
        <v/>
      </c>
      <c r="AA109" s="71" t="n"/>
      <c r="AB109" s="109" t="n"/>
      <c r="AC109" s="9">
        <f>IF(LEFT(B109,4)&lt;&gt;"    ",0,BK109)</f>
        <v/>
      </c>
      <c r="AD109" s="9">
        <f>Z109-AC109</f>
        <v/>
      </c>
      <c r="AE109" s="10" t="n"/>
      <c r="AF109" s="24" t="n"/>
      <c r="AG109" s="11" t="n"/>
      <c r="AH109" s="8" t="n"/>
      <c r="AI109" s="9">
        <f>IF(LEFT(B109,4)&lt;&gt;"    ","",AG109-AH109)</f>
        <v/>
      </c>
      <c r="AJ109" s="9" t="n"/>
      <c r="AK109" s="10" t="n"/>
      <c r="AL109" s="11">
        <f>IF(LEFT(B109,4)&lt;&gt;"    ","",W109-AG109)</f>
        <v/>
      </c>
      <c r="AM109" s="8">
        <f>IF(LEFT(B109,4)&lt;&gt;"    ","",X109-AH109)</f>
        <v/>
      </c>
      <c r="AN109" s="9">
        <f>IF(LEFT(B109,4)&lt;&gt;"    ","",Y109-AI109)</f>
        <v/>
      </c>
      <c r="AO109" s="9">
        <f>IF(LEFT(B109,4)&lt;&gt;"    ","",Z109-AJ109)</f>
        <v/>
      </c>
      <c r="AP109" s="10" t="n"/>
      <c r="AQ109" s="25">
        <f>IF(LEFT(B109,4)&lt;&gt;"    ","",I109-W109)</f>
        <v/>
      </c>
      <c r="AR109" s="25">
        <f>M109-X109</f>
        <v/>
      </c>
      <c r="AS109" s="25">
        <f>IF(LEFT(B109,4)&lt;&gt;"    ","",P109-Z109)</f>
        <v/>
      </c>
      <c r="AT109" s="10" t="n"/>
      <c r="AU109" s="12" t="n"/>
      <c r="AV109" s="12">
        <f>IF(LEFT(B109,4)&lt;&gt;"    ","",IF(W109-AU109&gt;=0,W109-AU109," "))</f>
        <v/>
      </c>
      <c r="AW109" s="12">
        <f>IF(LEFT(B109,4)&lt;&gt;"    ","",IF(AU109-W109&gt;=0,AU109-W109," "))</f>
        <v/>
      </c>
      <c r="AX109" s="186" t="n"/>
      <c r="AY109" s="187" t="n"/>
      <c r="AZ109" s="186" t="n"/>
      <c r="BA109" s="186" t="n"/>
      <c r="BB109" s="188" t="n"/>
      <c r="BC109" s="187" t="n"/>
      <c r="BD109" s="187" t="n"/>
      <c r="BE109" s="186" t="n"/>
      <c r="BF109" s="186" t="n"/>
      <c r="BG109" s="186" t="n"/>
      <c r="BH109" s="186" t="n"/>
      <c r="BI109" s="186" t="n"/>
      <c r="BJ109" s="186" t="n"/>
      <c r="BK109" s="186" t="n"/>
      <c r="BL109" s="186" t="n"/>
      <c r="BM109" s="186" t="n"/>
      <c r="BN109" s="186" t="n"/>
      <c r="BO109" s="186" t="n"/>
      <c r="BP109" s="186" t="n"/>
      <c r="BQ109" s="186" t="n"/>
      <c r="BR109" s="186" t="n"/>
      <c r="BS109" s="186" t="n"/>
      <c r="BT109" s="186" t="n"/>
      <c r="BU109" s="186" t="n"/>
      <c r="BV109" s="186" t="n"/>
      <c r="BW109" s="186" t="n"/>
      <c r="BX109" s="186" t="n"/>
      <c r="BY109" s="186" t="n"/>
      <c r="BZ109" s="189" t="n"/>
      <c r="CA109" s="189" t="n"/>
      <c r="CB109" s="189" t="n"/>
      <c r="CC109" s="190" t="n"/>
      <c r="CD109" s="186" t="n"/>
      <c r="CE109" s="186" t="n"/>
      <c r="CF109" s="186" t="n"/>
      <c r="CG109" s="186" t="n"/>
      <c r="CH109" s="186" t="n"/>
      <c r="CI109" s="191" t="n"/>
      <c r="CJ109" s="192" t="n"/>
      <c r="CK109" s="192" t="n"/>
      <c r="CL109" s="192" t="n"/>
      <c r="CM109" s="192" t="n"/>
    </row>
    <row r="110">
      <c r="A110" s="177" t="n"/>
      <c r="B110" s="178" t="n"/>
      <c r="C110" s="178" t="n"/>
      <c r="D110" s="179" t="n"/>
      <c r="E110" s="180" t="n"/>
      <c r="F110" s="181" t="n"/>
      <c r="G110" s="182" t="n"/>
      <c r="H110" s="105" t="n"/>
      <c r="I110" s="183">
        <f>F110</f>
        <v/>
      </c>
      <c r="J110" s="184" t="n"/>
      <c r="K110" s="185" t="n"/>
      <c r="L110" s="8" t="n"/>
      <c r="M110" s="184">
        <f>L110</f>
        <v/>
      </c>
      <c r="N110" s="71" t="n"/>
      <c r="O110" s="101" t="n"/>
      <c r="P110" s="9">
        <f>I110-M110</f>
        <v/>
      </c>
      <c r="Q110" s="9">
        <f>IF(LEFT(B110,4)&lt;&gt;"    ",0,BN110)</f>
        <v/>
      </c>
      <c r="R110" s="9">
        <f>+P110-Q110</f>
        <v/>
      </c>
      <c r="S110" s="281" t="n"/>
      <c r="T110" s="10" t="n"/>
      <c r="U110" s="23">
        <f>IF(LEFT(B110,4)&lt;&gt;"    ","",IF(M110&lt;&gt;0,X110/M110,0))</f>
        <v/>
      </c>
      <c r="V110" s="11">
        <f>IF(LEFT(B110,4)&lt;&gt;"    ","",U110*I110)</f>
        <v/>
      </c>
      <c r="W110" s="11">
        <f>IF(LEFT(B110,4)&lt;&gt;"    ","",X110+Z110)</f>
        <v/>
      </c>
      <c r="X110" s="8" t="n"/>
      <c r="Y110" s="9">
        <f>IF(LEFT(B110,4)&lt;&gt;"    ",0,IF(P110&lt;0,P110,IF(U110&gt;0.3,W110-X110,0)))</f>
        <v/>
      </c>
      <c r="Z110" s="71">
        <f>Y110</f>
        <v/>
      </c>
      <c r="AA110" s="71" t="n"/>
      <c r="AB110" s="109" t="n"/>
      <c r="AC110" s="9">
        <f>IF(LEFT(B110,4)&lt;&gt;"    ",0,BK110)</f>
        <v/>
      </c>
      <c r="AD110" s="9">
        <f>Z110-AC110</f>
        <v/>
      </c>
      <c r="AE110" s="10" t="n"/>
      <c r="AF110" s="24" t="n"/>
      <c r="AG110" s="11" t="n"/>
      <c r="AH110" s="8" t="n"/>
      <c r="AI110" s="9">
        <f>IF(LEFT(B110,4)&lt;&gt;"    ","",AG110-AH110)</f>
        <v/>
      </c>
      <c r="AJ110" s="9" t="n"/>
      <c r="AK110" s="10" t="n"/>
      <c r="AL110" s="11">
        <f>IF(LEFT(B110,4)&lt;&gt;"    ","",W110-AG110)</f>
        <v/>
      </c>
      <c r="AM110" s="8">
        <f>IF(LEFT(B110,4)&lt;&gt;"    ","",X110-AH110)</f>
        <v/>
      </c>
      <c r="AN110" s="9">
        <f>IF(LEFT(B110,4)&lt;&gt;"    ","",Y110-AI110)</f>
        <v/>
      </c>
      <c r="AO110" s="9">
        <f>IF(LEFT(B110,4)&lt;&gt;"    ","",Z110-AJ110)</f>
        <v/>
      </c>
      <c r="AP110" s="10" t="n"/>
      <c r="AQ110" s="25">
        <f>IF(LEFT(B110,4)&lt;&gt;"    ","",I110-W110)</f>
        <v/>
      </c>
      <c r="AR110" s="25">
        <f>M110-X110</f>
        <v/>
      </c>
      <c r="AS110" s="25">
        <f>IF(LEFT(B110,4)&lt;&gt;"    ","",P110-Z110)</f>
        <v/>
      </c>
      <c r="AT110" s="10" t="n"/>
      <c r="AU110" s="12" t="n"/>
      <c r="AV110" s="12">
        <f>IF(LEFT(B110,4)&lt;&gt;"    ","",IF(W110-AU110&gt;=0,W110-AU110," "))</f>
        <v/>
      </c>
      <c r="AW110" s="12">
        <f>IF(LEFT(B110,4)&lt;&gt;"    ","",IF(AU110-W110&gt;=0,AU110-W110," "))</f>
        <v/>
      </c>
      <c r="AX110" s="186" t="n"/>
      <c r="AY110" s="187" t="n"/>
      <c r="AZ110" s="186" t="n"/>
      <c r="BA110" s="186" t="n"/>
      <c r="BB110" s="188" t="n"/>
      <c r="BC110" s="187" t="n"/>
      <c r="BD110" s="187" t="n"/>
      <c r="BE110" s="186" t="n"/>
      <c r="BF110" s="186" t="n"/>
      <c r="BG110" s="186" t="n"/>
      <c r="BH110" s="186" t="n"/>
      <c r="BI110" s="186" t="n"/>
      <c r="BJ110" s="186" t="n"/>
      <c r="BK110" s="186" t="n"/>
      <c r="BL110" s="186" t="n"/>
      <c r="BM110" s="186" t="n"/>
      <c r="BN110" s="186" t="n"/>
      <c r="BO110" s="186" t="n"/>
      <c r="BP110" s="186" t="n"/>
      <c r="BQ110" s="186" t="n"/>
      <c r="BR110" s="186" t="n"/>
      <c r="BS110" s="186" t="n"/>
      <c r="BT110" s="186" t="n"/>
      <c r="BU110" s="186" t="n"/>
      <c r="BV110" s="186" t="n"/>
      <c r="BW110" s="186" t="n"/>
      <c r="BX110" s="186" t="n"/>
      <c r="BY110" s="186" t="n"/>
      <c r="BZ110" s="189" t="n"/>
      <c r="CA110" s="189" t="n"/>
      <c r="CB110" s="189" t="n"/>
      <c r="CC110" s="190" t="n"/>
      <c r="CD110" s="186" t="n"/>
      <c r="CE110" s="186" t="n"/>
      <c r="CF110" s="186" t="n"/>
      <c r="CG110" s="186" t="n"/>
      <c r="CH110" s="186" t="n"/>
      <c r="CI110" s="191" t="n"/>
      <c r="CJ110" s="192" t="n"/>
      <c r="CK110" s="192" t="n"/>
      <c r="CL110" s="192" t="n"/>
      <c r="CM110" s="192" t="n"/>
    </row>
    <row r="111">
      <c r="A111" s="177" t="n"/>
      <c r="B111" s="178" t="n"/>
      <c r="C111" s="178" t="n"/>
      <c r="D111" s="179" t="n"/>
      <c r="E111" s="180" t="n"/>
      <c r="F111" s="181" t="n"/>
      <c r="G111" s="182" t="n"/>
      <c r="H111" s="105" t="n"/>
      <c r="I111" s="183">
        <f>F111</f>
        <v/>
      </c>
      <c r="J111" s="184" t="n"/>
      <c r="K111" s="185" t="n"/>
      <c r="L111" s="8" t="n"/>
      <c r="M111" s="184">
        <f>L111</f>
        <v/>
      </c>
      <c r="N111" s="71" t="n"/>
      <c r="O111" s="101" t="n"/>
      <c r="P111" s="9">
        <f>I111-M111</f>
        <v/>
      </c>
      <c r="Q111" s="9">
        <f>IF(LEFT(B111,4)&lt;&gt;"    ",0,BN111)</f>
        <v/>
      </c>
      <c r="R111" s="9">
        <f>+P111-Q111</f>
        <v/>
      </c>
      <c r="S111" s="281" t="n"/>
      <c r="T111" s="10" t="n"/>
      <c r="U111" s="23">
        <f>IF(LEFT(B111,4)&lt;&gt;"    ","",IF(M111&lt;&gt;0,X111/M111,0))</f>
        <v/>
      </c>
      <c r="V111" s="11">
        <f>IF(LEFT(B111,4)&lt;&gt;"    ","",U111*I111)</f>
        <v/>
      </c>
      <c r="W111" s="11">
        <f>IF(LEFT(B111,4)&lt;&gt;"    ","",X111+Z111)</f>
        <v/>
      </c>
      <c r="X111" s="8" t="n"/>
      <c r="Y111" s="9">
        <f>IF(LEFT(B111,4)&lt;&gt;"    ",0,IF(P111&lt;0,P111,IF(U111&gt;0.3,W111-X111,0)))</f>
        <v/>
      </c>
      <c r="Z111" s="71">
        <f>Y111</f>
        <v/>
      </c>
      <c r="AA111" s="71" t="n"/>
      <c r="AB111" s="109" t="n"/>
      <c r="AC111" s="9">
        <f>IF(LEFT(B111,4)&lt;&gt;"    ",0,BK111)</f>
        <v/>
      </c>
      <c r="AD111" s="9">
        <f>Z111-AC111</f>
        <v/>
      </c>
      <c r="AE111" s="10" t="n"/>
      <c r="AF111" s="24" t="n"/>
      <c r="AG111" s="11" t="n"/>
      <c r="AH111" s="8" t="n"/>
      <c r="AI111" s="9">
        <f>IF(LEFT(B111,4)&lt;&gt;"    ","",AG111-AH111)</f>
        <v/>
      </c>
      <c r="AJ111" s="9" t="n"/>
      <c r="AK111" s="10" t="n"/>
      <c r="AL111" s="11">
        <f>IF(LEFT(B111,4)&lt;&gt;"    ","",W111-AG111)</f>
        <v/>
      </c>
      <c r="AM111" s="8">
        <f>IF(LEFT(B111,4)&lt;&gt;"    ","",X111-AH111)</f>
        <v/>
      </c>
      <c r="AN111" s="9">
        <f>IF(LEFT(B111,4)&lt;&gt;"    ","",Y111-AI111)</f>
        <v/>
      </c>
      <c r="AO111" s="9">
        <f>IF(LEFT(B111,4)&lt;&gt;"    ","",Z111-AJ111)</f>
        <v/>
      </c>
      <c r="AP111" s="10" t="n"/>
      <c r="AQ111" s="25">
        <f>IF(LEFT(B111,4)&lt;&gt;"    ","",I111-W111)</f>
        <v/>
      </c>
      <c r="AR111" s="25">
        <f>M111-X111</f>
        <v/>
      </c>
      <c r="AS111" s="25">
        <f>IF(LEFT(B111,4)&lt;&gt;"    ","",P111-Z111)</f>
        <v/>
      </c>
      <c r="AT111" s="10" t="n"/>
      <c r="AU111" s="12" t="n"/>
      <c r="AV111" s="12">
        <f>IF(LEFT(B111,4)&lt;&gt;"    ","",IF(W111-AU111&gt;=0,W111-AU111," "))</f>
        <v/>
      </c>
      <c r="AW111" s="12">
        <f>IF(LEFT(B111,4)&lt;&gt;"    ","",IF(AU111-W111&gt;=0,AU111-W111," "))</f>
        <v/>
      </c>
      <c r="AX111" s="186" t="n"/>
      <c r="AY111" s="187" t="n"/>
      <c r="AZ111" s="186" t="n"/>
      <c r="BA111" s="186" t="n"/>
      <c r="BB111" s="188" t="n"/>
      <c r="BC111" s="187" t="n"/>
      <c r="BD111" s="187" t="n"/>
      <c r="BE111" s="186" t="n"/>
      <c r="BF111" s="186" t="n"/>
      <c r="BG111" s="186" t="n"/>
      <c r="BH111" s="186" t="n"/>
      <c r="BI111" s="186" t="n"/>
      <c r="BJ111" s="186" t="n"/>
      <c r="BK111" s="186" t="n"/>
      <c r="BL111" s="186" t="n"/>
      <c r="BM111" s="186" t="n"/>
      <c r="BN111" s="186" t="n"/>
      <c r="BO111" s="186" t="n"/>
      <c r="BP111" s="186" t="n"/>
      <c r="BQ111" s="186" t="n"/>
      <c r="BR111" s="186" t="n"/>
      <c r="BS111" s="186" t="n"/>
      <c r="BT111" s="186" t="n"/>
      <c r="BU111" s="186" t="n"/>
      <c r="BV111" s="186" t="n"/>
      <c r="BW111" s="186" t="n"/>
      <c r="BX111" s="186" t="n"/>
      <c r="BY111" s="186" t="n"/>
      <c r="BZ111" s="189" t="n"/>
      <c r="CA111" s="189" t="n"/>
      <c r="CB111" s="189" t="n"/>
      <c r="CC111" s="190" t="n"/>
      <c r="CD111" s="186" t="n"/>
      <c r="CE111" s="186" t="n"/>
      <c r="CF111" s="186" t="n"/>
      <c r="CG111" s="186" t="n"/>
      <c r="CH111" s="186" t="n"/>
      <c r="CI111" s="191" t="n"/>
      <c r="CJ111" s="192" t="n"/>
      <c r="CK111" s="192" t="n"/>
      <c r="CL111" s="192" t="n"/>
      <c r="CM111" s="192" t="n"/>
    </row>
    <row r="112">
      <c r="A112" s="177" t="n"/>
      <c r="B112" s="178" t="n"/>
      <c r="C112" s="178" t="n"/>
      <c r="D112" s="179" t="n"/>
      <c r="E112" s="180" t="n"/>
      <c r="F112" s="181" t="n"/>
      <c r="G112" s="182" t="n"/>
      <c r="H112" s="105" t="n"/>
      <c r="I112" s="183">
        <f>F112</f>
        <v/>
      </c>
      <c r="J112" s="184" t="n"/>
      <c r="K112" s="185" t="n"/>
      <c r="L112" s="8" t="n"/>
      <c r="M112" s="184">
        <f>L112</f>
        <v/>
      </c>
      <c r="N112" s="71" t="n"/>
      <c r="O112" s="101" t="n"/>
      <c r="P112" s="9">
        <f>I112-M112</f>
        <v/>
      </c>
      <c r="Q112" s="9">
        <f>IF(LEFT(B112,4)&lt;&gt;"    ",0,BN112)</f>
        <v/>
      </c>
      <c r="R112" s="9">
        <f>+P112-Q112</f>
        <v/>
      </c>
      <c r="S112" s="281" t="n"/>
      <c r="T112" s="10" t="n"/>
      <c r="U112" s="23">
        <f>IF(LEFT(B112,4)&lt;&gt;"    ","",IF(M112&lt;&gt;0,X112/M112,0))</f>
        <v/>
      </c>
      <c r="V112" s="11">
        <f>IF(LEFT(B112,4)&lt;&gt;"    ","",U112*I112)</f>
        <v/>
      </c>
      <c r="W112" s="11">
        <f>IF(LEFT(B112,4)&lt;&gt;"    ","",X112+Z112)</f>
        <v/>
      </c>
      <c r="X112" s="8" t="n"/>
      <c r="Y112" s="9">
        <f>IF(LEFT(B112,4)&lt;&gt;"    ",0,IF(P112&lt;0,P112,IF(U112&gt;0.3,W112-X112,0)))</f>
        <v/>
      </c>
      <c r="Z112" s="71">
        <f>Y112</f>
        <v/>
      </c>
      <c r="AA112" s="71" t="n"/>
      <c r="AB112" s="109" t="n"/>
      <c r="AC112" s="9">
        <f>IF(LEFT(B112,4)&lt;&gt;"    ",0,BK112)</f>
        <v/>
      </c>
      <c r="AD112" s="9">
        <f>Z112-AC112</f>
        <v/>
      </c>
      <c r="AE112" s="10" t="n"/>
      <c r="AF112" s="24" t="n"/>
      <c r="AG112" s="11" t="n"/>
      <c r="AH112" s="8" t="n"/>
      <c r="AI112" s="9">
        <f>IF(LEFT(B112,4)&lt;&gt;"    ","",AG112-AH112)</f>
        <v/>
      </c>
      <c r="AJ112" s="9" t="n"/>
      <c r="AK112" s="10" t="n"/>
      <c r="AL112" s="11">
        <f>IF(LEFT(B112,4)&lt;&gt;"    ","",W112-AG112)</f>
        <v/>
      </c>
      <c r="AM112" s="8">
        <f>IF(LEFT(B112,4)&lt;&gt;"    ","",X112-AH112)</f>
        <v/>
      </c>
      <c r="AN112" s="9">
        <f>IF(LEFT(B112,4)&lt;&gt;"    ","",Y112-AI112)</f>
        <v/>
      </c>
      <c r="AO112" s="9">
        <f>IF(LEFT(B112,4)&lt;&gt;"    ","",Z112-AJ112)</f>
        <v/>
      </c>
      <c r="AP112" s="10" t="n"/>
      <c r="AQ112" s="25">
        <f>IF(LEFT(B112,4)&lt;&gt;"    ","",I112-W112)</f>
        <v/>
      </c>
      <c r="AR112" s="25">
        <f>M112-X112</f>
        <v/>
      </c>
      <c r="AS112" s="25">
        <f>IF(LEFT(B112,4)&lt;&gt;"    ","",P112-Z112)</f>
        <v/>
      </c>
      <c r="AT112" s="10" t="n"/>
      <c r="AU112" s="12" t="n"/>
      <c r="AV112" s="12">
        <f>IF(LEFT(B112,4)&lt;&gt;"    ","",IF(W112-AU112&gt;=0,W112-AU112," "))</f>
        <v/>
      </c>
      <c r="AW112" s="12">
        <f>IF(LEFT(B112,4)&lt;&gt;"    ","",IF(AU112-W112&gt;=0,AU112-W112," "))</f>
        <v/>
      </c>
      <c r="AX112" s="186" t="n"/>
      <c r="AY112" s="187" t="n"/>
      <c r="AZ112" s="186" t="n"/>
      <c r="BA112" s="186" t="n"/>
      <c r="BB112" s="188" t="n"/>
      <c r="BC112" s="187" t="n"/>
      <c r="BD112" s="187" t="n"/>
      <c r="BE112" s="186" t="n"/>
      <c r="BF112" s="186" t="n"/>
      <c r="BG112" s="186" t="n"/>
      <c r="BH112" s="186" t="n"/>
      <c r="BI112" s="186" t="n"/>
      <c r="BJ112" s="186" t="n"/>
      <c r="BK112" s="186" t="n"/>
      <c r="BL112" s="186" t="n"/>
      <c r="BM112" s="186" t="n"/>
      <c r="BN112" s="186" t="n"/>
      <c r="BO112" s="186" t="n"/>
      <c r="BP112" s="186" t="n"/>
      <c r="BQ112" s="186" t="n"/>
      <c r="BR112" s="186" t="n"/>
      <c r="BS112" s="186" t="n"/>
      <c r="BT112" s="186" t="n"/>
      <c r="BU112" s="186" t="n"/>
      <c r="BV112" s="186" t="n"/>
      <c r="BW112" s="186" t="n"/>
      <c r="BX112" s="186" t="n"/>
      <c r="BY112" s="186" t="n"/>
      <c r="BZ112" s="189" t="n"/>
      <c r="CA112" s="189" t="n"/>
      <c r="CB112" s="189" t="n"/>
      <c r="CC112" s="190" t="n"/>
      <c r="CD112" s="186" t="n"/>
      <c r="CE112" s="186" t="n"/>
      <c r="CF112" s="186" t="n"/>
      <c r="CG112" s="186" t="n"/>
      <c r="CH112" s="186" t="n"/>
      <c r="CI112" s="191" t="n"/>
      <c r="CJ112" s="192" t="n"/>
      <c r="CK112" s="192" t="n"/>
      <c r="CL112" s="192" t="n"/>
      <c r="CM112" s="192" t="n"/>
    </row>
    <row r="113">
      <c r="A113" s="177" t="n"/>
      <c r="B113" s="178" t="n"/>
      <c r="C113" s="178" t="n"/>
      <c r="D113" s="179" t="n"/>
      <c r="E113" s="180" t="n"/>
      <c r="F113" s="181" t="n"/>
      <c r="G113" s="182" t="n"/>
      <c r="H113" s="105" t="n"/>
      <c r="I113" s="183">
        <f>F113</f>
        <v/>
      </c>
      <c r="J113" s="184" t="n"/>
      <c r="K113" s="185" t="n"/>
      <c r="L113" s="8" t="n"/>
      <c r="M113" s="184">
        <f>L113</f>
        <v/>
      </c>
      <c r="N113" s="71" t="n"/>
      <c r="O113" s="101" t="n"/>
      <c r="P113" s="9">
        <f>I113-M113</f>
        <v/>
      </c>
      <c r="Q113" s="9">
        <f>IF(LEFT(B113,4)&lt;&gt;"    ",0,BN113)</f>
        <v/>
      </c>
      <c r="R113" s="9">
        <f>+P113-Q113</f>
        <v/>
      </c>
      <c r="S113" s="281" t="n"/>
      <c r="T113" s="10" t="n"/>
      <c r="U113" s="23">
        <f>IF(LEFT(B113,4)&lt;&gt;"    ","",IF(M113&lt;&gt;0,X113/M113,0))</f>
        <v/>
      </c>
      <c r="V113" s="11">
        <f>IF(LEFT(B113,4)&lt;&gt;"    ","",U113*I113)</f>
        <v/>
      </c>
      <c r="W113" s="11">
        <f>IF(LEFT(B113,4)&lt;&gt;"    ","",X113+Z113)</f>
        <v/>
      </c>
      <c r="X113" s="8" t="n"/>
      <c r="Y113" s="9">
        <f>IF(LEFT(B113,4)&lt;&gt;"    ",0,IF(P113&lt;0,P113,IF(U113&gt;0.3,W113-X113,0)))</f>
        <v/>
      </c>
      <c r="Z113" s="71">
        <f>Y113</f>
        <v/>
      </c>
      <c r="AA113" s="71" t="n"/>
      <c r="AB113" s="109" t="n"/>
      <c r="AC113" s="9">
        <f>IF(LEFT(B113,4)&lt;&gt;"    ",0,BK113)</f>
        <v/>
      </c>
      <c r="AD113" s="9">
        <f>Z113-AC113</f>
        <v/>
      </c>
      <c r="AE113" s="10" t="n"/>
      <c r="AF113" s="24" t="n"/>
      <c r="AG113" s="11" t="n"/>
      <c r="AH113" s="8" t="n"/>
      <c r="AI113" s="9">
        <f>IF(LEFT(B113,4)&lt;&gt;"    ","",AG113-AH113)</f>
        <v/>
      </c>
      <c r="AJ113" s="9" t="n"/>
      <c r="AK113" s="10" t="n"/>
      <c r="AL113" s="11">
        <f>IF(LEFT(B113,4)&lt;&gt;"    ","",W113-AG113)</f>
        <v/>
      </c>
      <c r="AM113" s="8">
        <f>IF(LEFT(B113,4)&lt;&gt;"    ","",X113-AH113)</f>
        <v/>
      </c>
      <c r="AN113" s="9">
        <f>IF(LEFT(B113,4)&lt;&gt;"    ","",Y113-AI113)</f>
        <v/>
      </c>
      <c r="AO113" s="9">
        <f>IF(LEFT(B113,4)&lt;&gt;"    ","",Z113-AJ113)</f>
        <v/>
      </c>
      <c r="AP113" s="10" t="n"/>
      <c r="AQ113" s="25">
        <f>IF(LEFT(B113,4)&lt;&gt;"    ","",I113-W113)</f>
        <v/>
      </c>
      <c r="AR113" s="25">
        <f>M113-X113</f>
        <v/>
      </c>
      <c r="AS113" s="25">
        <f>IF(LEFT(B113,4)&lt;&gt;"    ","",P113-Z113)</f>
        <v/>
      </c>
      <c r="AT113" s="10" t="n"/>
      <c r="AU113" s="12" t="n"/>
      <c r="AV113" s="12">
        <f>IF(LEFT(B113,4)&lt;&gt;"    ","",IF(W113-AU113&gt;=0,W113-AU113," "))</f>
        <v/>
      </c>
      <c r="AW113" s="12">
        <f>IF(LEFT(B113,4)&lt;&gt;"    ","",IF(AU113-W113&gt;=0,AU113-W113," "))</f>
        <v/>
      </c>
      <c r="AX113" s="186" t="n"/>
      <c r="AY113" s="187" t="n"/>
      <c r="AZ113" s="186" t="n"/>
      <c r="BA113" s="186" t="n"/>
      <c r="BB113" s="188" t="n"/>
      <c r="BC113" s="187" t="n"/>
      <c r="BD113" s="187" t="n"/>
      <c r="BE113" s="186" t="n"/>
      <c r="BF113" s="186" t="n"/>
      <c r="BG113" s="186" t="n"/>
      <c r="BH113" s="186" t="n"/>
      <c r="BI113" s="186" t="n"/>
      <c r="BJ113" s="186" t="n"/>
      <c r="BK113" s="186" t="n"/>
      <c r="BL113" s="186" t="n"/>
      <c r="BM113" s="186" t="n"/>
      <c r="BN113" s="186" t="n"/>
      <c r="BO113" s="186" t="n"/>
      <c r="BP113" s="186" t="n"/>
      <c r="BQ113" s="186" t="n"/>
      <c r="BR113" s="186" t="n"/>
      <c r="BS113" s="186" t="n"/>
      <c r="BT113" s="186" t="n"/>
      <c r="BU113" s="186" t="n"/>
      <c r="BV113" s="186" t="n"/>
      <c r="BW113" s="186" t="n"/>
      <c r="BX113" s="186" t="n"/>
      <c r="BY113" s="186" t="n"/>
      <c r="BZ113" s="189" t="n"/>
      <c r="CA113" s="189" t="n"/>
      <c r="CB113" s="189" t="n"/>
      <c r="CC113" s="190" t="n"/>
      <c r="CD113" s="186" t="n"/>
      <c r="CE113" s="186" t="n"/>
      <c r="CF113" s="186" t="n"/>
      <c r="CG113" s="186" t="n"/>
      <c r="CH113" s="186" t="n"/>
      <c r="CI113" s="191" t="n"/>
      <c r="CJ113" s="192" t="n"/>
      <c r="CK113" s="192" t="n"/>
      <c r="CL113" s="192" t="n"/>
      <c r="CM113" s="192" t="n"/>
    </row>
    <row r="114">
      <c r="A114" s="177" t="n"/>
      <c r="B114" s="178" t="n"/>
      <c r="C114" s="178" t="n"/>
      <c r="D114" s="179" t="n"/>
      <c r="E114" s="180" t="n"/>
      <c r="F114" s="181" t="n"/>
      <c r="G114" s="182" t="n"/>
      <c r="H114" s="105" t="n"/>
      <c r="I114" s="183">
        <f>F114</f>
        <v/>
      </c>
      <c r="J114" s="184" t="n"/>
      <c r="K114" s="185" t="n"/>
      <c r="L114" s="8" t="n"/>
      <c r="M114" s="184">
        <f>L114</f>
        <v/>
      </c>
      <c r="N114" s="71" t="n"/>
      <c r="O114" s="101" t="n"/>
      <c r="P114" s="9">
        <f>I114-M114</f>
        <v/>
      </c>
      <c r="Q114" s="9">
        <f>IF(LEFT(B114,4)&lt;&gt;"    ",0,BN114)</f>
        <v/>
      </c>
      <c r="R114" s="9">
        <f>+P114-Q114</f>
        <v/>
      </c>
      <c r="S114" s="281" t="n"/>
      <c r="T114" s="10" t="n"/>
      <c r="U114" s="23">
        <f>IF(LEFT(B114,4)&lt;&gt;"    ","",IF(M114&lt;&gt;0,X114/M114,0))</f>
        <v/>
      </c>
      <c r="V114" s="11">
        <f>IF(LEFT(B114,4)&lt;&gt;"    ","",U114*I114)</f>
        <v/>
      </c>
      <c r="W114" s="11">
        <f>IF(LEFT(B114,4)&lt;&gt;"    ","",X114+Z114)</f>
        <v/>
      </c>
      <c r="X114" s="8" t="n"/>
      <c r="Y114" s="9">
        <f>IF(LEFT(B114,4)&lt;&gt;"    ",0,IF(P114&lt;0,P114,IF(U114&gt;0.3,W114-X114,0)))</f>
        <v/>
      </c>
      <c r="Z114" s="71">
        <f>Y114</f>
        <v/>
      </c>
      <c r="AA114" s="71" t="n"/>
      <c r="AB114" s="109" t="n"/>
      <c r="AC114" s="9">
        <f>IF(LEFT(B114,4)&lt;&gt;"    ",0,BK114)</f>
        <v/>
      </c>
      <c r="AD114" s="9">
        <f>Z114-AC114</f>
        <v/>
      </c>
      <c r="AE114" s="10" t="n"/>
      <c r="AF114" s="24" t="n"/>
      <c r="AG114" s="11" t="n"/>
      <c r="AH114" s="8" t="n"/>
      <c r="AI114" s="9">
        <f>IF(LEFT(B114,4)&lt;&gt;"    ","",AG114-AH114)</f>
        <v/>
      </c>
      <c r="AJ114" s="9" t="n"/>
      <c r="AK114" s="10" t="n"/>
      <c r="AL114" s="11">
        <f>IF(LEFT(B114,4)&lt;&gt;"    ","",W114-AG114)</f>
        <v/>
      </c>
      <c r="AM114" s="8">
        <f>IF(LEFT(B114,4)&lt;&gt;"    ","",X114-AH114)</f>
        <v/>
      </c>
      <c r="AN114" s="9">
        <f>IF(LEFT(B114,4)&lt;&gt;"    ","",Y114-AI114)</f>
        <v/>
      </c>
      <c r="AO114" s="9">
        <f>IF(LEFT(B114,4)&lt;&gt;"    ","",Z114-AJ114)</f>
        <v/>
      </c>
      <c r="AP114" s="10" t="n"/>
      <c r="AQ114" s="25">
        <f>IF(LEFT(B114,4)&lt;&gt;"    ","",I114-W114)</f>
        <v/>
      </c>
      <c r="AR114" s="25">
        <f>M114-X114</f>
        <v/>
      </c>
      <c r="AS114" s="25">
        <f>IF(LEFT(B114,4)&lt;&gt;"    ","",P114-Z114)</f>
        <v/>
      </c>
      <c r="AT114" s="10" t="n"/>
      <c r="AU114" s="12" t="n"/>
      <c r="AV114" s="12">
        <f>IF(LEFT(B114,4)&lt;&gt;"    ","",IF(W114-AU114&gt;=0,W114-AU114," "))</f>
        <v/>
      </c>
      <c r="AW114" s="12">
        <f>IF(LEFT(B114,4)&lt;&gt;"    ","",IF(AU114-W114&gt;=0,AU114-W114," "))</f>
        <v/>
      </c>
      <c r="AX114" s="186" t="n"/>
      <c r="AY114" s="187" t="n"/>
      <c r="AZ114" s="186" t="n"/>
      <c r="BA114" s="186" t="n"/>
      <c r="BB114" s="188" t="n"/>
      <c r="BC114" s="187" t="n"/>
      <c r="BD114" s="187" t="n"/>
      <c r="BE114" s="186" t="n"/>
      <c r="BF114" s="186" t="n"/>
      <c r="BG114" s="186" t="n"/>
      <c r="BH114" s="186" t="n"/>
      <c r="BI114" s="186" t="n"/>
      <c r="BJ114" s="186" t="n"/>
      <c r="BK114" s="186" t="n"/>
      <c r="BL114" s="186" t="n"/>
      <c r="BM114" s="186" t="n"/>
      <c r="BN114" s="186" t="n"/>
      <c r="BO114" s="186" t="n"/>
      <c r="BP114" s="186" t="n"/>
      <c r="BQ114" s="186" t="n"/>
      <c r="BR114" s="186" t="n"/>
      <c r="BS114" s="186" t="n"/>
      <c r="BT114" s="186" t="n"/>
      <c r="BU114" s="186" t="n"/>
      <c r="BV114" s="186" t="n"/>
      <c r="BW114" s="186" t="n"/>
      <c r="BX114" s="186" t="n"/>
      <c r="BY114" s="186" t="n"/>
      <c r="BZ114" s="189" t="n"/>
      <c r="CA114" s="189" t="n"/>
      <c r="CB114" s="189" t="n"/>
      <c r="CC114" s="190" t="n"/>
      <c r="CD114" s="186" t="n"/>
      <c r="CE114" s="186" t="n"/>
      <c r="CF114" s="186" t="n"/>
      <c r="CG114" s="186" t="n"/>
      <c r="CH114" s="186" t="n"/>
      <c r="CI114" s="191" t="n"/>
      <c r="CJ114" s="192" t="n"/>
      <c r="CK114" s="192" t="n"/>
      <c r="CL114" s="192" t="n"/>
      <c r="CM114" s="192" t="n"/>
    </row>
    <row r="115">
      <c r="A115" s="177" t="n"/>
      <c r="B115" s="178" t="n"/>
      <c r="C115" s="178" t="n"/>
      <c r="D115" s="179" t="n"/>
      <c r="E115" s="180" t="n"/>
      <c r="F115" s="181" t="n"/>
      <c r="G115" s="182" t="n"/>
      <c r="H115" s="105" t="n"/>
      <c r="I115" s="183">
        <f>F115</f>
        <v/>
      </c>
      <c r="J115" s="184" t="n"/>
      <c r="K115" s="185" t="n"/>
      <c r="L115" s="8" t="n"/>
      <c r="M115" s="184">
        <f>L115</f>
        <v/>
      </c>
      <c r="N115" s="71" t="n"/>
      <c r="O115" s="101" t="n"/>
      <c r="P115" s="9">
        <f>I115-M115</f>
        <v/>
      </c>
      <c r="Q115" s="9">
        <f>IF(LEFT(B115,4)&lt;&gt;"    ",0,BN115)</f>
        <v/>
      </c>
      <c r="R115" s="9">
        <f>+P115-Q115</f>
        <v/>
      </c>
      <c r="S115" s="281" t="n"/>
      <c r="T115" s="10" t="n"/>
      <c r="U115" s="23">
        <f>IF(LEFT(B115,4)&lt;&gt;"    ","",IF(M115&lt;&gt;0,X115/M115,0))</f>
        <v/>
      </c>
      <c r="V115" s="11">
        <f>IF(LEFT(B115,4)&lt;&gt;"    ","",U115*I115)</f>
        <v/>
      </c>
      <c r="W115" s="11">
        <f>IF(LEFT(B115,4)&lt;&gt;"    ","",X115+Z115)</f>
        <v/>
      </c>
      <c r="X115" s="8" t="n"/>
      <c r="Y115" s="9">
        <f>IF(LEFT(B115,4)&lt;&gt;"    ",0,IF(P115&lt;0,P115,IF(U115&gt;0.3,W115-X115,0)))</f>
        <v/>
      </c>
      <c r="Z115" s="71">
        <f>Y115</f>
        <v/>
      </c>
      <c r="AA115" s="71" t="n"/>
      <c r="AB115" s="109" t="n"/>
      <c r="AC115" s="9">
        <f>IF(LEFT(B115,4)&lt;&gt;"    ",0,BK115)</f>
        <v/>
      </c>
      <c r="AD115" s="9">
        <f>Z115-AC115</f>
        <v/>
      </c>
      <c r="AE115" s="10" t="n"/>
      <c r="AF115" s="24" t="n"/>
      <c r="AG115" s="11" t="n"/>
      <c r="AH115" s="8" t="n"/>
      <c r="AI115" s="9">
        <f>IF(LEFT(B115,4)&lt;&gt;"    ","",AG115-AH115)</f>
        <v/>
      </c>
      <c r="AJ115" s="9" t="n"/>
      <c r="AK115" s="10" t="n"/>
      <c r="AL115" s="11">
        <f>IF(LEFT(B115,4)&lt;&gt;"    ","",W115-AG115)</f>
        <v/>
      </c>
      <c r="AM115" s="8">
        <f>IF(LEFT(B115,4)&lt;&gt;"    ","",X115-AH115)</f>
        <v/>
      </c>
      <c r="AN115" s="9">
        <f>IF(LEFT(B115,4)&lt;&gt;"    ","",Y115-AI115)</f>
        <v/>
      </c>
      <c r="AO115" s="9">
        <f>IF(LEFT(B115,4)&lt;&gt;"    ","",Z115-AJ115)</f>
        <v/>
      </c>
      <c r="AP115" s="10" t="n"/>
      <c r="AQ115" s="25">
        <f>IF(LEFT(B115,4)&lt;&gt;"    ","",I115-W115)</f>
        <v/>
      </c>
      <c r="AR115" s="25">
        <f>M115-X115</f>
        <v/>
      </c>
      <c r="AS115" s="25">
        <f>IF(LEFT(B115,4)&lt;&gt;"    ","",P115-Z115)</f>
        <v/>
      </c>
      <c r="AT115" s="10" t="n"/>
      <c r="AU115" s="12" t="n"/>
      <c r="AV115" s="12">
        <f>IF(LEFT(B115,4)&lt;&gt;"    ","",IF(W115-AU115&gt;=0,W115-AU115," "))</f>
        <v/>
      </c>
      <c r="AW115" s="12">
        <f>IF(LEFT(B115,4)&lt;&gt;"    ","",IF(AU115-W115&gt;=0,AU115-W115," "))</f>
        <v/>
      </c>
      <c r="AX115" s="186" t="n"/>
      <c r="AY115" s="187" t="n"/>
      <c r="AZ115" s="186" t="n"/>
      <c r="BA115" s="186" t="n"/>
      <c r="BB115" s="188" t="n"/>
      <c r="BC115" s="187" t="n"/>
      <c r="BD115" s="187" t="n"/>
      <c r="BE115" s="186" t="n"/>
      <c r="BF115" s="186" t="n"/>
      <c r="BG115" s="186" t="n"/>
      <c r="BH115" s="186" t="n"/>
      <c r="BI115" s="186" t="n"/>
      <c r="BJ115" s="186" t="n"/>
      <c r="BK115" s="186" t="n"/>
      <c r="BL115" s="186" t="n"/>
      <c r="BM115" s="186" t="n"/>
      <c r="BN115" s="186" t="n"/>
      <c r="BO115" s="186" t="n"/>
      <c r="BP115" s="186" t="n"/>
      <c r="BQ115" s="186" t="n"/>
      <c r="BR115" s="186" t="n"/>
      <c r="BS115" s="186" t="n"/>
      <c r="BT115" s="186" t="n"/>
      <c r="BU115" s="186" t="n"/>
      <c r="BV115" s="186" t="n"/>
      <c r="BW115" s="186" t="n"/>
      <c r="BX115" s="186" t="n"/>
      <c r="BY115" s="186" t="n"/>
      <c r="BZ115" s="189" t="n"/>
      <c r="CA115" s="189" t="n"/>
      <c r="CB115" s="189" t="n"/>
      <c r="CC115" s="190" t="n"/>
      <c r="CD115" s="186" t="n"/>
      <c r="CE115" s="186" t="n"/>
      <c r="CF115" s="186" t="n"/>
      <c r="CG115" s="186" t="n"/>
      <c r="CH115" s="186" t="n"/>
      <c r="CI115" s="191" t="n"/>
      <c r="CJ115" s="192" t="n"/>
      <c r="CK115" s="192" t="n"/>
      <c r="CL115" s="192" t="n"/>
      <c r="CM115" s="192" t="n"/>
    </row>
    <row r="116">
      <c r="A116" s="177" t="n"/>
      <c r="B116" s="178" t="n"/>
      <c r="C116" s="178" t="n"/>
      <c r="D116" s="179" t="n"/>
      <c r="E116" s="180" t="n"/>
      <c r="F116" s="181" t="n"/>
      <c r="G116" s="182" t="n"/>
      <c r="H116" s="105" t="n"/>
      <c r="I116" s="183">
        <f>F116</f>
        <v/>
      </c>
      <c r="J116" s="184" t="n"/>
      <c r="K116" s="185" t="n"/>
      <c r="L116" s="8" t="n"/>
      <c r="M116" s="184">
        <f>L116</f>
        <v/>
      </c>
      <c r="N116" s="71" t="n"/>
      <c r="O116" s="101" t="n"/>
      <c r="P116" s="9">
        <f>I116-M116</f>
        <v/>
      </c>
      <c r="Q116" s="9">
        <f>IF(LEFT(B116,4)&lt;&gt;"    ",0,BN116)</f>
        <v/>
      </c>
      <c r="R116" s="9">
        <f>+P116-Q116</f>
        <v/>
      </c>
      <c r="S116" s="281" t="n"/>
      <c r="T116" s="10" t="n"/>
      <c r="U116" s="23">
        <f>IF(LEFT(B116,4)&lt;&gt;"    ","",IF(M116&lt;&gt;0,X116/M116,0))</f>
        <v/>
      </c>
      <c r="V116" s="11">
        <f>IF(LEFT(B116,4)&lt;&gt;"    ","",U116*I116)</f>
        <v/>
      </c>
      <c r="W116" s="11">
        <f>IF(LEFT(B116,4)&lt;&gt;"    ","",X116+Z116)</f>
        <v/>
      </c>
      <c r="X116" s="8" t="n"/>
      <c r="Y116" s="9">
        <f>IF(LEFT(B116,4)&lt;&gt;"    ",0,IF(P116&lt;0,P116,IF(U116&gt;0.3,W116-X116,0)))</f>
        <v/>
      </c>
      <c r="Z116" s="71">
        <f>Y116</f>
        <v/>
      </c>
      <c r="AA116" s="71" t="n"/>
      <c r="AB116" s="109" t="n"/>
      <c r="AC116" s="9">
        <f>IF(LEFT(B116,4)&lt;&gt;"    ",0,BK116)</f>
        <v/>
      </c>
      <c r="AD116" s="9">
        <f>Z116-AC116</f>
        <v/>
      </c>
      <c r="AE116" s="10" t="n"/>
      <c r="AF116" s="24" t="n"/>
      <c r="AG116" s="11" t="n"/>
      <c r="AH116" s="8" t="n"/>
      <c r="AI116" s="9">
        <f>IF(LEFT(B116,4)&lt;&gt;"    ","",AG116-AH116)</f>
        <v/>
      </c>
      <c r="AJ116" s="9" t="n"/>
      <c r="AK116" s="10" t="n"/>
      <c r="AL116" s="11">
        <f>IF(LEFT(B116,4)&lt;&gt;"    ","",W116-AG116)</f>
        <v/>
      </c>
      <c r="AM116" s="8">
        <f>IF(LEFT(B116,4)&lt;&gt;"    ","",X116-AH116)</f>
        <v/>
      </c>
      <c r="AN116" s="9">
        <f>IF(LEFT(B116,4)&lt;&gt;"    ","",Y116-AI116)</f>
        <v/>
      </c>
      <c r="AO116" s="9">
        <f>IF(LEFT(B116,4)&lt;&gt;"    ","",Z116-AJ116)</f>
        <v/>
      </c>
      <c r="AP116" s="10" t="n"/>
      <c r="AQ116" s="25">
        <f>IF(LEFT(B116,4)&lt;&gt;"    ","",I116-W116)</f>
        <v/>
      </c>
      <c r="AR116" s="25">
        <f>M116-X116</f>
        <v/>
      </c>
      <c r="AS116" s="25">
        <f>IF(LEFT(B116,4)&lt;&gt;"    ","",P116-Z116)</f>
        <v/>
      </c>
      <c r="AT116" s="10" t="n"/>
      <c r="AU116" s="12" t="n"/>
      <c r="AV116" s="12">
        <f>IF(LEFT(B116,4)&lt;&gt;"    ","",IF(W116-AU116&gt;=0,W116-AU116," "))</f>
        <v/>
      </c>
      <c r="AW116" s="12">
        <f>IF(LEFT(B116,4)&lt;&gt;"    ","",IF(AU116-W116&gt;=0,AU116-W116," "))</f>
        <v/>
      </c>
      <c r="AX116" s="186" t="n"/>
      <c r="AY116" s="187" t="n"/>
      <c r="AZ116" s="186" t="n"/>
      <c r="BA116" s="186" t="n"/>
      <c r="BB116" s="188" t="n"/>
      <c r="BC116" s="187" t="n"/>
      <c r="BD116" s="187" t="n"/>
      <c r="BE116" s="186" t="n"/>
      <c r="BF116" s="186" t="n"/>
      <c r="BG116" s="186" t="n"/>
      <c r="BH116" s="186" t="n"/>
      <c r="BI116" s="186" t="n"/>
      <c r="BJ116" s="186" t="n"/>
      <c r="BK116" s="186" t="n"/>
      <c r="BL116" s="186" t="n"/>
      <c r="BM116" s="186" t="n"/>
      <c r="BN116" s="186" t="n"/>
      <c r="BO116" s="186" t="n"/>
      <c r="BP116" s="186" t="n"/>
      <c r="BQ116" s="186" t="n"/>
      <c r="BR116" s="186" t="n"/>
      <c r="BS116" s="186" t="n"/>
      <c r="BT116" s="186" t="n"/>
      <c r="BU116" s="186" t="n"/>
      <c r="BV116" s="186" t="n"/>
      <c r="BW116" s="186" t="n"/>
      <c r="BX116" s="186" t="n"/>
      <c r="BY116" s="186" t="n"/>
      <c r="BZ116" s="189" t="n"/>
      <c r="CA116" s="189" t="n"/>
      <c r="CB116" s="189" t="n"/>
      <c r="CC116" s="190" t="n"/>
      <c r="CD116" s="186" t="n"/>
      <c r="CE116" s="186" t="n"/>
      <c r="CF116" s="186" t="n"/>
      <c r="CG116" s="186" t="n"/>
      <c r="CH116" s="186" t="n"/>
      <c r="CI116" s="191" t="n"/>
      <c r="CJ116" s="192" t="n"/>
      <c r="CK116" s="192" t="n"/>
      <c r="CL116" s="192" t="n"/>
      <c r="CM116" s="192" t="n"/>
    </row>
    <row r="117">
      <c r="A117" s="177" t="n"/>
      <c r="B117" s="178" t="n"/>
      <c r="C117" s="178" t="n"/>
      <c r="D117" s="179" t="n"/>
      <c r="E117" s="180" t="n"/>
      <c r="F117" s="181" t="n"/>
      <c r="G117" s="182" t="n"/>
      <c r="H117" s="105" t="n"/>
      <c r="I117" s="183">
        <f>F117</f>
        <v/>
      </c>
      <c r="J117" s="184" t="n"/>
      <c r="K117" s="185" t="n"/>
      <c r="L117" s="8" t="n"/>
      <c r="M117" s="184">
        <f>L117</f>
        <v/>
      </c>
      <c r="N117" s="184" t="n"/>
      <c r="O117" s="185" t="n"/>
      <c r="P117" s="9">
        <f>I117-M117</f>
        <v/>
      </c>
      <c r="Q117" s="9">
        <f>IF(LEFT(B117,4)&lt;&gt;"    ",0,BN117)</f>
        <v/>
      </c>
      <c r="R117" s="9">
        <f>+P117-Q117</f>
        <v/>
      </c>
      <c r="S117" s="281" t="n"/>
      <c r="T117" s="10" t="n"/>
      <c r="U117" s="23">
        <f>IF(LEFT(B117,4)&lt;&gt;"    ","",IF(M117&lt;&gt;0,X117/M117,0))</f>
        <v/>
      </c>
      <c r="V117" s="11">
        <f>IF(LEFT(B117,4)&lt;&gt;"    ","",U117*I117)</f>
        <v/>
      </c>
      <c r="W117" s="11">
        <f>IF(LEFT(B117,4)&lt;&gt;"    ","",X117+Z117)</f>
        <v/>
      </c>
      <c r="X117" s="8" t="n"/>
      <c r="Y117" s="9">
        <f>IF(LEFT(B117,4)&lt;&gt;"    ",0,IF(P117&lt;0,P117,IF(U117&gt;0.3,W117-X117,0)))</f>
        <v/>
      </c>
      <c r="Z117" s="71">
        <f>Y117</f>
        <v/>
      </c>
      <c r="AA117" s="71" t="n"/>
      <c r="AB117" s="109" t="n"/>
      <c r="AC117" s="9">
        <f>IF(LEFT(B117,4)&lt;&gt;"    ",0,BK117)</f>
        <v/>
      </c>
      <c r="AD117" s="9">
        <f>Z117-AC117</f>
        <v/>
      </c>
      <c r="AE117" s="10" t="n"/>
      <c r="AF117" s="24" t="n"/>
      <c r="AG117" s="11" t="n"/>
      <c r="AH117" s="8" t="n"/>
      <c r="AI117" s="9">
        <f>IF(LEFT(B117,4)&lt;&gt;"    ","",AG117-AH117)</f>
        <v/>
      </c>
      <c r="AJ117" s="9" t="n"/>
      <c r="AK117" s="10" t="n"/>
      <c r="AL117" s="11">
        <f>IF(LEFT(B117,4)&lt;&gt;"    ","",W117-AG117)</f>
        <v/>
      </c>
      <c r="AM117" s="8">
        <f>IF(LEFT(B117,4)&lt;&gt;"    ","",X117-AH117)</f>
        <v/>
      </c>
      <c r="AN117" s="9">
        <f>IF(LEFT(B117,4)&lt;&gt;"    ","",Y117-AI117)</f>
        <v/>
      </c>
      <c r="AO117" s="9">
        <f>IF(LEFT(B117,4)&lt;&gt;"    ","",Z117-AJ117)</f>
        <v/>
      </c>
      <c r="AP117" s="10" t="n"/>
      <c r="AQ117" s="25">
        <f>IF(LEFT(B117,4)&lt;&gt;"    ","",I117-W117)</f>
        <v/>
      </c>
      <c r="AR117" s="25">
        <f>M117-X117</f>
        <v/>
      </c>
      <c r="AS117" s="25">
        <f>IF(LEFT(B117,4)&lt;&gt;"    ","",P117-Z117)</f>
        <v/>
      </c>
      <c r="AT117" s="10" t="n"/>
      <c r="AU117" s="12" t="n"/>
      <c r="AV117" s="12">
        <f>IF(LEFT(B117,4)&lt;&gt;"    ","",IF(W117-AU117&gt;=0,W117-AU117," "))</f>
        <v/>
      </c>
      <c r="AW117" s="12">
        <f>IF(LEFT(B117,4)&lt;&gt;"    ","",IF(AU117-W117&gt;=0,AU117-W117," "))</f>
        <v/>
      </c>
      <c r="AX117" s="186" t="n"/>
      <c r="AY117" s="187" t="n"/>
      <c r="AZ117" s="186" t="n"/>
      <c r="BA117" s="186" t="n"/>
      <c r="BB117" s="188" t="n"/>
      <c r="BC117" s="187" t="n"/>
      <c r="BD117" s="187" t="n"/>
      <c r="BE117" s="186" t="n"/>
      <c r="BF117" s="186" t="n"/>
      <c r="BG117" s="186" t="n"/>
      <c r="BH117" s="186" t="n"/>
      <c r="BI117" s="186" t="n"/>
      <c r="BJ117" s="186" t="n"/>
      <c r="BK117" s="186" t="n"/>
      <c r="BL117" s="186" t="n"/>
      <c r="BM117" s="186" t="n"/>
      <c r="BN117" s="186" t="n"/>
      <c r="BO117" s="186" t="n"/>
      <c r="BP117" s="186" t="n"/>
      <c r="BQ117" s="186" t="n"/>
      <c r="BR117" s="186" t="n"/>
      <c r="BS117" s="186" t="n"/>
      <c r="BT117" s="186" t="n"/>
      <c r="BU117" s="186" t="n"/>
      <c r="BV117" s="186" t="n"/>
      <c r="BW117" s="186" t="n"/>
      <c r="BX117" s="186" t="n"/>
      <c r="BY117" s="186" t="n"/>
      <c r="BZ117" s="189" t="n"/>
      <c r="CA117" s="189" t="n"/>
      <c r="CB117" s="189" t="n"/>
      <c r="CC117" s="190" t="n"/>
      <c r="CD117" s="186" t="n"/>
      <c r="CE117" s="186" t="n"/>
      <c r="CF117" s="186" t="n"/>
      <c r="CG117" s="186" t="n"/>
      <c r="CH117" s="186" t="n"/>
      <c r="CI117" s="191" t="n"/>
      <c r="CJ117" s="192" t="n"/>
      <c r="CK117" s="192" t="n"/>
      <c r="CL117" s="192" t="n"/>
      <c r="CM117" s="192" t="n"/>
    </row>
    <row r="118">
      <c r="A118" s="177" t="n"/>
      <c r="B118" s="178" t="n"/>
      <c r="C118" s="178" t="n"/>
      <c r="D118" s="179" t="n"/>
      <c r="E118" s="180" t="n"/>
      <c r="F118" s="181" t="n"/>
      <c r="G118" s="182" t="n"/>
      <c r="H118" s="105" t="n"/>
      <c r="I118" s="183">
        <f>F118</f>
        <v/>
      </c>
      <c r="J118" s="184" t="n"/>
      <c r="K118" s="185" t="n"/>
      <c r="L118" s="8" t="n"/>
      <c r="M118" s="184">
        <f>L118</f>
        <v/>
      </c>
      <c r="N118" s="71" t="n"/>
      <c r="O118" s="101" t="n"/>
      <c r="P118" s="9">
        <f>I118-M118</f>
        <v/>
      </c>
      <c r="Q118" s="9">
        <f>IF(LEFT(B118,4)&lt;&gt;"    ",0,BN118)</f>
        <v/>
      </c>
      <c r="R118" s="9">
        <f>+P118-Q118</f>
        <v/>
      </c>
      <c r="S118" s="281" t="n"/>
      <c r="T118" s="10" t="n"/>
      <c r="U118" s="23">
        <f>IF(LEFT(B118,4)&lt;&gt;"    ","",IF(M118&lt;&gt;0,X118/M118,0))</f>
        <v/>
      </c>
      <c r="V118" s="11">
        <f>IF(LEFT(B118,4)&lt;&gt;"    ","",U118*I118)</f>
        <v/>
      </c>
      <c r="W118" s="11">
        <f>IF(LEFT(B118,4)&lt;&gt;"    ","",X118+Z118)</f>
        <v/>
      </c>
      <c r="X118" s="8" t="n"/>
      <c r="Y118" s="9">
        <f>IF(LEFT(B118,4)&lt;&gt;"    ",0,IF(P118&lt;0,P118,IF(U118&gt;0.3,W118-X118,0)))</f>
        <v/>
      </c>
      <c r="Z118" s="71">
        <f>Y118</f>
        <v/>
      </c>
      <c r="AA118" s="71" t="n"/>
      <c r="AB118" s="109" t="n"/>
      <c r="AC118" s="9">
        <f>IF(LEFT(B118,4)&lt;&gt;"    ",0,BK118)</f>
        <v/>
      </c>
      <c r="AD118" s="9">
        <f>Z118-AC118</f>
        <v/>
      </c>
      <c r="AE118" s="10" t="n"/>
      <c r="AF118" s="24" t="n"/>
      <c r="AG118" s="11" t="n"/>
      <c r="AH118" s="8" t="n"/>
      <c r="AI118" s="9">
        <f>IF(LEFT(B118,4)&lt;&gt;"    ","",AG118-AH118)</f>
        <v/>
      </c>
      <c r="AJ118" s="9" t="n"/>
      <c r="AK118" s="10" t="n"/>
      <c r="AL118" s="11">
        <f>IF(LEFT(B118,4)&lt;&gt;"    ","",W118-AG118)</f>
        <v/>
      </c>
      <c r="AM118" s="8">
        <f>IF(LEFT(B118,4)&lt;&gt;"    ","",X118-AH118)</f>
        <v/>
      </c>
      <c r="AN118" s="9">
        <f>IF(LEFT(B118,4)&lt;&gt;"    ","",Y118-AI118)</f>
        <v/>
      </c>
      <c r="AO118" s="9">
        <f>IF(LEFT(B118,4)&lt;&gt;"    ","",Z118-AJ118)</f>
        <v/>
      </c>
      <c r="AP118" s="10" t="n"/>
      <c r="AQ118" s="25">
        <f>IF(LEFT(B118,4)&lt;&gt;"    ","",I118-W118)</f>
        <v/>
      </c>
      <c r="AR118" s="25">
        <f>M118-X118</f>
        <v/>
      </c>
      <c r="AS118" s="25">
        <f>IF(LEFT(B118,4)&lt;&gt;"    ","",P118-Z118)</f>
        <v/>
      </c>
      <c r="AT118" s="10" t="n"/>
      <c r="AU118" s="12" t="n"/>
      <c r="AV118" s="12">
        <f>IF(LEFT(B118,4)&lt;&gt;"    ","",IF(W118-AU118&gt;=0,W118-AU118," "))</f>
        <v/>
      </c>
      <c r="AW118" s="12">
        <f>IF(LEFT(B118,4)&lt;&gt;"    ","",IF(AU118-W118&gt;=0,AU118-W118," "))</f>
        <v/>
      </c>
      <c r="AX118" s="186" t="n"/>
      <c r="AY118" s="187" t="n"/>
      <c r="AZ118" s="186" t="n"/>
      <c r="BA118" s="186" t="n"/>
      <c r="BB118" s="188" t="n"/>
      <c r="BC118" s="187" t="n"/>
      <c r="BD118" s="187" t="n"/>
      <c r="BE118" s="186" t="n"/>
      <c r="BF118" s="186" t="n"/>
      <c r="BG118" s="186" t="n"/>
      <c r="BH118" s="186" t="n"/>
      <c r="BI118" s="186" t="n"/>
      <c r="BJ118" s="186" t="n"/>
      <c r="BK118" s="186" t="n"/>
      <c r="BL118" s="186" t="n"/>
      <c r="BM118" s="186" t="n"/>
      <c r="BN118" s="186" t="n"/>
      <c r="BO118" s="186" t="n"/>
      <c r="BP118" s="186" t="n"/>
      <c r="BQ118" s="186" t="n"/>
      <c r="BR118" s="186" t="n"/>
      <c r="BS118" s="186" t="n"/>
      <c r="BT118" s="186" t="n"/>
      <c r="BU118" s="186" t="n"/>
      <c r="BV118" s="186" t="n"/>
      <c r="BW118" s="186" t="n"/>
      <c r="BX118" s="186" t="n"/>
      <c r="BY118" s="186" t="n"/>
      <c r="BZ118" s="189" t="n"/>
      <c r="CA118" s="189" t="n"/>
      <c r="CB118" s="189" t="n"/>
      <c r="CC118" s="190" t="n"/>
      <c r="CD118" s="186" t="n"/>
      <c r="CE118" s="186" t="n"/>
      <c r="CF118" s="186" t="n"/>
      <c r="CG118" s="186" t="n"/>
      <c r="CH118" s="186" t="n"/>
      <c r="CI118" s="191" t="n"/>
      <c r="CJ118" s="192" t="n"/>
      <c r="CK118" s="192" t="n"/>
      <c r="CL118" s="192" t="n"/>
      <c r="CM118" s="192" t="n"/>
    </row>
    <row r="119">
      <c r="A119" s="177" t="n"/>
      <c r="B119" s="178" t="n"/>
      <c r="C119" s="178" t="n"/>
      <c r="D119" s="179" t="n"/>
      <c r="E119" s="180" t="n"/>
      <c r="F119" s="181" t="n"/>
      <c r="G119" s="182" t="n"/>
      <c r="H119" s="105" t="n"/>
      <c r="I119" s="183">
        <f>F119</f>
        <v/>
      </c>
      <c r="J119" s="184" t="n"/>
      <c r="K119" s="185" t="n"/>
      <c r="L119" s="8" t="n"/>
      <c r="M119" s="184">
        <f>L119</f>
        <v/>
      </c>
      <c r="N119" s="71" t="n"/>
      <c r="O119" s="101" t="n"/>
      <c r="P119" s="9">
        <f>I119-M119</f>
        <v/>
      </c>
      <c r="Q119" s="9">
        <f>IF(LEFT(B119,4)&lt;&gt;"    ",0,BN119)</f>
        <v/>
      </c>
      <c r="R119" s="9">
        <f>+P119-Q119</f>
        <v/>
      </c>
      <c r="S119" s="281" t="n"/>
      <c r="T119" s="10" t="n"/>
      <c r="U119" s="23">
        <f>IF(LEFT(B119,4)&lt;&gt;"    ","",IF(M119&lt;&gt;0,X119/M119,0))</f>
        <v/>
      </c>
      <c r="V119" s="11">
        <f>IF(LEFT(B119,4)&lt;&gt;"    ","",U119*I119)</f>
        <v/>
      </c>
      <c r="W119" s="11">
        <f>IF(LEFT(B119,4)&lt;&gt;"    ","",X119+Z119)</f>
        <v/>
      </c>
      <c r="X119" s="8" t="n"/>
      <c r="Y119" s="9">
        <f>IF(LEFT(B119,4)&lt;&gt;"    ",0,IF(P119&lt;0,P119,IF(U119&gt;0.3,W119-X119,0)))</f>
        <v/>
      </c>
      <c r="Z119" s="71">
        <f>Y119</f>
        <v/>
      </c>
      <c r="AA119" s="71" t="n"/>
      <c r="AB119" s="109" t="n"/>
      <c r="AC119" s="9">
        <f>IF(LEFT(B119,4)&lt;&gt;"    ",0,BK119)</f>
        <v/>
      </c>
      <c r="AD119" s="9">
        <f>Z119-AC119</f>
        <v/>
      </c>
      <c r="AE119" s="10" t="n"/>
      <c r="AF119" s="24" t="n"/>
      <c r="AG119" s="11" t="n"/>
      <c r="AH119" s="8" t="n"/>
      <c r="AI119" s="9">
        <f>IF(LEFT(B119,4)&lt;&gt;"    ","",AG119-AH119)</f>
        <v/>
      </c>
      <c r="AJ119" s="9" t="n"/>
      <c r="AK119" s="10" t="n"/>
      <c r="AL119" s="11">
        <f>IF(LEFT(B119,4)&lt;&gt;"    ","",W119-AG119)</f>
        <v/>
      </c>
      <c r="AM119" s="8">
        <f>IF(LEFT(B119,4)&lt;&gt;"    ","",X119-AH119)</f>
        <v/>
      </c>
      <c r="AN119" s="9">
        <f>IF(LEFT(B119,4)&lt;&gt;"    ","",Y119-AI119)</f>
        <v/>
      </c>
      <c r="AO119" s="9">
        <f>IF(LEFT(B119,4)&lt;&gt;"    ","",Z119-AJ119)</f>
        <v/>
      </c>
      <c r="AP119" s="10" t="n"/>
      <c r="AQ119" s="25">
        <f>IF(LEFT(B119,4)&lt;&gt;"    ","",I119-W119)</f>
        <v/>
      </c>
      <c r="AR119" s="25">
        <f>M119-X119</f>
        <v/>
      </c>
      <c r="AS119" s="25">
        <f>IF(LEFT(B119,4)&lt;&gt;"    ","",P119-Z119)</f>
        <v/>
      </c>
      <c r="AT119" s="10" t="n"/>
      <c r="AU119" s="12" t="n"/>
      <c r="AV119" s="12">
        <f>IF(LEFT(B119,4)&lt;&gt;"    ","",IF(W119-AU119&gt;=0,W119-AU119," "))</f>
        <v/>
      </c>
      <c r="AW119" s="12">
        <f>IF(LEFT(B119,4)&lt;&gt;"    ","",IF(AU119-W119&gt;=0,AU119-W119," "))</f>
        <v/>
      </c>
      <c r="AX119" s="186" t="n"/>
      <c r="AY119" s="187" t="n"/>
      <c r="AZ119" s="186" t="n"/>
      <c r="BA119" s="186" t="n"/>
      <c r="BB119" s="188" t="n"/>
      <c r="BC119" s="187" t="n"/>
      <c r="BD119" s="187" t="n"/>
      <c r="BE119" s="186" t="n"/>
      <c r="BF119" s="186" t="n"/>
      <c r="BG119" s="186" t="n"/>
      <c r="BH119" s="186" t="n"/>
      <c r="BI119" s="186" t="n"/>
      <c r="BJ119" s="186" t="n"/>
      <c r="BK119" s="186" t="n"/>
      <c r="BL119" s="186" t="n"/>
      <c r="BM119" s="186" t="n"/>
      <c r="BN119" s="186" t="n"/>
      <c r="BO119" s="186" t="n"/>
      <c r="BP119" s="186" t="n"/>
      <c r="BQ119" s="186" t="n"/>
      <c r="BR119" s="186" t="n"/>
      <c r="BS119" s="186" t="n"/>
      <c r="BT119" s="186" t="n"/>
      <c r="BU119" s="186" t="n"/>
      <c r="BV119" s="186" t="n"/>
      <c r="BW119" s="186" t="n"/>
      <c r="BX119" s="186" t="n"/>
      <c r="BY119" s="186" t="n"/>
      <c r="BZ119" s="189" t="n"/>
      <c r="CA119" s="189" t="n"/>
      <c r="CB119" s="189" t="n"/>
      <c r="CC119" s="190" t="n"/>
      <c r="CD119" s="186" t="n"/>
      <c r="CE119" s="186" t="n"/>
      <c r="CF119" s="186" t="n"/>
      <c r="CG119" s="186" t="n"/>
      <c r="CH119" s="186" t="n"/>
      <c r="CI119" s="191" t="n"/>
      <c r="CJ119" s="192" t="n"/>
      <c r="CK119" s="192" t="n"/>
      <c r="CL119" s="192" t="n"/>
      <c r="CM119" s="192" t="n"/>
    </row>
    <row r="120">
      <c r="A120" s="177" t="n"/>
      <c r="B120" s="178" t="n"/>
      <c r="C120" s="178" t="n"/>
      <c r="D120" s="179" t="n"/>
      <c r="E120" s="180" t="n"/>
      <c r="F120" s="181" t="n"/>
      <c r="G120" s="182" t="n"/>
      <c r="H120" s="105" t="n"/>
      <c r="I120" s="183">
        <f>F120</f>
        <v/>
      </c>
      <c r="J120" s="184" t="n"/>
      <c r="K120" s="185" t="n"/>
      <c r="L120" s="8" t="n"/>
      <c r="M120" s="184">
        <f>L120</f>
        <v/>
      </c>
      <c r="N120" s="71" t="n"/>
      <c r="O120" s="101" t="n"/>
      <c r="P120" s="9">
        <f>I120-M120</f>
        <v/>
      </c>
      <c r="Q120" s="9">
        <f>IF(LEFT(B120,4)&lt;&gt;"    ",0,BN120)</f>
        <v/>
      </c>
      <c r="R120" s="9">
        <f>+P120-Q120</f>
        <v/>
      </c>
      <c r="S120" s="281" t="n"/>
      <c r="T120" s="10" t="n"/>
      <c r="U120" s="23">
        <f>IF(LEFT(B120,4)&lt;&gt;"    ","",IF(M120&lt;&gt;0,X120/M120,0))</f>
        <v/>
      </c>
      <c r="V120" s="11">
        <f>IF(LEFT(B120,4)&lt;&gt;"    ","",U120*I120)</f>
        <v/>
      </c>
      <c r="W120" s="11">
        <f>IF(LEFT(B120,4)&lt;&gt;"    ","",X120+Z120)</f>
        <v/>
      </c>
      <c r="X120" s="8" t="n"/>
      <c r="Y120" s="9">
        <f>IF(LEFT(B120,4)&lt;&gt;"    ",0,IF(P120&lt;0,P120,IF(U120&gt;0.3,W120-X120,0)))</f>
        <v/>
      </c>
      <c r="Z120" s="71">
        <f>Y120</f>
        <v/>
      </c>
      <c r="AA120" s="71" t="n"/>
      <c r="AB120" s="109" t="n"/>
      <c r="AC120" s="9">
        <f>IF(LEFT(B120,4)&lt;&gt;"    ",0,BK120)</f>
        <v/>
      </c>
      <c r="AD120" s="9">
        <f>Z120-AC120</f>
        <v/>
      </c>
      <c r="AE120" s="10" t="n"/>
      <c r="AF120" s="24" t="n"/>
      <c r="AG120" s="11" t="n"/>
      <c r="AH120" s="8" t="n"/>
      <c r="AI120" s="9">
        <f>IF(LEFT(B120,4)&lt;&gt;"    ","",AG120-AH120)</f>
        <v/>
      </c>
      <c r="AJ120" s="9" t="n"/>
      <c r="AK120" s="10" t="n"/>
      <c r="AL120" s="11">
        <f>IF(LEFT(B120,4)&lt;&gt;"    ","",W120-AG120)</f>
        <v/>
      </c>
      <c r="AM120" s="8">
        <f>IF(LEFT(B120,4)&lt;&gt;"    ","",X120-AH120)</f>
        <v/>
      </c>
      <c r="AN120" s="9">
        <f>IF(LEFT(B120,4)&lt;&gt;"    ","",Y120-AI120)</f>
        <v/>
      </c>
      <c r="AO120" s="9">
        <f>IF(LEFT(B120,4)&lt;&gt;"    ","",Z120-AJ120)</f>
        <v/>
      </c>
      <c r="AP120" s="10" t="n"/>
      <c r="AQ120" s="25">
        <f>IF(LEFT(B120,4)&lt;&gt;"    ","",I120-W120)</f>
        <v/>
      </c>
      <c r="AR120" s="25">
        <f>M120-X120</f>
        <v/>
      </c>
      <c r="AS120" s="25">
        <f>IF(LEFT(B120,4)&lt;&gt;"    ","",P120-Z120)</f>
        <v/>
      </c>
      <c r="AT120" s="10" t="n"/>
      <c r="AU120" s="12" t="n"/>
      <c r="AV120" s="12">
        <f>IF(LEFT(B120,4)&lt;&gt;"    ","",IF(W120-AU120&gt;=0,W120-AU120," "))</f>
        <v/>
      </c>
      <c r="AW120" s="12">
        <f>IF(LEFT(B120,4)&lt;&gt;"    ","",IF(AU120-W120&gt;=0,AU120-W120," "))</f>
        <v/>
      </c>
      <c r="AX120" s="186" t="n"/>
      <c r="AY120" s="187" t="n"/>
      <c r="AZ120" s="186" t="n"/>
      <c r="BA120" s="186" t="n"/>
      <c r="BB120" s="188" t="n"/>
      <c r="BC120" s="187" t="n"/>
      <c r="BD120" s="187" t="n"/>
      <c r="BE120" s="186" t="n"/>
      <c r="BF120" s="186" t="n"/>
      <c r="BG120" s="186" t="n"/>
      <c r="BH120" s="186" t="n"/>
      <c r="BI120" s="186" t="n"/>
      <c r="BJ120" s="186" t="n"/>
      <c r="BK120" s="186" t="n"/>
      <c r="BL120" s="186" t="n"/>
      <c r="BM120" s="186" t="n"/>
      <c r="BN120" s="186" t="n"/>
      <c r="BO120" s="186" t="n"/>
      <c r="BP120" s="186" t="n"/>
      <c r="BQ120" s="186" t="n"/>
      <c r="BR120" s="186" t="n"/>
      <c r="BS120" s="186" t="n"/>
      <c r="BT120" s="186" t="n"/>
      <c r="BU120" s="186" t="n"/>
      <c r="BV120" s="186" t="n"/>
      <c r="BW120" s="186" t="n"/>
      <c r="BX120" s="186" t="n"/>
      <c r="BY120" s="186" t="n"/>
      <c r="BZ120" s="189" t="n"/>
      <c r="CA120" s="189" t="n"/>
      <c r="CB120" s="189" t="n"/>
      <c r="CC120" s="190" t="n"/>
      <c r="CD120" s="186" t="n"/>
      <c r="CE120" s="186" t="n"/>
      <c r="CF120" s="186" t="n"/>
      <c r="CG120" s="186" t="n"/>
      <c r="CH120" s="186" t="n"/>
      <c r="CI120" s="191" t="n"/>
      <c r="CJ120" s="192" t="n"/>
      <c r="CK120" s="192" t="n"/>
      <c r="CL120" s="192" t="n"/>
      <c r="CM120" s="192" t="n"/>
    </row>
    <row r="121">
      <c r="A121" s="177" t="n"/>
      <c r="B121" s="178" t="n"/>
      <c r="C121" s="178" t="n"/>
      <c r="D121" s="179" t="n"/>
      <c r="E121" s="180" t="n"/>
      <c r="F121" s="181" t="n"/>
      <c r="G121" s="182" t="n"/>
      <c r="H121" s="105" t="n"/>
      <c r="I121" s="183">
        <f>F121</f>
        <v/>
      </c>
      <c r="J121" s="184" t="n"/>
      <c r="K121" s="185" t="n"/>
      <c r="L121" s="8" t="n"/>
      <c r="M121" s="184">
        <f>L121</f>
        <v/>
      </c>
      <c r="N121" s="71" t="n"/>
      <c r="O121" s="101" t="n"/>
      <c r="P121" s="9">
        <f>I121-M121</f>
        <v/>
      </c>
      <c r="Q121" s="9">
        <f>IF(LEFT(B121,4)&lt;&gt;"    ",0,BN121)</f>
        <v/>
      </c>
      <c r="R121" s="9">
        <f>+P121-Q121</f>
        <v/>
      </c>
      <c r="S121" s="281" t="n"/>
      <c r="T121" s="10" t="n"/>
      <c r="U121" s="23">
        <f>IF(LEFT(B121,4)&lt;&gt;"    ","",IF(M121&lt;&gt;0,X121/M121,0))</f>
        <v/>
      </c>
      <c r="V121" s="11">
        <f>IF(LEFT(B121,4)&lt;&gt;"    ","",U121*I121)</f>
        <v/>
      </c>
      <c r="W121" s="11">
        <f>IF(LEFT(B121,4)&lt;&gt;"    ","",X121+Z121)</f>
        <v/>
      </c>
      <c r="X121" s="8" t="n"/>
      <c r="Y121" s="9">
        <f>IF(LEFT(B121,4)&lt;&gt;"    ",0,IF(P121&lt;0,P121,IF(U121&gt;0.3,W121-X121,0)))</f>
        <v/>
      </c>
      <c r="Z121" s="71">
        <f>Y121</f>
        <v/>
      </c>
      <c r="AA121" s="71" t="n"/>
      <c r="AB121" s="109" t="n"/>
      <c r="AC121" s="9">
        <f>IF(LEFT(B121,4)&lt;&gt;"    ",0,BK121)</f>
        <v/>
      </c>
      <c r="AD121" s="9">
        <f>Z121-AC121</f>
        <v/>
      </c>
      <c r="AE121" s="10" t="n"/>
      <c r="AF121" s="24" t="n"/>
      <c r="AG121" s="11" t="n"/>
      <c r="AH121" s="8" t="n"/>
      <c r="AI121" s="9">
        <f>IF(LEFT(B121,4)&lt;&gt;"    ","",AG121-AH121)</f>
        <v/>
      </c>
      <c r="AJ121" s="9" t="n"/>
      <c r="AK121" s="10" t="n"/>
      <c r="AL121" s="11">
        <f>IF(LEFT(B121,4)&lt;&gt;"    ","",W121-AG121)</f>
        <v/>
      </c>
      <c r="AM121" s="8">
        <f>IF(LEFT(B121,4)&lt;&gt;"    ","",X121-AH121)</f>
        <v/>
      </c>
      <c r="AN121" s="9">
        <f>IF(LEFT(B121,4)&lt;&gt;"    ","",Y121-AI121)</f>
        <v/>
      </c>
      <c r="AO121" s="9">
        <f>IF(LEFT(B121,4)&lt;&gt;"    ","",Z121-AJ121)</f>
        <v/>
      </c>
      <c r="AP121" s="10" t="n"/>
      <c r="AQ121" s="25">
        <f>IF(LEFT(B121,4)&lt;&gt;"    ","",I121-W121)</f>
        <v/>
      </c>
      <c r="AR121" s="25">
        <f>M121-X121</f>
        <v/>
      </c>
      <c r="AS121" s="25">
        <f>IF(LEFT(B121,4)&lt;&gt;"    ","",P121-Z121)</f>
        <v/>
      </c>
      <c r="AT121" s="10" t="n"/>
      <c r="AU121" s="12" t="n"/>
      <c r="AV121" s="12">
        <f>IF(LEFT(B121,4)&lt;&gt;"    ","",IF(W121-AU121&gt;=0,W121-AU121," "))</f>
        <v/>
      </c>
      <c r="AW121" s="12">
        <f>IF(LEFT(B121,4)&lt;&gt;"    ","",IF(AU121-W121&gt;=0,AU121-W121," "))</f>
        <v/>
      </c>
      <c r="AX121" s="186" t="n"/>
      <c r="AY121" s="187" t="n"/>
      <c r="AZ121" s="186" t="n"/>
      <c r="BA121" s="186" t="n"/>
      <c r="BB121" s="188" t="n"/>
      <c r="BC121" s="187" t="n"/>
      <c r="BD121" s="187" t="n"/>
      <c r="BE121" s="186" t="n"/>
      <c r="BF121" s="186" t="n"/>
      <c r="BG121" s="186" t="n"/>
      <c r="BH121" s="186" t="n"/>
      <c r="BI121" s="186" t="n"/>
      <c r="BJ121" s="186" t="n"/>
      <c r="BK121" s="186" t="n"/>
      <c r="BL121" s="186" t="n"/>
      <c r="BM121" s="186" t="n"/>
      <c r="BN121" s="186" t="n"/>
      <c r="BO121" s="186" t="n"/>
      <c r="BP121" s="186" t="n"/>
      <c r="BQ121" s="186" t="n"/>
      <c r="BR121" s="186" t="n"/>
      <c r="BS121" s="186" t="n"/>
      <c r="BT121" s="186" t="n"/>
      <c r="BU121" s="186" t="n"/>
      <c r="BV121" s="186" t="n"/>
      <c r="BW121" s="186" t="n"/>
      <c r="BX121" s="186" t="n"/>
      <c r="BY121" s="186" t="n"/>
      <c r="BZ121" s="189" t="n"/>
      <c r="CA121" s="189" t="n"/>
      <c r="CB121" s="189" t="n"/>
      <c r="CC121" s="190" t="n"/>
      <c r="CD121" s="186" t="n"/>
      <c r="CE121" s="186" t="n"/>
      <c r="CF121" s="186" t="n"/>
      <c r="CG121" s="186" t="n"/>
      <c r="CH121" s="186" t="n"/>
      <c r="CI121" s="191" t="n"/>
      <c r="CJ121" s="192" t="n"/>
      <c r="CK121" s="192" t="n"/>
      <c r="CL121" s="192" t="n"/>
      <c r="CM121" s="192" t="n"/>
    </row>
    <row r="122">
      <c r="A122" s="177" t="n"/>
      <c r="B122" s="178" t="n"/>
      <c r="C122" s="178" t="n"/>
      <c r="D122" s="179" t="n"/>
      <c r="E122" s="180" t="n"/>
      <c r="F122" s="181" t="n"/>
      <c r="G122" s="182" t="n"/>
      <c r="H122" s="105" t="n"/>
      <c r="I122" s="183">
        <f>F122</f>
        <v/>
      </c>
      <c r="J122" s="184" t="n"/>
      <c r="K122" s="185" t="n"/>
      <c r="L122" s="8" t="n"/>
      <c r="M122" s="184">
        <f>L122</f>
        <v/>
      </c>
      <c r="N122" s="71" t="n"/>
      <c r="O122" s="101" t="n"/>
      <c r="P122" s="9">
        <f>I122-M122</f>
        <v/>
      </c>
      <c r="Q122" s="9">
        <f>IF(LEFT(B122,4)&lt;&gt;"    ",0,BN122)</f>
        <v/>
      </c>
      <c r="R122" s="9">
        <f>+P122-Q122</f>
        <v/>
      </c>
      <c r="S122" s="281" t="n"/>
      <c r="T122" s="10" t="n"/>
      <c r="U122" s="23">
        <f>IF(LEFT(B122,4)&lt;&gt;"    ","",IF(M122&lt;&gt;0,X122/M122,0))</f>
        <v/>
      </c>
      <c r="V122" s="11">
        <f>IF(LEFT(B122,4)&lt;&gt;"    ","",U122*I122)</f>
        <v/>
      </c>
      <c r="W122" s="11">
        <f>IF(LEFT(B122,4)&lt;&gt;"    ","",X122+Z122)</f>
        <v/>
      </c>
      <c r="X122" s="8" t="n"/>
      <c r="Y122" s="9">
        <f>IF(LEFT(B122,4)&lt;&gt;"    ",0,IF(P122&lt;0,P122,IF(U122&gt;0.3,W122-X122,0)))</f>
        <v/>
      </c>
      <c r="Z122" s="71">
        <f>Y122</f>
        <v/>
      </c>
      <c r="AA122" s="71" t="n"/>
      <c r="AB122" s="109" t="n"/>
      <c r="AC122" s="9">
        <f>IF(LEFT(B122,4)&lt;&gt;"    ",0,BK122)</f>
        <v/>
      </c>
      <c r="AD122" s="9">
        <f>Z122-AC122</f>
        <v/>
      </c>
      <c r="AE122" s="10" t="n"/>
      <c r="AF122" s="24" t="n"/>
      <c r="AG122" s="11" t="n"/>
      <c r="AH122" s="8" t="n"/>
      <c r="AI122" s="9">
        <f>IF(LEFT(B122,4)&lt;&gt;"    ","",AG122-AH122)</f>
        <v/>
      </c>
      <c r="AJ122" s="9" t="n"/>
      <c r="AK122" s="10" t="n"/>
      <c r="AL122" s="11">
        <f>IF(LEFT(B122,4)&lt;&gt;"    ","",W122-AG122)</f>
        <v/>
      </c>
      <c r="AM122" s="8">
        <f>IF(LEFT(B122,4)&lt;&gt;"    ","",X122-AH122)</f>
        <v/>
      </c>
      <c r="AN122" s="9">
        <f>IF(LEFT(B122,4)&lt;&gt;"    ","",Y122-AI122)</f>
        <v/>
      </c>
      <c r="AO122" s="9">
        <f>IF(LEFT(B122,4)&lt;&gt;"    ","",Z122-AJ122)</f>
        <v/>
      </c>
      <c r="AP122" s="10" t="n"/>
      <c r="AQ122" s="25">
        <f>IF(LEFT(B122,4)&lt;&gt;"    ","",I122-W122)</f>
        <v/>
      </c>
      <c r="AR122" s="25">
        <f>M122-X122</f>
        <v/>
      </c>
      <c r="AS122" s="25">
        <f>IF(LEFT(B122,4)&lt;&gt;"    ","",P122-Z122)</f>
        <v/>
      </c>
      <c r="AT122" s="10" t="n"/>
      <c r="AU122" s="12" t="n"/>
      <c r="AV122" s="12">
        <f>IF(LEFT(B122,4)&lt;&gt;"    ","",IF(W122-AU122&gt;=0,W122-AU122," "))</f>
        <v/>
      </c>
      <c r="AW122" s="12">
        <f>IF(LEFT(B122,4)&lt;&gt;"    ","",IF(AU122-W122&gt;=0,AU122-W122," "))</f>
        <v/>
      </c>
      <c r="AX122" s="186" t="n"/>
      <c r="AY122" s="187" t="n"/>
      <c r="AZ122" s="186" t="n"/>
      <c r="BA122" s="186" t="n"/>
      <c r="BB122" s="188" t="n"/>
      <c r="BC122" s="187" t="n"/>
      <c r="BD122" s="187" t="n"/>
      <c r="BE122" s="186" t="n"/>
      <c r="BF122" s="186" t="n"/>
      <c r="BG122" s="186" t="n"/>
      <c r="BH122" s="186" t="n"/>
      <c r="BI122" s="186" t="n"/>
      <c r="BJ122" s="186" t="n"/>
      <c r="BK122" s="186" t="n"/>
      <c r="BL122" s="186" t="n"/>
      <c r="BM122" s="186" t="n"/>
      <c r="BN122" s="186" t="n"/>
      <c r="BO122" s="186" t="n"/>
      <c r="BP122" s="186" t="n"/>
      <c r="BQ122" s="186" t="n"/>
      <c r="BR122" s="186" t="n"/>
      <c r="BS122" s="186" t="n"/>
      <c r="BT122" s="186" t="n"/>
      <c r="BU122" s="186" t="n"/>
      <c r="BV122" s="186" t="n"/>
      <c r="BW122" s="186" t="n"/>
      <c r="BX122" s="186" t="n"/>
      <c r="BY122" s="186" t="n"/>
      <c r="BZ122" s="189" t="n"/>
      <c r="CA122" s="189" t="n"/>
      <c r="CB122" s="189" t="n"/>
      <c r="CC122" s="190" t="n"/>
      <c r="CD122" s="186" t="n"/>
      <c r="CE122" s="186" t="n"/>
      <c r="CF122" s="186" t="n"/>
      <c r="CG122" s="186" t="n"/>
      <c r="CH122" s="186" t="n"/>
      <c r="CI122" s="191" t="n"/>
      <c r="CJ122" s="192" t="n"/>
      <c r="CK122" s="192" t="n"/>
      <c r="CL122" s="192" t="n"/>
      <c r="CM122" s="192" t="n"/>
    </row>
    <row r="123">
      <c r="A123" s="177" t="n"/>
      <c r="B123" s="178" t="n"/>
      <c r="C123" s="178" t="n"/>
      <c r="D123" s="179" t="n"/>
      <c r="E123" s="180" t="n"/>
      <c r="F123" s="181" t="n"/>
      <c r="G123" s="182" t="n"/>
      <c r="H123" s="105" t="n"/>
      <c r="I123" s="183">
        <f>F123</f>
        <v/>
      </c>
      <c r="J123" s="184" t="n"/>
      <c r="K123" s="185" t="n"/>
      <c r="L123" s="8" t="n"/>
      <c r="M123" s="184">
        <f>L123</f>
        <v/>
      </c>
      <c r="N123" s="71" t="n"/>
      <c r="O123" s="101" t="n"/>
      <c r="P123" s="9">
        <f>I123-M123</f>
        <v/>
      </c>
      <c r="Q123" s="9">
        <f>IF(LEFT(B123,4)&lt;&gt;"    ",0,BN123)</f>
        <v/>
      </c>
      <c r="R123" s="9">
        <f>+P123-Q123</f>
        <v/>
      </c>
      <c r="S123" s="281" t="n"/>
      <c r="T123" s="10" t="n"/>
      <c r="U123" s="23">
        <f>IF(LEFT(B123,4)&lt;&gt;"    ","",IF(M123&lt;&gt;0,X123/M123,0))</f>
        <v/>
      </c>
      <c r="V123" s="11">
        <f>IF(LEFT(B123,4)&lt;&gt;"    ","",U123*I123)</f>
        <v/>
      </c>
      <c r="W123" s="11">
        <f>IF(LEFT(B123,4)&lt;&gt;"    ","",X123+Z123)</f>
        <v/>
      </c>
      <c r="X123" s="8" t="n"/>
      <c r="Y123" s="9">
        <f>IF(LEFT(B123,4)&lt;&gt;"    ",0,IF(P123&lt;0,P123,IF(U123&gt;0.3,W123-X123,0)))</f>
        <v/>
      </c>
      <c r="Z123" s="71">
        <f>Y123</f>
        <v/>
      </c>
      <c r="AA123" s="71" t="n"/>
      <c r="AB123" s="109" t="n"/>
      <c r="AC123" s="9">
        <f>IF(LEFT(B123,4)&lt;&gt;"    ",0,BK123)</f>
        <v/>
      </c>
      <c r="AD123" s="9">
        <f>Z123-AC123</f>
        <v/>
      </c>
      <c r="AE123" s="10" t="n"/>
      <c r="AF123" s="24" t="n"/>
      <c r="AG123" s="11" t="n"/>
      <c r="AH123" s="8" t="n"/>
      <c r="AI123" s="9">
        <f>IF(LEFT(B123,4)&lt;&gt;"    ","",AG123-AH123)</f>
        <v/>
      </c>
      <c r="AJ123" s="9" t="n"/>
      <c r="AK123" s="10" t="n"/>
      <c r="AL123" s="11">
        <f>IF(LEFT(B123,4)&lt;&gt;"    ","",W123-AG123)</f>
        <v/>
      </c>
      <c r="AM123" s="8">
        <f>IF(LEFT(B123,4)&lt;&gt;"    ","",X123-AH123)</f>
        <v/>
      </c>
      <c r="AN123" s="9">
        <f>IF(LEFT(B123,4)&lt;&gt;"    ","",Y123-AI123)</f>
        <v/>
      </c>
      <c r="AO123" s="9">
        <f>IF(LEFT(B123,4)&lt;&gt;"    ","",Z123-AJ123)</f>
        <v/>
      </c>
      <c r="AP123" s="10" t="n"/>
      <c r="AQ123" s="25">
        <f>IF(LEFT(B123,4)&lt;&gt;"    ","",I123-W123)</f>
        <v/>
      </c>
      <c r="AR123" s="25">
        <f>M123-X123</f>
        <v/>
      </c>
      <c r="AS123" s="25">
        <f>IF(LEFT(B123,4)&lt;&gt;"    ","",P123-Z123)</f>
        <v/>
      </c>
      <c r="AT123" s="10" t="n"/>
      <c r="AU123" s="12" t="n"/>
      <c r="AV123" s="12">
        <f>IF(LEFT(B123,4)&lt;&gt;"    ","",IF(W123-AU123&gt;=0,W123-AU123," "))</f>
        <v/>
      </c>
      <c r="AW123" s="12">
        <f>IF(LEFT(B123,4)&lt;&gt;"    ","",IF(AU123-W123&gt;=0,AU123-W123," "))</f>
        <v/>
      </c>
      <c r="AX123" s="186" t="n"/>
      <c r="AY123" s="187" t="n"/>
      <c r="AZ123" s="186" t="n"/>
      <c r="BA123" s="186" t="n"/>
      <c r="BB123" s="188" t="n"/>
      <c r="BC123" s="187" t="n"/>
      <c r="BD123" s="187" t="n"/>
      <c r="BE123" s="186" t="n"/>
      <c r="BF123" s="186" t="n"/>
      <c r="BG123" s="186" t="n"/>
      <c r="BH123" s="186" t="n"/>
      <c r="BI123" s="186" t="n"/>
      <c r="BJ123" s="186" t="n"/>
      <c r="BK123" s="186" t="n"/>
      <c r="BL123" s="186" t="n"/>
      <c r="BM123" s="186" t="n"/>
      <c r="BN123" s="186" t="n"/>
      <c r="BO123" s="186" t="n"/>
      <c r="BP123" s="186" t="n"/>
      <c r="BQ123" s="186" t="n"/>
      <c r="BR123" s="186" t="n"/>
      <c r="BS123" s="186" t="n"/>
      <c r="BT123" s="186" t="n"/>
      <c r="BU123" s="186" t="n"/>
      <c r="BV123" s="186" t="n"/>
      <c r="BW123" s="186" t="n"/>
      <c r="BX123" s="186" t="n"/>
      <c r="BY123" s="186" t="n"/>
      <c r="BZ123" s="189" t="n"/>
      <c r="CA123" s="189" t="n"/>
      <c r="CB123" s="189" t="n"/>
      <c r="CC123" s="190" t="n"/>
      <c r="CD123" s="186" t="n"/>
      <c r="CE123" s="186" t="n"/>
      <c r="CF123" s="186" t="n"/>
      <c r="CG123" s="186" t="n"/>
      <c r="CH123" s="186" t="n"/>
      <c r="CI123" s="191" t="n"/>
      <c r="CJ123" s="192" t="n"/>
      <c r="CK123" s="192" t="n"/>
      <c r="CL123" s="192" t="n"/>
      <c r="CM123" s="192" t="n"/>
    </row>
    <row r="124">
      <c r="A124" s="177" t="n"/>
      <c r="B124" s="178" t="n"/>
      <c r="C124" s="178" t="n"/>
      <c r="D124" s="179" t="n"/>
      <c r="E124" s="180" t="n"/>
      <c r="F124" s="181" t="n"/>
      <c r="G124" s="182" t="n"/>
      <c r="H124" s="105" t="n"/>
      <c r="I124" s="183">
        <f>F124</f>
        <v/>
      </c>
      <c r="J124" s="184" t="n"/>
      <c r="K124" s="185" t="n"/>
      <c r="L124" s="8" t="n"/>
      <c r="M124" s="184">
        <f>L124</f>
        <v/>
      </c>
      <c r="N124" s="71" t="n"/>
      <c r="O124" s="101" t="n"/>
      <c r="P124" s="9">
        <f>I124-M124</f>
        <v/>
      </c>
      <c r="Q124" s="9">
        <f>IF(LEFT(B124,4)&lt;&gt;"    ",0,BN124)</f>
        <v/>
      </c>
      <c r="R124" s="9">
        <f>+P124-Q124</f>
        <v/>
      </c>
      <c r="S124" s="281" t="n"/>
      <c r="T124" s="10" t="n"/>
      <c r="U124" s="23">
        <f>IF(LEFT(B124,4)&lt;&gt;"    ","",IF(M124&lt;&gt;0,X124/M124,0))</f>
        <v/>
      </c>
      <c r="V124" s="11">
        <f>IF(LEFT(B124,4)&lt;&gt;"    ","",U124*I124)</f>
        <v/>
      </c>
      <c r="W124" s="11">
        <f>IF(LEFT(B124,4)&lt;&gt;"    ","",X124+Z124)</f>
        <v/>
      </c>
      <c r="X124" s="8" t="n"/>
      <c r="Y124" s="9">
        <f>IF(LEFT(B124,4)&lt;&gt;"    ",0,IF(P124&lt;0,P124,IF(U124&gt;0.3,W124-X124,0)))</f>
        <v/>
      </c>
      <c r="Z124" s="71">
        <f>Y124</f>
        <v/>
      </c>
      <c r="AA124" s="71" t="n"/>
      <c r="AB124" s="109" t="n"/>
      <c r="AC124" s="9">
        <f>IF(LEFT(B124,4)&lt;&gt;"    ",0,BK124)</f>
        <v/>
      </c>
      <c r="AD124" s="9">
        <f>Z124-AC124</f>
        <v/>
      </c>
      <c r="AE124" s="10" t="n"/>
      <c r="AF124" s="24" t="n"/>
      <c r="AG124" s="11" t="n"/>
      <c r="AH124" s="8" t="n"/>
      <c r="AI124" s="9">
        <f>IF(LEFT(B124,4)&lt;&gt;"    ","",AG124-AH124)</f>
        <v/>
      </c>
      <c r="AJ124" s="9" t="n"/>
      <c r="AK124" s="10" t="n"/>
      <c r="AL124" s="11">
        <f>IF(LEFT(B124,4)&lt;&gt;"    ","",W124-AG124)</f>
        <v/>
      </c>
      <c r="AM124" s="8">
        <f>IF(LEFT(B124,4)&lt;&gt;"    ","",X124-AH124)</f>
        <v/>
      </c>
      <c r="AN124" s="9">
        <f>IF(LEFT(B124,4)&lt;&gt;"    ","",Y124-AI124)</f>
        <v/>
      </c>
      <c r="AO124" s="9">
        <f>IF(LEFT(B124,4)&lt;&gt;"    ","",Z124-AJ124)</f>
        <v/>
      </c>
      <c r="AP124" s="10" t="n"/>
      <c r="AQ124" s="25">
        <f>IF(LEFT(B124,4)&lt;&gt;"    ","",I124-W124)</f>
        <v/>
      </c>
      <c r="AR124" s="25">
        <f>M124-X124</f>
        <v/>
      </c>
      <c r="AS124" s="25">
        <f>IF(LEFT(B124,4)&lt;&gt;"    ","",P124-Z124)</f>
        <v/>
      </c>
      <c r="AT124" s="10" t="n"/>
      <c r="AU124" s="12" t="n"/>
      <c r="AV124" s="12">
        <f>IF(LEFT(B124,4)&lt;&gt;"    ","",IF(W124-AU124&gt;=0,W124-AU124," "))</f>
        <v/>
      </c>
      <c r="AW124" s="12">
        <f>IF(LEFT(B124,4)&lt;&gt;"    ","",IF(AU124-W124&gt;=0,AU124-W124," "))</f>
        <v/>
      </c>
      <c r="AX124" s="186" t="n"/>
      <c r="AY124" s="187" t="n"/>
      <c r="AZ124" s="186" t="n"/>
      <c r="BA124" s="186" t="n"/>
      <c r="BB124" s="188" t="n"/>
      <c r="BC124" s="187" t="n"/>
      <c r="BD124" s="187" t="n"/>
      <c r="BE124" s="186" t="n"/>
      <c r="BF124" s="186" t="n"/>
      <c r="BG124" s="186" t="n"/>
      <c r="BH124" s="186" t="n"/>
      <c r="BI124" s="186" t="n"/>
      <c r="BJ124" s="186" t="n"/>
      <c r="BK124" s="186" t="n"/>
      <c r="BL124" s="186" t="n"/>
      <c r="BM124" s="186" t="n"/>
      <c r="BN124" s="186" t="n"/>
      <c r="BO124" s="186" t="n"/>
      <c r="BP124" s="186" t="n"/>
      <c r="BQ124" s="186" t="n"/>
      <c r="BR124" s="186" t="n"/>
      <c r="BS124" s="186" t="n"/>
      <c r="BT124" s="186" t="n"/>
      <c r="BU124" s="186" t="n"/>
      <c r="BV124" s="186" t="n"/>
      <c r="BW124" s="186" t="n"/>
      <c r="BX124" s="186" t="n"/>
      <c r="BY124" s="186" t="n"/>
      <c r="BZ124" s="189" t="n"/>
      <c r="CA124" s="189" t="n"/>
      <c r="CB124" s="189" t="n"/>
      <c r="CC124" s="190" t="n"/>
      <c r="CD124" s="186" t="n"/>
      <c r="CE124" s="186" t="n"/>
      <c r="CF124" s="186" t="n"/>
      <c r="CG124" s="186" t="n"/>
      <c r="CH124" s="186" t="n"/>
      <c r="CI124" s="191" t="n"/>
      <c r="CJ124" s="192" t="n"/>
      <c r="CK124" s="192" t="n"/>
      <c r="CL124" s="192" t="n"/>
      <c r="CM124" s="192" t="n"/>
    </row>
    <row r="125">
      <c r="A125" s="177" t="n"/>
      <c r="B125" s="178" t="n"/>
      <c r="C125" s="178" t="n"/>
      <c r="D125" s="179" t="n"/>
      <c r="E125" s="180" t="n"/>
      <c r="F125" s="181" t="n"/>
      <c r="G125" s="182" t="n"/>
      <c r="H125" s="105" t="n"/>
      <c r="I125" s="183">
        <f>F125</f>
        <v/>
      </c>
      <c r="J125" s="184" t="n"/>
      <c r="K125" s="185" t="n"/>
      <c r="L125" s="8" t="n"/>
      <c r="M125" s="184">
        <f>L125</f>
        <v/>
      </c>
      <c r="N125" s="71" t="n"/>
      <c r="O125" s="101" t="n"/>
      <c r="P125" s="9">
        <f>I125-M125</f>
        <v/>
      </c>
      <c r="Q125" s="9">
        <f>IF(LEFT(B125,4)&lt;&gt;"    ",0,BN125)</f>
        <v/>
      </c>
      <c r="R125" s="9">
        <f>+P125-Q125</f>
        <v/>
      </c>
      <c r="S125" s="281" t="n"/>
      <c r="T125" s="10" t="n"/>
      <c r="U125" s="23">
        <f>IF(LEFT(B125,4)&lt;&gt;"    ","",IF(M125&lt;&gt;0,X125/M125,0))</f>
        <v/>
      </c>
      <c r="V125" s="11">
        <f>IF(LEFT(B125,4)&lt;&gt;"    ","",U125*I125)</f>
        <v/>
      </c>
      <c r="W125" s="11">
        <f>IF(LEFT(B125,4)&lt;&gt;"    ","",X125+Z125)</f>
        <v/>
      </c>
      <c r="X125" s="8" t="n"/>
      <c r="Y125" s="9">
        <f>IF(LEFT(B125,4)&lt;&gt;"    ",0,IF(P125&lt;0,P125,IF(U125&gt;0.3,W125-X125,0)))</f>
        <v/>
      </c>
      <c r="Z125" s="71">
        <f>Y125</f>
        <v/>
      </c>
      <c r="AA125" s="71" t="n"/>
      <c r="AB125" s="109" t="n"/>
      <c r="AC125" s="9">
        <f>IF(LEFT(B125,4)&lt;&gt;"    ",0,BK125)</f>
        <v/>
      </c>
      <c r="AD125" s="9">
        <f>Z125-AC125</f>
        <v/>
      </c>
      <c r="AE125" s="10" t="n"/>
      <c r="AF125" s="24" t="n"/>
      <c r="AG125" s="11" t="n"/>
      <c r="AH125" s="8" t="n"/>
      <c r="AI125" s="9">
        <f>IF(LEFT(B125,4)&lt;&gt;"    ","",AG125-AH125)</f>
        <v/>
      </c>
      <c r="AJ125" s="9" t="n"/>
      <c r="AK125" s="10" t="n"/>
      <c r="AL125" s="11">
        <f>IF(LEFT(B125,4)&lt;&gt;"    ","",W125-AG125)</f>
        <v/>
      </c>
      <c r="AM125" s="8">
        <f>IF(LEFT(B125,4)&lt;&gt;"    ","",X125-AH125)</f>
        <v/>
      </c>
      <c r="AN125" s="9">
        <f>IF(LEFT(B125,4)&lt;&gt;"    ","",Y125-AI125)</f>
        <v/>
      </c>
      <c r="AO125" s="9">
        <f>IF(LEFT(B125,4)&lt;&gt;"    ","",Z125-AJ125)</f>
        <v/>
      </c>
      <c r="AP125" s="10" t="n"/>
      <c r="AQ125" s="25">
        <f>IF(LEFT(B125,4)&lt;&gt;"    ","",I125-W125)</f>
        <v/>
      </c>
      <c r="AR125" s="25">
        <f>M125-X125</f>
        <v/>
      </c>
      <c r="AS125" s="25">
        <f>IF(LEFT(B125,4)&lt;&gt;"    ","",P125-Z125)</f>
        <v/>
      </c>
      <c r="AT125" s="10" t="n"/>
      <c r="AU125" s="12" t="n"/>
      <c r="AV125" s="12">
        <f>IF(LEFT(B125,4)&lt;&gt;"    ","",IF(W125-AU125&gt;=0,W125-AU125," "))</f>
        <v/>
      </c>
      <c r="AW125" s="12">
        <f>IF(LEFT(B125,4)&lt;&gt;"    ","",IF(AU125-W125&gt;=0,AU125-W125," "))</f>
        <v/>
      </c>
      <c r="AX125" s="186" t="n"/>
      <c r="AY125" s="187" t="n"/>
      <c r="AZ125" s="186" t="n"/>
      <c r="BA125" s="186" t="n"/>
      <c r="BB125" s="188" t="n"/>
      <c r="BC125" s="187" t="n"/>
      <c r="BD125" s="187" t="n"/>
      <c r="BE125" s="186" t="n"/>
      <c r="BF125" s="186" t="n"/>
      <c r="BG125" s="186" t="n"/>
      <c r="BH125" s="186" t="n"/>
      <c r="BI125" s="186" t="n"/>
      <c r="BJ125" s="186" t="n"/>
      <c r="BK125" s="186" t="n"/>
      <c r="BL125" s="186" t="n"/>
      <c r="BM125" s="186" t="n"/>
      <c r="BN125" s="186" t="n"/>
      <c r="BO125" s="186" t="n"/>
      <c r="BP125" s="186" t="n"/>
      <c r="BQ125" s="186" t="n"/>
      <c r="BR125" s="186" t="n"/>
      <c r="BS125" s="186" t="n"/>
      <c r="BT125" s="186" t="n"/>
      <c r="BU125" s="186" t="n"/>
      <c r="BV125" s="186" t="n"/>
      <c r="BW125" s="186" t="n"/>
      <c r="BX125" s="186" t="n"/>
      <c r="BY125" s="186" t="n"/>
      <c r="BZ125" s="189" t="n"/>
      <c r="CA125" s="189" t="n"/>
      <c r="CB125" s="189" t="n"/>
      <c r="CC125" s="190" t="n"/>
      <c r="CD125" s="186" t="n"/>
      <c r="CE125" s="186" t="n"/>
      <c r="CF125" s="186" t="n"/>
      <c r="CG125" s="186" t="n"/>
      <c r="CH125" s="186" t="n"/>
      <c r="CI125" s="191" t="n"/>
      <c r="CJ125" s="192" t="n"/>
      <c r="CK125" s="192" t="n"/>
      <c r="CL125" s="192" t="n"/>
      <c r="CM125" s="192" t="n"/>
    </row>
    <row r="126">
      <c r="A126" s="177" t="n"/>
      <c r="B126" s="178" t="n"/>
      <c r="C126" s="178" t="n"/>
      <c r="D126" s="179" t="n"/>
      <c r="E126" s="180" t="n"/>
      <c r="F126" s="181" t="n"/>
      <c r="G126" s="182" t="n"/>
      <c r="H126" s="105" t="n"/>
      <c r="I126" s="183">
        <f>F126</f>
        <v/>
      </c>
      <c r="J126" s="184" t="n"/>
      <c r="K126" s="185" t="n"/>
      <c r="L126" s="8" t="n"/>
      <c r="M126" s="184">
        <f>L126</f>
        <v/>
      </c>
      <c r="N126" s="71" t="n"/>
      <c r="O126" s="101" t="n"/>
      <c r="P126" s="9">
        <f>I126-M126</f>
        <v/>
      </c>
      <c r="Q126" s="9">
        <f>IF(LEFT(B126,4)&lt;&gt;"    ",0,BN126)</f>
        <v/>
      </c>
      <c r="R126" s="9">
        <f>+P126-Q126</f>
        <v/>
      </c>
      <c r="S126" s="281" t="n"/>
      <c r="T126" s="10" t="n"/>
      <c r="U126" s="23">
        <f>IF(LEFT(B126,4)&lt;&gt;"    ","",IF(M126&lt;&gt;0,X126/M126,0))</f>
        <v/>
      </c>
      <c r="V126" s="11">
        <f>IF(LEFT(B126,4)&lt;&gt;"    ","",U126*I126)</f>
        <v/>
      </c>
      <c r="W126" s="11">
        <f>IF(LEFT(B126,4)&lt;&gt;"    ","",X126+Z126)</f>
        <v/>
      </c>
      <c r="X126" s="8" t="n"/>
      <c r="Y126" s="9">
        <f>IF(LEFT(B126,4)&lt;&gt;"    ",0,IF(P126&lt;0,P126,IF(U126&gt;0.3,W126-X126,0)))</f>
        <v/>
      </c>
      <c r="Z126" s="71">
        <f>Y126</f>
        <v/>
      </c>
      <c r="AA126" s="71" t="n"/>
      <c r="AB126" s="109" t="n"/>
      <c r="AC126" s="9">
        <f>IF(LEFT(B126,4)&lt;&gt;"    ",0,BK126)</f>
        <v/>
      </c>
      <c r="AD126" s="9">
        <f>Z126-AC126</f>
        <v/>
      </c>
      <c r="AE126" s="10" t="n"/>
      <c r="AF126" s="24" t="n"/>
      <c r="AG126" s="11" t="n"/>
      <c r="AH126" s="8" t="n"/>
      <c r="AI126" s="9">
        <f>IF(LEFT(B126,4)&lt;&gt;"    ","",AG126-AH126)</f>
        <v/>
      </c>
      <c r="AJ126" s="9" t="n"/>
      <c r="AK126" s="10" t="n"/>
      <c r="AL126" s="11">
        <f>IF(LEFT(B126,4)&lt;&gt;"    ","",W126-AG126)</f>
        <v/>
      </c>
      <c r="AM126" s="8">
        <f>IF(LEFT(B126,4)&lt;&gt;"    ","",X126-AH126)</f>
        <v/>
      </c>
      <c r="AN126" s="9">
        <f>IF(LEFT(B126,4)&lt;&gt;"    ","",Y126-AI126)</f>
        <v/>
      </c>
      <c r="AO126" s="9">
        <f>IF(LEFT(B126,4)&lt;&gt;"    ","",Z126-AJ126)</f>
        <v/>
      </c>
      <c r="AP126" s="10" t="n"/>
      <c r="AQ126" s="25">
        <f>IF(LEFT(B126,4)&lt;&gt;"    ","",I126-W126)</f>
        <v/>
      </c>
      <c r="AR126" s="25">
        <f>M126-X126</f>
        <v/>
      </c>
      <c r="AS126" s="25">
        <f>IF(LEFT(B126,4)&lt;&gt;"    ","",P126-Z126)</f>
        <v/>
      </c>
      <c r="AT126" s="10" t="n"/>
      <c r="AU126" s="12" t="n"/>
      <c r="AV126" s="12">
        <f>IF(LEFT(B126,4)&lt;&gt;"    ","",IF(W126-AU126&gt;=0,W126-AU126," "))</f>
        <v/>
      </c>
      <c r="AW126" s="12">
        <f>IF(LEFT(B126,4)&lt;&gt;"    ","",IF(AU126-W126&gt;=0,AU126-W126," "))</f>
        <v/>
      </c>
      <c r="AX126" s="186" t="n"/>
      <c r="AY126" s="187" t="n"/>
      <c r="AZ126" s="186" t="n"/>
      <c r="BA126" s="186" t="n"/>
      <c r="BB126" s="188" t="n"/>
      <c r="BC126" s="187" t="n"/>
      <c r="BD126" s="187" t="n"/>
      <c r="BE126" s="186" t="n"/>
      <c r="BF126" s="186" t="n"/>
      <c r="BG126" s="186" t="n"/>
      <c r="BH126" s="186" t="n"/>
      <c r="BI126" s="186" t="n"/>
      <c r="BJ126" s="186" t="n"/>
      <c r="BK126" s="186" t="n"/>
      <c r="BL126" s="186" t="n"/>
      <c r="BM126" s="186" t="n"/>
      <c r="BN126" s="186" t="n"/>
      <c r="BO126" s="186" t="n"/>
      <c r="BP126" s="186" t="n"/>
      <c r="BQ126" s="186" t="n"/>
      <c r="BR126" s="186" t="n"/>
      <c r="BS126" s="186" t="n"/>
      <c r="BT126" s="186" t="n"/>
      <c r="BU126" s="186" t="n"/>
      <c r="BV126" s="186" t="n"/>
      <c r="BW126" s="186" t="n"/>
      <c r="BX126" s="186" t="n"/>
      <c r="BY126" s="186" t="n"/>
      <c r="BZ126" s="189" t="n"/>
      <c r="CA126" s="189" t="n"/>
      <c r="CB126" s="189" t="n"/>
      <c r="CC126" s="190" t="n"/>
      <c r="CD126" s="186" t="n"/>
      <c r="CE126" s="186" t="n"/>
      <c r="CF126" s="186" t="n"/>
      <c r="CG126" s="186" t="n"/>
      <c r="CH126" s="186" t="n"/>
      <c r="CI126" s="191" t="n"/>
      <c r="CJ126" s="192" t="n"/>
      <c r="CK126" s="192" t="n"/>
      <c r="CL126" s="192" t="n"/>
      <c r="CM126" s="192" t="n"/>
    </row>
    <row r="127">
      <c r="A127" s="177" t="n"/>
      <c r="B127" s="178" t="n"/>
      <c r="C127" s="178" t="n"/>
      <c r="D127" s="179" t="n"/>
      <c r="E127" s="180" t="n"/>
      <c r="F127" s="181" t="n"/>
      <c r="G127" s="182" t="n"/>
      <c r="H127" s="105" t="n"/>
      <c r="I127" s="183">
        <f>F127</f>
        <v/>
      </c>
      <c r="J127" s="184" t="n"/>
      <c r="K127" s="185" t="n"/>
      <c r="L127" s="8" t="n"/>
      <c r="M127" s="184">
        <f>L127</f>
        <v/>
      </c>
      <c r="N127" s="71" t="n"/>
      <c r="O127" s="101" t="n"/>
      <c r="P127" s="9">
        <f>I127-M127</f>
        <v/>
      </c>
      <c r="Q127" s="9">
        <f>IF(LEFT(B127,4)&lt;&gt;"    ",0,BN127)</f>
        <v/>
      </c>
      <c r="R127" s="9">
        <f>+P127-Q127</f>
        <v/>
      </c>
      <c r="S127" s="281" t="n"/>
      <c r="T127" s="10" t="n"/>
      <c r="U127" s="23">
        <f>IF(LEFT(B127,4)&lt;&gt;"    ","",IF(M127&lt;&gt;0,X127/M127,0))</f>
        <v/>
      </c>
      <c r="V127" s="11">
        <f>IF(LEFT(B127,4)&lt;&gt;"    ","",U127*I127)</f>
        <v/>
      </c>
      <c r="W127" s="11">
        <f>IF(LEFT(B127,4)&lt;&gt;"    ","",X127+Z127)</f>
        <v/>
      </c>
      <c r="X127" s="8" t="n"/>
      <c r="Y127" s="9">
        <f>IF(LEFT(B127,4)&lt;&gt;"    ",0,IF(P127&lt;0,P127,IF(U127&gt;0.3,W127-X127,0)))</f>
        <v/>
      </c>
      <c r="Z127" s="71">
        <f>Y127</f>
        <v/>
      </c>
      <c r="AA127" s="71" t="n"/>
      <c r="AB127" s="109" t="n"/>
      <c r="AC127" s="9">
        <f>IF(LEFT(B127,4)&lt;&gt;"    ",0,BK127)</f>
        <v/>
      </c>
      <c r="AD127" s="9">
        <f>Z127-AC127</f>
        <v/>
      </c>
      <c r="AE127" s="10" t="n"/>
      <c r="AF127" s="24" t="n"/>
      <c r="AG127" s="11" t="n"/>
      <c r="AH127" s="8" t="n"/>
      <c r="AI127" s="9">
        <f>IF(LEFT(B127,4)&lt;&gt;"    ","",AG127-AH127)</f>
        <v/>
      </c>
      <c r="AJ127" s="9" t="n"/>
      <c r="AK127" s="10" t="n"/>
      <c r="AL127" s="11">
        <f>IF(LEFT(B127,4)&lt;&gt;"    ","",W127-AG127)</f>
        <v/>
      </c>
      <c r="AM127" s="8">
        <f>IF(LEFT(B127,4)&lt;&gt;"    ","",X127-AH127)</f>
        <v/>
      </c>
      <c r="AN127" s="9">
        <f>IF(LEFT(B127,4)&lt;&gt;"    ","",Y127-AI127)</f>
        <v/>
      </c>
      <c r="AO127" s="9">
        <f>IF(LEFT(B127,4)&lt;&gt;"    ","",Z127-AJ127)</f>
        <v/>
      </c>
      <c r="AP127" s="10" t="n"/>
      <c r="AQ127" s="25">
        <f>IF(LEFT(B127,4)&lt;&gt;"    ","",I127-W127)</f>
        <v/>
      </c>
      <c r="AR127" s="25">
        <f>M127-X127</f>
        <v/>
      </c>
      <c r="AS127" s="25">
        <f>IF(LEFT(B127,4)&lt;&gt;"    ","",P127-Z127)</f>
        <v/>
      </c>
      <c r="AT127" s="10" t="n"/>
      <c r="AU127" s="12" t="n"/>
      <c r="AV127" s="12">
        <f>IF(LEFT(B127,4)&lt;&gt;"    ","",IF(W127-AU127&gt;=0,W127-AU127," "))</f>
        <v/>
      </c>
      <c r="AW127" s="12">
        <f>IF(LEFT(B127,4)&lt;&gt;"    ","",IF(AU127-W127&gt;=0,AU127-W127," "))</f>
        <v/>
      </c>
      <c r="AX127" s="186" t="n"/>
      <c r="AY127" s="187" t="n"/>
      <c r="AZ127" s="186" t="n"/>
      <c r="BA127" s="186" t="n"/>
      <c r="BB127" s="188" t="n"/>
      <c r="BC127" s="187" t="n"/>
      <c r="BD127" s="187" t="n"/>
      <c r="BE127" s="186" t="n"/>
      <c r="BF127" s="186" t="n"/>
      <c r="BG127" s="186" t="n"/>
      <c r="BH127" s="186" t="n"/>
      <c r="BI127" s="186" t="n"/>
      <c r="BJ127" s="186" t="n"/>
      <c r="BK127" s="186" t="n"/>
      <c r="BL127" s="186" t="n"/>
      <c r="BM127" s="186" t="n"/>
      <c r="BN127" s="186" t="n"/>
      <c r="BO127" s="186" t="n"/>
      <c r="BP127" s="186" t="n"/>
      <c r="BQ127" s="186" t="n"/>
      <c r="BR127" s="186" t="n"/>
      <c r="BS127" s="186" t="n"/>
      <c r="BT127" s="186" t="n"/>
      <c r="BU127" s="186" t="n"/>
      <c r="BV127" s="186" t="n"/>
      <c r="BW127" s="186" t="n"/>
      <c r="BX127" s="186" t="n"/>
      <c r="BY127" s="186" t="n"/>
      <c r="BZ127" s="189" t="n"/>
      <c r="CA127" s="189" t="n"/>
      <c r="CB127" s="189" t="n"/>
      <c r="CC127" s="190" t="n"/>
      <c r="CD127" s="186" t="n"/>
      <c r="CE127" s="186" t="n"/>
      <c r="CF127" s="186" t="n"/>
      <c r="CG127" s="186" t="n"/>
      <c r="CH127" s="186" t="n"/>
      <c r="CI127" s="191" t="n"/>
      <c r="CJ127" s="192" t="n"/>
      <c r="CK127" s="192" t="n"/>
      <c r="CL127" s="192" t="n"/>
      <c r="CM127" s="192" t="n"/>
    </row>
    <row r="128">
      <c r="A128" s="177" t="n"/>
      <c r="B128" s="178" t="n"/>
      <c r="C128" s="178" t="n"/>
      <c r="D128" s="179" t="n"/>
      <c r="E128" s="180" t="n"/>
      <c r="F128" s="181" t="n"/>
      <c r="G128" s="182" t="n"/>
      <c r="H128" s="105" t="n"/>
      <c r="I128" s="183">
        <f>F128</f>
        <v/>
      </c>
      <c r="J128" s="184" t="n"/>
      <c r="K128" s="185" t="n"/>
      <c r="L128" s="8" t="n"/>
      <c r="M128" s="184">
        <f>L128</f>
        <v/>
      </c>
      <c r="N128" s="71" t="n"/>
      <c r="O128" s="101" t="n"/>
      <c r="P128" s="9">
        <f>I128-M128</f>
        <v/>
      </c>
      <c r="Q128" s="9">
        <f>IF(LEFT(B128,4)&lt;&gt;"    ",0,BN128)</f>
        <v/>
      </c>
      <c r="R128" s="9">
        <f>+P128-Q128</f>
        <v/>
      </c>
      <c r="S128" s="281" t="n"/>
      <c r="T128" s="10" t="n"/>
      <c r="U128" s="23">
        <f>IF(LEFT(B128,4)&lt;&gt;"    ","",IF(M128&lt;&gt;0,X128/M128,0))</f>
        <v/>
      </c>
      <c r="V128" s="11">
        <f>IF(LEFT(B128,4)&lt;&gt;"    ","",U128*I128)</f>
        <v/>
      </c>
      <c r="W128" s="11">
        <f>IF(LEFT(B128,4)&lt;&gt;"    ","",X128+Z128)</f>
        <v/>
      </c>
      <c r="X128" s="8" t="n"/>
      <c r="Y128" s="9">
        <f>IF(LEFT(B128,4)&lt;&gt;"    ",0,IF(P128&lt;0,P128,IF(U128&gt;0.3,W128-X128,0)))</f>
        <v/>
      </c>
      <c r="Z128" s="71">
        <f>Y128</f>
        <v/>
      </c>
      <c r="AA128" s="71" t="n"/>
      <c r="AB128" s="109" t="n"/>
      <c r="AC128" s="9">
        <f>IF(LEFT(B128,4)&lt;&gt;"    ",0,BK128)</f>
        <v/>
      </c>
      <c r="AD128" s="9">
        <f>Z128-AC128</f>
        <v/>
      </c>
      <c r="AE128" s="10" t="n"/>
      <c r="AF128" s="24" t="n"/>
      <c r="AG128" s="11" t="n"/>
      <c r="AH128" s="8" t="n"/>
      <c r="AI128" s="9">
        <f>IF(LEFT(B128,4)&lt;&gt;"    ","",AG128-AH128)</f>
        <v/>
      </c>
      <c r="AJ128" s="9" t="n"/>
      <c r="AK128" s="10" t="n"/>
      <c r="AL128" s="11">
        <f>IF(LEFT(B128,4)&lt;&gt;"    ","",W128-AG128)</f>
        <v/>
      </c>
      <c r="AM128" s="8">
        <f>IF(LEFT(B128,4)&lt;&gt;"    ","",X128-AH128)</f>
        <v/>
      </c>
      <c r="AN128" s="9">
        <f>IF(LEFT(B128,4)&lt;&gt;"    ","",Y128-AI128)</f>
        <v/>
      </c>
      <c r="AO128" s="9">
        <f>IF(LEFT(B128,4)&lt;&gt;"    ","",Z128-AJ128)</f>
        <v/>
      </c>
      <c r="AP128" s="10" t="n"/>
      <c r="AQ128" s="25">
        <f>IF(LEFT(B128,4)&lt;&gt;"    ","",I128-W128)</f>
        <v/>
      </c>
      <c r="AR128" s="25">
        <f>M128-X128</f>
        <v/>
      </c>
      <c r="AS128" s="25">
        <f>IF(LEFT(B128,4)&lt;&gt;"    ","",P128-Z128)</f>
        <v/>
      </c>
      <c r="AT128" s="10" t="n"/>
      <c r="AU128" s="12" t="n"/>
      <c r="AV128" s="12">
        <f>IF(LEFT(B128,4)&lt;&gt;"    ","",IF(W128-AU128&gt;=0,W128-AU128," "))</f>
        <v/>
      </c>
      <c r="AW128" s="12">
        <f>IF(LEFT(B128,4)&lt;&gt;"    ","",IF(AU128-W128&gt;=0,AU128-W128," "))</f>
        <v/>
      </c>
      <c r="AX128" s="186" t="n"/>
      <c r="AY128" s="187" t="n"/>
      <c r="AZ128" s="186" t="n"/>
      <c r="BA128" s="186" t="n"/>
      <c r="BB128" s="188" t="n"/>
      <c r="BC128" s="187" t="n"/>
      <c r="BD128" s="187" t="n"/>
      <c r="BE128" s="186" t="n"/>
      <c r="BF128" s="186" t="n"/>
      <c r="BG128" s="186" t="n"/>
      <c r="BH128" s="186" t="n"/>
      <c r="BI128" s="186" t="n"/>
      <c r="BJ128" s="186" t="n"/>
      <c r="BK128" s="186" t="n"/>
      <c r="BL128" s="186" t="n"/>
      <c r="BM128" s="186" t="n"/>
      <c r="BN128" s="186" t="n"/>
      <c r="BO128" s="186" t="n"/>
      <c r="BP128" s="186" t="n"/>
      <c r="BQ128" s="186" t="n"/>
      <c r="BR128" s="186" t="n"/>
      <c r="BS128" s="186" t="n"/>
      <c r="BT128" s="186" t="n"/>
      <c r="BU128" s="186" t="n"/>
      <c r="BV128" s="186" t="n"/>
      <c r="BW128" s="186" t="n"/>
      <c r="BX128" s="186" t="n"/>
      <c r="BY128" s="186" t="n"/>
      <c r="BZ128" s="189" t="n"/>
      <c r="CA128" s="189" t="n"/>
      <c r="CB128" s="189" t="n"/>
      <c r="CC128" s="190" t="n"/>
      <c r="CD128" s="186" t="n"/>
      <c r="CE128" s="186" t="n"/>
      <c r="CF128" s="186" t="n"/>
      <c r="CG128" s="186" t="n"/>
      <c r="CH128" s="186" t="n"/>
      <c r="CI128" s="191" t="n"/>
      <c r="CJ128" s="192" t="n"/>
      <c r="CK128" s="192" t="n"/>
      <c r="CL128" s="192" t="n"/>
      <c r="CM128" s="192" t="n"/>
    </row>
    <row r="129">
      <c r="A129" s="177" t="n"/>
      <c r="B129" s="178" t="n"/>
      <c r="C129" s="178" t="n"/>
      <c r="D129" s="179" t="n"/>
      <c r="E129" s="180" t="n"/>
      <c r="F129" s="181" t="n"/>
      <c r="G129" s="182" t="n"/>
      <c r="H129" s="105" t="n"/>
      <c r="I129" s="183">
        <f>F129</f>
        <v/>
      </c>
      <c r="J129" s="184" t="n"/>
      <c r="K129" s="185" t="n"/>
      <c r="L129" s="8" t="n"/>
      <c r="M129" s="184">
        <f>L129</f>
        <v/>
      </c>
      <c r="N129" s="71" t="n"/>
      <c r="O129" s="101" t="n"/>
      <c r="P129" s="9">
        <f>I129-M129</f>
        <v/>
      </c>
      <c r="Q129" s="9">
        <f>IF(LEFT(B129,4)&lt;&gt;"    ",0,BN129)</f>
        <v/>
      </c>
      <c r="R129" s="9">
        <f>+P129-Q129</f>
        <v/>
      </c>
      <c r="S129" s="281" t="n"/>
      <c r="T129" s="10" t="n"/>
      <c r="U129" s="23">
        <f>IF(LEFT(B129,4)&lt;&gt;"    ","",IF(M129&lt;&gt;0,X129/M129,0))</f>
        <v/>
      </c>
      <c r="V129" s="11">
        <f>IF(LEFT(B129,4)&lt;&gt;"    ","",U129*I129)</f>
        <v/>
      </c>
      <c r="W129" s="11">
        <f>IF(LEFT(B129,4)&lt;&gt;"    ","",X129+Z129)</f>
        <v/>
      </c>
      <c r="X129" s="8" t="n"/>
      <c r="Y129" s="9">
        <f>IF(LEFT(B129,4)&lt;&gt;"    ",0,IF(P129&lt;0,P129,IF(U129&gt;0.3,W129-X129,0)))</f>
        <v/>
      </c>
      <c r="Z129" s="71">
        <f>Y129</f>
        <v/>
      </c>
      <c r="AA129" s="71" t="n"/>
      <c r="AB129" s="109" t="n"/>
      <c r="AC129" s="9">
        <f>IF(LEFT(B129,4)&lt;&gt;"    ",0,BK129)</f>
        <v/>
      </c>
      <c r="AD129" s="9">
        <f>Z129-AC129</f>
        <v/>
      </c>
      <c r="AE129" s="10" t="n"/>
      <c r="AF129" s="24" t="n"/>
      <c r="AG129" s="11" t="n"/>
      <c r="AH129" s="8" t="n"/>
      <c r="AI129" s="9">
        <f>IF(LEFT(B129,4)&lt;&gt;"    ","",AG129-AH129)</f>
        <v/>
      </c>
      <c r="AJ129" s="9" t="n"/>
      <c r="AK129" s="10" t="n"/>
      <c r="AL129" s="11">
        <f>IF(LEFT(B129,4)&lt;&gt;"    ","",W129-AG129)</f>
        <v/>
      </c>
      <c r="AM129" s="8">
        <f>IF(LEFT(B129,4)&lt;&gt;"    ","",X129-AH129)</f>
        <v/>
      </c>
      <c r="AN129" s="9">
        <f>IF(LEFT(B129,4)&lt;&gt;"    ","",Y129-AI129)</f>
        <v/>
      </c>
      <c r="AO129" s="9">
        <f>IF(LEFT(B129,4)&lt;&gt;"    ","",Z129-AJ129)</f>
        <v/>
      </c>
      <c r="AP129" s="10" t="n"/>
      <c r="AQ129" s="25">
        <f>IF(LEFT(B129,4)&lt;&gt;"    ","",I129-W129)</f>
        <v/>
      </c>
      <c r="AR129" s="25">
        <f>M129-X129</f>
        <v/>
      </c>
      <c r="AS129" s="25">
        <f>IF(LEFT(B129,4)&lt;&gt;"    ","",P129-Z129)</f>
        <v/>
      </c>
      <c r="AT129" s="10" t="n"/>
      <c r="AU129" s="12" t="n"/>
      <c r="AV129" s="12">
        <f>IF(LEFT(B129,4)&lt;&gt;"    ","",IF(W129-AU129&gt;=0,W129-AU129," "))</f>
        <v/>
      </c>
      <c r="AW129" s="12">
        <f>IF(LEFT(B129,4)&lt;&gt;"    ","",IF(AU129-W129&gt;=0,AU129-W129," "))</f>
        <v/>
      </c>
      <c r="AX129" s="186" t="n"/>
      <c r="AY129" s="187" t="n"/>
      <c r="AZ129" s="186" t="n"/>
      <c r="BA129" s="186" t="n"/>
      <c r="BB129" s="188" t="n"/>
      <c r="BC129" s="187" t="n"/>
      <c r="BD129" s="187" t="n"/>
      <c r="BE129" s="186" t="n"/>
      <c r="BF129" s="186" t="n"/>
      <c r="BG129" s="186" t="n"/>
      <c r="BH129" s="186" t="n"/>
      <c r="BI129" s="186" t="n"/>
      <c r="BJ129" s="186" t="n"/>
      <c r="BK129" s="186" t="n"/>
      <c r="BL129" s="186" t="n"/>
      <c r="BM129" s="186" t="n"/>
      <c r="BN129" s="186" t="n"/>
      <c r="BO129" s="186" t="n"/>
      <c r="BP129" s="186" t="n"/>
      <c r="BQ129" s="186" t="n"/>
      <c r="BR129" s="186" t="n"/>
      <c r="BS129" s="186" t="n"/>
      <c r="BT129" s="186" t="n"/>
      <c r="BU129" s="186" t="n"/>
      <c r="BV129" s="186" t="n"/>
      <c r="BW129" s="186" t="n"/>
      <c r="BX129" s="186" t="n"/>
      <c r="BY129" s="186" t="n"/>
      <c r="BZ129" s="189" t="n"/>
      <c r="CA129" s="189" t="n"/>
      <c r="CB129" s="189" t="n"/>
      <c r="CC129" s="190" t="n"/>
      <c r="CD129" s="186" t="n"/>
      <c r="CE129" s="186" t="n"/>
      <c r="CF129" s="186" t="n"/>
      <c r="CG129" s="186" t="n"/>
      <c r="CH129" s="186" t="n"/>
      <c r="CI129" s="191" t="n"/>
      <c r="CJ129" s="192" t="n"/>
      <c r="CK129" s="192" t="n"/>
      <c r="CL129" s="192" t="n"/>
      <c r="CM129" s="192" t="n"/>
    </row>
    <row r="130">
      <c r="A130" s="177" t="n"/>
      <c r="B130" s="178" t="n"/>
      <c r="C130" s="178" t="n"/>
      <c r="D130" s="179" t="n"/>
      <c r="E130" s="180" t="n"/>
      <c r="F130" s="181" t="n"/>
      <c r="G130" s="182" t="n"/>
      <c r="H130" s="105" t="n"/>
      <c r="I130" s="183">
        <f>F130</f>
        <v/>
      </c>
      <c r="J130" s="184" t="n"/>
      <c r="K130" s="185" t="n"/>
      <c r="L130" s="8" t="n"/>
      <c r="M130" s="184">
        <f>L130</f>
        <v/>
      </c>
      <c r="N130" s="71" t="n"/>
      <c r="O130" s="101" t="n"/>
      <c r="P130" s="9">
        <f>I130-M130</f>
        <v/>
      </c>
      <c r="Q130" s="9">
        <f>IF(LEFT(B130,4)&lt;&gt;"    ",0,BN130)</f>
        <v/>
      </c>
      <c r="R130" s="9">
        <f>+P130-Q130</f>
        <v/>
      </c>
      <c r="S130" s="281" t="n"/>
      <c r="T130" s="10" t="n"/>
      <c r="U130" s="23">
        <f>IF(LEFT(B130,4)&lt;&gt;"    ","",IF(M130&lt;&gt;0,X130/M130,0))</f>
        <v/>
      </c>
      <c r="V130" s="11">
        <f>IF(LEFT(B130,4)&lt;&gt;"    ","",U130*I130)</f>
        <v/>
      </c>
      <c r="W130" s="11">
        <f>IF(LEFT(B130,4)&lt;&gt;"    ","",X130+Z130)</f>
        <v/>
      </c>
      <c r="X130" s="8" t="n"/>
      <c r="Y130" s="9">
        <f>IF(LEFT(B130,4)&lt;&gt;"    ",0,IF(P130&lt;0,P130,IF(U130&gt;0.3,W130-X130,0)))</f>
        <v/>
      </c>
      <c r="Z130" s="71">
        <f>Y130</f>
        <v/>
      </c>
      <c r="AA130" s="71" t="n"/>
      <c r="AB130" s="109" t="n"/>
      <c r="AC130" s="9">
        <f>IF(LEFT(B130,4)&lt;&gt;"    ",0,BK130)</f>
        <v/>
      </c>
      <c r="AD130" s="9">
        <f>Z130-AC130</f>
        <v/>
      </c>
      <c r="AE130" s="10" t="n"/>
      <c r="AF130" s="24" t="n"/>
      <c r="AG130" s="11" t="n"/>
      <c r="AH130" s="8" t="n"/>
      <c r="AI130" s="9">
        <f>IF(LEFT(B130,4)&lt;&gt;"    ","",AG130-AH130)</f>
        <v/>
      </c>
      <c r="AJ130" s="9" t="n"/>
      <c r="AK130" s="10" t="n"/>
      <c r="AL130" s="11">
        <f>IF(LEFT(B130,4)&lt;&gt;"    ","",W130-AG130)</f>
        <v/>
      </c>
      <c r="AM130" s="8">
        <f>IF(LEFT(B130,4)&lt;&gt;"    ","",X130-AH130)</f>
        <v/>
      </c>
      <c r="AN130" s="9">
        <f>IF(LEFT(B130,4)&lt;&gt;"    ","",Y130-AI130)</f>
        <v/>
      </c>
      <c r="AO130" s="9">
        <f>IF(LEFT(B130,4)&lt;&gt;"    ","",Z130-AJ130)</f>
        <v/>
      </c>
      <c r="AP130" s="10" t="n"/>
      <c r="AQ130" s="25">
        <f>IF(LEFT(B130,4)&lt;&gt;"    ","",I130-W130)</f>
        <v/>
      </c>
      <c r="AR130" s="25">
        <f>M130-X130</f>
        <v/>
      </c>
      <c r="AS130" s="25">
        <f>IF(LEFT(B130,4)&lt;&gt;"    ","",P130-Z130)</f>
        <v/>
      </c>
      <c r="AT130" s="10" t="n"/>
      <c r="AU130" s="12" t="n"/>
      <c r="AV130" s="12">
        <f>IF(LEFT(B130,4)&lt;&gt;"    ","",IF(W130-AU130&gt;=0,W130-AU130," "))</f>
        <v/>
      </c>
      <c r="AW130" s="12">
        <f>IF(LEFT(B130,4)&lt;&gt;"    ","",IF(AU130-W130&gt;=0,AU130-W130," "))</f>
        <v/>
      </c>
      <c r="AX130" s="186" t="n"/>
      <c r="AY130" s="187" t="n"/>
      <c r="AZ130" s="186" t="n"/>
      <c r="BA130" s="186" t="n"/>
      <c r="BB130" s="188" t="n"/>
      <c r="BC130" s="187" t="n"/>
      <c r="BD130" s="187" t="n"/>
      <c r="BE130" s="186" t="n"/>
      <c r="BF130" s="186" t="n"/>
      <c r="BG130" s="186" t="n"/>
      <c r="BH130" s="186" t="n"/>
      <c r="BI130" s="186" t="n"/>
      <c r="BJ130" s="186" t="n"/>
      <c r="BK130" s="186" t="n"/>
      <c r="BL130" s="186" t="n"/>
      <c r="BM130" s="186" t="n"/>
      <c r="BN130" s="186" t="n"/>
      <c r="BO130" s="186" t="n"/>
      <c r="BP130" s="186" t="n"/>
      <c r="BQ130" s="186" t="n"/>
      <c r="BR130" s="186" t="n"/>
      <c r="BS130" s="186" t="n"/>
      <c r="BT130" s="186" t="n"/>
      <c r="BU130" s="186" t="n"/>
      <c r="BV130" s="186" t="n"/>
      <c r="BW130" s="186" t="n"/>
      <c r="BX130" s="186" t="n"/>
      <c r="BY130" s="186" t="n"/>
      <c r="BZ130" s="189" t="n"/>
      <c r="CA130" s="189" t="n"/>
      <c r="CB130" s="189" t="n"/>
      <c r="CC130" s="190" t="n"/>
      <c r="CD130" s="186" t="n"/>
      <c r="CE130" s="186" t="n"/>
      <c r="CF130" s="186" t="n"/>
      <c r="CG130" s="186" t="n"/>
      <c r="CH130" s="186" t="n"/>
      <c r="CI130" s="191" t="n"/>
      <c r="CJ130" s="192" t="n"/>
      <c r="CK130" s="192" t="n"/>
      <c r="CL130" s="192" t="n"/>
      <c r="CM130" s="192" t="n"/>
    </row>
    <row r="131">
      <c r="A131" s="177" t="n"/>
      <c r="B131" s="178" t="n"/>
      <c r="C131" s="178" t="n"/>
      <c r="D131" s="179" t="n"/>
      <c r="E131" s="180" t="n"/>
      <c r="F131" s="181" t="n"/>
      <c r="G131" s="182" t="n"/>
      <c r="H131" s="105" t="n"/>
      <c r="I131" s="183">
        <f>F131</f>
        <v/>
      </c>
      <c r="J131" s="184" t="n"/>
      <c r="K131" s="185" t="n"/>
      <c r="L131" s="8" t="n"/>
      <c r="M131" s="184">
        <f>L131</f>
        <v/>
      </c>
      <c r="N131" s="71" t="n"/>
      <c r="O131" s="101" t="n"/>
      <c r="P131" s="9">
        <f>I131-M131</f>
        <v/>
      </c>
      <c r="Q131" s="9">
        <f>IF(LEFT(B131,4)&lt;&gt;"    ",0,BN131)</f>
        <v/>
      </c>
      <c r="R131" s="9">
        <f>+P131-Q131</f>
        <v/>
      </c>
      <c r="S131" s="281" t="n"/>
      <c r="T131" s="10" t="n"/>
      <c r="U131" s="23">
        <f>IF(LEFT(B131,4)&lt;&gt;"    ","",IF(M131&lt;&gt;0,X131/M131,0))</f>
        <v/>
      </c>
      <c r="V131" s="11">
        <f>IF(LEFT(B131,4)&lt;&gt;"    ","",U131*I131)</f>
        <v/>
      </c>
      <c r="W131" s="11">
        <f>IF(LEFT(B131,4)&lt;&gt;"    ","",X131+Z131)</f>
        <v/>
      </c>
      <c r="X131" s="8" t="n"/>
      <c r="Y131" s="9">
        <f>IF(LEFT(B131,4)&lt;&gt;"    ",0,IF(P131&lt;0,P131,IF(U131&gt;0.3,W131-X131,0)))</f>
        <v/>
      </c>
      <c r="Z131" s="71">
        <f>Y131</f>
        <v/>
      </c>
      <c r="AA131" s="71" t="n"/>
      <c r="AB131" s="109" t="n"/>
      <c r="AC131" s="9">
        <f>IF(LEFT(B131,4)&lt;&gt;"    ",0,BK131)</f>
        <v/>
      </c>
      <c r="AD131" s="9">
        <f>Z131-AC131</f>
        <v/>
      </c>
      <c r="AE131" s="10" t="n"/>
      <c r="AF131" s="24" t="n"/>
      <c r="AG131" s="11" t="n"/>
      <c r="AH131" s="8" t="n"/>
      <c r="AI131" s="9">
        <f>IF(LEFT(B131,4)&lt;&gt;"    ","",AG131-AH131)</f>
        <v/>
      </c>
      <c r="AJ131" s="9" t="n"/>
      <c r="AK131" s="10" t="n"/>
      <c r="AL131" s="11">
        <f>IF(LEFT(B131,4)&lt;&gt;"    ","",W131-AG131)</f>
        <v/>
      </c>
      <c r="AM131" s="8">
        <f>IF(LEFT(B131,4)&lt;&gt;"    ","",X131-AH131)</f>
        <v/>
      </c>
      <c r="AN131" s="9">
        <f>IF(LEFT(B131,4)&lt;&gt;"    ","",Y131-AI131)</f>
        <v/>
      </c>
      <c r="AO131" s="9">
        <f>IF(LEFT(B131,4)&lt;&gt;"    ","",Z131-AJ131)</f>
        <v/>
      </c>
      <c r="AP131" s="10" t="n"/>
      <c r="AQ131" s="25">
        <f>IF(LEFT(B131,4)&lt;&gt;"    ","",I131-W131)</f>
        <v/>
      </c>
      <c r="AR131" s="25">
        <f>M131-X131</f>
        <v/>
      </c>
      <c r="AS131" s="25">
        <f>IF(LEFT(B131,4)&lt;&gt;"    ","",P131-Z131)</f>
        <v/>
      </c>
      <c r="AT131" s="10" t="n"/>
      <c r="AU131" s="12" t="n"/>
      <c r="AV131" s="12">
        <f>IF(LEFT(B131,4)&lt;&gt;"    ","",IF(W131-AU131&gt;=0,W131-AU131," "))</f>
        <v/>
      </c>
      <c r="AW131" s="12">
        <f>IF(LEFT(B131,4)&lt;&gt;"    ","",IF(AU131-W131&gt;=0,AU131-W131," "))</f>
        <v/>
      </c>
      <c r="AX131" s="186" t="n"/>
      <c r="AY131" s="187" t="n"/>
      <c r="AZ131" s="186" t="n"/>
      <c r="BA131" s="186" t="n"/>
      <c r="BB131" s="188" t="n"/>
      <c r="BC131" s="187" t="n"/>
      <c r="BD131" s="187" t="n"/>
      <c r="BE131" s="186" t="n"/>
      <c r="BF131" s="186" t="n"/>
      <c r="BG131" s="186" t="n"/>
      <c r="BH131" s="186" t="n"/>
      <c r="BI131" s="186" t="n"/>
      <c r="BJ131" s="186" t="n"/>
      <c r="BK131" s="186" t="n"/>
      <c r="BL131" s="186" t="n"/>
      <c r="BM131" s="186" t="n"/>
      <c r="BN131" s="186" t="n"/>
      <c r="BO131" s="186" t="n"/>
      <c r="BP131" s="186" t="n"/>
      <c r="BQ131" s="186" t="n"/>
      <c r="BR131" s="186" t="n"/>
      <c r="BS131" s="186" t="n"/>
      <c r="BT131" s="186" t="n"/>
      <c r="BU131" s="186" t="n"/>
      <c r="BV131" s="186" t="n"/>
      <c r="BW131" s="186" t="n"/>
      <c r="BX131" s="186" t="n"/>
      <c r="BY131" s="186" t="n"/>
      <c r="BZ131" s="189" t="n"/>
      <c r="CA131" s="189" t="n"/>
      <c r="CB131" s="189" t="n"/>
      <c r="CC131" s="190" t="n"/>
      <c r="CD131" s="186" t="n"/>
      <c r="CE131" s="186" t="n"/>
      <c r="CF131" s="186" t="n"/>
      <c r="CG131" s="186" t="n"/>
      <c r="CH131" s="186" t="n"/>
      <c r="CI131" s="191" t="n"/>
      <c r="CJ131" s="192" t="n"/>
      <c r="CK131" s="192" t="n"/>
      <c r="CL131" s="192" t="n"/>
      <c r="CM131" s="192" t="n"/>
    </row>
    <row r="132">
      <c r="A132" s="177" t="n"/>
      <c r="B132" s="178" t="n"/>
      <c r="C132" s="178" t="n"/>
      <c r="D132" s="179" t="n"/>
      <c r="E132" s="180" t="n"/>
      <c r="F132" s="181" t="n"/>
      <c r="G132" s="182" t="n"/>
      <c r="H132" s="105" t="n"/>
      <c r="I132" s="183">
        <f>F132</f>
        <v/>
      </c>
      <c r="J132" s="184" t="n"/>
      <c r="K132" s="185" t="n"/>
      <c r="L132" s="8" t="n"/>
      <c r="M132" s="184">
        <f>L132</f>
        <v/>
      </c>
      <c r="N132" s="71" t="n"/>
      <c r="O132" s="101" t="n"/>
      <c r="P132" s="9">
        <f>I132-M132</f>
        <v/>
      </c>
      <c r="Q132" s="9">
        <f>IF(LEFT(B132,4)&lt;&gt;"    ",0,BN132)</f>
        <v/>
      </c>
      <c r="R132" s="9">
        <f>+P132-Q132</f>
        <v/>
      </c>
      <c r="S132" s="281" t="n"/>
      <c r="T132" s="10" t="n"/>
      <c r="U132" s="23">
        <f>IF(LEFT(B132,4)&lt;&gt;"    ","",IF(M132&lt;&gt;0,X132/M132,0))</f>
        <v/>
      </c>
      <c r="V132" s="11">
        <f>IF(LEFT(B132,4)&lt;&gt;"    ","",U132*I132)</f>
        <v/>
      </c>
      <c r="W132" s="11">
        <f>IF(LEFT(B132,4)&lt;&gt;"    ","",X132+Z132)</f>
        <v/>
      </c>
      <c r="X132" s="8" t="n"/>
      <c r="Y132" s="9">
        <f>IF(LEFT(B132,4)&lt;&gt;"    ",0,IF(P132&lt;0,P132,IF(U132&gt;0.3,W132-X132,0)))</f>
        <v/>
      </c>
      <c r="Z132" s="71">
        <f>Y132</f>
        <v/>
      </c>
      <c r="AA132" s="71" t="n"/>
      <c r="AB132" s="109" t="n"/>
      <c r="AC132" s="9">
        <f>IF(LEFT(B132,4)&lt;&gt;"    ",0,BK132)</f>
        <v/>
      </c>
      <c r="AD132" s="9">
        <f>Z132-AC132</f>
        <v/>
      </c>
      <c r="AE132" s="10" t="n"/>
      <c r="AF132" s="24" t="n"/>
      <c r="AG132" s="11" t="n"/>
      <c r="AH132" s="8" t="n"/>
      <c r="AI132" s="9">
        <f>IF(LEFT(B132,4)&lt;&gt;"    ","",AG132-AH132)</f>
        <v/>
      </c>
      <c r="AJ132" s="9" t="n"/>
      <c r="AK132" s="10" t="n"/>
      <c r="AL132" s="11">
        <f>IF(LEFT(B132,4)&lt;&gt;"    ","",W132-AG132)</f>
        <v/>
      </c>
      <c r="AM132" s="8">
        <f>IF(LEFT(B132,4)&lt;&gt;"    ","",X132-AH132)</f>
        <v/>
      </c>
      <c r="AN132" s="9">
        <f>IF(LEFT(B132,4)&lt;&gt;"    ","",Y132-AI132)</f>
        <v/>
      </c>
      <c r="AO132" s="9">
        <f>IF(LEFT(B132,4)&lt;&gt;"    ","",Z132-AJ132)</f>
        <v/>
      </c>
      <c r="AP132" s="10" t="n"/>
      <c r="AQ132" s="25">
        <f>IF(LEFT(B132,4)&lt;&gt;"    ","",I132-W132)</f>
        <v/>
      </c>
      <c r="AR132" s="25">
        <f>M132-X132</f>
        <v/>
      </c>
      <c r="AS132" s="25">
        <f>IF(LEFT(B132,4)&lt;&gt;"    ","",P132-Z132)</f>
        <v/>
      </c>
      <c r="AT132" s="10" t="n"/>
      <c r="AU132" s="12" t="n"/>
      <c r="AV132" s="12">
        <f>IF(LEFT(B132,4)&lt;&gt;"    ","",IF(W132-AU132&gt;=0,W132-AU132," "))</f>
        <v/>
      </c>
      <c r="AW132" s="12">
        <f>IF(LEFT(B132,4)&lt;&gt;"    ","",IF(AU132-W132&gt;=0,AU132-W132," "))</f>
        <v/>
      </c>
      <c r="AX132" s="186" t="n"/>
      <c r="AY132" s="187" t="n"/>
      <c r="AZ132" s="186" t="n"/>
      <c r="BA132" s="186" t="n"/>
      <c r="BB132" s="188" t="n"/>
      <c r="BC132" s="187" t="n"/>
      <c r="BD132" s="187" t="n"/>
      <c r="BE132" s="186" t="n"/>
      <c r="BF132" s="186" t="n"/>
      <c r="BG132" s="186" t="n"/>
      <c r="BH132" s="186" t="n"/>
      <c r="BI132" s="186" t="n"/>
      <c r="BJ132" s="186" t="n"/>
      <c r="BK132" s="186" t="n"/>
      <c r="BL132" s="186" t="n"/>
      <c r="BM132" s="186" t="n"/>
      <c r="BN132" s="186" t="n"/>
      <c r="BO132" s="186" t="n"/>
      <c r="BP132" s="186" t="n"/>
      <c r="BQ132" s="186" t="n"/>
      <c r="BR132" s="186" t="n"/>
      <c r="BS132" s="186" t="n"/>
      <c r="BT132" s="186" t="n"/>
      <c r="BU132" s="186" t="n"/>
      <c r="BV132" s="186" t="n"/>
      <c r="BW132" s="186" t="n"/>
      <c r="BX132" s="186" t="n"/>
      <c r="BY132" s="186" t="n"/>
      <c r="BZ132" s="189" t="n"/>
      <c r="CA132" s="189" t="n"/>
      <c r="CB132" s="189" t="n"/>
      <c r="CC132" s="190" t="n"/>
      <c r="CD132" s="186" t="n"/>
      <c r="CE132" s="186" t="n"/>
      <c r="CF132" s="186" t="n"/>
      <c r="CG132" s="186" t="n"/>
      <c r="CH132" s="186" t="n"/>
      <c r="CI132" s="191" t="n"/>
      <c r="CJ132" s="192" t="n"/>
      <c r="CK132" s="192" t="n"/>
      <c r="CL132" s="192" t="n"/>
      <c r="CM132" s="192" t="n"/>
    </row>
    <row r="133">
      <c r="A133" s="177" t="n"/>
      <c r="B133" s="178" t="n"/>
      <c r="C133" s="178" t="n"/>
      <c r="D133" s="179" t="n"/>
      <c r="E133" s="180" t="n"/>
      <c r="F133" s="181" t="n"/>
      <c r="G133" s="182" t="n"/>
      <c r="H133" s="105" t="n"/>
      <c r="I133" s="183">
        <f>F133</f>
        <v/>
      </c>
      <c r="J133" s="184" t="n"/>
      <c r="K133" s="185" t="n"/>
      <c r="L133" s="8" t="n"/>
      <c r="M133" s="184">
        <f>L133</f>
        <v/>
      </c>
      <c r="N133" s="71" t="n"/>
      <c r="O133" s="101" t="n"/>
      <c r="P133" s="9">
        <f>I133-M133</f>
        <v/>
      </c>
      <c r="Q133" s="9">
        <f>IF(LEFT(B133,4)&lt;&gt;"    ",0,BN133)</f>
        <v/>
      </c>
      <c r="R133" s="9">
        <f>+P133-Q133</f>
        <v/>
      </c>
      <c r="S133" s="281" t="n"/>
      <c r="T133" s="10" t="n"/>
      <c r="U133" s="23">
        <f>IF(LEFT(B133,4)&lt;&gt;"    ","",IF(M133&lt;&gt;0,X133/M133,0))</f>
        <v/>
      </c>
      <c r="V133" s="11">
        <f>IF(LEFT(B133,4)&lt;&gt;"    ","",U133*I133)</f>
        <v/>
      </c>
      <c r="W133" s="11">
        <f>IF(LEFT(B133,4)&lt;&gt;"    ","",X133+Z133)</f>
        <v/>
      </c>
      <c r="X133" s="8" t="n"/>
      <c r="Y133" s="9">
        <f>IF(LEFT(B133,4)&lt;&gt;"    ",0,IF(P133&lt;0,P133,IF(U133&gt;0.3,W133-X133,0)))</f>
        <v/>
      </c>
      <c r="Z133" s="71">
        <f>Y133</f>
        <v/>
      </c>
      <c r="AA133" s="71" t="n"/>
      <c r="AB133" s="109" t="n"/>
      <c r="AC133" s="9">
        <f>IF(LEFT(B133,4)&lt;&gt;"    ",0,BK133)</f>
        <v/>
      </c>
      <c r="AD133" s="9">
        <f>Z133-AC133</f>
        <v/>
      </c>
      <c r="AE133" s="10" t="n"/>
      <c r="AF133" s="24" t="n"/>
      <c r="AG133" s="11" t="n"/>
      <c r="AH133" s="8" t="n"/>
      <c r="AI133" s="9">
        <f>IF(LEFT(B133,4)&lt;&gt;"    ","",AG133-AH133)</f>
        <v/>
      </c>
      <c r="AJ133" s="9" t="n"/>
      <c r="AK133" s="10" t="n"/>
      <c r="AL133" s="11">
        <f>IF(LEFT(B133,4)&lt;&gt;"    ","",W133-AG133)</f>
        <v/>
      </c>
      <c r="AM133" s="8">
        <f>IF(LEFT(B133,4)&lt;&gt;"    ","",X133-AH133)</f>
        <v/>
      </c>
      <c r="AN133" s="9">
        <f>IF(LEFT(B133,4)&lt;&gt;"    ","",Y133-AI133)</f>
        <v/>
      </c>
      <c r="AO133" s="9">
        <f>IF(LEFT(B133,4)&lt;&gt;"    ","",Z133-AJ133)</f>
        <v/>
      </c>
      <c r="AP133" s="10" t="n"/>
      <c r="AQ133" s="25">
        <f>IF(LEFT(B133,4)&lt;&gt;"    ","",I133-W133)</f>
        <v/>
      </c>
      <c r="AR133" s="25">
        <f>M133-X133</f>
        <v/>
      </c>
      <c r="AS133" s="25">
        <f>IF(LEFT(B133,4)&lt;&gt;"    ","",P133-Z133)</f>
        <v/>
      </c>
      <c r="AT133" s="10" t="n"/>
      <c r="AU133" s="12" t="n"/>
      <c r="AV133" s="12">
        <f>IF(LEFT(B133,4)&lt;&gt;"    ","",IF(W133-AU133&gt;=0,W133-AU133," "))</f>
        <v/>
      </c>
      <c r="AW133" s="12">
        <f>IF(LEFT(B133,4)&lt;&gt;"    ","",IF(AU133-W133&gt;=0,AU133-W133," "))</f>
        <v/>
      </c>
      <c r="AX133" s="186" t="n"/>
      <c r="AY133" s="187" t="n"/>
      <c r="AZ133" s="186" t="n"/>
      <c r="BA133" s="186" t="n"/>
      <c r="BB133" s="188" t="n"/>
      <c r="BC133" s="187" t="n"/>
      <c r="BD133" s="187" t="n"/>
      <c r="BE133" s="186" t="n"/>
      <c r="BF133" s="186" t="n"/>
      <c r="BG133" s="186" t="n"/>
      <c r="BH133" s="186" t="n"/>
      <c r="BI133" s="186" t="n"/>
      <c r="BJ133" s="186" t="n"/>
      <c r="BK133" s="186" t="n"/>
      <c r="BL133" s="186" t="n"/>
      <c r="BM133" s="186" t="n"/>
      <c r="BN133" s="186" t="n"/>
      <c r="BO133" s="186" t="n"/>
      <c r="BP133" s="186" t="n"/>
      <c r="BQ133" s="186" t="n"/>
      <c r="BR133" s="186" t="n"/>
      <c r="BS133" s="186" t="n"/>
      <c r="BT133" s="186" t="n"/>
      <c r="BU133" s="186" t="n"/>
      <c r="BV133" s="186" t="n"/>
      <c r="BW133" s="186" t="n"/>
      <c r="BX133" s="186" t="n"/>
      <c r="BY133" s="186" t="n"/>
      <c r="BZ133" s="189" t="n"/>
      <c r="CA133" s="189" t="n"/>
      <c r="CB133" s="189" t="n"/>
      <c r="CC133" s="190" t="n"/>
      <c r="CD133" s="186" t="n"/>
      <c r="CE133" s="186" t="n"/>
      <c r="CF133" s="186" t="n"/>
      <c r="CG133" s="186" t="n"/>
      <c r="CH133" s="186" t="n"/>
      <c r="CI133" s="191" t="n"/>
      <c r="CJ133" s="192" t="n"/>
      <c r="CK133" s="192" t="n"/>
      <c r="CL133" s="192" t="n"/>
      <c r="CM133" s="192" t="n"/>
    </row>
    <row r="134">
      <c r="A134" s="177" t="n"/>
      <c r="B134" s="178" t="n"/>
      <c r="C134" s="178" t="n"/>
      <c r="D134" s="179" t="n"/>
      <c r="E134" s="180" t="n"/>
      <c r="F134" s="181" t="n"/>
      <c r="G134" s="182" t="n"/>
      <c r="H134" s="105" t="n"/>
      <c r="I134" s="183">
        <f>F134</f>
        <v/>
      </c>
      <c r="J134" s="184" t="n"/>
      <c r="K134" s="185" t="n"/>
      <c r="L134" s="8" t="n"/>
      <c r="M134" s="184">
        <f>L134</f>
        <v/>
      </c>
      <c r="N134" s="71" t="n"/>
      <c r="O134" s="101" t="n"/>
      <c r="P134" s="9">
        <f>I134-M134</f>
        <v/>
      </c>
      <c r="Q134" s="9">
        <f>IF(LEFT(B134,4)&lt;&gt;"    ",0,BN134)</f>
        <v/>
      </c>
      <c r="R134" s="9">
        <f>+P134-Q134</f>
        <v/>
      </c>
      <c r="S134" s="281" t="n"/>
      <c r="T134" s="10" t="n"/>
      <c r="U134" s="23">
        <f>IF(LEFT(B134,4)&lt;&gt;"    ","",IF(M134&lt;&gt;0,X134/M134,0))</f>
        <v/>
      </c>
      <c r="V134" s="11">
        <f>IF(LEFT(B134,4)&lt;&gt;"    ","",U134*I134)</f>
        <v/>
      </c>
      <c r="W134" s="11">
        <f>IF(LEFT(B134,4)&lt;&gt;"    ","",X134+Z134)</f>
        <v/>
      </c>
      <c r="X134" s="8" t="n"/>
      <c r="Y134" s="9">
        <f>IF(LEFT(B134,4)&lt;&gt;"    ",0,IF(P134&lt;0,P134,IF(U134&gt;0.3,W134-X134,0)))</f>
        <v/>
      </c>
      <c r="Z134" s="71">
        <f>Y134</f>
        <v/>
      </c>
      <c r="AA134" s="71" t="n"/>
      <c r="AB134" s="109" t="n"/>
      <c r="AC134" s="9">
        <f>IF(LEFT(B134,4)&lt;&gt;"    ",0,BK134)</f>
        <v/>
      </c>
      <c r="AD134" s="9">
        <f>Z134-AC134</f>
        <v/>
      </c>
      <c r="AE134" s="10" t="n"/>
      <c r="AF134" s="24" t="n"/>
      <c r="AG134" s="11" t="n"/>
      <c r="AH134" s="8" t="n"/>
      <c r="AI134" s="9">
        <f>IF(LEFT(B134,4)&lt;&gt;"    ","",AG134-AH134)</f>
        <v/>
      </c>
      <c r="AJ134" s="9" t="n"/>
      <c r="AK134" s="10" t="n"/>
      <c r="AL134" s="11">
        <f>IF(LEFT(B134,4)&lt;&gt;"    ","",W134-AG134)</f>
        <v/>
      </c>
      <c r="AM134" s="8">
        <f>IF(LEFT(B134,4)&lt;&gt;"    ","",X134-AH134)</f>
        <v/>
      </c>
      <c r="AN134" s="9">
        <f>IF(LEFT(B134,4)&lt;&gt;"    ","",Y134-AI134)</f>
        <v/>
      </c>
      <c r="AO134" s="9">
        <f>IF(LEFT(B134,4)&lt;&gt;"    ","",Z134-AJ134)</f>
        <v/>
      </c>
      <c r="AP134" s="10" t="n"/>
      <c r="AQ134" s="25">
        <f>IF(LEFT(B134,4)&lt;&gt;"    ","",I134-W134)</f>
        <v/>
      </c>
      <c r="AR134" s="25">
        <f>M134-X134</f>
        <v/>
      </c>
      <c r="AS134" s="25">
        <f>IF(LEFT(B134,4)&lt;&gt;"    ","",P134-Z134)</f>
        <v/>
      </c>
      <c r="AT134" s="10" t="n"/>
      <c r="AU134" s="12" t="n"/>
      <c r="AV134" s="12">
        <f>IF(LEFT(B134,4)&lt;&gt;"    ","",IF(W134-AU134&gt;=0,W134-AU134," "))</f>
        <v/>
      </c>
      <c r="AW134" s="12">
        <f>IF(LEFT(B134,4)&lt;&gt;"    ","",IF(AU134-W134&gt;=0,AU134-W134," "))</f>
        <v/>
      </c>
      <c r="AX134" s="186" t="n"/>
      <c r="AY134" s="187" t="n"/>
      <c r="AZ134" s="186" t="n"/>
      <c r="BA134" s="186" t="n"/>
      <c r="BB134" s="188" t="n"/>
      <c r="BC134" s="187" t="n"/>
      <c r="BD134" s="187" t="n"/>
      <c r="BE134" s="186" t="n"/>
      <c r="BF134" s="186" t="n"/>
      <c r="BG134" s="186" t="n"/>
      <c r="BH134" s="186" t="n"/>
      <c r="BI134" s="186" t="n"/>
      <c r="BJ134" s="186" t="n"/>
      <c r="BK134" s="186" t="n"/>
      <c r="BL134" s="186" t="n"/>
      <c r="BM134" s="186" t="n"/>
      <c r="BN134" s="186" t="n"/>
      <c r="BO134" s="186" t="n"/>
      <c r="BP134" s="186" t="n"/>
      <c r="BQ134" s="186" t="n"/>
      <c r="BR134" s="186" t="n"/>
      <c r="BS134" s="186" t="n"/>
      <c r="BT134" s="186" t="n"/>
      <c r="BU134" s="186" t="n"/>
      <c r="BV134" s="186" t="n"/>
      <c r="BW134" s="186" t="n"/>
      <c r="BX134" s="186" t="n"/>
      <c r="BY134" s="186" t="n"/>
      <c r="BZ134" s="189" t="n"/>
      <c r="CA134" s="189" t="n"/>
      <c r="CB134" s="189" t="n"/>
      <c r="CC134" s="190" t="n"/>
      <c r="CD134" s="186" t="n"/>
      <c r="CE134" s="186" t="n"/>
      <c r="CF134" s="186" t="n"/>
      <c r="CG134" s="186" t="n"/>
      <c r="CH134" s="186" t="n"/>
      <c r="CI134" s="191" t="n"/>
      <c r="CJ134" s="192" t="n"/>
      <c r="CK134" s="192" t="n"/>
      <c r="CL134" s="192" t="n"/>
      <c r="CM134" s="192" t="n"/>
    </row>
    <row r="135">
      <c r="A135" s="177" t="n"/>
      <c r="B135" s="178" t="n"/>
      <c r="C135" s="178" t="n"/>
      <c r="D135" s="179" t="n"/>
      <c r="E135" s="180" t="n"/>
      <c r="F135" s="181" t="n"/>
      <c r="G135" s="182" t="n"/>
      <c r="H135" s="105" t="n"/>
      <c r="I135" s="183">
        <f>F135</f>
        <v/>
      </c>
      <c r="J135" s="184" t="n"/>
      <c r="K135" s="185" t="n"/>
      <c r="L135" s="8" t="n"/>
      <c r="M135" s="184">
        <f>L135</f>
        <v/>
      </c>
      <c r="N135" s="71" t="n"/>
      <c r="O135" s="101" t="n"/>
      <c r="P135" s="9">
        <f>I135-M135</f>
        <v/>
      </c>
      <c r="Q135" s="9">
        <f>IF(LEFT(B135,4)&lt;&gt;"    ",0,BN135)</f>
        <v/>
      </c>
      <c r="R135" s="9">
        <f>+P135-Q135</f>
        <v/>
      </c>
      <c r="S135" s="281" t="n"/>
      <c r="T135" s="10" t="n"/>
      <c r="U135" s="23">
        <f>IF(LEFT(B135,4)&lt;&gt;"    ","",IF(M135&lt;&gt;0,X135/M135,0))</f>
        <v/>
      </c>
      <c r="V135" s="11">
        <f>IF(LEFT(B135,4)&lt;&gt;"    ","",U135*I135)</f>
        <v/>
      </c>
      <c r="W135" s="11">
        <f>IF(LEFT(B135,4)&lt;&gt;"    ","",X135+Z135)</f>
        <v/>
      </c>
      <c r="X135" s="8" t="n"/>
      <c r="Y135" s="9">
        <f>IF(LEFT(B135,4)&lt;&gt;"    ",0,IF(P135&lt;0,P135,IF(U135&gt;0.3,W135-X135,0)))</f>
        <v/>
      </c>
      <c r="Z135" s="71">
        <f>Y135</f>
        <v/>
      </c>
      <c r="AA135" s="71" t="n"/>
      <c r="AB135" s="109" t="n"/>
      <c r="AC135" s="9">
        <f>IF(LEFT(B135,4)&lt;&gt;"    ",0,BK135)</f>
        <v/>
      </c>
      <c r="AD135" s="9">
        <f>Z135-AC135</f>
        <v/>
      </c>
      <c r="AE135" s="10" t="n"/>
      <c r="AF135" s="24" t="n"/>
      <c r="AG135" s="11" t="n"/>
      <c r="AH135" s="8" t="n"/>
      <c r="AI135" s="9">
        <f>IF(LEFT(B135,4)&lt;&gt;"    ","",AG135-AH135)</f>
        <v/>
      </c>
      <c r="AJ135" s="9" t="n"/>
      <c r="AK135" s="10" t="n"/>
      <c r="AL135" s="11">
        <f>IF(LEFT(B135,4)&lt;&gt;"    ","",W135-AG135)</f>
        <v/>
      </c>
      <c r="AM135" s="8">
        <f>IF(LEFT(B135,4)&lt;&gt;"    ","",X135-AH135)</f>
        <v/>
      </c>
      <c r="AN135" s="9">
        <f>IF(LEFT(B135,4)&lt;&gt;"    ","",Y135-AI135)</f>
        <v/>
      </c>
      <c r="AO135" s="9">
        <f>IF(LEFT(B135,4)&lt;&gt;"    ","",Z135-AJ135)</f>
        <v/>
      </c>
      <c r="AP135" s="10" t="n"/>
      <c r="AQ135" s="25">
        <f>IF(LEFT(B135,4)&lt;&gt;"    ","",I135-W135)</f>
        <v/>
      </c>
      <c r="AR135" s="25">
        <f>M135-X135</f>
        <v/>
      </c>
      <c r="AS135" s="25">
        <f>IF(LEFT(B135,4)&lt;&gt;"    ","",P135-Z135)</f>
        <v/>
      </c>
      <c r="AT135" s="10" t="n"/>
      <c r="AU135" s="12" t="n"/>
      <c r="AV135" s="12">
        <f>IF(LEFT(B135,4)&lt;&gt;"    ","",IF(W135-AU135&gt;=0,W135-AU135," "))</f>
        <v/>
      </c>
      <c r="AW135" s="12">
        <f>IF(LEFT(B135,4)&lt;&gt;"    ","",IF(AU135-W135&gt;=0,AU135-W135," "))</f>
        <v/>
      </c>
      <c r="AX135" s="186" t="n"/>
      <c r="AY135" s="187" t="n"/>
      <c r="AZ135" s="186" t="n"/>
      <c r="BA135" s="186" t="n"/>
      <c r="BB135" s="188" t="n"/>
      <c r="BC135" s="187" t="n"/>
      <c r="BD135" s="187" t="n"/>
      <c r="BE135" s="186" t="n"/>
      <c r="BF135" s="186" t="n"/>
      <c r="BG135" s="186" t="n"/>
      <c r="BH135" s="186" t="n"/>
      <c r="BI135" s="186" t="n"/>
      <c r="BJ135" s="186" t="n"/>
      <c r="BK135" s="186" t="n"/>
      <c r="BL135" s="186" t="n"/>
      <c r="BM135" s="186" t="n"/>
      <c r="BN135" s="186" t="n"/>
      <c r="BO135" s="186" t="n"/>
      <c r="BP135" s="186" t="n"/>
      <c r="BQ135" s="186" t="n"/>
      <c r="BR135" s="186" t="n"/>
      <c r="BS135" s="186" t="n"/>
      <c r="BT135" s="186" t="n"/>
      <c r="BU135" s="186" t="n"/>
      <c r="BV135" s="186" t="n"/>
      <c r="BW135" s="186" t="n"/>
      <c r="BX135" s="186" t="n"/>
      <c r="BY135" s="186" t="n"/>
      <c r="BZ135" s="189" t="n"/>
      <c r="CA135" s="189" t="n"/>
      <c r="CB135" s="189" t="n"/>
      <c r="CC135" s="190" t="n"/>
      <c r="CD135" s="186" t="n"/>
      <c r="CE135" s="186" t="n"/>
      <c r="CF135" s="186" t="n"/>
      <c r="CG135" s="186" t="n"/>
      <c r="CH135" s="186" t="n"/>
      <c r="CI135" s="191" t="n"/>
      <c r="CJ135" s="192" t="n"/>
      <c r="CK135" s="192" t="n"/>
      <c r="CL135" s="192" t="n"/>
      <c r="CM135" s="192" t="n"/>
    </row>
    <row r="136">
      <c r="A136" s="177" t="n"/>
      <c r="B136" s="178" t="n"/>
      <c r="C136" s="178" t="n"/>
      <c r="D136" s="179" t="n"/>
      <c r="E136" s="180" t="n"/>
      <c r="F136" s="181" t="n"/>
      <c r="G136" s="182" t="n"/>
      <c r="H136" s="105" t="n"/>
      <c r="I136" s="183">
        <f>F136</f>
        <v/>
      </c>
      <c r="J136" s="184" t="n"/>
      <c r="K136" s="185" t="n"/>
      <c r="L136" s="8" t="n"/>
      <c r="M136" s="184">
        <f>L136</f>
        <v/>
      </c>
      <c r="N136" s="71" t="n"/>
      <c r="O136" s="101" t="n"/>
      <c r="P136" s="9">
        <f>I136-M136</f>
        <v/>
      </c>
      <c r="Q136" s="9">
        <f>IF(LEFT(B136,4)&lt;&gt;"    ",0,BN136)</f>
        <v/>
      </c>
      <c r="R136" s="9">
        <f>+P136-Q136</f>
        <v/>
      </c>
      <c r="S136" s="281" t="n"/>
      <c r="T136" s="10" t="n"/>
      <c r="U136" s="23">
        <f>IF(LEFT(B136,4)&lt;&gt;"    ","",IF(M136&lt;&gt;0,X136/M136,0))</f>
        <v/>
      </c>
      <c r="V136" s="11">
        <f>IF(LEFT(B136,4)&lt;&gt;"    ","",U136*I136)</f>
        <v/>
      </c>
      <c r="W136" s="11">
        <f>IF(LEFT(B136,4)&lt;&gt;"    ","",X136+Z136)</f>
        <v/>
      </c>
      <c r="X136" s="8" t="n"/>
      <c r="Y136" s="9">
        <f>IF(LEFT(B136,4)&lt;&gt;"    ",0,IF(P136&lt;0,P136,IF(U136&gt;0.3,W136-X136,0)))</f>
        <v/>
      </c>
      <c r="Z136" s="71">
        <f>Y136</f>
        <v/>
      </c>
      <c r="AA136" s="71" t="n"/>
      <c r="AB136" s="109" t="n"/>
      <c r="AC136" s="9">
        <f>IF(LEFT(B136,4)&lt;&gt;"    ",0,BK136)</f>
        <v/>
      </c>
      <c r="AD136" s="9">
        <f>Z136-AC136</f>
        <v/>
      </c>
      <c r="AE136" s="10" t="n"/>
      <c r="AF136" s="24" t="n"/>
      <c r="AG136" s="11" t="n"/>
      <c r="AH136" s="8" t="n"/>
      <c r="AI136" s="9">
        <f>IF(LEFT(B136,4)&lt;&gt;"    ","",AG136-AH136)</f>
        <v/>
      </c>
      <c r="AJ136" s="9" t="n"/>
      <c r="AK136" s="10" t="n"/>
      <c r="AL136" s="11">
        <f>IF(LEFT(B136,4)&lt;&gt;"    ","",W136-AG136)</f>
        <v/>
      </c>
      <c r="AM136" s="8">
        <f>IF(LEFT(B136,4)&lt;&gt;"    ","",X136-AH136)</f>
        <v/>
      </c>
      <c r="AN136" s="9">
        <f>IF(LEFT(B136,4)&lt;&gt;"    ","",Y136-AI136)</f>
        <v/>
      </c>
      <c r="AO136" s="9">
        <f>IF(LEFT(B136,4)&lt;&gt;"    ","",Z136-AJ136)</f>
        <v/>
      </c>
      <c r="AP136" s="10" t="n"/>
      <c r="AQ136" s="25">
        <f>IF(LEFT(B136,4)&lt;&gt;"    ","",I136-W136)</f>
        <v/>
      </c>
      <c r="AR136" s="25">
        <f>M136-X136</f>
        <v/>
      </c>
      <c r="AS136" s="25">
        <f>IF(LEFT(B136,4)&lt;&gt;"    ","",P136-Z136)</f>
        <v/>
      </c>
      <c r="AT136" s="10" t="n"/>
      <c r="AU136" s="12" t="n"/>
      <c r="AV136" s="12">
        <f>IF(LEFT(B136,4)&lt;&gt;"    ","",IF(W136-AU136&gt;=0,W136-AU136," "))</f>
        <v/>
      </c>
      <c r="AW136" s="12">
        <f>IF(LEFT(B136,4)&lt;&gt;"    ","",IF(AU136-W136&gt;=0,AU136-W136," "))</f>
        <v/>
      </c>
      <c r="AX136" s="186" t="n"/>
      <c r="AY136" s="187" t="n"/>
      <c r="AZ136" s="186" t="n"/>
      <c r="BA136" s="186" t="n"/>
      <c r="BB136" s="188" t="n"/>
      <c r="BC136" s="187" t="n"/>
      <c r="BD136" s="187" t="n"/>
      <c r="BE136" s="186" t="n"/>
      <c r="BF136" s="186" t="n"/>
      <c r="BG136" s="186" t="n"/>
      <c r="BH136" s="186" t="n"/>
      <c r="BI136" s="186" t="n"/>
      <c r="BJ136" s="186" t="n"/>
      <c r="BK136" s="186" t="n"/>
      <c r="BL136" s="186" t="n"/>
      <c r="BM136" s="186" t="n"/>
      <c r="BN136" s="186" t="n"/>
      <c r="BO136" s="186" t="n"/>
      <c r="BP136" s="186" t="n"/>
      <c r="BQ136" s="186" t="n"/>
      <c r="BR136" s="186" t="n"/>
      <c r="BS136" s="186" t="n"/>
      <c r="BT136" s="186" t="n"/>
      <c r="BU136" s="186" t="n"/>
      <c r="BV136" s="186" t="n"/>
      <c r="BW136" s="186" t="n"/>
      <c r="BX136" s="186" t="n"/>
      <c r="BY136" s="186" t="n"/>
      <c r="BZ136" s="189" t="n"/>
      <c r="CA136" s="189" t="n"/>
      <c r="CB136" s="189" t="n"/>
      <c r="CC136" s="190" t="n"/>
      <c r="CD136" s="186" t="n"/>
      <c r="CE136" s="186" t="n"/>
      <c r="CF136" s="186" t="n"/>
      <c r="CG136" s="186" t="n"/>
      <c r="CH136" s="186" t="n"/>
      <c r="CI136" s="191" t="n"/>
      <c r="CJ136" s="192" t="n"/>
      <c r="CK136" s="192" t="n"/>
      <c r="CL136" s="192" t="n"/>
      <c r="CM136" s="192" t="n"/>
    </row>
    <row r="137">
      <c r="A137" s="177" t="n"/>
      <c r="B137" s="178" t="n"/>
      <c r="C137" s="178" t="n"/>
      <c r="D137" s="179" t="n"/>
      <c r="E137" s="180" t="n"/>
      <c r="F137" s="181" t="n"/>
      <c r="G137" s="182" t="n"/>
      <c r="H137" s="105" t="n"/>
      <c r="I137" s="183">
        <f>F137</f>
        <v/>
      </c>
      <c r="J137" s="184" t="n"/>
      <c r="K137" s="185" t="n"/>
      <c r="L137" s="8" t="n"/>
      <c r="M137" s="184">
        <f>L137</f>
        <v/>
      </c>
      <c r="N137" s="71" t="n"/>
      <c r="O137" s="101" t="n"/>
      <c r="P137" s="9">
        <f>I137-M137</f>
        <v/>
      </c>
      <c r="Q137" s="9">
        <f>IF(LEFT(B137,4)&lt;&gt;"    ",0,BN137)</f>
        <v/>
      </c>
      <c r="R137" s="9">
        <f>+P137-Q137</f>
        <v/>
      </c>
      <c r="S137" s="281" t="n"/>
      <c r="T137" s="10" t="n"/>
      <c r="U137" s="23">
        <f>IF(LEFT(B137,4)&lt;&gt;"    ","",IF(M137&lt;&gt;0,X137/M137,0))</f>
        <v/>
      </c>
      <c r="V137" s="11">
        <f>IF(LEFT(B137,4)&lt;&gt;"    ","",U137*I137)</f>
        <v/>
      </c>
      <c r="W137" s="11">
        <f>IF(LEFT(B137,4)&lt;&gt;"    ","",X137+Z137)</f>
        <v/>
      </c>
      <c r="X137" s="8" t="n"/>
      <c r="Y137" s="9">
        <f>IF(LEFT(B137,4)&lt;&gt;"    ",0,IF(P137&lt;0,P137,IF(U137&gt;0.3,W137-X137,0)))</f>
        <v/>
      </c>
      <c r="Z137" s="71">
        <f>Y137</f>
        <v/>
      </c>
      <c r="AA137" s="71" t="n"/>
      <c r="AB137" s="109" t="n"/>
      <c r="AC137" s="9">
        <f>IF(LEFT(B137,4)&lt;&gt;"    ",0,BK137)</f>
        <v/>
      </c>
      <c r="AD137" s="9">
        <f>Z137-AC137</f>
        <v/>
      </c>
      <c r="AE137" s="10" t="n"/>
      <c r="AF137" s="24" t="n"/>
      <c r="AG137" s="11" t="n"/>
      <c r="AH137" s="8" t="n"/>
      <c r="AI137" s="9">
        <f>IF(LEFT(B137,4)&lt;&gt;"    ","",AG137-AH137)</f>
        <v/>
      </c>
      <c r="AJ137" s="9" t="n"/>
      <c r="AK137" s="10" t="n"/>
      <c r="AL137" s="11">
        <f>IF(LEFT(B137,4)&lt;&gt;"    ","",W137-AG137)</f>
        <v/>
      </c>
      <c r="AM137" s="8">
        <f>IF(LEFT(B137,4)&lt;&gt;"    ","",X137-AH137)</f>
        <v/>
      </c>
      <c r="AN137" s="9">
        <f>IF(LEFT(B137,4)&lt;&gt;"    ","",Y137-AI137)</f>
        <v/>
      </c>
      <c r="AO137" s="9">
        <f>IF(LEFT(B137,4)&lt;&gt;"    ","",Z137-AJ137)</f>
        <v/>
      </c>
      <c r="AP137" s="10" t="n"/>
      <c r="AQ137" s="25">
        <f>IF(LEFT(B137,4)&lt;&gt;"    ","",I137-W137)</f>
        <v/>
      </c>
      <c r="AR137" s="25">
        <f>M137-X137</f>
        <v/>
      </c>
      <c r="AS137" s="25">
        <f>IF(LEFT(B137,4)&lt;&gt;"    ","",P137-Z137)</f>
        <v/>
      </c>
      <c r="AT137" s="10" t="n"/>
      <c r="AU137" s="12" t="n"/>
      <c r="AV137" s="12">
        <f>IF(LEFT(B137,4)&lt;&gt;"    ","",IF(W137-AU137&gt;=0,W137-AU137," "))</f>
        <v/>
      </c>
      <c r="AW137" s="12">
        <f>IF(LEFT(B137,4)&lt;&gt;"    ","",IF(AU137-W137&gt;=0,AU137-W137," "))</f>
        <v/>
      </c>
      <c r="AX137" s="186" t="n"/>
      <c r="AY137" s="187" t="n"/>
      <c r="AZ137" s="186" t="n"/>
      <c r="BA137" s="186" t="n"/>
      <c r="BB137" s="188" t="n"/>
      <c r="BC137" s="187" t="n"/>
      <c r="BD137" s="187" t="n"/>
      <c r="BE137" s="186" t="n"/>
      <c r="BF137" s="186" t="n"/>
      <c r="BG137" s="186" t="n"/>
      <c r="BH137" s="186" t="n"/>
      <c r="BI137" s="186" t="n"/>
      <c r="BJ137" s="186" t="n"/>
      <c r="BK137" s="186" t="n"/>
      <c r="BL137" s="186" t="n"/>
      <c r="BM137" s="186" t="n"/>
      <c r="BN137" s="186" t="n"/>
      <c r="BO137" s="186" t="n"/>
      <c r="BP137" s="186" t="n"/>
      <c r="BQ137" s="186" t="n"/>
      <c r="BR137" s="186" t="n"/>
      <c r="BS137" s="186" t="n"/>
      <c r="BT137" s="186" t="n"/>
      <c r="BU137" s="186" t="n"/>
      <c r="BV137" s="186" t="n"/>
      <c r="BW137" s="186" t="n"/>
      <c r="BX137" s="186" t="n"/>
      <c r="BY137" s="186" t="n"/>
      <c r="BZ137" s="189" t="n"/>
      <c r="CA137" s="189" t="n"/>
      <c r="CB137" s="189" t="n"/>
      <c r="CC137" s="190" t="n"/>
      <c r="CD137" s="186" t="n"/>
      <c r="CE137" s="186" t="n"/>
      <c r="CF137" s="186" t="n"/>
      <c r="CG137" s="186" t="n"/>
      <c r="CH137" s="186" t="n"/>
      <c r="CI137" s="191" t="n"/>
      <c r="CJ137" s="192" t="n"/>
      <c r="CK137" s="192" t="n"/>
      <c r="CL137" s="192" t="n"/>
      <c r="CM137" s="192" t="n"/>
    </row>
    <row r="138">
      <c r="A138" s="177" t="n"/>
      <c r="B138" s="178" t="n"/>
      <c r="C138" s="178" t="n"/>
      <c r="D138" s="179" t="n"/>
      <c r="E138" s="180" t="n"/>
      <c r="F138" s="181" t="n"/>
      <c r="G138" s="182" t="n"/>
      <c r="H138" s="105" t="n"/>
      <c r="I138" s="183">
        <f>F138</f>
        <v/>
      </c>
      <c r="J138" s="184" t="n"/>
      <c r="K138" s="185" t="n"/>
      <c r="L138" s="8" t="n"/>
      <c r="M138" s="184">
        <f>L138</f>
        <v/>
      </c>
      <c r="N138" s="71" t="n"/>
      <c r="O138" s="101" t="n"/>
      <c r="P138" s="9">
        <f>I138-M138</f>
        <v/>
      </c>
      <c r="Q138" s="9">
        <f>IF(LEFT(B138,4)&lt;&gt;"    ",0,BN138)</f>
        <v/>
      </c>
      <c r="R138" s="9">
        <f>+P138-Q138</f>
        <v/>
      </c>
      <c r="S138" s="281" t="n"/>
      <c r="T138" s="10" t="n"/>
      <c r="U138" s="23">
        <f>IF(LEFT(B138,4)&lt;&gt;"    ","",IF(M138&lt;&gt;0,X138/M138,0))</f>
        <v/>
      </c>
      <c r="V138" s="11">
        <f>IF(LEFT(B138,4)&lt;&gt;"    ","",U138*I138)</f>
        <v/>
      </c>
      <c r="W138" s="11">
        <f>IF(LEFT(B138,4)&lt;&gt;"    ","",X138+Z138)</f>
        <v/>
      </c>
      <c r="X138" s="8" t="n"/>
      <c r="Y138" s="9">
        <f>IF(LEFT(B138,4)&lt;&gt;"    ",0,IF(P138&lt;0,P138,IF(U138&gt;0.3,W138-X138,0)))</f>
        <v/>
      </c>
      <c r="Z138" s="71">
        <f>Y138</f>
        <v/>
      </c>
      <c r="AA138" s="71" t="n"/>
      <c r="AB138" s="109" t="n"/>
      <c r="AC138" s="9">
        <f>IF(LEFT(B138,4)&lt;&gt;"    ",0,BK138)</f>
        <v/>
      </c>
      <c r="AD138" s="9">
        <f>Z138-AC138</f>
        <v/>
      </c>
      <c r="AE138" s="10" t="n"/>
      <c r="AF138" s="24" t="n"/>
      <c r="AG138" s="11" t="n"/>
      <c r="AH138" s="8" t="n"/>
      <c r="AI138" s="9">
        <f>IF(LEFT(B138,4)&lt;&gt;"    ","",AG138-AH138)</f>
        <v/>
      </c>
      <c r="AJ138" s="9" t="n"/>
      <c r="AK138" s="10" t="n"/>
      <c r="AL138" s="11">
        <f>IF(LEFT(B138,4)&lt;&gt;"    ","",W138-AG138)</f>
        <v/>
      </c>
      <c r="AM138" s="8">
        <f>IF(LEFT(B138,4)&lt;&gt;"    ","",X138-AH138)</f>
        <v/>
      </c>
      <c r="AN138" s="9">
        <f>IF(LEFT(B138,4)&lt;&gt;"    ","",Y138-AI138)</f>
        <v/>
      </c>
      <c r="AO138" s="9">
        <f>IF(LEFT(B138,4)&lt;&gt;"    ","",Z138-AJ138)</f>
        <v/>
      </c>
      <c r="AP138" s="10" t="n"/>
      <c r="AQ138" s="25">
        <f>IF(LEFT(B138,4)&lt;&gt;"    ","",I138-W138)</f>
        <v/>
      </c>
      <c r="AR138" s="25">
        <f>M138-X138</f>
        <v/>
      </c>
      <c r="AS138" s="25">
        <f>IF(LEFT(B138,4)&lt;&gt;"    ","",P138-Z138)</f>
        <v/>
      </c>
      <c r="AT138" s="10" t="n"/>
      <c r="AU138" s="12" t="n"/>
      <c r="AV138" s="12">
        <f>IF(LEFT(B138,4)&lt;&gt;"    ","",IF(W138-AU138&gt;=0,W138-AU138," "))</f>
        <v/>
      </c>
      <c r="AW138" s="12">
        <f>IF(LEFT(B138,4)&lt;&gt;"    ","",IF(AU138-W138&gt;=0,AU138-W138," "))</f>
        <v/>
      </c>
      <c r="AX138" s="186" t="n"/>
      <c r="AY138" s="187" t="n"/>
      <c r="AZ138" s="186" t="n"/>
      <c r="BA138" s="186" t="n"/>
      <c r="BB138" s="188" t="n"/>
      <c r="BC138" s="187" t="n"/>
      <c r="BD138" s="187" t="n"/>
      <c r="BE138" s="186" t="n"/>
      <c r="BF138" s="186" t="n"/>
      <c r="BG138" s="186" t="n"/>
      <c r="BH138" s="186" t="n"/>
      <c r="BI138" s="186" t="n"/>
      <c r="BJ138" s="186" t="n"/>
      <c r="BK138" s="186" t="n"/>
      <c r="BL138" s="186" t="n"/>
      <c r="BM138" s="186" t="n"/>
      <c r="BN138" s="186" t="n"/>
      <c r="BO138" s="186" t="n"/>
      <c r="BP138" s="186" t="n"/>
      <c r="BQ138" s="186" t="n"/>
      <c r="BR138" s="186" t="n"/>
      <c r="BS138" s="186" t="n"/>
      <c r="BT138" s="186" t="n"/>
      <c r="BU138" s="186" t="n"/>
      <c r="BV138" s="186" t="n"/>
      <c r="BW138" s="186" t="n"/>
      <c r="BX138" s="186" t="n"/>
      <c r="BY138" s="186" t="n"/>
      <c r="BZ138" s="189" t="n"/>
      <c r="CA138" s="189" t="n"/>
      <c r="CB138" s="189" t="n"/>
      <c r="CC138" s="190" t="n"/>
      <c r="CD138" s="186" t="n"/>
      <c r="CE138" s="186" t="n"/>
      <c r="CF138" s="186" t="n"/>
      <c r="CG138" s="186" t="n"/>
      <c r="CH138" s="186" t="n"/>
      <c r="CI138" s="191" t="n"/>
      <c r="CJ138" s="192" t="n"/>
      <c r="CK138" s="192" t="n"/>
      <c r="CL138" s="192" t="n"/>
      <c r="CM138" s="192" t="n"/>
    </row>
    <row r="139">
      <c r="A139" s="177" t="n"/>
      <c r="B139" s="178" t="n"/>
      <c r="C139" s="178" t="n"/>
      <c r="D139" s="179" t="n"/>
      <c r="E139" s="180" t="n"/>
      <c r="F139" s="181" t="n"/>
      <c r="G139" s="182" t="n"/>
      <c r="H139" s="105" t="n"/>
      <c r="I139" s="183">
        <f>F139</f>
        <v/>
      </c>
      <c r="J139" s="184" t="n"/>
      <c r="K139" s="185" t="n"/>
      <c r="L139" s="8" t="n"/>
      <c r="M139" s="184">
        <f>L139</f>
        <v/>
      </c>
      <c r="N139" s="71" t="n"/>
      <c r="O139" s="101" t="n"/>
      <c r="P139" s="9">
        <f>I139-M139</f>
        <v/>
      </c>
      <c r="Q139" s="9">
        <f>IF(LEFT(B139,4)&lt;&gt;"    ",0,BN139)</f>
        <v/>
      </c>
      <c r="R139" s="9">
        <f>+P139-Q139</f>
        <v/>
      </c>
      <c r="S139" s="281" t="n"/>
      <c r="T139" s="10" t="n"/>
      <c r="U139" s="23">
        <f>IF(LEFT(B139,4)&lt;&gt;"    ","",IF(M139&lt;&gt;0,X139/M139,0))</f>
        <v/>
      </c>
      <c r="V139" s="11">
        <f>IF(LEFT(B139,4)&lt;&gt;"    ","",U139*I139)</f>
        <v/>
      </c>
      <c r="W139" s="11">
        <f>IF(LEFT(B139,4)&lt;&gt;"    ","",X139+Z139)</f>
        <v/>
      </c>
      <c r="X139" s="8" t="n"/>
      <c r="Y139" s="9">
        <f>IF(LEFT(B139,4)&lt;&gt;"    ",0,IF(P139&lt;0,P139,IF(U139&gt;0.3,W139-X139,0)))</f>
        <v/>
      </c>
      <c r="Z139" s="71">
        <f>Y139</f>
        <v/>
      </c>
      <c r="AA139" s="71" t="n"/>
      <c r="AB139" s="109" t="n"/>
      <c r="AC139" s="9">
        <f>IF(LEFT(B139,4)&lt;&gt;"    ",0,BK139)</f>
        <v/>
      </c>
      <c r="AD139" s="9">
        <f>Z139-AC139</f>
        <v/>
      </c>
      <c r="AE139" s="10" t="n"/>
      <c r="AF139" s="24" t="n"/>
      <c r="AG139" s="11" t="n"/>
      <c r="AH139" s="8" t="n"/>
      <c r="AI139" s="9">
        <f>IF(LEFT(B139,4)&lt;&gt;"    ","",AG139-AH139)</f>
        <v/>
      </c>
      <c r="AJ139" s="9" t="n"/>
      <c r="AK139" s="10" t="n"/>
      <c r="AL139" s="11">
        <f>IF(LEFT(B139,4)&lt;&gt;"    ","",W139-AG139)</f>
        <v/>
      </c>
      <c r="AM139" s="8">
        <f>IF(LEFT(B139,4)&lt;&gt;"    ","",X139-AH139)</f>
        <v/>
      </c>
      <c r="AN139" s="9">
        <f>IF(LEFT(B139,4)&lt;&gt;"    ","",Y139-AI139)</f>
        <v/>
      </c>
      <c r="AO139" s="9">
        <f>IF(LEFT(B139,4)&lt;&gt;"    ","",Z139-AJ139)</f>
        <v/>
      </c>
      <c r="AP139" s="10" t="n"/>
      <c r="AQ139" s="25">
        <f>IF(LEFT(B139,4)&lt;&gt;"    ","",I139-W139)</f>
        <v/>
      </c>
      <c r="AR139" s="25">
        <f>M139-X139</f>
        <v/>
      </c>
      <c r="AS139" s="25">
        <f>IF(LEFT(B139,4)&lt;&gt;"    ","",P139-Z139)</f>
        <v/>
      </c>
      <c r="AT139" s="10" t="n"/>
      <c r="AU139" s="12" t="n"/>
      <c r="AV139" s="12">
        <f>IF(LEFT(B139,4)&lt;&gt;"    ","",IF(W139-AU139&gt;=0,W139-AU139," "))</f>
        <v/>
      </c>
      <c r="AW139" s="12">
        <f>IF(LEFT(B139,4)&lt;&gt;"    ","",IF(AU139-W139&gt;=0,AU139-W139," "))</f>
        <v/>
      </c>
      <c r="AX139" s="186" t="n"/>
      <c r="AY139" s="187" t="n"/>
      <c r="AZ139" s="186" t="n"/>
      <c r="BA139" s="186" t="n"/>
      <c r="BB139" s="188" t="n"/>
      <c r="BC139" s="187" t="n"/>
      <c r="BD139" s="187" t="n"/>
      <c r="BE139" s="186" t="n"/>
      <c r="BF139" s="186" t="n"/>
      <c r="BG139" s="186" t="n"/>
      <c r="BH139" s="186" t="n"/>
      <c r="BI139" s="186" t="n"/>
      <c r="BJ139" s="186" t="n"/>
      <c r="BK139" s="186" t="n"/>
      <c r="BL139" s="186" t="n"/>
      <c r="BM139" s="186" t="n"/>
      <c r="BN139" s="186" t="n"/>
      <c r="BO139" s="186" t="n"/>
      <c r="BP139" s="186" t="n"/>
      <c r="BQ139" s="186" t="n"/>
      <c r="BR139" s="186" t="n"/>
      <c r="BS139" s="186" t="n"/>
      <c r="BT139" s="186" t="n"/>
      <c r="BU139" s="186" t="n"/>
      <c r="BV139" s="186" t="n"/>
      <c r="BW139" s="186" t="n"/>
      <c r="BX139" s="186" t="n"/>
      <c r="BY139" s="186" t="n"/>
      <c r="BZ139" s="189" t="n"/>
      <c r="CA139" s="189" t="n"/>
      <c r="CB139" s="189" t="n"/>
      <c r="CC139" s="190" t="n"/>
      <c r="CD139" s="186" t="n"/>
      <c r="CE139" s="186" t="n"/>
      <c r="CF139" s="186" t="n"/>
      <c r="CG139" s="186" t="n"/>
      <c r="CH139" s="186" t="n"/>
      <c r="CI139" s="191" t="n"/>
      <c r="CJ139" s="192" t="n"/>
      <c r="CK139" s="192" t="n"/>
      <c r="CL139" s="192" t="n"/>
      <c r="CM139" s="192" t="n"/>
    </row>
    <row r="140">
      <c r="A140" s="177" t="n"/>
      <c r="B140" s="178" t="n"/>
      <c r="C140" s="178" t="n"/>
      <c r="D140" s="179" t="n"/>
      <c r="E140" s="180" t="n"/>
      <c r="F140" s="181" t="n"/>
      <c r="G140" s="182" t="n"/>
      <c r="H140" s="105" t="n"/>
      <c r="I140" s="183">
        <f>F140</f>
        <v/>
      </c>
      <c r="J140" s="184" t="n"/>
      <c r="K140" s="185" t="n"/>
      <c r="L140" s="8" t="n"/>
      <c r="M140" s="184">
        <f>L140</f>
        <v/>
      </c>
      <c r="N140" s="71" t="n"/>
      <c r="O140" s="101" t="n"/>
      <c r="P140" s="9">
        <f>I140-M140</f>
        <v/>
      </c>
      <c r="Q140" s="9">
        <f>IF(LEFT(B140,4)&lt;&gt;"    ",0,BN140)</f>
        <v/>
      </c>
      <c r="R140" s="9">
        <f>+P140-Q140</f>
        <v/>
      </c>
      <c r="S140" s="281" t="n"/>
      <c r="T140" s="10" t="n"/>
      <c r="U140" s="23">
        <f>IF(LEFT(B140,4)&lt;&gt;"    ","",IF(M140&lt;&gt;0,X140/M140,0))</f>
        <v/>
      </c>
      <c r="V140" s="11">
        <f>IF(LEFT(B140,4)&lt;&gt;"    ","",U140*I140)</f>
        <v/>
      </c>
      <c r="W140" s="11">
        <f>IF(LEFT(B140,4)&lt;&gt;"    ","",X140+Z140)</f>
        <v/>
      </c>
      <c r="X140" s="8" t="n"/>
      <c r="Y140" s="9">
        <f>IF(LEFT(B140,4)&lt;&gt;"    ",0,IF(P140&lt;0,P140,IF(U140&gt;0.3,W140-X140,0)))</f>
        <v/>
      </c>
      <c r="Z140" s="71">
        <f>Y140</f>
        <v/>
      </c>
      <c r="AA140" s="71" t="n"/>
      <c r="AB140" s="109" t="n"/>
      <c r="AC140" s="9">
        <f>IF(LEFT(B140,4)&lt;&gt;"    ",0,BK140)</f>
        <v/>
      </c>
      <c r="AD140" s="9">
        <f>Z140-AC140</f>
        <v/>
      </c>
      <c r="AE140" s="10" t="n"/>
      <c r="AF140" s="24" t="n"/>
      <c r="AG140" s="11" t="n"/>
      <c r="AH140" s="8" t="n"/>
      <c r="AI140" s="9">
        <f>IF(LEFT(B140,4)&lt;&gt;"    ","",AG140-AH140)</f>
        <v/>
      </c>
      <c r="AJ140" s="9" t="n"/>
      <c r="AK140" s="10" t="n"/>
      <c r="AL140" s="11">
        <f>IF(LEFT(B140,4)&lt;&gt;"    ","",W140-AG140)</f>
        <v/>
      </c>
      <c r="AM140" s="8">
        <f>IF(LEFT(B140,4)&lt;&gt;"    ","",X140-AH140)</f>
        <v/>
      </c>
      <c r="AN140" s="9">
        <f>IF(LEFT(B140,4)&lt;&gt;"    ","",Y140-AI140)</f>
        <v/>
      </c>
      <c r="AO140" s="9">
        <f>IF(LEFT(B140,4)&lt;&gt;"    ","",Z140-AJ140)</f>
        <v/>
      </c>
      <c r="AP140" s="10" t="n"/>
      <c r="AQ140" s="25">
        <f>IF(LEFT(B140,4)&lt;&gt;"    ","",I140-W140)</f>
        <v/>
      </c>
      <c r="AR140" s="25">
        <f>M140-X140</f>
        <v/>
      </c>
      <c r="AS140" s="25">
        <f>IF(LEFT(B140,4)&lt;&gt;"    ","",P140-Z140)</f>
        <v/>
      </c>
      <c r="AT140" s="10" t="n"/>
      <c r="AU140" s="12" t="n"/>
      <c r="AV140" s="12">
        <f>IF(LEFT(B140,4)&lt;&gt;"    ","",IF(W140-AU140&gt;=0,W140-AU140," "))</f>
        <v/>
      </c>
      <c r="AW140" s="12">
        <f>IF(LEFT(B140,4)&lt;&gt;"    ","",IF(AU140-W140&gt;=0,AU140-W140," "))</f>
        <v/>
      </c>
      <c r="AX140" s="186" t="n"/>
      <c r="AY140" s="187" t="n"/>
      <c r="AZ140" s="186" t="n"/>
      <c r="BA140" s="186" t="n"/>
      <c r="BB140" s="188" t="n"/>
      <c r="BC140" s="187" t="n"/>
      <c r="BD140" s="187" t="n"/>
      <c r="BE140" s="186" t="n"/>
      <c r="BF140" s="186" t="n"/>
      <c r="BG140" s="186" t="n"/>
      <c r="BH140" s="186" t="n"/>
      <c r="BI140" s="186" t="n"/>
      <c r="BJ140" s="186" t="n"/>
      <c r="BK140" s="186" t="n"/>
      <c r="BL140" s="186" t="n"/>
      <c r="BM140" s="186" t="n"/>
      <c r="BN140" s="186" t="n"/>
      <c r="BO140" s="186" t="n"/>
      <c r="BP140" s="186" t="n"/>
      <c r="BQ140" s="186" t="n"/>
      <c r="BR140" s="186" t="n"/>
      <c r="BS140" s="186" t="n"/>
      <c r="BT140" s="186" t="n"/>
      <c r="BU140" s="186" t="n"/>
      <c r="BV140" s="186" t="n"/>
      <c r="BW140" s="186" t="n"/>
      <c r="BX140" s="186" t="n"/>
      <c r="BY140" s="186" t="n"/>
      <c r="BZ140" s="189" t="n"/>
      <c r="CA140" s="189" t="n"/>
      <c r="CB140" s="189" t="n"/>
      <c r="CC140" s="190" t="n"/>
      <c r="CD140" s="186" t="n"/>
      <c r="CE140" s="186" t="n"/>
      <c r="CF140" s="186" t="n"/>
      <c r="CG140" s="186" t="n"/>
      <c r="CH140" s="186" t="n"/>
      <c r="CI140" s="191" t="n"/>
      <c r="CJ140" s="192" t="n"/>
      <c r="CK140" s="192" t="n"/>
      <c r="CL140" s="192" t="n"/>
      <c r="CM140" s="192" t="n"/>
    </row>
    <row r="141">
      <c r="A141" s="177" t="n"/>
      <c r="B141" s="178" t="n"/>
      <c r="C141" s="178" t="n"/>
      <c r="D141" s="179" t="n"/>
      <c r="E141" s="180" t="n"/>
      <c r="F141" s="181" t="n"/>
      <c r="G141" s="182" t="n"/>
      <c r="H141" s="105" t="n"/>
      <c r="I141" s="183">
        <f>F141</f>
        <v/>
      </c>
      <c r="J141" s="184" t="n"/>
      <c r="K141" s="185" t="n"/>
      <c r="L141" s="8" t="n"/>
      <c r="M141" s="184">
        <f>L141</f>
        <v/>
      </c>
      <c r="N141" s="71" t="n"/>
      <c r="O141" s="101" t="n"/>
      <c r="P141" s="9">
        <f>I141-M141</f>
        <v/>
      </c>
      <c r="Q141" s="9">
        <f>IF(LEFT(B141,4)&lt;&gt;"    ",0,BN141)</f>
        <v/>
      </c>
      <c r="R141" s="9">
        <f>+P141-Q141</f>
        <v/>
      </c>
      <c r="S141" s="281" t="n"/>
      <c r="T141" s="10" t="n"/>
      <c r="U141" s="23">
        <f>IF(LEFT(B141,4)&lt;&gt;"    ","",IF(M141&lt;&gt;0,X141/M141,0))</f>
        <v/>
      </c>
      <c r="V141" s="11">
        <f>IF(LEFT(B141,4)&lt;&gt;"    ","",U141*I141)</f>
        <v/>
      </c>
      <c r="W141" s="11">
        <f>IF(LEFT(B141,4)&lt;&gt;"    ","",X141+Z141)</f>
        <v/>
      </c>
      <c r="X141" s="8" t="n"/>
      <c r="Y141" s="9">
        <f>IF(LEFT(B141,4)&lt;&gt;"    ",0,IF(P141&lt;0,P141,IF(U141&gt;0.3,W141-X141,0)))</f>
        <v/>
      </c>
      <c r="Z141" s="71">
        <f>Y141</f>
        <v/>
      </c>
      <c r="AA141" s="71" t="n"/>
      <c r="AB141" s="109" t="n"/>
      <c r="AC141" s="9">
        <f>IF(LEFT(B141,4)&lt;&gt;"    ",0,BK141)</f>
        <v/>
      </c>
      <c r="AD141" s="9">
        <f>Z141-AC141</f>
        <v/>
      </c>
      <c r="AE141" s="10" t="n"/>
      <c r="AF141" s="24" t="n"/>
      <c r="AG141" s="11" t="n"/>
      <c r="AH141" s="8" t="n"/>
      <c r="AI141" s="9">
        <f>IF(LEFT(B141,4)&lt;&gt;"    ","",AG141-AH141)</f>
        <v/>
      </c>
      <c r="AJ141" s="9" t="n"/>
      <c r="AK141" s="10" t="n"/>
      <c r="AL141" s="11">
        <f>IF(LEFT(B141,4)&lt;&gt;"    ","",W141-AG141)</f>
        <v/>
      </c>
      <c r="AM141" s="8">
        <f>IF(LEFT(B141,4)&lt;&gt;"    ","",X141-AH141)</f>
        <v/>
      </c>
      <c r="AN141" s="9">
        <f>IF(LEFT(B141,4)&lt;&gt;"    ","",Y141-AI141)</f>
        <v/>
      </c>
      <c r="AO141" s="9">
        <f>IF(LEFT(B141,4)&lt;&gt;"    ","",Z141-AJ141)</f>
        <v/>
      </c>
      <c r="AP141" s="10" t="n"/>
      <c r="AQ141" s="25">
        <f>IF(LEFT(B141,4)&lt;&gt;"    ","",I141-W141)</f>
        <v/>
      </c>
      <c r="AR141" s="25">
        <f>M141-X141</f>
        <v/>
      </c>
      <c r="AS141" s="25">
        <f>IF(LEFT(B141,4)&lt;&gt;"    ","",P141-Z141)</f>
        <v/>
      </c>
      <c r="AT141" s="10" t="n"/>
      <c r="AU141" s="12" t="n"/>
      <c r="AV141" s="12">
        <f>IF(LEFT(B141,4)&lt;&gt;"    ","",IF(W141-AU141&gt;=0,W141-AU141," "))</f>
        <v/>
      </c>
      <c r="AW141" s="12">
        <f>IF(LEFT(B141,4)&lt;&gt;"    ","",IF(AU141-W141&gt;=0,AU141-W141," "))</f>
        <v/>
      </c>
      <c r="AX141" s="186" t="n"/>
      <c r="AY141" s="187" t="n"/>
      <c r="AZ141" s="186" t="n"/>
      <c r="BA141" s="186" t="n"/>
      <c r="BB141" s="188" t="n"/>
      <c r="BC141" s="187" t="n"/>
      <c r="BD141" s="187" t="n"/>
      <c r="BE141" s="186" t="n"/>
      <c r="BF141" s="186" t="n"/>
      <c r="BG141" s="186" t="n"/>
      <c r="BH141" s="186" t="n"/>
      <c r="BI141" s="186" t="n"/>
      <c r="BJ141" s="186" t="n"/>
      <c r="BK141" s="186" t="n"/>
      <c r="BL141" s="186" t="n"/>
      <c r="BM141" s="186" t="n"/>
      <c r="BN141" s="186" t="n"/>
      <c r="BO141" s="186" t="n"/>
      <c r="BP141" s="186" t="n"/>
      <c r="BQ141" s="186" t="n"/>
      <c r="BR141" s="186" t="n"/>
      <c r="BS141" s="186" t="n"/>
      <c r="BT141" s="186" t="n"/>
      <c r="BU141" s="186" t="n"/>
      <c r="BV141" s="186" t="n"/>
      <c r="BW141" s="186" t="n"/>
      <c r="BX141" s="186" t="n"/>
      <c r="BY141" s="186" t="n"/>
      <c r="BZ141" s="189" t="n"/>
      <c r="CA141" s="189" t="n"/>
      <c r="CB141" s="189" t="n"/>
      <c r="CC141" s="190" t="n"/>
      <c r="CD141" s="186" t="n"/>
      <c r="CE141" s="186" t="n"/>
      <c r="CF141" s="186" t="n"/>
      <c r="CG141" s="186" t="n"/>
      <c r="CH141" s="186" t="n"/>
      <c r="CI141" s="191" t="n"/>
      <c r="CJ141" s="192" t="n"/>
      <c r="CK141" s="192" t="n"/>
      <c r="CL141" s="192" t="n"/>
      <c r="CM141" s="192" t="n"/>
    </row>
    <row r="142">
      <c r="A142" s="177" t="n"/>
      <c r="B142" s="178" t="n"/>
      <c r="C142" s="178" t="n"/>
      <c r="D142" s="179" t="n"/>
      <c r="E142" s="180" t="n"/>
      <c r="F142" s="181" t="n"/>
      <c r="G142" s="182" t="n"/>
      <c r="H142" s="105" t="n"/>
      <c r="I142" s="183">
        <f>F142</f>
        <v/>
      </c>
      <c r="J142" s="184" t="n"/>
      <c r="K142" s="185" t="n"/>
      <c r="L142" s="8" t="n"/>
      <c r="M142" s="184">
        <f>L142</f>
        <v/>
      </c>
      <c r="N142" s="71" t="n"/>
      <c r="O142" s="101" t="n"/>
      <c r="P142" s="9">
        <f>I142-M142</f>
        <v/>
      </c>
      <c r="Q142" s="9">
        <f>IF(LEFT(B142,4)&lt;&gt;"    ",0,BN142)</f>
        <v/>
      </c>
      <c r="R142" s="9">
        <f>+P142-Q142</f>
        <v/>
      </c>
      <c r="S142" s="281" t="n"/>
      <c r="T142" s="10" t="n"/>
      <c r="U142" s="23">
        <f>IF(LEFT(B142,4)&lt;&gt;"    ","",IF(M142&lt;&gt;0,X142/M142,0))</f>
        <v/>
      </c>
      <c r="V142" s="11">
        <f>IF(LEFT(B142,4)&lt;&gt;"    ","",U142*I142)</f>
        <v/>
      </c>
      <c r="W142" s="11">
        <f>IF(LEFT(B142,4)&lt;&gt;"    ","",X142+Z142)</f>
        <v/>
      </c>
      <c r="X142" s="8" t="n"/>
      <c r="Y142" s="9">
        <f>IF(LEFT(B142,4)&lt;&gt;"    ",0,IF(P142&lt;0,P142,IF(U142&gt;0.3,W142-X142,0)))</f>
        <v/>
      </c>
      <c r="Z142" s="71">
        <f>Y142</f>
        <v/>
      </c>
      <c r="AA142" s="71" t="n"/>
      <c r="AB142" s="109" t="n"/>
      <c r="AC142" s="9">
        <f>IF(LEFT(B142,4)&lt;&gt;"    ",0,BK142)</f>
        <v/>
      </c>
      <c r="AD142" s="9">
        <f>Z142-AC142</f>
        <v/>
      </c>
      <c r="AE142" s="10" t="n"/>
      <c r="AF142" s="24" t="n"/>
      <c r="AG142" s="11" t="n"/>
      <c r="AH142" s="8" t="n"/>
      <c r="AI142" s="9">
        <f>IF(LEFT(B142,4)&lt;&gt;"    ","",AG142-AH142)</f>
        <v/>
      </c>
      <c r="AJ142" s="9" t="n"/>
      <c r="AK142" s="10" t="n"/>
      <c r="AL142" s="11">
        <f>IF(LEFT(B142,4)&lt;&gt;"    ","",W142-AG142)</f>
        <v/>
      </c>
      <c r="AM142" s="8">
        <f>IF(LEFT(B142,4)&lt;&gt;"    ","",X142-AH142)</f>
        <v/>
      </c>
      <c r="AN142" s="9">
        <f>IF(LEFT(B142,4)&lt;&gt;"    ","",Y142-AI142)</f>
        <v/>
      </c>
      <c r="AO142" s="9">
        <f>IF(LEFT(B142,4)&lt;&gt;"    ","",Z142-AJ142)</f>
        <v/>
      </c>
      <c r="AP142" s="10" t="n"/>
      <c r="AQ142" s="25">
        <f>IF(LEFT(B142,4)&lt;&gt;"    ","",I142-W142)</f>
        <v/>
      </c>
      <c r="AR142" s="25">
        <f>M142-X142</f>
        <v/>
      </c>
      <c r="AS142" s="25">
        <f>IF(LEFT(B142,4)&lt;&gt;"    ","",P142-Z142)</f>
        <v/>
      </c>
      <c r="AT142" s="10" t="n"/>
      <c r="AU142" s="12" t="n"/>
      <c r="AV142" s="12">
        <f>IF(LEFT(B142,4)&lt;&gt;"    ","",IF(W142-AU142&gt;=0,W142-AU142," "))</f>
        <v/>
      </c>
      <c r="AW142" s="12">
        <f>IF(LEFT(B142,4)&lt;&gt;"    ","",IF(AU142-W142&gt;=0,AU142-W142," "))</f>
        <v/>
      </c>
      <c r="AX142" s="186" t="n"/>
      <c r="AY142" s="187" t="n"/>
      <c r="AZ142" s="186" t="n"/>
      <c r="BA142" s="186" t="n"/>
      <c r="BB142" s="188" t="n"/>
      <c r="BC142" s="187" t="n"/>
      <c r="BD142" s="187" t="n"/>
      <c r="BE142" s="186" t="n"/>
      <c r="BF142" s="186" t="n"/>
      <c r="BG142" s="186" t="n"/>
      <c r="BH142" s="186" t="n"/>
      <c r="BI142" s="186" t="n"/>
      <c r="BJ142" s="186" t="n"/>
      <c r="BK142" s="186" t="n"/>
      <c r="BL142" s="186" t="n"/>
      <c r="BM142" s="186" t="n"/>
      <c r="BN142" s="186" t="n"/>
      <c r="BO142" s="186" t="n"/>
      <c r="BP142" s="186" t="n"/>
      <c r="BQ142" s="186" t="n"/>
      <c r="BR142" s="186" t="n"/>
      <c r="BS142" s="186" t="n"/>
      <c r="BT142" s="186" t="n"/>
      <c r="BU142" s="186" t="n"/>
      <c r="BV142" s="186" t="n"/>
      <c r="BW142" s="186" t="n"/>
      <c r="BX142" s="186" t="n"/>
      <c r="BY142" s="186" t="n"/>
      <c r="BZ142" s="189" t="n"/>
      <c r="CA142" s="189" t="n"/>
      <c r="CB142" s="189" t="n"/>
      <c r="CC142" s="190" t="n"/>
      <c r="CD142" s="186" t="n"/>
      <c r="CE142" s="186" t="n"/>
      <c r="CF142" s="186" t="n"/>
      <c r="CG142" s="186" t="n"/>
      <c r="CH142" s="186" t="n"/>
      <c r="CI142" s="191" t="n"/>
      <c r="CJ142" s="192" t="n"/>
      <c r="CK142" s="192" t="n"/>
      <c r="CL142" s="192" t="n"/>
      <c r="CM142" s="192" t="n"/>
    </row>
    <row r="143">
      <c r="A143" s="177" t="n"/>
      <c r="B143" s="178" t="n"/>
      <c r="C143" s="178" t="n"/>
      <c r="D143" s="179" t="n"/>
      <c r="E143" s="180" t="n"/>
      <c r="F143" s="181" t="n"/>
      <c r="G143" s="182" t="n"/>
      <c r="H143" s="105" t="n"/>
      <c r="I143" s="183">
        <f>F143</f>
        <v/>
      </c>
      <c r="J143" s="184" t="n"/>
      <c r="K143" s="185" t="n"/>
      <c r="L143" s="8" t="n"/>
      <c r="M143" s="184">
        <f>L143</f>
        <v/>
      </c>
      <c r="N143" s="71" t="n"/>
      <c r="O143" s="101" t="n"/>
      <c r="P143" s="9">
        <f>I143-M143</f>
        <v/>
      </c>
      <c r="Q143" s="9">
        <f>IF(LEFT(B143,4)&lt;&gt;"    ",0,BN143)</f>
        <v/>
      </c>
      <c r="R143" s="9">
        <f>+P143-Q143</f>
        <v/>
      </c>
      <c r="S143" s="281" t="n"/>
      <c r="T143" s="10" t="n"/>
      <c r="U143" s="23">
        <f>IF(LEFT(B143,4)&lt;&gt;"    ","",IF(M143&lt;&gt;0,X143/M143,0))</f>
        <v/>
      </c>
      <c r="V143" s="11">
        <f>IF(LEFT(B143,4)&lt;&gt;"    ","",U143*I143)</f>
        <v/>
      </c>
      <c r="W143" s="11">
        <f>IF(LEFT(B143,4)&lt;&gt;"    ","",X143+Z143)</f>
        <v/>
      </c>
      <c r="X143" s="8" t="n"/>
      <c r="Y143" s="9">
        <f>IF(LEFT(B143,4)&lt;&gt;"    ",0,IF(P143&lt;0,P143,IF(U143&gt;0.3,W143-X143,0)))</f>
        <v/>
      </c>
      <c r="Z143" s="71">
        <f>Y143</f>
        <v/>
      </c>
      <c r="AA143" s="71" t="n"/>
      <c r="AB143" s="109" t="n"/>
      <c r="AC143" s="9">
        <f>IF(LEFT(B143,4)&lt;&gt;"    ",0,BK143)</f>
        <v/>
      </c>
      <c r="AD143" s="9">
        <f>Z143-AC143</f>
        <v/>
      </c>
      <c r="AE143" s="10" t="n"/>
      <c r="AF143" s="24" t="n"/>
      <c r="AG143" s="11" t="n"/>
      <c r="AH143" s="8" t="n"/>
      <c r="AI143" s="9">
        <f>IF(LEFT(B143,4)&lt;&gt;"    ","",AG143-AH143)</f>
        <v/>
      </c>
      <c r="AJ143" s="9" t="n"/>
      <c r="AK143" s="10" t="n"/>
      <c r="AL143" s="11">
        <f>IF(LEFT(B143,4)&lt;&gt;"    ","",W143-AG143)</f>
        <v/>
      </c>
      <c r="AM143" s="8">
        <f>IF(LEFT(B143,4)&lt;&gt;"    ","",X143-AH143)</f>
        <v/>
      </c>
      <c r="AN143" s="9">
        <f>IF(LEFT(B143,4)&lt;&gt;"    ","",Y143-AI143)</f>
        <v/>
      </c>
      <c r="AO143" s="9">
        <f>IF(LEFT(B143,4)&lt;&gt;"    ","",Z143-AJ143)</f>
        <v/>
      </c>
      <c r="AP143" s="10" t="n"/>
      <c r="AQ143" s="25">
        <f>IF(LEFT(B143,4)&lt;&gt;"    ","",I143-W143)</f>
        <v/>
      </c>
      <c r="AR143" s="25">
        <f>M143-X143</f>
        <v/>
      </c>
      <c r="AS143" s="25">
        <f>IF(LEFT(B143,4)&lt;&gt;"    ","",P143-Z143)</f>
        <v/>
      </c>
      <c r="AT143" s="10" t="n"/>
      <c r="AU143" s="12" t="n"/>
      <c r="AV143" s="12">
        <f>IF(LEFT(B143,4)&lt;&gt;"    ","",IF(W143-AU143&gt;=0,W143-AU143," "))</f>
        <v/>
      </c>
      <c r="AW143" s="12">
        <f>IF(LEFT(B143,4)&lt;&gt;"    ","",IF(AU143-W143&gt;=0,AU143-W143," "))</f>
        <v/>
      </c>
      <c r="AX143" s="186" t="n"/>
      <c r="AY143" s="187" t="n"/>
      <c r="AZ143" s="186" t="n"/>
      <c r="BA143" s="186" t="n"/>
      <c r="BB143" s="188" t="n"/>
      <c r="BC143" s="187" t="n"/>
      <c r="BD143" s="187" t="n"/>
      <c r="BE143" s="186" t="n"/>
      <c r="BF143" s="186" t="n"/>
      <c r="BG143" s="186" t="n"/>
      <c r="BH143" s="186" t="n"/>
      <c r="BI143" s="186" t="n"/>
      <c r="BJ143" s="186" t="n"/>
      <c r="BK143" s="186" t="n"/>
      <c r="BL143" s="186" t="n"/>
      <c r="BM143" s="186" t="n"/>
      <c r="BN143" s="186" t="n"/>
      <c r="BO143" s="186" t="n"/>
      <c r="BP143" s="186" t="n"/>
      <c r="BQ143" s="186" t="n"/>
      <c r="BR143" s="186" t="n"/>
      <c r="BS143" s="186" t="n"/>
      <c r="BT143" s="186" t="n"/>
      <c r="BU143" s="186" t="n"/>
      <c r="BV143" s="186" t="n"/>
      <c r="BW143" s="186" t="n"/>
      <c r="BX143" s="186" t="n"/>
      <c r="BY143" s="186" t="n"/>
      <c r="BZ143" s="189" t="n"/>
      <c r="CA143" s="189" t="n"/>
      <c r="CB143" s="189" t="n"/>
      <c r="CC143" s="190" t="n"/>
      <c r="CD143" s="186" t="n"/>
      <c r="CE143" s="186" t="n"/>
      <c r="CF143" s="186" t="n"/>
      <c r="CG143" s="186" t="n"/>
      <c r="CH143" s="186" t="n"/>
      <c r="CI143" s="191" t="n"/>
      <c r="CJ143" s="192" t="n"/>
      <c r="CK143" s="192" t="n"/>
      <c r="CL143" s="192" t="n"/>
      <c r="CM143" s="192" t="n"/>
    </row>
    <row r="144">
      <c r="A144" s="177" t="n"/>
      <c r="B144" s="178" t="n"/>
      <c r="C144" s="178" t="n"/>
      <c r="D144" s="179" t="n"/>
      <c r="E144" s="180" t="n"/>
      <c r="F144" s="181" t="n"/>
      <c r="G144" s="182" t="n"/>
      <c r="H144" s="105" t="n"/>
      <c r="I144" s="183">
        <f>F144</f>
        <v/>
      </c>
      <c r="J144" s="184" t="n"/>
      <c r="K144" s="185" t="n"/>
      <c r="L144" s="8" t="n"/>
      <c r="M144" s="184">
        <f>L144</f>
        <v/>
      </c>
      <c r="N144" s="71" t="n"/>
      <c r="O144" s="101" t="n"/>
      <c r="P144" s="9">
        <f>I144-M144</f>
        <v/>
      </c>
      <c r="Q144" s="9">
        <f>IF(LEFT(B144,4)&lt;&gt;"    ",0,BN144)</f>
        <v/>
      </c>
      <c r="R144" s="9">
        <f>+P144-Q144</f>
        <v/>
      </c>
      <c r="S144" s="281" t="n"/>
      <c r="T144" s="10" t="n"/>
      <c r="U144" s="23">
        <f>IF(LEFT(B144,4)&lt;&gt;"    ","",IF(M144&lt;&gt;0,X144/M144,0))</f>
        <v/>
      </c>
      <c r="V144" s="11">
        <f>IF(LEFT(B144,4)&lt;&gt;"    ","",U144*I144)</f>
        <v/>
      </c>
      <c r="W144" s="11">
        <f>IF(LEFT(B144,4)&lt;&gt;"    ","",X144+Z144)</f>
        <v/>
      </c>
      <c r="X144" s="8" t="n"/>
      <c r="Y144" s="9">
        <f>IF(LEFT(B144,4)&lt;&gt;"    ",0,IF(P144&lt;0,P144,IF(U144&gt;0.3,W144-X144,0)))</f>
        <v/>
      </c>
      <c r="Z144" s="71">
        <f>Y144</f>
        <v/>
      </c>
      <c r="AA144" s="71" t="n"/>
      <c r="AB144" s="109" t="n"/>
      <c r="AC144" s="9">
        <f>IF(LEFT(B144,4)&lt;&gt;"    ",0,BK144)</f>
        <v/>
      </c>
      <c r="AD144" s="9">
        <f>Z144-AC144</f>
        <v/>
      </c>
      <c r="AE144" s="10" t="n"/>
      <c r="AF144" s="24" t="n"/>
      <c r="AG144" s="11" t="n"/>
      <c r="AH144" s="8" t="n"/>
      <c r="AI144" s="9">
        <f>IF(LEFT(B144,4)&lt;&gt;"    ","",AG144-AH144)</f>
        <v/>
      </c>
      <c r="AJ144" s="9" t="n"/>
      <c r="AK144" s="10" t="n"/>
      <c r="AL144" s="11">
        <f>IF(LEFT(B144,4)&lt;&gt;"    ","",W144-AG144)</f>
        <v/>
      </c>
      <c r="AM144" s="8">
        <f>IF(LEFT(B144,4)&lt;&gt;"    ","",X144-AH144)</f>
        <v/>
      </c>
      <c r="AN144" s="9">
        <f>IF(LEFT(B144,4)&lt;&gt;"    ","",Y144-AI144)</f>
        <v/>
      </c>
      <c r="AO144" s="9">
        <f>IF(LEFT(B144,4)&lt;&gt;"    ","",Z144-AJ144)</f>
        <v/>
      </c>
      <c r="AP144" s="10" t="n"/>
      <c r="AQ144" s="25">
        <f>IF(LEFT(B144,4)&lt;&gt;"    ","",I144-W144)</f>
        <v/>
      </c>
      <c r="AR144" s="25">
        <f>M144-X144</f>
        <v/>
      </c>
      <c r="AS144" s="25">
        <f>IF(LEFT(B144,4)&lt;&gt;"    ","",P144-Z144)</f>
        <v/>
      </c>
      <c r="AT144" s="10" t="n"/>
      <c r="AU144" s="12" t="n"/>
      <c r="AV144" s="12">
        <f>IF(LEFT(B144,4)&lt;&gt;"    ","",IF(W144-AU144&gt;=0,W144-AU144," "))</f>
        <v/>
      </c>
      <c r="AW144" s="12">
        <f>IF(LEFT(B144,4)&lt;&gt;"    ","",IF(AU144-W144&gt;=0,AU144-W144," "))</f>
        <v/>
      </c>
      <c r="AX144" s="186" t="n"/>
      <c r="AY144" s="187" t="n"/>
      <c r="AZ144" s="186" t="n"/>
      <c r="BA144" s="186" t="n"/>
      <c r="BB144" s="188" t="n"/>
      <c r="BC144" s="187" t="n"/>
      <c r="BD144" s="187" t="n"/>
      <c r="BE144" s="186" t="n"/>
      <c r="BF144" s="186" t="n"/>
      <c r="BG144" s="186" t="n"/>
      <c r="BH144" s="186" t="n"/>
      <c r="BI144" s="186" t="n"/>
      <c r="BJ144" s="186" t="n"/>
      <c r="BK144" s="186" t="n"/>
      <c r="BL144" s="186" t="n"/>
      <c r="BM144" s="186" t="n"/>
      <c r="BN144" s="186" t="n"/>
      <c r="BO144" s="186" t="n"/>
      <c r="BP144" s="186" t="n"/>
      <c r="BQ144" s="186" t="n"/>
      <c r="BR144" s="186" t="n"/>
      <c r="BS144" s="186" t="n"/>
      <c r="BT144" s="186" t="n"/>
      <c r="BU144" s="186" t="n"/>
      <c r="BV144" s="186" t="n"/>
      <c r="BW144" s="186" t="n"/>
      <c r="BX144" s="186" t="n"/>
      <c r="BY144" s="186" t="n"/>
      <c r="BZ144" s="189" t="n"/>
      <c r="CA144" s="189" t="n"/>
      <c r="CB144" s="189" t="n"/>
      <c r="CC144" s="190" t="n"/>
      <c r="CD144" s="186" t="n"/>
      <c r="CE144" s="186" t="n"/>
      <c r="CF144" s="186" t="n"/>
      <c r="CG144" s="186" t="n"/>
      <c r="CH144" s="186" t="n"/>
      <c r="CI144" s="191" t="n"/>
      <c r="CJ144" s="192" t="n"/>
      <c r="CK144" s="192" t="n"/>
      <c r="CL144" s="192" t="n"/>
      <c r="CM144" s="192" t="n"/>
    </row>
    <row r="145">
      <c r="A145" s="177" t="n"/>
      <c r="B145" s="178" t="n"/>
      <c r="C145" s="178" t="n"/>
      <c r="D145" s="179" t="n"/>
      <c r="E145" s="180" t="n"/>
      <c r="F145" s="181" t="n"/>
      <c r="G145" s="182" t="n"/>
      <c r="H145" s="105" t="n"/>
      <c r="I145" s="183">
        <f>F145</f>
        <v/>
      </c>
      <c r="J145" s="184" t="n"/>
      <c r="K145" s="185" t="n"/>
      <c r="L145" s="8" t="n"/>
      <c r="M145" s="184">
        <f>L145</f>
        <v/>
      </c>
      <c r="N145" s="71" t="n"/>
      <c r="O145" s="101" t="n"/>
      <c r="P145" s="9">
        <f>I145-M145</f>
        <v/>
      </c>
      <c r="Q145" s="9">
        <f>IF(LEFT(B145,4)&lt;&gt;"    ",0,BN145)</f>
        <v/>
      </c>
      <c r="R145" s="9">
        <f>+P145-Q145</f>
        <v/>
      </c>
      <c r="S145" s="281" t="n"/>
      <c r="T145" s="10" t="n"/>
      <c r="U145" s="23">
        <f>IF(LEFT(B145,4)&lt;&gt;"    ","",IF(M145&lt;&gt;0,X145/M145,0))</f>
        <v/>
      </c>
      <c r="V145" s="11">
        <f>IF(LEFT(B145,4)&lt;&gt;"    ","",U145*I145)</f>
        <v/>
      </c>
      <c r="W145" s="11">
        <f>IF(LEFT(B145,4)&lt;&gt;"    ","",X145+Z145)</f>
        <v/>
      </c>
      <c r="X145" s="8" t="n"/>
      <c r="Y145" s="9">
        <f>IF(LEFT(B145,4)&lt;&gt;"    ",0,IF(P145&lt;0,P145,IF(U145&gt;0.3,W145-X145,0)))</f>
        <v/>
      </c>
      <c r="Z145" s="71">
        <f>Y145</f>
        <v/>
      </c>
      <c r="AA145" s="71" t="n"/>
      <c r="AB145" s="109" t="n"/>
      <c r="AC145" s="9">
        <f>IF(LEFT(B145,4)&lt;&gt;"    ",0,BK145)</f>
        <v/>
      </c>
      <c r="AD145" s="9">
        <f>Z145-AC145</f>
        <v/>
      </c>
      <c r="AE145" s="10" t="n"/>
      <c r="AF145" s="24" t="n"/>
      <c r="AG145" s="11" t="n"/>
      <c r="AH145" s="8" t="n"/>
      <c r="AI145" s="9">
        <f>IF(LEFT(B145,4)&lt;&gt;"    ","",AG145-AH145)</f>
        <v/>
      </c>
      <c r="AJ145" s="9" t="n"/>
      <c r="AK145" s="10" t="n"/>
      <c r="AL145" s="11">
        <f>IF(LEFT(B145,4)&lt;&gt;"    ","",W145-AG145)</f>
        <v/>
      </c>
      <c r="AM145" s="8">
        <f>IF(LEFT(B145,4)&lt;&gt;"    ","",X145-AH145)</f>
        <v/>
      </c>
      <c r="AN145" s="9">
        <f>IF(LEFT(B145,4)&lt;&gt;"    ","",Y145-AI145)</f>
        <v/>
      </c>
      <c r="AO145" s="9">
        <f>IF(LEFT(B145,4)&lt;&gt;"    ","",Z145-AJ145)</f>
        <v/>
      </c>
      <c r="AP145" s="10" t="n"/>
      <c r="AQ145" s="25">
        <f>IF(LEFT(B145,4)&lt;&gt;"    ","",I145-W145)</f>
        <v/>
      </c>
      <c r="AR145" s="25">
        <f>M145-X145</f>
        <v/>
      </c>
      <c r="AS145" s="25">
        <f>IF(LEFT(B145,4)&lt;&gt;"    ","",P145-Z145)</f>
        <v/>
      </c>
      <c r="AT145" s="10" t="n"/>
      <c r="AU145" s="12" t="n"/>
      <c r="AV145" s="12">
        <f>IF(LEFT(B145,4)&lt;&gt;"    ","",IF(W145-AU145&gt;=0,W145-AU145," "))</f>
        <v/>
      </c>
      <c r="AW145" s="12">
        <f>IF(LEFT(B145,4)&lt;&gt;"    ","",IF(AU145-W145&gt;=0,AU145-W145," "))</f>
        <v/>
      </c>
      <c r="AX145" s="186" t="n"/>
      <c r="AY145" s="187" t="n"/>
      <c r="AZ145" s="186" t="n"/>
      <c r="BA145" s="186" t="n"/>
      <c r="BB145" s="188" t="n"/>
      <c r="BC145" s="187" t="n"/>
      <c r="BD145" s="187" t="n"/>
      <c r="BE145" s="186" t="n"/>
      <c r="BF145" s="186" t="n"/>
      <c r="BG145" s="186" t="n"/>
      <c r="BH145" s="186" t="n"/>
      <c r="BI145" s="186" t="n"/>
      <c r="BJ145" s="186" t="n"/>
      <c r="BK145" s="186" t="n"/>
      <c r="BL145" s="186" t="n"/>
      <c r="BM145" s="186" t="n"/>
      <c r="BN145" s="186" t="n"/>
      <c r="BO145" s="186" t="n"/>
      <c r="BP145" s="186" t="n"/>
      <c r="BQ145" s="186" t="n"/>
      <c r="BR145" s="186" t="n"/>
      <c r="BS145" s="186" t="n"/>
      <c r="BT145" s="186" t="n"/>
      <c r="BU145" s="186" t="n"/>
      <c r="BV145" s="186" t="n"/>
      <c r="BW145" s="186" t="n"/>
      <c r="BX145" s="186" t="n"/>
      <c r="BY145" s="186" t="n"/>
      <c r="BZ145" s="189" t="n"/>
      <c r="CA145" s="189" t="n"/>
      <c r="CB145" s="189" t="n"/>
      <c r="CC145" s="190" t="n"/>
      <c r="CD145" s="186" t="n"/>
      <c r="CE145" s="186" t="n"/>
      <c r="CF145" s="186" t="n"/>
      <c r="CG145" s="186" t="n"/>
      <c r="CH145" s="186" t="n"/>
      <c r="CI145" s="191" t="n"/>
      <c r="CJ145" s="192" t="n"/>
      <c r="CK145" s="192" t="n"/>
      <c r="CL145" s="192" t="n"/>
      <c r="CM145" s="192" t="n"/>
    </row>
    <row r="146">
      <c r="A146" s="177" t="n"/>
      <c r="B146" s="178" t="n"/>
      <c r="C146" s="178" t="n"/>
      <c r="D146" s="179" t="n"/>
      <c r="E146" s="180" t="n"/>
      <c r="F146" s="181" t="n"/>
      <c r="G146" s="182" t="n"/>
      <c r="H146" s="105" t="n"/>
      <c r="I146" s="183">
        <f>F146</f>
        <v/>
      </c>
      <c r="J146" s="184" t="n"/>
      <c r="K146" s="185" t="n"/>
      <c r="L146" s="8" t="n"/>
      <c r="M146" s="184">
        <f>L146</f>
        <v/>
      </c>
      <c r="N146" s="184" t="n"/>
      <c r="O146" s="185" t="n"/>
      <c r="P146" s="9">
        <f>I146-M146</f>
        <v/>
      </c>
      <c r="Q146" s="9">
        <f>IF(LEFT(B146,4)&lt;&gt;"    ",0,BN146)</f>
        <v/>
      </c>
      <c r="R146" s="9">
        <f>+P146-Q146</f>
        <v/>
      </c>
      <c r="S146" s="281" t="n"/>
      <c r="T146" s="10" t="n"/>
      <c r="U146" s="23">
        <f>IF(LEFT(B146,4)&lt;&gt;"    ","",IF(M146&lt;&gt;0,X146/M146,0))</f>
        <v/>
      </c>
      <c r="V146" s="11">
        <f>IF(LEFT(B146,4)&lt;&gt;"    ","",U146*I146)</f>
        <v/>
      </c>
      <c r="W146" s="11">
        <f>IF(LEFT(B146,4)&lt;&gt;"    ","",X146+Z146)</f>
        <v/>
      </c>
      <c r="X146" s="8" t="n"/>
      <c r="Y146" s="9">
        <f>IF(LEFT(B146,4)&lt;&gt;"    ",0,IF(P146&lt;0,P146,IF(U146&gt;0.3,W146-X146,0)))</f>
        <v/>
      </c>
      <c r="Z146" s="71">
        <f>Y146</f>
        <v/>
      </c>
      <c r="AA146" s="71" t="n"/>
      <c r="AB146" s="109" t="n"/>
      <c r="AC146" s="9">
        <f>IF(LEFT(B146,4)&lt;&gt;"    ",0,BK146)</f>
        <v/>
      </c>
      <c r="AD146" s="9">
        <f>Z146-AC146</f>
        <v/>
      </c>
      <c r="AE146" s="10" t="n"/>
      <c r="AF146" s="24" t="n"/>
      <c r="AG146" s="11" t="n"/>
      <c r="AH146" s="8" t="n"/>
      <c r="AI146" s="9">
        <f>IF(LEFT(B146,4)&lt;&gt;"    ","",AG146-AH146)</f>
        <v/>
      </c>
      <c r="AJ146" s="9" t="n"/>
      <c r="AK146" s="10" t="n"/>
      <c r="AL146" s="11">
        <f>IF(LEFT(B146,4)&lt;&gt;"    ","",W146-AG146)</f>
        <v/>
      </c>
      <c r="AM146" s="8">
        <f>IF(LEFT(B146,4)&lt;&gt;"    ","",X146-AH146)</f>
        <v/>
      </c>
      <c r="AN146" s="9">
        <f>IF(LEFT(B146,4)&lt;&gt;"    ","",Y146-AI146)</f>
        <v/>
      </c>
      <c r="AO146" s="9">
        <f>IF(LEFT(B146,4)&lt;&gt;"    ","",Z146-AJ146)</f>
        <v/>
      </c>
      <c r="AP146" s="10" t="n"/>
      <c r="AQ146" s="25">
        <f>IF(LEFT(B146,4)&lt;&gt;"    ","",I146-W146)</f>
        <v/>
      </c>
      <c r="AR146" s="25">
        <f>M146-X146</f>
        <v/>
      </c>
      <c r="AS146" s="25">
        <f>IF(LEFT(B146,4)&lt;&gt;"    ","",P146-Z146)</f>
        <v/>
      </c>
      <c r="AT146" s="10" t="n"/>
      <c r="AU146" s="12" t="n"/>
      <c r="AV146" s="12">
        <f>IF(LEFT(B146,4)&lt;&gt;"    ","",IF(W146-AU146&gt;=0,W146-AU146," "))</f>
        <v/>
      </c>
      <c r="AW146" s="12">
        <f>IF(LEFT(B146,4)&lt;&gt;"    ","",IF(AU146-W146&gt;=0,AU146-W146," "))</f>
        <v/>
      </c>
      <c r="AX146" s="186" t="n"/>
      <c r="AY146" s="187" t="n"/>
      <c r="AZ146" s="186" t="n"/>
      <c r="BA146" s="186" t="n"/>
      <c r="BB146" s="188" t="n"/>
      <c r="BC146" s="187" t="n"/>
      <c r="BD146" s="187" t="n"/>
      <c r="BE146" s="186" t="n"/>
      <c r="BF146" s="186" t="n"/>
      <c r="BG146" s="186" t="n"/>
      <c r="BH146" s="186" t="n"/>
      <c r="BI146" s="186" t="n"/>
      <c r="BJ146" s="186" t="n"/>
      <c r="BK146" s="186" t="n"/>
      <c r="BL146" s="186" t="n"/>
      <c r="BM146" s="186" t="n"/>
      <c r="BN146" s="186" t="n"/>
      <c r="BO146" s="186" t="n"/>
      <c r="BP146" s="186" t="n"/>
      <c r="BQ146" s="186" t="n"/>
      <c r="BR146" s="186" t="n"/>
      <c r="BS146" s="186" t="n"/>
      <c r="BT146" s="186" t="n"/>
      <c r="BU146" s="186" t="n"/>
      <c r="BV146" s="186" t="n"/>
      <c r="BW146" s="186" t="n"/>
      <c r="BX146" s="186" t="n"/>
      <c r="BY146" s="186" t="n"/>
      <c r="BZ146" s="189" t="n"/>
      <c r="CA146" s="189" t="n"/>
      <c r="CB146" s="189" t="n"/>
      <c r="CC146" s="190" t="n"/>
      <c r="CD146" s="186" t="n"/>
      <c r="CE146" s="186" t="n"/>
      <c r="CF146" s="186" t="n"/>
      <c r="CG146" s="186" t="n"/>
      <c r="CH146" s="186" t="n"/>
      <c r="CI146" s="191" t="n"/>
      <c r="CJ146" s="192" t="n"/>
      <c r="CK146" s="192" t="n"/>
      <c r="CL146" s="192" t="n"/>
      <c r="CM146" s="192" t="n"/>
    </row>
    <row r="147">
      <c r="A147" s="177" t="n"/>
      <c r="B147" s="178" t="n"/>
      <c r="C147" s="178" t="n"/>
      <c r="D147" s="179" t="n"/>
      <c r="E147" s="180" t="n"/>
      <c r="F147" s="181" t="n"/>
      <c r="G147" s="182" t="n"/>
      <c r="H147" s="105" t="n"/>
      <c r="I147" s="183">
        <f>F147</f>
        <v/>
      </c>
      <c r="J147" s="184" t="n"/>
      <c r="K147" s="185" t="n"/>
      <c r="L147" s="8" t="n"/>
      <c r="M147" s="184">
        <f>L147</f>
        <v/>
      </c>
      <c r="N147" s="71" t="n"/>
      <c r="O147" s="101" t="n"/>
      <c r="P147" s="9">
        <f>I147-M147</f>
        <v/>
      </c>
      <c r="Q147" s="9">
        <f>IF(LEFT(B147,4)&lt;&gt;"    ",0,BN147)</f>
        <v/>
      </c>
      <c r="R147" s="9">
        <f>+P147-Q147</f>
        <v/>
      </c>
      <c r="S147" s="281" t="n"/>
      <c r="T147" s="10" t="n"/>
      <c r="U147" s="23">
        <f>IF(LEFT(B147,4)&lt;&gt;"    ","",IF(M147&lt;&gt;0,X147/M147,0))</f>
        <v/>
      </c>
      <c r="V147" s="11">
        <f>IF(LEFT(B147,4)&lt;&gt;"    ","",U147*I147)</f>
        <v/>
      </c>
      <c r="W147" s="11">
        <f>IF(LEFT(B147,4)&lt;&gt;"    ","",X147+Z147)</f>
        <v/>
      </c>
      <c r="X147" s="8" t="n"/>
      <c r="Y147" s="9">
        <f>IF(LEFT(B147,4)&lt;&gt;"    ",0,IF(P147&lt;0,P147,IF(U147&gt;0.3,W147-X147,0)))</f>
        <v/>
      </c>
      <c r="Z147" s="71">
        <f>Y147</f>
        <v/>
      </c>
      <c r="AA147" s="71" t="n"/>
      <c r="AB147" s="109" t="n"/>
      <c r="AC147" s="9">
        <f>IF(LEFT(B147,4)&lt;&gt;"    ",0,BK147)</f>
        <v/>
      </c>
      <c r="AD147" s="9">
        <f>Z147-AC147</f>
        <v/>
      </c>
      <c r="AE147" s="10" t="n"/>
      <c r="AF147" s="24" t="n"/>
      <c r="AG147" s="11" t="n"/>
      <c r="AH147" s="8" t="n"/>
      <c r="AI147" s="9">
        <f>IF(LEFT(B147,4)&lt;&gt;"    ","",AG147-AH147)</f>
        <v/>
      </c>
      <c r="AJ147" s="9" t="n"/>
      <c r="AK147" s="10" t="n"/>
      <c r="AL147" s="11">
        <f>IF(LEFT(B147,4)&lt;&gt;"    ","",W147-AG147)</f>
        <v/>
      </c>
      <c r="AM147" s="8">
        <f>IF(LEFT(B147,4)&lt;&gt;"    ","",X147-AH147)</f>
        <v/>
      </c>
      <c r="AN147" s="9">
        <f>IF(LEFT(B147,4)&lt;&gt;"    ","",Y147-AI147)</f>
        <v/>
      </c>
      <c r="AO147" s="9">
        <f>IF(LEFT(B147,4)&lt;&gt;"    ","",Z147-AJ147)</f>
        <v/>
      </c>
      <c r="AP147" s="10" t="n"/>
      <c r="AQ147" s="25">
        <f>IF(LEFT(B147,4)&lt;&gt;"    ","",I147-W147)</f>
        <v/>
      </c>
      <c r="AR147" s="25">
        <f>M147-X147</f>
        <v/>
      </c>
      <c r="AS147" s="25">
        <f>IF(LEFT(B147,4)&lt;&gt;"    ","",P147-Z147)</f>
        <v/>
      </c>
      <c r="AT147" s="10" t="n"/>
      <c r="AU147" s="12" t="n"/>
      <c r="AV147" s="12">
        <f>IF(LEFT(B147,4)&lt;&gt;"    ","",IF(W147-AU147&gt;=0,W147-AU147," "))</f>
        <v/>
      </c>
      <c r="AW147" s="12">
        <f>IF(LEFT(B147,4)&lt;&gt;"    ","",IF(AU147-W147&gt;=0,AU147-W147," "))</f>
        <v/>
      </c>
      <c r="AX147" s="186" t="n"/>
      <c r="AY147" s="187" t="n"/>
      <c r="AZ147" s="186" t="n"/>
      <c r="BA147" s="186" t="n"/>
      <c r="BB147" s="188" t="n"/>
      <c r="BC147" s="187" t="n"/>
      <c r="BD147" s="187" t="n"/>
      <c r="BE147" s="186" t="n"/>
      <c r="BF147" s="186" t="n"/>
      <c r="BG147" s="186" t="n"/>
      <c r="BH147" s="186" t="n"/>
      <c r="BI147" s="186" t="n"/>
      <c r="BJ147" s="186" t="n"/>
      <c r="BK147" s="186" t="n"/>
      <c r="BL147" s="186" t="n"/>
      <c r="BM147" s="186" t="n"/>
      <c r="BN147" s="186" t="n"/>
      <c r="BO147" s="186" t="n"/>
      <c r="BP147" s="186" t="n"/>
      <c r="BQ147" s="186" t="n"/>
      <c r="BR147" s="186" t="n"/>
      <c r="BS147" s="186" t="n"/>
      <c r="BT147" s="186" t="n"/>
      <c r="BU147" s="186" t="n"/>
      <c r="BV147" s="186" t="n"/>
      <c r="BW147" s="186" t="n"/>
      <c r="BX147" s="186" t="n"/>
      <c r="BY147" s="186" t="n"/>
      <c r="BZ147" s="189" t="n"/>
      <c r="CA147" s="189" t="n"/>
      <c r="CB147" s="189" t="n"/>
      <c r="CC147" s="190" t="n"/>
      <c r="CD147" s="186" t="n"/>
      <c r="CE147" s="186" t="n"/>
      <c r="CF147" s="186" t="n"/>
      <c r="CG147" s="186" t="n"/>
      <c r="CH147" s="186" t="n"/>
      <c r="CI147" s="191" t="n"/>
      <c r="CJ147" s="192" t="n"/>
      <c r="CK147" s="192" t="n"/>
      <c r="CL147" s="192" t="n"/>
      <c r="CM147" s="192" t="n"/>
    </row>
    <row r="148">
      <c r="A148" s="177" t="n"/>
      <c r="B148" s="178" t="n"/>
      <c r="C148" s="178" t="n"/>
      <c r="D148" s="179" t="n"/>
      <c r="E148" s="180" t="n"/>
      <c r="F148" s="181" t="n"/>
      <c r="G148" s="182" t="n"/>
      <c r="H148" s="105" t="n"/>
      <c r="I148" s="183">
        <f>F148</f>
        <v/>
      </c>
      <c r="J148" s="184" t="n"/>
      <c r="K148" s="185" t="n"/>
      <c r="L148" s="8" t="n"/>
      <c r="M148" s="184">
        <f>L148</f>
        <v/>
      </c>
      <c r="N148" s="71" t="n"/>
      <c r="O148" s="101" t="n"/>
      <c r="P148" s="9">
        <f>I148-M148</f>
        <v/>
      </c>
      <c r="Q148" s="9">
        <f>IF(LEFT(B148,4)&lt;&gt;"    ",0,BN148)</f>
        <v/>
      </c>
      <c r="R148" s="9">
        <f>+P148-Q148</f>
        <v/>
      </c>
      <c r="S148" s="281" t="n"/>
      <c r="T148" s="10" t="n"/>
      <c r="U148" s="23">
        <f>IF(LEFT(B148,4)&lt;&gt;"    ","",IF(M148&lt;&gt;0,X148/M148,0))</f>
        <v/>
      </c>
      <c r="V148" s="11">
        <f>IF(LEFT(B148,4)&lt;&gt;"    ","",U148*I148)</f>
        <v/>
      </c>
      <c r="W148" s="11">
        <f>IF(LEFT(B148,4)&lt;&gt;"    ","",X148+Z148)</f>
        <v/>
      </c>
      <c r="X148" s="8" t="n"/>
      <c r="Y148" s="9">
        <f>IF(LEFT(B148,4)&lt;&gt;"    ",0,IF(P148&lt;0,P148,IF(U148&gt;0.3,W148-X148,0)))</f>
        <v/>
      </c>
      <c r="Z148" s="71">
        <f>Y148</f>
        <v/>
      </c>
      <c r="AA148" s="71" t="n"/>
      <c r="AB148" s="109" t="n"/>
      <c r="AC148" s="9">
        <f>IF(LEFT(B148,4)&lt;&gt;"    ",0,BK148)</f>
        <v/>
      </c>
      <c r="AD148" s="9">
        <f>Z148-AC148</f>
        <v/>
      </c>
      <c r="AE148" s="10" t="n"/>
      <c r="AF148" s="24" t="n"/>
      <c r="AG148" s="11" t="n"/>
      <c r="AH148" s="8" t="n"/>
      <c r="AI148" s="9">
        <f>IF(LEFT(B148,4)&lt;&gt;"    ","",AG148-AH148)</f>
        <v/>
      </c>
      <c r="AJ148" s="9" t="n"/>
      <c r="AK148" s="10" t="n"/>
      <c r="AL148" s="11">
        <f>IF(LEFT(B148,4)&lt;&gt;"    ","",W148-AG148)</f>
        <v/>
      </c>
      <c r="AM148" s="8">
        <f>IF(LEFT(B148,4)&lt;&gt;"    ","",X148-AH148)</f>
        <v/>
      </c>
      <c r="AN148" s="9">
        <f>IF(LEFT(B148,4)&lt;&gt;"    ","",Y148-AI148)</f>
        <v/>
      </c>
      <c r="AO148" s="9">
        <f>IF(LEFT(B148,4)&lt;&gt;"    ","",Z148-AJ148)</f>
        <v/>
      </c>
      <c r="AP148" s="10" t="n"/>
      <c r="AQ148" s="25">
        <f>IF(LEFT(B148,4)&lt;&gt;"    ","",I148-W148)</f>
        <v/>
      </c>
      <c r="AR148" s="25">
        <f>M148-X148</f>
        <v/>
      </c>
      <c r="AS148" s="25">
        <f>IF(LEFT(B148,4)&lt;&gt;"    ","",P148-Z148)</f>
        <v/>
      </c>
      <c r="AT148" s="10" t="n"/>
      <c r="AU148" s="12" t="n"/>
      <c r="AV148" s="12">
        <f>IF(LEFT(B148,4)&lt;&gt;"    ","",IF(W148-AU148&gt;=0,W148-AU148," "))</f>
        <v/>
      </c>
      <c r="AW148" s="12">
        <f>IF(LEFT(B148,4)&lt;&gt;"    ","",IF(AU148-W148&gt;=0,AU148-W148," "))</f>
        <v/>
      </c>
      <c r="AX148" s="186" t="n"/>
      <c r="AY148" s="187" t="n"/>
      <c r="AZ148" s="186" t="n"/>
      <c r="BA148" s="186" t="n"/>
      <c r="BB148" s="188" t="n"/>
      <c r="BC148" s="187" t="n"/>
      <c r="BD148" s="187" t="n"/>
      <c r="BE148" s="186" t="n"/>
      <c r="BF148" s="186" t="n"/>
      <c r="BG148" s="186" t="n"/>
      <c r="BH148" s="186" t="n"/>
      <c r="BI148" s="186" t="n"/>
      <c r="BJ148" s="186" t="n"/>
      <c r="BK148" s="186" t="n"/>
      <c r="BL148" s="186" t="n"/>
      <c r="BM148" s="186" t="n"/>
      <c r="BN148" s="186" t="n"/>
      <c r="BO148" s="186" t="n"/>
      <c r="BP148" s="186" t="n"/>
      <c r="BQ148" s="186" t="n"/>
      <c r="BR148" s="186" t="n"/>
      <c r="BS148" s="186" t="n"/>
      <c r="BT148" s="186" t="n"/>
      <c r="BU148" s="186" t="n"/>
      <c r="BV148" s="186" t="n"/>
      <c r="BW148" s="186" t="n"/>
      <c r="BX148" s="186" t="n"/>
      <c r="BY148" s="186" t="n"/>
      <c r="BZ148" s="189" t="n"/>
      <c r="CA148" s="189" t="n"/>
      <c r="CB148" s="189" t="n"/>
      <c r="CC148" s="190" t="n"/>
      <c r="CD148" s="186" t="n"/>
      <c r="CE148" s="186" t="n"/>
      <c r="CF148" s="186" t="n"/>
      <c r="CG148" s="186" t="n"/>
      <c r="CH148" s="186" t="n"/>
      <c r="CI148" s="191" t="n"/>
      <c r="CJ148" s="192" t="n"/>
      <c r="CK148" s="192" t="n"/>
      <c r="CL148" s="192" t="n"/>
      <c r="CM148" s="192" t="n"/>
    </row>
    <row r="149">
      <c r="A149" s="177" t="n"/>
      <c r="B149" s="178" t="n"/>
      <c r="C149" s="178" t="n"/>
      <c r="D149" s="179" t="n"/>
      <c r="E149" s="180" t="n"/>
      <c r="F149" s="181" t="n"/>
      <c r="G149" s="182" t="n"/>
      <c r="H149" s="105" t="n"/>
      <c r="I149" s="183">
        <f>F149</f>
        <v/>
      </c>
      <c r="J149" s="184" t="n"/>
      <c r="K149" s="185" t="n"/>
      <c r="L149" s="8" t="n"/>
      <c r="M149" s="184">
        <f>L149</f>
        <v/>
      </c>
      <c r="N149" s="71" t="n"/>
      <c r="O149" s="101" t="n"/>
      <c r="P149" s="9">
        <f>I149-M149</f>
        <v/>
      </c>
      <c r="Q149" s="9">
        <f>IF(LEFT(B149,4)&lt;&gt;"    ",0,BN149)</f>
        <v/>
      </c>
      <c r="R149" s="9">
        <f>+P149-Q149</f>
        <v/>
      </c>
      <c r="S149" s="281" t="n"/>
      <c r="T149" s="10" t="n"/>
      <c r="U149" s="23">
        <f>IF(LEFT(B149,4)&lt;&gt;"    ","",IF(M149&lt;&gt;0,X149/M149,0))</f>
        <v/>
      </c>
      <c r="V149" s="11">
        <f>IF(LEFT(B149,4)&lt;&gt;"    ","",U149*I149)</f>
        <v/>
      </c>
      <c r="W149" s="11">
        <f>IF(LEFT(B149,4)&lt;&gt;"    ","",X149+Z149)</f>
        <v/>
      </c>
      <c r="X149" s="8" t="n"/>
      <c r="Y149" s="9">
        <f>IF(LEFT(B149,4)&lt;&gt;"    ",0,IF(P149&lt;0,P149,IF(U149&gt;0.3,W149-X149,0)))</f>
        <v/>
      </c>
      <c r="Z149" s="71">
        <f>Y149</f>
        <v/>
      </c>
      <c r="AA149" s="71" t="n"/>
      <c r="AB149" s="109" t="n"/>
      <c r="AC149" s="9">
        <f>IF(LEFT(B149,4)&lt;&gt;"    ",0,BK149)</f>
        <v/>
      </c>
      <c r="AD149" s="9">
        <f>Z149-AC149</f>
        <v/>
      </c>
      <c r="AE149" s="10" t="n"/>
      <c r="AF149" s="24" t="n"/>
      <c r="AG149" s="11" t="n"/>
      <c r="AH149" s="8" t="n"/>
      <c r="AI149" s="9">
        <f>IF(LEFT(B149,4)&lt;&gt;"    ","",AG149-AH149)</f>
        <v/>
      </c>
      <c r="AJ149" s="9" t="n"/>
      <c r="AK149" s="10" t="n"/>
      <c r="AL149" s="11">
        <f>IF(LEFT(B149,4)&lt;&gt;"    ","",W149-AG149)</f>
        <v/>
      </c>
      <c r="AM149" s="8">
        <f>IF(LEFT(B149,4)&lt;&gt;"    ","",X149-AH149)</f>
        <v/>
      </c>
      <c r="AN149" s="9">
        <f>IF(LEFT(B149,4)&lt;&gt;"    ","",Y149-AI149)</f>
        <v/>
      </c>
      <c r="AO149" s="9">
        <f>IF(LEFT(B149,4)&lt;&gt;"    ","",Z149-AJ149)</f>
        <v/>
      </c>
      <c r="AP149" s="10" t="n"/>
      <c r="AQ149" s="25">
        <f>IF(LEFT(B149,4)&lt;&gt;"    ","",I149-W149)</f>
        <v/>
      </c>
      <c r="AR149" s="25">
        <f>M149-X149</f>
        <v/>
      </c>
      <c r="AS149" s="25">
        <f>IF(LEFT(B149,4)&lt;&gt;"    ","",P149-Z149)</f>
        <v/>
      </c>
      <c r="AT149" s="10" t="n"/>
      <c r="AU149" s="12" t="n"/>
      <c r="AV149" s="12">
        <f>IF(LEFT(B149,4)&lt;&gt;"    ","",IF(W149-AU149&gt;=0,W149-AU149," "))</f>
        <v/>
      </c>
      <c r="AW149" s="12">
        <f>IF(LEFT(B149,4)&lt;&gt;"    ","",IF(AU149-W149&gt;=0,AU149-W149," "))</f>
        <v/>
      </c>
      <c r="AX149" s="186" t="n"/>
      <c r="AY149" s="187" t="n"/>
      <c r="AZ149" s="186" t="n"/>
      <c r="BA149" s="186" t="n"/>
      <c r="BB149" s="188" t="n"/>
      <c r="BC149" s="187" t="n"/>
      <c r="BD149" s="187" t="n"/>
      <c r="BE149" s="186" t="n"/>
      <c r="BF149" s="186" t="n"/>
      <c r="BG149" s="186" t="n"/>
      <c r="BH149" s="186" t="n"/>
      <c r="BI149" s="186" t="n"/>
      <c r="BJ149" s="186" t="n"/>
      <c r="BK149" s="186" t="n"/>
      <c r="BL149" s="186" t="n"/>
      <c r="BM149" s="186" t="n"/>
      <c r="BN149" s="186" t="n"/>
      <c r="BO149" s="186" t="n"/>
      <c r="BP149" s="186" t="n"/>
      <c r="BQ149" s="186" t="n"/>
      <c r="BR149" s="186" t="n"/>
      <c r="BS149" s="186" t="n"/>
      <c r="BT149" s="186" t="n"/>
      <c r="BU149" s="186" t="n"/>
      <c r="BV149" s="186" t="n"/>
      <c r="BW149" s="186" t="n"/>
      <c r="BX149" s="186" t="n"/>
      <c r="BY149" s="186" t="n"/>
      <c r="BZ149" s="189" t="n"/>
      <c r="CA149" s="189" t="n"/>
      <c r="CB149" s="189" t="n"/>
      <c r="CC149" s="190" t="n"/>
      <c r="CD149" s="186" t="n"/>
      <c r="CE149" s="186" t="n"/>
      <c r="CF149" s="186" t="n"/>
      <c r="CG149" s="186" t="n"/>
      <c r="CH149" s="186" t="n"/>
      <c r="CI149" s="191" t="n"/>
      <c r="CJ149" s="192" t="n"/>
      <c r="CK149" s="192" t="n"/>
      <c r="CL149" s="192" t="n"/>
      <c r="CM149" s="192" t="n"/>
    </row>
    <row r="150">
      <c r="A150" s="177" t="n"/>
      <c r="B150" s="178" t="n"/>
      <c r="C150" s="178" t="n"/>
      <c r="D150" s="179" t="n"/>
      <c r="E150" s="180" t="n"/>
      <c r="F150" s="181" t="n"/>
      <c r="G150" s="182" t="n"/>
      <c r="H150" s="105" t="n"/>
      <c r="I150" s="183">
        <f>F150</f>
        <v/>
      </c>
      <c r="J150" s="184" t="n"/>
      <c r="K150" s="185" t="n"/>
      <c r="L150" s="8" t="n"/>
      <c r="M150" s="184">
        <f>L150</f>
        <v/>
      </c>
      <c r="N150" s="71" t="n"/>
      <c r="O150" s="101" t="n"/>
      <c r="P150" s="9">
        <f>I150-M150</f>
        <v/>
      </c>
      <c r="Q150" s="9">
        <f>IF(LEFT(B150,4)&lt;&gt;"    ",0,BN150)</f>
        <v/>
      </c>
      <c r="R150" s="9">
        <f>+P150-Q150</f>
        <v/>
      </c>
      <c r="S150" s="281" t="n"/>
      <c r="T150" s="10" t="n"/>
      <c r="U150" s="23">
        <f>IF(LEFT(B150,4)&lt;&gt;"    ","",IF(M150&lt;&gt;0,X150/M150,0))</f>
        <v/>
      </c>
      <c r="V150" s="11">
        <f>IF(LEFT(B150,4)&lt;&gt;"    ","",U150*I150)</f>
        <v/>
      </c>
      <c r="W150" s="11">
        <f>IF(LEFT(B150,4)&lt;&gt;"    ","",X150+Z150)</f>
        <v/>
      </c>
      <c r="X150" s="8" t="n"/>
      <c r="Y150" s="9">
        <f>IF(LEFT(B150,4)&lt;&gt;"    ",0,IF(P150&lt;0,P150,IF(U150&gt;0.3,W150-X150,0)))</f>
        <v/>
      </c>
      <c r="Z150" s="71">
        <f>Y150</f>
        <v/>
      </c>
      <c r="AA150" s="71" t="n"/>
      <c r="AB150" s="109" t="n"/>
      <c r="AC150" s="9">
        <f>IF(LEFT(B150,4)&lt;&gt;"    ",0,BK150)</f>
        <v/>
      </c>
      <c r="AD150" s="9">
        <f>Z150-AC150</f>
        <v/>
      </c>
      <c r="AE150" s="10" t="n"/>
      <c r="AF150" s="24" t="n"/>
      <c r="AG150" s="11" t="n"/>
      <c r="AH150" s="8" t="n"/>
      <c r="AI150" s="9">
        <f>IF(LEFT(B150,4)&lt;&gt;"    ","",AG150-AH150)</f>
        <v/>
      </c>
      <c r="AJ150" s="9" t="n"/>
      <c r="AK150" s="10" t="n"/>
      <c r="AL150" s="11">
        <f>IF(LEFT(B150,4)&lt;&gt;"    ","",W150-AG150)</f>
        <v/>
      </c>
      <c r="AM150" s="8">
        <f>IF(LEFT(B150,4)&lt;&gt;"    ","",X150-AH150)</f>
        <v/>
      </c>
      <c r="AN150" s="9">
        <f>IF(LEFT(B150,4)&lt;&gt;"    ","",Y150-AI150)</f>
        <v/>
      </c>
      <c r="AO150" s="9">
        <f>IF(LEFT(B150,4)&lt;&gt;"    ","",Z150-AJ150)</f>
        <v/>
      </c>
      <c r="AP150" s="10" t="n"/>
      <c r="AQ150" s="25">
        <f>IF(LEFT(B150,4)&lt;&gt;"    ","",I150-W150)</f>
        <v/>
      </c>
      <c r="AR150" s="25">
        <f>M150-X150</f>
        <v/>
      </c>
      <c r="AS150" s="25">
        <f>IF(LEFT(B150,4)&lt;&gt;"    ","",P150-Z150)</f>
        <v/>
      </c>
      <c r="AT150" s="10" t="n"/>
      <c r="AU150" s="12" t="n"/>
      <c r="AV150" s="12">
        <f>IF(LEFT(B150,4)&lt;&gt;"    ","",IF(W150-AU150&gt;=0,W150-AU150," "))</f>
        <v/>
      </c>
      <c r="AW150" s="12">
        <f>IF(LEFT(B150,4)&lt;&gt;"    ","",IF(AU150-W150&gt;=0,AU150-W150," "))</f>
        <v/>
      </c>
      <c r="AX150" s="186" t="n"/>
      <c r="AY150" s="187" t="n"/>
      <c r="AZ150" s="186" t="n"/>
      <c r="BA150" s="186" t="n"/>
      <c r="BB150" s="188" t="n"/>
      <c r="BC150" s="187" t="n"/>
      <c r="BD150" s="187" t="n"/>
      <c r="BE150" s="186" t="n"/>
      <c r="BF150" s="186" t="n"/>
      <c r="BG150" s="186" t="n"/>
      <c r="BH150" s="186" t="n"/>
      <c r="BI150" s="186" t="n"/>
      <c r="BJ150" s="186" t="n"/>
      <c r="BK150" s="186" t="n"/>
      <c r="BL150" s="186" t="n"/>
      <c r="BM150" s="186" t="n"/>
      <c r="BN150" s="186" t="n"/>
      <c r="BO150" s="186" t="n"/>
      <c r="BP150" s="186" t="n"/>
      <c r="BQ150" s="186" t="n"/>
      <c r="BR150" s="186" t="n"/>
      <c r="BS150" s="186" t="n"/>
      <c r="BT150" s="186" t="n"/>
      <c r="BU150" s="186" t="n"/>
      <c r="BV150" s="186" t="n"/>
      <c r="BW150" s="186" t="n"/>
      <c r="BX150" s="186" t="n"/>
      <c r="BY150" s="186" t="n"/>
      <c r="BZ150" s="189" t="n"/>
      <c r="CA150" s="189" t="n"/>
      <c r="CB150" s="189" t="n"/>
      <c r="CC150" s="190" t="n"/>
      <c r="CD150" s="186" t="n"/>
      <c r="CE150" s="186" t="n"/>
      <c r="CF150" s="186" t="n"/>
      <c r="CG150" s="186" t="n"/>
      <c r="CH150" s="186" t="n"/>
      <c r="CI150" s="191" t="n"/>
      <c r="CJ150" s="192" t="n"/>
      <c r="CK150" s="192" t="n"/>
      <c r="CL150" s="192" t="n"/>
      <c r="CM150" s="192" t="n"/>
    </row>
    <row r="151">
      <c r="A151" s="177" t="n"/>
      <c r="B151" s="178" t="n"/>
      <c r="C151" s="178" t="n"/>
      <c r="D151" s="179" t="n"/>
      <c r="E151" s="180" t="n"/>
      <c r="F151" s="181" t="n"/>
      <c r="G151" s="182" t="n"/>
      <c r="H151" s="105" t="n"/>
      <c r="I151" s="183">
        <f>F151</f>
        <v/>
      </c>
      <c r="J151" s="184" t="n"/>
      <c r="K151" s="185" t="n"/>
      <c r="L151" s="8" t="n"/>
      <c r="M151" s="184">
        <f>L151</f>
        <v/>
      </c>
      <c r="N151" s="71" t="n"/>
      <c r="O151" s="101" t="n"/>
      <c r="P151" s="9">
        <f>I151-M151</f>
        <v/>
      </c>
      <c r="Q151" s="9">
        <f>IF(LEFT(B151,4)&lt;&gt;"    ",0,BN151)</f>
        <v/>
      </c>
      <c r="R151" s="9">
        <f>+P151-Q151</f>
        <v/>
      </c>
      <c r="S151" s="281" t="n"/>
      <c r="T151" s="10" t="n"/>
      <c r="U151" s="23">
        <f>IF(LEFT(B151,4)&lt;&gt;"    ","",IF(M151&lt;&gt;0,X151/M151,0))</f>
        <v/>
      </c>
      <c r="V151" s="11">
        <f>IF(LEFT(B151,4)&lt;&gt;"    ","",U151*I151)</f>
        <v/>
      </c>
      <c r="W151" s="11">
        <f>IF(LEFT(B151,4)&lt;&gt;"    ","",X151+Z151)</f>
        <v/>
      </c>
      <c r="X151" s="8" t="n"/>
      <c r="Y151" s="9">
        <f>IF(LEFT(B151,4)&lt;&gt;"    ",0,IF(P151&lt;0,P151,IF(U151&gt;0.3,W151-X151,0)))</f>
        <v/>
      </c>
      <c r="Z151" s="71">
        <f>Y151</f>
        <v/>
      </c>
      <c r="AA151" s="71" t="n"/>
      <c r="AB151" s="109" t="n"/>
      <c r="AC151" s="9">
        <f>IF(LEFT(B151,4)&lt;&gt;"    ",0,BK151)</f>
        <v/>
      </c>
      <c r="AD151" s="9">
        <f>Z151-AC151</f>
        <v/>
      </c>
      <c r="AE151" s="10" t="n"/>
      <c r="AF151" s="24" t="n"/>
      <c r="AG151" s="11" t="n"/>
      <c r="AH151" s="8" t="n"/>
      <c r="AI151" s="9">
        <f>IF(LEFT(B151,4)&lt;&gt;"    ","",AG151-AH151)</f>
        <v/>
      </c>
      <c r="AJ151" s="9" t="n"/>
      <c r="AK151" s="10" t="n"/>
      <c r="AL151" s="11">
        <f>IF(LEFT(B151,4)&lt;&gt;"    ","",W151-AG151)</f>
        <v/>
      </c>
      <c r="AM151" s="8">
        <f>IF(LEFT(B151,4)&lt;&gt;"    ","",X151-AH151)</f>
        <v/>
      </c>
      <c r="AN151" s="9">
        <f>IF(LEFT(B151,4)&lt;&gt;"    ","",Y151-AI151)</f>
        <v/>
      </c>
      <c r="AO151" s="9">
        <f>IF(LEFT(B151,4)&lt;&gt;"    ","",Z151-AJ151)</f>
        <v/>
      </c>
      <c r="AP151" s="10" t="n"/>
      <c r="AQ151" s="25">
        <f>IF(LEFT(B151,4)&lt;&gt;"    ","",I151-W151)</f>
        <v/>
      </c>
      <c r="AR151" s="25">
        <f>M151-X151</f>
        <v/>
      </c>
      <c r="AS151" s="25">
        <f>IF(LEFT(B151,4)&lt;&gt;"    ","",P151-Z151)</f>
        <v/>
      </c>
      <c r="AT151" s="10" t="n"/>
      <c r="AU151" s="12" t="n"/>
      <c r="AV151" s="12">
        <f>IF(LEFT(B151,4)&lt;&gt;"    ","",IF(W151-AU151&gt;=0,W151-AU151," "))</f>
        <v/>
      </c>
      <c r="AW151" s="12">
        <f>IF(LEFT(B151,4)&lt;&gt;"    ","",IF(AU151-W151&gt;=0,AU151-W151," "))</f>
        <v/>
      </c>
      <c r="AX151" s="186" t="n"/>
      <c r="AY151" s="187" t="n"/>
      <c r="AZ151" s="186" t="n"/>
      <c r="BA151" s="186" t="n"/>
      <c r="BB151" s="188" t="n"/>
      <c r="BC151" s="187" t="n"/>
      <c r="BD151" s="187" t="n"/>
      <c r="BE151" s="186" t="n"/>
      <c r="BF151" s="186" t="n"/>
      <c r="BG151" s="186" t="n"/>
      <c r="BH151" s="186" t="n"/>
      <c r="BI151" s="186" t="n"/>
      <c r="BJ151" s="186" t="n"/>
      <c r="BK151" s="186" t="n"/>
      <c r="BL151" s="186" t="n"/>
      <c r="BM151" s="186" t="n"/>
      <c r="BN151" s="186" t="n"/>
      <c r="BO151" s="186" t="n"/>
      <c r="BP151" s="186" t="n"/>
      <c r="BQ151" s="186" t="n"/>
      <c r="BR151" s="186" t="n"/>
      <c r="BS151" s="186" t="n"/>
      <c r="BT151" s="186" t="n"/>
      <c r="BU151" s="186" t="n"/>
      <c r="BV151" s="186" t="n"/>
      <c r="BW151" s="186" t="n"/>
      <c r="BX151" s="186" t="n"/>
      <c r="BY151" s="186" t="n"/>
      <c r="BZ151" s="189" t="n"/>
      <c r="CA151" s="189" t="n"/>
      <c r="CB151" s="189" t="n"/>
      <c r="CC151" s="190" t="n"/>
      <c r="CD151" s="186" t="n"/>
      <c r="CE151" s="186" t="n"/>
      <c r="CF151" s="186" t="n"/>
      <c r="CG151" s="186" t="n"/>
      <c r="CH151" s="186" t="n"/>
      <c r="CI151" s="191" t="n"/>
      <c r="CJ151" s="192" t="n"/>
      <c r="CK151" s="192" t="n"/>
      <c r="CL151" s="192" t="n"/>
      <c r="CM151" s="192" t="n"/>
    </row>
    <row r="152">
      <c r="A152" s="177" t="n"/>
      <c r="B152" s="178" t="n"/>
      <c r="C152" s="178" t="n"/>
      <c r="D152" s="179" t="n"/>
      <c r="E152" s="180" t="n"/>
      <c r="F152" s="181" t="n"/>
      <c r="G152" s="182" t="n"/>
      <c r="H152" s="105" t="n"/>
      <c r="I152" s="183">
        <f>F152</f>
        <v/>
      </c>
      <c r="J152" s="184" t="n"/>
      <c r="K152" s="185" t="n"/>
      <c r="L152" s="8" t="n"/>
      <c r="M152" s="184">
        <f>L152</f>
        <v/>
      </c>
      <c r="N152" s="71" t="n"/>
      <c r="O152" s="101" t="n"/>
      <c r="P152" s="9">
        <f>I152-M152</f>
        <v/>
      </c>
      <c r="Q152" s="9">
        <f>IF(LEFT(B152,4)&lt;&gt;"    ",0,BN152)</f>
        <v/>
      </c>
      <c r="R152" s="9">
        <f>+P152-Q152</f>
        <v/>
      </c>
      <c r="S152" s="281" t="n"/>
      <c r="T152" s="10" t="n"/>
      <c r="U152" s="23">
        <f>IF(LEFT(B152,4)&lt;&gt;"    ","",IF(M152&lt;&gt;0,X152/M152,0))</f>
        <v/>
      </c>
      <c r="V152" s="11">
        <f>IF(LEFT(B152,4)&lt;&gt;"    ","",U152*I152)</f>
        <v/>
      </c>
      <c r="W152" s="11">
        <f>IF(LEFT(B152,4)&lt;&gt;"    ","",X152+Z152)</f>
        <v/>
      </c>
      <c r="X152" s="8" t="n"/>
      <c r="Y152" s="9">
        <f>IF(LEFT(B152,4)&lt;&gt;"    ",0,IF(P152&lt;0,P152,IF(U152&gt;0.3,W152-X152,0)))</f>
        <v/>
      </c>
      <c r="Z152" s="71">
        <f>Y152</f>
        <v/>
      </c>
      <c r="AA152" s="71" t="n"/>
      <c r="AB152" s="109" t="n"/>
      <c r="AC152" s="9">
        <f>IF(LEFT(B152,4)&lt;&gt;"    ",0,BK152)</f>
        <v/>
      </c>
      <c r="AD152" s="9">
        <f>Z152-AC152</f>
        <v/>
      </c>
      <c r="AE152" s="10" t="n"/>
      <c r="AF152" s="24" t="n"/>
      <c r="AG152" s="11" t="n"/>
      <c r="AH152" s="8" t="n"/>
      <c r="AI152" s="9">
        <f>IF(LEFT(B152,4)&lt;&gt;"    ","",AG152-AH152)</f>
        <v/>
      </c>
      <c r="AJ152" s="9" t="n"/>
      <c r="AK152" s="10" t="n"/>
      <c r="AL152" s="11">
        <f>IF(LEFT(B152,4)&lt;&gt;"    ","",W152-AG152)</f>
        <v/>
      </c>
      <c r="AM152" s="8">
        <f>IF(LEFT(B152,4)&lt;&gt;"    ","",X152-AH152)</f>
        <v/>
      </c>
      <c r="AN152" s="9">
        <f>IF(LEFT(B152,4)&lt;&gt;"    ","",Y152-AI152)</f>
        <v/>
      </c>
      <c r="AO152" s="9">
        <f>IF(LEFT(B152,4)&lt;&gt;"    ","",Z152-AJ152)</f>
        <v/>
      </c>
      <c r="AP152" s="10" t="n"/>
      <c r="AQ152" s="25">
        <f>IF(LEFT(B152,4)&lt;&gt;"    ","",I152-W152)</f>
        <v/>
      </c>
      <c r="AR152" s="25">
        <f>M152-X152</f>
        <v/>
      </c>
      <c r="AS152" s="25">
        <f>IF(LEFT(B152,4)&lt;&gt;"    ","",P152-Z152)</f>
        <v/>
      </c>
      <c r="AT152" s="10" t="n"/>
      <c r="AU152" s="12" t="n"/>
      <c r="AV152" s="12">
        <f>IF(LEFT(B152,4)&lt;&gt;"    ","",IF(W152-AU152&gt;=0,W152-AU152," "))</f>
        <v/>
      </c>
      <c r="AW152" s="12">
        <f>IF(LEFT(B152,4)&lt;&gt;"    ","",IF(AU152-W152&gt;=0,AU152-W152," "))</f>
        <v/>
      </c>
      <c r="AX152" s="186" t="n"/>
      <c r="AY152" s="187" t="n"/>
      <c r="AZ152" s="186" t="n"/>
      <c r="BA152" s="186" t="n"/>
      <c r="BB152" s="188" t="n"/>
      <c r="BC152" s="187" t="n"/>
      <c r="BD152" s="187" t="n"/>
      <c r="BE152" s="186" t="n"/>
      <c r="BF152" s="186" t="n"/>
      <c r="BG152" s="186" t="n"/>
      <c r="BH152" s="186" t="n"/>
      <c r="BI152" s="186" t="n"/>
      <c r="BJ152" s="186" t="n"/>
      <c r="BK152" s="186" t="n"/>
      <c r="BL152" s="186" t="n"/>
      <c r="BM152" s="186" t="n"/>
      <c r="BN152" s="186" t="n"/>
      <c r="BO152" s="186" t="n"/>
      <c r="BP152" s="186" t="n"/>
      <c r="BQ152" s="186" t="n"/>
      <c r="BR152" s="186" t="n"/>
      <c r="BS152" s="186" t="n"/>
      <c r="BT152" s="186" t="n"/>
      <c r="BU152" s="186" t="n"/>
      <c r="BV152" s="186" t="n"/>
      <c r="BW152" s="186" t="n"/>
      <c r="BX152" s="186" t="n"/>
      <c r="BY152" s="186" t="n"/>
      <c r="BZ152" s="189" t="n"/>
      <c r="CA152" s="189" t="n"/>
      <c r="CB152" s="189" t="n"/>
      <c r="CC152" s="190" t="n"/>
      <c r="CD152" s="186" t="n"/>
      <c r="CE152" s="186" t="n"/>
      <c r="CF152" s="186" t="n"/>
      <c r="CG152" s="186" t="n"/>
      <c r="CH152" s="186" t="n"/>
      <c r="CI152" s="191" t="n"/>
      <c r="CJ152" s="192" t="n"/>
      <c r="CK152" s="192" t="n"/>
      <c r="CL152" s="192" t="n"/>
      <c r="CM152" s="192" t="n"/>
    </row>
    <row r="153">
      <c r="A153" s="177" t="n"/>
      <c r="B153" s="178" t="n"/>
      <c r="C153" s="178" t="n"/>
      <c r="D153" s="179" t="n"/>
      <c r="E153" s="180" t="n"/>
      <c r="F153" s="181" t="n"/>
      <c r="G153" s="182" t="n"/>
      <c r="H153" s="105" t="n"/>
      <c r="I153" s="183">
        <f>F153</f>
        <v/>
      </c>
      <c r="J153" s="184" t="n"/>
      <c r="K153" s="185" t="n"/>
      <c r="L153" s="8" t="n"/>
      <c r="M153" s="184">
        <f>L153</f>
        <v/>
      </c>
      <c r="N153" s="71" t="n"/>
      <c r="O153" s="101" t="n"/>
      <c r="P153" s="9">
        <f>I153-M153</f>
        <v/>
      </c>
      <c r="Q153" s="9">
        <f>IF(LEFT(B153,4)&lt;&gt;"    ",0,BN153)</f>
        <v/>
      </c>
      <c r="R153" s="9">
        <f>+P153-Q153</f>
        <v/>
      </c>
      <c r="S153" s="281" t="n"/>
      <c r="T153" s="10" t="n"/>
      <c r="U153" s="23">
        <f>IF(LEFT(B153,4)&lt;&gt;"    ","",IF(M153&lt;&gt;0,X153/M153,0))</f>
        <v/>
      </c>
      <c r="V153" s="11">
        <f>IF(LEFT(B153,4)&lt;&gt;"    ","",U153*I153)</f>
        <v/>
      </c>
      <c r="W153" s="11">
        <f>IF(LEFT(B153,4)&lt;&gt;"    ","",X153+Z153)</f>
        <v/>
      </c>
      <c r="X153" s="8" t="n"/>
      <c r="Y153" s="9">
        <f>IF(LEFT(B153,4)&lt;&gt;"    ",0,IF(P153&lt;0,P153,IF(U153&gt;0.3,W153-X153,0)))</f>
        <v/>
      </c>
      <c r="Z153" s="71">
        <f>Y153</f>
        <v/>
      </c>
      <c r="AA153" s="71" t="n"/>
      <c r="AB153" s="109" t="n"/>
      <c r="AC153" s="9">
        <f>IF(LEFT(B153,4)&lt;&gt;"    ",0,BK153)</f>
        <v/>
      </c>
      <c r="AD153" s="9">
        <f>Z153-AC153</f>
        <v/>
      </c>
      <c r="AE153" s="10" t="n"/>
      <c r="AF153" s="24" t="n"/>
      <c r="AG153" s="11" t="n"/>
      <c r="AH153" s="8" t="n"/>
      <c r="AI153" s="9">
        <f>IF(LEFT(B153,4)&lt;&gt;"    ","",AG153-AH153)</f>
        <v/>
      </c>
      <c r="AJ153" s="9" t="n"/>
      <c r="AK153" s="10" t="n"/>
      <c r="AL153" s="11">
        <f>IF(LEFT(B153,4)&lt;&gt;"    ","",W153-AG153)</f>
        <v/>
      </c>
      <c r="AM153" s="8">
        <f>IF(LEFT(B153,4)&lt;&gt;"    ","",X153-AH153)</f>
        <v/>
      </c>
      <c r="AN153" s="9">
        <f>IF(LEFT(B153,4)&lt;&gt;"    ","",Y153-AI153)</f>
        <v/>
      </c>
      <c r="AO153" s="9">
        <f>IF(LEFT(B153,4)&lt;&gt;"    ","",Z153-AJ153)</f>
        <v/>
      </c>
      <c r="AP153" s="10" t="n"/>
      <c r="AQ153" s="25">
        <f>IF(LEFT(B153,4)&lt;&gt;"    ","",I153-W153)</f>
        <v/>
      </c>
      <c r="AR153" s="25">
        <f>M153-X153</f>
        <v/>
      </c>
      <c r="AS153" s="25">
        <f>IF(LEFT(B153,4)&lt;&gt;"    ","",P153-Z153)</f>
        <v/>
      </c>
      <c r="AT153" s="10" t="n"/>
      <c r="AU153" s="12" t="n"/>
      <c r="AV153" s="12">
        <f>IF(LEFT(B153,4)&lt;&gt;"    ","",IF(W153-AU153&gt;=0,W153-AU153," "))</f>
        <v/>
      </c>
      <c r="AW153" s="12">
        <f>IF(LEFT(B153,4)&lt;&gt;"    ","",IF(AU153-W153&gt;=0,AU153-W153," "))</f>
        <v/>
      </c>
      <c r="AX153" s="186" t="n"/>
      <c r="AY153" s="187" t="n"/>
      <c r="AZ153" s="186" t="n"/>
      <c r="BA153" s="186" t="n"/>
      <c r="BB153" s="188" t="n"/>
      <c r="BC153" s="187" t="n"/>
      <c r="BD153" s="187" t="n"/>
      <c r="BE153" s="186" t="n"/>
      <c r="BF153" s="186" t="n"/>
      <c r="BG153" s="186" t="n"/>
      <c r="BH153" s="186" t="n"/>
      <c r="BI153" s="186" t="n"/>
      <c r="BJ153" s="186" t="n"/>
      <c r="BK153" s="186" t="n"/>
      <c r="BL153" s="186" t="n"/>
      <c r="BM153" s="186" t="n"/>
      <c r="BN153" s="186" t="n"/>
      <c r="BO153" s="186" t="n"/>
      <c r="BP153" s="186" t="n"/>
      <c r="BQ153" s="186" t="n"/>
      <c r="BR153" s="186" t="n"/>
      <c r="BS153" s="186" t="n"/>
      <c r="BT153" s="186" t="n"/>
      <c r="BU153" s="186" t="n"/>
      <c r="BV153" s="186" t="n"/>
      <c r="BW153" s="186" t="n"/>
      <c r="BX153" s="186" t="n"/>
      <c r="BY153" s="186" t="n"/>
      <c r="BZ153" s="186" t="n"/>
      <c r="CA153" s="186" t="n"/>
      <c r="CB153" s="186" t="n"/>
      <c r="CC153" s="190" t="n"/>
      <c r="CD153" s="186" t="n"/>
      <c r="CE153" s="186" t="n"/>
      <c r="CF153" s="186" t="n"/>
      <c r="CG153" s="186" t="n"/>
      <c r="CH153" s="186" t="n"/>
      <c r="CI153" s="191" t="n"/>
      <c r="CJ153" s="192" t="n"/>
      <c r="CK153" s="192" t="n"/>
      <c r="CL153" s="192" t="n"/>
      <c r="CM153" s="192" t="n"/>
    </row>
    <row r="154">
      <c r="A154" s="177" t="n"/>
      <c r="B154" s="178" t="n"/>
      <c r="C154" s="178" t="n"/>
      <c r="D154" s="179" t="n"/>
      <c r="E154" s="180" t="n"/>
      <c r="F154" s="181" t="n"/>
      <c r="G154" s="182" t="n"/>
      <c r="H154" s="105" t="n"/>
      <c r="I154" s="183">
        <f>F154</f>
        <v/>
      </c>
      <c r="J154" s="184" t="n"/>
      <c r="K154" s="185" t="n"/>
      <c r="L154" s="8" t="n"/>
      <c r="M154" s="184">
        <f>L154</f>
        <v/>
      </c>
      <c r="N154" s="71" t="n"/>
      <c r="O154" s="101" t="n"/>
      <c r="P154" s="9">
        <f>I154-M154</f>
        <v/>
      </c>
      <c r="Q154" s="9">
        <f>IF(LEFT(B154,4)&lt;&gt;"    ",0,BN154)</f>
        <v/>
      </c>
      <c r="R154" s="9">
        <f>+P154-Q154</f>
        <v/>
      </c>
      <c r="S154" s="281" t="n"/>
      <c r="T154" s="10" t="n"/>
      <c r="U154" s="23">
        <f>IF(LEFT(B154,4)&lt;&gt;"    ","",IF(M154&lt;&gt;0,X154/M154,0))</f>
        <v/>
      </c>
      <c r="V154" s="11">
        <f>IF(LEFT(B154,4)&lt;&gt;"    ","",U154*I154)</f>
        <v/>
      </c>
      <c r="W154" s="11">
        <f>IF(LEFT(B154,4)&lt;&gt;"    ","",X154+Z154)</f>
        <v/>
      </c>
      <c r="X154" s="8" t="n"/>
      <c r="Y154" s="9">
        <f>IF(LEFT(B154,4)&lt;&gt;"    ",0,IF(P154&lt;0,P154,IF(U154&gt;0.3,W154-X154,0)))</f>
        <v/>
      </c>
      <c r="Z154" s="71">
        <f>Y154</f>
        <v/>
      </c>
      <c r="AA154" s="71" t="n"/>
      <c r="AB154" s="109" t="n"/>
      <c r="AC154" s="9">
        <f>IF(LEFT(B154,4)&lt;&gt;"    ",0,BK154)</f>
        <v/>
      </c>
      <c r="AD154" s="9">
        <f>Z154-AC154</f>
        <v/>
      </c>
      <c r="AE154" s="10" t="n"/>
      <c r="AF154" s="24" t="n"/>
      <c r="AG154" s="11" t="n"/>
      <c r="AH154" s="8" t="n"/>
      <c r="AI154" s="9">
        <f>IF(LEFT(B154,4)&lt;&gt;"    ","",AG154-AH154)</f>
        <v/>
      </c>
      <c r="AJ154" s="9" t="n"/>
      <c r="AK154" s="10" t="n"/>
      <c r="AL154" s="11">
        <f>IF(LEFT(B154,4)&lt;&gt;"    ","",W154-AG154)</f>
        <v/>
      </c>
      <c r="AM154" s="8">
        <f>IF(LEFT(B154,4)&lt;&gt;"    ","",X154-AH154)</f>
        <v/>
      </c>
      <c r="AN154" s="9">
        <f>IF(LEFT(B154,4)&lt;&gt;"    ","",Y154-AI154)</f>
        <v/>
      </c>
      <c r="AO154" s="9">
        <f>IF(LEFT(B154,4)&lt;&gt;"    ","",Z154-AJ154)</f>
        <v/>
      </c>
      <c r="AP154" s="10" t="n"/>
      <c r="AQ154" s="25">
        <f>IF(LEFT(B154,4)&lt;&gt;"    ","",I154-W154)</f>
        <v/>
      </c>
      <c r="AR154" s="25">
        <f>M154-X154</f>
        <v/>
      </c>
      <c r="AS154" s="25">
        <f>IF(LEFT(B154,4)&lt;&gt;"    ","",P154-Z154)</f>
        <v/>
      </c>
      <c r="AT154" s="10" t="n"/>
      <c r="AU154" s="12" t="n"/>
      <c r="AV154" s="12">
        <f>IF(LEFT(B154,4)&lt;&gt;"    ","",IF(W154-AU154&gt;=0,W154-AU154," "))</f>
        <v/>
      </c>
      <c r="AW154" s="12">
        <f>IF(LEFT(B154,4)&lt;&gt;"    ","",IF(AU154-W154&gt;=0,AU154-W154," "))</f>
        <v/>
      </c>
      <c r="AX154" s="186" t="n"/>
      <c r="AY154" s="187" t="n"/>
      <c r="AZ154" s="186" t="n"/>
      <c r="BA154" s="186" t="n"/>
      <c r="BB154" s="188" t="n"/>
      <c r="BC154" s="187" t="n"/>
      <c r="BD154" s="187" t="n"/>
      <c r="BE154" s="186" t="n"/>
      <c r="BF154" s="186" t="n"/>
      <c r="BG154" s="186" t="n"/>
      <c r="BH154" s="186" t="n"/>
      <c r="BI154" s="186" t="n"/>
      <c r="BJ154" s="186" t="n"/>
      <c r="BK154" s="186" t="n"/>
      <c r="BL154" s="186" t="n"/>
      <c r="BM154" s="186" t="n"/>
      <c r="BN154" s="186" t="n"/>
      <c r="BO154" s="186" t="n"/>
      <c r="BP154" s="186" t="n"/>
      <c r="BQ154" s="186" t="n"/>
      <c r="BR154" s="186" t="n"/>
      <c r="BS154" s="186" t="n"/>
      <c r="BT154" s="186" t="n"/>
      <c r="BU154" s="186" t="n"/>
      <c r="BV154" s="186" t="n"/>
      <c r="BW154" s="186" t="n"/>
      <c r="BX154" s="186" t="n"/>
      <c r="BY154" s="186" t="n"/>
      <c r="BZ154" s="186" t="n"/>
      <c r="CA154" s="186" t="n"/>
      <c r="CB154" s="186" t="n"/>
      <c r="CC154" s="190" t="n"/>
      <c r="CD154" s="186" t="n"/>
      <c r="CE154" s="186" t="n"/>
      <c r="CF154" s="186" t="n"/>
      <c r="CG154" s="186" t="n"/>
      <c r="CH154" s="186" t="n"/>
      <c r="CI154" s="191" t="n"/>
      <c r="CJ154" s="192" t="n"/>
      <c r="CK154" s="192" t="n"/>
      <c r="CL154" s="192" t="n"/>
      <c r="CM154" s="192" t="n"/>
    </row>
    <row r="155">
      <c r="A155" s="177" t="n"/>
      <c r="B155" s="178" t="n"/>
      <c r="C155" s="178" t="n"/>
      <c r="D155" s="179" t="n"/>
      <c r="E155" s="180" t="n"/>
      <c r="F155" s="181" t="n"/>
      <c r="G155" s="182" t="n"/>
      <c r="H155" s="105" t="n"/>
      <c r="I155" s="183">
        <f>F155</f>
        <v/>
      </c>
      <c r="J155" s="184" t="n"/>
      <c r="K155" s="185" t="n"/>
      <c r="L155" s="8" t="n"/>
      <c r="M155" s="184">
        <f>L155</f>
        <v/>
      </c>
      <c r="N155" s="71" t="n"/>
      <c r="O155" s="101" t="n"/>
      <c r="P155" s="9">
        <f>I155-M155</f>
        <v/>
      </c>
      <c r="Q155" s="9">
        <f>IF(LEFT(B155,4)&lt;&gt;"    ",0,BN155)</f>
        <v/>
      </c>
      <c r="R155" s="9">
        <f>+P155-Q155</f>
        <v/>
      </c>
      <c r="S155" s="281" t="n"/>
      <c r="T155" s="10" t="n"/>
      <c r="U155" s="23">
        <f>IF(LEFT(B155,4)&lt;&gt;"    ","",IF(M155&lt;&gt;0,X155/M155,0))</f>
        <v/>
      </c>
      <c r="V155" s="11">
        <f>IF(LEFT(B155,4)&lt;&gt;"    ","",U155*I155)</f>
        <v/>
      </c>
      <c r="W155" s="11">
        <f>IF(LEFT(B155,4)&lt;&gt;"    ","",X155+Z155)</f>
        <v/>
      </c>
      <c r="X155" s="8" t="n"/>
      <c r="Y155" s="9">
        <f>IF(LEFT(B155,4)&lt;&gt;"    ",0,IF(P155&lt;0,P155,IF(U155&gt;0.3,W155-X155,0)))</f>
        <v/>
      </c>
      <c r="Z155" s="71">
        <f>Y155</f>
        <v/>
      </c>
      <c r="AA155" s="71" t="n"/>
      <c r="AB155" s="109" t="n"/>
      <c r="AC155" s="9">
        <f>IF(LEFT(B155,4)&lt;&gt;"    ",0,BK155)</f>
        <v/>
      </c>
      <c r="AD155" s="9">
        <f>Z155-AC155</f>
        <v/>
      </c>
      <c r="AE155" s="10" t="n"/>
      <c r="AF155" s="24" t="n"/>
      <c r="AG155" s="11" t="n"/>
      <c r="AH155" s="8" t="n"/>
      <c r="AI155" s="9">
        <f>IF(LEFT(B155,4)&lt;&gt;"    ","",AG155-AH155)</f>
        <v/>
      </c>
      <c r="AJ155" s="9" t="n"/>
      <c r="AK155" s="10" t="n"/>
      <c r="AL155" s="11">
        <f>IF(LEFT(B155,4)&lt;&gt;"    ","",W155-AG155)</f>
        <v/>
      </c>
      <c r="AM155" s="8">
        <f>IF(LEFT(B155,4)&lt;&gt;"    ","",X155-AH155)</f>
        <v/>
      </c>
      <c r="AN155" s="9">
        <f>IF(LEFT(B155,4)&lt;&gt;"    ","",Y155-AI155)</f>
        <v/>
      </c>
      <c r="AO155" s="9">
        <f>IF(LEFT(B155,4)&lt;&gt;"    ","",Z155-AJ155)</f>
        <v/>
      </c>
      <c r="AP155" s="10" t="n"/>
      <c r="AQ155" s="25">
        <f>IF(LEFT(B155,4)&lt;&gt;"    ","",I155-W155)</f>
        <v/>
      </c>
      <c r="AR155" s="25">
        <f>M155-X155</f>
        <v/>
      </c>
      <c r="AS155" s="25">
        <f>IF(LEFT(B155,4)&lt;&gt;"    ","",P155-Z155)</f>
        <v/>
      </c>
      <c r="AT155" s="10" t="n"/>
      <c r="AU155" s="12" t="n"/>
      <c r="AV155" s="12">
        <f>IF(LEFT(B155,4)&lt;&gt;"    ","",IF(W155-AU155&gt;=0,W155-AU155," "))</f>
        <v/>
      </c>
      <c r="AW155" s="12">
        <f>IF(LEFT(B155,4)&lt;&gt;"    ","",IF(AU155-W155&gt;=0,AU155-W155," "))</f>
        <v/>
      </c>
      <c r="AX155" s="186" t="n"/>
      <c r="AY155" s="187" t="n"/>
      <c r="AZ155" s="186" t="n"/>
      <c r="BA155" s="186" t="n"/>
      <c r="BB155" s="188" t="n"/>
      <c r="BC155" s="187" t="n"/>
      <c r="BD155" s="187" t="n"/>
      <c r="BE155" s="186" t="n"/>
      <c r="BF155" s="186" t="n"/>
      <c r="BG155" s="186" t="n"/>
      <c r="BH155" s="186" t="n"/>
      <c r="BI155" s="186" t="n"/>
      <c r="BJ155" s="186" t="n"/>
      <c r="BK155" s="186" t="n"/>
      <c r="BL155" s="186" t="n"/>
      <c r="BM155" s="186" t="n"/>
      <c r="BN155" s="186" t="n"/>
      <c r="BO155" s="186" t="n"/>
      <c r="BP155" s="186" t="n"/>
      <c r="BQ155" s="186" t="n"/>
      <c r="BR155" s="186" t="n"/>
      <c r="BS155" s="186" t="n"/>
      <c r="BT155" s="186" t="n"/>
      <c r="BU155" s="186" t="n"/>
      <c r="BV155" s="186" t="n"/>
      <c r="BW155" s="186" t="n"/>
      <c r="BX155" s="186" t="n"/>
      <c r="BY155" s="186" t="n"/>
      <c r="BZ155" s="186" t="n"/>
      <c r="CA155" s="186" t="n"/>
      <c r="CB155" s="186" t="n"/>
      <c r="CC155" s="190" t="n"/>
      <c r="CD155" s="186" t="n"/>
      <c r="CE155" s="186" t="n"/>
      <c r="CF155" s="186" t="n"/>
      <c r="CG155" s="186" t="n"/>
      <c r="CH155" s="186" t="n"/>
      <c r="CI155" s="191" t="n"/>
      <c r="CJ155" s="192" t="n"/>
      <c r="CK155" s="192" t="n"/>
      <c r="CL155" s="192" t="n"/>
      <c r="CM155" s="192" t="n"/>
    </row>
    <row r="156">
      <c r="A156" s="177" t="n"/>
      <c r="B156" s="178" t="n"/>
      <c r="C156" s="178" t="n"/>
      <c r="D156" s="179" t="n"/>
      <c r="E156" s="180" t="n"/>
      <c r="F156" s="181" t="n"/>
      <c r="G156" s="182" t="n"/>
      <c r="H156" s="105" t="n"/>
      <c r="I156" s="183">
        <f>F156</f>
        <v/>
      </c>
      <c r="J156" s="184" t="n"/>
      <c r="K156" s="185" t="n"/>
      <c r="L156" s="8" t="n"/>
      <c r="M156" s="184">
        <f>L156</f>
        <v/>
      </c>
      <c r="N156" s="71" t="n"/>
      <c r="O156" s="101" t="n"/>
      <c r="P156" s="9">
        <f>I156-M156</f>
        <v/>
      </c>
      <c r="Q156" s="9">
        <f>IF(LEFT(B156,4)&lt;&gt;"    ",0,BN156)</f>
        <v/>
      </c>
      <c r="R156" s="9">
        <f>+P156-Q156</f>
        <v/>
      </c>
      <c r="S156" s="281" t="n"/>
      <c r="T156" s="10" t="n"/>
      <c r="U156" s="23">
        <f>IF(LEFT(B156,4)&lt;&gt;"    ","",IF(M156&lt;&gt;0,X156/M156,0))</f>
        <v/>
      </c>
      <c r="V156" s="11">
        <f>IF(LEFT(B156,4)&lt;&gt;"    ","",U156*I156)</f>
        <v/>
      </c>
      <c r="W156" s="11">
        <f>IF(LEFT(B156,4)&lt;&gt;"    ","",X156+Z156)</f>
        <v/>
      </c>
      <c r="X156" s="8" t="n"/>
      <c r="Y156" s="9">
        <f>IF(LEFT(B156,4)&lt;&gt;"    ",0,IF(P156&lt;0,P156,IF(U156&gt;0.3,W156-X156,0)))</f>
        <v/>
      </c>
      <c r="Z156" s="71">
        <f>Y156</f>
        <v/>
      </c>
      <c r="AA156" s="71" t="n"/>
      <c r="AB156" s="109" t="n"/>
      <c r="AC156" s="9">
        <f>IF(LEFT(B156,4)&lt;&gt;"    ",0,BK156)</f>
        <v/>
      </c>
      <c r="AD156" s="9">
        <f>Z156-AC156</f>
        <v/>
      </c>
      <c r="AE156" s="10" t="n"/>
      <c r="AF156" s="24" t="n"/>
      <c r="AG156" s="11" t="n"/>
      <c r="AH156" s="8" t="n"/>
      <c r="AI156" s="9">
        <f>IF(LEFT(B156,4)&lt;&gt;"    ","",AG156-AH156)</f>
        <v/>
      </c>
      <c r="AJ156" s="9" t="n"/>
      <c r="AK156" s="10" t="n"/>
      <c r="AL156" s="11">
        <f>IF(LEFT(B156,4)&lt;&gt;"    ","",W156-AG156)</f>
        <v/>
      </c>
      <c r="AM156" s="8">
        <f>IF(LEFT(B156,4)&lt;&gt;"    ","",X156-AH156)</f>
        <v/>
      </c>
      <c r="AN156" s="9">
        <f>IF(LEFT(B156,4)&lt;&gt;"    ","",Y156-AI156)</f>
        <v/>
      </c>
      <c r="AO156" s="9">
        <f>IF(LEFT(B156,4)&lt;&gt;"    ","",Z156-AJ156)</f>
        <v/>
      </c>
      <c r="AP156" s="10" t="n"/>
      <c r="AQ156" s="25">
        <f>IF(LEFT(B156,4)&lt;&gt;"    ","",I156-W156)</f>
        <v/>
      </c>
      <c r="AR156" s="25">
        <f>M156-X156</f>
        <v/>
      </c>
      <c r="AS156" s="25">
        <f>IF(LEFT(B156,4)&lt;&gt;"    ","",P156-Z156)</f>
        <v/>
      </c>
      <c r="AT156" s="10" t="n"/>
      <c r="AU156" s="12" t="n"/>
      <c r="AV156" s="12">
        <f>IF(LEFT(B156,4)&lt;&gt;"    ","",IF(W156-AU156&gt;=0,W156-AU156," "))</f>
        <v/>
      </c>
      <c r="AW156" s="12">
        <f>IF(LEFT(B156,4)&lt;&gt;"    ","",IF(AU156-W156&gt;=0,AU156-W156," "))</f>
        <v/>
      </c>
      <c r="AX156" s="186" t="n"/>
      <c r="AY156" s="187" t="n"/>
      <c r="AZ156" s="186" t="n"/>
      <c r="BA156" s="186" t="n"/>
      <c r="BB156" s="188" t="n"/>
      <c r="BC156" s="187" t="n"/>
      <c r="BD156" s="187" t="n"/>
      <c r="BE156" s="186" t="n"/>
      <c r="BF156" s="186" t="n"/>
      <c r="BG156" s="186" t="n"/>
      <c r="BH156" s="186" t="n"/>
      <c r="BI156" s="186" t="n"/>
      <c r="BJ156" s="186" t="n"/>
      <c r="BK156" s="186" t="n"/>
      <c r="BL156" s="186" t="n"/>
      <c r="BM156" s="186" t="n"/>
      <c r="BN156" s="186" t="n"/>
      <c r="BO156" s="186" t="n"/>
      <c r="BP156" s="186" t="n"/>
      <c r="BQ156" s="186" t="n"/>
      <c r="BR156" s="186" t="n"/>
      <c r="BS156" s="186" t="n"/>
      <c r="BT156" s="186" t="n"/>
      <c r="BU156" s="186" t="n"/>
      <c r="BV156" s="186" t="n"/>
      <c r="BW156" s="186" t="n"/>
      <c r="BX156" s="186" t="n"/>
      <c r="BY156" s="186" t="n"/>
      <c r="BZ156" s="186" t="n"/>
      <c r="CA156" s="186" t="n"/>
      <c r="CB156" s="186" t="n"/>
      <c r="CC156" s="190" t="n"/>
      <c r="CD156" s="186" t="n"/>
      <c r="CE156" s="186" t="n"/>
      <c r="CF156" s="186" t="n"/>
      <c r="CG156" s="186" t="n"/>
      <c r="CH156" s="186" t="n"/>
      <c r="CI156" s="191" t="n"/>
      <c r="CJ156" s="192" t="n"/>
      <c r="CK156" s="192" t="n"/>
      <c r="CL156" s="192" t="n"/>
      <c r="CM156" s="192" t="n"/>
    </row>
    <row r="157">
      <c r="A157" s="177" t="n"/>
      <c r="B157" s="178" t="n"/>
      <c r="C157" s="178" t="n"/>
      <c r="D157" s="179" t="n"/>
      <c r="E157" s="180" t="n"/>
      <c r="F157" s="181" t="n"/>
      <c r="G157" s="182" t="n"/>
      <c r="H157" s="105" t="n"/>
      <c r="I157" s="183">
        <f>F157</f>
        <v/>
      </c>
      <c r="J157" s="184" t="n"/>
      <c r="K157" s="185" t="n"/>
      <c r="L157" s="8" t="n"/>
      <c r="M157" s="184">
        <f>L157</f>
        <v/>
      </c>
      <c r="N157" s="71" t="n"/>
      <c r="O157" s="101" t="n"/>
      <c r="P157" s="9">
        <f>I157-M157</f>
        <v/>
      </c>
      <c r="Q157" s="9">
        <f>IF(LEFT(B157,4)&lt;&gt;"    ",0,BN157)</f>
        <v/>
      </c>
      <c r="R157" s="9">
        <f>+P157-Q157</f>
        <v/>
      </c>
      <c r="S157" s="281" t="n"/>
      <c r="T157" s="10" t="n"/>
      <c r="U157" s="23">
        <f>IF(LEFT(B157,4)&lt;&gt;"    ","",IF(M157&lt;&gt;0,X157/M157,0))</f>
        <v/>
      </c>
      <c r="V157" s="11">
        <f>IF(LEFT(B157,4)&lt;&gt;"    ","",U157*I157)</f>
        <v/>
      </c>
      <c r="W157" s="11">
        <f>IF(LEFT(B157,4)&lt;&gt;"    ","",X157+Z157)</f>
        <v/>
      </c>
      <c r="X157" s="8" t="n"/>
      <c r="Y157" s="9">
        <f>IF(LEFT(B157,4)&lt;&gt;"    ",0,IF(P157&lt;0,P157,IF(U157&gt;0.3,W157-X157,0)))</f>
        <v/>
      </c>
      <c r="Z157" s="71">
        <f>Y157</f>
        <v/>
      </c>
      <c r="AA157" s="71" t="n"/>
      <c r="AB157" s="109" t="n"/>
      <c r="AC157" s="9">
        <f>IF(LEFT(B157,4)&lt;&gt;"    ",0,BK157)</f>
        <v/>
      </c>
      <c r="AD157" s="9">
        <f>Z157-AC157</f>
        <v/>
      </c>
      <c r="AE157" s="10" t="n"/>
      <c r="AF157" s="24" t="n"/>
      <c r="AG157" s="11" t="n"/>
      <c r="AH157" s="8" t="n"/>
      <c r="AI157" s="9">
        <f>IF(LEFT(B157,4)&lt;&gt;"    ","",AG157-AH157)</f>
        <v/>
      </c>
      <c r="AJ157" s="9" t="n"/>
      <c r="AK157" s="10" t="n"/>
      <c r="AL157" s="11">
        <f>IF(LEFT(B157,4)&lt;&gt;"    ","",W157-AG157)</f>
        <v/>
      </c>
      <c r="AM157" s="8">
        <f>IF(LEFT(B157,4)&lt;&gt;"    ","",X157-AH157)</f>
        <v/>
      </c>
      <c r="AN157" s="9">
        <f>IF(LEFT(B157,4)&lt;&gt;"    ","",Y157-AI157)</f>
        <v/>
      </c>
      <c r="AO157" s="9">
        <f>IF(LEFT(B157,4)&lt;&gt;"    ","",Z157-AJ157)</f>
        <v/>
      </c>
      <c r="AP157" s="10" t="n"/>
      <c r="AQ157" s="25">
        <f>IF(LEFT(B157,4)&lt;&gt;"    ","",I157-W157)</f>
        <v/>
      </c>
      <c r="AR157" s="25">
        <f>M157-X157</f>
        <v/>
      </c>
      <c r="AS157" s="25">
        <f>IF(LEFT(B157,4)&lt;&gt;"    ","",P157-Z157)</f>
        <v/>
      </c>
      <c r="AT157" s="10" t="n"/>
      <c r="AU157" s="12" t="n"/>
      <c r="AV157" s="12">
        <f>IF(LEFT(B157,4)&lt;&gt;"    ","",IF(W157-AU157&gt;=0,W157-AU157," "))</f>
        <v/>
      </c>
      <c r="AW157" s="12">
        <f>IF(LEFT(B157,4)&lt;&gt;"    ","",IF(AU157-W157&gt;=0,AU157-W157," "))</f>
        <v/>
      </c>
      <c r="AX157" s="186" t="n"/>
      <c r="AY157" s="187" t="n"/>
      <c r="AZ157" s="186" t="n"/>
      <c r="BA157" s="186" t="n"/>
      <c r="BB157" s="188" t="n"/>
      <c r="BC157" s="187" t="n"/>
      <c r="BD157" s="187" t="n"/>
      <c r="BE157" s="186" t="n"/>
      <c r="BF157" s="186" t="n"/>
      <c r="BG157" s="186" t="n"/>
      <c r="BH157" s="186" t="n"/>
      <c r="BI157" s="186" t="n"/>
      <c r="BJ157" s="186" t="n"/>
      <c r="BK157" s="186" t="n"/>
      <c r="BL157" s="186" t="n"/>
      <c r="BM157" s="186" t="n"/>
      <c r="BN157" s="186" t="n"/>
      <c r="BO157" s="186" t="n"/>
      <c r="BP157" s="186" t="n"/>
      <c r="BQ157" s="186" t="n"/>
      <c r="BR157" s="186" t="n"/>
      <c r="BS157" s="186" t="n"/>
      <c r="BT157" s="186" t="n"/>
      <c r="BU157" s="186" t="n"/>
      <c r="BV157" s="186" t="n"/>
      <c r="BW157" s="186" t="n"/>
      <c r="BX157" s="186" t="n"/>
      <c r="BY157" s="186" t="n"/>
      <c r="BZ157" s="186" t="n"/>
      <c r="CA157" s="186" t="n"/>
      <c r="CB157" s="186" t="n"/>
      <c r="CC157" s="190" t="n"/>
      <c r="CD157" s="186" t="n"/>
      <c r="CE157" s="186" t="n"/>
      <c r="CF157" s="186" t="n"/>
      <c r="CG157" s="186" t="n"/>
      <c r="CH157" s="186" t="n"/>
      <c r="CI157" s="191" t="n"/>
      <c r="CJ157" s="192" t="n"/>
      <c r="CK157" s="192" t="n"/>
      <c r="CL157" s="192" t="n"/>
      <c r="CM157" s="192" t="n"/>
    </row>
    <row r="158">
      <c r="A158" s="177" t="n"/>
      <c r="B158" s="178" t="n"/>
      <c r="C158" s="178" t="n"/>
      <c r="D158" s="179" t="n"/>
      <c r="E158" s="180" t="n"/>
      <c r="F158" s="181" t="n"/>
      <c r="G158" s="182" t="n"/>
      <c r="H158" s="105" t="n"/>
      <c r="I158" s="183">
        <f>F158</f>
        <v/>
      </c>
      <c r="J158" s="184" t="n"/>
      <c r="K158" s="185" t="n"/>
      <c r="L158" s="8" t="n"/>
      <c r="M158" s="184">
        <f>L158</f>
        <v/>
      </c>
      <c r="N158" s="71" t="n"/>
      <c r="O158" s="101" t="n"/>
      <c r="P158" s="9">
        <f>I158-M158</f>
        <v/>
      </c>
      <c r="Q158" s="9">
        <f>IF(LEFT(B158,4)&lt;&gt;"    ",0,BN158)</f>
        <v/>
      </c>
      <c r="R158" s="9">
        <f>+P158-Q158</f>
        <v/>
      </c>
      <c r="S158" s="281" t="n"/>
      <c r="T158" s="10" t="n"/>
      <c r="U158" s="23">
        <f>IF(LEFT(B158,4)&lt;&gt;"    ","",IF(M158&lt;&gt;0,X158/M158,0))</f>
        <v/>
      </c>
      <c r="V158" s="11">
        <f>IF(LEFT(B158,4)&lt;&gt;"    ","",U158*I158)</f>
        <v/>
      </c>
      <c r="W158" s="11">
        <f>IF(LEFT(B158,4)&lt;&gt;"    ","",X158+Z158)</f>
        <v/>
      </c>
      <c r="X158" s="8" t="n"/>
      <c r="Y158" s="9">
        <f>IF(LEFT(B158,4)&lt;&gt;"    ",0,IF(P158&lt;0,P158,IF(U158&gt;0.3,W158-X158,0)))</f>
        <v/>
      </c>
      <c r="Z158" s="71">
        <f>Y158</f>
        <v/>
      </c>
      <c r="AA158" s="71" t="n"/>
      <c r="AB158" s="109" t="n"/>
      <c r="AC158" s="9">
        <f>IF(LEFT(B158,4)&lt;&gt;"    ",0,BK158)</f>
        <v/>
      </c>
      <c r="AD158" s="9">
        <f>Z158-AC158</f>
        <v/>
      </c>
      <c r="AE158" s="10" t="n"/>
      <c r="AF158" s="24" t="n"/>
      <c r="AG158" s="11" t="n"/>
      <c r="AH158" s="8" t="n"/>
      <c r="AI158" s="9">
        <f>IF(LEFT(B158,4)&lt;&gt;"    ","",AG158-AH158)</f>
        <v/>
      </c>
      <c r="AJ158" s="9" t="n"/>
      <c r="AK158" s="10" t="n"/>
      <c r="AL158" s="11">
        <f>IF(LEFT(B158,4)&lt;&gt;"    ","",W158-AG158)</f>
        <v/>
      </c>
      <c r="AM158" s="8">
        <f>IF(LEFT(B158,4)&lt;&gt;"    ","",X158-AH158)</f>
        <v/>
      </c>
      <c r="AN158" s="9">
        <f>IF(LEFT(B158,4)&lt;&gt;"    ","",Y158-AI158)</f>
        <v/>
      </c>
      <c r="AO158" s="9">
        <f>IF(LEFT(B158,4)&lt;&gt;"    ","",Z158-AJ158)</f>
        <v/>
      </c>
      <c r="AP158" s="10" t="n"/>
      <c r="AQ158" s="25">
        <f>IF(LEFT(B158,4)&lt;&gt;"    ","",I158-W158)</f>
        <v/>
      </c>
      <c r="AR158" s="25">
        <f>M158-X158</f>
        <v/>
      </c>
      <c r="AS158" s="25">
        <f>IF(LEFT(B158,4)&lt;&gt;"    ","",P158-Z158)</f>
        <v/>
      </c>
      <c r="AT158" s="10" t="n"/>
      <c r="AU158" s="12" t="n"/>
      <c r="AV158" s="12">
        <f>IF(LEFT(B158,4)&lt;&gt;"    ","",IF(W158-AU158&gt;=0,W158-AU158," "))</f>
        <v/>
      </c>
      <c r="AW158" s="12">
        <f>IF(LEFT(B158,4)&lt;&gt;"    ","",IF(AU158-W158&gt;=0,AU158-W158," "))</f>
        <v/>
      </c>
      <c r="AX158" s="186" t="n"/>
      <c r="AY158" s="187" t="n"/>
      <c r="AZ158" s="186" t="n"/>
      <c r="BA158" s="186" t="n"/>
      <c r="BB158" s="188" t="n"/>
      <c r="BC158" s="187" t="n"/>
      <c r="BD158" s="187" t="n"/>
      <c r="BE158" s="186" t="n"/>
      <c r="BF158" s="186" t="n"/>
      <c r="BG158" s="186" t="n"/>
      <c r="BH158" s="186" t="n"/>
      <c r="BI158" s="186" t="n"/>
      <c r="BJ158" s="186" t="n"/>
      <c r="BK158" s="186" t="n"/>
      <c r="BL158" s="186" t="n"/>
      <c r="BM158" s="186" t="n"/>
      <c r="BN158" s="186" t="n"/>
      <c r="BO158" s="186" t="n"/>
      <c r="BP158" s="186" t="n"/>
      <c r="BQ158" s="186" t="n"/>
      <c r="BR158" s="186" t="n"/>
      <c r="BS158" s="186" t="n"/>
      <c r="BT158" s="186" t="n"/>
      <c r="BU158" s="186" t="n"/>
      <c r="BV158" s="186" t="n"/>
      <c r="BW158" s="186" t="n"/>
      <c r="BX158" s="186" t="n"/>
      <c r="BY158" s="186" t="n"/>
      <c r="BZ158" s="186" t="n"/>
      <c r="CA158" s="186" t="n"/>
      <c r="CB158" s="186" t="n"/>
      <c r="CC158" s="190" t="n"/>
      <c r="CD158" s="186" t="n"/>
      <c r="CE158" s="186" t="n"/>
      <c r="CF158" s="186" t="n"/>
      <c r="CG158" s="186" t="n"/>
      <c r="CH158" s="186" t="n"/>
      <c r="CI158" s="191" t="n"/>
      <c r="CJ158" s="192" t="n"/>
      <c r="CK158" s="192" t="n"/>
      <c r="CL158" s="192" t="n"/>
      <c r="CM158" s="192" t="n"/>
    </row>
    <row r="159">
      <c r="A159" s="177" t="n"/>
      <c r="B159" s="178" t="n"/>
      <c r="C159" s="178" t="n"/>
      <c r="D159" s="179" t="n"/>
      <c r="E159" s="180" t="n"/>
      <c r="F159" s="181" t="n"/>
      <c r="G159" s="182" t="n"/>
      <c r="H159" s="105" t="n"/>
      <c r="I159" s="183">
        <f>F159</f>
        <v/>
      </c>
      <c r="J159" s="184" t="n"/>
      <c r="K159" s="185" t="n"/>
      <c r="L159" s="8" t="n"/>
      <c r="M159" s="184">
        <f>L159</f>
        <v/>
      </c>
      <c r="N159" s="71" t="n"/>
      <c r="O159" s="101" t="n"/>
      <c r="P159" s="9">
        <f>I159-M159</f>
        <v/>
      </c>
      <c r="Q159" s="9">
        <f>IF(LEFT(B159,4)&lt;&gt;"    ",0,BN159)</f>
        <v/>
      </c>
      <c r="R159" s="9">
        <f>+P159-Q159</f>
        <v/>
      </c>
      <c r="S159" s="281" t="n"/>
      <c r="T159" s="10" t="n"/>
      <c r="U159" s="23">
        <f>IF(LEFT(B159,4)&lt;&gt;"    ","",IF(M159&lt;&gt;0,X159/M159,0))</f>
        <v/>
      </c>
      <c r="V159" s="11">
        <f>IF(LEFT(B159,4)&lt;&gt;"    ","",U159*I159)</f>
        <v/>
      </c>
      <c r="W159" s="11">
        <f>IF(LEFT(B159,4)&lt;&gt;"    ","",X159+Z159)</f>
        <v/>
      </c>
      <c r="X159" s="8" t="n"/>
      <c r="Y159" s="9">
        <f>IF(LEFT(B159,4)&lt;&gt;"    ",0,IF(P159&lt;0,P159,IF(U159&gt;0.3,W159-X159,0)))</f>
        <v/>
      </c>
      <c r="Z159" s="71">
        <f>Y159</f>
        <v/>
      </c>
      <c r="AA159" s="71" t="n"/>
      <c r="AB159" s="109" t="n"/>
      <c r="AC159" s="9">
        <f>IF(LEFT(B159,4)&lt;&gt;"    ",0,BK159)</f>
        <v/>
      </c>
      <c r="AD159" s="9">
        <f>Z159-AC159</f>
        <v/>
      </c>
      <c r="AE159" s="10" t="n"/>
      <c r="AF159" s="24" t="n"/>
      <c r="AG159" s="11" t="n"/>
      <c r="AH159" s="8" t="n"/>
      <c r="AI159" s="9">
        <f>IF(LEFT(B159,4)&lt;&gt;"    ","",AG159-AH159)</f>
        <v/>
      </c>
      <c r="AJ159" s="9" t="n"/>
      <c r="AK159" s="10" t="n"/>
      <c r="AL159" s="11">
        <f>IF(LEFT(B159,4)&lt;&gt;"    ","",W159-AG159)</f>
        <v/>
      </c>
      <c r="AM159" s="8">
        <f>IF(LEFT(B159,4)&lt;&gt;"    ","",X159-AH159)</f>
        <v/>
      </c>
      <c r="AN159" s="9">
        <f>IF(LEFT(B159,4)&lt;&gt;"    ","",Y159-AI159)</f>
        <v/>
      </c>
      <c r="AO159" s="9">
        <f>IF(LEFT(B159,4)&lt;&gt;"    ","",Z159-AJ159)</f>
        <v/>
      </c>
      <c r="AP159" s="10" t="n"/>
      <c r="AQ159" s="25">
        <f>IF(LEFT(B159,4)&lt;&gt;"    ","",I159-W159)</f>
        <v/>
      </c>
      <c r="AR159" s="25">
        <f>M159-X159</f>
        <v/>
      </c>
      <c r="AS159" s="25">
        <f>IF(LEFT(B159,4)&lt;&gt;"    ","",P159-Z159)</f>
        <v/>
      </c>
      <c r="AT159" s="10" t="n"/>
      <c r="AU159" s="12" t="n"/>
      <c r="AV159" s="12">
        <f>IF(LEFT(B159,4)&lt;&gt;"    ","",IF(W159-AU159&gt;=0,W159-AU159," "))</f>
        <v/>
      </c>
      <c r="AW159" s="12">
        <f>IF(LEFT(B159,4)&lt;&gt;"    ","",IF(AU159-W159&gt;=0,AU159-W159," "))</f>
        <v/>
      </c>
      <c r="AX159" s="186" t="n"/>
      <c r="AY159" s="187" t="n"/>
      <c r="AZ159" s="186" t="n"/>
      <c r="BA159" s="186" t="n"/>
      <c r="BB159" s="188" t="n"/>
      <c r="BC159" s="187" t="n"/>
      <c r="BD159" s="187" t="n"/>
      <c r="BE159" s="186" t="n"/>
      <c r="BF159" s="186" t="n"/>
      <c r="BG159" s="186" t="n"/>
      <c r="BH159" s="186" t="n"/>
      <c r="BI159" s="186" t="n"/>
      <c r="BJ159" s="186" t="n"/>
      <c r="BK159" s="186" t="n"/>
      <c r="BL159" s="186" t="n"/>
      <c r="BM159" s="186" t="n"/>
      <c r="BN159" s="186" t="n"/>
      <c r="BO159" s="186" t="n"/>
      <c r="BP159" s="186" t="n"/>
      <c r="BQ159" s="186" t="n"/>
      <c r="BR159" s="186" t="n"/>
      <c r="BS159" s="186" t="n"/>
      <c r="BT159" s="186" t="n"/>
      <c r="BU159" s="186" t="n"/>
      <c r="BV159" s="186" t="n"/>
      <c r="BW159" s="186" t="n"/>
      <c r="BX159" s="186" t="n"/>
      <c r="BY159" s="186" t="n"/>
      <c r="BZ159" s="186" t="n"/>
      <c r="CA159" s="186" t="n"/>
      <c r="CB159" s="186" t="n"/>
      <c r="CC159" s="190" t="n"/>
      <c r="CD159" s="186" t="n"/>
      <c r="CE159" s="186" t="n"/>
      <c r="CF159" s="186" t="n"/>
      <c r="CG159" s="186" t="n"/>
      <c r="CH159" s="186" t="n"/>
      <c r="CI159" s="191" t="n"/>
      <c r="CJ159" s="192" t="n"/>
      <c r="CK159" s="192" t="n"/>
      <c r="CL159" s="192" t="n"/>
      <c r="CM159" s="192" t="n"/>
    </row>
    <row r="160">
      <c r="A160" s="177" t="n"/>
      <c r="B160" s="178" t="n"/>
      <c r="C160" s="178" t="n"/>
      <c r="D160" s="179" t="n"/>
      <c r="E160" s="180" t="n"/>
      <c r="F160" s="181" t="n"/>
      <c r="G160" s="182" t="n"/>
      <c r="H160" s="105" t="n"/>
      <c r="I160" s="183">
        <f>F160</f>
        <v/>
      </c>
      <c r="J160" s="184" t="n"/>
      <c r="K160" s="185" t="n"/>
      <c r="L160" s="8" t="n"/>
      <c r="M160" s="184">
        <f>L160</f>
        <v/>
      </c>
      <c r="N160" s="71" t="n"/>
      <c r="O160" s="101" t="n"/>
      <c r="P160" s="9">
        <f>I160-M160</f>
        <v/>
      </c>
      <c r="Q160" s="9">
        <f>IF(LEFT(B160,4)&lt;&gt;"    ",0,BN160)</f>
        <v/>
      </c>
      <c r="R160" s="9">
        <f>+P160-Q160</f>
        <v/>
      </c>
      <c r="S160" s="281" t="n"/>
      <c r="T160" s="10" t="n"/>
      <c r="U160" s="23">
        <f>IF(LEFT(B160,4)&lt;&gt;"    ","",IF(M160&lt;&gt;0,X160/M160,0))</f>
        <v/>
      </c>
      <c r="V160" s="11">
        <f>IF(LEFT(B160,4)&lt;&gt;"    ","",U160*I160)</f>
        <v/>
      </c>
      <c r="W160" s="11">
        <f>IF(LEFT(B160,4)&lt;&gt;"    ","",X160+Z160)</f>
        <v/>
      </c>
      <c r="X160" s="8" t="n"/>
      <c r="Y160" s="9">
        <f>IF(LEFT(B160,4)&lt;&gt;"    ",0,IF(P160&lt;0,P160,IF(U160&gt;0.3,W160-X160,0)))</f>
        <v/>
      </c>
      <c r="Z160" s="71">
        <f>Y160</f>
        <v/>
      </c>
      <c r="AA160" s="71" t="n"/>
      <c r="AB160" s="109" t="n"/>
      <c r="AC160" s="9">
        <f>IF(LEFT(B160,4)&lt;&gt;"    ",0,BK160)</f>
        <v/>
      </c>
      <c r="AD160" s="9">
        <f>Z160-AC160</f>
        <v/>
      </c>
      <c r="AE160" s="10" t="n"/>
      <c r="AF160" s="24" t="n"/>
      <c r="AG160" s="11" t="n"/>
      <c r="AH160" s="8" t="n"/>
      <c r="AI160" s="9">
        <f>IF(LEFT(B160,4)&lt;&gt;"    ","",AG160-AH160)</f>
        <v/>
      </c>
      <c r="AJ160" s="9" t="n"/>
      <c r="AK160" s="10" t="n"/>
      <c r="AL160" s="11">
        <f>IF(LEFT(B160,4)&lt;&gt;"    ","",W160-AG160)</f>
        <v/>
      </c>
      <c r="AM160" s="8">
        <f>IF(LEFT(B160,4)&lt;&gt;"    ","",X160-AH160)</f>
        <v/>
      </c>
      <c r="AN160" s="9">
        <f>IF(LEFT(B160,4)&lt;&gt;"    ","",Y160-AI160)</f>
        <v/>
      </c>
      <c r="AO160" s="9">
        <f>IF(LEFT(B160,4)&lt;&gt;"    ","",Z160-AJ160)</f>
        <v/>
      </c>
      <c r="AP160" s="10" t="n"/>
      <c r="AQ160" s="25">
        <f>IF(LEFT(B160,4)&lt;&gt;"    ","",I160-W160)</f>
        <v/>
      </c>
      <c r="AR160" s="25">
        <f>M160-X160</f>
        <v/>
      </c>
      <c r="AS160" s="25">
        <f>IF(LEFT(B160,4)&lt;&gt;"    ","",P160-Z160)</f>
        <v/>
      </c>
      <c r="AT160" s="10" t="n"/>
      <c r="AU160" s="12" t="n"/>
      <c r="AV160" s="12">
        <f>IF(LEFT(B160,4)&lt;&gt;"    ","",IF(W160-AU160&gt;=0,W160-AU160," "))</f>
        <v/>
      </c>
      <c r="AW160" s="12">
        <f>IF(LEFT(B160,4)&lt;&gt;"    ","",IF(AU160-W160&gt;=0,AU160-W160," "))</f>
        <v/>
      </c>
      <c r="AX160" s="186" t="n"/>
      <c r="AY160" s="187" t="n"/>
      <c r="AZ160" s="186" t="n"/>
      <c r="BA160" s="186" t="n"/>
      <c r="BB160" s="188" t="n"/>
      <c r="BC160" s="187" t="n"/>
      <c r="BD160" s="187" t="n"/>
      <c r="BE160" s="186" t="n"/>
      <c r="BF160" s="186" t="n"/>
      <c r="BG160" s="186" t="n"/>
      <c r="BH160" s="186" t="n"/>
      <c r="BI160" s="186" t="n"/>
      <c r="BJ160" s="186" t="n"/>
      <c r="BK160" s="186" t="n"/>
      <c r="BL160" s="186" t="n"/>
      <c r="BM160" s="186" t="n"/>
      <c r="BN160" s="186" t="n"/>
      <c r="BO160" s="186" t="n"/>
      <c r="BP160" s="186" t="n"/>
      <c r="BQ160" s="186" t="n"/>
      <c r="BR160" s="186" t="n"/>
      <c r="BS160" s="186" t="n"/>
      <c r="BT160" s="186" t="n"/>
      <c r="BU160" s="186" t="n"/>
      <c r="BV160" s="186" t="n"/>
      <c r="BW160" s="186" t="n"/>
      <c r="BX160" s="186" t="n"/>
      <c r="BY160" s="186" t="n"/>
      <c r="BZ160" s="186" t="n"/>
      <c r="CA160" s="186" t="n"/>
      <c r="CB160" s="186" t="n"/>
      <c r="CC160" s="190" t="n"/>
      <c r="CD160" s="186" t="n"/>
      <c r="CE160" s="186" t="n"/>
      <c r="CF160" s="186" t="n"/>
      <c r="CG160" s="186" t="n"/>
      <c r="CH160" s="186" t="n"/>
      <c r="CI160" s="191" t="n"/>
      <c r="CJ160" s="192" t="n"/>
      <c r="CK160" s="192" t="n"/>
      <c r="CL160" s="192" t="n"/>
      <c r="CM160" s="192" t="n"/>
    </row>
    <row r="161">
      <c r="A161" s="177" t="n"/>
      <c r="B161" s="178" t="n"/>
      <c r="C161" s="178" t="n"/>
      <c r="D161" s="179" t="n"/>
      <c r="E161" s="180" t="n"/>
      <c r="F161" s="181" t="n"/>
      <c r="G161" s="182" t="n"/>
      <c r="H161" s="105" t="n"/>
      <c r="I161" s="183">
        <f>F161</f>
        <v/>
      </c>
      <c r="J161" s="184" t="n"/>
      <c r="K161" s="185" t="n"/>
      <c r="L161" s="8" t="n"/>
      <c r="M161" s="184">
        <f>L161</f>
        <v/>
      </c>
      <c r="N161" s="71" t="n"/>
      <c r="O161" s="101" t="n"/>
      <c r="P161" s="9">
        <f>I161-M161</f>
        <v/>
      </c>
      <c r="Q161" s="9">
        <f>IF(LEFT(B161,4)&lt;&gt;"    ",0,BN161)</f>
        <v/>
      </c>
      <c r="R161" s="9">
        <f>+P161-Q161</f>
        <v/>
      </c>
      <c r="S161" s="281" t="n"/>
      <c r="T161" s="10" t="n"/>
      <c r="U161" s="23">
        <f>IF(LEFT(B161,4)&lt;&gt;"    ","",IF(M161&lt;&gt;0,X161/M161,0))</f>
        <v/>
      </c>
      <c r="V161" s="11">
        <f>IF(LEFT(B161,4)&lt;&gt;"    ","",U161*I161)</f>
        <v/>
      </c>
      <c r="W161" s="11">
        <f>IF(LEFT(B161,4)&lt;&gt;"    ","",X161+Z161)</f>
        <v/>
      </c>
      <c r="X161" s="8" t="n"/>
      <c r="Y161" s="9">
        <f>IF(LEFT(B161,4)&lt;&gt;"    ",0,IF(P161&lt;0,P161,IF(U161&gt;0.3,W161-X161,0)))</f>
        <v/>
      </c>
      <c r="Z161" s="71">
        <f>Y161</f>
        <v/>
      </c>
      <c r="AA161" s="71" t="n"/>
      <c r="AB161" s="109" t="n"/>
      <c r="AC161" s="9">
        <f>IF(LEFT(B161,4)&lt;&gt;"    ",0,BK161)</f>
        <v/>
      </c>
      <c r="AD161" s="9">
        <f>Z161-AC161</f>
        <v/>
      </c>
      <c r="AE161" s="10" t="n"/>
      <c r="AF161" s="24" t="n"/>
      <c r="AG161" s="11" t="n"/>
      <c r="AH161" s="8" t="n"/>
      <c r="AI161" s="9">
        <f>IF(LEFT(B161,4)&lt;&gt;"    ","",AG161-AH161)</f>
        <v/>
      </c>
      <c r="AJ161" s="9" t="n"/>
      <c r="AK161" s="10" t="n"/>
      <c r="AL161" s="11">
        <f>IF(LEFT(B161,4)&lt;&gt;"    ","",W161-AG161)</f>
        <v/>
      </c>
      <c r="AM161" s="8">
        <f>IF(LEFT(B161,4)&lt;&gt;"    ","",X161-AH161)</f>
        <v/>
      </c>
      <c r="AN161" s="9">
        <f>IF(LEFT(B161,4)&lt;&gt;"    ","",Y161-AI161)</f>
        <v/>
      </c>
      <c r="AO161" s="9">
        <f>IF(LEFT(B161,4)&lt;&gt;"    ","",Z161-AJ161)</f>
        <v/>
      </c>
      <c r="AP161" s="10" t="n"/>
      <c r="AQ161" s="25">
        <f>IF(LEFT(B161,4)&lt;&gt;"    ","",I161-W161)</f>
        <v/>
      </c>
      <c r="AR161" s="25">
        <f>M161-X161</f>
        <v/>
      </c>
      <c r="AS161" s="25">
        <f>IF(LEFT(B161,4)&lt;&gt;"    ","",P161-Z161)</f>
        <v/>
      </c>
      <c r="AT161" s="10" t="n"/>
      <c r="AU161" s="12" t="n"/>
      <c r="AV161" s="12">
        <f>IF(LEFT(B161,4)&lt;&gt;"    ","",IF(W161-AU161&gt;=0,W161-AU161," "))</f>
        <v/>
      </c>
      <c r="AW161" s="12">
        <f>IF(LEFT(B161,4)&lt;&gt;"    ","",IF(AU161-W161&gt;=0,AU161-W161," "))</f>
        <v/>
      </c>
      <c r="AX161" s="186" t="n"/>
      <c r="AY161" s="187" t="n"/>
      <c r="AZ161" s="186" t="n"/>
      <c r="BA161" s="186" t="n"/>
      <c r="BB161" s="188" t="n"/>
      <c r="BC161" s="187" t="n"/>
      <c r="BD161" s="187" t="n"/>
      <c r="BE161" s="186" t="n"/>
      <c r="BF161" s="186" t="n"/>
      <c r="BG161" s="186" t="n"/>
      <c r="BH161" s="186" t="n"/>
      <c r="BI161" s="186" t="n"/>
      <c r="BJ161" s="186" t="n"/>
      <c r="BK161" s="186" t="n"/>
      <c r="BL161" s="186" t="n"/>
      <c r="BM161" s="186" t="n"/>
      <c r="BN161" s="186" t="n"/>
      <c r="BO161" s="186" t="n"/>
      <c r="BP161" s="186" t="n"/>
      <c r="BQ161" s="186" t="n"/>
      <c r="BR161" s="186" t="n"/>
      <c r="BS161" s="186" t="n"/>
      <c r="BT161" s="186" t="n"/>
      <c r="BU161" s="186" t="n"/>
      <c r="BV161" s="186" t="n"/>
      <c r="BW161" s="186" t="n"/>
      <c r="BX161" s="186" t="n"/>
      <c r="BY161" s="186" t="n"/>
      <c r="BZ161" s="186" t="n"/>
      <c r="CA161" s="186" t="n"/>
      <c r="CB161" s="186" t="n"/>
      <c r="CC161" s="190" t="n"/>
      <c r="CD161" s="186" t="n"/>
      <c r="CE161" s="186" t="n"/>
      <c r="CF161" s="186" t="n"/>
      <c r="CG161" s="186" t="n"/>
      <c r="CH161" s="186" t="n"/>
      <c r="CI161" s="191" t="n"/>
      <c r="CJ161" s="192" t="n"/>
      <c r="CK161" s="192" t="n"/>
      <c r="CL161" s="192" t="n"/>
      <c r="CM161" s="192" t="n"/>
    </row>
    <row r="162">
      <c r="A162" s="177" t="n"/>
      <c r="B162" s="178" t="n"/>
      <c r="C162" s="178" t="n"/>
      <c r="D162" s="179" t="n"/>
      <c r="E162" s="180" t="n"/>
      <c r="F162" s="181" t="n"/>
      <c r="G162" s="182" t="n"/>
      <c r="H162" s="105" t="n"/>
      <c r="I162" s="183">
        <f>F162</f>
        <v/>
      </c>
      <c r="J162" s="184" t="n"/>
      <c r="K162" s="185" t="n"/>
      <c r="L162" s="8" t="n"/>
      <c r="M162" s="184">
        <f>L162</f>
        <v/>
      </c>
      <c r="N162" s="71" t="n"/>
      <c r="O162" s="101" t="n"/>
      <c r="P162" s="9">
        <f>I162-M162</f>
        <v/>
      </c>
      <c r="Q162" s="9">
        <f>IF(LEFT(B162,4)&lt;&gt;"    ",0,BN162)</f>
        <v/>
      </c>
      <c r="R162" s="9">
        <f>+P162-Q162</f>
        <v/>
      </c>
      <c r="S162" s="281" t="n"/>
      <c r="T162" s="10" t="n"/>
      <c r="U162" s="23">
        <f>IF(LEFT(B162,4)&lt;&gt;"    ","",IF(M162&lt;&gt;0,X162/M162,0))</f>
        <v/>
      </c>
      <c r="V162" s="11">
        <f>IF(LEFT(B162,4)&lt;&gt;"    ","",U162*I162)</f>
        <v/>
      </c>
      <c r="W162" s="11">
        <f>IF(LEFT(B162,4)&lt;&gt;"    ","",X162+Z162)</f>
        <v/>
      </c>
      <c r="X162" s="8" t="n"/>
      <c r="Y162" s="9">
        <f>IF(LEFT(B162,4)&lt;&gt;"    ",0,IF(P162&lt;0,P162,IF(U162&gt;0.3,W162-X162,0)))</f>
        <v/>
      </c>
      <c r="Z162" s="71">
        <f>Y162</f>
        <v/>
      </c>
      <c r="AA162" s="71" t="n"/>
      <c r="AB162" s="109" t="n"/>
      <c r="AC162" s="9">
        <f>IF(LEFT(B162,4)&lt;&gt;"    ",0,BK162)</f>
        <v/>
      </c>
      <c r="AD162" s="9">
        <f>Z162-AC162</f>
        <v/>
      </c>
      <c r="AE162" s="10" t="n"/>
      <c r="AF162" s="24" t="n"/>
      <c r="AG162" s="11" t="n"/>
      <c r="AH162" s="8" t="n"/>
      <c r="AI162" s="9">
        <f>IF(LEFT(B162,4)&lt;&gt;"    ","",AG162-AH162)</f>
        <v/>
      </c>
      <c r="AJ162" s="9" t="n"/>
      <c r="AK162" s="10" t="n"/>
      <c r="AL162" s="11">
        <f>IF(LEFT(B162,4)&lt;&gt;"    ","",W162-AG162)</f>
        <v/>
      </c>
      <c r="AM162" s="8">
        <f>IF(LEFT(B162,4)&lt;&gt;"    ","",X162-AH162)</f>
        <v/>
      </c>
      <c r="AN162" s="9">
        <f>IF(LEFT(B162,4)&lt;&gt;"    ","",Y162-AI162)</f>
        <v/>
      </c>
      <c r="AO162" s="9">
        <f>IF(LEFT(B162,4)&lt;&gt;"    ","",Z162-AJ162)</f>
        <v/>
      </c>
      <c r="AP162" s="10" t="n"/>
      <c r="AQ162" s="25">
        <f>IF(LEFT(B162,4)&lt;&gt;"    ","",I162-W162)</f>
        <v/>
      </c>
      <c r="AR162" s="25">
        <f>M162-X162</f>
        <v/>
      </c>
      <c r="AS162" s="25">
        <f>IF(LEFT(B162,4)&lt;&gt;"    ","",P162-Z162)</f>
        <v/>
      </c>
      <c r="AT162" s="10" t="n"/>
      <c r="AU162" s="12" t="n"/>
      <c r="AV162" s="12">
        <f>IF(LEFT(B162,4)&lt;&gt;"    ","",IF(W162-AU162&gt;=0,W162-AU162," "))</f>
        <v/>
      </c>
      <c r="AW162" s="12">
        <f>IF(LEFT(B162,4)&lt;&gt;"    ","",IF(AU162-W162&gt;=0,AU162-W162," "))</f>
        <v/>
      </c>
      <c r="AX162" s="186" t="n"/>
      <c r="AY162" s="187" t="n"/>
      <c r="AZ162" s="186" t="n"/>
      <c r="BA162" s="186" t="n"/>
      <c r="BB162" s="188" t="n"/>
      <c r="BC162" s="187" t="n"/>
      <c r="BD162" s="187" t="n"/>
      <c r="BE162" s="186" t="n"/>
      <c r="BF162" s="186" t="n"/>
      <c r="BG162" s="186" t="n"/>
      <c r="BH162" s="186" t="n"/>
      <c r="BI162" s="186" t="n"/>
      <c r="BJ162" s="186" t="n"/>
      <c r="BK162" s="186" t="n"/>
      <c r="BL162" s="186" t="n"/>
      <c r="BM162" s="186" t="n"/>
      <c r="BN162" s="186" t="n"/>
      <c r="BO162" s="186" t="n"/>
      <c r="BP162" s="186" t="n"/>
      <c r="BQ162" s="186" t="n"/>
      <c r="BR162" s="186" t="n"/>
      <c r="BS162" s="186" t="n"/>
      <c r="BT162" s="186" t="n"/>
      <c r="BU162" s="186" t="n"/>
      <c r="BV162" s="186" t="n"/>
      <c r="BW162" s="186" t="n"/>
      <c r="BX162" s="186" t="n"/>
      <c r="BY162" s="186" t="n"/>
      <c r="BZ162" s="186" t="n"/>
      <c r="CA162" s="186" t="n"/>
      <c r="CB162" s="186" t="n"/>
      <c r="CC162" s="190" t="n"/>
      <c r="CD162" s="186" t="n"/>
      <c r="CE162" s="186" t="n"/>
      <c r="CF162" s="186" t="n"/>
      <c r="CG162" s="186" t="n"/>
      <c r="CH162" s="186" t="n"/>
      <c r="CI162" s="191" t="n"/>
      <c r="CJ162" s="192" t="n"/>
      <c r="CK162" s="192" t="n"/>
      <c r="CL162" s="192" t="n"/>
      <c r="CM162" s="192" t="n"/>
    </row>
    <row r="163">
      <c r="A163" s="177" t="n"/>
      <c r="B163" s="178" t="n"/>
      <c r="C163" s="178" t="n"/>
      <c r="D163" s="179" t="n"/>
      <c r="E163" s="180" t="n"/>
      <c r="F163" s="181" t="n"/>
      <c r="G163" s="182" t="n"/>
      <c r="H163" s="105" t="n"/>
      <c r="I163" s="183">
        <f>F163</f>
        <v/>
      </c>
      <c r="J163" s="184" t="n"/>
      <c r="K163" s="185" t="n"/>
      <c r="L163" s="8" t="n"/>
      <c r="M163" s="184">
        <f>L163</f>
        <v/>
      </c>
      <c r="N163" s="71" t="n"/>
      <c r="O163" s="101" t="n"/>
      <c r="P163" s="9">
        <f>I163-M163</f>
        <v/>
      </c>
      <c r="Q163" s="9">
        <f>IF(LEFT(B163,4)&lt;&gt;"    ",0,BN163)</f>
        <v/>
      </c>
      <c r="R163" s="9">
        <f>+P163-Q163</f>
        <v/>
      </c>
      <c r="S163" s="281" t="n"/>
      <c r="T163" s="10" t="n"/>
      <c r="U163" s="23">
        <f>IF(LEFT(B163,4)&lt;&gt;"    ","",IF(M163&lt;&gt;0,X163/M163,0))</f>
        <v/>
      </c>
      <c r="V163" s="11">
        <f>IF(LEFT(B163,4)&lt;&gt;"    ","",U163*I163)</f>
        <v/>
      </c>
      <c r="W163" s="11">
        <f>IF(LEFT(B163,4)&lt;&gt;"    ","",X163+Z163)</f>
        <v/>
      </c>
      <c r="X163" s="8" t="n"/>
      <c r="Y163" s="9">
        <f>IF(LEFT(B163,4)&lt;&gt;"    ",0,IF(P163&lt;0,P163,IF(U163&gt;0.3,W163-X163,0)))</f>
        <v/>
      </c>
      <c r="Z163" s="71">
        <f>Y163</f>
        <v/>
      </c>
      <c r="AA163" s="71" t="n"/>
      <c r="AB163" s="109" t="n"/>
      <c r="AC163" s="9">
        <f>IF(LEFT(B163,4)&lt;&gt;"    ",0,BK163)</f>
        <v/>
      </c>
      <c r="AD163" s="9">
        <f>Z163-AC163</f>
        <v/>
      </c>
      <c r="AE163" s="10" t="n"/>
      <c r="AF163" s="24" t="n"/>
      <c r="AG163" s="11" t="n"/>
      <c r="AH163" s="8" t="n"/>
      <c r="AI163" s="9">
        <f>IF(LEFT(B163,4)&lt;&gt;"    ","",AG163-AH163)</f>
        <v/>
      </c>
      <c r="AJ163" s="9" t="n"/>
      <c r="AK163" s="10" t="n"/>
      <c r="AL163" s="11">
        <f>IF(LEFT(B163,4)&lt;&gt;"    ","",W163-AG163)</f>
        <v/>
      </c>
      <c r="AM163" s="8">
        <f>IF(LEFT(B163,4)&lt;&gt;"    ","",X163-AH163)</f>
        <v/>
      </c>
      <c r="AN163" s="9">
        <f>IF(LEFT(B163,4)&lt;&gt;"    ","",Y163-AI163)</f>
        <v/>
      </c>
      <c r="AO163" s="9">
        <f>IF(LEFT(B163,4)&lt;&gt;"    ","",Z163-AJ163)</f>
        <v/>
      </c>
      <c r="AP163" s="10" t="n"/>
      <c r="AQ163" s="25">
        <f>IF(LEFT(B163,4)&lt;&gt;"    ","",I163-W163)</f>
        <v/>
      </c>
      <c r="AR163" s="25">
        <f>M163-X163</f>
        <v/>
      </c>
      <c r="AS163" s="25">
        <f>IF(LEFT(B163,4)&lt;&gt;"    ","",P163-Z163)</f>
        <v/>
      </c>
      <c r="AT163" s="10" t="n"/>
      <c r="AU163" s="12" t="n"/>
      <c r="AV163" s="12">
        <f>IF(LEFT(B163,4)&lt;&gt;"    ","",IF(W163-AU163&gt;=0,W163-AU163," "))</f>
        <v/>
      </c>
      <c r="AW163" s="12">
        <f>IF(LEFT(B163,4)&lt;&gt;"    ","",IF(AU163-W163&gt;=0,AU163-W163," "))</f>
        <v/>
      </c>
      <c r="AX163" s="186" t="n"/>
      <c r="AY163" s="187" t="n"/>
      <c r="AZ163" s="186" t="n"/>
      <c r="BA163" s="186" t="n"/>
      <c r="BB163" s="188" t="n"/>
      <c r="BC163" s="187" t="n"/>
      <c r="BD163" s="187" t="n"/>
      <c r="BE163" s="186" t="n"/>
      <c r="BF163" s="186" t="n"/>
      <c r="BG163" s="186" t="n"/>
      <c r="BH163" s="186" t="n"/>
      <c r="BI163" s="186" t="n"/>
      <c r="BJ163" s="186" t="n"/>
      <c r="BK163" s="186" t="n"/>
      <c r="BL163" s="186" t="n"/>
      <c r="BM163" s="186" t="n"/>
      <c r="BN163" s="186" t="n"/>
      <c r="BO163" s="186" t="n"/>
      <c r="BP163" s="186" t="n"/>
      <c r="BQ163" s="186" t="n"/>
      <c r="BR163" s="186" t="n"/>
      <c r="BS163" s="186" t="n"/>
      <c r="BT163" s="186" t="n"/>
      <c r="BU163" s="186" t="n"/>
      <c r="BV163" s="186" t="n"/>
      <c r="BW163" s="186" t="n"/>
      <c r="BX163" s="186" t="n"/>
      <c r="BY163" s="186" t="n"/>
      <c r="BZ163" s="186" t="n"/>
      <c r="CA163" s="186" t="n"/>
      <c r="CB163" s="186" t="n"/>
      <c r="CC163" s="190" t="n"/>
      <c r="CD163" s="186" t="n"/>
      <c r="CE163" s="186" t="n"/>
      <c r="CF163" s="186" t="n"/>
      <c r="CG163" s="186" t="n"/>
      <c r="CH163" s="186" t="n"/>
      <c r="CI163" s="191" t="n"/>
      <c r="CJ163" s="192" t="n"/>
      <c r="CK163" s="192" t="n"/>
      <c r="CL163" s="192" t="n"/>
      <c r="CM163" s="192" t="n"/>
    </row>
    <row r="164">
      <c r="A164" s="177" t="n"/>
      <c r="B164" s="178" t="n"/>
      <c r="C164" s="178" t="n"/>
      <c r="D164" s="179" t="n"/>
      <c r="E164" s="180" t="n"/>
      <c r="F164" s="181" t="n"/>
      <c r="G164" s="182" t="n"/>
      <c r="H164" s="105" t="n"/>
      <c r="I164" s="183">
        <f>F164</f>
        <v/>
      </c>
      <c r="J164" s="184" t="n"/>
      <c r="K164" s="185" t="n"/>
      <c r="L164" s="8" t="n"/>
      <c r="M164" s="184">
        <f>L164</f>
        <v/>
      </c>
      <c r="N164" s="71" t="n"/>
      <c r="O164" s="101" t="n"/>
      <c r="P164" s="9">
        <f>I164-M164</f>
        <v/>
      </c>
      <c r="Q164" s="9">
        <f>IF(LEFT(B164,4)&lt;&gt;"    ",0,BN164)</f>
        <v/>
      </c>
      <c r="R164" s="9">
        <f>+P164-Q164</f>
        <v/>
      </c>
      <c r="S164" s="281" t="n"/>
      <c r="T164" s="10" t="n"/>
      <c r="U164" s="23">
        <f>IF(LEFT(B164,4)&lt;&gt;"    ","",IF(M164&lt;&gt;0,X164/M164,0))</f>
        <v/>
      </c>
      <c r="V164" s="11">
        <f>IF(LEFT(B164,4)&lt;&gt;"    ","",U164*I164)</f>
        <v/>
      </c>
      <c r="W164" s="11">
        <f>IF(LEFT(B164,4)&lt;&gt;"    ","",X164+Z164)</f>
        <v/>
      </c>
      <c r="X164" s="8" t="n"/>
      <c r="Y164" s="9">
        <f>IF(LEFT(B164,4)&lt;&gt;"    ",0,IF(P164&lt;0,P164,IF(U164&gt;0.3,W164-X164,0)))</f>
        <v/>
      </c>
      <c r="Z164" s="71">
        <f>Y164</f>
        <v/>
      </c>
      <c r="AA164" s="71" t="n"/>
      <c r="AB164" s="109" t="n"/>
      <c r="AC164" s="9">
        <f>IF(LEFT(B164,4)&lt;&gt;"    ",0,BK164)</f>
        <v/>
      </c>
      <c r="AD164" s="9">
        <f>Z164-AC164</f>
        <v/>
      </c>
      <c r="AE164" s="10" t="n"/>
      <c r="AF164" s="24" t="n"/>
      <c r="AG164" s="11" t="n"/>
      <c r="AH164" s="8" t="n"/>
      <c r="AI164" s="9">
        <f>IF(LEFT(B164,4)&lt;&gt;"    ","",AG164-AH164)</f>
        <v/>
      </c>
      <c r="AJ164" s="9" t="n"/>
      <c r="AK164" s="10" t="n"/>
      <c r="AL164" s="11">
        <f>IF(LEFT(B164,4)&lt;&gt;"    ","",W164-AG164)</f>
        <v/>
      </c>
      <c r="AM164" s="8">
        <f>IF(LEFT(B164,4)&lt;&gt;"    ","",X164-AH164)</f>
        <v/>
      </c>
      <c r="AN164" s="9">
        <f>IF(LEFT(B164,4)&lt;&gt;"    ","",Y164-AI164)</f>
        <v/>
      </c>
      <c r="AO164" s="9">
        <f>IF(LEFT(B164,4)&lt;&gt;"    ","",Z164-AJ164)</f>
        <v/>
      </c>
      <c r="AP164" s="10" t="n"/>
      <c r="AQ164" s="25">
        <f>IF(LEFT(B164,4)&lt;&gt;"    ","",I164-W164)</f>
        <v/>
      </c>
      <c r="AR164" s="25">
        <f>M164-X164</f>
        <v/>
      </c>
      <c r="AS164" s="25">
        <f>IF(LEFT(B164,4)&lt;&gt;"    ","",P164-Z164)</f>
        <v/>
      </c>
      <c r="AT164" s="10" t="n"/>
      <c r="AU164" s="12" t="n"/>
      <c r="AV164" s="12">
        <f>IF(LEFT(B164,4)&lt;&gt;"    ","",IF(W164-AU164&gt;=0,W164-AU164," "))</f>
        <v/>
      </c>
      <c r="AW164" s="12">
        <f>IF(LEFT(B164,4)&lt;&gt;"    ","",IF(AU164-W164&gt;=0,AU164-W164," "))</f>
        <v/>
      </c>
      <c r="AX164" s="186" t="n"/>
      <c r="AY164" s="187" t="n"/>
      <c r="AZ164" s="186" t="n"/>
      <c r="BA164" s="186" t="n"/>
      <c r="BB164" s="188" t="n"/>
      <c r="BC164" s="187" t="n"/>
      <c r="BD164" s="187" t="n"/>
      <c r="BE164" s="186" t="n"/>
      <c r="BF164" s="186" t="n"/>
      <c r="BG164" s="186" t="n"/>
      <c r="BH164" s="186" t="n"/>
      <c r="BI164" s="186" t="n"/>
      <c r="BJ164" s="186" t="n"/>
      <c r="BK164" s="186" t="n"/>
      <c r="BL164" s="186" t="n"/>
      <c r="BM164" s="186" t="n"/>
      <c r="BN164" s="186" t="n"/>
      <c r="BO164" s="186" t="n"/>
      <c r="BP164" s="186" t="n"/>
      <c r="BQ164" s="186" t="n"/>
      <c r="BR164" s="186" t="n"/>
      <c r="BS164" s="186" t="n"/>
      <c r="BT164" s="186" t="n"/>
      <c r="BU164" s="186" t="n"/>
      <c r="BV164" s="186" t="n"/>
      <c r="BW164" s="186" t="n"/>
      <c r="BX164" s="186" t="n"/>
      <c r="BY164" s="186" t="n"/>
      <c r="BZ164" s="186" t="n"/>
      <c r="CA164" s="186" t="n"/>
      <c r="CB164" s="186" t="n"/>
      <c r="CC164" s="190" t="n"/>
      <c r="CD164" s="186" t="n"/>
      <c r="CE164" s="186" t="n"/>
      <c r="CF164" s="186" t="n"/>
      <c r="CG164" s="186" t="n"/>
      <c r="CH164" s="186" t="n"/>
      <c r="CI164" s="191" t="n"/>
      <c r="CJ164" s="192" t="n"/>
      <c r="CK164" s="192" t="n"/>
      <c r="CL164" s="192" t="n"/>
      <c r="CM164" s="192" t="n"/>
    </row>
    <row r="165">
      <c r="A165" s="177" t="n"/>
      <c r="B165" s="178" t="n"/>
      <c r="C165" s="178" t="n"/>
      <c r="D165" s="179" t="n"/>
      <c r="E165" s="180" t="n"/>
      <c r="F165" s="181" t="n"/>
      <c r="G165" s="182" t="n"/>
      <c r="H165" s="105" t="n"/>
      <c r="I165" s="183">
        <f>F165</f>
        <v/>
      </c>
      <c r="J165" s="184" t="n"/>
      <c r="K165" s="185" t="n"/>
      <c r="L165" s="8" t="n"/>
      <c r="M165" s="184">
        <f>L165</f>
        <v/>
      </c>
      <c r="N165" s="71" t="n"/>
      <c r="O165" s="101" t="n"/>
      <c r="P165" s="9">
        <f>I165-M165</f>
        <v/>
      </c>
      <c r="Q165" s="9">
        <f>IF(LEFT(B165,4)&lt;&gt;"    ",0,BN165)</f>
        <v/>
      </c>
      <c r="R165" s="9">
        <f>+P165-Q165</f>
        <v/>
      </c>
      <c r="S165" s="281" t="n"/>
      <c r="T165" s="10" t="n"/>
      <c r="U165" s="23">
        <f>IF(LEFT(B165,4)&lt;&gt;"    ","",IF(M165&lt;&gt;0,X165/M165,0))</f>
        <v/>
      </c>
      <c r="V165" s="11">
        <f>IF(LEFT(B165,4)&lt;&gt;"    ","",U165*I165)</f>
        <v/>
      </c>
      <c r="W165" s="11">
        <f>IF(LEFT(B165,4)&lt;&gt;"    ","",X165+Z165)</f>
        <v/>
      </c>
      <c r="X165" s="8" t="n"/>
      <c r="Y165" s="9">
        <f>IF(LEFT(B165,4)&lt;&gt;"    ",0,IF(P165&lt;0,P165,IF(U165&gt;0.3,W165-X165,0)))</f>
        <v/>
      </c>
      <c r="Z165" s="71">
        <f>Y165</f>
        <v/>
      </c>
      <c r="AA165" s="71" t="n"/>
      <c r="AB165" s="109" t="n"/>
      <c r="AC165" s="9">
        <f>IF(LEFT(B165,4)&lt;&gt;"    ",0,BK165)</f>
        <v/>
      </c>
      <c r="AD165" s="9">
        <f>Z165-AC165</f>
        <v/>
      </c>
      <c r="AE165" s="10" t="n"/>
      <c r="AF165" s="24" t="n"/>
      <c r="AG165" s="11" t="n"/>
      <c r="AH165" s="8" t="n"/>
      <c r="AI165" s="9">
        <f>IF(LEFT(B165,4)&lt;&gt;"    ","",AG165-AH165)</f>
        <v/>
      </c>
      <c r="AJ165" s="9" t="n"/>
      <c r="AK165" s="10" t="n"/>
      <c r="AL165" s="11">
        <f>IF(LEFT(B165,4)&lt;&gt;"    ","",W165-AG165)</f>
        <v/>
      </c>
      <c r="AM165" s="8">
        <f>IF(LEFT(B165,4)&lt;&gt;"    ","",X165-AH165)</f>
        <v/>
      </c>
      <c r="AN165" s="9">
        <f>IF(LEFT(B165,4)&lt;&gt;"    ","",Y165-AI165)</f>
        <v/>
      </c>
      <c r="AO165" s="9">
        <f>IF(LEFT(B165,4)&lt;&gt;"    ","",Z165-AJ165)</f>
        <v/>
      </c>
      <c r="AP165" s="10" t="n"/>
      <c r="AQ165" s="25">
        <f>IF(LEFT(B165,4)&lt;&gt;"    ","",I165-W165)</f>
        <v/>
      </c>
      <c r="AR165" s="25">
        <f>M165-X165</f>
        <v/>
      </c>
      <c r="AS165" s="25">
        <f>IF(LEFT(B165,4)&lt;&gt;"    ","",P165-Z165)</f>
        <v/>
      </c>
      <c r="AT165" s="10" t="n"/>
      <c r="AU165" s="12" t="n"/>
      <c r="AV165" s="12">
        <f>IF(LEFT(B165,4)&lt;&gt;"    ","",IF(W165-AU165&gt;=0,W165-AU165," "))</f>
        <v/>
      </c>
      <c r="AW165" s="12">
        <f>IF(LEFT(B165,4)&lt;&gt;"    ","",IF(AU165-W165&gt;=0,AU165-W165," "))</f>
        <v/>
      </c>
      <c r="AX165" s="186" t="n"/>
      <c r="AY165" s="187" t="n"/>
      <c r="AZ165" s="186" t="n"/>
      <c r="BA165" s="186" t="n"/>
      <c r="BB165" s="188" t="n"/>
      <c r="BC165" s="187" t="n"/>
      <c r="BD165" s="187" t="n"/>
      <c r="BE165" s="186" t="n"/>
      <c r="BF165" s="186" t="n"/>
      <c r="BG165" s="186" t="n"/>
      <c r="BH165" s="186" t="n"/>
      <c r="BI165" s="186" t="n"/>
      <c r="BJ165" s="186" t="n"/>
      <c r="BK165" s="186" t="n"/>
      <c r="BL165" s="186" t="n"/>
      <c r="BM165" s="186" t="n"/>
      <c r="BN165" s="186" t="n"/>
      <c r="BO165" s="186" t="n"/>
      <c r="BP165" s="186" t="n"/>
      <c r="BQ165" s="186" t="n"/>
      <c r="BR165" s="186" t="n"/>
      <c r="BS165" s="186" t="n"/>
      <c r="BT165" s="186" t="n"/>
      <c r="BU165" s="186" t="n"/>
      <c r="BV165" s="186" t="n"/>
      <c r="BW165" s="186" t="n"/>
      <c r="BX165" s="186" t="n"/>
      <c r="BY165" s="186" t="n"/>
      <c r="BZ165" s="186" t="n"/>
      <c r="CA165" s="186" t="n"/>
      <c r="CB165" s="186" t="n"/>
      <c r="CC165" s="190" t="n"/>
      <c r="CD165" s="186" t="n"/>
      <c r="CE165" s="186" t="n"/>
      <c r="CF165" s="186" t="n"/>
      <c r="CG165" s="186" t="n"/>
      <c r="CH165" s="186" t="n"/>
      <c r="CI165" s="191" t="n"/>
      <c r="CJ165" s="192" t="n"/>
      <c r="CK165" s="192" t="n"/>
      <c r="CL165" s="192" t="n"/>
      <c r="CM165" s="192" t="n"/>
    </row>
    <row r="166">
      <c r="A166" s="177" t="n"/>
      <c r="B166" s="178" t="n"/>
      <c r="C166" s="178" t="n"/>
      <c r="D166" s="179" t="n"/>
      <c r="E166" s="180" t="n"/>
      <c r="F166" s="181" t="n"/>
      <c r="G166" s="182" t="n"/>
      <c r="H166" s="105" t="n"/>
      <c r="I166" s="183">
        <f>F166</f>
        <v/>
      </c>
      <c r="J166" s="184" t="n"/>
      <c r="K166" s="185" t="n"/>
      <c r="L166" s="8" t="n"/>
      <c r="M166" s="184">
        <f>L166</f>
        <v/>
      </c>
      <c r="N166" s="71" t="n"/>
      <c r="O166" s="101" t="n"/>
      <c r="P166" s="9">
        <f>I166-M166</f>
        <v/>
      </c>
      <c r="Q166" s="9">
        <f>IF(LEFT(B166,4)&lt;&gt;"    ",0,BN166)</f>
        <v/>
      </c>
      <c r="R166" s="9">
        <f>+P166-Q166</f>
        <v/>
      </c>
      <c r="S166" s="281" t="n"/>
      <c r="T166" s="10" t="n"/>
      <c r="U166" s="23">
        <f>IF(LEFT(B166,4)&lt;&gt;"    ","",IF(M166&lt;&gt;0,X166/M166,0))</f>
        <v/>
      </c>
      <c r="V166" s="11">
        <f>IF(LEFT(B166,4)&lt;&gt;"    ","",U166*I166)</f>
        <v/>
      </c>
      <c r="W166" s="11">
        <f>IF(LEFT(B166,4)&lt;&gt;"    ","",X166+Z166)</f>
        <v/>
      </c>
      <c r="X166" s="8" t="n"/>
      <c r="Y166" s="9">
        <f>IF(LEFT(B166,4)&lt;&gt;"    ",0,IF(P166&lt;0,P166,IF(U166&gt;0.3,W166-X166,0)))</f>
        <v/>
      </c>
      <c r="Z166" s="71">
        <f>Y166</f>
        <v/>
      </c>
      <c r="AA166" s="71" t="n"/>
      <c r="AB166" s="109" t="n"/>
      <c r="AC166" s="9">
        <f>IF(LEFT(B166,4)&lt;&gt;"    ",0,BK166)</f>
        <v/>
      </c>
      <c r="AD166" s="9">
        <f>Z166-AC166</f>
        <v/>
      </c>
      <c r="AE166" s="10" t="n"/>
      <c r="AF166" s="24" t="n"/>
      <c r="AG166" s="11" t="n"/>
      <c r="AH166" s="8" t="n"/>
      <c r="AI166" s="9">
        <f>IF(LEFT(B166,4)&lt;&gt;"    ","",AG166-AH166)</f>
        <v/>
      </c>
      <c r="AJ166" s="9" t="n"/>
      <c r="AK166" s="10" t="n"/>
      <c r="AL166" s="11">
        <f>IF(LEFT(B166,4)&lt;&gt;"    ","",W166-AG166)</f>
        <v/>
      </c>
      <c r="AM166" s="8">
        <f>IF(LEFT(B166,4)&lt;&gt;"    ","",X166-AH166)</f>
        <v/>
      </c>
      <c r="AN166" s="9">
        <f>IF(LEFT(B166,4)&lt;&gt;"    ","",Y166-AI166)</f>
        <v/>
      </c>
      <c r="AO166" s="9">
        <f>IF(LEFT(B166,4)&lt;&gt;"    ","",Z166-AJ166)</f>
        <v/>
      </c>
      <c r="AP166" s="10" t="n"/>
      <c r="AQ166" s="25">
        <f>IF(LEFT(B166,4)&lt;&gt;"    ","",I166-W166)</f>
        <v/>
      </c>
      <c r="AR166" s="25">
        <f>M166-X166</f>
        <v/>
      </c>
      <c r="AS166" s="25">
        <f>IF(LEFT(B166,4)&lt;&gt;"    ","",P166-Z166)</f>
        <v/>
      </c>
      <c r="AT166" s="10" t="n"/>
      <c r="AU166" s="12" t="n"/>
      <c r="AV166" s="12">
        <f>IF(LEFT(B166,4)&lt;&gt;"    ","",IF(W166-AU166&gt;=0,W166-AU166," "))</f>
        <v/>
      </c>
      <c r="AW166" s="12">
        <f>IF(LEFT(B166,4)&lt;&gt;"    ","",IF(AU166-W166&gt;=0,AU166-W166," "))</f>
        <v/>
      </c>
      <c r="AX166" s="186" t="n"/>
      <c r="AY166" s="187" t="n"/>
      <c r="AZ166" s="186" t="n"/>
      <c r="BA166" s="186" t="n"/>
      <c r="BB166" s="188" t="n"/>
      <c r="BC166" s="187" t="n"/>
      <c r="BD166" s="187" t="n"/>
      <c r="BE166" s="186" t="n"/>
      <c r="BF166" s="186" t="n"/>
      <c r="BG166" s="186" t="n"/>
      <c r="BH166" s="186" t="n"/>
      <c r="BI166" s="186" t="n"/>
      <c r="BJ166" s="186" t="n"/>
      <c r="BK166" s="186" t="n"/>
      <c r="BL166" s="186" t="n"/>
      <c r="BM166" s="186" t="n"/>
      <c r="BN166" s="186" t="n"/>
      <c r="BO166" s="186" t="n"/>
      <c r="BP166" s="186" t="n"/>
      <c r="BQ166" s="186" t="n"/>
      <c r="BR166" s="186" t="n"/>
      <c r="BS166" s="186" t="n"/>
      <c r="BT166" s="186" t="n"/>
      <c r="BU166" s="186" t="n"/>
      <c r="BV166" s="186" t="n"/>
      <c r="BW166" s="186" t="n"/>
      <c r="BX166" s="186" t="n"/>
      <c r="BY166" s="186" t="n"/>
      <c r="BZ166" s="186" t="n"/>
      <c r="CA166" s="186" t="n"/>
      <c r="CB166" s="186" t="n"/>
      <c r="CC166" s="190" t="n"/>
      <c r="CD166" s="186" t="n"/>
      <c r="CE166" s="186" t="n"/>
      <c r="CF166" s="186" t="n"/>
      <c r="CG166" s="186" t="n"/>
      <c r="CH166" s="186" t="n"/>
      <c r="CI166" s="191" t="n"/>
      <c r="CJ166" s="192" t="n"/>
      <c r="CK166" s="192" t="n"/>
      <c r="CL166" s="192" t="n"/>
      <c r="CM166" s="192" t="n"/>
    </row>
    <row r="167">
      <c r="A167" s="177" t="n"/>
      <c r="B167" s="178" t="n"/>
      <c r="C167" s="178" t="n"/>
      <c r="D167" s="179" t="n"/>
      <c r="E167" s="180" t="n"/>
      <c r="F167" s="181" t="n"/>
      <c r="G167" s="182" t="n"/>
      <c r="H167" s="105" t="n"/>
      <c r="I167" s="183">
        <f>F167</f>
        <v/>
      </c>
      <c r="J167" s="184" t="n"/>
      <c r="K167" s="185" t="n"/>
      <c r="L167" s="8" t="n"/>
      <c r="M167" s="184">
        <f>L167</f>
        <v/>
      </c>
      <c r="N167" s="71" t="n"/>
      <c r="O167" s="101" t="n"/>
      <c r="P167" s="9">
        <f>I167-M167</f>
        <v/>
      </c>
      <c r="Q167" s="9">
        <f>IF(LEFT(B167,4)&lt;&gt;"    ",0,BN167)</f>
        <v/>
      </c>
      <c r="R167" s="9">
        <f>+P167-Q167</f>
        <v/>
      </c>
      <c r="S167" s="281" t="n"/>
      <c r="T167" s="10" t="n"/>
      <c r="U167" s="23">
        <f>IF(LEFT(B167,4)&lt;&gt;"    ","",IF(M167&lt;&gt;0,X167/M167,0))</f>
        <v/>
      </c>
      <c r="V167" s="11">
        <f>IF(LEFT(B167,4)&lt;&gt;"    ","",U167*I167)</f>
        <v/>
      </c>
      <c r="W167" s="11">
        <f>IF(LEFT(B167,4)&lt;&gt;"    ","",X167+Z167)</f>
        <v/>
      </c>
      <c r="X167" s="8" t="n"/>
      <c r="Y167" s="9">
        <f>IF(LEFT(B167,4)&lt;&gt;"    ",0,IF(P167&lt;0,P167,IF(U167&gt;0.3,W167-X167,0)))</f>
        <v/>
      </c>
      <c r="Z167" s="71">
        <f>Y167</f>
        <v/>
      </c>
      <c r="AA167" s="71" t="n"/>
      <c r="AB167" s="109" t="n"/>
      <c r="AC167" s="9">
        <f>IF(LEFT(B167,4)&lt;&gt;"    ",0,BK167)</f>
        <v/>
      </c>
      <c r="AD167" s="9">
        <f>Z167-AC167</f>
        <v/>
      </c>
      <c r="AE167" s="10" t="n"/>
      <c r="AF167" s="24" t="n"/>
      <c r="AG167" s="11" t="n"/>
      <c r="AH167" s="8" t="n"/>
      <c r="AI167" s="9">
        <f>IF(LEFT(B167,4)&lt;&gt;"    ","",AG167-AH167)</f>
        <v/>
      </c>
      <c r="AJ167" s="9" t="n"/>
      <c r="AK167" s="10" t="n"/>
      <c r="AL167" s="11">
        <f>IF(LEFT(B167,4)&lt;&gt;"    ","",W167-AG167)</f>
        <v/>
      </c>
      <c r="AM167" s="8">
        <f>IF(LEFT(B167,4)&lt;&gt;"    ","",X167-AH167)</f>
        <v/>
      </c>
      <c r="AN167" s="9">
        <f>IF(LEFT(B167,4)&lt;&gt;"    ","",Y167-AI167)</f>
        <v/>
      </c>
      <c r="AO167" s="9">
        <f>IF(LEFT(B167,4)&lt;&gt;"    ","",Z167-AJ167)</f>
        <v/>
      </c>
      <c r="AP167" s="10" t="n"/>
      <c r="AQ167" s="25">
        <f>IF(LEFT(B167,4)&lt;&gt;"    ","",I167-W167)</f>
        <v/>
      </c>
      <c r="AR167" s="25">
        <f>M167-X167</f>
        <v/>
      </c>
      <c r="AS167" s="25">
        <f>IF(LEFT(B167,4)&lt;&gt;"    ","",P167-Z167)</f>
        <v/>
      </c>
      <c r="AT167" s="10" t="n"/>
      <c r="AU167" s="12" t="n"/>
      <c r="AV167" s="12">
        <f>IF(LEFT(B167,4)&lt;&gt;"    ","",IF(W167-AU167&gt;=0,W167-AU167," "))</f>
        <v/>
      </c>
      <c r="AW167" s="12">
        <f>IF(LEFT(B167,4)&lt;&gt;"    ","",IF(AU167-W167&gt;=0,AU167-W167," "))</f>
        <v/>
      </c>
      <c r="AX167" s="186" t="n"/>
      <c r="AY167" s="187" t="n"/>
      <c r="AZ167" s="186" t="n"/>
      <c r="BA167" s="186" t="n"/>
      <c r="BB167" s="188" t="n"/>
      <c r="BC167" s="187" t="n"/>
      <c r="BD167" s="187" t="n"/>
      <c r="BE167" s="186" t="n"/>
      <c r="BF167" s="186" t="n"/>
      <c r="BG167" s="186" t="n"/>
      <c r="BH167" s="186" t="n"/>
      <c r="BI167" s="186" t="n"/>
      <c r="BJ167" s="186" t="n"/>
      <c r="BK167" s="186" t="n"/>
      <c r="BL167" s="186" t="n"/>
      <c r="BM167" s="186" t="n"/>
      <c r="BN167" s="186" t="n"/>
      <c r="BO167" s="186" t="n"/>
      <c r="BP167" s="186" t="n"/>
      <c r="BQ167" s="186" t="n"/>
      <c r="BR167" s="186" t="n"/>
      <c r="BS167" s="186" t="n"/>
      <c r="BT167" s="186" t="n"/>
      <c r="BU167" s="186" t="n"/>
      <c r="BV167" s="186" t="n"/>
      <c r="BW167" s="186" t="n"/>
      <c r="BX167" s="186" t="n"/>
      <c r="BY167" s="186" t="n"/>
      <c r="BZ167" s="186" t="n"/>
      <c r="CA167" s="186" t="n"/>
      <c r="CB167" s="186" t="n"/>
      <c r="CC167" s="190" t="n"/>
      <c r="CD167" s="186" t="n"/>
      <c r="CE167" s="186" t="n"/>
      <c r="CF167" s="186" t="n"/>
      <c r="CG167" s="186" t="n"/>
      <c r="CH167" s="186" t="n"/>
      <c r="CI167" s="191" t="n"/>
      <c r="CJ167" s="192" t="n"/>
      <c r="CK167" s="192" t="n"/>
      <c r="CL167" s="192" t="n"/>
      <c r="CM167" s="192" t="n"/>
    </row>
    <row r="168">
      <c r="A168" s="177" t="n"/>
      <c r="B168" s="178" t="n"/>
      <c r="C168" s="178" t="n"/>
      <c r="D168" s="179" t="n"/>
      <c r="E168" s="180" t="n"/>
      <c r="F168" s="181" t="n"/>
      <c r="G168" s="182" t="n"/>
      <c r="H168" s="105" t="n"/>
      <c r="I168" s="183">
        <f>F168</f>
        <v/>
      </c>
      <c r="J168" s="184" t="n"/>
      <c r="K168" s="185" t="n"/>
      <c r="L168" s="8" t="n"/>
      <c r="M168" s="184">
        <f>L168</f>
        <v/>
      </c>
      <c r="N168" s="184" t="n"/>
      <c r="O168" s="185" t="n"/>
      <c r="P168" s="9">
        <f>I168-M168</f>
        <v/>
      </c>
      <c r="Q168" s="9">
        <f>IF(LEFT(B168,4)&lt;&gt;"    ",0,BN168)</f>
        <v/>
      </c>
      <c r="R168" s="9">
        <f>+P168-Q168</f>
        <v/>
      </c>
      <c r="S168" s="281" t="n"/>
      <c r="T168" s="10" t="n"/>
      <c r="U168" s="23">
        <f>IF(LEFT(B168,4)&lt;&gt;"    ","",IF(M168&lt;&gt;0,X168/M168,0))</f>
        <v/>
      </c>
      <c r="V168" s="11">
        <f>IF(LEFT(B168,4)&lt;&gt;"    ","",U168*I168)</f>
        <v/>
      </c>
      <c r="W168" s="11">
        <f>IF(LEFT(B168,4)&lt;&gt;"    ","",X168+Z168)</f>
        <v/>
      </c>
      <c r="X168" s="8" t="n"/>
      <c r="Y168" s="9">
        <f>IF(LEFT(B168,4)&lt;&gt;"    ",0,IF(P168&lt;0,P168,IF(U168&gt;0.3,W168-X168,0)))</f>
        <v/>
      </c>
      <c r="Z168" s="71">
        <f>Y168</f>
        <v/>
      </c>
      <c r="AA168" s="71" t="n"/>
      <c r="AB168" s="109" t="n"/>
      <c r="AC168" s="9">
        <f>IF(LEFT(B168,4)&lt;&gt;"    ",0,BK168)</f>
        <v/>
      </c>
      <c r="AD168" s="9">
        <f>Z168-AC168</f>
        <v/>
      </c>
      <c r="AE168" s="10" t="n"/>
      <c r="AF168" s="24" t="n"/>
      <c r="AG168" s="11" t="n"/>
      <c r="AH168" s="8" t="n"/>
      <c r="AI168" s="9">
        <f>IF(LEFT(B168,4)&lt;&gt;"    ","",AG168-AH168)</f>
        <v/>
      </c>
      <c r="AJ168" s="9" t="n"/>
      <c r="AK168" s="10" t="n"/>
      <c r="AL168" s="11">
        <f>IF(LEFT(B168,4)&lt;&gt;"    ","",W168-AG168)</f>
        <v/>
      </c>
      <c r="AM168" s="8">
        <f>IF(LEFT(B168,4)&lt;&gt;"    ","",X168-AH168)</f>
        <v/>
      </c>
      <c r="AN168" s="9">
        <f>IF(LEFT(B168,4)&lt;&gt;"    ","",Y168-AI168)</f>
        <v/>
      </c>
      <c r="AO168" s="9">
        <f>IF(LEFT(B168,4)&lt;&gt;"    ","",Z168-AJ168)</f>
        <v/>
      </c>
      <c r="AP168" s="10" t="n"/>
      <c r="AQ168" s="25">
        <f>IF(LEFT(B168,4)&lt;&gt;"    ","",I168-W168)</f>
        <v/>
      </c>
      <c r="AR168" s="25">
        <f>M168-X168</f>
        <v/>
      </c>
      <c r="AS168" s="25">
        <f>IF(LEFT(B168,4)&lt;&gt;"    ","",P168-Z168)</f>
        <v/>
      </c>
      <c r="AT168" s="10" t="n"/>
      <c r="AU168" s="12" t="n"/>
      <c r="AV168" s="12">
        <f>IF(LEFT(B168,4)&lt;&gt;"    ","",IF(W168-AU168&gt;=0,W168-AU168," "))</f>
        <v/>
      </c>
      <c r="AW168" s="12">
        <f>IF(LEFT(B168,4)&lt;&gt;"    ","",IF(AU168-W168&gt;=0,AU168-W168," "))</f>
        <v/>
      </c>
      <c r="AX168" s="186" t="n"/>
      <c r="AY168" s="187" t="n"/>
      <c r="AZ168" s="186" t="n"/>
      <c r="BA168" s="186" t="n"/>
      <c r="BB168" s="188" t="n"/>
      <c r="BC168" s="187" t="n"/>
      <c r="BD168" s="187" t="n"/>
      <c r="BE168" s="186" t="n"/>
      <c r="BF168" s="186" t="n"/>
      <c r="BG168" s="186" t="n"/>
      <c r="BH168" s="186" t="n"/>
      <c r="BI168" s="186" t="n"/>
      <c r="BJ168" s="186" t="n"/>
      <c r="BK168" s="186" t="n"/>
      <c r="BL168" s="186" t="n"/>
      <c r="BM168" s="186" t="n"/>
      <c r="BN168" s="186" t="n"/>
      <c r="BO168" s="186" t="n"/>
      <c r="BP168" s="186" t="n"/>
      <c r="BQ168" s="186" t="n"/>
      <c r="BR168" s="186" t="n"/>
      <c r="BS168" s="186" t="n"/>
      <c r="BT168" s="186" t="n"/>
      <c r="BU168" s="186" t="n"/>
      <c r="BV168" s="186" t="n"/>
      <c r="BW168" s="186" t="n"/>
      <c r="BX168" s="186" t="n"/>
      <c r="BY168" s="186" t="n"/>
      <c r="BZ168" s="186" t="n"/>
      <c r="CA168" s="186" t="n"/>
      <c r="CB168" s="186" t="n"/>
      <c r="CC168" s="190" t="n"/>
      <c r="CD168" s="186" t="n"/>
      <c r="CE168" s="186" t="n"/>
      <c r="CF168" s="186" t="n"/>
      <c r="CG168" s="186" t="n"/>
      <c r="CH168" s="186" t="n"/>
      <c r="CI168" s="191" t="n"/>
      <c r="CJ168" s="192" t="n"/>
      <c r="CK168" s="192" t="n"/>
      <c r="CL168" s="192" t="n"/>
      <c r="CM168" s="192" t="n"/>
    </row>
    <row r="169">
      <c r="A169" s="177" t="n"/>
      <c r="B169" s="178" t="n"/>
      <c r="C169" s="178" t="n"/>
      <c r="D169" s="179" t="n"/>
      <c r="E169" s="180" t="n"/>
      <c r="F169" s="181" t="n"/>
      <c r="G169" s="182" t="n"/>
      <c r="H169" s="105" t="n"/>
      <c r="I169" s="183">
        <f>F169</f>
        <v/>
      </c>
      <c r="J169" s="184" t="n"/>
      <c r="K169" s="185" t="n"/>
      <c r="L169" s="8" t="n"/>
      <c r="M169" s="184">
        <f>L169</f>
        <v/>
      </c>
      <c r="N169" s="71" t="n"/>
      <c r="O169" s="101" t="n"/>
      <c r="P169" s="9">
        <f>I169-M169</f>
        <v/>
      </c>
      <c r="Q169" s="9">
        <f>IF(LEFT(B169,4)&lt;&gt;"    ",0,BN169)</f>
        <v/>
      </c>
      <c r="R169" s="9">
        <f>+P169-Q169</f>
        <v/>
      </c>
      <c r="S169" s="281" t="n"/>
      <c r="T169" s="10" t="n"/>
      <c r="U169" s="23">
        <f>IF(LEFT(B169,4)&lt;&gt;"    ","",IF(M169&lt;&gt;0,X169/M169,0))</f>
        <v/>
      </c>
      <c r="V169" s="11">
        <f>IF(LEFT(B169,4)&lt;&gt;"    ","",U169*I169)</f>
        <v/>
      </c>
      <c r="W169" s="11">
        <f>IF(LEFT(B169,4)&lt;&gt;"    ","",X169+Z169)</f>
        <v/>
      </c>
      <c r="X169" s="8" t="n"/>
      <c r="Y169" s="9">
        <f>IF(LEFT(B169,4)&lt;&gt;"    ",0,IF(P169&lt;0,P169,IF(U169&gt;0.3,W169-X169,0)))</f>
        <v/>
      </c>
      <c r="Z169" s="71">
        <f>Y169</f>
        <v/>
      </c>
      <c r="AA169" s="71" t="n"/>
      <c r="AB169" s="109" t="n"/>
      <c r="AC169" s="9">
        <f>IF(LEFT(B169,4)&lt;&gt;"    ",0,BK169)</f>
        <v/>
      </c>
      <c r="AD169" s="9">
        <f>Z169-AC169</f>
        <v/>
      </c>
      <c r="AE169" s="10" t="n"/>
      <c r="AF169" s="24" t="n"/>
      <c r="AG169" s="11" t="n"/>
      <c r="AH169" s="8" t="n"/>
      <c r="AI169" s="9">
        <f>IF(LEFT(B169,4)&lt;&gt;"    ","",AG169-AH169)</f>
        <v/>
      </c>
      <c r="AJ169" s="9" t="n"/>
      <c r="AK169" s="10" t="n"/>
      <c r="AL169" s="11">
        <f>IF(LEFT(B169,4)&lt;&gt;"    ","",W169-AG169)</f>
        <v/>
      </c>
      <c r="AM169" s="8">
        <f>IF(LEFT(B169,4)&lt;&gt;"    ","",X169-AH169)</f>
        <v/>
      </c>
      <c r="AN169" s="9">
        <f>IF(LEFT(B169,4)&lt;&gt;"    ","",Y169-AI169)</f>
        <v/>
      </c>
      <c r="AO169" s="9">
        <f>IF(LEFT(B169,4)&lt;&gt;"    ","",Z169-AJ169)</f>
        <v/>
      </c>
      <c r="AP169" s="10" t="n"/>
      <c r="AQ169" s="25">
        <f>IF(LEFT(B169,4)&lt;&gt;"    ","",I169-W169)</f>
        <v/>
      </c>
      <c r="AR169" s="25">
        <f>M169-X169</f>
        <v/>
      </c>
      <c r="AS169" s="25">
        <f>IF(LEFT(B169,4)&lt;&gt;"    ","",P169-Z169)</f>
        <v/>
      </c>
      <c r="AT169" s="10" t="n"/>
      <c r="AU169" s="12" t="n"/>
      <c r="AV169" s="12">
        <f>IF(LEFT(B169,4)&lt;&gt;"    ","",IF(W169-AU169&gt;=0,W169-AU169," "))</f>
        <v/>
      </c>
      <c r="AW169" s="12">
        <f>IF(LEFT(B169,4)&lt;&gt;"    ","",IF(AU169-W169&gt;=0,AU169-W169," "))</f>
        <v/>
      </c>
      <c r="AX169" s="186" t="n"/>
      <c r="AY169" s="187" t="n"/>
      <c r="AZ169" s="186" t="n"/>
      <c r="BA169" s="186" t="n"/>
      <c r="BB169" s="188" t="n"/>
      <c r="BC169" s="187" t="n"/>
      <c r="BD169" s="187" t="n"/>
      <c r="BE169" s="186" t="n"/>
      <c r="BF169" s="186" t="n"/>
      <c r="BG169" s="186" t="n"/>
      <c r="BH169" s="186" t="n"/>
      <c r="BI169" s="186" t="n"/>
      <c r="BJ169" s="186" t="n"/>
      <c r="BK169" s="186" t="n"/>
      <c r="BL169" s="186" t="n"/>
      <c r="BM169" s="186" t="n"/>
      <c r="BN169" s="186" t="n"/>
      <c r="BO169" s="186" t="n"/>
      <c r="BP169" s="186" t="n"/>
      <c r="BQ169" s="186" t="n"/>
      <c r="BR169" s="186" t="n"/>
      <c r="BS169" s="186" t="n"/>
      <c r="BT169" s="186" t="n"/>
      <c r="BU169" s="186" t="n"/>
      <c r="BV169" s="186" t="n"/>
      <c r="BW169" s="186" t="n"/>
      <c r="BX169" s="186" t="n"/>
      <c r="BY169" s="186" t="n"/>
      <c r="BZ169" s="186" t="n"/>
      <c r="CA169" s="186" t="n"/>
      <c r="CB169" s="186" t="n"/>
      <c r="CC169" s="190" t="n"/>
      <c r="CD169" s="186" t="n"/>
      <c r="CE169" s="186" t="n"/>
      <c r="CF169" s="186" t="n"/>
      <c r="CG169" s="186" t="n"/>
      <c r="CH169" s="186" t="n"/>
      <c r="CI169" s="191" t="n"/>
      <c r="CJ169" s="192" t="n"/>
      <c r="CK169" s="192" t="n"/>
      <c r="CL169" s="192" t="n"/>
      <c r="CM169" s="192" t="n"/>
    </row>
    <row r="170">
      <c r="A170" s="177" t="n"/>
      <c r="B170" s="178" t="n"/>
      <c r="C170" s="178" t="n"/>
      <c r="D170" s="179" t="n"/>
      <c r="E170" s="180" t="n"/>
      <c r="F170" s="181" t="n"/>
      <c r="G170" s="182" t="n"/>
      <c r="H170" s="105" t="n"/>
      <c r="I170" s="183">
        <f>F170</f>
        <v/>
      </c>
      <c r="J170" s="184" t="n"/>
      <c r="K170" s="185" t="n"/>
      <c r="L170" s="8" t="n"/>
      <c r="M170" s="184">
        <f>L170</f>
        <v/>
      </c>
      <c r="N170" s="71" t="n"/>
      <c r="O170" s="101" t="n"/>
      <c r="P170" s="9">
        <f>I170-M170</f>
        <v/>
      </c>
      <c r="Q170" s="9">
        <f>IF(LEFT(B170,4)&lt;&gt;"    ",0,BN170)</f>
        <v/>
      </c>
      <c r="R170" s="9">
        <f>+P170-Q170</f>
        <v/>
      </c>
      <c r="S170" s="281" t="n"/>
      <c r="T170" s="10" t="n"/>
      <c r="U170" s="23">
        <f>IF(LEFT(B170,4)&lt;&gt;"    ","",IF(M170&lt;&gt;0,X170/M170,0))</f>
        <v/>
      </c>
      <c r="V170" s="11">
        <f>IF(LEFT(B170,4)&lt;&gt;"    ","",U170*I170)</f>
        <v/>
      </c>
      <c r="W170" s="11">
        <f>IF(LEFT(B170,4)&lt;&gt;"    ","",X170+Z170)</f>
        <v/>
      </c>
      <c r="X170" s="8" t="n"/>
      <c r="Y170" s="9">
        <f>IF(LEFT(B170,4)&lt;&gt;"    ",0,IF(P170&lt;0,P170,IF(U170&gt;0.3,W170-X170,0)))</f>
        <v/>
      </c>
      <c r="Z170" s="71">
        <f>Y170</f>
        <v/>
      </c>
      <c r="AA170" s="71" t="n"/>
      <c r="AB170" s="109" t="n"/>
      <c r="AC170" s="9">
        <f>IF(LEFT(B170,4)&lt;&gt;"    ",0,BK170)</f>
        <v/>
      </c>
      <c r="AD170" s="9">
        <f>Z170-AC170</f>
        <v/>
      </c>
      <c r="AE170" s="10" t="n"/>
      <c r="AF170" s="24" t="n"/>
      <c r="AG170" s="11" t="n"/>
      <c r="AH170" s="8" t="n"/>
      <c r="AI170" s="9">
        <f>IF(LEFT(B170,4)&lt;&gt;"    ","",AG170-AH170)</f>
        <v/>
      </c>
      <c r="AJ170" s="9" t="n"/>
      <c r="AK170" s="10" t="n"/>
      <c r="AL170" s="11">
        <f>IF(LEFT(B170,4)&lt;&gt;"    ","",W170-AG170)</f>
        <v/>
      </c>
      <c r="AM170" s="8">
        <f>IF(LEFT(B170,4)&lt;&gt;"    ","",X170-AH170)</f>
        <v/>
      </c>
      <c r="AN170" s="9">
        <f>IF(LEFT(B170,4)&lt;&gt;"    ","",Y170-AI170)</f>
        <v/>
      </c>
      <c r="AO170" s="9">
        <f>IF(LEFT(B170,4)&lt;&gt;"    ","",Z170-AJ170)</f>
        <v/>
      </c>
      <c r="AP170" s="10" t="n"/>
      <c r="AQ170" s="25">
        <f>IF(LEFT(B170,4)&lt;&gt;"    ","",I170-W170)</f>
        <v/>
      </c>
      <c r="AR170" s="25">
        <f>M170-X170</f>
        <v/>
      </c>
      <c r="AS170" s="25">
        <f>IF(LEFT(B170,4)&lt;&gt;"    ","",P170-Z170)</f>
        <v/>
      </c>
      <c r="AT170" s="10" t="n"/>
      <c r="AU170" s="12" t="n"/>
      <c r="AV170" s="12">
        <f>IF(LEFT(B170,4)&lt;&gt;"    ","",IF(W170-AU170&gt;=0,W170-AU170," "))</f>
        <v/>
      </c>
      <c r="AW170" s="12">
        <f>IF(LEFT(B170,4)&lt;&gt;"    ","",IF(AU170-W170&gt;=0,AU170-W170," "))</f>
        <v/>
      </c>
      <c r="AX170" s="186" t="n"/>
      <c r="AY170" s="187" t="n"/>
      <c r="AZ170" s="186" t="n"/>
      <c r="BA170" s="186" t="n"/>
      <c r="BB170" s="188" t="n"/>
      <c r="BC170" s="187" t="n"/>
      <c r="BD170" s="187" t="n"/>
      <c r="BE170" s="186" t="n"/>
      <c r="BF170" s="186" t="n"/>
      <c r="BG170" s="186" t="n"/>
      <c r="BH170" s="186" t="n"/>
      <c r="BI170" s="186" t="n"/>
      <c r="BJ170" s="186" t="n"/>
      <c r="BK170" s="186" t="n"/>
      <c r="BL170" s="186" t="n"/>
      <c r="BM170" s="186" t="n"/>
      <c r="BN170" s="186" t="n"/>
      <c r="BO170" s="186" t="n"/>
      <c r="BP170" s="186" t="n"/>
      <c r="BQ170" s="186" t="n"/>
      <c r="BR170" s="186" t="n"/>
      <c r="BS170" s="186" t="n"/>
      <c r="BT170" s="186" t="n"/>
      <c r="BU170" s="186" t="n"/>
      <c r="BV170" s="186" t="n"/>
      <c r="BW170" s="186" t="n"/>
      <c r="BX170" s="186" t="n"/>
      <c r="BY170" s="186" t="n"/>
      <c r="BZ170" s="186" t="n"/>
      <c r="CA170" s="186" t="n"/>
      <c r="CB170" s="186" t="n"/>
      <c r="CC170" s="190" t="n"/>
      <c r="CD170" s="186" t="n"/>
      <c r="CE170" s="186" t="n"/>
      <c r="CF170" s="186" t="n"/>
      <c r="CG170" s="186" t="n"/>
      <c r="CH170" s="186" t="n"/>
      <c r="CI170" s="191" t="n"/>
      <c r="CJ170" s="192" t="n"/>
      <c r="CK170" s="192" t="n"/>
      <c r="CL170" s="192" t="n"/>
      <c r="CM170" s="192" t="n"/>
    </row>
    <row r="171">
      <c r="A171" s="177" t="n"/>
      <c r="B171" s="178" t="n"/>
      <c r="C171" s="178" t="n"/>
      <c r="D171" s="179" t="n"/>
      <c r="E171" s="180" t="n"/>
      <c r="F171" s="181" t="n"/>
      <c r="G171" s="182" t="n"/>
      <c r="H171" s="105" t="n"/>
      <c r="I171" s="183">
        <f>F171</f>
        <v/>
      </c>
      <c r="J171" s="184" t="n"/>
      <c r="K171" s="185" t="n"/>
      <c r="L171" s="8" t="n"/>
      <c r="M171" s="184">
        <f>L171</f>
        <v/>
      </c>
      <c r="N171" s="71" t="n"/>
      <c r="O171" s="101" t="n"/>
      <c r="P171" s="9">
        <f>I171-M171</f>
        <v/>
      </c>
      <c r="Q171" s="9">
        <f>IF(LEFT(B171,4)&lt;&gt;"    ",0,BN171)</f>
        <v/>
      </c>
      <c r="R171" s="9">
        <f>+P171-Q171</f>
        <v/>
      </c>
      <c r="S171" s="281" t="n"/>
      <c r="T171" s="10" t="n"/>
      <c r="U171" s="23">
        <f>IF(LEFT(B171,4)&lt;&gt;"    ","",IF(M171&lt;&gt;0,X171/M171,0))</f>
        <v/>
      </c>
      <c r="V171" s="11">
        <f>IF(LEFT(B171,4)&lt;&gt;"    ","",U171*I171)</f>
        <v/>
      </c>
      <c r="W171" s="11">
        <f>IF(LEFT(B171,4)&lt;&gt;"    ","",X171+Z171)</f>
        <v/>
      </c>
      <c r="X171" s="8" t="n"/>
      <c r="Y171" s="9">
        <f>IF(LEFT(B171,4)&lt;&gt;"    ",0,IF(P171&lt;0,P171,IF(U171&gt;0.3,W171-X171,0)))</f>
        <v/>
      </c>
      <c r="Z171" s="71">
        <f>Y171</f>
        <v/>
      </c>
      <c r="AA171" s="71" t="n"/>
      <c r="AB171" s="109" t="n"/>
      <c r="AC171" s="9">
        <f>IF(LEFT(B171,4)&lt;&gt;"    ",0,BK171)</f>
        <v/>
      </c>
      <c r="AD171" s="9">
        <f>Z171-AC171</f>
        <v/>
      </c>
      <c r="AE171" s="10" t="n"/>
      <c r="AF171" s="24" t="n"/>
      <c r="AG171" s="11" t="n"/>
      <c r="AH171" s="8" t="n"/>
      <c r="AI171" s="9">
        <f>IF(LEFT(B171,4)&lt;&gt;"    ","",AG171-AH171)</f>
        <v/>
      </c>
      <c r="AJ171" s="9" t="n"/>
      <c r="AK171" s="10" t="n"/>
      <c r="AL171" s="11">
        <f>IF(LEFT(B171,4)&lt;&gt;"    ","",W171-AG171)</f>
        <v/>
      </c>
      <c r="AM171" s="8">
        <f>IF(LEFT(B171,4)&lt;&gt;"    ","",X171-AH171)</f>
        <v/>
      </c>
      <c r="AN171" s="9">
        <f>IF(LEFT(B171,4)&lt;&gt;"    ","",Y171-AI171)</f>
        <v/>
      </c>
      <c r="AO171" s="9">
        <f>IF(LEFT(B171,4)&lt;&gt;"    ","",Z171-AJ171)</f>
        <v/>
      </c>
      <c r="AP171" s="10" t="n"/>
      <c r="AQ171" s="25">
        <f>IF(LEFT(B171,4)&lt;&gt;"    ","",I171-W171)</f>
        <v/>
      </c>
      <c r="AR171" s="25">
        <f>M171-X171</f>
        <v/>
      </c>
      <c r="AS171" s="25">
        <f>IF(LEFT(B171,4)&lt;&gt;"    ","",P171-Z171)</f>
        <v/>
      </c>
      <c r="AT171" s="10" t="n"/>
      <c r="AU171" s="12" t="n"/>
      <c r="AV171" s="12">
        <f>IF(LEFT(B171,4)&lt;&gt;"    ","",IF(W171-AU171&gt;=0,W171-AU171," "))</f>
        <v/>
      </c>
      <c r="AW171" s="12">
        <f>IF(LEFT(B171,4)&lt;&gt;"    ","",IF(AU171-W171&gt;=0,AU171-W171," "))</f>
        <v/>
      </c>
      <c r="AX171" s="186" t="n"/>
      <c r="AY171" s="187" t="n"/>
      <c r="AZ171" s="186" t="n"/>
      <c r="BA171" s="186" t="n"/>
      <c r="BB171" s="188" t="n"/>
      <c r="BC171" s="187" t="n"/>
      <c r="BD171" s="187" t="n"/>
      <c r="BE171" s="186" t="n"/>
      <c r="BF171" s="186" t="n"/>
      <c r="BG171" s="186" t="n"/>
      <c r="BH171" s="186" t="n"/>
      <c r="BI171" s="186" t="n"/>
      <c r="BJ171" s="186" t="n"/>
      <c r="BK171" s="186" t="n"/>
      <c r="BL171" s="186" t="n"/>
      <c r="BM171" s="186" t="n"/>
      <c r="BN171" s="186" t="n"/>
      <c r="BO171" s="186" t="n"/>
      <c r="BP171" s="186" t="n"/>
      <c r="BQ171" s="186" t="n"/>
      <c r="BR171" s="186" t="n"/>
      <c r="BS171" s="186" t="n"/>
      <c r="BT171" s="186" t="n"/>
      <c r="BU171" s="186" t="n"/>
      <c r="BV171" s="186" t="n"/>
      <c r="BW171" s="186" t="n"/>
      <c r="BX171" s="186" t="n"/>
      <c r="BY171" s="186" t="n"/>
      <c r="BZ171" s="186" t="n"/>
      <c r="CA171" s="186" t="n"/>
      <c r="CB171" s="186" t="n"/>
      <c r="CC171" s="190" t="n"/>
      <c r="CD171" s="186" t="n"/>
      <c r="CE171" s="186" t="n"/>
      <c r="CF171" s="186" t="n"/>
      <c r="CG171" s="186" t="n"/>
      <c r="CH171" s="186" t="n"/>
      <c r="CI171" s="191" t="n"/>
      <c r="CJ171" s="192" t="n"/>
      <c r="CK171" s="192" t="n"/>
      <c r="CL171" s="192" t="n"/>
      <c r="CM171" s="192" t="n"/>
    </row>
    <row r="172">
      <c r="A172" s="177" t="n"/>
      <c r="B172" s="178" t="n"/>
      <c r="C172" s="178" t="n"/>
      <c r="D172" s="179" t="n"/>
      <c r="E172" s="180" t="n"/>
      <c r="F172" s="181" t="n"/>
      <c r="G172" s="182" t="n"/>
      <c r="H172" s="105" t="n"/>
      <c r="I172" s="183">
        <f>F172</f>
        <v/>
      </c>
      <c r="J172" s="184" t="n"/>
      <c r="K172" s="185" t="n"/>
      <c r="L172" s="8" t="n"/>
      <c r="M172" s="184">
        <f>L172</f>
        <v/>
      </c>
      <c r="N172" s="71" t="n"/>
      <c r="O172" s="101" t="n"/>
      <c r="P172" s="9">
        <f>I172-M172</f>
        <v/>
      </c>
      <c r="Q172" s="9">
        <f>IF(LEFT(B172,4)&lt;&gt;"    ",0,BN172)</f>
        <v/>
      </c>
      <c r="R172" s="9">
        <f>+P172-Q172</f>
        <v/>
      </c>
      <c r="S172" s="281" t="n"/>
      <c r="T172" s="10" t="n"/>
      <c r="U172" s="23">
        <f>IF(LEFT(B172,4)&lt;&gt;"    ","",IF(M172&lt;&gt;0,X172/M172,0))</f>
        <v/>
      </c>
      <c r="V172" s="11">
        <f>IF(LEFT(B172,4)&lt;&gt;"    ","",U172*I172)</f>
        <v/>
      </c>
      <c r="W172" s="11">
        <f>IF(LEFT(B172,4)&lt;&gt;"    ","",X172+Z172)</f>
        <v/>
      </c>
      <c r="X172" s="8" t="n"/>
      <c r="Y172" s="9">
        <f>IF(LEFT(B172,4)&lt;&gt;"    ",0,IF(P172&lt;0,P172,IF(U172&gt;0.3,W172-X172,0)))</f>
        <v/>
      </c>
      <c r="Z172" s="71">
        <f>Y172</f>
        <v/>
      </c>
      <c r="AA172" s="71" t="n"/>
      <c r="AB172" s="109" t="n"/>
      <c r="AC172" s="9">
        <f>IF(LEFT(B172,4)&lt;&gt;"    ",0,BK172)</f>
        <v/>
      </c>
      <c r="AD172" s="9">
        <f>Z172-AC172</f>
        <v/>
      </c>
      <c r="AE172" s="10" t="n"/>
      <c r="AF172" s="24" t="n"/>
      <c r="AG172" s="11" t="n"/>
      <c r="AH172" s="8" t="n"/>
      <c r="AI172" s="9">
        <f>IF(LEFT(B172,4)&lt;&gt;"    ","",AG172-AH172)</f>
        <v/>
      </c>
      <c r="AJ172" s="9" t="n"/>
      <c r="AK172" s="10" t="n"/>
      <c r="AL172" s="11">
        <f>IF(LEFT(B172,4)&lt;&gt;"    ","",W172-AG172)</f>
        <v/>
      </c>
      <c r="AM172" s="8">
        <f>IF(LEFT(B172,4)&lt;&gt;"    ","",X172-AH172)</f>
        <v/>
      </c>
      <c r="AN172" s="9">
        <f>IF(LEFT(B172,4)&lt;&gt;"    ","",Y172-AI172)</f>
        <v/>
      </c>
      <c r="AO172" s="9">
        <f>IF(LEFT(B172,4)&lt;&gt;"    ","",Z172-AJ172)</f>
        <v/>
      </c>
      <c r="AP172" s="10" t="n"/>
      <c r="AQ172" s="25">
        <f>IF(LEFT(B172,4)&lt;&gt;"    ","",I172-W172)</f>
        <v/>
      </c>
      <c r="AR172" s="25">
        <f>M172-X172</f>
        <v/>
      </c>
      <c r="AS172" s="25">
        <f>IF(LEFT(B172,4)&lt;&gt;"    ","",P172-Z172)</f>
        <v/>
      </c>
      <c r="AT172" s="10" t="n"/>
      <c r="AU172" s="12" t="n"/>
      <c r="AV172" s="12">
        <f>IF(LEFT(B172,4)&lt;&gt;"    ","",IF(W172-AU172&gt;=0,W172-AU172," "))</f>
        <v/>
      </c>
      <c r="AW172" s="12">
        <f>IF(LEFT(B172,4)&lt;&gt;"    ","",IF(AU172-W172&gt;=0,AU172-W172," "))</f>
        <v/>
      </c>
      <c r="AX172" s="186" t="n"/>
      <c r="AY172" s="187" t="n"/>
      <c r="AZ172" s="186" t="n"/>
      <c r="BA172" s="186" t="n"/>
      <c r="BB172" s="188" t="n"/>
      <c r="BC172" s="187" t="n"/>
      <c r="BD172" s="187" t="n"/>
      <c r="BE172" s="186" t="n"/>
      <c r="BF172" s="186" t="n"/>
      <c r="BG172" s="186" t="n"/>
      <c r="BH172" s="186" t="n"/>
      <c r="BI172" s="186" t="n"/>
      <c r="BJ172" s="186" t="n"/>
      <c r="BK172" s="186" t="n"/>
      <c r="BL172" s="186" t="n"/>
      <c r="BM172" s="186" t="n"/>
      <c r="BN172" s="186" t="n"/>
      <c r="BO172" s="186" t="n"/>
      <c r="BP172" s="186" t="n"/>
      <c r="BQ172" s="186" t="n"/>
      <c r="BR172" s="186" t="n"/>
      <c r="BS172" s="186" t="n"/>
      <c r="BT172" s="186" t="n"/>
      <c r="BU172" s="186" t="n"/>
      <c r="BV172" s="186" t="n"/>
      <c r="BW172" s="186" t="n"/>
      <c r="BX172" s="186" t="n"/>
      <c r="BY172" s="186" t="n"/>
      <c r="BZ172" s="186" t="n"/>
      <c r="CA172" s="186" t="n"/>
      <c r="CB172" s="186" t="n"/>
      <c r="CC172" s="190" t="n"/>
      <c r="CD172" s="186" t="n"/>
      <c r="CE172" s="186" t="n"/>
      <c r="CF172" s="186" t="n"/>
      <c r="CG172" s="186" t="n"/>
      <c r="CH172" s="186" t="n"/>
      <c r="CI172" s="191" t="n"/>
      <c r="CJ172" s="192" t="n"/>
      <c r="CK172" s="192" t="n"/>
      <c r="CL172" s="192" t="n"/>
      <c r="CM172" s="192" t="n"/>
    </row>
    <row r="173">
      <c r="A173" s="177" t="n"/>
      <c r="B173" s="178" t="n"/>
      <c r="C173" s="178" t="n"/>
      <c r="D173" s="179" t="n"/>
      <c r="E173" s="180" t="n"/>
      <c r="F173" s="181" t="n"/>
      <c r="G173" s="182" t="n"/>
      <c r="H173" s="105" t="n"/>
      <c r="I173" s="183">
        <f>F173</f>
        <v/>
      </c>
      <c r="J173" s="184" t="n"/>
      <c r="K173" s="185" t="n"/>
      <c r="L173" s="8" t="n"/>
      <c r="M173" s="184">
        <f>L173</f>
        <v/>
      </c>
      <c r="N173" s="71" t="n"/>
      <c r="O173" s="101" t="n"/>
      <c r="P173" s="9">
        <f>I173-M173</f>
        <v/>
      </c>
      <c r="Q173" s="9">
        <f>IF(LEFT(B173,4)&lt;&gt;"    ",0,BN173)</f>
        <v/>
      </c>
      <c r="R173" s="9">
        <f>+P173-Q173</f>
        <v/>
      </c>
      <c r="S173" s="281" t="n"/>
      <c r="T173" s="10" t="n"/>
      <c r="U173" s="23">
        <f>IF(LEFT(B173,4)&lt;&gt;"    ","",IF(M173&lt;&gt;0,X173/M173,0))</f>
        <v/>
      </c>
      <c r="V173" s="11">
        <f>IF(LEFT(B173,4)&lt;&gt;"    ","",U173*I173)</f>
        <v/>
      </c>
      <c r="W173" s="11">
        <f>IF(LEFT(B173,4)&lt;&gt;"    ","",X173+Z173)</f>
        <v/>
      </c>
      <c r="X173" s="8" t="n"/>
      <c r="Y173" s="9">
        <f>IF(LEFT(B173,4)&lt;&gt;"    ",0,IF(P173&lt;0,P173,IF(U173&gt;0.3,W173-X173,0)))</f>
        <v/>
      </c>
      <c r="Z173" s="71">
        <f>Y173</f>
        <v/>
      </c>
      <c r="AA173" s="71" t="n"/>
      <c r="AB173" s="109" t="n"/>
      <c r="AC173" s="9">
        <f>IF(LEFT(B173,4)&lt;&gt;"    ",0,BK173)</f>
        <v/>
      </c>
      <c r="AD173" s="9">
        <f>Z173-AC173</f>
        <v/>
      </c>
      <c r="AE173" s="10" t="n"/>
      <c r="AF173" s="24" t="n"/>
      <c r="AG173" s="11" t="n"/>
      <c r="AH173" s="8" t="n"/>
      <c r="AI173" s="9">
        <f>IF(LEFT(B173,4)&lt;&gt;"    ","",AG173-AH173)</f>
        <v/>
      </c>
      <c r="AJ173" s="9" t="n"/>
      <c r="AK173" s="10" t="n"/>
      <c r="AL173" s="11">
        <f>IF(LEFT(B173,4)&lt;&gt;"    ","",W173-AG173)</f>
        <v/>
      </c>
      <c r="AM173" s="8">
        <f>IF(LEFT(B173,4)&lt;&gt;"    ","",X173-AH173)</f>
        <v/>
      </c>
      <c r="AN173" s="9">
        <f>IF(LEFT(B173,4)&lt;&gt;"    ","",Y173-AI173)</f>
        <v/>
      </c>
      <c r="AO173" s="9">
        <f>IF(LEFT(B173,4)&lt;&gt;"    ","",Z173-AJ173)</f>
        <v/>
      </c>
      <c r="AP173" s="10" t="n"/>
      <c r="AQ173" s="25">
        <f>IF(LEFT(B173,4)&lt;&gt;"    ","",I173-W173)</f>
        <v/>
      </c>
      <c r="AR173" s="25">
        <f>M173-X173</f>
        <v/>
      </c>
      <c r="AS173" s="25">
        <f>IF(LEFT(B173,4)&lt;&gt;"    ","",P173-Z173)</f>
        <v/>
      </c>
      <c r="AT173" s="10" t="n"/>
      <c r="AU173" s="12" t="n"/>
      <c r="AV173" s="12">
        <f>IF(LEFT(B173,4)&lt;&gt;"    ","",IF(W173-AU173&gt;=0,W173-AU173," "))</f>
        <v/>
      </c>
      <c r="AW173" s="12">
        <f>IF(LEFT(B173,4)&lt;&gt;"    ","",IF(AU173-W173&gt;=0,AU173-W173," "))</f>
        <v/>
      </c>
      <c r="AX173" s="186" t="n"/>
      <c r="AY173" s="187" t="n"/>
      <c r="AZ173" s="186" t="n"/>
      <c r="BA173" s="186" t="n"/>
      <c r="BB173" s="188" t="n"/>
      <c r="BC173" s="187" t="n"/>
      <c r="BD173" s="187" t="n"/>
      <c r="BE173" s="186" t="n"/>
      <c r="BF173" s="186" t="n"/>
      <c r="BG173" s="186" t="n"/>
      <c r="BH173" s="186" t="n"/>
      <c r="BI173" s="186" t="n"/>
      <c r="BJ173" s="186" t="n"/>
      <c r="BK173" s="186" t="n"/>
      <c r="BL173" s="186" t="n"/>
      <c r="BM173" s="186" t="n"/>
      <c r="BN173" s="186" t="n"/>
      <c r="BO173" s="186" t="n"/>
      <c r="BP173" s="186" t="n"/>
      <c r="BQ173" s="186" t="n"/>
      <c r="BR173" s="186" t="n"/>
      <c r="BS173" s="186" t="n"/>
      <c r="BT173" s="186" t="n"/>
      <c r="BU173" s="186" t="n"/>
      <c r="BV173" s="186" t="n"/>
      <c r="BW173" s="186" t="n"/>
      <c r="BX173" s="186" t="n"/>
      <c r="BY173" s="186" t="n"/>
      <c r="BZ173" s="186" t="n"/>
      <c r="CA173" s="186" t="n"/>
      <c r="CB173" s="186" t="n"/>
      <c r="CC173" s="190" t="n"/>
      <c r="CD173" s="186" t="n"/>
      <c r="CE173" s="186" t="n"/>
      <c r="CF173" s="186" t="n"/>
      <c r="CG173" s="186" t="n"/>
      <c r="CH173" s="186" t="n"/>
      <c r="CI173" s="191" t="n"/>
      <c r="CJ173" s="192" t="n"/>
      <c r="CK173" s="192" t="n"/>
      <c r="CL173" s="192" t="n"/>
      <c r="CM173" s="192" t="n"/>
    </row>
    <row r="174">
      <c r="A174" s="177" t="n"/>
      <c r="B174" s="178" t="n"/>
      <c r="C174" s="178" t="n"/>
      <c r="D174" s="179" t="n"/>
      <c r="E174" s="180" t="n"/>
      <c r="F174" s="181" t="n"/>
      <c r="G174" s="182" t="n"/>
      <c r="H174" s="105" t="n"/>
      <c r="I174" s="183">
        <f>F174</f>
        <v/>
      </c>
      <c r="J174" s="184" t="n"/>
      <c r="K174" s="185" t="n"/>
      <c r="L174" s="8" t="n"/>
      <c r="M174" s="184">
        <f>L174</f>
        <v/>
      </c>
      <c r="N174" s="71" t="n"/>
      <c r="O174" s="101" t="n"/>
      <c r="P174" s="9">
        <f>I174-M174</f>
        <v/>
      </c>
      <c r="Q174" s="9">
        <f>IF(LEFT(B174,4)&lt;&gt;"    ",0,BN174)</f>
        <v/>
      </c>
      <c r="R174" s="9">
        <f>+P174-Q174</f>
        <v/>
      </c>
      <c r="S174" s="281" t="n"/>
      <c r="T174" s="10" t="n"/>
      <c r="U174" s="23">
        <f>IF(LEFT(B174,4)&lt;&gt;"    ","",IF(M174&lt;&gt;0,X174/M174,0))</f>
        <v/>
      </c>
      <c r="V174" s="11">
        <f>IF(LEFT(B174,4)&lt;&gt;"    ","",U174*I174)</f>
        <v/>
      </c>
      <c r="W174" s="11">
        <f>IF(LEFT(B174,4)&lt;&gt;"    ","",X174+Z174)</f>
        <v/>
      </c>
      <c r="X174" s="8" t="n"/>
      <c r="Y174" s="9">
        <f>IF(LEFT(B174,4)&lt;&gt;"    ",0,IF(P174&lt;0,P174,IF(U174&gt;0.3,W174-X174,0)))</f>
        <v/>
      </c>
      <c r="Z174" s="71">
        <f>Y174</f>
        <v/>
      </c>
      <c r="AA174" s="71" t="n"/>
      <c r="AB174" s="109" t="n"/>
      <c r="AC174" s="9">
        <f>IF(LEFT(B174,4)&lt;&gt;"    ",0,BK174)</f>
        <v/>
      </c>
      <c r="AD174" s="9">
        <f>Z174-AC174</f>
        <v/>
      </c>
      <c r="AE174" s="10" t="n"/>
      <c r="AF174" s="24" t="n"/>
      <c r="AG174" s="11" t="n"/>
      <c r="AH174" s="8" t="n"/>
      <c r="AI174" s="9">
        <f>IF(LEFT(B174,4)&lt;&gt;"    ","",AG174-AH174)</f>
        <v/>
      </c>
      <c r="AJ174" s="9" t="n"/>
      <c r="AK174" s="10" t="n"/>
      <c r="AL174" s="11">
        <f>IF(LEFT(B174,4)&lt;&gt;"    ","",W174-AG174)</f>
        <v/>
      </c>
      <c r="AM174" s="8">
        <f>IF(LEFT(B174,4)&lt;&gt;"    ","",X174-AH174)</f>
        <v/>
      </c>
      <c r="AN174" s="9">
        <f>IF(LEFT(B174,4)&lt;&gt;"    ","",Y174-AI174)</f>
        <v/>
      </c>
      <c r="AO174" s="9">
        <f>IF(LEFT(B174,4)&lt;&gt;"    ","",Z174-AJ174)</f>
        <v/>
      </c>
      <c r="AP174" s="10" t="n"/>
      <c r="AQ174" s="25">
        <f>IF(LEFT(B174,4)&lt;&gt;"    ","",I174-W174)</f>
        <v/>
      </c>
      <c r="AR174" s="25">
        <f>M174-X174</f>
        <v/>
      </c>
      <c r="AS174" s="25">
        <f>IF(LEFT(B174,4)&lt;&gt;"    ","",P174-Z174)</f>
        <v/>
      </c>
      <c r="AT174" s="10" t="n"/>
      <c r="AU174" s="12" t="n"/>
      <c r="AV174" s="12">
        <f>IF(LEFT(B174,4)&lt;&gt;"    ","",IF(W174-AU174&gt;=0,W174-AU174," "))</f>
        <v/>
      </c>
      <c r="AW174" s="12">
        <f>IF(LEFT(B174,4)&lt;&gt;"    ","",IF(AU174-W174&gt;=0,AU174-W174," "))</f>
        <v/>
      </c>
      <c r="AX174" s="186" t="n"/>
      <c r="AY174" s="187" t="n"/>
      <c r="AZ174" s="186" t="n"/>
      <c r="BA174" s="186" t="n"/>
      <c r="BB174" s="188" t="n"/>
      <c r="BC174" s="187" t="n"/>
      <c r="BD174" s="187" t="n"/>
      <c r="BE174" s="186" t="n"/>
      <c r="BF174" s="186" t="n"/>
      <c r="BG174" s="186" t="n"/>
      <c r="BH174" s="186" t="n"/>
      <c r="BI174" s="186" t="n"/>
      <c r="BJ174" s="186" t="n"/>
      <c r="BK174" s="186" t="n"/>
      <c r="BL174" s="186" t="n"/>
      <c r="BM174" s="186" t="n"/>
      <c r="BN174" s="186" t="n"/>
      <c r="BO174" s="186" t="n"/>
      <c r="BP174" s="186" t="n"/>
      <c r="BQ174" s="186" t="n"/>
      <c r="BR174" s="186" t="n"/>
      <c r="BS174" s="186" t="n"/>
      <c r="BT174" s="186" t="n"/>
      <c r="BU174" s="186" t="n"/>
      <c r="BV174" s="186" t="n"/>
      <c r="BW174" s="186" t="n"/>
      <c r="BX174" s="186" t="n"/>
      <c r="BY174" s="186" t="n"/>
      <c r="BZ174" s="186" t="n"/>
      <c r="CA174" s="186" t="n"/>
      <c r="CB174" s="186" t="n"/>
      <c r="CC174" s="190" t="n"/>
      <c r="CD174" s="186" t="n"/>
      <c r="CE174" s="186" t="n"/>
      <c r="CF174" s="186" t="n"/>
      <c r="CG174" s="186" t="n"/>
      <c r="CH174" s="186" t="n"/>
      <c r="CI174" s="191" t="n"/>
      <c r="CJ174" s="192" t="n"/>
      <c r="CK174" s="192" t="n"/>
      <c r="CL174" s="192" t="n"/>
      <c r="CM174" s="192" t="n"/>
    </row>
    <row r="175">
      <c r="A175" s="177" t="n"/>
      <c r="B175" s="178" t="n"/>
      <c r="C175" s="178" t="n"/>
      <c r="D175" s="179" t="n"/>
      <c r="E175" s="180" t="n"/>
      <c r="F175" s="181" t="n"/>
      <c r="G175" s="182" t="n"/>
      <c r="H175" s="105" t="n"/>
      <c r="I175" s="183">
        <f>F175</f>
        <v/>
      </c>
      <c r="J175" s="184" t="n"/>
      <c r="K175" s="185" t="n"/>
      <c r="L175" s="8" t="n"/>
      <c r="M175" s="184">
        <f>L175</f>
        <v/>
      </c>
      <c r="N175" s="71" t="n"/>
      <c r="O175" s="101" t="n"/>
      <c r="P175" s="9">
        <f>I175-M175</f>
        <v/>
      </c>
      <c r="Q175" s="9">
        <f>IF(LEFT(B175,4)&lt;&gt;"    ",0,BN175)</f>
        <v/>
      </c>
      <c r="R175" s="9">
        <f>+P175-Q175</f>
        <v/>
      </c>
      <c r="S175" s="281" t="n"/>
      <c r="T175" s="10" t="n"/>
      <c r="U175" s="23">
        <f>IF(LEFT(B175,4)&lt;&gt;"    ","",IF(M175&lt;&gt;0,X175/M175,0))</f>
        <v/>
      </c>
      <c r="V175" s="11">
        <f>IF(LEFT(B175,4)&lt;&gt;"    ","",U175*I175)</f>
        <v/>
      </c>
      <c r="W175" s="11">
        <f>IF(LEFT(B175,4)&lt;&gt;"    ","",X175+Z175)</f>
        <v/>
      </c>
      <c r="X175" s="8" t="n"/>
      <c r="Y175" s="9">
        <f>IF(LEFT(B175,4)&lt;&gt;"    ",0,IF(P175&lt;0,P175,IF(U175&gt;0.3,W175-X175,0)))</f>
        <v/>
      </c>
      <c r="Z175" s="71">
        <f>Y175</f>
        <v/>
      </c>
      <c r="AA175" s="71" t="n"/>
      <c r="AB175" s="109" t="n"/>
      <c r="AC175" s="9">
        <f>IF(LEFT(B175,4)&lt;&gt;"    ",0,BK175)</f>
        <v/>
      </c>
      <c r="AD175" s="9">
        <f>Z175-AC175</f>
        <v/>
      </c>
      <c r="AE175" s="10" t="n"/>
      <c r="AF175" s="24" t="n"/>
      <c r="AG175" s="11" t="n"/>
      <c r="AH175" s="8" t="n"/>
      <c r="AI175" s="9">
        <f>IF(LEFT(B175,4)&lt;&gt;"    ","",AG175-AH175)</f>
        <v/>
      </c>
      <c r="AJ175" s="9" t="n"/>
      <c r="AK175" s="10" t="n"/>
      <c r="AL175" s="11">
        <f>IF(LEFT(B175,4)&lt;&gt;"    ","",W175-AG175)</f>
        <v/>
      </c>
      <c r="AM175" s="8">
        <f>IF(LEFT(B175,4)&lt;&gt;"    ","",X175-AH175)</f>
        <v/>
      </c>
      <c r="AN175" s="9">
        <f>IF(LEFT(B175,4)&lt;&gt;"    ","",Y175-AI175)</f>
        <v/>
      </c>
      <c r="AO175" s="9">
        <f>IF(LEFT(B175,4)&lt;&gt;"    ","",Z175-AJ175)</f>
        <v/>
      </c>
      <c r="AP175" s="10" t="n"/>
      <c r="AQ175" s="25">
        <f>IF(LEFT(B175,4)&lt;&gt;"    ","",I175-W175)</f>
        <v/>
      </c>
      <c r="AR175" s="25">
        <f>M175-X175</f>
        <v/>
      </c>
      <c r="AS175" s="25">
        <f>IF(LEFT(B175,4)&lt;&gt;"    ","",P175-Z175)</f>
        <v/>
      </c>
      <c r="AT175" s="10" t="n"/>
      <c r="AU175" s="12" t="n"/>
      <c r="AV175" s="12">
        <f>IF(LEFT(B175,4)&lt;&gt;"    ","",IF(W175-AU175&gt;=0,W175-AU175," "))</f>
        <v/>
      </c>
      <c r="AW175" s="12">
        <f>IF(LEFT(B175,4)&lt;&gt;"    ","",IF(AU175-W175&gt;=0,AU175-W175," "))</f>
        <v/>
      </c>
      <c r="AX175" s="186" t="n"/>
      <c r="AY175" s="187" t="n"/>
      <c r="AZ175" s="186" t="n"/>
      <c r="BA175" s="186" t="n"/>
      <c r="BB175" s="188" t="n"/>
      <c r="BC175" s="187" t="n"/>
      <c r="BD175" s="187" t="n"/>
      <c r="BE175" s="186" t="n"/>
      <c r="BF175" s="186" t="n"/>
      <c r="BG175" s="186" t="n"/>
      <c r="BH175" s="186" t="n"/>
      <c r="BI175" s="186" t="n"/>
      <c r="BJ175" s="186" t="n"/>
      <c r="BK175" s="186" t="n"/>
      <c r="BL175" s="186" t="n"/>
      <c r="BM175" s="186" t="n"/>
      <c r="BN175" s="186" t="n"/>
      <c r="BO175" s="186" t="n"/>
      <c r="BP175" s="186" t="n"/>
      <c r="BQ175" s="186" t="n"/>
      <c r="BR175" s="186" t="n"/>
      <c r="BS175" s="186" t="n"/>
      <c r="BT175" s="186" t="n"/>
      <c r="BU175" s="186" t="n"/>
      <c r="BV175" s="186" t="n"/>
      <c r="BW175" s="186" t="n"/>
      <c r="BX175" s="186" t="n"/>
      <c r="BY175" s="186" t="n"/>
      <c r="BZ175" s="186" t="n"/>
      <c r="CA175" s="186" t="n"/>
      <c r="CB175" s="186" t="n"/>
      <c r="CC175" s="190" t="n"/>
      <c r="CD175" s="186" t="n"/>
      <c r="CE175" s="186" t="n"/>
      <c r="CF175" s="186" t="n"/>
      <c r="CG175" s="186" t="n"/>
      <c r="CH175" s="186" t="n"/>
      <c r="CI175" s="191" t="n"/>
      <c r="CJ175" s="192" t="n"/>
      <c r="CK175" s="192" t="n"/>
      <c r="CL175" s="192" t="n"/>
      <c r="CM175" s="192" t="n"/>
    </row>
    <row r="176">
      <c r="A176" s="177" t="n"/>
      <c r="B176" s="178" t="n"/>
      <c r="C176" s="178" t="n"/>
      <c r="D176" s="179" t="n"/>
      <c r="E176" s="180" t="n"/>
      <c r="F176" s="181" t="n"/>
      <c r="G176" s="182" t="n"/>
      <c r="H176" s="105" t="n"/>
      <c r="I176" s="183">
        <f>F176</f>
        <v/>
      </c>
      <c r="J176" s="184" t="n"/>
      <c r="K176" s="185" t="n"/>
      <c r="L176" s="8" t="n"/>
      <c r="M176" s="184">
        <f>L176</f>
        <v/>
      </c>
      <c r="N176" s="71" t="n"/>
      <c r="O176" s="101" t="n"/>
      <c r="P176" s="9">
        <f>I176-M176</f>
        <v/>
      </c>
      <c r="Q176" s="9">
        <f>IF(LEFT(B176,4)&lt;&gt;"    ",0,BN176)</f>
        <v/>
      </c>
      <c r="R176" s="9">
        <f>+P176-Q176</f>
        <v/>
      </c>
      <c r="S176" s="281" t="n"/>
      <c r="T176" s="10" t="n"/>
      <c r="U176" s="23">
        <f>IF(LEFT(B176,4)&lt;&gt;"    ","",IF(M176&lt;&gt;0,X176/M176,0))</f>
        <v/>
      </c>
      <c r="V176" s="11">
        <f>IF(LEFT(B176,4)&lt;&gt;"    ","",U176*I176)</f>
        <v/>
      </c>
      <c r="W176" s="11">
        <f>IF(LEFT(B176,4)&lt;&gt;"    ","",X176+Z176)</f>
        <v/>
      </c>
      <c r="X176" s="8" t="n"/>
      <c r="Y176" s="9">
        <f>IF(LEFT(B176,4)&lt;&gt;"    ",0,IF(P176&lt;0,P176,IF(U176&gt;0.3,W176-X176,0)))</f>
        <v/>
      </c>
      <c r="Z176" s="71">
        <f>Y176</f>
        <v/>
      </c>
      <c r="AA176" s="71" t="n"/>
      <c r="AB176" s="109" t="n"/>
      <c r="AC176" s="9">
        <f>IF(LEFT(B176,4)&lt;&gt;"    ",0,BK176)</f>
        <v/>
      </c>
      <c r="AD176" s="9">
        <f>Z176-AC176</f>
        <v/>
      </c>
      <c r="AE176" s="10" t="n"/>
      <c r="AF176" s="24" t="n"/>
      <c r="AG176" s="11" t="n"/>
      <c r="AH176" s="8" t="n"/>
      <c r="AI176" s="9">
        <f>IF(LEFT(B176,4)&lt;&gt;"    ","",AG176-AH176)</f>
        <v/>
      </c>
      <c r="AJ176" s="9" t="n"/>
      <c r="AK176" s="10" t="n"/>
      <c r="AL176" s="11">
        <f>IF(LEFT(B176,4)&lt;&gt;"    ","",W176-AG176)</f>
        <v/>
      </c>
      <c r="AM176" s="8">
        <f>IF(LEFT(B176,4)&lt;&gt;"    ","",X176-AH176)</f>
        <v/>
      </c>
      <c r="AN176" s="9">
        <f>IF(LEFT(B176,4)&lt;&gt;"    ","",Y176-AI176)</f>
        <v/>
      </c>
      <c r="AO176" s="9">
        <f>IF(LEFT(B176,4)&lt;&gt;"    ","",Z176-AJ176)</f>
        <v/>
      </c>
      <c r="AP176" s="10" t="n"/>
      <c r="AQ176" s="25">
        <f>IF(LEFT(B176,4)&lt;&gt;"    ","",I176-W176)</f>
        <v/>
      </c>
      <c r="AR176" s="25">
        <f>M176-X176</f>
        <v/>
      </c>
      <c r="AS176" s="25">
        <f>IF(LEFT(B176,4)&lt;&gt;"    ","",P176-Z176)</f>
        <v/>
      </c>
      <c r="AT176" s="10" t="n"/>
      <c r="AU176" s="12" t="n"/>
      <c r="AV176" s="12">
        <f>IF(LEFT(B176,4)&lt;&gt;"    ","",IF(W176-AU176&gt;=0,W176-AU176," "))</f>
        <v/>
      </c>
      <c r="AW176" s="12">
        <f>IF(LEFT(B176,4)&lt;&gt;"    ","",IF(AU176-W176&gt;=0,AU176-W176," "))</f>
        <v/>
      </c>
      <c r="AX176" s="186" t="n"/>
      <c r="AY176" s="187" t="n"/>
      <c r="AZ176" s="186" t="n"/>
      <c r="BA176" s="186" t="n"/>
      <c r="BB176" s="188" t="n"/>
      <c r="BC176" s="187" t="n"/>
      <c r="BD176" s="187" t="n"/>
      <c r="BE176" s="186" t="n"/>
      <c r="BF176" s="186" t="n"/>
      <c r="BG176" s="186" t="n"/>
      <c r="BH176" s="186" t="n"/>
      <c r="BI176" s="186" t="n"/>
      <c r="BJ176" s="186" t="n"/>
      <c r="BK176" s="186" t="n"/>
      <c r="BL176" s="186" t="n"/>
      <c r="BM176" s="186" t="n"/>
      <c r="BN176" s="186" t="n"/>
      <c r="BO176" s="186" t="n"/>
      <c r="BP176" s="186" t="n"/>
      <c r="BQ176" s="186" t="n"/>
      <c r="BR176" s="186" t="n"/>
      <c r="BS176" s="186" t="n"/>
      <c r="BT176" s="186" t="n"/>
      <c r="BU176" s="186" t="n"/>
      <c r="BV176" s="186" t="n"/>
      <c r="BW176" s="186" t="n"/>
      <c r="BX176" s="186" t="n"/>
      <c r="BY176" s="186" t="n"/>
      <c r="BZ176" s="186" t="n"/>
      <c r="CA176" s="186" t="n"/>
      <c r="CB176" s="186" t="n"/>
      <c r="CC176" s="190" t="n"/>
      <c r="CD176" s="186" t="n"/>
      <c r="CE176" s="186" t="n"/>
      <c r="CF176" s="186" t="n"/>
      <c r="CG176" s="186" t="n"/>
      <c r="CH176" s="186" t="n"/>
      <c r="CI176" s="191" t="n"/>
      <c r="CJ176" s="192" t="n"/>
      <c r="CK176" s="192" t="n"/>
      <c r="CL176" s="192" t="n"/>
      <c r="CM176" s="192" t="n"/>
    </row>
    <row r="177">
      <c r="A177" s="177" t="n"/>
      <c r="B177" s="178" t="n"/>
      <c r="C177" s="178" t="n"/>
      <c r="D177" s="179" t="n"/>
      <c r="E177" s="180" t="n"/>
      <c r="F177" s="181" t="n"/>
      <c r="G177" s="182" t="n"/>
      <c r="H177" s="105" t="n"/>
      <c r="I177" s="183">
        <f>F177</f>
        <v/>
      </c>
      <c r="J177" s="184" t="n"/>
      <c r="K177" s="185" t="n"/>
      <c r="L177" s="8" t="n"/>
      <c r="M177" s="184">
        <f>L177</f>
        <v/>
      </c>
      <c r="N177" s="71" t="n"/>
      <c r="O177" s="101" t="n"/>
      <c r="P177" s="9">
        <f>I177-M177</f>
        <v/>
      </c>
      <c r="Q177" s="9">
        <f>IF(LEFT(B177,4)&lt;&gt;"    ",0,BN177)</f>
        <v/>
      </c>
      <c r="R177" s="9">
        <f>+P177-Q177</f>
        <v/>
      </c>
      <c r="S177" s="281" t="n"/>
      <c r="T177" s="10" t="n"/>
      <c r="U177" s="23">
        <f>IF(LEFT(B177,4)&lt;&gt;"    ","",IF(M177&lt;&gt;0,X177/M177,0))</f>
        <v/>
      </c>
      <c r="V177" s="11">
        <f>IF(LEFT(B177,4)&lt;&gt;"    ","",U177*I177)</f>
        <v/>
      </c>
      <c r="W177" s="11">
        <f>IF(LEFT(B177,4)&lt;&gt;"    ","",X177+Z177)</f>
        <v/>
      </c>
      <c r="X177" s="8" t="n"/>
      <c r="Y177" s="9">
        <f>IF(LEFT(B177,4)&lt;&gt;"    ",0,IF(P177&lt;0,P177,IF(U177&gt;0.3,W177-X177,0)))</f>
        <v/>
      </c>
      <c r="Z177" s="71">
        <f>Y177</f>
        <v/>
      </c>
      <c r="AA177" s="71" t="n"/>
      <c r="AB177" s="109" t="n"/>
      <c r="AC177" s="9">
        <f>IF(LEFT(B177,4)&lt;&gt;"    ",0,BK177)</f>
        <v/>
      </c>
      <c r="AD177" s="9">
        <f>Z177-AC177</f>
        <v/>
      </c>
      <c r="AE177" s="10" t="n"/>
      <c r="AF177" s="24" t="n"/>
      <c r="AG177" s="11" t="n"/>
      <c r="AH177" s="8" t="n"/>
      <c r="AI177" s="9">
        <f>IF(LEFT(B177,4)&lt;&gt;"    ","",AG177-AH177)</f>
        <v/>
      </c>
      <c r="AJ177" s="9" t="n"/>
      <c r="AK177" s="10" t="n"/>
      <c r="AL177" s="11">
        <f>IF(LEFT(B177,4)&lt;&gt;"    ","",W177-AG177)</f>
        <v/>
      </c>
      <c r="AM177" s="8">
        <f>IF(LEFT(B177,4)&lt;&gt;"    ","",X177-AH177)</f>
        <v/>
      </c>
      <c r="AN177" s="9">
        <f>IF(LEFT(B177,4)&lt;&gt;"    ","",Y177-AI177)</f>
        <v/>
      </c>
      <c r="AO177" s="9">
        <f>IF(LEFT(B177,4)&lt;&gt;"    ","",Z177-AJ177)</f>
        <v/>
      </c>
      <c r="AP177" s="10" t="n"/>
      <c r="AQ177" s="25">
        <f>IF(LEFT(B177,4)&lt;&gt;"    ","",I177-W177)</f>
        <v/>
      </c>
      <c r="AR177" s="25">
        <f>M177-X177</f>
        <v/>
      </c>
      <c r="AS177" s="25">
        <f>IF(LEFT(B177,4)&lt;&gt;"    ","",P177-Z177)</f>
        <v/>
      </c>
      <c r="AT177" s="10" t="n"/>
      <c r="AU177" s="12" t="n"/>
      <c r="AV177" s="12">
        <f>IF(LEFT(B177,4)&lt;&gt;"    ","",IF(W177-AU177&gt;=0,W177-AU177," "))</f>
        <v/>
      </c>
      <c r="AW177" s="12">
        <f>IF(LEFT(B177,4)&lt;&gt;"    ","",IF(AU177-W177&gt;=0,AU177-W177," "))</f>
        <v/>
      </c>
      <c r="AX177" s="186" t="n"/>
      <c r="AY177" s="187" t="n"/>
      <c r="AZ177" s="186" t="n"/>
      <c r="BA177" s="186" t="n"/>
      <c r="BB177" s="188" t="n"/>
      <c r="BC177" s="187" t="n"/>
      <c r="BD177" s="187" t="n"/>
      <c r="BE177" s="186" t="n"/>
      <c r="BF177" s="186" t="n"/>
      <c r="BG177" s="186" t="n"/>
      <c r="BH177" s="186" t="n"/>
      <c r="BI177" s="186" t="n"/>
      <c r="BJ177" s="186" t="n"/>
      <c r="BK177" s="186" t="n"/>
      <c r="BL177" s="186" t="n"/>
      <c r="BM177" s="186" t="n"/>
      <c r="BN177" s="186" t="n"/>
      <c r="BO177" s="186" t="n"/>
      <c r="BP177" s="186" t="n"/>
      <c r="BQ177" s="186" t="n"/>
      <c r="BR177" s="186" t="n"/>
      <c r="BS177" s="186" t="n"/>
      <c r="BT177" s="186" t="n"/>
      <c r="BU177" s="186" t="n"/>
      <c r="BV177" s="186" t="n"/>
      <c r="BW177" s="186" t="n"/>
      <c r="BX177" s="186" t="n"/>
      <c r="BY177" s="186" t="n"/>
      <c r="BZ177" s="186" t="n"/>
      <c r="CA177" s="186" t="n"/>
      <c r="CB177" s="186" t="n"/>
      <c r="CC177" s="190" t="n"/>
      <c r="CD177" s="186" t="n"/>
      <c r="CE177" s="186" t="n"/>
      <c r="CF177" s="186" t="n"/>
      <c r="CG177" s="186" t="n"/>
      <c r="CH177" s="186" t="n"/>
      <c r="CI177" s="191" t="n"/>
      <c r="CJ177" s="192" t="n"/>
      <c r="CK177" s="192" t="n"/>
      <c r="CL177" s="192" t="n"/>
      <c r="CM177" s="192" t="n"/>
    </row>
    <row r="178">
      <c r="A178" s="177" t="n"/>
      <c r="B178" s="178" t="n"/>
      <c r="C178" s="178" t="n"/>
      <c r="D178" s="179" t="n"/>
      <c r="E178" s="180" t="n"/>
      <c r="F178" s="181" t="n"/>
      <c r="G178" s="182" t="n"/>
      <c r="H178" s="105" t="n"/>
      <c r="I178" s="183">
        <f>F178</f>
        <v/>
      </c>
      <c r="J178" s="184" t="n"/>
      <c r="K178" s="185" t="n"/>
      <c r="L178" s="8" t="n"/>
      <c r="M178" s="184">
        <f>L178</f>
        <v/>
      </c>
      <c r="N178" s="71" t="n"/>
      <c r="O178" s="101" t="n"/>
      <c r="P178" s="9">
        <f>I178-M178</f>
        <v/>
      </c>
      <c r="Q178" s="9">
        <f>IF(LEFT(B178,4)&lt;&gt;"    ",0,BN178)</f>
        <v/>
      </c>
      <c r="R178" s="9">
        <f>+P178-Q178</f>
        <v/>
      </c>
      <c r="S178" s="281" t="n"/>
      <c r="T178" s="10" t="n"/>
      <c r="U178" s="23">
        <f>IF(LEFT(B178,4)&lt;&gt;"    ","",IF(M178&lt;&gt;0,X178/M178,0))</f>
        <v/>
      </c>
      <c r="V178" s="11">
        <f>IF(LEFT(B178,4)&lt;&gt;"    ","",U178*I178)</f>
        <v/>
      </c>
      <c r="W178" s="11">
        <f>IF(LEFT(B178,4)&lt;&gt;"    ","",X178+Z178)</f>
        <v/>
      </c>
      <c r="X178" s="8" t="n"/>
      <c r="Y178" s="9">
        <f>IF(LEFT(B178,4)&lt;&gt;"    ",0,IF(P178&lt;0,P178,IF(U178&gt;0.3,W178-X178,0)))</f>
        <v/>
      </c>
      <c r="Z178" s="71">
        <f>Y178</f>
        <v/>
      </c>
      <c r="AA178" s="71" t="n"/>
      <c r="AB178" s="109" t="n"/>
      <c r="AC178" s="9">
        <f>IF(LEFT(B178,4)&lt;&gt;"    ",0,BK178)</f>
        <v/>
      </c>
      <c r="AD178" s="9">
        <f>Z178-AC178</f>
        <v/>
      </c>
      <c r="AE178" s="10" t="n"/>
      <c r="AF178" s="24" t="n"/>
      <c r="AG178" s="11" t="n"/>
      <c r="AH178" s="8" t="n"/>
      <c r="AI178" s="9">
        <f>IF(LEFT(B178,4)&lt;&gt;"    ","",AG178-AH178)</f>
        <v/>
      </c>
      <c r="AJ178" s="9" t="n"/>
      <c r="AK178" s="10" t="n"/>
      <c r="AL178" s="11">
        <f>IF(LEFT(B178,4)&lt;&gt;"    ","",W178-AG178)</f>
        <v/>
      </c>
      <c r="AM178" s="8">
        <f>IF(LEFT(B178,4)&lt;&gt;"    ","",X178-AH178)</f>
        <v/>
      </c>
      <c r="AN178" s="9">
        <f>IF(LEFT(B178,4)&lt;&gt;"    ","",Y178-AI178)</f>
        <v/>
      </c>
      <c r="AO178" s="9">
        <f>IF(LEFT(B178,4)&lt;&gt;"    ","",Z178-AJ178)</f>
        <v/>
      </c>
      <c r="AP178" s="10" t="n"/>
      <c r="AQ178" s="25">
        <f>IF(LEFT(B178,4)&lt;&gt;"    ","",I178-W178)</f>
        <v/>
      </c>
      <c r="AR178" s="25">
        <f>M178-X178</f>
        <v/>
      </c>
      <c r="AS178" s="25">
        <f>IF(LEFT(B178,4)&lt;&gt;"    ","",P178-Z178)</f>
        <v/>
      </c>
      <c r="AT178" s="10" t="n"/>
      <c r="AU178" s="12" t="n"/>
      <c r="AV178" s="12">
        <f>IF(LEFT(B178,4)&lt;&gt;"    ","",IF(W178-AU178&gt;=0,W178-AU178," "))</f>
        <v/>
      </c>
      <c r="AW178" s="12">
        <f>IF(LEFT(B178,4)&lt;&gt;"    ","",IF(AU178-W178&gt;=0,AU178-W178," "))</f>
        <v/>
      </c>
      <c r="AX178" s="186" t="n"/>
      <c r="AY178" s="187" t="n"/>
      <c r="AZ178" s="186" t="n"/>
      <c r="BA178" s="186" t="n"/>
      <c r="BB178" s="188" t="n"/>
      <c r="BC178" s="187" t="n"/>
      <c r="BD178" s="187" t="n"/>
      <c r="BE178" s="186" t="n"/>
      <c r="BF178" s="186" t="n"/>
      <c r="BG178" s="186" t="n"/>
      <c r="BH178" s="186" t="n"/>
      <c r="BI178" s="186" t="n"/>
      <c r="BJ178" s="186" t="n"/>
      <c r="BK178" s="186" t="n"/>
      <c r="BL178" s="186" t="n"/>
      <c r="BM178" s="186" t="n"/>
      <c r="BN178" s="186" t="n"/>
      <c r="BO178" s="186" t="n"/>
      <c r="BP178" s="186" t="n"/>
      <c r="BQ178" s="186" t="n"/>
      <c r="BR178" s="186" t="n"/>
      <c r="BS178" s="186" t="n"/>
      <c r="BT178" s="186" t="n"/>
      <c r="BU178" s="186" t="n"/>
      <c r="BV178" s="186" t="n"/>
      <c r="BW178" s="186" t="n"/>
      <c r="BX178" s="186" t="n"/>
      <c r="BY178" s="186" t="n"/>
      <c r="BZ178" s="186" t="n"/>
      <c r="CA178" s="186" t="n"/>
      <c r="CB178" s="186" t="n"/>
      <c r="CC178" s="190" t="n"/>
      <c r="CD178" s="186" t="n"/>
      <c r="CE178" s="186" t="n"/>
      <c r="CF178" s="186" t="n"/>
      <c r="CG178" s="186" t="n"/>
      <c r="CH178" s="186" t="n"/>
      <c r="CI178" s="191" t="n"/>
      <c r="CJ178" s="192" t="n"/>
      <c r="CK178" s="192" t="n"/>
      <c r="CL178" s="192" t="n"/>
      <c r="CM178" s="192" t="n"/>
    </row>
    <row r="179">
      <c r="A179" s="177" t="n"/>
      <c r="B179" s="178" t="n"/>
      <c r="C179" s="178" t="n"/>
      <c r="D179" s="179" t="n"/>
      <c r="E179" s="180" t="n"/>
      <c r="F179" s="181" t="n"/>
      <c r="G179" s="182" t="n"/>
      <c r="H179" s="105" t="n"/>
      <c r="I179" s="183">
        <f>F179</f>
        <v/>
      </c>
      <c r="J179" s="184" t="n"/>
      <c r="K179" s="185" t="n"/>
      <c r="L179" s="8" t="n"/>
      <c r="M179" s="184">
        <f>L179</f>
        <v/>
      </c>
      <c r="N179" s="71" t="n"/>
      <c r="O179" s="101" t="n"/>
      <c r="P179" s="9">
        <f>I179-M179</f>
        <v/>
      </c>
      <c r="Q179" s="9">
        <f>IF(LEFT(B179,4)&lt;&gt;"    ",0,BN179)</f>
        <v/>
      </c>
      <c r="R179" s="9">
        <f>+P179-Q179</f>
        <v/>
      </c>
      <c r="S179" s="281" t="n"/>
      <c r="T179" s="10" t="n"/>
      <c r="U179" s="23">
        <f>IF(LEFT(B179,4)&lt;&gt;"    ","",IF(M179&lt;&gt;0,X179/M179,0))</f>
        <v/>
      </c>
      <c r="V179" s="11">
        <f>IF(LEFT(B179,4)&lt;&gt;"    ","",U179*I179)</f>
        <v/>
      </c>
      <c r="W179" s="11">
        <f>IF(LEFT(B179,4)&lt;&gt;"    ","",X179+Z179)</f>
        <v/>
      </c>
      <c r="X179" s="8" t="n"/>
      <c r="Y179" s="9">
        <f>IF(LEFT(B179,4)&lt;&gt;"    ",0,IF(P179&lt;0,P179,IF(U179&gt;0.3,W179-X179,0)))</f>
        <v/>
      </c>
      <c r="Z179" s="71">
        <f>Y179</f>
        <v/>
      </c>
      <c r="AA179" s="71" t="n"/>
      <c r="AB179" s="109" t="n"/>
      <c r="AC179" s="9">
        <f>IF(LEFT(B179,4)&lt;&gt;"    ",0,BK179)</f>
        <v/>
      </c>
      <c r="AD179" s="9">
        <f>Z179-AC179</f>
        <v/>
      </c>
      <c r="AE179" s="10" t="n"/>
      <c r="AF179" s="24" t="n"/>
      <c r="AG179" s="11" t="n"/>
      <c r="AH179" s="8" t="n"/>
      <c r="AI179" s="9">
        <f>IF(LEFT(B179,4)&lt;&gt;"    ","",AG179-AH179)</f>
        <v/>
      </c>
      <c r="AJ179" s="9" t="n"/>
      <c r="AK179" s="10" t="n"/>
      <c r="AL179" s="11">
        <f>IF(LEFT(B179,4)&lt;&gt;"    ","",W179-AG179)</f>
        <v/>
      </c>
      <c r="AM179" s="8">
        <f>IF(LEFT(B179,4)&lt;&gt;"    ","",X179-AH179)</f>
        <v/>
      </c>
      <c r="AN179" s="9">
        <f>IF(LEFT(B179,4)&lt;&gt;"    ","",Y179-AI179)</f>
        <v/>
      </c>
      <c r="AO179" s="9">
        <f>IF(LEFT(B179,4)&lt;&gt;"    ","",Z179-AJ179)</f>
        <v/>
      </c>
      <c r="AP179" s="10" t="n"/>
      <c r="AQ179" s="25">
        <f>IF(LEFT(B179,4)&lt;&gt;"    ","",I179-W179)</f>
        <v/>
      </c>
      <c r="AR179" s="25">
        <f>M179-X179</f>
        <v/>
      </c>
      <c r="AS179" s="25">
        <f>IF(LEFT(B179,4)&lt;&gt;"    ","",P179-Z179)</f>
        <v/>
      </c>
      <c r="AT179" s="10" t="n"/>
      <c r="AU179" s="12" t="n"/>
      <c r="AV179" s="12">
        <f>IF(LEFT(B179,4)&lt;&gt;"    ","",IF(W179-AU179&gt;=0,W179-AU179," "))</f>
        <v/>
      </c>
      <c r="AW179" s="12">
        <f>IF(LEFT(B179,4)&lt;&gt;"    ","",IF(AU179-W179&gt;=0,AU179-W179," "))</f>
        <v/>
      </c>
      <c r="AX179" s="186" t="n"/>
      <c r="AY179" s="187" t="n"/>
      <c r="AZ179" s="186" t="n"/>
      <c r="BA179" s="186" t="n"/>
      <c r="BB179" s="188" t="n"/>
      <c r="BC179" s="187" t="n"/>
      <c r="BD179" s="187" t="n"/>
      <c r="BE179" s="186" t="n"/>
      <c r="BF179" s="186" t="n"/>
      <c r="BG179" s="186" t="n"/>
      <c r="BH179" s="186" t="n"/>
      <c r="BI179" s="186" t="n"/>
      <c r="BJ179" s="186" t="n"/>
      <c r="BK179" s="186" t="n"/>
      <c r="BL179" s="186" t="n"/>
      <c r="BM179" s="186" t="n"/>
      <c r="BN179" s="186" t="n"/>
      <c r="BO179" s="186" t="n"/>
      <c r="BP179" s="186" t="n"/>
      <c r="BQ179" s="186" t="n"/>
      <c r="BR179" s="186" t="n"/>
      <c r="BS179" s="186" t="n"/>
      <c r="BT179" s="186" t="n"/>
      <c r="BU179" s="186" t="n"/>
      <c r="BV179" s="186" t="n"/>
      <c r="BW179" s="186" t="n"/>
      <c r="BX179" s="186" t="n"/>
      <c r="BY179" s="186" t="n"/>
      <c r="BZ179" s="186" t="n"/>
      <c r="CA179" s="186" t="n"/>
      <c r="CB179" s="186" t="n"/>
      <c r="CC179" s="190" t="n"/>
      <c r="CD179" s="186" t="n"/>
      <c r="CE179" s="186" t="n"/>
      <c r="CF179" s="186" t="n"/>
      <c r="CG179" s="186" t="n"/>
      <c r="CH179" s="186" t="n"/>
      <c r="CI179" s="191" t="n"/>
      <c r="CJ179" s="192" t="n"/>
      <c r="CK179" s="192" t="n"/>
      <c r="CL179" s="192" t="n"/>
      <c r="CM179" s="192" t="n"/>
    </row>
    <row r="180">
      <c r="A180" s="177" t="n"/>
      <c r="B180" s="178" t="n"/>
      <c r="C180" s="178" t="n"/>
      <c r="D180" s="179" t="n"/>
      <c r="E180" s="180" t="n"/>
      <c r="F180" s="181" t="n"/>
      <c r="G180" s="182" t="n"/>
      <c r="H180" s="105" t="n"/>
      <c r="I180" s="183">
        <f>F180</f>
        <v/>
      </c>
      <c r="J180" s="184" t="n"/>
      <c r="K180" s="185" t="n"/>
      <c r="L180" s="8" t="n"/>
      <c r="M180" s="184">
        <f>L180</f>
        <v/>
      </c>
      <c r="N180" s="71" t="n"/>
      <c r="O180" s="101" t="n"/>
      <c r="P180" s="9">
        <f>I180-M180</f>
        <v/>
      </c>
      <c r="Q180" s="9">
        <f>IF(LEFT(B180,4)&lt;&gt;"    ",0,BN180)</f>
        <v/>
      </c>
      <c r="R180" s="9">
        <f>+P180-Q180</f>
        <v/>
      </c>
      <c r="S180" s="281" t="n"/>
      <c r="T180" s="10" t="n"/>
      <c r="U180" s="23">
        <f>IF(LEFT(B180,4)&lt;&gt;"    ","",IF(M180&lt;&gt;0,X180/M180,0))</f>
        <v/>
      </c>
      <c r="V180" s="11">
        <f>IF(LEFT(B180,4)&lt;&gt;"    ","",U180*I180)</f>
        <v/>
      </c>
      <c r="W180" s="11">
        <f>IF(LEFT(B180,4)&lt;&gt;"    ","",X180+Z180)</f>
        <v/>
      </c>
      <c r="X180" s="8" t="n"/>
      <c r="Y180" s="9">
        <f>IF(LEFT(B180,4)&lt;&gt;"    ",0,IF(P180&lt;0,P180,IF(U180&gt;0.3,W180-X180,0)))</f>
        <v/>
      </c>
      <c r="Z180" s="71">
        <f>Y180</f>
        <v/>
      </c>
      <c r="AA180" s="71" t="n"/>
      <c r="AB180" s="109" t="n"/>
      <c r="AC180" s="9">
        <f>IF(LEFT(B180,4)&lt;&gt;"    ",0,BK180)</f>
        <v/>
      </c>
      <c r="AD180" s="9">
        <f>Z180-AC180</f>
        <v/>
      </c>
      <c r="AE180" s="10" t="n"/>
      <c r="AF180" s="24" t="n"/>
      <c r="AG180" s="11" t="n"/>
      <c r="AH180" s="8" t="n"/>
      <c r="AI180" s="9">
        <f>IF(LEFT(B180,4)&lt;&gt;"    ","",AG180-AH180)</f>
        <v/>
      </c>
      <c r="AJ180" s="9" t="n"/>
      <c r="AK180" s="10" t="n"/>
      <c r="AL180" s="11">
        <f>IF(LEFT(B180,4)&lt;&gt;"    ","",W180-AG180)</f>
        <v/>
      </c>
      <c r="AM180" s="8">
        <f>IF(LEFT(B180,4)&lt;&gt;"    ","",X180-AH180)</f>
        <v/>
      </c>
      <c r="AN180" s="9">
        <f>IF(LEFT(B180,4)&lt;&gt;"    ","",Y180-AI180)</f>
        <v/>
      </c>
      <c r="AO180" s="9">
        <f>IF(LEFT(B180,4)&lt;&gt;"    ","",Z180-AJ180)</f>
        <v/>
      </c>
      <c r="AP180" s="10" t="n"/>
      <c r="AQ180" s="25">
        <f>IF(LEFT(B180,4)&lt;&gt;"    ","",I180-W180)</f>
        <v/>
      </c>
      <c r="AR180" s="25">
        <f>M180-X180</f>
        <v/>
      </c>
      <c r="AS180" s="25">
        <f>IF(LEFT(B180,4)&lt;&gt;"    ","",P180-Z180)</f>
        <v/>
      </c>
      <c r="AT180" s="10" t="n"/>
      <c r="AU180" s="12" t="n"/>
      <c r="AV180" s="12">
        <f>IF(LEFT(B180,4)&lt;&gt;"    ","",IF(W180-AU180&gt;=0,W180-AU180," "))</f>
        <v/>
      </c>
      <c r="AW180" s="12">
        <f>IF(LEFT(B180,4)&lt;&gt;"    ","",IF(AU180-W180&gt;=0,AU180-W180," "))</f>
        <v/>
      </c>
      <c r="AX180" s="186" t="n"/>
      <c r="AY180" s="187" t="n"/>
      <c r="AZ180" s="186" t="n"/>
      <c r="BA180" s="186" t="n"/>
      <c r="BB180" s="188" t="n"/>
      <c r="BC180" s="187" t="n"/>
      <c r="BD180" s="187" t="n"/>
      <c r="BE180" s="186" t="n"/>
      <c r="BF180" s="186" t="n"/>
      <c r="BG180" s="186" t="n"/>
      <c r="BH180" s="186" t="n"/>
      <c r="BI180" s="186" t="n"/>
      <c r="BJ180" s="186" t="n"/>
      <c r="BK180" s="186" t="n"/>
      <c r="BL180" s="186" t="n"/>
      <c r="BM180" s="186" t="n"/>
      <c r="BN180" s="186" t="n"/>
      <c r="BO180" s="186" t="n"/>
      <c r="BP180" s="186" t="n"/>
      <c r="BQ180" s="186" t="n"/>
      <c r="BR180" s="186" t="n"/>
      <c r="BS180" s="186" t="n"/>
      <c r="BT180" s="186" t="n"/>
      <c r="BU180" s="186" t="n"/>
      <c r="BV180" s="186" t="n"/>
      <c r="BW180" s="186" t="n"/>
      <c r="BX180" s="186" t="n"/>
      <c r="BY180" s="186" t="n"/>
      <c r="BZ180" s="186" t="n"/>
      <c r="CA180" s="186" t="n"/>
      <c r="CB180" s="186" t="n"/>
      <c r="CC180" s="190" t="n"/>
      <c r="CD180" s="186" t="n"/>
      <c r="CE180" s="186" t="n"/>
      <c r="CF180" s="186" t="n"/>
      <c r="CG180" s="186" t="n"/>
      <c r="CH180" s="186" t="n"/>
      <c r="CI180" s="191" t="n"/>
      <c r="CJ180" s="192" t="n"/>
      <c r="CK180" s="192" t="n"/>
      <c r="CL180" s="192" t="n"/>
      <c r="CM180" s="192" t="n"/>
    </row>
    <row r="181">
      <c r="A181" s="177" t="n"/>
      <c r="B181" s="178" t="n"/>
      <c r="C181" s="178" t="n"/>
      <c r="D181" s="179" t="n"/>
      <c r="E181" s="180" t="n"/>
      <c r="F181" s="181" t="n"/>
      <c r="G181" s="182" t="n"/>
      <c r="H181" s="105" t="n"/>
      <c r="I181" s="183">
        <f>F181</f>
        <v/>
      </c>
      <c r="J181" s="184" t="n"/>
      <c r="K181" s="185" t="n"/>
      <c r="L181" s="8" t="n"/>
      <c r="M181" s="184">
        <f>L181</f>
        <v/>
      </c>
      <c r="N181" s="71" t="n"/>
      <c r="O181" s="101" t="n"/>
      <c r="P181" s="9">
        <f>I181-M181</f>
        <v/>
      </c>
      <c r="Q181" s="9">
        <f>IF(LEFT(B181,4)&lt;&gt;"    ",0,BN181)</f>
        <v/>
      </c>
      <c r="R181" s="9">
        <f>+P181-Q181</f>
        <v/>
      </c>
      <c r="S181" s="281" t="n"/>
      <c r="T181" s="10" t="n"/>
      <c r="U181" s="23">
        <f>IF(LEFT(B181,4)&lt;&gt;"    ","",IF(M181&lt;&gt;0,X181/M181,0))</f>
        <v/>
      </c>
      <c r="V181" s="11">
        <f>IF(LEFT(B181,4)&lt;&gt;"    ","",U181*I181)</f>
        <v/>
      </c>
      <c r="W181" s="11">
        <f>IF(LEFT(B181,4)&lt;&gt;"    ","",X181+Z181)</f>
        <v/>
      </c>
      <c r="X181" s="8" t="n"/>
      <c r="Y181" s="9">
        <f>IF(LEFT(B181,4)&lt;&gt;"    ",0,IF(P181&lt;0,P181,IF(U181&gt;0.3,W181-X181,0)))</f>
        <v/>
      </c>
      <c r="Z181" s="71">
        <f>Y181</f>
        <v/>
      </c>
      <c r="AA181" s="71" t="n"/>
      <c r="AB181" s="109" t="n"/>
      <c r="AC181" s="9">
        <f>IF(LEFT(B181,4)&lt;&gt;"    ",0,BK181)</f>
        <v/>
      </c>
      <c r="AD181" s="9">
        <f>Z181-AC181</f>
        <v/>
      </c>
      <c r="AE181" s="10" t="n"/>
      <c r="AF181" s="24" t="n"/>
      <c r="AG181" s="11" t="n"/>
      <c r="AH181" s="8" t="n"/>
      <c r="AI181" s="9">
        <f>IF(LEFT(B181,4)&lt;&gt;"    ","",AG181-AH181)</f>
        <v/>
      </c>
      <c r="AJ181" s="9" t="n"/>
      <c r="AK181" s="10" t="n"/>
      <c r="AL181" s="11">
        <f>IF(LEFT(B181,4)&lt;&gt;"    ","",W181-AG181)</f>
        <v/>
      </c>
      <c r="AM181" s="8">
        <f>IF(LEFT(B181,4)&lt;&gt;"    ","",X181-AH181)</f>
        <v/>
      </c>
      <c r="AN181" s="9">
        <f>IF(LEFT(B181,4)&lt;&gt;"    ","",Y181-AI181)</f>
        <v/>
      </c>
      <c r="AO181" s="9">
        <f>IF(LEFT(B181,4)&lt;&gt;"    ","",Z181-AJ181)</f>
        <v/>
      </c>
      <c r="AP181" s="10" t="n"/>
      <c r="AQ181" s="25">
        <f>IF(LEFT(B181,4)&lt;&gt;"    ","",I181-W181)</f>
        <v/>
      </c>
      <c r="AR181" s="25">
        <f>M181-X181</f>
        <v/>
      </c>
      <c r="AS181" s="25">
        <f>IF(LEFT(B181,4)&lt;&gt;"    ","",P181-Z181)</f>
        <v/>
      </c>
      <c r="AT181" s="10" t="n"/>
      <c r="AU181" s="12" t="n"/>
      <c r="AV181" s="12">
        <f>IF(LEFT(B181,4)&lt;&gt;"    ","",IF(W181-AU181&gt;=0,W181-AU181," "))</f>
        <v/>
      </c>
      <c r="AW181" s="12">
        <f>IF(LEFT(B181,4)&lt;&gt;"    ","",IF(AU181-W181&gt;=0,AU181-W181," "))</f>
        <v/>
      </c>
      <c r="AX181" s="186" t="n"/>
      <c r="AY181" s="187" t="n"/>
      <c r="AZ181" s="186" t="n"/>
      <c r="BA181" s="186" t="n"/>
      <c r="BB181" s="188" t="n"/>
      <c r="BC181" s="187" t="n"/>
      <c r="BD181" s="187" t="n"/>
      <c r="BE181" s="186" t="n"/>
      <c r="BF181" s="186" t="n"/>
      <c r="BG181" s="186" t="n"/>
      <c r="BH181" s="186" t="n"/>
      <c r="BI181" s="186" t="n"/>
      <c r="BJ181" s="186" t="n"/>
      <c r="BK181" s="186" t="n"/>
      <c r="BL181" s="186" t="n"/>
      <c r="BM181" s="186" t="n"/>
      <c r="BN181" s="186" t="n"/>
      <c r="BO181" s="186" t="n"/>
      <c r="BP181" s="186" t="n"/>
      <c r="BQ181" s="186" t="n"/>
      <c r="BR181" s="186" t="n"/>
      <c r="BS181" s="186" t="n"/>
      <c r="BT181" s="186" t="n"/>
      <c r="BU181" s="186" t="n"/>
      <c r="BV181" s="186" t="n"/>
      <c r="BW181" s="186" t="n"/>
      <c r="BX181" s="186" t="n"/>
      <c r="BY181" s="186" t="n"/>
      <c r="BZ181" s="186" t="n"/>
      <c r="CA181" s="186" t="n"/>
      <c r="CB181" s="186" t="n"/>
      <c r="CC181" s="190" t="n"/>
      <c r="CD181" s="186" t="n"/>
      <c r="CE181" s="186" t="n"/>
      <c r="CF181" s="186" t="n"/>
      <c r="CG181" s="186" t="n"/>
      <c r="CH181" s="186" t="n"/>
      <c r="CI181" s="191" t="n"/>
      <c r="CJ181" s="192" t="n"/>
      <c r="CK181" s="192" t="n"/>
      <c r="CL181" s="192" t="n"/>
      <c r="CM181" s="192" t="n"/>
    </row>
    <row r="182">
      <c r="A182" s="177" t="n"/>
      <c r="B182" s="178" t="n"/>
      <c r="C182" s="178" t="n"/>
      <c r="D182" s="179" t="n"/>
      <c r="E182" s="180" t="n"/>
      <c r="F182" s="181" t="n"/>
      <c r="G182" s="182" t="n"/>
      <c r="H182" s="105" t="n"/>
      <c r="I182" s="183">
        <f>F182</f>
        <v/>
      </c>
      <c r="J182" s="184" t="n"/>
      <c r="K182" s="185" t="n"/>
      <c r="L182" s="8" t="n"/>
      <c r="M182" s="184">
        <f>L182</f>
        <v/>
      </c>
      <c r="N182" s="71" t="n"/>
      <c r="O182" s="101" t="n"/>
      <c r="P182" s="9">
        <f>I182-M182</f>
        <v/>
      </c>
      <c r="Q182" s="9">
        <f>IF(LEFT(B182,4)&lt;&gt;"    ",0,BN182)</f>
        <v/>
      </c>
      <c r="R182" s="9">
        <f>+P182-Q182</f>
        <v/>
      </c>
      <c r="S182" s="281" t="n"/>
      <c r="T182" s="10" t="n"/>
      <c r="U182" s="23">
        <f>IF(LEFT(B182,4)&lt;&gt;"    ","",IF(M182&lt;&gt;0,X182/M182,0))</f>
        <v/>
      </c>
      <c r="V182" s="11">
        <f>IF(LEFT(B182,4)&lt;&gt;"    ","",U182*I182)</f>
        <v/>
      </c>
      <c r="W182" s="11">
        <f>IF(LEFT(B182,4)&lt;&gt;"    ","",X182+Z182)</f>
        <v/>
      </c>
      <c r="X182" s="8" t="n"/>
      <c r="Y182" s="9">
        <f>IF(LEFT(B182,4)&lt;&gt;"    ",0,IF(P182&lt;0,P182,IF(U182&gt;0.3,W182-X182,0)))</f>
        <v/>
      </c>
      <c r="Z182" s="71">
        <f>Y182</f>
        <v/>
      </c>
      <c r="AA182" s="71" t="n"/>
      <c r="AB182" s="109" t="n"/>
      <c r="AC182" s="9">
        <f>IF(LEFT(B182,4)&lt;&gt;"    ",0,BK182)</f>
        <v/>
      </c>
      <c r="AD182" s="9">
        <f>Z182-AC182</f>
        <v/>
      </c>
      <c r="AE182" s="10" t="n"/>
      <c r="AF182" s="24" t="n"/>
      <c r="AG182" s="11" t="n"/>
      <c r="AH182" s="8" t="n"/>
      <c r="AI182" s="9">
        <f>IF(LEFT(B182,4)&lt;&gt;"    ","",AG182-AH182)</f>
        <v/>
      </c>
      <c r="AJ182" s="9" t="n"/>
      <c r="AK182" s="10" t="n"/>
      <c r="AL182" s="11">
        <f>IF(LEFT(B182,4)&lt;&gt;"    ","",W182-AG182)</f>
        <v/>
      </c>
      <c r="AM182" s="8">
        <f>IF(LEFT(B182,4)&lt;&gt;"    ","",X182-AH182)</f>
        <v/>
      </c>
      <c r="AN182" s="9">
        <f>IF(LEFT(B182,4)&lt;&gt;"    ","",Y182-AI182)</f>
        <v/>
      </c>
      <c r="AO182" s="9">
        <f>IF(LEFT(B182,4)&lt;&gt;"    ","",Z182-AJ182)</f>
        <v/>
      </c>
      <c r="AP182" s="10" t="n"/>
      <c r="AQ182" s="25">
        <f>IF(LEFT(B182,4)&lt;&gt;"    ","",I182-W182)</f>
        <v/>
      </c>
      <c r="AR182" s="25">
        <f>M182-X182</f>
        <v/>
      </c>
      <c r="AS182" s="25">
        <f>IF(LEFT(B182,4)&lt;&gt;"    ","",P182-Z182)</f>
        <v/>
      </c>
      <c r="AT182" s="10" t="n"/>
      <c r="AU182" s="12" t="n"/>
      <c r="AV182" s="12">
        <f>IF(LEFT(B182,4)&lt;&gt;"    ","",IF(W182-AU182&gt;=0,W182-AU182," "))</f>
        <v/>
      </c>
      <c r="AW182" s="12">
        <f>IF(LEFT(B182,4)&lt;&gt;"    ","",IF(AU182-W182&gt;=0,AU182-W182," "))</f>
        <v/>
      </c>
      <c r="AX182" s="186" t="n"/>
      <c r="AY182" s="187" t="n"/>
      <c r="AZ182" s="186" t="n"/>
      <c r="BA182" s="186" t="n"/>
      <c r="BB182" s="188" t="n"/>
      <c r="BC182" s="187" t="n"/>
      <c r="BD182" s="187" t="n"/>
      <c r="BE182" s="186" t="n"/>
      <c r="BF182" s="186" t="n"/>
      <c r="BG182" s="186" t="n"/>
      <c r="BH182" s="186" t="n"/>
      <c r="BI182" s="186" t="n"/>
      <c r="BJ182" s="186" t="n"/>
      <c r="BK182" s="186" t="n"/>
      <c r="BL182" s="186" t="n"/>
      <c r="BM182" s="186" t="n"/>
      <c r="BN182" s="186" t="n"/>
      <c r="BO182" s="186" t="n"/>
      <c r="BP182" s="186" t="n"/>
      <c r="BQ182" s="186" t="n"/>
      <c r="BR182" s="186" t="n"/>
      <c r="BS182" s="186" t="n"/>
      <c r="BT182" s="186" t="n"/>
      <c r="BU182" s="186" t="n"/>
      <c r="BV182" s="186" t="n"/>
      <c r="BW182" s="186" t="n"/>
      <c r="BX182" s="186" t="n"/>
      <c r="BY182" s="186" t="n"/>
      <c r="BZ182" s="186" t="n"/>
      <c r="CA182" s="186" t="n"/>
      <c r="CB182" s="186" t="n"/>
      <c r="CC182" s="190" t="n"/>
      <c r="CD182" s="186" t="n"/>
      <c r="CE182" s="186" t="n"/>
      <c r="CF182" s="186" t="n"/>
      <c r="CG182" s="186" t="n"/>
      <c r="CH182" s="186" t="n"/>
      <c r="CI182" s="191" t="n"/>
      <c r="CJ182" s="192" t="n"/>
      <c r="CK182" s="192" t="n"/>
      <c r="CL182" s="192" t="n"/>
      <c r="CM182" s="192" t="n"/>
    </row>
    <row r="183">
      <c r="A183" s="177" t="n"/>
      <c r="B183" s="178" t="n"/>
      <c r="C183" s="178" t="n"/>
      <c r="D183" s="179" t="n"/>
      <c r="E183" s="180" t="n"/>
      <c r="F183" s="181" t="n"/>
      <c r="G183" s="182" t="n"/>
      <c r="H183" s="105" t="n"/>
      <c r="I183" s="183">
        <f>F183</f>
        <v/>
      </c>
      <c r="J183" s="184" t="n"/>
      <c r="K183" s="185" t="n"/>
      <c r="L183" s="8" t="n"/>
      <c r="M183" s="184">
        <f>L183</f>
        <v/>
      </c>
      <c r="N183" s="71" t="n"/>
      <c r="O183" s="101" t="n"/>
      <c r="P183" s="9">
        <f>I183-M183</f>
        <v/>
      </c>
      <c r="Q183" s="9">
        <f>IF(LEFT(B183,4)&lt;&gt;"    ",0,BN183)</f>
        <v/>
      </c>
      <c r="R183" s="9">
        <f>+P183-Q183</f>
        <v/>
      </c>
      <c r="S183" s="281" t="n"/>
      <c r="T183" s="10" t="n"/>
      <c r="U183" s="23">
        <f>IF(LEFT(B183,4)&lt;&gt;"    ","",IF(M183&lt;&gt;0,X183/M183,0))</f>
        <v/>
      </c>
      <c r="V183" s="11">
        <f>IF(LEFT(B183,4)&lt;&gt;"    ","",U183*I183)</f>
        <v/>
      </c>
      <c r="W183" s="11">
        <f>IF(LEFT(B183,4)&lt;&gt;"    ","",X183+Z183)</f>
        <v/>
      </c>
      <c r="X183" s="8" t="n"/>
      <c r="Y183" s="9">
        <f>IF(LEFT(B183,4)&lt;&gt;"    ",0,IF(P183&lt;0,P183,IF(U183&gt;0.3,W183-X183,0)))</f>
        <v/>
      </c>
      <c r="Z183" s="71">
        <f>Y183</f>
        <v/>
      </c>
      <c r="AA183" s="71" t="n"/>
      <c r="AB183" s="109" t="n"/>
      <c r="AC183" s="9">
        <f>IF(LEFT(B183,4)&lt;&gt;"    ",0,BK183)</f>
        <v/>
      </c>
      <c r="AD183" s="9">
        <f>Z183-AC183</f>
        <v/>
      </c>
      <c r="AE183" s="10" t="n"/>
      <c r="AF183" s="24" t="n"/>
      <c r="AG183" s="11" t="n"/>
      <c r="AH183" s="8" t="n"/>
      <c r="AI183" s="9">
        <f>IF(LEFT(B183,4)&lt;&gt;"    ","",AG183-AH183)</f>
        <v/>
      </c>
      <c r="AJ183" s="9" t="n"/>
      <c r="AK183" s="10" t="n"/>
      <c r="AL183" s="11">
        <f>IF(LEFT(B183,4)&lt;&gt;"    ","",W183-AG183)</f>
        <v/>
      </c>
      <c r="AM183" s="8">
        <f>IF(LEFT(B183,4)&lt;&gt;"    ","",X183-AH183)</f>
        <v/>
      </c>
      <c r="AN183" s="9">
        <f>IF(LEFT(B183,4)&lt;&gt;"    ","",Y183-AI183)</f>
        <v/>
      </c>
      <c r="AO183" s="9">
        <f>IF(LEFT(B183,4)&lt;&gt;"    ","",Z183-AJ183)</f>
        <v/>
      </c>
      <c r="AP183" s="10" t="n"/>
      <c r="AQ183" s="25">
        <f>IF(LEFT(B183,4)&lt;&gt;"    ","",I183-W183)</f>
        <v/>
      </c>
      <c r="AR183" s="25">
        <f>M183-X183</f>
        <v/>
      </c>
      <c r="AS183" s="25">
        <f>IF(LEFT(B183,4)&lt;&gt;"    ","",P183-Z183)</f>
        <v/>
      </c>
      <c r="AT183" s="10" t="n"/>
      <c r="AU183" s="12" t="n"/>
      <c r="AV183" s="12">
        <f>IF(LEFT(B183,4)&lt;&gt;"    ","",IF(W183-AU183&gt;=0,W183-AU183," "))</f>
        <v/>
      </c>
      <c r="AW183" s="12">
        <f>IF(LEFT(B183,4)&lt;&gt;"    ","",IF(AU183-W183&gt;=0,AU183-W183," "))</f>
        <v/>
      </c>
      <c r="AX183" s="186" t="n"/>
      <c r="AY183" s="187" t="n"/>
      <c r="AZ183" s="186" t="n"/>
      <c r="BA183" s="186" t="n"/>
      <c r="BB183" s="188" t="n"/>
      <c r="BC183" s="187" t="n"/>
      <c r="BD183" s="187" t="n"/>
      <c r="BE183" s="186" t="n"/>
      <c r="BF183" s="186" t="n"/>
      <c r="BG183" s="186" t="n"/>
      <c r="BH183" s="186" t="n"/>
      <c r="BI183" s="186" t="n"/>
      <c r="BJ183" s="186" t="n"/>
      <c r="BK183" s="186" t="n"/>
      <c r="BL183" s="186" t="n"/>
      <c r="BM183" s="186" t="n"/>
      <c r="BN183" s="186" t="n"/>
      <c r="BO183" s="186" t="n"/>
      <c r="BP183" s="186" t="n"/>
      <c r="BQ183" s="186" t="n"/>
      <c r="BR183" s="186" t="n"/>
      <c r="BS183" s="186" t="n"/>
      <c r="BT183" s="186" t="n"/>
      <c r="BU183" s="186" t="n"/>
      <c r="BV183" s="186" t="n"/>
      <c r="BW183" s="186" t="n"/>
      <c r="BX183" s="186" t="n"/>
      <c r="BY183" s="186" t="n"/>
      <c r="BZ183" s="186" t="n"/>
      <c r="CA183" s="186" t="n"/>
      <c r="CB183" s="186" t="n"/>
      <c r="CC183" s="190" t="n"/>
      <c r="CD183" s="186" t="n"/>
      <c r="CE183" s="186" t="n"/>
      <c r="CF183" s="186" t="n"/>
      <c r="CG183" s="186" t="n"/>
      <c r="CH183" s="186" t="n"/>
      <c r="CI183" s="191" t="n"/>
      <c r="CJ183" s="192" t="n"/>
      <c r="CK183" s="192" t="n"/>
      <c r="CL183" s="192" t="n"/>
      <c r="CM183" s="192" t="n"/>
    </row>
    <row r="184">
      <c r="A184" s="177" t="n"/>
      <c r="B184" s="178" t="n"/>
      <c r="C184" s="178" t="n"/>
      <c r="D184" s="179" t="n"/>
      <c r="E184" s="180" t="n"/>
      <c r="F184" s="181" t="n"/>
      <c r="G184" s="182" t="n"/>
      <c r="H184" s="105" t="n"/>
      <c r="I184" s="183">
        <f>F184</f>
        <v/>
      </c>
      <c r="J184" s="184" t="n"/>
      <c r="K184" s="185" t="n"/>
      <c r="L184" s="8" t="n"/>
      <c r="M184" s="184">
        <f>L184</f>
        <v/>
      </c>
      <c r="N184" s="71" t="n"/>
      <c r="O184" s="101" t="n"/>
      <c r="P184" s="9">
        <f>I184-M184</f>
        <v/>
      </c>
      <c r="Q184" s="9">
        <f>IF(LEFT(B184,4)&lt;&gt;"    ",0,BN184)</f>
        <v/>
      </c>
      <c r="R184" s="9">
        <f>+P184-Q184</f>
        <v/>
      </c>
      <c r="S184" s="281" t="n"/>
      <c r="T184" s="10" t="n"/>
      <c r="U184" s="23">
        <f>IF(LEFT(B184,4)&lt;&gt;"    ","",IF(M184&lt;&gt;0,X184/M184,0))</f>
        <v/>
      </c>
      <c r="V184" s="11">
        <f>IF(LEFT(B184,4)&lt;&gt;"    ","",U184*I184)</f>
        <v/>
      </c>
      <c r="W184" s="11">
        <f>IF(LEFT(B184,4)&lt;&gt;"    ","",X184+Z184)</f>
        <v/>
      </c>
      <c r="X184" s="8" t="n"/>
      <c r="Y184" s="9">
        <f>IF(LEFT(B184,4)&lt;&gt;"    ",0,IF(P184&lt;0,P184,IF(U184&gt;0.3,W184-X184,0)))</f>
        <v/>
      </c>
      <c r="Z184" s="71">
        <f>Y184</f>
        <v/>
      </c>
      <c r="AA184" s="71" t="n"/>
      <c r="AB184" s="109" t="n"/>
      <c r="AC184" s="9">
        <f>IF(LEFT(B184,4)&lt;&gt;"    ",0,BK184)</f>
        <v/>
      </c>
      <c r="AD184" s="9">
        <f>Z184-AC184</f>
        <v/>
      </c>
      <c r="AE184" s="10" t="n"/>
      <c r="AF184" s="24" t="n"/>
      <c r="AG184" s="11" t="n"/>
      <c r="AH184" s="8" t="n"/>
      <c r="AI184" s="9">
        <f>IF(LEFT(B184,4)&lt;&gt;"    ","",AG184-AH184)</f>
        <v/>
      </c>
      <c r="AJ184" s="9" t="n"/>
      <c r="AK184" s="10" t="n"/>
      <c r="AL184" s="11">
        <f>IF(LEFT(B184,4)&lt;&gt;"    ","",W184-AG184)</f>
        <v/>
      </c>
      <c r="AM184" s="8">
        <f>IF(LEFT(B184,4)&lt;&gt;"    ","",X184-AH184)</f>
        <v/>
      </c>
      <c r="AN184" s="9">
        <f>IF(LEFT(B184,4)&lt;&gt;"    ","",Y184-AI184)</f>
        <v/>
      </c>
      <c r="AO184" s="9">
        <f>IF(LEFT(B184,4)&lt;&gt;"    ","",Z184-AJ184)</f>
        <v/>
      </c>
      <c r="AP184" s="10" t="n"/>
      <c r="AQ184" s="25">
        <f>IF(LEFT(B184,4)&lt;&gt;"    ","",I184-W184)</f>
        <v/>
      </c>
      <c r="AR184" s="25">
        <f>M184-X184</f>
        <v/>
      </c>
      <c r="AS184" s="25">
        <f>IF(LEFT(B184,4)&lt;&gt;"    ","",P184-Z184)</f>
        <v/>
      </c>
      <c r="AT184" s="10" t="n"/>
      <c r="AU184" s="12" t="n"/>
      <c r="AV184" s="12">
        <f>IF(LEFT(B184,4)&lt;&gt;"    ","",IF(W184-AU184&gt;=0,W184-AU184," "))</f>
        <v/>
      </c>
      <c r="AW184" s="12">
        <f>IF(LEFT(B184,4)&lt;&gt;"    ","",IF(AU184-W184&gt;=0,AU184-W184," "))</f>
        <v/>
      </c>
      <c r="AX184" s="186" t="n"/>
      <c r="AY184" s="187" t="n"/>
      <c r="AZ184" s="186" t="n"/>
      <c r="BA184" s="186" t="n"/>
      <c r="BB184" s="188" t="n"/>
      <c r="BC184" s="187" t="n"/>
      <c r="BD184" s="187" t="n"/>
      <c r="BE184" s="186" t="n"/>
      <c r="BF184" s="186" t="n"/>
      <c r="BG184" s="186" t="n"/>
      <c r="BH184" s="186" t="n"/>
      <c r="BI184" s="186" t="n"/>
      <c r="BJ184" s="186" t="n"/>
      <c r="BK184" s="186" t="n"/>
      <c r="BL184" s="186" t="n"/>
      <c r="BM184" s="186" t="n"/>
      <c r="BN184" s="186" t="n"/>
      <c r="BO184" s="186" t="n"/>
      <c r="BP184" s="186" t="n"/>
      <c r="BQ184" s="186" t="n"/>
      <c r="BR184" s="186" t="n"/>
      <c r="BS184" s="186" t="n"/>
      <c r="BT184" s="186" t="n"/>
      <c r="BU184" s="186" t="n"/>
      <c r="BV184" s="186" t="n"/>
      <c r="BW184" s="186" t="n"/>
      <c r="BX184" s="186" t="n"/>
      <c r="BY184" s="186" t="n"/>
      <c r="BZ184" s="186" t="n"/>
      <c r="CA184" s="186" t="n"/>
      <c r="CB184" s="186" t="n"/>
      <c r="CC184" s="190" t="n"/>
      <c r="CD184" s="186" t="n"/>
      <c r="CE184" s="186" t="n"/>
      <c r="CF184" s="186" t="n"/>
      <c r="CG184" s="186" t="n"/>
      <c r="CH184" s="186" t="n"/>
      <c r="CI184" s="191" t="n"/>
      <c r="CJ184" s="192" t="n"/>
      <c r="CK184" s="192" t="n"/>
      <c r="CL184" s="192" t="n"/>
      <c r="CM184" s="192" t="n"/>
    </row>
    <row r="185">
      <c r="A185" s="177" t="n"/>
      <c r="B185" s="178" t="n"/>
      <c r="C185" s="178" t="n"/>
      <c r="D185" s="179" t="n"/>
      <c r="E185" s="180" t="n"/>
      <c r="F185" s="181" t="n"/>
      <c r="G185" s="182" t="n"/>
      <c r="H185" s="105" t="n"/>
      <c r="I185" s="183">
        <f>F185</f>
        <v/>
      </c>
      <c r="J185" s="184" t="n"/>
      <c r="K185" s="185" t="n"/>
      <c r="L185" s="8" t="n"/>
      <c r="M185" s="184">
        <f>L185</f>
        <v/>
      </c>
      <c r="N185" s="71" t="n"/>
      <c r="O185" s="101" t="n"/>
      <c r="P185" s="9">
        <f>I185-M185</f>
        <v/>
      </c>
      <c r="Q185" s="9">
        <f>IF(LEFT(B185,4)&lt;&gt;"    ",0,BN185)</f>
        <v/>
      </c>
      <c r="R185" s="9">
        <f>+P185-Q185</f>
        <v/>
      </c>
      <c r="S185" s="281" t="n"/>
      <c r="T185" s="10" t="n"/>
      <c r="U185" s="23">
        <f>IF(LEFT(B185,4)&lt;&gt;"    ","",IF(M185&lt;&gt;0,X185/M185,0))</f>
        <v/>
      </c>
      <c r="V185" s="11">
        <f>IF(LEFT(B185,4)&lt;&gt;"    ","",U185*I185)</f>
        <v/>
      </c>
      <c r="W185" s="11">
        <f>IF(LEFT(B185,4)&lt;&gt;"    ","",X185+Z185)</f>
        <v/>
      </c>
      <c r="X185" s="8" t="n"/>
      <c r="Y185" s="9">
        <f>IF(LEFT(B185,4)&lt;&gt;"    ",0,IF(P185&lt;0,P185,IF(U185&gt;0.3,W185-X185,0)))</f>
        <v/>
      </c>
      <c r="Z185" s="71">
        <f>Y185</f>
        <v/>
      </c>
      <c r="AA185" s="71" t="n"/>
      <c r="AB185" s="109" t="n"/>
      <c r="AC185" s="9">
        <f>IF(LEFT(B185,4)&lt;&gt;"    ",0,BK185)</f>
        <v/>
      </c>
      <c r="AD185" s="9">
        <f>Z185-AC185</f>
        <v/>
      </c>
      <c r="AE185" s="10" t="n"/>
      <c r="AF185" s="24" t="n"/>
      <c r="AG185" s="11" t="n"/>
      <c r="AH185" s="8" t="n"/>
      <c r="AI185" s="9">
        <f>IF(LEFT(B185,4)&lt;&gt;"    ","",AG185-AH185)</f>
        <v/>
      </c>
      <c r="AJ185" s="9" t="n"/>
      <c r="AK185" s="10" t="n"/>
      <c r="AL185" s="11">
        <f>IF(LEFT(B185,4)&lt;&gt;"    ","",W185-AG185)</f>
        <v/>
      </c>
      <c r="AM185" s="8">
        <f>IF(LEFT(B185,4)&lt;&gt;"    ","",X185-AH185)</f>
        <v/>
      </c>
      <c r="AN185" s="9">
        <f>IF(LEFT(B185,4)&lt;&gt;"    ","",Y185-AI185)</f>
        <v/>
      </c>
      <c r="AO185" s="9">
        <f>IF(LEFT(B185,4)&lt;&gt;"    ","",Z185-AJ185)</f>
        <v/>
      </c>
      <c r="AP185" s="10" t="n"/>
      <c r="AQ185" s="25">
        <f>IF(LEFT(B185,4)&lt;&gt;"    ","",I185-W185)</f>
        <v/>
      </c>
      <c r="AR185" s="25">
        <f>M185-X185</f>
        <v/>
      </c>
      <c r="AS185" s="25">
        <f>IF(LEFT(B185,4)&lt;&gt;"    ","",P185-Z185)</f>
        <v/>
      </c>
      <c r="AT185" s="10" t="n"/>
      <c r="AU185" s="12" t="n"/>
      <c r="AV185" s="12">
        <f>IF(LEFT(B185,4)&lt;&gt;"    ","",IF(W185-AU185&gt;=0,W185-AU185," "))</f>
        <v/>
      </c>
      <c r="AW185" s="12">
        <f>IF(LEFT(B185,4)&lt;&gt;"    ","",IF(AU185-W185&gt;=0,AU185-W185," "))</f>
        <v/>
      </c>
      <c r="AX185" s="186" t="n"/>
      <c r="AY185" s="187" t="n"/>
      <c r="AZ185" s="186" t="n"/>
      <c r="BA185" s="186" t="n"/>
      <c r="BB185" s="188" t="n"/>
      <c r="BC185" s="187" t="n"/>
      <c r="BD185" s="187" t="n"/>
      <c r="BE185" s="186" t="n"/>
      <c r="BF185" s="186" t="n"/>
      <c r="BG185" s="186" t="n"/>
      <c r="BH185" s="186" t="n"/>
      <c r="BI185" s="186" t="n"/>
      <c r="BJ185" s="186" t="n"/>
      <c r="BK185" s="186" t="n"/>
      <c r="BL185" s="186" t="n"/>
      <c r="BM185" s="186" t="n"/>
      <c r="BN185" s="186" t="n"/>
      <c r="BO185" s="186" t="n"/>
      <c r="BP185" s="186" t="n"/>
      <c r="BQ185" s="186" t="n"/>
      <c r="BR185" s="186" t="n"/>
      <c r="BS185" s="186" t="n"/>
      <c r="BT185" s="186" t="n"/>
      <c r="BU185" s="186" t="n"/>
      <c r="BV185" s="186" t="n"/>
      <c r="BW185" s="186" t="n"/>
      <c r="BX185" s="186" t="n"/>
      <c r="BY185" s="186" t="n"/>
      <c r="BZ185" s="186" t="n"/>
      <c r="CA185" s="186" t="n"/>
      <c r="CB185" s="186" t="n"/>
      <c r="CC185" s="190" t="n"/>
      <c r="CD185" s="186" t="n"/>
      <c r="CE185" s="186" t="n"/>
      <c r="CF185" s="186" t="n"/>
      <c r="CG185" s="186" t="n"/>
      <c r="CH185" s="186" t="n"/>
      <c r="CI185" s="191" t="n"/>
      <c r="CJ185" s="192" t="n"/>
      <c r="CK185" s="192" t="n"/>
      <c r="CL185" s="192" t="n"/>
      <c r="CM185" s="192" t="n"/>
    </row>
    <row r="186">
      <c r="A186" s="177" t="n"/>
      <c r="B186" s="178" t="n"/>
      <c r="C186" s="178" t="n"/>
      <c r="D186" s="179" t="n"/>
      <c r="E186" s="180" t="n"/>
      <c r="F186" s="181" t="n"/>
      <c r="G186" s="182" t="n"/>
      <c r="H186" s="105" t="n"/>
      <c r="I186" s="183">
        <f>F186</f>
        <v/>
      </c>
      <c r="J186" s="184" t="n"/>
      <c r="K186" s="185" t="n"/>
      <c r="L186" s="8" t="n"/>
      <c r="M186" s="184">
        <f>L186</f>
        <v/>
      </c>
      <c r="N186" s="71" t="n"/>
      <c r="O186" s="101" t="n"/>
      <c r="P186" s="9">
        <f>I186-M186</f>
        <v/>
      </c>
      <c r="Q186" s="9">
        <f>IF(LEFT(B186,4)&lt;&gt;"    ",0,BN186)</f>
        <v/>
      </c>
      <c r="R186" s="9">
        <f>+P186-Q186</f>
        <v/>
      </c>
      <c r="S186" s="281" t="n"/>
      <c r="T186" s="10" t="n"/>
      <c r="U186" s="23">
        <f>IF(LEFT(B186,4)&lt;&gt;"    ","",IF(M186&lt;&gt;0,X186/M186,0))</f>
        <v/>
      </c>
      <c r="V186" s="11">
        <f>IF(LEFT(B186,4)&lt;&gt;"    ","",U186*I186)</f>
        <v/>
      </c>
      <c r="W186" s="11">
        <f>IF(LEFT(B186,4)&lt;&gt;"    ","",X186+Z186)</f>
        <v/>
      </c>
      <c r="X186" s="8" t="n"/>
      <c r="Y186" s="9">
        <f>IF(LEFT(B186,4)&lt;&gt;"    ",0,IF(P186&lt;0,P186,IF(U186&gt;0.3,W186-X186,0)))</f>
        <v/>
      </c>
      <c r="Z186" s="71">
        <f>Y186</f>
        <v/>
      </c>
      <c r="AA186" s="71" t="n"/>
      <c r="AB186" s="109" t="n"/>
      <c r="AC186" s="9">
        <f>IF(LEFT(B186,4)&lt;&gt;"    ",0,BK186)</f>
        <v/>
      </c>
      <c r="AD186" s="9">
        <f>Z186-AC186</f>
        <v/>
      </c>
      <c r="AE186" s="10" t="n"/>
      <c r="AF186" s="24" t="n"/>
      <c r="AG186" s="11" t="n"/>
      <c r="AH186" s="8" t="n"/>
      <c r="AI186" s="9">
        <f>IF(LEFT(B186,4)&lt;&gt;"    ","",AG186-AH186)</f>
        <v/>
      </c>
      <c r="AJ186" s="9" t="n"/>
      <c r="AK186" s="10" t="n"/>
      <c r="AL186" s="11">
        <f>IF(LEFT(B186,4)&lt;&gt;"    ","",W186-AG186)</f>
        <v/>
      </c>
      <c r="AM186" s="8">
        <f>IF(LEFT(B186,4)&lt;&gt;"    ","",X186-AH186)</f>
        <v/>
      </c>
      <c r="AN186" s="9">
        <f>IF(LEFT(B186,4)&lt;&gt;"    ","",Y186-AI186)</f>
        <v/>
      </c>
      <c r="AO186" s="9">
        <f>IF(LEFT(B186,4)&lt;&gt;"    ","",Z186-AJ186)</f>
        <v/>
      </c>
      <c r="AP186" s="10" t="n"/>
      <c r="AQ186" s="25">
        <f>IF(LEFT(B186,4)&lt;&gt;"    ","",I186-W186)</f>
        <v/>
      </c>
      <c r="AR186" s="25">
        <f>M186-X186</f>
        <v/>
      </c>
      <c r="AS186" s="25">
        <f>IF(LEFT(B186,4)&lt;&gt;"    ","",P186-Z186)</f>
        <v/>
      </c>
      <c r="AT186" s="10" t="n"/>
      <c r="AU186" s="12" t="n"/>
      <c r="AV186" s="12">
        <f>IF(LEFT(B186,4)&lt;&gt;"    ","",IF(W186-AU186&gt;=0,W186-AU186," "))</f>
        <v/>
      </c>
      <c r="AW186" s="12">
        <f>IF(LEFT(B186,4)&lt;&gt;"    ","",IF(AU186-W186&gt;=0,AU186-W186," "))</f>
        <v/>
      </c>
      <c r="AX186" s="186" t="n"/>
      <c r="AY186" s="187" t="n"/>
      <c r="AZ186" s="186" t="n"/>
      <c r="BA186" s="186" t="n"/>
      <c r="BB186" s="188" t="n"/>
      <c r="BC186" s="187" t="n"/>
      <c r="BD186" s="187" t="n"/>
      <c r="BE186" s="186" t="n"/>
      <c r="BF186" s="186" t="n"/>
      <c r="BG186" s="186" t="n"/>
      <c r="BH186" s="186" t="n"/>
      <c r="BI186" s="186" t="n"/>
      <c r="BJ186" s="186" t="n"/>
      <c r="BK186" s="186" t="n"/>
      <c r="BL186" s="186" t="n"/>
      <c r="BM186" s="186" t="n"/>
      <c r="BN186" s="186" t="n"/>
      <c r="BO186" s="186" t="n"/>
      <c r="BP186" s="186" t="n"/>
      <c r="BQ186" s="186" t="n"/>
      <c r="BR186" s="186" t="n"/>
      <c r="BS186" s="186" t="n"/>
      <c r="BT186" s="186" t="n"/>
      <c r="BU186" s="186" t="n"/>
      <c r="BV186" s="186" t="n"/>
      <c r="BW186" s="186" t="n"/>
      <c r="BX186" s="186" t="n"/>
      <c r="BY186" s="186" t="n"/>
      <c r="BZ186" s="186" t="n"/>
      <c r="CA186" s="186" t="n"/>
      <c r="CB186" s="186" t="n"/>
      <c r="CC186" s="190" t="n"/>
      <c r="CD186" s="186" t="n"/>
      <c r="CE186" s="186" t="n"/>
      <c r="CF186" s="186" t="n"/>
      <c r="CG186" s="186" t="n"/>
      <c r="CH186" s="186" t="n"/>
      <c r="CI186" s="191" t="n"/>
      <c r="CJ186" s="192" t="n"/>
      <c r="CK186" s="192" t="n"/>
      <c r="CL186" s="192" t="n"/>
      <c r="CM186" s="192" t="n"/>
    </row>
    <row r="187">
      <c r="A187" s="177" t="n"/>
      <c r="B187" s="178" t="n"/>
      <c r="C187" s="178" t="n"/>
      <c r="D187" s="179" t="n"/>
      <c r="E187" s="180" t="n"/>
      <c r="F187" s="181" t="n"/>
      <c r="G187" s="182" t="n"/>
      <c r="H187" s="105" t="n"/>
      <c r="I187" s="183">
        <f>F187</f>
        <v/>
      </c>
      <c r="J187" s="184" t="n"/>
      <c r="K187" s="185" t="n"/>
      <c r="L187" s="8" t="n"/>
      <c r="M187" s="184">
        <f>L187</f>
        <v/>
      </c>
      <c r="N187" s="71" t="n"/>
      <c r="O187" s="101" t="n"/>
      <c r="P187" s="9">
        <f>I187-M187</f>
        <v/>
      </c>
      <c r="Q187" s="9">
        <f>IF(LEFT(B187,4)&lt;&gt;"    ",0,BN187)</f>
        <v/>
      </c>
      <c r="R187" s="9">
        <f>+P187-Q187</f>
        <v/>
      </c>
      <c r="S187" s="281" t="n"/>
      <c r="T187" s="10" t="n"/>
      <c r="U187" s="23">
        <f>IF(LEFT(B187,4)&lt;&gt;"    ","",IF(M187&lt;&gt;0,X187/M187,0))</f>
        <v/>
      </c>
      <c r="V187" s="11">
        <f>IF(LEFT(B187,4)&lt;&gt;"    ","",U187*I187)</f>
        <v/>
      </c>
      <c r="W187" s="11">
        <f>IF(LEFT(B187,4)&lt;&gt;"    ","",X187+Z187)</f>
        <v/>
      </c>
      <c r="X187" s="8" t="n"/>
      <c r="Y187" s="9">
        <f>IF(LEFT(B187,4)&lt;&gt;"    ",0,IF(P187&lt;0,P187,IF(U187&gt;0.3,W187-X187,0)))</f>
        <v/>
      </c>
      <c r="Z187" s="71">
        <f>Y187</f>
        <v/>
      </c>
      <c r="AA187" s="71" t="n"/>
      <c r="AB187" s="109" t="n"/>
      <c r="AC187" s="9">
        <f>IF(LEFT(B187,4)&lt;&gt;"    ",0,BK187)</f>
        <v/>
      </c>
      <c r="AD187" s="9">
        <f>Z187-AC187</f>
        <v/>
      </c>
      <c r="AE187" s="10" t="n"/>
      <c r="AF187" s="24" t="n"/>
      <c r="AG187" s="11" t="n"/>
      <c r="AH187" s="8" t="n"/>
      <c r="AI187" s="9">
        <f>IF(LEFT(B187,4)&lt;&gt;"    ","",AG187-AH187)</f>
        <v/>
      </c>
      <c r="AJ187" s="9" t="n"/>
      <c r="AK187" s="10" t="n"/>
      <c r="AL187" s="11">
        <f>IF(LEFT(B187,4)&lt;&gt;"    ","",W187-AG187)</f>
        <v/>
      </c>
      <c r="AM187" s="8">
        <f>IF(LEFT(B187,4)&lt;&gt;"    ","",X187-AH187)</f>
        <v/>
      </c>
      <c r="AN187" s="9">
        <f>IF(LEFT(B187,4)&lt;&gt;"    ","",Y187-AI187)</f>
        <v/>
      </c>
      <c r="AO187" s="9">
        <f>IF(LEFT(B187,4)&lt;&gt;"    ","",Z187-AJ187)</f>
        <v/>
      </c>
      <c r="AP187" s="10" t="n"/>
      <c r="AQ187" s="25">
        <f>IF(LEFT(B187,4)&lt;&gt;"    ","",I187-W187)</f>
        <v/>
      </c>
      <c r="AR187" s="25">
        <f>M187-X187</f>
        <v/>
      </c>
      <c r="AS187" s="25">
        <f>IF(LEFT(B187,4)&lt;&gt;"    ","",P187-Z187)</f>
        <v/>
      </c>
      <c r="AT187" s="10" t="n"/>
      <c r="AU187" s="12" t="n"/>
      <c r="AV187" s="12">
        <f>IF(LEFT(B187,4)&lt;&gt;"    ","",IF(W187-AU187&gt;=0,W187-AU187," "))</f>
        <v/>
      </c>
      <c r="AW187" s="12">
        <f>IF(LEFT(B187,4)&lt;&gt;"    ","",IF(AU187-W187&gt;=0,AU187-W187," "))</f>
        <v/>
      </c>
      <c r="AX187" s="186" t="n"/>
      <c r="AY187" s="187" t="n"/>
      <c r="AZ187" s="186" t="n"/>
      <c r="BA187" s="186" t="n"/>
      <c r="BB187" s="188" t="n"/>
      <c r="BC187" s="187" t="n"/>
      <c r="BD187" s="187" t="n"/>
      <c r="BE187" s="186" t="n"/>
      <c r="BF187" s="186" t="n"/>
      <c r="BG187" s="186" t="n"/>
      <c r="BH187" s="186" t="n"/>
      <c r="BI187" s="186" t="n"/>
      <c r="BJ187" s="186" t="n"/>
      <c r="BK187" s="186" t="n"/>
      <c r="BL187" s="186" t="n"/>
      <c r="BM187" s="186" t="n"/>
      <c r="BN187" s="186" t="n"/>
      <c r="BO187" s="186" t="n"/>
      <c r="BP187" s="186" t="n"/>
      <c r="BQ187" s="186" t="n"/>
      <c r="BR187" s="186" t="n"/>
      <c r="BS187" s="186" t="n"/>
      <c r="BT187" s="186" t="n"/>
      <c r="BU187" s="186" t="n"/>
      <c r="BV187" s="186" t="n"/>
      <c r="BW187" s="186" t="n"/>
      <c r="BX187" s="186" t="n"/>
      <c r="BY187" s="186" t="n"/>
      <c r="BZ187" s="186" t="n"/>
      <c r="CA187" s="186" t="n"/>
      <c r="CB187" s="186" t="n"/>
      <c r="CC187" s="190" t="n"/>
      <c r="CD187" s="186" t="n"/>
      <c r="CE187" s="186" t="n"/>
      <c r="CF187" s="186" t="n"/>
      <c r="CG187" s="186" t="n"/>
      <c r="CH187" s="186" t="n"/>
      <c r="CI187" s="191" t="n"/>
      <c r="CJ187" s="192" t="n"/>
      <c r="CK187" s="192" t="n"/>
      <c r="CL187" s="192" t="n"/>
      <c r="CM187" s="192" t="n"/>
    </row>
    <row r="188">
      <c r="A188" s="177" t="n"/>
      <c r="B188" s="178" t="n"/>
      <c r="C188" s="178" t="n"/>
      <c r="D188" s="179" t="n"/>
      <c r="E188" s="180" t="n"/>
      <c r="F188" s="181" t="n"/>
      <c r="G188" s="182" t="n"/>
      <c r="H188" s="105" t="n"/>
      <c r="I188" s="183">
        <f>F188</f>
        <v/>
      </c>
      <c r="J188" s="184" t="n"/>
      <c r="K188" s="185" t="n"/>
      <c r="L188" s="8" t="n"/>
      <c r="M188" s="184">
        <f>L188</f>
        <v/>
      </c>
      <c r="N188" s="71" t="n"/>
      <c r="O188" s="101" t="n"/>
      <c r="P188" s="9">
        <f>I188-M188</f>
        <v/>
      </c>
      <c r="Q188" s="9">
        <f>IF(LEFT(B188,4)&lt;&gt;"    ",0,BN188)</f>
        <v/>
      </c>
      <c r="R188" s="9">
        <f>+P188-Q188</f>
        <v/>
      </c>
      <c r="S188" s="281" t="n"/>
      <c r="T188" s="10" t="n"/>
      <c r="U188" s="23">
        <f>IF(LEFT(B188,4)&lt;&gt;"    ","",IF(M188&lt;&gt;0,X188/M188,0))</f>
        <v/>
      </c>
      <c r="V188" s="11">
        <f>IF(LEFT(B188,4)&lt;&gt;"    ","",U188*I188)</f>
        <v/>
      </c>
      <c r="W188" s="11">
        <f>IF(LEFT(B188,4)&lt;&gt;"    ","",X188+Z188)</f>
        <v/>
      </c>
      <c r="X188" s="8" t="n"/>
      <c r="Y188" s="9">
        <f>IF(LEFT(B188,4)&lt;&gt;"    ",0,IF(P188&lt;0,P188,IF(U188&gt;0.3,W188-X188,0)))</f>
        <v/>
      </c>
      <c r="Z188" s="71">
        <f>Y188</f>
        <v/>
      </c>
      <c r="AA188" s="71" t="n"/>
      <c r="AB188" s="109" t="n"/>
      <c r="AC188" s="9">
        <f>IF(LEFT(B188,4)&lt;&gt;"    ",0,BK188)</f>
        <v/>
      </c>
      <c r="AD188" s="9">
        <f>Z188-AC188</f>
        <v/>
      </c>
      <c r="AE188" s="10" t="n"/>
      <c r="AF188" s="24" t="n"/>
      <c r="AG188" s="11" t="n"/>
      <c r="AH188" s="8" t="n"/>
      <c r="AI188" s="9">
        <f>IF(LEFT(B188,4)&lt;&gt;"    ","",AG188-AH188)</f>
        <v/>
      </c>
      <c r="AJ188" s="9" t="n"/>
      <c r="AK188" s="10" t="n"/>
      <c r="AL188" s="11">
        <f>IF(LEFT(B188,4)&lt;&gt;"    ","",W188-AG188)</f>
        <v/>
      </c>
      <c r="AM188" s="8">
        <f>IF(LEFT(B188,4)&lt;&gt;"    ","",X188-AH188)</f>
        <v/>
      </c>
      <c r="AN188" s="9">
        <f>IF(LEFT(B188,4)&lt;&gt;"    ","",Y188-AI188)</f>
        <v/>
      </c>
      <c r="AO188" s="9">
        <f>IF(LEFT(B188,4)&lt;&gt;"    ","",Z188-AJ188)</f>
        <v/>
      </c>
      <c r="AP188" s="10" t="n"/>
      <c r="AQ188" s="25">
        <f>IF(LEFT(B188,4)&lt;&gt;"    ","",I188-W188)</f>
        <v/>
      </c>
      <c r="AR188" s="25">
        <f>M188-X188</f>
        <v/>
      </c>
      <c r="AS188" s="25">
        <f>IF(LEFT(B188,4)&lt;&gt;"    ","",P188-Z188)</f>
        <v/>
      </c>
      <c r="AT188" s="10" t="n"/>
      <c r="AU188" s="12" t="n"/>
      <c r="AV188" s="12">
        <f>IF(LEFT(B188,4)&lt;&gt;"    ","",IF(W188-AU188&gt;=0,W188-AU188," "))</f>
        <v/>
      </c>
      <c r="AW188" s="12">
        <f>IF(LEFT(B188,4)&lt;&gt;"    ","",IF(AU188-W188&gt;=0,AU188-W188," "))</f>
        <v/>
      </c>
      <c r="AX188" s="186" t="n"/>
      <c r="AY188" s="187" t="n"/>
      <c r="AZ188" s="186" t="n"/>
      <c r="BA188" s="186" t="n"/>
      <c r="BB188" s="188" t="n"/>
      <c r="BC188" s="187" t="n"/>
      <c r="BD188" s="187" t="n"/>
      <c r="BE188" s="186" t="n"/>
      <c r="BF188" s="186" t="n"/>
      <c r="BG188" s="186" t="n"/>
      <c r="BH188" s="186" t="n"/>
      <c r="BI188" s="186" t="n"/>
      <c r="BJ188" s="186" t="n"/>
      <c r="BK188" s="186" t="n"/>
      <c r="BL188" s="186" t="n"/>
      <c r="BM188" s="186" t="n"/>
      <c r="BN188" s="186" t="n"/>
      <c r="BO188" s="186" t="n"/>
      <c r="BP188" s="186" t="n"/>
      <c r="BQ188" s="186" t="n"/>
      <c r="BR188" s="186" t="n"/>
      <c r="BS188" s="186" t="n"/>
      <c r="BT188" s="186" t="n"/>
      <c r="BU188" s="186" t="n"/>
      <c r="BV188" s="186" t="n"/>
      <c r="BW188" s="186" t="n"/>
      <c r="BX188" s="186" t="n"/>
      <c r="BY188" s="186" t="n"/>
      <c r="BZ188" s="186" t="n"/>
      <c r="CA188" s="186" t="n"/>
      <c r="CB188" s="186" t="n"/>
      <c r="CC188" s="190" t="n"/>
      <c r="CD188" s="186" t="n"/>
      <c r="CE188" s="186" t="n"/>
      <c r="CF188" s="186" t="n"/>
      <c r="CG188" s="186" t="n"/>
      <c r="CH188" s="186" t="n"/>
      <c r="CI188" s="191" t="n"/>
      <c r="CJ188" s="192" t="n"/>
      <c r="CK188" s="192" t="n"/>
      <c r="CL188" s="192" t="n"/>
      <c r="CM188" s="192" t="n"/>
    </row>
    <row r="189">
      <c r="A189" s="177" t="n"/>
      <c r="B189" s="178" t="n"/>
      <c r="C189" s="178" t="n"/>
      <c r="D189" s="179" t="n"/>
      <c r="E189" s="180" t="n"/>
      <c r="F189" s="181" t="n"/>
      <c r="G189" s="182" t="n"/>
      <c r="H189" s="105" t="n"/>
      <c r="I189" s="183">
        <f>F189</f>
        <v/>
      </c>
      <c r="J189" s="184" t="n"/>
      <c r="K189" s="185" t="n"/>
      <c r="L189" s="8" t="n"/>
      <c r="M189" s="184">
        <f>L189</f>
        <v/>
      </c>
      <c r="N189" s="71" t="n"/>
      <c r="O189" s="101" t="n"/>
      <c r="P189" s="9">
        <f>I189-M189</f>
        <v/>
      </c>
      <c r="Q189" s="9">
        <f>IF(LEFT(B189,4)&lt;&gt;"    ",0,BN189)</f>
        <v/>
      </c>
      <c r="R189" s="9">
        <f>+P189-Q189</f>
        <v/>
      </c>
      <c r="S189" s="281" t="n"/>
      <c r="T189" s="10" t="n"/>
      <c r="U189" s="23">
        <f>IF(LEFT(B189,4)&lt;&gt;"    ","",IF(M189&lt;&gt;0,X189/M189,0))</f>
        <v/>
      </c>
      <c r="V189" s="11">
        <f>IF(LEFT(B189,4)&lt;&gt;"    ","",U189*I189)</f>
        <v/>
      </c>
      <c r="W189" s="11">
        <f>IF(LEFT(B189,4)&lt;&gt;"    ","",X189+Z189)</f>
        <v/>
      </c>
      <c r="X189" s="8" t="n"/>
      <c r="Y189" s="9">
        <f>IF(LEFT(B189,4)&lt;&gt;"    ",0,IF(P189&lt;0,P189,IF(U189&gt;0.3,W189-X189,0)))</f>
        <v/>
      </c>
      <c r="Z189" s="71">
        <f>Y189</f>
        <v/>
      </c>
      <c r="AA189" s="71" t="n"/>
      <c r="AB189" s="109" t="n"/>
      <c r="AC189" s="9">
        <f>IF(LEFT(B189,4)&lt;&gt;"    ",0,BK189)</f>
        <v/>
      </c>
      <c r="AD189" s="9">
        <f>Z189-AC189</f>
        <v/>
      </c>
      <c r="AE189" s="10" t="n"/>
      <c r="AF189" s="24" t="n"/>
      <c r="AG189" s="11" t="n"/>
      <c r="AH189" s="8" t="n"/>
      <c r="AI189" s="9">
        <f>IF(LEFT(B189,4)&lt;&gt;"    ","",AG189-AH189)</f>
        <v/>
      </c>
      <c r="AJ189" s="9" t="n"/>
      <c r="AK189" s="10" t="n"/>
      <c r="AL189" s="11">
        <f>IF(LEFT(B189,4)&lt;&gt;"    ","",W189-AG189)</f>
        <v/>
      </c>
      <c r="AM189" s="8">
        <f>IF(LEFT(B189,4)&lt;&gt;"    ","",X189-AH189)</f>
        <v/>
      </c>
      <c r="AN189" s="9">
        <f>IF(LEFT(B189,4)&lt;&gt;"    ","",Y189-AI189)</f>
        <v/>
      </c>
      <c r="AO189" s="9">
        <f>IF(LEFT(B189,4)&lt;&gt;"    ","",Z189-AJ189)</f>
        <v/>
      </c>
      <c r="AP189" s="10" t="n"/>
      <c r="AQ189" s="25">
        <f>IF(LEFT(B189,4)&lt;&gt;"    ","",I189-W189)</f>
        <v/>
      </c>
      <c r="AR189" s="25">
        <f>M189-X189</f>
        <v/>
      </c>
      <c r="AS189" s="25">
        <f>IF(LEFT(B189,4)&lt;&gt;"    ","",P189-Z189)</f>
        <v/>
      </c>
      <c r="AT189" s="10" t="n"/>
      <c r="AU189" s="12" t="n"/>
      <c r="AV189" s="12">
        <f>IF(LEFT(B189,4)&lt;&gt;"    ","",IF(W189-AU189&gt;=0,W189-AU189," "))</f>
        <v/>
      </c>
      <c r="AW189" s="12">
        <f>IF(LEFT(B189,4)&lt;&gt;"    ","",IF(AU189-W189&gt;=0,AU189-W189," "))</f>
        <v/>
      </c>
      <c r="AX189" s="186" t="n"/>
      <c r="AY189" s="187" t="n"/>
      <c r="AZ189" s="186" t="n"/>
      <c r="BA189" s="186" t="n"/>
      <c r="BB189" s="188" t="n"/>
      <c r="BC189" s="187" t="n"/>
      <c r="BD189" s="187" t="n"/>
      <c r="BE189" s="186" t="n"/>
      <c r="BF189" s="186" t="n"/>
      <c r="BG189" s="186" t="n"/>
      <c r="BH189" s="186" t="n"/>
      <c r="BI189" s="186" t="n"/>
      <c r="BJ189" s="186" t="n"/>
      <c r="BK189" s="186" t="n"/>
      <c r="BL189" s="186" t="n"/>
      <c r="BM189" s="186" t="n"/>
      <c r="BN189" s="186" t="n"/>
      <c r="BO189" s="186" t="n"/>
      <c r="BP189" s="186" t="n"/>
      <c r="BQ189" s="186" t="n"/>
      <c r="BR189" s="186" t="n"/>
      <c r="BS189" s="186" t="n"/>
      <c r="BT189" s="186" t="n"/>
      <c r="BU189" s="186" t="n"/>
      <c r="BV189" s="186" t="n"/>
      <c r="BW189" s="186" t="n"/>
      <c r="BX189" s="186" t="n"/>
      <c r="BY189" s="186" t="n"/>
      <c r="BZ189" s="186" t="n"/>
      <c r="CA189" s="186" t="n"/>
      <c r="CB189" s="186" t="n"/>
      <c r="CC189" s="190" t="n"/>
      <c r="CD189" s="186" t="n"/>
      <c r="CE189" s="186" t="n"/>
      <c r="CF189" s="186" t="n"/>
      <c r="CG189" s="186" t="n"/>
      <c r="CH189" s="186" t="n"/>
      <c r="CI189" s="191" t="n"/>
      <c r="CJ189" s="192" t="n"/>
      <c r="CK189" s="192" t="n"/>
      <c r="CL189" s="192" t="n"/>
      <c r="CM189" s="192" t="n"/>
    </row>
    <row r="190">
      <c r="A190" s="177" t="n"/>
      <c r="B190" s="178" t="n"/>
      <c r="C190" s="178" t="n"/>
      <c r="D190" s="179" t="n"/>
      <c r="E190" s="180" t="n"/>
      <c r="F190" s="181" t="n"/>
      <c r="G190" s="182" t="n"/>
      <c r="H190" s="105" t="n"/>
      <c r="I190" s="183">
        <f>F190</f>
        <v/>
      </c>
      <c r="J190" s="184" t="n"/>
      <c r="K190" s="185" t="n"/>
      <c r="L190" s="8" t="n"/>
      <c r="M190" s="184">
        <f>L190</f>
        <v/>
      </c>
      <c r="N190" s="71" t="n"/>
      <c r="O190" s="101" t="n"/>
      <c r="P190" s="9">
        <f>I190-M190</f>
        <v/>
      </c>
      <c r="Q190" s="9">
        <f>IF(LEFT(B190,4)&lt;&gt;"    ",0,BN190)</f>
        <v/>
      </c>
      <c r="R190" s="9">
        <f>+P190-Q190</f>
        <v/>
      </c>
      <c r="S190" s="281" t="n"/>
      <c r="T190" s="10" t="n"/>
      <c r="U190" s="23">
        <f>IF(LEFT(B190,4)&lt;&gt;"    ","",IF(M190&lt;&gt;0,X190/M190,0))</f>
        <v/>
      </c>
      <c r="V190" s="11">
        <f>IF(LEFT(B190,4)&lt;&gt;"    ","",U190*I190)</f>
        <v/>
      </c>
      <c r="W190" s="11">
        <f>IF(LEFT(B190,4)&lt;&gt;"    ","",X190+Z190)</f>
        <v/>
      </c>
      <c r="X190" s="8" t="n"/>
      <c r="Y190" s="9">
        <f>IF(LEFT(B190,4)&lt;&gt;"    ",0,IF(P190&lt;0,P190,IF(U190&gt;0.3,W190-X190,0)))</f>
        <v/>
      </c>
      <c r="Z190" s="71">
        <f>Y190</f>
        <v/>
      </c>
      <c r="AA190" s="71" t="n"/>
      <c r="AB190" s="109" t="n"/>
      <c r="AC190" s="9">
        <f>IF(LEFT(B190,4)&lt;&gt;"    ",0,BK190)</f>
        <v/>
      </c>
      <c r="AD190" s="9">
        <f>Z190-AC190</f>
        <v/>
      </c>
      <c r="AE190" s="10" t="n"/>
      <c r="AF190" s="24" t="n"/>
      <c r="AG190" s="11" t="n"/>
      <c r="AH190" s="8" t="n"/>
      <c r="AI190" s="9">
        <f>IF(LEFT(B190,4)&lt;&gt;"    ","",AG190-AH190)</f>
        <v/>
      </c>
      <c r="AJ190" s="9" t="n"/>
      <c r="AK190" s="10" t="n"/>
      <c r="AL190" s="11">
        <f>IF(LEFT(B190,4)&lt;&gt;"    ","",W190-AG190)</f>
        <v/>
      </c>
      <c r="AM190" s="8">
        <f>IF(LEFT(B190,4)&lt;&gt;"    ","",X190-AH190)</f>
        <v/>
      </c>
      <c r="AN190" s="9">
        <f>IF(LEFT(B190,4)&lt;&gt;"    ","",Y190-AI190)</f>
        <v/>
      </c>
      <c r="AO190" s="9">
        <f>IF(LEFT(B190,4)&lt;&gt;"    ","",Z190-AJ190)</f>
        <v/>
      </c>
      <c r="AP190" s="10" t="n"/>
      <c r="AQ190" s="25">
        <f>IF(LEFT(B190,4)&lt;&gt;"    ","",I190-W190)</f>
        <v/>
      </c>
      <c r="AR190" s="25">
        <f>M190-X190</f>
        <v/>
      </c>
      <c r="AS190" s="25">
        <f>IF(LEFT(B190,4)&lt;&gt;"    ","",P190-Z190)</f>
        <v/>
      </c>
      <c r="AT190" s="10" t="n"/>
      <c r="AU190" s="12" t="n"/>
      <c r="AV190" s="12">
        <f>IF(LEFT(B190,4)&lt;&gt;"    ","",IF(W190-AU190&gt;=0,W190-AU190," "))</f>
        <v/>
      </c>
      <c r="AW190" s="12">
        <f>IF(LEFT(B190,4)&lt;&gt;"    ","",IF(AU190-W190&gt;=0,AU190-W190," "))</f>
        <v/>
      </c>
      <c r="AX190" s="186" t="n"/>
      <c r="AY190" s="187" t="n"/>
      <c r="AZ190" s="186" t="n"/>
      <c r="BA190" s="186" t="n"/>
      <c r="BB190" s="188" t="n"/>
      <c r="BC190" s="187" t="n"/>
      <c r="BD190" s="187" t="n"/>
      <c r="BE190" s="186" t="n"/>
      <c r="BF190" s="186" t="n"/>
      <c r="BG190" s="186" t="n"/>
      <c r="BH190" s="186" t="n"/>
      <c r="BI190" s="186" t="n"/>
      <c r="BJ190" s="186" t="n"/>
      <c r="BK190" s="186" t="n"/>
      <c r="BL190" s="186" t="n"/>
      <c r="BM190" s="186" t="n"/>
      <c r="BN190" s="186" t="n"/>
      <c r="BO190" s="186" t="n"/>
      <c r="BP190" s="186" t="n"/>
      <c r="BQ190" s="186" t="n"/>
      <c r="BR190" s="186" t="n"/>
      <c r="BS190" s="186" t="n"/>
      <c r="BT190" s="186" t="n"/>
      <c r="BU190" s="186" t="n"/>
      <c r="BV190" s="186" t="n"/>
      <c r="BW190" s="186" t="n"/>
      <c r="BX190" s="186" t="n"/>
      <c r="BY190" s="186" t="n"/>
      <c r="BZ190" s="186" t="n"/>
      <c r="CA190" s="186" t="n"/>
      <c r="CB190" s="186" t="n"/>
      <c r="CC190" s="190" t="n"/>
      <c r="CD190" s="186" t="n"/>
      <c r="CE190" s="186" t="n"/>
      <c r="CF190" s="186" t="n"/>
      <c r="CG190" s="186" t="n"/>
      <c r="CH190" s="186" t="n"/>
      <c r="CI190" s="191" t="n"/>
      <c r="CJ190" s="192" t="n"/>
      <c r="CK190" s="192" t="n"/>
      <c r="CL190" s="192" t="n"/>
      <c r="CM190" s="192" t="n"/>
    </row>
    <row r="191">
      <c r="A191" s="177" t="n"/>
      <c r="B191" s="178" t="n"/>
      <c r="C191" s="178" t="n"/>
      <c r="D191" s="179" t="n"/>
      <c r="E191" s="180" t="n"/>
      <c r="F191" s="181" t="n"/>
      <c r="G191" s="182" t="n"/>
      <c r="H191" s="105" t="n"/>
      <c r="I191" s="183">
        <f>F191</f>
        <v/>
      </c>
      <c r="J191" s="184" t="n"/>
      <c r="K191" s="185" t="n"/>
      <c r="L191" s="8" t="n"/>
      <c r="M191" s="184">
        <f>L191</f>
        <v/>
      </c>
      <c r="N191" s="71" t="n"/>
      <c r="O191" s="101" t="n"/>
      <c r="P191" s="9">
        <f>I191-M191</f>
        <v/>
      </c>
      <c r="Q191" s="9">
        <f>IF(LEFT(B191,4)&lt;&gt;"    ",0,BN191)</f>
        <v/>
      </c>
      <c r="R191" s="9">
        <f>+P191-Q191</f>
        <v/>
      </c>
      <c r="S191" s="281" t="n"/>
      <c r="T191" s="10" t="n"/>
      <c r="U191" s="23">
        <f>IF(LEFT(B191,4)&lt;&gt;"    ","",IF(M191&lt;&gt;0,X191/M191,0))</f>
        <v/>
      </c>
      <c r="V191" s="11">
        <f>IF(LEFT(B191,4)&lt;&gt;"    ","",U191*I191)</f>
        <v/>
      </c>
      <c r="W191" s="11">
        <f>IF(LEFT(B191,4)&lt;&gt;"    ","",X191+Z191)</f>
        <v/>
      </c>
      <c r="X191" s="8" t="n"/>
      <c r="Y191" s="9">
        <f>IF(LEFT(B191,4)&lt;&gt;"    ",0,IF(P191&lt;0,P191,IF(U191&gt;0.3,W191-X191,0)))</f>
        <v/>
      </c>
      <c r="Z191" s="71">
        <f>Y191</f>
        <v/>
      </c>
      <c r="AA191" s="71" t="n"/>
      <c r="AB191" s="109" t="n"/>
      <c r="AC191" s="9">
        <f>IF(LEFT(B191,4)&lt;&gt;"    ",0,BK191)</f>
        <v/>
      </c>
      <c r="AD191" s="9">
        <f>Z191-AC191</f>
        <v/>
      </c>
      <c r="AE191" s="10" t="n"/>
      <c r="AF191" s="24" t="n"/>
      <c r="AG191" s="11" t="n"/>
      <c r="AH191" s="8" t="n"/>
      <c r="AI191" s="9">
        <f>IF(LEFT(B191,4)&lt;&gt;"    ","",AG191-AH191)</f>
        <v/>
      </c>
      <c r="AJ191" s="9" t="n"/>
      <c r="AK191" s="10" t="n"/>
      <c r="AL191" s="11">
        <f>IF(LEFT(B191,4)&lt;&gt;"    ","",W191-AG191)</f>
        <v/>
      </c>
      <c r="AM191" s="8">
        <f>IF(LEFT(B191,4)&lt;&gt;"    ","",X191-AH191)</f>
        <v/>
      </c>
      <c r="AN191" s="9">
        <f>IF(LEFT(B191,4)&lt;&gt;"    ","",Y191-AI191)</f>
        <v/>
      </c>
      <c r="AO191" s="9">
        <f>IF(LEFT(B191,4)&lt;&gt;"    ","",Z191-AJ191)</f>
        <v/>
      </c>
      <c r="AP191" s="10" t="n"/>
      <c r="AQ191" s="25">
        <f>IF(LEFT(B191,4)&lt;&gt;"    ","",I191-W191)</f>
        <v/>
      </c>
      <c r="AR191" s="25">
        <f>M191-X191</f>
        <v/>
      </c>
      <c r="AS191" s="25">
        <f>IF(LEFT(B191,4)&lt;&gt;"    ","",P191-Z191)</f>
        <v/>
      </c>
      <c r="AT191" s="10" t="n"/>
      <c r="AU191" s="12" t="n"/>
      <c r="AV191" s="12">
        <f>IF(LEFT(B191,4)&lt;&gt;"    ","",IF(W191-AU191&gt;=0,W191-AU191," "))</f>
        <v/>
      </c>
      <c r="AW191" s="12">
        <f>IF(LEFT(B191,4)&lt;&gt;"    ","",IF(AU191-W191&gt;=0,AU191-W191," "))</f>
        <v/>
      </c>
      <c r="AX191" s="186" t="n"/>
      <c r="AY191" s="187" t="n"/>
      <c r="AZ191" s="186" t="n"/>
      <c r="BA191" s="186" t="n"/>
      <c r="BB191" s="188" t="n"/>
      <c r="BC191" s="187" t="n"/>
      <c r="BD191" s="187" t="n"/>
      <c r="BE191" s="186" t="n"/>
      <c r="BF191" s="186" t="n"/>
      <c r="BG191" s="186" t="n"/>
      <c r="BH191" s="186" t="n"/>
      <c r="BI191" s="186" t="n"/>
      <c r="BJ191" s="186" t="n"/>
      <c r="BK191" s="186" t="n"/>
      <c r="BL191" s="186" t="n"/>
      <c r="BM191" s="186" t="n"/>
      <c r="BN191" s="186" t="n"/>
      <c r="BO191" s="186" t="n"/>
      <c r="BP191" s="186" t="n"/>
      <c r="BQ191" s="186" t="n"/>
      <c r="BR191" s="186" t="n"/>
      <c r="BS191" s="186" t="n"/>
      <c r="BT191" s="186" t="n"/>
      <c r="BU191" s="186" t="n"/>
      <c r="BV191" s="186" t="n"/>
      <c r="BW191" s="186" t="n"/>
      <c r="BX191" s="186" t="n"/>
      <c r="BY191" s="186" t="n"/>
      <c r="BZ191" s="186" t="n"/>
      <c r="CA191" s="186" t="n"/>
      <c r="CB191" s="186" t="n"/>
      <c r="CC191" s="190" t="n"/>
      <c r="CD191" s="186" t="n"/>
      <c r="CE191" s="186" t="n"/>
      <c r="CF191" s="186" t="n"/>
      <c r="CG191" s="186" t="n"/>
      <c r="CH191" s="186" t="n"/>
      <c r="CI191" s="191" t="n"/>
      <c r="CJ191" s="192" t="n"/>
      <c r="CK191" s="192" t="n"/>
      <c r="CL191" s="192" t="n"/>
      <c r="CM191" s="192" t="n"/>
    </row>
    <row r="192">
      <c r="A192" s="177" t="n"/>
      <c r="B192" s="178" t="n"/>
      <c r="C192" s="178" t="n"/>
      <c r="D192" s="179" t="n"/>
      <c r="E192" s="180" t="n"/>
      <c r="F192" s="181" t="n"/>
      <c r="G192" s="182" t="n"/>
      <c r="H192" s="105" t="n"/>
      <c r="I192" s="183">
        <f>F192</f>
        <v/>
      </c>
      <c r="J192" s="184" t="n"/>
      <c r="K192" s="185" t="n"/>
      <c r="L192" s="8" t="n"/>
      <c r="M192" s="184">
        <f>L192</f>
        <v/>
      </c>
      <c r="N192" s="71" t="n"/>
      <c r="O192" s="101" t="n"/>
      <c r="P192" s="9">
        <f>I192-M192</f>
        <v/>
      </c>
      <c r="Q192" s="9">
        <f>IF(LEFT(B192,4)&lt;&gt;"    ",0,BN192)</f>
        <v/>
      </c>
      <c r="R192" s="9">
        <f>+P192-Q192</f>
        <v/>
      </c>
      <c r="S192" s="281" t="n"/>
      <c r="T192" s="10" t="n"/>
      <c r="U192" s="23">
        <f>IF(LEFT(B192,4)&lt;&gt;"    ","",IF(M192&lt;&gt;0,X192/M192,0))</f>
        <v/>
      </c>
      <c r="V192" s="11">
        <f>IF(LEFT(B192,4)&lt;&gt;"    ","",U192*I192)</f>
        <v/>
      </c>
      <c r="W192" s="11">
        <f>IF(LEFT(B192,4)&lt;&gt;"    ","",X192+Z192)</f>
        <v/>
      </c>
      <c r="X192" s="8" t="n"/>
      <c r="Y192" s="9">
        <f>IF(LEFT(B192,4)&lt;&gt;"    ",0,IF(P192&lt;0,P192,IF(U192&gt;0.3,W192-X192,0)))</f>
        <v/>
      </c>
      <c r="Z192" s="71">
        <f>Y192</f>
        <v/>
      </c>
      <c r="AA192" s="71" t="n"/>
      <c r="AB192" s="109" t="n"/>
      <c r="AC192" s="9">
        <f>IF(LEFT(B192,4)&lt;&gt;"    ",0,BK192)</f>
        <v/>
      </c>
      <c r="AD192" s="9">
        <f>Z192-AC192</f>
        <v/>
      </c>
      <c r="AE192" s="10" t="n"/>
      <c r="AF192" s="24" t="n"/>
      <c r="AG192" s="11" t="n"/>
      <c r="AH192" s="8" t="n"/>
      <c r="AI192" s="9">
        <f>IF(LEFT(B192,4)&lt;&gt;"    ","",AG192-AH192)</f>
        <v/>
      </c>
      <c r="AJ192" s="9" t="n"/>
      <c r="AK192" s="10" t="n"/>
      <c r="AL192" s="11">
        <f>IF(LEFT(B192,4)&lt;&gt;"    ","",W192-AG192)</f>
        <v/>
      </c>
      <c r="AM192" s="8">
        <f>IF(LEFT(B192,4)&lt;&gt;"    ","",X192-AH192)</f>
        <v/>
      </c>
      <c r="AN192" s="9">
        <f>IF(LEFT(B192,4)&lt;&gt;"    ","",Y192-AI192)</f>
        <v/>
      </c>
      <c r="AO192" s="9">
        <f>IF(LEFT(B192,4)&lt;&gt;"    ","",Z192-AJ192)</f>
        <v/>
      </c>
      <c r="AP192" s="10" t="n"/>
      <c r="AQ192" s="25">
        <f>IF(LEFT(B192,4)&lt;&gt;"    ","",I192-W192)</f>
        <v/>
      </c>
      <c r="AR192" s="25">
        <f>M192-X192</f>
        <v/>
      </c>
      <c r="AS192" s="25">
        <f>IF(LEFT(B192,4)&lt;&gt;"    ","",P192-Z192)</f>
        <v/>
      </c>
      <c r="AT192" s="10" t="n"/>
      <c r="AU192" s="12" t="n"/>
      <c r="AV192" s="12">
        <f>IF(LEFT(B192,4)&lt;&gt;"    ","",IF(W192-AU192&gt;=0,W192-AU192," "))</f>
        <v/>
      </c>
      <c r="AW192" s="12">
        <f>IF(LEFT(B192,4)&lt;&gt;"    ","",IF(AU192-W192&gt;=0,AU192-W192," "))</f>
        <v/>
      </c>
      <c r="AX192" s="186" t="n"/>
      <c r="AY192" s="187" t="n"/>
      <c r="AZ192" s="186" t="n"/>
      <c r="BA192" s="186" t="n"/>
      <c r="BB192" s="188" t="n"/>
      <c r="BC192" s="187" t="n"/>
      <c r="BD192" s="187" t="n"/>
      <c r="BE192" s="186" t="n"/>
      <c r="BF192" s="186" t="n"/>
      <c r="BG192" s="186" t="n"/>
      <c r="BH192" s="186" t="n"/>
      <c r="BI192" s="186" t="n"/>
      <c r="BJ192" s="186" t="n"/>
      <c r="BK192" s="186" t="n"/>
      <c r="BL192" s="186" t="n"/>
      <c r="BM192" s="186" t="n"/>
      <c r="BN192" s="186" t="n"/>
      <c r="BO192" s="186" t="n"/>
      <c r="BP192" s="186" t="n"/>
      <c r="BQ192" s="186" t="n"/>
      <c r="BR192" s="186" t="n"/>
      <c r="BS192" s="186" t="n"/>
      <c r="BT192" s="186" t="n"/>
      <c r="BU192" s="186" t="n"/>
      <c r="BV192" s="186" t="n"/>
      <c r="BW192" s="186" t="n"/>
      <c r="BX192" s="186" t="n"/>
      <c r="BY192" s="186" t="n"/>
      <c r="BZ192" s="186" t="n"/>
      <c r="CA192" s="186" t="n"/>
      <c r="CB192" s="186" t="n"/>
      <c r="CC192" s="190" t="n"/>
      <c r="CD192" s="186" t="n"/>
      <c r="CE192" s="186" t="n"/>
      <c r="CF192" s="186" t="n"/>
      <c r="CG192" s="186" t="n"/>
      <c r="CH192" s="186" t="n"/>
      <c r="CI192" s="191" t="n"/>
      <c r="CJ192" s="192" t="n"/>
      <c r="CK192" s="192" t="n"/>
      <c r="CL192" s="192" t="n"/>
      <c r="CM192" s="192" t="n"/>
    </row>
    <row r="193">
      <c r="A193" s="177" t="n"/>
      <c r="B193" s="178" t="n"/>
      <c r="C193" s="178" t="n"/>
      <c r="D193" s="179" t="n"/>
      <c r="E193" s="180" t="n"/>
      <c r="F193" s="181" t="n"/>
      <c r="G193" s="182" t="n"/>
      <c r="H193" s="105" t="n"/>
      <c r="I193" s="183">
        <f>F193</f>
        <v/>
      </c>
      <c r="J193" s="184" t="n"/>
      <c r="K193" s="185" t="n"/>
      <c r="L193" s="8" t="n"/>
      <c r="M193" s="184">
        <f>L193</f>
        <v/>
      </c>
      <c r="N193" s="71" t="n"/>
      <c r="O193" s="101" t="n"/>
      <c r="P193" s="9">
        <f>I193-M193</f>
        <v/>
      </c>
      <c r="Q193" s="9">
        <f>IF(LEFT(B193,4)&lt;&gt;"    ",0,BN193)</f>
        <v/>
      </c>
      <c r="R193" s="9">
        <f>+P193-Q193</f>
        <v/>
      </c>
      <c r="S193" s="281" t="n"/>
      <c r="T193" s="10" t="n"/>
      <c r="U193" s="23">
        <f>IF(LEFT(B193,4)&lt;&gt;"    ","",IF(M193&lt;&gt;0,X193/M193,0))</f>
        <v/>
      </c>
      <c r="V193" s="11">
        <f>IF(LEFT(B193,4)&lt;&gt;"    ","",U193*I193)</f>
        <v/>
      </c>
      <c r="W193" s="11">
        <f>IF(LEFT(B193,4)&lt;&gt;"    ","",X193+Z193)</f>
        <v/>
      </c>
      <c r="X193" s="8" t="n"/>
      <c r="Y193" s="9">
        <f>IF(LEFT(B193,4)&lt;&gt;"    ",0,IF(P193&lt;0,P193,IF(U193&gt;0.3,W193-X193,0)))</f>
        <v/>
      </c>
      <c r="Z193" s="71">
        <f>Y193</f>
        <v/>
      </c>
      <c r="AA193" s="71" t="n"/>
      <c r="AB193" s="109" t="n"/>
      <c r="AC193" s="9">
        <f>IF(LEFT(B193,4)&lt;&gt;"    ",0,BK193)</f>
        <v/>
      </c>
      <c r="AD193" s="9">
        <f>Z193-AC193</f>
        <v/>
      </c>
      <c r="AE193" s="10" t="n"/>
      <c r="AF193" s="24" t="n"/>
      <c r="AG193" s="11" t="n"/>
      <c r="AH193" s="8" t="n"/>
      <c r="AI193" s="9">
        <f>IF(LEFT(B193,4)&lt;&gt;"    ","",AG193-AH193)</f>
        <v/>
      </c>
      <c r="AJ193" s="9" t="n"/>
      <c r="AK193" s="10" t="n"/>
      <c r="AL193" s="11">
        <f>IF(LEFT(B193,4)&lt;&gt;"    ","",W193-AG193)</f>
        <v/>
      </c>
      <c r="AM193" s="8">
        <f>IF(LEFT(B193,4)&lt;&gt;"    ","",X193-AH193)</f>
        <v/>
      </c>
      <c r="AN193" s="9">
        <f>IF(LEFT(B193,4)&lt;&gt;"    ","",Y193-AI193)</f>
        <v/>
      </c>
      <c r="AO193" s="9">
        <f>IF(LEFT(B193,4)&lt;&gt;"    ","",Z193-AJ193)</f>
        <v/>
      </c>
      <c r="AP193" s="10" t="n"/>
      <c r="AQ193" s="25">
        <f>IF(LEFT(B193,4)&lt;&gt;"    ","",I193-W193)</f>
        <v/>
      </c>
      <c r="AR193" s="25">
        <f>M193-X193</f>
        <v/>
      </c>
      <c r="AS193" s="25">
        <f>IF(LEFT(B193,4)&lt;&gt;"    ","",P193-Z193)</f>
        <v/>
      </c>
      <c r="AT193" s="10" t="n"/>
      <c r="AU193" s="12" t="n"/>
      <c r="AV193" s="12">
        <f>IF(LEFT(B193,4)&lt;&gt;"    ","",IF(W193-AU193&gt;=0,W193-AU193," "))</f>
        <v/>
      </c>
      <c r="AW193" s="12">
        <f>IF(LEFT(B193,4)&lt;&gt;"    ","",IF(AU193-W193&gt;=0,AU193-W193," "))</f>
        <v/>
      </c>
      <c r="AX193" s="186" t="n"/>
      <c r="AY193" s="187" t="n"/>
      <c r="AZ193" s="186" t="n"/>
      <c r="BA193" s="186" t="n"/>
      <c r="BB193" s="188" t="n"/>
      <c r="BC193" s="187" t="n"/>
      <c r="BD193" s="187" t="n"/>
      <c r="BE193" s="186" t="n"/>
      <c r="BF193" s="186" t="n"/>
      <c r="BG193" s="186" t="n"/>
      <c r="BH193" s="186" t="n"/>
      <c r="BI193" s="186" t="n"/>
      <c r="BJ193" s="186" t="n"/>
      <c r="BK193" s="186" t="n"/>
      <c r="BL193" s="186" t="n"/>
      <c r="BM193" s="186" t="n"/>
      <c r="BN193" s="186" t="n"/>
      <c r="BO193" s="186" t="n"/>
      <c r="BP193" s="186" t="n"/>
      <c r="BQ193" s="186" t="n"/>
      <c r="BR193" s="186" t="n"/>
      <c r="BS193" s="186" t="n"/>
      <c r="BT193" s="186" t="n"/>
      <c r="BU193" s="186" t="n"/>
      <c r="BV193" s="186" t="n"/>
      <c r="BW193" s="186" t="n"/>
      <c r="BX193" s="186" t="n"/>
      <c r="BY193" s="186" t="n"/>
      <c r="BZ193" s="186" t="n"/>
      <c r="CA193" s="186" t="n"/>
      <c r="CB193" s="186" t="n"/>
      <c r="CC193" s="190" t="n"/>
      <c r="CD193" s="186" t="n"/>
      <c r="CE193" s="186" t="n"/>
      <c r="CF193" s="186" t="n"/>
      <c r="CG193" s="186" t="n"/>
      <c r="CH193" s="186" t="n"/>
      <c r="CI193" s="191" t="n"/>
      <c r="CJ193" s="192" t="n"/>
      <c r="CK193" s="192" t="n"/>
      <c r="CL193" s="192" t="n"/>
      <c r="CM193" s="192" t="n"/>
    </row>
    <row r="194">
      <c r="A194" s="177" t="n"/>
      <c r="B194" s="178" t="n"/>
      <c r="C194" s="178" t="n"/>
      <c r="D194" s="179" t="n"/>
      <c r="E194" s="180" t="n"/>
      <c r="F194" s="181" t="n"/>
      <c r="G194" s="182" t="n"/>
      <c r="H194" s="105" t="n"/>
      <c r="I194" s="183">
        <f>F194</f>
        <v/>
      </c>
      <c r="J194" s="184" t="n"/>
      <c r="K194" s="185" t="n"/>
      <c r="L194" s="8" t="n"/>
      <c r="M194" s="184">
        <f>L194</f>
        <v/>
      </c>
      <c r="N194" s="71" t="n"/>
      <c r="O194" s="101" t="n"/>
      <c r="P194" s="9">
        <f>I194-M194</f>
        <v/>
      </c>
      <c r="Q194" s="9">
        <f>IF(LEFT(B194,4)&lt;&gt;"    ",0,BN194)</f>
        <v/>
      </c>
      <c r="R194" s="9">
        <f>+P194-Q194</f>
        <v/>
      </c>
      <c r="S194" s="281" t="n"/>
      <c r="T194" s="10" t="n"/>
      <c r="U194" s="23">
        <f>IF(LEFT(B194,4)&lt;&gt;"    ","",IF(M194&lt;&gt;0,X194/M194,0))</f>
        <v/>
      </c>
      <c r="V194" s="11">
        <f>IF(LEFT(B194,4)&lt;&gt;"    ","",U194*I194)</f>
        <v/>
      </c>
      <c r="W194" s="11">
        <f>IF(LEFT(B194,4)&lt;&gt;"    ","",X194+Z194)</f>
        <v/>
      </c>
      <c r="X194" s="8" t="n"/>
      <c r="Y194" s="9">
        <f>IF(LEFT(B194,4)&lt;&gt;"    ",0,IF(P194&lt;0,P194,IF(U194&gt;0.3,W194-X194,0)))</f>
        <v/>
      </c>
      <c r="Z194" s="71">
        <f>Y194</f>
        <v/>
      </c>
      <c r="AA194" s="71" t="n"/>
      <c r="AB194" s="109" t="n"/>
      <c r="AC194" s="9">
        <f>IF(LEFT(B194,4)&lt;&gt;"    ",0,BK194)</f>
        <v/>
      </c>
      <c r="AD194" s="9">
        <f>Z194-AC194</f>
        <v/>
      </c>
      <c r="AE194" s="10" t="n"/>
      <c r="AF194" s="24" t="n"/>
      <c r="AG194" s="11" t="n"/>
      <c r="AH194" s="8" t="n"/>
      <c r="AI194" s="9">
        <f>IF(LEFT(B194,4)&lt;&gt;"    ","",AG194-AH194)</f>
        <v/>
      </c>
      <c r="AJ194" s="9" t="n"/>
      <c r="AK194" s="10" t="n"/>
      <c r="AL194" s="11">
        <f>IF(LEFT(B194,4)&lt;&gt;"    ","",W194-AG194)</f>
        <v/>
      </c>
      <c r="AM194" s="8">
        <f>IF(LEFT(B194,4)&lt;&gt;"    ","",X194-AH194)</f>
        <v/>
      </c>
      <c r="AN194" s="9">
        <f>IF(LEFT(B194,4)&lt;&gt;"    ","",Y194-AI194)</f>
        <v/>
      </c>
      <c r="AO194" s="9">
        <f>IF(LEFT(B194,4)&lt;&gt;"    ","",Z194-AJ194)</f>
        <v/>
      </c>
      <c r="AP194" s="10" t="n"/>
      <c r="AQ194" s="25">
        <f>IF(LEFT(B194,4)&lt;&gt;"    ","",I194-W194)</f>
        <v/>
      </c>
      <c r="AR194" s="25">
        <f>M194-X194</f>
        <v/>
      </c>
      <c r="AS194" s="25">
        <f>IF(LEFT(B194,4)&lt;&gt;"    ","",P194-Z194)</f>
        <v/>
      </c>
      <c r="AT194" s="10" t="n"/>
      <c r="AU194" s="12" t="n"/>
      <c r="AV194" s="12">
        <f>IF(LEFT(B194,4)&lt;&gt;"    ","",IF(W194-AU194&gt;=0,W194-AU194," "))</f>
        <v/>
      </c>
      <c r="AW194" s="12">
        <f>IF(LEFT(B194,4)&lt;&gt;"    ","",IF(AU194-W194&gt;=0,AU194-W194," "))</f>
        <v/>
      </c>
      <c r="AX194" s="186" t="n"/>
      <c r="AY194" s="187" t="n"/>
      <c r="AZ194" s="186" t="n"/>
      <c r="BA194" s="186" t="n"/>
      <c r="BB194" s="188" t="n"/>
      <c r="BC194" s="187" t="n"/>
      <c r="BD194" s="187" t="n"/>
      <c r="BE194" s="186" t="n"/>
      <c r="BF194" s="186" t="n"/>
      <c r="BG194" s="186" t="n"/>
      <c r="BH194" s="186" t="n"/>
      <c r="BI194" s="186" t="n"/>
      <c r="BJ194" s="186" t="n"/>
      <c r="BK194" s="186" t="n"/>
      <c r="BL194" s="186" t="n"/>
      <c r="BM194" s="186" t="n"/>
      <c r="BN194" s="186" t="n"/>
      <c r="BO194" s="186" t="n"/>
      <c r="BP194" s="186" t="n"/>
      <c r="BQ194" s="186" t="n"/>
      <c r="BR194" s="186" t="n"/>
      <c r="BS194" s="186" t="n"/>
      <c r="BT194" s="186" t="n"/>
      <c r="BU194" s="186" t="n"/>
      <c r="BV194" s="186" t="n"/>
      <c r="BW194" s="186" t="n"/>
      <c r="BX194" s="186" t="n"/>
      <c r="BY194" s="186" t="n"/>
      <c r="BZ194" s="186" t="n"/>
      <c r="CA194" s="186" t="n"/>
      <c r="CB194" s="186" t="n"/>
      <c r="CC194" s="190" t="n"/>
      <c r="CD194" s="186" t="n"/>
      <c r="CE194" s="186" t="n"/>
      <c r="CF194" s="186" t="n"/>
      <c r="CG194" s="186" t="n"/>
      <c r="CH194" s="186" t="n"/>
      <c r="CI194" s="191" t="n"/>
      <c r="CJ194" s="192" t="n"/>
      <c r="CK194" s="192" t="n"/>
      <c r="CL194" s="192" t="n"/>
      <c r="CM194" s="192" t="n"/>
    </row>
    <row r="195">
      <c r="A195" s="177" t="n"/>
      <c r="B195" s="178" t="n"/>
      <c r="C195" s="178" t="n"/>
      <c r="D195" s="179" t="n"/>
      <c r="E195" s="180" t="n"/>
      <c r="F195" s="181" t="n"/>
      <c r="G195" s="182" t="n"/>
      <c r="H195" s="105" t="n"/>
      <c r="I195" s="183">
        <f>F195</f>
        <v/>
      </c>
      <c r="J195" s="184" t="n"/>
      <c r="K195" s="185" t="n"/>
      <c r="L195" s="8" t="n"/>
      <c r="M195" s="184">
        <f>L195</f>
        <v/>
      </c>
      <c r="N195" s="71" t="n"/>
      <c r="O195" s="101" t="n"/>
      <c r="P195" s="9">
        <f>I195-M195</f>
        <v/>
      </c>
      <c r="Q195" s="9">
        <f>IF(LEFT(B195,4)&lt;&gt;"    ",0,BN195)</f>
        <v/>
      </c>
      <c r="R195" s="9">
        <f>+P195-Q195</f>
        <v/>
      </c>
      <c r="S195" s="281" t="n"/>
      <c r="T195" s="10" t="n"/>
      <c r="U195" s="23">
        <f>IF(LEFT(B195,4)&lt;&gt;"    ","",IF(M195&lt;&gt;0,X195/M195,0))</f>
        <v/>
      </c>
      <c r="V195" s="11">
        <f>IF(LEFT(B195,4)&lt;&gt;"    ","",U195*I195)</f>
        <v/>
      </c>
      <c r="W195" s="11">
        <f>IF(LEFT(B195,4)&lt;&gt;"    ","",X195+Z195)</f>
        <v/>
      </c>
      <c r="X195" s="8" t="n"/>
      <c r="Y195" s="9">
        <f>IF(LEFT(B195,4)&lt;&gt;"    ",0,IF(P195&lt;0,P195,IF(U195&gt;0.3,W195-X195,0)))</f>
        <v/>
      </c>
      <c r="Z195" s="71">
        <f>Y195</f>
        <v/>
      </c>
      <c r="AA195" s="71" t="n"/>
      <c r="AB195" s="109" t="n"/>
      <c r="AC195" s="9">
        <f>IF(LEFT(B195,4)&lt;&gt;"    ",0,BK195)</f>
        <v/>
      </c>
      <c r="AD195" s="9">
        <f>Z195-AC195</f>
        <v/>
      </c>
      <c r="AE195" s="10" t="n"/>
      <c r="AF195" s="24" t="n"/>
      <c r="AG195" s="11" t="n"/>
      <c r="AH195" s="8" t="n"/>
      <c r="AI195" s="9">
        <f>IF(LEFT(B195,4)&lt;&gt;"    ","",AG195-AH195)</f>
        <v/>
      </c>
      <c r="AJ195" s="9" t="n"/>
      <c r="AK195" s="10" t="n"/>
      <c r="AL195" s="11">
        <f>IF(LEFT(B195,4)&lt;&gt;"    ","",W195-AG195)</f>
        <v/>
      </c>
      <c r="AM195" s="8">
        <f>IF(LEFT(B195,4)&lt;&gt;"    ","",X195-AH195)</f>
        <v/>
      </c>
      <c r="AN195" s="9">
        <f>IF(LEFT(B195,4)&lt;&gt;"    ","",Y195-AI195)</f>
        <v/>
      </c>
      <c r="AO195" s="9">
        <f>IF(LEFT(B195,4)&lt;&gt;"    ","",Z195-AJ195)</f>
        <v/>
      </c>
      <c r="AP195" s="10" t="n"/>
      <c r="AQ195" s="25">
        <f>IF(LEFT(B195,4)&lt;&gt;"    ","",I195-W195)</f>
        <v/>
      </c>
      <c r="AR195" s="25">
        <f>M195-X195</f>
        <v/>
      </c>
      <c r="AS195" s="25">
        <f>IF(LEFT(B195,4)&lt;&gt;"    ","",P195-Z195)</f>
        <v/>
      </c>
      <c r="AT195" s="10" t="n"/>
      <c r="AU195" s="12" t="n"/>
      <c r="AV195" s="12">
        <f>IF(LEFT(B195,4)&lt;&gt;"    ","",IF(W195-AU195&gt;=0,W195-AU195," "))</f>
        <v/>
      </c>
      <c r="AW195" s="12">
        <f>IF(LEFT(B195,4)&lt;&gt;"    ","",IF(AU195-W195&gt;=0,AU195-W195," "))</f>
        <v/>
      </c>
      <c r="AX195" s="186" t="n"/>
      <c r="AY195" s="187" t="n"/>
      <c r="AZ195" s="186" t="n"/>
      <c r="BA195" s="186" t="n"/>
      <c r="BB195" s="188" t="n"/>
      <c r="BC195" s="187" t="n"/>
      <c r="BD195" s="187" t="n"/>
      <c r="BE195" s="186" t="n"/>
      <c r="BF195" s="186" t="n"/>
      <c r="BG195" s="186" t="n"/>
      <c r="BH195" s="186" t="n"/>
      <c r="BI195" s="186" t="n"/>
      <c r="BJ195" s="186" t="n"/>
      <c r="BK195" s="186" t="n"/>
      <c r="BL195" s="186" t="n"/>
      <c r="BM195" s="186" t="n"/>
      <c r="BN195" s="186" t="n"/>
      <c r="BO195" s="186" t="n"/>
      <c r="BP195" s="186" t="n"/>
      <c r="BQ195" s="186" t="n"/>
      <c r="BR195" s="186" t="n"/>
      <c r="BS195" s="186" t="n"/>
      <c r="BT195" s="186" t="n"/>
      <c r="BU195" s="186" t="n"/>
      <c r="BV195" s="186" t="n"/>
      <c r="BW195" s="186" t="n"/>
      <c r="BX195" s="186" t="n"/>
      <c r="BY195" s="186" t="n"/>
      <c r="BZ195" s="186" t="n"/>
      <c r="CA195" s="186" t="n"/>
      <c r="CB195" s="186" t="n"/>
      <c r="CC195" s="190" t="n"/>
      <c r="CD195" s="186" t="n"/>
      <c r="CE195" s="186" t="n"/>
      <c r="CF195" s="186" t="n"/>
      <c r="CG195" s="186" t="n"/>
      <c r="CH195" s="186" t="n"/>
      <c r="CI195" s="191" t="n"/>
      <c r="CJ195" s="192" t="n"/>
      <c r="CK195" s="192" t="n"/>
      <c r="CL195" s="192" t="n"/>
      <c r="CM195" s="192" t="n"/>
    </row>
    <row r="196">
      <c r="A196" s="177" t="n"/>
      <c r="B196" s="178" t="n"/>
      <c r="C196" s="178" t="n"/>
      <c r="D196" s="179" t="n"/>
      <c r="E196" s="180" t="n"/>
      <c r="F196" s="181" t="n"/>
      <c r="G196" s="182" t="n"/>
      <c r="H196" s="105" t="n"/>
      <c r="I196" s="183">
        <f>F196</f>
        <v/>
      </c>
      <c r="J196" s="184" t="n"/>
      <c r="K196" s="185" t="n"/>
      <c r="L196" s="8" t="n"/>
      <c r="M196" s="184">
        <f>L196</f>
        <v/>
      </c>
      <c r="N196" s="71" t="n"/>
      <c r="O196" s="101" t="n"/>
      <c r="P196" s="9">
        <f>I196-M196</f>
        <v/>
      </c>
      <c r="Q196" s="9">
        <f>IF(LEFT(B196,4)&lt;&gt;"    ",0,BN196)</f>
        <v/>
      </c>
      <c r="R196" s="9">
        <f>+P196-Q196</f>
        <v/>
      </c>
      <c r="S196" s="281" t="n"/>
      <c r="T196" s="10" t="n"/>
      <c r="U196" s="23">
        <f>IF(LEFT(B196,4)&lt;&gt;"    ","",IF(M196&lt;&gt;0,X196/M196,0))</f>
        <v/>
      </c>
      <c r="V196" s="11">
        <f>IF(LEFT(B196,4)&lt;&gt;"    ","",U196*I196)</f>
        <v/>
      </c>
      <c r="W196" s="11">
        <f>IF(LEFT(B196,4)&lt;&gt;"    ","",X196+Z196)</f>
        <v/>
      </c>
      <c r="X196" s="8" t="n"/>
      <c r="Y196" s="9">
        <f>IF(LEFT(B196,4)&lt;&gt;"    ",0,IF(P196&lt;0,P196,IF(U196&gt;0.3,W196-X196,0)))</f>
        <v/>
      </c>
      <c r="Z196" s="71">
        <f>Y196</f>
        <v/>
      </c>
      <c r="AA196" s="71" t="n"/>
      <c r="AB196" s="109" t="n"/>
      <c r="AC196" s="9">
        <f>IF(LEFT(B196,4)&lt;&gt;"    ",0,BK196)</f>
        <v/>
      </c>
      <c r="AD196" s="9">
        <f>Z196-AC196</f>
        <v/>
      </c>
      <c r="AE196" s="10" t="n"/>
      <c r="AF196" s="24" t="n"/>
      <c r="AG196" s="11" t="n"/>
      <c r="AH196" s="8" t="n"/>
      <c r="AI196" s="9">
        <f>IF(LEFT(B196,4)&lt;&gt;"    ","",AG196-AH196)</f>
        <v/>
      </c>
      <c r="AJ196" s="9" t="n"/>
      <c r="AK196" s="10" t="n"/>
      <c r="AL196" s="11">
        <f>IF(LEFT(B196,4)&lt;&gt;"    ","",W196-AG196)</f>
        <v/>
      </c>
      <c r="AM196" s="8">
        <f>IF(LEFT(B196,4)&lt;&gt;"    ","",X196-AH196)</f>
        <v/>
      </c>
      <c r="AN196" s="9">
        <f>IF(LEFT(B196,4)&lt;&gt;"    ","",Y196-AI196)</f>
        <v/>
      </c>
      <c r="AO196" s="9">
        <f>IF(LEFT(B196,4)&lt;&gt;"    ","",Z196-AJ196)</f>
        <v/>
      </c>
      <c r="AP196" s="10" t="n"/>
      <c r="AQ196" s="25">
        <f>IF(LEFT(B196,4)&lt;&gt;"    ","",I196-W196)</f>
        <v/>
      </c>
      <c r="AR196" s="25">
        <f>M196-X196</f>
        <v/>
      </c>
      <c r="AS196" s="25">
        <f>IF(LEFT(B196,4)&lt;&gt;"    ","",P196-Z196)</f>
        <v/>
      </c>
      <c r="AT196" s="10" t="n"/>
      <c r="AU196" s="12" t="n"/>
      <c r="AV196" s="12">
        <f>IF(LEFT(B196,4)&lt;&gt;"    ","",IF(W196-AU196&gt;=0,W196-AU196," "))</f>
        <v/>
      </c>
      <c r="AW196" s="12">
        <f>IF(LEFT(B196,4)&lt;&gt;"    ","",IF(AU196-W196&gt;=0,AU196-W196," "))</f>
        <v/>
      </c>
      <c r="AX196" s="186" t="n"/>
      <c r="AY196" s="187" t="n"/>
      <c r="AZ196" s="186" t="n"/>
      <c r="BA196" s="186" t="n"/>
      <c r="BB196" s="188" t="n"/>
      <c r="BC196" s="187" t="n"/>
      <c r="BD196" s="187" t="n"/>
      <c r="BE196" s="186" t="n"/>
      <c r="BF196" s="186" t="n"/>
      <c r="BG196" s="186" t="n"/>
      <c r="BH196" s="186" t="n"/>
      <c r="BI196" s="186" t="n"/>
      <c r="BJ196" s="186" t="n"/>
      <c r="BK196" s="186" t="n"/>
      <c r="BL196" s="186" t="n"/>
      <c r="BM196" s="186" t="n"/>
      <c r="BN196" s="186" t="n"/>
      <c r="BO196" s="186" t="n"/>
      <c r="BP196" s="186" t="n"/>
      <c r="BQ196" s="186" t="n"/>
      <c r="BR196" s="186" t="n"/>
      <c r="BS196" s="186" t="n"/>
      <c r="BT196" s="186" t="n"/>
      <c r="BU196" s="186" t="n"/>
      <c r="BV196" s="186" t="n"/>
      <c r="BW196" s="186" t="n"/>
      <c r="BX196" s="186" t="n"/>
      <c r="BY196" s="186" t="n"/>
      <c r="BZ196" s="186" t="n"/>
      <c r="CA196" s="186" t="n"/>
      <c r="CB196" s="186" t="n"/>
      <c r="CC196" s="190" t="n"/>
      <c r="CD196" s="186" t="n"/>
      <c r="CE196" s="186" t="n"/>
      <c r="CF196" s="186" t="n"/>
      <c r="CG196" s="186" t="n"/>
      <c r="CH196" s="186" t="n"/>
      <c r="CI196" s="191" t="n"/>
      <c r="CJ196" s="192" t="n"/>
      <c r="CK196" s="192" t="n"/>
      <c r="CL196" s="192" t="n"/>
      <c r="CM196" s="192" t="n"/>
    </row>
    <row r="197">
      <c r="A197" s="177" t="n"/>
      <c r="B197" s="178" t="n"/>
      <c r="C197" s="178" t="n"/>
      <c r="D197" s="179" t="n"/>
      <c r="E197" s="180" t="n"/>
      <c r="F197" s="181" t="n"/>
      <c r="G197" s="182" t="n"/>
      <c r="H197" s="105" t="n"/>
      <c r="I197" s="183">
        <f>F197</f>
        <v/>
      </c>
      <c r="J197" s="184" t="n"/>
      <c r="K197" s="185" t="n"/>
      <c r="L197" s="8" t="n"/>
      <c r="M197" s="184">
        <f>L197</f>
        <v/>
      </c>
      <c r="N197" s="184" t="n"/>
      <c r="O197" s="185" t="n"/>
      <c r="P197" s="9">
        <f>I197-M197</f>
        <v/>
      </c>
      <c r="Q197" s="9">
        <f>IF(LEFT(B197,4)&lt;&gt;"    ",0,BN197)</f>
        <v/>
      </c>
      <c r="R197" s="9">
        <f>+P197-Q197</f>
        <v/>
      </c>
      <c r="S197" s="281" t="n"/>
      <c r="T197" s="10" t="n"/>
      <c r="U197" s="23">
        <f>IF(LEFT(B197,4)&lt;&gt;"    ","",IF(M197&lt;&gt;0,X197/M197,0))</f>
        <v/>
      </c>
      <c r="V197" s="11">
        <f>IF(LEFT(B197,4)&lt;&gt;"    ","",U197*I197)</f>
        <v/>
      </c>
      <c r="W197" s="11">
        <f>IF(LEFT(B197,4)&lt;&gt;"    ","",X197+Z197)</f>
        <v/>
      </c>
      <c r="X197" s="8" t="n"/>
      <c r="Y197" s="9">
        <f>IF(LEFT(B197,4)&lt;&gt;"    ",0,IF(P197&lt;0,P197,IF(U197&gt;0.3,W197-X197,0)))</f>
        <v/>
      </c>
      <c r="Z197" s="71">
        <f>Y197</f>
        <v/>
      </c>
      <c r="AA197" s="71" t="n"/>
      <c r="AB197" s="109" t="n"/>
      <c r="AC197" s="9">
        <f>IF(LEFT(B197,4)&lt;&gt;"    ",0,BK197)</f>
        <v/>
      </c>
      <c r="AD197" s="9">
        <f>Z197-AC197</f>
        <v/>
      </c>
      <c r="AE197" s="10" t="n"/>
      <c r="AF197" s="24" t="n"/>
      <c r="AG197" s="11" t="n"/>
      <c r="AH197" s="8" t="n"/>
      <c r="AI197" s="9">
        <f>IF(LEFT(B197,4)&lt;&gt;"    ","",AG197-AH197)</f>
        <v/>
      </c>
      <c r="AJ197" s="9" t="n"/>
      <c r="AK197" s="10" t="n"/>
      <c r="AL197" s="11">
        <f>IF(LEFT(B197,4)&lt;&gt;"    ","",W197-AG197)</f>
        <v/>
      </c>
      <c r="AM197" s="8">
        <f>IF(LEFT(B197,4)&lt;&gt;"    ","",X197-AH197)</f>
        <v/>
      </c>
      <c r="AN197" s="9">
        <f>IF(LEFT(B197,4)&lt;&gt;"    ","",Y197-AI197)</f>
        <v/>
      </c>
      <c r="AO197" s="9">
        <f>IF(LEFT(B197,4)&lt;&gt;"    ","",Z197-AJ197)</f>
        <v/>
      </c>
      <c r="AP197" s="10" t="n"/>
      <c r="AQ197" s="25">
        <f>IF(LEFT(B197,4)&lt;&gt;"    ","",I197-W197)</f>
        <v/>
      </c>
      <c r="AR197" s="25">
        <f>M197-X197</f>
        <v/>
      </c>
      <c r="AS197" s="25">
        <f>IF(LEFT(B197,4)&lt;&gt;"    ","",P197-Z197)</f>
        <v/>
      </c>
      <c r="AT197" s="10" t="n"/>
      <c r="AU197" s="12" t="n"/>
      <c r="AV197" s="12">
        <f>IF(LEFT(B197,4)&lt;&gt;"    ","",IF(W197-AU197&gt;=0,W197-AU197," "))</f>
        <v/>
      </c>
      <c r="AW197" s="12">
        <f>IF(LEFT(B197,4)&lt;&gt;"    ","",IF(AU197-W197&gt;=0,AU197-W197," "))</f>
        <v/>
      </c>
      <c r="AX197" s="186" t="n"/>
      <c r="AY197" s="187" t="n"/>
      <c r="AZ197" s="186" t="n"/>
      <c r="BA197" s="186" t="n"/>
      <c r="BB197" s="188" t="n"/>
      <c r="BC197" s="187" t="n"/>
      <c r="BD197" s="187" t="n"/>
      <c r="BE197" s="186" t="n"/>
      <c r="BF197" s="186" t="n"/>
      <c r="BG197" s="186" t="n"/>
      <c r="BH197" s="186" t="n"/>
      <c r="BI197" s="186" t="n"/>
      <c r="BJ197" s="186" t="n"/>
      <c r="BK197" s="186" t="n"/>
      <c r="BL197" s="186" t="n"/>
      <c r="BM197" s="186" t="n"/>
      <c r="BN197" s="186" t="n"/>
      <c r="BO197" s="186" t="n"/>
      <c r="BP197" s="186" t="n"/>
      <c r="BQ197" s="186" t="n"/>
      <c r="BR197" s="186" t="n"/>
      <c r="BS197" s="186" t="n"/>
      <c r="BT197" s="186" t="n"/>
      <c r="BU197" s="186" t="n"/>
      <c r="BV197" s="186" t="n"/>
      <c r="BW197" s="186" t="n"/>
      <c r="BX197" s="186" t="n"/>
      <c r="BY197" s="186" t="n"/>
      <c r="BZ197" s="186" t="n"/>
      <c r="CA197" s="186" t="n"/>
      <c r="CB197" s="186" t="n"/>
      <c r="CC197" s="190" t="n"/>
      <c r="CD197" s="186" t="n"/>
      <c r="CE197" s="186" t="n"/>
      <c r="CF197" s="186" t="n"/>
      <c r="CG197" s="186" t="n"/>
      <c r="CH197" s="186" t="n"/>
      <c r="CI197" s="191" t="n"/>
      <c r="CJ197" s="192" t="n"/>
      <c r="CK197" s="192" t="n"/>
      <c r="CL197" s="192" t="n"/>
      <c r="CM197" s="192" t="n"/>
    </row>
    <row r="198">
      <c r="A198" s="177" t="n"/>
      <c r="B198" s="178" t="n"/>
      <c r="C198" s="178" t="n"/>
      <c r="D198" s="179" t="n"/>
      <c r="E198" s="180" t="n"/>
      <c r="F198" s="181" t="n"/>
      <c r="G198" s="182" t="n"/>
      <c r="H198" s="105" t="n"/>
      <c r="I198" s="183">
        <f>F198</f>
        <v/>
      </c>
      <c r="J198" s="184" t="n"/>
      <c r="K198" s="185" t="n"/>
      <c r="L198" s="8" t="n"/>
      <c r="M198" s="184">
        <f>L198</f>
        <v/>
      </c>
      <c r="N198" s="71" t="n"/>
      <c r="O198" s="101" t="n"/>
      <c r="P198" s="9">
        <f>I198-M198</f>
        <v/>
      </c>
      <c r="Q198" s="9">
        <f>IF(LEFT(B198,4)&lt;&gt;"    ",0,BN198)</f>
        <v/>
      </c>
      <c r="R198" s="9">
        <f>+P198-Q198</f>
        <v/>
      </c>
      <c r="S198" s="281" t="n"/>
      <c r="T198" s="10" t="n"/>
      <c r="U198" s="23">
        <f>IF(LEFT(B198,4)&lt;&gt;"    ","",IF(M198&lt;&gt;0,X198/M198,0))</f>
        <v/>
      </c>
      <c r="V198" s="11">
        <f>IF(LEFT(B198,4)&lt;&gt;"    ","",U198*I198)</f>
        <v/>
      </c>
      <c r="W198" s="11">
        <f>IF(LEFT(B198,4)&lt;&gt;"    ","",X198+Z198)</f>
        <v/>
      </c>
      <c r="X198" s="8" t="n"/>
      <c r="Y198" s="9">
        <f>IF(LEFT(B198,4)&lt;&gt;"    ",0,IF(P198&lt;0,P198,IF(U198&gt;0.3,W198-X198,0)))</f>
        <v/>
      </c>
      <c r="Z198" s="71">
        <f>Y198</f>
        <v/>
      </c>
      <c r="AA198" s="71" t="n"/>
      <c r="AB198" s="109" t="n"/>
      <c r="AC198" s="9">
        <f>IF(LEFT(B198,4)&lt;&gt;"    ",0,BK198)</f>
        <v/>
      </c>
      <c r="AD198" s="9">
        <f>Z198-AC198</f>
        <v/>
      </c>
      <c r="AE198" s="10" t="n"/>
      <c r="AF198" s="24" t="n"/>
      <c r="AG198" s="11" t="n"/>
      <c r="AH198" s="8" t="n"/>
      <c r="AI198" s="9">
        <f>IF(LEFT(B198,4)&lt;&gt;"    ","",AG198-AH198)</f>
        <v/>
      </c>
      <c r="AJ198" s="9" t="n"/>
      <c r="AK198" s="10" t="n"/>
      <c r="AL198" s="11">
        <f>IF(LEFT(B198,4)&lt;&gt;"    ","",W198-AG198)</f>
        <v/>
      </c>
      <c r="AM198" s="8">
        <f>IF(LEFT(B198,4)&lt;&gt;"    ","",X198-AH198)</f>
        <v/>
      </c>
      <c r="AN198" s="9">
        <f>IF(LEFT(B198,4)&lt;&gt;"    ","",Y198-AI198)</f>
        <v/>
      </c>
      <c r="AO198" s="9">
        <f>IF(LEFT(B198,4)&lt;&gt;"    ","",Z198-AJ198)</f>
        <v/>
      </c>
      <c r="AP198" s="10" t="n"/>
      <c r="AQ198" s="25">
        <f>IF(LEFT(B198,4)&lt;&gt;"    ","",I198-W198)</f>
        <v/>
      </c>
      <c r="AR198" s="25">
        <f>M198-X198</f>
        <v/>
      </c>
      <c r="AS198" s="25">
        <f>IF(LEFT(B198,4)&lt;&gt;"    ","",P198-Z198)</f>
        <v/>
      </c>
      <c r="AT198" s="10" t="n"/>
      <c r="AU198" s="12" t="n"/>
      <c r="AV198" s="12">
        <f>IF(LEFT(B198,4)&lt;&gt;"    ","",IF(W198-AU198&gt;=0,W198-AU198," "))</f>
        <v/>
      </c>
      <c r="AW198" s="12">
        <f>IF(LEFT(B198,4)&lt;&gt;"    ","",IF(AU198-W198&gt;=0,AU198-W198," "))</f>
        <v/>
      </c>
      <c r="AX198" s="186" t="n"/>
      <c r="AY198" s="187" t="n"/>
      <c r="AZ198" s="186" t="n"/>
      <c r="BA198" s="186" t="n"/>
      <c r="BB198" s="188" t="n"/>
      <c r="BC198" s="187" t="n"/>
      <c r="BD198" s="187" t="n"/>
      <c r="BE198" s="186" t="n"/>
      <c r="BF198" s="186" t="n"/>
      <c r="BG198" s="186" t="n"/>
      <c r="BH198" s="186" t="n"/>
      <c r="BI198" s="186" t="n"/>
      <c r="BJ198" s="186" t="n"/>
      <c r="BK198" s="186" t="n"/>
      <c r="BL198" s="186" t="n"/>
      <c r="BM198" s="186" t="n"/>
      <c r="BN198" s="186" t="n"/>
      <c r="BO198" s="186" t="n"/>
      <c r="BP198" s="186" t="n"/>
      <c r="BQ198" s="186" t="n"/>
      <c r="BR198" s="186" t="n"/>
      <c r="BS198" s="186" t="n"/>
      <c r="BT198" s="186" t="n"/>
      <c r="BU198" s="186" t="n"/>
      <c r="BV198" s="186" t="n"/>
      <c r="BW198" s="186" t="n"/>
      <c r="BX198" s="186" t="n"/>
      <c r="BY198" s="186" t="n"/>
      <c r="BZ198" s="186" t="n"/>
      <c r="CA198" s="186" t="n"/>
      <c r="CB198" s="186" t="n"/>
      <c r="CC198" s="190" t="n"/>
      <c r="CD198" s="186" t="n"/>
      <c r="CE198" s="186" t="n"/>
      <c r="CF198" s="186" t="n"/>
      <c r="CG198" s="186" t="n"/>
      <c r="CH198" s="186" t="n"/>
      <c r="CI198" s="191" t="n"/>
      <c r="CJ198" s="192" t="n"/>
      <c r="CK198" s="192" t="n"/>
      <c r="CL198" s="192" t="n"/>
      <c r="CM198" s="192" t="n"/>
    </row>
    <row r="199">
      <c r="A199" s="177" t="n"/>
      <c r="B199" s="178" t="n"/>
      <c r="C199" s="178" t="n"/>
      <c r="D199" s="179" t="n"/>
      <c r="E199" s="180" t="n"/>
      <c r="F199" s="181" t="n"/>
      <c r="G199" s="182" t="n"/>
      <c r="H199" s="105" t="n"/>
      <c r="I199" s="183">
        <f>F199</f>
        <v/>
      </c>
      <c r="J199" s="184" t="n"/>
      <c r="K199" s="185" t="n"/>
      <c r="L199" s="8" t="n"/>
      <c r="M199" s="184">
        <f>L199</f>
        <v/>
      </c>
      <c r="N199" s="71" t="n"/>
      <c r="O199" s="101" t="n"/>
      <c r="P199" s="9">
        <f>I199-M199</f>
        <v/>
      </c>
      <c r="Q199" s="9">
        <f>IF(LEFT(B199,4)&lt;&gt;"    ",0,BN199)</f>
        <v/>
      </c>
      <c r="R199" s="9">
        <f>+P199-Q199</f>
        <v/>
      </c>
      <c r="S199" s="281" t="n"/>
      <c r="T199" s="10" t="n"/>
      <c r="U199" s="23">
        <f>IF(LEFT(B199,4)&lt;&gt;"    ","",IF(M199&lt;&gt;0,X199/M199,0))</f>
        <v/>
      </c>
      <c r="V199" s="11">
        <f>IF(LEFT(B199,4)&lt;&gt;"    ","",U199*I199)</f>
        <v/>
      </c>
      <c r="W199" s="11">
        <f>IF(LEFT(B199,4)&lt;&gt;"    ","",X199+Z199)</f>
        <v/>
      </c>
      <c r="X199" s="8" t="n"/>
      <c r="Y199" s="9">
        <f>IF(LEFT(B199,4)&lt;&gt;"    ",0,IF(P199&lt;0,P199,IF(U199&gt;0.3,W199-X199,0)))</f>
        <v/>
      </c>
      <c r="Z199" s="71">
        <f>Y199</f>
        <v/>
      </c>
      <c r="AA199" s="71" t="n"/>
      <c r="AB199" s="109" t="n"/>
      <c r="AC199" s="9">
        <f>IF(LEFT(B199,4)&lt;&gt;"    ",0,BK199)</f>
        <v/>
      </c>
      <c r="AD199" s="9">
        <f>Z199-AC199</f>
        <v/>
      </c>
      <c r="AE199" s="10" t="n"/>
      <c r="AF199" s="24" t="n"/>
      <c r="AG199" s="11" t="n"/>
      <c r="AH199" s="8" t="n"/>
      <c r="AI199" s="9">
        <f>IF(LEFT(B199,4)&lt;&gt;"    ","",AG199-AH199)</f>
        <v/>
      </c>
      <c r="AJ199" s="9" t="n"/>
      <c r="AK199" s="10" t="n"/>
      <c r="AL199" s="11">
        <f>IF(LEFT(B199,4)&lt;&gt;"    ","",W199-AG199)</f>
        <v/>
      </c>
      <c r="AM199" s="8">
        <f>IF(LEFT(B199,4)&lt;&gt;"    ","",X199-AH199)</f>
        <v/>
      </c>
      <c r="AN199" s="9">
        <f>IF(LEFT(B199,4)&lt;&gt;"    ","",Y199-AI199)</f>
        <v/>
      </c>
      <c r="AO199" s="9">
        <f>IF(LEFT(B199,4)&lt;&gt;"    ","",Z199-AJ199)</f>
        <v/>
      </c>
      <c r="AP199" s="10" t="n"/>
      <c r="AQ199" s="25">
        <f>IF(LEFT(B199,4)&lt;&gt;"    ","",I199-W199)</f>
        <v/>
      </c>
      <c r="AR199" s="25">
        <f>M199-X199</f>
        <v/>
      </c>
      <c r="AS199" s="25">
        <f>IF(LEFT(B199,4)&lt;&gt;"    ","",P199-Z199)</f>
        <v/>
      </c>
      <c r="AT199" s="10" t="n"/>
      <c r="AU199" s="12" t="n"/>
      <c r="AV199" s="12">
        <f>IF(LEFT(B199,4)&lt;&gt;"    ","",IF(W199-AU199&gt;=0,W199-AU199," "))</f>
        <v/>
      </c>
      <c r="AW199" s="12">
        <f>IF(LEFT(B199,4)&lt;&gt;"    ","",IF(AU199-W199&gt;=0,AU199-W199," "))</f>
        <v/>
      </c>
      <c r="AX199" s="186" t="n"/>
      <c r="AY199" s="187" t="n"/>
      <c r="AZ199" s="186" t="n"/>
      <c r="BA199" s="186" t="n"/>
      <c r="BB199" s="188" t="n"/>
      <c r="BC199" s="187" t="n"/>
      <c r="BD199" s="187" t="n"/>
      <c r="BE199" s="186" t="n"/>
      <c r="BF199" s="186" t="n"/>
      <c r="BG199" s="186" t="n"/>
      <c r="BH199" s="186" t="n"/>
      <c r="BI199" s="186" t="n"/>
      <c r="BJ199" s="186" t="n"/>
      <c r="BK199" s="186" t="n"/>
      <c r="BL199" s="186" t="n"/>
      <c r="BM199" s="186" t="n"/>
      <c r="BN199" s="186" t="n"/>
      <c r="BO199" s="186" t="n"/>
      <c r="BP199" s="186" t="n"/>
      <c r="BQ199" s="186" t="n"/>
      <c r="BR199" s="186" t="n"/>
      <c r="BS199" s="186" t="n"/>
      <c r="BT199" s="186" t="n"/>
      <c r="BU199" s="186" t="n"/>
      <c r="BV199" s="186" t="n"/>
      <c r="BW199" s="186" t="n"/>
      <c r="BX199" s="186" t="n"/>
      <c r="BY199" s="186" t="n"/>
      <c r="BZ199" s="186" t="n"/>
      <c r="CA199" s="186" t="n"/>
      <c r="CB199" s="186" t="n"/>
      <c r="CC199" s="190" t="n"/>
      <c r="CD199" s="186" t="n"/>
      <c r="CE199" s="186" t="n"/>
      <c r="CF199" s="186" t="n"/>
      <c r="CG199" s="186" t="n"/>
      <c r="CH199" s="186" t="n"/>
      <c r="CI199" s="191" t="n"/>
      <c r="CJ199" s="192" t="n"/>
      <c r="CK199" s="192" t="n"/>
      <c r="CL199" s="192" t="n"/>
      <c r="CM199" s="192" t="n"/>
    </row>
    <row r="200">
      <c r="A200" s="177" t="n"/>
      <c r="B200" s="178" t="n"/>
      <c r="C200" s="178" t="n"/>
      <c r="D200" s="179" t="n"/>
      <c r="E200" s="180" t="n"/>
      <c r="F200" s="181" t="n"/>
      <c r="G200" s="182" t="n"/>
      <c r="H200" s="105" t="n"/>
      <c r="I200" s="183">
        <f>F200</f>
        <v/>
      </c>
      <c r="J200" s="184" t="n"/>
      <c r="K200" s="185" t="n"/>
      <c r="L200" s="8" t="n"/>
      <c r="M200" s="184">
        <f>L200</f>
        <v/>
      </c>
      <c r="N200" s="71" t="n"/>
      <c r="O200" s="101" t="n"/>
      <c r="P200" s="9">
        <f>I200-M200</f>
        <v/>
      </c>
      <c r="Q200" s="9">
        <f>IF(LEFT(B200,4)&lt;&gt;"    ",0,BN200)</f>
        <v/>
      </c>
      <c r="R200" s="9">
        <f>+P200-Q200</f>
        <v/>
      </c>
      <c r="S200" s="281" t="n"/>
      <c r="T200" s="10" t="n"/>
      <c r="U200" s="23">
        <f>IF(LEFT(B200,4)&lt;&gt;"    ","",IF(M200&lt;&gt;0,X200/M200,0))</f>
        <v/>
      </c>
      <c r="V200" s="11">
        <f>IF(LEFT(B200,4)&lt;&gt;"    ","",U200*I200)</f>
        <v/>
      </c>
      <c r="W200" s="11">
        <f>IF(LEFT(B200,4)&lt;&gt;"    ","",X200+Z200)</f>
        <v/>
      </c>
      <c r="X200" s="8" t="n"/>
      <c r="Y200" s="9">
        <f>IF(LEFT(B200,4)&lt;&gt;"    ",0,IF(P200&lt;0,P200,IF(U200&gt;0.3,W200-X200,0)))</f>
        <v/>
      </c>
      <c r="Z200" s="71">
        <f>Y200</f>
        <v/>
      </c>
      <c r="AA200" s="71" t="n"/>
      <c r="AB200" s="109" t="n"/>
      <c r="AC200" s="9">
        <f>IF(LEFT(B200,4)&lt;&gt;"    ",0,BK200)</f>
        <v/>
      </c>
      <c r="AD200" s="9">
        <f>Z200-AC200</f>
        <v/>
      </c>
      <c r="AE200" s="10" t="n"/>
      <c r="AF200" s="24" t="n"/>
      <c r="AG200" s="11" t="n"/>
      <c r="AH200" s="8" t="n"/>
      <c r="AI200" s="9">
        <f>IF(LEFT(B200,4)&lt;&gt;"    ","",AG200-AH200)</f>
        <v/>
      </c>
      <c r="AJ200" s="9" t="n"/>
      <c r="AK200" s="10" t="n"/>
      <c r="AL200" s="11">
        <f>IF(LEFT(B200,4)&lt;&gt;"    ","",W200-AG200)</f>
        <v/>
      </c>
      <c r="AM200" s="8">
        <f>IF(LEFT(B200,4)&lt;&gt;"    ","",X200-AH200)</f>
        <v/>
      </c>
      <c r="AN200" s="9">
        <f>IF(LEFT(B200,4)&lt;&gt;"    ","",Y200-AI200)</f>
        <v/>
      </c>
      <c r="AO200" s="9">
        <f>IF(LEFT(B200,4)&lt;&gt;"    ","",Z200-AJ200)</f>
        <v/>
      </c>
      <c r="AP200" s="10" t="n"/>
      <c r="AQ200" s="25">
        <f>IF(LEFT(B200,4)&lt;&gt;"    ","",I200-W200)</f>
        <v/>
      </c>
      <c r="AR200" s="25">
        <f>M200-X200</f>
        <v/>
      </c>
      <c r="AS200" s="25">
        <f>IF(LEFT(B200,4)&lt;&gt;"    ","",P200-Z200)</f>
        <v/>
      </c>
      <c r="AT200" s="10" t="n"/>
      <c r="AU200" s="12" t="n"/>
      <c r="AV200" s="12">
        <f>IF(LEFT(B200,4)&lt;&gt;"    ","",IF(W200-AU200&gt;=0,W200-AU200," "))</f>
        <v/>
      </c>
      <c r="AW200" s="12">
        <f>IF(LEFT(B200,4)&lt;&gt;"    ","",IF(AU200-W200&gt;=0,AU200-W200," "))</f>
        <v/>
      </c>
      <c r="AX200" s="186" t="n"/>
      <c r="AY200" s="187" t="n"/>
      <c r="AZ200" s="186" t="n"/>
      <c r="BA200" s="186" t="n"/>
      <c r="BB200" s="188" t="n"/>
      <c r="BC200" s="187" t="n"/>
      <c r="BD200" s="187" t="n"/>
      <c r="BE200" s="186" t="n"/>
      <c r="BF200" s="186" t="n"/>
      <c r="BG200" s="186" t="n"/>
      <c r="BH200" s="186" t="n"/>
      <c r="BI200" s="186" t="n"/>
      <c r="BJ200" s="186" t="n"/>
      <c r="BK200" s="186" t="n"/>
      <c r="BL200" s="186" t="n"/>
      <c r="BM200" s="186" t="n"/>
      <c r="BN200" s="186" t="n"/>
      <c r="BO200" s="186" t="n"/>
      <c r="BP200" s="186" t="n"/>
      <c r="BQ200" s="186" t="n"/>
      <c r="BR200" s="186" t="n"/>
      <c r="BS200" s="186" t="n"/>
      <c r="BT200" s="186" t="n"/>
      <c r="BU200" s="186" t="n"/>
      <c r="BV200" s="186" t="n"/>
      <c r="BW200" s="186" t="n"/>
      <c r="BX200" s="186" t="n"/>
      <c r="BY200" s="186" t="n"/>
      <c r="BZ200" s="186" t="n"/>
      <c r="CA200" s="186" t="n"/>
      <c r="CB200" s="186" t="n"/>
      <c r="CC200" s="190" t="n"/>
      <c r="CD200" s="186" t="n"/>
      <c r="CE200" s="186" t="n"/>
      <c r="CF200" s="186" t="n"/>
      <c r="CG200" s="186" t="n"/>
      <c r="CH200" s="186" t="n"/>
      <c r="CI200" s="191" t="n"/>
      <c r="CJ200" s="192" t="n"/>
      <c r="CK200" s="192" t="n"/>
      <c r="CL200" s="192" t="n"/>
      <c r="CM200" s="192" t="n"/>
    </row>
    <row r="201">
      <c r="A201" s="177" t="n"/>
      <c r="B201" s="178" t="n"/>
      <c r="C201" s="178" t="n"/>
      <c r="D201" s="179" t="n"/>
      <c r="E201" s="180" t="n"/>
      <c r="F201" s="181" t="n"/>
      <c r="G201" s="182" t="n"/>
      <c r="H201" s="105" t="n"/>
      <c r="I201" s="183">
        <f>F201</f>
        <v/>
      </c>
      <c r="J201" s="184" t="n"/>
      <c r="K201" s="185" t="n"/>
      <c r="L201" s="8" t="n"/>
      <c r="M201" s="184">
        <f>L201</f>
        <v/>
      </c>
      <c r="N201" s="71" t="n"/>
      <c r="O201" s="101" t="n"/>
      <c r="P201" s="9">
        <f>I201-M201</f>
        <v/>
      </c>
      <c r="Q201" s="9">
        <f>IF(LEFT(B201,4)&lt;&gt;"    ",0,BN201)</f>
        <v/>
      </c>
      <c r="R201" s="9">
        <f>+P201-Q201</f>
        <v/>
      </c>
      <c r="S201" s="281" t="n"/>
      <c r="T201" s="10" t="n"/>
      <c r="U201" s="23">
        <f>IF(LEFT(B201,4)&lt;&gt;"    ","",IF(M201&lt;&gt;0,X201/M201,0))</f>
        <v/>
      </c>
      <c r="V201" s="11">
        <f>IF(LEFT(B201,4)&lt;&gt;"    ","",U201*I201)</f>
        <v/>
      </c>
      <c r="W201" s="11">
        <f>IF(LEFT(B201,4)&lt;&gt;"    ","",X201+Z201)</f>
        <v/>
      </c>
      <c r="X201" s="8" t="n"/>
      <c r="Y201" s="9">
        <f>IF(LEFT(B201,4)&lt;&gt;"    ",0,IF(P201&lt;0,P201,IF(U201&gt;0.3,W201-X201,0)))</f>
        <v/>
      </c>
      <c r="Z201" s="71">
        <f>Y201</f>
        <v/>
      </c>
      <c r="AA201" s="71" t="n"/>
      <c r="AB201" s="109" t="n"/>
      <c r="AC201" s="9">
        <f>IF(LEFT(B201,4)&lt;&gt;"    ",0,BK201)</f>
        <v/>
      </c>
      <c r="AD201" s="9">
        <f>Z201-AC201</f>
        <v/>
      </c>
      <c r="AE201" s="10" t="n"/>
      <c r="AF201" s="24" t="n"/>
      <c r="AG201" s="11" t="n"/>
      <c r="AH201" s="8" t="n"/>
      <c r="AI201" s="9">
        <f>IF(LEFT(B201,4)&lt;&gt;"    ","",AG201-AH201)</f>
        <v/>
      </c>
      <c r="AJ201" s="9" t="n"/>
      <c r="AK201" s="10" t="n"/>
      <c r="AL201" s="11">
        <f>IF(LEFT(B201,4)&lt;&gt;"    ","",W201-AG201)</f>
        <v/>
      </c>
      <c r="AM201" s="8">
        <f>IF(LEFT(B201,4)&lt;&gt;"    ","",X201-AH201)</f>
        <v/>
      </c>
      <c r="AN201" s="9">
        <f>IF(LEFT(B201,4)&lt;&gt;"    ","",Y201-AI201)</f>
        <v/>
      </c>
      <c r="AO201" s="9">
        <f>IF(LEFT(B201,4)&lt;&gt;"    ","",Z201-AJ201)</f>
        <v/>
      </c>
      <c r="AP201" s="10" t="n"/>
      <c r="AQ201" s="25">
        <f>IF(LEFT(B201,4)&lt;&gt;"    ","",I201-W201)</f>
        <v/>
      </c>
      <c r="AR201" s="25">
        <f>M201-X201</f>
        <v/>
      </c>
      <c r="AS201" s="25">
        <f>IF(LEFT(B201,4)&lt;&gt;"    ","",P201-Z201)</f>
        <v/>
      </c>
      <c r="AT201" s="10" t="n"/>
      <c r="AU201" s="12" t="n"/>
      <c r="AV201" s="12">
        <f>IF(LEFT(B201,4)&lt;&gt;"    ","",IF(W201-AU201&gt;=0,W201-AU201," "))</f>
        <v/>
      </c>
      <c r="AW201" s="12">
        <f>IF(LEFT(B201,4)&lt;&gt;"    ","",IF(AU201-W201&gt;=0,AU201-W201," "))</f>
        <v/>
      </c>
      <c r="AX201" s="186" t="n"/>
      <c r="AY201" s="187" t="n"/>
      <c r="AZ201" s="186" t="n"/>
      <c r="BA201" s="186" t="n"/>
      <c r="BB201" s="188" t="n"/>
      <c r="BC201" s="187" t="n"/>
      <c r="BD201" s="187" t="n"/>
      <c r="BE201" s="186" t="n"/>
      <c r="BF201" s="186" t="n"/>
      <c r="BG201" s="186" t="n"/>
      <c r="BH201" s="186" t="n"/>
      <c r="BI201" s="186" t="n"/>
      <c r="BJ201" s="186" t="n"/>
      <c r="BK201" s="186" t="n"/>
      <c r="BL201" s="186" t="n"/>
      <c r="BM201" s="186" t="n"/>
      <c r="BN201" s="186" t="n"/>
      <c r="BO201" s="186" t="n"/>
      <c r="BP201" s="186" t="n"/>
      <c r="BQ201" s="186" t="n"/>
      <c r="BR201" s="186" t="n"/>
      <c r="BS201" s="186" t="n"/>
      <c r="BT201" s="186" t="n"/>
      <c r="BU201" s="186" t="n"/>
      <c r="BV201" s="186" t="n"/>
      <c r="BW201" s="186" t="n"/>
      <c r="BX201" s="186" t="n"/>
      <c r="BY201" s="186" t="n"/>
      <c r="BZ201" s="186" t="n"/>
      <c r="CA201" s="186" t="n"/>
      <c r="CB201" s="186" t="n"/>
      <c r="CC201" s="190" t="n"/>
      <c r="CD201" s="186" t="n"/>
      <c r="CE201" s="186" t="n"/>
      <c r="CF201" s="186" t="n"/>
      <c r="CG201" s="186" t="n"/>
      <c r="CH201" s="186" t="n"/>
      <c r="CI201" s="191" t="n"/>
      <c r="CJ201" s="192" t="n"/>
      <c r="CK201" s="192" t="n"/>
      <c r="CL201" s="192" t="n"/>
      <c r="CM201" s="192" t="n"/>
    </row>
    <row r="202">
      <c r="A202" s="177" t="n"/>
      <c r="B202" s="178" t="n"/>
      <c r="C202" s="178" t="n"/>
      <c r="D202" s="179" t="n"/>
      <c r="E202" s="180" t="n"/>
      <c r="F202" s="181" t="n"/>
      <c r="G202" s="182" t="n"/>
      <c r="H202" s="105" t="n"/>
      <c r="I202" s="183">
        <f>F202</f>
        <v/>
      </c>
      <c r="J202" s="184" t="n"/>
      <c r="K202" s="185" t="n"/>
      <c r="L202" s="8" t="n"/>
      <c r="M202" s="71">
        <f>L202</f>
        <v/>
      </c>
      <c r="N202" s="71" t="n"/>
      <c r="O202" s="101" t="n"/>
      <c r="P202" s="9">
        <f>I202-M202</f>
        <v/>
      </c>
      <c r="Q202" s="9">
        <f>IF(LEFT(B202,4)&lt;&gt;"    ",0,BN202)</f>
        <v/>
      </c>
      <c r="R202" s="9">
        <f>+P202-Q202</f>
        <v/>
      </c>
      <c r="S202" s="281" t="n"/>
      <c r="T202" s="10" t="n"/>
      <c r="U202" s="23">
        <f>IF(LEFT(B202,4)&lt;&gt;"    ","",IF(M202&lt;&gt;0,X202/M202,0))</f>
        <v/>
      </c>
      <c r="V202" s="11">
        <f>IF(LEFT(B202,4)&lt;&gt;"    ","",U202*I202)</f>
        <v/>
      </c>
      <c r="W202" s="11">
        <f>IF(LEFT(B202,4)&lt;&gt;"    ","",X202+Z202)</f>
        <v/>
      </c>
      <c r="X202" s="8" t="n"/>
      <c r="Y202" s="9">
        <f>IF(LEFT(B202,4)&lt;&gt;"    ",0,IF(P202&lt;0,P202,IF(U202&gt;0.3,W202-X202,0)))</f>
        <v/>
      </c>
      <c r="Z202" s="71">
        <f>Y202</f>
        <v/>
      </c>
      <c r="AA202" s="71" t="n"/>
      <c r="AB202" s="109" t="n"/>
      <c r="AC202" s="9">
        <f>IF(LEFT(B202,4)&lt;&gt;"    ",0,BK202)</f>
        <v/>
      </c>
      <c r="AD202" s="9">
        <f>Z202-AC202</f>
        <v/>
      </c>
      <c r="AE202" s="10" t="n"/>
      <c r="AF202" s="24" t="n"/>
      <c r="AG202" s="11" t="n"/>
      <c r="AH202" s="8" t="n"/>
      <c r="AI202" s="9">
        <f>IF(LEFT(B202,4)&lt;&gt;"    ","",AG202-AH202)</f>
        <v/>
      </c>
      <c r="AJ202" s="9" t="n"/>
      <c r="AK202" s="10" t="n"/>
      <c r="AL202" s="11">
        <f>IF(LEFT(B202,4)&lt;&gt;"    ","",W202-AG202)</f>
        <v/>
      </c>
      <c r="AM202" s="8">
        <f>IF(LEFT(B202,4)&lt;&gt;"    ","",X202-AH202)</f>
        <v/>
      </c>
      <c r="AN202" s="9">
        <f>IF(LEFT(B202,4)&lt;&gt;"    ","",Y202-AI202)</f>
        <v/>
      </c>
      <c r="AO202" s="9">
        <f>IF(LEFT(B202,4)&lt;&gt;"    ","",Z202-AJ202)</f>
        <v/>
      </c>
      <c r="AP202" s="10" t="n"/>
      <c r="AQ202" s="25">
        <f>IF(LEFT(B202,4)&lt;&gt;"    ","",I202-W202)</f>
        <v/>
      </c>
      <c r="AR202" s="25">
        <f>M202-X202</f>
        <v/>
      </c>
      <c r="AS202" s="25">
        <f>IF(LEFT(B202,4)&lt;&gt;"    ","",P202-Z202)</f>
        <v/>
      </c>
      <c r="AT202" s="10" t="n"/>
      <c r="AU202" s="12" t="n"/>
      <c r="AV202" s="12">
        <f>IF(LEFT(B202,4)&lt;&gt;"    ","",IF(W202-AU202&gt;=0,W202-AU202," "))</f>
        <v/>
      </c>
      <c r="AW202" s="12">
        <f>IF(LEFT(B202,4)&lt;&gt;"    ","",IF(AU202-W202&gt;=0,AU202-W202," "))</f>
        <v/>
      </c>
      <c r="AX202" s="186" t="n"/>
      <c r="AY202" s="187" t="n"/>
      <c r="AZ202" s="186" t="n"/>
      <c r="BA202" s="186" t="n"/>
      <c r="BB202" s="188" t="n"/>
      <c r="BC202" s="187" t="n"/>
      <c r="BD202" s="187" t="n"/>
      <c r="BE202" s="186" t="n"/>
      <c r="BF202" s="186" t="n"/>
      <c r="BG202" s="186" t="n"/>
      <c r="BH202" s="186" t="n"/>
      <c r="BI202" s="186" t="n"/>
      <c r="BJ202" s="186" t="n"/>
      <c r="BK202" s="186" t="n"/>
      <c r="BL202" s="186" t="n"/>
      <c r="BM202" s="186" t="n"/>
      <c r="BN202" s="186" t="n"/>
      <c r="BO202" s="186" t="n"/>
      <c r="BP202" s="186" t="n"/>
      <c r="BQ202" s="186" t="n"/>
      <c r="BR202" s="186" t="n"/>
      <c r="BS202" s="186" t="n"/>
      <c r="BT202" s="186" t="n"/>
      <c r="BU202" s="186" t="n"/>
      <c r="BV202" s="186" t="n"/>
      <c r="BW202" s="186" t="n"/>
      <c r="BX202" s="186" t="n"/>
      <c r="BY202" s="186" t="n"/>
      <c r="BZ202" s="186" t="n"/>
      <c r="CA202" s="186" t="n"/>
      <c r="CB202" s="186" t="n"/>
      <c r="CC202" s="190" t="n"/>
      <c r="CD202" s="186" t="n"/>
      <c r="CE202" s="186" t="n"/>
      <c r="CF202" s="186" t="n"/>
      <c r="CG202" s="186" t="n"/>
      <c r="CH202" s="186" t="n"/>
      <c r="CI202" s="191" t="n"/>
      <c r="CJ202" s="192" t="n"/>
      <c r="CK202" s="192" t="n"/>
      <c r="CL202" s="192" t="n"/>
      <c r="CM202" s="192" t="n"/>
    </row>
    <row r="203">
      <c r="A203" s="177" t="n"/>
      <c r="B203" s="178" t="n"/>
      <c r="C203" s="178" t="n"/>
      <c r="D203" s="179" t="n"/>
      <c r="E203" s="180" t="n"/>
      <c r="F203" s="181" t="n"/>
      <c r="G203" s="182" t="n"/>
      <c r="H203" s="105" t="n"/>
      <c r="I203" s="183">
        <f>F203</f>
        <v/>
      </c>
      <c r="J203" s="184" t="n"/>
      <c r="K203" s="185" t="n"/>
      <c r="L203" s="8" t="n"/>
      <c r="M203" s="71">
        <f>L203</f>
        <v/>
      </c>
      <c r="N203" s="71" t="n"/>
      <c r="O203" s="101" t="n"/>
      <c r="P203" s="9">
        <f>I203-M203</f>
        <v/>
      </c>
      <c r="Q203" s="9">
        <f>IF(LEFT(B203,4)&lt;&gt;"    ",0,BN203)</f>
        <v/>
      </c>
      <c r="R203" s="9">
        <f>+P203-Q203</f>
        <v/>
      </c>
      <c r="S203" s="281" t="n"/>
      <c r="T203" s="10" t="n"/>
      <c r="U203" s="23">
        <f>IF(LEFT(B203,4)&lt;&gt;"    ","",IF(M203&lt;&gt;0,X203/M203,0))</f>
        <v/>
      </c>
      <c r="V203" s="11">
        <f>IF(LEFT(B203,4)&lt;&gt;"    ","",U203*I203)</f>
        <v/>
      </c>
      <c r="W203" s="11">
        <f>IF(LEFT(B203,4)&lt;&gt;"    ","",X203+Z203)</f>
        <v/>
      </c>
      <c r="X203" s="8" t="n"/>
      <c r="Y203" s="9">
        <f>IF(LEFT(B203,4)&lt;&gt;"    ",0,IF(P203&lt;0,P203,IF(U203&gt;0.3,W203-X203,0)))</f>
        <v/>
      </c>
      <c r="Z203" s="71">
        <f>Y203</f>
        <v/>
      </c>
      <c r="AA203" s="71" t="n"/>
      <c r="AB203" s="109" t="n"/>
      <c r="AC203" s="9">
        <f>IF(LEFT(B203,4)&lt;&gt;"    ",0,BK203)</f>
        <v/>
      </c>
      <c r="AD203" s="9">
        <f>Z203-AC203</f>
        <v/>
      </c>
      <c r="AE203" s="10" t="n"/>
      <c r="AF203" s="24" t="n"/>
      <c r="AG203" s="11" t="n"/>
      <c r="AH203" s="8" t="n"/>
      <c r="AI203" s="9">
        <f>IF(LEFT(B203,4)&lt;&gt;"    ","",AG203-AH203)</f>
        <v/>
      </c>
      <c r="AJ203" s="9" t="n"/>
      <c r="AK203" s="10" t="n"/>
      <c r="AL203" s="11">
        <f>IF(LEFT(B203,4)&lt;&gt;"    ","",W203-AG203)</f>
        <v/>
      </c>
      <c r="AM203" s="8">
        <f>IF(LEFT(B203,4)&lt;&gt;"    ","",X203-AH203)</f>
        <v/>
      </c>
      <c r="AN203" s="9">
        <f>IF(LEFT(B203,4)&lt;&gt;"    ","",Y203-AI203)</f>
        <v/>
      </c>
      <c r="AO203" s="9">
        <f>IF(LEFT(B203,4)&lt;&gt;"    ","",Z203-AJ203)</f>
        <v/>
      </c>
      <c r="AP203" s="10" t="n"/>
      <c r="AQ203" s="25">
        <f>IF(LEFT(B203,4)&lt;&gt;"    ","",I203-W203)</f>
        <v/>
      </c>
      <c r="AR203" s="25">
        <f>M203-X203</f>
        <v/>
      </c>
      <c r="AS203" s="25">
        <f>IF(LEFT(B203,4)&lt;&gt;"    ","",P203-Z203)</f>
        <v/>
      </c>
      <c r="AT203" s="10" t="n"/>
      <c r="AU203" s="12" t="n"/>
      <c r="AV203" s="12">
        <f>IF(LEFT(B203,4)&lt;&gt;"    ","",IF(W203-AU203&gt;=0,W203-AU203," "))</f>
        <v/>
      </c>
      <c r="AW203" s="12">
        <f>IF(LEFT(B203,4)&lt;&gt;"    ","",IF(AU203-W203&gt;=0,AU203-W203," "))</f>
        <v/>
      </c>
      <c r="AX203" s="186" t="n"/>
      <c r="AY203" s="187" t="n"/>
      <c r="AZ203" s="186" t="n"/>
      <c r="BA203" s="186" t="n"/>
      <c r="BB203" s="188" t="n"/>
      <c r="BC203" s="187" t="n"/>
      <c r="BD203" s="187" t="n"/>
      <c r="BE203" s="186" t="n"/>
      <c r="BF203" s="186" t="n"/>
      <c r="BG203" s="186" t="n"/>
      <c r="BH203" s="186" t="n"/>
      <c r="BI203" s="186" t="n"/>
      <c r="BJ203" s="186" t="n"/>
      <c r="BK203" s="186" t="n"/>
      <c r="BL203" s="186" t="n"/>
      <c r="BM203" s="186" t="n"/>
      <c r="BN203" s="186" t="n"/>
      <c r="BO203" s="186" t="n"/>
      <c r="BP203" s="186" t="n"/>
      <c r="BQ203" s="186" t="n"/>
      <c r="BR203" s="186" t="n"/>
      <c r="BS203" s="186" t="n"/>
      <c r="BT203" s="186" t="n"/>
      <c r="BU203" s="186" t="n"/>
      <c r="BV203" s="186" t="n"/>
      <c r="BW203" s="186" t="n"/>
      <c r="BX203" s="186" t="n"/>
      <c r="BY203" s="186" t="n"/>
      <c r="BZ203" s="186" t="n"/>
      <c r="CA203" s="186" t="n"/>
      <c r="CB203" s="186" t="n"/>
      <c r="CC203" s="190" t="n"/>
      <c r="CD203" s="186" t="n"/>
      <c r="CE203" s="186" t="n"/>
      <c r="CF203" s="186" t="n"/>
      <c r="CG203" s="186" t="n"/>
      <c r="CH203" s="186" t="n"/>
      <c r="CI203" s="191" t="n"/>
      <c r="CJ203" s="192" t="n"/>
      <c r="CK203" s="192" t="n"/>
      <c r="CL203" s="192" t="n"/>
      <c r="CM203" s="192" t="n"/>
    </row>
    <row r="204">
      <c r="A204" s="177" t="n"/>
      <c r="B204" s="178" t="n"/>
      <c r="C204" s="178" t="n"/>
      <c r="D204" s="179" t="n"/>
      <c r="E204" s="180" t="n"/>
      <c r="F204" s="181" t="n"/>
      <c r="G204" s="182" t="n"/>
      <c r="H204" s="105" t="n"/>
      <c r="I204" s="183">
        <f>F204</f>
        <v/>
      </c>
      <c r="J204" s="184" t="n"/>
      <c r="K204" s="185" t="n"/>
      <c r="L204" s="8" t="n"/>
      <c r="M204" s="71">
        <f>L204</f>
        <v/>
      </c>
      <c r="N204" s="71" t="n"/>
      <c r="O204" s="101" t="n"/>
      <c r="P204" s="9">
        <f>I204-M204</f>
        <v/>
      </c>
      <c r="Q204" s="9">
        <f>IF(LEFT(B204,4)&lt;&gt;"    ",0,BN204)</f>
        <v/>
      </c>
      <c r="R204" s="9">
        <f>+P204-Q204</f>
        <v/>
      </c>
      <c r="S204" s="281" t="n"/>
      <c r="T204" s="10" t="n"/>
      <c r="U204" s="23">
        <f>IF(LEFT(B204,4)&lt;&gt;"    ","",IF(M204&lt;&gt;0,X204/M204,0))</f>
        <v/>
      </c>
      <c r="V204" s="11">
        <f>IF(LEFT(B204,4)&lt;&gt;"    ","",U204*I204)</f>
        <v/>
      </c>
      <c r="W204" s="11">
        <f>IF(LEFT(B204,4)&lt;&gt;"    ","",X204+Z204)</f>
        <v/>
      </c>
      <c r="X204" s="8" t="n"/>
      <c r="Y204" s="9">
        <f>IF(LEFT(B204,4)&lt;&gt;"    ",0,IF(P204&lt;0,P204,IF(U204&gt;0.3,W204-X204,0)))</f>
        <v/>
      </c>
      <c r="Z204" s="71">
        <f>Y204</f>
        <v/>
      </c>
      <c r="AA204" s="71" t="n"/>
      <c r="AB204" s="109" t="n"/>
      <c r="AC204" s="9">
        <f>IF(LEFT(B204,4)&lt;&gt;"    ",0,BK204)</f>
        <v/>
      </c>
      <c r="AD204" s="9">
        <f>Z204-AC204</f>
        <v/>
      </c>
      <c r="AE204" s="10" t="n"/>
      <c r="AF204" s="24" t="n"/>
      <c r="AG204" s="11" t="n"/>
      <c r="AH204" s="8" t="n"/>
      <c r="AI204" s="9">
        <f>IF(LEFT(B204,4)&lt;&gt;"    ","",AG204-AH204)</f>
        <v/>
      </c>
      <c r="AJ204" s="9" t="n"/>
      <c r="AK204" s="10" t="n"/>
      <c r="AL204" s="11">
        <f>IF(LEFT(B204,4)&lt;&gt;"    ","",W204-AG204)</f>
        <v/>
      </c>
      <c r="AM204" s="8">
        <f>IF(LEFT(B204,4)&lt;&gt;"    ","",X204-AH204)</f>
        <v/>
      </c>
      <c r="AN204" s="9">
        <f>IF(LEFT(B204,4)&lt;&gt;"    ","",Y204-AI204)</f>
        <v/>
      </c>
      <c r="AO204" s="9">
        <f>IF(LEFT(B204,4)&lt;&gt;"    ","",Z204-AJ204)</f>
        <v/>
      </c>
      <c r="AP204" s="10" t="n"/>
      <c r="AQ204" s="25">
        <f>IF(LEFT(B204,4)&lt;&gt;"    ","",I204-W204)</f>
        <v/>
      </c>
      <c r="AR204" s="25">
        <f>M204-X204</f>
        <v/>
      </c>
      <c r="AS204" s="25">
        <f>IF(LEFT(B204,4)&lt;&gt;"    ","",P204-Z204)</f>
        <v/>
      </c>
      <c r="AT204" s="10" t="n"/>
      <c r="AU204" s="12" t="n"/>
      <c r="AV204" s="12">
        <f>IF(LEFT(B204,4)&lt;&gt;"    ","",IF(W204-AU204&gt;=0,W204-AU204," "))</f>
        <v/>
      </c>
      <c r="AW204" s="12">
        <f>IF(LEFT(B204,4)&lt;&gt;"    ","",IF(AU204-W204&gt;=0,AU204-W204," "))</f>
        <v/>
      </c>
      <c r="AX204" s="186" t="n"/>
      <c r="AY204" s="187" t="n"/>
      <c r="AZ204" s="186" t="n"/>
      <c r="BA204" s="186" t="n"/>
      <c r="BB204" s="188" t="n"/>
      <c r="BC204" s="187" t="n"/>
      <c r="BD204" s="187" t="n"/>
      <c r="BE204" s="186" t="n"/>
      <c r="BF204" s="186" t="n"/>
      <c r="BG204" s="186" t="n"/>
      <c r="BH204" s="186" t="n"/>
      <c r="BI204" s="186" t="n"/>
      <c r="BJ204" s="186" t="n"/>
      <c r="BK204" s="186" t="n"/>
      <c r="BL204" s="186" t="n"/>
      <c r="BM204" s="186" t="n"/>
      <c r="BN204" s="186" t="n"/>
      <c r="BO204" s="186" t="n"/>
      <c r="BP204" s="186" t="n"/>
      <c r="BQ204" s="186" t="n"/>
      <c r="BR204" s="186" t="n"/>
      <c r="BS204" s="186" t="n"/>
      <c r="BT204" s="186" t="n"/>
      <c r="BU204" s="186" t="n"/>
      <c r="BV204" s="186" t="n"/>
      <c r="BW204" s="186" t="n"/>
      <c r="BX204" s="186" t="n"/>
      <c r="BY204" s="186" t="n"/>
      <c r="BZ204" s="186" t="n"/>
      <c r="CA204" s="186" t="n"/>
      <c r="CB204" s="186" t="n"/>
      <c r="CC204" s="190" t="n"/>
      <c r="CD204" s="186" t="n"/>
      <c r="CE204" s="186" t="n"/>
      <c r="CF204" s="186" t="n"/>
      <c r="CG204" s="186" t="n"/>
      <c r="CH204" s="186" t="n"/>
      <c r="CI204" s="191" t="n"/>
      <c r="CJ204" s="192" t="n"/>
      <c r="CK204" s="192" t="n"/>
      <c r="CL204" s="192" t="n"/>
      <c r="CM204" s="192" t="n"/>
    </row>
    <row r="205">
      <c r="A205" s="177" t="n"/>
      <c r="B205" s="178" t="n"/>
      <c r="C205" s="178" t="n"/>
      <c r="D205" s="179" t="n"/>
      <c r="E205" s="180" t="n"/>
      <c r="F205" s="181" t="n"/>
      <c r="G205" s="182" t="n"/>
      <c r="H205" s="105" t="n"/>
      <c r="I205" s="183">
        <f>F205</f>
        <v/>
      </c>
      <c r="J205" s="184" t="n"/>
      <c r="K205" s="185" t="n"/>
      <c r="L205" s="8" t="n"/>
      <c r="M205" s="71">
        <f>L205</f>
        <v/>
      </c>
      <c r="N205" s="71" t="n"/>
      <c r="O205" s="101" t="n"/>
      <c r="P205" s="9">
        <f>I205-M205</f>
        <v/>
      </c>
      <c r="Q205" s="9">
        <f>IF(LEFT(B205,4)&lt;&gt;"    ",0,BN205)</f>
        <v/>
      </c>
      <c r="R205" s="9">
        <f>+P205-Q205</f>
        <v/>
      </c>
      <c r="S205" s="281" t="n"/>
      <c r="T205" s="10" t="n"/>
      <c r="U205" s="23">
        <f>IF(LEFT(B205,4)&lt;&gt;"    ","",IF(M205&lt;&gt;0,X205/M205,0))</f>
        <v/>
      </c>
      <c r="V205" s="11">
        <f>IF(LEFT(B205,4)&lt;&gt;"    ","",U205*I205)</f>
        <v/>
      </c>
      <c r="W205" s="11">
        <f>IF(LEFT(B205,4)&lt;&gt;"    ","",X205+Z205)</f>
        <v/>
      </c>
      <c r="X205" s="8" t="n"/>
      <c r="Y205" s="9">
        <f>IF(LEFT(B205,4)&lt;&gt;"    ",0,IF(P205&lt;0,P205,IF(U205&gt;0.3,W205-X205,0)))</f>
        <v/>
      </c>
      <c r="Z205" s="71">
        <f>Y205</f>
        <v/>
      </c>
      <c r="AA205" s="71" t="n"/>
      <c r="AB205" s="109" t="n"/>
      <c r="AC205" s="9">
        <f>IF(LEFT(B205,4)&lt;&gt;"    ",0,BK205)</f>
        <v/>
      </c>
      <c r="AD205" s="9">
        <f>Z205-AC205</f>
        <v/>
      </c>
      <c r="AE205" s="10" t="n"/>
      <c r="AF205" s="24" t="n"/>
      <c r="AG205" s="11" t="n"/>
      <c r="AH205" s="8" t="n"/>
      <c r="AI205" s="9">
        <f>IF(LEFT(B205,4)&lt;&gt;"    ","",AG205-AH205)</f>
        <v/>
      </c>
      <c r="AJ205" s="9" t="n"/>
      <c r="AK205" s="10" t="n"/>
      <c r="AL205" s="11">
        <f>IF(LEFT(B205,4)&lt;&gt;"    ","",W205-AG205)</f>
        <v/>
      </c>
      <c r="AM205" s="8">
        <f>IF(LEFT(B205,4)&lt;&gt;"    ","",X205-AH205)</f>
        <v/>
      </c>
      <c r="AN205" s="9">
        <f>IF(LEFT(B205,4)&lt;&gt;"    ","",Y205-AI205)</f>
        <v/>
      </c>
      <c r="AO205" s="9">
        <f>IF(LEFT(B205,4)&lt;&gt;"    ","",Z205-AJ205)</f>
        <v/>
      </c>
      <c r="AP205" s="10" t="n"/>
      <c r="AQ205" s="25">
        <f>IF(LEFT(B205,4)&lt;&gt;"    ","",I205-W205)</f>
        <v/>
      </c>
      <c r="AR205" s="25">
        <f>M205-X205</f>
        <v/>
      </c>
      <c r="AS205" s="25">
        <f>IF(LEFT(B205,4)&lt;&gt;"    ","",P205-Z205)</f>
        <v/>
      </c>
      <c r="AT205" s="10" t="n"/>
      <c r="AU205" s="12" t="n"/>
      <c r="AV205" s="12">
        <f>IF(LEFT(B205,4)&lt;&gt;"    ","",IF(W205-AU205&gt;=0,W205-AU205," "))</f>
        <v/>
      </c>
      <c r="AW205" s="12">
        <f>IF(LEFT(B205,4)&lt;&gt;"    ","",IF(AU205-W205&gt;=0,AU205-W205," "))</f>
        <v/>
      </c>
      <c r="AX205" s="186" t="n"/>
      <c r="AY205" s="187" t="n"/>
      <c r="AZ205" s="186" t="n"/>
      <c r="BA205" s="186" t="n"/>
      <c r="BB205" s="188" t="n"/>
      <c r="BC205" s="187" t="n"/>
      <c r="BD205" s="187" t="n"/>
      <c r="BE205" s="186" t="n"/>
      <c r="BF205" s="186" t="n"/>
      <c r="BG205" s="186" t="n"/>
      <c r="BH205" s="186" t="n"/>
      <c r="BI205" s="186" t="n"/>
      <c r="BJ205" s="186" t="n"/>
      <c r="BK205" s="186" t="n"/>
      <c r="BL205" s="186" t="n"/>
      <c r="BM205" s="186" t="n"/>
      <c r="BN205" s="186" t="n"/>
      <c r="BO205" s="186" t="n"/>
      <c r="BP205" s="186" t="n"/>
      <c r="BQ205" s="186" t="n"/>
      <c r="BR205" s="186" t="n"/>
      <c r="BS205" s="186" t="n"/>
      <c r="BT205" s="186" t="n"/>
      <c r="BU205" s="186" t="n"/>
      <c r="BV205" s="186" t="n"/>
      <c r="BW205" s="186" t="n"/>
      <c r="BX205" s="186" t="n"/>
      <c r="BY205" s="186" t="n"/>
      <c r="BZ205" s="186" t="n"/>
      <c r="CA205" s="186" t="n"/>
      <c r="CB205" s="186" t="n"/>
      <c r="CC205" s="190" t="n"/>
      <c r="CD205" s="186" t="n"/>
      <c r="CE205" s="186" t="n"/>
      <c r="CF205" s="186" t="n"/>
      <c r="CG205" s="186" t="n"/>
      <c r="CH205" s="186" t="n"/>
      <c r="CI205" s="191" t="n"/>
      <c r="CJ205" s="192" t="n"/>
      <c r="CK205" s="192" t="n"/>
      <c r="CL205" s="192" t="n"/>
      <c r="CM205" s="192" t="n"/>
    </row>
    <row r="206">
      <c r="A206" s="177" t="n"/>
      <c r="B206" s="178" t="n"/>
      <c r="C206" s="178" t="n"/>
      <c r="D206" s="179" t="n"/>
      <c r="E206" s="180" t="n"/>
      <c r="F206" s="181" t="n"/>
      <c r="G206" s="182" t="n"/>
      <c r="H206" s="105" t="n"/>
      <c r="I206" s="183">
        <f>F206</f>
        <v/>
      </c>
      <c r="J206" s="184" t="n"/>
      <c r="K206" s="185" t="n"/>
      <c r="L206" s="8" t="n"/>
      <c r="M206" s="71">
        <f>L206</f>
        <v/>
      </c>
      <c r="N206" s="71" t="n"/>
      <c r="O206" s="101" t="n"/>
      <c r="P206" s="9">
        <f>I206-M206</f>
        <v/>
      </c>
      <c r="Q206" s="9">
        <f>IF(LEFT(B206,4)&lt;&gt;"    ",0,BN206)</f>
        <v/>
      </c>
      <c r="R206" s="9">
        <f>+P206-Q206</f>
        <v/>
      </c>
      <c r="S206" s="281" t="n"/>
      <c r="T206" s="10" t="n"/>
      <c r="U206" s="23">
        <f>IF(LEFT(B206,4)&lt;&gt;"    ","",IF(M206&lt;&gt;0,X206/M206,0))</f>
        <v/>
      </c>
      <c r="V206" s="11">
        <f>IF(LEFT(B206,4)&lt;&gt;"    ","",U206*I206)</f>
        <v/>
      </c>
      <c r="W206" s="11">
        <f>IF(LEFT(B206,4)&lt;&gt;"    ","",X206+Z206)</f>
        <v/>
      </c>
      <c r="X206" s="8" t="n"/>
      <c r="Y206" s="9">
        <f>IF(LEFT(B206,4)&lt;&gt;"    ",0,IF(P206&lt;0,P206,IF(U206&gt;0.3,W206-X206,0)))</f>
        <v/>
      </c>
      <c r="Z206" s="71">
        <f>Y206</f>
        <v/>
      </c>
      <c r="AA206" s="71" t="n"/>
      <c r="AB206" s="109" t="n"/>
      <c r="AC206" s="9">
        <f>IF(LEFT(B206,4)&lt;&gt;"    ",0,BK206)</f>
        <v/>
      </c>
      <c r="AD206" s="9">
        <f>Z206-AC206</f>
        <v/>
      </c>
      <c r="AE206" s="10" t="n"/>
      <c r="AF206" s="24" t="n"/>
      <c r="AG206" s="11" t="n"/>
      <c r="AH206" s="8" t="n"/>
      <c r="AI206" s="9">
        <f>IF(LEFT(B206,4)&lt;&gt;"    ","",AG206-AH206)</f>
        <v/>
      </c>
      <c r="AJ206" s="9" t="n"/>
      <c r="AK206" s="10" t="n"/>
      <c r="AL206" s="11">
        <f>IF(LEFT(B206,4)&lt;&gt;"    ","",W206-AG206)</f>
        <v/>
      </c>
      <c r="AM206" s="8">
        <f>IF(LEFT(B206,4)&lt;&gt;"    ","",X206-AH206)</f>
        <v/>
      </c>
      <c r="AN206" s="9">
        <f>IF(LEFT(B206,4)&lt;&gt;"    ","",Y206-AI206)</f>
        <v/>
      </c>
      <c r="AO206" s="9">
        <f>IF(LEFT(B206,4)&lt;&gt;"    ","",Z206-AJ206)</f>
        <v/>
      </c>
      <c r="AP206" s="10" t="n"/>
      <c r="AQ206" s="25">
        <f>IF(LEFT(B206,4)&lt;&gt;"    ","",I206-W206)</f>
        <v/>
      </c>
      <c r="AR206" s="25">
        <f>M206-X206</f>
        <v/>
      </c>
      <c r="AS206" s="25">
        <f>IF(LEFT(B206,4)&lt;&gt;"    ","",P206-Z206)</f>
        <v/>
      </c>
      <c r="AT206" s="10" t="n"/>
      <c r="AU206" s="12" t="n"/>
      <c r="AV206" s="12">
        <f>IF(LEFT(B206,4)&lt;&gt;"    ","",IF(W206-AU206&gt;=0,W206-AU206," "))</f>
        <v/>
      </c>
      <c r="AW206" s="12">
        <f>IF(LEFT(B206,4)&lt;&gt;"    ","",IF(AU206-W206&gt;=0,AU206-W206," "))</f>
        <v/>
      </c>
      <c r="AX206" s="186" t="n"/>
      <c r="AY206" s="187" t="n"/>
      <c r="AZ206" s="186" t="n"/>
      <c r="BA206" s="186" t="n"/>
      <c r="BB206" s="188" t="n"/>
      <c r="BC206" s="187" t="n"/>
      <c r="BD206" s="187" t="n"/>
      <c r="BE206" s="186" t="n"/>
      <c r="BF206" s="186" t="n"/>
      <c r="BG206" s="186" t="n"/>
      <c r="BH206" s="186" t="n"/>
      <c r="BI206" s="186" t="n"/>
      <c r="BJ206" s="186" t="n"/>
      <c r="BK206" s="186" t="n"/>
      <c r="BL206" s="186" t="n"/>
      <c r="BM206" s="186" t="n"/>
      <c r="BN206" s="186" t="n"/>
      <c r="BO206" s="186" t="n"/>
      <c r="BP206" s="186" t="n"/>
      <c r="BQ206" s="186" t="n"/>
      <c r="BR206" s="186" t="n"/>
      <c r="BS206" s="186" t="n"/>
      <c r="BT206" s="186" t="n"/>
      <c r="BU206" s="186" t="n"/>
      <c r="BV206" s="186" t="n"/>
      <c r="BW206" s="186" t="n"/>
      <c r="BX206" s="186" t="n"/>
      <c r="BY206" s="186" t="n"/>
      <c r="BZ206" s="186" t="n"/>
      <c r="CA206" s="186" t="n"/>
      <c r="CB206" s="186" t="n"/>
      <c r="CC206" s="190" t="n"/>
      <c r="CD206" s="186" t="n"/>
      <c r="CE206" s="186" t="n"/>
      <c r="CF206" s="186" t="n"/>
      <c r="CG206" s="186" t="n"/>
      <c r="CH206" s="186" t="n"/>
      <c r="CI206" s="191" t="n"/>
      <c r="CJ206" s="192" t="n"/>
      <c r="CK206" s="192" t="n"/>
      <c r="CL206" s="192" t="n"/>
      <c r="CM206" s="192" t="n"/>
    </row>
    <row r="207">
      <c r="A207" s="177" t="n"/>
      <c r="B207" s="178" t="n"/>
      <c r="C207" s="178" t="n"/>
      <c r="D207" s="179" t="n"/>
      <c r="E207" s="180" t="n"/>
      <c r="F207" s="181" t="n"/>
      <c r="G207" s="182" t="n"/>
      <c r="H207" s="105" t="n"/>
      <c r="I207" s="183">
        <f>F207</f>
        <v/>
      </c>
      <c r="J207" s="184" t="n"/>
      <c r="K207" s="185" t="n"/>
      <c r="L207" s="8" t="n"/>
      <c r="M207" s="71">
        <f>L207</f>
        <v/>
      </c>
      <c r="N207" s="71" t="n"/>
      <c r="O207" s="101" t="n"/>
      <c r="P207" s="9">
        <f>I207-M207</f>
        <v/>
      </c>
      <c r="Q207" s="9">
        <f>IF(LEFT(B207,4)&lt;&gt;"    ",0,BN207)</f>
        <v/>
      </c>
      <c r="R207" s="9">
        <f>+P207-Q207</f>
        <v/>
      </c>
      <c r="S207" s="281" t="n"/>
      <c r="T207" s="10" t="n"/>
      <c r="U207" s="23">
        <f>IF(LEFT(B207,4)&lt;&gt;"    ","",IF(M207&lt;&gt;0,X207/M207,0))</f>
        <v/>
      </c>
      <c r="V207" s="11">
        <f>IF(LEFT(B207,4)&lt;&gt;"    ","",U207*I207)</f>
        <v/>
      </c>
      <c r="W207" s="11">
        <f>IF(LEFT(B207,4)&lt;&gt;"    ","",X207+Z207)</f>
        <v/>
      </c>
      <c r="X207" s="8" t="n"/>
      <c r="Y207" s="9">
        <f>IF(LEFT(B207,4)&lt;&gt;"    ",0,IF(P207&lt;0,P207,IF(U207&gt;0.3,W207-X207,0)))</f>
        <v/>
      </c>
      <c r="Z207" s="71">
        <f>Y207</f>
        <v/>
      </c>
      <c r="AA207" s="71" t="n"/>
      <c r="AB207" s="109" t="n"/>
      <c r="AC207" s="9">
        <f>IF(LEFT(B207,4)&lt;&gt;"    ",0,BK207)</f>
        <v/>
      </c>
      <c r="AD207" s="9">
        <f>Z207-AC207</f>
        <v/>
      </c>
      <c r="AE207" s="10" t="n"/>
      <c r="AF207" s="24" t="n"/>
      <c r="AG207" s="11" t="n"/>
      <c r="AH207" s="8" t="n"/>
      <c r="AI207" s="9">
        <f>IF(LEFT(B207,4)&lt;&gt;"    ","",AG207-AH207)</f>
        <v/>
      </c>
      <c r="AJ207" s="9" t="n"/>
      <c r="AK207" s="10" t="n"/>
      <c r="AL207" s="11">
        <f>IF(LEFT(B207,4)&lt;&gt;"    ","",W207-AG207)</f>
        <v/>
      </c>
      <c r="AM207" s="8">
        <f>IF(LEFT(B207,4)&lt;&gt;"    ","",X207-AH207)</f>
        <v/>
      </c>
      <c r="AN207" s="9">
        <f>IF(LEFT(B207,4)&lt;&gt;"    ","",Y207-AI207)</f>
        <v/>
      </c>
      <c r="AO207" s="9">
        <f>IF(LEFT(B207,4)&lt;&gt;"    ","",Z207-AJ207)</f>
        <v/>
      </c>
      <c r="AP207" s="10" t="n"/>
      <c r="AQ207" s="25">
        <f>IF(LEFT(B207,4)&lt;&gt;"    ","",I207-W207)</f>
        <v/>
      </c>
      <c r="AR207" s="25">
        <f>M207-X207</f>
        <v/>
      </c>
      <c r="AS207" s="25">
        <f>IF(LEFT(B207,4)&lt;&gt;"    ","",P207-Z207)</f>
        <v/>
      </c>
      <c r="AT207" s="10" t="n"/>
      <c r="AU207" s="12" t="n"/>
      <c r="AV207" s="12">
        <f>IF(LEFT(B207,4)&lt;&gt;"    ","",IF(W207-AU207&gt;=0,W207-AU207," "))</f>
        <v/>
      </c>
      <c r="AW207" s="12">
        <f>IF(LEFT(B207,4)&lt;&gt;"    ","",IF(AU207-W207&gt;=0,AU207-W207," "))</f>
        <v/>
      </c>
      <c r="AX207" s="186" t="n"/>
      <c r="AY207" s="187" t="n"/>
      <c r="AZ207" s="186" t="n"/>
      <c r="BA207" s="186" t="n"/>
      <c r="BB207" s="188" t="n"/>
      <c r="BC207" s="187" t="n"/>
      <c r="BD207" s="187" t="n"/>
      <c r="BE207" s="186" t="n"/>
      <c r="BF207" s="186" t="n"/>
      <c r="BG207" s="186" t="n"/>
      <c r="BH207" s="186" t="n"/>
      <c r="BI207" s="186" t="n"/>
      <c r="BJ207" s="186" t="n"/>
      <c r="BK207" s="186" t="n"/>
      <c r="BL207" s="186" t="n"/>
      <c r="BM207" s="186" t="n"/>
      <c r="BN207" s="186" t="n"/>
      <c r="BO207" s="186" t="n"/>
      <c r="BP207" s="186" t="n"/>
      <c r="BQ207" s="186" t="n"/>
      <c r="BR207" s="186" t="n"/>
      <c r="BS207" s="186" t="n"/>
      <c r="BT207" s="186" t="n"/>
      <c r="BU207" s="186" t="n"/>
      <c r="BV207" s="186" t="n"/>
      <c r="BW207" s="186" t="n"/>
      <c r="BX207" s="186" t="n"/>
      <c r="BY207" s="186" t="n"/>
      <c r="BZ207" s="186" t="n"/>
      <c r="CA207" s="186" t="n"/>
      <c r="CB207" s="186" t="n"/>
      <c r="CC207" s="190" t="n"/>
      <c r="CD207" s="186" t="n"/>
      <c r="CE207" s="186" t="n"/>
      <c r="CF207" s="186" t="n"/>
      <c r="CG207" s="186" t="n"/>
      <c r="CH207" s="186" t="n"/>
      <c r="CI207" s="191" t="n"/>
      <c r="CJ207" s="192" t="n"/>
      <c r="CK207" s="192" t="n"/>
      <c r="CL207" s="192" t="n"/>
      <c r="CM207" s="192" t="n"/>
    </row>
    <row r="208">
      <c r="A208" s="177" t="n"/>
      <c r="B208" s="178" t="n"/>
      <c r="C208" s="178" t="n"/>
      <c r="D208" s="179" t="n"/>
      <c r="E208" s="180" t="n"/>
      <c r="F208" s="181" t="n"/>
      <c r="G208" s="182" t="n"/>
      <c r="H208" s="105" t="n"/>
      <c r="I208" s="183">
        <f>F208</f>
        <v/>
      </c>
      <c r="J208" s="184" t="n"/>
      <c r="K208" s="185" t="n"/>
      <c r="L208" s="8" t="n"/>
      <c r="M208" s="71">
        <f>L208</f>
        <v/>
      </c>
      <c r="N208" s="71" t="n"/>
      <c r="O208" s="101" t="n"/>
      <c r="P208" s="9">
        <f>I208-M208</f>
        <v/>
      </c>
      <c r="Q208" s="9">
        <f>IF(LEFT(B208,4)&lt;&gt;"    ",0,BN208)</f>
        <v/>
      </c>
      <c r="R208" s="9">
        <f>+P208-Q208</f>
        <v/>
      </c>
      <c r="S208" s="281" t="n"/>
      <c r="T208" s="10" t="n"/>
      <c r="U208" s="23">
        <f>IF(LEFT(B208,4)&lt;&gt;"    ","",IF(M208&lt;&gt;0,X208/M208,0))</f>
        <v/>
      </c>
      <c r="V208" s="11">
        <f>IF(LEFT(B208,4)&lt;&gt;"    ","",U208*I208)</f>
        <v/>
      </c>
      <c r="W208" s="11">
        <f>IF(LEFT(B208,4)&lt;&gt;"    ","",X208+Z208)</f>
        <v/>
      </c>
      <c r="X208" s="8" t="n"/>
      <c r="Y208" s="9">
        <f>IF(LEFT(B208,4)&lt;&gt;"    ",0,IF(P208&lt;0,P208,IF(U208&gt;0.3,W208-X208,0)))</f>
        <v/>
      </c>
      <c r="Z208" s="71">
        <f>Y208</f>
        <v/>
      </c>
      <c r="AA208" s="71" t="n"/>
      <c r="AB208" s="109" t="n"/>
      <c r="AC208" s="9">
        <f>IF(LEFT(B208,4)&lt;&gt;"    ",0,BK208)</f>
        <v/>
      </c>
      <c r="AD208" s="9">
        <f>Z208-AC208</f>
        <v/>
      </c>
      <c r="AE208" s="10" t="n"/>
      <c r="AF208" s="24" t="n"/>
      <c r="AG208" s="11" t="n"/>
      <c r="AH208" s="8" t="n"/>
      <c r="AI208" s="9">
        <f>IF(LEFT(B208,4)&lt;&gt;"    ","",AG208-AH208)</f>
        <v/>
      </c>
      <c r="AJ208" s="9" t="n"/>
      <c r="AK208" s="10" t="n"/>
      <c r="AL208" s="11">
        <f>IF(LEFT(B208,4)&lt;&gt;"    ","",W208-AG208)</f>
        <v/>
      </c>
      <c r="AM208" s="8">
        <f>IF(LEFT(B208,4)&lt;&gt;"    ","",X208-AH208)</f>
        <v/>
      </c>
      <c r="AN208" s="9">
        <f>IF(LEFT(B208,4)&lt;&gt;"    ","",Y208-AI208)</f>
        <v/>
      </c>
      <c r="AO208" s="9">
        <f>IF(LEFT(B208,4)&lt;&gt;"    ","",Z208-AJ208)</f>
        <v/>
      </c>
      <c r="AP208" s="10" t="n"/>
      <c r="AQ208" s="25">
        <f>IF(LEFT(B208,4)&lt;&gt;"    ","",I208-W208)</f>
        <v/>
      </c>
      <c r="AR208" s="25">
        <f>M208-X208</f>
        <v/>
      </c>
      <c r="AS208" s="25">
        <f>IF(LEFT(B208,4)&lt;&gt;"    ","",P208-Z208)</f>
        <v/>
      </c>
      <c r="AT208" s="10" t="n"/>
      <c r="AU208" s="12" t="n"/>
      <c r="AV208" s="12">
        <f>IF(LEFT(B208,4)&lt;&gt;"    ","",IF(W208-AU208&gt;=0,W208-AU208," "))</f>
        <v/>
      </c>
      <c r="AW208" s="12">
        <f>IF(LEFT(B208,4)&lt;&gt;"    ","",IF(AU208-W208&gt;=0,AU208-W208," "))</f>
        <v/>
      </c>
      <c r="AX208" s="186" t="n"/>
      <c r="AY208" s="187" t="n"/>
      <c r="AZ208" s="186" t="n"/>
      <c r="BA208" s="186" t="n"/>
      <c r="BB208" s="188" t="n"/>
      <c r="BC208" s="187" t="n"/>
      <c r="BD208" s="187" t="n"/>
      <c r="BE208" s="186" t="n"/>
      <c r="BF208" s="186" t="n"/>
      <c r="BG208" s="186" t="n"/>
      <c r="BH208" s="186" t="n"/>
      <c r="BI208" s="186" t="n"/>
      <c r="BJ208" s="186" t="n"/>
      <c r="BK208" s="186" t="n"/>
      <c r="BL208" s="186" t="n"/>
      <c r="BM208" s="186" t="n"/>
      <c r="BN208" s="186" t="n"/>
      <c r="BO208" s="186" t="n"/>
      <c r="BP208" s="186" t="n"/>
      <c r="BQ208" s="186" t="n"/>
      <c r="BR208" s="186" t="n"/>
      <c r="BS208" s="186" t="n"/>
      <c r="BT208" s="186" t="n"/>
      <c r="BU208" s="186" t="n"/>
      <c r="BV208" s="186" t="n"/>
      <c r="BW208" s="186" t="n"/>
      <c r="BX208" s="186" t="n"/>
      <c r="BY208" s="186" t="n"/>
      <c r="BZ208" s="186" t="n"/>
      <c r="CA208" s="186" t="n"/>
      <c r="CB208" s="186" t="n"/>
      <c r="CC208" s="190" t="n"/>
      <c r="CD208" s="186" t="n"/>
      <c r="CE208" s="186" t="n"/>
      <c r="CF208" s="186" t="n"/>
      <c r="CG208" s="186" t="n"/>
      <c r="CH208" s="186" t="n"/>
      <c r="CI208" s="191" t="n"/>
      <c r="CJ208" s="192" t="n"/>
      <c r="CK208" s="192" t="n"/>
      <c r="CL208" s="192" t="n"/>
      <c r="CM208" s="192" t="n"/>
    </row>
    <row r="209">
      <c r="A209" s="177" t="n"/>
      <c r="B209" s="178" t="n"/>
      <c r="C209" s="178" t="n"/>
      <c r="D209" s="179" t="n"/>
      <c r="E209" s="180" t="n"/>
      <c r="F209" s="181" t="n"/>
      <c r="G209" s="182" t="n"/>
      <c r="H209" s="105" t="n"/>
      <c r="I209" s="183">
        <f>F209</f>
        <v/>
      </c>
      <c r="J209" s="184" t="n"/>
      <c r="K209" s="185" t="n"/>
      <c r="L209" s="8" t="n"/>
      <c r="M209" s="71">
        <f>L209</f>
        <v/>
      </c>
      <c r="N209" s="71" t="n"/>
      <c r="O209" s="101" t="n"/>
      <c r="P209" s="9">
        <f>I209-M209</f>
        <v/>
      </c>
      <c r="Q209" s="9">
        <f>IF(LEFT(B209,4)&lt;&gt;"    ",0,BN209)</f>
        <v/>
      </c>
      <c r="R209" s="9">
        <f>+P209-Q209</f>
        <v/>
      </c>
      <c r="S209" s="281" t="n"/>
      <c r="T209" s="10" t="n"/>
      <c r="U209" s="23">
        <f>IF(LEFT(B209,4)&lt;&gt;"    ","",IF(M209&lt;&gt;0,X209/M209,0))</f>
        <v/>
      </c>
      <c r="V209" s="11">
        <f>IF(LEFT(B209,4)&lt;&gt;"    ","",U209*I209)</f>
        <v/>
      </c>
      <c r="W209" s="11">
        <f>IF(LEFT(B209,4)&lt;&gt;"    ","",X209+Z209)</f>
        <v/>
      </c>
      <c r="X209" s="8" t="n"/>
      <c r="Y209" s="9">
        <f>IF(LEFT(B209,4)&lt;&gt;"    ",0,IF(P209&lt;0,P209,IF(U209&gt;0.3,W209-X209,0)))</f>
        <v/>
      </c>
      <c r="Z209" s="71">
        <f>Y209</f>
        <v/>
      </c>
      <c r="AA209" s="71" t="n"/>
      <c r="AB209" s="109" t="n"/>
      <c r="AC209" s="9">
        <f>IF(LEFT(B209,4)&lt;&gt;"    ",0,BK209)</f>
        <v/>
      </c>
      <c r="AD209" s="9">
        <f>Z209-AC209</f>
        <v/>
      </c>
      <c r="AE209" s="10" t="n"/>
      <c r="AF209" s="24" t="n"/>
      <c r="AG209" s="11" t="n"/>
      <c r="AH209" s="8" t="n"/>
      <c r="AI209" s="9">
        <f>IF(LEFT(B209,4)&lt;&gt;"    ","",AG209-AH209)</f>
        <v/>
      </c>
      <c r="AJ209" s="9" t="n"/>
      <c r="AK209" s="10" t="n"/>
      <c r="AL209" s="11">
        <f>IF(LEFT(B209,4)&lt;&gt;"    ","",W209-AG209)</f>
        <v/>
      </c>
      <c r="AM209" s="8">
        <f>IF(LEFT(B209,4)&lt;&gt;"    ","",X209-AH209)</f>
        <v/>
      </c>
      <c r="AN209" s="9">
        <f>IF(LEFT(B209,4)&lt;&gt;"    ","",Y209-AI209)</f>
        <v/>
      </c>
      <c r="AO209" s="9">
        <f>IF(LEFT(B209,4)&lt;&gt;"    ","",Z209-AJ209)</f>
        <v/>
      </c>
      <c r="AP209" s="10" t="n"/>
      <c r="AQ209" s="25">
        <f>IF(LEFT(B209,4)&lt;&gt;"    ","",I209-W209)</f>
        <v/>
      </c>
      <c r="AR209" s="25">
        <f>M209-X209</f>
        <v/>
      </c>
      <c r="AS209" s="25">
        <f>IF(LEFT(B209,4)&lt;&gt;"    ","",P209-Z209)</f>
        <v/>
      </c>
      <c r="AT209" s="10" t="n"/>
      <c r="AU209" s="12" t="n"/>
      <c r="AV209" s="12">
        <f>IF(LEFT(B209,4)&lt;&gt;"    ","",IF(W209-AU209&gt;=0,W209-AU209," "))</f>
        <v/>
      </c>
      <c r="AW209" s="12">
        <f>IF(LEFT(B209,4)&lt;&gt;"    ","",IF(AU209-W209&gt;=0,AU209-W209," "))</f>
        <v/>
      </c>
      <c r="AX209" s="186" t="n"/>
      <c r="AY209" s="187" t="n"/>
      <c r="AZ209" s="186" t="n"/>
      <c r="BA209" s="186" t="n"/>
      <c r="BB209" s="188" t="n"/>
      <c r="BC209" s="187" t="n"/>
      <c r="BD209" s="187" t="n"/>
      <c r="BE209" s="186" t="n"/>
      <c r="BF209" s="186" t="n"/>
      <c r="BG209" s="186" t="n"/>
      <c r="BH209" s="186" t="n"/>
      <c r="BI209" s="186" t="n"/>
      <c r="BJ209" s="186" t="n"/>
      <c r="BK209" s="186" t="n"/>
      <c r="BL209" s="186" t="n"/>
      <c r="BM209" s="186" t="n"/>
      <c r="BN209" s="186" t="n"/>
      <c r="BO209" s="186" t="n"/>
      <c r="BP209" s="186" t="n"/>
      <c r="BQ209" s="186" t="n"/>
      <c r="BR209" s="186" t="n"/>
      <c r="BS209" s="186" t="n"/>
      <c r="BT209" s="186" t="n"/>
      <c r="BU209" s="186" t="n"/>
      <c r="BV209" s="186" t="n"/>
      <c r="BW209" s="186" t="n"/>
      <c r="BX209" s="186" t="n"/>
      <c r="BY209" s="186" t="n"/>
      <c r="BZ209" s="186" t="n"/>
      <c r="CA209" s="186" t="n"/>
      <c r="CB209" s="186" t="n"/>
      <c r="CC209" s="190" t="n"/>
      <c r="CD209" s="186" t="n"/>
      <c r="CE209" s="186" t="n"/>
      <c r="CF209" s="186" t="n"/>
      <c r="CG209" s="186" t="n"/>
      <c r="CH209" s="186" t="n"/>
      <c r="CI209" s="191" t="n"/>
      <c r="CJ209" s="192" t="n"/>
      <c r="CK209" s="192" t="n"/>
      <c r="CL209" s="192" t="n"/>
      <c r="CM209" s="192" t="n"/>
    </row>
    <row r="210">
      <c r="A210" s="177" t="n"/>
      <c r="B210" s="178" t="n"/>
      <c r="C210" s="178" t="n"/>
      <c r="D210" s="179" t="n"/>
      <c r="E210" s="180" t="n"/>
      <c r="F210" s="181" t="n"/>
      <c r="G210" s="182" t="n"/>
      <c r="H210" s="105" t="n"/>
      <c r="I210" s="183">
        <f>F210</f>
        <v/>
      </c>
      <c r="J210" s="184" t="n"/>
      <c r="K210" s="185" t="n"/>
      <c r="L210" s="8" t="n"/>
      <c r="M210" s="71">
        <f>L210</f>
        <v/>
      </c>
      <c r="N210" s="71" t="n"/>
      <c r="O210" s="101" t="n"/>
      <c r="P210" s="9">
        <f>I210-M210</f>
        <v/>
      </c>
      <c r="Q210" s="9">
        <f>IF(LEFT(B210,4)&lt;&gt;"    ",0,BN210)</f>
        <v/>
      </c>
      <c r="R210" s="9">
        <f>+P210-Q210</f>
        <v/>
      </c>
      <c r="S210" s="281" t="n"/>
      <c r="T210" s="10" t="n"/>
      <c r="U210" s="23">
        <f>IF(LEFT(B210,4)&lt;&gt;"    ","",IF(M210&lt;&gt;0,X210/M210,0))</f>
        <v/>
      </c>
      <c r="V210" s="11">
        <f>IF(LEFT(B210,4)&lt;&gt;"    ","",U210*I210)</f>
        <v/>
      </c>
      <c r="W210" s="11">
        <f>IF(LEFT(B210,4)&lt;&gt;"    ","",X210+Z210)</f>
        <v/>
      </c>
      <c r="X210" s="8" t="n"/>
      <c r="Y210" s="9">
        <f>IF(LEFT(B210,4)&lt;&gt;"    ",0,IF(P210&lt;0,P210,IF(U210&gt;0.3,W210-X210,0)))</f>
        <v/>
      </c>
      <c r="Z210" s="71">
        <f>Y210</f>
        <v/>
      </c>
      <c r="AA210" s="71" t="n"/>
      <c r="AB210" s="109" t="n"/>
      <c r="AC210" s="9">
        <f>IF(LEFT(B210,4)&lt;&gt;"    ",0,BK210)</f>
        <v/>
      </c>
      <c r="AD210" s="9">
        <f>Z210-AC210</f>
        <v/>
      </c>
      <c r="AE210" s="10" t="n"/>
      <c r="AF210" s="24" t="n"/>
      <c r="AG210" s="11" t="n"/>
      <c r="AH210" s="8" t="n"/>
      <c r="AI210" s="9">
        <f>IF(LEFT(B210,4)&lt;&gt;"    ","",AG210-AH210)</f>
        <v/>
      </c>
      <c r="AJ210" s="9" t="n"/>
      <c r="AK210" s="10" t="n"/>
      <c r="AL210" s="11">
        <f>IF(LEFT(B210,4)&lt;&gt;"    ","",W210-AG210)</f>
        <v/>
      </c>
      <c r="AM210" s="8">
        <f>IF(LEFT(B210,4)&lt;&gt;"    ","",X210-AH210)</f>
        <v/>
      </c>
      <c r="AN210" s="9">
        <f>IF(LEFT(B210,4)&lt;&gt;"    ","",Y210-AI210)</f>
        <v/>
      </c>
      <c r="AO210" s="9">
        <f>IF(LEFT(B210,4)&lt;&gt;"    ","",Z210-AJ210)</f>
        <v/>
      </c>
      <c r="AP210" s="10" t="n"/>
      <c r="AQ210" s="25">
        <f>IF(LEFT(B210,4)&lt;&gt;"    ","",I210-W210)</f>
        <v/>
      </c>
      <c r="AR210" s="25">
        <f>M210-X210</f>
        <v/>
      </c>
      <c r="AS210" s="25">
        <f>IF(LEFT(B210,4)&lt;&gt;"    ","",P210-Z210)</f>
        <v/>
      </c>
      <c r="AT210" s="10" t="n"/>
      <c r="AU210" s="12" t="n"/>
      <c r="AV210" s="12">
        <f>IF(LEFT(B210,4)&lt;&gt;"    ","",IF(W210-AU210&gt;=0,W210-AU210," "))</f>
        <v/>
      </c>
      <c r="AW210" s="12">
        <f>IF(LEFT(B210,4)&lt;&gt;"    ","",IF(AU210-W210&gt;=0,AU210-W210," "))</f>
        <v/>
      </c>
      <c r="AX210" s="186" t="n"/>
      <c r="AY210" s="187" t="n"/>
      <c r="AZ210" s="186" t="n"/>
      <c r="BA210" s="186" t="n"/>
      <c r="BB210" s="188" t="n"/>
      <c r="BC210" s="187" t="n"/>
      <c r="BD210" s="187" t="n"/>
      <c r="BE210" s="186" t="n"/>
      <c r="BF210" s="186" t="n"/>
      <c r="BG210" s="186" t="n"/>
      <c r="BH210" s="186" t="n"/>
      <c r="BI210" s="186" t="n"/>
      <c r="BJ210" s="186" t="n"/>
      <c r="BK210" s="186" t="n"/>
      <c r="BL210" s="186" t="n"/>
      <c r="BM210" s="186" t="n"/>
      <c r="BN210" s="186" t="n"/>
      <c r="BO210" s="186" t="n"/>
      <c r="BP210" s="186" t="n"/>
      <c r="BQ210" s="186" t="n"/>
      <c r="BR210" s="186" t="n"/>
      <c r="BS210" s="186" t="n"/>
      <c r="BT210" s="186" t="n"/>
      <c r="BU210" s="186" t="n"/>
      <c r="BV210" s="186" t="n"/>
      <c r="BW210" s="186" t="n"/>
      <c r="BX210" s="186" t="n"/>
      <c r="BY210" s="186" t="n"/>
      <c r="BZ210" s="186" t="n"/>
      <c r="CA210" s="186" t="n"/>
      <c r="CB210" s="186" t="n"/>
      <c r="CC210" s="190" t="n"/>
      <c r="CD210" s="186" t="n"/>
      <c r="CE210" s="186" t="n"/>
      <c r="CF210" s="186" t="n"/>
      <c r="CG210" s="186" t="n"/>
      <c r="CH210" s="186" t="n"/>
      <c r="CI210" s="191" t="n"/>
      <c r="CJ210" s="192" t="n"/>
      <c r="CK210" s="192" t="n"/>
      <c r="CL210" s="192" t="n"/>
      <c r="CM210" s="192" t="n"/>
    </row>
    <row r="211">
      <c r="A211" s="177" t="n"/>
      <c r="B211" s="178" t="n"/>
      <c r="C211" s="178" t="n"/>
      <c r="D211" s="179" t="n"/>
      <c r="E211" s="180" t="n"/>
      <c r="F211" s="181" t="n"/>
      <c r="G211" s="182" t="n"/>
      <c r="H211" s="105" t="n"/>
      <c r="I211" s="183">
        <f>F211</f>
        <v/>
      </c>
      <c r="J211" s="184" t="n"/>
      <c r="K211" s="185" t="n"/>
      <c r="L211" s="8" t="n"/>
      <c r="M211" s="71">
        <f>L211</f>
        <v/>
      </c>
      <c r="N211" s="71" t="n"/>
      <c r="O211" s="101" t="n"/>
      <c r="P211" s="9">
        <f>I211-M211</f>
        <v/>
      </c>
      <c r="Q211" s="9">
        <f>IF(LEFT(B211,4)&lt;&gt;"    ",0,BN211)</f>
        <v/>
      </c>
      <c r="R211" s="9">
        <f>+P211-Q211</f>
        <v/>
      </c>
      <c r="S211" s="281" t="n"/>
      <c r="T211" s="10" t="n"/>
      <c r="U211" s="23">
        <f>IF(LEFT(B211,4)&lt;&gt;"    ","",IF(M211&lt;&gt;0,X211/M211,0))</f>
        <v/>
      </c>
      <c r="V211" s="11">
        <f>IF(LEFT(B211,4)&lt;&gt;"    ","",U211*I211)</f>
        <v/>
      </c>
      <c r="W211" s="11">
        <f>IF(LEFT(B211,4)&lt;&gt;"    ","",X211+Z211)</f>
        <v/>
      </c>
      <c r="X211" s="8" t="n"/>
      <c r="Y211" s="9">
        <f>IF(LEFT(B211,4)&lt;&gt;"    ",0,IF(P211&lt;0,P211,IF(U211&gt;0.3,W211-X211,0)))</f>
        <v/>
      </c>
      <c r="Z211" s="71">
        <f>Y211</f>
        <v/>
      </c>
      <c r="AA211" s="71" t="n"/>
      <c r="AB211" s="109" t="n"/>
      <c r="AC211" s="9">
        <f>IF(LEFT(B211,4)&lt;&gt;"    ",0,BK211)</f>
        <v/>
      </c>
      <c r="AD211" s="9">
        <f>Z211-AC211</f>
        <v/>
      </c>
      <c r="AE211" s="10" t="n"/>
      <c r="AF211" s="24" t="n"/>
      <c r="AG211" s="11" t="n"/>
      <c r="AH211" s="8" t="n"/>
      <c r="AI211" s="9">
        <f>IF(LEFT(B211,4)&lt;&gt;"    ","",AG211-AH211)</f>
        <v/>
      </c>
      <c r="AJ211" s="9" t="n"/>
      <c r="AK211" s="10" t="n"/>
      <c r="AL211" s="11">
        <f>IF(LEFT(B211,4)&lt;&gt;"    ","",W211-AG211)</f>
        <v/>
      </c>
      <c r="AM211" s="8">
        <f>IF(LEFT(B211,4)&lt;&gt;"    ","",X211-AH211)</f>
        <v/>
      </c>
      <c r="AN211" s="9">
        <f>IF(LEFT(B211,4)&lt;&gt;"    ","",Y211-AI211)</f>
        <v/>
      </c>
      <c r="AO211" s="9">
        <f>IF(LEFT(B211,4)&lt;&gt;"    ","",Z211-AJ211)</f>
        <v/>
      </c>
      <c r="AP211" s="10" t="n"/>
      <c r="AQ211" s="25">
        <f>IF(LEFT(B211,4)&lt;&gt;"    ","",I211-W211)</f>
        <v/>
      </c>
      <c r="AR211" s="25">
        <f>M211-X211</f>
        <v/>
      </c>
      <c r="AS211" s="25">
        <f>IF(LEFT(B211,4)&lt;&gt;"    ","",P211-Z211)</f>
        <v/>
      </c>
      <c r="AT211" s="10" t="n"/>
      <c r="AU211" s="12" t="n"/>
      <c r="AV211" s="12">
        <f>IF(LEFT(B211,4)&lt;&gt;"    ","",IF(W211-AU211&gt;=0,W211-AU211," "))</f>
        <v/>
      </c>
      <c r="AW211" s="12">
        <f>IF(LEFT(B211,4)&lt;&gt;"    ","",IF(AU211-W211&gt;=0,AU211-W211," "))</f>
        <v/>
      </c>
      <c r="AX211" s="186" t="n"/>
      <c r="AY211" s="187" t="n"/>
      <c r="AZ211" s="186" t="n"/>
      <c r="BA211" s="186" t="n"/>
      <c r="BB211" s="188" t="n"/>
      <c r="BC211" s="187" t="n"/>
      <c r="BD211" s="187" t="n"/>
      <c r="BE211" s="186" t="n"/>
      <c r="BF211" s="186" t="n"/>
      <c r="BG211" s="186" t="n"/>
      <c r="BH211" s="186" t="n"/>
      <c r="BI211" s="186" t="n"/>
      <c r="BJ211" s="186" t="n"/>
      <c r="BK211" s="186" t="n"/>
      <c r="BL211" s="186" t="n"/>
      <c r="BM211" s="186" t="n"/>
      <c r="BN211" s="186" t="n"/>
      <c r="BO211" s="186" t="n"/>
      <c r="BP211" s="186" t="n"/>
      <c r="BQ211" s="186" t="n"/>
      <c r="BR211" s="186" t="n"/>
      <c r="BS211" s="186" t="n"/>
      <c r="BT211" s="186" t="n"/>
      <c r="BU211" s="186" t="n"/>
      <c r="BV211" s="186" t="n"/>
      <c r="BW211" s="186" t="n"/>
      <c r="BX211" s="186" t="n"/>
      <c r="BY211" s="186" t="n"/>
      <c r="BZ211" s="186" t="n"/>
      <c r="CA211" s="186" t="n"/>
      <c r="CB211" s="186" t="n"/>
      <c r="CC211" s="190" t="n"/>
      <c r="CD211" s="186" t="n"/>
      <c r="CE211" s="186" t="n"/>
      <c r="CF211" s="186" t="n"/>
      <c r="CG211" s="186" t="n"/>
      <c r="CH211" s="186" t="n"/>
      <c r="CI211" s="191" t="n"/>
      <c r="CJ211" s="192" t="n"/>
      <c r="CK211" s="192" t="n"/>
      <c r="CL211" s="192" t="n"/>
      <c r="CM211" s="192" t="n"/>
    </row>
    <row r="212">
      <c r="A212" s="177" t="n"/>
      <c r="B212" s="178" t="n"/>
      <c r="C212" s="178" t="n"/>
      <c r="D212" s="179" t="n"/>
      <c r="E212" s="180" t="n"/>
      <c r="F212" s="181" t="n"/>
      <c r="G212" s="182" t="n"/>
      <c r="H212" s="105" t="n"/>
      <c r="I212" s="196">
        <f>F212</f>
        <v/>
      </c>
      <c r="J212" s="184" t="n"/>
      <c r="K212" s="185" t="n"/>
      <c r="L212" s="8" t="n"/>
      <c r="M212" s="71">
        <f>L212</f>
        <v/>
      </c>
      <c r="N212" s="71" t="n"/>
      <c r="O212" s="101" t="n"/>
      <c r="P212" s="9">
        <f>I212-M212</f>
        <v/>
      </c>
      <c r="Q212" s="9">
        <f>IF(LEFT(B212,4)&lt;&gt;"    ",0,BN212)</f>
        <v/>
      </c>
      <c r="R212" s="9">
        <f>+P212-Q212</f>
        <v/>
      </c>
      <c r="S212" s="281" t="n"/>
      <c r="T212" s="10" t="n"/>
      <c r="U212" s="23">
        <f>IF(LEFT(B212,4)&lt;&gt;"    ","",IF(M212&lt;&gt;0,X212/M212,0))</f>
        <v/>
      </c>
      <c r="V212" s="11">
        <f>IF(LEFT(B212,4)&lt;&gt;"    ","",U212*I212)</f>
        <v/>
      </c>
      <c r="W212" s="11">
        <f>IF(LEFT(B212,4)&lt;&gt;"    ","",X212+Z212)</f>
        <v/>
      </c>
      <c r="X212" s="8" t="n"/>
      <c r="Y212" s="9">
        <f>IF(LEFT(B212,4)&lt;&gt;"    ",0,IF(P212&lt;0,P212,IF(U212&gt;0.3,W212-X212,0)))</f>
        <v/>
      </c>
      <c r="Z212" s="71">
        <f>Y212</f>
        <v/>
      </c>
      <c r="AA212" s="71" t="n"/>
      <c r="AB212" s="109" t="n"/>
      <c r="AC212" s="9">
        <f>IF(LEFT(B212,4)&lt;&gt;"    ",0,BK212)</f>
        <v/>
      </c>
      <c r="AD212" s="9">
        <f>Z212-AC212</f>
        <v/>
      </c>
      <c r="AE212" s="10" t="n"/>
      <c r="AF212" s="24" t="n"/>
      <c r="AG212" s="11" t="n"/>
      <c r="AH212" s="8" t="n"/>
      <c r="AI212" s="9">
        <f>IF(LEFT(B212,4)&lt;&gt;"    ","",AG212-AH212)</f>
        <v/>
      </c>
      <c r="AJ212" s="9" t="n"/>
      <c r="AK212" s="10" t="n"/>
      <c r="AL212" s="11">
        <f>IF(LEFT(B212,4)&lt;&gt;"    ","",W212-AG212)</f>
        <v/>
      </c>
      <c r="AM212" s="8">
        <f>IF(LEFT(B212,4)&lt;&gt;"    ","",X212-AH212)</f>
        <v/>
      </c>
      <c r="AN212" s="9">
        <f>IF(LEFT(B212,4)&lt;&gt;"    ","",Y212-AI212)</f>
        <v/>
      </c>
      <c r="AO212" s="9">
        <f>IF(LEFT(B212,4)&lt;&gt;"    ","",Z212-AJ212)</f>
        <v/>
      </c>
      <c r="AP212" s="10" t="n"/>
      <c r="AQ212" s="25">
        <f>IF(LEFT(B212,4)&lt;&gt;"    ","",I212-W212)</f>
        <v/>
      </c>
      <c r="AR212" s="25">
        <f>M212-X212</f>
        <v/>
      </c>
      <c r="AS212" s="25">
        <f>IF(LEFT(B212,4)&lt;&gt;"    ","",P212-Z212)</f>
        <v/>
      </c>
      <c r="AT212" s="10" t="n"/>
      <c r="AU212" s="12" t="n"/>
      <c r="AV212" s="12">
        <f>IF(LEFT(B212,4)&lt;&gt;"    ","",IF(W212-AU212&gt;=0,W212-AU212," "))</f>
        <v/>
      </c>
      <c r="AW212" s="12">
        <f>IF(LEFT(B212,4)&lt;&gt;"    ","",IF(AU212-W212&gt;=0,AU212-W212," "))</f>
        <v/>
      </c>
      <c r="AX212" s="186" t="n"/>
      <c r="AY212" s="187" t="n"/>
      <c r="AZ212" s="186" t="n"/>
      <c r="BA212" s="186" t="n"/>
      <c r="BB212" s="188" t="n"/>
      <c r="BC212" s="187" t="n"/>
      <c r="BD212" s="187" t="n"/>
      <c r="BE212" s="186" t="n"/>
      <c r="BF212" s="186" t="n"/>
      <c r="BG212" s="186" t="n"/>
      <c r="BH212" s="186" t="n"/>
      <c r="BI212" s="186" t="n"/>
      <c r="BJ212" s="186" t="n"/>
      <c r="BK212" s="186" t="n"/>
      <c r="BL212" s="186" t="n"/>
      <c r="BM212" s="186" t="n"/>
      <c r="BN212" s="186" t="n"/>
      <c r="BO212" s="186" t="n"/>
      <c r="BP212" s="186" t="n"/>
      <c r="BQ212" s="186" t="n"/>
      <c r="BR212" s="186" t="n"/>
      <c r="BS212" s="186" t="n"/>
      <c r="BT212" s="186" t="n"/>
      <c r="BU212" s="186" t="n"/>
      <c r="BV212" s="186" t="n"/>
      <c r="BW212" s="186" t="n"/>
      <c r="BX212" s="186" t="n"/>
      <c r="BY212" s="186" t="n"/>
      <c r="BZ212" s="186" t="n"/>
      <c r="CA212" s="186" t="n"/>
      <c r="CB212" s="186" t="n"/>
      <c r="CC212" s="190" t="n"/>
      <c r="CD212" s="186" t="n"/>
      <c r="CE212" s="186" t="n"/>
      <c r="CF212" s="186" t="n"/>
      <c r="CG212" s="186" t="n"/>
      <c r="CH212" s="186" t="n"/>
      <c r="CI212" s="191" t="n"/>
      <c r="CJ212" s="192" t="n"/>
      <c r="CK212" s="192" t="n"/>
      <c r="CL212" s="192" t="n"/>
      <c r="CM212" s="192" t="n"/>
    </row>
    <row r="213">
      <c r="A213" s="177" t="n"/>
      <c r="B213" s="178" t="n"/>
      <c r="C213" s="178" t="n"/>
      <c r="D213" s="179" t="n"/>
      <c r="E213" s="180" t="n"/>
      <c r="F213" s="181" t="n"/>
      <c r="G213" s="182" t="n"/>
      <c r="H213" s="105" t="n"/>
      <c r="I213" s="196">
        <f>F213</f>
        <v/>
      </c>
      <c r="J213" s="184" t="n"/>
      <c r="K213" s="185" t="n"/>
      <c r="L213" s="8" t="n"/>
      <c r="M213" s="71">
        <f>L213</f>
        <v/>
      </c>
      <c r="N213" s="71" t="n"/>
      <c r="O213" s="101" t="n"/>
      <c r="P213" s="9">
        <f>I213-M213</f>
        <v/>
      </c>
      <c r="Q213" s="9">
        <f>IF(LEFT(B213,4)&lt;&gt;"    ",0,BN213)</f>
        <v/>
      </c>
      <c r="R213" s="9">
        <f>+P213-Q213</f>
        <v/>
      </c>
      <c r="S213" s="281" t="n"/>
      <c r="T213" s="10" t="n"/>
      <c r="U213" s="23">
        <f>IF(LEFT(B213,4)&lt;&gt;"    ","",IF(M213&lt;&gt;0,X213/M213,0))</f>
        <v/>
      </c>
      <c r="V213" s="11">
        <f>IF(LEFT(B213,4)&lt;&gt;"    ","",U213*I213)</f>
        <v/>
      </c>
      <c r="W213" s="11">
        <f>IF(LEFT(B213,4)&lt;&gt;"    ","",X213+Z213)</f>
        <v/>
      </c>
      <c r="X213" s="8" t="n"/>
      <c r="Y213" s="9">
        <f>IF(LEFT(B213,4)&lt;&gt;"    ",0,IF(P213&lt;0,P213,IF(U213&gt;0.3,W213-X213,0)))</f>
        <v/>
      </c>
      <c r="Z213" s="71">
        <f>Y213</f>
        <v/>
      </c>
      <c r="AA213" s="71" t="n"/>
      <c r="AB213" s="109" t="n"/>
      <c r="AC213" s="9">
        <f>IF(LEFT(B213,4)&lt;&gt;"    ",0,BK213)</f>
        <v/>
      </c>
      <c r="AD213" s="9">
        <f>Z213-AC213</f>
        <v/>
      </c>
      <c r="AE213" s="10" t="n"/>
      <c r="AF213" s="24" t="n"/>
      <c r="AG213" s="11" t="n"/>
      <c r="AH213" s="8" t="n"/>
      <c r="AI213" s="9">
        <f>IF(LEFT(B213,4)&lt;&gt;"    ","",AG213-AH213)</f>
        <v/>
      </c>
      <c r="AJ213" s="9" t="n"/>
      <c r="AK213" s="10" t="n"/>
      <c r="AL213" s="11">
        <f>IF(LEFT(B213,4)&lt;&gt;"    ","",W213-AG213)</f>
        <v/>
      </c>
      <c r="AM213" s="8">
        <f>IF(LEFT(B213,4)&lt;&gt;"    ","",X213-AH213)</f>
        <v/>
      </c>
      <c r="AN213" s="9">
        <f>IF(LEFT(B213,4)&lt;&gt;"    ","",Y213-AI213)</f>
        <v/>
      </c>
      <c r="AO213" s="9">
        <f>IF(LEFT(B213,4)&lt;&gt;"    ","",Z213-AJ213)</f>
        <v/>
      </c>
      <c r="AP213" s="10" t="n"/>
      <c r="AQ213" s="25">
        <f>IF(LEFT(B213,4)&lt;&gt;"    ","",I213-W213)</f>
        <v/>
      </c>
      <c r="AR213" s="25">
        <f>M213-X213</f>
        <v/>
      </c>
      <c r="AS213" s="25">
        <f>IF(LEFT(B213,4)&lt;&gt;"    ","",P213-Z213)</f>
        <v/>
      </c>
      <c r="AT213" s="10" t="n"/>
      <c r="AU213" s="12" t="n"/>
      <c r="AV213" s="12">
        <f>IF(LEFT(B213,4)&lt;&gt;"    ","",IF(W213-AU213&gt;=0,W213-AU213," "))</f>
        <v/>
      </c>
      <c r="AW213" s="12">
        <f>IF(LEFT(B213,4)&lt;&gt;"    ","",IF(AU213-W213&gt;=0,AU213-W213," "))</f>
        <v/>
      </c>
      <c r="AX213" s="186" t="n"/>
      <c r="AY213" s="187" t="n"/>
      <c r="AZ213" s="186" t="n"/>
      <c r="BA213" s="186" t="n"/>
      <c r="BB213" s="188" t="n"/>
      <c r="BC213" s="187" t="n"/>
      <c r="BD213" s="187" t="n"/>
      <c r="BE213" s="186" t="n"/>
      <c r="BF213" s="186" t="n"/>
      <c r="BG213" s="186" t="n"/>
      <c r="BH213" s="186" t="n"/>
      <c r="BI213" s="186" t="n"/>
      <c r="BJ213" s="186" t="n"/>
      <c r="BK213" s="186" t="n"/>
      <c r="BL213" s="186" t="n"/>
      <c r="BM213" s="186" t="n"/>
      <c r="BN213" s="186" t="n"/>
      <c r="BO213" s="186" t="n"/>
      <c r="BP213" s="186" t="n"/>
      <c r="BQ213" s="186" t="n"/>
      <c r="BR213" s="186" t="n"/>
      <c r="BS213" s="186" t="n"/>
      <c r="BT213" s="186" t="n"/>
      <c r="BU213" s="186" t="n"/>
      <c r="BV213" s="186" t="n"/>
      <c r="BW213" s="186" t="n"/>
      <c r="BX213" s="186" t="n"/>
      <c r="BY213" s="186" t="n"/>
      <c r="BZ213" s="186" t="n"/>
      <c r="CA213" s="186" t="n"/>
      <c r="CB213" s="186" t="n"/>
      <c r="CC213" s="190" t="n"/>
      <c r="CD213" s="186" t="n"/>
      <c r="CE213" s="186" t="n"/>
      <c r="CF213" s="186" t="n"/>
      <c r="CG213" s="186" t="n"/>
      <c r="CH213" s="186" t="n"/>
      <c r="CI213" s="191" t="n"/>
      <c r="CJ213" s="192" t="n"/>
      <c r="CK213" s="192" t="n"/>
      <c r="CL213" s="192" t="n"/>
      <c r="CM213" s="192" t="n"/>
    </row>
    <row r="214">
      <c r="A214" s="177" t="n"/>
      <c r="B214" s="178" t="n"/>
      <c r="C214" s="178" t="n"/>
      <c r="D214" s="179" t="n"/>
      <c r="E214" s="180" t="n"/>
      <c r="F214" s="181" t="n"/>
      <c r="G214" s="182" t="n"/>
      <c r="H214" s="105" t="n"/>
      <c r="I214" s="196">
        <f>F214</f>
        <v/>
      </c>
      <c r="J214" s="184" t="n"/>
      <c r="K214" s="185" t="n"/>
      <c r="L214" s="8" t="n"/>
      <c r="M214" s="71">
        <f>L214</f>
        <v/>
      </c>
      <c r="N214" s="71" t="n"/>
      <c r="O214" s="101" t="n"/>
      <c r="P214" s="9">
        <f>I214-M214</f>
        <v/>
      </c>
      <c r="Q214" s="9">
        <f>IF(LEFT(B214,4)&lt;&gt;"    ",0,BN214)</f>
        <v/>
      </c>
      <c r="R214" s="9">
        <f>+P214-Q214</f>
        <v/>
      </c>
      <c r="S214" s="281" t="n"/>
      <c r="T214" s="10" t="n"/>
      <c r="U214" s="23">
        <f>IF(LEFT(B214,4)&lt;&gt;"    ","",IF(M214&lt;&gt;0,X214/M214,0))</f>
        <v/>
      </c>
      <c r="V214" s="11">
        <f>IF(LEFT(B214,4)&lt;&gt;"    ","",U214*I214)</f>
        <v/>
      </c>
      <c r="W214" s="11">
        <f>IF(LEFT(B214,4)&lt;&gt;"    ","",X214+Z214)</f>
        <v/>
      </c>
      <c r="X214" s="8" t="n"/>
      <c r="Y214" s="9">
        <f>IF(LEFT(B214,4)&lt;&gt;"    ",0,IF(P214&lt;0,P214,IF(U214&gt;0.3,W214-X214,0)))</f>
        <v/>
      </c>
      <c r="Z214" s="71">
        <f>Y214</f>
        <v/>
      </c>
      <c r="AA214" s="71" t="n"/>
      <c r="AB214" s="109" t="n"/>
      <c r="AC214" s="9">
        <f>IF(LEFT(B214,4)&lt;&gt;"    ",0,BK214)</f>
        <v/>
      </c>
      <c r="AD214" s="9">
        <f>Z214-AC214</f>
        <v/>
      </c>
      <c r="AE214" s="10" t="n"/>
      <c r="AF214" s="24" t="n"/>
      <c r="AG214" s="11" t="n"/>
      <c r="AH214" s="8" t="n"/>
      <c r="AI214" s="9">
        <f>IF(LEFT(B214,4)&lt;&gt;"    ","",AG214-AH214)</f>
        <v/>
      </c>
      <c r="AJ214" s="9" t="n"/>
      <c r="AK214" s="10" t="n"/>
      <c r="AL214" s="11">
        <f>IF(LEFT(B214,4)&lt;&gt;"    ","",W214-AG214)</f>
        <v/>
      </c>
      <c r="AM214" s="8">
        <f>IF(LEFT(B214,4)&lt;&gt;"    ","",X214-AH214)</f>
        <v/>
      </c>
      <c r="AN214" s="9">
        <f>IF(LEFT(B214,4)&lt;&gt;"    ","",Y214-AI214)</f>
        <v/>
      </c>
      <c r="AO214" s="9">
        <f>IF(LEFT(B214,4)&lt;&gt;"    ","",Z214-AJ214)</f>
        <v/>
      </c>
      <c r="AP214" s="10" t="n"/>
      <c r="AQ214" s="25">
        <f>IF(LEFT(B214,4)&lt;&gt;"    ","",I214-W214)</f>
        <v/>
      </c>
      <c r="AR214" s="25">
        <f>M214-X214</f>
        <v/>
      </c>
      <c r="AS214" s="25">
        <f>IF(LEFT(B214,4)&lt;&gt;"    ","",P214-Z214)</f>
        <v/>
      </c>
      <c r="AT214" s="10" t="n"/>
      <c r="AU214" s="12" t="n"/>
      <c r="AV214" s="12">
        <f>IF(LEFT(B214,4)&lt;&gt;"    ","",IF(W214-AU214&gt;=0,W214-AU214," "))</f>
        <v/>
      </c>
      <c r="AW214" s="12">
        <f>IF(LEFT(B214,4)&lt;&gt;"    ","",IF(AU214-W214&gt;=0,AU214-W214," "))</f>
        <v/>
      </c>
      <c r="AX214" s="186" t="n"/>
      <c r="AY214" s="187" t="n"/>
      <c r="AZ214" s="186" t="n"/>
      <c r="BA214" s="186" t="n"/>
      <c r="BB214" s="188" t="n"/>
      <c r="BC214" s="187" t="n"/>
      <c r="BD214" s="187" t="n"/>
      <c r="BE214" s="186" t="n"/>
      <c r="BF214" s="186" t="n"/>
      <c r="BG214" s="186" t="n"/>
      <c r="BH214" s="186" t="n"/>
      <c r="BI214" s="186" t="n"/>
      <c r="BJ214" s="186" t="n"/>
      <c r="BK214" s="186" t="n"/>
      <c r="BL214" s="186" t="n"/>
      <c r="BM214" s="186" t="n"/>
      <c r="BN214" s="186" t="n"/>
      <c r="BO214" s="186" t="n"/>
      <c r="BP214" s="186" t="n"/>
      <c r="BQ214" s="186" t="n"/>
      <c r="BR214" s="186" t="n"/>
      <c r="BS214" s="186" t="n"/>
      <c r="BT214" s="186" t="n"/>
      <c r="BU214" s="186" t="n"/>
      <c r="BV214" s="186" t="n"/>
      <c r="BW214" s="186" t="n"/>
      <c r="BX214" s="186" t="n"/>
      <c r="BY214" s="186" t="n"/>
      <c r="BZ214" s="186" t="n"/>
      <c r="CA214" s="186" t="n"/>
      <c r="CB214" s="186" t="n"/>
      <c r="CC214" s="190" t="n"/>
      <c r="CD214" s="186" t="n"/>
      <c r="CE214" s="186" t="n"/>
      <c r="CF214" s="186" t="n"/>
      <c r="CG214" s="186" t="n"/>
      <c r="CH214" s="186" t="n"/>
      <c r="CI214" s="191" t="n"/>
      <c r="CJ214" s="192" t="n"/>
      <c r="CK214" s="192" t="n"/>
      <c r="CL214" s="192" t="n"/>
      <c r="CM214" s="192" t="n"/>
    </row>
    <row r="215">
      <c r="A215" s="177" t="n"/>
      <c r="B215" s="178" t="n"/>
      <c r="C215" s="178" t="n"/>
      <c r="D215" s="179" t="n"/>
      <c r="E215" s="180" t="n"/>
      <c r="F215" s="181" t="n"/>
      <c r="G215" s="182" t="n"/>
      <c r="H215" s="105" t="n"/>
      <c r="I215" s="196">
        <f>F215</f>
        <v/>
      </c>
      <c r="J215" s="184" t="n"/>
      <c r="K215" s="185" t="n"/>
      <c r="L215" s="8" t="n"/>
      <c r="M215" s="71">
        <f>L215</f>
        <v/>
      </c>
      <c r="N215" s="71" t="n"/>
      <c r="O215" s="101" t="n"/>
      <c r="P215" s="9">
        <f>I215-M215</f>
        <v/>
      </c>
      <c r="Q215" s="9">
        <f>IF(LEFT(B215,4)&lt;&gt;"    ",0,BN215)</f>
        <v/>
      </c>
      <c r="R215" s="9">
        <f>+P215-Q215</f>
        <v/>
      </c>
      <c r="S215" s="281" t="n"/>
      <c r="T215" s="10" t="n"/>
      <c r="U215" s="23">
        <f>IF(LEFT(B215,4)&lt;&gt;"    ","",IF(M215&lt;&gt;0,X215/M215,0))</f>
        <v/>
      </c>
      <c r="V215" s="11">
        <f>IF(LEFT(B215,4)&lt;&gt;"    ","",U215*I215)</f>
        <v/>
      </c>
      <c r="W215" s="11">
        <f>IF(LEFT(B215,4)&lt;&gt;"    ","",X215+Z215)</f>
        <v/>
      </c>
      <c r="X215" s="8" t="n"/>
      <c r="Y215" s="9">
        <f>IF(LEFT(B215,4)&lt;&gt;"    ",0,IF(P215&lt;0,P215,IF(U215&gt;0.3,W215-X215,0)))</f>
        <v/>
      </c>
      <c r="Z215" s="71">
        <f>Y215</f>
        <v/>
      </c>
      <c r="AA215" s="71" t="n"/>
      <c r="AB215" s="109" t="n"/>
      <c r="AC215" s="9">
        <f>IF(LEFT(B215,4)&lt;&gt;"    ",0,BK215)</f>
        <v/>
      </c>
      <c r="AD215" s="9">
        <f>Z215-AC215</f>
        <v/>
      </c>
      <c r="AE215" s="10" t="n"/>
      <c r="AF215" s="24" t="n"/>
      <c r="AG215" s="11" t="n"/>
      <c r="AH215" s="8" t="n"/>
      <c r="AI215" s="9">
        <f>IF(LEFT(B215,4)&lt;&gt;"    ","",AG215-AH215)</f>
        <v/>
      </c>
      <c r="AJ215" s="9" t="n"/>
      <c r="AK215" s="10" t="n"/>
      <c r="AL215" s="11">
        <f>IF(LEFT(B215,4)&lt;&gt;"    ","",W215-AG215)</f>
        <v/>
      </c>
      <c r="AM215" s="8">
        <f>IF(LEFT(B215,4)&lt;&gt;"    ","",X215-AH215)</f>
        <v/>
      </c>
      <c r="AN215" s="9">
        <f>IF(LEFT(B215,4)&lt;&gt;"    ","",Y215-AI215)</f>
        <v/>
      </c>
      <c r="AO215" s="9">
        <f>IF(LEFT(B215,4)&lt;&gt;"    ","",Z215-AJ215)</f>
        <v/>
      </c>
      <c r="AP215" s="10" t="n"/>
      <c r="AQ215" s="25">
        <f>IF(LEFT(B215,4)&lt;&gt;"    ","",I215-W215)</f>
        <v/>
      </c>
      <c r="AR215" s="25">
        <f>M215-X215</f>
        <v/>
      </c>
      <c r="AS215" s="25">
        <f>IF(LEFT(B215,4)&lt;&gt;"    ","",P215-Z215)</f>
        <v/>
      </c>
      <c r="AT215" s="10" t="n"/>
      <c r="AU215" s="12" t="n"/>
      <c r="AV215" s="12">
        <f>IF(LEFT(B215,4)&lt;&gt;"    ","",IF(W215-AU215&gt;=0,W215-AU215," "))</f>
        <v/>
      </c>
      <c r="AW215" s="12">
        <f>IF(LEFT(B215,4)&lt;&gt;"    ","",IF(AU215-W215&gt;=0,AU215-W215," "))</f>
        <v/>
      </c>
      <c r="AX215" s="186" t="n"/>
      <c r="AY215" s="187" t="n"/>
      <c r="AZ215" s="186" t="n"/>
      <c r="BA215" s="186" t="n"/>
      <c r="BB215" s="188" t="n"/>
      <c r="BC215" s="187" t="n"/>
      <c r="BD215" s="187" t="n"/>
      <c r="BE215" s="186" t="n"/>
      <c r="BF215" s="186" t="n"/>
      <c r="BG215" s="186" t="n"/>
      <c r="BH215" s="186" t="n"/>
      <c r="BI215" s="186" t="n"/>
      <c r="BJ215" s="186" t="n"/>
      <c r="BK215" s="186" t="n"/>
      <c r="BL215" s="186" t="n"/>
      <c r="BM215" s="186" t="n"/>
      <c r="BN215" s="186" t="n"/>
      <c r="BO215" s="186" t="n"/>
      <c r="BP215" s="186" t="n"/>
      <c r="BQ215" s="186" t="n"/>
      <c r="BR215" s="186" t="n"/>
      <c r="BS215" s="186" t="n"/>
      <c r="BT215" s="186" t="n"/>
      <c r="BU215" s="186" t="n"/>
      <c r="BV215" s="186" t="n"/>
      <c r="BW215" s="186" t="n"/>
      <c r="BX215" s="186" t="n"/>
      <c r="BY215" s="186" t="n"/>
      <c r="BZ215" s="186" t="n"/>
      <c r="CA215" s="186" t="n"/>
      <c r="CB215" s="186" t="n"/>
      <c r="CC215" s="190" t="n"/>
      <c r="CD215" s="186" t="n"/>
      <c r="CE215" s="186" t="n"/>
      <c r="CF215" s="186" t="n"/>
      <c r="CG215" s="186" t="n"/>
      <c r="CH215" s="186" t="n"/>
      <c r="CI215" s="191" t="n"/>
      <c r="CJ215" s="192" t="n"/>
      <c r="CK215" s="192" t="n"/>
      <c r="CL215" s="192" t="n"/>
      <c r="CM215" s="192" t="n"/>
    </row>
    <row r="216">
      <c r="A216" s="177" t="n"/>
      <c r="B216" s="178" t="n"/>
      <c r="C216" s="178" t="n"/>
      <c r="D216" s="179" t="n"/>
      <c r="E216" s="180" t="n"/>
      <c r="F216" s="181" t="n"/>
      <c r="G216" s="182" t="n"/>
      <c r="H216" s="105" t="n"/>
      <c r="I216" s="196">
        <f>F216</f>
        <v/>
      </c>
      <c r="J216" s="184" t="n"/>
      <c r="K216" s="185" t="n"/>
      <c r="L216" s="8" t="n"/>
      <c r="M216" s="71">
        <f>L216</f>
        <v/>
      </c>
      <c r="N216" s="71" t="n"/>
      <c r="O216" s="101" t="n"/>
      <c r="P216" s="9">
        <f>I216-M216</f>
        <v/>
      </c>
      <c r="Q216" s="9">
        <f>IF(LEFT(B216,4)&lt;&gt;"    ",0,BN216)</f>
        <v/>
      </c>
      <c r="R216" s="9">
        <f>+P216-Q216</f>
        <v/>
      </c>
      <c r="S216" s="281" t="n"/>
      <c r="T216" s="10" t="n"/>
      <c r="U216" s="23">
        <f>IF(LEFT(B216,4)&lt;&gt;"    ","",IF(M216&lt;&gt;0,X216/M216,0))</f>
        <v/>
      </c>
      <c r="V216" s="11">
        <f>IF(LEFT(B216,4)&lt;&gt;"    ","",U216*I216)</f>
        <v/>
      </c>
      <c r="W216" s="11">
        <f>IF(LEFT(B216,4)&lt;&gt;"    ","",X216+Z216)</f>
        <v/>
      </c>
      <c r="X216" s="8" t="n"/>
      <c r="Y216" s="9">
        <f>IF(LEFT(B216,4)&lt;&gt;"    ",0,IF(P216&lt;0,P216,IF(U216&gt;0.3,W216-X216,0)))</f>
        <v/>
      </c>
      <c r="Z216" s="71">
        <f>Y216</f>
        <v/>
      </c>
      <c r="AA216" s="71" t="n"/>
      <c r="AB216" s="109" t="n"/>
      <c r="AC216" s="9">
        <f>IF(LEFT(B216,4)&lt;&gt;"    ",0,BK216)</f>
        <v/>
      </c>
      <c r="AD216" s="9">
        <f>Z216-AC216</f>
        <v/>
      </c>
      <c r="AE216" s="10" t="n"/>
      <c r="AF216" s="24" t="n"/>
      <c r="AG216" s="11" t="n"/>
      <c r="AH216" s="8" t="n"/>
      <c r="AI216" s="9">
        <f>IF(LEFT(B216,4)&lt;&gt;"    ","",AG216-AH216)</f>
        <v/>
      </c>
      <c r="AJ216" s="9" t="n"/>
      <c r="AK216" s="10" t="n"/>
      <c r="AL216" s="11">
        <f>IF(LEFT(B216,4)&lt;&gt;"    ","",W216-AG216)</f>
        <v/>
      </c>
      <c r="AM216" s="8">
        <f>IF(LEFT(B216,4)&lt;&gt;"    ","",X216-AH216)</f>
        <v/>
      </c>
      <c r="AN216" s="9">
        <f>IF(LEFT(B216,4)&lt;&gt;"    ","",Y216-AI216)</f>
        <v/>
      </c>
      <c r="AO216" s="9">
        <f>IF(LEFT(B216,4)&lt;&gt;"    ","",Z216-AJ216)</f>
        <v/>
      </c>
      <c r="AP216" s="10" t="n"/>
      <c r="AQ216" s="25">
        <f>IF(LEFT(B216,4)&lt;&gt;"    ","",I216-W216)</f>
        <v/>
      </c>
      <c r="AR216" s="25">
        <f>M216-X216</f>
        <v/>
      </c>
      <c r="AS216" s="25">
        <f>IF(LEFT(B216,4)&lt;&gt;"    ","",P216-Z216)</f>
        <v/>
      </c>
      <c r="AT216" s="10" t="n"/>
      <c r="AU216" s="12" t="n"/>
      <c r="AV216" s="12">
        <f>IF(LEFT(B216,4)&lt;&gt;"    ","",IF(W216-AU216&gt;=0,W216-AU216," "))</f>
        <v/>
      </c>
      <c r="AW216" s="12">
        <f>IF(LEFT(B216,4)&lt;&gt;"    ","",IF(AU216-W216&gt;=0,AU216-W216," "))</f>
        <v/>
      </c>
      <c r="AX216" s="186" t="n"/>
      <c r="AY216" s="187" t="n"/>
      <c r="AZ216" s="186" t="n"/>
      <c r="BA216" s="186" t="n"/>
      <c r="BB216" s="188" t="n"/>
      <c r="BC216" s="187" t="n"/>
      <c r="BD216" s="187" t="n"/>
      <c r="BE216" s="186" t="n"/>
      <c r="BF216" s="186" t="n"/>
      <c r="BG216" s="186" t="n"/>
      <c r="BH216" s="186" t="n"/>
      <c r="BI216" s="186" t="n"/>
      <c r="BJ216" s="186" t="n"/>
      <c r="BK216" s="186" t="n"/>
      <c r="BL216" s="186" t="n"/>
      <c r="BM216" s="186" t="n"/>
      <c r="BN216" s="186" t="n"/>
      <c r="BO216" s="186" t="n"/>
      <c r="BP216" s="186" t="n"/>
      <c r="BQ216" s="186" t="n"/>
      <c r="BR216" s="186" t="n"/>
      <c r="BS216" s="186" t="n"/>
      <c r="BT216" s="186" t="n"/>
      <c r="BU216" s="186" t="n"/>
      <c r="BV216" s="186" t="n"/>
      <c r="BW216" s="186" t="n"/>
      <c r="BX216" s="186" t="n"/>
      <c r="BY216" s="186" t="n"/>
      <c r="BZ216" s="186" t="n"/>
      <c r="CA216" s="186" t="n"/>
      <c r="CB216" s="186" t="n"/>
      <c r="CC216" s="190" t="n"/>
      <c r="CD216" s="186" t="n"/>
      <c r="CE216" s="186" t="n"/>
      <c r="CF216" s="186" t="n"/>
      <c r="CG216" s="186" t="n"/>
      <c r="CH216" s="186" t="n"/>
      <c r="CI216" s="191" t="n"/>
      <c r="CJ216" s="192" t="n"/>
      <c r="CK216" s="192" t="n"/>
      <c r="CL216" s="192" t="n"/>
      <c r="CM216" s="192" t="n"/>
    </row>
    <row r="217">
      <c r="A217" s="177" t="n"/>
      <c r="B217" s="178" t="n"/>
      <c r="C217" s="178" t="n"/>
      <c r="D217" s="179" t="n"/>
      <c r="E217" s="180" t="n"/>
      <c r="F217" s="181" t="n"/>
      <c r="G217" s="182" t="n"/>
      <c r="H217" s="105" t="n"/>
      <c r="I217" s="196">
        <f>F217</f>
        <v/>
      </c>
      <c r="J217" s="184" t="n"/>
      <c r="K217" s="185" t="n"/>
      <c r="L217" s="8" t="n"/>
      <c r="M217" s="71">
        <f>L217</f>
        <v/>
      </c>
      <c r="N217" s="71" t="n"/>
      <c r="O217" s="101" t="n"/>
      <c r="P217" s="9">
        <f>I217-M217</f>
        <v/>
      </c>
      <c r="Q217" s="9">
        <f>IF(LEFT(B217,4)&lt;&gt;"    ",0,BN217)</f>
        <v/>
      </c>
      <c r="R217" s="9">
        <f>+P217-Q217</f>
        <v/>
      </c>
      <c r="S217" s="281" t="n"/>
      <c r="T217" s="10" t="n"/>
      <c r="U217" s="23">
        <f>IF(LEFT(B217,4)&lt;&gt;"    ","",IF(M217&lt;&gt;0,X217/M217,0))</f>
        <v/>
      </c>
      <c r="V217" s="11">
        <f>IF(LEFT(B217,4)&lt;&gt;"    ","",U217*I217)</f>
        <v/>
      </c>
      <c r="W217" s="11">
        <f>IF(LEFT(B217,4)&lt;&gt;"    ","",X217+Z217)</f>
        <v/>
      </c>
      <c r="X217" s="8" t="n"/>
      <c r="Y217" s="9">
        <f>IF(LEFT(B217,4)&lt;&gt;"    ",0,IF(P217&lt;0,P217,IF(U217&gt;0.3,W217-X217,0)))</f>
        <v/>
      </c>
      <c r="Z217" s="71">
        <f>Y217</f>
        <v/>
      </c>
      <c r="AA217" s="71" t="n"/>
      <c r="AB217" s="109" t="n"/>
      <c r="AC217" s="9">
        <f>IF(LEFT(B217,4)&lt;&gt;"    ",0,BK217)</f>
        <v/>
      </c>
      <c r="AD217" s="9">
        <f>Z217-AC217</f>
        <v/>
      </c>
      <c r="AE217" s="10" t="n"/>
      <c r="AF217" s="24" t="n"/>
      <c r="AG217" s="11" t="n"/>
      <c r="AH217" s="8" t="n"/>
      <c r="AI217" s="9">
        <f>IF(LEFT(B217,4)&lt;&gt;"    ","",AG217-AH217)</f>
        <v/>
      </c>
      <c r="AJ217" s="9" t="n"/>
      <c r="AK217" s="10" t="n"/>
      <c r="AL217" s="11">
        <f>IF(LEFT(B217,4)&lt;&gt;"    ","",W217-AG217)</f>
        <v/>
      </c>
      <c r="AM217" s="8">
        <f>IF(LEFT(B217,4)&lt;&gt;"    ","",X217-AH217)</f>
        <v/>
      </c>
      <c r="AN217" s="9">
        <f>IF(LEFT(B217,4)&lt;&gt;"    ","",Y217-AI217)</f>
        <v/>
      </c>
      <c r="AO217" s="9">
        <f>IF(LEFT(B217,4)&lt;&gt;"    ","",Z217-AJ217)</f>
        <v/>
      </c>
      <c r="AP217" s="10" t="n"/>
      <c r="AQ217" s="25">
        <f>IF(LEFT(B217,4)&lt;&gt;"    ","",I217-W217)</f>
        <v/>
      </c>
      <c r="AR217" s="25">
        <f>M217-X217</f>
        <v/>
      </c>
      <c r="AS217" s="25">
        <f>IF(LEFT(B217,4)&lt;&gt;"    ","",P217-Z217)</f>
        <v/>
      </c>
      <c r="AT217" s="10" t="n"/>
      <c r="AU217" s="12" t="n"/>
      <c r="AV217" s="12">
        <f>IF(LEFT(B217,4)&lt;&gt;"    ","",IF(W217-AU217&gt;=0,W217-AU217," "))</f>
        <v/>
      </c>
      <c r="AW217" s="12">
        <f>IF(LEFT(B217,4)&lt;&gt;"    ","",IF(AU217-W217&gt;=0,AU217-W217," "))</f>
        <v/>
      </c>
      <c r="AX217" s="186" t="n"/>
      <c r="AY217" s="187" t="n"/>
      <c r="AZ217" s="186" t="n"/>
      <c r="BA217" s="186" t="n"/>
      <c r="BB217" s="188" t="n"/>
      <c r="BC217" s="187" t="n"/>
      <c r="BD217" s="187" t="n"/>
      <c r="BE217" s="186" t="n"/>
      <c r="BF217" s="186" t="n"/>
      <c r="BG217" s="186" t="n"/>
      <c r="BH217" s="186" t="n"/>
      <c r="BI217" s="186" t="n"/>
      <c r="BJ217" s="186" t="n"/>
      <c r="BK217" s="186" t="n"/>
      <c r="BL217" s="186" t="n"/>
      <c r="BM217" s="186" t="n"/>
      <c r="BN217" s="186" t="n"/>
      <c r="BO217" s="186" t="n"/>
      <c r="BP217" s="186" t="n"/>
      <c r="BQ217" s="186" t="n"/>
      <c r="BR217" s="186" t="n"/>
      <c r="BS217" s="186" t="n"/>
      <c r="BT217" s="186" t="n"/>
      <c r="BU217" s="186" t="n"/>
      <c r="BV217" s="186" t="n"/>
      <c r="BW217" s="186" t="n"/>
      <c r="BX217" s="186" t="n"/>
      <c r="BY217" s="186" t="n"/>
      <c r="BZ217" s="186" t="n"/>
      <c r="CA217" s="186" t="n"/>
      <c r="CB217" s="186" t="n"/>
      <c r="CC217" s="190" t="n"/>
      <c r="CD217" s="186" t="n"/>
      <c r="CE217" s="186" t="n"/>
      <c r="CF217" s="186" t="n"/>
      <c r="CG217" s="186" t="n"/>
      <c r="CH217" s="186" t="n"/>
      <c r="CI217" s="191" t="n"/>
      <c r="CJ217" s="192" t="n"/>
      <c r="CK217" s="192" t="n"/>
      <c r="CL217" s="192" t="n"/>
      <c r="CM217" s="192" t="n"/>
    </row>
    <row r="218">
      <c r="A218" s="177" t="n"/>
      <c r="B218" s="178" t="n"/>
      <c r="C218" s="178" t="n"/>
      <c r="D218" s="179" t="n"/>
      <c r="E218" s="180" t="n"/>
      <c r="F218" s="181" t="n"/>
      <c r="G218" s="182" t="n"/>
      <c r="H218" s="105" t="n"/>
      <c r="I218" s="196">
        <f>F218</f>
        <v/>
      </c>
      <c r="J218" s="184" t="n"/>
      <c r="K218" s="185" t="n"/>
      <c r="L218" s="8" t="n"/>
      <c r="M218" s="71">
        <f>L218</f>
        <v/>
      </c>
      <c r="N218" s="71" t="n"/>
      <c r="O218" s="101" t="n"/>
      <c r="P218" s="9">
        <f>I218-M218</f>
        <v/>
      </c>
      <c r="Q218" s="9">
        <f>IF(LEFT(B218,4)&lt;&gt;"    ",0,BN218)</f>
        <v/>
      </c>
      <c r="R218" s="9">
        <f>+P218-Q218</f>
        <v/>
      </c>
      <c r="S218" s="281" t="n"/>
      <c r="T218" s="10" t="n"/>
      <c r="U218" s="23">
        <f>IF(LEFT(B218,4)&lt;&gt;"    ","",IF(M218&lt;&gt;0,X218/M218,0))</f>
        <v/>
      </c>
      <c r="V218" s="11">
        <f>IF(LEFT(B218,4)&lt;&gt;"    ","",U218*I218)</f>
        <v/>
      </c>
      <c r="W218" s="11">
        <f>IF(LEFT(B218,4)&lt;&gt;"    ","",X218+Z218)</f>
        <v/>
      </c>
      <c r="X218" s="8" t="n"/>
      <c r="Y218" s="9">
        <f>IF(LEFT(B218,4)&lt;&gt;"    ",0,IF(P218&lt;0,P218,IF(U218&gt;0.3,W218-X218,0)))</f>
        <v/>
      </c>
      <c r="Z218" s="71">
        <f>Y218</f>
        <v/>
      </c>
      <c r="AA218" s="71" t="n"/>
      <c r="AB218" s="109" t="n"/>
      <c r="AC218" s="9">
        <f>IF(LEFT(B218,4)&lt;&gt;"    ",0,BK218)</f>
        <v/>
      </c>
      <c r="AD218" s="9">
        <f>Z218-AC218</f>
        <v/>
      </c>
      <c r="AE218" s="10" t="n"/>
      <c r="AF218" s="24" t="n"/>
      <c r="AG218" s="11" t="n"/>
      <c r="AH218" s="8" t="n"/>
      <c r="AI218" s="9">
        <f>IF(LEFT(B218,4)&lt;&gt;"    ","",AG218-AH218)</f>
        <v/>
      </c>
      <c r="AJ218" s="9" t="n"/>
      <c r="AK218" s="10" t="n"/>
      <c r="AL218" s="11">
        <f>IF(LEFT(B218,4)&lt;&gt;"    ","",W218-AG218)</f>
        <v/>
      </c>
      <c r="AM218" s="8">
        <f>IF(LEFT(B218,4)&lt;&gt;"    ","",X218-AH218)</f>
        <v/>
      </c>
      <c r="AN218" s="9">
        <f>IF(LEFT(B218,4)&lt;&gt;"    ","",Y218-AI218)</f>
        <v/>
      </c>
      <c r="AO218" s="9">
        <f>IF(LEFT(B218,4)&lt;&gt;"    ","",Z218-AJ218)</f>
        <v/>
      </c>
      <c r="AP218" s="10" t="n"/>
      <c r="AQ218" s="25">
        <f>IF(LEFT(B218,4)&lt;&gt;"    ","",I218-W218)</f>
        <v/>
      </c>
      <c r="AR218" s="25">
        <f>M218-X218</f>
        <v/>
      </c>
      <c r="AS218" s="25">
        <f>IF(LEFT(B218,4)&lt;&gt;"    ","",P218-Z218)</f>
        <v/>
      </c>
      <c r="AT218" s="10" t="n"/>
      <c r="AU218" s="12" t="n"/>
      <c r="AV218" s="12">
        <f>IF(LEFT(B218,4)&lt;&gt;"    ","",IF(W218-AU218&gt;=0,W218-AU218," "))</f>
        <v/>
      </c>
      <c r="AW218" s="12">
        <f>IF(LEFT(B218,4)&lt;&gt;"    ","",IF(AU218-W218&gt;=0,AU218-W218," "))</f>
        <v/>
      </c>
      <c r="AX218" s="186" t="n"/>
      <c r="AY218" s="187" t="n"/>
      <c r="AZ218" s="186" t="n"/>
      <c r="BA218" s="186" t="n"/>
      <c r="BB218" s="188" t="n"/>
      <c r="BC218" s="187" t="n"/>
      <c r="BD218" s="187" t="n"/>
      <c r="BE218" s="186" t="n"/>
      <c r="BF218" s="186" t="n"/>
      <c r="BG218" s="186" t="n"/>
      <c r="BH218" s="186" t="n"/>
      <c r="BI218" s="186" t="n"/>
      <c r="BJ218" s="186" t="n"/>
      <c r="BK218" s="186" t="n"/>
      <c r="BL218" s="186" t="n"/>
      <c r="BM218" s="186" t="n"/>
      <c r="BN218" s="186" t="n"/>
      <c r="BO218" s="186" t="n"/>
      <c r="BP218" s="186" t="n"/>
      <c r="BQ218" s="186" t="n"/>
      <c r="BR218" s="186" t="n"/>
      <c r="BS218" s="186" t="n"/>
      <c r="BT218" s="186" t="n"/>
      <c r="BU218" s="186" t="n"/>
      <c r="BV218" s="186" t="n"/>
      <c r="BW218" s="186" t="n"/>
      <c r="BX218" s="186" t="n"/>
      <c r="BY218" s="186" t="n"/>
      <c r="BZ218" s="186" t="n"/>
      <c r="CA218" s="186" t="n"/>
      <c r="CB218" s="186" t="n"/>
      <c r="CC218" s="190" t="n"/>
      <c r="CD218" s="186" t="n"/>
      <c r="CE218" s="186" t="n"/>
      <c r="CF218" s="186" t="n"/>
      <c r="CG218" s="186" t="n"/>
      <c r="CH218" s="186" t="n"/>
      <c r="CI218" s="191" t="n"/>
      <c r="CJ218" s="192" t="n"/>
      <c r="CK218" s="192" t="n"/>
      <c r="CL218" s="192" t="n"/>
      <c r="CM218" s="192" t="n"/>
    </row>
    <row r="219">
      <c r="A219" s="177" t="n"/>
      <c r="B219" s="178" t="n"/>
      <c r="C219" s="178" t="n"/>
      <c r="D219" s="179" t="n"/>
      <c r="E219" s="180" t="n"/>
      <c r="F219" s="181" t="n"/>
      <c r="G219" s="182" t="n"/>
      <c r="H219" s="105" t="n"/>
      <c r="I219" s="196">
        <f>F219</f>
        <v/>
      </c>
      <c r="J219" s="184" t="n"/>
      <c r="K219" s="185" t="n"/>
      <c r="L219" s="8" t="n"/>
      <c r="M219" s="184">
        <f>L219</f>
        <v/>
      </c>
      <c r="N219" s="184" t="n"/>
      <c r="O219" s="185" t="n"/>
      <c r="P219" s="9">
        <f>I219-M219</f>
        <v/>
      </c>
      <c r="Q219" s="9">
        <f>IF(LEFT(B219,4)&lt;&gt;"    ",0,BN219)</f>
        <v/>
      </c>
      <c r="R219" s="9">
        <f>+P219-Q219</f>
        <v/>
      </c>
      <c r="S219" s="281" t="n"/>
      <c r="T219" s="10" t="n"/>
      <c r="U219" s="23">
        <f>IF(LEFT(B219,4)&lt;&gt;"    ","",IF(M219&lt;&gt;0,X219/M219,0))</f>
        <v/>
      </c>
      <c r="V219" s="11">
        <f>IF(LEFT(B219,4)&lt;&gt;"    ","",U219*I219)</f>
        <v/>
      </c>
      <c r="W219" s="11">
        <f>IF(LEFT(B219,4)&lt;&gt;"    ","",X219+Z219)</f>
        <v/>
      </c>
      <c r="X219" s="8" t="n"/>
      <c r="Y219" s="9">
        <f>IF(LEFT(B219,4)&lt;&gt;"    ",0,IF(P219&lt;0,P219,IF(U219&gt;0.3,W219-X219,0)))</f>
        <v/>
      </c>
      <c r="Z219" s="71">
        <f>Y219</f>
        <v/>
      </c>
      <c r="AA219" s="71" t="n"/>
      <c r="AB219" s="109" t="n"/>
      <c r="AC219" s="9">
        <f>IF(LEFT(B219,4)&lt;&gt;"    ",0,BK219)</f>
        <v/>
      </c>
      <c r="AD219" s="9">
        <f>Z219-AC219</f>
        <v/>
      </c>
      <c r="AE219" s="10" t="n"/>
      <c r="AF219" s="24" t="n"/>
      <c r="AG219" s="11" t="n"/>
      <c r="AH219" s="8" t="n"/>
      <c r="AI219" s="9">
        <f>IF(LEFT(B219,4)&lt;&gt;"    ","",AG219-AH219)</f>
        <v/>
      </c>
      <c r="AJ219" s="9" t="n"/>
      <c r="AK219" s="10" t="n"/>
      <c r="AL219" s="11">
        <f>IF(LEFT(B219,4)&lt;&gt;"    ","",W219-AG219)</f>
        <v/>
      </c>
      <c r="AM219" s="8">
        <f>IF(LEFT(B219,4)&lt;&gt;"    ","",X219-AH219)</f>
        <v/>
      </c>
      <c r="AN219" s="9">
        <f>IF(LEFT(B219,4)&lt;&gt;"    ","",Y219-AI219)</f>
        <v/>
      </c>
      <c r="AO219" s="9">
        <f>IF(LEFT(B219,4)&lt;&gt;"    ","",Z219-AJ219)</f>
        <v/>
      </c>
      <c r="AP219" s="10" t="n"/>
      <c r="AQ219" s="25">
        <f>IF(LEFT(B219,4)&lt;&gt;"    ","",I219-W219)</f>
        <v/>
      </c>
      <c r="AR219" s="25">
        <f>M219-X219</f>
        <v/>
      </c>
      <c r="AS219" s="25">
        <f>IF(LEFT(B219,4)&lt;&gt;"    ","",P219-Z219)</f>
        <v/>
      </c>
      <c r="AT219" s="10" t="n"/>
      <c r="AU219" s="12" t="n"/>
      <c r="AV219" s="12">
        <f>IF(LEFT(B219,4)&lt;&gt;"    ","",IF(W219-AU219&gt;=0,W219-AU219," "))</f>
        <v/>
      </c>
      <c r="AW219" s="12">
        <f>IF(LEFT(B219,4)&lt;&gt;"    ","",IF(AU219-W219&gt;=0,AU219-W219," "))</f>
        <v/>
      </c>
      <c r="AX219" s="186" t="n"/>
      <c r="AY219" s="187" t="n"/>
      <c r="AZ219" s="186" t="n"/>
      <c r="BA219" s="186" t="n"/>
      <c r="BB219" s="188" t="n"/>
      <c r="BC219" s="187" t="n"/>
      <c r="BD219" s="187" t="n"/>
      <c r="BE219" s="186" t="n"/>
      <c r="BF219" s="186" t="n"/>
      <c r="BG219" s="186" t="n"/>
      <c r="BH219" s="186" t="n"/>
      <c r="BI219" s="186" t="n"/>
      <c r="BJ219" s="186" t="n"/>
      <c r="BK219" s="186" t="n"/>
      <c r="BL219" s="186" t="n"/>
      <c r="BM219" s="186" t="n"/>
      <c r="BN219" s="186" t="n"/>
      <c r="BO219" s="186" t="n"/>
      <c r="BP219" s="186" t="n"/>
      <c r="BQ219" s="186" t="n"/>
      <c r="BR219" s="186" t="n"/>
      <c r="BS219" s="186" t="n"/>
      <c r="BT219" s="186" t="n"/>
      <c r="BU219" s="186" t="n"/>
      <c r="BV219" s="186" t="n"/>
      <c r="BW219" s="186" t="n"/>
      <c r="BX219" s="186" t="n"/>
      <c r="BY219" s="186" t="n"/>
      <c r="BZ219" s="186" t="n"/>
      <c r="CA219" s="186" t="n"/>
      <c r="CB219" s="186" t="n"/>
      <c r="CC219" s="190" t="n"/>
      <c r="CD219" s="186" t="n"/>
      <c r="CE219" s="186" t="n"/>
      <c r="CF219" s="186" t="n"/>
      <c r="CG219" s="186" t="n"/>
      <c r="CH219" s="186" t="n"/>
      <c r="CI219" s="191" t="n"/>
      <c r="CJ219" s="192" t="n"/>
      <c r="CK219" s="192" t="n"/>
      <c r="CL219" s="192" t="n"/>
      <c r="CM219" s="192" t="n"/>
    </row>
    <row r="220">
      <c r="A220" s="177" t="n"/>
      <c r="B220" s="178" t="n"/>
      <c r="C220" s="178" t="n"/>
      <c r="D220" s="179" t="n"/>
      <c r="E220" s="180" t="n"/>
      <c r="F220" s="181" t="n"/>
      <c r="G220" s="182" t="n"/>
      <c r="H220" s="105" t="n"/>
      <c r="I220" s="196">
        <f>F220</f>
        <v/>
      </c>
      <c r="J220" s="184" t="n"/>
      <c r="K220" s="185" t="n"/>
      <c r="L220" s="8" t="n"/>
      <c r="M220" s="71">
        <f>L220</f>
        <v/>
      </c>
      <c r="N220" s="71" t="n"/>
      <c r="O220" s="101" t="n"/>
      <c r="P220" s="9">
        <f>I220-M220</f>
        <v/>
      </c>
      <c r="Q220" s="9">
        <f>IF(LEFT(B220,4)&lt;&gt;"    ",0,BN220)</f>
        <v/>
      </c>
      <c r="R220" s="9">
        <f>+P220-Q220</f>
        <v/>
      </c>
      <c r="S220" s="281" t="n"/>
      <c r="T220" s="10" t="n"/>
      <c r="U220" s="23">
        <f>IF(LEFT(B220,4)&lt;&gt;"    ","",IF(M220&lt;&gt;0,X220/M220,0))</f>
        <v/>
      </c>
      <c r="V220" s="11">
        <f>IF(LEFT(B220,4)&lt;&gt;"    ","",U220*I220)</f>
        <v/>
      </c>
      <c r="W220" s="11">
        <f>IF(LEFT(B220,4)&lt;&gt;"    ","",X220+Z220)</f>
        <v/>
      </c>
      <c r="X220" s="8" t="n"/>
      <c r="Y220" s="9">
        <f>IF(LEFT(B220,4)&lt;&gt;"    ",0,IF(P220&lt;0,P220,IF(U220&gt;0.3,W220-X220,0)))</f>
        <v/>
      </c>
      <c r="Z220" s="71">
        <f>Y220</f>
        <v/>
      </c>
      <c r="AA220" s="71" t="n"/>
      <c r="AB220" s="109" t="n"/>
      <c r="AC220" s="9">
        <f>IF(LEFT(B220,4)&lt;&gt;"    ",0,BK220)</f>
        <v/>
      </c>
      <c r="AD220" s="9">
        <f>Z220-AC220</f>
        <v/>
      </c>
      <c r="AE220" s="10" t="n"/>
      <c r="AF220" s="24" t="n"/>
      <c r="AG220" s="11" t="n"/>
      <c r="AH220" s="8" t="n"/>
      <c r="AI220" s="9">
        <f>IF(LEFT(B220,4)&lt;&gt;"    ","",AG220-AH220)</f>
        <v/>
      </c>
      <c r="AJ220" s="9" t="n"/>
      <c r="AK220" s="10" t="n"/>
      <c r="AL220" s="11">
        <f>IF(LEFT(B220,4)&lt;&gt;"    ","",W220-AG220)</f>
        <v/>
      </c>
      <c r="AM220" s="8">
        <f>IF(LEFT(B220,4)&lt;&gt;"    ","",X220-AH220)</f>
        <v/>
      </c>
      <c r="AN220" s="9">
        <f>IF(LEFT(B220,4)&lt;&gt;"    ","",Y220-AI220)</f>
        <v/>
      </c>
      <c r="AO220" s="9">
        <f>IF(LEFT(B220,4)&lt;&gt;"    ","",Z220-AJ220)</f>
        <v/>
      </c>
      <c r="AP220" s="10" t="n"/>
      <c r="AQ220" s="25">
        <f>IF(LEFT(B220,4)&lt;&gt;"    ","",I220-W220)</f>
        <v/>
      </c>
      <c r="AR220" s="25">
        <f>M220-X220</f>
        <v/>
      </c>
      <c r="AS220" s="25">
        <f>IF(LEFT(B220,4)&lt;&gt;"    ","",P220-Z220)</f>
        <v/>
      </c>
      <c r="AT220" s="10" t="n"/>
      <c r="AU220" s="12" t="n"/>
      <c r="AV220" s="12">
        <f>IF(LEFT(B220,4)&lt;&gt;"    ","",IF(W220-AU220&gt;=0,W220-AU220," "))</f>
        <v/>
      </c>
      <c r="AW220" s="12">
        <f>IF(LEFT(B220,4)&lt;&gt;"    ","",IF(AU220-W220&gt;=0,AU220-W220," "))</f>
        <v/>
      </c>
      <c r="AX220" s="186" t="n"/>
      <c r="AY220" s="187" t="n"/>
      <c r="AZ220" s="186" t="n"/>
      <c r="BA220" s="186" t="n"/>
      <c r="BB220" s="188" t="n"/>
      <c r="BC220" s="187" t="n"/>
      <c r="BD220" s="187" t="n"/>
      <c r="BE220" s="186" t="n"/>
      <c r="BF220" s="186" t="n"/>
      <c r="BG220" s="186" t="n"/>
      <c r="BH220" s="186" t="n"/>
      <c r="BI220" s="186" t="n"/>
      <c r="BJ220" s="186" t="n"/>
      <c r="BK220" s="186" t="n"/>
      <c r="BL220" s="186" t="n"/>
      <c r="BM220" s="186" t="n"/>
      <c r="BN220" s="186" t="n"/>
      <c r="BO220" s="186" t="n"/>
      <c r="BP220" s="186" t="n"/>
      <c r="BQ220" s="186" t="n"/>
      <c r="BR220" s="186" t="n"/>
      <c r="BS220" s="186" t="n"/>
      <c r="BT220" s="186" t="n"/>
      <c r="BU220" s="186" t="n"/>
      <c r="BV220" s="186" t="n"/>
      <c r="BW220" s="186" t="n"/>
      <c r="BX220" s="186" t="n"/>
      <c r="BY220" s="186" t="n"/>
      <c r="BZ220" s="186" t="n"/>
      <c r="CA220" s="186" t="n"/>
      <c r="CB220" s="186" t="n"/>
      <c r="CC220" s="190" t="n"/>
      <c r="CD220" s="186" t="n"/>
      <c r="CE220" s="186" t="n"/>
      <c r="CF220" s="186" t="n"/>
      <c r="CG220" s="186" t="n"/>
      <c r="CH220" s="186" t="n"/>
      <c r="CI220" s="191" t="n"/>
      <c r="CJ220" s="192" t="n"/>
      <c r="CK220" s="192" t="n"/>
      <c r="CL220" s="192" t="n"/>
      <c r="CM220" s="192" t="n"/>
    </row>
    <row r="221">
      <c r="A221" s="177" t="n"/>
      <c r="B221" s="178" t="n"/>
      <c r="C221" s="178" t="n"/>
      <c r="D221" s="179" t="n"/>
      <c r="E221" s="180" t="n"/>
      <c r="F221" s="181" t="n"/>
      <c r="G221" s="182" t="n"/>
      <c r="H221" s="105" t="n"/>
      <c r="I221" s="196">
        <f>F221</f>
        <v/>
      </c>
      <c r="J221" s="184" t="n"/>
      <c r="K221" s="185" t="n"/>
      <c r="L221" s="8" t="n"/>
      <c r="M221" s="71">
        <f>L221</f>
        <v/>
      </c>
      <c r="N221" s="71" t="n"/>
      <c r="O221" s="101" t="n"/>
      <c r="P221" s="9">
        <f>I221-M221</f>
        <v/>
      </c>
      <c r="Q221" s="9">
        <f>IF(LEFT(B221,4)&lt;&gt;"    ",0,BN221)</f>
        <v/>
      </c>
      <c r="R221" s="9">
        <f>+P221-Q221</f>
        <v/>
      </c>
      <c r="S221" s="281" t="n"/>
      <c r="T221" s="10" t="n"/>
      <c r="U221" s="23">
        <f>IF(LEFT(B221,4)&lt;&gt;"    ","",IF(M221&lt;&gt;0,X221/M221,0))</f>
        <v/>
      </c>
      <c r="V221" s="11">
        <f>IF(LEFT(B221,4)&lt;&gt;"    ","",U221*I221)</f>
        <v/>
      </c>
      <c r="W221" s="11">
        <f>IF(LEFT(B221,4)&lt;&gt;"    ","",X221+Z221)</f>
        <v/>
      </c>
      <c r="X221" s="8" t="n"/>
      <c r="Y221" s="9">
        <f>IF(LEFT(B221,4)&lt;&gt;"    ",0,IF(P221&lt;0,P221,IF(U221&gt;0.3,W221-X221,0)))</f>
        <v/>
      </c>
      <c r="Z221" s="71">
        <f>Y221</f>
        <v/>
      </c>
      <c r="AA221" s="71" t="n"/>
      <c r="AB221" s="109" t="n"/>
      <c r="AC221" s="9">
        <f>IF(LEFT(B221,4)&lt;&gt;"    ",0,BK221)</f>
        <v/>
      </c>
      <c r="AD221" s="9">
        <f>Z221-AC221</f>
        <v/>
      </c>
      <c r="AE221" s="10" t="n"/>
      <c r="AF221" s="24" t="n"/>
      <c r="AG221" s="11" t="n"/>
      <c r="AH221" s="8" t="n"/>
      <c r="AI221" s="9">
        <f>IF(LEFT(B221,4)&lt;&gt;"    ","",AG221-AH221)</f>
        <v/>
      </c>
      <c r="AJ221" s="9" t="n"/>
      <c r="AK221" s="10" t="n"/>
      <c r="AL221" s="11">
        <f>IF(LEFT(B221,4)&lt;&gt;"    ","",W221-AG221)</f>
        <v/>
      </c>
      <c r="AM221" s="8">
        <f>IF(LEFT(B221,4)&lt;&gt;"    ","",X221-AH221)</f>
        <v/>
      </c>
      <c r="AN221" s="9">
        <f>IF(LEFT(B221,4)&lt;&gt;"    ","",Y221-AI221)</f>
        <v/>
      </c>
      <c r="AO221" s="9">
        <f>IF(LEFT(B221,4)&lt;&gt;"    ","",Z221-AJ221)</f>
        <v/>
      </c>
      <c r="AP221" s="10" t="n"/>
      <c r="AQ221" s="25">
        <f>IF(LEFT(B221,4)&lt;&gt;"    ","",I221-W221)</f>
        <v/>
      </c>
      <c r="AR221" s="25">
        <f>M221-X221</f>
        <v/>
      </c>
      <c r="AS221" s="25">
        <f>IF(LEFT(B221,4)&lt;&gt;"    ","",P221-Z221)</f>
        <v/>
      </c>
      <c r="AT221" s="10" t="n"/>
      <c r="AU221" s="12" t="n"/>
      <c r="AV221" s="12">
        <f>IF(LEFT(B221,4)&lt;&gt;"    ","",IF(W221-AU221&gt;=0,W221-AU221," "))</f>
        <v/>
      </c>
      <c r="AW221" s="12">
        <f>IF(LEFT(B221,4)&lt;&gt;"    ","",IF(AU221-W221&gt;=0,AU221-W221," "))</f>
        <v/>
      </c>
      <c r="AX221" s="186" t="n"/>
      <c r="AY221" s="187" t="n"/>
      <c r="AZ221" s="186" t="n"/>
      <c r="BA221" s="186" t="n"/>
      <c r="BB221" s="188" t="n"/>
      <c r="BC221" s="187" t="n"/>
      <c r="BD221" s="187" t="n"/>
      <c r="BE221" s="186" t="n"/>
      <c r="BF221" s="186" t="n"/>
      <c r="BG221" s="186" t="n"/>
      <c r="BH221" s="186" t="n"/>
      <c r="BI221" s="186" t="n"/>
      <c r="BJ221" s="186" t="n"/>
      <c r="BK221" s="186" t="n"/>
      <c r="BL221" s="186" t="n"/>
      <c r="BM221" s="186" t="n"/>
      <c r="BN221" s="186" t="n"/>
      <c r="BO221" s="186" t="n"/>
      <c r="BP221" s="186" t="n"/>
      <c r="BQ221" s="186" t="n"/>
      <c r="BR221" s="186" t="n"/>
      <c r="BS221" s="186" t="n"/>
      <c r="BT221" s="186" t="n"/>
      <c r="BU221" s="186" t="n"/>
      <c r="BV221" s="186" t="n"/>
      <c r="BW221" s="186" t="n"/>
      <c r="BX221" s="186" t="n"/>
      <c r="BY221" s="186" t="n"/>
      <c r="BZ221" s="186" t="n"/>
      <c r="CA221" s="186" t="n"/>
      <c r="CB221" s="186" t="n"/>
      <c r="CC221" s="190" t="n"/>
      <c r="CD221" s="186" t="n"/>
      <c r="CE221" s="186" t="n"/>
      <c r="CF221" s="186" t="n"/>
      <c r="CG221" s="186" t="n"/>
      <c r="CH221" s="186" t="n"/>
      <c r="CI221" s="191" t="n"/>
      <c r="CJ221" s="192" t="n"/>
      <c r="CK221" s="192" t="n"/>
      <c r="CL221" s="192" t="n"/>
      <c r="CM221" s="192" t="n"/>
    </row>
    <row r="222">
      <c r="A222" s="177" t="n"/>
      <c r="B222" s="178" t="n"/>
      <c r="C222" s="178" t="n"/>
      <c r="D222" s="179" t="n"/>
      <c r="E222" s="180" t="n"/>
      <c r="F222" s="181" t="n"/>
      <c r="G222" s="182" t="n"/>
      <c r="H222" s="105" t="n"/>
      <c r="I222" s="196">
        <f>F222</f>
        <v/>
      </c>
      <c r="J222" s="184" t="n"/>
      <c r="K222" s="185" t="n"/>
      <c r="L222" s="8" t="n"/>
      <c r="M222" s="71">
        <f>L222</f>
        <v/>
      </c>
      <c r="N222" s="71" t="n"/>
      <c r="O222" s="101" t="n"/>
      <c r="P222" s="9">
        <f>I222-M222</f>
        <v/>
      </c>
      <c r="Q222" s="9">
        <f>IF(LEFT(B222,4)&lt;&gt;"    ",0,BN222)</f>
        <v/>
      </c>
      <c r="R222" s="9">
        <f>+P222-Q222</f>
        <v/>
      </c>
      <c r="S222" s="281" t="n"/>
      <c r="T222" s="10" t="n"/>
      <c r="U222" s="23">
        <f>IF(LEFT(B222,4)&lt;&gt;"    ","",IF(M222&lt;&gt;0,X222/M222,0))</f>
        <v/>
      </c>
      <c r="V222" s="11">
        <f>IF(LEFT(B222,4)&lt;&gt;"    ","",U222*I222)</f>
        <v/>
      </c>
      <c r="W222" s="11">
        <f>IF(LEFT(B222,4)&lt;&gt;"    ","",X222+Z222)</f>
        <v/>
      </c>
      <c r="X222" s="8" t="n"/>
      <c r="Y222" s="9">
        <f>IF(LEFT(B222,4)&lt;&gt;"    ",0,IF(P222&lt;0,P222,IF(U222&gt;0.3,W222-X222,0)))</f>
        <v/>
      </c>
      <c r="Z222" s="71">
        <f>Y222</f>
        <v/>
      </c>
      <c r="AA222" s="71" t="n"/>
      <c r="AB222" s="109" t="n"/>
      <c r="AC222" s="9">
        <f>IF(LEFT(B222,4)&lt;&gt;"    ",0,BK222)</f>
        <v/>
      </c>
      <c r="AD222" s="9">
        <f>Z222-AC222</f>
        <v/>
      </c>
      <c r="AE222" s="10" t="n"/>
      <c r="AF222" s="24" t="n"/>
      <c r="AG222" s="11" t="n"/>
      <c r="AH222" s="8" t="n"/>
      <c r="AI222" s="9">
        <f>IF(LEFT(B222,4)&lt;&gt;"    ","",AG222-AH222)</f>
        <v/>
      </c>
      <c r="AJ222" s="9" t="n"/>
      <c r="AK222" s="10" t="n"/>
      <c r="AL222" s="11">
        <f>IF(LEFT(B222,4)&lt;&gt;"    ","",W222-AG222)</f>
        <v/>
      </c>
      <c r="AM222" s="8">
        <f>IF(LEFT(B222,4)&lt;&gt;"    ","",X222-AH222)</f>
        <v/>
      </c>
      <c r="AN222" s="9">
        <f>IF(LEFT(B222,4)&lt;&gt;"    ","",Y222-AI222)</f>
        <v/>
      </c>
      <c r="AO222" s="9">
        <f>IF(LEFT(B222,4)&lt;&gt;"    ","",Z222-AJ222)</f>
        <v/>
      </c>
      <c r="AP222" s="10" t="n"/>
      <c r="AQ222" s="25">
        <f>IF(LEFT(B222,4)&lt;&gt;"    ","",I222-W222)</f>
        <v/>
      </c>
      <c r="AR222" s="25">
        <f>M222-X222</f>
        <v/>
      </c>
      <c r="AS222" s="25">
        <f>IF(LEFT(B222,4)&lt;&gt;"    ","",P222-Z222)</f>
        <v/>
      </c>
      <c r="AT222" s="10" t="n"/>
      <c r="AU222" s="12" t="n"/>
      <c r="AV222" s="12">
        <f>IF(LEFT(B222,4)&lt;&gt;"    ","",IF(W222-AU222&gt;=0,W222-AU222," "))</f>
        <v/>
      </c>
      <c r="AW222" s="12">
        <f>IF(LEFT(B222,4)&lt;&gt;"    ","",IF(AU222-W222&gt;=0,AU222-W222," "))</f>
        <v/>
      </c>
      <c r="AX222" s="186" t="n"/>
      <c r="AY222" s="187" t="n"/>
      <c r="AZ222" s="186" t="n"/>
      <c r="BA222" s="186" t="n"/>
      <c r="BB222" s="188" t="n"/>
      <c r="BC222" s="187" t="n"/>
      <c r="BD222" s="187" t="n"/>
      <c r="BE222" s="186" t="n"/>
      <c r="BF222" s="186" t="n"/>
      <c r="BG222" s="186" t="n"/>
      <c r="BH222" s="186" t="n"/>
      <c r="BI222" s="186" t="n"/>
      <c r="BJ222" s="186" t="n"/>
      <c r="BK222" s="186" t="n"/>
      <c r="BL222" s="186" t="n"/>
      <c r="BM222" s="186" t="n"/>
      <c r="BN222" s="186" t="n"/>
      <c r="BO222" s="186" t="n"/>
      <c r="BP222" s="186" t="n"/>
      <c r="BQ222" s="186" t="n"/>
      <c r="BR222" s="186" t="n"/>
      <c r="BS222" s="186" t="n"/>
      <c r="BT222" s="186" t="n"/>
      <c r="BU222" s="186" t="n"/>
      <c r="BV222" s="186" t="n"/>
      <c r="BW222" s="186" t="n"/>
      <c r="BX222" s="186" t="n"/>
      <c r="BY222" s="186" t="n"/>
      <c r="BZ222" s="186" t="n"/>
      <c r="CA222" s="186" t="n"/>
      <c r="CB222" s="186" t="n"/>
      <c r="CC222" s="190" t="n"/>
      <c r="CD222" s="186" t="n"/>
      <c r="CE222" s="186" t="n"/>
      <c r="CF222" s="186" t="n"/>
      <c r="CG222" s="186" t="n"/>
      <c r="CH222" s="186" t="n"/>
      <c r="CI222" s="191" t="n"/>
      <c r="CJ222" s="192" t="n"/>
      <c r="CK222" s="192" t="n"/>
      <c r="CL222" s="192" t="n"/>
      <c r="CM222" s="192" t="n"/>
    </row>
    <row r="223">
      <c r="A223" s="177" t="n"/>
      <c r="B223" s="178" t="n"/>
      <c r="C223" s="178" t="n"/>
      <c r="D223" s="179" t="n"/>
      <c r="E223" s="180" t="n"/>
      <c r="F223" s="181" t="n"/>
      <c r="G223" s="182" t="n"/>
      <c r="H223" s="105" t="n"/>
      <c r="I223" s="196">
        <f>F223</f>
        <v/>
      </c>
      <c r="J223" s="184" t="n"/>
      <c r="K223" s="185" t="n"/>
      <c r="L223" s="8" t="n"/>
      <c r="M223" s="71">
        <f>L223</f>
        <v/>
      </c>
      <c r="N223" s="71" t="n"/>
      <c r="O223" s="101" t="n"/>
      <c r="P223" s="9">
        <f>I223-M223</f>
        <v/>
      </c>
      <c r="Q223" s="9">
        <f>IF(LEFT(B223,4)&lt;&gt;"    ",0,BN223)</f>
        <v/>
      </c>
      <c r="R223" s="9">
        <f>+P223-Q223</f>
        <v/>
      </c>
      <c r="S223" s="281" t="n"/>
      <c r="T223" s="10" t="n"/>
      <c r="U223" s="23">
        <f>IF(LEFT(B223,4)&lt;&gt;"    ","",IF(M223&lt;&gt;0,X223/M223,0))</f>
        <v/>
      </c>
      <c r="V223" s="11">
        <f>IF(LEFT(B223,4)&lt;&gt;"    ","",U223*I223)</f>
        <v/>
      </c>
      <c r="W223" s="11">
        <f>IF(LEFT(B223,4)&lt;&gt;"    ","",X223+Z223)</f>
        <v/>
      </c>
      <c r="X223" s="8" t="n"/>
      <c r="Y223" s="9">
        <f>IF(LEFT(B223,4)&lt;&gt;"    ",0,IF(P223&lt;0,P223,IF(U223&gt;0.3,W223-X223,0)))</f>
        <v/>
      </c>
      <c r="Z223" s="71">
        <f>Y223</f>
        <v/>
      </c>
      <c r="AA223" s="71" t="n"/>
      <c r="AB223" s="109" t="n"/>
      <c r="AC223" s="9">
        <f>IF(LEFT(B223,4)&lt;&gt;"    ",0,BK223)</f>
        <v/>
      </c>
      <c r="AD223" s="9">
        <f>Z223-AC223</f>
        <v/>
      </c>
      <c r="AE223" s="10" t="n"/>
      <c r="AF223" s="24" t="n"/>
      <c r="AG223" s="11" t="n"/>
      <c r="AH223" s="8" t="n"/>
      <c r="AI223" s="9">
        <f>IF(LEFT(B223,4)&lt;&gt;"    ","",AG223-AH223)</f>
        <v/>
      </c>
      <c r="AJ223" s="9" t="n"/>
      <c r="AK223" s="10" t="n"/>
      <c r="AL223" s="11">
        <f>IF(LEFT(B223,4)&lt;&gt;"    ","",W223-AG223)</f>
        <v/>
      </c>
      <c r="AM223" s="8">
        <f>IF(LEFT(B223,4)&lt;&gt;"    ","",X223-AH223)</f>
        <v/>
      </c>
      <c r="AN223" s="9">
        <f>IF(LEFT(B223,4)&lt;&gt;"    ","",Y223-AI223)</f>
        <v/>
      </c>
      <c r="AO223" s="9">
        <f>IF(LEFT(B223,4)&lt;&gt;"    ","",Z223-AJ223)</f>
        <v/>
      </c>
      <c r="AP223" s="10" t="n"/>
      <c r="AQ223" s="25">
        <f>IF(LEFT(B223,4)&lt;&gt;"    ","",I223-W223)</f>
        <v/>
      </c>
      <c r="AR223" s="25">
        <f>M223-X223</f>
        <v/>
      </c>
      <c r="AS223" s="25">
        <f>IF(LEFT(B223,4)&lt;&gt;"    ","",P223-Z223)</f>
        <v/>
      </c>
      <c r="AT223" s="10" t="n"/>
      <c r="AU223" s="12" t="n"/>
      <c r="AV223" s="12">
        <f>IF(LEFT(B223,4)&lt;&gt;"    ","",IF(W223-AU223&gt;=0,W223-AU223," "))</f>
        <v/>
      </c>
      <c r="AW223" s="12">
        <f>IF(LEFT(B223,4)&lt;&gt;"    ","",IF(AU223-W223&gt;=0,AU223-W223," "))</f>
        <v/>
      </c>
      <c r="AX223" s="186" t="n"/>
      <c r="AY223" s="187" t="n"/>
      <c r="AZ223" s="186" t="n"/>
      <c r="BA223" s="186" t="n"/>
      <c r="BB223" s="188" t="n"/>
      <c r="BC223" s="187" t="n"/>
      <c r="BD223" s="187" t="n"/>
      <c r="BE223" s="186" t="n"/>
      <c r="BF223" s="186" t="n"/>
      <c r="BG223" s="186" t="n"/>
      <c r="BH223" s="186" t="n"/>
      <c r="BI223" s="186" t="n"/>
      <c r="BJ223" s="186" t="n"/>
      <c r="BK223" s="186" t="n"/>
      <c r="BL223" s="186" t="n"/>
      <c r="BM223" s="186" t="n"/>
      <c r="BN223" s="186" t="n"/>
      <c r="BO223" s="186" t="n"/>
      <c r="BP223" s="186" t="n"/>
      <c r="BQ223" s="186" t="n"/>
      <c r="BR223" s="186" t="n"/>
      <c r="BS223" s="186" t="n"/>
      <c r="BT223" s="186" t="n"/>
      <c r="BU223" s="186" t="n"/>
      <c r="BV223" s="186" t="n"/>
      <c r="BW223" s="186" t="n"/>
      <c r="BX223" s="186" t="n"/>
      <c r="BY223" s="186" t="n"/>
      <c r="BZ223" s="186" t="n"/>
      <c r="CA223" s="186" t="n"/>
      <c r="CB223" s="186" t="n"/>
      <c r="CC223" s="190" t="n"/>
      <c r="CD223" s="186" t="n"/>
      <c r="CE223" s="186" t="n"/>
      <c r="CF223" s="186" t="n"/>
      <c r="CG223" s="186" t="n"/>
      <c r="CH223" s="186" t="n"/>
      <c r="CI223" s="191" t="n"/>
      <c r="CJ223" s="192" t="n"/>
      <c r="CK223" s="192" t="n"/>
      <c r="CL223" s="192" t="n"/>
      <c r="CM223" s="192" t="n"/>
    </row>
    <row r="224">
      <c r="A224" s="177" t="n"/>
      <c r="B224" s="178" t="n"/>
      <c r="C224" s="178" t="n"/>
      <c r="D224" s="179" t="n"/>
      <c r="E224" s="180" t="n"/>
      <c r="F224" s="181" t="n"/>
      <c r="G224" s="182" t="n"/>
      <c r="H224" s="105" t="n"/>
      <c r="I224" s="196">
        <f>F224</f>
        <v/>
      </c>
      <c r="J224" s="184" t="n"/>
      <c r="K224" s="185" t="n"/>
      <c r="L224" s="8" t="n"/>
      <c r="M224" s="71">
        <f>L224</f>
        <v/>
      </c>
      <c r="N224" s="71" t="n"/>
      <c r="O224" s="101" t="n"/>
      <c r="P224" s="9">
        <f>I224-M224</f>
        <v/>
      </c>
      <c r="Q224" s="9">
        <f>IF(LEFT(B224,4)&lt;&gt;"    ",0,BN224)</f>
        <v/>
      </c>
      <c r="R224" s="9">
        <f>+P224-Q224</f>
        <v/>
      </c>
      <c r="S224" s="281" t="n"/>
      <c r="T224" s="10" t="n"/>
      <c r="U224" s="23">
        <f>IF(LEFT(B224,4)&lt;&gt;"    ","",IF(M224&lt;&gt;0,X224/M224,0))</f>
        <v/>
      </c>
      <c r="V224" s="11">
        <f>IF(LEFT(B224,4)&lt;&gt;"    ","",U224*I224)</f>
        <v/>
      </c>
      <c r="W224" s="11">
        <f>IF(LEFT(B224,4)&lt;&gt;"    ","",X224+Z224)</f>
        <v/>
      </c>
      <c r="X224" s="8" t="n"/>
      <c r="Y224" s="9">
        <f>IF(LEFT(B224,4)&lt;&gt;"    ",0,IF(P224&lt;0,P224,IF(U224&gt;0.3,W224-X224,0)))</f>
        <v/>
      </c>
      <c r="Z224" s="71">
        <f>Y224</f>
        <v/>
      </c>
      <c r="AA224" s="71" t="n"/>
      <c r="AB224" s="109" t="n"/>
      <c r="AC224" s="9">
        <f>IF(LEFT(B224,4)&lt;&gt;"    ",0,BK224)</f>
        <v/>
      </c>
      <c r="AD224" s="9">
        <f>Z224-AC224</f>
        <v/>
      </c>
      <c r="AE224" s="10" t="n"/>
      <c r="AF224" s="24" t="n"/>
      <c r="AG224" s="11" t="n"/>
      <c r="AH224" s="8" t="n"/>
      <c r="AI224" s="9">
        <f>IF(LEFT(B224,4)&lt;&gt;"    ","",AG224-AH224)</f>
        <v/>
      </c>
      <c r="AJ224" s="9" t="n"/>
      <c r="AK224" s="10" t="n"/>
      <c r="AL224" s="11">
        <f>IF(LEFT(B224,4)&lt;&gt;"    ","",W224-AG224)</f>
        <v/>
      </c>
      <c r="AM224" s="8">
        <f>IF(LEFT(B224,4)&lt;&gt;"    ","",X224-AH224)</f>
        <v/>
      </c>
      <c r="AN224" s="9">
        <f>IF(LEFT(B224,4)&lt;&gt;"    ","",Y224-AI224)</f>
        <v/>
      </c>
      <c r="AO224" s="9">
        <f>IF(LEFT(B224,4)&lt;&gt;"    ","",Z224-AJ224)</f>
        <v/>
      </c>
      <c r="AP224" s="10" t="n"/>
      <c r="AQ224" s="25">
        <f>IF(LEFT(B224,4)&lt;&gt;"    ","",I224-W224)</f>
        <v/>
      </c>
      <c r="AR224" s="25">
        <f>M224-X224</f>
        <v/>
      </c>
      <c r="AS224" s="25">
        <f>IF(LEFT(B224,4)&lt;&gt;"    ","",P224-Z224)</f>
        <v/>
      </c>
      <c r="AT224" s="10" t="n"/>
      <c r="AU224" s="12" t="n"/>
      <c r="AV224" s="12">
        <f>IF(LEFT(B224,4)&lt;&gt;"    ","",IF(W224-AU224&gt;=0,W224-AU224," "))</f>
        <v/>
      </c>
      <c r="AW224" s="12">
        <f>IF(LEFT(B224,4)&lt;&gt;"    ","",IF(AU224-W224&gt;=0,AU224-W224," "))</f>
        <v/>
      </c>
      <c r="AX224" s="186" t="n"/>
      <c r="AY224" s="187" t="n"/>
      <c r="AZ224" s="186" t="n"/>
      <c r="BA224" s="186" t="n"/>
      <c r="BB224" s="188" t="n"/>
      <c r="BC224" s="187" t="n"/>
      <c r="BD224" s="187" t="n"/>
      <c r="BE224" s="186" t="n"/>
      <c r="BF224" s="186" t="n"/>
      <c r="BG224" s="186" t="n"/>
      <c r="BH224" s="186" t="n"/>
      <c r="BI224" s="186" t="n"/>
      <c r="BJ224" s="186" t="n"/>
      <c r="BK224" s="186" t="n"/>
      <c r="BL224" s="186" t="n"/>
      <c r="BM224" s="186" t="n"/>
      <c r="BN224" s="186" t="n"/>
      <c r="BO224" s="186" t="n"/>
      <c r="BP224" s="186" t="n"/>
      <c r="BQ224" s="186" t="n"/>
      <c r="BR224" s="186" t="n"/>
      <c r="BS224" s="186" t="n"/>
      <c r="BT224" s="186" t="n"/>
      <c r="BU224" s="186" t="n"/>
      <c r="BV224" s="186" t="n"/>
      <c r="BW224" s="186" t="n"/>
      <c r="BX224" s="186" t="n"/>
      <c r="BY224" s="186" t="n"/>
      <c r="BZ224" s="186" t="n"/>
      <c r="CA224" s="186" t="n"/>
      <c r="CB224" s="186" t="n"/>
      <c r="CC224" s="190" t="n"/>
      <c r="CD224" s="186" t="n"/>
      <c r="CE224" s="186" t="n"/>
      <c r="CF224" s="186" t="n"/>
      <c r="CG224" s="186" t="n"/>
      <c r="CH224" s="186" t="n"/>
      <c r="CI224" s="191" t="n"/>
      <c r="CJ224" s="192" t="n"/>
      <c r="CK224" s="192" t="n"/>
      <c r="CL224" s="192" t="n"/>
      <c r="CM224" s="192" t="n"/>
    </row>
    <row r="225">
      <c r="A225" s="177" t="n"/>
      <c r="B225" s="178" t="n"/>
      <c r="C225" s="178" t="n"/>
      <c r="D225" s="179" t="n"/>
      <c r="E225" s="180" t="n"/>
      <c r="F225" s="181" t="n"/>
      <c r="G225" s="182" t="n"/>
      <c r="H225" s="105" t="n"/>
      <c r="I225" s="196">
        <f>F225</f>
        <v/>
      </c>
      <c r="J225" s="184" t="n"/>
      <c r="K225" s="185" t="n"/>
      <c r="L225" s="8" t="n"/>
      <c r="M225" s="71">
        <f>L225</f>
        <v/>
      </c>
      <c r="N225" s="71" t="n"/>
      <c r="O225" s="101" t="n"/>
      <c r="P225" s="9">
        <f>I225-M225</f>
        <v/>
      </c>
      <c r="Q225" s="9">
        <f>IF(LEFT(B225,4)&lt;&gt;"    ",0,BN225)</f>
        <v/>
      </c>
      <c r="R225" s="9">
        <f>+P225-Q225</f>
        <v/>
      </c>
      <c r="S225" s="281" t="n"/>
      <c r="T225" s="10" t="n"/>
      <c r="U225" s="23">
        <f>IF(LEFT(B225,4)&lt;&gt;"    ","",IF(M225&lt;&gt;0,X225/M225,0))</f>
        <v/>
      </c>
      <c r="V225" s="11">
        <f>IF(LEFT(B225,4)&lt;&gt;"    ","",U225*I225)</f>
        <v/>
      </c>
      <c r="W225" s="11">
        <f>IF(LEFT(B225,4)&lt;&gt;"    ","",X225+Z225)</f>
        <v/>
      </c>
      <c r="X225" s="8" t="n"/>
      <c r="Y225" s="9">
        <f>IF(LEFT(B225,4)&lt;&gt;"    ",0,IF(P225&lt;0,P225,IF(U225&gt;0.3,W225-X225,0)))</f>
        <v/>
      </c>
      <c r="Z225" s="71">
        <f>Y225</f>
        <v/>
      </c>
      <c r="AA225" s="71" t="n"/>
      <c r="AB225" s="109" t="n"/>
      <c r="AC225" s="9">
        <f>IF(LEFT(B225,4)&lt;&gt;"    ",0,BK225)</f>
        <v/>
      </c>
      <c r="AD225" s="9">
        <f>Z225-AC225</f>
        <v/>
      </c>
      <c r="AE225" s="10" t="n"/>
      <c r="AF225" s="24" t="n"/>
      <c r="AG225" s="11" t="n"/>
      <c r="AH225" s="8" t="n"/>
      <c r="AI225" s="9">
        <f>IF(LEFT(B225,4)&lt;&gt;"    ","",AG225-AH225)</f>
        <v/>
      </c>
      <c r="AJ225" s="9" t="n"/>
      <c r="AK225" s="10" t="n"/>
      <c r="AL225" s="11">
        <f>IF(LEFT(B225,4)&lt;&gt;"    ","",W225-AG225)</f>
        <v/>
      </c>
      <c r="AM225" s="8">
        <f>IF(LEFT(B225,4)&lt;&gt;"    ","",X225-AH225)</f>
        <v/>
      </c>
      <c r="AN225" s="9">
        <f>IF(LEFT(B225,4)&lt;&gt;"    ","",Y225-AI225)</f>
        <v/>
      </c>
      <c r="AO225" s="9">
        <f>IF(LEFT(B225,4)&lt;&gt;"    ","",Z225-AJ225)</f>
        <v/>
      </c>
      <c r="AP225" s="10" t="n"/>
      <c r="AQ225" s="25">
        <f>IF(LEFT(B225,4)&lt;&gt;"    ","",I225-W225)</f>
        <v/>
      </c>
      <c r="AR225" s="25">
        <f>M225-X225</f>
        <v/>
      </c>
      <c r="AS225" s="25">
        <f>IF(LEFT(B225,4)&lt;&gt;"    ","",P225-Z225)</f>
        <v/>
      </c>
      <c r="AT225" s="10" t="n"/>
      <c r="AU225" s="12" t="n"/>
      <c r="AV225" s="12">
        <f>IF(LEFT(B225,4)&lt;&gt;"    ","",IF(W225-AU225&gt;=0,W225-AU225," "))</f>
        <v/>
      </c>
      <c r="AW225" s="12">
        <f>IF(LEFT(B225,4)&lt;&gt;"    ","",IF(AU225-W225&gt;=0,AU225-W225," "))</f>
        <v/>
      </c>
      <c r="AX225" s="186" t="n"/>
      <c r="AY225" s="187" t="n"/>
      <c r="AZ225" s="186" t="n"/>
      <c r="BA225" s="186" t="n"/>
      <c r="BB225" s="188" t="n"/>
      <c r="BC225" s="187" t="n"/>
      <c r="BD225" s="187" t="n"/>
      <c r="BE225" s="186" t="n"/>
      <c r="BF225" s="186" t="n"/>
      <c r="BG225" s="186" t="n"/>
      <c r="BH225" s="186" t="n"/>
      <c r="BI225" s="186" t="n"/>
      <c r="BJ225" s="186" t="n"/>
      <c r="BK225" s="186" t="n"/>
      <c r="BL225" s="186" t="n"/>
      <c r="BM225" s="186" t="n"/>
      <c r="BN225" s="186" t="n"/>
      <c r="BO225" s="186" t="n"/>
      <c r="BP225" s="186" t="n"/>
      <c r="BQ225" s="186" t="n"/>
      <c r="BR225" s="186" t="n"/>
      <c r="BS225" s="186" t="n"/>
      <c r="BT225" s="186" t="n"/>
      <c r="BU225" s="186" t="n"/>
      <c r="BV225" s="186" t="n"/>
      <c r="BW225" s="186" t="n"/>
      <c r="BX225" s="186" t="n"/>
      <c r="BY225" s="186" t="n"/>
      <c r="BZ225" s="186" t="n"/>
      <c r="CA225" s="186" t="n"/>
      <c r="CB225" s="186" t="n"/>
      <c r="CC225" s="190" t="n"/>
      <c r="CD225" s="186" t="n"/>
      <c r="CE225" s="186" t="n"/>
      <c r="CF225" s="186" t="n"/>
      <c r="CG225" s="186" t="n"/>
      <c r="CH225" s="186" t="n"/>
      <c r="CI225" s="191" t="n"/>
      <c r="CJ225" s="192" t="n"/>
      <c r="CK225" s="192" t="n"/>
      <c r="CL225" s="192" t="n"/>
      <c r="CM225" s="192" t="n"/>
    </row>
    <row r="226">
      <c r="A226" s="177" t="n"/>
      <c r="B226" s="178" t="n"/>
      <c r="C226" s="178" t="n"/>
      <c r="D226" s="179" t="n"/>
      <c r="E226" s="180" t="n"/>
      <c r="F226" s="181" t="n"/>
      <c r="G226" s="182" t="n"/>
      <c r="H226" s="105" t="n"/>
      <c r="I226" s="196">
        <f>F226</f>
        <v/>
      </c>
      <c r="J226" s="184" t="n"/>
      <c r="K226" s="185" t="n"/>
      <c r="L226" s="8" t="n"/>
      <c r="M226" s="71">
        <f>L226</f>
        <v/>
      </c>
      <c r="N226" s="71" t="n"/>
      <c r="O226" s="101" t="n"/>
      <c r="P226" s="9">
        <f>I226-M226</f>
        <v/>
      </c>
      <c r="Q226" s="9">
        <f>IF(LEFT(B226,4)&lt;&gt;"    ",0,BN226)</f>
        <v/>
      </c>
      <c r="R226" s="9">
        <f>+P226-Q226</f>
        <v/>
      </c>
      <c r="S226" s="281" t="n"/>
      <c r="T226" s="10" t="n"/>
      <c r="U226" s="23">
        <f>IF(LEFT(B226,4)&lt;&gt;"    ","",IF(M226&lt;&gt;0,X226/M226,0))</f>
        <v/>
      </c>
      <c r="V226" s="11">
        <f>IF(LEFT(B226,4)&lt;&gt;"    ","",U226*I226)</f>
        <v/>
      </c>
      <c r="W226" s="11">
        <f>IF(LEFT(B226,4)&lt;&gt;"    ","",X226+Z226)</f>
        <v/>
      </c>
      <c r="X226" s="8" t="n"/>
      <c r="Y226" s="9">
        <f>IF(LEFT(B226,4)&lt;&gt;"    ",0,IF(P226&lt;0,P226,IF(U226&gt;0.3,W226-X226,0)))</f>
        <v/>
      </c>
      <c r="Z226" s="71">
        <f>Y226</f>
        <v/>
      </c>
      <c r="AA226" s="71" t="n"/>
      <c r="AB226" s="109" t="n"/>
      <c r="AC226" s="9">
        <f>IF(LEFT(B226,4)&lt;&gt;"    ",0,BK226)</f>
        <v/>
      </c>
      <c r="AD226" s="9">
        <f>Z226-AC226</f>
        <v/>
      </c>
      <c r="AE226" s="10" t="n"/>
      <c r="AF226" s="24" t="n"/>
      <c r="AG226" s="11" t="n"/>
      <c r="AH226" s="8" t="n"/>
      <c r="AI226" s="9">
        <f>IF(LEFT(B226,4)&lt;&gt;"    ","",AG226-AH226)</f>
        <v/>
      </c>
      <c r="AJ226" s="9" t="n"/>
      <c r="AK226" s="10" t="n"/>
      <c r="AL226" s="11">
        <f>IF(LEFT(B226,4)&lt;&gt;"    ","",W226-AG226)</f>
        <v/>
      </c>
      <c r="AM226" s="8">
        <f>IF(LEFT(B226,4)&lt;&gt;"    ","",X226-AH226)</f>
        <v/>
      </c>
      <c r="AN226" s="9">
        <f>IF(LEFT(B226,4)&lt;&gt;"    ","",Y226-AI226)</f>
        <v/>
      </c>
      <c r="AO226" s="9">
        <f>IF(LEFT(B226,4)&lt;&gt;"    ","",Z226-AJ226)</f>
        <v/>
      </c>
      <c r="AP226" s="10" t="n"/>
      <c r="AQ226" s="25">
        <f>IF(LEFT(B226,4)&lt;&gt;"    ","",I226-W226)</f>
        <v/>
      </c>
      <c r="AR226" s="25">
        <f>M226-X226</f>
        <v/>
      </c>
      <c r="AS226" s="25">
        <f>IF(LEFT(B226,4)&lt;&gt;"    ","",P226-Z226)</f>
        <v/>
      </c>
      <c r="AT226" s="10" t="n"/>
      <c r="AU226" s="12" t="n"/>
      <c r="AV226" s="12">
        <f>IF(LEFT(B226,4)&lt;&gt;"    ","",IF(W226-AU226&gt;=0,W226-AU226," "))</f>
        <v/>
      </c>
      <c r="AW226" s="12">
        <f>IF(LEFT(B226,4)&lt;&gt;"    ","",IF(AU226-W226&gt;=0,AU226-W226," "))</f>
        <v/>
      </c>
      <c r="AX226" s="186" t="n"/>
      <c r="AY226" s="187" t="n"/>
      <c r="AZ226" s="186" t="n"/>
      <c r="BA226" s="186" t="n"/>
      <c r="BB226" s="188" t="n"/>
      <c r="BC226" s="187" t="n"/>
      <c r="BD226" s="187" t="n"/>
      <c r="BE226" s="186" t="n"/>
      <c r="BF226" s="186" t="n"/>
      <c r="BG226" s="186" t="n"/>
      <c r="BH226" s="186" t="n"/>
      <c r="BI226" s="186" t="n"/>
      <c r="BJ226" s="186" t="n"/>
      <c r="BK226" s="186" t="n"/>
      <c r="BL226" s="186" t="n"/>
      <c r="BM226" s="186" t="n"/>
      <c r="BN226" s="186" t="n"/>
      <c r="BO226" s="186" t="n"/>
      <c r="BP226" s="186" t="n"/>
      <c r="BQ226" s="186" t="n"/>
      <c r="BR226" s="186" t="n"/>
      <c r="BS226" s="186" t="n"/>
      <c r="BT226" s="186" t="n"/>
      <c r="BU226" s="186" t="n"/>
      <c r="BV226" s="186" t="n"/>
      <c r="BW226" s="186" t="n"/>
      <c r="BX226" s="186" t="n"/>
      <c r="BY226" s="186" t="n"/>
      <c r="BZ226" s="186" t="n"/>
      <c r="CA226" s="186" t="n"/>
      <c r="CB226" s="186" t="n"/>
      <c r="CC226" s="190" t="n"/>
      <c r="CD226" s="186" t="n"/>
      <c r="CE226" s="186" t="n"/>
      <c r="CF226" s="186" t="n"/>
      <c r="CG226" s="186" t="n"/>
      <c r="CH226" s="186" t="n"/>
      <c r="CI226" s="191" t="n"/>
      <c r="CJ226" s="192" t="n"/>
      <c r="CK226" s="192" t="n"/>
      <c r="CL226" s="192" t="n"/>
      <c r="CM226" s="192" t="n"/>
    </row>
    <row r="227">
      <c r="A227" s="177" t="n"/>
      <c r="B227" s="178" t="n"/>
      <c r="C227" s="178" t="n"/>
      <c r="D227" s="179" t="n"/>
      <c r="E227" s="180" t="n"/>
      <c r="F227" s="181" t="n"/>
      <c r="G227" s="182" t="n"/>
      <c r="H227" s="105" t="n"/>
      <c r="I227" s="196">
        <f>F227</f>
        <v/>
      </c>
      <c r="J227" s="184" t="n"/>
      <c r="K227" s="185" t="n"/>
      <c r="L227" s="8" t="n"/>
      <c r="M227" s="71">
        <f>L227</f>
        <v/>
      </c>
      <c r="N227" s="71" t="n"/>
      <c r="O227" s="101" t="n"/>
      <c r="P227" s="9">
        <f>I227-M227</f>
        <v/>
      </c>
      <c r="Q227" s="9">
        <f>IF(LEFT(B227,4)&lt;&gt;"    ",0,BN227)</f>
        <v/>
      </c>
      <c r="R227" s="9">
        <f>+P227-Q227</f>
        <v/>
      </c>
      <c r="S227" s="281" t="n"/>
      <c r="T227" s="10" t="n"/>
      <c r="U227" s="23">
        <f>IF(LEFT(B227,4)&lt;&gt;"    ","",IF(M227&lt;&gt;0,X227/M227,0))</f>
        <v/>
      </c>
      <c r="V227" s="11">
        <f>IF(LEFT(B227,4)&lt;&gt;"    ","",U227*I227)</f>
        <v/>
      </c>
      <c r="W227" s="11">
        <f>IF(LEFT(B227,4)&lt;&gt;"    ","",X227+Z227)</f>
        <v/>
      </c>
      <c r="X227" s="8" t="n"/>
      <c r="Y227" s="9">
        <f>IF(LEFT(B227,4)&lt;&gt;"    ",0,IF(P227&lt;0,P227,IF(U227&gt;0.3,W227-X227,0)))</f>
        <v/>
      </c>
      <c r="Z227" s="71">
        <f>Y227</f>
        <v/>
      </c>
      <c r="AA227" s="71" t="n"/>
      <c r="AB227" s="109" t="n"/>
      <c r="AC227" s="9">
        <f>IF(LEFT(B227,4)&lt;&gt;"    ",0,BK227)</f>
        <v/>
      </c>
      <c r="AD227" s="9">
        <f>Z227-AC227</f>
        <v/>
      </c>
      <c r="AE227" s="10" t="n"/>
      <c r="AF227" s="24" t="n"/>
      <c r="AG227" s="11" t="n"/>
      <c r="AH227" s="8" t="n"/>
      <c r="AI227" s="9">
        <f>IF(LEFT(B227,4)&lt;&gt;"    ","",AG227-AH227)</f>
        <v/>
      </c>
      <c r="AJ227" s="9" t="n"/>
      <c r="AK227" s="10" t="n"/>
      <c r="AL227" s="11">
        <f>IF(LEFT(B227,4)&lt;&gt;"    ","",W227-AG227)</f>
        <v/>
      </c>
      <c r="AM227" s="8">
        <f>IF(LEFT(B227,4)&lt;&gt;"    ","",X227-AH227)</f>
        <v/>
      </c>
      <c r="AN227" s="9">
        <f>IF(LEFT(B227,4)&lt;&gt;"    ","",Y227-AI227)</f>
        <v/>
      </c>
      <c r="AO227" s="9">
        <f>IF(LEFT(B227,4)&lt;&gt;"    ","",Z227-AJ227)</f>
        <v/>
      </c>
      <c r="AP227" s="10" t="n"/>
      <c r="AQ227" s="25">
        <f>IF(LEFT(B227,4)&lt;&gt;"    ","",I227-W227)</f>
        <v/>
      </c>
      <c r="AR227" s="25">
        <f>M227-X227</f>
        <v/>
      </c>
      <c r="AS227" s="25">
        <f>IF(LEFT(B227,4)&lt;&gt;"    ","",P227-Z227)</f>
        <v/>
      </c>
      <c r="AT227" s="10" t="n"/>
      <c r="AU227" s="12" t="n"/>
      <c r="AV227" s="12">
        <f>IF(LEFT(B227,4)&lt;&gt;"    ","",IF(W227-AU227&gt;=0,W227-AU227," "))</f>
        <v/>
      </c>
      <c r="AW227" s="12">
        <f>IF(LEFT(B227,4)&lt;&gt;"    ","",IF(AU227-W227&gt;=0,AU227-W227," "))</f>
        <v/>
      </c>
      <c r="AX227" s="186" t="n"/>
      <c r="AY227" s="187" t="n"/>
      <c r="AZ227" s="186" t="n"/>
      <c r="BA227" s="186" t="n"/>
      <c r="BB227" s="188" t="n"/>
      <c r="BC227" s="187" t="n"/>
      <c r="BD227" s="187" t="n"/>
      <c r="BE227" s="186" t="n"/>
      <c r="BF227" s="186" t="n"/>
      <c r="BG227" s="186" t="n"/>
      <c r="BH227" s="186" t="n"/>
      <c r="BI227" s="186" t="n"/>
      <c r="BJ227" s="186" t="n"/>
      <c r="BK227" s="186" t="n"/>
      <c r="BL227" s="186" t="n"/>
      <c r="BM227" s="186" t="n"/>
      <c r="BN227" s="186" t="n"/>
      <c r="BO227" s="186" t="n"/>
      <c r="BP227" s="186" t="n"/>
      <c r="BQ227" s="186" t="n"/>
      <c r="BR227" s="186" t="n"/>
      <c r="BS227" s="186" t="n"/>
      <c r="BT227" s="186" t="n"/>
      <c r="BU227" s="186" t="n"/>
      <c r="BV227" s="186" t="n"/>
      <c r="BW227" s="186" t="n"/>
      <c r="BX227" s="186" t="n"/>
      <c r="BY227" s="186" t="n"/>
      <c r="BZ227" s="186" t="n"/>
      <c r="CA227" s="186" t="n"/>
      <c r="CB227" s="186" t="n"/>
      <c r="CC227" s="190" t="n"/>
      <c r="CD227" s="186" t="n"/>
      <c r="CE227" s="186" t="n"/>
      <c r="CF227" s="186" t="n"/>
      <c r="CG227" s="186" t="n"/>
      <c r="CH227" s="186" t="n"/>
      <c r="CI227" s="191" t="n"/>
      <c r="CJ227" s="192" t="n"/>
      <c r="CK227" s="192" t="n"/>
      <c r="CL227" s="192" t="n"/>
      <c r="CM227" s="192" t="n"/>
    </row>
    <row r="228">
      <c r="A228" s="177" t="n"/>
      <c r="B228" s="178" t="n"/>
      <c r="C228" s="178" t="n"/>
      <c r="D228" s="179" t="n"/>
      <c r="E228" s="180" t="n"/>
      <c r="F228" s="181" t="n"/>
      <c r="G228" s="182" t="n"/>
      <c r="H228" s="105" t="n"/>
      <c r="I228" s="196">
        <f>F228</f>
        <v/>
      </c>
      <c r="J228" s="184" t="n"/>
      <c r="K228" s="185" t="n"/>
      <c r="L228" s="8" t="n"/>
      <c r="M228" s="71">
        <f>L228</f>
        <v/>
      </c>
      <c r="N228" s="71" t="n"/>
      <c r="O228" s="101" t="n"/>
      <c r="P228" s="9">
        <f>I228-M228</f>
        <v/>
      </c>
      <c r="Q228" s="9">
        <f>IF(LEFT(B228,4)&lt;&gt;"    ",0,BN228)</f>
        <v/>
      </c>
      <c r="R228" s="9">
        <f>+P228-Q228</f>
        <v/>
      </c>
      <c r="S228" s="281" t="n"/>
      <c r="T228" s="10" t="n"/>
      <c r="U228" s="23">
        <f>IF(LEFT(B228,4)&lt;&gt;"    ","",IF(M228&lt;&gt;0,X228/M228,0))</f>
        <v/>
      </c>
      <c r="V228" s="11">
        <f>IF(LEFT(B228,4)&lt;&gt;"    ","",U228*I228)</f>
        <v/>
      </c>
      <c r="W228" s="11">
        <f>IF(LEFT(B228,4)&lt;&gt;"    ","",X228+Z228)</f>
        <v/>
      </c>
      <c r="X228" s="8" t="n"/>
      <c r="Y228" s="9">
        <f>IF(LEFT(B228,4)&lt;&gt;"    ",0,IF(P228&lt;0,P228,IF(U228&gt;0.3,W228-X228,0)))</f>
        <v/>
      </c>
      <c r="Z228" s="71">
        <f>Y228</f>
        <v/>
      </c>
      <c r="AA228" s="71" t="n"/>
      <c r="AB228" s="109" t="n"/>
      <c r="AC228" s="9">
        <f>IF(LEFT(B228,4)&lt;&gt;"    ",0,BK228)</f>
        <v/>
      </c>
      <c r="AD228" s="9">
        <f>Z228-AC228</f>
        <v/>
      </c>
      <c r="AE228" s="10" t="n"/>
      <c r="AF228" s="24" t="n"/>
      <c r="AG228" s="11" t="n"/>
      <c r="AH228" s="8" t="n"/>
      <c r="AI228" s="9">
        <f>IF(LEFT(B228,4)&lt;&gt;"    ","",AG228-AH228)</f>
        <v/>
      </c>
      <c r="AJ228" s="9" t="n"/>
      <c r="AK228" s="10" t="n"/>
      <c r="AL228" s="11">
        <f>IF(LEFT(B228,4)&lt;&gt;"    ","",W228-AG228)</f>
        <v/>
      </c>
      <c r="AM228" s="8">
        <f>IF(LEFT(B228,4)&lt;&gt;"    ","",X228-AH228)</f>
        <v/>
      </c>
      <c r="AN228" s="9">
        <f>IF(LEFT(B228,4)&lt;&gt;"    ","",Y228-AI228)</f>
        <v/>
      </c>
      <c r="AO228" s="9">
        <f>IF(LEFT(B228,4)&lt;&gt;"    ","",Z228-AJ228)</f>
        <v/>
      </c>
      <c r="AP228" s="10" t="n"/>
      <c r="AQ228" s="25">
        <f>IF(LEFT(B228,4)&lt;&gt;"    ","",I228-W228)</f>
        <v/>
      </c>
      <c r="AR228" s="25">
        <f>M228-X228</f>
        <v/>
      </c>
      <c r="AS228" s="25">
        <f>IF(LEFT(B228,4)&lt;&gt;"    ","",P228-Z228)</f>
        <v/>
      </c>
      <c r="AT228" s="10" t="n"/>
      <c r="AU228" s="12" t="n"/>
      <c r="AV228" s="12">
        <f>IF(LEFT(B228,4)&lt;&gt;"    ","",IF(W228-AU228&gt;=0,W228-AU228," "))</f>
        <v/>
      </c>
      <c r="AW228" s="12">
        <f>IF(LEFT(B228,4)&lt;&gt;"    ","",IF(AU228-W228&gt;=0,AU228-W228," "))</f>
        <v/>
      </c>
      <c r="AX228" s="186" t="n"/>
      <c r="AY228" s="187" t="n"/>
      <c r="AZ228" s="186" t="n"/>
      <c r="BA228" s="186" t="n"/>
      <c r="BB228" s="188" t="n"/>
      <c r="BC228" s="187" t="n"/>
      <c r="BD228" s="187" t="n"/>
      <c r="BE228" s="186" t="n"/>
      <c r="BF228" s="186" t="n"/>
      <c r="BG228" s="186" t="n"/>
      <c r="BH228" s="186" t="n"/>
      <c r="BI228" s="186" t="n"/>
      <c r="BJ228" s="186" t="n"/>
      <c r="BK228" s="186" t="n"/>
      <c r="BL228" s="186" t="n"/>
      <c r="BM228" s="186" t="n"/>
      <c r="BN228" s="186" t="n"/>
      <c r="BO228" s="186" t="n"/>
      <c r="BP228" s="186" t="n"/>
      <c r="BQ228" s="186" t="n"/>
      <c r="BR228" s="186" t="n"/>
      <c r="BS228" s="186" t="n"/>
      <c r="BT228" s="186" t="n"/>
      <c r="BU228" s="186" t="n"/>
      <c r="BV228" s="186" t="n"/>
      <c r="BW228" s="186" t="n"/>
      <c r="BX228" s="186" t="n"/>
      <c r="BY228" s="186" t="n"/>
      <c r="BZ228" s="186" t="n"/>
      <c r="CA228" s="186" t="n"/>
      <c r="CB228" s="186" t="n"/>
      <c r="CC228" s="190" t="n"/>
      <c r="CD228" s="186" t="n"/>
      <c r="CE228" s="186" t="n"/>
      <c r="CF228" s="186" t="n"/>
      <c r="CG228" s="186" t="n"/>
      <c r="CH228" s="186" t="n"/>
      <c r="CI228" s="191" t="n"/>
      <c r="CJ228" s="192" t="n"/>
      <c r="CK228" s="192" t="n"/>
      <c r="CL228" s="192" t="n"/>
      <c r="CM228" s="192" t="n"/>
    </row>
    <row r="229">
      <c r="A229" s="177" t="n"/>
      <c r="B229" s="178" t="n"/>
      <c r="C229" s="178" t="n"/>
      <c r="D229" s="179" t="n"/>
      <c r="E229" s="180" t="n"/>
      <c r="F229" s="181" t="n"/>
      <c r="G229" s="182" t="n"/>
      <c r="H229" s="105" t="n"/>
      <c r="I229" s="196">
        <f>F229</f>
        <v/>
      </c>
      <c r="J229" s="184" t="n"/>
      <c r="K229" s="185" t="n"/>
      <c r="L229" s="8" t="n"/>
      <c r="M229" s="71">
        <f>L229</f>
        <v/>
      </c>
      <c r="N229" s="71" t="n"/>
      <c r="O229" s="101" t="n"/>
      <c r="P229" s="9">
        <f>I229-M229</f>
        <v/>
      </c>
      <c r="Q229" s="9">
        <f>IF(LEFT(B229,4)&lt;&gt;"    ",0,BN229)</f>
        <v/>
      </c>
      <c r="R229" s="9">
        <f>+P229-Q229</f>
        <v/>
      </c>
      <c r="S229" s="281" t="n"/>
      <c r="T229" s="10" t="n"/>
      <c r="U229" s="23">
        <f>IF(LEFT(B229,4)&lt;&gt;"    ","",IF(M229&lt;&gt;0,X229/M229,0))</f>
        <v/>
      </c>
      <c r="V229" s="11">
        <f>IF(LEFT(B229,4)&lt;&gt;"    ","",U229*I229)</f>
        <v/>
      </c>
      <c r="W229" s="11">
        <f>IF(LEFT(B229,4)&lt;&gt;"    ","",X229+Z229)</f>
        <v/>
      </c>
      <c r="X229" s="8" t="n"/>
      <c r="Y229" s="9">
        <f>IF(LEFT(B229,4)&lt;&gt;"    ",0,IF(P229&lt;0,P229,IF(U229&gt;0.3,W229-X229,0)))</f>
        <v/>
      </c>
      <c r="Z229" s="71">
        <f>Y229</f>
        <v/>
      </c>
      <c r="AA229" s="71" t="n"/>
      <c r="AB229" s="109" t="n"/>
      <c r="AC229" s="9">
        <f>IF(LEFT(B229,4)&lt;&gt;"    ",0,BK229)</f>
        <v/>
      </c>
      <c r="AD229" s="9">
        <f>Z229-AC229</f>
        <v/>
      </c>
      <c r="AE229" s="10" t="n"/>
      <c r="AF229" s="24" t="n"/>
      <c r="AG229" s="11" t="n"/>
      <c r="AH229" s="8" t="n"/>
      <c r="AI229" s="9">
        <f>IF(LEFT(B229,4)&lt;&gt;"    ","",AG229-AH229)</f>
        <v/>
      </c>
      <c r="AJ229" s="9" t="n"/>
      <c r="AK229" s="10" t="n"/>
      <c r="AL229" s="11">
        <f>IF(LEFT(B229,4)&lt;&gt;"    ","",W229-AG229)</f>
        <v/>
      </c>
      <c r="AM229" s="8">
        <f>IF(LEFT(B229,4)&lt;&gt;"    ","",X229-AH229)</f>
        <v/>
      </c>
      <c r="AN229" s="9">
        <f>IF(LEFT(B229,4)&lt;&gt;"    ","",Y229-AI229)</f>
        <v/>
      </c>
      <c r="AO229" s="9">
        <f>IF(LEFT(B229,4)&lt;&gt;"    ","",Z229-AJ229)</f>
        <v/>
      </c>
      <c r="AP229" s="10" t="n"/>
      <c r="AQ229" s="25">
        <f>IF(LEFT(B229,4)&lt;&gt;"    ","",I229-W229)</f>
        <v/>
      </c>
      <c r="AR229" s="25">
        <f>M229-X229</f>
        <v/>
      </c>
      <c r="AS229" s="25">
        <f>IF(LEFT(B229,4)&lt;&gt;"    ","",P229-Z229)</f>
        <v/>
      </c>
      <c r="AT229" s="10" t="n"/>
      <c r="AU229" s="12" t="n"/>
      <c r="AV229" s="12">
        <f>IF(LEFT(B229,4)&lt;&gt;"    ","",IF(W229-AU229&gt;=0,W229-AU229," "))</f>
        <v/>
      </c>
      <c r="AW229" s="12">
        <f>IF(LEFT(B229,4)&lt;&gt;"    ","",IF(AU229-W229&gt;=0,AU229-W229," "))</f>
        <v/>
      </c>
      <c r="AX229" s="186" t="n"/>
      <c r="AY229" s="187" t="n"/>
      <c r="AZ229" s="186" t="n"/>
      <c r="BA229" s="186" t="n"/>
      <c r="BB229" s="188" t="n"/>
      <c r="BC229" s="187" t="n"/>
      <c r="BD229" s="187" t="n"/>
      <c r="BE229" s="186" t="n"/>
      <c r="BF229" s="186" t="n"/>
      <c r="BG229" s="186" t="n"/>
      <c r="BH229" s="186" t="n"/>
      <c r="BI229" s="186" t="n"/>
      <c r="BJ229" s="186" t="n"/>
      <c r="BK229" s="186" t="n"/>
      <c r="BL229" s="186" t="n"/>
      <c r="BM229" s="186" t="n"/>
      <c r="BN229" s="186" t="n"/>
      <c r="BO229" s="186" t="n"/>
      <c r="BP229" s="186" t="n"/>
      <c r="BQ229" s="186" t="n"/>
      <c r="BR229" s="186" t="n"/>
      <c r="BS229" s="186" t="n"/>
      <c r="BT229" s="186" t="n"/>
      <c r="BU229" s="186" t="n"/>
      <c r="BV229" s="186" t="n"/>
      <c r="BW229" s="186" t="n"/>
      <c r="BX229" s="186" t="n"/>
      <c r="BY229" s="186" t="n"/>
      <c r="BZ229" s="186" t="n"/>
      <c r="CA229" s="186" t="n"/>
      <c r="CB229" s="186" t="n"/>
      <c r="CC229" s="190" t="n"/>
      <c r="CD229" s="186" t="n"/>
      <c r="CE229" s="186" t="n"/>
      <c r="CF229" s="186" t="n"/>
      <c r="CG229" s="186" t="n"/>
      <c r="CH229" s="186" t="n"/>
      <c r="CI229" s="191" t="n"/>
      <c r="CJ229" s="192" t="n"/>
      <c r="CK229" s="192" t="n"/>
      <c r="CL229" s="192" t="n"/>
      <c r="CM229" s="192" t="n"/>
    </row>
    <row r="230">
      <c r="A230" s="177" t="n"/>
      <c r="B230" s="178" t="n"/>
      <c r="C230" s="178" t="n"/>
      <c r="D230" s="179" t="n"/>
      <c r="E230" s="180" t="n"/>
      <c r="F230" s="181" t="n"/>
      <c r="G230" s="182" t="n"/>
      <c r="H230" s="105" t="n"/>
      <c r="I230" s="196">
        <f>F230</f>
        <v/>
      </c>
      <c r="J230" s="184" t="n"/>
      <c r="K230" s="185" t="n"/>
      <c r="L230" s="8" t="n"/>
      <c r="M230" s="71">
        <f>L230</f>
        <v/>
      </c>
      <c r="N230" s="71" t="n"/>
      <c r="O230" s="101" t="n"/>
      <c r="P230" s="9">
        <f>I230-M230</f>
        <v/>
      </c>
      <c r="Q230" s="9">
        <f>IF(LEFT(B230,4)&lt;&gt;"    ",0,BN230)</f>
        <v/>
      </c>
      <c r="R230" s="9">
        <f>+P230-Q230</f>
        <v/>
      </c>
      <c r="S230" s="281" t="n"/>
      <c r="T230" s="10" t="n"/>
      <c r="U230" s="23">
        <f>IF(LEFT(B230,4)&lt;&gt;"    ","",IF(M230&lt;&gt;0,X230/M230,0))</f>
        <v/>
      </c>
      <c r="V230" s="11">
        <f>IF(LEFT(B230,4)&lt;&gt;"    ","",U230*I230)</f>
        <v/>
      </c>
      <c r="W230" s="11">
        <f>IF(LEFT(B230,4)&lt;&gt;"    ","",X230+Z230)</f>
        <v/>
      </c>
      <c r="X230" s="8" t="n"/>
      <c r="Y230" s="9">
        <f>IF(LEFT(B230,4)&lt;&gt;"    ",0,IF(P230&lt;0,P230,IF(U230&gt;0.3,W230-X230,0)))</f>
        <v/>
      </c>
      <c r="Z230" s="71">
        <f>Y230</f>
        <v/>
      </c>
      <c r="AA230" s="71" t="n"/>
      <c r="AB230" s="109" t="n"/>
      <c r="AC230" s="9">
        <f>IF(LEFT(B230,4)&lt;&gt;"    ",0,BK230)</f>
        <v/>
      </c>
      <c r="AD230" s="9">
        <f>Z230-AC230</f>
        <v/>
      </c>
      <c r="AE230" s="10" t="n"/>
      <c r="AF230" s="24" t="n"/>
      <c r="AG230" s="11" t="n"/>
      <c r="AH230" s="8" t="n"/>
      <c r="AI230" s="9">
        <f>IF(LEFT(B230,4)&lt;&gt;"    ","",AG230-AH230)</f>
        <v/>
      </c>
      <c r="AJ230" s="9" t="n"/>
      <c r="AK230" s="10" t="n"/>
      <c r="AL230" s="11">
        <f>IF(LEFT(B230,4)&lt;&gt;"    ","",W230-AG230)</f>
        <v/>
      </c>
      <c r="AM230" s="8">
        <f>IF(LEFT(B230,4)&lt;&gt;"    ","",X230-AH230)</f>
        <v/>
      </c>
      <c r="AN230" s="9">
        <f>IF(LEFT(B230,4)&lt;&gt;"    ","",Y230-AI230)</f>
        <v/>
      </c>
      <c r="AO230" s="9">
        <f>IF(LEFT(B230,4)&lt;&gt;"    ","",Z230-AJ230)</f>
        <v/>
      </c>
      <c r="AP230" s="10" t="n"/>
      <c r="AQ230" s="25">
        <f>IF(LEFT(B230,4)&lt;&gt;"    ","",I230-W230)</f>
        <v/>
      </c>
      <c r="AR230" s="25">
        <f>M230-X230</f>
        <v/>
      </c>
      <c r="AS230" s="25">
        <f>IF(LEFT(B230,4)&lt;&gt;"    ","",P230-Z230)</f>
        <v/>
      </c>
      <c r="AT230" s="10" t="n"/>
      <c r="AU230" s="12" t="n"/>
      <c r="AV230" s="12">
        <f>IF(LEFT(B230,4)&lt;&gt;"    ","",IF(W230-AU230&gt;=0,W230-AU230," "))</f>
        <v/>
      </c>
      <c r="AW230" s="12">
        <f>IF(LEFT(B230,4)&lt;&gt;"    ","",IF(AU230-W230&gt;=0,AU230-W230," "))</f>
        <v/>
      </c>
      <c r="AX230" s="186" t="n"/>
      <c r="AY230" s="187" t="n"/>
      <c r="AZ230" s="186" t="n"/>
      <c r="BA230" s="186" t="n"/>
      <c r="BB230" s="188" t="n"/>
      <c r="BC230" s="187" t="n"/>
      <c r="BD230" s="187" t="n"/>
      <c r="BE230" s="186" t="n"/>
      <c r="BF230" s="186" t="n"/>
      <c r="BG230" s="186" t="n"/>
      <c r="BH230" s="186" t="n"/>
      <c r="BI230" s="186" t="n"/>
      <c r="BJ230" s="186" t="n"/>
      <c r="BK230" s="186" t="n"/>
      <c r="BL230" s="186" t="n"/>
      <c r="BM230" s="186" t="n"/>
      <c r="BN230" s="186" t="n"/>
      <c r="BO230" s="186" t="n"/>
      <c r="BP230" s="186" t="n"/>
      <c r="BQ230" s="186" t="n"/>
      <c r="BR230" s="186" t="n"/>
      <c r="BS230" s="186" t="n"/>
      <c r="BT230" s="186" t="n"/>
      <c r="BU230" s="186" t="n"/>
      <c r="BV230" s="186" t="n"/>
      <c r="BW230" s="186" t="n"/>
      <c r="BX230" s="186" t="n"/>
      <c r="BY230" s="186" t="n"/>
      <c r="BZ230" s="186" t="n"/>
      <c r="CA230" s="186" t="n"/>
      <c r="CB230" s="186" t="n"/>
      <c r="CC230" s="190" t="n"/>
      <c r="CD230" s="186" t="n"/>
      <c r="CE230" s="186" t="n"/>
      <c r="CF230" s="186" t="n"/>
      <c r="CG230" s="186" t="n"/>
      <c r="CH230" s="186" t="n"/>
      <c r="CI230" s="191" t="n"/>
      <c r="CJ230" s="192" t="n"/>
      <c r="CK230" s="192" t="n"/>
      <c r="CL230" s="192" t="n"/>
      <c r="CM230" s="192" t="n"/>
    </row>
    <row r="231">
      <c r="A231" s="177" t="n"/>
      <c r="B231" s="178" t="n"/>
      <c r="C231" s="178" t="n"/>
      <c r="D231" s="179" t="n"/>
      <c r="E231" s="180" t="n"/>
      <c r="F231" s="181" t="n"/>
      <c r="G231" s="182" t="n"/>
      <c r="H231" s="105" t="n"/>
      <c r="I231" s="196">
        <f>F231</f>
        <v/>
      </c>
      <c r="J231" s="184" t="n"/>
      <c r="K231" s="185" t="n"/>
      <c r="L231" s="8" t="n"/>
      <c r="M231" s="71">
        <f>L231</f>
        <v/>
      </c>
      <c r="N231" s="71" t="n"/>
      <c r="O231" s="101" t="n"/>
      <c r="P231" s="9">
        <f>I231-M231</f>
        <v/>
      </c>
      <c r="Q231" s="9">
        <f>IF(LEFT(B231,4)&lt;&gt;"    ",0,BN231)</f>
        <v/>
      </c>
      <c r="R231" s="9">
        <f>+P231-Q231</f>
        <v/>
      </c>
      <c r="S231" s="281" t="n"/>
      <c r="T231" s="10" t="n"/>
      <c r="U231" s="23">
        <f>IF(LEFT(B231,4)&lt;&gt;"    ","",IF(M231&lt;&gt;0,X231/M231,0))</f>
        <v/>
      </c>
      <c r="V231" s="11">
        <f>IF(LEFT(B231,4)&lt;&gt;"    ","",U231*I231)</f>
        <v/>
      </c>
      <c r="W231" s="11">
        <f>IF(LEFT(B231,4)&lt;&gt;"    ","",X231+Z231)</f>
        <v/>
      </c>
      <c r="X231" s="8" t="n"/>
      <c r="Y231" s="9">
        <f>IF(LEFT(B231,4)&lt;&gt;"    ",0,IF(P231&lt;0,P231,IF(U231&gt;0.3,W231-X231,0)))</f>
        <v/>
      </c>
      <c r="Z231" s="71">
        <f>Y231</f>
        <v/>
      </c>
      <c r="AA231" s="71" t="n"/>
      <c r="AB231" s="109" t="n"/>
      <c r="AC231" s="9">
        <f>IF(LEFT(B231,4)&lt;&gt;"    ",0,BK231)</f>
        <v/>
      </c>
      <c r="AD231" s="9">
        <f>Z231-AC231</f>
        <v/>
      </c>
      <c r="AE231" s="10" t="n"/>
      <c r="AF231" s="24" t="n"/>
      <c r="AG231" s="11" t="n"/>
      <c r="AH231" s="8" t="n"/>
      <c r="AI231" s="9">
        <f>IF(LEFT(B231,4)&lt;&gt;"    ","",AG231-AH231)</f>
        <v/>
      </c>
      <c r="AJ231" s="9" t="n"/>
      <c r="AK231" s="10" t="n"/>
      <c r="AL231" s="11">
        <f>IF(LEFT(B231,4)&lt;&gt;"    ","",W231-AG231)</f>
        <v/>
      </c>
      <c r="AM231" s="8">
        <f>IF(LEFT(B231,4)&lt;&gt;"    ","",X231-AH231)</f>
        <v/>
      </c>
      <c r="AN231" s="9">
        <f>IF(LEFT(B231,4)&lt;&gt;"    ","",Y231-AI231)</f>
        <v/>
      </c>
      <c r="AO231" s="9">
        <f>IF(LEFT(B231,4)&lt;&gt;"    ","",Z231-AJ231)</f>
        <v/>
      </c>
      <c r="AP231" s="10" t="n"/>
      <c r="AQ231" s="25">
        <f>IF(LEFT(B231,4)&lt;&gt;"    ","",I231-W231)</f>
        <v/>
      </c>
      <c r="AR231" s="25">
        <f>M231-X231</f>
        <v/>
      </c>
      <c r="AS231" s="25">
        <f>IF(LEFT(B231,4)&lt;&gt;"    ","",P231-Z231)</f>
        <v/>
      </c>
      <c r="AT231" s="10" t="n"/>
      <c r="AU231" s="12" t="n"/>
      <c r="AV231" s="12">
        <f>IF(LEFT(B231,4)&lt;&gt;"    ","",IF(W231-AU231&gt;=0,W231-AU231," "))</f>
        <v/>
      </c>
      <c r="AW231" s="12">
        <f>IF(LEFT(B231,4)&lt;&gt;"    ","",IF(AU231-W231&gt;=0,AU231-W231," "))</f>
        <v/>
      </c>
      <c r="AX231" s="186" t="n"/>
      <c r="AY231" s="187" t="n"/>
      <c r="AZ231" s="186" t="n"/>
      <c r="BA231" s="186" t="n"/>
      <c r="BB231" s="188" t="n"/>
      <c r="BC231" s="187" t="n"/>
      <c r="BD231" s="187" t="n"/>
      <c r="BE231" s="186" t="n"/>
      <c r="BF231" s="186" t="n"/>
      <c r="BG231" s="186" t="n"/>
      <c r="BH231" s="186" t="n"/>
      <c r="BI231" s="186" t="n"/>
      <c r="BJ231" s="186" t="n"/>
      <c r="BK231" s="186" t="n"/>
      <c r="BL231" s="186" t="n"/>
      <c r="BM231" s="186" t="n"/>
      <c r="BN231" s="186" t="n"/>
      <c r="BO231" s="186" t="n"/>
      <c r="BP231" s="186" t="n"/>
      <c r="BQ231" s="186" t="n"/>
      <c r="BR231" s="186" t="n"/>
      <c r="BS231" s="186" t="n"/>
      <c r="BT231" s="186" t="n"/>
      <c r="BU231" s="186" t="n"/>
      <c r="BV231" s="186" t="n"/>
      <c r="BW231" s="186" t="n"/>
      <c r="BX231" s="186" t="n"/>
      <c r="BY231" s="186" t="n"/>
      <c r="BZ231" s="186" t="n"/>
      <c r="CA231" s="186" t="n"/>
      <c r="CB231" s="186" t="n"/>
      <c r="CC231" s="190" t="n"/>
      <c r="CD231" s="186" t="n"/>
      <c r="CE231" s="186" t="n"/>
      <c r="CF231" s="186" t="n"/>
      <c r="CG231" s="186" t="n"/>
      <c r="CH231" s="186" t="n"/>
      <c r="CI231" s="191" t="n"/>
      <c r="CJ231" s="192" t="n"/>
      <c r="CK231" s="192" t="n"/>
      <c r="CL231" s="192" t="n"/>
      <c r="CM231" s="192" t="n"/>
    </row>
    <row r="232">
      <c r="A232" s="177" t="n"/>
      <c r="B232" s="178" t="n"/>
      <c r="C232" s="178" t="n"/>
      <c r="D232" s="179" t="n"/>
      <c r="E232" s="180" t="n"/>
      <c r="F232" s="181" t="n"/>
      <c r="G232" s="182" t="n"/>
      <c r="H232" s="105" t="n"/>
      <c r="I232" s="196">
        <f>F232</f>
        <v/>
      </c>
      <c r="J232" s="184" t="n"/>
      <c r="K232" s="185" t="n"/>
      <c r="L232" s="8" t="n"/>
      <c r="M232" s="71">
        <f>L232</f>
        <v/>
      </c>
      <c r="N232" s="71" t="n"/>
      <c r="O232" s="101" t="n"/>
      <c r="P232" s="9">
        <f>I232-M232</f>
        <v/>
      </c>
      <c r="Q232" s="9">
        <f>IF(LEFT(B232,4)&lt;&gt;"    ",0,BN232)</f>
        <v/>
      </c>
      <c r="R232" s="9">
        <f>+P232-Q232</f>
        <v/>
      </c>
      <c r="S232" s="281" t="n"/>
      <c r="T232" s="10" t="n"/>
      <c r="U232" s="23">
        <f>IF(LEFT(B232,4)&lt;&gt;"    ","",IF(M232&lt;&gt;0,X232/M232,0))</f>
        <v/>
      </c>
      <c r="V232" s="11">
        <f>IF(LEFT(B232,4)&lt;&gt;"    ","",U232*I232)</f>
        <v/>
      </c>
      <c r="W232" s="11">
        <f>IF(LEFT(B232,4)&lt;&gt;"    ","",X232+Z232)</f>
        <v/>
      </c>
      <c r="X232" s="8" t="n"/>
      <c r="Y232" s="9">
        <f>IF(LEFT(B232,4)&lt;&gt;"    ",0,IF(P232&lt;0,P232,IF(U232&gt;0.3,W232-X232,0)))</f>
        <v/>
      </c>
      <c r="Z232" s="71">
        <f>Y232</f>
        <v/>
      </c>
      <c r="AA232" s="71" t="n"/>
      <c r="AB232" s="109" t="n"/>
      <c r="AC232" s="9">
        <f>IF(LEFT(B232,4)&lt;&gt;"    ",0,BK232)</f>
        <v/>
      </c>
      <c r="AD232" s="9">
        <f>Z232-AC232</f>
        <v/>
      </c>
      <c r="AE232" s="10" t="n"/>
      <c r="AF232" s="24" t="n"/>
      <c r="AG232" s="11" t="n"/>
      <c r="AH232" s="8" t="n"/>
      <c r="AI232" s="9">
        <f>IF(LEFT(B232,4)&lt;&gt;"    ","",AG232-AH232)</f>
        <v/>
      </c>
      <c r="AJ232" s="9" t="n"/>
      <c r="AK232" s="10" t="n"/>
      <c r="AL232" s="11">
        <f>IF(LEFT(B232,4)&lt;&gt;"    ","",W232-AG232)</f>
        <v/>
      </c>
      <c r="AM232" s="8">
        <f>IF(LEFT(B232,4)&lt;&gt;"    ","",X232-AH232)</f>
        <v/>
      </c>
      <c r="AN232" s="9">
        <f>IF(LEFT(B232,4)&lt;&gt;"    ","",Y232-AI232)</f>
        <v/>
      </c>
      <c r="AO232" s="9">
        <f>IF(LEFT(B232,4)&lt;&gt;"    ","",Z232-AJ232)</f>
        <v/>
      </c>
      <c r="AP232" s="10" t="n"/>
      <c r="AQ232" s="25">
        <f>IF(LEFT(B232,4)&lt;&gt;"    ","",I232-W232)</f>
        <v/>
      </c>
      <c r="AR232" s="25">
        <f>M232-X232</f>
        <v/>
      </c>
      <c r="AS232" s="25">
        <f>IF(LEFT(B232,4)&lt;&gt;"    ","",P232-Z232)</f>
        <v/>
      </c>
      <c r="AT232" s="10" t="n"/>
      <c r="AU232" s="12" t="n"/>
      <c r="AV232" s="12">
        <f>IF(LEFT(B232,4)&lt;&gt;"    ","",IF(W232-AU232&gt;=0,W232-AU232," "))</f>
        <v/>
      </c>
      <c r="AW232" s="12">
        <f>IF(LEFT(B232,4)&lt;&gt;"    ","",IF(AU232-W232&gt;=0,AU232-W232," "))</f>
        <v/>
      </c>
      <c r="AX232" s="186" t="n"/>
      <c r="AY232" s="187" t="n"/>
      <c r="AZ232" s="186" t="n"/>
      <c r="BA232" s="186" t="n"/>
      <c r="BB232" s="188" t="n"/>
      <c r="BC232" s="187" t="n"/>
      <c r="BD232" s="187" t="n"/>
      <c r="BE232" s="186" t="n"/>
      <c r="BF232" s="186" t="n"/>
      <c r="BG232" s="186" t="n"/>
      <c r="BH232" s="186" t="n"/>
      <c r="BI232" s="186" t="n"/>
      <c r="BJ232" s="186" t="n"/>
      <c r="BK232" s="186" t="n"/>
      <c r="BL232" s="186" t="n"/>
      <c r="BM232" s="186" t="n"/>
      <c r="BN232" s="186" t="n"/>
      <c r="BO232" s="186" t="n"/>
      <c r="BP232" s="186" t="n"/>
      <c r="BQ232" s="186" t="n"/>
      <c r="BR232" s="186" t="n"/>
      <c r="BS232" s="186" t="n"/>
      <c r="BT232" s="186" t="n"/>
      <c r="BU232" s="186" t="n"/>
      <c r="BV232" s="186" t="n"/>
      <c r="BW232" s="186" t="n"/>
      <c r="BX232" s="186" t="n"/>
      <c r="BY232" s="186" t="n"/>
      <c r="BZ232" s="186" t="n"/>
      <c r="CA232" s="186" t="n"/>
      <c r="CB232" s="186" t="n"/>
      <c r="CC232" s="190" t="n"/>
      <c r="CD232" s="186" t="n"/>
      <c r="CE232" s="186" t="n"/>
      <c r="CF232" s="186" t="n"/>
      <c r="CG232" s="186" t="n"/>
      <c r="CH232" s="186" t="n"/>
      <c r="CI232" s="191" t="n"/>
      <c r="CJ232" s="192" t="n"/>
      <c r="CK232" s="192" t="n"/>
      <c r="CL232" s="192" t="n"/>
      <c r="CM232" s="192" t="n"/>
    </row>
    <row r="233">
      <c r="A233" s="177" t="n"/>
      <c r="B233" s="178" t="n"/>
      <c r="C233" s="178" t="n"/>
      <c r="D233" s="179" t="n"/>
      <c r="E233" s="180" t="n"/>
      <c r="F233" s="181" t="n"/>
      <c r="G233" s="182" t="n"/>
      <c r="H233" s="105" t="n"/>
      <c r="I233" s="196">
        <f>F233</f>
        <v/>
      </c>
      <c r="J233" s="184" t="n"/>
      <c r="K233" s="185" t="n"/>
      <c r="L233" s="8" t="n"/>
      <c r="M233" s="71">
        <f>L233</f>
        <v/>
      </c>
      <c r="N233" s="71" t="n"/>
      <c r="O233" s="101" t="n"/>
      <c r="P233" s="9">
        <f>I233-M233</f>
        <v/>
      </c>
      <c r="Q233" s="9">
        <f>IF(LEFT(B233,4)&lt;&gt;"    ",0,BN233)</f>
        <v/>
      </c>
      <c r="R233" s="9">
        <f>+P233-Q233</f>
        <v/>
      </c>
      <c r="S233" s="281" t="n"/>
      <c r="T233" s="10" t="n"/>
      <c r="U233" s="23">
        <f>IF(LEFT(B233,4)&lt;&gt;"    ","",IF(M233&lt;&gt;0,X233/M233,0))</f>
        <v/>
      </c>
      <c r="V233" s="11">
        <f>IF(LEFT(B233,4)&lt;&gt;"    ","",U233*I233)</f>
        <v/>
      </c>
      <c r="W233" s="11">
        <f>IF(LEFT(B233,4)&lt;&gt;"    ","",X233+Z233)</f>
        <v/>
      </c>
      <c r="X233" s="8" t="n"/>
      <c r="Y233" s="9">
        <f>IF(LEFT(B233,4)&lt;&gt;"    ",0,IF(P233&lt;0,P233,IF(U233&gt;0.3,W233-X233,0)))</f>
        <v/>
      </c>
      <c r="Z233" s="71">
        <f>Y233</f>
        <v/>
      </c>
      <c r="AA233" s="71" t="n"/>
      <c r="AB233" s="109" t="n"/>
      <c r="AC233" s="9">
        <f>IF(LEFT(B233,4)&lt;&gt;"    ",0,BK233)</f>
        <v/>
      </c>
      <c r="AD233" s="9">
        <f>Z233-AC233</f>
        <v/>
      </c>
      <c r="AE233" s="10" t="n"/>
      <c r="AF233" s="24" t="n"/>
      <c r="AG233" s="11" t="n"/>
      <c r="AH233" s="8" t="n"/>
      <c r="AI233" s="9">
        <f>IF(LEFT(B233,4)&lt;&gt;"    ","",AG233-AH233)</f>
        <v/>
      </c>
      <c r="AJ233" s="9" t="n"/>
      <c r="AK233" s="10" t="n"/>
      <c r="AL233" s="11">
        <f>IF(LEFT(B233,4)&lt;&gt;"    ","",W233-AG233)</f>
        <v/>
      </c>
      <c r="AM233" s="8">
        <f>IF(LEFT(B233,4)&lt;&gt;"    ","",X233-AH233)</f>
        <v/>
      </c>
      <c r="AN233" s="9">
        <f>IF(LEFT(B233,4)&lt;&gt;"    ","",Y233-AI233)</f>
        <v/>
      </c>
      <c r="AO233" s="9">
        <f>IF(LEFT(B233,4)&lt;&gt;"    ","",Z233-AJ233)</f>
        <v/>
      </c>
      <c r="AP233" s="10" t="n"/>
      <c r="AQ233" s="25">
        <f>IF(LEFT(B233,4)&lt;&gt;"    ","",I233-W233)</f>
        <v/>
      </c>
      <c r="AR233" s="25">
        <f>M233-X233</f>
        <v/>
      </c>
      <c r="AS233" s="25">
        <f>IF(LEFT(B233,4)&lt;&gt;"    ","",P233-Z233)</f>
        <v/>
      </c>
      <c r="AT233" s="10" t="n"/>
      <c r="AU233" s="12" t="n"/>
      <c r="AV233" s="12">
        <f>IF(LEFT(B233,4)&lt;&gt;"    ","",IF(W233-AU233&gt;=0,W233-AU233," "))</f>
        <v/>
      </c>
      <c r="AW233" s="12">
        <f>IF(LEFT(B233,4)&lt;&gt;"    ","",IF(AU233-W233&gt;=0,AU233-W233," "))</f>
        <v/>
      </c>
      <c r="AX233" s="186" t="n"/>
      <c r="AY233" s="187" t="n"/>
      <c r="AZ233" s="186" t="n"/>
      <c r="BA233" s="186" t="n"/>
      <c r="BB233" s="188" t="n"/>
      <c r="BC233" s="187" t="n"/>
      <c r="BD233" s="187" t="n"/>
      <c r="BE233" s="186" t="n"/>
      <c r="BF233" s="186" t="n"/>
      <c r="BG233" s="186" t="n"/>
      <c r="BH233" s="186" t="n"/>
      <c r="BI233" s="186" t="n"/>
      <c r="BJ233" s="186" t="n"/>
      <c r="BK233" s="186" t="n"/>
      <c r="BL233" s="186" t="n"/>
      <c r="BM233" s="186" t="n"/>
      <c r="BN233" s="186" t="n"/>
      <c r="BO233" s="186" t="n"/>
      <c r="BP233" s="186" t="n"/>
      <c r="BQ233" s="186" t="n"/>
      <c r="BR233" s="186" t="n"/>
      <c r="BS233" s="186" t="n"/>
      <c r="BT233" s="186" t="n"/>
      <c r="BU233" s="186" t="n"/>
      <c r="BV233" s="186" t="n"/>
      <c r="BW233" s="186" t="n"/>
      <c r="BX233" s="186" t="n"/>
      <c r="BY233" s="186" t="n"/>
      <c r="BZ233" s="186" t="n"/>
      <c r="CA233" s="186" t="n"/>
      <c r="CB233" s="186" t="n"/>
      <c r="CC233" s="190" t="n"/>
      <c r="CD233" s="186" t="n"/>
      <c r="CE233" s="186" t="n"/>
      <c r="CF233" s="186" t="n"/>
      <c r="CG233" s="186" t="n"/>
      <c r="CH233" s="186" t="n"/>
      <c r="CI233" s="191" t="n"/>
      <c r="CJ233" s="192" t="n"/>
      <c r="CK233" s="192" t="n"/>
      <c r="CL233" s="192" t="n"/>
      <c r="CM233" s="192" t="n"/>
    </row>
    <row r="234">
      <c r="A234" s="177" t="n"/>
      <c r="B234" s="178" t="n"/>
      <c r="C234" s="178" t="n"/>
      <c r="D234" s="179" t="n"/>
      <c r="E234" s="180" t="n"/>
      <c r="F234" s="181" t="n"/>
      <c r="G234" s="182" t="n"/>
      <c r="H234" s="105" t="n"/>
      <c r="I234" s="196">
        <f>F234</f>
        <v/>
      </c>
      <c r="J234" s="184" t="n"/>
      <c r="K234" s="185" t="n"/>
      <c r="L234" s="8" t="n"/>
      <c r="M234" s="71">
        <f>L234</f>
        <v/>
      </c>
      <c r="N234" s="71" t="n"/>
      <c r="O234" s="101" t="n"/>
      <c r="P234" s="9">
        <f>I234-M234</f>
        <v/>
      </c>
      <c r="Q234" s="9">
        <f>IF(LEFT(B234,4)&lt;&gt;"    ",0,BN234)</f>
        <v/>
      </c>
      <c r="R234" s="9">
        <f>+P234-Q234</f>
        <v/>
      </c>
      <c r="S234" s="281" t="n"/>
      <c r="T234" s="10" t="n"/>
      <c r="U234" s="23">
        <f>IF(LEFT(B234,4)&lt;&gt;"    ","",IF(M234&lt;&gt;0,X234/M234,0))</f>
        <v/>
      </c>
      <c r="V234" s="11">
        <f>IF(LEFT(B234,4)&lt;&gt;"    ","",U234*I234)</f>
        <v/>
      </c>
      <c r="W234" s="11">
        <f>IF(LEFT(B234,4)&lt;&gt;"    ","",X234+Z234)</f>
        <v/>
      </c>
      <c r="X234" s="8" t="n"/>
      <c r="Y234" s="9">
        <f>IF(LEFT(B234,4)&lt;&gt;"    ",0,IF(P234&lt;0,P234,IF(U234&gt;0.3,W234-X234,0)))</f>
        <v/>
      </c>
      <c r="Z234" s="71">
        <f>Y234</f>
        <v/>
      </c>
      <c r="AA234" s="71" t="n"/>
      <c r="AB234" s="109" t="n"/>
      <c r="AC234" s="9">
        <f>IF(LEFT(B234,4)&lt;&gt;"    ",0,BK234)</f>
        <v/>
      </c>
      <c r="AD234" s="9">
        <f>Z234-AC234</f>
        <v/>
      </c>
      <c r="AE234" s="10" t="n"/>
      <c r="AF234" s="24" t="n"/>
      <c r="AG234" s="11" t="n"/>
      <c r="AH234" s="8" t="n"/>
      <c r="AI234" s="9">
        <f>IF(LEFT(B234,4)&lt;&gt;"    ","",AG234-AH234)</f>
        <v/>
      </c>
      <c r="AJ234" s="9" t="n"/>
      <c r="AK234" s="10" t="n"/>
      <c r="AL234" s="11">
        <f>IF(LEFT(B234,4)&lt;&gt;"    ","",W234-AG234)</f>
        <v/>
      </c>
      <c r="AM234" s="8">
        <f>IF(LEFT(B234,4)&lt;&gt;"    ","",X234-AH234)</f>
        <v/>
      </c>
      <c r="AN234" s="9">
        <f>IF(LEFT(B234,4)&lt;&gt;"    ","",Y234-AI234)</f>
        <v/>
      </c>
      <c r="AO234" s="9">
        <f>IF(LEFT(B234,4)&lt;&gt;"    ","",Z234-AJ234)</f>
        <v/>
      </c>
      <c r="AP234" s="10" t="n"/>
      <c r="AQ234" s="25">
        <f>IF(LEFT(B234,4)&lt;&gt;"    ","",I234-W234)</f>
        <v/>
      </c>
      <c r="AR234" s="25">
        <f>M234-X234</f>
        <v/>
      </c>
      <c r="AS234" s="25">
        <f>IF(LEFT(B234,4)&lt;&gt;"    ","",P234-Z234)</f>
        <v/>
      </c>
      <c r="AT234" s="10" t="n"/>
      <c r="AU234" s="12" t="n"/>
      <c r="AV234" s="12">
        <f>IF(LEFT(B234,4)&lt;&gt;"    ","",IF(W234-AU234&gt;=0,W234-AU234," "))</f>
        <v/>
      </c>
      <c r="AW234" s="12">
        <f>IF(LEFT(B234,4)&lt;&gt;"    ","",IF(AU234-W234&gt;=0,AU234-W234," "))</f>
        <v/>
      </c>
      <c r="AX234" s="186" t="n"/>
      <c r="AY234" s="187" t="n"/>
      <c r="AZ234" s="186" t="n"/>
      <c r="BA234" s="186" t="n"/>
      <c r="BB234" s="188" t="n"/>
      <c r="BC234" s="187" t="n"/>
      <c r="BD234" s="187" t="n"/>
      <c r="BE234" s="186" t="n"/>
      <c r="BF234" s="186" t="n"/>
      <c r="BG234" s="186" t="n"/>
      <c r="BH234" s="186" t="n"/>
      <c r="BI234" s="186" t="n"/>
      <c r="BJ234" s="186" t="n"/>
      <c r="BK234" s="186" t="n"/>
      <c r="BL234" s="186" t="n"/>
      <c r="BM234" s="186" t="n"/>
      <c r="BN234" s="186" t="n"/>
      <c r="BO234" s="186" t="n"/>
      <c r="BP234" s="186" t="n"/>
      <c r="BQ234" s="186" t="n"/>
      <c r="BR234" s="186" t="n"/>
      <c r="BS234" s="186" t="n"/>
      <c r="BT234" s="186" t="n"/>
      <c r="BU234" s="186" t="n"/>
      <c r="BV234" s="186" t="n"/>
      <c r="BW234" s="186" t="n"/>
      <c r="BX234" s="186" t="n"/>
      <c r="BY234" s="186" t="n"/>
      <c r="BZ234" s="186" t="n"/>
      <c r="CA234" s="186" t="n"/>
      <c r="CB234" s="186" t="n"/>
      <c r="CC234" s="190" t="n"/>
      <c r="CD234" s="186" t="n"/>
      <c r="CE234" s="186" t="n"/>
      <c r="CF234" s="186" t="n"/>
      <c r="CG234" s="186" t="n"/>
      <c r="CH234" s="186" t="n"/>
      <c r="CI234" s="191" t="n"/>
      <c r="CJ234" s="192" t="n"/>
      <c r="CK234" s="192" t="n"/>
      <c r="CL234" s="192" t="n"/>
      <c r="CM234" s="192" t="n"/>
    </row>
    <row r="235">
      <c r="A235" s="177" t="n"/>
      <c r="B235" s="178" t="n"/>
      <c r="C235" s="178" t="n"/>
      <c r="D235" s="179" t="n"/>
      <c r="E235" s="180" t="n"/>
      <c r="F235" s="181" t="n"/>
      <c r="G235" s="182" t="n"/>
      <c r="H235" s="105" t="n"/>
      <c r="I235" s="196">
        <f>F235</f>
        <v/>
      </c>
      <c r="J235" s="184" t="n"/>
      <c r="K235" s="185" t="n"/>
      <c r="L235" s="8" t="n"/>
      <c r="M235" s="71">
        <f>L235</f>
        <v/>
      </c>
      <c r="N235" s="71" t="n"/>
      <c r="O235" s="101" t="n"/>
      <c r="P235" s="9">
        <f>I235-M235</f>
        <v/>
      </c>
      <c r="Q235" s="9">
        <f>IF(LEFT(B235,4)&lt;&gt;"    ",0,BN235)</f>
        <v/>
      </c>
      <c r="R235" s="9">
        <f>+P235-Q235</f>
        <v/>
      </c>
      <c r="S235" s="281" t="n"/>
      <c r="T235" s="10" t="n"/>
      <c r="U235" s="23">
        <f>IF(LEFT(B235,4)&lt;&gt;"    ","",IF(M235&lt;&gt;0,X235/M235,0))</f>
        <v/>
      </c>
      <c r="V235" s="11">
        <f>IF(LEFT(B235,4)&lt;&gt;"    ","",U235*I235)</f>
        <v/>
      </c>
      <c r="W235" s="11">
        <f>IF(LEFT(B235,4)&lt;&gt;"    ","",X235+Z235)</f>
        <v/>
      </c>
      <c r="X235" s="8" t="n"/>
      <c r="Y235" s="9">
        <f>IF(LEFT(B235,4)&lt;&gt;"    ",0,IF(P235&lt;0,P235,IF(U235&gt;0.3,W235-X235,0)))</f>
        <v/>
      </c>
      <c r="Z235" s="71">
        <f>Y235</f>
        <v/>
      </c>
      <c r="AA235" s="71" t="n"/>
      <c r="AB235" s="109" t="n"/>
      <c r="AC235" s="9">
        <f>IF(LEFT(B235,4)&lt;&gt;"    ",0,BK235)</f>
        <v/>
      </c>
      <c r="AD235" s="9">
        <f>Z235-AC235</f>
        <v/>
      </c>
      <c r="AE235" s="10" t="n"/>
      <c r="AF235" s="24" t="n"/>
      <c r="AG235" s="11" t="n"/>
      <c r="AH235" s="8" t="n"/>
      <c r="AI235" s="9">
        <f>IF(LEFT(B235,4)&lt;&gt;"    ","",AG235-AH235)</f>
        <v/>
      </c>
      <c r="AJ235" s="9" t="n"/>
      <c r="AK235" s="10" t="n"/>
      <c r="AL235" s="11">
        <f>IF(LEFT(B235,4)&lt;&gt;"    ","",W235-AG235)</f>
        <v/>
      </c>
      <c r="AM235" s="8">
        <f>IF(LEFT(B235,4)&lt;&gt;"    ","",X235-AH235)</f>
        <v/>
      </c>
      <c r="AN235" s="9">
        <f>IF(LEFT(B235,4)&lt;&gt;"    ","",Y235-AI235)</f>
        <v/>
      </c>
      <c r="AO235" s="9">
        <f>IF(LEFT(B235,4)&lt;&gt;"    ","",Z235-AJ235)</f>
        <v/>
      </c>
      <c r="AP235" s="10" t="n"/>
      <c r="AQ235" s="25">
        <f>IF(LEFT(B235,4)&lt;&gt;"    ","",I235-W235)</f>
        <v/>
      </c>
      <c r="AR235" s="25">
        <f>M235-X235</f>
        <v/>
      </c>
      <c r="AS235" s="25">
        <f>IF(LEFT(B235,4)&lt;&gt;"    ","",P235-Z235)</f>
        <v/>
      </c>
      <c r="AT235" s="10" t="n"/>
      <c r="AU235" s="12" t="n"/>
      <c r="AV235" s="12">
        <f>IF(LEFT(B235,4)&lt;&gt;"    ","",IF(W235-AU235&gt;=0,W235-AU235," "))</f>
        <v/>
      </c>
      <c r="AW235" s="12">
        <f>IF(LEFT(B235,4)&lt;&gt;"    ","",IF(AU235-W235&gt;=0,AU235-W235," "))</f>
        <v/>
      </c>
      <c r="AX235" s="186" t="n"/>
      <c r="AY235" s="187" t="n"/>
      <c r="AZ235" s="186" t="n"/>
      <c r="BA235" s="186" t="n"/>
      <c r="BB235" s="188" t="n"/>
      <c r="BC235" s="187" t="n"/>
      <c r="BD235" s="187" t="n"/>
      <c r="BE235" s="186" t="n"/>
      <c r="BF235" s="186" t="n"/>
      <c r="BG235" s="186" t="n"/>
      <c r="BH235" s="186" t="n"/>
      <c r="BI235" s="186" t="n"/>
      <c r="BJ235" s="186" t="n"/>
      <c r="BK235" s="186" t="n"/>
      <c r="BL235" s="186" t="n"/>
      <c r="BM235" s="186" t="n"/>
      <c r="BN235" s="186" t="n"/>
      <c r="BO235" s="186" t="n"/>
      <c r="BP235" s="186" t="n"/>
      <c r="BQ235" s="186" t="n"/>
      <c r="BR235" s="186" t="n"/>
      <c r="BS235" s="186" t="n"/>
      <c r="BT235" s="186" t="n"/>
      <c r="BU235" s="186" t="n"/>
      <c r="BV235" s="186" t="n"/>
      <c r="BW235" s="186" t="n"/>
      <c r="BX235" s="186" t="n"/>
      <c r="BY235" s="186" t="n"/>
      <c r="BZ235" s="186" t="n"/>
      <c r="CA235" s="186" t="n"/>
      <c r="CB235" s="186" t="n"/>
      <c r="CC235" s="190" t="n"/>
      <c r="CD235" s="186" t="n"/>
      <c r="CE235" s="186" t="n"/>
      <c r="CF235" s="186" t="n"/>
      <c r="CG235" s="186" t="n"/>
      <c r="CH235" s="186" t="n"/>
      <c r="CI235" s="191" t="n"/>
      <c r="CJ235" s="192" t="n"/>
      <c r="CK235" s="192" t="n"/>
      <c r="CL235" s="192" t="n"/>
      <c r="CM235" s="192" t="n"/>
    </row>
    <row r="236">
      <c r="A236" s="177" t="n"/>
      <c r="B236" s="178" t="n"/>
      <c r="C236" s="178" t="n"/>
      <c r="D236" s="179" t="n"/>
      <c r="E236" s="180" t="n"/>
      <c r="F236" s="181" t="n"/>
      <c r="G236" s="182" t="n"/>
      <c r="H236" s="105" t="n"/>
      <c r="I236" s="196">
        <f>F236</f>
        <v/>
      </c>
      <c r="J236" s="184" t="n"/>
      <c r="K236" s="185" t="n"/>
      <c r="L236" s="8" t="n"/>
      <c r="M236" s="71">
        <f>L236</f>
        <v/>
      </c>
      <c r="N236" s="71" t="n"/>
      <c r="O236" s="101" t="n"/>
      <c r="P236" s="9">
        <f>I236-M236</f>
        <v/>
      </c>
      <c r="Q236" s="9">
        <f>IF(LEFT(B236,4)&lt;&gt;"    ",0,BN236)</f>
        <v/>
      </c>
      <c r="R236" s="9">
        <f>+P236-Q236</f>
        <v/>
      </c>
      <c r="S236" s="281" t="n"/>
      <c r="T236" s="10" t="n"/>
      <c r="U236" s="23">
        <f>IF(LEFT(B236,4)&lt;&gt;"    ","",IF(M236&lt;&gt;0,X236/M236,0))</f>
        <v/>
      </c>
      <c r="V236" s="11">
        <f>IF(LEFT(B236,4)&lt;&gt;"    ","",U236*I236)</f>
        <v/>
      </c>
      <c r="W236" s="11">
        <f>IF(LEFT(B236,4)&lt;&gt;"    ","",X236+Z236)</f>
        <v/>
      </c>
      <c r="X236" s="8" t="n"/>
      <c r="Y236" s="9">
        <f>IF(LEFT(B236,4)&lt;&gt;"    ",0,IF(P236&lt;0,P236,IF(U236&gt;0.3,W236-X236,0)))</f>
        <v/>
      </c>
      <c r="Z236" s="71">
        <f>Y236</f>
        <v/>
      </c>
      <c r="AA236" s="71" t="n"/>
      <c r="AB236" s="109" t="n"/>
      <c r="AC236" s="9">
        <f>IF(LEFT(B236,4)&lt;&gt;"    ",0,BK236)</f>
        <v/>
      </c>
      <c r="AD236" s="9">
        <f>Z236-AC236</f>
        <v/>
      </c>
      <c r="AE236" s="10" t="n"/>
      <c r="AF236" s="24" t="n"/>
      <c r="AG236" s="11" t="n"/>
      <c r="AH236" s="8" t="n"/>
      <c r="AI236" s="9">
        <f>IF(LEFT(B236,4)&lt;&gt;"    ","",AG236-AH236)</f>
        <v/>
      </c>
      <c r="AJ236" s="9" t="n"/>
      <c r="AK236" s="10" t="n"/>
      <c r="AL236" s="11">
        <f>IF(LEFT(B236,4)&lt;&gt;"    ","",W236-AG236)</f>
        <v/>
      </c>
      <c r="AM236" s="8">
        <f>IF(LEFT(B236,4)&lt;&gt;"    ","",X236-AH236)</f>
        <v/>
      </c>
      <c r="AN236" s="9">
        <f>IF(LEFT(B236,4)&lt;&gt;"    ","",Y236-AI236)</f>
        <v/>
      </c>
      <c r="AO236" s="9">
        <f>IF(LEFT(B236,4)&lt;&gt;"    ","",Z236-AJ236)</f>
        <v/>
      </c>
      <c r="AP236" s="10" t="n"/>
      <c r="AQ236" s="25">
        <f>IF(LEFT(B236,4)&lt;&gt;"    ","",I236-W236)</f>
        <v/>
      </c>
      <c r="AR236" s="25">
        <f>M236-X236</f>
        <v/>
      </c>
      <c r="AS236" s="25">
        <f>IF(LEFT(B236,4)&lt;&gt;"    ","",P236-Z236)</f>
        <v/>
      </c>
      <c r="AT236" s="10" t="n"/>
      <c r="AU236" s="12" t="n"/>
      <c r="AV236" s="12">
        <f>IF(LEFT(B236,4)&lt;&gt;"    ","",IF(W236-AU236&gt;=0,W236-AU236," "))</f>
        <v/>
      </c>
      <c r="AW236" s="12">
        <f>IF(LEFT(B236,4)&lt;&gt;"    ","",IF(AU236-W236&gt;=0,AU236-W236," "))</f>
        <v/>
      </c>
      <c r="AX236" s="186" t="n"/>
      <c r="AY236" s="187" t="n"/>
      <c r="AZ236" s="186" t="n"/>
      <c r="BA236" s="186" t="n"/>
      <c r="BB236" s="188" t="n"/>
      <c r="BC236" s="187" t="n"/>
      <c r="BD236" s="187" t="n"/>
      <c r="BE236" s="186" t="n"/>
      <c r="BF236" s="186" t="n"/>
      <c r="BG236" s="186" t="n"/>
      <c r="BH236" s="186" t="n"/>
      <c r="BI236" s="186" t="n"/>
      <c r="BJ236" s="186" t="n"/>
      <c r="BK236" s="186" t="n"/>
      <c r="BL236" s="186" t="n"/>
      <c r="BM236" s="186" t="n"/>
      <c r="BN236" s="186" t="n"/>
      <c r="BO236" s="186" t="n"/>
      <c r="BP236" s="186" t="n"/>
      <c r="BQ236" s="186" t="n"/>
      <c r="BR236" s="186" t="n"/>
      <c r="BS236" s="186" t="n"/>
      <c r="BT236" s="186" t="n"/>
      <c r="BU236" s="186" t="n"/>
      <c r="BV236" s="186" t="n"/>
      <c r="BW236" s="186" t="n"/>
      <c r="BX236" s="186" t="n"/>
      <c r="BY236" s="186" t="n"/>
      <c r="BZ236" s="186" t="n"/>
      <c r="CA236" s="186" t="n"/>
      <c r="CB236" s="186" t="n"/>
      <c r="CC236" s="190" t="n"/>
      <c r="CD236" s="186" t="n"/>
      <c r="CE236" s="186" t="n"/>
      <c r="CF236" s="186" t="n"/>
      <c r="CG236" s="186" t="n"/>
      <c r="CH236" s="186" t="n"/>
      <c r="CI236" s="191" t="n"/>
      <c r="CJ236" s="192" t="n"/>
      <c r="CK236" s="192" t="n"/>
      <c r="CL236" s="192" t="n"/>
      <c r="CM236" s="192" t="n"/>
    </row>
    <row r="237">
      <c r="A237" s="177" t="n"/>
      <c r="B237" s="178" t="n"/>
      <c r="C237" s="178" t="n"/>
      <c r="D237" s="179" t="n"/>
      <c r="E237" s="180" t="n"/>
      <c r="F237" s="181" t="n"/>
      <c r="G237" s="182" t="n"/>
      <c r="H237" s="105" t="n"/>
      <c r="I237" s="196">
        <f>F237</f>
        <v/>
      </c>
      <c r="J237" s="184" t="n"/>
      <c r="K237" s="185" t="n"/>
      <c r="L237" s="8" t="n"/>
      <c r="M237" s="71">
        <f>L237</f>
        <v/>
      </c>
      <c r="N237" s="71" t="n"/>
      <c r="O237" s="101" t="n"/>
      <c r="P237" s="9">
        <f>I237-M237</f>
        <v/>
      </c>
      <c r="Q237" s="9">
        <f>IF(LEFT(B237,4)&lt;&gt;"    ",0,BN237)</f>
        <v/>
      </c>
      <c r="R237" s="9">
        <f>+P237-Q237</f>
        <v/>
      </c>
      <c r="S237" s="281" t="n"/>
      <c r="T237" s="10" t="n"/>
      <c r="U237" s="23">
        <f>IF(LEFT(B237,4)&lt;&gt;"    ","",IF(M237&lt;&gt;0,X237/M237,0))</f>
        <v/>
      </c>
      <c r="V237" s="11">
        <f>IF(LEFT(B237,4)&lt;&gt;"    ","",U237*I237)</f>
        <v/>
      </c>
      <c r="W237" s="11">
        <f>IF(LEFT(B237,4)&lt;&gt;"    ","",X237+Z237)</f>
        <v/>
      </c>
      <c r="X237" s="8" t="n"/>
      <c r="Y237" s="9">
        <f>IF(LEFT(B237,4)&lt;&gt;"    ",0,IF(P237&lt;0,P237,IF(U237&gt;0.3,W237-X237,0)))</f>
        <v/>
      </c>
      <c r="Z237" s="71">
        <f>Y237</f>
        <v/>
      </c>
      <c r="AA237" s="71" t="n"/>
      <c r="AB237" s="109" t="n"/>
      <c r="AC237" s="9">
        <f>IF(LEFT(B237,4)&lt;&gt;"    ",0,BK237)</f>
        <v/>
      </c>
      <c r="AD237" s="9">
        <f>Z237-AC237</f>
        <v/>
      </c>
      <c r="AE237" s="10" t="n"/>
      <c r="AF237" s="24" t="n"/>
      <c r="AG237" s="11" t="n"/>
      <c r="AH237" s="8" t="n"/>
      <c r="AI237" s="9">
        <f>IF(LEFT(B237,4)&lt;&gt;"    ","",AG237-AH237)</f>
        <v/>
      </c>
      <c r="AJ237" s="9" t="n"/>
      <c r="AK237" s="10" t="n"/>
      <c r="AL237" s="11">
        <f>IF(LEFT(B237,4)&lt;&gt;"    ","",W237-AG237)</f>
        <v/>
      </c>
      <c r="AM237" s="8">
        <f>IF(LEFT(B237,4)&lt;&gt;"    ","",X237-AH237)</f>
        <v/>
      </c>
      <c r="AN237" s="9">
        <f>IF(LEFT(B237,4)&lt;&gt;"    ","",Y237-AI237)</f>
        <v/>
      </c>
      <c r="AO237" s="9">
        <f>IF(LEFT(B237,4)&lt;&gt;"    ","",Z237-AJ237)</f>
        <v/>
      </c>
      <c r="AP237" s="10" t="n"/>
      <c r="AQ237" s="25">
        <f>IF(LEFT(B237,4)&lt;&gt;"    ","",I237-W237)</f>
        <v/>
      </c>
      <c r="AR237" s="25">
        <f>M237-X237</f>
        <v/>
      </c>
      <c r="AS237" s="25">
        <f>IF(LEFT(B237,4)&lt;&gt;"    ","",P237-Z237)</f>
        <v/>
      </c>
      <c r="AT237" s="10" t="n"/>
      <c r="AU237" s="12" t="n"/>
      <c r="AV237" s="12">
        <f>IF(LEFT(B237,4)&lt;&gt;"    ","",IF(W237-AU237&gt;=0,W237-AU237," "))</f>
        <v/>
      </c>
      <c r="AW237" s="12">
        <f>IF(LEFT(B237,4)&lt;&gt;"    ","",IF(AU237-W237&gt;=0,AU237-W237," "))</f>
        <v/>
      </c>
      <c r="AX237" s="186" t="n"/>
      <c r="AY237" s="187" t="n"/>
      <c r="AZ237" s="186" t="n"/>
      <c r="BA237" s="186" t="n"/>
      <c r="BB237" s="188" t="n"/>
      <c r="BC237" s="187" t="n"/>
      <c r="BD237" s="187" t="n"/>
      <c r="BE237" s="186" t="n"/>
      <c r="BF237" s="186" t="n"/>
      <c r="BG237" s="186" t="n"/>
      <c r="BH237" s="186" t="n"/>
      <c r="BI237" s="186" t="n"/>
      <c r="BJ237" s="186" t="n"/>
      <c r="BK237" s="186" t="n"/>
      <c r="BL237" s="186" t="n"/>
      <c r="BM237" s="186" t="n"/>
      <c r="BN237" s="186" t="n"/>
      <c r="BO237" s="186" t="n"/>
      <c r="BP237" s="186" t="n"/>
      <c r="BQ237" s="186" t="n"/>
      <c r="BR237" s="186" t="n"/>
      <c r="BS237" s="186" t="n"/>
      <c r="BT237" s="186" t="n"/>
      <c r="BU237" s="186" t="n"/>
      <c r="BV237" s="186" t="n"/>
      <c r="BW237" s="186" t="n"/>
      <c r="BX237" s="186" t="n"/>
      <c r="BY237" s="186" t="n"/>
      <c r="BZ237" s="186" t="n"/>
      <c r="CA237" s="186" t="n"/>
      <c r="CB237" s="186" t="n"/>
      <c r="CC237" s="190" t="n"/>
      <c r="CD237" s="186" t="n"/>
      <c r="CE237" s="186" t="n"/>
      <c r="CF237" s="186" t="n"/>
      <c r="CG237" s="186" t="n"/>
      <c r="CH237" s="186" t="n"/>
      <c r="CI237" s="191" t="n"/>
      <c r="CJ237" s="192" t="n"/>
      <c r="CK237" s="192" t="n"/>
      <c r="CL237" s="192" t="n"/>
      <c r="CM237" s="192" t="n"/>
    </row>
    <row r="238">
      <c r="A238" s="177" t="n"/>
      <c r="B238" s="178" t="n"/>
      <c r="C238" s="178" t="n"/>
      <c r="D238" s="179" t="n"/>
      <c r="E238" s="180" t="n"/>
      <c r="F238" s="181" t="n"/>
      <c r="G238" s="182" t="n"/>
      <c r="H238" s="105" t="n"/>
      <c r="I238" s="196">
        <f>F238</f>
        <v/>
      </c>
      <c r="J238" s="184" t="n"/>
      <c r="K238" s="185" t="n"/>
      <c r="L238" s="8" t="n"/>
      <c r="M238" s="71">
        <f>L238</f>
        <v/>
      </c>
      <c r="N238" s="71" t="n"/>
      <c r="O238" s="101" t="n"/>
      <c r="P238" s="9">
        <f>I238-M238</f>
        <v/>
      </c>
      <c r="Q238" s="9">
        <f>IF(LEFT(B238,4)&lt;&gt;"    ",0,BN238)</f>
        <v/>
      </c>
      <c r="R238" s="9">
        <f>+P238-Q238</f>
        <v/>
      </c>
      <c r="S238" s="281" t="n"/>
      <c r="T238" s="10" t="n"/>
      <c r="U238" s="23">
        <f>IF(LEFT(B238,4)&lt;&gt;"    ","",IF(M238&lt;&gt;0,X238/M238,0))</f>
        <v/>
      </c>
      <c r="V238" s="11">
        <f>IF(LEFT(B238,4)&lt;&gt;"    ","",U238*I238)</f>
        <v/>
      </c>
      <c r="W238" s="11">
        <f>IF(LEFT(B238,4)&lt;&gt;"    ","",X238+Z238)</f>
        <v/>
      </c>
      <c r="X238" s="8" t="n"/>
      <c r="Y238" s="9">
        <f>IF(LEFT(B238,4)&lt;&gt;"    ",0,IF(P238&lt;0,P238,IF(U238&gt;0.3,W238-X238,0)))</f>
        <v/>
      </c>
      <c r="Z238" s="71">
        <f>Y238</f>
        <v/>
      </c>
      <c r="AA238" s="71" t="n"/>
      <c r="AB238" s="109" t="n"/>
      <c r="AC238" s="9">
        <f>IF(LEFT(B238,4)&lt;&gt;"    ",0,BK238)</f>
        <v/>
      </c>
      <c r="AD238" s="9">
        <f>Z238-AC238</f>
        <v/>
      </c>
      <c r="AE238" s="10" t="n"/>
      <c r="AF238" s="24" t="n"/>
      <c r="AG238" s="11" t="n"/>
      <c r="AH238" s="8" t="n"/>
      <c r="AI238" s="9">
        <f>IF(LEFT(B238,4)&lt;&gt;"    ","",AG238-AH238)</f>
        <v/>
      </c>
      <c r="AJ238" s="9" t="n"/>
      <c r="AK238" s="10" t="n"/>
      <c r="AL238" s="11">
        <f>IF(LEFT(B238,4)&lt;&gt;"    ","",W238-AG238)</f>
        <v/>
      </c>
      <c r="AM238" s="8">
        <f>IF(LEFT(B238,4)&lt;&gt;"    ","",X238-AH238)</f>
        <v/>
      </c>
      <c r="AN238" s="9">
        <f>IF(LEFT(B238,4)&lt;&gt;"    ","",Y238-AI238)</f>
        <v/>
      </c>
      <c r="AO238" s="9">
        <f>IF(LEFT(B238,4)&lt;&gt;"    ","",Z238-AJ238)</f>
        <v/>
      </c>
      <c r="AP238" s="10" t="n"/>
      <c r="AQ238" s="25">
        <f>IF(LEFT(B238,4)&lt;&gt;"    ","",I238-W238)</f>
        <v/>
      </c>
      <c r="AR238" s="25">
        <f>M238-X238</f>
        <v/>
      </c>
      <c r="AS238" s="25">
        <f>IF(LEFT(B238,4)&lt;&gt;"    ","",P238-Z238)</f>
        <v/>
      </c>
      <c r="AT238" s="10" t="n"/>
      <c r="AU238" s="12" t="n"/>
      <c r="AV238" s="12">
        <f>IF(LEFT(B238,4)&lt;&gt;"    ","",IF(W238-AU238&gt;=0,W238-AU238," "))</f>
        <v/>
      </c>
      <c r="AW238" s="12">
        <f>IF(LEFT(B238,4)&lt;&gt;"    ","",IF(AU238-W238&gt;=0,AU238-W238," "))</f>
        <v/>
      </c>
      <c r="AX238" s="186" t="n"/>
      <c r="AY238" s="187" t="n"/>
      <c r="AZ238" s="186" t="n"/>
      <c r="BA238" s="186" t="n"/>
      <c r="BB238" s="188" t="n"/>
      <c r="BC238" s="187" t="n"/>
      <c r="BD238" s="187" t="n"/>
      <c r="BE238" s="186" t="n"/>
      <c r="BF238" s="186" t="n"/>
      <c r="BG238" s="186" t="n"/>
      <c r="BH238" s="186" t="n"/>
      <c r="BI238" s="186" t="n"/>
      <c r="BJ238" s="186" t="n"/>
      <c r="BK238" s="186" t="n"/>
      <c r="BL238" s="186" t="n"/>
      <c r="BM238" s="186" t="n"/>
      <c r="BN238" s="186" t="n"/>
      <c r="BO238" s="186" t="n"/>
      <c r="BP238" s="186" t="n"/>
      <c r="BQ238" s="186" t="n"/>
      <c r="BR238" s="186" t="n"/>
      <c r="BS238" s="186" t="n"/>
      <c r="BT238" s="186" t="n"/>
      <c r="BU238" s="186" t="n"/>
      <c r="BV238" s="186" t="n"/>
      <c r="BW238" s="186" t="n"/>
      <c r="BX238" s="186" t="n"/>
      <c r="BY238" s="186" t="n"/>
      <c r="BZ238" s="186" t="n"/>
      <c r="CA238" s="186" t="n"/>
      <c r="CB238" s="186" t="n"/>
      <c r="CC238" s="190" t="n"/>
      <c r="CD238" s="186" t="n"/>
      <c r="CE238" s="186" t="n"/>
      <c r="CF238" s="186" t="n"/>
      <c r="CG238" s="186" t="n"/>
      <c r="CH238" s="186" t="n"/>
      <c r="CI238" s="191" t="n"/>
      <c r="CJ238" s="192" t="n"/>
      <c r="CK238" s="192" t="n"/>
      <c r="CL238" s="192" t="n"/>
      <c r="CM238" s="192" t="n"/>
    </row>
    <row r="239">
      <c r="A239" s="177" t="n"/>
      <c r="B239" s="178" t="n"/>
      <c r="C239" s="178" t="n"/>
      <c r="D239" s="179" t="n"/>
      <c r="E239" s="180" t="n"/>
      <c r="F239" s="181" t="n"/>
      <c r="G239" s="182" t="n"/>
      <c r="H239" s="105" t="n"/>
      <c r="I239" s="196">
        <f>F239</f>
        <v/>
      </c>
      <c r="J239" s="184" t="n"/>
      <c r="K239" s="185" t="n"/>
      <c r="L239" s="8" t="n"/>
      <c r="M239" s="71">
        <f>L239</f>
        <v/>
      </c>
      <c r="N239" s="71" t="n"/>
      <c r="O239" s="101" t="n"/>
      <c r="P239" s="9">
        <f>I239-M239</f>
        <v/>
      </c>
      <c r="Q239" s="9">
        <f>IF(LEFT(B239,4)&lt;&gt;"    ",0,BN239)</f>
        <v/>
      </c>
      <c r="R239" s="9">
        <f>+P239-Q239</f>
        <v/>
      </c>
      <c r="S239" s="281" t="n"/>
      <c r="T239" s="10" t="n"/>
      <c r="U239" s="23">
        <f>IF(LEFT(B239,4)&lt;&gt;"    ","",IF(M239&lt;&gt;0,X239/M239,0))</f>
        <v/>
      </c>
      <c r="V239" s="11">
        <f>IF(LEFT(B239,4)&lt;&gt;"    ","",U239*I239)</f>
        <v/>
      </c>
      <c r="W239" s="11">
        <f>IF(LEFT(B239,4)&lt;&gt;"    ","",X239+Z239)</f>
        <v/>
      </c>
      <c r="X239" s="8" t="n"/>
      <c r="Y239" s="9">
        <f>IF(LEFT(B239,4)&lt;&gt;"    ",0,IF(P239&lt;0,P239,IF(U239&gt;0.3,W239-X239,0)))</f>
        <v/>
      </c>
      <c r="Z239" s="71">
        <f>Y239</f>
        <v/>
      </c>
      <c r="AA239" s="71" t="n"/>
      <c r="AB239" s="109" t="n"/>
      <c r="AC239" s="9">
        <f>IF(LEFT(B239,4)&lt;&gt;"    ",0,BK239)</f>
        <v/>
      </c>
      <c r="AD239" s="9">
        <f>Z239-AC239</f>
        <v/>
      </c>
      <c r="AE239" s="10" t="n"/>
      <c r="AF239" s="24" t="n"/>
      <c r="AG239" s="11" t="n"/>
      <c r="AH239" s="8" t="n"/>
      <c r="AI239" s="9">
        <f>IF(LEFT(B239,4)&lt;&gt;"    ","",AG239-AH239)</f>
        <v/>
      </c>
      <c r="AJ239" s="9" t="n"/>
      <c r="AK239" s="10" t="n"/>
      <c r="AL239" s="11">
        <f>IF(LEFT(B239,4)&lt;&gt;"    ","",W239-AG239)</f>
        <v/>
      </c>
      <c r="AM239" s="8">
        <f>IF(LEFT(B239,4)&lt;&gt;"    ","",X239-AH239)</f>
        <v/>
      </c>
      <c r="AN239" s="9">
        <f>IF(LEFT(B239,4)&lt;&gt;"    ","",Y239-AI239)</f>
        <v/>
      </c>
      <c r="AO239" s="9">
        <f>IF(LEFT(B239,4)&lt;&gt;"    ","",Z239-AJ239)</f>
        <v/>
      </c>
      <c r="AP239" s="10" t="n"/>
      <c r="AQ239" s="25">
        <f>IF(LEFT(B239,4)&lt;&gt;"    ","",I239-W239)</f>
        <v/>
      </c>
      <c r="AR239" s="25">
        <f>M239-X239</f>
        <v/>
      </c>
      <c r="AS239" s="25">
        <f>IF(LEFT(B239,4)&lt;&gt;"    ","",P239-Z239)</f>
        <v/>
      </c>
      <c r="AT239" s="10" t="n"/>
      <c r="AU239" s="12" t="n"/>
      <c r="AV239" s="12">
        <f>IF(LEFT(B239,4)&lt;&gt;"    ","",IF(W239-AU239&gt;=0,W239-AU239," "))</f>
        <v/>
      </c>
      <c r="AW239" s="12">
        <f>IF(LEFT(B239,4)&lt;&gt;"    ","",IF(AU239-W239&gt;=0,AU239-W239," "))</f>
        <v/>
      </c>
      <c r="AX239" s="186" t="n"/>
      <c r="AY239" s="187" t="n"/>
      <c r="AZ239" s="186" t="n"/>
      <c r="BA239" s="186" t="n"/>
      <c r="BB239" s="188" t="n"/>
      <c r="BC239" s="187" t="n"/>
      <c r="BD239" s="187" t="n"/>
      <c r="BE239" s="186" t="n"/>
      <c r="BF239" s="186" t="n"/>
      <c r="BG239" s="186" t="n"/>
      <c r="BH239" s="186" t="n"/>
      <c r="BI239" s="186" t="n"/>
      <c r="BJ239" s="186" t="n"/>
      <c r="BK239" s="186" t="n"/>
      <c r="BL239" s="186" t="n"/>
      <c r="BM239" s="186" t="n"/>
      <c r="BN239" s="186" t="n"/>
      <c r="BO239" s="186" t="n"/>
      <c r="BP239" s="186" t="n"/>
      <c r="BQ239" s="186" t="n"/>
      <c r="BR239" s="186" t="n"/>
      <c r="BS239" s="186" t="n"/>
      <c r="BT239" s="186" t="n"/>
      <c r="BU239" s="186" t="n"/>
      <c r="BV239" s="186" t="n"/>
      <c r="BW239" s="186" t="n"/>
      <c r="BX239" s="186" t="n"/>
      <c r="BY239" s="186" t="n"/>
      <c r="BZ239" s="186" t="n"/>
      <c r="CA239" s="186" t="n"/>
      <c r="CB239" s="186" t="n"/>
      <c r="CC239" s="190" t="n"/>
      <c r="CD239" s="186" t="n"/>
      <c r="CE239" s="186" t="n"/>
      <c r="CF239" s="186" t="n"/>
      <c r="CG239" s="186" t="n"/>
      <c r="CH239" s="186" t="n"/>
      <c r="CI239" s="191" t="n"/>
      <c r="CJ239" s="192" t="n"/>
      <c r="CK239" s="192" t="n"/>
      <c r="CL239" s="192" t="n"/>
      <c r="CM239" s="192" t="n"/>
    </row>
    <row r="240">
      <c r="A240" s="177" t="n"/>
      <c r="B240" s="178" t="n"/>
      <c r="C240" s="178" t="n"/>
      <c r="D240" s="179" t="n"/>
      <c r="E240" s="180" t="n"/>
      <c r="F240" s="181" t="n"/>
      <c r="G240" s="182" t="n"/>
      <c r="H240" s="105" t="n"/>
      <c r="I240" s="196">
        <f>F240</f>
        <v/>
      </c>
      <c r="J240" s="184" t="n"/>
      <c r="K240" s="185" t="n"/>
      <c r="L240" s="8" t="n"/>
      <c r="M240" s="71">
        <f>L240</f>
        <v/>
      </c>
      <c r="N240" s="71" t="n"/>
      <c r="O240" s="101" t="n"/>
      <c r="P240" s="9">
        <f>I240-M240</f>
        <v/>
      </c>
      <c r="Q240" s="9">
        <f>IF(LEFT(B240,4)&lt;&gt;"    ",0,BN240)</f>
        <v/>
      </c>
      <c r="R240" s="9">
        <f>+P240-Q240</f>
        <v/>
      </c>
      <c r="S240" s="281" t="n"/>
      <c r="T240" s="10" t="n"/>
      <c r="U240" s="23">
        <f>IF(LEFT(B240,4)&lt;&gt;"    ","",IF(M240&lt;&gt;0,X240/M240,0))</f>
        <v/>
      </c>
      <c r="V240" s="11">
        <f>IF(LEFT(B240,4)&lt;&gt;"    ","",U240*I240)</f>
        <v/>
      </c>
      <c r="W240" s="11">
        <f>IF(LEFT(B240,4)&lt;&gt;"    ","",X240+Z240)</f>
        <v/>
      </c>
      <c r="X240" s="8" t="n"/>
      <c r="Y240" s="9">
        <f>IF(LEFT(B240,4)&lt;&gt;"    ",0,IF(P240&lt;0,P240,IF(U240&gt;0.3,W240-X240,0)))</f>
        <v/>
      </c>
      <c r="Z240" s="71">
        <f>Y240</f>
        <v/>
      </c>
      <c r="AA240" s="71" t="n"/>
      <c r="AB240" s="109" t="n"/>
      <c r="AC240" s="9">
        <f>IF(LEFT(B240,4)&lt;&gt;"    ",0,BK240)</f>
        <v/>
      </c>
      <c r="AD240" s="9">
        <f>Z240-AC240</f>
        <v/>
      </c>
      <c r="AE240" s="10" t="n"/>
      <c r="AF240" s="24" t="n"/>
      <c r="AG240" s="11" t="n"/>
      <c r="AH240" s="8" t="n"/>
      <c r="AI240" s="9">
        <f>IF(LEFT(B240,4)&lt;&gt;"    ","",AG240-AH240)</f>
        <v/>
      </c>
      <c r="AJ240" s="9" t="n"/>
      <c r="AK240" s="10" t="n"/>
      <c r="AL240" s="11">
        <f>IF(LEFT(B240,4)&lt;&gt;"    ","",W240-AG240)</f>
        <v/>
      </c>
      <c r="AM240" s="8">
        <f>IF(LEFT(B240,4)&lt;&gt;"    ","",X240-AH240)</f>
        <v/>
      </c>
      <c r="AN240" s="9">
        <f>IF(LEFT(B240,4)&lt;&gt;"    ","",Y240-AI240)</f>
        <v/>
      </c>
      <c r="AO240" s="9">
        <f>IF(LEFT(B240,4)&lt;&gt;"    ","",Z240-AJ240)</f>
        <v/>
      </c>
      <c r="AP240" s="10" t="n"/>
      <c r="AQ240" s="25">
        <f>IF(LEFT(B240,4)&lt;&gt;"    ","",I240-W240)</f>
        <v/>
      </c>
      <c r="AR240" s="25">
        <f>M240-X240</f>
        <v/>
      </c>
      <c r="AS240" s="25">
        <f>IF(LEFT(B240,4)&lt;&gt;"    ","",P240-Z240)</f>
        <v/>
      </c>
      <c r="AT240" s="10" t="n"/>
      <c r="AU240" s="12" t="n"/>
      <c r="AV240" s="12">
        <f>IF(LEFT(B240,4)&lt;&gt;"    ","",IF(W240-AU240&gt;=0,W240-AU240," "))</f>
        <v/>
      </c>
      <c r="AW240" s="12">
        <f>IF(LEFT(B240,4)&lt;&gt;"    ","",IF(AU240-W240&gt;=0,AU240-W240," "))</f>
        <v/>
      </c>
      <c r="AX240" s="186" t="n"/>
      <c r="AY240" s="187" t="n"/>
      <c r="AZ240" s="186" t="n"/>
      <c r="BA240" s="186" t="n"/>
      <c r="BB240" s="188" t="n"/>
      <c r="BC240" s="187" t="n"/>
      <c r="BD240" s="187" t="n"/>
      <c r="BE240" s="186" t="n"/>
      <c r="BF240" s="186" t="n"/>
      <c r="BG240" s="186" t="n"/>
      <c r="BH240" s="186" t="n"/>
      <c r="BI240" s="186" t="n"/>
      <c r="BJ240" s="186" t="n"/>
      <c r="BK240" s="186" t="n"/>
      <c r="BL240" s="186" t="n"/>
      <c r="BM240" s="186" t="n"/>
      <c r="BN240" s="186" t="n"/>
      <c r="BO240" s="186" t="n"/>
      <c r="BP240" s="186" t="n"/>
      <c r="BQ240" s="186" t="n"/>
      <c r="BR240" s="186" t="n"/>
      <c r="BS240" s="186" t="n"/>
      <c r="BT240" s="186" t="n"/>
      <c r="BU240" s="186" t="n"/>
      <c r="BV240" s="186" t="n"/>
      <c r="BW240" s="186" t="n"/>
      <c r="BX240" s="186" t="n"/>
      <c r="BY240" s="186" t="n"/>
      <c r="BZ240" s="186" t="n"/>
      <c r="CA240" s="186" t="n"/>
      <c r="CB240" s="186" t="n"/>
      <c r="CC240" s="190" t="n"/>
      <c r="CD240" s="186" t="n"/>
      <c r="CE240" s="186" t="n"/>
      <c r="CF240" s="186" t="n"/>
      <c r="CG240" s="186" t="n"/>
      <c r="CH240" s="186" t="n"/>
      <c r="CI240" s="191" t="n"/>
      <c r="CJ240" s="192" t="n"/>
      <c r="CK240" s="192" t="n"/>
      <c r="CL240" s="192" t="n"/>
      <c r="CM240" s="192" t="n"/>
    </row>
    <row r="241">
      <c r="A241" s="177" t="n"/>
      <c r="B241" s="178" t="n"/>
      <c r="C241" s="178" t="n"/>
      <c r="D241" s="179" t="n"/>
      <c r="E241" s="180" t="n"/>
      <c r="F241" s="181" t="n"/>
      <c r="G241" s="182" t="n"/>
      <c r="H241" s="105" t="n"/>
      <c r="I241" s="196">
        <f>F241</f>
        <v/>
      </c>
      <c r="J241" s="184" t="n"/>
      <c r="K241" s="185" t="n"/>
      <c r="L241" s="8" t="n"/>
      <c r="M241" s="71">
        <f>L241</f>
        <v/>
      </c>
      <c r="N241" s="71" t="n"/>
      <c r="O241" s="101" t="n"/>
      <c r="P241" s="9">
        <f>I241-M241</f>
        <v/>
      </c>
      <c r="Q241" s="9">
        <f>IF(LEFT(B241,4)&lt;&gt;"    ",0,BN241)</f>
        <v/>
      </c>
      <c r="R241" s="9">
        <f>+P241-Q241</f>
        <v/>
      </c>
      <c r="S241" s="281" t="n"/>
      <c r="T241" s="10" t="n"/>
      <c r="U241" s="23">
        <f>IF(LEFT(B241,4)&lt;&gt;"    ","",IF(M241&lt;&gt;0,X241/M241,0))</f>
        <v/>
      </c>
      <c r="V241" s="11">
        <f>IF(LEFT(B241,4)&lt;&gt;"    ","",U241*I241)</f>
        <v/>
      </c>
      <c r="W241" s="11">
        <f>IF(LEFT(B241,4)&lt;&gt;"    ","",X241+Z241)</f>
        <v/>
      </c>
      <c r="X241" s="8" t="n"/>
      <c r="Y241" s="9">
        <f>IF(LEFT(B241,4)&lt;&gt;"    ",0,IF(P241&lt;0,P241,IF(U241&gt;0.3,W241-X241,0)))</f>
        <v/>
      </c>
      <c r="Z241" s="71">
        <f>Y241</f>
        <v/>
      </c>
      <c r="AA241" s="71" t="n"/>
      <c r="AB241" s="109" t="n"/>
      <c r="AC241" s="9">
        <f>IF(LEFT(B241,4)&lt;&gt;"    ",0,BK241)</f>
        <v/>
      </c>
      <c r="AD241" s="9">
        <f>Z241-AC241</f>
        <v/>
      </c>
      <c r="AE241" s="10" t="n"/>
      <c r="AF241" s="24" t="n"/>
      <c r="AG241" s="11" t="n"/>
      <c r="AH241" s="8" t="n"/>
      <c r="AI241" s="9">
        <f>IF(LEFT(B241,4)&lt;&gt;"    ","",AG241-AH241)</f>
        <v/>
      </c>
      <c r="AJ241" s="9" t="n"/>
      <c r="AK241" s="10" t="n"/>
      <c r="AL241" s="11">
        <f>IF(LEFT(B241,4)&lt;&gt;"    ","",W241-AG241)</f>
        <v/>
      </c>
      <c r="AM241" s="8">
        <f>IF(LEFT(B241,4)&lt;&gt;"    ","",X241-AH241)</f>
        <v/>
      </c>
      <c r="AN241" s="9">
        <f>IF(LEFT(B241,4)&lt;&gt;"    ","",Y241-AI241)</f>
        <v/>
      </c>
      <c r="AO241" s="9">
        <f>IF(LEFT(B241,4)&lt;&gt;"    ","",Z241-AJ241)</f>
        <v/>
      </c>
      <c r="AP241" s="10" t="n"/>
      <c r="AQ241" s="25">
        <f>IF(LEFT(B241,4)&lt;&gt;"    ","",I241-W241)</f>
        <v/>
      </c>
      <c r="AR241" s="25">
        <f>M241-X241</f>
        <v/>
      </c>
      <c r="AS241" s="25">
        <f>IF(LEFT(B241,4)&lt;&gt;"    ","",P241-Z241)</f>
        <v/>
      </c>
      <c r="AT241" s="10" t="n"/>
      <c r="AU241" s="12" t="n"/>
      <c r="AV241" s="12">
        <f>IF(LEFT(B241,4)&lt;&gt;"    ","",IF(W241-AU241&gt;=0,W241-AU241," "))</f>
        <v/>
      </c>
      <c r="AW241" s="12">
        <f>IF(LEFT(B241,4)&lt;&gt;"    ","",IF(AU241-W241&gt;=0,AU241-W241," "))</f>
        <v/>
      </c>
      <c r="AX241" s="186" t="n"/>
      <c r="AY241" s="187" t="n"/>
      <c r="AZ241" s="186" t="n"/>
      <c r="BA241" s="186" t="n"/>
      <c r="BB241" s="188" t="n"/>
      <c r="BC241" s="187" t="n"/>
      <c r="BD241" s="187" t="n"/>
      <c r="BE241" s="186" t="n"/>
      <c r="BF241" s="186" t="n"/>
      <c r="BG241" s="186" t="n"/>
      <c r="BH241" s="186" t="n"/>
      <c r="BI241" s="186" t="n"/>
      <c r="BJ241" s="186" t="n"/>
      <c r="BK241" s="186" t="n"/>
      <c r="BL241" s="186" t="n"/>
      <c r="BM241" s="186" t="n"/>
      <c r="BN241" s="186" t="n"/>
      <c r="BO241" s="186" t="n"/>
      <c r="BP241" s="186" t="n"/>
      <c r="BQ241" s="186" t="n"/>
      <c r="BR241" s="186" t="n"/>
      <c r="BS241" s="186" t="n"/>
      <c r="BT241" s="186" t="n"/>
      <c r="BU241" s="186" t="n"/>
      <c r="BV241" s="186" t="n"/>
      <c r="BW241" s="186" t="n"/>
      <c r="BX241" s="186" t="n"/>
      <c r="BY241" s="186" t="n"/>
      <c r="BZ241" s="186" t="n"/>
      <c r="CA241" s="186" t="n"/>
      <c r="CB241" s="186" t="n"/>
      <c r="CC241" s="190" t="n"/>
      <c r="CD241" s="186" t="n"/>
      <c r="CE241" s="186" t="n"/>
      <c r="CF241" s="186" t="n"/>
      <c r="CG241" s="186" t="n"/>
      <c r="CH241" s="186" t="n"/>
      <c r="CI241" s="191" t="n"/>
      <c r="CJ241" s="192" t="n"/>
      <c r="CK241" s="192" t="n"/>
      <c r="CL241" s="192" t="n"/>
      <c r="CM241" s="192" t="n"/>
    </row>
    <row r="242">
      <c r="A242" s="177" t="n"/>
      <c r="B242" s="178" t="n"/>
      <c r="C242" s="178" t="n"/>
      <c r="D242" s="179" t="n"/>
      <c r="E242" s="180" t="n"/>
      <c r="F242" s="181" t="n"/>
      <c r="G242" s="182" t="n"/>
      <c r="H242" s="105" t="n"/>
      <c r="I242" s="196">
        <f>F242</f>
        <v/>
      </c>
      <c r="J242" s="184" t="n"/>
      <c r="K242" s="185" t="n"/>
      <c r="L242" s="8" t="n"/>
      <c r="M242" s="71">
        <f>L242</f>
        <v/>
      </c>
      <c r="N242" s="71" t="n"/>
      <c r="O242" s="101" t="n"/>
      <c r="P242" s="9">
        <f>I242-M242</f>
        <v/>
      </c>
      <c r="Q242" s="9">
        <f>IF(LEFT(B242,4)&lt;&gt;"    ",0,BN242)</f>
        <v/>
      </c>
      <c r="R242" s="9">
        <f>+P242-Q242</f>
        <v/>
      </c>
      <c r="S242" s="281" t="n"/>
      <c r="T242" s="10" t="n"/>
      <c r="U242" s="23">
        <f>IF(LEFT(B242,4)&lt;&gt;"    ","",IF(M242&lt;&gt;0,X242/M242,0))</f>
        <v/>
      </c>
      <c r="V242" s="11">
        <f>IF(LEFT(B242,4)&lt;&gt;"    ","",U242*I242)</f>
        <v/>
      </c>
      <c r="W242" s="11">
        <f>IF(LEFT(B242,4)&lt;&gt;"    ","",X242+Z242)</f>
        <v/>
      </c>
      <c r="X242" s="8" t="n"/>
      <c r="Y242" s="9">
        <f>IF(LEFT(B242,4)&lt;&gt;"    ",0,IF(P242&lt;0,P242,IF(U242&gt;0.3,W242-X242,0)))</f>
        <v/>
      </c>
      <c r="Z242" s="71">
        <f>Y242</f>
        <v/>
      </c>
      <c r="AA242" s="71" t="n"/>
      <c r="AB242" s="109" t="n"/>
      <c r="AC242" s="9">
        <f>IF(LEFT(B242,4)&lt;&gt;"    ",0,BK242)</f>
        <v/>
      </c>
      <c r="AD242" s="9">
        <f>Z242-AC242</f>
        <v/>
      </c>
      <c r="AE242" s="10" t="n"/>
      <c r="AF242" s="24" t="n"/>
      <c r="AG242" s="11" t="n"/>
      <c r="AH242" s="8" t="n"/>
      <c r="AI242" s="9">
        <f>IF(LEFT(B242,4)&lt;&gt;"    ","",AG242-AH242)</f>
        <v/>
      </c>
      <c r="AJ242" s="9" t="n"/>
      <c r="AK242" s="10" t="n"/>
      <c r="AL242" s="11">
        <f>IF(LEFT(B242,4)&lt;&gt;"    ","",W242-AG242)</f>
        <v/>
      </c>
      <c r="AM242" s="8">
        <f>IF(LEFT(B242,4)&lt;&gt;"    ","",X242-AH242)</f>
        <v/>
      </c>
      <c r="AN242" s="9">
        <f>IF(LEFT(B242,4)&lt;&gt;"    ","",Y242-AI242)</f>
        <v/>
      </c>
      <c r="AO242" s="9">
        <f>IF(LEFT(B242,4)&lt;&gt;"    ","",Z242-AJ242)</f>
        <v/>
      </c>
      <c r="AP242" s="10" t="n"/>
      <c r="AQ242" s="25">
        <f>IF(LEFT(B242,4)&lt;&gt;"    ","",I242-W242)</f>
        <v/>
      </c>
      <c r="AR242" s="25">
        <f>M242-X242</f>
        <v/>
      </c>
      <c r="AS242" s="25">
        <f>IF(LEFT(B242,4)&lt;&gt;"    ","",P242-Z242)</f>
        <v/>
      </c>
      <c r="AT242" s="10" t="n"/>
      <c r="AU242" s="12" t="n"/>
      <c r="AV242" s="12">
        <f>IF(LEFT(B242,4)&lt;&gt;"    ","",IF(W242-AU242&gt;=0,W242-AU242," "))</f>
        <v/>
      </c>
      <c r="AW242" s="12">
        <f>IF(LEFT(B242,4)&lt;&gt;"    ","",IF(AU242-W242&gt;=0,AU242-W242," "))</f>
        <v/>
      </c>
      <c r="AX242" s="186" t="n"/>
      <c r="AY242" s="187" t="n"/>
      <c r="AZ242" s="186" t="n"/>
      <c r="BA242" s="186" t="n"/>
      <c r="BB242" s="188" t="n"/>
      <c r="BC242" s="187" t="n"/>
      <c r="BD242" s="187" t="n"/>
      <c r="BE242" s="186" t="n"/>
      <c r="BF242" s="186" t="n"/>
      <c r="BG242" s="186" t="n"/>
      <c r="BH242" s="186" t="n"/>
      <c r="BI242" s="186" t="n"/>
      <c r="BJ242" s="186" t="n"/>
      <c r="BK242" s="186" t="n"/>
      <c r="BL242" s="186" t="n"/>
      <c r="BM242" s="186" t="n"/>
      <c r="BN242" s="186" t="n"/>
      <c r="BO242" s="186" t="n"/>
      <c r="BP242" s="186" t="n"/>
      <c r="BQ242" s="186" t="n"/>
      <c r="BR242" s="186" t="n"/>
      <c r="BS242" s="186" t="n"/>
      <c r="BT242" s="186" t="n"/>
      <c r="BU242" s="186" t="n"/>
      <c r="BV242" s="186" t="n"/>
      <c r="BW242" s="186" t="n"/>
      <c r="BX242" s="186" t="n"/>
      <c r="BY242" s="186" t="n"/>
      <c r="BZ242" s="186" t="n"/>
      <c r="CA242" s="186" t="n"/>
      <c r="CB242" s="186" t="n"/>
      <c r="CC242" s="190" t="n"/>
      <c r="CD242" s="186" t="n"/>
      <c r="CE242" s="186" t="n"/>
      <c r="CF242" s="186" t="n"/>
      <c r="CG242" s="186" t="n"/>
      <c r="CH242" s="186" t="n"/>
      <c r="CI242" s="191" t="n"/>
      <c r="CJ242" s="192" t="n"/>
      <c r="CK242" s="192" t="n"/>
      <c r="CL242" s="192" t="n"/>
      <c r="CM242" s="192" t="n"/>
    </row>
    <row r="243">
      <c r="A243" s="177" t="n"/>
      <c r="B243" s="178" t="n"/>
      <c r="C243" s="178" t="n"/>
      <c r="D243" s="179" t="n"/>
      <c r="E243" s="180" t="n"/>
      <c r="F243" s="181" t="n"/>
      <c r="G243" s="182" t="n"/>
      <c r="H243" s="105" t="n"/>
      <c r="I243" s="196">
        <f>F243</f>
        <v/>
      </c>
      <c r="J243" s="184" t="n"/>
      <c r="K243" s="185" t="n"/>
      <c r="L243" s="8" t="n"/>
      <c r="M243" s="71">
        <f>L243</f>
        <v/>
      </c>
      <c r="N243" s="71" t="n"/>
      <c r="O243" s="101" t="n"/>
      <c r="P243" s="9">
        <f>I243-M243</f>
        <v/>
      </c>
      <c r="Q243" s="9">
        <f>IF(LEFT(B243,4)&lt;&gt;"    ",0,BN243)</f>
        <v/>
      </c>
      <c r="R243" s="9">
        <f>+P243-Q243</f>
        <v/>
      </c>
      <c r="S243" s="281" t="n"/>
      <c r="T243" s="10" t="n"/>
      <c r="U243" s="23">
        <f>IF(LEFT(B243,4)&lt;&gt;"    ","",IF(M243&lt;&gt;0,X243/M243,0))</f>
        <v/>
      </c>
      <c r="V243" s="11">
        <f>IF(LEFT(B243,4)&lt;&gt;"    ","",U243*I243)</f>
        <v/>
      </c>
      <c r="W243" s="11">
        <f>IF(LEFT(B243,4)&lt;&gt;"    ","",X243+Z243)</f>
        <v/>
      </c>
      <c r="X243" s="8" t="n"/>
      <c r="Y243" s="9">
        <f>IF(LEFT(B243,4)&lt;&gt;"    ",0,IF(P243&lt;0,P243,IF(U243&gt;0.3,W243-X243,0)))</f>
        <v/>
      </c>
      <c r="Z243" s="71">
        <f>Y243</f>
        <v/>
      </c>
      <c r="AA243" s="71" t="n"/>
      <c r="AB243" s="109" t="n"/>
      <c r="AC243" s="9">
        <f>IF(LEFT(B243,4)&lt;&gt;"    ",0,BK243)</f>
        <v/>
      </c>
      <c r="AD243" s="9">
        <f>Z243-AC243</f>
        <v/>
      </c>
      <c r="AE243" s="10" t="n"/>
      <c r="AF243" s="24" t="n"/>
      <c r="AG243" s="11" t="n"/>
      <c r="AH243" s="8" t="n"/>
      <c r="AI243" s="9">
        <f>IF(LEFT(B243,4)&lt;&gt;"    ","",AG243-AH243)</f>
        <v/>
      </c>
      <c r="AJ243" s="9" t="n"/>
      <c r="AK243" s="10" t="n"/>
      <c r="AL243" s="11">
        <f>IF(LEFT(B243,4)&lt;&gt;"    ","",W243-AG243)</f>
        <v/>
      </c>
      <c r="AM243" s="8">
        <f>IF(LEFT(B243,4)&lt;&gt;"    ","",X243-AH243)</f>
        <v/>
      </c>
      <c r="AN243" s="9">
        <f>IF(LEFT(B243,4)&lt;&gt;"    ","",Y243-AI243)</f>
        <v/>
      </c>
      <c r="AO243" s="9">
        <f>IF(LEFT(B243,4)&lt;&gt;"    ","",Z243-AJ243)</f>
        <v/>
      </c>
      <c r="AP243" s="10" t="n"/>
      <c r="AQ243" s="25">
        <f>IF(LEFT(B243,4)&lt;&gt;"    ","",I243-W243)</f>
        <v/>
      </c>
      <c r="AR243" s="25">
        <f>M243-X243</f>
        <v/>
      </c>
      <c r="AS243" s="25">
        <f>IF(LEFT(B243,4)&lt;&gt;"    ","",P243-Z243)</f>
        <v/>
      </c>
      <c r="AT243" s="10" t="n"/>
      <c r="AU243" s="12" t="n"/>
      <c r="AV243" s="12">
        <f>IF(LEFT(B243,4)&lt;&gt;"    ","",IF(W243-AU243&gt;=0,W243-AU243," "))</f>
        <v/>
      </c>
      <c r="AW243" s="12">
        <f>IF(LEFT(B243,4)&lt;&gt;"    ","",IF(AU243-W243&gt;=0,AU243-W243," "))</f>
        <v/>
      </c>
      <c r="AX243" s="186" t="n"/>
      <c r="AY243" s="187" t="n"/>
      <c r="AZ243" s="186" t="n"/>
      <c r="BA243" s="186" t="n"/>
      <c r="BB243" s="188" t="n"/>
      <c r="BC243" s="187" t="n"/>
      <c r="BD243" s="187" t="n"/>
      <c r="BE243" s="186" t="n"/>
      <c r="BF243" s="186" t="n"/>
      <c r="BG243" s="186" t="n"/>
      <c r="BH243" s="186" t="n"/>
      <c r="BI243" s="186" t="n"/>
      <c r="BJ243" s="186" t="n"/>
      <c r="BK243" s="186" t="n"/>
      <c r="BL243" s="186" t="n"/>
      <c r="BM243" s="186" t="n"/>
      <c r="BN243" s="186" t="n"/>
      <c r="BO243" s="186" t="n"/>
      <c r="BP243" s="186" t="n"/>
      <c r="BQ243" s="186" t="n"/>
      <c r="BR243" s="186" t="n"/>
      <c r="BS243" s="186" t="n"/>
      <c r="BT243" s="186" t="n"/>
      <c r="BU243" s="186" t="n"/>
      <c r="BV243" s="186" t="n"/>
      <c r="BW243" s="186" t="n"/>
      <c r="BX243" s="186" t="n"/>
      <c r="BY243" s="186" t="n"/>
      <c r="BZ243" s="186" t="n"/>
      <c r="CA243" s="186" t="n"/>
      <c r="CB243" s="186" t="n"/>
      <c r="CC243" s="190" t="n"/>
      <c r="CD243" s="186" t="n"/>
      <c r="CE243" s="186" t="n"/>
      <c r="CF243" s="186" t="n"/>
      <c r="CG243" s="186" t="n"/>
      <c r="CH243" s="186" t="n"/>
      <c r="CI243" s="191" t="n"/>
      <c r="CJ243" s="192" t="n"/>
      <c r="CK243" s="192" t="n"/>
      <c r="CL243" s="192" t="n"/>
      <c r="CM243" s="192" t="n"/>
    </row>
    <row r="244">
      <c r="A244" s="177" t="n"/>
      <c r="B244" s="178" t="n"/>
      <c r="C244" s="178" t="n"/>
      <c r="D244" s="179" t="n"/>
      <c r="E244" s="180" t="n"/>
      <c r="F244" s="181" t="n"/>
      <c r="G244" s="182" t="n"/>
      <c r="H244" s="105" t="n"/>
      <c r="I244" s="196">
        <f>F244</f>
        <v/>
      </c>
      <c r="J244" s="184" t="n"/>
      <c r="K244" s="185" t="n"/>
      <c r="L244" s="8" t="n"/>
      <c r="M244" s="71">
        <f>L244</f>
        <v/>
      </c>
      <c r="N244" s="71" t="n"/>
      <c r="O244" s="101" t="n"/>
      <c r="P244" s="9">
        <f>I244-M244</f>
        <v/>
      </c>
      <c r="Q244" s="9">
        <f>IF(LEFT(B244,4)&lt;&gt;"    ",0,BN244)</f>
        <v/>
      </c>
      <c r="R244" s="9">
        <f>+P244-Q244</f>
        <v/>
      </c>
      <c r="S244" s="281" t="n"/>
      <c r="T244" s="10" t="n"/>
      <c r="U244" s="23">
        <f>IF(LEFT(B244,4)&lt;&gt;"    ","",IF(M244&lt;&gt;0,X244/M244,0))</f>
        <v/>
      </c>
      <c r="V244" s="11">
        <f>IF(LEFT(B244,4)&lt;&gt;"    ","",U244*I244)</f>
        <v/>
      </c>
      <c r="W244" s="11">
        <f>IF(LEFT(B244,4)&lt;&gt;"    ","",X244+Z244)</f>
        <v/>
      </c>
      <c r="X244" s="8" t="n"/>
      <c r="Y244" s="9">
        <f>IF(LEFT(B244,4)&lt;&gt;"    ",0,IF(P244&lt;0,P244,IF(U244&gt;0.3,W244-X244,0)))</f>
        <v/>
      </c>
      <c r="Z244" s="71">
        <f>Y244</f>
        <v/>
      </c>
      <c r="AA244" s="71" t="n"/>
      <c r="AB244" s="109" t="n"/>
      <c r="AC244" s="9">
        <f>IF(LEFT(B244,4)&lt;&gt;"    ",0,BK244)</f>
        <v/>
      </c>
      <c r="AD244" s="9">
        <f>Z244-AC244</f>
        <v/>
      </c>
      <c r="AE244" s="10" t="n"/>
      <c r="AF244" s="24" t="n"/>
      <c r="AG244" s="11" t="n"/>
      <c r="AH244" s="8" t="n"/>
      <c r="AI244" s="9">
        <f>IF(LEFT(B244,4)&lt;&gt;"    ","",AG244-AH244)</f>
        <v/>
      </c>
      <c r="AJ244" s="9" t="n"/>
      <c r="AK244" s="10" t="n"/>
      <c r="AL244" s="11">
        <f>IF(LEFT(B244,4)&lt;&gt;"    ","",W244-AG244)</f>
        <v/>
      </c>
      <c r="AM244" s="8">
        <f>IF(LEFT(B244,4)&lt;&gt;"    ","",X244-AH244)</f>
        <v/>
      </c>
      <c r="AN244" s="9">
        <f>IF(LEFT(B244,4)&lt;&gt;"    ","",Y244-AI244)</f>
        <v/>
      </c>
      <c r="AO244" s="9">
        <f>IF(LEFT(B244,4)&lt;&gt;"    ","",Z244-AJ244)</f>
        <v/>
      </c>
      <c r="AP244" s="10" t="n"/>
      <c r="AQ244" s="25">
        <f>IF(LEFT(B244,4)&lt;&gt;"    ","",I244-W244)</f>
        <v/>
      </c>
      <c r="AR244" s="25">
        <f>M244-X244</f>
        <v/>
      </c>
      <c r="AS244" s="25">
        <f>IF(LEFT(B244,4)&lt;&gt;"    ","",P244-Z244)</f>
        <v/>
      </c>
      <c r="AT244" s="10" t="n"/>
      <c r="AU244" s="12" t="n"/>
      <c r="AV244" s="12">
        <f>IF(LEFT(B244,4)&lt;&gt;"    ","",IF(W244-AU244&gt;=0,W244-AU244," "))</f>
        <v/>
      </c>
      <c r="AW244" s="12">
        <f>IF(LEFT(B244,4)&lt;&gt;"    ","",IF(AU244-W244&gt;=0,AU244-W244," "))</f>
        <v/>
      </c>
      <c r="AX244" s="186" t="n"/>
      <c r="AY244" s="187" t="n"/>
      <c r="AZ244" s="186" t="n"/>
      <c r="BA244" s="186" t="n"/>
      <c r="BB244" s="188" t="n"/>
      <c r="BC244" s="187" t="n"/>
      <c r="BD244" s="187" t="n"/>
      <c r="BE244" s="186" t="n"/>
      <c r="BF244" s="186" t="n"/>
      <c r="BG244" s="186" t="n"/>
      <c r="BH244" s="186" t="n"/>
      <c r="BI244" s="186" t="n"/>
      <c r="BJ244" s="186" t="n"/>
      <c r="BK244" s="186" t="n"/>
      <c r="BL244" s="186" t="n"/>
      <c r="BM244" s="186" t="n"/>
      <c r="BN244" s="186" t="n"/>
      <c r="BO244" s="186" t="n"/>
      <c r="BP244" s="186" t="n"/>
      <c r="BQ244" s="186" t="n"/>
      <c r="BR244" s="186" t="n"/>
      <c r="BS244" s="186" t="n"/>
      <c r="BT244" s="186" t="n"/>
      <c r="BU244" s="186" t="n"/>
      <c r="BV244" s="186" t="n"/>
      <c r="BW244" s="186" t="n"/>
      <c r="BX244" s="186" t="n"/>
      <c r="BY244" s="186" t="n"/>
      <c r="BZ244" s="186" t="n"/>
      <c r="CA244" s="186" t="n"/>
      <c r="CB244" s="186" t="n"/>
      <c r="CC244" s="190" t="n"/>
      <c r="CD244" s="186" t="n"/>
      <c r="CE244" s="186" t="n"/>
      <c r="CF244" s="186" t="n"/>
      <c r="CG244" s="186" t="n"/>
      <c r="CH244" s="186" t="n"/>
      <c r="CI244" s="191" t="n"/>
      <c r="CJ244" s="192" t="n"/>
      <c r="CK244" s="192" t="n"/>
      <c r="CL244" s="192" t="n"/>
      <c r="CM244" s="192" t="n"/>
    </row>
    <row r="245">
      <c r="A245" s="177" t="n"/>
      <c r="B245" s="178" t="n"/>
      <c r="C245" s="178" t="n"/>
      <c r="D245" s="179" t="n"/>
      <c r="E245" s="180" t="n"/>
      <c r="F245" s="181" t="n"/>
      <c r="G245" s="182" t="n"/>
      <c r="H245" s="105" t="n"/>
      <c r="I245" s="196">
        <f>F245</f>
        <v/>
      </c>
      <c r="J245" s="184" t="n"/>
      <c r="K245" s="185" t="n"/>
      <c r="L245" s="8" t="n"/>
      <c r="M245" s="71">
        <f>L245</f>
        <v/>
      </c>
      <c r="N245" s="71" t="n"/>
      <c r="O245" s="101" t="n"/>
      <c r="P245" s="9">
        <f>I245-M245</f>
        <v/>
      </c>
      <c r="Q245" s="9">
        <f>IF(LEFT(B245,4)&lt;&gt;"    ",0,BN245)</f>
        <v/>
      </c>
      <c r="R245" s="9">
        <f>+P245-Q245</f>
        <v/>
      </c>
      <c r="S245" s="281" t="n"/>
      <c r="T245" s="10" t="n"/>
      <c r="U245" s="23">
        <f>IF(LEFT(B245,4)&lt;&gt;"    ","",IF(M245&lt;&gt;0,X245/M245,0))</f>
        <v/>
      </c>
      <c r="V245" s="11">
        <f>IF(LEFT(B245,4)&lt;&gt;"    ","",U245*I245)</f>
        <v/>
      </c>
      <c r="W245" s="11">
        <f>IF(LEFT(B245,4)&lt;&gt;"    ","",X245+Z245)</f>
        <v/>
      </c>
      <c r="X245" s="8" t="n"/>
      <c r="Y245" s="9">
        <f>IF(LEFT(B245,4)&lt;&gt;"    ",0,IF(P245&lt;0,P245,IF(U245&gt;0.3,W245-X245,0)))</f>
        <v/>
      </c>
      <c r="Z245" s="71">
        <f>Y245</f>
        <v/>
      </c>
      <c r="AA245" s="71" t="n"/>
      <c r="AB245" s="109" t="n"/>
      <c r="AC245" s="9">
        <f>IF(LEFT(B245,4)&lt;&gt;"    ",0,BK245)</f>
        <v/>
      </c>
      <c r="AD245" s="9">
        <f>Z245-AC245</f>
        <v/>
      </c>
      <c r="AE245" s="10" t="n"/>
      <c r="AF245" s="24" t="n"/>
      <c r="AG245" s="11" t="n"/>
      <c r="AH245" s="8" t="n"/>
      <c r="AI245" s="9">
        <f>IF(LEFT(B245,4)&lt;&gt;"    ","",AG245-AH245)</f>
        <v/>
      </c>
      <c r="AJ245" s="9" t="n"/>
      <c r="AK245" s="10" t="n"/>
      <c r="AL245" s="11">
        <f>IF(LEFT(B245,4)&lt;&gt;"    ","",W245-AG245)</f>
        <v/>
      </c>
      <c r="AM245" s="8">
        <f>IF(LEFT(B245,4)&lt;&gt;"    ","",X245-AH245)</f>
        <v/>
      </c>
      <c r="AN245" s="9">
        <f>IF(LEFT(B245,4)&lt;&gt;"    ","",Y245-AI245)</f>
        <v/>
      </c>
      <c r="AO245" s="9">
        <f>IF(LEFT(B245,4)&lt;&gt;"    ","",Z245-AJ245)</f>
        <v/>
      </c>
      <c r="AP245" s="10" t="n"/>
      <c r="AQ245" s="25">
        <f>IF(LEFT(B245,4)&lt;&gt;"    ","",I245-W245)</f>
        <v/>
      </c>
      <c r="AR245" s="25">
        <f>M245-X245</f>
        <v/>
      </c>
      <c r="AS245" s="25">
        <f>IF(LEFT(B245,4)&lt;&gt;"    ","",P245-Z245)</f>
        <v/>
      </c>
      <c r="AT245" s="10" t="n"/>
      <c r="AU245" s="12" t="n"/>
      <c r="AV245" s="12">
        <f>IF(LEFT(B245,4)&lt;&gt;"    ","",IF(W245-AU245&gt;=0,W245-AU245," "))</f>
        <v/>
      </c>
      <c r="AW245" s="12">
        <f>IF(LEFT(B245,4)&lt;&gt;"    ","",IF(AU245-W245&gt;=0,AU245-W245," "))</f>
        <v/>
      </c>
      <c r="AX245" s="186" t="n"/>
      <c r="AY245" s="187" t="n"/>
      <c r="AZ245" s="186" t="n"/>
      <c r="BA245" s="186" t="n"/>
      <c r="BB245" s="188" t="n"/>
      <c r="BC245" s="187" t="n"/>
      <c r="BD245" s="187" t="n"/>
      <c r="BE245" s="186" t="n"/>
      <c r="BF245" s="186" t="n"/>
      <c r="BG245" s="186" t="n"/>
      <c r="BH245" s="186" t="n"/>
      <c r="BI245" s="186" t="n"/>
      <c r="BJ245" s="186" t="n"/>
      <c r="BK245" s="186" t="n"/>
      <c r="BL245" s="186" t="n"/>
      <c r="BM245" s="186" t="n"/>
      <c r="BN245" s="186" t="n"/>
      <c r="BO245" s="186" t="n"/>
      <c r="BP245" s="186" t="n"/>
      <c r="BQ245" s="186" t="n"/>
      <c r="BR245" s="186" t="n"/>
      <c r="BS245" s="186" t="n"/>
      <c r="BT245" s="186" t="n"/>
      <c r="BU245" s="186" t="n"/>
      <c r="BV245" s="186" t="n"/>
      <c r="BW245" s="186" t="n"/>
      <c r="BX245" s="186" t="n"/>
      <c r="BY245" s="186" t="n"/>
      <c r="BZ245" s="186" t="n"/>
      <c r="CA245" s="186" t="n"/>
      <c r="CB245" s="186" t="n"/>
      <c r="CC245" s="190" t="n"/>
      <c r="CD245" s="186" t="n"/>
      <c r="CE245" s="186" t="n"/>
      <c r="CF245" s="186" t="n"/>
      <c r="CG245" s="186" t="n"/>
      <c r="CH245" s="186" t="n"/>
      <c r="CI245" s="191" t="n"/>
      <c r="CJ245" s="192" t="n"/>
      <c r="CK245" s="192" t="n"/>
      <c r="CL245" s="192" t="n"/>
      <c r="CM245" s="192" t="n"/>
    </row>
    <row r="246">
      <c r="A246" s="177" t="n"/>
      <c r="B246" s="178" t="n"/>
      <c r="C246" s="178" t="n"/>
      <c r="D246" s="179" t="n"/>
      <c r="E246" s="180" t="n"/>
      <c r="F246" s="181" t="n"/>
      <c r="G246" s="182" t="n"/>
      <c r="H246" s="105" t="n"/>
      <c r="I246" s="196">
        <f>F246</f>
        <v/>
      </c>
      <c r="J246" s="184" t="n"/>
      <c r="K246" s="185" t="n"/>
      <c r="L246" s="8" t="n"/>
      <c r="M246" s="71">
        <f>L246</f>
        <v/>
      </c>
      <c r="N246" s="71" t="n"/>
      <c r="O246" s="101" t="n"/>
      <c r="P246" s="9">
        <f>I246-M246</f>
        <v/>
      </c>
      <c r="Q246" s="9">
        <f>IF(LEFT(B246,4)&lt;&gt;"    ",0,BN246)</f>
        <v/>
      </c>
      <c r="R246" s="9">
        <f>+P246-Q246</f>
        <v/>
      </c>
      <c r="S246" s="281" t="n"/>
      <c r="T246" s="10" t="n"/>
      <c r="U246" s="23">
        <f>IF(LEFT(B246,4)&lt;&gt;"    ","",IF(M246&lt;&gt;0,X246/M246,0))</f>
        <v/>
      </c>
      <c r="V246" s="11">
        <f>IF(LEFT(B246,4)&lt;&gt;"    ","",U246*I246)</f>
        <v/>
      </c>
      <c r="W246" s="11">
        <f>IF(LEFT(B246,4)&lt;&gt;"    ","",X246+Z246)</f>
        <v/>
      </c>
      <c r="X246" s="8" t="n"/>
      <c r="Y246" s="9">
        <f>IF(LEFT(B246,4)&lt;&gt;"    ",0,IF(P246&lt;0,P246,IF(U246&gt;0.3,W246-X246,0)))</f>
        <v/>
      </c>
      <c r="Z246" s="71">
        <f>Y246</f>
        <v/>
      </c>
      <c r="AA246" s="71" t="n"/>
      <c r="AB246" s="109" t="n"/>
      <c r="AC246" s="9">
        <f>IF(LEFT(B246,4)&lt;&gt;"    ",0,BK246)</f>
        <v/>
      </c>
      <c r="AD246" s="9">
        <f>Z246-AC246</f>
        <v/>
      </c>
      <c r="AE246" s="10" t="n"/>
      <c r="AF246" s="24" t="n"/>
      <c r="AG246" s="11" t="n"/>
      <c r="AH246" s="8" t="n"/>
      <c r="AI246" s="9">
        <f>IF(LEFT(B246,4)&lt;&gt;"    ","",AG246-AH246)</f>
        <v/>
      </c>
      <c r="AJ246" s="9" t="n"/>
      <c r="AK246" s="10" t="n"/>
      <c r="AL246" s="11">
        <f>IF(LEFT(B246,4)&lt;&gt;"    ","",W246-AG246)</f>
        <v/>
      </c>
      <c r="AM246" s="8">
        <f>IF(LEFT(B246,4)&lt;&gt;"    ","",X246-AH246)</f>
        <v/>
      </c>
      <c r="AN246" s="9">
        <f>IF(LEFT(B246,4)&lt;&gt;"    ","",Y246-AI246)</f>
        <v/>
      </c>
      <c r="AO246" s="9">
        <f>IF(LEFT(B246,4)&lt;&gt;"    ","",Z246-AJ246)</f>
        <v/>
      </c>
      <c r="AP246" s="10" t="n"/>
      <c r="AQ246" s="25">
        <f>IF(LEFT(B246,4)&lt;&gt;"    ","",I246-W246)</f>
        <v/>
      </c>
      <c r="AR246" s="25">
        <f>M246-X246</f>
        <v/>
      </c>
      <c r="AS246" s="25">
        <f>IF(LEFT(B246,4)&lt;&gt;"    ","",P246-Z246)</f>
        <v/>
      </c>
      <c r="AT246" s="10" t="n"/>
      <c r="AU246" s="12" t="n"/>
      <c r="AV246" s="12">
        <f>IF(LEFT(B246,4)&lt;&gt;"    ","",IF(W246-AU246&gt;=0,W246-AU246," "))</f>
        <v/>
      </c>
      <c r="AW246" s="12">
        <f>IF(LEFT(B246,4)&lt;&gt;"    ","",IF(AU246-W246&gt;=0,AU246-W246," "))</f>
        <v/>
      </c>
      <c r="AX246" s="186" t="n"/>
      <c r="AY246" s="187" t="n"/>
      <c r="AZ246" s="186" t="n"/>
      <c r="BA246" s="186" t="n"/>
      <c r="BB246" s="188" t="n"/>
      <c r="BC246" s="187" t="n"/>
      <c r="BD246" s="187" t="n"/>
      <c r="BE246" s="186" t="n"/>
      <c r="BF246" s="186" t="n"/>
      <c r="BG246" s="186" t="n"/>
      <c r="BH246" s="186" t="n"/>
      <c r="BI246" s="186" t="n"/>
      <c r="BJ246" s="186" t="n"/>
      <c r="BK246" s="186" t="n"/>
      <c r="BL246" s="186" t="n"/>
      <c r="BM246" s="186" t="n"/>
      <c r="BN246" s="186" t="n"/>
      <c r="BO246" s="186" t="n"/>
      <c r="BP246" s="186" t="n"/>
      <c r="BQ246" s="186" t="n"/>
      <c r="BR246" s="186" t="n"/>
      <c r="BS246" s="186" t="n"/>
      <c r="BT246" s="186" t="n"/>
      <c r="BU246" s="186" t="n"/>
      <c r="BV246" s="186" t="n"/>
      <c r="BW246" s="186" t="n"/>
      <c r="BX246" s="186" t="n"/>
      <c r="BY246" s="186" t="n"/>
      <c r="BZ246" s="186" t="n"/>
      <c r="CA246" s="186" t="n"/>
      <c r="CB246" s="186" t="n"/>
      <c r="CC246" s="190" t="n"/>
      <c r="CD246" s="186" t="n"/>
      <c r="CE246" s="186" t="n"/>
      <c r="CF246" s="186" t="n"/>
      <c r="CG246" s="186" t="n"/>
      <c r="CH246" s="186" t="n"/>
      <c r="CI246" s="191" t="n"/>
      <c r="CJ246" s="192" t="n"/>
      <c r="CK246" s="192" t="n"/>
      <c r="CL246" s="192" t="n"/>
      <c r="CM246" s="192" t="n"/>
    </row>
    <row r="247">
      <c r="A247" s="177" t="n"/>
      <c r="B247" s="178" t="n"/>
      <c r="C247" s="178" t="n"/>
      <c r="D247" s="179" t="n"/>
      <c r="E247" s="180" t="n"/>
      <c r="F247" s="181" t="n"/>
      <c r="G247" s="182" t="n"/>
      <c r="H247" s="105" t="n"/>
      <c r="I247" s="196">
        <f>F247</f>
        <v/>
      </c>
      <c r="J247" s="184" t="n"/>
      <c r="K247" s="185" t="n"/>
      <c r="L247" s="8" t="n"/>
      <c r="M247" s="71">
        <f>L247</f>
        <v/>
      </c>
      <c r="N247" s="71" t="n"/>
      <c r="O247" s="101" t="n"/>
      <c r="P247" s="9">
        <f>I247-M247</f>
        <v/>
      </c>
      <c r="Q247" s="9">
        <f>IF(LEFT(B247,4)&lt;&gt;"    ",0,BN247)</f>
        <v/>
      </c>
      <c r="R247" s="9">
        <f>+P247-Q247</f>
        <v/>
      </c>
      <c r="S247" s="281" t="n"/>
      <c r="T247" s="10" t="n"/>
      <c r="U247" s="23">
        <f>IF(LEFT(B247,4)&lt;&gt;"    ","",IF(M247&lt;&gt;0,X247/M247,0))</f>
        <v/>
      </c>
      <c r="V247" s="11">
        <f>IF(LEFT(B247,4)&lt;&gt;"    ","",U247*I247)</f>
        <v/>
      </c>
      <c r="W247" s="11">
        <f>IF(LEFT(B247,4)&lt;&gt;"    ","",X247+Z247)</f>
        <v/>
      </c>
      <c r="X247" s="8" t="n"/>
      <c r="Y247" s="9">
        <f>IF(LEFT(B247,4)&lt;&gt;"    ",0,IF(P247&lt;0,P247,IF(U247&gt;0.3,W247-X247,0)))</f>
        <v/>
      </c>
      <c r="Z247" s="71">
        <f>Y247</f>
        <v/>
      </c>
      <c r="AA247" s="71" t="n"/>
      <c r="AB247" s="109" t="n"/>
      <c r="AC247" s="9">
        <f>IF(LEFT(B247,4)&lt;&gt;"    ",0,BK247)</f>
        <v/>
      </c>
      <c r="AD247" s="9">
        <f>Z247-AC247</f>
        <v/>
      </c>
      <c r="AE247" s="10" t="n"/>
      <c r="AF247" s="24" t="n"/>
      <c r="AG247" s="11" t="n"/>
      <c r="AH247" s="8" t="n"/>
      <c r="AI247" s="9">
        <f>IF(LEFT(B247,4)&lt;&gt;"    ","",AG247-AH247)</f>
        <v/>
      </c>
      <c r="AJ247" s="9" t="n"/>
      <c r="AK247" s="10" t="n"/>
      <c r="AL247" s="11">
        <f>IF(LEFT(B247,4)&lt;&gt;"    ","",W247-AG247)</f>
        <v/>
      </c>
      <c r="AM247" s="8">
        <f>IF(LEFT(B247,4)&lt;&gt;"    ","",X247-AH247)</f>
        <v/>
      </c>
      <c r="AN247" s="9">
        <f>IF(LEFT(B247,4)&lt;&gt;"    ","",Y247-AI247)</f>
        <v/>
      </c>
      <c r="AO247" s="9">
        <f>IF(LEFT(B247,4)&lt;&gt;"    ","",Z247-AJ247)</f>
        <v/>
      </c>
      <c r="AP247" s="10" t="n"/>
      <c r="AQ247" s="25">
        <f>IF(LEFT(B247,4)&lt;&gt;"    ","",I247-W247)</f>
        <v/>
      </c>
      <c r="AR247" s="25">
        <f>M247-X247</f>
        <v/>
      </c>
      <c r="AS247" s="25">
        <f>IF(LEFT(B247,4)&lt;&gt;"    ","",P247-Z247)</f>
        <v/>
      </c>
      <c r="AT247" s="10" t="n"/>
      <c r="AU247" s="12" t="n"/>
      <c r="AV247" s="12">
        <f>IF(LEFT(B247,4)&lt;&gt;"    ","",IF(W247-AU247&gt;=0,W247-AU247," "))</f>
        <v/>
      </c>
      <c r="AW247" s="12">
        <f>IF(LEFT(B247,4)&lt;&gt;"    ","",IF(AU247-W247&gt;=0,AU247-W247," "))</f>
        <v/>
      </c>
      <c r="AX247" s="186" t="n"/>
      <c r="AY247" s="187" t="n"/>
      <c r="AZ247" s="186" t="n"/>
      <c r="BA247" s="186" t="n"/>
      <c r="BB247" s="188" t="n"/>
      <c r="BC247" s="187" t="n"/>
      <c r="BD247" s="187" t="n"/>
      <c r="BE247" s="186" t="n"/>
      <c r="BF247" s="186" t="n"/>
      <c r="BG247" s="186" t="n"/>
      <c r="BH247" s="186" t="n"/>
      <c r="BI247" s="186" t="n"/>
      <c r="BJ247" s="186" t="n"/>
      <c r="BK247" s="186" t="n"/>
      <c r="BL247" s="186" t="n"/>
      <c r="BM247" s="186" t="n"/>
      <c r="BN247" s="186" t="n"/>
      <c r="BO247" s="186" t="n"/>
      <c r="BP247" s="186" t="n"/>
      <c r="BQ247" s="186" t="n"/>
      <c r="BR247" s="186" t="n"/>
      <c r="BS247" s="186" t="n"/>
      <c r="BT247" s="186" t="n"/>
      <c r="BU247" s="186" t="n"/>
      <c r="BV247" s="186" t="n"/>
      <c r="BW247" s="186" t="n"/>
      <c r="BX247" s="186" t="n"/>
      <c r="BY247" s="186" t="n"/>
      <c r="BZ247" s="186" t="n"/>
      <c r="CA247" s="186" t="n"/>
      <c r="CB247" s="186" t="n"/>
      <c r="CC247" s="190" t="n"/>
      <c r="CD247" s="186" t="n"/>
      <c r="CE247" s="186" t="n"/>
      <c r="CF247" s="186" t="n"/>
      <c r="CG247" s="186" t="n"/>
      <c r="CH247" s="186" t="n"/>
      <c r="CI247" s="191" t="n"/>
      <c r="CJ247" s="192" t="n"/>
      <c r="CK247" s="192" t="n"/>
      <c r="CL247" s="192" t="n"/>
      <c r="CM247" s="192" t="n"/>
    </row>
    <row r="248">
      <c r="A248" s="177" t="n"/>
      <c r="B248" s="178" t="n"/>
      <c r="C248" s="178" t="n"/>
      <c r="D248" s="179" t="n"/>
      <c r="E248" s="180" t="n"/>
      <c r="F248" s="181" t="n"/>
      <c r="G248" s="182" t="n"/>
      <c r="H248" s="105" t="n"/>
      <c r="I248" s="196">
        <f>F248</f>
        <v/>
      </c>
      <c r="J248" s="184" t="n"/>
      <c r="K248" s="185" t="n"/>
      <c r="L248" s="8" t="n"/>
      <c r="M248" s="71">
        <f>L248</f>
        <v/>
      </c>
      <c r="N248" s="71" t="n"/>
      <c r="O248" s="101" t="n"/>
      <c r="P248" s="9">
        <f>I248-M248</f>
        <v/>
      </c>
      <c r="Q248" s="9">
        <f>IF(LEFT(B248,4)&lt;&gt;"    ",0,BN248)</f>
        <v/>
      </c>
      <c r="R248" s="9">
        <f>+P248-Q248</f>
        <v/>
      </c>
      <c r="S248" s="281" t="n"/>
      <c r="T248" s="10" t="n"/>
      <c r="U248" s="23">
        <f>IF(LEFT(B248,4)&lt;&gt;"    ","",IF(M248&lt;&gt;0,X248/M248,0))</f>
        <v/>
      </c>
      <c r="V248" s="11">
        <f>IF(LEFT(B248,4)&lt;&gt;"    ","",U248*I248)</f>
        <v/>
      </c>
      <c r="W248" s="11">
        <f>IF(LEFT(B248,4)&lt;&gt;"    ","",X248+Z248)</f>
        <v/>
      </c>
      <c r="X248" s="8" t="n"/>
      <c r="Y248" s="9">
        <f>IF(LEFT(B248,4)&lt;&gt;"    ",0,IF(P248&lt;0,P248,IF(U248&gt;0.3,W248-X248,0)))</f>
        <v/>
      </c>
      <c r="Z248" s="71">
        <f>Y248</f>
        <v/>
      </c>
      <c r="AA248" s="71" t="n"/>
      <c r="AB248" s="109" t="n"/>
      <c r="AC248" s="9">
        <f>IF(LEFT(B248,4)&lt;&gt;"    ",0,BK248)</f>
        <v/>
      </c>
      <c r="AD248" s="9">
        <f>Z248-AC248</f>
        <v/>
      </c>
      <c r="AE248" s="10" t="n"/>
      <c r="AF248" s="24" t="n"/>
      <c r="AG248" s="11" t="n"/>
      <c r="AH248" s="8" t="n"/>
      <c r="AI248" s="9">
        <f>IF(LEFT(B248,4)&lt;&gt;"    ","",AG248-AH248)</f>
        <v/>
      </c>
      <c r="AJ248" s="9" t="n"/>
      <c r="AK248" s="10" t="n"/>
      <c r="AL248" s="11">
        <f>IF(LEFT(B248,4)&lt;&gt;"    ","",W248-AG248)</f>
        <v/>
      </c>
      <c r="AM248" s="8">
        <f>IF(LEFT(B248,4)&lt;&gt;"    ","",X248-AH248)</f>
        <v/>
      </c>
      <c r="AN248" s="9">
        <f>IF(LEFT(B248,4)&lt;&gt;"    ","",Y248-AI248)</f>
        <v/>
      </c>
      <c r="AO248" s="9">
        <f>IF(LEFT(B248,4)&lt;&gt;"    ","",Z248-AJ248)</f>
        <v/>
      </c>
      <c r="AP248" s="10" t="n"/>
      <c r="AQ248" s="25">
        <f>IF(LEFT(B248,4)&lt;&gt;"    ","",I248-W248)</f>
        <v/>
      </c>
      <c r="AR248" s="25">
        <f>M248-X248</f>
        <v/>
      </c>
      <c r="AS248" s="25">
        <f>IF(LEFT(B248,4)&lt;&gt;"    ","",P248-Z248)</f>
        <v/>
      </c>
      <c r="AT248" s="10" t="n"/>
      <c r="AU248" s="12" t="n"/>
      <c r="AV248" s="12">
        <f>IF(LEFT(B248,4)&lt;&gt;"    ","",IF(W248-AU248&gt;=0,W248-AU248," "))</f>
        <v/>
      </c>
      <c r="AW248" s="12">
        <f>IF(LEFT(B248,4)&lt;&gt;"    ","",IF(AU248-W248&gt;=0,AU248-W248," "))</f>
        <v/>
      </c>
      <c r="AX248" s="186" t="n"/>
      <c r="AY248" s="187" t="n"/>
      <c r="AZ248" s="186" t="n"/>
      <c r="BA248" s="186" t="n"/>
      <c r="BB248" s="188" t="n"/>
      <c r="BC248" s="187" t="n"/>
      <c r="BD248" s="187" t="n"/>
      <c r="BE248" s="186" t="n"/>
      <c r="BF248" s="186" t="n"/>
      <c r="BG248" s="186" t="n"/>
      <c r="BH248" s="186" t="n"/>
      <c r="BI248" s="186" t="n"/>
      <c r="BJ248" s="186" t="n"/>
      <c r="BK248" s="186" t="n"/>
      <c r="BL248" s="186" t="n"/>
      <c r="BM248" s="186" t="n"/>
      <c r="BN248" s="186" t="n"/>
      <c r="BO248" s="186" t="n"/>
      <c r="BP248" s="186" t="n"/>
      <c r="BQ248" s="186" t="n"/>
      <c r="BR248" s="186" t="n"/>
      <c r="BS248" s="186" t="n"/>
      <c r="BT248" s="186" t="n"/>
      <c r="BU248" s="186" t="n"/>
      <c r="BV248" s="186" t="n"/>
      <c r="BW248" s="186" t="n"/>
      <c r="BX248" s="186" t="n"/>
      <c r="BY248" s="186" t="n"/>
      <c r="BZ248" s="186" t="n"/>
      <c r="CA248" s="186" t="n"/>
      <c r="CB248" s="186" t="n"/>
      <c r="CC248" s="190" t="n"/>
      <c r="CD248" s="186" t="n"/>
      <c r="CE248" s="186" t="n"/>
      <c r="CF248" s="186" t="n"/>
      <c r="CG248" s="186" t="n"/>
      <c r="CH248" s="186" t="n"/>
      <c r="CI248" s="191" t="n"/>
      <c r="CJ248" s="192" t="n"/>
      <c r="CK248" s="192" t="n"/>
      <c r="CL248" s="192" t="n"/>
      <c r="CM248" s="192" t="n"/>
    </row>
    <row r="249">
      <c r="A249" s="177" t="n"/>
      <c r="B249" s="178" t="n"/>
      <c r="C249" s="178" t="n"/>
      <c r="D249" s="179" t="n"/>
      <c r="E249" s="180" t="n"/>
      <c r="F249" s="181" t="n"/>
      <c r="G249" s="182" t="n"/>
      <c r="H249" s="105" t="n"/>
      <c r="I249" s="196">
        <f>F249</f>
        <v/>
      </c>
      <c r="J249" s="184" t="n"/>
      <c r="K249" s="185" t="n"/>
      <c r="L249" s="8" t="n"/>
      <c r="M249" s="184">
        <f>L249</f>
        <v/>
      </c>
      <c r="N249" s="184" t="n"/>
      <c r="O249" s="185" t="n"/>
      <c r="P249" s="9">
        <f>I249-M249</f>
        <v/>
      </c>
      <c r="Q249" s="9">
        <f>IF(LEFT(B249,4)&lt;&gt;"    ",0,BN249)</f>
        <v/>
      </c>
      <c r="R249" s="9">
        <f>+P249-Q249</f>
        <v/>
      </c>
      <c r="S249" s="281" t="n"/>
      <c r="T249" s="10" t="n"/>
      <c r="U249" s="23">
        <f>IF(LEFT(B249,4)&lt;&gt;"    ","",IF(M249&lt;&gt;0,X249/M249,0))</f>
        <v/>
      </c>
      <c r="V249" s="11">
        <f>IF(LEFT(B249,4)&lt;&gt;"    ","",U249*I249)</f>
        <v/>
      </c>
      <c r="W249" s="11">
        <f>IF(LEFT(B249,4)&lt;&gt;"    ","",X249+Z249)</f>
        <v/>
      </c>
      <c r="X249" s="8" t="n"/>
      <c r="Y249" s="9">
        <f>IF(LEFT(B249,4)&lt;&gt;"    ",0,IF(P249&lt;0,P249,IF(U249&gt;0.3,W249-X249,0)))</f>
        <v/>
      </c>
      <c r="Z249" s="71">
        <f>Y249</f>
        <v/>
      </c>
      <c r="AA249" s="71" t="n"/>
      <c r="AB249" s="109" t="n"/>
      <c r="AC249" s="9">
        <f>IF(LEFT(B249,4)&lt;&gt;"    ",0,BK249)</f>
        <v/>
      </c>
      <c r="AD249" s="9">
        <f>Z249-AC249</f>
        <v/>
      </c>
      <c r="AE249" s="10" t="n"/>
      <c r="AF249" s="24" t="n"/>
      <c r="AG249" s="11" t="n"/>
      <c r="AH249" s="8" t="n"/>
      <c r="AI249" s="9">
        <f>IF(LEFT(B249,4)&lt;&gt;"    ","",AG249-AH249)</f>
        <v/>
      </c>
      <c r="AJ249" s="9" t="n"/>
      <c r="AK249" s="10" t="n"/>
      <c r="AL249" s="11">
        <f>IF(LEFT(B249,4)&lt;&gt;"    ","",W249-AG249)</f>
        <v/>
      </c>
      <c r="AM249" s="8">
        <f>IF(LEFT(B249,4)&lt;&gt;"    ","",X249-AH249)</f>
        <v/>
      </c>
      <c r="AN249" s="9">
        <f>IF(LEFT(B249,4)&lt;&gt;"    ","",Y249-AI249)</f>
        <v/>
      </c>
      <c r="AO249" s="9">
        <f>IF(LEFT(B249,4)&lt;&gt;"    ","",Z249-AJ249)</f>
        <v/>
      </c>
      <c r="AP249" s="10" t="n"/>
      <c r="AQ249" s="25">
        <f>IF(LEFT(B249,4)&lt;&gt;"    ","",I249-W249)</f>
        <v/>
      </c>
      <c r="AR249" s="25">
        <f>M249-X249</f>
        <v/>
      </c>
      <c r="AS249" s="25">
        <f>IF(LEFT(B249,4)&lt;&gt;"    ","",P249-Z249)</f>
        <v/>
      </c>
      <c r="AT249" s="10" t="n"/>
      <c r="AU249" s="12" t="n"/>
      <c r="AV249" s="12">
        <f>IF(LEFT(B249,4)&lt;&gt;"    ","",IF(W249-AU249&gt;=0,W249-AU249," "))</f>
        <v/>
      </c>
      <c r="AW249" s="12">
        <f>IF(LEFT(B249,4)&lt;&gt;"    ","",IF(AU249-W249&gt;=0,AU249-W249," "))</f>
        <v/>
      </c>
      <c r="AX249" s="186" t="n"/>
      <c r="AY249" s="187" t="n"/>
      <c r="AZ249" s="186" t="n"/>
      <c r="BA249" s="186" t="n"/>
      <c r="BB249" s="188" t="n"/>
      <c r="BC249" s="187" t="n"/>
      <c r="BD249" s="187" t="n"/>
      <c r="BE249" s="186" t="n"/>
      <c r="BF249" s="186" t="n"/>
      <c r="BG249" s="186" t="n"/>
      <c r="BH249" s="186" t="n"/>
      <c r="BI249" s="186" t="n"/>
      <c r="BJ249" s="186" t="n"/>
      <c r="BK249" s="186" t="n"/>
      <c r="BL249" s="186" t="n"/>
      <c r="BM249" s="186" t="n"/>
      <c r="BN249" s="186" t="n"/>
      <c r="BO249" s="186" t="n"/>
      <c r="BP249" s="186" t="n"/>
      <c r="BQ249" s="186" t="n"/>
      <c r="BR249" s="186" t="n"/>
      <c r="BS249" s="186" t="n"/>
      <c r="BT249" s="186" t="n"/>
      <c r="BU249" s="186" t="n"/>
      <c r="BV249" s="186" t="n"/>
      <c r="BW249" s="186" t="n"/>
      <c r="BX249" s="186" t="n"/>
      <c r="BY249" s="186" t="n"/>
      <c r="BZ249" s="186" t="n"/>
      <c r="CA249" s="186" t="n"/>
      <c r="CB249" s="186" t="n"/>
      <c r="CC249" s="190" t="n"/>
      <c r="CD249" s="186" t="n"/>
      <c r="CE249" s="186" t="n"/>
      <c r="CF249" s="186" t="n"/>
      <c r="CG249" s="186" t="n"/>
      <c r="CH249" s="186" t="n"/>
      <c r="CI249" s="191" t="n"/>
      <c r="CJ249" s="192" t="n"/>
      <c r="CK249" s="192" t="n"/>
      <c r="CL249" s="192" t="n"/>
      <c r="CM249" s="192" t="n"/>
    </row>
    <row r="250">
      <c r="A250" s="177" t="n"/>
      <c r="B250" s="178" t="n"/>
      <c r="C250" s="178" t="n"/>
      <c r="D250" s="179" t="n"/>
      <c r="E250" s="180" t="n"/>
      <c r="F250" s="181" t="n"/>
      <c r="G250" s="182" t="n"/>
      <c r="H250" s="105" t="n"/>
      <c r="I250" s="196">
        <f>F250</f>
        <v/>
      </c>
      <c r="J250" s="184" t="n"/>
      <c r="K250" s="185" t="n"/>
      <c r="L250" s="8" t="n"/>
      <c r="M250" s="71">
        <f>L250</f>
        <v/>
      </c>
      <c r="N250" s="71" t="n"/>
      <c r="O250" s="101" t="n"/>
      <c r="P250" s="9">
        <f>I250-M250</f>
        <v/>
      </c>
      <c r="Q250" s="9">
        <f>IF(LEFT(B250,4)&lt;&gt;"    ",0,BN250)</f>
        <v/>
      </c>
      <c r="R250" s="9">
        <f>+P250-Q250</f>
        <v/>
      </c>
      <c r="S250" s="281" t="n"/>
      <c r="T250" s="10" t="n"/>
      <c r="U250" s="23">
        <f>IF(LEFT(B250,4)&lt;&gt;"    ","",IF(M250&lt;&gt;0,X250/M250,0))</f>
        <v/>
      </c>
      <c r="V250" s="11">
        <f>IF(LEFT(B250,4)&lt;&gt;"    ","",U250*I250)</f>
        <v/>
      </c>
      <c r="W250" s="11">
        <f>IF(LEFT(B250,4)&lt;&gt;"    ","",X250+Z250)</f>
        <v/>
      </c>
      <c r="X250" s="8" t="n"/>
      <c r="Y250" s="9">
        <f>IF(LEFT(B250,4)&lt;&gt;"    ",0,IF(P250&lt;0,P250,IF(U250&gt;0.3,W250-X250,0)))</f>
        <v/>
      </c>
      <c r="Z250" s="71">
        <f>Y250</f>
        <v/>
      </c>
      <c r="AA250" s="71" t="n"/>
      <c r="AB250" s="109" t="n"/>
      <c r="AC250" s="9">
        <f>IF(LEFT(B250,4)&lt;&gt;"    ",0,BK250)</f>
        <v/>
      </c>
      <c r="AD250" s="9">
        <f>Z250-AC250</f>
        <v/>
      </c>
      <c r="AE250" s="10" t="n"/>
      <c r="AF250" s="24" t="n"/>
      <c r="AG250" s="11" t="n"/>
      <c r="AH250" s="8" t="n"/>
      <c r="AI250" s="9">
        <f>IF(LEFT(B250,4)&lt;&gt;"    ","",AG250-AH250)</f>
        <v/>
      </c>
      <c r="AJ250" s="9" t="n"/>
      <c r="AK250" s="10" t="n"/>
      <c r="AL250" s="11">
        <f>IF(LEFT(B250,4)&lt;&gt;"    ","",W250-AG250)</f>
        <v/>
      </c>
      <c r="AM250" s="8">
        <f>IF(LEFT(B250,4)&lt;&gt;"    ","",X250-AH250)</f>
        <v/>
      </c>
      <c r="AN250" s="9">
        <f>IF(LEFT(B250,4)&lt;&gt;"    ","",Y250-AI250)</f>
        <v/>
      </c>
      <c r="AO250" s="9">
        <f>IF(LEFT(B250,4)&lt;&gt;"    ","",Z250-AJ250)</f>
        <v/>
      </c>
      <c r="AP250" s="10" t="n"/>
      <c r="AQ250" s="25">
        <f>IF(LEFT(B250,4)&lt;&gt;"    ","",I250-W250)</f>
        <v/>
      </c>
      <c r="AR250" s="25">
        <f>M250-X250</f>
        <v/>
      </c>
      <c r="AS250" s="25">
        <f>IF(LEFT(B250,4)&lt;&gt;"    ","",P250-Z250)</f>
        <v/>
      </c>
      <c r="AT250" s="10" t="n"/>
      <c r="AU250" s="12" t="n"/>
      <c r="AV250" s="12">
        <f>IF(LEFT(B250,4)&lt;&gt;"    ","",IF(W250-AU250&gt;=0,W250-AU250," "))</f>
        <v/>
      </c>
      <c r="AW250" s="12">
        <f>IF(LEFT(B250,4)&lt;&gt;"    ","",IF(AU250-W250&gt;=0,AU250-W250," "))</f>
        <v/>
      </c>
      <c r="AX250" s="186" t="n"/>
      <c r="AY250" s="187" t="n"/>
      <c r="AZ250" s="186" t="n"/>
      <c r="BA250" s="186" t="n"/>
      <c r="BB250" s="188" t="n"/>
      <c r="BC250" s="187" t="n"/>
      <c r="BD250" s="187" t="n"/>
      <c r="BE250" s="186" t="n"/>
      <c r="BF250" s="186" t="n"/>
      <c r="BG250" s="186" t="n"/>
      <c r="BH250" s="186" t="n"/>
      <c r="BI250" s="186" t="n"/>
      <c r="BJ250" s="186" t="n"/>
      <c r="BK250" s="186" t="n"/>
      <c r="BL250" s="186" t="n"/>
      <c r="BM250" s="186" t="n"/>
      <c r="BN250" s="186" t="n"/>
      <c r="BO250" s="186" t="n"/>
      <c r="BP250" s="186" t="n"/>
      <c r="BQ250" s="186" t="n"/>
      <c r="BR250" s="186" t="n"/>
      <c r="BS250" s="186" t="n"/>
      <c r="BT250" s="186" t="n"/>
      <c r="BU250" s="186" t="n"/>
      <c r="BV250" s="186" t="n"/>
      <c r="BW250" s="186" t="n"/>
      <c r="BX250" s="186" t="n"/>
      <c r="BY250" s="186" t="n"/>
      <c r="BZ250" s="186" t="n"/>
      <c r="CA250" s="186" t="n"/>
      <c r="CB250" s="186" t="n"/>
      <c r="CC250" s="190" t="n"/>
      <c r="CD250" s="186" t="n"/>
      <c r="CE250" s="186" t="n"/>
      <c r="CF250" s="186" t="n"/>
      <c r="CG250" s="186" t="n"/>
      <c r="CH250" s="186" t="n"/>
      <c r="CI250" s="191" t="n"/>
      <c r="CJ250" s="192" t="n"/>
      <c r="CK250" s="192" t="n"/>
      <c r="CL250" s="192" t="n"/>
      <c r="CM250" s="192" t="n"/>
    </row>
    <row r="251">
      <c r="A251" s="177" t="n"/>
      <c r="B251" s="178" t="n"/>
      <c r="C251" s="178" t="n"/>
      <c r="D251" s="179" t="n"/>
      <c r="E251" s="180" t="n"/>
      <c r="F251" s="181" t="n"/>
      <c r="G251" s="182" t="n"/>
      <c r="H251" s="105" t="n"/>
      <c r="I251" s="196">
        <f>F251</f>
        <v/>
      </c>
      <c r="J251" s="184" t="n"/>
      <c r="K251" s="185" t="n"/>
      <c r="L251" s="8" t="n"/>
      <c r="M251" s="71">
        <f>L251</f>
        <v/>
      </c>
      <c r="N251" s="71" t="n"/>
      <c r="O251" s="101" t="n"/>
      <c r="P251" s="9">
        <f>I251-M251</f>
        <v/>
      </c>
      <c r="Q251" s="9">
        <f>IF(LEFT(B251,4)&lt;&gt;"    ",0,BN251)</f>
        <v/>
      </c>
      <c r="R251" s="9">
        <f>+P251-Q251</f>
        <v/>
      </c>
      <c r="S251" s="281" t="n"/>
      <c r="T251" s="10" t="n"/>
      <c r="U251" s="23">
        <f>IF(LEFT(B251,4)&lt;&gt;"    ","",IF(M251&lt;&gt;0,X251/M251,0))</f>
        <v/>
      </c>
      <c r="V251" s="11">
        <f>IF(LEFT(B251,4)&lt;&gt;"    ","",U251*I251)</f>
        <v/>
      </c>
      <c r="W251" s="11">
        <f>IF(LEFT(B251,4)&lt;&gt;"    ","",X251+Z251)</f>
        <v/>
      </c>
      <c r="X251" s="8" t="n"/>
      <c r="Y251" s="9">
        <f>IF(LEFT(B251,4)&lt;&gt;"    ",0,IF(P251&lt;0,P251,IF(U251&gt;0.3,W251-X251,0)))</f>
        <v/>
      </c>
      <c r="Z251" s="71">
        <f>Y251</f>
        <v/>
      </c>
      <c r="AA251" s="71" t="n"/>
      <c r="AB251" s="109" t="n"/>
      <c r="AC251" s="9">
        <f>IF(LEFT(B251,4)&lt;&gt;"    ",0,BK251)</f>
        <v/>
      </c>
      <c r="AD251" s="9">
        <f>Z251-AC251</f>
        <v/>
      </c>
      <c r="AE251" s="10" t="n"/>
      <c r="AF251" s="24" t="n"/>
      <c r="AG251" s="11" t="n"/>
      <c r="AH251" s="8" t="n"/>
      <c r="AI251" s="9">
        <f>IF(LEFT(B251,4)&lt;&gt;"    ","",AG251-AH251)</f>
        <v/>
      </c>
      <c r="AJ251" s="9" t="n"/>
      <c r="AK251" s="10" t="n"/>
      <c r="AL251" s="11">
        <f>IF(LEFT(B251,4)&lt;&gt;"    ","",W251-AG251)</f>
        <v/>
      </c>
      <c r="AM251" s="8">
        <f>IF(LEFT(B251,4)&lt;&gt;"    ","",X251-AH251)</f>
        <v/>
      </c>
      <c r="AN251" s="9">
        <f>IF(LEFT(B251,4)&lt;&gt;"    ","",Y251-AI251)</f>
        <v/>
      </c>
      <c r="AO251" s="9">
        <f>IF(LEFT(B251,4)&lt;&gt;"    ","",Z251-AJ251)</f>
        <v/>
      </c>
      <c r="AP251" s="10" t="n"/>
      <c r="AQ251" s="25">
        <f>IF(LEFT(B251,4)&lt;&gt;"    ","",I251-W251)</f>
        <v/>
      </c>
      <c r="AR251" s="25">
        <f>M251-X251</f>
        <v/>
      </c>
      <c r="AS251" s="25">
        <f>IF(LEFT(B251,4)&lt;&gt;"    ","",P251-Z251)</f>
        <v/>
      </c>
      <c r="AT251" s="10" t="n"/>
      <c r="AU251" s="12" t="n"/>
      <c r="AV251" s="12">
        <f>IF(LEFT(B251,4)&lt;&gt;"    ","",IF(W251-AU251&gt;=0,W251-AU251," "))</f>
        <v/>
      </c>
      <c r="AW251" s="12">
        <f>IF(LEFT(B251,4)&lt;&gt;"    ","",IF(AU251-W251&gt;=0,AU251-W251," "))</f>
        <v/>
      </c>
      <c r="AX251" s="186" t="n"/>
      <c r="AY251" s="187" t="n"/>
      <c r="AZ251" s="186" t="n"/>
      <c r="BA251" s="186" t="n"/>
      <c r="BB251" s="188" t="n"/>
      <c r="BC251" s="187" t="n"/>
      <c r="BD251" s="187" t="n"/>
      <c r="BE251" s="186" t="n"/>
      <c r="BF251" s="186" t="n"/>
      <c r="BG251" s="186" t="n"/>
      <c r="BH251" s="186" t="n"/>
      <c r="BI251" s="186" t="n"/>
      <c r="BJ251" s="186" t="n"/>
      <c r="BK251" s="186" t="n"/>
      <c r="BL251" s="186" t="n"/>
      <c r="BM251" s="186" t="n"/>
      <c r="BN251" s="186" t="n"/>
      <c r="BO251" s="186" t="n"/>
      <c r="BP251" s="186" t="n"/>
      <c r="BQ251" s="186" t="n"/>
      <c r="BR251" s="186" t="n"/>
      <c r="BS251" s="186" t="n"/>
      <c r="BT251" s="186" t="n"/>
      <c r="BU251" s="186" t="n"/>
      <c r="BV251" s="186" t="n"/>
      <c r="BW251" s="186" t="n"/>
      <c r="BX251" s="186" t="n"/>
      <c r="BY251" s="186" t="n"/>
      <c r="BZ251" s="186" t="n"/>
      <c r="CA251" s="186" t="n"/>
      <c r="CB251" s="186" t="n"/>
      <c r="CC251" s="190" t="n"/>
      <c r="CD251" s="186" t="n"/>
      <c r="CE251" s="186" t="n"/>
      <c r="CF251" s="186" t="n"/>
      <c r="CG251" s="186" t="n"/>
      <c r="CH251" s="186" t="n"/>
      <c r="CI251" s="191" t="n"/>
      <c r="CJ251" s="192" t="n"/>
      <c r="CK251" s="192" t="n"/>
      <c r="CL251" s="192" t="n"/>
      <c r="CM251" s="192" t="n"/>
    </row>
    <row r="252">
      <c r="A252" s="177" t="n"/>
      <c r="B252" s="178" t="n"/>
      <c r="C252" s="178" t="n"/>
      <c r="D252" s="179" t="n"/>
      <c r="E252" s="180" t="n"/>
      <c r="F252" s="181" t="n"/>
      <c r="G252" s="182" t="n"/>
      <c r="H252" s="105" t="n"/>
      <c r="I252" s="196">
        <f>F252</f>
        <v/>
      </c>
      <c r="J252" s="184" t="n"/>
      <c r="K252" s="185" t="n"/>
      <c r="L252" s="8" t="n"/>
      <c r="M252" s="71">
        <f>L252</f>
        <v/>
      </c>
      <c r="N252" s="71" t="n"/>
      <c r="O252" s="101" t="n"/>
      <c r="P252" s="9">
        <f>I252-M252</f>
        <v/>
      </c>
      <c r="Q252" s="9">
        <f>IF(LEFT(B252,4)&lt;&gt;"    ",0,BN252)</f>
        <v/>
      </c>
      <c r="R252" s="9">
        <f>+P252-Q252</f>
        <v/>
      </c>
      <c r="S252" s="281" t="n"/>
      <c r="T252" s="10" t="n"/>
      <c r="U252" s="23">
        <f>IF(LEFT(B252,4)&lt;&gt;"    ","",IF(M252&lt;&gt;0,X252/M252,0))</f>
        <v/>
      </c>
      <c r="V252" s="11">
        <f>IF(LEFT(B252,4)&lt;&gt;"    ","",U252*I252)</f>
        <v/>
      </c>
      <c r="W252" s="11">
        <f>IF(LEFT(B252,4)&lt;&gt;"    ","",X252+Z252)</f>
        <v/>
      </c>
      <c r="X252" s="8" t="n"/>
      <c r="Y252" s="9">
        <f>IF(LEFT(B252,4)&lt;&gt;"    ",0,IF(P252&lt;0,P252,IF(U252&gt;0.3,W252-X252,0)))</f>
        <v/>
      </c>
      <c r="Z252" s="71">
        <f>Y252</f>
        <v/>
      </c>
      <c r="AA252" s="71" t="n"/>
      <c r="AB252" s="109" t="n"/>
      <c r="AC252" s="9">
        <f>IF(LEFT(B252,4)&lt;&gt;"    ",0,BK252)</f>
        <v/>
      </c>
      <c r="AD252" s="9">
        <f>Z252-AC252</f>
        <v/>
      </c>
      <c r="AE252" s="10" t="n"/>
      <c r="AF252" s="24" t="n"/>
      <c r="AG252" s="11" t="n"/>
      <c r="AH252" s="8" t="n"/>
      <c r="AI252" s="9">
        <f>IF(LEFT(B252,4)&lt;&gt;"    ","",AG252-AH252)</f>
        <v/>
      </c>
      <c r="AJ252" s="9" t="n"/>
      <c r="AK252" s="10" t="n"/>
      <c r="AL252" s="11">
        <f>IF(LEFT(B252,4)&lt;&gt;"    ","",W252-AG252)</f>
        <v/>
      </c>
      <c r="AM252" s="8">
        <f>IF(LEFT(B252,4)&lt;&gt;"    ","",X252-AH252)</f>
        <v/>
      </c>
      <c r="AN252" s="9">
        <f>IF(LEFT(B252,4)&lt;&gt;"    ","",Y252-AI252)</f>
        <v/>
      </c>
      <c r="AO252" s="9">
        <f>IF(LEFT(B252,4)&lt;&gt;"    ","",Z252-AJ252)</f>
        <v/>
      </c>
      <c r="AP252" s="10" t="n"/>
      <c r="AQ252" s="25">
        <f>IF(LEFT(B252,4)&lt;&gt;"    ","",I252-W252)</f>
        <v/>
      </c>
      <c r="AR252" s="25">
        <f>M252-X252</f>
        <v/>
      </c>
      <c r="AS252" s="25">
        <f>IF(LEFT(B252,4)&lt;&gt;"    ","",P252-Z252)</f>
        <v/>
      </c>
      <c r="AT252" s="10" t="n"/>
      <c r="AU252" s="12" t="n"/>
      <c r="AV252" s="12">
        <f>IF(LEFT(B252,4)&lt;&gt;"    ","",IF(W252-AU252&gt;=0,W252-AU252," "))</f>
        <v/>
      </c>
      <c r="AW252" s="12">
        <f>IF(LEFT(B252,4)&lt;&gt;"    ","",IF(AU252-W252&gt;=0,AU252-W252," "))</f>
        <v/>
      </c>
      <c r="AX252" s="186" t="n"/>
      <c r="AY252" s="187" t="n"/>
      <c r="AZ252" s="186" t="n"/>
      <c r="BA252" s="186" t="n"/>
      <c r="BB252" s="188" t="n"/>
      <c r="BC252" s="187" t="n"/>
      <c r="BD252" s="187" t="n"/>
      <c r="BE252" s="186" t="n"/>
      <c r="BF252" s="186" t="n"/>
      <c r="BG252" s="186" t="n"/>
      <c r="BH252" s="186" t="n"/>
      <c r="BI252" s="186" t="n"/>
      <c r="BJ252" s="186" t="n"/>
      <c r="BK252" s="186" t="n"/>
      <c r="BL252" s="186" t="n"/>
      <c r="BM252" s="186" t="n"/>
      <c r="BN252" s="186" t="n"/>
      <c r="BO252" s="186" t="n"/>
      <c r="BP252" s="186" t="n"/>
      <c r="BQ252" s="186" t="n"/>
      <c r="BR252" s="186" t="n"/>
      <c r="BS252" s="186" t="n"/>
      <c r="BT252" s="186" t="n"/>
      <c r="BU252" s="186" t="n"/>
      <c r="BV252" s="186" t="n"/>
      <c r="BW252" s="186" t="n"/>
      <c r="BX252" s="186" t="n"/>
      <c r="BY252" s="186" t="n"/>
      <c r="BZ252" s="186" t="n"/>
      <c r="CA252" s="186" t="n"/>
      <c r="CB252" s="186" t="n"/>
      <c r="CC252" s="190" t="n"/>
      <c r="CD252" s="186" t="n"/>
      <c r="CE252" s="186" t="n"/>
      <c r="CF252" s="186" t="n"/>
      <c r="CG252" s="186" t="n"/>
      <c r="CH252" s="186" t="n"/>
      <c r="CI252" s="191" t="n"/>
      <c r="CJ252" s="192" t="n"/>
      <c r="CK252" s="192" t="n"/>
      <c r="CL252" s="192" t="n"/>
      <c r="CM252" s="192" t="n"/>
    </row>
    <row r="253">
      <c r="A253" s="177" t="n"/>
      <c r="B253" s="178" t="n"/>
      <c r="C253" s="178" t="n"/>
      <c r="D253" s="179" t="n"/>
      <c r="E253" s="180" t="n"/>
      <c r="F253" s="181" t="n"/>
      <c r="G253" s="182" t="n"/>
      <c r="H253" s="105" t="n"/>
      <c r="I253" s="196">
        <f>F253</f>
        <v/>
      </c>
      <c r="J253" s="184" t="n"/>
      <c r="K253" s="185" t="n"/>
      <c r="L253" s="8" t="n"/>
      <c r="M253" s="71">
        <f>L253</f>
        <v/>
      </c>
      <c r="N253" s="71" t="n"/>
      <c r="O253" s="101" t="n"/>
      <c r="P253" s="9">
        <f>I253-M253</f>
        <v/>
      </c>
      <c r="Q253" s="9">
        <f>IF(LEFT(B253,4)&lt;&gt;"    ",0,BN253)</f>
        <v/>
      </c>
      <c r="R253" s="9">
        <f>+P253-Q253</f>
        <v/>
      </c>
      <c r="S253" s="281" t="n"/>
      <c r="T253" s="10" t="n"/>
      <c r="U253" s="23">
        <f>IF(LEFT(B253,4)&lt;&gt;"    ","",IF(M253&lt;&gt;0,X253/M253,0))</f>
        <v/>
      </c>
      <c r="V253" s="11">
        <f>IF(LEFT(B253,4)&lt;&gt;"    ","",U253*I253)</f>
        <v/>
      </c>
      <c r="W253" s="11">
        <f>IF(LEFT(B253,4)&lt;&gt;"    ","",X253+Z253)</f>
        <v/>
      </c>
      <c r="X253" s="8" t="n"/>
      <c r="Y253" s="9">
        <f>IF(LEFT(B253,4)&lt;&gt;"    ",0,IF(P253&lt;0,P253,IF(U253&gt;0.3,W253-X253,0)))</f>
        <v/>
      </c>
      <c r="Z253" s="71">
        <f>Y253</f>
        <v/>
      </c>
      <c r="AA253" s="71" t="n"/>
      <c r="AB253" s="109" t="n"/>
      <c r="AC253" s="9">
        <f>IF(LEFT(B253,4)&lt;&gt;"    ",0,BK253)</f>
        <v/>
      </c>
      <c r="AD253" s="9">
        <f>Z253-AC253</f>
        <v/>
      </c>
      <c r="AE253" s="10" t="n"/>
      <c r="AF253" s="24" t="n"/>
      <c r="AG253" s="11" t="n"/>
      <c r="AH253" s="8" t="n"/>
      <c r="AI253" s="9">
        <f>IF(LEFT(B253,4)&lt;&gt;"    ","",AG253-AH253)</f>
        <v/>
      </c>
      <c r="AJ253" s="9" t="n"/>
      <c r="AK253" s="10" t="n"/>
      <c r="AL253" s="11">
        <f>IF(LEFT(B253,4)&lt;&gt;"    ","",W253-AG253)</f>
        <v/>
      </c>
      <c r="AM253" s="8">
        <f>IF(LEFT(B253,4)&lt;&gt;"    ","",X253-AH253)</f>
        <v/>
      </c>
      <c r="AN253" s="9">
        <f>IF(LEFT(B253,4)&lt;&gt;"    ","",Y253-AI253)</f>
        <v/>
      </c>
      <c r="AO253" s="9">
        <f>IF(LEFT(B253,4)&lt;&gt;"    ","",Z253-AJ253)</f>
        <v/>
      </c>
      <c r="AP253" s="10" t="n"/>
      <c r="AQ253" s="25">
        <f>IF(LEFT(B253,4)&lt;&gt;"    ","",I253-W253)</f>
        <v/>
      </c>
      <c r="AR253" s="25">
        <f>M253-X253</f>
        <v/>
      </c>
      <c r="AS253" s="25">
        <f>IF(LEFT(B253,4)&lt;&gt;"    ","",P253-Z253)</f>
        <v/>
      </c>
      <c r="AT253" s="10" t="n"/>
      <c r="AU253" s="12" t="n"/>
      <c r="AV253" s="12">
        <f>IF(LEFT(B253,4)&lt;&gt;"    ","",IF(W253-AU253&gt;=0,W253-AU253," "))</f>
        <v/>
      </c>
      <c r="AW253" s="12">
        <f>IF(LEFT(B253,4)&lt;&gt;"    ","",IF(AU253-W253&gt;=0,AU253-W253," "))</f>
        <v/>
      </c>
      <c r="AX253" s="186" t="n"/>
      <c r="AY253" s="187" t="n"/>
      <c r="AZ253" s="186" t="n"/>
      <c r="BA253" s="186" t="n"/>
      <c r="BB253" s="188" t="n"/>
      <c r="BC253" s="187" t="n"/>
      <c r="BD253" s="187" t="n"/>
      <c r="BE253" s="186" t="n"/>
      <c r="BF253" s="186" t="n"/>
      <c r="BG253" s="186" t="n"/>
      <c r="BH253" s="186" t="n"/>
      <c r="BI253" s="186" t="n"/>
      <c r="BJ253" s="186" t="n"/>
      <c r="BK253" s="186" t="n"/>
      <c r="BL253" s="186" t="n"/>
      <c r="BM253" s="186" t="n"/>
      <c r="BN253" s="186" t="n"/>
      <c r="BO253" s="186" t="n"/>
      <c r="BP253" s="186" t="n"/>
      <c r="BQ253" s="186" t="n"/>
      <c r="BR253" s="186" t="n"/>
      <c r="BS253" s="186" t="n"/>
      <c r="BT253" s="186" t="n"/>
      <c r="BU253" s="186" t="n"/>
      <c r="BV253" s="186" t="n"/>
      <c r="BW253" s="186" t="n"/>
      <c r="BX253" s="186" t="n"/>
      <c r="BY253" s="186" t="n"/>
      <c r="BZ253" s="186" t="n"/>
      <c r="CA253" s="186" t="n"/>
      <c r="CB253" s="186" t="n"/>
      <c r="CC253" s="190" t="n"/>
      <c r="CD253" s="186" t="n"/>
      <c r="CE253" s="186" t="n"/>
      <c r="CF253" s="186" t="n"/>
      <c r="CG253" s="186" t="n"/>
      <c r="CH253" s="186" t="n"/>
      <c r="CI253" s="191" t="n"/>
      <c r="CJ253" s="192" t="n"/>
      <c r="CK253" s="192" t="n"/>
      <c r="CL253" s="192" t="n"/>
      <c r="CM253" s="192" t="n"/>
    </row>
    <row r="254">
      <c r="A254" s="177" t="n"/>
      <c r="B254" s="178" t="n"/>
      <c r="C254" s="178" t="n"/>
      <c r="D254" s="179" t="n"/>
      <c r="E254" s="180" t="n"/>
      <c r="F254" s="181" t="n"/>
      <c r="G254" s="182" t="n"/>
      <c r="H254" s="105" t="n"/>
      <c r="I254" s="196">
        <f>F254</f>
        <v/>
      </c>
      <c r="J254" s="184" t="n"/>
      <c r="K254" s="185" t="n"/>
      <c r="L254" s="8" t="n"/>
      <c r="M254" s="71">
        <f>L254</f>
        <v/>
      </c>
      <c r="N254" s="71" t="n"/>
      <c r="O254" s="101" t="n"/>
      <c r="P254" s="9">
        <f>I254-M254</f>
        <v/>
      </c>
      <c r="Q254" s="9">
        <f>IF(LEFT(B254,4)&lt;&gt;"    ",0,BN254)</f>
        <v/>
      </c>
      <c r="R254" s="9">
        <f>+P254-Q254</f>
        <v/>
      </c>
      <c r="S254" s="281" t="n"/>
      <c r="T254" s="10" t="n"/>
      <c r="U254" s="23">
        <f>IF(LEFT(B254,4)&lt;&gt;"    ","",IF(M254&lt;&gt;0,X254/M254,0))</f>
        <v/>
      </c>
      <c r="V254" s="11">
        <f>IF(LEFT(B254,4)&lt;&gt;"    ","",U254*I254)</f>
        <v/>
      </c>
      <c r="W254" s="11">
        <f>IF(LEFT(B254,4)&lt;&gt;"    ","",X254+Z254)</f>
        <v/>
      </c>
      <c r="X254" s="8" t="n"/>
      <c r="Y254" s="9">
        <f>IF(LEFT(B254,4)&lt;&gt;"    ",0,IF(P254&lt;0,P254,IF(U254&gt;0.3,W254-X254,0)))</f>
        <v/>
      </c>
      <c r="Z254" s="71">
        <f>Y254</f>
        <v/>
      </c>
      <c r="AA254" s="71" t="n"/>
      <c r="AB254" s="109" t="n"/>
      <c r="AC254" s="9">
        <f>IF(LEFT(B254,4)&lt;&gt;"    ",0,BK254)</f>
        <v/>
      </c>
      <c r="AD254" s="9">
        <f>Z254-AC254</f>
        <v/>
      </c>
      <c r="AE254" s="10" t="n"/>
      <c r="AF254" s="24" t="n"/>
      <c r="AG254" s="11" t="n"/>
      <c r="AH254" s="8" t="n"/>
      <c r="AI254" s="9">
        <f>IF(LEFT(B254,4)&lt;&gt;"    ","",AG254-AH254)</f>
        <v/>
      </c>
      <c r="AJ254" s="9" t="n"/>
      <c r="AK254" s="10" t="n"/>
      <c r="AL254" s="11">
        <f>IF(LEFT(B254,4)&lt;&gt;"    ","",W254-AG254)</f>
        <v/>
      </c>
      <c r="AM254" s="8">
        <f>IF(LEFT(B254,4)&lt;&gt;"    ","",X254-AH254)</f>
        <v/>
      </c>
      <c r="AN254" s="9">
        <f>IF(LEFT(B254,4)&lt;&gt;"    ","",Y254-AI254)</f>
        <v/>
      </c>
      <c r="AO254" s="9">
        <f>IF(LEFT(B254,4)&lt;&gt;"    ","",Z254-AJ254)</f>
        <v/>
      </c>
      <c r="AP254" s="10" t="n"/>
      <c r="AQ254" s="25">
        <f>IF(LEFT(B254,4)&lt;&gt;"    ","",I254-W254)</f>
        <v/>
      </c>
      <c r="AR254" s="25">
        <f>M254-X254</f>
        <v/>
      </c>
      <c r="AS254" s="25">
        <f>IF(LEFT(B254,4)&lt;&gt;"    ","",P254-Z254)</f>
        <v/>
      </c>
      <c r="AT254" s="10" t="n"/>
      <c r="AU254" s="12" t="n"/>
      <c r="AV254" s="12">
        <f>IF(LEFT(B254,4)&lt;&gt;"    ","",IF(W254-AU254&gt;=0,W254-AU254," "))</f>
        <v/>
      </c>
      <c r="AW254" s="12">
        <f>IF(LEFT(B254,4)&lt;&gt;"    ","",IF(AU254-W254&gt;=0,AU254-W254," "))</f>
        <v/>
      </c>
      <c r="AX254" s="186" t="n"/>
      <c r="AY254" s="187" t="n"/>
      <c r="AZ254" s="186" t="n"/>
      <c r="BA254" s="186" t="n"/>
      <c r="BB254" s="188" t="n"/>
      <c r="BC254" s="187" t="n"/>
      <c r="BD254" s="187" t="n"/>
      <c r="BE254" s="186" t="n"/>
      <c r="BF254" s="186" t="n"/>
      <c r="BG254" s="186" t="n"/>
      <c r="BH254" s="186" t="n"/>
      <c r="BI254" s="186" t="n"/>
      <c r="BJ254" s="186" t="n"/>
      <c r="BK254" s="186" t="n"/>
      <c r="BL254" s="186" t="n"/>
      <c r="BM254" s="186" t="n"/>
      <c r="BN254" s="186" t="n"/>
      <c r="BO254" s="186" t="n"/>
      <c r="BP254" s="186" t="n"/>
      <c r="BQ254" s="186" t="n"/>
      <c r="BR254" s="186" t="n"/>
      <c r="BS254" s="186" t="n"/>
      <c r="BT254" s="186" t="n"/>
      <c r="BU254" s="186" t="n"/>
      <c r="BV254" s="186" t="n"/>
      <c r="BW254" s="186" t="n"/>
      <c r="BX254" s="186" t="n"/>
      <c r="BY254" s="186" t="n"/>
      <c r="BZ254" s="186" t="n"/>
      <c r="CA254" s="186" t="n"/>
      <c r="CB254" s="186" t="n"/>
      <c r="CC254" s="190" t="n"/>
      <c r="CD254" s="186" t="n"/>
      <c r="CE254" s="186" t="n"/>
      <c r="CF254" s="186" t="n"/>
      <c r="CG254" s="186" t="n"/>
      <c r="CH254" s="186" t="n"/>
      <c r="CI254" s="191" t="n"/>
      <c r="CJ254" s="192" t="n"/>
      <c r="CK254" s="192" t="n"/>
      <c r="CL254" s="192" t="n"/>
      <c r="CM254" s="192" t="n"/>
    </row>
    <row r="255">
      <c r="A255" s="177" t="n"/>
      <c r="B255" s="178" t="n"/>
      <c r="C255" s="178" t="n"/>
      <c r="D255" s="179" t="n"/>
      <c r="E255" s="180" t="n"/>
      <c r="F255" s="181" t="n"/>
      <c r="G255" s="182" t="n"/>
      <c r="H255" s="105" t="n"/>
      <c r="I255" s="196">
        <f>F255</f>
        <v/>
      </c>
      <c r="J255" s="184" t="n"/>
      <c r="K255" s="185" t="n"/>
      <c r="L255" s="8" t="n"/>
      <c r="M255" s="71">
        <f>L255</f>
        <v/>
      </c>
      <c r="N255" s="71" t="n"/>
      <c r="O255" s="101" t="n"/>
      <c r="P255" s="9">
        <f>I255-M255</f>
        <v/>
      </c>
      <c r="Q255" s="9">
        <f>IF(LEFT(B255,4)&lt;&gt;"    ",0,BN255)</f>
        <v/>
      </c>
      <c r="R255" s="9">
        <f>+P255-Q255</f>
        <v/>
      </c>
      <c r="S255" s="281" t="n"/>
      <c r="T255" s="10" t="n"/>
      <c r="U255" s="23">
        <f>IF(LEFT(B255,4)&lt;&gt;"    ","",IF(M255&lt;&gt;0,X255/M255,0))</f>
        <v/>
      </c>
      <c r="V255" s="11">
        <f>IF(LEFT(B255,4)&lt;&gt;"    ","",U255*I255)</f>
        <v/>
      </c>
      <c r="W255" s="11">
        <f>IF(LEFT(B255,4)&lt;&gt;"    ","",X255+Z255)</f>
        <v/>
      </c>
      <c r="X255" s="8" t="n"/>
      <c r="Y255" s="9">
        <f>IF(LEFT(B255,4)&lt;&gt;"    ",0,IF(P255&lt;0,P255,IF(U255&gt;0.3,W255-X255,0)))</f>
        <v/>
      </c>
      <c r="Z255" s="71">
        <f>Y255</f>
        <v/>
      </c>
      <c r="AA255" s="71" t="n"/>
      <c r="AB255" s="109" t="n"/>
      <c r="AC255" s="9">
        <f>IF(LEFT(B255,4)&lt;&gt;"    ",0,BK255)</f>
        <v/>
      </c>
      <c r="AD255" s="9">
        <f>Z255-AC255</f>
        <v/>
      </c>
      <c r="AE255" s="10" t="n"/>
      <c r="AF255" s="24" t="n"/>
      <c r="AG255" s="11" t="n"/>
      <c r="AH255" s="8" t="n"/>
      <c r="AI255" s="9">
        <f>IF(LEFT(B255,4)&lt;&gt;"    ","",AG255-AH255)</f>
        <v/>
      </c>
      <c r="AJ255" s="9" t="n"/>
      <c r="AK255" s="10" t="n"/>
      <c r="AL255" s="11">
        <f>IF(LEFT(B255,4)&lt;&gt;"    ","",W255-AG255)</f>
        <v/>
      </c>
      <c r="AM255" s="8">
        <f>IF(LEFT(B255,4)&lt;&gt;"    ","",X255-AH255)</f>
        <v/>
      </c>
      <c r="AN255" s="9">
        <f>IF(LEFT(B255,4)&lt;&gt;"    ","",Y255-AI255)</f>
        <v/>
      </c>
      <c r="AO255" s="9">
        <f>IF(LEFT(B255,4)&lt;&gt;"    ","",Z255-AJ255)</f>
        <v/>
      </c>
      <c r="AP255" s="10" t="n"/>
      <c r="AQ255" s="25">
        <f>IF(LEFT(B255,4)&lt;&gt;"    ","",I255-W255)</f>
        <v/>
      </c>
      <c r="AR255" s="25">
        <f>M255-X255</f>
        <v/>
      </c>
      <c r="AS255" s="25">
        <f>IF(LEFT(B255,4)&lt;&gt;"    ","",P255-Z255)</f>
        <v/>
      </c>
      <c r="AT255" s="10" t="n"/>
      <c r="AU255" s="12" t="n"/>
      <c r="AV255" s="12">
        <f>IF(LEFT(B255,4)&lt;&gt;"    ","",IF(W255-AU255&gt;=0,W255-AU255," "))</f>
        <v/>
      </c>
      <c r="AW255" s="12">
        <f>IF(LEFT(B255,4)&lt;&gt;"    ","",IF(AU255-W255&gt;=0,AU255-W255," "))</f>
        <v/>
      </c>
      <c r="AX255" s="186" t="n"/>
      <c r="AY255" s="187" t="n"/>
      <c r="AZ255" s="186" t="n"/>
      <c r="BA255" s="186" t="n"/>
      <c r="BB255" s="188" t="n"/>
      <c r="BC255" s="187" t="n"/>
      <c r="BD255" s="187" t="n"/>
      <c r="BE255" s="186" t="n"/>
      <c r="BF255" s="186" t="n"/>
      <c r="BG255" s="186" t="n"/>
      <c r="BH255" s="186" t="n"/>
      <c r="BI255" s="186" t="n"/>
      <c r="BJ255" s="186" t="n"/>
      <c r="BK255" s="186" t="n"/>
      <c r="BL255" s="186" t="n"/>
      <c r="BM255" s="186" t="n"/>
      <c r="BN255" s="186" t="n"/>
      <c r="BO255" s="186" t="n"/>
      <c r="BP255" s="186" t="n"/>
      <c r="BQ255" s="186" t="n"/>
      <c r="BR255" s="186" t="n"/>
      <c r="BS255" s="186" t="n"/>
      <c r="BT255" s="186" t="n"/>
      <c r="BU255" s="186" t="n"/>
      <c r="BV255" s="186" t="n"/>
      <c r="BW255" s="186" t="n"/>
      <c r="BX255" s="186" t="n"/>
      <c r="BY255" s="186" t="n"/>
      <c r="BZ255" s="186" t="n"/>
      <c r="CA255" s="186" t="n"/>
      <c r="CB255" s="186" t="n"/>
      <c r="CC255" s="190" t="n"/>
      <c r="CD255" s="186" t="n"/>
      <c r="CE255" s="186" t="n"/>
      <c r="CF255" s="186" t="n"/>
      <c r="CG255" s="186" t="n"/>
      <c r="CH255" s="186" t="n"/>
      <c r="CI255" s="191" t="n"/>
      <c r="CJ255" s="192" t="n"/>
      <c r="CK255" s="192" t="n"/>
      <c r="CL255" s="192" t="n"/>
      <c r="CM255" s="192" t="n"/>
    </row>
    <row r="256">
      <c r="A256" s="177" t="n"/>
      <c r="B256" s="178" t="n"/>
      <c r="C256" s="178" t="n"/>
      <c r="D256" s="179" t="n"/>
      <c r="E256" s="180" t="n"/>
      <c r="F256" s="181" t="n"/>
      <c r="G256" s="182" t="n"/>
      <c r="H256" s="105" t="n"/>
      <c r="I256" s="196">
        <f>F256</f>
        <v/>
      </c>
      <c r="J256" s="184" t="n"/>
      <c r="K256" s="185" t="n"/>
      <c r="L256" s="8" t="n"/>
      <c r="M256" s="71">
        <f>L256</f>
        <v/>
      </c>
      <c r="N256" s="71" t="n"/>
      <c r="O256" s="101" t="n"/>
      <c r="P256" s="9">
        <f>I256-M256</f>
        <v/>
      </c>
      <c r="Q256" s="9">
        <f>IF(LEFT(B256,4)&lt;&gt;"    ",0,BN256)</f>
        <v/>
      </c>
      <c r="R256" s="9">
        <f>+P256-Q256</f>
        <v/>
      </c>
      <c r="S256" s="281" t="n"/>
      <c r="T256" s="10" t="n"/>
      <c r="U256" s="23">
        <f>IF(LEFT(B256,4)&lt;&gt;"    ","",IF(M256&lt;&gt;0,X256/M256,0))</f>
        <v/>
      </c>
      <c r="V256" s="11">
        <f>IF(LEFT(B256,4)&lt;&gt;"    ","",U256*I256)</f>
        <v/>
      </c>
      <c r="W256" s="11">
        <f>IF(LEFT(B256,4)&lt;&gt;"    ","",X256+Z256)</f>
        <v/>
      </c>
      <c r="X256" s="8" t="n"/>
      <c r="Y256" s="9">
        <f>IF(LEFT(B256,4)&lt;&gt;"    ",0,IF(P256&lt;0,P256,IF(U256&gt;0.3,W256-X256,0)))</f>
        <v/>
      </c>
      <c r="Z256" s="71">
        <f>Y256</f>
        <v/>
      </c>
      <c r="AA256" s="71" t="n"/>
      <c r="AB256" s="109" t="n"/>
      <c r="AC256" s="9">
        <f>IF(LEFT(B256,4)&lt;&gt;"    ",0,BK256)</f>
        <v/>
      </c>
      <c r="AD256" s="9">
        <f>Z256-AC256</f>
        <v/>
      </c>
      <c r="AE256" s="10" t="n"/>
      <c r="AF256" s="24" t="n"/>
      <c r="AG256" s="11" t="n"/>
      <c r="AH256" s="8" t="n"/>
      <c r="AI256" s="9">
        <f>IF(LEFT(B256,4)&lt;&gt;"    ","",AG256-AH256)</f>
        <v/>
      </c>
      <c r="AJ256" s="9" t="n"/>
      <c r="AK256" s="10" t="n"/>
      <c r="AL256" s="11">
        <f>IF(LEFT(B256,4)&lt;&gt;"    ","",W256-AG256)</f>
        <v/>
      </c>
      <c r="AM256" s="8">
        <f>IF(LEFT(B256,4)&lt;&gt;"    ","",X256-AH256)</f>
        <v/>
      </c>
      <c r="AN256" s="9">
        <f>IF(LEFT(B256,4)&lt;&gt;"    ","",Y256-AI256)</f>
        <v/>
      </c>
      <c r="AO256" s="9">
        <f>IF(LEFT(B256,4)&lt;&gt;"    ","",Z256-AJ256)</f>
        <v/>
      </c>
      <c r="AP256" s="10" t="n"/>
      <c r="AQ256" s="25">
        <f>IF(LEFT(B256,4)&lt;&gt;"    ","",I256-W256)</f>
        <v/>
      </c>
      <c r="AR256" s="25">
        <f>M256-X256</f>
        <v/>
      </c>
      <c r="AS256" s="25">
        <f>IF(LEFT(B256,4)&lt;&gt;"    ","",P256-Z256)</f>
        <v/>
      </c>
      <c r="AT256" s="10" t="n"/>
      <c r="AU256" s="12" t="n"/>
      <c r="AV256" s="12">
        <f>IF(LEFT(B256,4)&lt;&gt;"    ","",IF(W256-AU256&gt;=0,W256-AU256," "))</f>
        <v/>
      </c>
      <c r="AW256" s="12">
        <f>IF(LEFT(B256,4)&lt;&gt;"    ","",IF(AU256-W256&gt;=0,AU256-W256," "))</f>
        <v/>
      </c>
      <c r="AX256" s="186" t="n"/>
      <c r="AY256" s="187" t="n"/>
      <c r="AZ256" s="186" t="n"/>
      <c r="BA256" s="186" t="n"/>
      <c r="BB256" s="188" t="n"/>
      <c r="BC256" s="187" t="n"/>
      <c r="BD256" s="187" t="n"/>
      <c r="BE256" s="186" t="n"/>
      <c r="BF256" s="186" t="n"/>
      <c r="BG256" s="186" t="n"/>
      <c r="BH256" s="186" t="n"/>
      <c r="BI256" s="186" t="n"/>
      <c r="BJ256" s="186" t="n"/>
      <c r="BK256" s="186" t="n"/>
      <c r="BL256" s="186" t="n"/>
      <c r="BM256" s="186" t="n"/>
      <c r="BN256" s="186" t="n"/>
      <c r="BO256" s="186" t="n"/>
      <c r="BP256" s="186" t="n"/>
      <c r="BQ256" s="186" t="n"/>
      <c r="BR256" s="186" t="n"/>
      <c r="BS256" s="186" t="n"/>
      <c r="BT256" s="186" t="n"/>
      <c r="BU256" s="186" t="n"/>
      <c r="BV256" s="186" t="n"/>
      <c r="BW256" s="186" t="n"/>
      <c r="BX256" s="186" t="n"/>
      <c r="BY256" s="186" t="n"/>
      <c r="BZ256" s="186" t="n"/>
      <c r="CA256" s="186" t="n"/>
      <c r="CB256" s="186" t="n"/>
      <c r="CC256" s="190" t="n"/>
      <c r="CD256" s="186" t="n"/>
      <c r="CE256" s="186" t="n"/>
      <c r="CF256" s="186" t="n"/>
      <c r="CG256" s="186" t="n"/>
      <c r="CH256" s="186" t="n"/>
      <c r="CI256" s="191" t="n"/>
      <c r="CJ256" s="192" t="n"/>
      <c r="CK256" s="192" t="n"/>
      <c r="CL256" s="192" t="n"/>
      <c r="CM256" s="192" t="n"/>
    </row>
    <row r="257">
      <c r="A257" s="177" t="n"/>
      <c r="B257" s="178" t="n"/>
      <c r="C257" s="178" t="n"/>
      <c r="D257" s="179" t="n"/>
      <c r="E257" s="180" t="n"/>
      <c r="F257" s="181" t="n"/>
      <c r="G257" s="182" t="n"/>
      <c r="H257" s="105" t="n"/>
      <c r="I257" s="196">
        <f>F257</f>
        <v/>
      </c>
      <c r="J257" s="184" t="n"/>
      <c r="K257" s="185" t="n"/>
      <c r="L257" s="8" t="n"/>
      <c r="M257" s="71">
        <f>L257</f>
        <v/>
      </c>
      <c r="N257" s="71" t="n"/>
      <c r="O257" s="101" t="n"/>
      <c r="P257" s="9">
        <f>I257-M257</f>
        <v/>
      </c>
      <c r="Q257" s="9">
        <f>IF(LEFT(B257,4)&lt;&gt;"    ",0,BN257)</f>
        <v/>
      </c>
      <c r="R257" s="9">
        <f>+P257-Q257</f>
        <v/>
      </c>
      <c r="S257" s="281" t="n"/>
      <c r="T257" s="10" t="n"/>
      <c r="U257" s="23">
        <f>IF(LEFT(B257,4)&lt;&gt;"    ","",IF(M257&lt;&gt;0,X257/M257,0))</f>
        <v/>
      </c>
      <c r="V257" s="11">
        <f>IF(LEFT(B257,4)&lt;&gt;"    ","",U257*I257)</f>
        <v/>
      </c>
      <c r="W257" s="11">
        <f>IF(LEFT(B257,4)&lt;&gt;"    ","",X257+Z257)</f>
        <v/>
      </c>
      <c r="X257" s="8" t="n"/>
      <c r="Y257" s="9">
        <f>IF(LEFT(B257,4)&lt;&gt;"    ",0,IF(P257&lt;0,P257,IF(U257&gt;0.3,W257-X257,0)))</f>
        <v/>
      </c>
      <c r="Z257" s="71">
        <f>Y257</f>
        <v/>
      </c>
      <c r="AA257" s="71" t="n"/>
      <c r="AB257" s="109" t="n"/>
      <c r="AC257" s="9">
        <f>IF(LEFT(B257,4)&lt;&gt;"    ",0,BK257)</f>
        <v/>
      </c>
      <c r="AD257" s="9">
        <f>Z257-AC257</f>
        <v/>
      </c>
      <c r="AE257" s="10" t="n"/>
      <c r="AF257" s="24" t="n"/>
      <c r="AG257" s="11" t="n"/>
      <c r="AH257" s="8" t="n"/>
      <c r="AI257" s="9">
        <f>IF(LEFT(B257,4)&lt;&gt;"    ","",AG257-AH257)</f>
        <v/>
      </c>
      <c r="AJ257" s="9" t="n"/>
      <c r="AK257" s="10" t="n"/>
      <c r="AL257" s="11">
        <f>IF(LEFT(B257,4)&lt;&gt;"    ","",W257-AG257)</f>
        <v/>
      </c>
      <c r="AM257" s="8">
        <f>IF(LEFT(B257,4)&lt;&gt;"    ","",X257-AH257)</f>
        <v/>
      </c>
      <c r="AN257" s="9">
        <f>IF(LEFT(B257,4)&lt;&gt;"    ","",Y257-AI257)</f>
        <v/>
      </c>
      <c r="AO257" s="9">
        <f>IF(LEFT(B257,4)&lt;&gt;"    ","",Z257-AJ257)</f>
        <v/>
      </c>
      <c r="AP257" s="10" t="n"/>
      <c r="AQ257" s="25">
        <f>IF(LEFT(B257,4)&lt;&gt;"    ","",I257-W257)</f>
        <v/>
      </c>
      <c r="AR257" s="25">
        <f>M257-X257</f>
        <v/>
      </c>
      <c r="AS257" s="25">
        <f>IF(LEFT(B257,4)&lt;&gt;"    ","",P257-Z257)</f>
        <v/>
      </c>
      <c r="AT257" s="10" t="n"/>
      <c r="AU257" s="12" t="n"/>
      <c r="AV257" s="12">
        <f>IF(LEFT(B257,4)&lt;&gt;"    ","",IF(W257-AU257&gt;=0,W257-AU257," "))</f>
        <v/>
      </c>
      <c r="AW257" s="12">
        <f>IF(LEFT(B257,4)&lt;&gt;"    ","",IF(AU257-W257&gt;=0,AU257-W257," "))</f>
        <v/>
      </c>
      <c r="AX257" s="186" t="n"/>
      <c r="AY257" s="187" t="n"/>
      <c r="AZ257" s="186" t="n"/>
      <c r="BA257" s="186" t="n"/>
      <c r="BB257" s="188" t="n"/>
      <c r="BC257" s="187" t="n"/>
      <c r="BD257" s="187" t="n"/>
      <c r="BE257" s="186" t="n"/>
      <c r="BF257" s="186" t="n"/>
      <c r="BG257" s="186" t="n"/>
      <c r="BH257" s="186" t="n"/>
      <c r="BI257" s="186" t="n"/>
      <c r="BJ257" s="186" t="n"/>
      <c r="BK257" s="186" t="n"/>
      <c r="BL257" s="186" t="n"/>
      <c r="BM257" s="186" t="n"/>
      <c r="BN257" s="186" t="n"/>
      <c r="BO257" s="186" t="n"/>
      <c r="BP257" s="186" t="n"/>
      <c r="BQ257" s="186" t="n"/>
      <c r="BR257" s="186" t="n"/>
      <c r="BS257" s="186" t="n"/>
      <c r="BT257" s="186" t="n"/>
      <c r="BU257" s="186" t="n"/>
      <c r="BV257" s="186" t="n"/>
      <c r="BW257" s="186" t="n"/>
      <c r="BX257" s="186" t="n"/>
      <c r="BY257" s="186" t="n"/>
      <c r="BZ257" s="186" t="n"/>
      <c r="CA257" s="186" t="n"/>
      <c r="CB257" s="186" t="n"/>
      <c r="CC257" s="190" t="n"/>
      <c r="CD257" s="186" t="n"/>
      <c r="CE257" s="186" t="n"/>
      <c r="CF257" s="186" t="n"/>
      <c r="CG257" s="186" t="n"/>
      <c r="CH257" s="186" t="n"/>
      <c r="CI257" s="191" t="n"/>
      <c r="CJ257" s="192" t="n"/>
      <c r="CK257" s="192" t="n"/>
      <c r="CL257" s="192" t="n"/>
      <c r="CM257" s="192" t="n"/>
    </row>
    <row r="258">
      <c r="A258" s="177" t="n"/>
      <c r="B258" s="178" t="n"/>
      <c r="C258" s="178" t="n"/>
      <c r="D258" s="179" t="n"/>
      <c r="E258" s="180" t="n"/>
      <c r="F258" s="181" t="n"/>
      <c r="G258" s="182" t="n"/>
      <c r="H258" s="105" t="n"/>
      <c r="I258" s="196">
        <f>F258</f>
        <v/>
      </c>
      <c r="J258" s="184" t="n"/>
      <c r="K258" s="185" t="n"/>
      <c r="L258" s="8" t="n"/>
      <c r="M258" s="71">
        <f>L258</f>
        <v/>
      </c>
      <c r="N258" s="71" t="n"/>
      <c r="O258" s="101" t="n"/>
      <c r="P258" s="9">
        <f>I258-M258</f>
        <v/>
      </c>
      <c r="Q258" s="9">
        <f>IF(LEFT(B258,4)&lt;&gt;"    ",0,BN258)</f>
        <v/>
      </c>
      <c r="R258" s="9">
        <f>+P258-Q258</f>
        <v/>
      </c>
      <c r="S258" s="281" t="n"/>
      <c r="T258" s="10" t="n"/>
      <c r="U258" s="23">
        <f>IF(LEFT(B258,4)&lt;&gt;"    ","",IF(M258&lt;&gt;0,X258/M258,0))</f>
        <v/>
      </c>
      <c r="V258" s="11">
        <f>IF(LEFT(B258,4)&lt;&gt;"    ","",U258*I258)</f>
        <v/>
      </c>
      <c r="W258" s="11">
        <f>IF(LEFT(B258,4)&lt;&gt;"    ","",X258+Z258)</f>
        <v/>
      </c>
      <c r="X258" s="8" t="n"/>
      <c r="Y258" s="9">
        <f>IF(LEFT(B258,4)&lt;&gt;"    ",0,IF(P258&lt;0,P258,IF(U258&gt;0.3,W258-X258,0)))</f>
        <v/>
      </c>
      <c r="Z258" s="71">
        <f>Y258</f>
        <v/>
      </c>
      <c r="AA258" s="71" t="n"/>
      <c r="AB258" s="109" t="n"/>
      <c r="AC258" s="9">
        <f>IF(LEFT(B258,4)&lt;&gt;"    ",0,BK258)</f>
        <v/>
      </c>
      <c r="AD258" s="9">
        <f>Z258-AC258</f>
        <v/>
      </c>
      <c r="AE258" s="10" t="n"/>
      <c r="AF258" s="24" t="n"/>
      <c r="AG258" s="11" t="n"/>
      <c r="AH258" s="8" t="n"/>
      <c r="AI258" s="9">
        <f>IF(LEFT(B258,4)&lt;&gt;"    ","",AG258-AH258)</f>
        <v/>
      </c>
      <c r="AJ258" s="9" t="n"/>
      <c r="AK258" s="10" t="n"/>
      <c r="AL258" s="11">
        <f>IF(LEFT(B258,4)&lt;&gt;"    ","",W258-AG258)</f>
        <v/>
      </c>
      <c r="AM258" s="8">
        <f>IF(LEFT(B258,4)&lt;&gt;"    ","",X258-AH258)</f>
        <v/>
      </c>
      <c r="AN258" s="9">
        <f>IF(LEFT(B258,4)&lt;&gt;"    ","",Y258-AI258)</f>
        <v/>
      </c>
      <c r="AO258" s="9">
        <f>IF(LEFT(B258,4)&lt;&gt;"    ","",Z258-AJ258)</f>
        <v/>
      </c>
      <c r="AP258" s="10" t="n"/>
      <c r="AQ258" s="25">
        <f>IF(LEFT(B258,4)&lt;&gt;"    ","",I258-W258)</f>
        <v/>
      </c>
      <c r="AR258" s="25">
        <f>M258-X258</f>
        <v/>
      </c>
      <c r="AS258" s="25">
        <f>IF(LEFT(B258,4)&lt;&gt;"    ","",P258-Z258)</f>
        <v/>
      </c>
      <c r="AT258" s="10" t="n"/>
      <c r="AU258" s="12" t="n"/>
      <c r="AV258" s="12">
        <f>IF(LEFT(B258,4)&lt;&gt;"    ","",IF(W258-AU258&gt;=0,W258-AU258," "))</f>
        <v/>
      </c>
      <c r="AW258" s="12">
        <f>IF(LEFT(B258,4)&lt;&gt;"    ","",IF(AU258-W258&gt;=0,AU258-W258," "))</f>
        <v/>
      </c>
      <c r="AX258" s="186" t="n"/>
      <c r="AY258" s="187" t="n"/>
      <c r="AZ258" s="186" t="n"/>
      <c r="BA258" s="186" t="n"/>
      <c r="BB258" s="188" t="n"/>
      <c r="BC258" s="187" t="n"/>
      <c r="BD258" s="187" t="n"/>
      <c r="BE258" s="186" t="n"/>
      <c r="BF258" s="186" t="n"/>
      <c r="BG258" s="186" t="n"/>
      <c r="BH258" s="186" t="n"/>
      <c r="BI258" s="186" t="n"/>
      <c r="BJ258" s="186" t="n"/>
      <c r="BK258" s="186" t="n"/>
      <c r="BL258" s="186" t="n"/>
      <c r="BM258" s="186" t="n"/>
      <c r="BN258" s="186" t="n"/>
      <c r="BO258" s="186" t="n"/>
      <c r="BP258" s="186" t="n"/>
      <c r="BQ258" s="186" t="n"/>
      <c r="BR258" s="186" t="n"/>
      <c r="BS258" s="186" t="n"/>
      <c r="BT258" s="186" t="n"/>
      <c r="BU258" s="186" t="n"/>
      <c r="BV258" s="186" t="n"/>
      <c r="BW258" s="186" t="n"/>
      <c r="BX258" s="186" t="n"/>
      <c r="BY258" s="186" t="n"/>
      <c r="BZ258" s="186" t="n"/>
      <c r="CA258" s="186" t="n"/>
      <c r="CB258" s="186" t="n"/>
      <c r="CC258" s="190" t="n"/>
      <c r="CD258" s="186" t="n"/>
      <c r="CE258" s="186" t="n"/>
      <c r="CF258" s="186" t="n"/>
      <c r="CG258" s="186" t="n"/>
      <c r="CH258" s="186" t="n"/>
      <c r="CI258" s="191" t="n"/>
      <c r="CJ258" s="192" t="n"/>
      <c r="CK258" s="192" t="n"/>
      <c r="CL258" s="192" t="n"/>
      <c r="CM258" s="192" t="n"/>
    </row>
    <row r="259">
      <c r="A259" s="177" t="n"/>
      <c r="B259" s="178" t="n"/>
      <c r="C259" s="178" t="n"/>
      <c r="D259" s="179" t="n"/>
      <c r="E259" s="180" t="n"/>
      <c r="F259" s="181" t="n"/>
      <c r="G259" s="182" t="n"/>
      <c r="H259" s="105" t="n"/>
      <c r="I259" s="196">
        <f>F259</f>
        <v/>
      </c>
      <c r="J259" s="184" t="n"/>
      <c r="K259" s="185" t="n"/>
      <c r="L259" s="8" t="n"/>
      <c r="M259" s="71">
        <f>L259</f>
        <v/>
      </c>
      <c r="N259" s="71" t="n"/>
      <c r="O259" s="101" t="n"/>
      <c r="P259" s="9">
        <f>I259-M259</f>
        <v/>
      </c>
      <c r="Q259" s="9">
        <f>IF(LEFT(B259,4)&lt;&gt;"    ",0,BN259)</f>
        <v/>
      </c>
      <c r="R259" s="9">
        <f>+P259-Q259</f>
        <v/>
      </c>
      <c r="S259" s="281" t="n"/>
      <c r="T259" s="10" t="n"/>
      <c r="U259" s="23">
        <f>IF(LEFT(B259,4)&lt;&gt;"    ","",IF(M259&lt;&gt;0,X259/M259,0))</f>
        <v/>
      </c>
      <c r="V259" s="11">
        <f>IF(LEFT(B259,4)&lt;&gt;"    ","",U259*I259)</f>
        <v/>
      </c>
      <c r="W259" s="11">
        <f>IF(LEFT(B259,4)&lt;&gt;"    ","",X259+Z259)</f>
        <v/>
      </c>
      <c r="X259" s="8" t="n"/>
      <c r="Y259" s="9">
        <f>IF(LEFT(B259,4)&lt;&gt;"    ",0,IF(P259&lt;0,P259,IF(U259&gt;0.3,W259-X259,0)))</f>
        <v/>
      </c>
      <c r="Z259" s="71">
        <f>Y259</f>
        <v/>
      </c>
      <c r="AA259" s="71" t="n"/>
      <c r="AB259" s="109" t="n"/>
      <c r="AC259" s="9">
        <f>IF(LEFT(B259,4)&lt;&gt;"    ",0,BK259)</f>
        <v/>
      </c>
      <c r="AD259" s="9">
        <f>Z259-AC259</f>
        <v/>
      </c>
      <c r="AE259" s="10" t="n"/>
      <c r="AF259" s="24" t="n"/>
      <c r="AG259" s="11" t="n"/>
      <c r="AH259" s="8" t="n"/>
      <c r="AI259" s="9">
        <f>IF(LEFT(B259,4)&lt;&gt;"    ","",AG259-AH259)</f>
        <v/>
      </c>
      <c r="AJ259" s="9" t="n"/>
      <c r="AK259" s="10" t="n"/>
      <c r="AL259" s="11">
        <f>IF(LEFT(B259,4)&lt;&gt;"    ","",W259-AG259)</f>
        <v/>
      </c>
      <c r="AM259" s="8">
        <f>IF(LEFT(B259,4)&lt;&gt;"    ","",X259-AH259)</f>
        <v/>
      </c>
      <c r="AN259" s="9">
        <f>IF(LEFT(B259,4)&lt;&gt;"    ","",Y259-AI259)</f>
        <v/>
      </c>
      <c r="AO259" s="9">
        <f>IF(LEFT(B259,4)&lt;&gt;"    ","",Z259-AJ259)</f>
        <v/>
      </c>
      <c r="AP259" s="10" t="n"/>
      <c r="AQ259" s="25">
        <f>IF(LEFT(B259,4)&lt;&gt;"    ","",I259-W259)</f>
        <v/>
      </c>
      <c r="AR259" s="25">
        <f>M259-X259</f>
        <v/>
      </c>
      <c r="AS259" s="25">
        <f>IF(LEFT(B259,4)&lt;&gt;"    ","",P259-Z259)</f>
        <v/>
      </c>
      <c r="AT259" s="10" t="n"/>
      <c r="AU259" s="12" t="n"/>
      <c r="AV259" s="12">
        <f>IF(LEFT(B259,4)&lt;&gt;"    ","",IF(W259-AU259&gt;=0,W259-AU259," "))</f>
        <v/>
      </c>
      <c r="AW259" s="12">
        <f>IF(LEFT(B259,4)&lt;&gt;"    ","",IF(AU259-W259&gt;=0,AU259-W259," "))</f>
        <v/>
      </c>
      <c r="AX259" s="186" t="n"/>
      <c r="AY259" s="187" t="n"/>
      <c r="AZ259" s="186" t="n"/>
      <c r="BA259" s="186" t="n"/>
      <c r="BB259" s="188" t="n"/>
      <c r="BC259" s="187" t="n"/>
      <c r="BD259" s="187" t="n"/>
      <c r="BE259" s="186" t="n"/>
      <c r="BF259" s="186" t="n"/>
      <c r="BG259" s="186" t="n"/>
      <c r="BH259" s="186" t="n"/>
      <c r="BI259" s="186" t="n"/>
      <c r="BJ259" s="186" t="n"/>
      <c r="BK259" s="186" t="n"/>
      <c r="BL259" s="186" t="n"/>
      <c r="BM259" s="186" t="n"/>
      <c r="BN259" s="186" t="n"/>
      <c r="BO259" s="186" t="n"/>
      <c r="BP259" s="186" t="n"/>
      <c r="BQ259" s="186" t="n"/>
      <c r="BR259" s="186" t="n"/>
      <c r="BS259" s="186" t="n"/>
      <c r="BT259" s="186" t="n"/>
      <c r="BU259" s="186" t="n"/>
      <c r="BV259" s="186" t="n"/>
      <c r="BW259" s="186" t="n"/>
      <c r="BX259" s="186" t="n"/>
      <c r="BY259" s="186" t="n"/>
      <c r="BZ259" s="186" t="n"/>
      <c r="CA259" s="186" t="n"/>
      <c r="CB259" s="186" t="n"/>
      <c r="CC259" s="190" t="n"/>
      <c r="CD259" s="186" t="n"/>
      <c r="CE259" s="186" t="n"/>
      <c r="CF259" s="186" t="n"/>
      <c r="CG259" s="186" t="n"/>
      <c r="CH259" s="186" t="n"/>
      <c r="CI259" s="191" t="n"/>
      <c r="CJ259" s="192" t="n"/>
      <c r="CK259" s="192" t="n"/>
      <c r="CL259" s="192" t="n"/>
      <c r="CM259" s="192" t="n"/>
    </row>
    <row r="260">
      <c r="A260" s="177" t="n"/>
      <c r="B260" s="178" t="n"/>
      <c r="C260" s="178" t="n"/>
      <c r="D260" s="179" t="n"/>
      <c r="E260" s="180" t="n"/>
      <c r="F260" s="181" t="n"/>
      <c r="G260" s="182" t="n"/>
      <c r="H260" s="105" t="n"/>
      <c r="I260" s="196">
        <f>F260</f>
        <v/>
      </c>
      <c r="J260" s="184" t="n"/>
      <c r="K260" s="185" t="n"/>
      <c r="L260" s="8" t="n"/>
      <c r="M260" s="71">
        <f>L260</f>
        <v/>
      </c>
      <c r="N260" s="71" t="n"/>
      <c r="O260" s="101" t="n"/>
      <c r="P260" s="9">
        <f>I260-M260</f>
        <v/>
      </c>
      <c r="Q260" s="9">
        <f>IF(LEFT(B260,4)&lt;&gt;"    ",0,BN260)</f>
        <v/>
      </c>
      <c r="R260" s="9">
        <f>+P260-Q260</f>
        <v/>
      </c>
      <c r="S260" s="281" t="n"/>
      <c r="T260" s="10" t="n"/>
      <c r="U260" s="23">
        <f>IF(LEFT(B260,4)&lt;&gt;"    ","",IF(M260&lt;&gt;0,X260/M260,0))</f>
        <v/>
      </c>
      <c r="V260" s="11">
        <f>IF(LEFT(B260,4)&lt;&gt;"    ","",U260*I260)</f>
        <v/>
      </c>
      <c r="W260" s="11">
        <f>IF(LEFT(B260,4)&lt;&gt;"    ","",X260+Z260)</f>
        <v/>
      </c>
      <c r="X260" s="8" t="n"/>
      <c r="Y260" s="9">
        <f>IF(LEFT(B260,4)&lt;&gt;"    ",0,IF(P260&lt;0,P260,IF(U260&gt;0.3,W260-X260,0)))</f>
        <v/>
      </c>
      <c r="Z260" s="71">
        <f>Y260</f>
        <v/>
      </c>
      <c r="AA260" s="71" t="n"/>
      <c r="AB260" s="109" t="n"/>
      <c r="AC260" s="9">
        <f>IF(LEFT(B260,4)&lt;&gt;"    ",0,BK260)</f>
        <v/>
      </c>
      <c r="AD260" s="9">
        <f>Z260-AC260</f>
        <v/>
      </c>
      <c r="AE260" s="10" t="n"/>
      <c r="AF260" s="24" t="n"/>
      <c r="AG260" s="11" t="n"/>
      <c r="AH260" s="8" t="n"/>
      <c r="AI260" s="9">
        <f>IF(LEFT(B260,4)&lt;&gt;"    ","",AG260-AH260)</f>
        <v/>
      </c>
      <c r="AJ260" s="9" t="n"/>
      <c r="AK260" s="10" t="n"/>
      <c r="AL260" s="11">
        <f>IF(LEFT(B260,4)&lt;&gt;"    ","",W260-AG260)</f>
        <v/>
      </c>
      <c r="AM260" s="8">
        <f>IF(LEFT(B260,4)&lt;&gt;"    ","",X260-AH260)</f>
        <v/>
      </c>
      <c r="AN260" s="9">
        <f>IF(LEFT(B260,4)&lt;&gt;"    ","",Y260-AI260)</f>
        <v/>
      </c>
      <c r="AO260" s="9">
        <f>IF(LEFT(B260,4)&lt;&gt;"    ","",Z260-AJ260)</f>
        <v/>
      </c>
      <c r="AP260" s="10" t="n"/>
      <c r="AQ260" s="25">
        <f>IF(LEFT(B260,4)&lt;&gt;"    ","",I260-W260)</f>
        <v/>
      </c>
      <c r="AR260" s="25">
        <f>M260-X260</f>
        <v/>
      </c>
      <c r="AS260" s="25">
        <f>IF(LEFT(B260,4)&lt;&gt;"    ","",P260-Z260)</f>
        <v/>
      </c>
      <c r="AT260" s="10" t="n"/>
      <c r="AU260" s="12" t="n"/>
      <c r="AV260" s="12">
        <f>IF(LEFT(B260,4)&lt;&gt;"    ","",IF(W260-AU260&gt;=0,W260-AU260," "))</f>
        <v/>
      </c>
      <c r="AW260" s="12">
        <f>IF(LEFT(B260,4)&lt;&gt;"    ","",IF(AU260-W260&gt;=0,AU260-W260," "))</f>
        <v/>
      </c>
      <c r="AX260" s="186" t="n"/>
      <c r="AY260" s="187" t="n"/>
      <c r="AZ260" s="186" t="n"/>
      <c r="BA260" s="186" t="n"/>
      <c r="BB260" s="188" t="n"/>
      <c r="BC260" s="187" t="n"/>
      <c r="BD260" s="187" t="n"/>
      <c r="BE260" s="186" t="n"/>
      <c r="BF260" s="186" t="n"/>
      <c r="BG260" s="186" t="n"/>
      <c r="BH260" s="186" t="n"/>
      <c r="BI260" s="186" t="n"/>
      <c r="BJ260" s="186" t="n"/>
      <c r="BK260" s="186" t="n"/>
      <c r="BL260" s="186" t="n"/>
      <c r="BM260" s="186" t="n"/>
      <c r="BN260" s="186" t="n"/>
      <c r="BO260" s="186" t="n"/>
      <c r="BP260" s="186" t="n"/>
      <c r="BQ260" s="186" t="n"/>
      <c r="BR260" s="186" t="n"/>
      <c r="BS260" s="186" t="n"/>
      <c r="BT260" s="186" t="n"/>
      <c r="BU260" s="186" t="n"/>
      <c r="BV260" s="186" t="n"/>
      <c r="BW260" s="186" t="n"/>
      <c r="BX260" s="186" t="n"/>
      <c r="BY260" s="186" t="n"/>
      <c r="BZ260" s="186" t="n"/>
      <c r="CA260" s="186" t="n"/>
      <c r="CB260" s="186" t="n"/>
      <c r="CC260" s="190" t="n"/>
      <c r="CD260" s="186" t="n"/>
      <c r="CE260" s="186" t="n"/>
      <c r="CF260" s="186" t="n"/>
      <c r="CG260" s="186" t="n"/>
      <c r="CH260" s="186" t="n"/>
      <c r="CI260" s="191" t="n"/>
      <c r="CJ260" s="192" t="n"/>
      <c r="CK260" s="192" t="n"/>
      <c r="CL260" s="192" t="n"/>
      <c r="CM260" s="192" t="n"/>
    </row>
    <row r="261">
      <c r="A261" s="177" t="n"/>
      <c r="B261" s="178" t="n"/>
      <c r="C261" s="178" t="n"/>
      <c r="D261" s="179" t="n"/>
      <c r="E261" s="180" t="n"/>
      <c r="F261" s="181" t="n"/>
      <c r="G261" s="182" t="n"/>
      <c r="H261" s="105" t="n"/>
      <c r="I261" s="196">
        <f>F261</f>
        <v/>
      </c>
      <c r="J261" s="184" t="n"/>
      <c r="K261" s="185" t="n"/>
      <c r="L261" s="8" t="n"/>
      <c r="M261" s="71">
        <f>L261</f>
        <v/>
      </c>
      <c r="N261" s="71" t="n"/>
      <c r="O261" s="101" t="n"/>
      <c r="P261" s="9">
        <f>I261-M261</f>
        <v/>
      </c>
      <c r="Q261" s="9">
        <f>IF(LEFT(B261,4)&lt;&gt;"    ",0,BN261)</f>
        <v/>
      </c>
      <c r="R261" s="9">
        <f>+P261-Q261</f>
        <v/>
      </c>
      <c r="S261" s="281" t="n"/>
      <c r="T261" s="10" t="n"/>
      <c r="U261" s="23">
        <f>IF(LEFT(B261,4)&lt;&gt;"    ","",IF(M261&lt;&gt;0,X261/M261,0))</f>
        <v/>
      </c>
      <c r="V261" s="11">
        <f>IF(LEFT(B261,4)&lt;&gt;"    ","",U261*I261)</f>
        <v/>
      </c>
      <c r="W261" s="11">
        <f>IF(LEFT(B261,4)&lt;&gt;"    ","",X261+Z261)</f>
        <v/>
      </c>
      <c r="X261" s="8" t="n"/>
      <c r="Y261" s="9">
        <f>IF(LEFT(B261,4)&lt;&gt;"    ",0,IF(P261&lt;0,P261,IF(U261&gt;0.3,W261-X261,0)))</f>
        <v/>
      </c>
      <c r="Z261" s="71">
        <f>Y261</f>
        <v/>
      </c>
      <c r="AA261" s="71" t="n"/>
      <c r="AB261" s="109" t="n"/>
      <c r="AC261" s="9">
        <f>IF(LEFT(B261,4)&lt;&gt;"    ",0,BK261)</f>
        <v/>
      </c>
      <c r="AD261" s="9">
        <f>Z261-AC261</f>
        <v/>
      </c>
      <c r="AE261" s="10" t="n"/>
      <c r="AF261" s="24" t="n"/>
      <c r="AG261" s="11" t="n"/>
      <c r="AH261" s="8" t="n"/>
      <c r="AI261" s="9">
        <f>IF(LEFT(B261,4)&lt;&gt;"    ","",AG261-AH261)</f>
        <v/>
      </c>
      <c r="AJ261" s="9" t="n"/>
      <c r="AK261" s="10" t="n"/>
      <c r="AL261" s="11">
        <f>IF(LEFT(B261,4)&lt;&gt;"    ","",W261-AG261)</f>
        <v/>
      </c>
      <c r="AM261" s="8">
        <f>IF(LEFT(B261,4)&lt;&gt;"    ","",X261-AH261)</f>
        <v/>
      </c>
      <c r="AN261" s="9">
        <f>IF(LEFT(B261,4)&lt;&gt;"    ","",Y261-AI261)</f>
        <v/>
      </c>
      <c r="AO261" s="9">
        <f>IF(LEFT(B261,4)&lt;&gt;"    ","",Z261-AJ261)</f>
        <v/>
      </c>
      <c r="AP261" s="10" t="n"/>
      <c r="AQ261" s="25">
        <f>IF(LEFT(B261,4)&lt;&gt;"    ","",I261-W261)</f>
        <v/>
      </c>
      <c r="AR261" s="25">
        <f>M261-X261</f>
        <v/>
      </c>
      <c r="AS261" s="25">
        <f>IF(LEFT(B261,4)&lt;&gt;"    ","",P261-Z261)</f>
        <v/>
      </c>
      <c r="AT261" s="10" t="n"/>
      <c r="AU261" s="12" t="n"/>
      <c r="AV261" s="12">
        <f>IF(LEFT(B261,4)&lt;&gt;"    ","",IF(W261-AU261&gt;=0,W261-AU261," "))</f>
        <v/>
      </c>
      <c r="AW261" s="12">
        <f>IF(LEFT(B261,4)&lt;&gt;"    ","",IF(AU261-W261&gt;=0,AU261-W261," "))</f>
        <v/>
      </c>
      <c r="AX261" s="186" t="n"/>
      <c r="AY261" s="187" t="n"/>
      <c r="AZ261" s="186" t="n"/>
      <c r="BA261" s="186" t="n"/>
      <c r="BB261" s="188" t="n"/>
      <c r="BC261" s="187" t="n"/>
      <c r="BD261" s="187" t="n"/>
      <c r="BE261" s="186" t="n"/>
      <c r="BF261" s="186" t="n"/>
      <c r="BG261" s="186" t="n"/>
      <c r="BH261" s="186" t="n"/>
      <c r="BI261" s="186" t="n"/>
      <c r="BJ261" s="186" t="n"/>
      <c r="BK261" s="186" t="n"/>
      <c r="BL261" s="186" t="n"/>
      <c r="BM261" s="186" t="n"/>
      <c r="BN261" s="186" t="n"/>
      <c r="BO261" s="186" t="n"/>
      <c r="BP261" s="186" t="n"/>
      <c r="BQ261" s="186" t="n"/>
      <c r="BR261" s="186" t="n"/>
      <c r="BS261" s="186" t="n"/>
      <c r="BT261" s="186" t="n"/>
      <c r="BU261" s="186" t="n"/>
      <c r="BV261" s="186" t="n"/>
      <c r="BW261" s="186" t="n"/>
      <c r="BX261" s="186" t="n"/>
      <c r="BY261" s="186" t="n"/>
      <c r="BZ261" s="186" t="n"/>
      <c r="CA261" s="186" t="n"/>
      <c r="CB261" s="186" t="n"/>
      <c r="CC261" s="190" t="n"/>
      <c r="CD261" s="186" t="n"/>
      <c r="CE261" s="186" t="n"/>
      <c r="CF261" s="186" t="n"/>
      <c r="CG261" s="186" t="n"/>
      <c r="CH261" s="186" t="n"/>
      <c r="CI261" s="191" t="n"/>
      <c r="CJ261" s="192" t="n"/>
      <c r="CK261" s="192" t="n"/>
      <c r="CL261" s="192" t="n"/>
      <c r="CM261" s="192" t="n"/>
    </row>
    <row r="262">
      <c r="A262" s="177" t="n"/>
      <c r="B262" s="178" t="n"/>
      <c r="C262" s="178" t="n"/>
      <c r="D262" s="179" t="n"/>
      <c r="E262" s="180" t="n"/>
      <c r="F262" s="181" t="n"/>
      <c r="G262" s="182" t="n"/>
      <c r="H262" s="105" t="n"/>
      <c r="I262" s="196">
        <f>F262</f>
        <v/>
      </c>
      <c r="J262" s="184" t="n"/>
      <c r="K262" s="185" t="n"/>
      <c r="L262" s="8" t="n"/>
      <c r="M262" s="71">
        <f>L262</f>
        <v/>
      </c>
      <c r="N262" s="71" t="n"/>
      <c r="O262" s="101" t="n"/>
      <c r="P262" s="9">
        <f>I262-M262</f>
        <v/>
      </c>
      <c r="Q262" s="9">
        <f>IF(LEFT(B262,4)&lt;&gt;"    ",0,BN262)</f>
        <v/>
      </c>
      <c r="R262" s="9">
        <f>+P262-Q262</f>
        <v/>
      </c>
      <c r="S262" s="281" t="n"/>
      <c r="T262" s="10" t="n"/>
      <c r="U262" s="23">
        <f>IF(LEFT(B262,4)&lt;&gt;"    ","",IF(M262&lt;&gt;0,X262/M262,0))</f>
        <v/>
      </c>
      <c r="V262" s="11">
        <f>IF(LEFT(B262,4)&lt;&gt;"    ","",U262*I262)</f>
        <v/>
      </c>
      <c r="W262" s="11">
        <f>IF(LEFT(B262,4)&lt;&gt;"    ","",X262+Z262)</f>
        <v/>
      </c>
      <c r="X262" s="8" t="n"/>
      <c r="Y262" s="9">
        <f>IF(LEFT(B262,4)&lt;&gt;"    ",0,IF(P262&lt;0,P262,IF(U262&gt;0.3,W262-X262,0)))</f>
        <v/>
      </c>
      <c r="Z262" s="71">
        <f>Y262</f>
        <v/>
      </c>
      <c r="AA262" s="71" t="n"/>
      <c r="AB262" s="109" t="n"/>
      <c r="AC262" s="9">
        <f>IF(LEFT(B262,4)&lt;&gt;"    ",0,BK262)</f>
        <v/>
      </c>
      <c r="AD262" s="9">
        <f>Z262-AC262</f>
        <v/>
      </c>
      <c r="AE262" s="10" t="n"/>
      <c r="AF262" s="24" t="n"/>
      <c r="AG262" s="11" t="n"/>
      <c r="AH262" s="8" t="n"/>
      <c r="AI262" s="9">
        <f>IF(LEFT(B262,4)&lt;&gt;"    ","",AG262-AH262)</f>
        <v/>
      </c>
      <c r="AJ262" s="9" t="n"/>
      <c r="AK262" s="10" t="n"/>
      <c r="AL262" s="11">
        <f>IF(LEFT(B262,4)&lt;&gt;"    ","",W262-AG262)</f>
        <v/>
      </c>
      <c r="AM262" s="8">
        <f>IF(LEFT(B262,4)&lt;&gt;"    ","",X262-AH262)</f>
        <v/>
      </c>
      <c r="AN262" s="9">
        <f>IF(LEFT(B262,4)&lt;&gt;"    ","",Y262-AI262)</f>
        <v/>
      </c>
      <c r="AO262" s="9">
        <f>IF(LEFT(B262,4)&lt;&gt;"    ","",Z262-AJ262)</f>
        <v/>
      </c>
      <c r="AP262" s="10" t="n"/>
      <c r="AQ262" s="25">
        <f>IF(LEFT(B262,4)&lt;&gt;"    ","",I262-W262)</f>
        <v/>
      </c>
      <c r="AR262" s="25">
        <f>M262-X262</f>
        <v/>
      </c>
      <c r="AS262" s="25">
        <f>IF(LEFT(B262,4)&lt;&gt;"    ","",P262-Z262)</f>
        <v/>
      </c>
      <c r="AT262" s="10" t="n"/>
      <c r="AU262" s="12" t="n"/>
      <c r="AV262" s="12">
        <f>IF(LEFT(B262,4)&lt;&gt;"    ","",IF(W262-AU262&gt;=0,W262-AU262," "))</f>
        <v/>
      </c>
      <c r="AW262" s="12">
        <f>IF(LEFT(B262,4)&lt;&gt;"    ","",IF(AU262-W262&gt;=0,AU262-W262," "))</f>
        <v/>
      </c>
      <c r="AX262" s="186" t="n"/>
      <c r="AY262" s="187" t="n"/>
      <c r="AZ262" s="186" t="n"/>
      <c r="BA262" s="186" t="n"/>
      <c r="BB262" s="188" t="n"/>
      <c r="BC262" s="187" t="n"/>
      <c r="BD262" s="187" t="n"/>
      <c r="BE262" s="186" t="n"/>
      <c r="BF262" s="186" t="n"/>
      <c r="BG262" s="186" t="n"/>
      <c r="BH262" s="186" t="n"/>
      <c r="BI262" s="186" t="n"/>
      <c r="BJ262" s="186" t="n"/>
      <c r="BK262" s="186" t="n"/>
      <c r="BL262" s="186" t="n"/>
      <c r="BM262" s="186" t="n"/>
      <c r="BN262" s="186" t="n"/>
      <c r="BO262" s="186" t="n"/>
      <c r="BP262" s="186" t="n"/>
      <c r="BQ262" s="186" t="n"/>
      <c r="BR262" s="186" t="n"/>
      <c r="BS262" s="186" t="n"/>
      <c r="BT262" s="186" t="n"/>
      <c r="BU262" s="186" t="n"/>
      <c r="BV262" s="186" t="n"/>
      <c r="BW262" s="186" t="n"/>
      <c r="BX262" s="186" t="n"/>
      <c r="BY262" s="186" t="n"/>
      <c r="BZ262" s="186" t="n"/>
      <c r="CA262" s="186" t="n"/>
      <c r="CB262" s="186" t="n"/>
      <c r="CC262" s="190" t="n"/>
      <c r="CD262" s="186" t="n"/>
      <c r="CE262" s="186" t="n"/>
      <c r="CF262" s="186" t="n"/>
      <c r="CG262" s="186" t="n"/>
      <c r="CH262" s="186" t="n"/>
      <c r="CI262" s="191" t="n"/>
      <c r="CJ262" s="192" t="n"/>
      <c r="CK262" s="192" t="n"/>
      <c r="CL262" s="192" t="n"/>
      <c r="CM262" s="192" t="n"/>
    </row>
    <row r="263">
      <c r="A263" s="177" t="n"/>
      <c r="B263" s="178" t="n"/>
      <c r="C263" s="178" t="n"/>
      <c r="D263" s="179" t="n"/>
      <c r="E263" s="180" t="n"/>
      <c r="F263" s="181" t="n"/>
      <c r="G263" s="182" t="n"/>
      <c r="H263" s="105" t="n"/>
      <c r="I263" s="196">
        <f>F263</f>
        <v/>
      </c>
      <c r="J263" s="184" t="n"/>
      <c r="K263" s="185" t="n"/>
      <c r="L263" s="8" t="n"/>
      <c r="M263" s="71">
        <f>L263</f>
        <v/>
      </c>
      <c r="N263" s="71" t="n"/>
      <c r="O263" s="101" t="n"/>
      <c r="P263" s="9">
        <f>I263-M263</f>
        <v/>
      </c>
      <c r="Q263" s="9">
        <f>IF(LEFT(B263,4)&lt;&gt;"    ",0,BN263)</f>
        <v/>
      </c>
      <c r="R263" s="9">
        <f>+P263-Q263</f>
        <v/>
      </c>
      <c r="S263" s="281" t="n"/>
      <c r="T263" s="10" t="n"/>
      <c r="U263" s="23">
        <f>IF(LEFT(B263,4)&lt;&gt;"    ","",IF(M263&lt;&gt;0,X263/M263,0))</f>
        <v/>
      </c>
      <c r="V263" s="11">
        <f>IF(LEFT(B263,4)&lt;&gt;"    ","",U263*I263)</f>
        <v/>
      </c>
      <c r="W263" s="11">
        <f>IF(LEFT(B263,4)&lt;&gt;"    ","",X263+Z263)</f>
        <v/>
      </c>
      <c r="X263" s="8" t="n"/>
      <c r="Y263" s="9">
        <f>IF(LEFT(B263,4)&lt;&gt;"    ",0,IF(P263&lt;0,P263,IF(U263&gt;0.3,W263-X263,0)))</f>
        <v/>
      </c>
      <c r="Z263" s="71">
        <f>Y263</f>
        <v/>
      </c>
      <c r="AA263" s="71" t="n"/>
      <c r="AB263" s="109" t="n"/>
      <c r="AC263" s="9">
        <f>IF(LEFT(B263,4)&lt;&gt;"    ",0,BK263)</f>
        <v/>
      </c>
      <c r="AD263" s="9">
        <f>Z263-AC263</f>
        <v/>
      </c>
      <c r="AE263" s="10" t="n"/>
      <c r="AF263" s="24" t="n"/>
      <c r="AG263" s="11" t="n"/>
      <c r="AH263" s="8" t="n"/>
      <c r="AI263" s="9">
        <f>IF(LEFT(B263,4)&lt;&gt;"    ","",AG263-AH263)</f>
        <v/>
      </c>
      <c r="AJ263" s="9" t="n"/>
      <c r="AK263" s="10" t="n"/>
      <c r="AL263" s="11">
        <f>IF(LEFT(B263,4)&lt;&gt;"    ","",W263-AG263)</f>
        <v/>
      </c>
      <c r="AM263" s="8">
        <f>IF(LEFT(B263,4)&lt;&gt;"    ","",X263-AH263)</f>
        <v/>
      </c>
      <c r="AN263" s="9">
        <f>IF(LEFT(B263,4)&lt;&gt;"    ","",Y263-AI263)</f>
        <v/>
      </c>
      <c r="AO263" s="9">
        <f>IF(LEFT(B263,4)&lt;&gt;"    ","",Z263-AJ263)</f>
        <v/>
      </c>
      <c r="AP263" s="10" t="n"/>
      <c r="AQ263" s="25">
        <f>IF(LEFT(B263,4)&lt;&gt;"    ","",I263-W263)</f>
        <v/>
      </c>
      <c r="AR263" s="25">
        <f>M263-X263</f>
        <v/>
      </c>
      <c r="AS263" s="25">
        <f>IF(LEFT(B263,4)&lt;&gt;"    ","",P263-Z263)</f>
        <v/>
      </c>
      <c r="AT263" s="10" t="n"/>
      <c r="AU263" s="12" t="n"/>
      <c r="AV263" s="12">
        <f>IF(LEFT(B263,4)&lt;&gt;"    ","",IF(W263-AU263&gt;=0,W263-AU263," "))</f>
        <v/>
      </c>
      <c r="AW263" s="12">
        <f>IF(LEFT(B263,4)&lt;&gt;"    ","",IF(AU263-W263&gt;=0,AU263-W263," "))</f>
        <v/>
      </c>
      <c r="AX263" s="186" t="n"/>
      <c r="AY263" s="187" t="n"/>
      <c r="AZ263" s="186" t="n"/>
      <c r="BA263" s="186" t="n"/>
      <c r="BB263" s="188" t="n"/>
      <c r="BC263" s="187" t="n"/>
      <c r="BD263" s="187" t="n"/>
      <c r="BE263" s="186" t="n"/>
      <c r="BF263" s="186" t="n"/>
      <c r="BG263" s="186" t="n"/>
      <c r="BH263" s="186" t="n"/>
      <c r="BI263" s="186" t="n"/>
      <c r="BJ263" s="186" t="n"/>
      <c r="BK263" s="186" t="n"/>
      <c r="BL263" s="186" t="n"/>
      <c r="BM263" s="186" t="n"/>
      <c r="BN263" s="186" t="n"/>
      <c r="BO263" s="186" t="n"/>
      <c r="BP263" s="186" t="n"/>
      <c r="BQ263" s="186" t="n"/>
      <c r="BR263" s="186" t="n"/>
      <c r="BS263" s="186" t="n"/>
      <c r="BT263" s="186" t="n"/>
      <c r="BU263" s="186" t="n"/>
      <c r="BV263" s="186" t="n"/>
      <c r="BW263" s="186" t="n"/>
      <c r="BX263" s="186" t="n"/>
      <c r="BY263" s="186" t="n"/>
      <c r="BZ263" s="186" t="n"/>
      <c r="CA263" s="186" t="n"/>
      <c r="CB263" s="186" t="n"/>
      <c r="CC263" s="190" t="n"/>
      <c r="CD263" s="186" t="n"/>
      <c r="CE263" s="186" t="n"/>
      <c r="CF263" s="186" t="n"/>
      <c r="CG263" s="186" t="n"/>
      <c r="CH263" s="186" t="n"/>
      <c r="CI263" s="191" t="n"/>
      <c r="CJ263" s="192" t="n"/>
      <c r="CK263" s="192" t="n"/>
      <c r="CL263" s="192" t="n"/>
      <c r="CM263" s="192" t="n"/>
    </row>
    <row r="264">
      <c r="A264" s="177" t="n"/>
      <c r="B264" s="178" t="n"/>
      <c r="C264" s="178" t="n"/>
      <c r="D264" s="179" t="n"/>
      <c r="E264" s="180" t="n"/>
      <c r="F264" s="181" t="n"/>
      <c r="G264" s="182" t="n"/>
      <c r="H264" s="105" t="n"/>
      <c r="I264" s="196">
        <f>F264</f>
        <v/>
      </c>
      <c r="J264" s="184" t="n"/>
      <c r="K264" s="185" t="n"/>
      <c r="L264" s="8" t="n"/>
      <c r="M264" s="71">
        <f>L264</f>
        <v/>
      </c>
      <c r="N264" s="71" t="n"/>
      <c r="O264" s="101" t="n"/>
      <c r="P264" s="9">
        <f>I264-M264</f>
        <v/>
      </c>
      <c r="Q264" s="9">
        <f>IF(LEFT(B264,4)&lt;&gt;"    ",0,BN264)</f>
        <v/>
      </c>
      <c r="R264" s="9">
        <f>+P264-Q264</f>
        <v/>
      </c>
      <c r="S264" s="281" t="n"/>
      <c r="T264" s="10" t="n"/>
      <c r="U264" s="23">
        <f>IF(LEFT(B264,4)&lt;&gt;"    ","",IF(M264&lt;&gt;0,X264/M264,0))</f>
        <v/>
      </c>
      <c r="V264" s="11">
        <f>IF(LEFT(B264,4)&lt;&gt;"    ","",U264*I264)</f>
        <v/>
      </c>
      <c r="W264" s="11">
        <f>IF(LEFT(B264,4)&lt;&gt;"    ","",X264+Z264)</f>
        <v/>
      </c>
      <c r="X264" s="8" t="n"/>
      <c r="Y264" s="9">
        <f>IF(LEFT(B264,4)&lt;&gt;"    ",0,IF(P264&lt;0,P264,IF(U264&gt;0.3,W264-X264,0)))</f>
        <v/>
      </c>
      <c r="Z264" s="71">
        <f>Y264</f>
        <v/>
      </c>
      <c r="AA264" s="71" t="n"/>
      <c r="AB264" s="109" t="n"/>
      <c r="AC264" s="9">
        <f>IF(LEFT(B264,4)&lt;&gt;"    ",0,BK264)</f>
        <v/>
      </c>
      <c r="AD264" s="9">
        <f>Z264-AC264</f>
        <v/>
      </c>
      <c r="AE264" s="10" t="n"/>
      <c r="AF264" s="24" t="n"/>
      <c r="AG264" s="11" t="n"/>
      <c r="AH264" s="8" t="n"/>
      <c r="AI264" s="9">
        <f>IF(LEFT(B264,4)&lt;&gt;"    ","",AG264-AH264)</f>
        <v/>
      </c>
      <c r="AJ264" s="9" t="n"/>
      <c r="AK264" s="10" t="n"/>
      <c r="AL264" s="11">
        <f>IF(LEFT(B264,4)&lt;&gt;"    ","",W264-AG264)</f>
        <v/>
      </c>
      <c r="AM264" s="8">
        <f>IF(LEFT(B264,4)&lt;&gt;"    ","",X264-AH264)</f>
        <v/>
      </c>
      <c r="AN264" s="9">
        <f>IF(LEFT(B264,4)&lt;&gt;"    ","",Y264-AI264)</f>
        <v/>
      </c>
      <c r="AO264" s="9">
        <f>IF(LEFT(B264,4)&lt;&gt;"    ","",Z264-AJ264)</f>
        <v/>
      </c>
      <c r="AP264" s="10" t="n"/>
      <c r="AQ264" s="25">
        <f>IF(LEFT(B264,4)&lt;&gt;"    ","",I264-W264)</f>
        <v/>
      </c>
      <c r="AR264" s="25">
        <f>M264-X264</f>
        <v/>
      </c>
      <c r="AS264" s="25">
        <f>IF(LEFT(B264,4)&lt;&gt;"    ","",P264-Z264)</f>
        <v/>
      </c>
      <c r="AT264" s="10" t="n"/>
      <c r="AU264" s="12" t="n"/>
      <c r="AV264" s="12">
        <f>IF(LEFT(B264,4)&lt;&gt;"    ","",IF(W264-AU264&gt;=0,W264-AU264," "))</f>
        <v/>
      </c>
      <c r="AW264" s="12">
        <f>IF(LEFT(B264,4)&lt;&gt;"    ","",IF(AU264-W264&gt;=0,AU264-W264," "))</f>
        <v/>
      </c>
      <c r="AX264" s="186" t="n"/>
      <c r="AY264" s="187" t="n"/>
      <c r="AZ264" s="186" t="n"/>
      <c r="BA264" s="186" t="n"/>
      <c r="BB264" s="188" t="n"/>
      <c r="BC264" s="187" t="n"/>
      <c r="BD264" s="187" t="n"/>
      <c r="BE264" s="186" t="n"/>
      <c r="BF264" s="186" t="n"/>
      <c r="BG264" s="186" t="n"/>
      <c r="BH264" s="186" t="n"/>
      <c r="BI264" s="186" t="n"/>
      <c r="BJ264" s="186" t="n"/>
      <c r="BK264" s="186" t="n"/>
      <c r="BL264" s="186" t="n"/>
      <c r="BM264" s="186" t="n"/>
      <c r="BN264" s="186" t="n"/>
      <c r="BO264" s="186" t="n"/>
      <c r="BP264" s="186" t="n"/>
      <c r="BQ264" s="186" t="n"/>
      <c r="BR264" s="186" t="n"/>
      <c r="BS264" s="186" t="n"/>
      <c r="BT264" s="186" t="n"/>
      <c r="BU264" s="186" t="n"/>
      <c r="BV264" s="186" t="n"/>
      <c r="BW264" s="186" t="n"/>
      <c r="BX264" s="186" t="n"/>
      <c r="BY264" s="186" t="n"/>
      <c r="BZ264" s="186" t="n"/>
      <c r="CA264" s="186" t="n"/>
      <c r="CB264" s="186" t="n"/>
      <c r="CC264" s="190" t="n"/>
      <c r="CD264" s="186" t="n"/>
      <c r="CE264" s="186" t="n"/>
      <c r="CF264" s="186" t="n"/>
      <c r="CG264" s="186" t="n"/>
      <c r="CH264" s="186" t="n"/>
      <c r="CI264" s="191" t="n"/>
      <c r="CJ264" s="192" t="n"/>
      <c r="CK264" s="192" t="n"/>
      <c r="CL264" s="192" t="n"/>
      <c r="CM264" s="192" t="n"/>
    </row>
    <row r="265">
      <c r="A265" s="177" t="n"/>
      <c r="B265" s="178" t="n"/>
      <c r="C265" s="178" t="n"/>
      <c r="D265" s="179" t="n"/>
      <c r="E265" s="180" t="n"/>
      <c r="F265" s="181" t="n"/>
      <c r="G265" s="182" t="n"/>
      <c r="H265" s="105" t="n"/>
      <c r="I265" s="196">
        <f>F265</f>
        <v/>
      </c>
      <c r="J265" s="184" t="n"/>
      <c r="K265" s="185" t="n"/>
      <c r="L265" s="8" t="n"/>
      <c r="M265" s="71">
        <f>L265</f>
        <v/>
      </c>
      <c r="N265" s="71" t="n"/>
      <c r="O265" s="101" t="n"/>
      <c r="P265" s="9">
        <f>I265-M265</f>
        <v/>
      </c>
      <c r="Q265" s="9">
        <f>IF(LEFT(B265,4)&lt;&gt;"    ",0,BN265)</f>
        <v/>
      </c>
      <c r="R265" s="9">
        <f>+P265-Q265</f>
        <v/>
      </c>
      <c r="S265" s="281" t="n"/>
      <c r="T265" s="10" t="n"/>
      <c r="U265" s="23">
        <f>IF(LEFT(B265,4)&lt;&gt;"    ","",IF(M265&lt;&gt;0,X265/M265,0))</f>
        <v/>
      </c>
      <c r="V265" s="11">
        <f>IF(LEFT(B265,4)&lt;&gt;"    ","",U265*I265)</f>
        <v/>
      </c>
      <c r="W265" s="11">
        <f>IF(LEFT(B265,4)&lt;&gt;"    ","",X265+Z265)</f>
        <v/>
      </c>
      <c r="X265" s="8" t="n"/>
      <c r="Y265" s="9">
        <f>IF(LEFT(B265,4)&lt;&gt;"    ",0,IF(P265&lt;0,P265,IF(U265&gt;0.3,W265-X265,0)))</f>
        <v/>
      </c>
      <c r="Z265" s="71">
        <f>Y265</f>
        <v/>
      </c>
      <c r="AA265" s="71" t="n"/>
      <c r="AB265" s="109" t="n"/>
      <c r="AC265" s="9">
        <f>IF(LEFT(B265,4)&lt;&gt;"    ",0,BK265)</f>
        <v/>
      </c>
      <c r="AD265" s="9">
        <f>Z265-AC265</f>
        <v/>
      </c>
      <c r="AE265" s="10" t="n"/>
      <c r="AF265" s="24" t="n"/>
      <c r="AG265" s="11" t="n"/>
      <c r="AH265" s="8" t="n"/>
      <c r="AI265" s="9">
        <f>IF(LEFT(B265,4)&lt;&gt;"    ","",AG265-AH265)</f>
        <v/>
      </c>
      <c r="AJ265" s="9" t="n"/>
      <c r="AK265" s="10" t="n"/>
      <c r="AL265" s="11">
        <f>IF(LEFT(B265,4)&lt;&gt;"    ","",W265-AG265)</f>
        <v/>
      </c>
      <c r="AM265" s="8">
        <f>IF(LEFT(B265,4)&lt;&gt;"    ","",X265-AH265)</f>
        <v/>
      </c>
      <c r="AN265" s="9">
        <f>IF(LEFT(B265,4)&lt;&gt;"    ","",Y265-AI265)</f>
        <v/>
      </c>
      <c r="AO265" s="9">
        <f>IF(LEFT(B265,4)&lt;&gt;"    ","",Z265-AJ265)</f>
        <v/>
      </c>
      <c r="AP265" s="10" t="n"/>
      <c r="AQ265" s="25">
        <f>IF(LEFT(B265,4)&lt;&gt;"    ","",I265-W265)</f>
        <v/>
      </c>
      <c r="AR265" s="25">
        <f>M265-X265</f>
        <v/>
      </c>
      <c r="AS265" s="25">
        <f>IF(LEFT(B265,4)&lt;&gt;"    ","",P265-Z265)</f>
        <v/>
      </c>
      <c r="AT265" s="10" t="n"/>
      <c r="AU265" s="12" t="n"/>
      <c r="AV265" s="12">
        <f>IF(LEFT(B265,4)&lt;&gt;"    ","",IF(W265-AU265&gt;=0,W265-AU265," "))</f>
        <v/>
      </c>
      <c r="AW265" s="12">
        <f>IF(LEFT(B265,4)&lt;&gt;"    ","",IF(AU265-W265&gt;=0,AU265-W265," "))</f>
        <v/>
      </c>
      <c r="AX265" s="186" t="n"/>
      <c r="AY265" s="187" t="n"/>
      <c r="AZ265" s="186" t="n"/>
      <c r="BA265" s="186" t="n"/>
      <c r="BB265" s="188" t="n"/>
      <c r="BC265" s="187" t="n"/>
      <c r="BD265" s="187" t="n"/>
      <c r="BE265" s="186" t="n"/>
      <c r="BF265" s="186" t="n"/>
      <c r="BG265" s="186" t="n"/>
      <c r="BH265" s="186" t="n"/>
      <c r="BI265" s="186" t="n"/>
      <c r="BJ265" s="186" t="n"/>
      <c r="BK265" s="186" t="n"/>
      <c r="BL265" s="186" t="n"/>
      <c r="BM265" s="186" t="n"/>
      <c r="BN265" s="186" t="n"/>
      <c r="BO265" s="186" t="n"/>
      <c r="BP265" s="186" t="n"/>
      <c r="BQ265" s="186" t="n"/>
      <c r="BR265" s="186" t="n"/>
      <c r="BS265" s="186" t="n"/>
      <c r="BT265" s="186" t="n"/>
      <c r="BU265" s="186" t="n"/>
      <c r="BV265" s="186" t="n"/>
      <c r="BW265" s="186" t="n"/>
      <c r="BX265" s="186" t="n"/>
      <c r="BY265" s="186" t="n"/>
      <c r="BZ265" s="186" t="n"/>
      <c r="CA265" s="186" t="n"/>
      <c r="CB265" s="186" t="n"/>
      <c r="CC265" s="190" t="n"/>
      <c r="CD265" s="186" t="n"/>
      <c r="CE265" s="186" t="n"/>
      <c r="CF265" s="186" t="n"/>
      <c r="CG265" s="186" t="n"/>
      <c r="CH265" s="186" t="n"/>
      <c r="CI265" s="191" t="n"/>
      <c r="CJ265" s="192" t="n"/>
      <c r="CK265" s="192" t="n"/>
      <c r="CL265" s="192" t="n"/>
      <c r="CM265" s="192" t="n"/>
    </row>
    <row r="266">
      <c r="A266" s="177" t="n"/>
      <c r="B266" s="178" t="n"/>
      <c r="C266" s="178" t="n"/>
      <c r="D266" s="179" t="n"/>
      <c r="E266" s="180" t="n"/>
      <c r="F266" s="181" t="n"/>
      <c r="G266" s="182" t="n"/>
      <c r="H266" s="105" t="n"/>
      <c r="I266" s="196">
        <f>F266</f>
        <v/>
      </c>
      <c r="J266" s="184" t="n"/>
      <c r="K266" s="185" t="n"/>
      <c r="L266" s="8" t="n"/>
      <c r="M266" s="71">
        <f>L266</f>
        <v/>
      </c>
      <c r="N266" s="71" t="n"/>
      <c r="O266" s="101" t="n"/>
      <c r="P266" s="9">
        <f>I266-M266</f>
        <v/>
      </c>
      <c r="Q266" s="9">
        <f>IF(LEFT(B266,4)&lt;&gt;"    ",0,BN266)</f>
        <v/>
      </c>
      <c r="R266" s="9">
        <f>+P266-Q266</f>
        <v/>
      </c>
      <c r="S266" s="281" t="n"/>
      <c r="T266" s="10" t="n"/>
      <c r="U266" s="23">
        <f>IF(LEFT(B266,4)&lt;&gt;"    ","",IF(M266&lt;&gt;0,X266/M266,0))</f>
        <v/>
      </c>
      <c r="V266" s="11">
        <f>IF(LEFT(B266,4)&lt;&gt;"    ","",U266*I266)</f>
        <v/>
      </c>
      <c r="W266" s="11">
        <f>IF(LEFT(B266,4)&lt;&gt;"    ","",X266+Z266)</f>
        <v/>
      </c>
      <c r="X266" s="8" t="n"/>
      <c r="Y266" s="9">
        <f>IF(LEFT(B266,4)&lt;&gt;"    ",0,IF(P266&lt;0,P266,IF(U266&gt;0.3,W266-X266,0)))</f>
        <v/>
      </c>
      <c r="Z266" s="71">
        <f>Y266</f>
        <v/>
      </c>
      <c r="AA266" s="71" t="n"/>
      <c r="AB266" s="109" t="n"/>
      <c r="AC266" s="9">
        <f>IF(LEFT(B266,4)&lt;&gt;"    ",0,BK266)</f>
        <v/>
      </c>
      <c r="AD266" s="9">
        <f>Z266-AC266</f>
        <v/>
      </c>
      <c r="AE266" s="10" t="n"/>
      <c r="AF266" s="24" t="n"/>
      <c r="AG266" s="11" t="n"/>
      <c r="AH266" s="8" t="n"/>
      <c r="AI266" s="9">
        <f>IF(LEFT(B266,4)&lt;&gt;"    ","",AG266-AH266)</f>
        <v/>
      </c>
      <c r="AJ266" s="9" t="n"/>
      <c r="AK266" s="10" t="n"/>
      <c r="AL266" s="11">
        <f>IF(LEFT(B266,4)&lt;&gt;"    ","",W266-AG266)</f>
        <v/>
      </c>
      <c r="AM266" s="8">
        <f>IF(LEFT(B266,4)&lt;&gt;"    ","",X266-AH266)</f>
        <v/>
      </c>
      <c r="AN266" s="9">
        <f>IF(LEFT(B266,4)&lt;&gt;"    ","",Y266-AI266)</f>
        <v/>
      </c>
      <c r="AO266" s="9">
        <f>IF(LEFT(B266,4)&lt;&gt;"    ","",Z266-AJ266)</f>
        <v/>
      </c>
      <c r="AP266" s="10" t="n"/>
      <c r="AQ266" s="25">
        <f>IF(LEFT(B266,4)&lt;&gt;"    ","",I266-W266)</f>
        <v/>
      </c>
      <c r="AR266" s="25">
        <f>M266-X266</f>
        <v/>
      </c>
      <c r="AS266" s="25">
        <f>IF(LEFT(B266,4)&lt;&gt;"    ","",P266-Z266)</f>
        <v/>
      </c>
      <c r="AT266" s="10" t="n"/>
      <c r="AU266" s="12" t="n"/>
      <c r="AV266" s="12">
        <f>IF(LEFT(B266,4)&lt;&gt;"    ","",IF(W266-AU266&gt;=0,W266-AU266," "))</f>
        <v/>
      </c>
      <c r="AW266" s="12">
        <f>IF(LEFT(B266,4)&lt;&gt;"    ","",IF(AU266-W266&gt;=0,AU266-W266," "))</f>
        <v/>
      </c>
      <c r="AX266" s="186" t="n"/>
      <c r="AY266" s="187" t="n"/>
      <c r="AZ266" s="186" t="n"/>
      <c r="BA266" s="186" t="n"/>
      <c r="BB266" s="188" t="n"/>
      <c r="BC266" s="187" t="n"/>
      <c r="BD266" s="187" t="n"/>
      <c r="BE266" s="186" t="n"/>
      <c r="BF266" s="186" t="n"/>
      <c r="BG266" s="186" t="n"/>
      <c r="BH266" s="186" t="n"/>
      <c r="BI266" s="186" t="n"/>
      <c r="BJ266" s="186" t="n"/>
      <c r="BK266" s="186" t="n"/>
      <c r="BL266" s="186" t="n"/>
      <c r="BM266" s="186" t="n"/>
      <c r="BN266" s="186" t="n"/>
      <c r="BO266" s="186" t="n"/>
      <c r="BP266" s="186" t="n"/>
      <c r="BQ266" s="186" t="n"/>
      <c r="BR266" s="186" t="n"/>
      <c r="BS266" s="186" t="n"/>
      <c r="BT266" s="186" t="n"/>
      <c r="BU266" s="186" t="n"/>
      <c r="BV266" s="186" t="n"/>
      <c r="BW266" s="186" t="n"/>
      <c r="BX266" s="186" t="n"/>
      <c r="BY266" s="186" t="n"/>
      <c r="BZ266" s="186" t="n"/>
      <c r="CA266" s="186" t="n"/>
      <c r="CB266" s="186" t="n"/>
      <c r="CC266" s="190" t="n"/>
      <c r="CD266" s="186" t="n"/>
      <c r="CE266" s="186" t="n"/>
      <c r="CF266" s="186" t="n"/>
      <c r="CG266" s="186" t="n"/>
      <c r="CH266" s="186" t="n"/>
      <c r="CI266" s="191" t="n"/>
      <c r="CJ266" s="192" t="n"/>
      <c r="CK266" s="192" t="n"/>
      <c r="CL266" s="192" t="n"/>
      <c r="CM266" s="192" t="n"/>
    </row>
    <row r="267">
      <c r="A267" s="177" t="n"/>
      <c r="B267" s="178" t="n"/>
      <c r="C267" s="178" t="n"/>
      <c r="D267" s="179" t="n"/>
      <c r="E267" s="180" t="n"/>
      <c r="F267" s="181" t="n"/>
      <c r="G267" s="182" t="n"/>
      <c r="H267" s="105" t="n"/>
      <c r="I267" s="196">
        <f>F267</f>
        <v/>
      </c>
      <c r="J267" s="184" t="n"/>
      <c r="K267" s="185" t="n"/>
      <c r="L267" s="8" t="n"/>
      <c r="M267" s="71">
        <f>L267</f>
        <v/>
      </c>
      <c r="N267" s="71" t="n"/>
      <c r="O267" s="101" t="n"/>
      <c r="P267" s="9">
        <f>I267-M267</f>
        <v/>
      </c>
      <c r="Q267" s="9">
        <f>IF(LEFT(B267,4)&lt;&gt;"    ",0,BN267)</f>
        <v/>
      </c>
      <c r="R267" s="9">
        <f>+P267-Q267</f>
        <v/>
      </c>
      <c r="S267" s="281" t="n"/>
      <c r="T267" s="10" t="n"/>
      <c r="U267" s="23">
        <f>IF(LEFT(B267,4)&lt;&gt;"    ","",IF(M267&lt;&gt;0,X267/M267,0))</f>
        <v/>
      </c>
      <c r="V267" s="11">
        <f>IF(LEFT(B267,4)&lt;&gt;"    ","",U267*I267)</f>
        <v/>
      </c>
      <c r="W267" s="11">
        <f>IF(LEFT(B267,4)&lt;&gt;"    ","",X267+Z267)</f>
        <v/>
      </c>
      <c r="X267" s="8" t="n"/>
      <c r="Y267" s="9">
        <f>IF(LEFT(B267,4)&lt;&gt;"    ",0,IF(P267&lt;0,P267,IF(U267&gt;0.3,W267-X267,0)))</f>
        <v/>
      </c>
      <c r="Z267" s="71">
        <f>Y267</f>
        <v/>
      </c>
      <c r="AA267" s="71" t="n"/>
      <c r="AB267" s="109" t="n"/>
      <c r="AC267" s="9">
        <f>IF(LEFT(B267,4)&lt;&gt;"    ",0,BK267)</f>
        <v/>
      </c>
      <c r="AD267" s="9">
        <f>Z267-AC267</f>
        <v/>
      </c>
      <c r="AE267" s="10" t="n"/>
      <c r="AF267" s="24" t="n"/>
      <c r="AG267" s="11" t="n"/>
      <c r="AH267" s="8" t="n"/>
      <c r="AI267" s="9">
        <f>IF(LEFT(B267,4)&lt;&gt;"    ","",AG267-AH267)</f>
        <v/>
      </c>
      <c r="AJ267" s="9" t="n"/>
      <c r="AK267" s="10" t="n"/>
      <c r="AL267" s="11">
        <f>IF(LEFT(B267,4)&lt;&gt;"    ","",W267-AG267)</f>
        <v/>
      </c>
      <c r="AM267" s="8">
        <f>IF(LEFT(B267,4)&lt;&gt;"    ","",X267-AH267)</f>
        <v/>
      </c>
      <c r="AN267" s="9">
        <f>IF(LEFT(B267,4)&lt;&gt;"    ","",Y267-AI267)</f>
        <v/>
      </c>
      <c r="AO267" s="9">
        <f>IF(LEFT(B267,4)&lt;&gt;"    ","",Z267-AJ267)</f>
        <v/>
      </c>
      <c r="AP267" s="10" t="n"/>
      <c r="AQ267" s="25">
        <f>IF(LEFT(B267,4)&lt;&gt;"    ","",I267-W267)</f>
        <v/>
      </c>
      <c r="AR267" s="25">
        <f>M267-X267</f>
        <v/>
      </c>
      <c r="AS267" s="25">
        <f>IF(LEFT(B267,4)&lt;&gt;"    ","",P267-Z267)</f>
        <v/>
      </c>
      <c r="AT267" s="10" t="n"/>
      <c r="AU267" s="12" t="n"/>
      <c r="AV267" s="12">
        <f>IF(LEFT(B267,4)&lt;&gt;"    ","",IF(W267-AU267&gt;=0,W267-AU267," "))</f>
        <v/>
      </c>
      <c r="AW267" s="12">
        <f>IF(LEFT(B267,4)&lt;&gt;"    ","",IF(AU267-W267&gt;=0,AU267-W267," "))</f>
        <v/>
      </c>
      <c r="AX267" s="186" t="n"/>
      <c r="AY267" s="187" t="n"/>
      <c r="AZ267" s="186" t="n"/>
      <c r="BA267" s="186" t="n"/>
      <c r="BB267" s="188" t="n"/>
      <c r="BC267" s="187" t="n"/>
      <c r="BD267" s="187" t="n"/>
      <c r="BE267" s="186" t="n"/>
      <c r="BF267" s="186" t="n"/>
      <c r="BG267" s="186" t="n"/>
      <c r="BH267" s="186" t="n"/>
      <c r="BI267" s="186" t="n"/>
      <c r="BJ267" s="186" t="n"/>
      <c r="BK267" s="186" t="n"/>
      <c r="BL267" s="186" t="n"/>
      <c r="BM267" s="186" t="n"/>
      <c r="BN267" s="186" t="n"/>
      <c r="BO267" s="186" t="n"/>
      <c r="BP267" s="186" t="n"/>
      <c r="BQ267" s="186" t="n"/>
      <c r="BR267" s="186" t="n"/>
      <c r="BS267" s="186" t="n"/>
      <c r="BT267" s="186" t="n"/>
      <c r="BU267" s="186" t="n"/>
      <c r="BV267" s="186" t="n"/>
      <c r="BW267" s="186" t="n"/>
      <c r="BX267" s="186" t="n"/>
      <c r="BY267" s="186" t="n"/>
      <c r="BZ267" s="186" t="n"/>
      <c r="CA267" s="186" t="n"/>
      <c r="CB267" s="186" t="n"/>
      <c r="CC267" s="190" t="n"/>
      <c r="CD267" s="186" t="n"/>
      <c r="CE267" s="186" t="n"/>
      <c r="CF267" s="186" t="n"/>
      <c r="CG267" s="186" t="n"/>
      <c r="CH267" s="186" t="n"/>
      <c r="CI267" s="191" t="n"/>
      <c r="CJ267" s="192" t="n"/>
      <c r="CK267" s="192" t="n"/>
      <c r="CL267" s="192" t="n"/>
      <c r="CM267" s="192" t="n"/>
    </row>
    <row r="268">
      <c r="A268" s="177" t="n"/>
      <c r="B268" s="178" t="n"/>
      <c r="C268" s="178" t="n"/>
      <c r="D268" s="179" t="n"/>
      <c r="E268" s="180" t="n"/>
      <c r="F268" s="181" t="n"/>
      <c r="G268" s="182" t="n"/>
      <c r="H268" s="105" t="n"/>
      <c r="I268" s="196">
        <f>F268</f>
        <v/>
      </c>
      <c r="J268" s="184" t="n"/>
      <c r="K268" s="185" t="n"/>
      <c r="L268" s="8" t="n"/>
      <c r="M268" s="71">
        <f>L268</f>
        <v/>
      </c>
      <c r="N268" s="71" t="n"/>
      <c r="O268" s="101" t="n"/>
      <c r="P268" s="9">
        <f>I268-M268</f>
        <v/>
      </c>
      <c r="Q268" s="9">
        <f>IF(LEFT(B268,4)&lt;&gt;"    ",0,BN268)</f>
        <v/>
      </c>
      <c r="R268" s="9">
        <f>+P268-Q268</f>
        <v/>
      </c>
      <c r="S268" s="281" t="n"/>
      <c r="T268" s="10" t="n"/>
      <c r="U268" s="23">
        <f>IF(LEFT(B268,4)&lt;&gt;"    ","",IF(M268&lt;&gt;0,X268/M268,0))</f>
        <v/>
      </c>
      <c r="V268" s="11">
        <f>IF(LEFT(B268,4)&lt;&gt;"    ","",U268*I268)</f>
        <v/>
      </c>
      <c r="W268" s="11">
        <f>IF(LEFT(B268,4)&lt;&gt;"    ","",X268+Z268)</f>
        <v/>
      </c>
      <c r="X268" s="8" t="n"/>
      <c r="Y268" s="9">
        <f>IF(LEFT(B268,4)&lt;&gt;"    ",0,IF(P268&lt;0,P268,IF(U268&gt;0.3,W268-X268,0)))</f>
        <v/>
      </c>
      <c r="Z268" s="71">
        <f>Y268</f>
        <v/>
      </c>
      <c r="AA268" s="71" t="n"/>
      <c r="AB268" s="109" t="n"/>
      <c r="AC268" s="9">
        <f>IF(LEFT(B268,4)&lt;&gt;"    ",0,BK268)</f>
        <v/>
      </c>
      <c r="AD268" s="9">
        <f>Z268-AC268</f>
        <v/>
      </c>
      <c r="AE268" s="10" t="n"/>
      <c r="AF268" s="24" t="n"/>
      <c r="AG268" s="11" t="n"/>
      <c r="AH268" s="8" t="n"/>
      <c r="AI268" s="9">
        <f>IF(LEFT(B268,4)&lt;&gt;"    ","",AG268-AH268)</f>
        <v/>
      </c>
      <c r="AJ268" s="9" t="n"/>
      <c r="AK268" s="10" t="n"/>
      <c r="AL268" s="11">
        <f>IF(LEFT(B268,4)&lt;&gt;"    ","",W268-AG268)</f>
        <v/>
      </c>
      <c r="AM268" s="8">
        <f>IF(LEFT(B268,4)&lt;&gt;"    ","",X268-AH268)</f>
        <v/>
      </c>
      <c r="AN268" s="9">
        <f>IF(LEFT(B268,4)&lt;&gt;"    ","",Y268-AI268)</f>
        <v/>
      </c>
      <c r="AO268" s="9">
        <f>IF(LEFT(B268,4)&lt;&gt;"    ","",Z268-AJ268)</f>
        <v/>
      </c>
      <c r="AP268" s="10" t="n"/>
      <c r="AQ268" s="25">
        <f>IF(LEFT(B268,4)&lt;&gt;"    ","",I268-W268)</f>
        <v/>
      </c>
      <c r="AR268" s="25">
        <f>M268-X268</f>
        <v/>
      </c>
      <c r="AS268" s="25">
        <f>IF(LEFT(B268,4)&lt;&gt;"    ","",P268-Z268)</f>
        <v/>
      </c>
      <c r="AT268" s="10" t="n"/>
      <c r="AU268" s="12" t="n"/>
      <c r="AV268" s="12">
        <f>IF(LEFT(B268,4)&lt;&gt;"    ","",IF(W268-AU268&gt;=0,W268-AU268," "))</f>
        <v/>
      </c>
      <c r="AW268" s="12">
        <f>IF(LEFT(B268,4)&lt;&gt;"    ","",IF(AU268-W268&gt;=0,AU268-W268," "))</f>
        <v/>
      </c>
      <c r="AX268" s="186" t="n"/>
      <c r="AY268" s="187" t="n"/>
      <c r="AZ268" s="186" t="n"/>
      <c r="BA268" s="186" t="n"/>
      <c r="BB268" s="188" t="n"/>
      <c r="BC268" s="187" t="n"/>
      <c r="BD268" s="187" t="n"/>
      <c r="BE268" s="186" t="n"/>
      <c r="BF268" s="186" t="n"/>
      <c r="BG268" s="186" t="n"/>
      <c r="BH268" s="186" t="n"/>
      <c r="BI268" s="186" t="n"/>
      <c r="BJ268" s="186" t="n"/>
      <c r="BK268" s="186" t="n"/>
      <c r="BL268" s="186" t="n"/>
      <c r="BM268" s="186" t="n"/>
      <c r="BN268" s="186" t="n"/>
      <c r="BO268" s="186" t="n"/>
      <c r="BP268" s="186" t="n"/>
      <c r="BQ268" s="186" t="n"/>
      <c r="BR268" s="186" t="n"/>
      <c r="BS268" s="186" t="n"/>
      <c r="BT268" s="186" t="n"/>
      <c r="BU268" s="186" t="n"/>
      <c r="BV268" s="186" t="n"/>
      <c r="BW268" s="186" t="n"/>
      <c r="BX268" s="186" t="n"/>
      <c r="BY268" s="186" t="n"/>
      <c r="BZ268" s="186" t="n"/>
      <c r="CA268" s="186" t="n"/>
      <c r="CB268" s="186" t="n"/>
      <c r="CC268" s="190" t="n"/>
      <c r="CD268" s="186" t="n"/>
      <c r="CE268" s="186" t="n"/>
      <c r="CF268" s="186" t="n"/>
      <c r="CG268" s="186" t="n"/>
      <c r="CH268" s="186" t="n"/>
      <c r="CI268" s="191" t="n"/>
      <c r="CJ268" s="192" t="n"/>
      <c r="CK268" s="192" t="n"/>
      <c r="CL268" s="192" t="n"/>
      <c r="CM268" s="192" t="n"/>
    </row>
    <row r="269">
      <c r="A269" s="177" t="n"/>
      <c r="B269" s="178" t="n"/>
      <c r="C269" s="178" t="n"/>
      <c r="D269" s="179" t="n"/>
      <c r="E269" s="180" t="n"/>
      <c r="F269" s="181" t="n"/>
      <c r="G269" s="182" t="n"/>
      <c r="H269" s="105" t="n"/>
      <c r="I269" s="196">
        <f>F269</f>
        <v/>
      </c>
      <c r="J269" s="184" t="n"/>
      <c r="K269" s="185" t="n"/>
      <c r="L269" s="8" t="n"/>
      <c r="M269" s="71">
        <f>L269</f>
        <v/>
      </c>
      <c r="N269" s="71" t="n"/>
      <c r="O269" s="101" t="n"/>
      <c r="P269" s="9">
        <f>I269-M269</f>
        <v/>
      </c>
      <c r="Q269" s="9">
        <f>IF(LEFT(B269,4)&lt;&gt;"    ",0,BN269)</f>
        <v/>
      </c>
      <c r="R269" s="9">
        <f>+P269-Q269</f>
        <v/>
      </c>
      <c r="S269" s="281" t="n"/>
      <c r="T269" s="10" t="n"/>
      <c r="U269" s="23">
        <f>IF(LEFT(B269,4)&lt;&gt;"    ","",IF(M269&lt;&gt;0,X269/M269,0))</f>
        <v/>
      </c>
      <c r="V269" s="11">
        <f>IF(LEFT(B269,4)&lt;&gt;"    ","",U269*I269)</f>
        <v/>
      </c>
      <c r="W269" s="11">
        <f>IF(LEFT(B269,4)&lt;&gt;"    ","",X269+Z269)</f>
        <v/>
      </c>
      <c r="X269" s="8" t="n"/>
      <c r="Y269" s="9">
        <f>IF(LEFT(B269,4)&lt;&gt;"    ",0,IF(P269&lt;0,P269,IF(U269&gt;0.3,W269-X269,0)))</f>
        <v/>
      </c>
      <c r="Z269" s="71">
        <f>Y269</f>
        <v/>
      </c>
      <c r="AA269" s="71" t="n"/>
      <c r="AB269" s="109" t="n"/>
      <c r="AC269" s="9">
        <f>IF(LEFT(B269,4)&lt;&gt;"    ",0,BK269)</f>
        <v/>
      </c>
      <c r="AD269" s="9">
        <f>Z269-AC269</f>
        <v/>
      </c>
      <c r="AE269" s="10" t="n"/>
      <c r="AF269" s="24" t="n"/>
      <c r="AG269" s="11" t="n"/>
      <c r="AH269" s="8" t="n"/>
      <c r="AI269" s="9">
        <f>IF(LEFT(B269,4)&lt;&gt;"    ","",AG269-AH269)</f>
        <v/>
      </c>
      <c r="AJ269" s="9" t="n"/>
      <c r="AK269" s="10" t="n"/>
      <c r="AL269" s="11">
        <f>IF(LEFT(B269,4)&lt;&gt;"    ","",W269-AG269)</f>
        <v/>
      </c>
      <c r="AM269" s="8">
        <f>IF(LEFT(B269,4)&lt;&gt;"    ","",X269-AH269)</f>
        <v/>
      </c>
      <c r="AN269" s="9">
        <f>IF(LEFT(B269,4)&lt;&gt;"    ","",Y269-AI269)</f>
        <v/>
      </c>
      <c r="AO269" s="9">
        <f>IF(LEFT(B269,4)&lt;&gt;"    ","",Z269-AJ269)</f>
        <v/>
      </c>
      <c r="AP269" s="10" t="n"/>
      <c r="AQ269" s="25">
        <f>IF(LEFT(B269,4)&lt;&gt;"    ","",I269-W269)</f>
        <v/>
      </c>
      <c r="AR269" s="25">
        <f>M269-X269</f>
        <v/>
      </c>
      <c r="AS269" s="25">
        <f>IF(LEFT(B269,4)&lt;&gt;"    ","",P269-Z269)</f>
        <v/>
      </c>
      <c r="AT269" s="10" t="n"/>
      <c r="AU269" s="12" t="n"/>
      <c r="AV269" s="12">
        <f>IF(LEFT(B269,4)&lt;&gt;"    ","",IF(W269-AU269&gt;=0,W269-AU269," "))</f>
        <v/>
      </c>
      <c r="AW269" s="12">
        <f>IF(LEFT(B269,4)&lt;&gt;"    ","",IF(AU269-W269&gt;=0,AU269-W269," "))</f>
        <v/>
      </c>
      <c r="AX269" s="186" t="n"/>
      <c r="AY269" s="187" t="n"/>
      <c r="AZ269" s="186" t="n"/>
      <c r="BA269" s="186" t="n"/>
      <c r="BB269" s="188" t="n"/>
      <c r="BC269" s="187" t="n"/>
      <c r="BD269" s="187" t="n"/>
      <c r="BE269" s="186" t="n"/>
      <c r="BF269" s="186" t="n"/>
      <c r="BG269" s="186" t="n"/>
      <c r="BH269" s="186" t="n"/>
      <c r="BI269" s="186" t="n"/>
      <c r="BJ269" s="186" t="n"/>
      <c r="BK269" s="186" t="n"/>
      <c r="BL269" s="186" t="n"/>
      <c r="BM269" s="186" t="n"/>
      <c r="BN269" s="186" t="n"/>
      <c r="BO269" s="186" t="n"/>
      <c r="BP269" s="186" t="n"/>
      <c r="BQ269" s="186" t="n"/>
      <c r="BR269" s="186" t="n"/>
      <c r="BS269" s="186" t="n"/>
      <c r="BT269" s="186" t="n"/>
      <c r="BU269" s="186" t="n"/>
      <c r="BV269" s="186" t="n"/>
      <c r="BW269" s="186" t="n"/>
      <c r="BX269" s="186" t="n"/>
      <c r="BY269" s="186" t="n"/>
      <c r="BZ269" s="186" t="n"/>
      <c r="CA269" s="186" t="n"/>
      <c r="CB269" s="186" t="n"/>
      <c r="CC269" s="190" t="n"/>
      <c r="CD269" s="186" t="n"/>
      <c r="CE269" s="186" t="n"/>
      <c r="CF269" s="186" t="n"/>
      <c r="CG269" s="186" t="n"/>
      <c r="CH269" s="186" t="n"/>
      <c r="CI269" s="191" t="n"/>
      <c r="CJ269" s="192" t="n"/>
      <c r="CK269" s="192" t="n"/>
      <c r="CL269" s="192" t="n"/>
      <c r="CM269" s="192" t="n"/>
    </row>
    <row r="270">
      <c r="A270" s="177" t="n"/>
      <c r="B270" s="178" t="n"/>
      <c r="C270" s="178" t="n"/>
      <c r="D270" s="179" t="n"/>
      <c r="E270" s="180" t="n"/>
      <c r="F270" s="181" t="n"/>
      <c r="G270" s="182" t="n"/>
      <c r="H270" s="105" t="n"/>
      <c r="I270" s="196">
        <f>F270</f>
        <v/>
      </c>
      <c r="J270" s="184" t="n"/>
      <c r="K270" s="185" t="n"/>
      <c r="L270" s="8" t="n"/>
      <c r="M270" s="71">
        <f>L270</f>
        <v/>
      </c>
      <c r="N270" s="71" t="n"/>
      <c r="O270" s="101" t="n"/>
      <c r="P270" s="9">
        <f>I270-M270</f>
        <v/>
      </c>
      <c r="Q270" s="9">
        <f>IF(LEFT(B270,4)&lt;&gt;"    ",0,BN270)</f>
        <v/>
      </c>
      <c r="R270" s="9">
        <f>+P270-Q270</f>
        <v/>
      </c>
      <c r="S270" s="281" t="n"/>
      <c r="T270" s="10" t="n"/>
      <c r="U270" s="23">
        <f>IF(LEFT(B270,4)&lt;&gt;"    ","",IF(M270&lt;&gt;0,X270/M270,0))</f>
        <v/>
      </c>
      <c r="V270" s="11">
        <f>IF(LEFT(B270,4)&lt;&gt;"    ","",U270*I270)</f>
        <v/>
      </c>
      <c r="W270" s="11">
        <f>IF(LEFT(B270,4)&lt;&gt;"    ","",X270+Z270)</f>
        <v/>
      </c>
      <c r="X270" s="8" t="n"/>
      <c r="Y270" s="9">
        <f>IF(LEFT(B270,4)&lt;&gt;"    ",0,IF(P270&lt;0,P270,IF(U270&gt;0.3,W270-X270,0)))</f>
        <v/>
      </c>
      <c r="Z270" s="71">
        <f>Y270</f>
        <v/>
      </c>
      <c r="AA270" s="71" t="n"/>
      <c r="AB270" s="109" t="n"/>
      <c r="AC270" s="9">
        <f>IF(LEFT(B270,4)&lt;&gt;"    ",0,BK270)</f>
        <v/>
      </c>
      <c r="AD270" s="9">
        <f>Z270-AC270</f>
        <v/>
      </c>
      <c r="AE270" s="10" t="n"/>
      <c r="AF270" s="24" t="n"/>
      <c r="AG270" s="11" t="n"/>
      <c r="AH270" s="8" t="n"/>
      <c r="AI270" s="9">
        <f>IF(LEFT(B270,4)&lt;&gt;"    ","",AG270-AH270)</f>
        <v/>
      </c>
      <c r="AJ270" s="9" t="n"/>
      <c r="AK270" s="10" t="n"/>
      <c r="AL270" s="11">
        <f>IF(LEFT(B270,4)&lt;&gt;"    ","",W270-AG270)</f>
        <v/>
      </c>
      <c r="AM270" s="8">
        <f>IF(LEFT(B270,4)&lt;&gt;"    ","",X270-AH270)</f>
        <v/>
      </c>
      <c r="AN270" s="9">
        <f>IF(LEFT(B270,4)&lt;&gt;"    ","",Y270-AI270)</f>
        <v/>
      </c>
      <c r="AO270" s="9">
        <f>IF(LEFT(B270,4)&lt;&gt;"    ","",Z270-AJ270)</f>
        <v/>
      </c>
      <c r="AP270" s="10" t="n"/>
      <c r="AQ270" s="25">
        <f>IF(LEFT(B270,4)&lt;&gt;"    ","",I270-W270)</f>
        <v/>
      </c>
      <c r="AR270" s="25">
        <f>M270-X270</f>
        <v/>
      </c>
      <c r="AS270" s="25">
        <f>IF(LEFT(B270,4)&lt;&gt;"    ","",P270-Z270)</f>
        <v/>
      </c>
      <c r="AT270" s="10" t="n"/>
      <c r="AU270" s="12" t="n"/>
      <c r="AV270" s="12">
        <f>IF(LEFT(B270,4)&lt;&gt;"    ","",IF(W270-AU270&gt;=0,W270-AU270," "))</f>
        <v/>
      </c>
      <c r="AW270" s="12">
        <f>IF(LEFT(B270,4)&lt;&gt;"    ","",IF(AU270-W270&gt;=0,AU270-W270," "))</f>
        <v/>
      </c>
      <c r="AX270" s="186" t="n"/>
      <c r="AY270" s="187" t="n"/>
      <c r="AZ270" s="186" t="n"/>
      <c r="BA270" s="186" t="n"/>
      <c r="BB270" s="188" t="n"/>
      <c r="BC270" s="187" t="n"/>
      <c r="BD270" s="187" t="n"/>
      <c r="BE270" s="186" t="n"/>
      <c r="BF270" s="186" t="n"/>
      <c r="BG270" s="186" t="n"/>
      <c r="BH270" s="186" t="n"/>
      <c r="BI270" s="186" t="n"/>
      <c r="BJ270" s="186" t="n"/>
      <c r="BK270" s="186" t="n"/>
      <c r="BL270" s="186" t="n"/>
      <c r="BM270" s="186" t="n"/>
      <c r="BN270" s="186" t="n"/>
      <c r="BO270" s="186" t="n"/>
      <c r="BP270" s="186" t="n"/>
      <c r="BQ270" s="186" t="n"/>
      <c r="BR270" s="186" t="n"/>
      <c r="BS270" s="186" t="n"/>
      <c r="BT270" s="186" t="n"/>
      <c r="BU270" s="186" t="n"/>
      <c r="BV270" s="186" t="n"/>
      <c r="BW270" s="186" t="n"/>
      <c r="BX270" s="186" t="n"/>
      <c r="BY270" s="186" t="n"/>
      <c r="BZ270" s="186" t="n"/>
      <c r="CA270" s="186" t="n"/>
      <c r="CB270" s="186" t="n"/>
      <c r="CC270" s="190" t="n"/>
      <c r="CD270" s="186" t="n"/>
      <c r="CE270" s="186" t="n"/>
      <c r="CF270" s="186" t="n"/>
      <c r="CG270" s="186" t="n"/>
      <c r="CH270" s="186" t="n"/>
      <c r="CI270" s="191" t="n"/>
      <c r="CJ270" s="192" t="n"/>
      <c r="CK270" s="192" t="n"/>
      <c r="CL270" s="192" t="n"/>
      <c r="CM270" s="192" t="n"/>
    </row>
    <row r="271">
      <c r="A271" s="177" t="n"/>
      <c r="B271" s="178" t="n"/>
      <c r="C271" s="178" t="n"/>
      <c r="D271" s="179" t="n"/>
      <c r="E271" s="180" t="n"/>
      <c r="F271" s="181" t="n"/>
      <c r="G271" s="182" t="n"/>
      <c r="H271" s="105" t="n"/>
      <c r="I271" s="196">
        <f>F271</f>
        <v/>
      </c>
      <c r="J271" s="184" t="n"/>
      <c r="K271" s="185" t="n"/>
      <c r="L271" s="8" t="n"/>
      <c r="M271" s="184">
        <f>L271</f>
        <v/>
      </c>
      <c r="N271" s="184" t="n"/>
      <c r="O271" s="185" t="n"/>
      <c r="P271" s="9">
        <f>I271-M271</f>
        <v/>
      </c>
      <c r="Q271" s="9">
        <f>IF(LEFT(B271,4)&lt;&gt;"    ",0,BN271)</f>
        <v/>
      </c>
      <c r="R271" s="9">
        <f>+P271-Q271</f>
        <v/>
      </c>
      <c r="S271" s="281" t="n"/>
      <c r="T271" s="10" t="n"/>
      <c r="U271" s="23">
        <f>IF(LEFT(B271,4)&lt;&gt;"    ","",IF(M271&lt;&gt;0,X271/M271,0))</f>
        <v/>
      </c>
      <c r="V271" s="11">
        <f>IF(LEFT(B271,4)&lt;&gt;"    ","",U271*I271)</f>
        <v/>
      </c>
      <c r="W271" s="11">
        <f>IF(LEFT(B271,4)&lt;&gt;"    ","",X271+Z271)</f>
        <v/>
      </c>
      <c r="X271" s="8" t="n"/>
      <c r="Y271" s="9">
        <f>IF(LEFT(B271,4)&lt;&gt;"    ",0,IF(P271&lt;0,P271,IF(U271&gt;0.3,W271-X271,0)))</f>
        <v/>
      </c>
      <c r="Z271" s="71">
        <f>Y271</f>
        <v/>
      </c>
      <c r="AA271" s="71" t="n"/>
      <c r="AB271" s="109" t="n"/>
      <c r="AC271" s="9">
        <f>IF(LEFT(B271,4)&lt;&gt;"    ",0,BK271)</f>
        <v/>
      </c>
      <c r="AD271" s="9">
        <f>Z271-AC271</f>
        <v/>
      </c>
      <c r="AE271" s="10" t="n"/>
      <c r="AF271" s="24" t="n"/>
      <c r="AG271" s="11" t="n"/>
      <c r="AH271" s="8" t="n"/>
      <c r="AI271" s="9">
        <f>IF(LEFT(B271,4)&lt;&gt;"    ","",AG271-AH271)</f>
        <v/>
      </c>
      <c r="AJ271" s="9" t="n"/>
      <c r="AK271" s="10" t="n"/>
      <c r="AL271" s="11">
        <f>IF(LEFT(B271,4)&lt;&gt;"    ","",W271-AG271)</f>
        <v/>
      </c>
      <c r="AM271" s="8">
        <f>IF(LEFT(B271,4)&lt;&gt;"    ","",X271-AH271)</f>
        <v/>
      </c>
      <c r="AN271" s="9">
        <f>IF(LEFT(B271,4)&lt;&gt;"    ","",Y271-AI271)</f>
        <v/>
      </c>
      <c r="AO271" s="9">
        <f>IF(LEFT(B271,4)&lt;&gt;"    ","",Z271-AJ271)</f>
        <v/>
      </c>
      <c r="AP271" s="10" t="n"/>
      <c r="AQ271" s="25">
        <f>IF(LEFT(B271,4)&lt;&gt;"    ","",I271-W271)</f>
        <v/>
      </c>
      <c r="AR271" s="25">
        <f>M271-X271</f>
        <v/>
      </c>
      <c r="AS271" s="25">
        <f>IF(LEFT(B271,4)&lt;&gt;"    ","",P271-Z271)</f>
        <v/>
      </c>
      <c r="AT271" s="10" t="n"/>
      <c r="AU271" s="12" t="n"/>
      <c r="AV271" s="12">
        <f>IF(LEFT(B271,4)&lt;&gt;"    ","",IF(W271-AU271&gt;=0,W271-AU271," "))</f>
        <v/>
      </c>
      <c r="AW271" s="12">
        <f>IF(LEFT(B271,4)&lt;&gt;"    ","",IF(AU271-W271&gt;=0,AU271-W271," "))</f>
        <v/>
      </c>
      <c r="AX271" s="186" t="n"/>
      <c r="AY271" s="187" t="n"/>
      <c r="AZ271" s="186" t="n"/>
      <c r="BA271" s="186" t="n"/>
      <c r="BB271" s="188" t="n"/>
      <c r="BC271" s="187" t="n"/>
      <c r="BD271" s="187" t="n"/>
      <c r="BE271" s="186" t="n"/>
      <c r="BF271" s="186" t="n"/>
      <c r="BG271" s="186" t="n"/>
      <c r="BH271" s="186" t="n"/>
      <c r="BI271" s="186" t="n"/>
      <c r="BJ271" s="186" t="n"/>
      <c r="BK271" s="186" t="n"/>
      <c r="BL271" s="186" t="n"/>
      <c r="BM271" s="186" t="n"/>
      <c r="BN271" s="186" t="n"/>
      <c r="BO271" s="186" t="n"/>
      <c r="BP271" s="186" t="n"/>
      <c r="BQ271" s="186" t="n"/>
      <c r="BR271" s="186" t="n"/>
      <c r="BS271" s="186" t="n"/>
      <c r="BT271" s="186" t="n"/>
      <c r="BU271" s="186" t="n"/>
      <c r="BV271" s="186" t="n"/>
      <c r="BW271" s="186" t="n"/>
      <c r="BX271" s="186" t="n"/>
      <c r="BY271" s="186" t="n"/>
      <c r="BZ271" s="186" t="n"/>
      <c r="CA271" s="186" t="n"/>
      <c r="CB271" s="186" t="n"/>
      <c r="CC271" s="190" t="n"/>
      <c r="CD271" s="186" t="n"/>
      <c r="CE271" s="186" t="n"/>
      <c r="CF271" s="186" t="n"/>
      <c r="CG271" s="186" t="n"/>
      <c r="CH271" s="186" t="n"/>
      <c r="CI271" s="191" t="n"/>
      <c r="CJ271" s="192" t="n"/>
      <c r="CK271" s="192" t="n"/>
      <c r="CL271" s="192" t="n"/>
      <c r="CM271" s="192" t="n"/>
    </row>
    <row r="272">
      <c r="A272" s="177" t="n"/>
      <c r="B272" s="178" t="n"/>
      <c r="C272" s="178" t="n"/>
      <c r="D272" s="179" t="n"/>
      <c r="E272" s="180" t="n"/>
      <c r="F272" s="181" t="n"/>
      <c r="G272" s="182" t="n"/>
      <c r="H272" s="105" t="n"/>
      <c r="I272" s="196">
        <f>F272</f>
        <v/>
      </c>
      <c r="J272" s="184" t="n"/>
      <c r="K272" s="185" t="n"/>
      <c r="L272" s="8" t="n"/>
      <c r="M272" s="71">
        <f>L272</f>
        <v/>
      </c>
      <c r="N272" s="71" t="n"/>
      <c r="O272" s="101" t="n"/>
      <c r="P272" s="9">
        <f>I272-M272</f>
        <v/>
      </c>
      <c r="Q272" s="9">
        <f>IF(LEFT(B272,4)&lt;&gt;"    ",0,BN272)</f>
        <v/>
      </c>
      <c r="R272" s="9">
        <f>+P272-Q272</f>
        <v/>
      </c>
      <c r="S272" s="281" t="n"/>
      <c r="T272" s="10" t="n"/>
      <c r="U272" s="23">
        <f>IF(LEFT(B272,4)&lt;&gt;"    ","",IF(M272&lt;&gt;0,X272/M272,0))</f>
        <v/>
      </c>
      <c r="V272" s="11">
        <f>IF(LEFT(B272,4)&lt;&gt;"    ","",U272*I272)</f>
        <v/>
      </c>
      <c r="W272" s="11">
        <f>IF(LEFT(B272,4)&lt;&gt;"    ","",X272+Z272)</f>
        <v/>
      </c>
      <c r="X272" s="8" t="n"/>
      <c r="Y272" s="9">
        <f>IF(LEFT(B272,4)&lt;&gt;"    ",0,IF(P272&lt;0,P272,IF(U272&gt;0.3,W272-X272,0)))</f>
        <v/>
      </c>
      <c r="Z272" s="71">
        <f>Y272</f>
        <v/>
      </c>
      <c r="AA272" s="71" t="n"/>
      <c r="AB272" s="109" t="n"/>
      <c r="AC272" s="9">
        <f>IF(LEFT(B272,4)&lt;&gt;"    ",0,BK272)</f>
        <v/>
      </c>
      <c r="AD272" s="9">
        <f>Z272-AC272</f>
        <v/>
      </c>
      <c r="AE272" s="10" t="n"/>
      <c r="AF272" s="24" t="n"/>
      <c r="AG272" s="11" t="n"/>
      <c r="AH272" s="8" t="n"/>
      <c r="AI272" s="9">
        <f>IF(LEFT(B272,4)&lt;&gt;"    ","",AG272-AH272)</f>
        <v/>
      </c>
      <c r="AJ272" s="9" t="n"/>
      <c r="AK272" s="10" t="n"/>
      <c r="AL272" s="11">
        <f>IF(LEFT(B272,4)&lt;&gt;"    ","",W272-AG272)</f>
        <v/>
      </c>
      <c r="AM272" s="8">
        <f>IF(LEFT(B272,4)&lt;&gt;"    ","",X272-AH272)</f>
        <v/>
      </c>
      <c r="AN272" s="9">
        <f>IF(LEFT(B272,4)&lt;&gt;"    ","",Y272-AI272)</f>
        <v/>
      </c>
      <c r="AO272" s="9">
        <f>IF(LEFT(B272,4)&lt;&gt;"    ","",Z272-AJ272)</f>
        <v/>
      </c>
      <c r="AP272" s="10" t="n"/>
      <c r="AQ272" s="25">
        <f>IF(LEFT(B272,4)&lt;&gt;"    ","",I272-W272)</f>
        <v/>
      </c>
      <c r="AR272" s="25">
        <f>M272-X272</f>
        <v/>
      </c>
      <c r="AS272" s="25">
        <f>IF(LEFT(B272,4)&lt;&gt;"    ","",P272-Z272)</f>
        <v/>
      </c>
      <c r="AT272" s="10" t="n"/>
      <c r="AU272" s="12" t="n"/>
      <c r="AV272" s="12">
        <f>IF(LEFT(B272,4)&lt;&gt;"    ","",IF(W272-AU272&gt;=0,W272-AU272," "))</f>
        <v/>
      </c>
      <c r="AW272" s="12">
        <f>IF(LEFT(B272,4)&lt;&gt;"    ","",IF(AU272-W272&gt;=0,AU272-W272," "))</f>
        <v/>
      </c>
      <c r="AX272" s="186" t="n"/>
      <c r="AY272" s="187" t="n"/>
      <c r="AZ272" s="186" t="n"/>
      <c r="BA272" s="186" t="n"/>
      <c r="BB272" s="188" t="n"/>
      <c r="BC272" s="187" t="n"/>
      <c r="BD272" s="187" t="n"/>
      <c r="BE272" s="186" t="n"/>
      <c r="BF272" s="186" t="n"/>
      <c r="BG272" s="186" t="n"/>
      <c r="BH272" s="186" t="n"/>
      <c r="BI272" s="186" t="n"/>
      <c r="BJ272" s="186" t="n"/>
      <c r="BK272" s="186" t="n"/>
      <c r="BL272" s="186" t="n"/>
      <c r="BM272" s="186" t="n"/>
      <c r="BN272" s="186" t="n"/>
      <c r="BO272" s="186" t="n"/>
      <c r="BP272" s="186" t="n"/>
      <c r="BQ272" s="186" t="n"/>
      <c r="BR272" s="186" t="n"/>
      <c r="BS272" s="186" t="n"/>
      <c r="BT272" s="186" t="n"/>
      <c r="BU272" s="186" t="n"/>
      <c r="BV272" s="186" t="n"/>
      <c r="BW272" s="186" t="n"/>
      <c r="BX272" s="186" t="n"/>
      <c r="BY272" s="186" t="n"/>
      <c r="BZ272" s="186" t="n"/>
      <c r="CA272" s="186" t="n"/>
      <c r="CB272" s="186" t="n"/>
      <c r="CC272" s="190" t="n"/>
      <c r="CD272" s="186" t="n"/>
      <c r="CE272" s="186" t="n"/>
      <c r="CF272" s="186" t="n"/>
      <c r="CG272" s="186" t="n"/>
      <c r="CH272" s="186" t="n"/>
      <c r="CI272" s="191" t="n"/>
      <c r="CJ272" s="192" t="n"/>
      <c r="CK272" s="192" t="n"/>
      <c r="CL272" s="192" t="n"/>
      <c r="CM272" s="192" t="n"/>
    </row>
    <row r="273">
      <c r="A273" s="177" t="n"/>
      <c r="B273" s="178" t="n"/>
      <c r="C273" s="178" t="n"/>
      <c r="D273" s="179" t="n"/>
      <c r="E273" s="180" t="n"/>
      <c r="F273" s="181" t="n"/>
      <c r="G273" s="182" t="n"/>
      <c r="H273" s="105" t="n"/>
      <c r="I273" s="196">
        <f>F273</f>
        <v/>
      </c>
      <c r="J273" s="184" t="n"/>
      <c r="K273" s="185" t="n"/>
      <c r="L273" s="8" t="n"/>
      <c r="M273" s="71">
        <f>L273</f>
        <v/>
      </c>
      <c r="N273" s="71" t="n"/>
      <c r="O273" s="101" t="n"/>
      <c r="P273" s="9">
        <f>I273-M273</f>
        <v/>
      </c>
      <c r="Q273" s="9">
        <f>IF(LEFT(B273,4)&lt;&gt;"    ",0,BN273)</f>
        <v/>
      </c>
      <c r="R273" s="9">
        <f>+P273-Q273</f>
        <v/>
      </c>
      <c r="S273" s="281" t="n"/>
      <c r="T273" s="10" t="n"/>
      <c r="U273" s="23">
        <f>IF(LEFT(B273,4)&lt;&gt;"    ","",IF(M273&lt;&gt;0,X273/M273,0))</f>
        <v/>
      </c>
      <c r="V273" s="11">
        <f>IF(LEFT(B273,4)&lt;&gt;"    ","",U273*I273)</f>
        <v/>
      </c>
      <c r="W273" s="11">
        <f>IF(LEFT(B273,4)&lt;&gt;"    ","",X273+Z273)</f>
        <v/>
      </c>
      <c r="X273" s="8" t="n"/>
      <c r="Y273" s="9">
        <f>IF(LEFT(B273,4)&lt;&gt;"    ",0,IF(P273&lt;0,P273,IF(U273&gt;0.3,W273-X273,0)))</f>
        <v/>
      </c>
      <c r="Z273" s="71">
        <f>Y273</f>
        <v/>
      </c>
      <c r="AA273" s="71" t="n"/>
      <c r="AB273" s="109" t="n"/>
      <c r="AC273" s="9">
        <f>IF(LEFT(B273,4)&lt;&gt;"    ",0,BK273)</f>
        <v/>
      </c>
      <c r="AD273" s="9">
        <f>Z273-AC273</f>
        <v/>
      </c>
      <c r="AE273" s="10" t="n"/>
      <c r="AF273" s="24" t="n"/>
      <c r="AG273" s="11" t="n"/>
      <c r="AH273" s="8" t="n"/>
      <c r="AI273" s="9">
        <f>IF(LEFT(B273,4)&lt;&gt;"    ","",AG273-AH273)</f>
        <v/>
      </c>
      <c r="AJ273" s="9" t="n"/>
      <c r="AK273" s="10" t="n"/>
      <c r="AL273" s="11">
        <f>IF(LEFT(B273,4)&lt;&gt;"    ","",W273-AG273)</f>
        <v/>
      </c>
      <c r="AM273" s="8">
        <f>IF(LEFT(B273,4)&lt;&gt;"    ","",X273-AH273)</f>
        <v/>
      </c>
      <c r="AN273" s="9">
        <f>IF(LEFT(B273,4)&lt;&gt;"    ","",Y273-AI273)</f>
        <v/>
      </c>
      <c r="AO273" s="9">
        <f>IF(LEFT(B273,4)&lt;&gt;"    ","",Z273-AJ273)</f>
        <v/>
      </c>
      <c r="AP273" s="10" t="n"/>
      <c r="AQ273" s="25">
        <f>IF(LEFT(B273,4)&lt;&gt;"    ","",I273-W273)</f>
        <v/>
      </c>
      <c r="AR273" s="25">
        <f>M273-X273</f>
        <v/>
      </c>
      <c r="AS273" s="25">
        <f>IF(LEFT(B273,4)&lt;&gt;"    ","",P273-Z273)</f>
        <v/>
      </c>
      <c r="AT273" s="10" t="n"/>
      <c r="AU273" s="12" t="n"/>
      <c r="AV273" s="12">
        <f>IF(LEFT(B273,4)&lt;&gt;"    ","",IF(W273-AU273&gt;=0,W273-AU273," "))</f>
        <v/>
      </c>
      <c r="AW273" s="12">
        <f>IF(LEFT(B273,4)&lt;&gt;"    ","",IF(AU273-W273&gt;=0,AU273-W273," "))</f>
        <v/>
      </c>
      <c r="AX273" s="186" t="n"/>
      <c r="AY273" s="187" t="n"/>
      <c r="AZ273" s="186" t="n"/>
      <c r="BA273" s="186" t="n"/>
      <c r="BB273" s="188" t="n"/>
      <c r="BC273" s="187" t="n"/>
      <c r="BD273" s="187" t="n"/>
      <c r="BE273" s="186" t="n"/>
      <c r="BF273" s="186" t="n"/>
      <c r="BG273" s="186" t="n"/>
      <c r="BH273" s="186" t="n"/>
      <c r="BI273" s="186" t="n"/>
      <c r="BJ273" s="186" t="n"/>
      <c r="BK273" s="186" t="n"/>
      <c r="BL273" s="186" t="n"/>
      <c r="BM273" s="186" t="n"/>
      <c r="BN273" s="186" t="n"/>
      <c r="BO273" s="186" t="n"/>
      <c r="BP273" s="186" t="n"/>
      <c r="BQ273" s="186" t="n"/>
      <c r="BR273" s="186" t="n"/>
      <c r="BS273" s="186" t="n"/>
      <c r="BT273" s="186" t="n"/>
      <c r="BU273" s="186" t="n"/>
      <c r="BV273" s="186" t="n"/>
      <c r="BW273" s="186" t="n"/>
      <c r="BX273" s="186" t="n"/>
      <c r="BY273" s="186" t="n"/>
      <c r="BZ273" s="186" t="n"/>
      <c r="CA273" s="186" t="n"/>
      <c r="CB273" s="186" t="n"/>
      <c r="CC273" s="190" t="n"/>
      <c r="CD273" s="186" t="n"/>
      <c r="CE273" s="186" t="n"/>
      <c r="CF273" s="186" t="n"/>
      <c r="CG273" s="186" t="n"/>
      <c r="CH273" s="186" t="n"/>
      <c r="CI273" s="191" t="n"/>
      <c r="CJ273" s="192" t="n"/>
      <c r="CK273" s="192" t="n"/>
      <c r="CL273" s="192" t="n"/>
      <c r="CM273" s="192" t="n"/>
    </row>
    <row r="274">
      <c r="A274" s="177" t="n"/>
      <c r="B274" s="178" t="n"/>
      <c r="C274" s="178" t="n"/>
      <c r="D274" s="179" t="n"/>
      <c r="E274" s="180" t="n"/>
      <c r="F274" s="181" t="n"/>
      <c r="G274" s="182" t="n"/>
      <c r="H274" s="105" t="n"/>
      <c r="I274" s="196">
        <f>F274</f>
        <v/>
      </c>
      <c r="J274" s="184" t="n"/>
      <c r="K274" s="185" t="n"/>
      <c r="L274" s="8" t="n"/>
      <c r="M274" s="71">
        <f>L274</f>
        <v/>
      </c>
      <c r="N274" s="71" t="n"/>
      <c r="O274" s="101" t="n"/>
      <c r="P274" s="9">
        <f>I274-M274</f>
        <v/>
      </c>
      <c r="Q274" s="9">
        <f>IF(LEFT(B274,4)&lt;&gt;"    ",0,BN274)</f>
        <v/>
      </c>
      <c r="R274" s="9">
        <f>+P274-Q274</f>
        <v/>
      </c>
      <c r="S274" s="281" t="n"/>
      <c r="T274" s="10" t="n"/>
      <c r="U274" s="23">
        <f>IF(LEFT(B274,4)&lt;&gt;"    ","",IF(M274&lt;&gt;0,X274/M274,0))</f>
        <v/>
      </c>
      <c r="V274" s="11">
        <f>IF(LEFT(B274,4)&lt;&gt;"    ","",U274*I274)</f>
        <v/>
      </c>
      <c r="W274" s="11">
        <f>IF(LEFT(B274,4)&lt;&gt;"    ","",X274+Z274)</f>
        <v/>
      </c>
      <c r="X274" s="8" t="n"/>
      <c r="Y274" s="9">
        <f>IF(LEFT(B274,4)&lt;&gt;"    ",0,IF(P274&lt;0,P274,IF(U274&gt;0.3,W274-X274,0)))</f>
        <v/>
      </c>
      <c r="Z274" s="71">
        <f>Y274</f>
        <v/>
      </c>
      <c r="AA274" s="71" t="n"/>
      <c r="AB274" s="109" t="n"/>
      <c r="AC274" s="9">
        <f>IF(LEFT(B274,4)&lt;&gt;"    ",0,BK274)</f>
        <v/>
      </c>
      <c r="AD274" s="9">
        <f>Z274-AC274</f>
        <v/>
      </c>
      <c r="AE274" s="10" t="n"/>
      <c r="AF274" s="24" t="n"/>
      <c r="AG274" s="11" t="n"/>
      <c r="AH274" s="8" t="n"/>
      <c r="AI274" s="9">
        <f>IF(LEFT(B274,4)&lt;&gt;"    ","",AG274-AH274)</f>
        <v/>
      </c>
      <c r="AJ274" s="9" t="n"/>
      <c r="AK274" s="10" t="n"/>
      <c r="AL274" s="11">
        <f>IF(LEFT(B274,4)&lt;&gt;"    ","",W274-AG274)</f>
        <v/>
      </c>
      <c r="AM274" s="8">
        <f>IF(LEFT(B274,4)&lt;&gt;"    ","",X274-AH274)</f>
        <v/>
      </c>
      <c r="AN274" s="9">
        <f>IF(LEFT(B274,4)&lt;&gt;"    ","",Y274-AI274)</f>
        <v/>
      </c>
      <c r="AO274" s="9">
        <f>IF(LEFT(B274,4)&lt;&gt;"    ","",Z274-AJ274)</f>
        <v/>
      </c>
      <c r="AP274" s="10" t="n"/>
      <c r="AQ274" s="25">
        <f>IF(LEFT(B274,4)&lt;&gt;"    ","",I274-W274)</f>
        <v/>
      </c>
      <c r="AR274" s="25">
        <f>M274-X274</f>
        <v/>
      </c>
      <c r="AS274" s="25">
        <f>IF(LEFT(B274,4)&lt;&gt;"    ","",P274-Z274)</f>
        <v/>
      </c>
      <c r="AT274" s="10" t="n"/>
      <c r="AU274" s="12" t="n"/>
      <c r="AV274" s="12">
        <f>IF(LEFT(B274,4)&lt;&gt;"    ","",IF(W274-AU274&gt;=0,W274-AU274," "))</f>
        <v/>
      </c>
      <c r="AW274" s="12">
        <f>IF(LEFT(B274,4)&lt;&gt;"    ","",IF(AU274-W274&gt;=0,AU274-W274," "))</f>
        <v/>
      </c>
      <c r="AX274" s="186" t="n"/>
      <c r="AY274" s="187" t="n"/>
      <c r="AZ274" s="186" t="n"/>
      <c r="BA274" s="186" t="n"/>
      <c r="BB274" s="188" t="n"/>
      <c r="BC274" s="187" t="n"/>
      <c r="BD274" s="187" t="n"/>
      <c r="BE274" s="186" t="n"/>
      <c r="BF274" s="186" t="n"/>
      <c r="BG274" s="186" t="n"/>
      <c r="BH274" s="186" t="n"/>
      <c r="BI274" s="186" t="n"/>
      <c r="BJ274" s="186" t="n"/>
      <c r="BK274" s="186" t="n"/>
      <c r="BL274" s="186" t="n"/>
      <c r="BM274" s="186" t="n"/>
      <c r="BN274" s="186" t="n"/>
      <c r="BO274" s="186" t="n"/>
      <c r="BP274" s="186" t="n"/>
      <c r="BQ274" s="186" t="n"/>
      <c r="BR274" s="186" t="n"/>
      <c r="BS274" s="186" t="n"/>
      <c r="BT274" s="186" t="n"/>
      <c r="BU274" s="186" t="n"/>
      <c r="BV274" s="186" t="n"/>
      <c r="BW274" s="186" t="n"/>
      <c r="BX274" s="186" t="n"/>
      <c r="BY274" s="186" t="n"/>
      <c r="BZ274" s="186" t="n"/>
      <c r="CA274" s="186" t="n"/>
      <c r="CB274" s="186" t="n"/>
      <c r="CC274" s="190" t="n"/>
      <c r="CD274" s="186" t="n"/>
      <c r="CE274" s="186" t="n"/>
      <c r="CF274" s="186" t="n"/>
      <c r="CG274" s="186" t="n"/>
      <c r="CH274" s="186" t="n"/>
      <c r="CI274" s="191" t="n"/>
      <c r="CJ274" s="192" t="n"/>
      <c r="CK274" s="192" t="n"/>
      <c r="CL274" s="192" t="n"/>
      <c r="CM274" s="192" t="n"/>
    </row>
    <row r="275">
      <c r="A275" s="177" t="n"/>
      <c r="B275" s="178" t="n"/>
      <c r="C275" s="178" t="n"/>
      <c r="D275" s="179" t="n"/>
      <c r="E275" s="180" t="n"/>
      <c r="F275" s="181" t="n"/>
      <c r="G275" s="182" t="n"/>
      <c r="H275" s="105" t="n"/>
      <c r="I275" s="196">
        <f>F275</f>
        <v/>
      </c>
      <c r="J275" s="184" t="n"/>
      <c r="K275" s="185" t="n"/>
      <c r="L275" s="8" t="n"/>
      <c r="M275" s="71">
        <f>L275</f>
        <v/>
      </c>
      <c r="N275" s="71" t="n"/>
      <c r="O275" s="101" t="n"/>
      <c r="P275" s="9">
        <f>I275-M275</f>
        <v/>
      </c>
      <c r="Q275" s="9">
        <f>IF(LEFT(B275,4)&lt;&gt;"    ",0,BN275)</f>
        <v/>
      </c>
      <c r="R275" s="9">
        <f>+P275-Q275</f>
        <v/>
      </c>
      <c r="S275" s="281" t="n"/>
      <c r="T275" s="10" t="n"/>
      <c r="U275" s="23">
        <f>IF(LEFT(B275,4)&lt;&gt;"    ","",IF(M275&lt;&gt;0,X275/M275,0))</f>
        <v/>
      </c>
      <c r="V275" s="11">
        <f>IF(LEFT(B275,4)&lt;&gt;"    ","",U275*I275)</f>
        <v/>
      </c>
      <c r="W275" s="11">
        <f>IF(LEFT(B275,4)&lt;&gt;"    ","",X275+Z275)</f>
        <v/>
      </c>
      <c r="X275" s="8" t="n"/>
      <c r="Y275" s="9">
        <f>IF(LEFT(B275,4)&lt;&gt;"    ",0,IF(P275&lt;0,P275,IF(U275&gt;0.3,W275-X275,0)))</f>
        <v/>
      </c>
      <c r="Z275" s="71">
        <f>Y275</f>
        <v/>
      </c>
      <c r="AA275" s="71" t="n"/>
      <c r="AB275" s="109" t="n"/>
      <c r="AC275" s="9">
        <f>IF(LEFT(B275,4)&lt;&gt;"    ",0,BK275)</f>
        <v/>
      </c>
      <c r="AD275" s="9">
        <f>Z275-AC275</f>
        <v/>
      </c>
      <c r="AE275" s="10" t="n"/>
      <c r="AF275" s="24" t="n"/>
      <c r="AG275" s="11" t="n"/>
      <c r="AH275" s="8" t="n"/>
      <c r="AI275" s="9">
        <f>IF(LEFT(B275,4)&lt;&gt;"    ","",AG275-AH275)</f>
        <v/>
      </c>
      <c r="AJ275" s="9" t="n"/>
      <c r="AK275" s="10" t="n"/>
      <c r="AL275" s="11">
        <f>IF(LEFT(B275,4)&lt;&gt;"    ","",W275-AG275)</f>
        <v/>
      </c>
      <c r="AM275" s="8">
        <f>IF(LEFT(B275,4)&lt;&gt;"    ","",X275-AH275)</f>
        <v/>
      </c>
      <c r="AN275" s="9">
        <f>IF(LEFT(B275,4)&lt;&gt;"    ","",Y275-AI275)</f>
        <v/>
      </c>
      <c r="AO275" s="9">
        <f>IF(LEFT(B275,4)&lt;&gt;"    ","",Z275-AJ275)</f>
        <v/>
      </c>
      <c r="AP275" s="10" t="n"/>
      <c r="AQ275" s="25">
        <f>IF(LEFT(B275,4)&lt;&gt;"    ","",I275-W275)</f>
        <v/>
      </c>
      <c r="AR275" s="25">
        <f>M275-X275</f>
        <v/>
      </c>
      <c r="AS275" s="25">
        <f>IF(LEFT(B275,4)&lt;&gt;"    ","",P275-Z275)</f>
        <v/>
      </c>
      <c r="AT275" s="10" t="n"/>
      <c r="AU275" s="12" t="n"/>
      <c r="AV275" s="12">
        <f>IF(LEFT(B275,4)&lt;&gt;"    ","",IF(W275-AU275&gt;=0,W275-AU275," "))</f>
        <v/>
      </c>
      <c r="AW275" s="12">
        <f>IF(LEFT(B275,4)&lt;&gt;"    ","",IF(AU275-W275&gt;=0,AU275-W275," "))</f>
        <v/>
      </c>
      <c r="AX275" s="186" t="n"/>
      <c r="AY275" s="187" t="n"/>
      <c r="AZ275" s="186" t="n"/>
      <c r="BA275" s="186" t="n"/>
      <c r="BB275" s="188" t="n"/>
      <c r="BC275" s="187" t="n"/>
      <c r="BD275" s="187" t="n"/>
      <c r="BE275" s="186" t="n"/>
      <c r="BF275" s="186" t="n"/>
      <c r="BG275" s="186" t="n"/>
      <c r="BH275" s="186" t="n"/>
      <c r="BI275" s="186" t="n"/>
      <c r="BJ275" s="186" t="n"/>
      <c r="BK275" s="186" t="n"/>
      <c r="BL275" s="186" t="n"/>
      <c r="BM275" s="186" t="n"/>
      <c r="BN275" s="186" t="n"/>
      <c r="BO275" s="186" t="n"/>
      <c r="BP275" s="186" t="n"/>
      <c r="BQ275" s="186" t="n"/>
      <c r="BR275" s="186" t="n"/>
      <c r="BS275" s="186" t="n"/>
      <c r="BT275" s="186" t="n"/>
      <c r="BU275" s="186" t="n"/>
      <c r="BV275" s="186" t="n"/>
      <c r="BW275" s="186" t="n"/>
      <c r="BX275" s="186" t="n"/>
      <c r="BY275" s="186" t="n"/>
      <c r="BZ275" s="186" t="n"/>
      <c r="CA275" s="186" t="n"/>
      <c r="CB275" s="186" t="n"/>
      <c r="CC275" s="190" t="n"/>
      <c r="CD275" s="186" t="n"/>
      <c r="CE275" s="186" t="n"/>
      <c r="CF275" s="186" t="n"/>
      <c r="CG275" s="186" t="n"/>
      <c r="CH275" s="186" t="n"/>
      <c r="CI275" s="191" t="n"/>
      <c r="CJ275" s="192" t="n"/>
      <c r="CK275" s="192" t="n"/>
      <c r="CL275" s="192" t="n"/>
      <c r="CM275" s="192" t="n"/>
    </row>
    <row r="276">
      <c r="A276" s="177" t="n"/>
      <c r="B276" s="178" t="n"/>
      <c r="C276" s="178" t="n"/>
      <c r="D276" s="179" t="n"/>
      <c r="E276" s="180" t="n"/>
      <c r="F276" s="181" t="n"/>
      <c r="G276" s="182" t="n"/>
      <c r="H276" s="105" t="n"/>
      <c r="I276" s="196">
        <f>F276</f>
        <v/>
      </c>
      <c r="J276" s="184" t="n"/>
      <c r="K276" s="185" t="n"/>
      <c r="L276" s="8" t="n"/>
      <c r="M276" s="71">
        <f>L276</f>
        <v/>
      </c>
      <c r="N276" s="71" t="n"/>
      <c r="O276" s="101" t="n"/>
      <c r="P276" s="9">
        <f>I276-M276</f>
        <v/>
      </c>
      <c r="Q276" s="9">
        <f>IF(LEFT(B276,4)&lt;&gt;"    ",0,BN276)</f>
        <v/>
      </c>
      <c r="R276" s="9">
        <f>+P276-Q276</f>
        <v/>
      </c>
      <c r="S276" s="281" t="n"/>
      <c r="T276" s="10" t="n"/>
      <c r="U276" s="23">
        <f>IF(LEFT(B276,4)&lt;&gt;"    ","",IF(M276&lt;&gt;0,X276/M276,0))</f>
        <v/>
      </c>
      <c r="V276" s="11">
        <f>IF(LEFT(B276,4)&lt;&gt;"    ","",U276*I276)</f>
        <v/>
      </c>
      <c r="W276" s="11">
        <f>IF(LEFT(B276,4)&lt;&gt;"    ","",X276+Z276)</f>
        <v/>
      </c>
      <c r="X276" s="8" t="n"/>
      <c r="Y276" s="9">
        <f>IF(LEFT(B276,4)&lt;&gt;"    ",0,IF(P276&lt;0,P276,IF(U276&gt;0.3,W276-X276,0)))</f>
        <v/>
      </c>
      <c r="Z276" s="71">
        <f>Y276</f>
        <v/>
      </c>
      <c r="AA276" s="71" t="n"/>
      <c r="AB276" s="109" t="n"/>
      <c r="AC276" s="9">
        <f>IF(LEFT(B276,4)&lt;&gt;"    ",0,BK276)</f>
        <v/>
      </c>
      <c r="AD276" s="9">
        <f>Z276-AC276</f>
        <v/>
      </c>
      <c r="AE276" s="10" t="n"/>
      <c r="AF276" s="24" t="n"/>
      <c r="AG276" s="11" t="n"/>
      <c r="AH276" s="8" t="n"/>
      <c r="AI276" s="9">
        <f>IF(LEFT(B276,4)&lt;&gt;"    ","",AG276-AH276)</f>
        <v/>
      </c>
      <c r="AJ276" s="9" t="n"/>
      <c r="AK276" s="10" t="n"/>
      <c r="AL276" s="11">
        <f>IF(LEFT(B276,4)&lt;&gt;"    ","",W276-AG276)</f>
        <v/>
      </c>
      <c r="AM276" s="8">
        <f>IF(LEFT(B276,4)&lt;&gt;"    ","",X276-AH276)</f>
        <v/>
      </c>
      <c r="AN276" s="9">
        <f>IF(LEFT(B276,4)&lt;&gt;"    ","",Y276-AI276)</f>
        <v/>
      </c>
      <c r="AO276" s="9">
        <f>IF(LEFT(B276,4)&lt;&gt;"    ","",Z276-AJ276)</f>
        <v/>
      </c>
      <c r="AP276" s="10" t="n"/>
      <c r="AQ276" s="25">
        <f>IF(LEFT(B276,4)&lt;&gt;"    ","",I276-W276)</f>
        <v/>
      </c>
      <c r="AR276" s="25">
        <f>M276-X276</f>
        <v/>
      </c>
      <c r="AS276" s="25">
        <f>IF(LEFT(B276,4)&lt;&gt;"    ","",P276-Z276)</f>
        <v/>
      </c>
      <c r="AT276" s="10" t="n"/>
      <c r="AU276" s="12" t="n"/>
      <c r="AV276" s="12">
        <f>IF(LEFT(B276,4)&lt;&gt;"    ","",IF(W276-AU276&gt;=0,W276-AU276," "))</f>
        <v/>
      </c>
      <c r="AW276" s="12">
        <f>IF(LEFT(B276,4)&lt;&gt;"    ","",IF(AU276-W276&gt;=0,AU276-W276," "))</f>
        <v/>
      </c>
      <c r="AX276" s="186" t="n"/>
      <c r="AY276" s="187" t="n"/>
      <c r="AZ276" s="186" t="n"/>
      <c r="BA276" s="186" t="n"/>
      <c r="BB276" s="188" t="n"/>
      <c r="BC276" s="187" t="n"/>
      <c r="BD276" s="187" t="n"/>
      <c r="BE276" s="186" t="n"/>
      <c r="BF276" s="186" t="n"/>
      <c r="BG276" s="186" t="n"/>
      <c r="BH276" s="186" t="n"/>
      <c r="BI276" s="186" t="n"/>
      <c r="BJ276" s="186" t="n"/>
      <c r="BK276" s="186" t="n"/>
      <c r="BL276" s="186" t="n"/>
      <c r="BM276" s="186" t="n"/>
      <c r="BN276" s="186" t="n"/>
      <c r="BO276" s="186" t="n"/>
      <c r="BP276" s="186" t="n"/>
      <c r="BQ276" s="186" t="n"/>
      <c r="BR276" s="186" t="n"/>
      <c r="BS276" s="186" t="n"/>
      <c r="BT276" s="186" t="n"/>
      <c r="BU276" s="186" t="n"/>
      <c r="BV276" s="186" t="n"/>
      <c r="BW276" s="186" t="n"/>
      <c r="BX276" s="186" t="n"/>
      <c r="BY276" s="186" t="n"/>
      <c r="BZ276" s="186" t="n"/>
      <c r="CA276" s="186" t="n"/>
      <c r="CB276" s="186" t="n"/>
      <c r="CC276" s="190" t="n"/>
      <c r="CD276" s="186" t="n"/>
      <c r="CE276" s="186" t="n"/>
      <c r="CF276" s="186" t="n"/>
      <c r="CG276" s="186" t="n"/>
      <c r="CH276" s="186" t="n"/>
      <c r="CI276" s="191" t="n"/>
      <c r="CJ276" s="192" t="n"/>
      <c r="CK276" s="192" t="n"/>
      <c r="CL276" s="192" t="n"/>
      <c r="CM276" s="192" t="n"/>
    </row>
    <row r="277">
      <c r="A277" s="177" t="n"/>
      <c r="B277" s="178" t="n"/>
      <c r="C277" s="178" t="n"/>
      <c r="D277" s="179" t="n"/>
      <c r="E277" s="180" t="n"/>
      <c r="F277" s="181" t="n"/>
      <c r="G277" s="182" t="n"/>
      <c r="H277" s="105" t="n"/>
      <c r="I277" s="196">
        <f>F277</f>
        <v/>
      </c>
      <c r="J277" s="184" t="n"/>
      <c r="K277" s="185" t="n"/>
      <c r="L277" s="8" t="n"/>
      <c r="M277" s="71">
        <f>L277</f>
        <v/>
      </c>
      <c r="N277" s="71" t="n"/>
      <c r="O277" s="101" t="n"/>
      <c r="P277" s="9">
        <f>I277-M277</f>
        <v/>
      </c>
      <c r="Q277" s="9">
        <f>IF(LEFT(B277,4)&lt;&gt;"    ",0,BN277)</f>
        <v/>
      </c>
      <c r="R277" s="9">
        <f>+P277-Q277</f>
        <v/>
      </c>
      <c r="S277" s="281" t="n"/>
      <c r="T277" s="10" t="n"/>
      <c r="U277" s="23">
        <f>IF(LEFT(B277,4)&lt;&gt;"    ","",IF(M277&lt;&gt;0,X277/M277,0))</f>
        <v/>
      </c>
      <c r="V277" s="11">
        <f>IF(LEFT(B277,4)&lt;&gt;"    ","",U277*I277)</f>
        <v/>
      </c>
      <c r="W277" s="11">
        <f>IF(LEFT(B277,4)&lt;&gt;"    ","",X277+Z277)</f>
        <v/>
      </c>
      <c r="X277" s="8" t="n"/>
      <c r="Y277" s="9">
        <f>IF(LEFT(B277,4)&lt;&gt;"    ",0,IF(P277&lt;0,P277,IF(U277&gt;0.3,W277-X277,0)))</f>
        <v/>
      </c>
      <c r="Z277" s="71">
        <f>Y277</f>
        <v/>
      </c>
      <c r="AA277" s="71" t="n"/>
      <c r="AB277" s="109" t="n"/>
      <c r="AC277" s="9">
        <f>IF(LEFT(B277,4)&lt;&gt;"    ",0,BK277)</f>
        <v/>
      </c>
      <c r="AD277" s="9">
        <f>Z277-AC277</f>
        <v/>
      </c>
      <c r="AE277" s="10" t="n"/>
      <c r="AF277" s="24" t="n"/>
      <c r="AG277" s="11" t="n"/>
      <c r="AH277" s="8" t="n"/>
      <c r="AI277" s="9">
        <f>IF(LEFT(B277,4)&lt;&gt;"    ","",AG277-AH277)</f>
        <v/>
      </c>
      <c r="AJ277" s="9" t="n"/>
      <c r="AK277" s="10" t="n"/>
      <c r="AL277" s="11">
        <f>IF(LEFT(B277,4)&lt;&gt;"    ","",W277-AG277)</f>
        <v/>
      </c>
      <c r="AM277" s="8">
        <f>IF(LEFT(B277,4)&lt;&gt;"    ","",X277-AH277)</f>
        <v/>
      </c>
      <c r="AN277" s="9">
        <f>IF(LEFT(B277,4)&lt;&gt;"    ","",Y277-AI277)</f>
        <v/>
      </c>
      <c r="AO277" s="9">
        <f>IF(LEFT(B277,4)&lt;&gt;"    ","",Z277-AJ277)</f>
        <v/>
      </c>
      <c r="AP277" s="10" t="n"/>
      <c r="AQ277" s="25">
        <f>IF(LEFT(B277,4)&lt;&gt;"    ","",I277-W277)</f>
        <v/>
      </c>
      <c r="AR277" s="25">
        <f>M277-X277</f>
        <v/>
      </c>
      <c r="AS277" s="25">
        <f>IF(LEFT(B277,4)&lt;&gt;"    ","",P277-Z277)</f>
        <v/>
      </c>
      <c r="AT277" s="10" t="n"/>
      <c r="AU277" s="12" t="n"/>
      <c r="AV277" s="12">
        <f>IF(LEFT(B277,4)&lt;&gt;"    ","",IF(W277-AU277&gt;=0,W277-AU277," "))</f>
        <v/>
      </c>
      <c r="AW277" s="12">
        <f>IF(LEFT(B277,4)&lt;&gt;"    ","",IF(AU277-W277&gt;=0,AU277-W277," "))</f>
        <v/>
      </c>
      <c r="AX277" s="186" t="n"/>
      <c r="AY277" s="187" t="n"/>
      <c r="AZ277" s="186" t="n"/>
      <c r="BA277" s="186" t="n"/>
      <c r="BB277" s="188" t="n"/>
      <c r="BC277" s="187" t="n"/>
      <c r="BD277" s="187" t="n"/>
      <c r="BE277" s="186" t="n"/>
      <c r="BF277" s="186" t="n"/>
      <c r="BG277" s="186" t="n"/>
      <c r="BH277" s="186" t="n"/>
      <c r="BI277" s="186" t="n"/>
      <c r="BJ277" s="186" t="n"/>
      <c r="BK277" s="186" t="n"/>
      <c r="BL277" s="186" t="n"/>
      <c r="BM277" s="186" t="n"/>
      <c r="BN277" s="186" t="n"/>
      <c r="BO277" s="186" t="n"/>
      <c r="BP277" s="186" t="n"/>
      <c r="BQ277" s="186" t="n"/>
      <c r="BR277" s="186" t="n"/>
      <c r="BS277" s="186" t="n"/>
      <c r="BT277" s="186" t="n"/>
      <c r="BU277" s="186" t="n"/>
      <c r="BV277" s="186" t="n"/>
      <c r="BW277" s="186" t="n"/>
      <c r="BX277" s="186" t="n"/>
      <c r="BY277" s="186" t="n"/>
      <c r="BZ277" s="186" t="n"/>
      <c r="CA277" s="186" t="n"/>
      <c r="CB277" s="186" t="n"/>
      <c r="CC277" s="190" t="n"/>
      <c r="CD277" s="186" t="n"/>
      <c r="CE277" s="186" t="n"/>
      <c r="CF277" s="186" t="n"/>
      <c r="CG277" s="186" t="n"/>
      <c r="CH277" s="186" t="n"/>
      <c r="CI277" s="191" t="n"/>
      <c r="CJ277" s="192" t="n"/>
      <c r="CK277" s="192" t="n"/>
      <c r="CL277" s="192" t="n"/>
      <c r="CM277" s="192" t="n"/>
    </row>
    <row r="278">
      <c r="A278" s="177" t="n"/>
      <c r="B278" s="178" t="n"/>
      <c r="C278" s="178" t="n"/>
      <c r="D278" s="179" t="n"/>
      <c r="E278" s="180" t="n"/>
      <c r="F278" s="181" t="n"/>
      <c r="G278" s="182" t="n"/>
      <c r="H278" s="105" t="n"/>
      <c r="I278" s="196">
        <f>F278</f>
        <v/>
      </c>
      <c r="J278" s="184" t="n"/>
      <c r="K278" s="185" t="n"/>
      <c r="L278" s="8" t="n"/>
      <c r="M278" s="71">
        <f>L278</f>
        <v/>
      </c>
      <c r="N278" s="71" t="n"/>
      <c r="O278" s="101" t="n"/>
      <c r="P278" s="9">
        <f>I278-M278</f>
        <v/>
      </c>
      <c r="Q278" s="9">
        <f>IF(LEFT(B278,4)&lt;&gt;"    ",0,BN278)</f>
        <v/>
      </c>
      <c r="R278" s="9">
        <f>+P278-Q278</f>
        <v/>
      </c>
      <c r="S278" s="281" t="n"/>
      <c r="T278" s="10" t="n"/>
      <c r="U278" s="23">
        <f>IF(LEFT(B278,4)&lt;&gt;"    ","",IF(M278&lt;&gt;0,X278/M278,0))</f>
        <v/>
      </c>
      <c r="V278" s="11">
        <f>IF(LEFT(B278,4)&lt;&gt;"    ","",U278*I278)</f>
        <v/>
      </c>
      <c r="W278" s="11">
        <f>IF(LEFT(B278,4)&lt;&gt;"    ","",X278+Z278)</f>
        <v/>
      </c>
      <c r="X278" s="8" t="n"/>
      <c r="Y278" s="9">
        <f>IF(LEFT(B278,4)&lt;&gt;"    ",0,IF(P278&lt;0,P278,IF(U278&gt;0.3,W278-X278,0)))</f>
        <v/>
      </c>
      <c r="Z278" s="71">
        <f>Y278</f>
        <v/>
      </c>
      <c r="AA278" s="71" t="n"/>
      <c r="AB278" s="109" t="n"/>
      <c r="AC278" s="9">
        <f>IF(LEFT(B278,4)&lt;&gt;"    ",0,BK278)</f>
        <v/>
      </c>
      <c r="AD278" s="9">
        <f>Z278-AC278</f>
        <v/>
      </c>
      <c r="AE278" s="10" t="n"/>
      <c r="AF278" s="24" t="n"/>
      <c r="AG278" s="11" t="n"/>
      <c r="AH278" s="8" t="n"/>
      <c r="AI278" s="9">
        <f>IF(LEFT(B278,4)&lt;&gt;"    ","",AG278-AH278)</f>
        <v/>
      </c>
      <c r="AJ278" s="9" t="n"/>
      <c r="AK278" s="10" t="n"/>
      <c r="AL278" s="11">
        <f>IF(LEFT(B278,4)&lt;&gt;"    ","",W278-AG278)</f>
        <v/>
      </c>
      <c r="AM278" s="8">
        <f>IF(LEFT(B278,4)&lt;&gt;"    ","",X278-AH278)</f>
        <v/>
      </c>
      <c r="AN278" s="9">
        <f>IF(LEFT(B278,4)&lt;&gt;"    ","",Y278-AI278)</f>
        <v/>
      </c>
      <c r="AO278" s="9">
        <f>IF(LEFT(B278,4)&lt;&gt;"    ","",Z278-AJ278)</f>
        <v/>
      </c>
      <c r="AP278" s="10" t="n"/>
      <c r="AQ278" s="25">
        <f>IF(LEFT(B278,4)&lt;&gt;"    ","",I278-W278)</f>
        <v/>
      </c>
      <c r="AR278" s="25">
        <f>M278-X278</f>
        <v/>
      </c>
      <c r="AS278" s="25">
        <f>IF(LEFT(B278,4)&lt;&gt;"    ","",P278-Z278)</f>
        <v/>
      </c>
      <c r="AT278" s="10" t="n"/>
      <c r="AU278" s="12" t="n"/>
      <c r="AV278" s="12">
        <f>IF(LEFT(B278,4)&lt;&gt;"    ","",IF(W278-AU278&gt;=0,W278-AU278," "))</f>
        <v/>
      </c>
      <c r="AW278" s="12">
        <f>IF(LEFT(B278,4)&lt;&gt;"    ","",IF(AU278-W278&gt;=0,AU278-W278," "))</f>
        <v/>
      </c>
      <c r="AX278" s="186" t="n"/>
      <c r="AY278" s="187" t="n"/>
      <c r="AZ278" s="186" t="n"/>
      <c r="BA278" s="186" t="n"/>
      <c r="BB278" s="188" t="n"/>
      <c r="BC278" s="187" t="n"/>
      <c r="BD278" s="187" t="n"/>
      <c r="BE278" s="186" t="n"/>
      <c r="BF278" s="186" t="n"/>
      <c r="BG278" s="186" t="n"/>
      <c r="BH278" s="186" t="n"/>
      <c r="BI278" s="186" t="n"/>
      <c r="BJ278" s="186" t="n"/>
      <c r="BK278" s="186" t="n"/>
      <c r="BL278" s="186" t="n"/>
      <c r="BM278" s="186" t="n"/>
      <c r="BN278" s="186" t="n"/>
      <c r="BO278" s="186" t="n"/>
      <c r="BP278" s="186" t="n"/>
      <c r="BQ278" s="186" t="n"/>
      <c r="BR278" s="186" t="n"/>
      <c r="BS278" s="186" t="n"/>
      <c r="BT278" s="186" t="n"/>
      <c r="BU278" s="186" t="n"/>
      <c r="BV278" s="186" t="n"/>
      <c r="BW278" s="186" t="n"/>
      <c r="BX278" s="186" t="n"/>
      <c r="BY278" s="186" t="n"/>
      <c r="BZ278" s="186" t="n"/>
      <c r="CA278" s="186" t="n"/>
      <c r="CB278" s="186" t="n"/>
      <c r="CC278" s="190" t="n"/>
      <c r="CD278" s="186" t="n"/>
      <c r="CE278" s="186" t="n"/>
      <c r="CF278" s="186" t="n"/>
      <c r="CG278" s="186" t="n"/>
      <c r="CH278" s="186" t="n"/>
      <c r="CI278" s="191" t="n"/>
      <c r="CJ278" s="192" t="n"/>
      <c r="CK278" s="192" t="n"/>
      <c r="CL278" s="192" t="n"/>
      <c r="CM278" s="192" t="n"/>
    </row>
    <row r="279">
      <c r="A279" s="177" t="n"/>
      <c r="B279" s="178" t="n"/>
      <c r="C279" s="178" t="n"/>
      <c r="D279" s="179" t="n"/>
      <c r="E279" s="180" t="n"/>
      <c r="F279" s="181" t="n"/>
      <c r="G279" s="182" t="n"/>
      <c r="H279" s="105" t="n"/>
      <c r="I279" s="196">
        <f>F279</f>
        <v/>
      </c>
      <c r="J279" s="184" t="n"/>
      <c r="K279" s="185" t="n"/>
      <c r="L279" s="8" t="n"/>
      <c r="M279" s="71">
        <f>L279</f>
        <v/>
      </c>
      <c r="N279" s="71" t="n"/>
      <c r="O279" s="101" t="n"/>
      <c r="P279" s="9">
        <f>I279-M279</f>
        <v/>
      </c>
      <c r="Q279" s="9">
        <f>IF(LEFT(B279,4)&lt;&gt;"    ",0,BN279)</f>
        <v/>
      </c>
      <c r="R279" s="9">
        <f>+P279-Q279</f>
        <v/>
      </c>
      <c r="S279" s="281" t="n"/>
      <c r="T279" s="10" t="n"/>
      <c r="U279" s="23">
        <f>IF(LEFT(B279,4)&lt;&gt;"    ","",IF(M279&lt;&gt;0,X279/M279,0))</f>
        <v/>
      </c>
      <c r="V279" s="11">
        <f>IF(LEFT(B279,4)&lt;&gt;"    ","",U279*I279)</f>
        <v/>
      </c>
      <c r="W279" s="11">
        <f>IF(LEFT(B279,4)&lt;&gt;"    ","",X279+Z279)</f>
        <v/>
      </c>
      <c r="X279" s="8" t="n"/>
      <c r="Y279" s="9">
        <f>IF(LEFT(B279,4)&lt;&gt;"    ",0,IF(P279&lt;0,P279,IF(U279&gt;0.3,W279-X279,0)))</f>
        <v/>
      </c>
      <c r="Z279" s="71">
        <f>Y279</f>
        <v/>
      </c>
      <c r="AA279" s="71" t="n"/>
      <c r="AB279" s="109" t="n"/>
      <c r="AC279" s="9">
        <f>IF(LEFT(B279,4)&lt;&gt;"    ",0,BK279)</f>
        <v/>
      </c>
      <c r="AD279" s="9">
        <f>Z279-AC279</f>
        <v/>
      </c>
      <c r="AE279" s="10" t="n"/>
      <c r="AF279" s="24" t="n"/>
      <c r="AG279" s="11" t="n"/>
      <c r="AH279" s="8" t="n"/>
      <c r="AI279" s="9">
        <f>IF(LEFT(B279,4)&lt;&gt;"    ","",AG279-AH279)</f>
        <v/>
      </c>
      <c r="AJ279" s="9" t="n"/>
      <c r="AK279" s="10" t="n"/>
      <c r="AL279" s="11">
        <f>IF(LEFT(B279,4)&lt;&gt;"    ","",W279-AG279)</f>
        <v/>
      </c>
      <c r="AM279" s="8">
        <f>IF(LEFT(B279,4)&lt;&gt;"    ","",X279-AH279)</f>
        <v/>
      </c>
      <c r="AN279" s="9">
        <f>IF(LEFT(B279,4)&lt;&gt;"    ","",Y279-AI279)</f>
        <v/>
      </c>
      <c r="AO279" s="9">
        <f>IF(LEFT(B279,4)&lt;&gt;"    ","",Z279-AJ279)</f>
        <v/>
      </c>
      <c r="AP279" s="10" t="n"/>
      <c r="AQ279" s="25">
        <f>IF(LEFT(B279,4)&lt;&gt;"    ","",I279-W279)</f>
        <v/>
      </c>
      <c r="AR279" s="25">
        <f>M279-X279</f>
        <v/>
      </c>
      <c r="AS279" s="25">
        <f>IF(LEFT(B279,4)&lt;&gt;"    ","",P279-Z279)</f>
        <v/>
      </c>
      <c r="AT279" s="10" t="n"/>
      <c r="AU279" s="12" t="n"/>
      <c r="AV279" s="12">
        <f>IF(LEFT(B279,4)&lt;&gt;"    ","",IF(W279-AU279&gt;=0,W279-AU279," "))</f>
        <v/>
      </c>
      <c r="AW279" s="12">
        <f>IF(LEFT(B279,4)&lt;&gt;"    ","",IF(AU279-W279&gt;=0,AU279-W279," "))</f>
        <v/>
      </c>
      <c r="AX279" s="186" t="n"/>
      <c r="AY279" s="187" t="n"/>
      <c r="AZ279" s="186" t="n"/>
      <c r="BA279" s="186" t="n"/>
      <c r="BB279" s="188" t="n"/>
      <c r="BC279" s="187" t="n"/>
      <c r="BD279" s="187" t="n"/>
      <c r="BE279" s="186" t="n"/>
      <c r="BF279" s="186" t="n"/>
      <c r="BG279" s="186" t="n"/>
      <c r="BH279" s="186" t="n"/>
      <c r="BI279" s="186" t="n"/>
      <c r="BJ279" s="186" t="n"/>
      <c r="BK279" s="186" t="n"/>
      <c r="BL279" s="186" t="n"/>
      <c r="BM279" s="186" t="n"/>
      <c r="BN279" s="186" t="n"/>
      <c r="BO279" s="186" t="n"/>
      <c r="BP279" s="186" t="n"/>
      <c r="BQ279" s="186" t="n"/>
      <c r="BR279" s="186" t="n"/>
      <c r="BS279" s="186" t="n"/>
      <c r="BT279" s="186" t="n"/>
      <c r="BU279" s="186" t="n"/>
      <c r="BV279" s="186" t="n"/>
      <c r="BW279" s="186" t="n"/>
      <c r="BX279" s="186" t="n"/>
      <c r="BY279" s="186" t="n"/>
      <c r="BZ279" s="186" t="n"/>
      <c r="CA279" s="186" t="n"/>
      <c r="CB279" s="186" t="n"/>
      <c r="CC279" s="190" t="n"/>
      <c r="CD279" s="186" t="n"/>
      <c r="CE279" s="186" t="n"/>
      <c r="CF279" s="186" t="n"/>
      <c r="CG279" s="186" t="n"/>
      <c r="CH279" s="186" t="n"/>
      <c r="CI279" s="191" t="n"/>
      <c r="CJ279" s="192" t="n"/>
      <c r="CK279" s="192" t="n"/>
      <c r="CL279" s="192" t="n"/>
      <c r="CM279" s="192" t="n"/>
    </row>
    <row r="280">
      <c r="A280" s="177" t="n"/>
      <c r="B280" s="178" t="n"/>
      <c r="C280" s="178" t="n"/>
      <c r="D280" s="179" t="n"/>
      <c r="E280" s="180" t="n"/>
      <c r="F280" s="181" t="n"/>
      <c r="G280" s="182" t="n"/>
      <c r="H280" s="105" t="n"/>
      <c r="I280" s="196">
        <f>F280</f>
        <v/>
      </c>
      <c r="J280" s="184" t="n"/>
      <c r="K280" s="185" t="n"/>
      <c r="L280" s="8" t="n"/>
      <c r="M280" s="71">
        <f>L280</f>
        <v/>
      </c>
      <c r="N280" s="71" t="n"/>
      <c r="O280" s="101" t="n"/>
      <c r="P280" s="9">
        <f>I280-M280</f>
        <v/>
      </c>
      <c r="Q280" s="9">
        <f>IF(LEFT(B280,4)&lt;&gt;"    ",0,BN280)</f>
        <v/>
      </c>
      <c r="R280" s="9">
        <f>+P280-Q280</f>
        <v/>
      </c>
      <c r="S280" s="281" t="n"/>
      <c r="T280" s="10" t="n"/>
      <c r="U280" s="23">
        <f>IF(LEFT(B280,4)&lt;&gt;"    ","",IF(M280&lt;&gt;0,X280/M280,0))</f>
        <v/>
      </c>
      <c r="V280" s="11">
        <f>IF(LEFT(B280,4)&lt;&gt;"    ","",U280*I280)</f>
        <v/>
      </c>
      <c r="W280" s="11">
        <f>IF(LEFT(B280,4)&lt;&gt;"    ","",X280+Z280)</f>
        <v/>
      </c>
      <c r="X280" s="8" t="n"/>
      <c r="Y280" s="9">
        <f>IF(LEFT(B280,4)&lt;&gt;"    ",0,IF(P280&lt;0,P280,IF(U280&gt;0.3,W280-X280,0)))</f>
        <v/>
      </c>
      <c r="Z280" s="71">
        <f>Y280</f>
        <v/>
      </c>
      <c r="AA280" s="71" t="n"/>
      <c r="AB280" s="109" t="n"/>
      <c r="AC280" s="9">
        <f>IF(LEFT(B280,4)&lt;&gt;"    ",0,BK280)</f>
        <v/>
      </c>
      <c r="AD280" s="9">
        <f>Z280-AC280</f>
        <v/>
      </c>
      <c r="AE280" s="10" t="n"/>
      <c r="AF280" s="24" t="n"/>
      <c r="AG280" s="11" t="n"/>
      <c r="AH280" s="8" t="n"/>
      <c r="AI280" s="9">
        <f>IF(LEFT(B280,4)&lt;&gt;"    ","",AG280-AH280)</f>
        <v/>
      </c>
      <c r="AJ280" s="9" t="n"/>
      <c r="AK280" s="10" t="n"/>
      <c r="AL280" s="11">
        <f>IF(LEFT(B280,4)&lt;&gt;"    ","",W280-AG280)</f>
        <v/>
      </c>
      <c r="AM280" s="8">
        <f>IF(LEFT(B280,4)&lt;&gt;"    ","",X280-AH280)</f>
        <v/>
      </c>
      <c r="AN280" s="9">
        <f>IF(LEFT(B280,4)&lt;&gt;"    ","",Y280-AI280)</f>
        <v/>
      </c>
      <c r="AO280" s="9">
        <f>IF(LEFT(B280,4)&lt;&gt;"    ","",Z280-AJ280)</f>
        <v/>
      </c>
      <c r="AP280" s="10" t="n"/>
      <c r="AQ280" s="25">
        <f>IF(LEFT(B280,4)&lt;&gt;"    ","",I280-W280)</f>
        <v/>
      </c>
      <c r="AR280" s="25">
        <f>M280-X280</f>
        <v/>
      </c>
      <c r="AS280" s="25">
        <f>IF(LEFT(B280,4)&lt;&gt;"    ","",P280-Z280)</f>
        <v/>
      </c>
      <c r="AT280" s="10" t="n"/>
      <c r="AU280" s="12" t="n"/>
      <c r="AV280" s="12">
        <f>IF(LEFT(B280,4)&lt;&gt;"    ","",IF(W280-AU280&gt;=0,W280-AU280," "))</f>
        <v/>
      </c>
      <c r="AW280" s="12">
        <f>IF(LEFT(B280,4)&lt;&gt;"    ","",IF(AU280-W280&gt;=0,AU280-W280," "))</f>
        <v/>
      </c>
      <c r="AX280" s="186" t="n"/>
      <c r="AY280" s="187" t="n"/>
      <c r="AZ280" s="186" t="n"/>
      <c r="BA280" s="186" t="n"/>
      <c r="BB280" s="188" t="n"/>
      <c r="BC280" s="187" t="n"/>
      <c r="BD280" s="187" t="n"/>
      <c r="BE280" s="186" t="n"/>
      <c r="BF280" s="186" t="n"/>
      <c r="BG280" s="186" t="n"/>
      <c r="BH280" s="186" t="n"/>
      <c r="BI280" s="186" t="n"/>
      <c r="BJ280" s="186" t="n"/>
      <c r="BK280" s="186" t="n"/>
      <c r="BL280" s="186" t="n"/>
      <c r="BM280" s="186" t="n"/>
      <c r="BN280" s="186" t="n"/>
      <c r="BO280" s="186" t="n"/>
      <c r="BP280" s="186" t="n"/>
      <c r="BQ280" s="186" t="n"/>
      <c r="BR280" s="186" t="n"/>
      <c r="BS280" s="186" t="n"/>
      <c r="BT280" s="186" t="n"/>
      <c r="BU280" s="186" t="n"/>
      <c r="BV280" s="186" t="n"/>
      <c r="BW280" s="186" t="n"/>
      <c r="BX280" s="186" t="n"/>
      <c r="BY280" s="186" t="n"/>
      <c r="BZ280" s="186" t="n"/>
      <c r="CA280" s="186" t="n"/>
      <c r="CB280" s="186" t="n"/>
      <c r="CC280" s="190" t="n"/>
      <c r="CD280" s="186" t="n"/>
      <c r="CE280" s="186" t="n"/>
      <c r="CF280" s="186" t="n"/>
      <c r="CG280" s="186" t="n"/>
      <c r="CH280" s="186" t="n"/>
      <c r="CI280" s="191" t="n"/>
      <c r="CJ280" s="192" t="n"/>
      <c r="CK280" s="192" t="n"/>
      <c r="CL280" s="192" t="n"/>
      <c r="CM280" s="192" t="n"/>
    </row>
    <row r="281">
      <c r="A281" s="177" t="n"/>
      <c r="B281" s="178" t="n"/>
      <c r="C281" s="178" t="n"/>
      <c r="D281" s="179" t="n"/>
      <c r="E281" s="180" t="n"/>
      <c r="F281" s="181" t="n"/>
      <c r="G281" s="182" t="n"/>
      <c r="H281" s="105" t="n"/>
      <c r="I281" s="196">
        <f>F281</f>
        <v/>
      </c>
      <c r="J281" s="184" t="n"/>
      <c r="K281" s="185" t="n"/>
      <c r="L281" s="8" t="n"/>
      <c r="M281" s="71">
        <f>L281</f>
        <v/>
      </c>
      <c r="N281" s="71" t="n"/>
      <c r="O281" s="101" t="n"/>
      <c r="P281" s="9">
        <f>I281-M281</f>
        <v/>
      </c>
      <c r="Q281" s="9">
        <f>IF(LEFT(B281,4)&lt;&gt;"    ",0,BN281)</f>
        <v/>
      </c>
      <c r="R281" s="9">
        <f>+P281-Q281</f>
        <v/>
      </c>
      <c r="S281" s="281" t="n"/>
      <c r="T281" s="10" t="n"/>
      <c r="U281" s="23">
        <f>IF(LEFT(B281,4)&lt;&gt;"    ","",IF(M281&lt;&gt;0,X281/M281,0))</f>
        <v/>
      </c>
      <c r="V281" s="11">
        <f>IF(LEFT(B281,4)&lt;&gt;"    ","",U281*I281)</f>
        <v/>
      </c>
      <c r="W281" s="11">
        <f>IF(LEFT(B281,4)&lt;&gt;"    ","",X281+Z281)</f>
        <v/>
      </c>
      <c r="X281" s="8" t="n"/>
      <c r="Y281" s="9">
        <f>IF(LEFT(B281,4)&lt;&gt;"    ",0,IF(P281&lt;0,P281,IF(U281&gt;0.3,W281-X281,0)))</f>
        <v/>
      </c>
      <c r="Z281" s="71">
        <f>Y281</f>
        <v/>
      </c>
      <c r="AA281" s="71" t="n"/>
      <c r="AB281" s="109" t="n"/>
      <c r="AC281" s="9">
        <f>IF(LEFT(B281,4)&lt;&gt;"    ",0,BK281)</f>
        <v/>
      </c>
      <c r="AD281" s="9">
        <f>Z281-AC281</f>
        <v/>
      </c>
      <c r="AE281" s="10" t="n"/>
      <c r="AF281" s="24" t="n"/>
      <c r="AG281" s="11" t="n"/>
      <c r="AH281" s="8" t="n"/>
      <c r="AI281" s="9">
        <f>IF(LEFT(B281,4)&lt;&gt;"    ","",AG281-AH281)</f>
        <v/>
      </c>
      <c r="AJ281" s="9" t="n"/>
      <c r="AK281" s="10" t="n"/>
      <c r="AL281" s="11">
        <f>IF(LEFT(B281,4)&lt;&gt;"    ","",W281-AG281)</f>
        <v/>
      </c>
      <c r="AM281" s="8">
        <f>IF(LEFT(B281,4)&lt;&gt;"    ","",X281-AH281)</f>
        <v/>
      </c>
      <c r="AN281" s="9">
        <f>IF(LEFT(B281,4)&lt;&gt;"    ","",Y281-AI281)</f>
        <v/>
      </c>
      <c r="AO281" s="9">
        <f>IF(LEFT(B281,4)&lt;&gt;"    ","",Z281-AJ281)</f>
        <v/>
      </c>
      <c r="AP281" s="10" t="n"/>
      <c r="AQ281" s="25">
        <f>IF(LEFT(B281,4)&lt;&gt;"    ","",I281-W281)</f>
        <v/>
      </c>
      <c r="AR281" s="25">
        <f>M281-X281</f>
        <v/>
      </c>
      <c r="AS281" s="25">
        <f>IF(LEFT(B281,4)&lt;&gt;"    ","",P281-Z281)</f>
        <v/>
      </c>
      <c r="AT281" s="10" t="n"/>
      <c r="AU281" s="12" t="n"/>
      <c r="AV281" s="12">
        <f>IF(LEFT(B281,4)&lt;&gt;"    ","",IF(W281-AU281&gt;=0,W281-AU281," "))</f>
        <v/>
      </c>
      <c r="AW281" s="12">
        <f>IF(LEFT(B281,4)&lt;&gt;"    ","",IF(AU281-W281&gt;=0,AU281-W281," "))</f>
        <v/>
      </c>
      <c r="AX281" s="186" t="n"/>
      <c r="AY281" s="187" t="n"/>
      <c r="AZ281" s="186" t="n"/>
      <c r="BA281" s="186" t="n"/>
      <c r="BB281" s="188" t="n"/>
      <c r="BC281" s="187" t="n"/>
      <c r="BD281" s="187" t="n"/>
      <c r="BE281" s="186" t="n"/>
      <c r="BF281" s="186" t="n"/>
      <c r="BG281" s="186" t="n"/>
      <c r="BH281" s="186" t="n"/>
      <c r="BI281" s="186" t="n"/>
      <c r="BJ281" s="186" t="n"/>
      <c r="BK281" s="186" t="n"/>
      <c r="BL281" s="186" t="n"/>
      <c r="BM281" s="186" t="n"/>
      <c r="BN281" s="186" t="n"/>
      <c r="BO281" s="186" t="n"/>
      <c r="BP281" s="186" t="n"/>
      <c r="BQ281" s="186" t="n"/>
      <c r="BR281" s="186" t="n"/>
      <c r="BS281" s="186" t="n"/>
      <c r="BT281" s="186" t="n"/>
      <c r="BU281" s="186" t="n"/>
      <c r="BV281" s="186" t="n"/>
      <c r="BW281" s="186" t="n"/>
      <c r="BX281" s="186" t="n"/>
      <c r="BY281" s="186" t="n"/>
      <c r="BZ281" s="186" t="n"/>
      <c r="CA281" s="186" t="n"/>
      <c r="CB281" s="186" t="n"/>
      <c r="CC281" s="190" t="n"/>
      <c r="CD281" s="186" t="n"/>
      <c r="CE281" s="186" t="n"/>
      <c r="CF281" s="186" t="n"/>
      <c r="CG281" s="186" t="n"/>
      <c r="CH281" s="186" t="n"/>
      <c r="CI281" s="191" t="n"/>
      <c r="CJ281" s="192" t="n"/>
      <c r="CK281" s="192" t="n"/>
      <c r="CL281" s="192" t="n"/>
      <c r="CM281" s="192" t="n"/>
    </row>
    <row r="282">
      <c r="A282" s="177" t="n"/>
      <c r="B282" s="178" t="n"/>
      <c r="C282" s="178" t="n"/>
      <c r="D282" s="179" t="n"/>
      <c r="E282" s="180" t="n"/>
      <c r="F282" s="181" t="n"/>
      <c r="G282" s="182" t="n"/>
      <c r="H282" s="105" t="n"/>
      <c r="I282" s="196">
        <f>F282</f>
        <v/>
      </c>
      <c r="J282" s="184" t="n"/>
      <c r="K282" s="185" t="n"/>
      <c r="L282" s="8" t="n"/>
      <c r="M282" s="71">
        <f>L282</f>
        <v/>
      </c>
      <c r="N282" s="71" t="n"/>
      <c r="O282" s="101" t="n"/>
      <c r="P282" s="9">
        <f>I282-M282</f>
        <v/>
      </c>
      <c r="Q282" s="9">
        <f>IF(LEFT(B282,4)&lt;&gt;"    ",0,BN282)</f>
        <v/>
      </c>
      <c r="R282" s="9">
        <f>+P282-Q282</f>
        <v/>
      </c>
      <c r="S282" s="281" t="n"/>
      <c r="T282" s="10" t="n"/>
      <c r="U282" s="23">
        <f>IF(LEFT(B282,4)&lt;&gt;"    ","",IF(M282&lt;&gt;0,X282/M282,0))</f>
        <v/>
      </c>
      <c r="V282" s="11">
        <f>IF(LEFT(B282,4)&lt;&gt;"    ","",U282*I282)</f>
        <v/>
      </c>
      <c r="W282" s="11">
        <f>IF(LEFT(B282,4)&lt;&gt;"    ","",X282+Z282)</f>
        <v/>
      </c>
      <c r="X282" s="8" t="n"/>
      <c r="Y282" s="9">
        <f>IF(LEFT(B282,4)&lt;&gt;"    ",0,IF(P282&lt;0,P282,IF(U282&gt;0.3,W282-X282,0)))</f>
        <v/>
      </c>
      <c r="Z282" s="71">
        <f>Y282</f>
        <v/>
      </c>
      <c r="AA282" s="71" t="n"/>
      <c r="AB282" s="109" t="n"/>
      <c r="AC282" s="9">
        <f>IF(LEFT(B282,4)&lt;&gt;"    ",0,BK282)</f>
        <v/>
      </c>
      <c r="AD282" s="9">
        <f>Z282-AC282</f>
        <v/>
      </c>
      <c r="AE282" s="10" t="n"/>
      <c r="AF282" s="24" t="n"/>
      <c r="AG282" s="11" t="n"/>
      <c r="AH282" s="8" t="n"/>
      <c r="AI282" s="9">
        <f>IF(LEFT(B282,4)&lt;&gt;"    ","",AG282-AH282)</f>
        <v/>
      </c>
      <c r="AJ282" s="9" t="n"/>
      <c r="AK282" s="10" t="n"/>
      <c r="AL282" s="11">
        <f>IF(LEFT(B282,4)&lt;&gt;"    ","",W282-AG282)</f>
        <v/>
      </c>
      <c r="AM282" s="8">
        <f>IF(LEFT(B282,4)&lt;&gt;"    ","",X282-AH282)</f>
        <v/>
      </c>
      <c r="AN282" s="9">
        <f>IF(LEFT(B282,4)&lt;&gt;"    ","",Y282-AI282)</f>
        <v/>
      </c>
      <c r="AO282" s="9">
        <f>IF(LEFT(B282,4)&lt;&gt;"    ","",Z282-AJ282)</f>
        <v/>
      </c>
      <c r="AP282" s="10" t="n"/>
      <c r="AQ282" s="25">
        <f>IF(LEFT(B282,4)&lt;&gt;"    ","",I282-W282)</f>
        <v/>
      </c>
      <c r="AR282" s="25">
        <f>M282-X282</f>
        <v/>
      </c>
      <c r="AS282" s="25">
        <f>IF(LEFT(B282,4)&lt;&gt;"    ","",P282-Z282)</f>
        <v/>
      </c>
      <c r="AT282" s="10" t="n"/>
      <c r="AU282" s="12" t="n"/>
      <c r="AV282" s="12">
        <f>IF(LEFT(B282,4)&lt;&gt;"    ","",IF(W282-AU282&gt;=0,W282-AU282," "))</f>
        <v/>
      </c>
      <c r="AW282" s="12">
        <f>IF(LEFT(B282,4)&lt;&gt;"    ","",IF(AU282-W282&gt;=0,AU282-W282," "))</f>
        <v/>
      </c>
      <c r="AX282" s="186" t="n"/>
      <c r="AY282" s="187" t="n"/>
      <c r="AZ282" s="186" t="n"/>
      <c r="BA282" s="186" t="n"/>
      <c r="BB282" s="188" t="n"/>
      <c r="BC282" s="187" t="n"/>
      <c r="BD282" s="187" t="n"/>
      <c r="BE282" s="186" t="n"/>
      <c r="BF282" s="186" t="n"/>
      <c r="BG282" s="186" t="n"/>
      <c r="BH282" s="186" t="n"/>
      <c r="BI282" s="186" t="n"/>
      <c r="BJ282" s="186" t="n"/>
      <c r="BK282" s="186" t="n"/>
      <c r="BL282" s="186" t="n"/>
      <c r="BM282" s="186" t="n"/>
      <c r="BN282" s="186" t="n"/>
      <c r="BO282" s="186" t="n"/>
      <c r="BP282" s="186" t="n"/>
      <c r="BQ282" s="186" t="n"/>
      <c r="BR282" s="186" t="n"/>
      <c r="BS282" s="186" t="n"/>
      <c r="BT282" s="186" t="n"/>
      <c r="BU282" s="186" t="n"/>
      <c r="BV282" s="186" t="n"/>
      <c r="BW282" s="186" t="n"/>
      <c r="BX282" s="186" t="n"/>
      <c r="BY282" s="186" t="n"/>
      <c r="BZ282" s="186" t="n"/>
      <c r="CA282" s="186" t="n"/>
      <c r="CB282" s="186" t="n"/>
      <c r="CC282" s="190" t="n"/>
      <c r="CD282" s="186" t="n"/>
      <c r="CE282" s="186" t="n"/>
      <c r="CF282" s="186" t="n"/>
      <c r="CG282" s="186" t="n"/>
      <c r="CH282" s="186" t="n"/>
      <c r="CI282" s="191" t="n"/>
      <c r="CJ282" s="192" t="n"/>
      <c r="CK282" s="192" t="n"/>
      <c r="CL282" s="192" t="n"/>
      <c r="CM282" s="192" t="n"/>
    </row>
    <row r="283">
      <c r="A283" s="177" t="n"/>
      <c r="B283" s="178" t="n"/>
      <c r="C283" s="178" t="n"/>
      <c r="D283" s="179" t="n"/>
      <c r="E283" s="180" t="n"/>
      <c r="F283" s="181" t="n"/>
      <c r="G283" s="182" t="n"/>
      <c r="H283" s="105" t="n"/>
      <c r="I283" s="196">
        <f>F283</f>
        <v/>
      </c>
      <c r="J283" s="184" t="n"/>
      <c r="K283" s="185" t="n"/>
      <c r="L283" s="8" t="n"/>
      <c r="M283" s="71">
        <f>L283</f>
        <v/>
      </c>
      <c r="N283" s="71" t="n"/>
      <c r="O283" s="101" t="n"/>
      <c r="P283" s="9">
        <f>I283-M283</f>
        <v/>
      </c>
      <c r="Q283" s="9">
        <f>IF(LEFT(B283,4)&lt;&gt;"    ",0,BN283)</f>
        <v/>
      </c>
      <c r="R283" s="9">
        <f>+P283-Q283</f>
        <v/>
      </c>
      <c r="S283" s="281" t="n"/>
      <c r="T283" s="10" t="n"/>
      <c r="U283" s="23">
        <f>IF(LEFT(B283,4)&lt;&gt;"    ","",IF(M283&lt;&gt;0,X283/M283,0))</f>
        <v/>
      </c>
      <c r="V283" s="11">
        <f>IF(LEFT(B283,4)&lt;&gt;"    ","",U283*I283)</f>
        <v/>
      </c>
      <c r="W283" s="11">
        <f>IF(LEFT(B283,4)&lt;&gt;"    ","",X283+Z283)</f>
        <v/>
      </c>
      <c r="X283" s="8" t="n"/>
      <c r="Y283" s="9">
        <f>IF(LEFT(B283,4)&lt;&gt;"    ",0,IF(P283&lt;0,P283,IF(U283&gt;0.3,W283-X283,0)))</f>
        <v/>
      </c>
      <c r="Z283" s="71">
        <f>Y283</f>
        <v/>
      </c>
      <c r="AA283" s="71" t="n"/>
      <c r="AB283" s="109" t="n"/>
      <c r="AC283" s="9">
        <f>IF(LEFT(B283,4)&lt;&gt;"    ",0,BK283)</f>
        <v/>
      </c>
      <c r="AD283" s="9">
        <f>Z283-AC283</f>
        <v/>
      </c>
      <c r="AE283" s="10" t="n"/>
      <c r="AF283" s="24" t="n"/>
      <c r="AG283" s="11" t="n"/>
      <c r="AH283" s="8" t="n"/>
      <c r="AI283" s="9">
        <f>IF(LEFT(B283,4)&lt;&gt;"    ","",AG283-AH283)</f>
        <v/>
      </c>
      <c r="AJ283" s="9" t="n"/>
      <c r="AK283" s="10" t="n"/>
      <c r="AL283" s="11">
        <f>IF(LEFT(B283,4)&lt;&gt;"    ","",W283-AG283)</f>
        <v/>
      </c>
      <c r="AM283" s="8">
        <f>IF(LEFT(B283,4)&lt;&gt;"    ","",X283-AH283)</f>
        <v/>
      </c>
      <c r="AN283" s="9">
        <f>IF(LEFT(B283,4)&lt;&gt;"    ","",Y283-AI283)</f>
        <v/>
      </c>
      <c r="AO283" s="9">
        <f>IF(LEFT(B283,4)&lt;&gt;"    ","",Z283-AJ283)</f>
        <v/>
      </c>
      <c r="AP283" s="10" t="n"/>
      <c r="AQ283" s="25">
        <f>IF(LEFT(B283,4)&lt;&gt;"    ","",I283-W283)</f>
        <v/>
      </c>
      <c r="AR283" s="25">
        <f>M283-X283</f>
        <v/>
      </c>
      <c r="AS283" s="25">
        <f>IF(LEFT(B283,4)&lt;&gt;"    ","",P283-Z283)</f>
        <v/>
      </c>
      <c r="AT283" s="10" t="n"/>
      <c r="AU283" s="12" t="n"/>
      <c r="AV283" s="12">
        <f>IF(LEFT(B283,4)&lt;&gt;"    ","",IF(W283-AU283&gt;=0,W283-AU283," "))</f>
        <v/>
      </c>
      <c r="AW283" s="12">
        <f>IF(LEFT(B283,4)&lt;&gt;"    ","",IF(AU283-W283&gt;=0,AU283-W283," "))</f>
        <v/>
      </c>
      <c r="AX283" s="186" t="n"/>
      <c r="AY283" s="187" t="n"/>
      <c r="AZ283" s="186" t="n"/>
      <c r="BA283" s="186" t="n"/>
      <c r="BB283" s="188" t="n"/>
      <c r="BC283" s="187" t="n"/>
      <c r="BD283" s="187" t="n"/>
      <c r="BE283" s="186" t="n"/>
      <c r="BF283" s="186" t="n"/>
      <c r="BG283" s="186" t="n"/>
      <c r="BH283" s="186" t="n"/>
      <c r="BI283" s="186" t="n"/>
      <c r="BJ283" s="186" t="n"/>
      <c r="BK283" s="186" t="n"/>
      <c r="BL283" s="186" t="n"/>
      <c r="BM283" s="186" t="n"/>
      <c r="BN283" s="186" t="n"/>
      <c r="BO283" s="186" t="n"/>
      <c r="BP283" s="186" t="n"/>
      <c r="BQ283" s="186" t="n"/>
      <c r="BR283" s="186" t="n"/>
      <c r="BS283" s="186" t="n"/>
      <c r="BT283" s="186" t="n"/>
      <c r="BU283" s="186" t="n"/>
      <c r="BV283" s="186" t="n"/>
      <c r="BW283" s="186" t="n"/>
      <c r="BX283" s="186" t="n"/>
      <c r="BY283" s="186" t="n"/>
      <c r="BZ283" s="186" t="n"/>
      <c r="CA283" s="186" t="n"/>
      <c r="CB283" s="186" t="n"/>
      <c r="CC283" s="190" t="n"/>
      <c r="CD283" s="186" t="n"/>
      <c r="CE283" s="186" t="n"/>
      <c r="CF283" s="186" t="n"/>
      <c r="CG283" s="186" t="n"/>
      <c r="CH283" s="186" t="n"/>
      <c r="CI283" s="191" t="n"/>
      <c r="CJ283" s="192" t="n"/>
      <c r="CK283" s="192" t="n"/>
      <c r="CL283" s="192" t="n"/>
      <c r="CM283" s="192" t="n"/>
    </row>
    <row r="284">
      <c r="A284" s="177" t="n"/>
      <c r="B284" s="178" t="n"/>
      <c r="C284" s="178" t="n"/>
      <c r="D284" s="179" t="n"/>
      <c r="E284" s="180" t="n"/>
      <c r="F284" s="181" t="n"/>
      <c r="G284" s="182" t="n"/>
      <c r="H284" s="105" t="n"/>
      <c r="I284" s="196">
        <f>F284</f>
        <v/>
      </c>
      <c r="J284" s="184" t="n"/>
      <c r="K284" s="185" t="n"/>
      <c r="L284" s="8" t="n"/>
      <c r="M284" s="71">
        <f>L284</f>
        <v/>
      </c>
      <c r="N284" s="71" t="n"/>
      <c r="O284" s="101" t="n"/>
      <c r="P284" s="9">
        <f>I284-M284</f>
        <v/>
      </c>
      <c r="Q284" s="9">
        <f>IF(LEFT(B284,4)&lt;&gt;"    ",0,BN284)</f>
        <v/>
      </c>
      <c r="R284" s="9">
        <f>+P284-Q284</f>
        <v/>
      </c>
      <c r="S284" s="281" t="n"/>
      <c r="T284" s="10" t="n"/>
      <c r="U284" s="23">
        <f>IF(LEFT(B284,4)&lt;&gt;"    ","",IF(M284&lt;&gt;0,X284/M284,0))</f>
        <v/>
      </c>
      <c r="V284" s="11">
        <f>IF(LEFT(B284,4)&lt;&gt;"    ","",U284*I284)</f>
        <v/>
      </c>
      <c r="W284" s="11">
        <f>IF(LEFT(B284,4)&lt;&gt;"    ","",X284+Z284)</f>
        <v/>
      </c>
      <c r="X284" s="8" t="n"/>
      <c r="Y284" s="9">
        <f>IF(LEFT(B284,4)&lt;&gt;"    ",0,IF(P284&lt;0,P284,IF(U284&gt;0.3,W284-X284,0)))</f>
        <v/>
      </c>
      <c r="Z284" s="71">
        <f>Y284</f>
        <v/>
      </c>
      <c r="AA284" s="71" t="n"/>
      <c r="AB284" s="109" t="n"/>
      <c r="AC284" s="9">
        <f>IF(LEFT(B284,4)&lt;&gt;"    ",0,BK284)</f>
        <v/>
      </c>
      <c r="AD284" s="9">
        <f>Z284-AC284</f>
        <v/>
      </c>
      <c r="AE284" s="10" t="n"/>
      <c r="AF284" s="24" t="n"/>
      <c r="AG284" s="11" t="n"/>
      <c r="AH284" s="8" t="n"/>
      <c r="AI284" s="9">
        <f>IF(LEFT(B284,4)&lt;&gt;"    ","",AG284-AH284)</f>
        <v/>
      </c>
      <c r="AJ284" s="9" t="n"/>
      <c r="AK284" s="10" t="n"/>
      <c r="AL284" s="11">
        <f>IF(LEFT(B284,4)&lt;&gt;"    ","",W284-AG284)</f>
        <v/>
      </c>
      <c r="AM284" s="8">
        <f>IF(LEFT(B284,4)&lt;&gt;"    ","",X284-AH284)</f>
        <v/>
      </c>
      <c r="AN284" s="9">
        <f>IF(LEFT(B284,4)&lt;&gt;"    ","",Y284-AI284)</f>
        <v/>
      </c>
      <c r="AO284" s="9">
        <f>IF(LEFT(B284,4)&lt;&gt;"    ","",Z284-AJ284)</f>
        <v/>
      </c>
      <c r="AP284" s="10" t="n"/>
      <c r="AQ284" s="25">
        <f>IF(LEFT(B284,4)&lt;&gt;"    ","",I284-W284)</f>
        <v/>
      </c>
      <c r="AR284" s="25">
        <f>M284-X284</f>
        <v/>
      </c>
      <c r="AS284" s="25">
        <f>IF(LEFT(B284,4)&lt;&gt;"    ","",P284-Z284)</f>
        <v/>
      </c>
      <c r="AT284" s="10" t="n"/>
      <c r="AU284" s="12" t="n"/>
      <c r="AV284" s="12">
        <f>IF(LEFT(B284,4)&lt;&gt;"    ","",IF(W284-AU284&gt;=0,W284-AU284," "))</f>
        <v/>
      </c>
      <c r="AW284" s="12">
        <f>IF(LEFT(B284,4)&lt;&gt;"    ","",IF(AU284-W284&gt;=0,AU284-W284," "))</f>
        <v/>
      </c>
      <c r="AX284" s="186" t="n"/>
      <c r="AY284" s="187" t="n"/>
      <c r="AZ284" s="186" t="n"/>
      <c r="BA284" s="186" t="n"/>
      <c r="BB284" s="188" t="n"/>
      <c r="BC284" s="187" t="n"/>
      <c r="BD284" s="187" t="n"/>
      <c r="BE284" s="186" t="n"/>
      <c r="BF284" s="186" t="n"/>
      <c r="BG284" s="186" t="n"/>
      <c r="BH284" s="186" t="n"/>
      <c r="BI284" s="186" t="n"/>
      <c r="BJ284" s="186" t="n"/>
      <c r="BK284" s="186" t="n"/>
      <c r="BL284" s="186" t="n"/>
      <c r="BM284" s="186" t="n"/>
      <c r="BN284" s="186" t="n"/>
      <c r="BO284" s="186" t="n"/>
      <c r="BP284" s="186" t="n"/>
      <c r="BQ284" s="186" t="n"/>
      <c r="BR284" s="186" t="n"/>
      <c r="BS284" s="186" t="n"/>
      <c r="BT284" s="186" t="n"/>
      <c r="BU284" s="186" t="n"/>
      <c r="BV284" s="186" t="n"/>
      <c r="BW284" s="186" t="n"/>
      <c r="BX284" s="186" t="n"/>
      <c r="BY284" s="186" t="n"/>
      <c r="BZ284" s="186" t="n"/>
      <c r="CA284" s="186" t="n"/>
      <c r="CB284" s="186" t="n"/>
      <c r="CC284" s="190" t="n"/>
      <c r="CD284" s="186" t="n"/>
      <c r="CE284" s="186" t="n"/>
      <c r="CF284" s="186" t="n"/>
      <c r="CG284" s="186" t="n"/>
      <c r="CH284" s="186" t="n"/>
      <c r="CI284" s="191" t="n"/>
      <c r="CJ284" s="192" t="n"/>
      <c r="CK284" s="192" t="n"/>
      <c r="CL284" s="192" t="n"/>
      <c r="CM284" s="192" t="n"/>
    </row>
    <row r="285">
      <c r="A285" s="177" t="n"/>
      <c r="B285" s="178" t="n"/>
      <c r="C285" s="178" t="n"/>
      <c r="D285" s="179" t="n"/>
      <c r="E285" s="180" t="n"/>
      <c r="F285" s="181" t="n"/>
      <c r="G285" s="182" t="n"/>
      <c r="H285" s="105" t="n"/>
      <c r="I285" s="196">
        <f>F285</f>
        <v/>
      </c>
      <c r="J285" s="184" t="n"/>
      <c r="K285" s="185" t="n"/>
      <c r="L285" s="8" t="n"/>
      <c r="M285" s="71">
        <f>L285</f>
        <v/>
      </c>
      <c r="N285" s="71" t="n"/>
      <c r="O285" s="101" t="n"/>
      <c r="P285" s="9">
        <f>I285-M285</f>
        <v/>
      </c>
      <c r="Q285" s="9">
        <f>IF(LEFT(B285,4)&lt;&gt;"    ",0,BN285)</f>
        <v/>
      </c>
      <c r="R285" s="9">
        <f>+P285-Q285</f>
        <v/>
      </c>
      <c r="S285" s="281" t="n"/>
      <c r="T285" s="10" t="n"/>
      <c r="U285" s="23">
        <f>IF(LEFT(B285,4)&lt;&gt;"    ","",IF(M285&lt;&gt;0,X285/M285,0))</f>
        <v/>
      </c>
      <c r="V285" s="11">
        <f>IF(LEFT(B285,4)&lt;&gt;"    ","",U285*I285)</f>
        <v/>
      </c>
      <c r="W285" s="11">
        <f>IF(LEFT(B285,4)&lt;&gt;"    ","",X285+Z285)</f>
        <v/>
      </c>
      <c r="X285" s="8" t="n"/>
      <c r="Y285" s="9">
        <f>IF(LEFT(B285,4)&lt;&gt;"    ",0,IF(P285&lt;0,P285,IF(U285&gt;0.3,W285-X285,0)))</f>
        <v/>
      </c>
      <c r="Z285" s="71">
        <f>Y285</f>
        <v/>
      </c>
      <c r="AA285" s="71" t="n"/>
      <c r="AB285" s="109" t="n"/>
      <c r="AC285" s="9">
        <f>IF(LEFT(B285,4)&lt;&gt;"    ",0,BK285)</f>
        <v/>
      </c>
      <c r="AD285" s="9">
        <f>Z285-AC285</f>
        <v/>
      </c>
      <c r="AE285" s="10" t="n"/>
      <c r="AF285" s="24" t="n"/>
      <c r="AG285" s="11" t="n"/>
      <c r="AH285" s="8" t="n"/>
      <c r="AI285" s="9">
        <f>IF(LEFT(B285,4)&lt;&gt;"    ","",AG285-AH285)</f>
        <v/>
      </c>
      <c r="AJ285" s="9" t="n"/>
      <c r="AK285" s="10" t="n"/>
      <c r="AL285" s="11">
        <f>IF(LEFT(B285,4)&lt;&gt;"    ","",W285-AG285)</f>
        <v/>
      </c>
      <c r="AM285" s="8">
        <f>IF(LEFT(B285,4)&lt;&gt;"    ","",X285-AH285)</f>
        <v/>
      </c>
      <c r="AN285" s="9">
        <f>IF(LEFT(B285,4)&lt;&gt;"    ","",Y285-AI285)</f>
        <v/>
      </c>
      <c r="AO285" s="9">
        <f>IF(LEFT(B285,4)&lt;&gt;"    ","",Z285-AJ285)</f>
        <v/>
      </c>
      <c r="AP285" s="10" t="n"/>
      <c r="AQ285" s="25">
        <f>IF(LEFT(B285,4)&lt;&gt;"    ","",I285-W285)</f>
        <v/>
      </c>
      <c r="AR285" s="25">
        <f>M285-X285</f>
        <v/>
      </c>
      <c r="AS285" s="25">
        <f>IF(LEFT(B285,4)&lt;&gt;"    ","",P285-Z285)</f>
        <v/>
      </c>
      <c r="AT285" s="10" t="n"/>
      <c r="AU285" s="12" t="n"/>
      <c r="AV285" s="12">
        <f>IF(LEFT(B285,4)&lt;&gt;"    ","",IF(W285-AU285&gt;=0,W285-AU285," "))</f>
        <v/>
      </c>
      <c r="AW285" s="12">
        <f>IF(LEFT(B285,4)&lt;&gt;"    ","",IF(AU285-W285&gt;=0,AU285-W285," "))</f>
        <v/>
      </c>
      <c r="AX285" s="186" t="n"/>
      <c r="AY285" s="187" t="n"/>
      <c r="AZ285" s="186" t="n"/>
      <c r="BA285" s="186" t="n"/>
      <c r="BB285" s="188" t="n"/>
      <c r="BC285" s="187" t="n"/>
      <c r="BD285" s="187" t="n"/>
      <c r="BE285" s="186" t="n"/>
      <c r="BF285" s="186" t="n"/>
      <c r="BG285" s="186" t="n"/>
      <c r="BH285" s="186" t="n"/>
      <c r="BI285" s="186" t="n"/>
      <c r="BJ285" s="186" t="n"/>
      <c r="BK285" s="186" t="n"/>
      <c r="BL285" s="186" t="n"/>
      <c r="BM285" s="186" t="n"/>
      <c r="BN285" s="186" t="n"/>
      <c r="BO285" s="186" t="n"/>
      <c r="BP285" s="186" t="n"/>
      <c r="BQ285" s="186" t="n"/>
      <c r="BR285" s="186" t="n"/>
      <c r="BS285" s="186" t="n"/>
      <c r="BT285" s="186" t="n"/>
      <c r="BU285" s="186" t="n"/>
      <c r="BV285" s="186" t="n"/>
      <c r="BW285" s="186" t="n"/>
      <c r="BX285" s="186" t="n"/>
      <c r="BY285" s="186" t="n"/>
      <c r="BZ285" s="186" t="n"/>
      <c r="CA285" s="186" t="n"/>
      <c r="CB285" s="186" t="n"/>
      <c r="CC285" s="190" t="n"/>
      <c r="CD285" s="186" t="n"/>
      <c r="CE285" s="186" t="n"/>
      <c r="CF285" s="186" t="n"/>
      <c r="CG285" s="186" t="n"/>
      <c r="CH285" s="186" t="n"/>
      <c r="CI285" s="191" t="n"/>
      <c r="CJ285" s="192" t="n"/>
      <c r="CK285" s="192" t="n"/>
      <c r="CL285" s="192" t="n"/>
      <c r="CM285" s="192" t="n"/>
    </row>
    <row r="286">
      <c r="A286" s="177" t="n"/>
      <c r="B286" s="178" t="n"/>
      <c r="C286" s="178" t="n"/>
      <c r="D286" s="179" t="n"/>
      <c r="E286" s="180" t="n"/>
      <c r="F286" s="181" t="n"/>
      <c r="G286" s="182" t="n"/>
      <c r="H286" s="105" t="n"/>
      <c r="I286" s="196">
        <f>F286</f>
        <v/>
      </c>
      <c r="J286" s="184" t="n"/>
      <c r="K286" s="185" t="n"/>
      <c r="L286" s="8" t="n"/>
      <c r="M286" s="71">
        <f>L286</f>
        <v/>
      </c>
      <c r="N286" s="71" t="n"/>
      <c r="O286" s="101" t="n"/>
      <c r="P286" s="9">
        <f>I286-M286</f>
        <v/>
      </c>
      <c r="Q286" s="9">
        <f>IF(LEFT(B286,4)&lt;&gt;"    ",0,BN286)</f>
        <v/>
      </c>
      <c r="R286" s="9">
        <f>+P286-Q286</f>
        <v/>
      </c>
      <c r="S286" s="281" t="n"/>
      <c r="T286" s="10" t="n"/>
      <c r="U286" s="23">
        <f>IF(LEFT(B286,4)&lt;&gt;"    ","",IF(M286&lt;&gt;0,X286/M286,0))</f>
        <v/>
      </c>
      <c r="V286" s="11">
        <f>IF(LEFT(B286,4)&lt;&gt;"    ","",U286*I286)</f>
        <v/>
      </c>
      <c r="W286" s="11">
        <f>IF(LEFT(B286,4)&lt;&gt;"    ","",X286+Z286)</f>
        <v/>
      </c>
      <c r="X286" s="8" t="n"/>
      <c r="Y286" s="9">
        <f>IF(LEFT(B286,4)&lt;&gt;"    ",0,IF(P286&lt;0,P286,IF(U286&gt;0.3,W286-X286,0)))</f>
        <v/>
      </c>
      <c r="Z286" s="71">
        <f>Y286</f>
        <v/>
      </c>
      <c r="AA286" s="71" t="n"/>
      <c r="AB286" s="109" t="n"/>
      <c r="AC286" s="9">
        <f>IF(LEFT(B286,4)&lt;&gt;"    ",0,BK286)</f>
        <v/>
      </c>
      <c r="AD286" s="9">
        <f>Z286-AC286</f>
        <v/>
      </c>
      <c r="AE286" s="10" t="n"/>
      <c r="AF286" s="24" t="n"/>
      <c r="AG286" s="11" t="n"/>
      <c r="AH286" s="8" t="n"/>
      <c r="AI286" s="9">
        <f>IF(LEFT(B286,4)&lt;&gt;"    ","",AG286-AH286)</f>
        <v/>
      </c>
      <c r="AJ286" s="9" t="n"/>
      <c r="AK286" s="10" t="n"/>
      <c r="AL286" s="11">
        <f>IF(LEFT(B286,4)&lt;&gt;"    ","",W286-AG286)</f>
        <v/>
      </c>
      <c r="AM286" s="8">
        <f>IF(LEFT(B286,4)&lt;&gt;"    ","",X286-AH286)</f>
        <v/>
      </c>
      <c r="AN286" s="9">
        <f>IF(LEFT(B286,4)&lt;&gt;"    ","",Y286-AI286)</f>
        <v/>
      </c>
      <c r="AO286" s="9">
        <f>IF(LEFT(B286,4)&lt;&gt;"    ","",Z286-AJ286)</f>
        <v/>
      </c>
      <c r="AP286" s="10" t="n"/>
      <c r="AQ286" s="25">
        <f>IF(LEFT(B286,4)&lt;&gt;"    ","",I286-W286)</f>
        <v/>
      </c>
      <c r="AR286" s="25">
        <f>M286-X286</f>
        <v/>
      </c>
      <c r="AS286" s="25">
        <f>IF(LEFT(B286,4)&lt;&gt;"    ","",P286-Z286)</f>
        <v/>
      </c>
      <c r="AT286" s="10" t="n"/>
      <c r="AU286" s="12" t="n"/>
      <c r="AV286" s="12">
        <f>IF(LEFT(B286,4)&lt;&gt;"    ","",IF(W286-AU286&gt;=0,W286-AU286," "))</f>
        <v/>
      </c>
      <c r="AW286" s="12">
        <f>IF(LEFT(B286,4)&lt;&gt;"    ","",IF(AU286-W286&gt;=0,AU286-W286," "))</f>
        <v/>
      </c>
      <c r="AX286" s="186" t="n"/>
      <c r="AY286" s="187" t="n"/>
      <c r="AZ286" s="186" t="n"/>
      <c r="BA286" s="186" t="n"/>
      <c r="BB286" s="188" t="n"/>
      <c r="BC286" s="187" t="n"/>
      <c r="BD286" s="187" t="n"/>
      <c r="BE286" s="186" t="n"/>
      <c r="BF286" s="186" t="n"/>
      <c r="BG286" s="186" t="n"/>
      <c r="BH286" s="186" t="n"/>
      <c r="BI286" s="186" t="n"/>
      <c r="BJ286" s="186" t="n"/>
      <c r="BK286" s="186" t="n"/>
      <c r="BL286" s="186" t="n"/>
      <c r="BM286" s="186" t="n"/>
      <c r="BN286" s="186" t="n"/>
      <c r="BO286" s="186" t="n"/>
      <c r="BP286" s="186" t="n"/>
      <c r="BQ286" s="186" t="n"/>
      <c r="BR286" s="186" t="n"/>
      <c r="BS286" s="186" t="n"/>
      <c r="BT286" s="186" t="n"/>
      <c r="BU286" s="186" t="n"/>
      <c r="BV286" s="186" t="n"/>
      <c r="BW286" s="186" t="n"/>
      <c r="BX286" s="186" t="n"/>
      <c r="BY286" s="186" t="n"/>
      <c r="BZ286" s="186" t="n"/>
      <c r="CA286" s="186" t="n"/>
      <c r="CB286" s="186" t="n"/>
      <c r="CC286" s="190" t="n"/>
      <c r="CD286" s="186" t="n"/>
      <c r="CE286" s="186" t="n"/>
      <c r="CF286" s="186" t="n"/>
      <c r="CG286" s="186" t="n"/>
      <c r="CH286" s="186" t="n"/>
      <c r="CI286" s="191" t="n"/>
      <c r="CJ286" s="192" t="n"/>
      <c r="CK286" s="192" t="n"/>
      <c r="CL286" s="192" t="n"/>
      <c r="CM286" s="192" t="n"/>
    </row>
    <row r="287">
      <c r="A287" s="177" t="n"/>
      <c r="B287" s="178" t="n"/>
      <c r="C287" s="178" t="n"/>
      <c r="D287" s="179" t="n"/>
      <c r="E287" s="180" t="n"/>
      <c r="F287" s="181" t="n"/>
      <c r="G287" s="182" t="n"/>
      <c r="H287" s="105" t="n"/>
      <c r="I287" s="196">
        <f>F287</f>
        <v/>
      </c>
      <c r="J287" s="184" t="n"/>
      <c r="K287" s="185" t="n"/>
      <c r="L287" s="8" t="n"/>
      <c r="M287" s="71">
        <f>L287</f>
        <v/>
      </c>
      <c r="N287" s="71" t="n"/>
      <c r="O287" s="101" t="n"/>
      <c r="P287" s="9">
        <f>I287-M287</f>
        <v/>
      </c>
      <c r="Q287" s="9">
        <f>IF(LEFT(B287,4)&lt;&gt;"    ",0,BN287)</f>
        <v/>
      </c>
      <c r="R287" s="9">
        <f>+P287-Q287</f>
        <v/>
      </c>
      <c r="S287" s="281" t="n"/>
      <c r="T287" s="10" t="n"/>
      <c r="U287" s="23">
        <f>IF(LEFT(B287,4)&lt;&gt;"    ","",IF(M287&lt;&gt;0,X287/M287,0))</f>
        <v/>
      </c>
      <c r="V287" s="11">
        <f>IF(LEFT(B287,4)&lt;&gt;"    ","",U287*I287)</f>
        <v/>
      </c>
      <c r="W287" s="11">
        <f>IF(LEFT(B287,4)&lt;&gt;"    ","",X287+Z287)</f>
        <v/>
      </c>
      <c r="X287" s="8" t="n"/>
      <c r="Y287" s="9">
        <f>IF(LEFT(B287,4)&lt;&gt;"    ",0,IF(P287&lt;0,P287,IF(U287&gt;0.3,W287-X287,0)))</f>
        <v/>
      </c>
      <c r="Z287" s="71">
        <f>Y287</f>
        <v/>
      </c>
      <c r="AA287" s="71" t="n"/>
      <c r="AB287" s="109" t="n"/>
      <c r="AC287" s="9">
        <f>IF(LEFT(B287,4)&lt;&gt;"    ",0,BK287)</f>
        <v/>
      </c>
      <c r="AD287" s="9">
        <f>Z287-AC287</f>
        <v/>
      </c>
      <c r="AE287" s="10" t="n"/>
      <c r="AF287" s="24" t="n"/>
      <c r="AG287" s="11" t="n"/>
      <c r="AH287" s="8" t="n"/>
      <c r="AI287" s="9">
        <f>IF(LEFT(B287,4)&lt;&gt;"    ","",AG287-AH287)</f>
        <v/>
      </c>
      <c r="AJ287" s="9" t="n"/>
      <c r="AK287" s="10" t="n"/>
      <c r="AL287" s="11">
        <f>IF(LEFT(B287,4)&lt;&gt;"    ","",W287-AG287)</f>
        <v/>
      </c>
      <c r="AM287" s="8">
        <f>IF(LEFT(B287,4)&lt;&gt;"    ","",X287-AH287)</f>
        <v/>
      </c>
      <c r="AN287" s="9">
        <f>IF(LEFT(B287,4)&lt;&gt;"    ","",Y287-AI287)</f>
        <v/>
      </c>
      <c r="AO287" s="9">
        <f>IF(LEFT(B287,4)&lt;&gt;"    ","",Z287-AJ287)</f>
        <v/>
      </c>
      <c r="AP287" s="10" t="n"/>
      <c r="AQ287" s="25">
        <f>IF(LEFT(B287,4)&lt;&gt;"    ","",I287-W287)</f>
        <v/>
      </c>
      <c r="AR287" s="25">
        <f>M287-X287</f>
        <v/>
      </c>
      <c r="AS287" s="25">
        <f>IF(LEFT(B287,4)&lt;&gt;"    ","",P287-Z287)</f>
        <v/>
      </c>
      <c r="AT287" s="10" t="n"/>
      <c r="AU287" s="12" t="n"/>
      <c r="AV287" s="12">
        <f>IF(LEFT(B287,4)&lt;&gt;"    ","",IF(W287-AU287&gt;=0,W287-AU287," "))</f>
        <v/>
      </c>
      <c r="AW287" s="12">
        <f>IF(LEFT(B287,4)&lt;&gt;"    ","",IF(AU287-W287&gt;=0,AU287-W287," "))</f>
        <v/>
      </c>
      <c r="AX287" s="186" t="n"/>
      <c r="AY287" s="187" t="n"/>
      <c r="AZ287" s="186" t="n"/>
      <c r="BA287" s="186" t="n"/>
      <c r="BB287" s="188" t="n"/>
      <c r="BC287" s="187" t="n"/>
      <c r="BD287" s="187" t="n"/>
      <c r="BE287" s="186" t="n"/>
      <c r="BF287" s="186" t="n"/>
      <c r="BG287" s="186" t="n"/>
      <c r="BH287" s="186" t="n"/>
      <c r="BI287" s="186" t="n"/>
      <c r="BJ287" s="186" t="n"/>
      <c r="BK287" s="186" t="n"/>
      <c r="BL287" s="186" t="n"/>
      <c r="BM287" s="186" t="n"/>
      <c r="BN287" s="186" t="n"/>
      <c r="BO287" s="186" t="n"/>
      <c r="BP287" s="186" t="n"/>
      <c r="BQ287" s="186" t="n"/>
      <c r="BR287" s="186" t="n"/>
      <c r="BS287" s="186" t="n"/>
      <c r="BT287" s="186" t="n"/>
      <c r="BU287" s="186" t="n"/>
      <c r="BV287" s="186" t="n"/>
      <c r="BW287" s="186" t="n"/>
      <c r="BX287" s="186" t="n"/>
      <c r="BY287" s="186" t="n"/>
      <c r="BZ287" s="186" t="n"/>
      <c r="CA287" s="186" t="n"/>
      <c r="CB287" s="186" t="n"/>
      <c r="CC287" s="190" t="n"/>
      <c r="CD287" s="186" t="n"/>
      <c r="CE287" s="186" t="n"/>
      <c r="CF287" s="186" t="n"/>
      <c r="CG287" s="186" t="n"/>
      <c r="CH287" s="186" t="n"/>
      <c r="CI287" s="191" t="n"/>
      <c r="CJ287" s="192" t="n"/>
      <c r="CK287" s="192" t="n"/>
      <c r="CL287" s="192" t="n"/>
      <c r="CM287" s="192" t="n"/>
    </row>
    <row r="288">
      <c r="A288" s="177" t="n"/>
      <c r="B288" s="178" t="n"/>
      <c r="C288" s="178" t="n"/>
      <c r="D288" s="179" t="n"/>
      <c r="E288" s="180" t="n"/>
      <c r="F288" s="181" t="n"/>
      <c r="G288" s="182" t="n"/>
      <c r="H288" s="105" t="n"/>
      <c r="I288" s="196">
        <f>F288</f>
        <v/>
      </c>
      <c r="J288" s="184" t="n"/>
      <c r="K288" s="185" t="n"/>
      <c r="L288" s="8" t="n"/>
      <c r="M288" s="71">
        <f>L288</f>
        <v/>
      </c>
      <c r="N288" s="71" t="n"/>
      <c r="O288" s="101" t="n"/>
      <c r="P288" s="9">
        <f>I288-M288</f>
        <v/>
      </c>
      <c r="Q288" s="9">
        <f>IF(LEFT(B288,4)&lt;&gt;"    ",0,BN288)</f>
        <v/>
      </c>
      <c r="R288" s="9">
        <f>+P288-Q288</f>
        <v/>
      </c>
      <c r="S288" s="281" t="n"/>
      <c r="T288" s="10" t="n"/>
      <c r="U288" s="23">
        <f>IF(LEFT(B288,4)&lt;&gt;"    ","",IF(M288&lt;&gt;0,X288/M288,0))</f>
        <v/>
      </c>
      <c r="V288" s="11">
        <f>IF(LEFT(B288,4)&lt;&gt;"    ","",U288*I288)</f>
        <v/>
      </c>
      <c r="W288" s="11">
        <f>IF(LEFT(B288,4)&lt;&gt;"    ","",X288+Z288)</f>
        <v/>
      </c>
      <c r="X288" s="8" t="n"/>
      <c r="Y288" s="9">
        <f>IF(LEFT(B288,4)&lt;&gt;"    ",0,IF(P288&lt;0,P288,IF(U288&gt;0.3,W288-X288,0)))</f>
        <v/>
      </c>
      <c r="Z288" s="71">
        <f>Y288</f>
        <v/>
      </c>
      <c r="AA288" s="71" t="n"/>
      <c r="AB288" s="109" t="n"/>
      <c r="AC288" s="9">
        <f>IF(LEFT(B288,4)&lt;&gt;"    ",0,BK288)</f>
        <v/>
      </c>
      <c r="AD288" s="9">
        <f>Z288-AC288</f>
        <v/>
      </c>
      <c r="AE288" s="10" t="n"/>
      <c r="AF288" s="24" t="n"/>
      <c r="AG288" s="11" t="n"/>
      <c r="AH288" s="8" t="n"/>
      <c r="AI288" s="9">
        <f>IF(LEFT(B288,4)&lt;&gt;"    ","",AG288-AH288)</f>
        <v/>
      </c>
      <c r="AJ288" s="9" t="n"/>
      <c r="AK288" s="10" t="n"/>
      <c r="AL288" s="11">
        <f>IF(LEFT(B288,4)&lt;&gt;"    ","",W288-AG288)</f>
        <v/>
      </c>
      <c r="AM288" s="8">
        <f>IF(LEFT(B288,4)&lt;&gt;"    ","",X288-AH288)</f>
        <v/>
      </c>
      <c r="AN288" s="9">
        <f>IF(LEFT(B288,4)&lt;&gt;"    ","",Y288-AI288)</f>
        <v/>
      </c>
      <c r="AO288" s="9">
        <f>IF(LEFT(B288,4)&lt;&gt;"    ","",Z288-AJ288)</f>
        <v/>
      </c>
      <c r="AP288" s="10" t="n"/>
      <c r="AQ288" s="25">
        <f>IF(LEFT(B288,4)&lt;&gt;"    ","",I288-W288)</f>
        <v/>
      </c>
      <c r="AR288" s="25">
        <f>M288-X288</f>
        <v/>
      </c>
      <c r="AS288" s="25">
        <f>IF(LEFT(B288,4)&lt;&gt;"    ","",P288-Z288)</f>
        <v/>
      </c>
      <c r="AT288" s="10" t="n"/>
      <c r="AU288" s="12" t="n"/>
      <c r="AV288" s="12">
        <f>IF(LEFT(B288,4)&lt;&gt;"    ","",IF(W288-AU288&gt;=0,W288-AU288," "))</f>
        <v/>
      </c>
      <c r="AW288" s="12">
        <f>IF(LEFT(B288,4)&lt;&gt;"    ","",IF(AU288-W288&gt;=0,AU288-W288," "))</f>
        <v/>
      </c>
      <c r="AX288" s="186" t="n"/>
      <c r="AY288" s="187" t="n"/>
      <c r="AZ288" s="186" t="n"/>
      <c r="BA288" s="186" t="n"/>
      <c r="BB288" s="188" t="n"/>
      <c r="BC288" s="187" t="n"/>
      <c r="BD288" s="187" t="n"/>
      <c r="BE288" s="186" t="n"/>
      <c r="BF288" s="186" t="n"/>
      <c r="BG288" s="186" t="n"/>
      <c r="BH288" s="186" t="n"/>
      <c r="BI288" s="186" t="n"/>
      <c r="BJ288" s="186" t="n"/>
      <c r="BK288" s="186" t="n"/>
      <c r="BL288" s="186" t="n"/>
      <c r="BM288" s="186" t="n"/>
      <c r="BN288" s="186" t="n"/>
      <c r="BO288" s="186" t="n"/>
      <c r="BP288" s="186" t="n"/>
      <c r="BQ288" s="186" t="n"/>
      <c r="BR288" s="186" t="n"/>
      <c r="BS288" s="186" t="n"/>
      <c r="BT288" s="186" t="n"/>
      <c r="BU288" s="186" t="n"/>
      <c r="BV288" s="186" t="n"/>
      <c r="BW288" s="186" t="n"/>
      <c r="BX288" s="186" t="n"/>
      <c r="BY288" s="186" t="n"/>
      <c r="BZ288" s="186" t="n"/>
      <c r="CA288" s="186" t="n"/>
      <c r="CB288" s="186" t="n"/>
      <c r="CC288" s="190" t="n"/>
      <c r="CD288" s="186" t="n"/>
      <c r="CE288" s="186" t="n"/>
      <c r="CF288" s="186" t="n"/>
      <c r="CG288" s="186" t="n"/>
      <c r="CH288" s="186" t="n"/>
      <c r="CI288" s="191" t="n"/>
      <c r="CJ288" s="192" t="n"/>
      <c r="CK288" s="192" t="n"/>
      <c r="CL288" s="192" t="n"/>
      <c r="CM288" s="192" t="n"/>
    </row>
    <row r="289">
      <c r="A289" s="177" t="n"/>
      <c r="B289" s="178" t="n"/>
      <c r="C289" s="178" t="n"/>
      <c r="D289" s="179" t="n"/>
      <c r="E289" s="180" t="n"/>
      <c r="F289" s="181" t="n"/>
      <c r="G289" s="182" t="n"/>
      <c r="H289" s="105" t="n"/>
      <c r="I289" s="196">
        <f>F289</f>
        <v/>
      </c>
      <c r="J289" s="184" t="n"/>
      <c r="K289" s="185" t="n"/>
      <c r="L289" s="8" t="n"/>
      <c r="M289" s="71">
        <f>L289</f>
        <v/>
      </c>
      <c r="N289" s="71" t="n"/>
      <c r="O289" s="101" t="n"/>
      <c r="P289" s="9">
        <f>I289-M289</f>
        <v/>
      </c>
      <c r="Q289" s="9">
        <f>IF(LEFT(B289,4)&lt;&gt;"    ",0,BN289)</f>
        <v/>
      </c>
      <c r="R289" s="9">
        <f>+P289-Q289</f>
        <v/>
      </c>
      <c r="S289" s="281" t="n"/>
      <c r="T289" s="10" t="n"/>
      <c r="U289" s="23">
        <f>IF(LEFT(B289,4)&lt;&gt;"    ","",IF(M289&lt;&gt;0,X289/M289,0))</f>
        <v/>
      </c>
      <c r="V289" s="11">
        <f>IF(LEFT(B289,4)&lt;&gt;"    ","",U289*I289)</f>
        <v/>
      </c>
      <c r="W289" s="11">
        <f>IF(LEFT(B289,4)&lt;&gt;"    ","",X289+Z289)</f>
        <v/>
      </c>
      <c r="X289" s="8" t="n"/>
      <c r="Y289" s="9">
        <f>IF(LEFT(B289,4)&lt;&gt;"    ",0,IF(P289&lt;0,P289,IF(U289&gt;0.3,W289-X289,0)))</f>
        <v/>
      </c>
      <c r="Z289" s="71">
        <f>Y289</f>
        <v/>
      </c>
      <c r="AA289" s="71" t="n"/>
      <c r="AB289" s="109" t="n"/>
      <c r="AC289" s="9">
        <f>IF(LEFT(B289,4)&lt;&gt;"    ",0,BK289)</f>
        <v/>
      </c>
      <c r="AD289" s="9">
        <f>Z289-AC289</f>
        <v/>
      </c>
      <c r="AE289" s="10" t="n"/>
      <c r="AF289" s="24" t="n"/>
      <c r="AG289" s="11" t="n"/>
      <c r="AH289" s="8" t="n"/>
      <c r="AI289" s="9">
        <f>IF(LEFT(B289,4)&lt;&gt;"    ","",AG289-AH289)</f>
        <v/>
      </c>
      <c r="AJ289" s="9" t="n"/>
      <c r="AK289" s="10" t="n"/>
      <c r="AL289" s="11">
        <f>IF(LEFT(B289,4)&lt;&gt;"    ","",W289-AG289)</f>
        <v/>
      </c>
      <c r="AM289" s="8">
        <f>IF(LEFT(B289,4)&lt;&gt;"    ","",X289-AH289)</f>
        <v/>
      </c>
      <c r="AN289" s="9">
        <f>IF(LEFT(B289,4)&lt;&gt;"    ","",Y289-AI289)</f>
        <v/>
      </c>
      <c r="AO289" s="9">
        <f>IF(LEFT(B289,4)&lt;&gt;"    ","",Z289-AJ289)</f>
        <v/>
      </c>
      <c r="AP289" s="10" t="n"/>
      <c r="AQ289" s="25">
        <f>IF(LEFT(B289,4)&lt;&gt;"    ","",I289-W289)</f>
        <v/>
      </c>
      <c r="AR289" s="25">
        <f>M289-X289</f>
        <v/>
      </c>
      <c r="AS289" s="25">
        <f>IF(LEFT(B289,4)&lt;&gt;"    ","",P289-Z289)</f>
        <v/>
      </c>
      <c r="AT289" s="10" t="n"/>
      <c r="AU289" s="12" t="n"/>
      <c r="AV289" s="12">
        <f>IF(LEFT(B289,4)&lt;&gt;"    ","",IF(W289-AU289&gt;=0,W289-AU289," "))</f>
        <v/>
      </c>
      <c r="AW289" s="12">
        <f>IF(LEFT(B289,4)&lt;&gt;"    ","",IF(AU289-W289&gt;=0,AU289-W289," "))</f>
        <v/>
      </c>
      <c r="AX289" s="186" t="n"/>
      <c r="AY289" s="187" t="n"/>
      <c r="AZ289" s="186" t="n"/>
      <c r="BA289" s="186" t="n"/>
      <c r="BB289" s="188" t="n"/>
      <c r="BC289" s="187" t="n"/>
      <c r="BD289" s="187" t="n"/>
      <c r="BE289" s="186" t="n"/>
      <c r="BF289" s="186" t="n"/>
      <c r="BG289" s="186" t="n"/>
      <c r="BH289" s="186" t="n"/>
      <c r="BI289" s="186" t="n"/>
      <c r="BJ289" s="186" t="n"/>
      <c r="BK289" s="186" t="n"/>
      <c r="BL289" s="186" t="n"/>
      <c r="BM289" s="186" t="n"/>
      <c r="BN289" s="186" t="n"/>
      <c r="BO289" s="186" t="n"/>
      <c r="BP289" s="186" t="n"/>
      <c r="BQ289" s="186" t="n"/>
      <c r="BR289" s="186" t="n"/>
      <c r="BS289" s="186" t="n"/>
      <c r="BT289" s="186" t="n"/>
      <c r="BU289" s="186" t="n"/>
      <c r="BV289" s="186" t="n"/>
      <c r="BW289" s="186" t="n"/>
      <c r="BX289" s="186" t="n"/>
      <c r="BY289" s="186" t="n"/>
      <c r="BZ289" s="186" t="n"/>
      <c r="CA289" s="186" t="n"/>
      <c r="CB289" s="186" t="n"/>
      <c r="CC289" s="190" t="n"/>
      <c r="CD289" s="186" t="n"/>
      <c r="CE289" s="186" t="n"/>
      <c r="CF289" s="186" t="n"/>
      <c r="CG289" s="186" t="n"/>
      <c r="CH289" s="186" t="n"/>
      <c r="CI289" s="191" t="n"/>
      <c r="CJ289" s="192" t="n"/>
      <c r="CK289" s="192" t="n"/>
      <c r="CL289" s="192" t="n"/>
      <c r="CM289" s="192" t="n"/>
    </row>
    <row r="290">
      <c r="A290" s="177" t="n"/>
      <c r="B290" s="178" t="n"/>
      <c r="C290" s="178" t="n"/>
      <c r="D290" s="179" t="n"/>
      <c r="E290" s="180" t="n"/>
      <c r="F290" s="181" t="n"/>
      <c r="G290" s="182" t="n"/>
      <c r="H290" s="105" t="n"/>
      <c r="I290" s="196">
        <f>F290</f>
        <v/>
      </c>
      <c r="J290" s="184" t="n"/>
      <c r="K290" s="185" t="n"/>
      <c r="L290" s="8" t="n"/>
      <c r="M290" s="71">
        <f>L290</f>
        <v/>
      </c>
      <c r="N290" s="71" t="n"/>
      <c r="O290" s="101" t="n"/>
      <c r="P290" s="9">
        <f>I290-M290</f>
        <v/>
      </c>
      <c r="Q290" s="9">
        <f>IF(LEFT(B290,4)&lt;&gt;"    ",0,BN290)</f>
        <v/>
      </c>
      <c r="R290" s="9">
        <f>+P290-Q290</f>
        <v/>
      </c>
      <c r="S290" s="281" t="n"/>
      <c r="T290" s="10" t="n"/>
      <c r="U290" s="23">
        <f>IF(LEFT(B290,4)&lt;&gt;"    ","",IF(M290&lt;&gt;0,X290/M290,0))</f>
        <v/>
      </c>
      <c r="V290" s="11">
        <f>IF(LEFT(B290,4)&lt;&gt;"    ","",U290*I290)</f>
        <v/>
      </c>
      <c r="W290" s="11">
        <f>IF(LEFT(B290,4)&lt;&gt;"    ","",X290+Z290)</f>
        <v/>
      </c>
      <c r="X290" s="8" t="n"/>
      <c r="Y290" s="9">
        <f>IF(LEFT(B290,4)&lt;&gt;"    ",0,IF(P290&lt;0,P290,IF(U290&gt;0.3,W290-X290,0)))</f>
        <v/>
      </c>
      <c r="Z290" s="71">
        <f>Y290</f>
        <v/>
      </c>
      <c r="AA290" s="71" t="n"/>
      <c r="AB290" s="109" t="n"/>
      <c r="AC290" s="9">
        <f>IF(LEFT(B290,4)&lt;&gt;"    ",0,BK290)</f>
        <v/>
      </c>
      <c r="AD290" s="9">
        <f>Z290-AC290</f>
        <v/>
      </c>
      <c r="AE290" s="10" t="n"/>
      <c r="AF290" s="24" t="n"/>
      <c r="AG290" s="11" t="n"/>
      <c r="AH290" s="8" t="n"/>
      <c r="AI290" s="9">
        <f>IF(LEFT(B290,4)&lt;&gt;"    ","",AG290-AH290)</f>
        <v/>
      </c>
      <c r="AJ290" s="9" t="n"/>
      <c r="AK290" s="10" t="n"/>
      <c r="AL290" s="11">
        <f>IF(LEFT(B290,4)&lt;&gt;"    ","",W290-AG290)</f>
        <v/>
      </c>
      <c r="AM290" s="8">
        <f>IF(LEFT(B290,4)&lt;&gt;"    ","",X290-AH290)</f>
        <v/>
      </c>
      <c r="AN290" s="9">
        <f>IF(LEFT(B290,4)&lt;&gt;"    ","",Y290-AI290)</f>
        <v/>
      </c>
      <c r="AO290" s="9">
        <f>IF(LEFT(B290,4)&lt;&gt;"    ","",Z290-AJ290)</f>
        <v/>
      </c>
      <c r="AP290" s="10" t="n"/>
      <c r="AQ290" s="25">
        <f>IF(LEFT(B290,4)&lt;&gt;"    ","",I290-W290)</f>
        <v/>
      </c>
      <c r="AR290" s="25">
        <f>M290-X290</f>
        <v/>
      </c>
      <c r="AS290" s="25">
        <f>IF(LEFT(B290,4)&lt;&gt;"    ","",P290-Z290)</f>
        <v/>
      </c>
      <c r="AT290" s="10" t="n"/>
      <c r="AU290" s="12" t="n"/>
      <c r="AV290" s="12">
        <f>IF(LEFT(B290,4)&lt;&gt;"    ","",IF(W290-AU290&gt;=0,W290-AU290," "))</f>
        <v/>
      </c>
      <c r="AW290" s="12">
        <f>IF(LEFT(B290,4)&lt;&gt;"    ","",IF(AU290-W290&gt;=0,AU290-W290," "))</f>
        <v/>
      </c>
      <c r="AX290" s="186" t="n"/>
      <c r="AY290" s="187" t="n"/>
      <c r="AZ290" s="186" t="n"/>
      <c r="BA290" s="186" t="n"/>
      <c r="BB290" s="188" t="n"/>
      <c r="BC290" s="187" t="n"/>
      <c r="BD290" s="187" t="n"/>
      <c r="BE290" s="186" t="n"/>
      <c r="BF290" s="186" t="n"/>
      <c r="BG290" s="186" t="n"/>
      <c r="BH290" s="186" t="n"/>
      <c r="BI290" s="186" t="n"/>
      <c r="BJ290" s="186" t="n"/>
      <c r="BK290" s="186" t="n"/>
      <c r="BL290" s="186" t="n"/>
      <c r="BM290" s="186" t="n"/>
      <c r="BN290" s="186" t="n"/>
      <c r="BO290" s="186" t="n"/>
      <c r="BP290" s="186" t="n"/>
      <c r="BQ290" s="186" t="n"/>
      <c r="BR290" s="186" t="n"/>
      <c r="BS290" s="186" t="n"/>
      <c r="BT290" s="186" t="n"/>
      <c r="BU290" s="186" t="n"/>
      <c r="BV290" s="186" t="n"/>
      <c r="BW290" s="186" t="n"/>
      <c r="BX290" s="186" t="n"/>
      <c r="BY290" s="186" t="n"/>
      <c r="BZ290" s="186" t="n"/>
      <c r="CA290" s="186" t="n"/>
      <c r="CB290" s="186" t="n"/>
      <c r="CC290" s="190" t="n"/>
      <c r="CD290" s="186" t="n"/>
      <c r="CE290" s="186" t="n"/>
      <c r="CF290" s="186" t="n"/>
      <c r="CG290" s="186" t="n"/>
      <c r="CH290" s="186" t="n"/>
      <c r="CI290" s="191" t="n"/>
      <c r="CJ290" s="192" t="n"/>
      <c r="CK290" s="192" t="n"/>
      <c r="CL290" s="192" t="n"/>
      <c r="CM290" s="192" t="n"/>
    </row>
    <row r="291">
      <c r="A291" s="177" t="n"/>
      <c r="B291" s="178" t="n"/>
      <c r="C291" s="178" t="n"/>
      <c r="D291" s="179" t="n"/>
      <c r="E291" s="180" t="n"/>
      <c r="F291" s="181" t="n"/>
      <c r="G291" s="182" t="n"/>
      <c r="H291" s="105" t="n"/>
      <c r="I291" s="196">
        <f>F291</f>
        <v/>
      </c>
      <c r="J291" s="184" t="n"/>
      <c r="K291" s="185" t="n"/>
      <c r="L291" s="8" t="n"/>
      <c r="M291" s="71">
        <f>L291</f>
        <v/>
      </c>
      <c r="N291" s="71" t="n"/>
      <c r="O291" s="101" t="n"/>
      <c r="P291" s="9">
        <f>I291-M291</f>
        <v/>
      </c>
      <c r="Q291" s="9">
        <f>IF(LEFT(B291,4)&lt;&gt;"    ",0,BN291)</f>
        <v/>
      </c>
      <c r="R291" s="9">
        <f>+P291-Q291</f>
        <v/>
      </c>
      <c r="S291" s="281" t="n"/>
      <c r="T291" s="10" t="n"/>
      <c r="U291" s="23">
        <f>IF(LEFT(B291,4)&lt;&gt;"    ","",IF(M291&lt;&gt;0,X291/M291,0))</f>
        <v/>
      </c>
      <c r="V291" s="11">
        <f>IF(LEFT(B291,4)&lt;&gt;"    ","",U291*I291)</f>
        <v/>
      </c>
      <c r="W291" s="11">
        <f>IF(LEFT(B291,4)&lt;&gt;"    ","",X291+Z291)</f>
        <v/>
      </c>
      <c r="X291" s="8" t="n"/>
      <c r="Y291" s="9">
        <f>IF(LEFT(B291,4)&lt;&gt;"    ",0,IF(P291&lt;0,P291,IF(U291&gt;0.3,W291-X291,0)))</f>
        <v/>
      </c>
      <c r="Z291" s="71">
        <f>Y291</f>
        <v/>
      </c>
      <c r="AA291" s="71" t="n"/>
      <c r="AB291" s="109" t="n"/>
      <c r="AC291" s="9">
        <f>IF(LEFT(B291,4)&lt;&gt;"    ",0,BK291)</f>
        <v/>
      </c>
      <c r="AD291" s="9">
        <f>Z291-AC291</f>
        <v/>
      </c>
      <c r="AE291" s="10" t="n"/>
      <c r="AF291" s="24" t="n"/>
      <c r="AG291" s="11" t="n"/>
      <c r="AH291" s="8" t="n"/>
      <c r="AI291" s="9">
        <f>IF(LEFT(B291,4)&lt;&gt;"    ","",AG291-AH291)</f>
        <v/>
      </c>
      <c r="AJ291" s="9" t="n"/>
      <c r="AK291" s="10" t="n"/>
      <c r="AL291" s="11">
        <f>IF(LEFT(B291,4)&lt;&gt;"    ","",W291-AG291)</f>
        <v/>
      </c>
      <c r="AM291" s="8">
        <f>IF(LEFT(B291,4)&lt;&gt;"    ","",X291-AH291)</f>
        <v/>
      </c>
      <c r="AN291" s="9">
        <f>IF(LEFT(B291,4)&lt;&gt;"    ","",Y291-AI291)</f>
        <v/>
      </c>
      <c r="AO291" s="9">
        <f>IF(LEFT(B291,4)&lt;&gt;"    ","",Z291-AJ291)</f>
        <v/>
      </c>
      <c r="AP291" s="10" t="n"/>
      <c r="AQ291" s="25">
        <f>IF(LEFT(B291,4)&lt;&gt;"    ","",I291-W291)</f>
        <v/>
      </c>
      <c r="AR291" s="25">
        <f>M291-X291</f>
        <v/>
      </c>
      <c r="AS291" s="25">
        <f>IF(LEFT(B291,4)&lt;&gt;"    ","",P291-Z291)</f>
        <v/>
      </c>
      <c r="AT291" s="10" t="n"/>
      <c r="AU291" s="12" t="n"/>
      <c r="AV291" s="12">
        <f>IF(LEFT(B291,4)&lt;&gt;"    ","",IF(W291-AU291&gt;=0,W291-AU291," "))</f>
        <v/>
      </c>
      <c r="AW291" s="12">
        <f>IF(LEFT(B291,4)&lt;&gt;"    ","",IF(AU291-W291&gt;=0,AU291-W291," "))</f>
        <v/>
      </c>
      <c r="AX291" s="186" t="n"/>
      <c r="AY291" s="187" t="n"/>
      <c r="AZ291" s="186" t="n"/>
      <c r="BA291" s="186" t="n"/>
      <c r="BB291" s="188" t="n"/>
      <c r="BC291" s="187" t="n"/>
      <c r="BD291" s="187" t="n"/>
      <c r="BE291" s="186" t="n"/>
      <c r="BF291" s="186" t="n"/>
      <c r="BG291" s="186" t="n"/>
      <c r="BH291" s="186" t="n"/>
      <c r="BI291" s="186" t="n"/>
      <c r="BJ291" s="186" t="n"/>
      <c r="BK291" s="186" t="n"/>
      <c r="BL291" s="186" t="n"/>
      <c r="BM291" s="186" t="n"/>
      <c r="BN291" s="186" t="n"/>
      <c r="BO291" s="186" t="n"/>
      <c r="BP291" s="186" t="n"/>
      <c r="BQ291" s="186" t="n"/>
      <c r="BR291" s="186" t="n"/>
      <c r="BS291" s="186" t="n"/>
      <c r="BT291" s="186" t="n"/>
      <c r="BU291" s="186" t="n"/>
      <c r="BV291" s="186" t="n"/>
      <c r="BW291" s="186" t="n"/>
      <c r="BX291" s="186" t="n"/>
      <c r="BY291" s="186" t="n"/>
      <c r="BZ291" s="186" t="n"/>
      <c r="CA291" s="186" t="n"/>
      <c r="CB291" s="186" t="n"/>
      <c r="CC291" s="190" t="n"/>
      <c r="CD291" s="186" t="n"/>
      <c r="CE291" s="186" t="n"/>
      <c r="CF291" s="186" t="n"/>
      <c r="CG291" s="186" t="n"/>
      <c r="CH291" s="186" t="n"/>
      <c r="CI291" s="191" t="n"/>
      <c r="CJ291" s="192" t="n"/>
      <c r="CK291" s="192" t="n"/>
      <c r="CL291" s="192" t="n"/>
      <c r="CM291" s="192" t="n"/>
    </row>
    <row r="292">
      <c r="A292" s="177" t="n"/>
      <c r="B292" s="178" t="n"/>
      <c r="C292" s="178" t="n"/>
      <c r="D292" s="179" t="n"/>
      <c r="E292" s="180" t="n"/>
      <c r="F292" s="181" t="n"/>
      <c r="G292" s="182" t="n"/>
      <c r="H292" s="105" t="n"/>
      <c r="I292" s="196">
        <f>F292</f>
        <v/>
      </c>
      <c r="J292" s="184" t="n"/>
      <c r="K292" s="185" t="n"/>
      <c r="L292" s="8" t="n"/>
      <c r="M292" s="71">
        <f>L292</f>
        <v/>
      </c>
      <c r="N292" s="71" t="n"/>
      <c r="O292" s="101" t="n"/>
      <c r="P292" s="9">
        <f>I292-M292</f>
        <v/>
      </c>
      <c r="Q292" s="9">
        <f>IF(LEFT(B292,4)&lt;&gt;"    ",0,BN292)</f>
        <v/>
      </c>
      <c r="R292" s="9">
        <f>+P292-Q292</f>
        <v/>
      </c>
      <c r="S292" s="281" t="n"/>
      <c r="T292" s="10" t="n"/>
      <c r="U292" s="23">
        <f>IF(LEFT(B292,4)&lt;&gt;"    ","",IF(M292&lt;&gt;0,X292/M292,0))</f>
        <v/>
      </c>
      <c r="V292" s="11">
        <f>IF(LEFT(B292,4)&lt;&gt;"    ","",U292*I292)</f>
        <v/>
      </c>
      <c r="W292" s="11">
        <f>IF(LEFT(B292,4)&lt;&gt;"    ","",X292+Z292)</f>
        <v/>
      </c>
      <c r="X292" s="8" t="n"/>
      <c r="Y292" s="9">
        <f>IF(LEFT(B292,4)&lt;&gt;"    ",0,IF(P292&lt;0,P292,IF(U292&gt;0.3,W292-X292,0)))</f>
        <v/>
      </c>
      <c r="Z292" s="71">
        <f>Y292</f>
        <v/>
      </c>
      <c r="AA292" s="71" t="n"/>
      <c r="AB292" s="109" t="n"/>
      <c r="AC292" s="9">
        <f>IF(LEFT(B292,4)&lt;&gt;"    ",0,BK292)</f>
        <v/>
      </c>
      <c r="AD292" s="9">
        <f>Z292-AC292</f>
        <v/>
      </c>
      <c r="AE292" s="10" t="n"/>
      <c r="AF292" s="24" t="n"/>
      <c r="AG292" s="11" t="n"/>
      <c r="AH292" s="8" t="n"/>
      <c r="AI292" s="9">
        <f>IF(LEFT(B292,4)&lt;&gt;"    ","",AG292-AH292)</f>
        <v/>
      </c>
      <c r="AJ292" s="9" t="n"/>
      <c r="AK292" s="10" t="n"/>
      <c r="AL292" s="11">
        <f>IF(LEFT(B292,4)&lt;&gt;"    ","",W292-AG292)</f>
        <v/>
      </c>
      <c r="AM292" s="8">
        <f>IF(LEFT(B292,4)&lt;&gt;"    ","",X292-AH292)</f>
        <v/>
      </c>
      <c r="AN292" s="9">
        <f>IF(LEFT(B292,4)&lt;&gt;"    ","",Y292-AI292)</f>
        <v/>
      </c>
      <c r="AO292" s="9">
        <f>IF(LEFT(B292,4)&lt;&gt;"    ","",Z292-AJ292)</f>
        <v/>
      </c>
      <c r="AP292" s="10" t="n"/>
      <c r="AQ292" s="25">
        <f>IF(LEFT(B292,4)&lt;&gt;"    ","",I292-W292)</f>
        <v/>
      </c>
      <c r="AR292" s="25">
        <f>M292-X292</f>
        <v/>
      </c>
      <c r="AS292" s="25">
        <f>IF(LEFT(B292,4)&lt;&gt;"    ","",P292-Z292)</f>
        <v/>
      </c>
      <c r="AT292" s="10" t="n"/>
      <c r="AU292" s="12" t="n"/>
      <c r="AV292" s="12">
        <f>IF(LEFT(B292,4)&lt;&gt;"    ","",IF(W292-AU292&gt;=0,W292-AU292," "))</f>
        <v/>
      </c>
      <c r="AW292" s="12">
        <f>IF(LEFT(B292,4)&lt;&gt;"    ","",IF(AU292-W292&gt;=0,AU292-W292," "))</f>
        <v/>
      </c>
      <c r="AX292" s="186" t="n"/>
      <c r="AY292" s="187" t="n"/>
      <c r="AZ292" s="186" t="n"/>
      <c r="BA292" s="186" t="n"/>
      <c r="BB292" s="188" t="n"/>
      <c r="BC292" s="187" t="n"/>
      <c r="BD292" s="187" t="n"/>
      <c r="BE292" s="186" t="n"/>
      <c r="BF292" s="186" t="n"/>
      <c r="BG292" s="186" t="n"/>
      <c r="BH292" s="186" t="n"/>
      <c r="BI292" s="186" t="n"/>
      <c r="BJ292" s="186" t="n"/>
      <c r="BK292" s="186" t="n"/>
      <c r="BL292" s="186" t="n"/>
      <c r="BM292" s="186" t="n"/>
      <c r="BN292" s="186" t="n"/>
      <c r="BO292" s="186" t="n"/>
      <c r="BP292" s="186" t="n"/>
      <c r="BQ292" s="186" t="n"/>
      <c r="BR292" s="186" t="n"/>
      <c r="BS292" s="186" t="n"/>
      <c r="BT292" s="186" t="n"/>
      <c r="BU292" s="186" t="n"/>
      <c r="BV292" s="186" t="n"/>
      <c r="BW292" s="186" t="n"/>
      <c r="BX292" s="186" t="n"/>
      <c r="BY292" s="186" t="n"/>
      <c r="BZ292" s="186" t="n"/>
      <c r="CA292" s="186" t="n"/>
      <c r="CB292" s="186" t="n"/>
      <c r="CC292" s="190" t="n"/>
      <c r="CD292" s="186" t="n"/>
      <c r="CE292" s="186" t="n"/>
      <c r="CF292" s="186" t="n"/>
      <c r="CG292" s="186" t="n"/>
      <c r="CH292" s="186" t="n"/>
      <c r="CI292" s="191" t="n"/>
      <c r="CJ292" s="192" t="n"/>
      <c r="CK292" s="192" t="n"/>
      <c r="CL292" s="192" t="n"/>
      <c r="CM292" s="192" t="n"/>
    </row>
    <row r="293">
      <c r="A293" s="177" t="n"/>
      <c r="B293" s="178" t="n"/>
      <c r="C293" s="178" t="n"/>
      <c r="D293" s="179" t="n"/>
      <c r="E293" s="180" t="n"/>
      <c r="F293" s="181" t="n"/>
      <c r="G293" s="182" t="n"/>
      <c r="H293" s="105" t="n"/>
      <c r="I293" s="196">
        <f>F293</f>
        <v/>
      </c>
      <c r="J293" s="184" t="n"/>
      <c r="K293" s="185" t="n"/>
      <c r="L293" s="8" t="n"/>
      <c r="M293" s="71">
        <f>L293</f>
        <v/>
      </c>
      <c r="N293" s="71" t="n"/>
      <c r="O293" s="101" t="n"/>
      <c r="P293" s="9">
        <f>I293-M293</f>
        <v/>
      </c>
      <c r="Q293" s="9">
        <f>IF(LEFT(B293,4)&lt;&gt;"    ",0,BN293)</f>
        <v/>
      </c>
      <c r="R293" s="9">
        <f>+P293-Q293</f>
        <v/>
      </c>
      <c r="S293" s="281" t="n"/>
      <c r="T293" s="10" t="n"/>
      <c r="U293" s="23">
        <f>IF(LEFT(B293,4)&lt;&gt;"    ","",IF(M293&lt;&gt;0,X293/M293,0))</f>
        <v/>
      </c>
      <c r="V293" s="11">
        <f>IF(LEFT(B293,4)&lt;&gt;"    ","",U293*I293)</f>
        <v/>
      </c>
      <c r="W293" s="11">
        <f>IF(LEFT(B293,4)&lt;&gt;"    ","",X293+Z293)</f>
        <v/>
      </c>
      <c r="X293" s="8" t="n"/>
      <c r="Y293" s="9">
        <f>IF(LEFT(B293,4)&lt;&gt;"    ",0,IF(P293&lt;0,P293,IF(U293&gt;0.3,W293-X293,0)))</f>
        <v/>
      </c>
      <c r="Z293" s="71">
        <f>Y293</f>
        <v/>
      </c>
      <c r="AA293" s="71" t="n"/>
      <c r="AB293" s="109" t="n"/>
      <c r="AC293" s="9">
        <f>IF(LEFT(B293,4)&lt;&gt;"    ",0,BK293)</f>
        <v/>
      </c>
      <c r="AD293" s="9">
        <f>Z293-AC293</f>
        <v/>
      </c>
      <c r="AE293" s="10" t="n"/>
      <c r="AF293" s="24" t="n"/>
      <c r="AG293" s="11" t="n"/>
      <c r="AH293" s="8" t="n"/>
      <c r="AI293" s="9">
        <f>IF(LEFT(B293,4)&lt;&gt;"    ","",AG293-AH293)</f>
        <v/>
      </c>
      <c r="AJ293" s="9" t="n"/>
      <c r="AK293" s="10" t="n"/>
      <c r="AL293" s="11">
        <f>IF(LEFT(B293,4)&lt;&gt;"    ","",W293-AG293)</f>
        <v/>
      </c>
      <c r="AM293" s="8">
        <f>IF(LEFT(B293,4)&lt;&gt;"    ","",X293-AH293)</f>
        <v/>
      </c>
      <c r="AN293" s="9">
        <f>IF(LEFT(B293,4)&lt;&gt;"    ","",Y293-AI293)</f>
        <v/>
      </c>
      <c r="AO293" s="9">
        <f>IF(LEFT(B293,4)&lt;&gt;"    ","",Z293-AJ293)</f>
        <v/>
      </c>
      <c r="AP293" s="10" t="n"/>
      <c r="AQ293" s="25">
        <f>IF(LEFT(B293,4)&lt;&gt;"    ","",I293-W293)</f>
        <v/>
      </c>
      <c r="AR293" s="25">
        <f>M293-X293</f>
        <v/>
      </c>
      <c r="AS293" s="25">
        <f>IF(LEFT(B293,4)&lt;&gt;"    ","",P293-Z293)</f>
        <v/>
      </c>
      <c r="AT293" s="10" t="n"/>
      <c r="AU293" s="12" t="n"/>
      <c r="AV293" s="12">
        <f>IF(LEFT(B293,4)&lt;&gt;"    ","",IF(W293-AU293&gt;=0,W293-AU293," "))</f>
        <v/>
      </c>
      <c r="AW293" s="12">
        <f>IF(LEFT(B293,4)&lt;&gt;"    ","",IF(AU293-W293&gt;=0,AU293-W293," "))</f>
        <v/>
      </c>
      <c r="AX293" s="186" t="n"/>
      <c r="AY293" s="187" t="n"/>
      <c r="AZ293" s="186" t="n"/>
      <c r="BA293" s="186" t="n"/>
      <c r="BB293" s="188" t="n"/>
      <c r="BC293" s="187" t="n"/>
      <c r="BD293" s="187" t="n"/>
      <c r="BE293" s="186" t="n"/>
      <c r="BF293" s="186" t="n"/>
      <c r="BG293" s="186" t="n"/>
      <c r="BH293" s="186" t="n"/>
      <c r="BI293" s="186" t="n"/>
      <c r="BJ293" s="186" t="n"/>
      <c r="BK293" s="186" t="n"/>
      <c r="BL293" s="186" t="n"/>
      <c r="BM293" s="186" t="n"/>
      <c r="BN293" s="186" t="n"/>
      <c r="BO293" s="186" t="n"/>
      <c r="BP293" s="186" t="n"/>
      <c r="BQ293" s="186" t="n"/>
      <c r="BR293" s="186" t="n"/>
      <c r="BS293" s="186" t="n"/>
      <c r="BT293" s="186" t="n"/>
      <c r="BU293" s="186" t="n"/>
      <c r="BV293" s="186" t="n"/>
      <c r="BW293" s="186" t="n"/>
      <c r="BX293" s="186" t="n"/>
      <c r="BY293" s="186" t="n"/>
      <c r="BZ293" s="186" t="n"/>
      <c r="CA293" s="186" t="n"/>
      <c r="CB293" s="186" t="n"/>
      <c r="CC293" s="190" t="n"/>
      <c r="CD293" s="186" t="n"/>
      <c r="CE293" s="186" t="n"/>
      <c r="CF293" s="186" t="n"/>
      <c r="CG293" s="186" t="n"/>
      <c r="CH293" s="186" t="n"/>
      <c r="CI293" s="191" t="n"/>
      <c r="CJ293" s="192" t="n"/>
      <c r="CK293" s="192" t="n"/>
      <c r="CL293" s="192" t="n"/>
      <c r="CM293" s="192" t="n"/>
    </row>
    <row r="294">
      <c r="A294" s="177" t="n"/>
      <c r="B294" s="178" t="n"/>
      <c r="C294" s="178" t="n"/>
      <c r="D294" s="179" t="n"/>
      <c r="E294" s="180" t="n"/>
      <c r="F294" s="181" t="n"/>
      <c r="G294" s="182" t="n"/>
      <c r="H294" s="105" t="n"/>
      <c r="I294" s="196">
        <f>F294</f>
        <v/>
      </c>
      <c r="J294" s="184" t="n"/>
      <c r="K294" s="185" t="n"/>
      <c r="L294" s="8" t="n"/>
      <c r="M294" s="71">
        <f>L294</f>
        <v/>
      </c>
      <c r="N294" s="71" t="n"/>
      <c r="O294" s="101" t="n"/>
      <c r="P294" s="9">
        <f>I294-M294</f>
        <v/>
      </c>
      <c r="Q294" s="9">
        <f>IF(LEFT(B294,4)&lt;&gt;"    ",0,BN294)</f>
        <v/>
      </c>
      <c r="R294" s="9">
        <f>+P294-Q294</f>
        <v/>
      </c>
      <c r="S294" s="281" t="n"/>
      <c r="T294" s="10" t="n"/>
      <c r="U294" s="23">
        <f>IF(LEFT(B294,4)&lt;&gt;"    ","",IF(M294&lt;&gt;0,X294/M294,0))</f>
        <v/>
      </c>
      <c r="V294" s="11">
        <f>IF(LEFT(B294,4)&lt;&gt;"    ","",U294*I294)</f>
        <v/>
      </c>
      <c r="W294" s="11">
        <f>IF(LEFT(B294,4)&lt;&gt;"    ","",X294+Z294)</f>
        <v/>
      </c>
      <c r="X294" s="8" t="n"/>
      <c r="Y294" s="9">
        <f>IF(LEFT(B294,4)&lt;&gt;"    ",0,IF(P294&lt;0,P294,IF(U294&gt;0.3,W294-X294,0)))</f>
        <v/>
      </c>
      <c r="Z294" s="71">
        <f>Y294</f>
        <v/>
      </c>
      <c r="AA294" s="71" t="n"/>
      <c r="AB294" s="109" t="n"/>
      <c r="AC294" s="9">
        <f>IF(LEFT(B294,4)&lt;&gt;"    ",0,BK294)</f>
        <v/>
      </c>
      <c r="AD294" s="9">
        <f>Z294-AC294</f>
        <v/>
      </c>
      <c r="AE294" s="10" t="n"/>
      <c r="AF294" s="24" t="n"/>
      <c r="AG294" s="11" t="n"/>
      <c r="AH294" s="8" t="n"/>
      <c r="AI294" s="9">
        <f>IF(LEFT(B294,4)&lt;&gt;"    ","",AG294-AH294)</f>
        <v/>
      </c>
      <c r="AJ294" s="9" t="n"/>
      <c r="AK294" s="10" t="n"/>
      <c r="AL294" s="11">
        <f>IF(LEFT(B294,4)&lt;&gt;"    ","",W294-AG294)</f>
        <v/>
      </c>
      <c r="AM294" s="8">
        <f>IF(LEFT(B294,4)&lt;&gt;"    ","",X294-AH294)</f>
        <v/>
      </c>
      <c r="AN294" s="9">
        <f>IF(LEFT(B294,4)&lt;&gt;"    ","",Y294-AI294)</f>
        <v/>
      </c>
      <c r="AO294" s="9">
        <f>IF(LEFT(B294,4)&lt;&gt;"    ","",Z294-AJ294)</f>
        <v/>
      </c>
      <c r="AP294" s="10" t="n"/>
      <c r="AQ294" s="25">
        <f>IF(LEFT(B294,4)&lt;&gt;"    ","",I294-W294)</f>
        <v/>
      </c>
      <c r="AR294" s="25">
        <f>M294-X294</f>
        <v/>
      </c>
      <c r="AS294" s="25">
        <f>IF(LEFT(B294,4)&lt;&gt;"    ","",P294-Z294)</f>
        <v/>
      </c>
      <c r="AT294" s="10" t="n"/>
      <c r="AU294" s="12" t="n"/>
      <c r="AV294" s="12">
        <f>IF(LEFT(B294,4)&lt;&gt;"    ","",IF(W294-AU294&gt;=0,W294-AU294," "))</f>
        <v/>
      </c>
      <c r="AW294" s="12">
        <f>IF(LEFT(B294,4)&lt;&gt;"    ","",IF(AU294-W294&gt;=0,AU294-W294," "))</f>
        <v/>
      </c>
      <c r="AX294" s="186" t="n"/>
      <c r="AY294" s="187" t="n"/>
      <c r="AZ294" s="186" t="n"/>
      <c r="BA294" s="186" t="n"/>
      <c r="BB294" s="188" t="n"/>
      <c r="BC294" s="187" t="n"/>
      <c r="BD294" s="187" t="n"/>
      <c r="BE294" s="186" t="n"/>
      <c r="BF294" s="186" t="n"/>
      <c r="BG294" s="186" t="n"/>
      <c r="BH294" s="186" t="n"/>
      <c r="BI294" s="186" t="n"/>
      <c r="BJ294" s="186" t="n"/>
      <c r="BK294" s="186" t="n"/>
      <c r="BL294" s="186" t="n"/>
      <c r="BM294" s="186" t="n"/>
      <c r="BN294" s="186" t="n"/>
      <c r="BO294" s="186" t="n"/>
      <c r="BP294" s="186" t="n"/>
      <c r="BQ294" s="186" t="n"/>
      <c r="BR294" s="186" t="n"/>
      <c r="BS294" s="186" t="n"/>
      <c r="BT294" s="186" t="n"/>
      <c r="BU294" s="186" t="n"/>
      <c r="BV294" s="186" t="n"/>
      <c r="BW294" s="186" t="n"/>
      <c r="BX294" s="186" t="n"/>
      <c r="BY294" s="186" t="n"/>
      <c r="BZ294" s="186" t="n"/>
      <c r="CA294" s="186" t="n"/>
      <c r="CB294" s="186" t="n"/>
      <c r="CC294" s="190" t="n"/>
      <c r="CD294" s="186" t="n"/>
      <c r="CE294" s="186" t="n"/>
      <c r="CF294" s="186" t="n"/>
      <c r="CG294" s="186" t="n"/>
      <c r="CH294" s="186" t="n"/>
      <c r="CI294" s="191" t="n"/>
      <c r="CJ294" s="192" t="n"/>
      <c r="CK294" s="192" t="n"/>
      <c r="CL294" s="192" t="n"/>
      <c r="CM294" s="192" t="n"/>
    </row>
    <row r="295">
      <c r="A295" s="177" t="n"/>
      <c r="B295" s="178" t="n"/>
      <c r="C295" s="178" t="n"/>
      <c r="D295" s="179" t="n"/>
      <c r="E295" s="180" t="n"/>
      <c r="F295" s="181" t="n"/>
      <c r="G295" s="182" t="n"/>
      <c r="H295" s="105" t="n"/>
      <c r="I295" s="196">
        <f>F295</f>
        <v/>
      </c>
      <c r="J295" s="184" t="n"/>
      <c r="K295" s="185" t="n"/>
      <c r="L295" s="8" t="n"/>
      <c r="M295" s="71">
        <f>L295</f>
        <v/>
      </c>
      <c r="N295" s="71" t="n"/>
      <c r="O295" s="101" t="n"/>
      <c r="P295" s="9">
        <f>I295-M295</f>
        <v/>
      </c>
      <c r="Q295" s="9">
        <f>IF(LEFT(B295,4)&lt;&gt;"    ",0,BN295)</f>
        <v/>
      </c>
      <c r="R295" s="9">
        <f>+P295-Q295</f>
        <v/>
      </c>
      <c r="S295" s="281" t="n"/>
      <c r="T295" s="10" t="n"/>
      <c r="U295" s="23">
        <f>IF(LEFT(B295,4)&lt;&gt;"    ","",IF(M295&lt;&gt;0,X295/M295,0))</f>
        <v/>
      </c>
      <c r="V295" s="11">
        <f>IF(LEFT(B295,4)&lt;&gt;"    ","",U295*I295)</f>
        <v/>
      </c>
      <c r="W295" s="11">
        <f>IF(LEFT(B295,4)&lt;&gt;"    ","",X295+Z295)</f>
        <v/>
      </c>
      <c r="X295" s="8" t="n"/>
      <c r="Y295" s="9">
        <f>IF(LEFT(B295,4)&lt;&gt;"    ",0,IF(P295&lt;0,P295,IF(U295&gt;0.3,W295-X295,0)))</f>
        <v/>
      </c>
      <c r="Z295" s="71">
        <f>Y295</f>
        <v/>
      </c>
      <c r="AA295" s="71" t="n"/>
      <c r="AB295" s="109" t="n"/>
      <c r="AC295" s="9">
        <f>IF(LEFT(B295,4)&lt;&gt;"    ",0,BK295)</f>
        <v/>
      </c>
      <c r="AD295" s="9">
        <f>Z295-AC295</f>
        <v/>
      </c>
      <c r="AE295" s="10" t="n"/>
      <c r="AF295" s="24" t="n"/>
      <c r="AG295" s="11" t="n"/>
      <c r="AH295" s="8" t="n"/>
      <c r="AI295" s="9">
        <f>IF(LEFT(B295,4)&lt;&gt;"    ","",AG295-AH295)</f>
        <v/>
      </c>
      <c r="AJ295" s="9" t="n"/>
      <c r="AK295" s="10" t="n"/>
      <c r="AL295" s="11">
        <f>IF(LEFT(B295,4)&lt;&gt;"    ","",W295-AG295)</f>
        <v/>
      </c>
      <c r="AM295" s="8">
        <f>IF(LEFT(B295,4)&lt;&gt;"    ","",X295-AH295)</f>
        <v/>
      </c>
      <c r="AN295" s="9">
        <f>IF(LEFT(B295,4)&lt;&gt;"    ","",Y295-AI295)</f>
        <v/>
      </c>
      <c r="AO295" s="9">
        <f>IF(LEFT(B295,4)&lt;&gt;"    ","",Z295-AJ295)</f>
        <v/>
      </c>
      <c r="AP295" s="10" t="n"/>
      <c r="AQ295" s="25">
        <f>IF(LEFT(B295,4)&lt;&gt;"    ","",I295-W295)</f>
        <v/>
      </c>
      <c r="AR295" s="25">
        <f>M295-X295</f>
        <v/>
      </c>
      <c r="AS295" s="25">
        <f>IF(LEFT(B295,4)&lt;&gt;"    ","",P295-Z295)</f>
        <v/>
      </c>
      <c r="AT295" s="10" t="n"/>
      <c r="AU295" s="12" t="n"/>
      <c r="AV295" s="12">
        <f>IF(LEFT(B295,4)&lt;&gt;"    ","",IF(W295-AU295&gt;=0,W295-AU295," "))</f>
        <v/>
      </c>
      <c r="AW295" s="12">
        <f>IF(LEFT(B295,4)&lt;&gt;"    ","",IF(AU295-W295&gt;=0,AU295-W295," "))</f>
        <v/>
      </c>
      <c r="AX295" s="186" t="n"/>
      <c r="AY295" s="187" t="n"/>
      <c r="AZ295" s="186" t="n"/>
      <c r="BA295" s="186" t="n"/>
      <c r="BB295" s="188" t="n"/>
      <c r="BC295" s="187" t="n"/>
      <c r="BD295" s="187" t="n"/>
      <c r="BE295" s="186" t="n"/>
      <c r="BF295" s="186" t="n"/>
      <c r="BG295" s="186" t="n"/>
      <c r="BH295" s="186" t="n"/>
      <c r="BI295" s="186" t="n"/>
      <c r="BJ295" s="186" t="n"/>
      <c r="BK295" s="186" t="n"/>
      <c r="BL295" s="186" t="n"/>
      <c r="BM295" s="186" t="n"/>
      <c r="BN295" s="186" t="n"/>
      <c r="BO295" s="186" t="n"/>
      <c r="BP295" s="186" t="n"/>
      <c r="BQ295" s="186" t="n"/>
      <c r="BR295" s="186" t="n"/>
      <c r="BS295" s="186" t="n"/>
      <c r="BT295" s="186" t="n"/>
      <c r="BU295" s="186" t="n"/>
      <c r="BV295" s="186" t="n"/>
      <c r="BW295" s="186" t="n"/>
      <c r="BX295" s="186" t="n"/>
      <c r="BY295" s="186" t="n"/>
      <c r="BZ295" s="186" t="n"/>
      <c r="CA295" s="186" t="n"/>
      <c r="CB295" s="186" t="n"/>
      <c r="CC295" s="190" t="n"/>
      <c r="CD295" s="186" t="n"/>
      <c r="CE295" s="186" t="n"/>
      <c r="CF295" s="186" t="n"/>
      <c r="CG295" s="186" t="n"/>
      <c r="CH295" s="186" t="n"/>
      <c r="CI295" s="191" t="n"/>
      <c r="CJ295" s="192" t="n"/>
      <c r="CK295" s="192" t="n"/>
      <c r="CL295" s="192" t="n"/>
      <c r="CM295" s="192" t="n"/>
    </row>
    <row r="296">
      <c r="A296" s="177" t="n"/>
      <c r="B296" s="178" t="n"/>
      <c r="C296" s="178" t="n"/>
      <c r="D296" s="179" t="n"/>
      <c r="E296" s="180" t="n"/>
      <c r="F296" s="181" t="n"/>
      <c r="G296" s="182" t="n"/>
      <c r="H296" s="105" t="n"/>
      <c r="I296" s="196">
        <f>F296</f>
        <v/>
      </c>
      <c r="J296" s="184" t="n"/>
      <c r="K296" s="185" t="n"/>
      <c r="L296" s="8" t="n"/>
      <c r="M296" s="71">
        <f>L296</f>
        <v/>
      </c>
      <c r="N296" s="71" t="n"/>
      <c r="O296" s="101" t="n"/>
      <c r="P296" s="9">
        <f>I296-M296</f>
        <v/>
      </c>
      <c r="Q296" s="9">
        <f>IF(LEFT(B296,4)&lt;&gt;"    ",0,BN296)</f>
        <v/>
      </c>
      <c r="R296" s="9">
        <f>+P296-Q296</f>
        <v/>
      </c>
      <c r="S296" s="281" t="n"/>
      <c r="T296" s="10" t="n"/>
      <c r="U296" s="23">
        <f>IF(LEFT(B296,4)&lt;&gt;"    ","",IF(M296&lt;&gt;0,X296/M296,0))</f>
        <v/>
      </c>
      <c r="V296" s="11">
        <f>IF(LEFT(B296,4)&lt;&gt;"    ","",U296*I296)</f>
        <v/>
      </c>
      <c r="W296" s="11">
        <f>IF(LEFT(B296,4)&lt;&gt;"    ","",X296+Z296)</f>
        <v/>
      </c>
      <c r="X296" s="8" t="n"/>
      <c r="Y296" s="9">
        <f>IF(LEFT(B296,4)&lt;&gt;"    ",0,IF(P296&lt;0,P296,IF(U296&gt;0.3,W296-X296,0)))</f>
        <v/>
      </c>
      <c r="Z296" s="71">
        <f>Y296</f>
        <v/>
      </c>
      <c r="AA296" s="71" t="n"/>
      <c r="AB296" s="109" t="n"/>
      <c r="AC296" s="9">
        <f>IF(LEFT(B296,4)&lt;&gt;"    ",0,BK296)</f>
        <v/>
      </c>
      <c r="AD296" s="9">
        <f>Z296-AC296</f>
        <v/>
      </c>
      <c r="AE296" s="10" t="n"/>
      <c r="AF296" s="24" t="n"/>
      <c r="AG296" s="11" t="n"/>
      <c r="AH296" s="8" t="n"/>
      <c r="AI296" s="9">
        <f>IF(LEFT(B296,4)&lt;&gt;"    ","",AG296-AH296)</f>
        <v/>
      </c>
      <c r="AJ296" s="9" t="n"/>
      <c r="AK296" s="10" t="n"/>
      <c r="AL296" s="11">
        <f>IF(LEFT(B296,4)&lt;&gt;"    ","",W296-AG296)</f>
        <v/>
      </c>
      <c r="AM296" s="8">
        <f>IF(LEFT(B296,4)&lt;&gt;"    ","",X296-AH296)</f>
        <v/>
      </c>
      <c r="AN296" s="9">
        <f>IF(LEFT(B296,4)&lt;&gt;"    ","",Y296-AI296)</f>
        <v/>
      </c>
      <c r="AO296" s="9">
        <f>IF(LEFT(B296,4)&lt;&gt;"    ","",Z296-AJ296)</f>
        <v/>
      </c>
      <c r="AP296" s="10" t="n"/>
      <c r="AQ296" s="25">
        <f>IF(LEFT(B296,4)&lt;&gt;"    ","",I296-W296)</f>
        <v/>
      </c>
      <c r="AR296" s="25">
        <f>M296-X296</f>
        <v/>
      </c>
      <c r="AS296" s="25">
        <f>IF(LEFT(B296,4)&lt;&gt;"    ","",P296-Z296)</f>
        <v/>
      </c>
      <c r="AT296" s="10" t="n"/>
      <c r="AU296" s="12" t="n"/>
      <c r="AV296" s="12">
        <f>IF(LEFT(B296,4)&lt;&gt;"    ","",IF(W296-AU296&gt;=0,W296-AU296," "))</f>
        <v/>
      </c>
      <c r="AW296" s="12">
        <f>IF(LEFT(B296,4)&lt;&gt;"    ","",IF(AU296-W296&gt;=0,AU296-W296," "))</f>
        <v/>
      </c>
      <c r="AX296" s="186" t="n"/>
      <c r="AY296" s="187" t="n"/>
      <c r="AZ296" s="186" t="n"/>
      <c r="BA296" s="186" t="n"/>
      <c r="BB296" s="188" t="n"/>
      <c r="BC296" s="187" t="n"/>
      <c r="BD296" s="187" t="n"/>
      <c r="BE296" s="186" t="n"/>
      <c r="BF296" s="186" t="n"/>
      <c r="BG296" s="186" t="n"/>
      <c r="BH296" s="186" t="n"/>
      <c r="BI296" s="186" t="n"/>
      <c r="BJ296" s="186" t="n"/>
      <c r="BK296" s="186" t="n"/>
      <c r="BL296" s="186" t="n"/>
      <c r="BM296" s="186" t="n"/>
      <c r="BN296" s="186" t="n"/>
      <c r="BO296" s="186" t="n"/>
      <c r="BP296" s="186" t="n"/>
      <c r="BQ296" s="186" t="n"/>
      <c r="BR296" s="186" t="n"/>
      <c r="BS296" s="186" t="n"/>
      <c r="BT296" s="186" t="n"/>
      <c r="BU296" s="186" t="n"/>
      <c r="BV296" s="186" t="n"/>
      <c r="BW296" s="186" t="n"/>
      <c r="BX296" s="186" t="n"/>
      <c r="BY296" s="186" t="n"/>
      <c r="BZ296" s="186" t="n"/>
      <c r="CA296" s="186" t="n"/>
      <c r="CB296" s="186" t="n"/>
      <c r="CC296" s="190" t="n"/>
      <c r="CD296" s="186" t="n"/>
      <c r="CE296" s="186" t="n"/>
      <c r="CF296" s="186" t="n"/>
      <c r="CG296" s="186" t="n"/>
      <c r="CH296" s="186" t="n"/>
      <c r="CI296" s="191" t="n"/>
      <c r="CJ296" s="192" t="n"/>
      <c r="CK296" s="192" t="n"/>
      <c r="CL296" s="192" t="n"/>
      <c r="CM296" s="192" t="n"/>
    </row>
    <row r="297">
      <c r="A297" s="177" t="n"/>
      <c r="B297" s="178" t="n"/>
      <c r="C297" s="178" t="n"/>
      <c r="D297" s="179" t="n"/>
      <c r="E297" s="180" t="n"/>
      <c r="F297" s="181" t="n"/>
      <c r="G297" s="182" t="n"/>
      <c r="H297" s="105" t="n"/>
      <c r="I297" s="196">
        <f>F297</f>
        <v/>
      </c>
      <c r="J297" s="184" t="n"/>
      <c r="K297" s="185" t="n"/>
      <c r="L297" s="8" t="n"/>
      <c r="M297" s="184">
        <f>L297</f>
        <v/>
      </c>
      <c r="N297" s="184" t="n"/>
      <c r="O297" s="185" t="n"/>
      <c r="P297" s="9">
        <f>I297-M297</f>
        <v/>
      </c>
      <c r="Q297" s="9">
        <f>IF(LEFT(B297,4)&lt;&gt;"    ",0,BN297)</f>
        <v/>
      </c>
      <c r="R297" s="9">
        <f>+P297-Q297</f>
        <v/>
      </c>
      <c r="S297" s="281" t="n"/>
      <c r="T297" s="10" t="n"/>
      <c r="U297" s="23">
        <f>IF(LEFT(B297,4)&lt;&gt;"    ","",IF(M297&lt;&gt;0,X297/M297,0))</f>
        <v/>
      </c>
      <c r="V297" s="11">
        <f>IF(LEFT(B297,4)&lt;&gt;"    ","",U297*I297)</f>
        <v/>
      </c>
      <c r="W297" s="11">
        <f>IF(LEFT(B297,4)&lt;&gt;"    ","",X297+Z297)</f>
        <v/>
      </c>
      <c r="X297" s="8" t="n"/>
      <c r="Y297" s="9">
        <f>IF(LEFT(B297,4)&lt;&gt;"    ",0,IF(P297&lt;0,P297,IF(U297&gt;0.3,W297-X297,0)))</f>
        <v/>
      </c>
      <c r="Z297" s="71">
        <f>Y297</f>
        <v/>
      </c>
      <c r="AA297" s="71" t="n"/>
      <c r="AB297" s="109" t="n"/>
      <c r="AC297" s="9">
        <f>IF(LEFT(B297,4)&lt;&gt;"    ",0,BK297)</f>
        <v/>
      </c>
      <c r="AD297" s="9">
        <f>Z297-AC297</f>
        <v/>
      </c>
      <c r="AE297" s="10" t="n"/>
      <c r="AF297" s="24" t="n"/>
      <c r="AG297" s="11" t="n"/>
      <c r="AH297" s="8" t="n"/>
      <c r="AI297" s="9">
        <f>IF(LEFT(B297,4)&lt;&gt;"    ","",AG297-AH297)</f>
        <v/>
      </c>
      <c r="AJ297" s="9" t="n"/>
      <c r="AK297" s="10" t="n"/>
      <c r="AL297" s="11">
        <f>IF(LEFT(B297,4)&lt;&gt;"    ","",W297-AG297)</f>
        <v/>
      </c>
      <c r="AM297" s="8">
        <f>IF(LEFT(B297,4)&lt;&gt;"    ","",X297-AH297)</f>
        <v/>
      </c>
      <c r="AN297" s="9">
        <f>IF(LEFT(B297,4)&lt;&gt;"    ","",Y297-AI297)</f>
        <v/>
      </c>
      <c r="AO297" s="9">
        <f>IF(LEFT(B297,4)&lt;&gt;"    ","",Z297-AJ297)</f>
        <v/>
      </c>
      <c r="AP297" s="10" t="n"/>
      <c r="AQ297" s="25">
        <f>IF(LEFT(B297,4)&lt;&gt;"    ","",I297-W297)</f>
        <v/>
      </c>
      <c r="AR297" s="25">
        <f>M297-X297</f>
        <v/>
      </c>
      <c r="AS297" s="25">
        <f>IF(LEFT(B297,4)&lt;&gt;"    ","",P297-Z297)</f>
        <v/>
      </c>
      <c r="AT297" s="10" t="n"/>
      <c r="AU297" s="12" t="n"/>
      <c r="AV297" s="12">
        <f>IF(LEFT(B297,4)&lt;&gt;"    ","",IF(W297-AU297&gt;=0,W297-AU297," "))</f>
        <v/>
      </c>
      <c r="AW297" s="12">
        <f>IF(LEFT(B297,4)&lt;&gt;"    ","",IF(AU297-W297&gt;=0,AU297-W297," "))</f>
        <v/>
      </c>
      <c r="AX297" s="186" t="n"/>
      <c r="AY297" s="187" t="n"/>
      <c r="AZ297" s="186" t="n"/>
      <c r="BA297" s="186" t="n"/>
      <c r="BB297" s="188" t="n"/>
      <c r="BC297" s="187" t="n"/>
      <c r="BD297" s="187" t="n"/>
      <c r="BE297" s="186" t="n"/>
      <c r="BF297" s="186" t="n"/>
      <c r="BG297" s="186" t="n"/>
      <c r="BH297" s="186" t="n"/>
      <c r="BI297" s="186" t="n"/>
      <c r="BJ297" s="186" t="n"/>
      <c r="BK297" s="186" t="n"/>
      <c r="BL297" s="186" t="n"/>
      <c r="BM297" s="186" t="n"/>
      <c r="BN297" s="186" t="n"/>
      <c r="BO297" s="186" t="n"/>
      <c r="BP297" s="186" t="n"/>
      <c r="BQ297" s="186" t="n"/>
      <c r="BR297" s="186" t="n"/>
      <c r="BS297" s="186" t="n"/>
      <c r="BT297" s="186" t="n"/>
      <c r="BU297" s="186" t="n"/>
      <c r="BV297" s="186" t="n"/>
      <c r="BW297" s="186" t="n"/>
      <c r="BX297" s="186" t="n"/>
      <c r="BY297" s="186" t="n"/>
      <c r="BZ297" s="186" t="n"/>
      <c r="CA297" s="186" t="n"/>
      <c r="CB297" s="186" t="n"/>
      <c r="CC297" s="190" t="n"/>
      <c r="CD297" s="186" t="n"/>
      <c r="CE297" s="186" t="n"/>
      <c r="CF297" s="186" t="n"/>
      <c r="CG297" s="186" t="n"/>
      <c r="CH297" s="186" t="n"/>
      <c r="CI297" s="191" t="n"/>
      <c r="CJ297" s="192" t="n"/>
      <c r="CK297" s="192" t="n"/>
      <c r="CL297" s="192" t="n"/>
      <c r="CM297" s="192" t="n"/>
    </row>
    <row r="298">
      <c r="A298" s="177" t="n"/>
      <c r="B298" s="178" t="n"/>
      <c r="C298" s="178" t="n"/>
      <c r="D298" s="179" t="n"/>
      <c r="E298" s="180" t="n"/>
      <c r="F298" s="181" t="n"/>
      <c r="G298" s="182" t="n"/>
      <c r="H298" s="105" t="n"/>
      <c r="I298" s="196">
        <f>F298</f>
        <v/>
      </c>
      <c r="J298" s="184" t="n"/>
      <c r="K298" s="185" t="n"/>
      <c r="L298" s="8" t="n"/>
      <c r="M298" s="71">
        <f>L298</f>
        <v/>
      </c>
      <c r="N298" s="71" t="n"/>
      <c r="O298" s="101" t="n"/>
      <c r="P298" s="9">
        <f>I298-M298</f>
        <v/>
      </c>
      <c r="Q298" s="9">
        <f>IF(LEFT(B298,4)&lt;&gt;"    ",0,BN298)</f>
        <v/>
      </c>
      <c r="R298" s="9">
        <f>+P298-Q298</f>
        <v/>
      </c>
      <c r="S298" s="281" t="n"/>
      <c r="T298" s="10" t="n"/>
      <c r="U298" s="23">
        <f>IF(LEFT(B298,4)&lt;&gt;"    ","",IF(M298&lt;&gt;0,X298/M298,0))</f>
        <v/>
      </c>
      <c r="V298" s="11">
        <f>IF(LEFT(B298,4)&lt;&gt;"    ","",U298*I298)</f>
        <v/>
      </c>
      <c r="W298" s="11">
        <f>IF(LEFT(B298,4)&lt;&gt;"    ","",X298+Z298)</f>
        <v/>
      </c>
      <c r="X298" s="8" t="n"/>
      <c r="Y298" s="9">
        <f>IF(LEFT(B298,4)&lt;&gt;"    ",0,IF(P298&lt;0,P298,IF(U298&gt;0.3,W298-X298,0)))</f>
        <v/>
      </c>
      <c r="Z298" s="71">
        <f>Y298</f>
        <v/>
      </c>
      <c r="AA298" s="71" t="n"/>
      <c r="AB298" s="109" t="n"/>
      <c r="AC298" s="9">
        <f>IF(LEFT(B298,4)&lt;&gt;"    ",0,BK298)</f>
        <v/>
      </c>
      <c r="AD298" s="9">
        <f>Z298-AC298</f>
        <v/>
      </c>
      <c r="AE298" s="10" t="n"/>
      <c r="AF298" s="24" t="n"/>
      <c r="AG298" s="11" t="n"/>
      <c r="AH298" s="8" t="n"/>
      <c r="AI298" s="9">
        <f>IF(LEFT(B298,4)&lt;&gt;"    ","",AG298-AH298)</f>
        <v/>
      </c>
      <c r="AJ298" s="9" t="n"/>
      <c r="AK298" s="10" t="n"/>
      <c r="AL298" s="11">
        <f>IF(LEFT(B298,4)&lt;&gt;"    ","",W298-AG298)</f>
        <v/>
      </c>
      <c r="AM298" s="8">
        <f>IF(LEFT(B298,4)&lt;&gt;"    ","",X298-AH298)</f>
        <v/>
      </c>
      <c r="AN298" s="9">
        <f>IF(LEFT(B298,4)&lt;&gt;"    ","",Y298-AI298)</f>
        <v/>
      </c>
      <c r="AO298" s="9">
        <f>IF(LEFT(B298,4)&lt;&gt;"    ","",Z298-AJ298)</f>
        <v/>
      </c>
      <c r="AP298" s="10" t="n"/>
      <c r="AQ298" s="25">
        <f>IF(LEFT(B298,4)&lt;&gt;"    ","",I298-W298)</f>
        <v/>
      </c>
      <c r="AR298" s="25">
        <f>M298-X298</f>
        <v/>
      </c>
      <c r="AS298" s="25">
        <f>IF(LEFT(B298,4)&lt;&gt;"    ","",P298-Z298)</f>
        <v/>
      </c>
      <c r="AT298" s="10" t="n"/>
      <c r="AU298" s="12" t="n"/>
      <c r="AV298" s="12">
        <f>IF(LEFT(B298,4)&lt;&gt;"    ","",IF(W298-AU298&gt;=0,W298-AU298," "))</f>
        <v/>
      </c>
      <c r="AW298" s="12">
        <f>IF(LEFT(B298,4)&lt;&gt;"    ","",IF(AU298-W298&gt;=0,AU298-W298," "))</f>
        <v/>
      </c>
      <c r="AX298" s="186" t="n"/>
      <c r="AY298" s="187" t="n"/>
      <c r="AZ298" s="186" t="n"/>
      <c r="BA298" s="186" t="n"/>
      <c r="BB298" s="188" t="n"/>
      <c r="BC298" s="187" t="n"/>
      <c r="BD298" s="187" t="n"/>
      <c r="BE298" s="186" t="n"/>
      <c r="BF298" s="186" t="n"/>
      <c r="BG298" s="186" t="n"/>
      <c r="BH298" s="186" t="n"/>
      <c r="BI298" s="186" t="n"/>
      <c r="BJ298" s="186" t="n"/>
      <c r="BK298" s="186" t="n"/>
      <c r="BL298" s="186" t="n"/>
      <c r="BM298" s="186" t="n"/>
      <c r="BN298" s="186" t="n"/>
      <c r="BO298" s="186" t="n"/>
      <c r="BP298" s="186" t="n"/>
      <c r="BQ298" s="186" t="n"/>
      <c r="BR298" s="186" t="n"/>
      <c r="BS298" s="186" t="n"/>
      <c r="BT298" s="186" t="n"/>
      <c r="BU298" s="186" t="n"/>
      <c r="BV298" s="186" t="n"/>
      <c r="BW298" s="186" t="n"/>
      <c r="BX298" s="186" t="n"/>
      <c r="BY298" s="186" t="n"/>
      <c r="BZ298" s="186" t="n"/>
      <c r="CA298" s="186" t="n"/>
      <c r="CB298" s="186" t="n"/>
      <c r="CC298" s="190" t="n"/>
      <c r="CD298" s="186" t="n"/>
      <c r="CE298" s="186" t="n"/>
      <c r="CF298" s="186" t="n"/>
      <c r="CG298" s="186" t="n"/>
      <c r="CH298" s="186" t="n"/>
      <c r="CI298" s="191" t="n"/>
      <c r="CJ298" s="192" t="n"/>
      <c r="CK298" s="192" t="n"/>
      <c r="CL298" s="192" t="n"/>
      <c r="CM298" s="192" t="n"/>
    </row>
    <row r="299">
      <c r="A299" s="177" t="n"/>
      <c r="B299" s="178" t="n"/>
      <c r="C299" s="178" t="n"/>
      <c r="D299" s="179" t="n"/>
      <c r="E299" s="180" t="n"/>
      <c r="F299" s="181" t="n"/>
      <c r="G299" s="182" t="n"/>
      <c r="H299" s="105" t="n"/>
      <c r="I299" s="196">
        <f>F299</f>
        <v/>
      </c>
      <c r="J299" s="184" t="n"/>
      <c r="K299" s="185" t="n"/>
      <c r="L299" s="8" t="n"/>
      <c r="M299" s="71">
        <f>L299</f>
        <v/>
      </c>
      <c r="N299" s="71" t="n"/>
      <c r="O299" s="101" t="n"/>
      <c r="P299" s="9">
        <f>I299-M299</f>
        <v/>
      </c>
      <c r="Q299" s="9">
        <f>IF(LEFT(B299,4)&lt;&gt;"    ",0,BN299)</f>
        <v/>
      </c>
      <c r="R299" s="9">
        <f>+P299-Q299</f>
        <v/>
      </c>
      <c r="S299" s="281" t="n"/>
      <c r="T299" s="10" t="n"/>
      <c r="U299" s="23">
        <f>IF(LEFT(B299,4)&lt;&gt;"    ","",IF(M299&lt;&gt;0,X299/M299,0))</f>
        <v/>
      </c>
      <c r="V299" s="11">
        <f>IF(LEFT(B299,4)&lt;&gt;"    ","",U299*I299)</f>
        <v/>
      </c>
      <c r="W299" s="11">
        <f>IF(LEFT(B299,4)&lt;&gt;"    ","",X299+Z299)</f>
        <v/>
      </c>
      <c r="X299" s="8" t="n"/>
      <c r="Y299" s="9">
        <f>IF(LEFT(B299,4)&lt;&gt;"    ",0,IF(P299&lt;0,P299,IF(U299&gt;0.3,W299-X299,0)))</f>
        <v/>
      </c>
      <c r="Z299" s="71">
        <f>Y299</f>
        <v/>
      </c>
      <c r="AA299" s="71" t="n"/>
      <c r="AB299" s="109" t="n"/>
      <c r="AC299" s="9">
        <f>IF(LEFT(B299,4)&lt;&gt;"    ",0,BK299)</f>
        <v/>
      </c>
      <c r="AD299" s="9">
        <f>Z299-AC299</f>
        <v/>
      </c>
      <c r="AE299" s="10" t="n"/>
      <c r="AF299" s="24" t="n"/>
      <c r="AG299" s="11" t="n"/>
      <c r="AH299" s="8" t="n"/>
      <c r="AI299" s="9">
        <f>IF(LEFT(B299,4)&lt;&gt;"    ","",AG299-AH299)</f>
        <v/>
      </c>
      <c r="AJ299" s="9" t="n"/>
      <c r="AK299" s="10" t="n"/>
      <c r="AL299" s="11">
        <f>IF(LEFT(B299,4)&lt;&gt;"    ","",W299-AG299)</f>
        <v/>
      </c>
      <c r="AM299" s="8">
        <f>IF(LEFT(B299,4)&lt;&gt;"    ","",X299-AH299)</f>
        <v/>
      </c>
      <c r="AN299" s="9">
        <f>IF(LEFT(B299,4)&lt;&gt;"    ","",Y299-AI299)</f>
        <v/>
      </c>
      <c r="AO299" s="9">
        <f>IF(LEFT(B299,4)&lt;&gt;"    ","",Z299-AJ299)</f>
        <v/>
      </c>
      <c r="AP299" s="10" t="n"/>
      <c r="AQ299" s="25">
        <f>IF(LEFT(B299,4)&lt;&gt;"    ","",I299-W299)</f>
        <v/>
      </c>
      <c r="AR299" s="25">
        <f>M299-X299</f>
        <v/>
      </c>
      <c r="AS299" s="25">
        <f>IF(LEFT(B299,4)&lt;&gt;"    ","",P299-Z299)</f>
        <v/>
      </c>
      <c r="AT299" s="10" t="n"/>
      <c r="AU299" s="12" t="n"/>
      <c r="AV299" s="12">
        <f>IF(LEFT(B299,4)&lt;&gt;"    ","",IF(W299-AU299&gt;=0,W299-AU299," "))</f>
        <v/>
      </c>
      <c r="AW299" s="12">
        <f>IF(LEFT(B299,4)&lt;&gt;"    ","",IF(AU299-W299&gt;=0,AU299-W299," "))</f>
        <v/>
      </c>
      <c r="AX299" s="186" t="n"/>
      <c r="AY299" s="187" t="n"/>
      <c r="AZ299" s="186" t="n"/>
      <c r="BA299" s="186" t="n"/>
      <c r="BB299" s="188" t="n"/>
      <c r="BC299" s="187" t="n"/>
      <c r="BD299" s="187" t="n"/>
      <c r="BE299" s="186" t="n"/>
      <c r="BF299" s="186" t="n"/>
      <c r="BG299" s="186" t="n"/>
      <c r="BH299" s="186" t="n"/>
      <c r="BI299" s="186" t="n"/>
      <c r="BJ299" s="186" t="n"/>
      <c r="BK299" s="186" t="n"/>
      <c r="BL299" s="186" t="n"/>
      <c r="BM299" s="186" t="n"/>
      <c r="BN299" s="186" t="n"/>
      <c r="BO299" s="186" t="n"/>
      <c r="BP299" s="186" t="n"/>
      <c r="BQ299" s="186" t="n"/>
      <c r="BR299" s="186" t="n"/>
      <c r="BS299" s="186" t="n"/>
      <c r="BT299" s="186" t="n"/>
      <c r="BU299" s="186" t="n"/>
      <c r="BV299" s="186" t="n"/>
      <c r="BW299" s="186" t="n"/>
      <c r="BX299" s="186" t="n"/>
      <c r="BY299" s="186" t="n"/>
      <c r="BZ299" s="186" t="n"/>
      <c r="CA299" s="186" t="n"/>
      <c r="CB299" s="186" t="n"/>
      <c r="CC299" s="190" t="n"/>
      <c r="CD299" s="186" t="n"/>
      <c r="CE299" s="186" t="n"/>
      <c r="CF299" s="186" t="n"/>
      <c r="CG299" s="186" t="n"/>
      <c r="CH299" s="186" t="n"/>
      <c r="CI299" s="191" t="n"/>
      <c r="CJ299" s="192" t="n"/>
      <c r="CK299" s="192" t="n"/>
      <c r="CL299" s="192" t="n"/>
      <c r="CM299" s="192" t="n"/>
    </row>
    <row r="300">
      <c r="A300" s="177" t="n"/>
      <c r="B300" s="178" t="n"/>
      <c r="C300" s="178" t="n"/>
      <c r="D300" s="179" t="n"/>
      <c r="E300" s="180" t="n"/>
      <c r="F300" s="181" t="n"/>
      <c r="G300" s="182" t="n"/>
      <c r="H300" s="105" t="n"/>
      <c r="I300" s="196">
        <f>F300</f>
        <v/>
      </c>
      <c r="J300" s="184" t="n"/>
      <c r="K300" s="185" t="n"/>
      <c r="L300" s="8" t="n"/>
      <c r="M300" s="71">
        <f>L300</f>
        <v/>
      </c>
      <c r="N300" s="71" t="n"/>
      <c r="O300" s="101" t="n"/>
      <c r="P300" s="9">
        <f>I300-M300</f>
        <v/>
      </c>
      <c r="Q300" s="9">
        <f>IF(LEFT(B300,4)&lt;&gt;"    ",0,BN300)</f>
        <v/>
      </c>
      <c r="R300" s="9">
        <f>+P300-Q300</f>
        <v/>
      </c>
      <c r="S300" s="281" t="n"/>
      <c r="T300" s="10" t="n"/>
      <c r="U300" s="23">
        <f>IF(LEFT(B300,4)&lt;&gt;"    ","",IF(M300&lt;&gt;0,X300/M300,0))</f>
        <v/>
      </c>
      <c r="V300" s="11">
        <f>IF(LEFT(B300,4)&lt;&gt;"    ","",U300*I300)</f>
        <v/>
      </c>
      <c r="W300" s="11">
        <f>IF(LEFT(B300,4)&lt;&gt;"    ","",X300+Z300)</f>
        <v/>
      </c>
      <c r="X300" s="8" t="n"/>
      <c r="Y300" s="9">
        <f>IF(LEFT(B300,4)&lt;&gt;"    ",0,IF(P300&lt;0,P300,IF(U300&gt;0.3,W300-X300,0)))</f>
        <v/>
      </c>
      <c r="Z300" s="71">
        <f>Y300</f>
        <v/>
      </c>
      <c r="AA300" s="71" t="n"/>
      <c r="AB300" s="109" t="n"/>
      <c r="AC300" s="9">
        <f>IF(LEFT(B300,4)&lt;&gt;"    ",0,BK300)</f>
        <v/>
      </c>
      <c r="AD300" s="9">
        <f>Z300-AC300</f>
        <v/>
      </c>
      <c r="AE300" s="10" t="n"/>
      <c r="AF300" s="24" t="n"/>
      <c r="AG300" s="11" t="n"/>
      <c r="AH300" s="8" t="n"/>
      <c r="AI300" s="9">
        <f>IF(LEFT(B300,4)&lt;&gt;"    ","",AG300-AH300)</f>
        <v/>
      </c>
      <c r="AJ300" s="9" t="n"/>
      <c r="AK300" s="10" t="n"/>
      <c r="AL300" s="11">
        <f>IF(LEFT(B300,4)&lt;&gt;"    ","",W300-AG300)</f>
        <v/>
      </c>
      <c r="AM300" s="8">
        <f>IF(LEFT(B300,4)&lt;&gt;"    ","",X300-AH300)</f>
        <v/>
      </c>
      <c r="AN300" s="9">
        <f>IF(LEFT(B300,4)&lt;&gt;"    ","",Y300-AI300)</f>
        <v/>
      </c>
      <c r="AO300" s="9">
        <f>IF(LEFT(B300,4)&lt;&gt;"    ","",Z300-AJ300)</f>
        <v/>
      </c>
      <c r="AP300" s="10" t="n"/>
      <c r="AQ300" s="25">
        <f>IF(LEFT(B300,4)&lt;&gt;"    ","",I300-W300)</f>
        <v/>
      </c>
      <c r="AR300" s="25">
        <f>M300-X300</f>
        <v/>
      </c>
      <c r="AS300" s="25">
        <f>IF(LEFT(B300,4)&lt;&gt;"    ","",P300-Z300)</f>
        <v/>
      </c>
      <c r="AT300" s="10" t="n"/>
      <c r="AU300" s="12" t="n"/>
      <c r="AV300" s="12">
        <f>IF(LEFT(B300,4)&lt;&gt;"    ","",IF(W300-AU300&gt;=0,W300-AU300," "))</f>
        <v/>
      </c>
      <c r="AW300" s="12">
        <f>IF(LEFT(B300,4)&lt;&gt;"    ","",IF(AU300-W300&gt;=0,AU300-W300," "))</f>
        <v/>
      </c>
      <c r="AX300" s="186" t="n"/>
      <c r="AY300" s="187" t="n"/>
      <c r="AZ300" s="186" t="n"/>
      <c r="BA300" s="186" t="n"/>
      <c r="BB300" s="188" t="n"/>
      <c r="BC300" s="187" t="n"/>
      <c r="BD300" s="187" t="n"/>
      <c r="BE300" s="186" t="n"/>
      <c r="BF300" s="186" t="n"/>
      <c r="BG300" s="186" t="n"/>
      <c r="BH300" s="186" t="n"/>
      <c r="BI300" s="186" t="n"/>
      <c r="BJ300" s="186" t="n"/>
      <c r="BK300" s="186" t="n"/>
      <c r="BL300" s="186" t="n"/>
      <c r="BM300" s="186" t="n"/>
      <c r="BN300" s="186" t="n"/>
      <c r="BO300" s="186" t="n"/>
      <c r="BP300" s="186" t="n"/>
      <c r="BQ300" s="186" t="n"/>
      <c r="BR300" s="186" t="n"/>
      <c r="BS300" s="186" t="n"/>
      <c r="BT300" s="186" t="n"/>
      <c r="BU300" s="186" t="n"/>
      <c r="BV300" s="186" t="n"/>
      <c r="BW300" s="186" t="n"/>
      <c r="BX300" s="186" t="n"/>
      <c r="BY300" s="186" t="n"/>
      <c r="BZ300" s="186" t="n"/>
      <c r="CA300" s="186" t="n"/>
      <c r="CB300" s="186" t="n"/>
      <c r="CC300" s="190" t="n"/>
      <c r="CD300" s="186" t="n"/>
      <c r="CE300" s="186" t="n"/>
      <c r="CF300" s="186" t="n"/>
      <c r="CG300" s="186" t="n"/>
      <c r="CH300" s="186" t="n"/>
      <c r="CI300" s="191" t="n"/>
      <c r="CJ300" s="192" t="n"/>
      <c r="CK300" s="192" t="n"/>
      <c r="CL300" s="192" t="n"/>
      <c r="CM300" s="192" t="n"/>
    </row>
    <row r="301">
      <c r="A301" s="177" t="n"/>
      <c r="B301" s="178" t="n"/>
      <c r="C301" s="178" t="n"/>
      <c r="D301" s="179" t="n"/>
      <c r="E301" s="180" t="n"/>
      <c r="F301" s="181" t="n"/>
      <c r="G301" s="182" t="n"/>
      <c r="H301" s="105" t="n"/>
      <c r="I301" s="196">
        <f>F301</f>
        <v/>
      </c>
      <c r="J301" s="184" t="n"/>
      <c r="K301" s="185" t="n"/>
      <c r="L301" s="8" t="n"/>
      <c r="M301" s="71">
        <f>L301</f>
        <v/>
      </c>
      <c r="N301" s="71" t="n"/>
      <c r="O301" s="101" t="n"/>
      <c r="P301" s="9">
        <f>I301-M301</f>
        <v/>
      </c>
      <c r="Q301" s="9">
        <f>IF(LEFT(B301,4)&lt;&gt;"    ",0,BN301)</f>
        <v/>
      </c>
      <c r="R301" s="9">
        <f>+P301-Q301</f>
        <v/>
      </c>
      <c r="S301" s="281" t="n"/>
      <c r="T301" s="10" t="n"/>
      <c r="U301" s="23">
        <f>IF(LEFT(B301,4)&lt;&gt;"    ","",IF(M301&lt;&gt;0,X301/M301,0))</f>
        <v/>
      </c>
      <c r="V301" s="11">
        <f>IF(LEFT(B301,4)&lt;&gt;"    ","",U301*I301)</f>
        <v/>
      </c>
      <c r="W301" s="11">
        <f>IF(LEFT(B301,4)&lt;&gt;"    ","",X301+Z301)</f>
        <v/>
      </c>
      <c r="X301" s="8" t="n"/>
      <c r="Y301" s="9">
        <f>IF(LEFT(B301,4)&lt;&gt;"    ",0,IF(P301&lt;0,P301,IF(U301&gt;0.3,W301-X301,0)))</f>
        <v/>
      </c>
      <c r="Z301" s="71">
        <f>Y301</f>
        <v/>
      </c>
      <c r="AA301" s="71" t="n"/>
      <c r="AB301" s="109" t="n"/>
      <c r="AC301" s="9">
        <f>IF(LEFT(B301,4)&lt;&gt;"    ",0,BK301)</f>
        <v/>
      </c>
      <c r="AD301" s="9">
        <f>Z301-AC301</f>
        <v/>
      </c>
      <c r="AE301" s="10" t="n"/>
      <c r="AF301" s="24" t="n"/>
      <c r="AG301" s="11" t="n"/>
      <c r="AH301" s="8" t="n"/>
      <c r="AI301" s="9">
        <f>IF(LEFT(B301,4)&lt;&gt;"    ","",AG301-AH301)</f>
        <v/>
      </c>
      <c r="AJ301" s="9" t="n"/>
      <c r="AK301" s="10" t="n"/>
      <c r="AL301" s="11">
        <f>IF(LEFT(B301,4)&lt;&gt;"    ","",W301-AG301)</f>
        <v/>
      </c>
      <c r="AM301" s="8">
        <f>IF(LEFT(B301,4)&lt;&gt;"    ","",X301-AH301)</f>
        <v/>
      </c>
      <c r="AN301" s="9">
        <f>IF(LEFT(B301,4)&lt;&gt;"    ","",Y301-AI301)</f>
        <v/>
      </c>
      <c r="AO301" s="9">
        <f>IF(LEFT(B301,4)&lt;&gt;"    ","",Z301-AJ301)</f>
        <v/>
      </c>
      <c r="AP301" s="10" t="n"/>
      <c r="AQ301" s="25">
        <f>IF(LEFT(B301,4)&lt;&gt;"    ","",I301-W301)</f>
        <v/>
      </c>
      <c r="AR301" s="25">
        <f>M301-X301</f>
        <v/>
      </c>
      <c r="AS301" s="25">
        <f>IF(LEFT(B301,4)&lt;&gt;"    ","",P301-Z301)</f>
        <v/>
      </c>
      <c r="AT301" s="10" t="n"/>
      <c r="AU301" s="12" t="n"/>
      <c r="AV301" s="12">
        <f>IF(LEFT(B301,4)&lt;&gt;"    ","",IF(W301-AU301&gt;=0,W301-AU301," "))</f>
        <v/>
      </c>
      <c r="AW301" s="12">
        <f>IF(LEFT(B301,4)&lt;&gt;"    ","",IF(AU301-W301&gt;=0,AU301-W301," "))</f>
        <v/>
      </c>
      <c r="AX301" s="186" t="n"/>
      <c r="AY301" s="187" t="n"/>
      <c r="AZ301" s="186" t="n"/>
      <c r="BA301" s="186" t="n"/>
      <c r="BB301" s="188" t="n"/>
      <c r="BC301" s="187" t="n"/>
      <c r="BD301" s="187" t="n"/>
      <c r="BE301" s="186" t="n"/>
      <c r="BF301" s="186" t="n"/>
      <c r="BG301" s="186" t="n"/>
      <c r="BH301" s="186" t="n"/>
      <c r="BI301" s="186" t="n"/>
      <c r="BJ301" s="186" t="n"/>
      <c r="BK301" s="186" t="n"/>
      <c r="BL301" s="186" t="n"/>
      <c r="BM301" s="186" t="n"/>
      <c r="BN301" s="186" t="n"/>
      <c r="BO301" s="186" t="n"/>
      <c r="BP301" s="186" t="n"/>
      <c r="BQ301" s="186" t="n"/>
      <c r="BR301" s="186" t="n"/>
      <c r="BS301" s="186" t="n"/>
      <c r="BT301" s="186" t="n"/>
      <c r="BU301" s="186" t="n"/>
      <c r="BV301" s="186" t="n"/>
      <c r="BW301" s="186" t="n"/>
      <c r="BX301" s="186" t="n"/>
      <c r="BY301" s="186" t="n"/>
      <c r="BZ301" s="186" t="n"/>
      <c r="CA301" s="186" t="n"/>
      <c r="CB301" s="186" t="n"/>
      <c r="CC301" s="190" t="n"/>
      <c r="CD301" s="186" t="n"/>
      <c r="CE301" s="186" t="n"/>
      <c r="CF301" s="186" t="n"/>
      <c r="CG301" s="186" t="n"/>
      <c r="CH301" s="186" t="n"/>
      <c r="CI301" s="191" t="n"/>
      <c r="CJ301" s="192" t="n"/>
      <c r="CK301" s="192" t="n"/>
      <c r="CL301" s="192" t="n"/>
      <c r="CM301" s="192" t="n"/>
    </row>
    <row r="302">
      <c r="A302" s="177" t="n"/>
      <c r="B302" s="178" t="n"/>
      <c r="C302" s="178" t="n"/>
      <c r="D302" s="179" t="n"/>
      <c r="E302" s="180" t="n"/>
      <c r="F302" s="181" t="n"/>
      <c r="G302" s="182" t="n"/>
      <c r="H302" s="105" t="n"/>
      <c r="I302" s="196">
        <f>F302</f>
        <v/>
      </c>
      <c r="J302" s="184" t="n"/>
      <c r="K302" s="185" t="n"/>
      <c r="L302" s="8" t="n"/>
      <c r="M302" s="71">
        <f>L302</f>
        <v/>
      </c>
      <c r="N302" s="71" t="n"/>
      <c r="O302" s="101" t="n"/>
      <c r="P302" s="9">
        <f>I302-M302</f>
        <v/>
      </c>
      <c r="Q302" s="9">
        <f>IF(LEFT(B302,4)&lt;&gt;"    ",0,BN302)</f>
        <v/>
      </c>
      <c r="R302" s="9">
        <f>+P302-Q302</f>
        <v/>
      </c>
      <c r="S302" s="281" t="n"/>
      <c r="T302" s="10" t="n"/>
      <c r="U302" s="23">
        <f>IF(LEFT(B302,4)&lt;&gt;"    ","",IF(M302&lt;&gt;0,X302/M302,0))</f>
        <v/>
      </c>
      <c r="V302" s="11">
        <f>IF(LEFT(B302,4)&lt;&gt;"    ","",U302*I302)</f>
        <v/>
      </c>
      <c r="W302" s="11">
        <f>IF(LEFT(B302,4)&lt;&gt;"    ","",X302+Z302)</f>
        <v/>
      </c>
      <c r="X302" s="8" t="n"/>
      <c r="Y302" s="9">
        <f>IF(LEFT(B302,4)&lt;&gt;"    ",0,IF(P302&lt;0,P302,IF(U302&gt;0.3,W302-X302,0)))</f>
        <v/>
      </c>
      <c r="Z302" s="71">
        <f>Y302</f>
        <v/>
      </c>
      <c r="AA302" s="71" t="n"/>
      <c r="AB302" s="109" t="n"/>
      <c r="AC302" s="9">
        <f>IF(LEFT(B302,4)&lt;&gt;"    ",0,BK302)</f>
        <v/>
      </c>
      <c r="AD302" s="9">
        <f>Z302-AC302</f>
        <v/>
      </c>
      <c r="AE302" s="10" t="n"/>
      <c r="AF302" s="24" t="n"/>
      <c r="AG302" s="11" t="n"/>
      <c r="AH302" s="8" t="n"/>
      <c r="AI302" s="9">
        <f>IF(LEFT(B302,4)&lt;&gt;"    ","",AG302-AH302)</f>
        <v/>
      </c>
      <c r="AJ302" s="9" t="n"/>
      <c r="AK302" s="10" t="n"/>
      <c r="AL302" s="11">
        <f>IF(LEFT(B302,4)&lt;&gt;"    ","",W302-AG302)</f>
        <v/>
      </c>
      <c r="AM302" s="8">
        <f>IF(LEFT(B302,4)&lt;&gt;"    ","",X302-AH302)</f>
        <v/>
      </c>
      <c r="AN302" s="9">
        <f>IF(LEFT(B302,4)&lt;&gt;"    ","",Y302-AI302)</f>
        <v/>
      </c>
      <c r="AO302" s="9">
        <f>IF(LEFT(B302,4)&lt;&gt;"    ","",Z302-AJ302)</f>
        <v/>
      </c>
      <c r="AP302" s="10" t="n"/>
      <c r="AQ302" s="25">
        <f>IF(LEFT(B302,4)&lt;&gt;"    ","",I302-W302)</f>
        <v/>
      </c>
      <c r="AR302" s="25">
        <f>M302-X302</f>
        <v/>
      </c>
      <c r="AS302" s="25">
        <f>IF(LEFT(B302,4)&lt;&gt;"    ","",P302-Z302)</f>
        <v/>
      </c>
      <c r="AT302" s="10" t="n"/>
      <c r="AU302" s="12" t="n"/>
      <c r="AV302" s="12">
        <f>IF(LEFT(B302,4)&lt;&gt;"    ","",IF(W302-AU302&gt;=0,W302-AU302," "))</f>
        <v/>
      </c>
      <c r="AW302" s="12">
        <f>IF(LEFT(B302,4)&lt;&gt;"    ","",IF(AU302-W302&gt;=0,AU302-W302," "))</f>
        <v/>
      </c>
      <c r="AX302" s="186" t="n"/>
      <c r="AY302" s="187" t="n"/>
      <c r="AZ302" s="186" t="n"/>
      <c r="BA302" s="186" t="n"/>
      <c r="BB302" s="188" t="n"/>
      <c r="BC302" s="187" t="n"/>
      <c r="BD302" s="187" t="n"/>
      <c r="BE302" s="186" t="n"/>
      <c r="BF302" s="186" t="n"/>
      <c r="BG302" s="186" t="n"/>
      <c r="BH302" s="186" t="n"/>
      <c r="BI302" s="186" t="n"/>
      <c r="BJ302" s="186" t="n"/>
      <c r="BK302" s="186" t="n"/>
      <c r="BL302" s="186" t="n"/>
      <c r="BM302" s="186" t="n"/>
      <c r="BN302" s="186" t="n"/>
      <c r="BO302" s="186" t="n"/>
      <c r="BP302" s="186" t="n"/>
      <c r="BQ302" s="186" t="n"/>
      <c r="BR302" s="186" t="n"/>
      <c r="BS302" s="186" t="n"/>
      <c r="BT302" s="186" t="n"/>
      <c r="BU302" s="186" t="n"/>
      <c r="BV302" s="186" t="n"/>
      <c r="BW302" s="186" t="n"/>
      <c r="BX302" s="186" t="n"/>
      <c r="BY302" s="186" t="n"/>
      <c r="BZ302" s="186" t="n"/>
      <c r="CA302" s="186" t="n"/>
      <c r="CB302" s="186" t="n"/>
      <c r="CC302" s="190" t="n"/>
      <c r="CD302" s="186" t="n"/>
      <c r="CE302" s="186" t="n"/>
      <c r="CF302" s="186" t="n"/>
      <c r="CG302" s="186" t="n"/>
      <c r="CH302" s="186" t="n"/>
      <c r="CI302" s="191" t="n"/>
      <c r="CJ302" s="192" t="n"/>
      <c r="CK302" s="192" t="n"/>
      <c r="CL302" s="192" t="n"/>
      <c r="CM302" s="192" t="n"/>
    </row>
    <row r="303">
      <c r="A303" s="177" t="n"/>
      <c r="B303" s="178" t="n"/>
      <c r="C303" s="178" t="n"/>
      <c r="D303" s="179" t="n"/>
      <c r="E303" s="180" t="n"/>
      <c r="F303" s="181" t="n"/>
      <c r="G303" s="182" t="n"/>
      <c r="H303" s="105" t="n"/>
      <c r="I303" s="196">
        <f>F303</f>
        <v/>
      </c>
      <c r="J303" s="184" t="n"/>
      <c r="K303" s="185" t="n"/>
      <c r="L303" s="8" t="n"/>
      <c r="M303" s="71">
        <f>L303</f>
        <v/>
      </c>
      <c r="N303" s="71" t="n"/>
      <c r="O303" s="101" t="n"/>
      <c r="P303" s="9">
        <f>I303-M303</f>
        <v/>
      </c>
      <c r="Q303" s="9">
        <f>IF(LEFT(B303,4)&lt;&gt;"    ",0,BN303)</f>
        <v/>
      </c>
      <c r="R303" s="9">
        <f>+P303-Q303</f>
        <v/>
      </c>
      <c r="S303" s="281" t="n"/>
      <c r="T303" s="10" t="n"/>
      <c r="U303" s="23">
        <f>IF(LEFT(B303,4)&lt;&gt;"    ","",IF(M303&lt;&gt;0,X303/M303,0))</f>
        <v/>
      </c>
      <c r="V303" s="11">
        <f>IF(LEFT(B303,4)&lt;&gt;"    ","",U303*I303)</f>
        <v/>
      </c>
      <c r="W303" s="11">
        <f>IF(LEFT(B303,4)&lt;&gt;"    ","",X303+Z303)</f>
        <v/>
      </c>
      <c r="X303" s="8" t="n"/>
      <c r="Y303" s="9">
        <f>IF(LEFT(B303,4)&lt;&gt;"    ",0,IF(P303&lt;0,P303,IF(U303&gt;0.3,W303-X303,0)))</f>
        <v/>
      </c>
      <c r="Z303" s="71">
        <f>Y303</f>
        <v/>
      </c>
      <c r="AA303" s="71" t="n"/>
      <c r="AB303" s="109" t="n"/>
      <c r="AC303" s="9">
        <f>IF(LEFT(B303,4)&lt;&gt;"    ",0,BK303)</f>
        <v/>
      </c>
      <c r="AD303" s="9">
        <f>Z303-AC303</f>
        <v/>
      </c>
      <c r="AE303" s="10" t="n"/>
      <c r="AF303" s="24" t="n"/>
      <c r="AG303" s="11" t="n"/>
      <c r="AH303" s="8" t="n"/>
      <c r="AI303" s="9">
        <f>IF(LEFT(B303,4)&lt;&gt;"    ","",AG303-AH303)</f>
        <v/>
      </c>
      <c r="AJ303" s="9" t="n"/>
      <c r="AK303" s="10" t="n"/>
      <c r="AL303" s="11">
        <f>IF(LEFT(B303,4)&lt;&gt;"    ","",W303-AG303)</f>
        <v/>
      </c>
      <c r="AM303" s="8">
        <f>IF(LEFT(B303,4)&lt;&gt;"    ","",X303-AH303)</f>
        <v/>
      </c>
      <c r="AN303" s="9">
        <f>IF(LEFT(B303,4)&lt;&gt;"    ","",Y303-AI303)</f>
        <v/>
      </c>
      <c r="AO303" s="9">
        <f>IF(LEFT(B303,4)&lt;&gt;"    ","",Z303-AJ303)</f>
        <v/>
      </c>
      <c r="AP303" s="10" t="n"/>
      <c r="AQ303" s="25">
        <f>IF(LEFT(B303,4)&lt;&gt;"    ","",I303-W303)</f>
        <v/>
      </c>
      <c r="AR303" s="25">
        <f>M303-X303</f>
        <v/>
      </c>
      <c r="AS303" s="25">
        <f>IF(LEFT(B303,4)&lt;&gt;"    ","",P303-Z303)</f>
        <v/>
      </c>
      <c r="AT303" s="10" t="n"/>
      <c r="AU303" s="12" t="n"/>
      <c r="AV303" s="12">
        <f>IF(LEFT(B303,4)&lt;&gt;"    ","",IF(W303-AU303&gt;=0,W303-AU303," "))</f>
        <v/>
      </c>
      <c r="AW303" s="12">
        <f>IF(LEFT(B303,4)&lt;&gt;"    ","",IF(AU303-W303&gt;=0,AU303-W303," "))</f>
        <v/>
      </c>
      <c r="AX303" s="186" t="n"/>
      <c r="AY303" s="187" t="n"/>
      <c r="AZ303" s="186" t="n"/>
      <c r="BA303" s="186" t="n"/>
      <c r="BB303" s="188" t="n"/>
      <c r="BC303" s="187" t="n"/>
      <c r="BD303" s="187" t="n"/>
      <c r="BE303" s="186" t="n"/>
      <c r="BF303" s="186" t="n"/>
      <c r="BG303" s="186" t="n"/>
      <c r="BH303" s="186" t="n"/>
      <c r="BI303" s="186" t="n"/>
      <c r="BJ303" s="186" t="n"/>
      <c r="BK303" s="186" t="n"/>
      <c r="BL303" s="186" t="n"/>
      <c r="BM303" s="186" t="n"/>
      <c r="BN303" s="186" t="n"/>
      <c r="BO303" s="186" t="n"/>
      <c r="BP303" s="186" t="n"/>
      <c r="BQ303" s="186" t="n"/>
      <c r="BR303" s="186" t="n"/>
      <c r="BS303" s="186" t="n"/>
      <c r="BT303" s="186" t="n"/>
      <c r="BU303" s="186" t="n"/>
      <c r="BV303" s="186" t="n"/>
      <c r="BW303" s="186" t="n"/>
      <c r="BX303" s="186" t="n"/>
      <c r="BY303" s="186" t="n"/>
      <c r="BZ303" s="186" t="n"/>
      <c r="CA303" s="186" t="n"/>
      <c r="CB303" s="186" t="n"/>
      <c r="CC303" s="190" t="n"/>
      <c r="CD303" s="186" t="n"/>
      <c r="CE303" s="186" t="n"/>
      <c r="CF303" s="186" t="n"/>
      <c r="CG303" s="186" t="n"/>
      <c r="CH303" s="186" t="n"/>
      <c r="CI303" s="191" t="n"/>
      <c r="CJ303" s="192" t="n"/>
      <c r="CK303" s="192" t="n"/>
      <c r="CL303" s="192" t="n"/>
      <c r="CM303" s="192" t="n"/>
    </row>
    <row r="304">
      <c r="A304" s="177" t="n"/>
      <c r="B304" s="178" t="n"/>
      <c r="C304" s="178" t="n"/>
      <c r="D304" s="179" t="n"/>
      <c r="E304" s="180" t="n"/>
      <c r="F304" s="181" t="n"/>
      <c r="G304" s="182" t="n"/>
      <c r="H304" s="105" t="n"/>
      <c r="I304" s="196">
        <f>F304</f>
        <v/>
      </c>
      <c r="J304" s="184" t="n"/>
      <c r="K304" s="185" t="n"/>
      <c r="L304" s="8" t="n"/>
      <c r="M304" s="71">
        <f>L304</f>
        <v/>
      </c>
      <c r="N304" s="71" t="n"/>
      <c r="O304" s="101" t="n"/>
      <c r="P304" s="9">
        <f>I304-M304</f>
        <v/>
      </c>
      <c r="Q304" s="9">
        <f>IF(LEFT(B304,4)&lt;&gt;"    ",0,BN304)</f>
        <v/>
      </c>
      <c r="R304" s="9">
        <f>+P304-Q304</f>
        <v/>
      </c>
      <c r="S304" s="281" t="n"/>
      <c r="T304" s="10" t="n"/>
      <c r="U304" s="23">
        <f>IF(LEFT(B304,4)&lt;&gt;"    ","",IF(M304&lt;&gt;0,X304/M304,0))</f>
        <v/>
      </c>
      <c r="V304" s="11">
        <f>IF(LEFT(B304,4)&lt;&gt;"    ","",U304*I304)</f>
        <v/>
      </c>
      <c r="W304" s="11">
        <f>IF(LEFT(B304,4)&lt;&gt;"    ","",X304+Z304)</f>
        <v/>
      </c>
      <c r="X304" s="8" t="n"/>
      <c r="Y304" s="9">
        <f>IF(LEFT(B304,4)&lt;&gt;"    ",0,IF(P304&lt;0,P304,IF(U304&gt;0.3,W304-X304,0)))</f>
        <v/>
      </c>
      <c r="Z304" s="71">
        <f>Y304</f>
        <v/>
      </c>
      <c r="AA304" s="71" t="n"/>
      <c r="AB304" s="109" t="n"/>
      <c r="AC304" s="9">
        <f>IF(LEFT(B304,4)&lt;&gt;"    ",0,BK304)</f>
        <v/>
      </c>
      <c r="AD304" s="9">
        <f>Z304-AC304</f>
        <v/>
      </c>
      <c r="AE304" s="10" t="n"/>
      <c r="AF304" s="24" t="n"/>
      <c r="AG304" s="11" t="n"/>
      <c r="AH304" s="8" t="n"/>
      <c r="AI304" s="9">
        <f>IF(LEFT(B304,4)&lt;&gt;"    ","",AG304-AH304)</f>
        <v/>
      </c>
      <c r="AJ304" s="9" t="n"/>
      <c r="AK304" s="10" t="n"/>
      <c r="AL304" s="11">
        <f>IF(LEFT(B304,4)&lt;&gt;"    ","",W304-AG304)</f>
        <v/>
      </c>
      <c r="AM304" s="8">
        <f>IF(LEFT(B304,4)&lt;&gt;"    ","",X304-AH304)</f>
        <v/>
      </c>
      <c r="AN304" s="9">
        <f>IF(LEFT(B304,4)&lt;&gt;"    ","",Y304-AI304)</f>
        <v/>
      </c>
      <c r="AO304" s="9">
        <f>IF(LEFT(B304,4)&lt;&gt;"    ","",Z304-AJ304)</f>
        <v/>
      </c>
      <c r="AP304" s="10" t="n"/>
      <c r="AQ304" s="25">
        <f>IF(LEFT(B304,4)&lt;&gt;"    ","",I304-W304)</f>
        <v/>
      </c>
      <c r="AR304" s="25">
        <f>M304-X304</f>
        <v/>
      </c>
      <c r="AS304" s="25">
        <f>IF(LEFT(B304,4)&lt;&gt;"    ","",P304-Z304)</f>
        <v/>
      </c>
      <c r="AT304" s="10" t="n"/>
      <c r="AU304" s="12" t="n"/>
      <c r="AV304" s="12">
        <f>IF(LEFT(B304,4)&lt;&gt;"    ","",IF(W304-AU304&gt;=0,W304-AU304," "))</f>
        <v/>
      </c>
      <c r="AW304" s="12">
        <f>IF(LEFT(B304,4)&lt;&gt;"    ","",IF(AU304-W304&gt;=0,AU304-W304," "))</f>
        <v/>
      </c>
      <c r="AX304" s="186" t="n"/>
      <c r="AY304" s="187" t="n"/>
      <c r="AZ304" s="186" t="n"/>
      <c r="BA304" s="186" t="n"/>
      <c r="BB304" s="188" t="n"/>
      <c r="BC304" s="187" t="n"/>
      <c r="BD304" s="187" t="n"/>
      <c r="BE304" s="186" t="n"/>
      <c r="BF304" s="186" t="n"/>
      <c r="BG304" s="186" t="n"/>
      <c r="BH304" s="186" t="n"/>
      <c r="BI304" s="186" t="n"/>
      <c r="BJ304" s="186" t="n"/>
      <c r="BK304" s="186" t="n"/>
      <c r="BL304" s="186" t="n"/>
      <c r="BM304" s="186" t="n"/>
      <c r="BN304" s="186" t="n"/>
      <c r="BO304" s="186" t="n"/>
      <c r="BP304" s="186" t="n"/>
      <c r="BQ304" s="186" t="n"/>
      <c r="BR304" s="186" t="n"/>
      <c r="BS304" s="186" t="n"/>
      <c r="BT304" s="186" t="n"/>
      <c r="BU304" s="186" t="n"/>
      <c r="BV304" s="186" t="n"/>
      <c r="BW304" s="186" t="n"/>
      <c r="BX304" s="186" t="n"/>
      <c r="BY304" s="186" t="n"/>
      <c r="BZ304" s="186" t="n"/>
      <c r="CA304" s="186" t="n"/>
      <c r="CB304" s="186" t="n"/>
      <c r="CC304" s="190" t="n"/>
      <c r="CD304" s="186" t="n"/>
      <c r="CE304" s="186" t="n"/>
      <c r="CF304" s="186" t="n"/>
      <c r="CG304" s="186" t="n"/>
      <c r="CH304" s="186" t="n"/>
      <c r="CI304" s="191" t="n"/>
      <c r="CJ304" s="192" t="n"/>
      <c r="CK304" s="192" t="n"/>
      <c r="CL304" s="192" t="n"/>
      <c r="CM304" s="192" t="n"/>
    </row>
    <row r="305">
      <c r="A305" s="177" t="n"/>
      <c r="B305" s="178" t="n"/>
      <c r="C305" s="178" t="n"/>
      <c r="D305" s="179" t="n"/>
      <c r="E305" s="180" t="n"/>
      <c r="F305" s="181" t="n"/>
      <c r="G305" s="182" t="n"/>
      <c r="H305" s="105" t="n"/>
      <c r="I305" s="196">
        <f>F305</f>
        <v/>
      </c>
      <c r="J305" s="184" t="n"/>
      <c r="K305" s="185" t="n"/>
      <c r="L305" s="8" t="n"/>
      <c r="M305" s="71">
        <f>L305</f>
        <v/>
      </c>
      <c r="N305" s="71" t="n"/>
      <c r="O305" s="101" t="n"/>
      <c r="P305" s="9">
        <f>I305-M305</f>
        <v/>
      </c>
      <c r="Q305" s="9">
        <f>IF(LEFT(B305,4)&lt;&gt;"    ",0,BN305)</f>
        <v/>
      </c>
      <c r="R305" s="9">
        <f>+P305-Q305</f>
        <v/>
      </c>
      <c r="S305" s="281" t="n"/>
      <c r="T305" s="10" t="n"/>
      <c r="U305" s="23">
        <f>IF(LEFT(B305,4)&lt;&gt;"    ","",IF(M305&lt;&gt;0,X305/M305,0))</f>
        <v/>
      </c>
      <c r="V305" s="11">
        <f>IF(LEFT(B305,4)&lt;&gt;"    ","",U305*I305)</f>
        <v/>
      </c>
      <c r="W305" s="11">
        <f>IF(LEFT(B305,4)&lt;&gt;"    ","",X305+Z305)</f>
        <v/>
      </c>
      <c r="X305" s="8" t="n"/>
      <c r="Y305" s="9">
        <f>IF(LEFT(B305,4)&lt;&gt;"    ",0,IF(P305&lt;0,P305,IF(U305&gt;0.3,W305-X305,0)))</f>
        <v/>
      </c>
      <c r="Z305" s="71">
        <f>Y305</f>
        <v/>
      </c>
      <c r="AA305" s="71" t="n"/>
      <c r="AB305" s="109" t="n"/>
      <c r="AC305" s="9">
        <f>IF(LEFT(B305,4)&lt;&gt;"    ",0,BK305)</f>
        <v/>
      </c>
      <c r="AD305" s="9">
        <f>Z305-AC305</f>
        <v/>
      </c>
      <c r="AE305" s="10" t="n"/>
      <c r="AF305" s="24" t="n"/>
      <c r="AG305" s="11" t="n"/>
      <c r="AH305" s="8" t="n"/>
      <c r="AI305" s="9">
        <f>IF(LEFT(B305,4)&lt;&gt;"    ","",AG305-AH305)</f>
        <v/>
      </c>
      <c r="AJ305" s="9" t="n"/>
      <c r="AK305" s="10" t="n"/>
      <c r="AL305" s="11">
        <f>IF(LEFT(B305,4)&lt;&gt;"    ","",W305-AG305)</f>
        <v/>
      </c>
      <c r="AM305" s="8">
        <f>IF(LEFT(B305,4)&lt;&gt;"    ","",X305-AH305)</f>
        <v/>
      </c>
      <c r="AN305" s="9">
        <f>IF(LEFT(B305,4)&lt;&gt;"    ","",Y305-AI305)</f>
        <v/>
      </c>
      <c r="AO305" s="9">
        <f>IF(LEFT(B305,4)&lt;&gt;"    ","",Z305-AJ305)</f>
        <v/>
      </c>
      <c r="AP305" s="10" t="n"/>
      <c r="AQ305" s="25">
        <f>IF(LEFT(B305,4)&lt;&gt;"    ","",I305-W305)</f>
        <v/>
      </c>
      <c r="AR305" s="25">
        <f>M305-X305</f>
        <v/>
      </c>
      <c r="AS305" s="25">
        <f>IF(LEFT(B305,4)&lt;&gt;"    ","",P305-Z305)</f>
        <v/>
      </c>
      <c r="AT305" s="10" t="n"/>
      <c r="AU305" s="12" t="n"/>
      <c r="AV305" s="12">
        <f>IF(LEFT(B305,4)&lt;&gt;"    ","",IF(W305-AU305&gt;=0,W305-AU305," "))</f>
        <v/>
      </c>
      <c r="AW305" s="12">
        <f>IF(LEFT(B305,4)&lt;&gt;"    ","",IF(AU305-W305&gt;=0,AU305-W305," "))</f>
        <v/>
      </c>
      <c r="AX305" s="186" t="n"/>
      <c r="AY305" s="187" t="n"/>
      <c r="AZ305" s="186" t="n"/>
      <c r="BA305" s="186" t="n"/>
      <c r="BB305" s="188" t="n"/>
      <c r="BC305" s="187" t="n"/>
      <c r="BD305" s="187" t="n"/>
      <c r="BE305" s="186" t="n"/>
      <c r="BF305" s="186" t="n"/>
      <c r="BG305" s="186" t="n"/>
      <c r="BH305" s="186" t="n"/>
      <c r="BI305" s="186" t="n"/>
      <c r="BJ305" s="186" t="n"/>
      <c r="BK305" s="186" t="n"/>
      <c r="BL305" s="186" t="n"/>
      <c r="BM305" s="186" t="n"/>
      <c r="BN305" s="186" t="n"/>
      <c r="BO305" s="186" t="n"/>
      <c r="BP305" s="186" t="n"/>
      <c r="BQ305" s="186" t="n"/>
      <c r="BR305" s="186" t="n"/>
      <c r="BS305" s="186" t="n"/>
      <c r="BT305" s="186" t="n"/>
      <c r="BU305" s="186" t="n"/>
      <c r="BV305" s="186" t="n"/>
      <c r="BW305" s="186" t="n"/>
      <c r="BX305" s="186" t="n"/>
      <c r="BY305" s="186" t="n"/>
      <c r="BZ305" s="186" t="n"/>
      <c r="CA305" s="186" t="n"/>
      <c r="CB305" s="186" t="n"/>
      <c r="CC305" s="190" t="n"/>
      <c r="CD305" s="186" t="n"/>
      <c r="CE305" s="186" t="n"/>
      <c r="CF305" s="186" t="n"/>
      <c r="CG305" s="186" t="n"/>
      <c r="CH305" s="186" t="n"/>
      <c r="CI305" s="191" t="n"/>
      <c r="CJ305" s="192" t="n"/>
      <c r="CK305" s="192" t="n"/>
      <c r="CL305" s="192" t="n"/>
      <c r="CM305" s="192" t="n"/>
    </row>
    <row r="306">
      <c r="A306" s="177" t="n"/>
      <c r="B306" s="178" t="n"/>
      <c r="C306" s="178" t="n"/>
      <c r="D306" s="179" t="n"/>
      <c r="E306" s="180" t="n"/>
      <c r="F306" s="181" t="n"/>
      <c r="G306" s="182" t="n"/>
      <c r="H306" s="105" t="n"/>
      <c r="I306" s="196">
        <f>F306</f>
        <v/>
      </c>
      <c r="J306" s="184" t="n"/>
      <c r="K306" s="185" t="n"/>
      <c r="L306" s="8" t="n"/>
      <c r="M306" s="71">
        <f>L306</f>
        <v/>
      </c>
      <c r="N306" s="71" t="n"/>
      <c r="O306" s="101" t="n"/>
      <c r="P306" s="9">
        <f>I306-M306</f>
        <v/>
      </c>
      <c r="Q306" s="9">
        <f>IF(LEFT(B306,4)&lt;&gt;"    ",0,BN306)</f>
        <v/>
      </c>
      <c r="R306" s="9">
        <f>+P306-Q306</f>
        <v/>
      </c>
      <c r="S306" s="281" t="n"/>
      <c r="T306" s="10" t="n"/>
      <c r="U306" s="23">
        <f>IF(LEFT(B306,4)&lt;&gt;"    ","",IF(M306&lt;&gt;0,X306/M306,0))</f>
        <v/>
      </c>
      <c r="V306" s="11">
        <f>IF(LEFT(B306,4)&lt;&gt;"    ","",U306*I306)</f>
        <v/>
      </c>
      <c r="W306" s="11">
        <f>IF(LEFT(B306,4)&lt;&gt;"    ","",X306+Z306)</f>
        <v/>
      </c>
      <c r="X306" s="8" t="n"/>
      <c r="Y306" s="9">
        <f>IF(LEFT(B306,4)&lt;&gt;"    ",0,IF(P306&lt;0,P306,IF(U306&gt;0.3,W306-X306,0)))</f>
        <v/>
      </c>
      <c r="Z306" s="71">
        <f>Y306</f>
        <v/>
      </c>
      <c r="AA306" s="71" t="n"/>
      <c r="AB306" s="109" t="n"/>
      <c r="AC306" s="9">
        <f>IF(LEFT(B306,4)&lt;&gt;"    ",0,BK306)</f>
        <v/>
      </c>
      <c r="AD306" s="9">
        <f>Z306-AC306</f>
        <v/>
      </c>
      <c r="AE306" s="10" t="n"/>
      <c r="AF306" s="24" t="n"/>
      <c r="AG306" s="11" t="n"/>
      <c r="AH306" s="8" t="n"/>
      <c r="AI306" s="9">
        <f>IF(LEFT(B306,4)&lt;&gt;"    ","",AG306-AH306)</f>
        <v/>
      </c>
      <c r="AJ306" s="9" t="n"/>
      <c r="AK306" s="10" t="n"/>
      <c r="AL306" s="11">
        <f>IF(LEFT(B306,4)&lt;&gt;"    ","",W306-AG306)</f>
        <v/>
      </c>
      <c r="AM306" s="8">
        <f>IF(LEFT(B306,4)&lt;&gt;"    ","",X306-AH306)</f>
        <v/>
      </c>
      <c r="AN306" s="9">
        <f>IF(LEFT(B306,4)&lt;&gt;"    ","",Y306-AI306)</f>
        <v/>
      </c>
      <c r="AO306" s="9">
        <f>IF(LEFT(B306,4)&lt;&gt;"    ","",Z306-AJ306)</f>
        <v/>
      </c>
      <c r="AP306" s="10" t="n"/>
      <c r="AQ306" s="25">
        <f>IF(LEFT(B306,4)&lt;&gt;"    ","",I306-W306)</f>
        <v/>
      </c>
      <c r="AR306" s="25">
        <f>M306-X306</f>
        <v/>
      </c>
      <c r="AS306" s="25">
        <f>IF(LEFT(B306,4)&lt;&gt;"    ","",P306-Z306)</f>
        <v/>
      </c>
      <c r="AT306" s="10" t="n"/>
      <c r="AU306" s="12" t="n"/>
      <c r="AV306" s="12">
        <f>IF(LEFT(B306,4)&lt;&gt;"    ","",IF(W306-AU306&gt;=0,W306-AU306," "))</f>
        <v/>
      </c>
      <c r="AW306" s="12">
        <f>IF(LEFT(B306,4)&lt;&gt;"    ","",IF(AU306-W306&gt;=0,AU306-W306," "))</f>
        <v/>
      </c>
      <c r="AX306" s="186" t="n"/>
      <c r="AY306" s="187" t="n"/>
      <c r="AZ306" s="186" t="n"/>
      <c r="BA306" s="186" t="n"/>
      <c r="BB306" s="188" t="n"/>
      <c r="BC306" s="187" t="n"/>
      <c r="BD306" s="187" t="n"/>
      <c r="BE306" s="186" t="n"/>
      <c r="BF306" s="186" t="n"/>
      <c r="BG306" s="186" t="n"/>
      <c r="BH306" s="186" t="n"/>
      <c r="BI306" s="186" t="n"/>
      <c r="BJ306" s="186" t="n"/>
      <c r="BK306" s="186" t="n"/>
      <c r="BL306" s="186" t="n"/>
      <c r="BM306" s="186" t="n"/>
      <c r="BN306" s="186" t="n"/>
      <c r="BO306" s="186" t="n"/>
      <c r="BP306" s="186" t="n"/>
      <c r="BQ306" s="186" t="n"/>
      <c r="BR306" s="186" t="n"/>
      <c r="BS306" s="186" t="n"/>
      <c r="BT306" s="186" t="n"/>
      <c r="BU306" s="186" t="n"/>
      <c r="BV306" s="186" t="n"/>
      <c r="BW306" s="186" t="n"/>
      <c r="BX306" s="186" t="n"/>
      <c r="BY306" s="186" t="n"/>
      <c r="BZ306" s="186" t="n"/>
      <c r="CA306" s="186" t="n"/>
      <c r="CB306" s="186" t="n"/>
      <c r="CC306" s="190" t="n"/>
      <c r="CD306" s="186" t="n"/>
      <c r="CE306" s="186" t="n"/>
      <c r="CF306" s="186" t="n"/>
      <c r="CG306" s="186" t="n"/>
      <c r="CH306" s="186" t="n"/>
      <c r="CI306" s="191" t="n"/>
      <c r="CJ306" s="192" t="n"/>
      <c r="CK306" s="192" t="n"/>
      <c r="CL306" s="192" t="n"/>
      <c r="CM306" s="192" t="n"/>
    </row>
    <row r="307">
      <c r="A307" s="177" t="n"/>
      <c r="B307" s="178" t="n"/>
      <c r="C307" s="178" t="n"/>
      <c r="D307" s="179" t="n"/>
      <c r="E307" s="180" t="n"/>
      <c r="F307" s="181" t="n"/>
      <c r="G307" s="182" t="n"/>
      <c r="H307" s="105" t="n"/>
      <c r="I307" s="196">
        <f>F307</f>
        <v/>
      </c>
      <c r="J307" s="184" t="n"/>
      <c r="K307" s="185" t="n"/>
      <c r="L307" s="8" t="n"/>
      <c r="M307" s="71">
        <f>L307</f>
        <v/>
      </c>
      <c r="N307" s="71" t="n"/>
      <c r="O307" s="101" t="n"/>
      <c r="P307" s="9">
        <f>I307-M307</f>
        <v/>
      </c>
      <c r="Q307" s="9">
        <f>IF(LEFT(B307,4)&lt;&gt;"    ",0,BN307)</f>
        <v/>
      </c>
      <c r="R307" s="9">
        <f>+P307-Q307</f>
        <v/>
      </c>
      <c r="S307" s="281" t="n"/>
      <c r="T307" s="10" t="n"/>
      <c r="U307" s="23">
        <f>IF(LEFT(B307,4)&lt;&gt;"    ","",IF(M307&lt;&gt;0,X307/M307,0))</f>
        <v/>
      </c>
      <c r="V307" s="11">
        <f>IF(LEFT(B307,4)&lt;&gt;"    ","",U307*I307)</f>
        <v/>
      </c>
      <c r="W307" s="11">
        <f>IF(LEFT(B307,4)&lt;&gt;"    ","",X307+Z307)</f>
        <v/>
      </c>
      <c r="X307" s="8" t="n"/>
      <c r="Y307" s="9">
        <f>IF(LEFT(B307,4)&lt;&gt;"    ",0,IF(P307&lt;0,P307,IF(U307&gt;0.3,W307-X307,0)))</f>
        <v/>
      </c>
      <c r="Z307" s="71">
        <f>Y307</f>
        <v/>
      </c>
      <c r="AA307" s="71" t="n"/>
      <c r="AB307" s="109" t="n"/>
      <c r="AC307" s="9">
        <f>IF(LEFT(B307,4)&lt;&gt;"    ",0,BK307)</f>
        <v/>
      </c>
      <c r="AD307" s="9">
        <f>Z307-AC307</f>
        <v/>
      </c>
      <c r="AE307" s="10" t="n"/>
      <c r="AF307" s="24" t="n"/>
      <c r="AG307" s="11" t="n"/>
      <c r="AH307" s="8" t="n"/>
      <c r="AI307" s="9">
        <f>IF(LEFT(B307,4)&lt;&gt;"    ","",AG307-AH307)</f>
        <v/>
      </c>
      <c r="AJ307" s="9" t="n"/>
      <c r="AK307" s="10" t="n"/>
      <c r="AL307" s="11">
        <f>IF(LEFT(B307,4)&lt;&gt;"    ","",W307-AG307)</f>
        <v/>
      </c>
      <c r="AM307" s="8">
        <f>IF(LEFT(B307,4)&lt;&gt;"    ","",X307-AH307)</f>
        <v/>
      </c>
      <c r="AN307" s="9">
        <f>IF(LEFT(B307,4)&lt;&gt;"    ","",Y307-AI307)</f>
        <v/>
      </c>
      <c r="AO307" s="9">
        <f>IF(LEFT(B307,4)&lt;&gt;"    ","",Z307-AJ307)</f>
        <v/>
      </c>
      <c r="AP307" s="10" t="n"/>
      <c r="AQ307" s="25">
        <f>IF(LEFT(B307,4)&lt;&gt;"    ","",I307-W307)</f>
        <v/>
      </c>
      <c r="AR307" s="25">
        <f>M307-X307</f>
        <v/>
      </c>
      <c r="AS307" s="25">
        <f>IF(LEFT(B307,4)&lt;&gt;"    ","",P307-Z307)</f>
        <v/>
      </c>
      <c r="AT307" s="10" t="n"/>
      <c r="AU307" s="12" t="n"/>
      <c r="AV307" s="12">
        <f>IF(LEFT(B307,4)&lt;&gt;"    ","",IF(W307-AU307&gt;=0,W307-AU307," "))</f>
        <v/>
      </c>
      <c r="AW307" s="12">
        <f>IF(LEFT(B307,4)&lt;&gt;"    ","",IF(AU307-W307&gt;=0,AU307-W307," "))</f>
        <v/>
      </c>
      <c r="AX307" s="186" t="n"/>
      <c r="AY307" s="187" t="n"/>
      <c r="AZ307" s="186" t="n"/>
      <c r="BA307" s="186" t="n"/>
      <c r="BB307" s="188" t="n"/>
      <c r="BC307" s="187" t="n"/>
      <c r="BD307" s="187" t="n"/>
      <c r="BE307" s="186" t="n"/>
      <c r="BF307" s="186" t="n"/>
      <c r="BG307" s="186" t="n"/>
      <c r="BH307" s="186" t="n"/>
      <c r="BI307" s="186" t="n"/>
      <c r="BJ307" s="186" t="n"/>
      <c r="BK307" s="186" t="n"/>
      <c r="BL307" s="186" t="n"/>
      <c r="BM307" s="186" t="n"/>
      <c r="BN307" s="186" t="n"/>
      <c r="BO307" s="186" t="n"/>
      <c r="BP307" s="186" t="n"/>
      <c r="BQ307" s="186" t="n"/>
      <c r="BR307" s="186" t="n"/>
      <c r="BS307" s="186" t="n"/>
      <c r="BT307" s="186" t="n"/>
      <c r="BU307" s="186" t="n"/>
      <c r="BV307" s="186" t="n"/>
      <c r="BW307" s="186" t="n"/>
      <c r="BX307" s="186" t="n"/>
      <c r="BY307" s="186" t="n"/>
      <c r="BZ307" s="186" t="n"/>
      <c r="CA307" s="186" t="n"/>
      <c r="CB307" s="186" t="n"/>
      <c r="CC307" s="190" t="n"/>
      <c r="CD307" s="186" t="n"/>
      <c r="CE307" s="186" t="n"/>
      <c r="CF307" s="186" t="n"/>
      <c r="CG307" s="186" t="n"/>
      <c r="CH307" s="186" t="n"/>
      <c r="CI307" s="191" t="n"/>
      <c r="CJ307" s="192" t="n"/>
      <c r="CK307" s="192" t="n"/>
      <c r="CL307" s="192" t="n"/>
      <c r="CM307" s="192" t="n"/>
    </row>
    <row r="308">
      <c r="A308" s="177" t="n"/>
      <c r="B308" s="178" t="n"/>
      <c r="C308" s="178" t="n"/>
      <c r="D308" s="179" t="n"/>
      <c r="E308" s="180" t="n"/>
      <c r="F308" s="181" t="n"/>
      <c r="G308" s="182" t="n"/>
      <c r="H308" s="105" t="n"/>
      <c r="I308" s="196">
        <f>F308</f>
        <v/>
      </c>
      <c r="J308" s="184" t="n"/>
      <c r="K308" s="185" t="n"/>
      <c r="L308" s="8" t="n"/>
      <c r="M308" s="71">
        <f>L308</f>
        <v/>
      </c>
      <c r="N308" s="71" t="n"/>
      <c r="O308" s="101" t="n"/>
      <c r="P308" s="9">
        <f>I308-M308</f>
        <v/>
      </c>
      <c r="Q308" s="9">
        <f>IF(LEFT(B308,4)&lt;&gt;"    ",0,BN308)</f>
        <v/>
      </c>
      <c r="R308" s="9">
        <f>+P308-Q308</f>
        <v/>
      </c>
      <c r="S308" s="281" t="n"/>
      <c r="T308" s="10" t="n"/>
      <c r="U308" s="23">
        <f>IF(LEFT(B308,4)&lt;&gt;"    ","",IF(M308&lt;&gt;0,X308/M308,0))</f>
        <v/>
      </c>
      <c r="V308" s="11">
        <f>IF(LEFT(B308,4)&lt;&gt;"    ","",U308*I308)</f>
        <v/>
      </c>
      <c r="W308" s="11">
        <f>IF(LEFT(B308,4)&lt;&gt;"    ","",X308+Z308)</f>
        <v/>
      </c>
      <c r="X308" s="8" t="n"/>
      <c r="Y308" s="9">
        <f>IF(LEFT(B308,4)&lt;&gt;"    ",0,IF(P308&lt;0,P308,IF(U308&gt;0.3,W308-X308,0)))</f>
        <v/>
      </c>
      <c r="Z308" s="71">
        <f>Y308</f>
        <v/>
      </c>
      <c r="AA308" s="71" t="n"/>
      <c r="AB308" s="109" t="n"/>
      <c r="AC308" s="9">
        <f>IF(LEFT(B308,4)&lt;&gt;"    ",0,BK308)</f>
        <v/>
      </c>
      <c r="AD308" s="9">
        <f>Z308-AC308</f>
        <v/>
      </c>
      <c r="AE308" s="10" t="n"/>
      <c r="AF308" s="24" t="n"/>
      <c r="AG308" s="11" t="n"/>
      <c r="AH308" s="8" t="n"/>
      <c r="AI308" s="9">
        <f>IF(LEFT(B308,4)&lt;&gt;"    ","",AG308-AH308)</f>
        <v/>
      </c>
      <c r="AJ308" s="9" t="n"/>
      <c r="AK308" s="10" t="n"/>
      <c r="AL308" s="11">
        <f>IF(LEFT(B308,4)&lt;&gt;"    ","",W308-AG308)</f>
        <v/>
      </c>
      <c r="AM308" s="8">
        <f>IF(LEFT(B308,4)&lt;&gt;"    ","",X308-AH308)</f>
        <v/>
      </c>
      <c r="AN308" s="9">
        <f>IF(LEFT(B308,4)&lt;&gt;"    ","",Y308-AI308)</f>
        <v/>
      </c>
      <c r="AO308" s="9">
        <f>IF(LEFT(B308,4)&lt;&gt;"    ","",Z308-AJ308)</f>
        <v/>
      </c>
      <c r="AP308" s="10" t="n"/>
      <c r="AQ308" s="25">
        <f>IF(LEFT(B308,4)&lt;&gt;"    ","",I308-W308)</f>
        <v/>
      </c>
      <c r="AR308" s="25">
        <f>M308-X308</f>
        <v/>
      </c>
      <c r="AS308" s="25">
        <f>IF(LEFT(B308,4)&lt;&gt;"    ","",P308-Z308)</f>
        <v/>
      </c>
      <c r="AT308" s="10" t="n"/>
      <c r="AU308" s="12" t="n"/>
      <c r="AV308" s="12">
        <f>IF(LEFT(B308,4)&lt;&gt;"    ","",IF(W308-AU308&gt;=0,W308-AU308," "))</f>
        <v/>
      </c>
      <c r="AW308" s="12">
        <f>IF(LEFT(B308,4)&lt;&gt;"    ","",IF(AU308-W308&gt;=0,AU308-W308," "))</f>
        <v/>
      </c>
      <c r="AX308" s="186" t="n"/>
      <c r="AY308" s="187" t="n"/>
      <c r="AZ308" s="186" t="n"/>
      <c r="BA308" s="186" t="n"/>
      <c r="BB308" s="188" t="n"/>
      <c r="BC308" s="187" t="n"/>
      <c r="BD308" s="187" t="n"/>
      <c r="BE308" s="186" t="n"/>
      <c r="BF308" s="186" t="n"/>
      <c r="BG308" s="186" t="n"/>
      <c r="BH308" s="186" t="n"/>
      <c r="BI308" s="186" t="n"/>
      <c r="BJ308" s="186" t="n"/>
      <c r="BK308" s="186" t="n"/>
      <c r="BL308" s="186" t="n"/>
      <c r="BM308" s="186" t="n"/>
      <c r="BN308" s="186" t="n"/>
      <c r="BO308" s="186" t="n"/>
      <c r="BP308" s="186" t="n"/>
      <c r="BQ308" s="186" t="n"/>
      <c r="BR308" s="186" t="n"/>
      <c r="BS308" s="186" t="n"/>
      <c r="BT308" s="186" t="n"/>
      <c r="BU308" s="186" t="n"/>
      <c r="BV308" s="186" t="n"/>
      <c r="BW308" s="186" t="n"/>
      <c r="BX308" s="186" t="n"/>
      <c r="BY308" s="186" t="n"/>
      <c r="BZ308" s="186" t="n"/>
      <c r="CA308" s="186" t="n"/>
      <c r="CB308" s="186" t="n"/>
      <c r="CC308" s="190" t="n"/>
      <c r="CD308" s="186" t="n"/>
      <c r="CE308" s="186" t="n"/>
      <c r="CF308" s="186" t="n"/>
      <c r="CG308" s="186" t="n"/>
      <c r="CH308" s="186" t="n"/>
      <c r="CI308" s="191" t="n"/>
      <c r="CJ308" s="192" t="n"/>
      <c r="CK308" s="192" t="n"/>
      <c r="CL308" s="192" t="n"/>
      <c r="CM308" s="192" t="n"/>
    </row>
    <row r="309">
      <c r="A309" s="177" t="n"/>
      <c r="B309" s="178" t="n"/>
      <c r="C309" s="178" t="n"/>
      <c r="D309" s="179" t="n"/>
      <c r="E309" s="180" t="n"/>
      <c r="F309" s="181" t="n"/>
      <c r="G309" s="182" t="n"/>
      <c r="H309" s="105" t="n"/>
      <c r="I309" s="196">
        <f>F309</f>
        <v/>
      </c>
      <c r="J309" s="184" t="n"/>
      <c r="K309" s="185" t="n"/>
      <c r="L309" s="8" t="n"/>
      <c r="M309" s="71">
        <f>L309</f>
        <v/>
      </c>
      <c r="N309" s="71" t="n"/>
      <c r="O309" s="101" t="n"/>
      <c r="P309" s="9">
        <f>I309-M309</f>
        <v/>
      </c>
      <c r="Q309" s="9">
        <f>IF(LEFT(B309,4)&lt;&gt;"    ",0,BN309)</f>
        <v/>
      </c>
      <c r="R309" s="9">
        <f>+P309-Q309</f>
        <v/>
      </c>
      <c r="S309" s="281" t="n"/>
      <c r="T309" s="10" t="n"/>
      <c r="U309" s="23">
        <f>IF(LEFT(B309,4)&lt;&gt;"    ","",IF(M309&lt;&gt;0,X309/M309,0))</f>
        <v/>
      </c>
      <c r="V309" s="11">
        <f>IF(LEFT(B309,4)&lt;&gt;"    ","",U309*I309)</f>
        <v/>
      </c>
      <c r="W309" s="11">
        <f>IF(LEFT(B309,4)&lt;&gt;"    ","",X309+Z309)</f>
        <v/>
      </c>
      <c r="X309" s="8" t="n"/>
      <c r="Y309" s="9">
        <f>IF(LEFT(B309,4)&lt;&gt;"    ",0,IF(P309&lt;0,P309,IF(U309&gt;0.3,W309-X309,0)))</f>
        <v/>
      </c>
      <c r="Z309" s="71">
        <f>Y309</f>
        <v/>
      </c>
      <c r="AA309" s="71" t="n"/>
      <c r="AB309" s="109" t="n"/>
      <c r="AC309" s="9">
        <f>IF(LEFT(B309,4)&lt;&gt;"    ",0,BK309)</f>
        <v/>
      </c>
      <c r="AD309" s="9">
        <f>Z309-AC309</f>
        <v/>
      </c>
      <c r="AE309" s="10" t="n"/>
      <c r="AF309" s="24" t="n"/>
      <c r="AG309" s="11" t="n"/>
      <c r="AH309" s="8" t="n"/>
      <c r="AI309" s="9">
        <f>IF(LEFT(B309,4)&lt;&gt;"    ","",AG309-AH309)</f>
        <v/>
      </c>
      <c r="AJ309" s="9" t="n"/>
      <c r="AK309" s="10" t="n"/>
      <c r="AL309" s="11">
        <f>IF(LEFT(B309,4)&lt;&gt;"    ","",W309-AG309)</f>
        <v/>
      </c>
      <c r="AM309" s="8">
        <f>IF(LEFT(B309,4)&lt;&gt;"    ","",X309-AH309)</f>
        <v/>
      </c>
      <c r="AN309" s="9">
        <f>IF(LEFT(B309,4)&lt;&gt;"    ","",Y309-AI309)</f>
        <v/>
      </c>
      <c r="AO309" s="9">
        <f>IF(LEFT(B309,4)&lt;&gt;"    ","",Z309-AJ309)</f>
        <v/>
      </c>
      <c r="AP309" s="10" t="n"/>
      <c r="AQ309" s="25">
        <f>IF(LEFT(B309,4)&lt;&gt;"    ","",I309-W309)</f>
        <v/>
      </c>
      <c r="AR309" s="25">
        <f>M309-X309</f>
        <v/>
      </c>
      <c r="AS309" s="25">
        <f>IF(LEFT(B309,4)&lt;&gt;"    ","",P309-Z309)</f>
        <v/>
      </c>
      <c r="AT309" s="10" t="n"/>
      <c r="AU309" s="12" t="n"/>
      <c r="AV309" s="12">
        <f>IF(LEFT(B309,4)&lt;&gt;"    ","",IF(W309-AU309&gt;=0,W309-AU309," "))</f>
        <v/>
      </c>
      <c r="AW309" s="12">
        <f>IF(LEFT(B309,4)&lt;&gt;"    ","",IF(AU309-W309&gt;=0,AU309-W309," "))</f>
        <v/>
      </c>
      <c r="AX309" s="186" t="n"/>
      <c r="AY309" s="187" t="n"/>
      <c r="AZ309" s="186" t="n"/>
      <c r="BA309" s="186" t="n"/>
      <c r="BB309" s="188" t="n"/>
      <c r="BC309" s="187" t="n"/>
      <c r="BD309" s="187" t="n"/>
      <c r="BE309" s="186" t="n"/>
      <c r="BF309" s="186" t="n"/>
      <c r="BG309" s="186" t="n"/>
      <c r="BH309" s="186" t="n"/>
      <c r="BI309" s="186" t="n"/>
      <c r="BJ309" s="186" t="n"/>
      <c r="BK309" s="186" t="n"/>
      <c r="BL309" s="186" t="n"/>
      <c r="BM309" s="186" t="n"/>
      <c r="BN309" s="186" t="n"/>
      <c r="BO309" s="186" t="n"/>
      <c r="BP309" s="186" t="n"/>
      <c r="BQ309" s="186" t="n"/>
      <c r="BR309" s="186" t="n"/>
      <c r="BS309" s="186" t="n"/>
      <c r="BT309" s="186" t="n"/>
      <c r="BU309" s="186" t="n"/>
      <c r="BV309" s="186" t="n"/>
      <c r="BW309" s="186" t="n"/>
      <c r="BX309" s="186" t="n"/>
      <c r="BY309" s="186" t="n"/>
      <c r="BZ309" s="186" t="n"/>
      <c r="CA309" s="186" t="n"/>
      <c r="CB309" s="186" t="n"/>
      <c r="CC309" s="190" t="n"/>
      <c r="CD309" s="186" t="n"/>
      <c r="CE309" s="186" t="n"/>
      <c r="CF309" s="186" t="n"/>
      <c r="CG309" s="186" t="n"/>
      <c r="CH309" s="186" t="n"/>
      <c r="CI309" s="191" t="n"/>
      <c r="CJ309" s="192" t="n"/>
      <c r="CK309" s="192" t="n"/>
      <c r="CL309" s="192" t="n"/>
      <c r="CM309" s="192" t="n"/>
    </row>
    <row r="310">
      <c r="A310" s="177" t="n"/>
      <c r="B310" s="178" t="n"/>
      <c r="C310" s="178" t="n"/>
      <c r="D310" s="179" t="n"/>
      <c r="E310" s="180" t="n"/>
      <c r="F310" s="181" t="n"/>
      <c r="G310" s="182" t="n"/>
      <c r="H310" s="105" t="n"/>
      <c r="I310" s="196">
        <f>F310</f>
        <v/>
      </c>
      <c r="J310" s="184" t="n"/>
      <c r="K310" s="185" t="n"/>
      <c r="L310" s="8" t="n"/>
      <c r="M310" s="71">
        <f>L310</f>
        <v/>
      </c>
      <c r="N310" s="71" t="n"/>
      <c r="O310" s="101" t="n"/>
      <c r="P310" s="9">
        <f>I310-M310</f>
        <v/>
      </c>
      <c r="Q310" s="9">
        <f>IF(LEFT(B310,4)&lt;&gt;"    ",0,BN310)</f>
        <v/>
      </c>
      <c r="R310" s="9">
        <f>+P310-Q310</f>
        <v/>
      </c>
      <c r="S310" s="281" t="n"/>
      <c r="T310" s="10" t="n"/>
      <c r="U310" s="23">
        <f>IF(LEFT(B310,4)&lt;&gt;"    ","",IF(M310&lt;&gt;0,X310/M310,0))</f>
        <v/>
      </c>
      <c r="V310" s="11">
        <f>IF(LEFT(B310,4)&lt;&gt;"    ","",U310*I310)</f>
        <v/>
      </c>
      <c r="W310" s="11">
        <f>IF(LEFT(B310,4)&lt;&gt;"    ","",X310+Z310)</f>
        <v/>
      </c>
      <c r="X310" s="8" t="n"/>
      <c r="Y310" s="9">
        <f>IF(LEFT(B310,4)&lt;&gt;"    ",0,IF(P310&lt;0,P310,IF(U310&gt;0.3,W310-X310,0)))</f>
        <v/>
      </c>
      <c r="Z310" s="71">
        <f>Y310</f>
        <v/>
      </c>
      <c r="AA310" s="71" t="n"/>
      <c r="AB310" s="109" t="n"/>
      <c r="AC310" s="9">
        <f>IF(LEFT(B310,4)&lt;&gt;"    ",0,BK310)</f>
        <v/>
      </c>
      <c r="AD310" s="9">
        <f>Z310-AC310</f>
        <v/>
      </c>
      <c r="AE310" s="10" t="n"/>
      <c r="AF310" s="24" t="n"/>
      <c r="AG310" s="11" t="n"/>
      <c r="AH310" s="8" t="n"/>
      <c r="AI310" s="9">
        <f>IF(LEFT(B310,4)&lt;&gt;"    ","",AG310-AH310)</f>
        <v/>
      </c>
      <c r="AJ310" s="9" t="n"/>
      <c r="AK310" s="10" t="n"/>
      <c r="AL310" s="11">
        <f>IF(LEFT(B310,4)&lt;&gt;"    ","",W310-AG310)</f>
        <v/>
      </c>
      <c r="AM310" s="8">
        <f>IF(LEFT(B310,4)&lt;&gt;"    ","",X310-AH310)</f>
        <v/>
      </c>
      <c r="AN310" s="9">
        <f>IF(LEFT(B310,4)&lt;&gt;"    ","",Y310-AI310)</f>
        <v/>
      </c>
      <c r="AO310" s="9">
        <f>IF(LEFT(B310,4)&lt;&gt;"    ","",Z310-AJ310)</f>
        <v/>
      </c>
      <c r="AP310" s="10" t="n"/>
      <c r="AQ310" s="25">
        <f>IF(LEFT(B310,4)&lt;&gt;"    ","",I310-W310)</f>
        <v/>
      </c>
      <c r="AR310" s="25">
        <f>M310-X310</f>
        <v/>
      </c>
      <c r="AS310" s="25">
        <f>IF(LEFT(B310,4)&lt;&gt;"    ","",P310-Z310)</f>
        <v/>
      </c>
      <c r="AT310" s="10" t="n"/>
      <c r="AU310" s="12" t="n"/>
      <c r="AV310" s="12">
        <f>IF(LEFT(B310,4)&lt;&gt;"    ","",IF(W310-AU310&gt;=0,W310-AU310," "))</f>
        <v/>
      </c>
      <c r="AW310" s="12">
        <f>IF(LEFT(B310,4)&lt;&gt;"    ","",IF(AU310-W310&gt;=0,AU310-W310," "))</f>
        <v/>
      </c>
      <c r="AX310" s="186" t="n"/>
      <c r="AY310" s="187" t="n"/>
      <c r="AZ310" s="186" t="n"/>
      <c r="BA310" s="186" t="n"/>
      <c r="BB310" s="188" t="n"/>
      <c r="BC310" s="187" t="n"/>
      <c r="BD310" s="187" t="n"/>
      <c r="BE310" s="186" t="n"/>
      <c r="BF310" s="186" t="n"/>
      <c r="BG310" s="186" t="n"/>
      <c r="BH310" s="186" t="n"/>
      <c r="BI310" s="186" t="n"/>
      <c r="BJ310" s="186" t="n"/>
      <c r="BK310" s="186" t="n"/>
      <c r="BL310" s="186" t="n"/>
      <c r="BM310" s="186" t="n"/>
      <c r="BN310" s="186" t="n"/>
      <c r="BO310" s="186" t="n"/>
      <c r="BP310" s="186" t="n"/>
      <c r="BQ310" s="186" t="n"/>
      <c r="BR310" s="186" t="n"/>
      <c r="BS310" s="186" t="n"/>
      <c r="BT310" s="186" t="n"/>
      <c r="BU310" s="186" t="n"/>
      <c r="BV310" s="186" t="n"/>
      <c r="BW310" s="186" t="n"/>
      <c r="BX310" s="186" t="n"/>
      <c r="BY310" s="186" t="n"/>
      <c r="BZ310" s="186" t="n"/>
      <c r="CA310" s="186" t="n"/>
      <c r="CB310" s="186" t="n"/>
      <c r="CC310" s="190" t="n"/>
      <c r="CD310" s="186" t="n"/>
      <c r="CE310" s="186" t="n"/>
      <c r="CF310" s="186" t="n"/>
      <c r="CG310" s="186" t="n"/>
      <c r="CH310" s="186" t="n"/>
      <c r="CI310" s="191" t="n"/>
      <c r="CJ310" s="192" t="n"/>
      <c r="CK310" s="192" t="n"/>
      <c r="CL310" s="192" t="n"/>
      <c r="CM310" s="192" t="n"/>
    </row>
    <row r="311">
      <c r="A311" s="177" t="n"/>
      <c r="B311" s="178" t="n"/>
      <c r="C311" s="178" t="n"/>
      <c r="D311" s="179" t="n"/>
      <c r="E311" s="180" t="n"/>
      <c r="F311" s="181" t="n"/>
      <c r="G311" s="182" t="n"/>
      <c r="H311" s="105" t="n"/>
      <c r="I311" s="196">
        <f>F311</f>
        <v/>
      </c>
      <c r="J311" s="184" t="n"/>
      <c r="K311" s="185" t="n"/>
      <c r="L311" s="8" t="n"/>
      <c r="M311" s="71">
        <f>L311</f>
        <v/>
      </c>
      <c r="N311" s="71" t="n"/>
      <c r="O311" s="101" t="n"/>
      <c r="P311" s="9">
        <f>I311-M311</f>
        <v/>
      </c>
      <c r="Q311" s="9">
        <f>IF(LEFT(B311,4)&lt;&gt;"    ",0,BN311)</f>
        <v/>
      </c>
      <c r="R311" s="9">
        <f>+P311-Q311</f>
        <v/>
      </c>
      <c r="S311" s="281" t="n"/>
      <c r="T311" s="10" t="n"/>
      <c r="U311" s="23">
        <f>IF(LEFT(B311,4)&lt;&gt;"    ","",IF(M311&lt;&gt;0,X311/M311,0))</f>
        <v/>
      </c>
      <c r="V311" s="11">
        <f>IF(LEFT(B311,4)&lt;&gt;"    ","",U311*I311)</f>
        <v/>
      </c>
      <c r="W311" s="11">
        <f>IF(LEFT(B311,4)&lt;&gt;"    ","",X311+Z311)</f>
        <v/>
      </c>
      <c r="X311" s="8" t="n"/>
      <c r="Y311" s="9">
        <f>IF(LEFT(B311,4)&lt;&gt;"    ",0,IF(P311&lt;0,P311,IF(U311&gt;0.3,W311-X311,0)))</f>
        <v/>
      </c>
      <c r="Z311" s="71">
        <f>Y311</f>
        <v/>
      </c>
      <c r="AA311" s="71" t="n"/>
      <c r="AB311" s="109" t="n"/>
      <c r="AC311" s="9">
        <f>IF(LEFT(B311,4)&lt;&gt;"    ",0,BK311)</f>
        <v/>
      </c>
      <c r="AD311" s="9">
        <f>Z311-AC311</f>
        <v/>
      </c>
      <c r="AE311" s="10" t="n"/>
      <c r="AF311" s="24" t="n"/>
      <c r="AG311" s="11" t="n"/>
      <c r="AH311" s="8" t="n"/>
      <c r="AI311" s="9">
        <f>IF(LEFT(B311,4)&lt;&gt;"    ","",AG311-AH311)</f>
        <v/>
      </c>
      <c r="AJ311" s="9" t="n"/>
      <c r="AK311" s="10" t="n"/>
      <c r="AL311" s="11">
        <f>IF(LEFT(B311,4)&lt;&gt;"    ","",W311-AG311)</f>
        <v/>
      </c>
      <c r="AM311" s="8">
        <f>IF(LEFT(B311,4)&lt;&gt;"    ","",X311-AH311)</f>
        <v/>
      </c>
      <c r="AN311" s="9">
        <f>IF(LEFT(B311,4)&lt;&gt;"    ","",Y311-AI311)</f>
        <v/>
      </c>
      <c r="AO311" s="9">
        <f>IF(LEFT(B311,4)&lt;&gt;"    ","",Z311-AJ311)</f>
        <v/>
      </c>
      <c r="AP311" s="10" t="n"/>
      <c r="AQ311" s="25">
        <f>IF(LEFT(B311,4)&lt;&gt;"    ","",I311-W311)</f>
        <v/>
      </c>
      <c r="AR311" s="25">
        <f>M311-X311</f>
        <v/>
      </c>
      <c r="AS311" s="25">
        <f>IF(LEFT(B311,4)&lt;&gt;"    ","",P311-Z311)</f>
        <v/>
      </c>
      <c r="AT311" s="10" t="n"/>
      <c r="AU311" s="12" t="n"/>
      <c r="AV311" s="12">
        <f>IF(LEFT(B311,4)&lt;&gt;"    ","",IF(W311-AU311&gt;=0,W311-AU311," "))</f>
        <v/>
      </c>
      <c r="AW311" s="12">
        <f>IF(LEFT(B311,4)&lt;&gt;"    ","",IF(AU311-W311&gt;=0,AU311-W311," "))</f>
        <v/>
      </c>
      <c r="AX311" s="186" t="n"/>
      <c r="AY311" s="187" t="n"/>
      <c r="AZ311" s="186" t="n"/>
      <c r="BA311" s="186" t="n"/>
      <c r="BB311" s="188" t="n"/>
      <c r="BC311" s="187" t="n"/>
      <c r="BD311" s="187" t="n"/>
      <c r="BE311" s="186" t="n"/>
      <c r="BF311" s="186" t="n"/>
      <c r="BG311" s="186" t="n"/>
      <c r="BH311" s="186" t="n"/>
      <c r="BI311" s="186" t="n"/>
      <c r="BJ311" s="186" t="n"/>
      <c r="BK311" s="186" t="n"/>
      <c r="BL311" s="186" t="n"/>
      <c r="BM311" s="186" t="n"/>
      <c r="BN311" s="186" t="n"/>
      <c r="BO311" s="186" t="n"/>
      <c r="BP311" s="186" t="n"/>
      <c r="BQ311" s="186" t="n"/>
      <c r="BR311" s="186" t="n"/>
      <c r="BS311" s="186" t="n"/>
      <c r="BT311" s="186" t="n"/>
      <c r="BU311" s="186" t="n"/>
      <c r="BV311" s="186" t="n"/>
      <c r="BW311" s="186" t="n"/>
      <c r="BX311" s="186" t="n"/>
      <c r="BY311" s="186" t="n"/>
      <c r="BZ311" s="186" t="n"/>
      <c r="CA311" s="186" t="n"/>
      <c r="CB311" s="186" t="n"/>
      <c r="CC311" s="190" t="n"/>
      <c r="CD311" s="186" t="n"/>
      <c r="CE311" s="186" t="n"/>
      <c r="CF311" s="186" t="n"/>
      <c r="CG311" s="186" t="n"/>
      <c r="CH311" s="186" t="n"/>
      <c r="CI311" s="191" t="n"/>
      <c r="CJ311" s="192" t="n"/>
      <c r="CK311" s="192" t="n"/>
      <c r="CL311" s="192" t="n"/>
      <c r="CM311" s="192" t="n"/>
    </row>
    <row r="312">
      <c r="A312" s="177" t="n"/>
      <c r="B312" s="178" t="n"/>
      <c r="C312" s="178" t="n"/>
      <c r="D312" s="179" t="n"/>
      <c r="E312" s="180" t="n"/>
      <c r="F312" s="181" t="n"/>
      <c r="G312" s="182" t="n"/>
      <c r="H312" s="105" t="n"/>
      <c r="I312" s="196">
        <f>F312</f>
        <v/>
      </c>
      <c r="J312" s="184" t="n"/>
      <c r="K312" s="185" t="n"/>
      <c r="L312" s="8" t="n"/>
      <c r="M312" s="71">
        <f>L312</f>
        <v/>
      </c>
      <c r="N312" s="71" t="n"/>
      <c r="O312" s="101" t="n"/>
      <c r="P312" s="9">
        <f>I312-M312</f>
        <v/>
      </c>
      <c r="Q312" s="9">
        <f>IF(LEFT(B312,4)&lt;&gt;"    ",0,BN312)</f>
        <v/>
      </c>
      <c r="R312" s="9">
        <f>+P312-Q312</f>
        <v/>
      </c>
      <c r="S312" s="281" t="n"/>
      <c r="T312" s="10" t="n"/>
      <c r="U312" s="23">
        <f>IF(LEFT(B312,4)&lt;&gt;"    ","",IF(M312&lt;&gt;0,X312/M312,0))</f>
        <v/>
      </c>
      <c r="V312" s="11">
        <f>IF(LEFT(B312,4)&lt;&gt;"    ","",U312*I312)</f>
        <v/>
      </c>
      <c r="W312" s="11">
        <f>IF(LEFT(B312,4)&lt;&gt;"    ","",X312+Z312)</f>
        <v/>
      </c>
      <c r="X312" s="8" t="n"/>
      <c r="Y312" s="9">
        <f>IF(LEFT(B312,4)&lt;&gt;"    ",0,IF(P312&lt;0,P312,IF(U312&gt;0.3,W312-X312,0)))</f>
        <v/>
      </c>
      <c r="Z312" s="71">
        <f>Y312</f>
        <v/>
      </c>
      <c r="AA312" s="71" t="n"/>
      <c r="AB312" s="109" t="n"/>
      <c r="AC312" s="9">
        <f>IF(LEFT(B312,4)&lt;&gt;"    ",0,BK312)</f>
        <v/>
      </c>
      <c r="AD312" s="9">
        <f>Z312-AC312</f>
        <v/>
      </c>
      <c r="AE312" s="10" t="n"/>
      <c r="AF312" s="24" t="n"/>
      <c r="AG312" s="11" t="n"/>
      <c r="AH312" s="8" t="n"/>
      <c r="AI312" s="9">
        <f>IF(LEFT(B312,4)&lt;&gt;"    ","",AG312-AH312)</f>
        <v/>
      </c>
      <c r="AJ312" s="9" t="n"/>
      <c r="AK312" s="10" t="n"/>
      <c r="AL312" s="11">
        <f>IF(LEFT(B312,4)&lt;&gt;"    ","",W312-AG312)</f>
        <v/>
      </c>
      <c r="AM312" s="8">
        <f>IF(LEFT(B312,4)&lt;&gt;"    ","",X312-AH312)</f>
        <v/>
      </c>
      <c r="AN312" s="9">
        <f>IF(LEFT(B312,4)&lt;&gt;"    ","",Y312-AI312)</f>
        <v/>
      </c>
      <c r="AO312" s="9">
        <f>IF(LEFT(B312,4)&lt;&gt;"    ","",Z312-AJ312)</f>
        <v/>
      </c>
      <c r="AP312" s="10" t="n"/>
      <c r="AQ312" s="25">
        <f>IF(LEFT(B312,4)&lt;&gt;"    ","",I312-W312)</f>
        <v/>
      </c>
      <c r="AR312" s="25">
        <f>M312-X312</f>
        <v/>
      </c>
      <c r="AS312" s="25">
        <f>IF(LEFT(B312,4)&lt;&gt;"    ","",P312-Z312)</f>
        <v/>
      </c>
      <c r="AT312" s="10" t="n"/>
      <c r="AU312" s="12" t="n"/>
      <c r="AV312" s="12">
        <f>IF(LEFT(B312,4)&lt;&gt;"    ","",IF(W312-AU312&gt;=0,W312-AU312," "))</f>
        <v/>
      </c>
      <c r="AW312" s="12">
        <f>IF(LEFT(B312,4)&lt;&gt;"    ","",IF(AU312-W312&gt;=0,AU312-W312," "))</f>
        <v/>
      </c>
      <c r="AX312" s="186" t="n"/>
      <c r="AY312" s="187" t="n"/>
      <c r="AZ312" s="186" t="n"/>
      <c r="BA312" s="186" t="n"/>
      <c r="BB312" s="188" t="n"/>
      <c r="BC312" s="187" t="n"/>
      <c r="BD312" s="187" t="n"/>
      <c r="BE312" s="186" t="n"/>
      <c r="BF312" s="186" t="n"/>
      <c r="BG312" s="186" t="n"/>
      <c r="BH312" s="186" t="n"/>
      <c r="BI312" s="186" t="n"/>
      <c r="BJ312" s="186" t="n"/>
      <c r="BK312" s="186" t="n"/>
      <c r="BL312" s="186" t="n"/>
      <c r="BM312" s="186" t="n"/>
      <c r="BN312" s="186" t="n"/>
      <c r="BO312" s="186" t="n"/>
      <c r="BP312" s="186" t="n"/>
      <c r="BQ312" s="186" t="n"/>
      <c r="BR312" s="186" t="n"/>
      <c r="BS312" s="186" t="n"/>
      <c r="BT312" s="186" t="n"/>
      <c r="BU312" s="186" t="n"/>
      <c r="BV312" s="186" t="n"/>
      <c r="BW312" s="186" t="n"/>
      <c r="BX312" s="186" t="n"/>
      <c r="BY312" s="186" t="n"/>
      <c r="BZ312" s="186" t="n"/>
      <c r="CA312" s="186" t="n"/>
      <c r="CB312" s="186" t="n"/>
      <c r="CC312" s="190" t="n"/>
      <c r="CD312" s="186" t="n"/>
      <c r="CE312" s="186" t="n"/>
      <c r="CF312" s="186" t="n"/>
      <c r="CG312" s="186" t="n"/>
      <c r="CH312" s="186" t="n"/>
      <c r="CI312" s="191" t="n"/>
      <c r="CJ312" s="192" t="n"/>
      <c r="CK312" s="192" t="n"/>
      <c r="CL312" s="192" t="n"/>
      <c r="CM312" s="192" t="n"/>
    </row>
    <row r="313">
      <c r="A313" s="177" t="n"/>
      <c r="B313" s="178" t="n"/>
      <c r="C313" s="178" t="n"/>
      <c r="D313" s="179" t="n"/>
      <c r="E313" s="180" t="n"/>
      <c r="F313" s="181" t="n"/>
      <c r="G313" s="182" t="n"/>
      <c r="H313" s="105" t="n"/>
      <c r="I313" s="196">
        <f>F313</f>
        <v/>
      </c>
      <c r="J313" s="184" t="n"/>
      <c r="K313" s="185" t="n"/>
      <c r="L313" s="8" t="n"/>
      <c r="M313" s="71">
        <f>L313</f>
        <v/>
      </c>
      <c r="N313" s="71" t="n"/>
      <c r="O313" s="101" t="n"/>
      <c r="P313" s="9">
        <f>I313-M313</f>
        <v/>
      </c>
      <c r="Q313" s="9">
        <f>IF(LEFT(B313,4)&lt;&gt;"    ",0,BN313)</f>
        <v/>
      </c>
      <c r="R313" s="9">
        <f>+P313-Q313</f>
        <v/>
      </c>
      <c r="S313" s="281" t="n"/>
      <c r="T313" s="10" t="n"/>
      <c r="U313" s="23">
        <f>IF(LEFT(B313,4)&lt;&gt;"    ","",IF(M313&lt;&gt;0,X313/M313,0))</f>
        <v/>
      </c>
      <c r="V313" s="11">
        <f>IF(LEFT(B313,4)&lt;&gt;"    ","",U313*I313)</f>
        <v/>
      </c>
      <c r="W313" s="11">
        <f>IF(LEFT(B313,4)&lt;&gt;"    ","",X313+Z313)</f>
        <v/>
      </c>
      <c r="X313" s="8" t="n"/>
      <c r="Y313" s="9">
        <f>IF(LEFT(B313,4)&lt;&gt;"    ",0,IF(P313&lt;0,P313,IF(U313&gt;0.3,W313-X313,0)))</f>
        <v/>
      </c>
      <c r="Z313" s="71">
        <f>Y313</f>
        <v/>
      </c>
      <c r="AA313" s="71" t="n"/>
      <c r="AB313" s="109" t="n"/>
      <c r="AC313" s="9">
        <f>IF(LEFT(B313,4)&lt;&gt;"    ",0,BK313)</f>
        <v/>
      </c>
      <c r="AD313" s="9">
        <f>Z313-AC313</f>
        <v/>
      </c>
      <c r="AE313" s="10" t="n"/>
      <c r="AF313" s="24" t="n"/>
      <c r="AG313" s="11" t="n"/>
      <c r="AH313" s="8" t="n"/>
      <c r="AI313" s="9">
        <f>IF(LEFT(B313,4)&lt;&gt;"    ","",AG313-AH313)</f>
        <v/>
      </c>
      <c r="AJ313" s="9" t="n"/>
      <c r="AK313" s="10" t="n"/>
      <c r="AL313" s="11">
        <f>IF(LEFT(B313,4)&lt;&gt;"    ","",W313-AG313)</f>
        <v/>
      </c>
      <c r="AM313" s="8">
        <f>IF(LEFT(B313,4)&lt;&gt;"    ","",X313-AH313)</f>
        <v/>
      </c>
      <c r="AN313" s="9">
        <f>IF(LEFT(B313,4)&lt;&gt;"    ","",Y313-AI313)</f>
        <v/>
      </c>
      <c r="AO313" s="9">
        <f>IF(LEFT(B313,4)&lt;&gt;"    ","",Z313-AJ313)</f>
        <v/>
      </c>
      <c r="AP313" s="10" t="n"/>
      <c r="AQ313" s="25">
        <f>IF(LEFT(B313,4)&lt;&gt;"    ","",I313-W313)</f>
        <v/>
      </c>
      <c r="AR313" s="25">
        <f>M313-X313</f>
        <v/>
      </c>
      <c r="AS313" s="25">
        <f>IF(LEFT(B313,4)&lt;&gt;"    ","",P313-Z313)</f>
        <v/>
      </c>
      <c r="AT313" s="10" t="n"/>
      <c r="AU313" s="12" t="n"/>
      <c r="AV313" s="12">
        <f>IF(LEFT(B313,4)&lt;&gt;"    ","",IF(W313-AU313&gt;=0,W313-AU313," "))</f>
        <v/>
      </c>
      <c r="AW313" s="12">
        <f>IF(LEFT(B313,4)&lt;&gt;"    ","",IF(AU313-W313&gt;=0,AU313-W313," "))</f>
        <v/>
      </c>
      <c r="AX313" s="186" t="n"/>
      <c r="AY313" s="187" t="n"/>
      <c r="AZ313" s="186" t="n"/>
      <c r="BA313" s="186" t="n"/>
      <c r="BB313" s="188" t="n"/>
      <c r="BC313" s="187" t="n"/>
      <c r="BD313" s="187" t="n"/>
      <c r="BE313" s="186" t="n"/>
      <c r="BF313" s="186" t="n"/>
      <c r="BG313" s="186" t="n"/>
      <c r="BH313" s="186" t="n"/>
      <c r="BI313" s="186" t="n"/>
      <c r="BJ313" s="186" t="n"/>
      <c r="BK313" s="186" t="n"/>
      <c r="BL313" s="186" t="n"/>
      <c r="BM313" s="186" t="n"/>
      <c r="BN313" s="186" t="n"/>
      <c r="BO313" s="186" t="n"/>
      <c r="BP313" s="186" t="n"/>
      <c r="BQ313" s="186" t="n"/>
      <c r="BR313" s="186" t="n"/>
      <c r="BS313" s="186" t="n"/>
      <c r="BT313" s="186" t="n"/>
      <c r="BU313" s="186" t="n"/>
      <c r="BV313" s="186" t="n"/>
      <c r="BW313" s="186" t="n"/>
      <c r="BX313" s="186" t="n"/>
      <c r="BY313" s="186" t="n"/>
      <c r="BZ313" s="186" t="n"/>
      <c r="CA313" s="186" t="n"/>
      <c r="CB313" s="186" t="n"/>
      <c r="CC313" s="190" t="n"/>
      <c r="CD313" s="186" t="n"/>
      <c r="CE313" s="186" t="n"/>
      <c r="CF313" s="186" t="n"/>
      <c r="CG313" s="186" t="n"/>
      <c r="CH313" s="186" t="n"/>
      <c r="CI313" s="191" t="n"/>
      <c r="CJ313" s="192" t="n"/>
      <c r="CK313" s="192" t="n"/>
      <c r="CL313" s="192" t="n"/>
      <c r="CM313" s="192" t="n"/>
    </row>
    <row r="314">
      <c r="A314" s="177" t="n"/>
      <c r="B314" s="178" t="n"/>
      <c r="C314" s="178" t="n"/>
      <c r="D314" s="179" t="n"/>
      <c r="E314" s="180" t="n"/>
      <c r="F314" s="181" t="n"/>
      <c r="G314" s="182" t="n"/>
      <c r="H314" s="105" t="n"/>
      <c r="I314" s="196">
        <f>F314</f>
        <v/>
      </c>
      <c r="J314" s="184" t="n"/>
      <c r="K314" s="185" t="n"/>
      <c r="L314" s="8" t="n"/>
      <c r="M314" s="71">
        <f>L314</f>
        <v/>
      </c>
      <c r="N314" s="71" t="n"/>
      <c r="O314" s="101" t="n"/>
      <c r="P314" s="9">
        <f>I314-M314</f>
        <v/>
      </c>
      <c r="Q314" s="9">
        <f>IF(LEFT(B314,4)&lt;&gt;"    ",0,BN314)</f>
        <v/>
      </c>
      <c r="R314" s="9">
        <f>+P314-Q314</f>
        <v/>
      </c>
      <c r="S314" s="281" t="n"/>
      <c r="T314" s="10" t="n"/>
      <c r="U314" s="23">
        <f>IF(LEFT(B314,4)&lt;&gt;"    ","",IF(M314&lt;&gt;0,X314/M314,0))</f>
        <v/>
      </c>
      <c r="V314" s="11">
        <f>IF(LEFT(B314,4)&lt;&gt;"    ","",U314*I314)</f>
        <v/>
      </c>
      <c r="W314" s="11">
        <f>IF(LEFT(B314,4)&lt;&gt;"    ","",X314+Z314)</f>
        <v/>
      </c>
      <c r="X314" s="8" t="n"/>
      <c r="Y314" s="9">
        <f>IF(LEFT(B314,4)&lt;&gt;"    ",0,IF(P314&lt;0,P314,IF(U314&gt;0.3,W314-X314,0)))</f>
        <v/>
      </c>
      <c r="Z314" s="71">
        <f>Y314</f>
        <v/>
      </c>
      <c r="AA314" s="71" t="n"/>
      <c r="AB314" s="109" t="n"/>
      <c r="AC314" s="9">
        <f>IF(LEFT(B314,4)&lt;&gt;"    ",0,BK314)</f>
        <v/>
      </c>
      <c r="AD314" s="9">
        <f>Z314-AC314</f>
        <v/>
      </c>
      <c r="AE314" s="10" t="n"/>
      <c r="AF314" s="24" t="n"/>
      <c r="AG314" s="11" t="n"/>
      <c r="AH314" s="8" t="n"/>
      <c r="AI314" s="9">
        <f>IF(LEFT(B314,4)&lt;&gt;"    ","",AG314-AH314)</f>
        <v/>
      </c>
      <c r="AJ314" s="9" t="n"/>
      <c r="AK314" s="10" t="n"/>
      <c r="AL314" s="11">
        <f>IF(LEFT(B314,4)&lt;&gt;"    ","",W314-AG314)</f>
        <v/>
      </c>
      <c r="AM314" s="8">
        <f>IF(LEFT(B314,4)&lt;&gt;"    ","",X314-AH314)</f>
        <v/>
      </c>
      <c r="AN314" s="9">
        <f>IF(LEFT(B314,4)&lt;&gt;"    ","",Y314-AI314)</f>
        <v/>
      </c>
      <c r="AO314" s="9">
        <f>IF(LEFT(B314,4)&lt;&gt;"    ","",Z314-AJ314)</f>
        <v/>
      </c>
      <c r="AP314" s="10" t="n"/>
      <c r="AQ314" s="25">
        <f>IF(LEFT(B314,4)&lt;&gt;"    ","",I314-W314)</f>
        <v/>
      </c>
      <c r="AR314" s="25">
        <f>M314-X314</f>
        <v/>
      </c>
      <c r="AS314" s="25">
        <f>IF(LEFT(B314,4)&lt;&gt;"    ","",P314-Z314)</f>
        <v/>
      </c>
      <c r="AT314" s="10" t="n"/>
      <c r="AU314" s="12" t="n"/>
      <c r="AV314" s="12">
        <f>IF(LEFT(B314,4)&lt;&gt;"    ","",IF(W314-AU314&gt;=0,W314-AU314," "))</f>
        <v/>
      </c>
      <c r="AW314" s="12">
        <f>IF(LEFT(B314,4)&lt;&gt;"    ","",IF(AU314-W314&gt;=0,AU314-W314," "))</f>
        <v/>
      </c>
      <c r="AX314" s="186" t="n"/>
      <c r="AY314" s="187" t="n"/>
      <c r="AZ314" s="186" t="n"/>
      <c r="BA314" s="186" t="n"/>
      <c r="BB314" s="188" t="n"/>
      <c r="BC314" s="187" t="n"/>
      <c r="BD314" s="187" t="n"/>
      <c r="BE314" s="186" t="n"/>
      <c r="BF314" s="186" t="n"/>
      <c r="BG314" s="186" t="n"/>
      <c r="BH314" s="186" t="n"/>
      <c r="BI314" s="186" t="n"/>
      <c r="BJ314" s="186" t="n"/>
      <c r="BK314" s="186" t="n"/>
      <c r="BL314" s="186" t="n"/>
      <c r="BM314" s="186" t="n"/>
      <c r="BN314" s="186" t="n"/>
      <c r="BO314" s="186" t="n"/>
      <c r="BP314" s="186" t="n"/>
      <c r="BQ314" s="186" t="n"/>
      <c r="BR314" s="186" t="n"/>
      <c r="BS314" s="186" t="n"/>
      <c r="BT314" s="186" t="n"/>
      <c r="BU314" s="186" t="n"/>
      <c r="BV314" s="186" t="n"/>
      <c r="BW314" s="186" t="n"/>
      <c r="BX314" s="186" t="n"/>
      <c r="BY314" s="186" t="n"/>
      <c r="BZ314" s="186" t="n"/>
      <c r="CA314" s="186" t="n"/>
      <c r="CB314" s="186" t="n"/>
      <c r="CC314" s="190" t="n"/>
      <c r="CD314" s="186" t="n"/>
      <c r="CE314" s="186" t="n"/>
      <c r="CF314" s="186" t="n"/>
      <c r="CG314" s="186" t="n"/>
      <c r="CH314" s="186" t="n"/>
      <c r="CI314" s="191" t="n"/>
      <c r="CJ314" s="192" t="n"/>
      <c r="CK314" s="192" t="n"/>
      <c r="CL314" s="192" t="n"/>
      <c r="CM314" s="192" t="n"/>
    </row>
    <row r="315">
      <c r="A315" s="177" t="n"/>
      <c r="B315" s="178" t="n"/>
      <c r="C315" s="178" t="n"/>
      <c r="D315" s="179" t="n"/>
      <c r="E315" s="180" t="n"/>
      <c r="F315" s="181" t="n"/>
      <c r="G315" s="182" t="n"/>
      <c r="H315" s="105" t="n"/>
      <c r="I315" s="196">
        <f>F315</f>
        <v/>
      </c>
      <c r="J315" s="184" t="n"/>
      <c r="K315" s="185" t="n"/>
      <c r="L315" s="8" t="n"/>
      <c r="M315" s="71">
        <f>L315</f>
        <v/>
      </c>
      <c r="N315" s="71" t="n"/>
      <c r="O315" s="101" t="n"/>
      <c r="P315" s="9">
        <f>I315-M315</f>
        <v/>
      </c>
      <c r="Q315" s="9">
        <f>IF(LEFT(B315,4)&lt;&gt;"    ",0,BN315)</f>
        <v/>
      </c>
      <c r="R315" s="9">
        <f>+P315-Q315</f>
        <v/>
      </c>
      <c r="S315" s="281" t="n"/>
      <c r="T315" s="10" t="n"/>
      <c r="U315" s="23">
        <f>IF(LEFT(B315,4)&lt;&gt;"    ","",IF(M315&lt;&gt;0,X315/M315,0))</f>
        <v/>
      </c>
      <c r="V315" s="11">
        <f>IF(LEFT(B315,4)&lt;&gt;"    ","",U315*I315)</f>
        <v/>
      </c>
      <c r="W315" s="11">
        <f>IF(LEFT(B315,4)&lt;&gt;"    ","",X315+Z315)</f>
        <v/>
      </c>
      <c r="X315" s="8" t="n"/>
      <c r="Y315" s="9">
        <f>IF(LEFT(B315,4)&lt;&gt;"    ",0,IF(P315&lt;0,P315,IF(U315&gt;0.3,W315-X315,0)))</f>
        <v/>
      </c>
      <c r="Z315" s="71">
        <f>Y315</f>
        <v/>
      </c>
      <c r="AA315" s="71" t="n"/>
      <c r="AB315" s="109" t="n"/>
      <c r="AC315" s="9">
        <f>IF(LEFT(B315,4)&lt;&gt;"    ",0,BK315)</f>
        <v/>
      </c>
      <c r="AD315" s="9">
        <f>Z315-AC315</f>
        <v/>
      </c>
      <c r="AE315" s="10" t="n"/>
      <c r="AF315" s="24" t="n"/>
      <c r="AG315" s="11" t="n"/>
      <c r="AH315" s="8" t="n"/>
      <c r="AI315" s="9">
        <f>IF(LEFT(B315,4)&lt;&gt;"    ","",AG315-AH315)</f>
        <v/>
      </c>
      <c r="AJ315" s="9" t="n"/>
      <c r="AK315" s="10" t="n"/>
      <c r="AL315" s="11">
        <f>IF(LEFT(B315,4)&lt;&gt;"    ","",W315-AG315)</f>
        <v/>
      </c>
      <c r="AM315" s="8">
        <f>IF(LEFT(B315,4)&lt;&gt;"    ","",X315-AH315)</f>
        <v/>
      </c>
      <c r="AN315" s="9">
        <f>IF(LEFT(B315,4)&lt;&gt;"    ","",Y315-AI315)</f>
        <v/>
      </c>
      <c r="AO315" s="9">
        <f>IF(LEFT(B315,4)&lt;&gt;"    ","",Z315-AJ315)</f>
        <v/>
      </c>
      <c r="AP315" s="10" t="n"/>
      <c r="AQ315" s="25">
        <f>IF(LEFT(B315,4)&lt;&gt;"    ","",I315-W315)</f>
        <v/>
      </c>
      <c r="AR315" s="25">
        <f>M315-X315</f>
        <v/>
      </c>
      <c r="AS315" s="25">
        <f>IF(LEFT(B315,4)&lt;&gt;"    ","",P315-Z315)</f>
        <v/>
      </c>
      <c r="AT315" s="10" t="n"/>
      <c r="AU315" s="12" t="n"/>
      <c r="AV315" s="12">
        <f>IF(LEFT(B315,4)&lt;&gt;"    ","",IF(W315-AU315&gt;=0,W315-AU315," "))</f>
        <v/>
      </c>
      <c r="AW315" s="12">
        <f>IF(LEFT(B315,4)&lt;&gt;"    ","",IF(AU315-W315&gt;=0,AU315-W315," "))</f>
        <v/>
      </c>
      <c r="AX315" s="186" t="n"/>
      <c r="AY315" s="187" t="n"/>
      <c r="AZ315" s="186" t="n"/>
      <c r="BA315" s="186" t="n"/>
      <c r="BB315" s="188" t="n"/>
      <c r="BC315" s="187" t="n"/>
      <c r="BD315" s="187" t="n"/>
      <c r="BE315" s="186" t="n"/>
      <c r="BF315" s="186" t="n"/>
      <c r="BG315" s="186" t="n"/>
      <c r="BH315" s="186" t="n"/>
      <c r="BI315" s="186" t="n"/>
      <c r="BJ315" s="186" t="n"/>
      <c r="BK315" s="186" t="n"/>
      <c r="BL315" s="186" t="n"/>
      <c r="BM315" s="186" t="n"/>
      <c r="BN315" s="186" t="n"/>
      <c r="BO315" s="186" t="n"/>
      <c r="BP315" s="186" t="n"/>
      <c r="BQ315" s="186" t="n"/>
      <c r="BR315" s="186" t="n"/>
      <c r="BS315" s="186" t="n"/>
      <c r="BT315" s="186" t="n"/>
      <c r="BU315" s="186" t="n"/>
      <c r="BV315" s="186" t="n"/>
      <c r="BW315" s="186" t="n"/>
      <c r="BX315" s="186" t="n"/>
      <c r="BY315" s="186" t="n"/>
      <c r="BZ315" s="186" t="n"/>
      <c r="CA315" s="186" t="n"/>
      <c r="CB315" s="186" t="n"/>
      <c r="CC315" s="190" t="n"/>
      <c r="CD315" s="186" t="n"/>
      <c r="CE315" s="186" t="n"/>
      <c r="CF315" s="186" t="n"/>
      <c r="CG315" s="186" t="n"/>
      <c r="CH315" s="186" t="n"/>
      <c r="CI315" s="191" t="n"/>
      <c r="CJ315" s="192" t="n"/>
      <c r="CK315" s="192" t="n"/>
      <c r="CL315" s="192" t="n"/>
      <c r="CM315" s="192" t="n"/>
    </row>
    <row r="316">
      <c r="A316" s="177" t="n"/>
      <c r="B316" s="178" t="n"/>
      <c r="C316" s="178" t="n"/>
      <c r="D316" s="179" t="n"/>
      <c r="E316" s="180" t="n"/>
      <c r="F316" s="181" t="n"/>
      <c r="G316" s="182" t="n"/>
      <c r="H316" s="105" t="n"/>
      <c r="I316" s="196">
        <f>F316</f>
        <v/>
      </c>
      <c r="J316" s="184" t="n"/>
      <c r="K316" s="185" t="n"/>
      <c r="L316" s="8" t="n"/>
      <c r="M316" s="71">
        <f>L316</f>
        <v/>
      </c>
      <c r="N316" s="71" t="n"/>
      <c r="O316" s="101" t="n"/>
      <c r="P316" s="9">
        <f>I316-M316</f>
        <v/>
      </c>
      <c r="Q316" s="9">
        <f>IF(LEFT(B316,4)&lt;&gt;"    ",0,BN316)</f>
        <v/>
      </c>
      <c r="R316" s="9">
        <f>+P316-Q316</f>
        <v/>
      </c>
      <c r="S316" s="281" t="n"/>
      <c r="T316" s="10" t="n"/>
      <c r="U316" s="23">
        <f>IF(LEFT(B316,4)&lt;&gt;"    ","",IF(M316&lt;&gt;0,X316/M316,0))</f>
        <v/>
      </c>
      <c r="V316" s="11">
        <f>IF(LEFT(B316,4)&lt;&gt;"    ","",U316*I316)</f>
        <v/>
      </c>
      <c r="W316" s="11">
        <f>IF(LEFT(B316,4)&lt;&gt;"    ","",X316+Z316)</f>
        <v/>
      </c>
      <c r="X316" s="8" t="n"/>
      <c r="Y316" s="9">
        <f>IF(LEFT(B316,4)&lt;&gt;"    ",0,IF(P316&lt;0,P316,IF(U316&gt;0.3,W316-X316,0)))</f>
        <v/>
      </c>
      <c r="Z316" s="71">
        <f>Y316</f>
        <v/>
      </c>
      <c r="AA316" s="71" t="n"/>
      <c r="AB316" s="109" t="n"/>
      <c r="AC316" s="9">
        <f>IF(LEFT(B316,4)&lt;&gt;"    ",0,BK316)</f>
        <v/>
      </c>
      <c r="AD316" s="9">
        <f>Z316-AC316</f>
        <v/>
      </c>
      <c r="AE316" s="10" t="n"/>
      <c r="AF316" s="24" t="n"/>
      <c r="AG316" s="11" t="n"/>
      <c r="AH316" s="8" t="n"/>
      <c r="AI316" s="9">
        <f>IF(LEFT(B316,4)&lt;&gt;"    ","",AG316-AH316)</f>
        <v/>
      </c>
      <c r="AJ316" s="9" t="n"/>
      <c r="AK316" s="10" t="n"/>
      <c r="AL316" s="11">
        <f>IF(LEFT(B316,4)&lt;&gt;"    ","",W316-AG316)</f>
        <v/>
      </c>
      <c r="AM316" s="8">
        <f>IF(LEFT(B316,4)&lt;&gt;"    ","",X316-AH316)</f>
        <v/>
      </c>
      <c r="AN316" s="9">
        <f>IF(LEFT(B316,4)&lt;&gt;"    ","",Y316-AI316)</f>
        <v/>
      </c>
      <c r="AO316" s="9">
        <f>IF(LEFT(B316,4)&lt;&gt;"    ","",Z316-AJ316)</f>
        <v/>
      </c>
      <c r="AP316" s="10" t="n"/>
      <c r="AQ316" s="25">
        <f>IF(LEFT(B316,4)&lt;&gt;"    ","",I316-W316)</f>
        <v/>
      </c>
      <c r="AR316" s="25">
        <f>M316-X316</f>
        <v/>
      </c>
      <c r="AS316" s="25">
        <f>IF(LEFT(B316,4)&lt;&gt;"    ","",P316-Z316)</f>
        <v/>
      </c>
      <c r="AT316" s="10" t="n"/>
      <c r="AU316" s="12" t="n"/>
      <c r="AV316" s="12">
        <f>IF(LEFT(B316,4)&lt;&gt;"    ","",IF(W316-AU316&gt;=0,W316-AU316," "))</f>
        <v/>
      </c>
      <c r="AW316" s="12">
        <f>IF(LEFT(B316,4)&lt;&gt;"    ","",IF(AU316-W316&gt;=0,AU316-W316," "))</f>
        <v/>
      </c>
      <c r="AX316" s="186" t="n"/>
      <c r="AY316" s="187" t="n"/>
      <c r="AZ316" s="186" t="n"/>
      <c r="BA316" s="186" t="n"/>
      <c r="BB316" s="188" t="n"/>
      <c r="BC316" s="187" t="n"/>
      <c r="BD316" s="187" t="n"/>
      <c r="BE316" s="186" t="n"/>
      <c r="BF316" s="186" t="n"/>
      <c r="BG316" s="186" t="n"/>
      <c r="BH316" s="186" t="n"/>
      <c r="BI316" s="186" t="n"/>
      <c r="BJ316" s="186" t="n"/>
      <c r="BK316" s="186" t="n"/>
      <c r="BL316" s="186" t="n"/>
      <c r="BM316" s="186" t="n"/>
      <c r="BN316" s="186" t="n"/>
      <c r="BO316" s="186" t="n"/>
      <c r="BP316" s="186" t="n"/>
      <c r="BQ316" s="186" t="n"/>
      <c r="BR316" s="186" t="n"/>
      <c r="BS316" s="186" t="n"/>
      <c r="BT316" s="186" t="n"/>
      <c r="BU316" s="186" t="n"/>
      <c r="BV316" s="186" t="n"/>
      <c r="BW316" s="186" t="n"/>
      <c r="BX316" s="186" t="n"/>
      <c r="BY316" s="186" t="n"/>
      <c r="BZ316" s="186" t="n"/>
      <c r="CA316" s="186" t="n"/>
      <c r="CB316" s="186" t="n"/>
      <c r="CC316" s="190" t="n"/>
      <c r="CD316" s="186" t="n"/>
      <c r="CE316" s="186" t="n"/>
      <c r="CF316" s="186" t="n"/>
      <c r="CG316" s="186" t="n"/>
      <c r="CH316" s="186" t="n"/>
      <c r="CI316" s="191" t="n"/>
      <c r="CJ316" s="192" t="n"/>
      <c r="CK316" s="192" t="n"/>
      <c r="CL316" s="192" t="n"/>
      <c r="CM316" s="192" t="n"/>
    </row>
    <row r="317">
      <c r="A317" s="177" t="n"/>
      <c r="B317" s="178" t="n"/>
      <c r="C317" s="178" t="n"/>
      <c r="D317" s="179" t="n"/>
      <c r="E317" s="180" t="n"/>
      <c r="F317" s="181" t="n"/>
      <c r="G317" s="182" t="n"/>
      <c r="H317" s="105" t="n"/>
      <c r="I317" s="196">
        <f>F317</f>
        <v/>
      </c>
      <c r="J317" s="184" t="n"/>
      <c r="K317" s="185" t="n"/>
      <c r="L317" s="8" t="n"/>
      <c r="M317" s="71">
        <f>L317</f>
        <v/>
      </c>
      <c r="N317" s="71" t="n"/>
      <c r="O317" s="101" t="n"/>
      <c r="P317" s="9">
        <f>I317-M317</f>
        <v/>
      </c>
      <c r="Q317" s="9">
        <f>IF(LEFT(B317,4)&lt;&gt;"    ",0,BN317)</f>
        <v/>
      </c>
      <c r="R317" s="9">
        <f>+P317-Q317</f>
        <v/>
      </c>
      <c r="S317" s="281" t="n"/>
      <c r="T317" s="10" t="n"/>
      <c r="U317" s="23">
        <f>IF(LEFT(B317,4)&lt;&gt;"    ","",IF(M317&lt;&gt;0,X317/M317,0))</f>
        <v/>
      </c>
      <c r="V317" s="11">
        <f>IF(LEFT(B317,4)&lt;&gt;"    ","",U317*I317)</f>
        <v/>
      </c>
      <c r="W317" s="11">
        <f>IF(LEFT(B317,4)&lt;&gt;"    ","",X317+Z317)</f>
        <v/>
      </c>
      <c r="X317" s="8" t="n"/>
      <c r="Y317" s="9">
        <f>IF(LEFT(B317,4)&lt;&gt;"    ",0,IF(P317&lt;0,P317,IF(U317&gt;0.3,W317-X317,0)))</f>
        <v/>
      </c>
      <c r="Z317" s="71">
        <f>Y317</f>
        <v/>
      </c>
      <c r="AA317" s="71" t="n"/>
      <c r="AB317" s="109" t="n"/>
      <c r="AC317" s="9">
        <f>IF(LEFT(B317,4)&lt;&gt;"    ",0,BK317)</f>
        <v/>
      </c>
      <c r="AD317" s="9">
        <f>Z317-AC317</f>
        <v/>
      </c>
      <c r="AE317" s="10" t="n"/>
      <c r="AF317" s="24" t="n"/>
      <c r="AG317" s="11" t="n"/>
      <c r="AH317" s="8" t="n"/>
      <c r="AI317" s="9">
        <f>IF(LEFT(B317,4)&lt;&gt;"    ","",AG317-AH317)</f>
        <v/>
      </c>
      <c r="AJ317" s="9" t="n"/>
      <c r="AK317" s="10" t="n"/>
      <c r="AL317" s="11">
        <f>IF(LEFT(B317,4)&lt;&gt;"    ","",W317-AG317)</f>
        <v/>
      </c>
      <c r="AM317" s="8">
        <f>IF(LEFT(B317,4)&lt;&gt;"    ","",X317-AH317)</f>
        <v/>
      </c>
      <c r="AN317" s="9">
        <f>IF(LEFT(B317,4)&lt;&gt;"    ","",Y317-AI317)</f>
        <v/>
      </c>
      <c r="AO317" s="9">
        <f>IF(LEFT(B317,4)&lt;&gt;"    ","",Z317-AJ317)</f>
        <v/>
      </c>
      <c r="AP317" s="10" t="n"/>
      <c r="AQ317" s="25">
        <f>IF(LEFT(B317,4)&lt;&gt;"    ","",I317-W317)</f>
        <v/>
      </c>
      <c r="AR317" s="25">
        <f>M317-X317</f>
        <v/>
      </c>
      <c r="AS317" s="25">
        <f>IF(LEFT(B317,4)&lt;&gt;"    ","",P317-Z317)</f>
        <v/>
      </c>
      <c r="AT317" s="10" t="n"/>
      <c r="AU317" s="12" t="n"/>
      <c r="AV317" s="12">
        <f>IF(LEFT(B317,4)&lt;&gt;"    ","",IF(W317-AU317&gt;=0,W317-AU317," "))</f>
        <v/>
      </c>
      <c r="AW317" s="12">
        <f>IF(LEFT(B317,4)&lt;&gt;"    ","",IF(AU317-W317&gt;=0,AU317-W317," "))</f>
        <v/>
      </c>
      <c r="AX317" s="186" t="n"/>
      <c r="AY317" s="187" t="n"/>
      <c r="AZ317" s="186" t="n"/>
      <c r="BA317" s="186" t="n"/>
      <c r="BB317" s="188" t="n"/>
      <c r="BC317" s="187" t="n"/>
      <c r="BD317" s="187" t="n"/>
      <c r="BE317" s="186" t="n"/>
      <c r="BF317" s="186" t="n"/>
      <c r="BG317" s="186" t="n"/>
      <c r="BH317" s="186" t="n"/>
      <c r="BI317" s="186" t="n"/>
      <c r="BJ317" s="186" t="n"/>
      <c r="BK317" s="186" t="n"/>
      <c r="BL317" s="186" t="n"/>
      <c r="BM317" s="186" t="n"/>
      <c r="BN317" s="186" t="n"/>
      <c r="BO317" s="186" t="n"/>
      <c r="BP317" s="186" t="n"/>
      <c r="BQ317" s="186" t="n"/>
      <c r="BR317" s="186" t="n"/>
      <c r="BS317" s="186" t="n"/>
      <c r="BT317" s="186" t="n"/>
      <c r="BU317" s="186" t="n"/>
      <c r="BV317" s="186" t="n"/>
      <c r="BW317" s="186" t="n"/>
      <c r="BX317" s="186" t="n"/>
      <c r="BY317" s="186" t="n"/>
      <c r="BZ317" s="186" t="n"/>
      <c r="CA317" s="186" t="n"/>
      <c r="CB317" s="186" t="n"/>
      <c r="CC317" s="190" t="n"/>
      <c r="CD317" s="186" t="n"/>
      <c r="CE317" s="186" t="n"/>
      <c r="CF317" s="186" t="n"/>
      <c r="CG317" s="186" t="n"/>
      <c r="CH317" s="186" t="n"/>
      <c r="CI317" s="191" t="n"/>
      <c r="CJ317" s="192" t="n"/>
      <c r="CK317" s="192" t="n"/>
      <c r="CL317" s="192" t="n"/>
      <c r="CM317" s="192" t="n"/>
    </row>
    <row r="318">
      <c r="A318" s="177" t="n"/>
      <c r="B318" s="178" t="n"/>
      <c r="C318" s="178" t="n"/>
      <c r="D318" s="179" t="n"/>
      <c r="E318" s="180" t="n"/>
      <c r="F318" s="181" t="n"/>
      <c r="G318" s="182" t="n"/>
      <c r="H318" s="105" t="n"/>
      <c r="I318" s="196">
        <f>F318</f>
        <v/>
      </c>
      <c r="J318" s="184" t="n"/>
      <c r="K318" s="185" t="n"/>
      <c r="L318" s="8" t="n"/>
      <c r="M318" s="71">
        <f>L318</f>
        <v/>
      </c>
      <c r="N318" s="71" t="n"/>
      <c r="O318" s="101" t="n"/>
      <c r="P318" s="9">
        <f>I318-M318</f>
        <v/>
      </c>
      <c r="Q318" s="9">
        <f>IF(LEFT(B318,4)&lt;&gt;"    ",0,BN318)</f>
        <v/>
      </c>
      <c r="R318" s="9">
        <f>+P318-Q318</f>
        <v/>
      </c>
      <c r="S318" s="281" t="n"/>
      <c r="T318" s="10" t="n"/>
      <c r="U318" s="23">
        <f>IF(LEFT(B318,4)&lt;&gt;"    ","",IF(M318&lt;&gt;0,X318/M318,0))</f>
        <v/>
      </c>
      <c r="V318" s="11">
        <f>IF(LEFT(B318,4)&lt;&gt;"    ","",U318*I318)</f>
        <v/>
      </c>
      <c r="W318" s="11">
        <f>IF(LEFT(B318,4)&lt;&gt;"    ","",X318+Z318)</f>
        <v/>
      </c>
      <c r="X318" s="8" t="n"/>
      <c r="Y318" s="9">
        <f>IF(LEFT(B318,4)&lt;&gt;"    ",0,IF(P318&lt;0,P318,IF(U318&gt;0.3,W318-X318,0)))</f>
        <v/>
      </c>
      <c r="Z318" s="71">
        <f>Y318</f>
        <v/>
      </c>
      <c r="AA318" s="71" t="n"/>
      <c r="AB318" s="109" t="n"/>
      <c r="AC318" s="9">
        <f>IF(LEFT(B318,4)&lt;&gt;"    ",0,BK318)</f>
        <v/>
      </c>
      <c r="AD318" s="9">
        <f>Z318-AC318</f>
        <v/>
      </c>
      <c r="AE318" s="10" t="n"/>
      <c r="AF318" s="24" t="n"/>
      <c r="AG318" s="11" t="n"/>
      <c r="AH318" s="8" t="n"/>
      <c r="AI318" s="9">
        <f>IF(LEFT(B318,4)&lt;&gt;"    ","",AG318-AH318)</f>
        <v/>
      </c>
      <c r="AJ318" s="9" t="n"/>
      <c r="AK318" s="10" t="n"/>
      <c r="AL318" s="11">
        <f>IF(LEFT(B318,4)&lt;&gt;"    ","",W318-AG318)</f>
        <v/>
      </c>
      <c r="AM318" s="8">
        <f>IF(LEFT(B318,4)&lt;&gt;"    ","",X318-AH318)</f>
        <v/>
      </c>
      <c r="AN318" s="9">
        <f>IF(LEFT(B318,4)&lt;&gt;"    ","",Y318-AI318)</f>
        <v/>
      </c>
      <c r="AO318" s="9">
        <f>IF(LEFT(B318,4)&lt;&gt;"    ","",Z318-AJ318)</f>
        <v/>
      </c>
      <c r="AP318" s="10" t="n"/>
      <c r="AQ318" s="25">
        <f>IF(LEFT(B318,4)&lt;&gt;"    ","",I318-W318)</f>
        <v/>
      </c>
      <c r="AR318" s="25">
        <f>M318-X318</f>
        <v/>
      </c>
      <c r="AS318" s="25">
        <f>IF(LEFT(B318,4)&lt;&gt;"    ","",P318-Z318)</f>
        <v/>
      </c>
      <c r="AT318" s="10" t="n"/>
      <c r="AU318" s="12" t="n"/>
      <c r="AV318" s="12">
        <f>IF(LEFT(B318,4)&lt;&gt;"    ","",IF(W318-AU318&gt;=0,W318-AU318," "))</f>
        <v/>
      </c>
      <c r="AW318" s="12">
        <f>IF(LEFT(B318,4)&lt;&gt;"    ","",IF(AU318-W318&gt;=0,AU318-W318," "))</f>
        <v/>
      </c>
      <c r="AX318" s="186" t="n"/>
      <c r="AY318" s="187" t="n"/>
      <c r="AZ318" s="186" t="n"/>
      <c r="BA318" s="186" t="n"/>
      <c r="BB318" s="188" t="n"/>
      <c r="BC318" s="187" t="n"/>
      <c r="BD318" s="187" t="n"/>
      <c r="BE318" s="186" t="n"/>
      <c r="BF318" s="186" t="n"/>
      <c r="BG318" s="186" t="n"/>
      <c r="BH318" s="186" t="n"/>
      <c r="BI318" s="186" t="n"/>
      <c r="BJ318" s="186" t="n"/>
      <c r="BK318" s="186" t="n"/>
      <c r="BL318" s="186" t="n"/>
      <c r="BM318" s="186" t="n"/>
      <c r="BN318" s="186" t="n"/>
      <c r="BO318" s="186" t="n"/>
      <c r="BP318" s="186" t="n"/>
      <c r="BQ318" s="186" t="n"/>
      <c r="BR318" s="186" t="n"/>
      <c r="BS318" s="186" t="n"/>
      <c r="BT318" s="186" t="n"/>
      <c r="BU318" s="186" t="n"/>
      <c r="BV318" s="186" t="n"/>
      <c r="BW318" s="186" t="n"/>
      <c r="BX318" s="186" t="n"/>
      <c r="BY318" s="186" t="n"/>
      <c r="BZ318" s="186" t="n"/>
      <c r="CA318" s="186" t="n"/>
      <c r="CB318" s="186" t="n"/>
      <c r="CC318" s="190" t="n"/>
      <c r="CD318" s="186" t="n"/>
      <c r="CE318" s="186" t="n"/>
      <c r="CF318" s="186" t="n"/>
      <c r="CG318" s="186" t="n"/>
      <c r="CH318" s="186" t="n"/>
      <c r="CI318" s="191" t="n"/>
      <c r="CJ318" s="192" t="n"/>
      <c r="CK318" s="192" t="n"/>
      <c r="CL318" s="192" t="n"/>
      <c r="CM318" s="192" t="n"/>
    </row>
    <row r="319">
      <c r="A319" s="177" t="n"/>
      <c r="B319" s="178" t="n"/>
      <c r="C319" s="178" t="n"/>
      <c r="D319" s="179" t="n"/>
      <c r="E319" s="180" t="n"/>
      <c r="F319" s="181" t="n"/>
      <c r="G319" s="182" t="n"/>
      <c r="H319" s="105" t="n"/>
      <c r="I319" s="196">
        <f>F319</f>
        <v/>
      </c>
      <c r="J319" s="184" t="n"/>
      <c r="K319" s="185" t="n"/>
      <c r="L319" s="8" t="n"/>
      <c r="M319" s="184">
        <f>L319</f>
        <v/>
      </c>
      <c r="N319" s="184" t="n"/>
      <c r="O319" s="185" t="n"/>
      <c r="P319" s="9">
        <f>I319-M319</f>
        <v/>
      </c>
      <c r="Q319" s="9">
        <f>IF(LEFT(B319,4)&lt;&gt;"    ",0,BN319)</f>
        <v/>
      </c>
      <c r="R319" s="9">
        <f>+P319-Q319</f>
        <v/>
      </c>
      <c r="S319" s="281" t="n"/>
      <c r="T319" s="10" t="n"/>
      <c r="U319" s="23">
        <f>IF(LEFT(B319,4)&lt;&gt;"    ","",IF(M319&lt;&gt;0,X319/M319,0))</f>
        <v/>
      </c>
      <c r="V319" s="11">
        <f>IF(LEFT(B319,4)&lt;&gt;"    ","",U319*I319)</f>
        <v/>
      </c>
      <c r="W319" s="11">
        <f>IF(LEFT(B319,4)&lt;&gt;"    ","",X319+Z319)</f>
        <v/>
      </c>
      <c r="X319" s="8" t="n"/>
      <c r="Y319" s="9">
        <f>IF(LEFT(B319,4)&lt;&gt;"    ",0,IF(P319&lt;0,P319,IF(U319&gt;0.3,W319-X319,0)))</f>
        <v/>
      </c>
      <c r="Z319" s="71">
        <f>Y319</f>
        <v/>
      </c>
      <c r="AA319" s="71" t="n"/>
      <c r="AB319" s="109" t="n"/>
      <c r="AC319" s="9">
        <f>IF(LEFT(B319,4)&lt;&gt;"    ",0,BK319)</f>
        <v/>
      </c>
      <c r="AD319" s="9">
        <f>Z319-AC319</f>
        <v/>
      </c>
      <c r="AE319" s="10" t="n"/>
      <c r="AF319" s="24" t="n"/>
      <c r="AG319" s="11" t="n"/>
      <c r="AH319" s="8" t="n"/>
      <c r="AI319" s="9">
        <f>IF(LEFT(B319,4)&lt;&gt;"    ","",AG319-AH319)</f>
        <v/>
      </c>
      <c r="AJ319" s="9" t="n"/>
      <c r="AK319" s="10" t="n"/>
      <c r="AL319" s="11">
        <f>IF(LEFT(B319,4)&lt;&gt;"    ","",W319-AG319)</f>
        <v/>
      </c>
      <c r="AM319" s="8">
        <f>IF(LEFT(B319,4)&lt;&gt;"    ","",X319-AH319)</f>
        <v/>
      </c>
      <c r="AN319" s="9">
        <f>IF(LEFT(B319,4)&lt;&gt;"    ","",Y319-AI319)</f>
        <v/>
      </c>
      <c r="AO319" s="9">
        <f>IF(LEFT(B319,4)&lt;&gt;"    ","",Z319-AJ319)</f>
        <v/>
      </c>
      <c r="AP319" s="10" t="n"/>
      <c r="AQ319" s="25">
        <f>IF(LEFT(B319,4)&lt;&gt;"    ","",I319-W319)</f>
        <v/>
      </c>
      <c r="AR319" s="25">
        <f>M319-X319</f>
        <v/>
      </c>
      <c r="AS319" s="25">
        <f>IF(LEFT(B319,4)&lt;&gt;"    ","",P319-Z319)</f>
        <v/>
      </c>
      <c r="AT319" s="10" t="n"/>
      <c r="AU319" s="12" t="n"/>
      <c r="AV319" s="12">
        <f>IF(LEFT(B319,4)&lt;&gt;"    ","",IF(W319-AU319&gt;=0,W319-AU319," "))</f>
        <v/>
      </c>
      <c r="AW319" s="12">
        <f>IF(LEFT(B319,4)&lt;&gt;"    ","",IF(AU319-W319&gt;=0,AU319-W319," "))</f>
        <v/>
      </c>
      <c r="AX319" s="186" t="n"/>
      <c r="AY319" s="187" t="n"/>
      <c r="AZ319" s="186" t="n"/>
      <c r="BA319" s="186" t="n"/>
      <c r="BB319" s="188" t="n"/>
      <c r="BC319" s="187" t="n"/>
      <c r="BD319" s="187" t="n"/>
      <c r="BE319" s="186" t="n"/>
      <c r="BF319" s="186" t="n"/>
      <c r="BG319" s="186" t="n"/>
      <c r="BH319" s="186" t="n"/>
      <c r="BI319" s="186" t="n"/>
      <c r="BJ319" s="186" t="n"/>
      <c r="BK319" s="186" t="n"/>
      <c r="BL319" s="186" t="n"/>
      <c r="BM319" s="186" t="n"/>
      <c r="BN319" s="186" t="n"/>
      <c r="BO319" s="186" t="n"/>
      <c r="BP319" s="186" t="n"/>
      <c r="BQ319" s="186" t="n"/>
      <c r="BR319" s="186" t="n"/>
      <c r="BS319" s="186" t="n"/>
      <c r="BT319" s="186" t="n"/>
      <c r="BU319" s="186" t="n"/>
      <c r="BV319" s="186" t="n"/>
      <c r="BW319" s="186" t="n"/>
      <c r="BX319" s="186" t="n"/>
      <c r="BY319" s="186" t="n"/>
      <c r="BZ319" s="186" t="n"/>
      <c r="CA319" s="186" t="n"/>
      <c r="CB319" s="186" t="n"/>
      <c r="CC319" s="190" t="n"/>
      <c r="CD319" s="186" t="n"/>
      <c r="CE319" s="186" t="n"/>
      <c r="CF319" s="186" t="n"/>
      <c r="CG319" s="186" t="n"/>
      <c r="CH319" s="186" t="n"/>
      <c r="CI319" s="191" t="n"/>
      <c r="CJ319" s="192" t="n"/>
      <c r="CK319" s="192" t="n"/>
      <c r="CL319" s="192" t="n"/>
      <c r="CM319" s="192" t="n"/>
    </row>
    <row r="320">
      <c r="A320" s="177" t="n"/>
      <c r="B320" s="178" t="n"/>
      <c r="C320" s="178" t="n"/>
      <c r="D320" s="179" t="n"/>
      <c r="E320" s="180" t="n"/>
      <c r="F320" s="181" t="n"/>
      <c r="G320" s="182" t="n"/>
      <c r="H320" s="105" t="n"/>
      <c r="I320" s="196">
        <f>F320</f>
        <v/>
      </c>
      <c r="J320" s="184" t="n"/>
      <c r="K320" s="185" t="n"/>
      <c r="L320" s="8" t="n"/>
      <c r="M320" s="71">
        <f>L320</f>
        <v/>
      </c>
      <c r="N320" s="71" t="n"/>
      <c r="O320" s="101" t="n"/>
      <c r="P320" s="9">
        <f>I320-M320</f>
        <v/>
      </c>
      <c r="Q320" s="9">
        <f>IF(LEFT(B320,4)&lt;&gt;"    ",0,BN320)</f>
        <v/>
      </c>
      <c r="R320" s="9">
        <f>+P320-Q320</f>
        <v/>
      </c>
      <c r="S320" s="281" t="n"/>
      <c r="T320" s="10" t="n"/>
      <c r="U320" s="23">
        <f>IF(LEFT(B320,4)&lt;&gt;"    ","",IF(M320&lt;&gt;0,X320/M320,0))</f>
        <v/>
      </c>
      <c r="V320" s="11">
        <f>IF(LEFT(B320,4)&lt;&gt;"    ","",U320*I320)</f>
        <v/>
      </c>
      <c r="W320" s="11">
        <f>IF(LEFT(B320,4)&lt;&gt;"    ","",X320+Z320)</f>
        <v/>
      </c>
      <c r="X320" s="8" t="n"/>
      <c r="Y320" s="9">
        <f>IF(LEFT(B320,4)&lt;&gt;"    ",0,IF(P320&lt;0,P320,IF(U320&gt;0.3,W320-X320,0)))</f>
        <v/>
      </c>
      <c r="Z320" s="71">
        <f>Y320</f>
        <v/>
      </c>
      <c r="AA320" s="71" t="n"/>
      <c r="AB320" s="109" t="n"/>
      <c r="AC320" s="9">
        <f>IF(LEFT(B320,4)&lt;&gt;"    ",0,BK320)</f>
        <v/>
      </c>
      <c r="AD320" s="9">
        <f>Z320-AC320</f>
        <v/>
      </c>
      <c r="AE320" s="10" t="n"/>
      <c r="AF320" s="24" t="n"/>
      <c r="AG320" s="11" t="n"/>
      <c r="AH320" s="8" t="n"/>
      <c r="AI320" s="9">
        <f>IF(LEFT(B320,4)&lt;&gt;"    ","",AG320-AH320)</f>
        <v/>
      </c>
      <c r="AJ320" s="9" t="n"/>
      <c r="AK320" s="10" t="n"/>
      <c r="AL320" s="11">
        <f>IF(LEFT(B320,4)&lt;&gt;"    ","",W320-AG320)</f>
        <v/>
      </c>
      <c r="AM320" s="8">
        <f>IF(LEFT(B320,4)&lt;&gt;"    ","",X320-AH320)</f>
        <v/>
      </c>
      <c r="AN320" s="9">
        <f>IF(LEFT(B320,4)&lt;&gt;"    ","",Y320-AI320)</f>
        <v/>
      </c>
      <c r="AO320" s="9">
        <f>IF(LEFT(B320,4)&lt;&gt;"    ","",Z320-AJ320)</f>
        <v/>
      </c>
      <c r="AP320" s="10" t="n"/>
      <c r="AQ320" s="25">
        <f>IF(LEFT(B320,4)&lt;&gt;"    ","",I320-W320)</f>
        <v/>
      </c>
      <c r="AR320" s="25">
        <f>M320-X320</f>
        <v/>
      </c>
      <c r="AS320" s="25">
        <f>IF(LEFT(B320,4)&lt;&gt;"    ","",P320-Z320)</f>
        <v/>
      </c>
      <c r="AT320" s="10" t="n"/>
      <c r="AU320" s="12" t="n"/>
      <c r="AV320" s="12">
        <f>IF(LEFT(B320,4)&lt;&gt;"    ","",IF(W320-AU320&gt;=0,W320-AU320," "))</f>
        <v/>
      </c>
      <c r="AW320" s="12">
        <f>IF(LEFT(B320,4)&lt;&gt;"    ","",IF(AU320-W320&gt;=0,AU320-W320," "))</f>
        <v/>
      </c>
      <c r="AX320" s="186" t="n"/>
      <c r="AY320" s="187" t="n"/>
      <c r="AZ320" s="186" t="n"/>
      <c r="BA320" s="186" t="n"/>
      <c r="BB320" s="188" t="n"/>
      <c r="BC320" s="187" t="n"/>
      <c r="BD320" s="187" t="n"/>
      <c r="BE320" s="186" t="n"/>
      <c r="BF320" s="186" t="n"/>
      <c r="BG320" s="186" t="n"/>
      <c r="BH320" s="186" t="n"/>
      <c r="BI320" s="186" t="n"/>
      <c r="BJ320" s="186" t="n"/>
      <c r="BK320" s="186" t="n"/>
      <c r="BL320" s="186" t="n"/>
      <c r="BM320" s="186" t="n"/>
      <c r="BN320" s="186" t="n"/>
      <c r="BO320" s="186" t="n"/>
      <c r="BP320" s="186" t="n"/>
      <c r="BQ320" s="186" t="n"/>
      <c r="BR320" s="186" t="n"/>
      <c r="BS320" s="186" t="n"/>
      <c r="BT320" s="186" t="n"/>
      <c r="BU320" s="186" t="n"/>
      <c r="BV320" s="186" t="n"/>
      <c r="BW320" s="186" t="n"/>
      <c r="BX320" s="186" t="n"/>
      <c r="BY320" s="186" t="n"/>
      <c r="BZ320" s="186" t="n"/>
      <c r="CA320" s="186" t="n"/>
      <c r="CB320" s="186" t="n"/>
      <c r="CC320" s="190" t="n"/>
      <c r="CD320" s="186" t="n"/>
      <c r="CE320" s="186" t="n"/>
      <c r="CF320" s="186" t="n"/>
      <c r="CG320" s="186" t="n"/>
      <c r="CH320" s="186" t="n"/>
      <c r="CI320" s="191" t="n"/>
      <c r="CJ320" s="192" t="n"/>
      <c r="CK320" s="192" t="n"/>
      <c r="CL320" s="192" t="n"/>
      <c r="CM320" s="192" t="n"/>
    </row>
    <row r="321">
      <c r="A321" s="177" t="n"/>
      <c r="B321" s="178" t="n"/>
      <c r="C321" s="178" t="n"/>
      <c r="D321" s="179" t="n"/>
      <c r="E321" s="180" t="n"/>
      <c r="F321" s="181" t="n"/>
      <c r="G321" s="182" t="n"/>
      <c r="H321" s="105" t="n"/>
      <c r="I321" s="196">
        <f>F321</f>
        <v/>
      </c>
      <c r="J321" s="184" t="n"/>
      <c r="K321" s="185" t="n"/>
      <c r="L321" s="8" t="n"/>
      <c r="M321" s="71">
        <f>L321</f>
        <v/>
      </c>
      <c r="N321" s="71" t="n"/>
      <c r="O321" s="101" t="n"/>
      <c r="P321" s="9">
        <f>I321-M321</f>
        <v/>
      </c>
      <c r="Q321" s="9">
        <f>IF(LEFT(B321,4)&lt;&gt;"    ",0,BN321)</f>
        <v/>
      </c>
      <c r="R321" s="9">
        <f>+P321-Q321</f>
        <v/>
      </c>
      <c r="S321" s="281" t="n"/>
      <c r="T321" s="10" t="n"/>
      <c r="U321" s="23">
        <f>IF(LEFT(B321,4)&lt;&gt;"    ","",IF(M321&lt;&gt;0,X321/M321,0))</f>
        <v/>
      </c>
      <c r="V321" s="11">
        <f>IF(LEFT(B321,4)&lt;&gt;"    ","",U321*I321)</f>
        <v/>
      </c>
      <c r="W321" s="11">
        <f>IF(LEFT(B321,4)&lt;&gt;"    ","",X321+Z321)</f>
        <v/>
      </c>
      <c r="X321" s="8" t="n"/>
      <c r="Y321" s="9">
        <f>IF(LEFT(B321,4)&lt;&gt;"    ",0,IF(P321&lt;0,P321,IF(U321&gt;0.3,W321-X321,0)))</f>
        <v/>
      </c>
      <c r="Z321" s="71">
        <f>Y321</f>
        <v/>
      </c>
      <c r="AA321" s="71" t="n"/>
      <c r="AB321" s="109" t="n"/>
      <c r="AC321" s="9">
        <f>IF(LEFT(B321,4)&lt;&gt;"    ",0,BK321)</f>
        <v/>
      </c>
      <c r="AD321" s="9">
        <f>Z321-AC321</f>
        <v/>
      </c>
      <c r="AE321" s="10" t="n"/>
      <c r="AF321" s="24" t="n"/>
      <c r="AG321" s="11" t="n"/>
      <c r="AH321" s="8" t="n"/>
      <c r="AI321" s="9">
        <f>IF(LEFT(B321,4)&lt;&gt;"    ","",AG321-AH321)</f>
        <v/>
      </c>
      <c r="AJ321" s="9" t="n"/>
      <c r="AK321" s="10" t="n"/>
      <c r="AL321" s="11">
        <f>IF(LEFT(B321,4)&lt;&gt;"    ","",W321-AG321)</f>
        <v/>
      </c>
      <c r="AM321" s="8">
        <f>IF(LEFT(B321,4)&lt;&gt;"    ","",X321-AH321)</f>
        <v/>
      </c>
      <c r="AN321" s="9">
        <f>IF(LEFT(B321,4)&lt;&gt;"    ","",Y321-AI321)</f>
        <v/>
      </c>
      <c r="AO321" s="9">
        <f>IF(LEFT(B321,4)&lt;&gt;"    ","",Z321-AJ321)</f>
        <v/>
      </c>
      <c r="AP321" s="10" t="n"/>
      <c r="AQ321" s="25">
        <f>IF(LEFT(B321,4)&lt;&gt;"    ","",I321-W321)</f>
        <v/>
      </c>
      <c r="AR321" s="25">
        <f>M321-X321</f>
        <v/>
      </c>
      <c r="AS321" s="25">
        <f>IF(LEFT(B321,4)&lt;&gt;"    ","",P321-Z321)</f>
        <v/>
      </c>
      <c r="AT321" s="10" t="n"/>
      <c r="AU321" s="12" t="n"/>
      <c r="AV321" s="12">
        <f>IF(LEFT(B321,4)&lt;&gt;"    ","",IF(W321-AU321&gt;=0,W321-AU321," "))</f>
        <v/>
      </c>
      <c r="AW321" s="12">
        <f>IF(LEFT(B321,4)&lt;&gt;"    ","",IF(AU321-W321&gt;=0,AU321-W321," "))</f>
        <v/>
      </c>
      <c r="AX321" s="186" t="n"/>
      <c r="AY321" s="187" t="n"/>
      <c r="AZ321" s="186" t="n"/>
      <c r="BA321" s="186" t="n"/>
      <c r="BB321" s="188" t="n"/>
      <c r="BC321" s="187" t="n"/>
      <c r="BD321" s="187" t="n"/>
      <c r="BE321" s="186" t="n"/>
      <c r="BF321" s="186" t="n"/>
      <c r="BG321" s="186" t="n"/>
      <c r="BH321" s="186" t="n"/>
      <c r="BI321" s="186" t="n"/>
      <c r="BJ321" s="186" t="n"/>
      <c r="BK321" s="186" t="n"/>
      <c r="BL321" s="186" t="n"/>
      <c r="BM321" s="186" t="n"/>
      <c r="BN321" s="186" t="n"/>
      <c r="BO321" s="186" t="n"/>
      <c r="BP321" s="186" t="n"/>
      <c r="BQ321" s="186" t="n"/>
      <c r="BR321" s="186" t="n"/>
      <c r="BS321" s="186" t="n"/>
      <c r="BT321" s="186" t="n"/>
      <c r="BU321" s="186" t="n"/>
      <c r="BV321" s="186" t="n"/>
      <c r="BW321" s="186" t="n"/>
      <c r="BX321" s="186" t="n"/>
      <c r="BY321" s="186" t="n"/>
      <c r="BZ321" s="186" t="n"/>
      <c r="CA321" s="186" t="n"/>
      <c r="CB321" s="186" t="n"/>
      <c r="CC321" s="190" t="n"/>
      <c r="CD321" s="186" t="n"/>
      <c r="CE321" s="186" t="n"/>
      <c r="CF321" s="186" t="n"/>
      <c r="CG321" s="186" t="n"/>
      <c r="CH321" s="186" t="n"/>
      <c r="CI321" s="191" t="n"/>
      <c r="CJ321" s="192" t="n"/>
      <c r="CK321" s="192" t="n"/>
      <c r="CL321" s="192" t="n"/>
      <c r="CM321" s="192" t="n"/>
    </row>
    <row r="322">
      <c r="A322" s="177" t="n"/>
      <c r="B322" s="178" t="n"/>
      <c r="C322" s="178" t="n"/>
      <c r="D322" s="179" t="n"/>
      <c r="E322" s="180" t="n"/>
      <c r="F322" s="181" t="n"/>
      <c r="G322" s="182" t="n"/>
      <c r="H322" s="105" t="n"/>
      <c r="I322" s="196">
        <f>F322</f>
        <v/>
      </c>
      <c r="J322" s="184" t="n"/>
      <c r="K322" s="185" t="n"/>
      <c r="L322" s="8" t="n"/>
      <c r="M322" s="71">
        <f>L322</f>
        <v/>
      </c>
      <c r="N322" s="71" t="n"/>
      <c r="O322" s="101" t="n"/>
      <c r="P322" s="9">
        <f>I322-M322</f>
        <v/>
      </c>
      <c r="Q322" s="9">
        <f>IF(LEFT(B322,4)&lt;&gt;"    ",0,BN322)</f>
        <v/>
      </c>
      <c r="R322" s="9">
        <f>+P322-Q322</f>
        <v/>
      </c>
      <c r="S322" s="281" t="n"/>
      <c r="T322" s="10" t="n"/>
      <c r="U322" s="23">
        <f>IF(LEFT(B322,4)&lt;&gt;"    ","",IF(M322&lt;&gt;0,X322/M322,0))</f>
        <v/>
      </c>
      <c r="V322" s="11">
        <f>IF(LEFT(B322,4)&lt;&gt;"    ","",U322*I322)</f>
        <v/>
      </c>
      <c r="W322" s="11">
        <f>IF(LEFT(B322,4)&lt;&gt;"    ","",X322+Z322)</f>
        <v/>
      </c>
      <c r="X322" s="8" t="n"/>
      <c r="Y322" s="9">
        <f>IF(LEFT(B322,4)&lt;&gt;"    ",0,IF(P322&lt;0,P322,IF(U322&gt;0.3,W322-X322,0)))</f>
        <v/>
      </c>
      <c r="Z322" s="71">
        <f>Y322</f>
        <v/>
      </c>
      <c r="AA322" s="71" t="n"/>
      <c r="AB322" s="109" t="n"/>
      <c r="AC322" s="9">
        <f>IF(LEFT(B322,4)&lt;&gt;"    ",0,BK322)</f>
        <v/>
      </c>
      <c r="AD322" s="9">
        <f>Z322-AC322</f>
        <v/>
      </c>
      <c r="AE322" s="10" t="n"/>
      <c r="AF322" s="24" t="n"/>
      <c r="AG322" s="11" t="n"/>
      <c r="AH322" s="8" t="n"/>
      <c r="AI322" s="9">
        <f>IF(LEFT(B322,4)&lt;&gt;"    ","",AG322-AH322)</f>
        <v/>
      </c>
      <c r="AJ322" s="9" t="n"/>
      <c r="AK322" s="10" t="n"/>
      <c r="AL322" s="11">
        <f>IF(LEFT(B322,4)&lt;&gt;"    ","",W322-AG322)</f>
        <v/>
      </c>
      <c r="AM322" s="8">
        <f>IF(LEFT(B322,4)&lt;&gt;"    ","",X322-AH322)</f>
        <v/>
      </c>
      <c r="AN322" s="9">
        <f>IF(LEFT(B322,4)&lt;&gt;"    ","",Y322-AI322)</f>
        <v/>
      </c>
      <c r="AO322" s="9">
        <f>IF(LEFT(B322,4)&lt;&gt;"    ","",Z322-AJ322)</f>
        <v/>
      </c>
      <c r="AP322" s="10" t="n"/>
      <c r="AQ322" s="25">
        <f>IF(LEFT(B322,4)&lt;&gt;"    ","",I322-W322)</f>
        <v/>
      </c>
      <c r="AR322" s="25">
        <f>M322-X322</f>
        <v/>
      </c>
      <c r="AS322" s="25">
        <f>IF(LEFT(B322,4)&lt;&gt;"    ","",P322-Z322)</f>
        <v/>
      </c>
      <c r="AT322" s="10" t="n"/>
      <c r="AU322" s="12" t="n"/>
      <c r="AV322" s="12">
        <f>IF(LEFT(B322,4)&lt;&gt;"    ","",IF(W322-AU322&gt;=0,W322-AU322," "))</f>
        <v/>
      </c>
      <c r="AW322" s="12">
        <f>IF(LEFT(B322,4)&lt;&gt;"    ","",IF(AU322-W322&gt;=0,AU322-W322," "))</f>
        <v/>
      </c>
      <c r="AX322" s="186" t="n"/>
      <c r="AY322" s="187" t="n"/>
      <c r="AZ322" s="186" t="n"/>
      <c r="BA322" s="186" t="n"/>
      <c r="BB322" s="188" t="n"/>
      <c r="BC322" s="187" t="n"/>
      <c r="BD322" s="187" t="n"/>
      <c r="BE322" s="186" t="n"/>
      <c r="BF322" s="186" t="n"/>
      <c r="BG322" s="186" t="n"/>
      <c r="BH322" s="186" t="n"/>
      <c r="BI322" s="186" t="n"/>
      <c r="BJ322" s="186" t="n"/>
      <c r="BK322" s="186" t="n"/>
      <c r="BL322" s="186" t="n"/>
      <c r="BM322" s="186" t="n"/>
      <c r="BN322" s="186" t="n"/>
      <c r="BO322" s="186" t="n"/>
      <c r="BP322" s="186" t="n"/>
      <c r="BQ322" s="186" t="n"/>
      <c r="BR322" s="186" t="n"/>
      <c r="BS322" s="186" t="n"/>
      <c r="BT322" s="186" t="n"/>
      <c r="BU322" s="186" t="n"/>
      <c r="BV322" s="186" t="n"/>
      <c r="BW322" s="186" t="n"/>
      <c r="BX322" s="186" t="n"/>
      <c r="BY322" s="186" t="n"/>
      <c r="BZ322" s="186" t="n"/>
      <c r="CA322" s="186" t="n"/>
      <c r="CB322" s="186" t="n"/>
      <c r="CC322" s="190" t="n"/>
      <c r="CD322" s="186" t="n"/>
      <c r="CE322" s="186" t="n"/>
      <c r="CF322" s="186" t="n"/>
      <c r="CG322" s="186" t="n"/>
      <c r="CH322" s="186" t="n"/>
      <c r="CI322" s="191" t="n"/>
      <c r="CJ322" s="192" t="n"/>
      <c r="CK322" s="192" t="n"/>
      <c r="CL322" s="192" t="n"/>
      <c r="CM322" s="192" t="n"/>
    </row>
    <row r="323">
      <c r="A323" s="177" t="n"/>
      <c r="B323" s="178" t="n"/>
      <c r="C323" s="178" t="n"/>
      <c r="D323" s="179" t="n"/>
      <c r="E323" s="180" t="n"/>
      <c r="F323" s="181" t="n"/>
      <c r="G323" s="182" t="n"/>
      <c r="H323" s="105" t="n"/>
      <c r="I323" s="196">
        <f>F323</f>
        <v/>
      </c>
      <c r="J323" s="184" t="n"/>
      <c r="K323" s="185" t="n"/>
      <c r="L323" s="8" t="n"/>
      <c r="M323" s="71">
        <f>L323</f>
        <v/>
      </c>
      <c r="N323" s="71" t="n"/>
      <c r="O323" s="101" t="n"/>
      <c r="P323" s="9">
        <f>I323-M323</f>
        <v/>
      </c>
      <c r="Q323" s="9">
        <f>IF(LEFT(B323,4)&lt;&gt;"    ",0,BN323)</f>
        <v/>
      </c>
      <c r="R323" s="9">
        <f>+P323-Q323</f>
        <v/>
      </c>
      <c r="S323" s="281" t="n"/>
      <c r="T323" s="10" t="n"/>
      <c r="U323" s="23">
        <f>IF(LEFT(B323,4)&lt;&gt;"    ","",IF(M323&lt;&gt;0,X323/M323,0))</f>
        <v/>
      </c>
      <c r="V323" s="11">
        <f>IF(LEFT(B323,4)&lt;&gt;"    ","",U323*I323)</f>
        <v/>
      </c>
      <c r="W323" s="11">
        <f>IF(LEFT(B323,4)&lt;&gt;"    ","",X323+Z323)</f>
        <v/>
      </c>
      <c r="X323" s="8" t="n"/>
      <c r="Y323" s="9">
        <f>IF(LEFT(B323,4)&lt;&gt;"    ",0,IF(P323&lt;0,P323,IF(U323&gt;0.3,W323-X323,0)))</f>
        <v/>
      </c>
      <c r="Z323" s="71">
        <f>Y323</f>
        <v/>
      </c>
      <c r="AA323" s="71" t="n"/>
      <c r="AB323" s="109" t="n"/>
      <c r="AC323" s="9">
        <f>IF(LEFT(B323,4)&lt;&gt;"    ",0,BK323)</f>
        <v/>
      </c>
      <c r="AD323" s="9">
        <f>Z323-AC323</f>
        <v/>
      </c>
      <c r="AE323" s="10" t="n"/>
      <c r="AF323" s="24" t="n"/>
      <c r="AG323" s="11" t="n"/>
      <c r="AH323" s="8" t="n"/>
      <c r="AI323" s="9">
        <f>IF(LEFT(B323,4)&lt;&gt;"    ","",AG323-AH323)</f>
        <v/>
      </c>
      <c r="AJ323" s="9" t="n"/>
      <c r="AK323" s="10" t="n"/>
      <c r="AL323" s="11">
        <f>IF(LEFT(B323,4)&lt;&gt;"    ","",W323-AG323)</f>
        <v/>
      </c>
      <c r="AM323" s="8">
        <f>IF(LEFT(B323,4)&lt;&gt;"    ","",X323-AH323)</f>
        <v/>
      </c>
      <c r="AN323" s="9">
        <f>IF(LEFT(B323,4)&lt;&gt;"    ","",Y323-AI323)</f>
        <v/>
      </c>
      <c r="AO323" s="9">
        <f>IF(LEFT(B323,4)&lt;&gt;"    ","",Z323-AJ323)</f>
        <v/>
      </c>
      <c r="AP323" s="10" t="n"/>
      <c r="AQ323" s="25">
        <f>IF(LEFT(B323,4)&lt;&gt;"    ","",I323-W323)</f>
        <v/>
      </c>
      <c r="AR323" s="25">
        <f>M323-X323</f>
        <v/>
      </c>
      <c r="AS323" s="25">
        <f>IF(LEFT(B323,4)&lt;&gt;"    ","",P323-Z323)</f>
        <v/>
      </c>
      <c r="AT323" s="10" t="n"/>
      <c r="AU323" s="12" t="n"/>
      <c r="AV323" s="12">
        <f>IF(LEFT(B323,4)&lt;&gt;"    ","",IF(W323-AU323&gt;=0,W323-AU323," "))</f>
        <v/>
      </c>
      <c r="AW323" s="12">
        <f>IF(LEFT(B323,4)&lt;&gt;"    ","",IF(AU323-W323&gt;=0,AU323-W323," "))</f>
        <v/>
      </c>
      <c r="AX323" s="186" t="n"/>
      <c r="AY323" s="187" t="n"/>
      <c r="AZ323" s="186" t="n"/>
      <c r="BA323" s="186" t="n"/>
      <c r="BB323" s="188" t="n"/>
      <c r="BC323" s="187" t="n"/>
      <c r="BD323" s="187" t="n"/>
      <c r="BE323" s="186" t="n"/>
      <c r="BF323" s="186" t="n"/>
      <c r="BG323" s="186" t="n"/>
      <c r="BH323" s="186" t="n"/>
      <c r="BI323" s="186" t="n"/>
      <c r="BJ323" s="186" t="n"/>
      <c r="BK323" s="186" t="n"/>
      <c r="BL323" s="186" t="n"/>
      <c r="BM323" s="186" t="n"/>
      <c r="BN323" s="186" t="n"/>
      <c r="BO323" s="186" t="n"/>
      <c r="BP323" s="186" t="n"/>
      <c r="BQ323" s="186" t="n"/>
      <c r="BR323" s="186" t="n"/>
      <c r="BS323" s="186" t="n"/>
      <c r="BT323" s="186" t="n"/>
      <c r="BU323" s="186" t="n"/>
      <c r="BV323" s="186" t="n"/>
      <c r="BW323" s="186" t="n"/>
      <c r="BX323" s="186" t="n"/>
      <c r="BY323" s="186" t="n"/>
      <c r="BZ323" s="186" t="n"/>
      <c r="CA323" s="186" t="n"/>
      <c r="CB323" s="186" t="n"/>
      <c r="CC323" s="190" t="n"/>
      <c r="CD323" s="186" t="n"/>
      <c r="CE323" s="186" t="n"/>
      <c r="CF323" s="186" t="n"/>
      <c r="CG323" s="186" t="n"/>
      <c r="CH323" s="186" t="n"/>
      <c r="CI323" s="191" t="n"/>
      <c r="CJ323" s="192" t="n"/>
      <c r="CK323" s="192" t="n"/>
      <c r="CL323" s="192" t="n"/>
      <c r="CM323" s="192" t="n"/>
    </row>
    <row r="324">
      <c r="A324" s="177" t="n"/>
      <c r="B324" s="178" t="n"/>
      <c r="C324" s="178" t="n"/>
      <c r="D324" s="179" t="n"/>
      <c r="E324" s="180" t="n"/>
      <c r="F324" s="181" t="n"/>
      <c r="G324" s="182" t="n"/>
      <c r="H324" s="105" t="n"/>
      <c r="I324" s="196">
        <f>F324</f>
        <v/>
      </c>
      <c r="J324" s="184" t="n"/>
      <c r="K324" s="185" t="n"/>
      <c r="L324" s="8" t="n"/>
      <c r="M324" s="71">
        <f>L324</f>
        <v/>
      </c>
      <c r="N324" s="71" t="n"/>
      <c r="O324" s="101" t="n"/>
      <c r="P324" s="9">
        <f>I324-M324</f>
        <v/>
      </c>
      <c r="Q324" s="9">
        <f>IF(LEFT(B324,4)&lt;&gt;"    ",0,BN324)</f>
        <v/>
      </c>
      <c r="R324" s="9">
        <f>+P324-Q324</f>
        <v/>
      </c>
      <c r="S324" s="281" t="n"/>
      <c r="T324" s="10" t="n"/>
      <c r="U324" s="23">
        <f>IF(LEFT(B324,4)&lt;&gt;"    ","",IF(M324&lt;&gt;0,X324/M324,0))</f>
        <v/>
      </c>
      <c r="V324" s="11">
        <f>IF(LEFT(B324,4)&lt;&gt;"    ","",U324*I324)</f>
        <v/>
      </c>
      <c r="W324" s="11">
        <f>IF(LEFT(B324,4)&lt;&gt;"    ","",X324+Z324)</f>
        <v/>
      </c>
      <c r="X324" s="8" t="n"/>
      <c r="Y324" s="9">
        <f>IF(LEFT(B324,4)&lt;&gt;"    ",0,IF(P324&lt;0,P324,IF(U324&gt;0.3,W324-X324,0)))</f>
        <v/>
      </c>
      <c r="Z324" s="71">
        <f>Y324</f>
        <v/>
      </c>
      <c r="AA324" s="71" t="n"/>
      <c r="AB324" s="109" t="n"/>
      <c r="AC324" s="9">
        <f>IF(LEFT(B324,4)&lt;&gt;"    ",0,BK324)</f>
        <v/>
      </c>
      <c r="AD324" s="9">
        <f>Z324-AC324</f>
        <v/>
      </c>
      <c r="AE324" s="10" t="n"/>
      <c r="AF324" s="24" t="n"/>
      <c r="AG324" s="11" t="n"/>
      <c r="AH324" s="8" t="n"/>
      <c r="AI324" s="9">
        <f>IF(LEFT(B324,4)&lt;&gt;"    ","",AG324-AH324)</f>
        <v/>
      </c>
      <c r="AJ324" s="9" t="n"/>
      <c r="AK324" s="10" t="n"/>
      <c r="AL324" s="11">
        <f>IF(LEFT(B324,4)&lt;&gt;"    ","",W324-AG324)</f>
        <v/>
      </c>
      <c r="AM324" s="8">
        <f>IF(LEFT(B324,4)&lt;&gt;"    ","",X324-AH324)</f>
        <v/>
      </c>
      <c r="AN324" s="9">
        <f>IF(LEFT(B324,4)&lt;&gt;"    ","",Y324-AI324)</f>
        <v/>
      </c>
      <c r="AO324" s="9">
        <f>IF(LEFT(B324,4)&lt;&gt;"    ","",Z324-AJ324)</f>
        <v/>
      </c>
      <c r="AP324" s="10" t="n"/>
      <c r="AQ324" s="25">
        <f>IF(LEFT(B324,4)&lt;&gt;"    ","",I324-W324)</f>
        <v/>
      </c>
      <c r="AR324" s="25">
        <f>M324-X324</f>
        <v/>
      </c>
      <c r="AS324" s="25">
        <f>IF(LEFT(B324,4)&lt;&gt;"    ","",P324-Z324)</f>
        <v/>
      </c>
      <c r="AT324" s="10" t="n"/>
      <c r="AU324" s="12" t="n"/>
      <c r="AV324" s="12">
        <f>IF(LEFT(B324,4)&lt;&gt;"    ","",IF(W324-AU324&gt;=0,W324-AU324," "))</f>
        <v/>
      </c>
      <c r="AW324" s="12">
        <f>IF(LEFT(B324,4)&lt;&gt;"    ","",IF(AU324-W324&gt;=0,AU324-W324," "))</f>
        <v/>
      </c>
      <c r="AX324" s="186" t="n"/>
      <c r="AY324" s="187" t="n"/>
      <c r="AZ324" s="186" t="n"/>
      <c r="BA324" s="186" t="n"/>
      <c r="BB324" s="188" t="n"/>
      <c r="BC324" s="187" t="n"/>
      <c r="BD324" s="187" t="n"/>
      <c r="BE324" s="186" t="n"/>
      <c r="BF324" s="186" t="n"/>
      <c r="BG324" s="186" t="n"/>
      <c r="BH324" s="186" t="n"/>
      <c r="BI324" s="186" t="n"/>
      <c r="BJ324" s="186" t="n"/>
      <c r="BK324" s="186" t="n"/>
      <c r="BL324" s="186" t="n"/>
      <c r="BM324" s="186" t="n"/>
      <c r="BN324" s="186" t="n"/>
      <c r="BO324" s="186" t="n"/>
      <c r="BP324" s="186" t="n"/>
      <c r="BQ324" s="186" t="n"/>
      <c r="BR324" s="186" t="n"/>
      <c r="BS324" s="186" t="n"/>
      <c r="BT324" s="186" t="n"/>
      <c r="BU324" s="186" t="n"/>
      <c r="BV324" s="186" t="n"/>
      <c r="BW324" s="186" t="n"/>
      <c r="BX324" s="186" t="n"/>
      <c r="BY324" s="186" t="n"/>
      <c r="BZ324" s="186" t="n"/>
      <c r="CA324" s="186" t="n"/>
      <c r="CB324" s="186" t="n"/>
      <c r="CC324" s="190" t="n"/>
      <c r="CD324" s="186" t="n"/>
      <c r="CE324" s="186" t="n"/>
      <c r="CF324" s="186" t="n"/>
      <c r="CG324" s="186" t="n"/>
      <c r="CH324" s="186" t="n"/>
      <c r="CI324" s="191" t="n"/>
      <c r="CJ324" s="192" t="n"/>
      <c r="CK324" s="192" t="n"/>
      <c r="CL324" s="192" t="n"/>
      <c r="CM324" s="192" t="n"/>
    </row>
    <row r="325">
      <c r="A325" s="177" t="n"/>
      <c r="B325" s="178" t="n"/>
      <c r="C325" s="178" t="n"/>
      <c r="D325" s="179" t="n"/>
      <c r="E325" s="180" t="n"/>
      <c r="F325" s="181" t="n"/>
      <c r="G325" s="182" t="n"/>
      <c r="H325" s="105" t="n"/>
      <c r="I325" s="196">
        <f>F325</f>
        <v/>
      </c>
      <c r="J325" s="184" t="n"/>
      <c r="K325" s="185" t="n"/>
      <c r="L325" s="8" t="n"/>
      <c r="M325" s="71">
        <f>L325</f>
        <v/>
      </c>
      <c r="N325" s="71" t="n"/>
      <c r="O325" s="101" t="n"/>
      <c r="P325" s="9">
        <f>I325-M325</f>
        <v/>
      </c>
      <c r="Q325" s="9">
        <f>IF(LEFT(B325,4)&lt;&gt;"    ",0,BN325)</f>
        <v/>
      </c>
      <c r="R325" s="9">
        <f>+P325-Q325</f>
        <v/>
      </c>
      <c r="S325" s="281" t="n"/>
      <c r="T325" s="10" t="n"/>
      <c r="U325" s="23">
        <f>IF(LEFT(B325,4)&lt;&gt;"    ","",IF(M325&lt;&gt;0,X325/M325,0))</f>
        <v/>
      </c>
      <c r="V325" s="11">
        <f>IF(LEFT(B325,4)&lt;&gt;"    ","",U325*I325)</f>
        <v/>
      </c>
      <c r="W325" s="11">
        <f>IF(LEFT(B325,4)&lt;&gt;"    ","",X325+Z325)</f>
        <v/>
      </c>
      <c r="X325" s="8" t="n"/>
      <c r="Y325" s="9">
        <f>IF(LEFT(B325,4)&lt;&gt;"    ",0,IF(P325&lt;0,P325,IF(U325&gt;0.3,W325-X325,0)))</f>
        <v/>
      </c>
      <c r="Z325" s="71">
        <f>Y325</f>
        <v/>
      </c>
      <c r="AA325" s="71" t="n"/>
      <c r="AB325" s="109" t="n"/>
      <c r="AC325" s="9">
        <f>IF(LEFT(B325,4)&lt;&gt;"    ",0,BK325)</f>
        <v/>
      </c>
      <c r="AD325" s="9">
        <f>Z325-AC325</f>
        <v/>
      </c>
      <c r="AE325" s="10" t="n"/>
      <c r="AF325" s="24" t="n"/>
      <c r="AG325" s="11" t="n"/>
      <c r="AH325" s="8" t="n"/>
      <c r="AI325" s="9">
        <f>IF(LEFT(B325,4)&lt;&gt;"    ","",AG325-AH325)</f>
        <v/>
      </c>
      <c r="AJ325" s="9" t="n"/>
      <c r="AK325" s="10" t="n"/>
      <c r="AL325" s="11">
        <f>IF(LEFT(B325,4)&lt;&gt;"    ","",W325-AG325)</f>
        <v/>
      </c>
      <c r="AM325" s="8">
        <f>IF(LEFT(B325,4)&lt;&gt;"    ","",X325-AH325)</f>
        <v/>
      </c>
      <c r="AN325" s="9">
        <f>IF(LEFT(B325,4)&lt;&gt;"    ","",Y325-AI325)</f>
        <v/>
      </c>
      <c r="AO325" s="9">
        <f>IF(LEFT(B325,4)&lt;&gt;"    ","",Z325-AJ325)</f>
        <v/>
      </c>
      <c r="AP325" s="10" t="n"/>
      <c r="AQ325" s="25">
        <f>IF(LEFT(B325,4)&lt;&gt;"    ","",I325-W325)</f>
        <v/>
      </c>
      <c r="AR325" s="25">
        <f>M325-X325</f>
        <v/>
      </c>
      <c r="AS325" s="25">
        <f>IF(LEFT(B325,4)&lt;&gt;"    ","",P325-Z325)</f>
        <v/>
      </c>
      <c r="AT325" s="10" t="n"/>
      <c r="AU325" s="12" t="n"/>
      <c r="AV325" s="12">
        <f>IF(LEFT(B325,4)&lt;&gt;"    ","",IF(W325-AU325&gt;=0,W325-AU325," "))</f>
        <v/>
      </c>
      <c r="AW325" s="12">
        <f>IF(LEFT(B325,4)&lt;&gt;"    ","",IF(AU325-W325&gt;=0,AU325-W325," "))</f>
        <v/>
      </c>
      <c r="AX325" s="186" t="n"/>
      <c r="AY325" s="187" t="n"/>
      <c r="AZ325" s="186" t="n"/>
      <c r="BA325" s="186" t="n"/>
      <c r="BB325" s="188" t="n"/>
      <c r="BC325" s="187" t="n"/>
      <c r="BD325" s="187" t="n"/>
      <c r="BE325" s="186" t="n"/>
      <c r="BF325" s="186" t="n"/>
      <c r="BG325" s="186" t="n"/>
      <c r="BH325" s="186" t="n"/>
      <c r="BI325" s="186" t="n"/>
      <c r="BJ325" s="186" t="n"/>
      <c r="BK325" s="186" t="n"/>
      <c r="BL325" s="186" t="n"/>
      <c r="BM325" s="186" t="n"/>
      <c r="BN325" s="186" t="n"/>
      <c r="BO325" s="186" t="n"/>
      <c r="BP325" s="186" t="n"/>
      <c r="BQ325" s="186" t="n"/>
      <c r="BR325" s="186" t="n"/>
      <c r="BS325" s="186" t="n"/>
      <c r="BT325" s="186" t="n"/>
      <c r="BU325" s="186" t="n"/>
      <c r="BV325" s="186" t="n"/>
      <c r="BW325" s="186" t="n"/>
      <c r="BX325" s="186" t="n"/>
      <c r="BY325" s="186" t="n"/>
      <c r="BZ325" s="186" t="n"/>
      <c r="CA325" s="186" t="n"/>
      <c r="CB325" s="186" t="n"/>
      <c r="CC325" s="190" t="n"/>
      <c r="CD325" s="186" t="n"/>
      <c r="CE325" s="186" t="n"/>
      <c r="CF325" s="186" t="n"/>
      <c r="CG325" s="186" t="n"/>
      <c r="CH325" s="186" t="n"/>
      <c r="CI325" s="191" t="n"/>
      <c r="CJ325" s="192" t="n"/>
      <c r="CK325" s="192" t="n"/>
      <c r="CL325" s="192" t="n"/>
      <c r="CM325" s="192" t="n"/>
    </row>
    <row r="326">
      <c r="A326" s="177" t="n"/>
      <c r="B326" s="178" t="n"/>
      <c r="C326" s="178" t="n"/>
      <c r="D326" s="179" t="n"/>
      <c r="E326" s="180" t="n"/>
      <c r="F326" s="181" t="n"/>
      <c r="G326" s="182" t="n"/>
      <c r="H326" s="105" t="n"/>
      <c r="I326" s="196">
        <f>F326</f>
        <v/>
      </c>
      <c r="J326" s="184" t="n"/>
      <c r="K326" s="185" t="n"/>
      <c r="L326" s="8" t="n"/>
      <c r="M326" s="71">
        <f>L326</f>
        <v/>
      </c>
      <c r="N326" s="71" t="n"/>
      <c r="O326" s="101" t="n"/>
      <c r="P326" s="9">
        <f>I326-M326</f>
        <v/>
      </c>
      <c r="Q326" s="9">
        <f>IF(LEFT(B326,4)&lt;&gt;"    ",0,BN326)</f>
        <v/>
      </c>
      <c r="R326" s="9">
        <f>+P326-Q326</f>
        <v/>
      </c>
      <c r="S326" s="281" t="n"/>
      <c r="T326" s="10" t="n"/>
      <c r="U326" s="23">
        <f>IF(LEFT(B326,4)&lt;&gt;"    ","",IF(M326&lt;&gt;0,X326/M326,0))</f>
        <v/>
      </c>
      <c r="V326" s="11">
        <f>IF(LEFT(B326,4)&lt;&gt;"    ","",U326*I326)</f>
        <v/>
      </c>
      <c r="W326" s="11">
        <f>IF(LEFT(B326,4)&lt;&gt;"    ","",X326+Z326)</f>
        <v/>
      </c>
      <c r="X326" s="8" t="n"/>
      <c r="Y326" s="9">
        <f>IF(LEFT(B326,4)&lt;&gt;"    ",0,IF(P326&lt;0,P326,IF(U326&gt;0.3,W326-X326,0)))</f>
        <v/>
      </c>
      <c r="Z326" s="71">
        <f>Y326</f>
        <v/>
      </c>
      <c r="AA326" s="71" t="n"/>
      <c r="AB326" s="109" t="n"/>
      <c r="AC326" s="9">
        <f>IF(LEFT(B326,4)&lt;&gt;"    ",0,BK326)</f>
        <v/>
      </c>
      <c r="AD326" s="9">
        <f>Z326-AC326</f>
        <v/>
      </c>
      <c r="AE326" s="10" t="n"/>
      <c r="AF326" s="24" t="n"/>
      <c r="AG326" s="11" t="n"/>
      <c r="AH326" s="8" t="n"/>
      <c r="AI326" s="9">
        <f>IF(LEFT(B326,4)&lt;&gt;"    ","",AG326-AH326)</f>
        <v/>
      </c>
      <c r="AJ326" s="9" t="n"/>
      <c r="AK326" s="10" t="n"/>
      <c r="AL326" s="11">
        <f>IF(LEFT(B326,4)&lt;&gt;"    ","",W326-AG326)</f>
        <v/>
      </c>
      <c r="AM326" s="8">
        <f>IF(LEFT(B326,4)&lt;&gt;"    ","",X326-AH326)</f>
        <v/>
      </c>
      <c r="AN326" s="9">
        <f>IF(LEFT(B326,4)&lt;&gt;"    ","",Y326-AI326)</f>
        <v/>
      </c>
      <c r="AO326" s="9">
        <f>IF(LEFT(B326,4)&lt;&gt;"    ","",Z326-AJ326)</f>
        <v/>
      </c>
      <c r="AP326" s="10" t="n"/>
      <c r="AQ326" s="25">
        <f>IF(LEFT(B326,4)&lt;&gt;"    ","",I326-W326)</f>
        <v/>
      </c>
      <c r="AR326" s="25">
        <f>M326-X326</f>
        <v/>
      </c>
      <c r="AS326" s="25">
        <f>IF(LEFT(B326,4)&lt;&gt;"    ","",P326-Z326)</f>
        <v/>
      </c>
      <c r="AT326" s="10" t="n"/>
      <c r="AU326" s="12" t="n"/>
      <c r="AV326" s="12">
        <f>IF(LEFT(B326,4)&lt;&gt;"    ","",IF(W326-AU326&gt;=0,W326-AU326," "))</f>
        <v/>
      </c>
      <c r="AW326" s="12">
        <f>IF(LEFT(B326,4)&lt;&gt;"    ","",IF(AU326-W326&gt;=0,AU326-W326," "))</f>
        <v/>
      </c>
      <c r="AX326" s="186" t="n"/>
      <c r="AY326" s="187" t="n"/>
      <c r="AZ326" s="186" t="n"/>
      <c r="BA326" s="186" t="n"/>
      <c r="BB326" s="188" t="n"/>
      <c r="BC326" s="187" t="n"/>
      <c r="BD326" s="187" t="n"/>
      <c r="BE326" s="186" t="n"/>
      <c r="BF326" s="186" t="n"/>
      <c r="BG326" s="186" t="n"/>
      <c r="BH326" s="186" t="n"/>
      <c r="BI326" s="186" t="n"/>
      <c r="BJ326" s="186" t="n"/>
      <c r="BK326" s="186" t="n"/>
      <c r="BL326" s="186" t="n"/>
      <c r="BM326" s="186" t="n"/>
      <c r="BN326" s="186" t="n"/>
      <c r="BO326" s="186" t="n"/>
      <c r="BP326" s="186" t="n"/>
      <c r="BQ326" s="186" t="n"/>
      <c r="BR326" s="186" t="n"/>
      <c r="BS326" s="186" t="n"/>
      <c r="BT326" s="186" t="n"/>
      <c r="BU326" s="186" t="n"/>
      <c r="BV326" s="186" t="n"/>
      <c r="BW326" s="186" t="n"/>
      <c r="BX326" s="186" t="n"/>
      <c r="BY326" s="186" t="n"/>
      <c r="BZ326" s="186" t="n"/>
      <c r="CA326" s="186" t="n"/>
      <c r="CB326" s="186" t="n"/>
      <c r="CC326" s="190" t="n"/>
      <c r="CD326" s="186" t="n"/>
      <c r="CE326" s="186" t="n"/>
      <c r="CF326" s="186" t="n"/>
      <c r="CG326" s="186" t="n"/>
      <c r="CH326" s="186" t="n"/>
      <c r="CI326" s="191" t="n"/>
      <c r="CJ326" s="192" t="n"/>
      <c r="CK326" s="192" t="n"/>
      <c r="CL326" s="192" t="n"/>
      <c r="CM326" s="192" t="n"/>
    </row>
    <row r="327">
      <c r="A327" s="177" t="n"/>
      <c r="B327" s="178" t="n"/>
      <c r="C327" s="178" t="n"/>
      <c r="D327" s="179" t="n"/>
      <c r="E327" s="180" t="n"/>
      <c r="F327" s="181" t="n"/>
      <c r="G327" s="182" t="n"/>
      <c r="H327" s="105" t="n"/>
      <c r="I327" s="196">
        <f>F327</f>
        <v/>
      </c>
      <c r="J327" s="184" t="n"/>
      <c r="K327" s="185" t="n"/>
      <c r="L327" s="8" t="n"/>
      <c r="M327" s="71">
        <f>L327</f>
        <v/>
      </c>
      <c r="N327" s="71" t="n"/>
      <c r="O327" s="101" t="n"/>
      <c r="P327" s="9">
        <f>I327-M327</f>
        <v/>
      </c>
      <c r="Q327" s="9">
        <f>IF(LEFT(B327,4)&lt;&gt;"    ",0,BN327)</f>
        <v/>
      </c>
      <c r="R327" s="9">
        <f>+P327-Q327</f>
        <v/>
      </c>
      <c r="S327" s="281" t="n"/>
      <c r="T327" s="10" t="n"/>
      <c r="U327" s="23">
        <f>IF(LEFT(B327,4)&lt;&gt;"    ","",IF(M327&lt;&gt;0,X327/M327,0))</f>
        <v/>
      </c>
      <c r="V327" s="11">
        <f>IF(LEFT(B327,4)&lt;&gt;"    ","",U327*I327)</f>
        <v/>
      </c>
      <c r="W327" s="11">
        <f>IF(LEFT(B327,4)&lt;&gt;"    ","",X327+Z327)</f>
        <v/>
      </c>
      <c r="X327" s="8" t="n"/>
      <c r="Y327" s="9">
        <f>IF(LEFT(B327,4)&lt;&gt;"    ",0,IF(P327&lt;0,P327,IF(U327&gt;0.3,W327-X327,0)))</f>
        <v/>
      </c>
      <c r="Z327" s="71">
        <f>Y327</f>
        <v/>
      </c>
      <c r="AA327" s="71" t="n"/>
      <c r="AB327" s="109" t="n"/>
      <c r="AC327" s="9">
        <f>IF(LEFT(B327,4)&lt;&gt;"    ",0,BK327)</f>
        <v/>
      </c>
      <c r="AD327" s="9">
        <f>Z327-AC327</f>
        <v/>
      </c>
      <c r="AE327" s="10" t="n"/>
      <c r="AF327" s="24" t="n"/>
      <c r="AG327" s="11" t="n"/>
      <c r="AH327" s="8" t="n"/>
      <c r="AI327" s="9">
        <f>IF(LEFT(B327,4)&lt;&gt;"    ","",AG327-AH327)</f>
        <v/>
      </c>
      <c r="AJ327" s="9" t="n"/>
      <c r="AK327" s="10" t="n"/>
      <c r="AL327" s="11">
        <f>IF(LEFT(B327,4)&lt;&gt;"    ","",W327-AG327)</f>
        <v/>
      </c>
      <c r="AM327" s="8">
        <f>IF(LEFT(B327,4)&lt;&gt;"    ","",X327-AH327)</f>
        <v/>
      </c>
      <c r="AN327" s="9">
        <f>IF(LEFT(B327,4)&lt;&gt;"    ","",Y327-AI327)</f>
        <v/>
      </c>
      <c r="AO327" s="9">
        <f>IF(LEFT(B327,4)&lt;&gt;"    ","",Z327-AJ327)</f>
        <v/>
      </c>
      <c r="AP327" s="10" t="n"/>
      <c r="AQ327" s="25">
        <f>IF(LEFT(B327,4)&lt;&gt;"    ","",I327-W327)</f>
        <v/>
      </c>
      <c r="AR327" s="25">
        <f>M327-X327</f>
        <v/>
      </c>
      <c r="AS327" s="25">
        <f>IF(LEFT(B327,4)&lt;&gt;"    ","",P327-Z327)</f>
        <v/>
      </c>
      <c r="AT327" s="10" t="n"/>
      <c r="AU327" s="12" t="n"/>
      <c r="AV327" s="12">
        <f>IF(LEFT(B327,4)&lt;&gt;"    ","",IF(W327-AU327&gt;=0,W327-AU327," "))</f>
        <v/>
      </c>
      <c r="AW327" s="12">
        <f>IF(LEFT(B327,4)&lt;&gt;"    ","",IF(AU327-W327&gt;=0,AU327-W327," "))</f>
        <v/>
      </c>
      <c r="AX327" s="186" t="n"/>
      <c r="AY327" s="187" t="n"/>
      <c r="AZ327" s="186" t="n"/>
      <c r="BA327" s="186" t="n"/>
      <c r="BB327" s="188" t="n"/>
      <c r="BC327" s="187" t="n"/>
      <c r="BD327" s="187" t="n"/>
      <c r="BE327" s="186" t="n"/>
      <c r="BF327" s="186" t="n"/>
      <c r="BG327" s="186" t="n"/>
      <c r="BH327" s="186" t="n"/>
      <c r="BI327" s="186" t="n"/>
      <c r="BJ327" s="186" t="n"/>
      <c r="BK327" s="186" t="n"/>
      <c r="BL327" s="186" t="n"/>
      <c r="BM327" s="186" t="n"/>
      <c r="BN327" s="186" t="n"/>
      <c r="BO327" s="186" t="n"/>
      <c r="BP327" s="186" t="n"/>
      <c r="BQ327" s="186" t="n"/>
      <c r="BR327" s="186" t="n"/>
      <c r="BS327" s="186" t="n"/>
      <c r="BT327" s="186" t="n"/>
      <c r="BU327" s="186" t="n"/>
      <c r="BV327" s="186" t="n"/>
      <c r="BW327" s="186" t="n"/>
      <c r="BX327" s="186" t="n"/>
      <c r="BY327" s="186" t="n"/>
      <c r="BZ327" s="186" t="n"/>
      <c r="CA327" s="186" t="n"/>
      <c r="CB327" s="186" t="n"/>
      <c r="CC327" s="190" t="n"/>
      <c r="CD327" s="186" t="n"/>
      <c r="CE327" s="186" t="n"/>
      <c r="CF327" s="186" t="n"/>
      <c r="CG327" s="186" t="n"/>
      <c r="CH327" s="186" t="n"/>
      <c r="CI327" s="191" t="n"/>
      <c r="CJ327" s="192" t="n"/>
      <c r="CK327" s="192" t="n"/>
      <c r="CL327" s="192" t="n"/>
      <c r="CM327" s="192" t="n"/>
    </row>
    <row r="328">
      <c r="A328" s="177" t="n"/>
      <c r="B328" s="178" t="n"/>
      <c r="C328" s="178" t="n"/>
      <c r="D328" s="179" t="n"/>
      <c r="E328" s="180" t="n"/>
      <c r="F328" s="181" t="n"/>
      <c r="G328" s="182" t="n"/>
      <c r="H328" s="105" t="n"/>
      <c r="I328" s="196">
        <f>F328</f>
        <v/>
      </c>
      <c r="J328" s="184" t="n"/>
      <c r="K328" s="185" t="n"/>
      <c r="L328" s="8" t="n"/>
      <c r="M328" s="71">
        <f>L328</f>
        <v/>
      </c>
      <c r="N328" s="71" t="n"/>
      <c r="O328" s="101" t="n"/>
      <c r="P328" s="9">
        <f>I328-M328</f>
        <v/>
      </c>
      <c r="Q328" s="9">
        <f>IF(LEFT(B328,4)&lt;&gt;"    ",0,BN328)</f>
        <v/>
      </c>
      <c r="R328" s="9">
        <f>+P328-Q328</f>
        <v/>
      </c>
      <c r="S328" s="281" t="n"/>
      <c r="T328" s="10" t="n"/>
      <c r="U328" s="23">
        <f>IF(LEFT(B328,4)&lt;&gt;"    ","",IF(M328&lt;&gt;0,X328/M328,0))</f>
        <v/>
      </c>
      <c r="V328" s="11">
        <f>IF(LEFT(B328,4)&lt;&gt;"    ","",U328*I328)</f>
        <v/>
      </c>
      <c r="W328" s="11">
        <f>IF(LEFT(B328,4)&lt;&gt;"    ","",X328+Z328)</f>
        <v/>
      </c>
      <c r="X328" s="8" t="n"/>
      <c r="Y328" s="9">
        <f>IF(LEFT(B328,4)&lt;&gt;"    ",0,IF(P328&lt;0,P328,IF(U328&gt;0.3,W328-X328,0)))</f>
        <v/>
      </c>
      <c r="Z328" s="71">
        <f>Y328</f>
        <v/>
      </c>
      <c r="AA328" s="71" t="n"/>
      <c r="AB328" s="109" t="n"/>
      <c r="AC328" s="9">
        <f>IF(LEFT(B328,4)&lt;&gt;"    ",0,BK328)</f>
        <v/>
      </c>
      <c r="AD328" s="9">
        <f>Z328-AC328</f>
        <v/>
      </c>
      <c r="AE328" s="10" t="n"/>
      <c r="AF328" s="24" t="n"/>
      <c r="AG328" s="11" t="n"/>
      <c r="AH328" s="8" t="n"/>
      <c r="AI328" s="9">
        <f>IF(LEFT(B328,4)&lt;&gt;"    ","",AG328-AH328)</f>
        <v/>
      </c>
      <c r="AJ328" s="9" t="n"/>
      <c r="AK328" s="10" t="n"/>
      <c r="AL328" s="11">
        <f>IF(LEFT(B328,4)&lt;&gt;"    ","",W328-AG328)</f>
        <v/>
      </c>
      <c r="AM328" s="8">
        <f>IF(LEFT(B328,4)&lt;&gt;"    ","",X328-AH328)</f>
        <v/>
      </c>
      <c r="AN328" s="9">
        <f>IF(LEFT(B328,4)&lt;&gt;"    ","",Y328-AI328)</f>
        <v/>
      </c>
      <c r="AO328" s="9">
        <f>IF(LEFT(B328,4)&lt;&gt;"    ","",Z328-AJ328)</f>
        <v/>
      </c>
      <c r="AP328" s="10" t="n"/>
      <c r="AQ328" s="25">
        <f>IF(LEFT(B328,4)&lt;&gt;"    ","",I328-W328)</f>
        <v/>
      </c>
      <c r="AR328" s="25">
        <f>M328-X328</f>
        <v/>
      </c>
      <c r="AS328" s="25">
        <f>IF(LEFT(B328,4)&lt;&gt;"    ","",P328-Z328)</f>
        <v/>
      </c>
      <c r="AT328" s="10" t="n"/>
      <c r="AU328" s="12" t="n"/>
      <c r="AV328" s="12">
        <f>IF(LEFT(B328,4)&lt;&gt;"    ","",IF(W328-AU328&gt;=0,W328-AU328," "))</f>
        <v/>
      </c>
      <c r="AW328" s="12">
        <f>IF(LEFT(B328,4)&lt;&gt;"    ","",IF(AU328-W328&gt;=0,AU328-W328," "))</f>
        <v/>
      </c>
      <c r="AX328" s="186" t="n"/>
      <c r="AY328" s="187" t="n"/>
      <c r="AZ328" s="186" t="n"/>
      <c r="BA328" s="186" t="n"/>
      <c r="BB328" s="188" t="n"/>
      <c r="BC328" s="187" t="n"/>
      <c r="BD328" s="187" t="n"/>
      <c r="BE328" s="186" t="n"/>
      <c r="BF328" s="186" t="n"/>
      <c r="BG328" s="186" t="n"/>
      <c r="BH328" s="186" t="n"/>
      <c r="BI328" s="186" t="n"/>
      <c r="BJ328" s="186" t="n"/>
      <c r="BK328" s="186" t="n"/>
      <c r="BL328" s="186" t="n"/>
      <c r="BM328" s="186" t="n"/>
      <c r="BN328" s="186" t="n"/>
      <c r="BO328" s="186" t="n"/>
      <c r="BP328" s="186" t="n"/>
      <c r="BQ328" s="186" t="n"/>
      <c r="BR328" s="186" t="n"/>
      <c r="BS328" s="186" t="n"/>
      <c r="BT328" s="186" t="n"/>
      <c r="BU328" s="186" t="n"/>
      <c r="BV328" s="186" t="n"/>
      <c r="BW328" s="186" t="n"/>
      <c r="BX328" s="186" t="n"/>
      <c r="BY328" s="186" t="n"/>
      <c r="BZ328" s="186" t="n"/>
      <c r="CA328" s="186" t="n"/>
      <c r="CB328" s="186" t="n"/>
      <c r="CC328" s="190" t="n"/>
      <c r="CD328" s="186" t="n"/>
      <c r="CE328" s="186" t="n"/>
      <c r="CF328" s="186" t="n"/>
      <c r="CG328" s="186" t="n"/>
      <c r="CH328" s="186" t="n"/>
      <c r="CI328" s="191" t="n"/>
      <c r="CJ328" s="192" t="n"/>
      <c r="CK328" s="192" t="n"/>
      <c r="CL328" s="192" t="n"/>
      <c r="CM328" s="192" t="n"/>
    </row>
    <row r="329">
      <c r="A329" s="177" t="n"/>
      <c r="B329" s="178" t="n"/>
      <c r="C329" s="178" t="n"/>
      <c r="D329" s="179" t="n"/>
      <c r="E329" s="180" t="n"/>
      <c r="F329" s="181" t="n"/>
      <c r="G329" s="182" t="n"/>
      <c r="H329" s="105" t="n"/>
      <c r="I329" s="196">
        <f>F329</f>
        <v/>
      </c>
      <c r="J329" s="184" t="n"/>
      <c r="K329" s="185" t="n"/>
      <c r="L329" s="8" t="n"/>
      <c r="M329" s="71">
        <f>L329</f>
        <v/>
      </c>
      <c r="N329" s="71" t="n"/>
      <c r="O329" s="101" t="n"/>
      <c r="P329" s="9">
        <f>I329-M329</f>
        <v/>
      </c>
      <c r="Q329" s="9">
        <f>IF(LEFT(B329,4)&lt;&gt;"    ",0,BN329)</f>
        <v/>
      </c>
      <c r="R329" s="9">
        <f>+P329-Q329</f>
        <v/>
      </c>
      <c r="S329" s="281" t="n"/>
      <c r="T329" s="10" t="n"/>
      <c r="U329" s="23">
        <f>IF(LEFT(B329,4)&lt;&gt;"    ","",IF(M329&lt;&gt;0,X329/M329,0))</f>
        <v/>
      </c>
      <c r="V329" s="11">
        <f>IF(LEFT(B329,4)&lt;&gt;"    ","",U329*I329)</f>
        <v/>
      </c>
      <c r="W329" s="11">
        <f>IF(LEFT(B329,4)&lt;&gt;"    ","",X329+Z329)</f>
        <v/>
      </c>
      <c r="X329" s="8" t="n"/>
      <c r="Y329" s="9">
        <f>IF(LEFT(B329,4)&lt;&gt;"    ",0,IF(P329&lt;0,P329,IF(U329&gt;0.3,W329-X329,0)))</f>
        <v/>
      </c>
      <c r="Z329" s="71">
        <f>Y329</f>
        <v/>
      </c>
      <c r="AA329" s="71" t="n"/>
      <c r="AB329" s="109" t="n"/>
      <c r="AC329" s="9">
        <f>IF(LEFT(B329,4)&lt;&gt;"    ",0,BK329)</f>
        <v/>
      </c>
      <c r="AD329" s="9">
        <f>Z329-AC329</f>
        <v/>
      </c>
      <c r="AE329" s="10" t="n"/>
      <c r="AF329" s="24" t="n"/>
      <c r="AG329" s="11" t="n"/>
      <c r="AH329" s="8" t="n"/>
      <c r="AI329" s="9">
        <f>IF(LEFT(B329,4)&lt;&gt;"    ","",AG329-AH329)</f>
        <v/>
      </c>
      <c r="AJ329" s="9" t="n"/>
      <c r="AK329" s="10" t="n"/>
      <c r="AL329" s="11">
        <f>IF(LEFT(B329,4)&lt;&gt;"    ","",W329-AG329)</f>
        <v/>
      </c>
      <c r="AM329" s="8">
        <f>IF(LEFT(B329,4)&lt;&gt;"    ","",X329-AH329)</f>
        <v/>
      </c>
      <c r="AN329" s="9">
        <f>IF(LEFT(B329,4)&lt;&gt;"    ","",Y329-AI329)</f>
        <v/>
      </c>
      <c r="AO329" s="9">
        <f>IF(LEFT(B329,4)&lt;&gt;"    ","",Z329-AJ329)</f>
        <v/>
      </c>
      <c r="AP329" s="10" t="n"/>
      <c r="AQ329" s="25">
        <f>IF(LEFT(B329,4)&lt;&gt;"    ","",I329-W329)</f>
        <v/>
      </c>
      <c r="AR329" s="25">
        <f>M329-X329</f>
        <v/>
      </c>
      <c r="AS329" s="25">
        <f>IF(LEFT(B329,4)&lt;&gt;"    ","",P329-Z329)</f>
        <v/>
      </c>
      <c r="AT329" s="10" t="n"/>
      <c r="AU329" s="12" t="n"/>
      <c r="AV329" s="12">
        <f>IF(LEFT(B329,4)&lt;&gt;"    ","",IF(W329-AU329&gt;=0,W329-AU329," "))</f>
        <v/>
      </c>
      <c r="AW329" s="12">
        <f>IF(LEFT(B329,4)&lt;&gt;"    ","",IF(AU329-W329&gt;=0,AU329-W329," "))</f>
        <v/>
      </c>
      <c r="AX329" s="186" t="n"/>
      <c r="AY329" s="187" t="n"/>
      <c r="AZ329" s="186" t="n"/>
      <c r="BA329" s="186" t="n"/>
      <c r="BB329" s="188" t="n"/>
      <c r="BC329" s="187" t="n"/>
      <c r="BD329" s="187" t="n"/>
      <c r="BE329" s="186" t="n"/>
      <c r="BF329" s="186" t="n"/>
      <c r="BG329" s="186" t="n"/>
      <c r="BH329" s="186" t="n"/>
      <c r="BI329" s="186" t="n"/>
      <c r="BJ329" s="186" t="n"/>
      <c r="BK329" s="186" t="n"/>
      <c r="BL329" s="186" t="n"/>
      <c r="BM329" s="186" t="n"/>
      <c r="BN329" s="186" t="n"/>
      <c r="BO329" s="186" t="n"/>
      <c r="BP329" s="186" t="n"/>
      <c r="BQ329" s="186" t="n"/>
      <c r="BR329" s="186" t="n"/>
      <c r="BS329" s="186" t="n"/>
      <c r="BT329" s="186" t="n"/>
      <c r="BU329" s="186" t="n"/>
      <c r="BV329" s="186" t="n"/>
      <c r="BW329" s="186" t="n"/>
      <c r="BX329" s="186" t="n"/>
      <c r="BY329" s="186" t="n"/>
      <c r="BZ329" s="186" t="n"/>
      <c r="CA329" s="186" t="n"/>
      <c r="CB329" s="186" t="n"/>
      <c r="CC329" s="190" t="n"/>
      <c r="CD329" s="186" t="n"/>
      <c r="CE329" s="186" t="n"/>
      <c r="CF329" s="186" t="n"/>
      <c r="CG329" s="186" t="n"/>
      <c r="CH329" s="186" t="n"/>
      <c r="CI329" s="191" t="n"/>
      <c r="CJ329" s="192" t="n"/>
      <c r="CK329" s="192" t="n"/>
      <c r="CL329" s="192" t="n"/>
      <c r="CM329" s="192" t="n"/>
    </row>
    <row r="330">
      <c r="A330" s="177" t="n"/>
      <c r="B330" s="178" t="n"/>
      <c r="C330" s="178" t="n"/>
      <c r="D330" s="179" t="n"/>
      <c r="E330" s="180" t="n"/>
      <c r="F330" s="181" t="n"/>
      <c r="G330" s="182" t="n"/>
      <c r="H330" s="105" t="n"/>
      <c r="I330" s="196">
        <f>F330</f>
        <v/>
      </c>
      <c r="J330" s="184" t="n"/>
      <c r="K330" s="185" t="n"/>
      <c r="L330" s="8" t="n"/>
      <c r="M330" s="71">
        <f>L330</f>
        <v/>
      </c>
      <c r="N330" s="71" t="n"/>
      <c r="O330" s="101" t="n"/>
      <c r="P330" s="9">
        <f>I330-M330</f>
        <v/>
      </c>
      <c r="Q330" s="9">
        <f>IF(LEFT(B330,4)&lt;&gt;"    ",0,BN330)</f>
        <v/>
      </c>
      <c r="R330" s="9">
        <f>+P330-Q330</f>
        <v/>
      </c>
      <c r="S330" s="281" t="n"/>
      <c r="T330" s="10" t="n"/>
      <c r="U330" s="23">
        <f>IF(LEFT(B330,4)&lt;&gt;"    ","",IF(M330&lt;&gt;0,X330/M330,0))</f>
        <v/>
      </c>
      <c r="V330" s="11">
        <f>IF(LEFT(B330,4)&lt;&gt;"    ","",U330*I330)</f>
        <v/>
      </c>
      <c r="W330" s="11">
        <f>IF(LEFT(B330,4)&lt;&gt;"    ","",X330+Z330)</f>
        <v/>
      </c>
      <c r="X330" s="8" t="n"/>
      <c r="Y330" s="9">
        <f>IF(LEFT(B330,4)&lt;&gt;"    ",0,IF(P330&lt;0,P330,IF(U330&gt;0.3,W330-X330,0)))</f>
        <v/>
      </c>
      <c r="Z330" s="71">
        <f>Y330</f>
        <v/>
      </c>
      <c r="AA330" s="71" t="n"/>
      <c r="AB330" s="109" t="n"/>
      <c r="AC330" s="9">
        <f>IF(LEFT(B330,4)&lt;&gt;"    ",0,BK330)</f>
        <v/>
      </c>
      <c r="AD330" s="9">
        <f>Z330-AC330</f>
        <v/>
      </c>
      <c r="AE330" s="10" t="n"/>
      <c r="AF330" s="24" t="n"/>
      <c r="AG330" s="11" t="n"/>
      <c r="AH330" s="8" t="n"/>
      <c r="AI330" s="9">
        <f>IF(LEFT(B330,4)&lt;&gt;"    ","",AG330-AH330)</f>
        <v/>
      </c>
      <c r="AJ330" s="9" t="n"/>
      <c r="AK330" s="10" t="n"/>
      <c r="AL330" s="11">
        <f>IF(LEFT(B330,4)&lt;&gt;"    ","",W330-AG330)</f>
        <v/>
      </c>
      <c r="AM330" s="8">
        <f>IF(LEFT(B330,4)&lt;&gt;"    ","",X330-AH330)</f>
        <v/>
      </c>
      <c r="AN330" s="9">
        <f>IF(LEFT(B330,4)&lt;&gt;"    ","",Y330-AI330)</f>
        <v/>
      </c>
      <c r="AO330" s="9">
        <f>IF(LEFT(B330,4)&lt;&gt;"    ","",Z330-AJ330)</f>
        <v/>
      </c>
      <c r="AP330" s="10" t="n"/>
      <c r="AQ330" s="25">
        <f>IF(LEFT(B330,4)&lt;&gt;"    ","",I330-W330)</f>
        <v/>
      </c>
      <c r="AR330" s="25">
        <f>M330-X330</f>
        <v/>
      </c>
      <c r="AS330" s="25">
        <f>IF(LEFT(B330,4)&lt;&gt;"    ","",P330-Z330)</f>
        <v/>
      </c>
      <c r="AT330" s="10" t="n"/>
      <c r="AU330" s="12" t="n"/>
      <c r="AV330" s="12">
        <f>IF(LEFT(B330,4)&lt;&gt;"    ","",IF(W330-AU330&gt;=0,W330-AU330," "))</f>
        <v/>
      </c>
      <c r="AW330" s="12">
        <f>IF(LEFT(B330,4)&lt;&gt;"    ","",IF(AU330-W330&gt;=0,AU330-W330," "))</f>
        <v/>
      </c>
      <c r="AX330" s="186" t="n"/>
      <c r="AY330" s="187" t="n"/>
      <c r="AZ330" s="186" t="n"/>
      <c r="BA330" s="186" t="n"/>
      <c r="BB330" s="188" t="n"/>
      <c r="BC330" s="187" t="n"/>
      <c r="BD330" s="187" t="n"/>
      <c r="BE330" s="186" t="n"/>
      <c r="BF330" s="186" t="n"/>
      <c r="BG330" s="186" t="n"/>
      <c r="BH330" s="186" t="n"/>
      <c r="BI330" s="186" t="n"/>
      <c r="BJ330" s="186" t="n"/>
      <c r="BK330" s="186" t="n"/>
      <c r="BL330" s="186" t="n"/>
      <c r="BM330" s="186" t="n"/>
      <c r="BN330" s="186" t="n"/>
      <c r="BO330" s="186" t="n"/>
      <c r="BP330" s="186" t="n"/>
      <c r="BQ330" s="186" t="n"/>
      <c r="BR330" s="186" t="n"/>
      <c r="BS330" s="186" t="n"/>
      <c r="BT330" s="186" t="n"/>
      <c r="BU330" s="186" t="n"/>
      <c r="BV330" s="186" t="n"/>
      <c r="BW330" s="186" t="n"/>
      <c r="BX330" s="186" t="n"/>
      <c r="BY330" s="186" t="n"/>
      <c r="BZ330" s="186" t="n"/>
      <c r="CA330" s="186" t="n"/>
      <c r="CB330" s="186" t="n"/>
      <c r="CC330" s="190" t="n"/>
      <c r="CD330" s="186" t="n"/>
      <c r="CE330" s="186" t="n"/>
      <c r="CF330" s="186" t="n"/>
      <c r="CG330" s="186" t="n"/>
      <c r="CH330" s="186" t="n"/>
      <c r="CI330" s="191" t="n"/>
      <c r="CJ330" s="192" t="n"/>
      <c r="CK330" s="192" t="n"/>
      <c r="CL330" s="192" t="n"/>
      <c r="CM330" s="192" t="n"/>
    </row>
    <row r="331">
      <c r="A331" s="177" t="n"/>
      <c r="B331" s="178" t="n"/>
      <c r="C331" s="178" t="n"/>
      <c r="D331" s="179" t="n"/>
      <c r="E331" s="180" t="n"/>
      <c r="F331" s="181" t="n"/>
      <c r="G331" s="182" t="n"/>
      <c r="H331" s="105" t="n"/>
      <c r="I331" s="196">
        <f>F331</f>
        <v/>
      </c>
      <c r="J331" s="184" t="n"/>
      <c r="K331" s="185" t="n"/>
      <c r="L331" s="8" t="n"/>
      <c r="M331" s="71">
        <f>L331</f>
        <v/>
      </c>
      <c r="N331" s="71" t="n"/>
      <c r="O331" s="101" t="n"/>
      <c r="P331" s="9">
        <f>I331-M331</f>
        <v/>
      </c>
      <c r="Q331" s="9">
        <f>IF(LEFT(B331,4)&lt;&gt;"    ",0,BN331)</f>
        <v/>
      </c>
      <c r="R331" s="9">
        <f>+P331-Q331</f>
        <v/>
      </c>
      <c r="S331" s="281" t="n"/>
      <c r="T331" s="10" t="n"/>
      <c r="U331" s="23">
        <f>IF(LEFT(B331,4)&lt;&gt;"    ","",IF(M331&lt;&gt;0,X331/M331,0))</f>
        <v/>
      </c>
      <c r="V331" s="11">
        <f>IF(LEFT(B331,4)&lt;&gt;"    ","",U331*I331)</f>
        <v/>
      </c>
      <c r="W331" s="11">
        <f>IF(LEFT(B331,4)&lt;&gt;"    ","",X331+Z331)</f>
        <v/>
      </c>
      <c r="X331" s="8" t="n"/>
      <c r="Y331" s="9">
        <f>IF(LEFT(B331,4)&lt;&gt;"    ",0,IF(P331&lt;0,P331,IF(U331&gt;0.3,W331-X331,0)))</f>
        <v/>
      </c>
      <c r="Z331" s="71">
        <f>Y331</f>
        <v/>
      </c>
      <c r="AA331" s="71" t="n"/>
      <c r="AB331" s="109" t="n"/>
      <c r="AC331" s="9">
        <f>IF(LEFT(B331,4)&lt;&gt;"    ",0,BK331)</f>
        <v/>
      </c>
      <c r="AD331" s="9">
        <f>Z331-AC331</f>
        <v/>
      </c>
      <c r="AE331" s="10" t="n"/>
      <c r="AF331" s="24" t="n"/>
      <c r="AG331" s="11" t="n"/>
      <c r="AH331" s="8" t="n"/>
      <c r="AI331" s="9">
        <f>IF(LEFT(B331,4)&lt;&gt;"    ","",AG331-AH331)</f>
        <v/>
      </c>
      <c r="AJ331" s="9" t="n"/>
      <c r="AK331" s="10" t="n"/>
      <c r="AL331" s="11">
        <f>IF(LEFT(B331,4)&lt;&gt;"    ","",W331-AG331)</f>
        <v/>
      </c>
      <c r="AM331" s="8">
        <f>IF(LEFT(B331,4)&lt;&gt;"    ","",X331-AH331)</f>
        <v/>
      </c>
      <c r="AN331" s="9">
        <f>IF(LEFT(B331,4)&lt;&gt;"    ","",Y331-AI331)</f>
        <v/>
      </c>
      <c r="AO331" s="9">
        <f>IF(LEFT(B331,4)&lt;&gt;"    ","",Z331-AJ331)</f>
        <v/>
      </c>
      <c r="AP331" s="10" t="n"/>
      <c r="AQ331" s="25">
        <f>IF(LEFT(B331,4)&lt;&gt;"    ","",I331-W331)</f>
        <v/>
      </c>
      <c r="AR331" s="25">
        <f>M331-X331</f>
        <v/>
      </c>
      <c r="AS331" s="25">
        <f>IF(LEFT(B331,4)&lt;&gt;"    ","",P331-Z331)</f>
        <v/>
      </c>
      <c r="AT331" s="10" t="n"/>
      <c r="AU331" s="12" t="n"/>
      <c r="AV331" s="12">
        <f>IF(LEFT(B331,4)&lt;&gt;"    ","",IF(W331-AU331&gt;=0,W331-AU331," "))</f>
        <v/>
      </c>
      <c r="AW331" s="12">
        <f>IF(LEFT(B331,4)&lt;&gt;"    ","",IF(AU331-W331&gt;=0,AU331-W331," "))</f>
        <v/>
      </c>
      <c r="AX331" s="186" t="n"/>
      <c r="AY331" s="187" t="n"/>
      <c r="AZ331" s="186" t="n"/>
      <c r="BA331" s="186" t="n"/>
      <c r="BB331" s="188" t="n"/>
      <c r="BC331" s="187" t="n"/>
      <c r="BD331" s="187" t="n"/>
      <c r="BE331" s="186" t="n"/>
      <c r="BF331" s="186" t="n"/>
      <c r="BG331" s="186" t="n"/>
      <c r="BH331" s="186" t="n"/>
      <c r="BI331" s="186" t="n"/>
      <c r="BJ331" s="186" t="n"/>
      <c r="BK331" s="186" t="n"/>
      <c r="BL331" s="186" t="n"/>
      <c r="BM331" s="186" t="n"/>
      <c r="BN331" s="186" t="n"/>
      <c r="BO331" s="186" t="n"/>
      <c r="BP331" s="186" t="n"/>
      <c r="BQ331" s="186" t="n"/>
      <c r="BR331" s="186" t="n"/>
      <c r="BS331" s="186" t="n"/>
      <c r="BT331" s="186" t="n"/>
      <c r="BU331" s="186" t="n"/>
      <c r="BV331" s="186" t="n"/>
      <c r="BW331" s="186" t="n"/>
      <c r="BX331" s="186" t="n"/>
      <c r="BY331" s="186" t="n"/>
      <c r="BZ331" s="186" t="n"/>
      <c r="CA331" s="186" t="n"/>
      <c r="CB331" s="186" t="n"/>
      <c r="CC331" s="190" t="n"/>
      <c r="CD331" s="186" t="n"/>
      <c r="CE331" s="186" t="n"/>
      <c r="CF331" s="186" t="n"/>
      <c r="CG331" s="186" t="n"/>
      <c r="CH331" s="186" t="n"/>
      <c r="CI331" s="191" t="n"/>
      <c r="CJ331" s="192" t="n"/>
      <c r="CK331" s="192" t="n"/>
      <c r="CL331" s="192" t="n"/>
      <c r="CM331" s="192" t="n"/>
    </row>
    <row r="332">
      <c r="A332" s="177" t="n"/>
      <c r="B332" s="178" t="n"/>
      <c r="C332" s="178" t="n"/>
      <c r="D332" s="179" t="n"/>
      <c r="E332" s="180" t="n"/>
      <c r="F332" s="181" t="n"/>
      <c r="G332" s="182" t="n"/>
      <c r="H332" s="105" t="n"/>
      <c r="I332" s="196">
        <f>F332</f>
        <v/>
      </c>
      <c r="J332" s="184" t="n"/>
      <c r="K332" s="185" t="n"/>
      <c r="L332" s="8" t="n"/>
      <c r="M332" s="71">
        <f>L332</f>
        <v/>
      </c>
      <c r="N332" s="71" t="n"/>
      <c r="O332" s="101" t="n"/>
      <c r="P332" s="9">
        <f>I332-M332</f>
        <v/>
      </c>
      <c r="Q332" s="9">
        <f>IF(LEFT(B332,4)&lt;&gt;"    ",0,BN332)</f>
        <v/>
      </c>
      <c r="R332" s="9">
        <f>+P332-Q332</f>
        <v/>
      </c>
      <c r="S332" s="281" t="n"/>
      <c r="T332" s="10" t="n"/>
      <c r="U332" s="23">
        <f>IF(LEFT(B332,4)&lt;&gt;"    ","",IF(M332&lt;&gt;0,X332/M332,0))</f>
        <v/>
      </c>
      <c r="V332" s="11">
        <f>IF(LEFT(B332,4)&lt;&gt;"    ","",U332*I332)</f>
        <v/>
      </c>
      <c r="W332" s="11">
        <f>IF(LEFT(B332,4)&lt;&gt;"    ","",X332+Z332)</f>
        <v/>
      </c>
      <c r="X332" s="8" t="n"/>
      <c r="Y332" s="9">
        <f>IF(LEFT(B332,4)&lt;&gt;"    ",0,IF(P332&lt;0,P332,IF(U332&gt;0.3,W332-X332,0)))</f>
        <v/>
      </c>
      <c r="Z332" s="71">
        <f>Y332</f>
        <v/>
      </c>
      <c r="AA332" s="71" t="n"/>
      <c r="AB332" s="109" t="n"/>
      <c r="AC332" s="9">
        <f>IF(LEFT(B332,4)&lt;&gt;"    ",0,BK332)</f>
        <v/>
      </c>
      <c r="AD332" s="9">
        <f>Z332-AC332</f>
        <v/>
      </c>
      <c r="AE332" s="10" t="n"/>
      <c r="AF332" s="24" t="n"/>
      <c r="AG332" s="11" t="n"/>
      <c r="AH332" s="8" t="n"/>
      <c r="AI332" s="9">
        <f>IF(LEFT(B332,4)&lt;&gt;"    ","",AG332-AH332)</f>
        <v/>
      </c>
      <c r="AJ332" s="9" t="n"/>
      <c r="AK332" s="10" t="n"/>
      <c r="AL332" s="11">
        <f>IF(LEFT(B332,4)&lt;&gt;"    ","",W332-AG332)</f>
        <v/>
      </c>
      <c r="AM332" s="8">
        <f>IF(LEFT(B332,4)&lt;&gt;"    ","",X332-AH332)</f>
        <v/>
      </c>
      <c r="AN332" s="9">
        <f>IF(LEFT(B332,4)&lt;&gt;"    ","",Y332-AI332)</f>
        <v/>
      </c>
      <c r="AO332" s="9">
        <f>IF(LEFT(B332,4)&lt;&gt;"    ","",Z332-AJ332)</f>
        <v/>
      </c>
      <c r="AP332" s="10" t="n"/>
      <c r="AQ332" s="25">
        <f>IF(LEFT(B332,4)&lt;&gt;"    ","",I332-W332)</f>
        <v/>
      </c>
      <c r="AR332" s="25">
        <f>M332-X332</f>
        <v/>
      </c>
      <c r="AS332" s="25">
        <f>IF(LEFT(B332,4)&lt;&gt;"    ","",P332-Z332)</f>
        <v/>
      </c>
      <c r="AT332" s="10" t="n"/>
      <c r="AU332" s="12" t="n"/>
      <c r="AV332" s="12">
        <f>IF(LEFT(B332,4)&lt;&gt;"    ","",IF(W332-AU332&gt;=0,W332-AU332," "))</f>
        <v/>
      </c>
      <c r="AW332" s="12">
        <f>IF(LEFT(B332,4)&lt;&gt;"    ","",IF(AU332-W332&gt;=0,AU332-W332," "))</f>
        <v/>
      </c>
      <c r="AX332" s="186" t="n"/>
      <c r="AY332" s="187" t="n"/>
      <c r="AZ332" s="186" t="n"/>
      <c r="BA332" s="186" t="n"/>
      <c r="BB332" s="188" t="n"/>
      <c r="BC332" s="187" t="n"/>
      <c r="BD332" s="187" t="n"/>
      <c r="BE332" s="186" t="n"/>
      <c r="BF332" s="186" t="n"/>
      <c r="BG332" s="186" t="n"/>
      <c r="BH332" s="186" t="n"/>
      <c r="BI332" s="186" t="n"/>
      <c r="BJ332" s="186" t="n"/>
      <c r="BK332" s="186" t="n"/>
      <c r="BL332" s="186" t="n"/>
      <c r="BM332" s="186" t="n"/>
      <c r="BN332" s="186" t="n"/>
      <c r="BO332" s="186" t="n"/>
      <c r="BP332" s="186" t="n"/>
      <c r="BQ332" s="186" t="n"/>
      <c r="BR332" s="186" t="n"/>
      <c r="BS332" s="186" t="n"/>
      <c r="BT332" s="186" t="n"/>
      <c r="BU332" s="186" t="n"/>
      <c r="BV332" s="186" t="n"/>
      <c r="BW332" s="186" t="n"/>
      <c r="BX332" s="186" t="n"/>
      <c r="BY332" s="186" t="n"/>
      <c r="BZ332" s="186" t="n"/>
      <c r="CA332" s="186" t="n"/>
      <c r="CB332" s="186" t="n"/>
      <c r="CC332" s="190" t="n"/>
      <c r="CD332" s="186" t="n"/>
      <c r="CE332" s="186" t="n"/>
      <c r="CF332" s="186" t="n"/>
      <c r="CG332" s="186" t="n"/>
      <c r="CH332" s="186" t="n"/>
      <c r="CI332" s="191" t="n"/>
      <c r="CJ332" s="192" t="n"/>
      <c r="CK332" s="192" t="n"/>
      <c r="CL332" s="192" t="n"/>
      <c r="CM332" s="192" t="n"/>
    </row>
    <row r="333">
      <c r="A333" s="177" t="n"/>
      <c r="B333" s="178" t="n"/>
      <c r="C333" s="178" t="n"/>
      <c r="D333" s="179" t="n"/>
      <c r="E333" s="180" t="n"/>
      <c r="F333" s="181" t="n"/>
      <c r="G333" s="182" t="n"/>
      <c r="H333" s="105" t="n"/>
      <c r="I333" s="196">
        <f>F333</f>
        <v/>
      </c>
      <c r="J333" s="184" t="n"/>
      <c r="K333" s="185" t="n"/>
      <c r="L333" s="8" t="n"/>
      <c r="M333" s="71">
        <f>L333</f>
        <v/>
      </c>
      <c r="N333" s="71" t="n"/>
      <c r="O333" s="101" t="n"/>
      <c r="P333" s="9">
        <f>I333-M333</f>
        <v/>
      </c>
      <c r="Q333" s="9">
        <f>IF(LEFT(B333,4)&lt;&gt;"    ",0,BN333)</f>
        <v/>
      </c>
      <c r="R333" s="9">
        <f>+P333-Q333</f>
        <v/>
      </c>
      <c r="S333" s="281" t="n"/>
      <c r="T333" s="10" t="n"/>
      <c r="U333" s="23">
        <f>IF(LEFT(B333,4)&lt;&gt;"    ","",IF(M333&lt;&gt;0,X333/M333,0))</f>
        <v/>
      </c>
      <c r="V333" s="11">
        <f>IF(LEFT(B333,4)&lt;&gt;"    ","",U333*I333)</f>
        <v/>
      </c>
      <c r="W333" s="11">
        <f>IF(LEFT(B333,4)&lt;&gt;"    ","",X333+Z333)</f>
        <v/>
      </c>
      <c r="X333" s="8" t="n"/>
      <c r="Y333" s="9">
        <f>IF(LEFT(B333,4)&lt;&gt;"    ",0,IF(P333&lt;0,P333,IF(U333&gt;0.3,W333-X333,0)))</f>
        <v/>
      </c>
      <c r="Z333" s="71">
        <f>Y333</f>
        <v/>
      </c>
      <c r="AA333" s="71" t="n"/>
      <c r="AB333" s="109" t="n"/>
      <c r="AC333" s="9">
        <f>IF(LEFT(B333,4)&lt;&gt;"    ",0,BK333)</f>
        <v/>
      </c>
      <c r="AD333" s="9">
        <f>Z333-AC333</f>
        <v/>
      </c>
      <c r="AE333" s="10" t="n"/>
      <c r="AF333" s="24" t="n"/>
      <c r="AG333" s="11" t="n"/>
      <c r="AH333" s="8" t="n"/>
      <c r="AI333" s="9">
        <f>IF(LEFT(B333,4)&lt;&gt;"    ","",AG333-AH333)</f>
        <v/>
      </c>
      <c r="AJ333" s="9" t="n"/>
      <c r="AK333" s="10" t="n"/>
      <c r="AL333" s="11">
        <f>IF(LEFT(B333,4)&lt;&gt;"    ","",W333-AG333)</f>
        <v/>
      </c>
      <c r="AM333" s="8">
        <f>IF(LEFT(B333,4)&lt;&gt;"    ","",X333-AH333)</f>
        <v/>
      </c>
      <c r="AN333" s="9">
        <f>IF(LEFT(B333,4)&lt;&gt;"    ","",Y333-AI333)</f>
        <v/>
      </c>
      <c r="AO333" s="9">
        <f>IF(LEFT(B333,4)&lt;&gt;"    ","",Z333-AJ333)</f>
        <v/>
      </c>
      <c r="AP333" s="10" t="n"/>
      <c r="AQ333" s="25">
        <f>IF(LEFT(B333,4)&lt;&gt;"    ","",I333-W333)</f>
        <v/>
      </c>
      <c r="AR333" s="25">
        <f>M333-X333</f>
        <v/>
      </c>
      <c r="AS333" s="25">
        <f>IF(LEFT(B333,4)&lt;&gt;"    ","",P333-Z333)</f>
        <v/>
      </c>
      <c r="AT333" s="10" t="n"/>
      <c r="AU333" s="12" t="n"/>
      <c r="AV333" s="12">
        <f>IF(LEFT(B333,4)&lt;&gt;"    ","",IF(W333-AU333&gt;=0,W333-AU333," "))</f>
        <v/>
      </c>
      <c r="AW333" s="12">
        <f>IF(LEFT(B333,4)&lt;&gt;"    ","",IF(AU333-W333&gt;=0,AU333-W333," "))</f>
        <v/>
      </c>
      <c r="AX333" s="186" t="n"/>
      <c r="AY333" s="187" t="n"/>
      <c r="AZ333" s="186" t="n"/>
      <c r="BA333" s="186" t="n"/>
      <c r="BB333" s="188" t="n"/>
      <c r="BC333" s="187" t="n"/>
      <c r="BD333" s="187" t="n"/>
      <c r="BE333" s="186" t="n"/>
      <c r="BF333" s="186" t="n"/>
      <c r="BG333" s="186" t="n"/>
      <c r="BH333" s="186" t="n"/>
      <c r="BI333" s="186" t="n"/>
      <c r="BJ333" s="186" t="n"/>
      <c r="BK333" s="186" t="n"/>
      <c r="BL333" s="186" t="n"/>
      <c r="BM333" s="186" t="n"/>
      <c r="BN333" s="186" t="n"/>
      <c r="BO333" s="186" t="n"/>
      <c r="BP333" s="186" t="n"/>
      <c r="BQ333" s="186" t="n"/>
      <c r="BR333" s="186" t="n"/>
      <c r="BS333" s="186" t="n"/>
      <c r="BT333" s="186" t="n"/>
      <c r="BU333" s="186" t="n"/>
      <c r="BV333" s="186" t="n"/>
      <c r="BW333" s="186" t="n"/>
      <c r="BX333" s="186" t="n"/>
      <c r="BY333" s="186" t="n"/>
      <c r="BZ333" s="186" t="n"/>
      <c r="CA333" s="186" t="n"/>
      <c r="CB333" s="186" t="n"/>
      <c r="CC333" s="190" t="n"/>
      <c r="CD333" s="186" t="n"/>
      <c r="CE333" s="186" t="n"/>
      <c r="CF333" s="186" t="n"/>
      <c r="CG333" s="186" t="n"/>
      <c r="CH333" s="186" t="n"/>
      <c r="CI333" s="191" t="n"/>
      <c r="CJ333" s="192" t="n"/>
      <c r="CK333" s="192" t="n"/>
      <c r="CL333" s="192" t="n"/>
      <c r="CM333" s="192" t="n"/>
    </row>
    <row r="334">
      <c r="A334" s="177" t="n"/>
      <c r="B334" s="178" t="n"/>
      <c r="C334" s="178" t="n"/>
      <c r="D334" s="179" t="n"/>
      <c r="E334" s="180" t="n"/>
      <c r="F334" s="181" t="n"/>
      <c r="G334" s="182" t="n"/>
      <c r="H334" s="105" t="n"/>
      <c r="I334" s="196">
        <f>F334</f>
        <v/>
      </c>
      <c r="J334" s="184" t="n"/>
      <c r="K334" s="185" t="n"/>
      <c r="L334" s="8" t="n"/>
      <c r="M334" s="71">
        <f>L334</f>
        <v/>
      </c>
      <c r="N334" s="71" t="n"/>
      <c r="O334" s="101" t="n"/>
      <c r="P334" s="9">
        <f>I334-M334</f>
        <v/>
      </c>
      <c r="Q334" s="9">
        <f>IF(LEFT(B334,4)&lt;&gt;"    ",0,BN334)</f>
        <v/>
      </c>
      <c r="R334" s="9">
        <f>+P334-Q334</f>
        <v/>
      </c>
      <c r="S334" s="281" t="n"/>
      <c r="T334" s="10" t="n"/>
      <c r="U334" s="23">
        <f>IF(LEFT(B334,4)&lt;&gt;"    ","",IF(M334&lt;&gt;0,X334/M334,0))</f>
        <v/>
      </c>
      <c r="V334" s="11">
        <f>IF(LEFT(B334,4)&lt;&gt;"    ","",U334*I334)</f>
        <v/>
      </c>
      <c r="W334" s="11">
        <f>IF(LEFT(B334,4)&lt;&gt;"    ","",X334+Z334)</f>
        <v/>
      </c>
      <c r="X334" s="8" t="n"/>
      <c r="Y334" s="9">
        <f>IF(LEFT(B334,4)&lt;&gt;"    ",0,IF(P334&lt;0,P334,IF(U334&gt;0.3,W334-X334,0)))</f>
        <v/>
      </c>
      <c r="Z334" s="71">
        <f>Y334</f>
        <v/>
      </c>
      <c r="AA334" s="71" t="n"/>
      <c r="AB334" s="109" t="n"/>
      <c r="AC334" s="9">
        <f>IF(LEFT(B334,4)&lt;&gt;"    ",0,BK334)</f>
        <v/>
      </c>
      <c r="AD334" s="9">
        <f>Z334-AC334</f>
        <v/>
      </c>
      <c r="AE334" s="10" t="n"/>
      <c r="AF334" s="24" t="n"/>
      <c r="AG334" s="11" t="n"/>
      <c r="AH334" s="8" t="n"/>
      <c r="AI334" s="9">
        <f>IF(LEFT(B334,4)&lt;&gt;"    ","",AG334-AH334)</f>
        <v/>
      </c>
      <c r="AJ334" s="9" t="n"/>
      <c r="AK334" s="10" t="n"/>
      <c r="AL334" s="11">
        <f>IF(LEFT(B334,4)&lt;&gt;"    ","",W334-AG334)</f>
        <v/>
      </c>
      <c r="AM334" s="8">
        <f>IF(LEFT(B334,4)&lt;&gt;"    ","",X334-AH334)</f>
        <v/>
      </c>
      <c r="AN334" s="9">
        <f>IF(LEFT(B334,4)&lt;&gt;"    ","",Y334-AI334)</f>
        <v/>
      </c>
      <c r="AO334" s="9">
        <f>IF(LEFT(B334,4)&lt;&gt;"    ","",Z334-AJ334)</f>
        <v/>
      </c>
      <c r="AP334" s="10" t="n"/>
      <c r="AQ334" s="25">
        <f>IF(LEFT(B334,4)&lt;&gt;"    ","",I334-W334)</f>
        <v/>
      </c>
      <c r="AR334" s="25">
        <f>M334-X334</f>
        <v/>
      </c>
      <c r="AS334" s="25">
        <f>IF(LEFT(B334,4)&lt;&gt;"    ","",P334-Z334)</f>
        <v/>
      </c>
      <c r="AT334" s="10" t="n"/>
      <c r="AU334" s="12" t="n"/>
      <c r="AV334" s="12">
        <f>IF(LEFT(B334,4)&lt;&gt;"    ","",IF(W334-AU334&gt;=0,W334-AU334," "))</f>
        <v/>
      </c>
      <c r="AW334" s="12">
        <f>IF(LEFT(B334,4)&lt;&gt;"    ","",IF(AU334-W334&gt;=0,AU334-W334," "))</f>
        <v/>
      </c>
      <c r="AX334" s="186" t="n"/>
      <c r="AY334" s="187" t="n"/>
      <c r="AZ334" s="186" t="n"/>
      <c r="BA334" s="186" t="n"/>
      <c r="BB334" s="188" t="n"/>
      <c r="BC334" s="187" t="n"/>
      <c r="BD334" s="187" t="n"/>
      <c r="BE334" s="186" t="n"/>
      <c r="BF334" s="186" t="n"/>
      <c r="BG334" s="186" t="n"/>
      <c r="BH334" s="186" t="n"/>
      <c r="BI334" s="186" t="n"/>
      <c r="BJ334" s="186" t="n"/>
      <c r="BK334" s="186" t="n"/>
      <c r="BL334" s="186" t="n"/>
      <c r="BM334" s="186" t="n"/>
      <c r="BN334" s="186" t="n"/>
      <c r="BO334" s="186" t="n"/>
      <c r="BP334" s="186" t="n"/>
      <c r="BQ334" s="186" t="n"/>
      <c r="BR334" s="186" t="n"/>
      <c r="BS334" s="186" t="n"/>
      <c r="BT334" s="186" t="n"/>
      <c r="BU334" s="186" t="n"/>
      <c r="BV334" s="186" t="n"/>
      <c r="BW334" s="186" t="n"/>
      <c r="BX334" s="186" t="n"/>
      <c r="BY334" s="186" t="n"/>
      <c r="BZ334" s="186" t="n"/>
      <c r="CA334" s="186" t="n"/>
      <c r="CB334" s="186" t="n"/>
      <c r="CC334" s="190" t="n"/>
      <c r="CD334" s="186" t="n"/>
      <c r="CE334" s="186" t="n"/>
      <c r="CF334" s="186" t="n"/>
      <c r="CG334" s="186" t="n"/>
      <c r="CH334" s="186" t="n"/>
      <c r="CI334" s="191" t="n"/>
      <c r="CJ334" s="192" t="n"/>
      <c r="CK334" s="192" t="n"/>
      <c r="CL334" s="192" t="n"/>
      <c r="CM334" s="192" t="n"/>
    </row>
    <row r="335">
      <c r="A335" s="177" t="n"/>
      <c r="B335" s="178" t="n"/>
      <c r="C335" s="178" t="n"/>
      <c r="D335" s="179" t="n"/>
      <c r="E335" s="180" t="n"/>
      <c r="F335" s="181" t="n"/>
      <c r="G335" s="182" t="n"/>
      <c r="H335" s="105" t="n"/>
      <c r="I335" s="196">
        <f>F335</f>
        <v/>
      </c>
      <c r="J335" s="184" t="n"/>
      <c r="K335" s="185" t="n"/>
      <c r="L335" s="8" t="n"/>
      <c r="M335" s="71">
        <f>L335</f>
        <v/>
      </c>
      <c r="N335" s="71" t="n"/>
      <c r="O335" s="101" t="n"/>
      <c r="P335" s="9">
        <f>I335-M335</f>
        <v/>
      </c>
      <c r="Q335" s="9">
        <f>IF(LEFT(B335,4)&lt;&gt;"    ",0,BN335)</f>
        <v/>
      </c>
      <c r="R335" s="9">
        <f>+P335-Q335</f>
        <v/>
      </c>
      <c r="S335" s="281" t="n"/>
      <c r="T335" s="10" t="n"/>
      <c r="U335" s="23">
        <f>IF(LEFT(B335,4)&lt;&gt;"    ","",IF(M335&lt;&gt;0,X335/M335,0))</f>
        <v/>
      </c>
      <c r="V335" s="11">
        <f>IF(LEFT(B335,4)&lt;&gt;"    ","",U335*I335)</f>
        <v/>
      </c>
      <c r="W335" s="11">
        <f>IF(LEFT(B335,4)&lt;&gt;"    ","",X335+Z335)</f>
        <v/>
      </c>
      <c r="X335" s="8" t="n"/>
      <c r="Y335" s="9">
        <f>IF(LEFT(B335,4)&lt;&gt;"    ",0,IF(P335&lt;0,P335,IF(U335&gt;0.3,W335-X335,0)))</f>
        <v/>
      </c>
      <c r="Z335" s="71">
        <f>Y335</f>
        <v/>
      </c>
      <c r="AA335" s="71" t="n"/>
      <c r="AB335" s="109" t="n"/>
      <c r="AC335" s="9">
        <f>IF(LEFT(B335,4)&lt;&gt;"    ",0,BK335)</f>
        <v/>
      </c>
      <c r="AD335" s="9">
        <f>Z335-AC335</f>
        <v/>
      </c>
      <c r="AE335" s="10" t="n"/>
      <c r="AF335" s="24" t="n"/>
      <c r="AG335" s="11" t="n"/>
      <c r="AH335" s="8" t="n"/>
      <c r="AI335" s="9">
        <f>IF(LEFT(B335,4)&lt;&gt;"    ","",AG335-AH335)</f>
        <v/>
      </c>
      <c r="AJ335" s="9" t="n"/>
      <c r="AK335" s="10" t="n"/>
      <c r="AL335" s="11">
        <f>IF(LEFT(B335,4)&lt;&gt;"    ","",W335-AG335)</f>
        <v/>
      </c>
      <c r="AM335" s="8">
        <f>IF(LEFT(B335,4)&lt;&gt;"    ","",X335-AH335)</f>
        <v/>
      </c>
      <c r="AN335" s="9">
        <f>IF(LEFT(B335,4)&lt;&gt;"    ","",Y335-AI335)</f>
        <v/>
      </c>
      <c r="AO335" s="9">
        <f>IF(LEFT(B335,4)&lt;&gt;"    ","",Z335-AJ335)</f>
        <v/>
      </c>
      <c r="AP335" s="10" t="n"/>
      <c r="AQ335" s="25">
        <f>IF(LEFT(B335,4)&lt;&gt;"    ","",I335-W335)</f>
        <v/>
      </c>
      <c r="AR335" s="25">
        <f>M335-X335</f>
        <v/>
      </c>
      <c r="AS335" s="25">
        <f>IF(LEFT(B335,4)&lt;&gt;"    ","",P335-Z335)</f>
        <v/>
      </c>
      <c r="AT335" s="10" t="n"/>
      <c r="AU335" s="12" t="n"/>
      <c r="AV335" s="12">
        <f>IF(LEFT(B335,4)&lt;&gt;"    ","",IF(W335-AU335&gt;=0,W335-AU335," "))</f>
        <v/>
      </c>
      <c r="AW335" s="12">
        <f>IF(LEFT(B335,4)&lt;&gt;"    ","",IF(AU335-W335&gt;=0,AU335-W335," "))</f>
        <v/>
      </c>
      <c r="AX335" s="186" t="n"/>
      <c r="AY335" s="187" t="n"/>
      <c r="AZ335" s="186" t="n"/>
      <c r="BA335" s="186" t="n"/>
      <c r="BB335" s="188" t="n"/>
      <c r="BC335" s="187" t="n"/>
      <c r="BD335" s="187" t="n"/>
      <c r="BE335" s="186" t="n"/>
      <c r="BF335" s="186" t="n"/>
      <c r="BG335" s="186" t="n"/>
      <c r="BH335" s="186" t="n"/>
      <c r="BI335" s="186" t="n"/>
      <c r="BJ335" s="186" t="n"/>
      <c r="BK335" s="186" t="n"/>
      <c r="BL335" s="186" t="n"/>
      <c r="BM335" s="186" t="n"/>
      <c r="BN335" s="186" t="n"/>
      <c r="BO335" s="186" t="n"/>
      <c r="BP335" s="186" t="n"/>
      <c r="BQ335" s="186" t="n"/>
      <c r="BR335" s="186" t="n"/>
      <c r="BS335" s="186" t="n"/>
      <c r="BT335" s="186" t="n"/>
      <c r="BU335" s="186" t="n"/>
      <c r="BV335" s="186" t="n"/>
      <c r="BW335" s="186" t="n"/>
      <c r="BX335" s="186" t="n"/>
      <c r="BY335" s="186" t="n"/>
      <c r="BZ335" s="186" t="n"/>
      <c r="CA335" s="186" t="n"/>
      <c r="CB335" s="186" t="n"/>
      <c r="CC335" s="190" t="n"/>
      <c r="CD335" s="186" t="n"/>
      <c r="CE335" s="186" t="n"/>
      <c r="CF335" s="186" t="n"/>
      <c r="CG335" s="186" t="n"/>
      <c r="CH335" s="186" t="n"/>
      <c r="CI335" s="191" t="n"/>
      <c r="CJ335" s="192" t="n"/>
      <c r="CK335" s="192" t="n"/>
      <c r="CL335" s="192" t="n"/>
      <c r="CM335" s="192" t="n"/>
    </row>
    <row r="336">
      <c r="A336" s="177" t="n"/>
      <c r="B336" s="178" t="n"/>
      <c r="C336" s="178" t="n"/>
      <c r="D336" s="179" t="n"/>
      <c r="E336" s="180" t="n"/>
      <c r="F336" s="181" t="n"/>
      <c r="G336" s="182" t="n"/>
      <c r="H336" s="105" t="n"/>
      <c r="I336" s="196">
        <f>F336</f>
        <v/>
      </c>
      <c r="J336" s="184" t="n"/>
      <c r="K336" s="185" t="n"/>
      <c r="L336" s="8" t="n"/>
      <c r="M336" s="71">
        <f>L336</f>
        <v/>
      </c>
      <c r="N336" s="71" t="n"/>
      <c r="O336" s="101" t="n"/>
      <c r="P336" s="9">
        <f>I336-M336</f>
        <v/>
      </c>
      <c r="Q336" s="9">
        <f>IF(LEFT(B336,4)&lt;&gt;"    ",0,BN336)</f>
        <v/>
      </c>
      <c r="R336" s="9">
        <f>+P336-Q336</f>
        <v/>
      </c>
      <c r="S336" s="281" t="n"/>
      <c r="T336" s="10" t="n"/>
      <c r="U336" s="23">
        <f>IF(LEFT(B336,4)&lt;&gt;"    ","",IF(M336&lt;&gt;0,X336/M336,0))</f>
        <v/>
      </c>
      <c r="V336" s="11">
        <f>IF(LEFT(B336,4)&lt;&gt;"    ","",U336*I336)</f>
        <v/>
      </c>
      <c r="W336" s="11">
        <f>IF(LEFT(B336,4)&lt;&gt;"    ","",X336+Z336)</f>
        <v/>
      </c>
      <c r="X336" s="8" t="n"/>
      <c r="Y336" s="9">
        <f>IF(LEFT(B336,4)&lt;&gt;"    ",0,IF(P336&lt;0,P336,IF(U336&gt;0.3,W336-X336,0)))</f>
        <v/>
      </c>
      <c r="Z336" s="71">
        <f>Y336</f>
        <v/>
      </c>
      <c r="AA336" s="71" t="n"/>
      <c r="AB336" s="109" t="n"/>
      <c r="AC336" s="9">
        <f>IF(LEFT(B336,4)&lt;&gt;"    ",0,BK336)</f>
        <v/>
      </c>
      <c r="AD336" s="9">
        <f>Z336-AC336</f>
        <v/>
      </c>
      <c r="AE336" s="10" t="n"/>
      <c r="AF336" s="24" t="n"/>
      <c r="AG336" s="11" t="n"/>
      <c r="AH336" s="8" t="n"/>
      <c r="AI336" s="9">
        <f>IF(LEFT(B336,4)&lt;&gt;"    ","",AG336-AH336)</f>
        <v/>
      </c>
      <c r="AJ336" s="9" t="n"/>
      <c r="AK336" s="10" t="n"/>
      <c r="AL336" s="11">
        <f>IF(LEFT(B336,4)&lt;&gt;"    ","",W336-AG336)</f>
        <v/>
      </c>
      <c r="AM336" s="8">
        <f>IF(LEFT(B336,4)&lt;&gt;"    ","",X336-AH336)</f>
        <v/>
      </c>
      <c r="AN336" s="9">
        <f>IF(LEFT(B336,4)&lt;&gt;"    ","",Y336-AI336)</f>
        <v/>
      </c>
      <c r="AO336" s="9">
        <f>IF(LEFT(B336,4)&lt;&gt;"    ","",Z336-AJ336)</f>
        <v/>
      </c>
      <c r="AP336" s="10" t="n"/>
      <c r="AQ336" s="25">
        <f>IF(LEFT(B336,4)&lt;&gt;"    ","",I336-W336)</f>
        <v/>
      </c>
      <c r="AR336" s="25">
        <f>M336-X336</f>
        <v/>
      </c>
      <c r="AS336" s="25">
        <f>IF(LEFT(B336,4)&lt;&gt;"    ","",P336-Z336)</f>
        <v/>
      </c>
      <c r="AT336" s="10" t="n"/>
      <c r="AU336" s="12" t="n"/>
      <c r="AV336" s="12">
        <f>IF(LEFT(B336,4)&lt;&gt;"    ","",IF(W336-AU336&gt;=0,W336-AU336," "))</f>
        <v/>
      </c>
      <c r="AW336" s="12">
        <f>IF(LEFT(B336,4)&lt;&gt;"    ","",IF(AU336-W336&gt;=0,AU336-W336," "))</f>
        <v/>
      </c>
      <c r="AX336" s="186" t="n"/>
      <c r="AY336" s="187" t="n"/>
      <c r="AZ336" s="186" t="n"/>
      <c r="BA336" s="186" t="n"/>
      <c r="BB336" s="188" t="n"/>
      <c r="BC336" s="187" t="n"/>
      <c r="BD336" s="187" t="n"/>
      <c r="BE336" s="186" t="n"/>
      <c r="BF336" s="186" t="n"/>
      <c r="BG336" s="186" t="n"/>
      <c r="BH336" s="186" t="n"/>
      <c r="BI336" s="186" t="n"/>
      <c r="BJ336" s="186" t="n"/>
      <c r="BK336" s="186" t="n"/>
      <c r="BL336" s="186" t="n"/>
      <c r="BM336" s="186" t="n"/>
      <c r="BN336" s="186" t="n"/>
      <c r="BO336" s="186" t="n"/>
      <c r="BP336" s="186" t="n"/>
      <c r="BQ336" s="186" t="n"/>
      <c r="BR336" s="186" t="n"/>
      <c r="BS336" s="186" t="n"/>
      <c r="BT336" s="186" t="n"/>
      <c r="BU336" s="186" t="n"/>
      <c r="BV336" s="186" t="n"/>
      <c r="BW336" s="186" t="n"/>
      <c r="BX336" s="186" t="n"/>
      <c r="BY336" s="186" t="n"/>
      <c r="BZ336" s="186" t="n"/>
      <c r="CA336" s="186" t="n"/>
      <c r="CB336" s="186" t="n"/>
      <c r="CC336" s="190" t="n"/>
      <c r="CD336" s="186" t="n"/>
      <c r="CE336" s="186" t="n"/>
      <c r="CF336" s="186" t="n"/>
      <c r="CG336" s="186" t="n"/>
      <c r="CH336" s="186" t="n"/>
      <c r="CI336" s="191" t="n"/>
      <c r="CJ336" s="192" t="n"/>
      <c r="CK336" s="192" t="n"/>
      <c r="CL336" s="192" t="n"/>
      <c r="CM336" s="192" t="n"/>
    </row>
    <row r="337">
      <c r="A337" s="177" t="n"/>
      <c r="B337" s="178" t="n"/>
      <c r="C337" s="178" t="n"/>
      <c r="D337" s="179" t="n"/>
      <c r="E337" s="180" t="n"/>
      <c r="F337" s="181" t="n"/>
      <c r="G337" s="182" t="n"/>
      <c r="H337" s="105" t="n"/>
      <c r="I337" s="196">
        <f>F337</f>
        <v/>
      </c>
      <c r="J337" s="184" t="n"/>
      <c r="K337" s="185" t="n"/>
      <c r="L337" s="8" t="n"/>
      <c r="M337" s="71">
        <f>L337</f>
        <v/>
      </c>
      <c r="N337" s="71" t="n"/>
      <c r="O337" s="101" t="n"/>
      <c r="P337" s="9">
        <f>I337-M337</f>
        <v/>
      </c>
      <c r="Q337" s="9">
        <f>IF(LEFT(B337,4)&lt;&gt;"    ",0,BN337)</f>
        <v/>
      </c>
      <c r="R337" s="9">
        <f>+P337-Q337</f>
        <v/>
      </c>
      <c r="S337" s="281" t="n"/>
      <c r="T337" s="10" t="n"/>
      <c r="U337" s="23">
        <f>IF(LEFT(B337,4)&lt;&gt;"    ","",IF(M337&lt;&gt;0,X337/M337,0))</f>
        <v/>
      </c>
      <c r="V337" s="11">
        <f>IF(LEFT(B337,4)&lt;&gt;"    ","",U337*I337)</f>
        <v/>
      </c>
      <c r="W337" s="11">
        <f>IF(LEFT(B337,4)&lt;&gt;"    ","",X337+Z337)</f>
        <v/>
      </c>
      <c r="X337" s="8" t="n"/>
      <c r="Y337" s="9">
        <f>IF(LEFT(B337,4)&lt;&gt;"    ",0,IF(P337&lt;0,P337,IF(U337&gt;0.3,W337-X337,0)))</f>
        <v/>
      </c>
      <c r="Z337" s="71">
        <f>Y337</f>
        <v/>
      </c>
      <c r="AA337" s="71" t="n"/>
      <c r="AB337" s="109" t="n"/>
      <c r="AC337" s="9">
        <f>IF(LEFT(B337,4)&lt;&gt;"    ",0,BK337)</f>
        <v/>
      </c>
      <c r="AD337" s="9">
        <f>Z337-AC337</f>
        <v/>
      </c>
      <c r="AE337" s="10" t="n"/>
      <c r="AF337" s="24" t="n"/>
      <c r="AG337" s="11" t="n"/>
      <c r="AH337" s="8" t="n"/>
      <c r="AI337" s="9">
        <f>IF(LEFT(B337,4)&lt;&gt;"    ","",AG337-AH337)</f>
        <v/>
      </c>
      <c r="AJ337" s="9" t="n"/>
      <c r="AK337" s="10" t="n"/>
      <c r="AL337" s="11">
        <f>IF(LEFT(B337,4)&lt;&gt;"    ","",W337-AG337)</f>
        <v/>
      </c>
      <c r="AM337" s="8">
        <f>IF(LEFT(B337,4)&lt;&gt;"    ","",X337-AH337)</f>
        <v/>
      </c>
      <c r="AN337" s="9">
        <f>IF(LEFT(B337,4)&lt;&gt;"    ","",Y337-AI337)</f>
        <v/>
      </c>
      <c r="AO337" s="9">
        <f>IF(LEFT(B337,4)&lt;&gt;"    ","",Z337-AJ337)</f>
        <v/>
      </c>
      <c r="AP337" s="10" t="n"/>
      <c r="AQ337" s="25">
        <f>IF(LEFT(B337,4)&lt;&gt;"    ","",I337-W337)</f>
        <v/>
      </c>
      <c r="AR337" s="25">
        <f>M337-X337</f>
        <v/>
      </c>
      <c r="AS337" s="25">
        <f>IF(LEFT(B337,4)&lt;&gt;"    ","",P337-Z337)</f>
        <v/>
      </c>
      <c r="AT337" s="10" t="n"/>
      <c r="AU337" s="12" t="n"/>
      <c r="AV337" s="12">
        <f>IF(LEFT(B337,4)&lt;&gt;"    ","",IF(W337-AU337&gt;=0,W337-AU337," "))</f>
        <v/>
      </c>
      <c r="AW337" s="12">
        <f>IF(LEFT(B337,4)&lt;&gt;"    ","",IF(AU337-W337&gt;=0,AU337-W337," "))</f>
        <v/>
      </c>
      <c r="AX337" s="186" t="n"/>
      <c r="AY337" s="187" t="n"/>
      <c r="AZ337" s="186" t="n"/>
      <c r="BA337" s="186" t="n"/>
      <c r="BB337" s="188" t="n"/>
      <c r="BC337" s="187" t="n"/>
      <c r="BD337" s="187" t="n"/>
      <c r="BE337" s="186" t="n"/>
      <c r="BF337" s="186" t="n"/>
      <c r="BG337" s="186" t="n"/>
      <c r="BH337" s="186" t="n"/>
      <c r="BI337" s="186" t="n"/>
      <c r="BJ337" s="186" t="n"/>
      <c r="BK337" s="186" t="n"/>
      <c r="BL337" s="186" t="n"/>
      <c r="BM337" s="186" t="n"/>
      <c r="BN337" s="186" t="n"/>
      <c r="BO337" s="186" t="n"/>
      <c r="BP337" s="186" t="n"/>
      <c r="BQ337" s="186" t="n"/>
      <c r="BR337" s="186" t="n"/>
      <c r="BS337" s="186" t="n"/>
      <c r="BT337" s="186" t="n"/>
      <c r="BU337" s="186" t="n"/>
      <c r="BV337" s="186" t="n"/>
      <c r="BW337" s="186" t="n"/>
      <c r="BX337" s="186" t="n"/>
      <c r="BY337" s="186" t="n"/>
      <c r="BZ337" s="186" t="n"/>
      <c r="CA337" s="186" t="n"/>
      <c r="CB337" s="186" t="n"/>
      <c r="CC337" s="190" t="n"/>
      <c r="CD337" s="186" t="n"/>
      <c r="CE337" s="186" t="n"/>
      <c r="CF337" s="186" t="n"/>
      <c r="CG337" s="186" t="n"/>
      <c r="CH337" s="186" t="n"/>
      <c r="CI337" s="191" t="n"/>
      <c r="CJ337" s="192" t="n"/>
      <c r="CK337" s="192" t="n"/>
      <c r="CL337" s="192" t="n"/>
      <c r="CM337" s="192" t="n"/>
    </row>
    <row r="338">
      <c r="A338" s="177" t="n"/>
      <c r="B338" s="178" t="n"/>
      <c r="C338" s="178" t="n"/>
      <c r="D338" s="179" t="n"/>
      <c r="E338" s="180" t="n"/>
      <c r="F338" s="181" t="n"/>
      <c r="G338" s="182" t="n"/>
      <c r="H338" s="105" t="n"/>
      <c r="I338" s="196">
        <f>F338</f>
        <v/>
      </c>
      <c r="J338" s="184" t="n"/>
      <c r="K338" s="185" t="n"/>
      <c r="L338" s="8" t="n"/>
      <c r="M338" s="71">
        <f>L338</f>
        <v/>
      </c>
      <c r="N338" s="71" t="n"/>
      <c r="O338" s="101" t="n"/>
      <c r="P338" s="9">
        <f>I338-M338</f>
        <v/>
      </c>
      <c r="Q338" s="9">
        <f>IF(LEFT(B338,4)&lt;&gt;"    ",0,BN338)</f>
        <v/>
      </c>
      <c r="R338" s="9">
        <f>+P338-Q338</f>
        <v/>
      </c>
      <c r="S338" s="281" t="n"/>
      <c r="T338" s="10" t="n"/>
      <c r="U338" s="23">
        <f>IF(LEFT(B338,4)&lt;&gt;"    ","",IF(M338&lt;&gt;0,X338/M338,0))</f>
        <v/>
      </c>
      <c r="V338" s="11">
        <f>IF(LEFT(B338,4)&lt;&gt;"    ","",U338*I338)</f>
        <v/>
      </c>
      <c r="W338" s="11">
        <f>IF(LEFT(B338,4)&lt;&gt;"    ","",X338+Z338)</f>
        <v/>
      </c>
      <c r="X338" s="8" t="n"/>
      <c r="Y338" s="9">
        <f>IF(LEFT(B338,4)&lt;&gt;"    ",0,IF(P338&lt;0,P338,IF(U338&gt;0.3,W338-X338,0)))</f>
        <v/>
      </c>
      <c r="Z338" s="71">
        <f>Y338</f>
        <v/>
      </c>
      <c r="AA338" s="71" t="n"/>
      <c r="AB338" s="109" t="n"/>
      <c r="AC338" s="9">
        <f>IF(LEFT(B338,4)&lt;&gt;"    ",0,BK338)</f>
        <v/>
      </c>
      <c r="AD338" s="9">
        <f>Z338-AC338</f>
        <v/>
      </c>
      <c r="AE338" s="10" t="n"/>
      <c r="AF338" s="24" t="n"/>
      <c r="AG338" s="11" t="n"/>
      <c r="AH338" s="8" t="n"/>
      <c r="AI338" s="9">
        <f>IF(LEFT(B338,4)&lt;&gt;"    ","",AG338-AH338)</f>
        <v/>
      </c>
      <c r="AJ338" s="9" t="n"/>
      <c r="AK338" s="10" t="n"/>
      <c r="AL338" s="11">
        <f>IF(LEFT(B338,4)&lt;&gt;"    ","",W338-AG338)</f>
        <v/>
      </c>
      <c r="AM338" s="8">
        <f>IF(LEFT(B338,4)&lt;&gt;"    ","",X338-AH338)</f>
        <v/>
      </c>
      <c r="AN338" s="9">
        <f>IF(LEFT(B338,4)&lt;&gt;"    ","",Y338-AI338)</f>
        <v/>
      </c>
      <c r="AO338" s="9">
        <f>IF(LEFT(B338,4)&lt;&gt;"    ","",Z338-AJ338)</f>
        <v/>
      </c>
      <c r="AP338" s="10" t="n"/>
      <c r="AQ338" s="25">
        <f>IF(LEFT(B338,4)&lt;&gt;"    ","",I338-W338)</f>
        <v/>
      </c>
      <c r="AR338" s="25">
        <f>M338-X338</f>
        <v/>
      </c>
      <c r="AS338" s="25">
        <f>IF(LEFT(B338,4)&lt;&gt;"    ","",P338-Z338)</f>
        <v/>
      </c>
      <c r="AT338" s="10" t="n"/>
      <c r="AU338" s="12" t="n"/>
      <c r="AV338" s="12">
        <f>IF(LEFT(B338,4)&lt;&gt;"    ","",IF(W338-AU338&gt;=0,W338-AU338," "))</f>
        <v/>
      </c>
      <c r="AW338" s="12">
        <f>IF(LEFT(B338,4)&lt;&gt;"    ","",IF(AU338-W338&gt;=0,AU338-W338," "))</f>
        <v/>
      </c>
      <c r="AX338" s="186" t="n"/>
      <c r="AY338" s="187" t="n"/>
      <c r="AZ338" s="186" t="n"/>
      <c r="BA338" s="186" t="n"/>
      <c r="BB338" s="188" t="n"/>
      <c r="BC338" s="187" t="n"/>
      <c r="BD338" s="187" t="n"/>
      <c r="BE338" s="186" t="n"/>
      <c r="BF338" s="186" t="n"/>
      <c r="BG338" s="186" t="n"/>
      <c r="BH338" s="186" t="n"/>
      <c r="BI338" s="186" t="n"/>
      <c r="BJ338" s="186" t="n"/>
      <c r="BK338" s="186" t="n"/>
      <c r="BL338" s="186" t="n"/>
      <c r="BM338" s="186" t="n"/>
      <c r="BN338" s="186" t="n"/>
      <c r="BO338" s="186" t="n"/>
      <c r="BP338" s="186" t="n"/>
      <c r="BQ338" s="186" t="n"/>
      <c r="BR338" s="186" t="n"/>
      <c r="BS338" s="186" t="n"/>
      <c r="BT338" s="186" t="n"/>
      <c r="BU338" s="186" t="n"/>
      <c r="BV338" s="186" t="n"/>
      <c r="BW338" s="186" t="n"/>
      <c r="BX338" s="186" t="n"/>
      <c r="BY338" s="186" t="n"/>
      <c r="BZ338" s="186" t="n"/>
      <c r="CA338" s="186" t="n"/>
      <c r="CB338" s="186" t="n"/>
      <c r="CC338" s="190" t="n"/>
      <c r="CD338" s="186" t="n"/>
      <c r="CE338" s="186" t="n"/>
      <c r="CF338" s="186" t="n"/>
      <c r="CG338" s="186" t="n"/>
      <c r="CH338" s="186" t="n"/>
      <c r="CI338" s="191" t="n"/>
      <c r="CJ338" s="192" t="n"/>
      <c r="CK338" s="192" t="n"/>
      <c r="CL338" s="192" t="n"/>
      <c r="CM338" s="192" t="n"/>
    </row>
    <row r="339">
      <c r="A339" s="177" t="n"/>
      <c r="B339" s="178" t="n"/>
      <c r="C339" s="178" t="n"/>
      <c r="D339" s="179" t="n"/>
      <c r="E339" s="180" t="n"/>
      <c r="F339" s="181" t="n"/>
      <c r="G339" s="182" t="n"/>
      <c r="H339" s="105" t="n"/>
      <c r="I339" s="196">
        <f>F339</f>
        <v/>
      </c>
      <c r="J339" s="184" t="n"/>
      <c r="K339" s="185" t="n"/>
      <c r="L339" s="8" t="n"/>
      <c r="M339" s="71">
        <f>L339</f>
        <v/>
      </c>
      <c r="N339" s="71" t="n"/>
      <c r="O339" s="101" t="n"/>
      <c r="P339" s="9">
        <f>I339-M339</f>
        <v/>
      </c>
      <c r="Q339" s="9">
        <f>IF(LEFT(B339,4)&lt;&gt;"    ",0,BN339)</f>
        <v/>
      </c>
      <c r="R339" s="9">
        <f>+P339-Q339</f>
        <v/>
      </c>
      <c r="S339" s="281" t="n"/>
      <c r="T339" s="10" t="n"/>
      <c r="U339" s="23">
        <f>IF(LEFT(B339,4)&lt;&gt;"    ","",IF(M339&lt;&gt;0,X339/M339,0))</f>
        <v/>
      </c>
      <c r="V339" s="11">
        <f>IF(LEFT(B339,4)&lt;&gt;"    ","",U339*I339)</f>
        <v/>
      </c>
      <c r="W339" s="11">
        <f>IF(LEFT(B339,4)&lt;&gt;"    ","",X339+Z339)</f>
        <v/>
      </c>
      <c r="X339" s="8" t="n"/>
      <c r="Y339" s="9">
        <f>IF(LEFT(B339,4)&lt;&gt;"    ",0,IF(P339&lt;0,P339,IF(U339&gt;0.3,W339-X339,0)))</f>
        <v/>
      </c>
      <c r="Z339" s="71">
        <f>Y339</f>
        <v/>
      </c>
      <c r="AA339" s="71" t="n"/>
      <c r="AB339" s="109" t="n"/>
      <c r="AC339" s="9">
        <f>IF(LEFT(B339,4)&lt;&gt;"    ",0,BK339)</f>
        <v/>
      </c>
      <c r="AD339" s="9">
        <f>Z339-AC339</f>
        <v/>
      </c>
      <c r="AE339" s="10" t="n"/>
      <c r="AF339" s="24" t="n"/>
      <c r="AG339" s="11" t="n"/>
      <c r="AH339" s="8" t="n"/>
      <c r="AI339" s="9">
        <f>IF(LEFT(B339,4)&lt;&gt;"    ","",AG339-AH339)</f>
        <v/>
      </c>
      <c r="AJ339" s="9" t="n"/>
      <c r="AK339" s="10" t="n"/>
      <c r="AL339" s="11">
        <f>IF(LEFT(B339,4)&lt;&gt;"    ","",W339-AG339)</f>
        <v/>
      </c>
      <c r="AM339" s="8">
        <f>IF(LEFT(B339,4)&lt;&gt;"    ","",X339-AH339)</f>
        <v/>
      </c>
      <c r="AN339" s="9">
        <f>IF(LEFT(B339,4)&lt;&gt;"    ","",Y339-AI339)</f>
        <v/>
      </c>
      <c r="AO339" s="9">
        <f>IF(LEFT(B339,4)&lt;&gt;"    ","",Z339-AJ339)</f>
        <v/>
      </c>
      <c r="AP339" s="10" t="n"/>
      <c r="AQ339" s="25">
        <f>IF(LEFT(B339,4)&lt;&gt;"    ","",I339-W339)</f>
        <v/>
      </c>
      <c r="AR339" s="25">
        <f>M339-X339</f>
        <v/>
      </c>
      <c r="AS339" s="25">
        <f>IF(LEFT(B339,4)&lt;&gt;"    ","",P339-Z339)</f>
        <v/>
      </c>
      <c r="AT339" s="10" t="n"/>
      <c r="AU339" s="12" t="n"/>
      <c r="AV339" s="12">
        <f>IF(LEFT(B339,4)&lt;&gt;"    ","",IF(W339-AU339&gt;=0,W339-AU339," "))</f>
        <v/>
      </c>
      <c r="AW339" s="12">
        <f>IF(LEFT(B339,4)&lt;&gt;"    ","",IF(AU339-W339&gt;=0,AU339-W339," "))</f>
        <v/>
      </c>
      <c r="AX339" s="186" t="n"/>
      <c r="AY339" s="187" t="n"/>
      <c r="AZ339" s="186" t="n"/>
      <c r="BA339" s="186" t="n"/>
      <c r="BB339" s="188" t="n"/>
      <c r="BC339" s="187" t="n"/>
      <c r="BD339" s="187" t="n"/>
      <c r="BE339" s="186" t="n"/>
      <c r="BF339" s="186" t="n"/>
      <c r="BG339" s="186" t="n"/>
      <c r="BH339" s="186" t="n"/>
      <c r="BI339" s="186" t="n"/>
      <c r="BJ339" s="186" t="n"/>
      <c r="BK339" s="186" t="n"/>
      <c r="BL339" s="186" t="n"/>
      <c r="BM339" s="186" t="n"/>
      <c r="BN339" s="186" t="n"/>
      <c r="BO339" s="186" t="n"/>
      <c r="BP339" s="186" t="n"/>
      <c r="BQ339" s="186" t="n"/>
      <c r="BR339" s="186" t="n"/>
      <c r="BS339" s="186" t="n"/>
      <c r="BT339" s="186" t="n"/>
      <c r="BU339" s="186" t="n"/>
      <c r="BV339" s="186" t="n"/>
      <c r="BW339" s="186" t="n"/>
      <c r="BX339" s="186" t="n"/>
      <c r="BY339" s="186" t="n"/>
      <c r="BZ339" s="186" t="n"/>
      <c r="CA339" s="186" t="n"/>
      <c r="CB339" s="186" t="n"/>
      <c r="CC339" s="190" t="n"/>
      <c r="CD339" s="186" t="n"/>
      <c r="CE339" s="186" t="n"/>
      <c r="CF339" s="186" t="n"/>
      <c r="CG339" s="186" t="n"/>
      <c r="CH339" s="186" t="n"/>
      <c r="CI339" s="191" t="n"/>
      <c r="CJ339" s="192" t="n"/>
      <c r="CK339" s="192" t="n"/>
      <c r="CL339" s="192" t="n"/>
      <c r="CM339" s="192" t="n"/>
    </row>
    <row r="340">
      <c r="A340" s="177" t="n"/>
      <c r="B340" s="195" t="n"/>
      <c r="C340" s="178" t="n"/>
      <c r="D340" s="179" t="n"/>
      <c r="E340" s="180" t="n"/>
      <c r="F340" s="181" t="n"/>
      <c r="G340" s="182" t="n"/>
      <c r="H340" s="105" t="n"/>
      <c r="I340" s="196">
        <f>F340</f>
        <v/>
      </c>
      <c r="J340" s="184" t="n"/>
      <c r="K340" s="185" t="n"/>
      <c r="L340" s="8" t="n"/>
      <c r="M340" s="71">
        <f>L340</f>
        <v/>
      </c>
      <c r="N340" s="71" t="n"/>
      <c r="O340" s="101" t="n"/>
      <c r="P340" s="9">
        <f>I340-M340</f>
        <v/>
      </c>
      <c r="Q340" s="9">
        <f>IF(LEFT(B340,4)&lt;&gt;"    ",0,BN340)</f>
        <v/>
      </c>
      <c r="R340" s="9">
        <f>+P340-Q340</f>
        <v/>
      </c>
      <c r="S340" s="281" t="n"/>
      <c r="T340" s="10" t="n"/>
      <c r="U340" s="23">
        <f>IF(LEFT(B340,4)&lt;&gt;"    ","",IF(M340&lt;&gt;0,X340/M340,0))</f>
        <v/>
      </c>
      <c r="V340" s="11">
        <f>IF(LEFT(B340,4)&lt;&gt;"    ","",U340*I340)</f>
        <v/>
      </c>
      <c r="W340" s="11">
        <f>IF(LEFT(B340,4)&lt;&gt;"    ","",X340+Z340)</f>
        <v/>
      </c>
      <c r="X340" s="8" t="n"/>
      <c r="Y340" s="9">
        <f>IF(LEFT(B340,4)&lt;&gt;"    ",0,IF(P340&lt;0,P340,IF(U340&gt;0.3,W340-X340,0)))</f>
        <v/>
      </c>
      <c r="Z340" s="71">
        <f>Y340</f>
        <v/>
      </c>
      <c r="AA340" s="71" t="n"/>
      <c r="AB340" s="109" t="n"/>
      <c r="AC340" s="9">
        <f>IF(LEFT(B340,4)&lt;&gt;"    ",0,BK340)</f>
        <v/>
      </c>
      <c r="AD340" s="9">
        <f>Z340-AC340</f>
        <v/>
      </c>
      <c r="AE340" s="10" t="n"/>
      <c r="AF340" s="24" t="n"/>
      <c r="AG340" s="11" t="n"/>
      <c r="AH340" s="8" t="n"/>
      <c r="AI340" s="9">
        <f>IF(LEFT(B340,4)&lt;&gt;"    ","",AG340-AH340)</f>
        <v/>
      </c>
      <c r="AJ340" s="9" t="n"/>
      <c r="AK340" s="10" t="n"/>
      <c r="AL340" s="11">
        <f>IF(LEFT(B340,4)&lt;&gt;"    ","",W340-AG340)</f>
        <v/>
      </c>
      <c r="AM340" s="8">
        <f>IF(LEFT(B340,4)&lt;&gt;"    ","",X340-AH340)</f>
        <v/>
      </c>
      <c r="AN340" s="9">
        <f>IF(LEFT(B340,4)&lt;&gt;"    ","",Y340-AI340)</f>
        <v/>
      </c>
      <c r="AO340" s="9">
        <f>IF(LEFT(B340,4)&lt;&gt;"    ","",Z340-AJ340)</f>
        <v/>
      </c>
      <c r="AP340" s="10" t="n"/>
      <c r="AQ340" s="25">
        <f>IF(LEFT(B340,4)&lt;&gt;"    ","",I340-W340)</f>
        <v/>
      </c>
      <c r="AR340" s="25">
        <f>M340-X340</f>
        <v/>
      </c>
      <c r="AS340" s="25">
        <f>IF(LEFT(B340,4)&lt;&gt;"    ","",P340-Z340)</f>
        <v/>
      </c>
      <c r="AT340" s="10" t="n"/>
      <c r="AU340" s="12" t="n"/>
      <c r="AV340" s="12">
        <f>IF(LEFT(B340,4)&lt;&gt;"    ","",IF(W340-AU340&gt;=0,W340-AU340," "))</f>
        <v/>
      </c>
      <c r="AW340" s="12">
        <f>IF(LEFT(B340,4)&lt;&gt;"    ","",IF(AU340-W340&gt;=0,AU340-W340," "))</f>
        <v/>
      </c>
      <c r="AX340" s="186" t="n"/>
      <c r="AY340" s="187" t="n"/>
      <c r="AZ340" s="186" t="n"/>
      <c r="BA340" s="186" t="n"/>
      <c r="BB340" s="188" t="n"/>
      <c r="BC340" s="187" t="n"/>
      <c r="BD340" s="187" t="n"/>
      <c r="BE340" s="186" t="n"/>
      <c r="BF340" s="186" t="n"/>
      <c r="BG340" s="186" t="n"/>
      <c r="BH340" s="186" t="n"/>
      <c r="BI340" s="186" t="n"/>
      <c r="BJ340" s="186" t="n"/>
      <c r="BK340" s="186" t="n"/>
      <c r="BL340" s="186" t="n"/>
      <c r="BM340" s="186" t="n"/>
      <c r="BN340" s="186" t="n"/>
      <c r="BO340" s="186" t="n"/>
      <c r="BP340" s="186" t="n"/>
      <c r="BQ340" s="186" t="n"/>
      <c r="BR340" s="186" t="n"/>
      <c r="BS340" s="186" t="n"/>
      <c r="BT340" s="186" t="n"/>
      <c r="BU340" s="186" t="n"/>
      <c r="BV340" s="186" t="n"/>
      <c r="BW340" s="186" t="n"/>
      <c r="BX340" s="186" t="n"/>
      <c r="BY340" s="186" t="n"/>
      <c r="BZ340" s="186" t="n"/>
      <c r="CA340" s="186" t="n"/>
      <c r="CB340" s="186" t="n"/>
      <c r="CC340" s="190" t="n"/>
      <c r="CD340" s="186" t="n"/>
      <c r="CE340" s="186" t="n"/>
      <c r="CF340" s="186" t="n"/>
      <c r="CG340" s="186" t="n"/>
      <c r="CH340" s="186" t="n"/>
      <c r="CI340" s="191" t="n"/>
      <c r="CJ340" s="192" t="n"/>
      <c r="CK340" s="192" t="n"/>
      <c r="CL340" s="192" t="n"/>
      <c r="CM340" s="192" t="n"/>
    </row>
    <row r="341">
      <c r="A341" s="177" t="n"/>
      <c r="B341" s="195" t="n"/>
      <c r="C341" s="178" t="n"/>
      <c r="D341" s="179" t="n"/>
      <c r="E341" s="180" t="n"/>
      <c r="F341" s="181" t="n"/>
      <c r="G341" s="182" t="n"/>
      <c r="H341" s="105" t="n"/>
      <c r="I341" s="196">
        <f>F341</f>
        <v/>
      </c>
      <c r="J341" s="184" t="n"/>
      <c r="K341" s="185" t="n"/>
      <c r="L341" s="8" t="n"/>
      <c r="M341" s="71">
        <f>L341</f>
        <v/>
      </c>
      <c r="N341" s="71" t="n"/>
      <c r="O341" s="101" t="n"/>
      <c r="P341" s="9">
        <f>I341-M341</f>
        <v/>
      </c>
      <c r="Q341" s="9">
        <f>IF(LEFT(B341,4)&lt;&gt;"    ",0,BN341)</f>
        <v/>
      </c>
      <c r="R341" s="9">
        <f>+P341-Q341</f>
        <v/>
      </c>
      <c r="S341" s="281" t="n"/>
      <c r="T341" s="10" t="n"/>
      <c r="U341" s="23">
        <f>IF(LEFT(B341,4)&lt;&gt;"    ","",IF(M341&lt;&gt;0,X341/M341,0))</f>
        <v/>
      </c>
      <c r="V341" s="11">
        <f>IF(LEFT(B341,4)&lt;&gt;"    ","",U341*I341)</f>
        <v/>
      </c>
      <c r="W341" s="11">
        <f>IF(LEFT(B341,4)&lt;&gt;"    ","",X341+Z341)</f>
        <v/>
      </c>
      <c r="X341" s="8" t="n"/>
      <c r="Y341" s="9">
        <f>IF(LEFT(B341,4)&lt;&gt;"    ",0,IF(P341&lt;0,P341,IF(U341&gt;0.3,W341-X341,0)))</f>
        <v/>
      </c>
      <c r="Z341" s="71">
        <f>Y341</f>
        <v/>
      </c>
      <c r="AA341" s="71" t="n"/>
      <c r="AB341" s="109" t="n"/>
      <c r="AC341" s="9">
        <f>IF(LEFT(B341,4)&lt;&gt;"    ",0,BK341)</f>
        <v/>
      </c>
      <c r="AD341" s="9">
        <f>Z341-AC341</f>
        <v/>
      </c>
      <c r="AE341" s="10" t="n"/>
      <c r="AF341" s="24" t="n"/>
      <c r="AG341" s="11" t="n"/>
      <c r="AH341" s="8" t="n"/>
      <c r="AI341" s="9">
        <f>IF(LEFT(B341,4)&lt;&gt;"    ","",AG341-AH341)</f>
        <v/>
      </c>
      <c r="AJ341" s="9" t="n"/>
      <c r="AK341" s="10" t="n"/>
      <c r="AL341" s="11">
        <f>IF(LEFT(B341,4)&lt;&gt;"    ","",W341-AG341)</f>
        <v/>
      </c>
      <c r="AM341" s="8">
        <f>IF(LEFT(B341,4)&lt;&gt;"    ","",X341-AH341)</f>
        <v/>
      </c>
      <c r="AN341" s="9">
        <f>IF(LEFT(B341,4)&lt;&gt;"    ","",Y341-AI341)</f>
        <v/>
      </c>
      <c r="AO341" s="9">
        <f>IF(LEFT(B341,4)&lt;&gt;"    ","",Z341-AJ341)</f>
        <v/>
      </c>
      <c r="AP341" s="10" t="n"/>
      <c r="AQ341" s="25">
        <f>IF(LEFT(B341,4)&lt;&gt;"    ","",I341-W341)</f>
        <v/>
      </c>
      <c r="AR341" s="25">
        <f>M341-X341</f>
        <v/>
      </c>
      <c r="AS341" s="25">
        <f>IF(LEFT(B341,4)&lt;&gt;"    ","",P341-Z341)</f>
        <v/>
      </c>
      <c r="AT341" s="10" t="n"/>
      <c r="AU341" s="12" t="n"/>
      <c r="AV341" s="12">
        <f>IF(LEFT(B341,4)&lt;&gt;"    ","",IF(W341-AU341&gt;=0,W341-AU341," "))</f>
        <v/>
      </c>
      <c r="AW341" s="12">
        <f>IF(LEFT(B341,4)&lt;&gt;"    ","",IF(AU341-W341&gt;=0,AU341-W341," "))</f>
        <v/>
      </c>
      <c r="AX341" s="186" t="n"/>
      <c r="AY341" s="187" t="n"/>
      <c r="AZ341" s="186" t="n"/>
      <c r="BA341" s="186" t="n"/>
      <c r="BB341" s="188" t="n"/>
      <c r="BC341" s="187" t="n"/>
      <c r="BD341" s="187" t="n"/>
      <c r="BE341" s="186" t="n"/>
      <c r="BF341" s="186" t="n"/>
      <c r="BG341" s="186" t="n"/>
      <c r="BH341" s="186" t="n"/>
      <c r="BI341" s="186" t="n"/>
      <c r="BJ341" s="186" t="n"/>
      <c r="BK341" s="186" t="n"/>
      <c r="BL341" s="186" t="n"/>
      <c r="BM341" s="186" t="n"/>
      <c r="BN341" s="186" t="n"/>
      <c r="BO341" s="186" t="n"/>
      <c r="BP341" s="186" t="n"/>
      <c r="BQ341" s="186" t="n"/>
      <c r="BR341" s="186" t="n"/>
      <c r="BS341" s="186" t="n"/>
      <c r="BT341" s="186" t="n"/>
      <c r="BU341" s="186" t="n"/>
      <c r="BV341" s="186" t="n"/>
      <c r="BW341" s="186" t="n"/>
      <c r="BX341" s="186" t="n"/>
      <c r="BY341" s="186" t="n"/>
      <c r="BZ341" s="186" t="n"/>
      <c r="CA341" s="186" t="n"/>
      <c r="CB341" s="186" t="n"/>
      <c r="CC341" s="190" t="n"/>
      <c r="CD341" s="186" t="n"/>
      <c r="CE341" s="186" t="n"/>
      <c r="CF341" s="186" t="n"/>
      <c r="CG341" s="186" t="n"/>
      <c r="CH341" s="186" t="n"/>
      <c r="CI341" s="191" t="n"/>
      <c r="CJ341" s="192" t="n"/>
      <c r="CK341" s="192" t="n"/>
      <c r="CL341" s="192" t="n"/>
      <c r="CM341" s="192" t="n"/>
    </row>
    <row r="342">
      <c r="A342" s="177" t="n"/>
      <c r="B342" s="195" t="n"/>
      <c r="C342" s="178" t="n"/>
      <c r="D342" s="179" t="n"/>
      <c r="E342" s="180" t="n"/>
      <c r="F342" s="181" t="n"/>
      <c r="G342" s="182" t="n"/>
      <c r="H342" s="105" t="n"/>
      <c r="I342" s="196">
        <f>F342</f>
        <v/>
      </c>
      <c r="J342" s="184" t="n"/>
      <c r="K342" s="185" t="n"/>
      <c r="L342" s="8" t="n"/>
      <c r="M342" s="71">
        <f>L342</f>
        <v/>
      </c>
      <c r="N342" s="71" t="n"/>
      <c r="O342" s="101" t="n"/>
      <c r="P342" s="9">
        <f>I342-M342</f>
        <v/>
      </c>
      <c r="Q342" s="9">
        <f>IF(LEFT(B342,4)&lt;&gt;"    ",0,BN342)</f>
        <v/>
      </c>
      <c r="R342" s="9">
        <f>+P342-Q342</f>
        <v/>
      </c>
      <c r="S342" s="281" t="n"/>
      <c r="T342" s="10" t="n"/>
      <c r="U342" s="23">
        <f>IF(LEFT(B342,4)&lt;&gt;"    ","",IF(M342&lt;&gt;0,X342/M342,0))</f>
        <v/>
      </c>
      <c r="V342" s="11">
        <f>IF(LEFT(B342,4)&lt;&gt;"    ","",U342*I342)</f>
        <v/>
      </c>
      <c r="W342" s="11">
        <f>IF(LEFT(B342,4)&lt;&gt;"    ","",X342+Z342)</f>
        <v/>
      </c>
      <c r="X342" s="8" t="n"/>
      <c r="Y342" s="9">
        <f>IF(LEFT(B342,4)&lt;&gt;"    ",0,IF(P342&lt;0,P342,IF(U342&gt;0.3,W342-X342,0)))</f>
        <v/>
      </c>
      <c r="Z342" s="71">
        <f>Y342</f>
        <v/>
      </c>
      <c r="AA342" s="71" t="n"/>
      <c r="AB342" s="109" t="n"/>
      <c r="AC342" s="9">
        <f>IF(LEFT(B342,4)&lt;&gt;"    ",0,BK342)</f>
        <v/>
      </c>
      <c r="AD342" s="9">
        <f>Z342-AC342</f>
        <v/>
      </c>
      <c r="AE342" s="10" t="n"/>
      <c r="AF342" s="24" t="n"/>
      <c r="AG342" s="11" t="n"/>
      <c r="AH342" s="8" t="n"/>
      <c r="AI342" s="9">
        <f>IF(LEFT(B342,4)&lt;&gt;"    ","",AG342-AH342)</f>
        <v/>
      </c>
      <c r="AJ342" s="9" t="n"/>
      <c r="AK342" s="10" t="n"/>
      <c r="AL342" s="11">
        <f>IF(LEFT(B342,4)&lt;&gt;"    ","",W342-AG342)</f>
        <v/>
      </c>
      <c r="AM342" s="8">
        <f>IF(LEFT(B342,4)&lt;&gt;"    ","",X342-AH342)</f>
        <v/>
      </c>
      <c r="AN342" s="9">
        <f>IF(LEFT(B342,4)&lt;&gt;"    ","",Y342-AI342)</f>
        <v/>
      </c>
      <c r="AO342" s="9">
        <f>IF(LEFT(B342,4)&lt;&gt;"    ","",Z342-AJ342)</f>
        <v/>
      </c>
      <c r="AP342" s="10" t="n"/>
      <c r="AQ342" s="25">
        <f>IF(LEFT(B342,4)&lt;&gt;"    ","",I342-W342)</f>
        <v/>
      </c>
      <c r="AR342" s="25">
        <f>M342-X342</f>
        <v/>
      </c>
      <c r="AS342" s="25">
        <f>IF(LEFT(B342,4)&lt;&gt;"    ","",P342-Z342)</f>
        <v/>
      </c>
      <c r="AT342" s="10" t="n"/>
      <c r="AU342" s="12" t="n"/>
      <c r="AV342" s="12">
        <f>IF(LEFT(B342,4)&lt;&gt;"    ","",IF(W342-AU342&gt;=0,W342-AU342," "))</f>
        <v/>
      </c>
      <c r="AW342" s="12">
        <f>IF(LEFT(B342,4)&lt;&gt;"    ","",IF(AU342-W342&gt;=0,AU342-W342," "))</f>
        <v/>
      </c>
      <c r="AX342" s="186" t="n"/>
      <c r="AY342" s="187" t="n"/>
      <c r="AZ342" s="186" t="n"/>
      <c r="BA342" s="186" t="n"/>
      <c r="BB342" s="188" t="n"/>
      <c r="BC342" s="187" t="n"/>
      <c r="BD342" s="187" t="n"/>
      <c r="BE342" s="186" t="n"/>
      <c r="BF342" s="186" t="n"/>
      <c r="BG342" s="186" t="n"/>
      <c r="BH342" s="186" t="n"/>
      <c r="BI342" s="186" t="n"/>
      <c r="BJ342" s="186" t="n"/>
      <c r="BK342" s="186" t="n"/>
      <c r="BL342" s="186" t="n"/>
      <c r="BM342" s="186" t="n"/>
      <c r="BN342" s="186" t="n"/>
      <c r="BO342" s="186" t="n"/>
      <c r="BP342" s="186" t="n"/>
      <c r="BQ342" s="186" t="n"/>
      <c r="BR342" s="186" t="n"/>
      <c r="BS342" s="186" t="n"/>
      <c r="BT342" s="186" t="n"/>
      <c r="BU342" s="186" t="n"/>
      <c r="BV342" s="186" t="n"/>
      <c r="BW342" s="186" t="n"/>
      <c r="BX342" s="186" t="n"/>
      <c r="BY342" s="186" t="n"/>
      <c r="BZ342" s="186" t="n"/>
      <c r="CA342" s="186" t="n"/>
      <c r="CB342" s="186" t="n"/>
      <c r="CC342" s="190" t="n"/>
      <c r="CD342" s="186" t="n"/>
      <c r="CE342" s="186" t="n"/>
      <c r="CF342" s="186" t="n"/>
      <c r="CG342" s="186" t="n"/>
      <c r="CH342" s="186" t="n"/>
      <c r="CI342" s="191" t="n"/>
      <c r="CJ342" s="192" t="n"/>
      <c r="CK342" s="192" t="n"/>
      <c r="CL342" s="192" t="n"/>
      <c r="CM342" s="192" t="n"/>
    </row>
    <row r="343">
      <c r="A343" s="177" t="n"/>
      <c r="B343" s="178" t="n"/>
      <c r="C343" s="178" t="n"/>
      <c r="D343" s="179" t="n"/>
      <c r="E343" s="180" t="n"/>
      <c r="F343" s="181" t="n"/>
      <c r="G343" s="182" t="n"/>
      <c r="H343" s="105" t="n"/>
      <c r="I343" s="196">
        <f>F343</f>
        <v/>
      </c>
      <c r="J343" s="184" t="n"/>
      <c r="K343" s="185" t="n"/>
      <c r="L343" s="8" t="n"/>
      <c r="M343" s="71">
        <f>L343</f>
        <v/>
      </c>
      <c r="N343" s="71" t="n"/>
      <c r="O343" s="101" t="n"/>
      <c r="P343" s="9">
        <f>I343-M343</f>
        <v/>
      </c>
      <c r="Q343" s="9">
        <f>IF(LEFT(B343,4)&lt;&gt;"    ",0,BN343)</f>
        <v/>
      </c>
      <c r="R343" s="9">
        <f>+P343-Q343</f>
        <v/>
      </c>
      <c r="S343" s="281" t="n"/>
      <c r="T343" s="10" t="n"/>
      <c r="U343" s="23">
        <f>IF(LEFT(B343,4)&lt;&gt;"    ","",IF(M343&lt;&gt;0,X343/M343,0))</f>
        <v/>
      </c>
      <c r="V343" s="11">
        <f>IF(LEFT(B343,4)&lt;&gt;"    ","",U343*I343)</f>
        <v/>
      </c>
      <c r="W343" s="11">
        <f>IF(LEFT(B343,4)&lt;&gt;"    ","",X343+Z343)</f>
        <v/>
      </c>
      <c r="X343" s="8" t="n"/>
      <c r="Y343" s="9">
        <f>IF(LEFT(B343,4)&lt;&gt;"    ",0,IF(P343&lt;0,P343,IF(U343&gt;0.3,W343-X343,0)))</f>
        <v/>
      </c>
      <c r="Z343" s="71">
        <f>Y343</f>
        <v/>
      </c>
      <c r="AA343" s="71" t="n"/>
      <c r="AB343" s="109" t="n"/>
      <c r="AC343" s="9">
        <f>IF(LEFT(B343,4)&lt;&gt;"    ",0,BK343)</f>
        <v/>
      </c>
      <c r="AD343" s="9">
        <f>Z343-AC343</f>
        <v/>
      </c>
      <c r="AE343" s="10" t="n"/>
      <c r="AF343" s="24" t="n"/>
      <c r="AG343" s="11" t="n"/>
      <c r="AH343" s="8" t="n"/>
      <c r="AI343" s="9">
        <f>IF(LEFT(B343,4)&lt;&gt;"    ","",AG343-AH343)</f>
        <v/>
      </c>
      <c r="AJ343" s="9" t="n"/>
      <c r="AK343" s="10" t="n"/>
      <c r="AL343" s="11">
        <f>IF(LEFT(B343,4)&lt;&gt;"    ","",W343-AG343)</f>
        <v/>
      </c>
      <c r="AM343" s="8">
        <f>IF(LEFT(B343,4)&lt;&gt;"    ","",X343-AH343)</f>
        <v/>
      </c>
      <c r="AN343" s="9">
        <f>IF(LEFT(B343,4)&lt;&gt;"    ","",Y343-AI343)</f>
        <v/>
      </c>
      <c r="AO343" s="9">
        <f>IF(LEFT(B343,4)&lt;&gt;"    ","",Z343-AJ343)</f>
        <v/>
      </c>
      <c r="AP343" s="10" t="n"/>
      <c r="AQ343" s="25">
        <f>IF(LEFT(B343,4)&lt;&gt;"    ","",I343-W343)</f>
        <v/>
      </c>
      <c r="AR343" s="25">
        <f>M343-X343</f>
        <v/>
      </c>
      <c r="AS343" s="25">
        <f>IF(LEFT(B343,4)&lt;&gt;"    ","",P343-Z343)</f>
        <v/>
      </c>
      <c r="AT343" s="10" t="n"/>
      <c r="AU343" s="12" t="n"/>
      <c r="AV343" s="12">
        <f>IF(LEFT(B343,4)&lt;&gt;"    ","",IF(W343-AU343&gt;=0,W343-AU343," "))</f>
        <v/>
      </c>
      <c r="AW343" s="12">
        <f>IF(LEFT(B343,4)&lt;&gt;"    ","",IF(AU343-W343&gt;=0,AU343-W343," "))</f>
        <v/>
      </c>
      <c r="AX343" s="186" t="n"/>
      <c r="AY343" s="187" t="n"/>
      <c r="AZ343" s="186" t="n"/>
      <c r="BA343" s="186" t="n"/>
      <c r="BB343" s="188" t="n"/>
      <c r="BC343" s="187" t="n"/>
      <c r="BD343" s="187" t="n"/>
      <c r="BE343" s="186" t="n"/>
      <c r="BF343" s="186" t="n"/>
      <c r="BG343" s="186" t="n"/>
      <c r="BH343" s="186" t="n"/>
      <c r="BI343" s="186" t="n"/>
      <c r="BJ343" s="186" t="n"/>
      <c r="BK343" s="186" t="n"/>
      <c r="BL343" s="186" t="n"/>
      <c r="BM343" s="186" t="n"/>
      <c r="BN343" s="186" t="n"/>
      <c r="BO343" s="186" t="n"/>
      <c r="BP343" s="186" t="n"/>
      <c r="BQ343" s="186" t="n"/>
      <c r="BR343" s="186" t="n"/>
      <c r="BS343" s="186" t="n"/>
      <c r="BT343" s="186" t="n"/>
      <c r="BU343" s="186" t="n"/>
      <c r="BV343" s="186" t="n"/>
      <c r="BW343" s="186" t="n"/>
      <c r="BX343" s="186" t="n"/>
      <c r="BY343" s="186" t="n"/>
      <c r="BZ343" s="186" t="n"/>
      <c r="CA343" s="186" t="n"/>
      <c r="CB343" s="186" t="n"/>
      <c r="CC343" s="190" t="n"/>
      <c r="CD343" s="186" t="n"/>
      <c r="CE343" s="186" t="n"/>
      <c r="CF343" s="186" t="n"/>
      <c r="CG343" s="186" t="n"/>
      <c r="CH343" s="186" t="n"/>
      <c r="CI343" s="191" t="n"/>
      <c r="CJ343" s="192" t="n"/>
      <c r="CK343" s="192" t="n"/>
      <c r="CL343" s="192" t="n"/>
      <c r="CM343" s="192" t="n"/>
    </row>
    <row r="344">
      <c r="A344" s="177" t="n"/>
      <c r="B344" s="178" t="n"/>
      <c r="C344" s="178" t="n"/>
      <c r="D344" s="179" t="n"/>
      <c r="E344" s="180" t="n"/>
      <c r="F344" s="181" t="n"/>
      <c r="G344" s="182" t="n"/>
      <c r="H344" s="105" t="n"/>
      <c r="I344" s="196">
        <f>F344</f>
        <v/>
      </c>
      <c r="J344" s="184" t="n"/>
      <c r="K344" s="185" t="n"/>
      <c r="L344" s="8" t="n"/>
      <c r="M344" s="71">
        <f>L344</f>
        <v/>
      </c>
      <c r="N344" s="71" t="n"/>
      <c r="O344" s="101" t="n"/>
      <c r="P344" s="9">
        <f>I344-M344</f>
        <v/>
      </c>
      <c r="Q344" s="9">
        <f>IF(LEFT(B344,4)&lt;&gt;"    ",0,BN344)</f>
        <v/>
      </c>
      <c r="R344" s="9">
        <f>+P344-Q344</f>
        <v/>
      </c>
      <c r="S344" s="281" t="n"/>
      <c r="T344" s="10" t="n"/>
      <c r="U344" s="23">
        <f>IF(LEFT(B344,4)&lt;&gt;"    ","",IF(M344&lt;&gt;0,X344/M344,0))</f>
        <v/>
      </c>
      <c r="V344" s="11">
        <f>IF(LEFT(B344,4)&lt;&gt;"    ","",U344*I344)</f>
        <v/>
      </c>
      <c r="W344" s="11">
        <f>IF(LEFT(B344,4)&lt;&gt;"    ","",X344+Z344)</f>
        <v/>
      </c>
      <c r="X344" s="8" t="n"/>
      <c r="Y344" s="9">
        <f>IF(LEFT(B344,4)&lt;&gt;"    ",0,IF(P344&lt;0,P344,IF(U344&gt;0.3,W344-X344,0)))</f>
        <v/>
      </c>
      <c r="Z344" s="71">
        <f>Y344</f>
        <v/>
      </c>
      <c r="AA344" s="71" t="n"/>
      <c r="AB344" s="109" t="n"/>
      <c r="AC344" s="9">
        <f>IF(LEFT(B344,4)&lt;&gt;"    ",0,BK344)</f>
        <v/>
      </c>
      <c r="AD344" s="9">
        <f>Z344-AC344</f>
        <v/>
      </c>
      <c r="AE344" s="10" t="n"/>
      <c r="AF344" s="24" t="n"/>
      <c r="AG344" s="11" t="n"/>
      <c r="AH344" s="8" t="n"/>
      <c r="AI344" s="9">
        <f>IF(LEFT(B344,4)&lt;&gt;"    ","",AG344-AH344)</f>
        <v/>
      </c>
      <c r="AJ344" s="9" t="n"/>
      <c r="AK344" s="10" t="n"/>
      <c r="AL344" s="11">
        <f>IF(LEFT(B344,4)&lt;&gt;"    ","",W344-AG344)</f>
        <v/>
      </c>
      <c r="AM344" s="8">
        <f>IF(LEFT(B344,4)&lt;&gt;"    ","",X344-AH344)</f>
        <v/>
      </c>
      <c r="AN344" s="9">
        <f>IF(LEFT(B344,4)&lt;&gt;"    ","",Y344-AI344)</f>
        <v/>
      </c>
      <c r="AO344" s="9">
        <f>IF(LEFT(B344,4)&lt;&gt;"    ","",Z344-AJ344)</f>
        <v/>
      </c>
      <c r="AP344" s="10" t="n"/>
      <c r="AQ344" s="25">
        <f>IF(LEFT(B344,4)&lt;&gt;"    ","",I344-W344)</f>
        <v/>
      </c>
      <c r="AR344" s="25">
        <f>M344-X344</f>
        <v/>
      </c>
      <c r="AS344" s="25">
        <f>IF(LEFT(B344,4)&lt;&gt;"    ","",P344-Z344)</f>
        <v/>
      </c>
      <c r="AT344" s="10" t="n"/>
      <c r="AU344" s="12" t="n"/>
      <c r="AV344" s="12">
        <f>IF(LEFT(B344,4)&lt;&gt;"    ","",IF(W344-AU344&gt;=0,W344-AU344," "))</f>
        <v/>
      </c>
      <c r="AW344" s="12">
        <f>IF(LEFT(B344,4)&lt;&gt;"    ","",IF(AU344-W344&gt;=0,AU344-W344," "))</f>
        <v/>
      </c>
      <c r="AX344" s="186" t="n"/>
      <c r="AY344" s="187" t="n"/>
      <c r="AZ344" s="186" t="n"/>
      <c r="BA344" s="186" t="n"/>
      <c r="BB344" s="188" t="n"/>
      <c r="BC344" s="187" t="n"/>
      <c r="BD344" s="187" t="n"/>
      <c r="BE344" s="186" t="n"/>
      <c r="BF344" s="186" t="n"/>
      <c r="BG344" s="186" t="n"/>
      <c r="BH344" s="186" t="n"/>
      <c r="BI344" s="186" t="n"/>
      <c r="BJ344" s="186" t="n"/>
      <c r="BK344" s="186" t="n"/>
      <c r="BL344" s="186" t="n"/>
      <c r="BM344" s="186" t="n"/>
      <c r="BN344" s="186" t="n"/>
      <c r="BO344" s="186" t="n"/>
      <c r="BP344" s="186" t="n"/>
      <c r="BQ344" s="186" t="n"/>
      <c r="BR344" s="186" t="n"/>
      <c r="BS344" s="186" t="n"/>
      <c r="BT344" s="186" t="n"/>
      <c r="BU344" s="186" t="n"/>
      <c r="BV344" s="186" t="n"/>
      <c r="BW344" s="186" t="n"/>
      <c r="BX344" s="186" t="n"/>
      <c r="BY344" s="186" t="n"/>
      <c r="BZ344" s="186" t="n"/>
      <c r="CA344" s="186" t="n"/>
      <c r="CB344" s="186" t="n"/>
      <c r="CC344" s="190" t="n"/>
      <c r="CD344" s="186" t="n"/>
      <c r="CE344" s="186" t="n"/>
      <c r="CF344" s="186" t="n"/>
      <c r="CG344" s="186" t="n"/>
      <c r="CH344" s="186" t="n"/>
      <c r="CI344" s="191" t="n"/>
      <c r="CJ344" s="192" t="n"/>
      <c r="CK344" s="192" t="n"/>
      <c r="CL344" s="192" t="n"/>
      <c r="CM344" s="192" t="n"/>
    </row>
    <row r="345">
      <c r="A345" s="177" t="n"/>
      <c r="B345" s="178" t="n"/>
      <c r="C345" s="178" t="n"/>
      <c r="D345" s="179" t="n"/>
      <c r="E345" s="180" t="n"/>
      <c r="F345" s="181" t="n"/>
      <c r="G345" s="182" t="n"/>
      <c r="H345" s="105" t="n"/>
      <c r="I345" s="196">
        <f>F345</f>
        <v/>
      </c>
      <c r="J345" s="184" t="n"/>
      <c r="K345" s="185" t="n"/>
      <c r="L345" s="8" t="n"/>
      <c r="M345" s="71">
        <f>L345</f>
        <v/>
      </c>
      <c r="N345" s="71" t="n"/>
      <c r="O345" s="101" t="n"/>
      <c r="P345" s="9">
        <f>I345-M345</f>
        <v/>
      </c>
      <c r="Q345" s="9">
        <f>IF(LEFT(B345,4)&lt;&gt;"    ",0,BN345)</f>
        <v/>
      </c>
      <c r="R345" s="9">
        <f>+P345-Q345</f>
        <v/>
      </c>
      <c r="S345" s="281" t="n"/>
      <c r="T345" s="10" t="n"/>
      <c r="U345" s="23">
        <f>IF(LEFT(B345,4)&lt;&gt;"    ","",IF(M345&lt;&gt;0,X345/M345,0))</f>
        <v/>
      </c>
      <c r="V345" s="11">
        <f>IF(LEFT(B345,4)&lt;&gt;"    ","",U345*I345)</f>
        <v/>
      </c>
      <c r="W345" s="11">
        <f>IF(LEFT(B345,4)&lt;&gt;"    ","",X345+Z345)</f>
        <v/>
      </c>
      <c r="X345" s="8" t="n"/>
      <c r="Y345" s="9">
        <f>IF(LEFT(B345,4)&lt;&gt;"    ",0,IF(P345&lt;0,P345,IF(U345&gt;0.3,W345-X345,0)))</f>
        <v/>
      </c>
      <c r="Z345" s="71">
        <f>Y345</f>
        <v/>
      </c>
      <c r="AA345" s="71" t="n"/>
      <c r="AB345" s="109" t="n"/>
      <c r="AC345" s="9">
        <f>IF(LEFT(B345,4)&lt;&gt;"    ",0,BK345)</f>
        <v/>
      </c>
      <c r="AD345" s="9">
        <f>Z345-AC345</f>
        <v/>
      </c>
      <c r="AE345" s="10" t="n"/>
      <c r="AF345" s="24" t="n"/>
      <c r="AG345" s="11" t="n"/>
      <c r="AH345" s="8" t="n"/>
      <c r="AI345" s="9">
        <f>IF(LEFT(B345,4)&lt;&gt;"    ","",AG345-AH345)</f>
        <v/>
      </c>
      <c r="AJ345" s="9" t="n"/>
      <c r="AK345" s="10" t="n"/>
      <c r="AL345" s="11">
        <f>IF(LEFT(B345,4)&lt;&gt;"    ","",W345-AG345)</f>
        <v/>
      </c>
      <c r="AM345" s="8">
        <f>IF(LEFT(B345,4)&lt;&gt;"    ","",X345-AH345)</f>
        <v/>
      </c>
      <c r="AN345" s="9">
        <f>IF(LEFT(B345,4)&lt;&gt;"    ","",Y345-AI345)</f>
        <v/>
      </c>
      <c r="AO345" s="9">
        <f>IF(LEFT(B345,4)&lt;&gt;"    ","",Z345-AJ345)</f>
        <v/>
      </c>
      <c r="AP345" s="10" t="n"/>
      <c r="AQ345" s="25">
        <f>IF(LEFT(B345,4)&lt;&gt;"    ","",I345-W345)</f>
        <v/>
      </c>
      <c r="AR345" s="25">
        <f>M345-X345</f>
        <v/>
      </c>
      <c r="AS345" s="25">
        <f>IF(LEFT(B345,4)&lt;&gt;"    ","",P345-Z345)</f>
        <v/>
      </c>
      <c r="AT345" s="10" t="n"/>
      <c r="AU345" s="12" t="n"/>
      <c r="AV345" s="12">
        <f>IF(LEFT(B345,4)&lt;&gt;"    ","",IF(W345-AU345&gt;=0,W345-AU345," "))</f>
        <v/>
      </c>
      <c r="AW345" s="12">
        <f>IF(LEFT(B345,4)&lt;&gt;"    ","",IF(AU345-W345&gt;=0,AU345-W345," "))</f>
        <v/>
      </c>
      <c r="AX345" s="186" t="n"/>
      <c r="AY345" s="187" t="n"/>
      <c r="AZ345" s="186" t="n"/>
      <c r="BA345" s="186" t="n"/>
      <c r="BB345" s="188" t="n"/>
      <c r="BC345" s="187" t="n"/>
      <c r="BD345" s="187" t="n"/>
      <c r="BE345" s="186" t="n"/>
      <c r="BF345" s="186" t="n"/>
      <c r="BG345" s="186" t="n"/>
      <c r="BH345" s="186" t="n"/>
      <c r="BI345" s="186" t="n"/>
      <c r="BJ345" s="186" t="n"/>
      <c r="BK345" s="186" t="n"/>
      <c r="BL345" s="186" t="n"/>
      <c r="BM345" s="186" t="n"/>
      <c r="BN345" s="186" t="n"/>
      <c r="BO345" s="186" t="n"/>
      <c r="BP345" s="186" t="n"/>
      <c r="BQ345" s="186" t="n"/>
      <c r="BR345" s="186" t="n"/>
      <c r="BS345" s="186" t="n"/>
      <c r="BT345" s="186" t="n"/>
      <c r="BU345" s="186" t="n"/>
      <c r="BV345" s="186" t="n"/>
      <c r="BW345" s="186" t="n"/>
      <c r="BX345" s="186" t="n"/>
      <c r="BY345" s="186" t="n"/>
      <c r="BZ345" s="186" t="n"/>
      <c r="CA345" s="186" t="n"/>
      <c r="CB345" s="186" t="n"/>
      <c r="CC345" s="190" t="n"/>
      <c r="CD345" s="186" t="n"/>
      <c r="CE345" s="186" t="n"/>
      <c r="CF345" s="186" t="n"/>
      <c r="CG345" s="186" t="n"/>
      <c r="CH345" s="186" t="n"/>
      <c r="CI345" s="191" t="n"/>
      <c r="CJ345" s="192" t="n"/>
      <c r="CK345" s="192" t="n"/>
      <c r="CL345" s="192" t="n"/>
      <c r="CM345" s="192" t="n"/>
    </row>
    <row r="346">
      <c r="A346" s="177" t="n"/>
      <c r="B346" s="178" t="n"/>
      <c r="C346" s="178" t="n"/>
      <c r="D346" s="179" t="n"/>
      <c r="E346" s="180" t="n"/>
      <c r="F346" s="181" t="n"/>
      <c r="G346" s="182" t="n"/>
      <c r="H346" s="105" t="n"/>
      <c r="I346" s="196">
        <f>F346</f>
        <v/>
      </c>
      <c r="J346" s="184" t="n"/>
      <c r="K346" s="185" t="n"/>
      <c r="L346" s="8" t="n"/>
      <c r="M346" s="71">
        <f>L346</f>
        <v/>
      </c>
      <c r="N346" s="71" t="n"/>
      <c r="O346" s="101" t="n"/>
      <c r="P346" s="9">
        <f>I346-M346</f>
        <v/>
      </c>
      <c r="Q346" s="9">
        <f>IF(LEFT(B346,4)&lt;&gt;"    ",0,BN346)</f>
        <v/>
      </c>
      <c r="R346" s="9">
        <f>+P346-Q346</f>
        <v/>
      </c>
      <c r="S346" s="281" t="n"/>
      <c r="T346" s="10" t="n"/>
      <c r="U346" s="23">
        <f>IF(LEFT(B346,4)&lt;&gt;"    ","",IF(M346&lt;&gt;0,X346/M346,0))</f>
        <v/>
      </c>
      <c r="V346" s="11">
        <f>IF(LEFT(B346,4)&lt;&gt;"    ","",U346*I346)</f>
        <v/>
      </c>
      <c r="W346" s="11">
        <f>IF(LEFT(B346,4)&lt;&gt;"    ","",X346+Z346)</f>
        <v/>
      </c>
      <c r="X346" s="8" t="n"/>
      <c r="Y346" s="9">
        <f>IF(LEFT(B346,4)&lt;&gt;"    ",0,IF(P346&lt;0,P346,IF(U346&gt;0.3,W346-X346,0)))</f>
        <v/>
      </c>
      <c r="Z346" s="71">
        <f>Y346</f>
        <v/>
      </c>
      <c r="AA346" s="71" t="n"/>
      <c r="AB346" s="109" t="n"/>
      <c r="AC346" s="9">
        <f>IF(LEFT(B346,4)&lt;&gt;"    ",0,BK346)</f>
        <v/>
      </c>
      <c r="AD346" s="9">
        <f>Z346-AC346</f>
        <v/>
      </c>
      <c r="AE346" s="10" t="n"/>
      <c r="AF346" s="24" t="n"/>
      <c r="AG346" s="11" t="n"/>
      <c r="AH346" s="8" t="n"/>
      <c r="AI346" s="9">
        <f>IF(LEFT(B346,4)&lt;&gt;"    ","",AG346-AH346)</f>
        <v/>
      </c>
      <c r="AJ346" s="9" t="n"/>
      <c r="AK346" s="10" t="n"/>
      <c r="AL346" s="11">
        <f>IF(LEFT(B346,4)&lt;&gt;"    ","",W346-AG346)</f>
        <v/>
      </c>
      <c r="AM346" s="8">
        <f>IF(LEFT(B346,4)&lt;&gt;"    ","",X346-AH346)</f>
        <v/>
      </c>
      <c r="AN346" s="9">
        <f>IF(LEFT(B346,4)&lt;&gt;"    ","",Y346-AI346)</f>
        <v/>
      </c>
      <c r="AO346" s="9">
        <f>IF(LEFT(B346,4)&lt;&gt;"    ","",Z346-AJ346)</f>
        <v/>
      </c>
      <c r="AP346" s="10" t="n"/>
      <c r="AQ346" s="25">
        <f>IF(LEFT(B346,4)&lt;&gt;"    ","",I346-W346)</f>
        <v/>
      </c>
      <c r="AR346" s="25">
        <f>M346-X346</f>
        <v/>
      </c>
      <c r="AS346" s="25">
        <f>IF(LEFT(B346,4)&lt;&gt;"    ","",P346-Z346)</f>
        <v/>
      </c>
      <c r="AT346" s="10" t="n"/>
      <c r="AU346" s="12" t="n"/>
      <c r="AV346" s="12">
        <f>IF(LEFT(B346,4)&lt;&gt;"    ","",IF(W346-AU346&gt;=0,W346-AU346," "))</f>
        <v/>
      </c>
      <c r="AW346" s="12">
        <f>IF(LEFT(B346,4)&lt;&gt;"    ","",IF(AU346-W346&gt;=0,AU346-W346," "))</f>
        <v/>
      </c>
      <c r="AX346" s="186" t="n"/>
      <c r="AY346" s="187" t="n"/>
      <c r="AZ346" s="186" t="n"/>
      <c r="BA346" s="186" t="n"/>
      <c r="BB346" s="188" t="n"/>
      <c r="BC346" s="187" t="n"/>
      <c r="BD346" s="187" t="n"/>
      <c r="BE346" s="186" t="n"/>
      <c r="BF346" s="186" t="n"/>
      <c r="BG346" s="186" t="n"/>
      <c r="BH346" s="186" t="n"/>
      <c r="BI346" s="186" t="n"/>
      <c r="BJ346" s="186" t="n"/>
      <c r="BK346" s="186" t="n"/>
      <c r="BL346" s="186" t="n"/>
      <c r="BM346" s="186" t="n"/>
      <c r="BN346" s="186" t="n"/>
      <c r="BO346" s="186" t="n"/>
      <c r="BP346" s="186" t="n"/>
      <c r="BQ346" s="186" t="n"/>
      <c r="BR346" s="186" t="n"/>
      <c r="BS346" s="186" t="n"/>
      <c r="BT346" s="186" t="n"/>
      <c r="BU346" s="186" t="n"/>
      <c r="BV346" s="186" t="n"/>
      <c r="BW346" s="186" t="n"/>
      <c r="BX346" s="186" t="n"/>
      <c r="BY346" s="186" t="n"/>
      <c r="BZ346" s="186" t="n"/>
      <c r="CA346" s="186" t="n"/>
      <c r="CB346" s="186" t="n"/>
      <c r="CC346" s="190" t="n"/>
      <c r="CD346" s="186" t="n"/>
      <c r="CE346" s="186" t="n"/>
      <c r="CF346" s="186" t="n"/>
      <c r="CG346" s="186" t="n"/>
      <c r="CH346" s="186" t="n"/>
      <c r="CI346" s="191" t="n"/>
      <c r="CJ346" s="192" t="n"/>
      <c r="CK346" s="192" t="n"/>
      <c r="CL346" s="192" t="n"/>
      <c r="CM346" s="192" t="n"/>
    </row>
    <row r="347">
      <c r="A347" s="177" t="n"/>
      <c r="B347" s="178" t="n"/>
      <c r="C347" s="178" t="n"/>
      <c r="D347" s="179" t="n"/>
      <c r="E347" s="180" t="n"/>
      <c r="F347" s="181" t="n"/>
      <c r="G347" s="182" t="n"/>
      <c r="H347" s="105" t="n"/>
      <c r="I347" s="196">
        <f>F347</f>
        <v/>
      </c>
      <c r="J347" s="184" t="n"/>
      <c r="K347" s="185" t="n"/>
      <c r="L347" s="8" t="n"/>
      <c r="M347" s="71">
        <f>L347</f>
        <v/>
      </c>
      <c r="N347" s="71" t="n"/>
      <c r="O347" s="101" t="n"/>
      <c r="P347" s="9">
        <f>I347-M347</f>
        <v/>
      </c>
      <c r="Q347" s="9">
        <f>IF(LEFT(B347,4)&lt;&gt;"    ",0,BN347)</f>
        <v/>
      </c>
      <c r="R347" s="9">
        <f>+P347-Q347</f>
        <v/>
      </c>
      <c r="S347" s="281" t="n"/>
      <c r="T347" s="10" t="n"/>
      <c r="U347" s="23">
        <f>IF(LEFT(B347,4)&lt;&gt;"    ","",IF(M347&lt;&gt;0,X347/M347,0))</f>
        <v/>
      </c>
      <c r="V347" s="11">
        <f>IF(LEFT(B347,4)&lt;&gt;"    ","",U347*I347)</f>
        <v/>
      </c>
      <c r="W347" s="11">
        <f>IF(LEFT(B347,4)&lt;&gt;"    ","",X347+Z347)</f>
        <v/>
      </c>
      <c r="X347" s="8" t="n"/>
      <c r="Y347" s="9">
        <f>IF(LEFT(B347,4)&lt;&gt;"    ",0,IF(P347&lt;0,P347,IF(U347&gt;0.3,W347-X347,0)))</f>
        <v/>
      </c>
      <c r="Z347" s="71">
        <f>Y347</f>
        <v/>
      </c>
      <c r="AA347" s="71" t="n"/>
      <c r="AB347" s="109" t="n"/>
      <c r="AC347" s="9">
        <f>IF(LEFT(B347,4)&lt;&gt;"    ",0,BK347)</f>
        <v/>
      </c>
      <c r="AD347" s="9">
        <f>Z347-AC347</f>
        <v/>
      </c>
      <c r="AE347" s="10" t="n"/>
      <c r="AF347" s="24" t="n"/>
      <c r="AG347" s="11" t="n"/>
      <c r="AH347" s="8" t="n"/>
      <c r="AI347" s="9">
        <f>IF(LEFT(B347,4)&lt;&gt;"    ","",AG347-AH347)</f>
        <v/>
      </c>
      <c r="AJ347" s="9" t="n"/>
      <c r="AK347" s="10" t="n"/>
      <c r="AL347" s="11">
        <f>IF(LEFT(B347,4)&lt;&gt;"    ","",W347-AG347)</f>
        <v/>
      </c>
      <c r="AM347" s="8">
        <f>IF(LEFT(B347,4)&lt;&gt;"    ","",X347-AH347)</f>
        <v/>
      </c>
      <c r="AN347" s="9">
        <f>IF(LEFT(B347,4)&lt;&gt;"    ","",Y347-AI347)</f>
        <v/>
      </c>
      <c r="AO347" s="9">
        <f>IF(LEFT(B347,4)&lt;&gt;"    ","",Z347-AJ347)</f>
        <v/>
      </c>
      <c r="AP347" s="10" t="n"/>
      <c r="AQ347" s="25">
        <f>IF(LEFT(B347,4)&lt;&gt;"    ","",I347-W347)</f>
        <v/>
      </c>
      <c r="AR347" s="25">
        <f>M347-X347</f>
        <v/>
      </c>
      <c r="AS347" s="25">
        <f>IF(LEFT(B347,4)&lt;&gt;"    ","",P347-Z347)</f>
        <v/>
      </c>
      <c r="AT347" s="10" t="n"/>
      <c r="AU347" s="12" t="n"/>
      <c r="AV347" s="12">
        <f>IF(LEFT(B347,4)&lt;&gt;"    ","",IF(W347-AU347&gt;=0,W347-AU347," "))</f>
        <v/>
      </c>
      <c r="AW347" s="12">
        <f>IF(LEFT(B347,4)&lt;&gt;"    ","",IF(AU347-W347&gt;=0,AU347-W347," "))</f>
        <v/>
      </c>
      <c r="AX347" s="186" t="n"/>
      <c r="AY347" s="187" t="n"/>
      <c r="AZ347" s="186" t="n"/>
      <c r="BA347" s="186" t="n"/>
      <c r="BB347" s="188" t="n"/>
      <c r="BC347" s="187" t="n"/>
      <c r="BD347" s="187" t="n"/>
      <c r="BE347" s="186" t="n"/>
      <c r="BF347" s="186" t="n"/>
      <c r="BG347" s="186" t="n"/>
      <c r="BH347" s="186" t="n"/>
      <c r="BI347" s="186" t="n"/>
      <c r="BJ347" s="186" t="n"/>
      <c r="BK347" s="186" t="n"/>
      <c r="BL347" s="186" t="n"/>
      <c r="BM347" s="186" t="n"/>
      <c r="BN347" s="186" t="n"/>
      <c r="BO347" s="186" t="n"/>
      <c r="BP347" s="186" t="n"/>
      <c r="BQ347" s="186" t="n"/>
      <c r="BR347" s="186" t="n"/>
      <c r="BS347" s="186" t="n"/>
      <c r="BT347" s="186" t="n"/>
      <c r="BU347" s="186" t="n"/>
      <c r="BV347" s="186" t="n"/>
      <c r="BW347" s="186" t="n"/>
      <c r="BX347" s="186" t="n"/>
      <c r="BY347" s="186" t="n"/>
      <c r="BZ347" s="186" t="n"/>
      <c r="CA347" s="186" t="n"/>
      <c r="CB347" s="186" t="n"/>
      <c r="CC347" s="190" t="n"/>
      <c r="CD347" s="186" t="n"/>
      <c r="CE347" s="186" t="n"/>
      <c r="CF347" s="186" t="n"/>
      <c r="CG347" s="186" t="n"/>
      <c r="CH347" s="186" t="n"/>
      <c r="CI347" s="191" t="n"/>
      <c r="CJ347" s="192" t="n"/>
      <c r="CK347" s="192" t="n"/>
      <c r="CL347" s="192" t="n"/>
      <c r="CM347" s="192" t="n"/>
    </row>
    <row r="348">
      <c r="A348" s="177" t="n"/>
      <c r="B348" s="178" t="n"/>
      <c r="C348" s="178" t="n"/>
      <c r="D348" s="179" t="n"/>
      <c r="E348" s="180" t="n"/>
      <c r="F348" s="181" t="n"/>
      <c r="G348" s="182" t="n"/>
      <c r="H348" s="105" t="n"/>
      <c r="I348" s="196">
        <f>F348</f>
        <v/>
      </c>
      <c r="J348" s="184" t="n"/>
      <c r="K348" s="185" t="n"/>
      <c r="L348" s="8" t="n"/>
      <c r="M348" s="184">
        <f>L348</f>
        <v/>
      </c>
      <c r="N348" s="184" t="n"/>
      <c r="O348" s="185" t="n"/>
      <c r="P348" s="9">
        <f>I348-M348</f>
        <v/>
      </c>
      <c r="Q348" s="9">
        <f>IF(LEFT(B348,4)&lt;&gt;"    ",0,BN348)</f>
        <v/>
      </c>
      <c r="R348" s="9">
        <f>+P348-Q348</f>
        <v/>
      </c>
      <c r="S348" s="281" t="n"/>
      <c r="T348" s="10" t="n"/>
      <c r="U348" s="23">
        <f>IF(LEFT(B348,4)&lt;&gt;"    ","",IF(M348&lt;&gt;0,X348/M348,0))</f>
        <v/>
      </c>
      <c r="V348" s="11">
        <f>IF(LEFT(B348,4)&lt;&gt;"    ","",U348*I348)</f>
        <v/>
      </c>
      <c r="W348" s="11">
        <f>IF(LEFT(B348,4)&lt;&gt;"    ","",X348+Z348)</f>
        <v/>
      </c>
      <c r="X348" s="8" t="n"/>
      <c r="Y348" s="9">
        <f>IF(LEFT(B348,4)&lt;&gt;"    ",0,IF(P348&lt;0,P348,IF(U348&gt;0.3,W348-X348,0)))</f>
        <v/>
      </c>
      <c r="Z348" s="71">
        <f>Y348</f>
        <v/>
      </c>
      <c r="AA348" s="71" t="n"/>
      <c r="AB348" s="109" t="n"/>
      <c r="AC348" s="9">
        <f>IF(LEFT(B348,4)&lt;&gt;"    ",0,BK348)</f>
        <v/>
      </c>
      <c r="AD348" s="9">
        <f>Z348-AC348</f>
        <v/>
      </c>
      <c r="AE348" s="10" t="n"/>
      <c r="AF348" s="24" t="n"/>
      <c r="AG348" s="11" t="n"/>
      <c r="AH348" s="8" t="n"/>
      <c r="AI348" s="9">
        <f>IF(LEFT(B348,4)&lt;&gt;"    ","",AG348-AH348)</f>
        <v/>
      </c>
      <c r="AJ348" s="9" t="n"/>
      <c r="AK348" s="10" t="n"/>
      <c r="AL348" s="11">
        <f>IF(LEFT(B348,4)&lt;&gt;"    ","",W348-AG348)</f>
        <v/>
      </c>
      <c r="AM348" s="8">
        <f>IF(LEFT(B348,4)&lt;&gt;"    ","",X348-AH348)</f>
        <v/>
      </c>
      <c r="AN348" s="9">
        <f>IF(LEFT(B348,4)&lt;&gt;"    ","",Y348-AI348)</f>
        <v/>
      </c>
      <c r="AO348" s="9">
        <f>IF(LEFT(B348,4)&lt;&gt;"    ","",Z348-AJ348)</f>
        <v/>
      </c>
      <c r="AP348" s="10" t="n"/>
      <c r="AQ348" s="25">
        <f>IF(LEFT(B348,4)&lt;&gt;"    ","",I348-W348)</f>
        <v/>
      </c>
      <c r="AR348" s="25">
        <f>M348-X348</f>
        <v/>
      </c>
      <c r="AS348" s="25">
        <f>IF(LEFT(B348,4)&lt;&gt;"    ","",P348-Z348)</f>
        <v/>
      </c>
      <c r="AT348" s="10" t="n"/>
      <c r="AU348" s="12" t="n"/>
      <c r="AV348" s="12">
        <f>IF(LEFT(B348,4)&lt;&gt;"    ","",IF(W348-AU348&gt;=0,W348-AU348," "))</f>
        <v/>
      </c>
      <c r="AW348" s="12">
        <f>IF(LEFT(B348,4)&lt;&gt;"    ","",IF(AU348-W348&gt;=0,AU348-W348," "))</f>
        <v/>
      </c>
      <c r="AX348" s="186" t="n"/>
      <c r="AY348" s="187" t="n"/>
      <c r="AZ348" s="186" t="n"/>
      <c r="BA348" s="186" t="n"/>
      <c r="BB348" s="188" t="n"/>
      <c r="BC348" s="187" t="n"/>
      <c r="BD348" s="187" t="n"/>
      <c r="BE348" s="186" t="n"/>
      <c r="BF348" s="186" t="n"/>
      <c r="BG348" s="186" t="n"/>
      <c r="BH348" s="186" t="n"/>
      <c r="BI348" s="186" t="n"/>
      <c r="BJ348" s="186" t="n"/>
      <c r="BK348" s="186" t="n"/>
      <c r="BL348" s="186" t="n"/>
      <c r="BM348" s="186" t="n"/>
      <c r="BN348" s="186" t="n"/>
      <c r="BO348" s="186" t="n"/>
      <c r="BP348" s="186" t="n"/>
      <c r="BQ348" s="186" t="n"/>
      <c r="BR348" s="186" t="n"/>
      <c r="BS348" s="186" t="n"/>
      <c r="BT348" s="186" t="n"/>
      <c r="BU348" s="186" t="n"/>
      <c r="BV348" s="186" t="n"/>
      <c r="BW348" s="186" t="n"/>
      <c r="BX348" s="186" t="n"/>
      <c r="BY348" s="186" t="n"/>
      <c r="BZ348" s="186" t="n"/>
      <c r="CA348" s="186" t="n"/>
      <c r="CB348" s="186" t="n"/>
      <c r="CC348" s="190" t="n"/>
      <c r="CD348" s="186" t="n"/>
      <c r="CE348" s="186" t="n"/>
      <c r="CF348" s="186" t="n"/>
      <c r="CG348" s="186" t="n"/>
      <c r="CH348" s="186" t="n"/>
      <c r="CI348" s="191" t="n"/>
      <c r="CJ348" s="192" t="n"/>
      <c r="CK348" s="192" t="n"/>
      <c r="CL348" s="192" t="n"/>
      <c r="CM348" s="192" t="n"/>
    </row>
    <row r="349">
      <c r="A349" s="177" t="n"/>
      <c r="B349" s="178" t="n"/>
      <c r="C349" s="178" t="n"/>
      <c r="D349" s="179" t="n"/>
      <c r="E349" s="180" t="n"/>
      <c r="F349" s="181" t="n"/>
      <c r="G349" s="182" t="n"/>
      <c r="H349" s="105" t="n"/>
      <c r="I349" s="196">
        <f>F349</f>
        <v/>
      </c>
      <c r="J349" s="184" t="n"/>
      <c r="K349" s="185" t="n"/>
      <c r="L349" s="8" t="n"/>
      <c r="M349" s="71">
        <f>L349</f>
        <v/>
      </c>
      <c r="N349" s="71" t="n"/>
      <c r="O349" s="101" t="n"/>
      <c r="P349" s="9">
        <f>I349-M349</f>
        <v/>
      </c>
      <c r="Q349" s="9">
        <f>IF(LEFT(B349,4)&lt;&gt;"    ",0,BN349)</f>
        <v/>
      </c>
      <c r="R349" s="9">
        <f>+P349-Q349</f>
        <v/>
      </c>
      <c r="S349" s="281" t="n"/>
      <c r="T349" s="10" t="n"/>
      <c r="U349" s="23">
        <f>IF(LEFT(B349,4)&lt;&gt;"    ","",IF(M349&lt;&gt;0,X349/M349,0))</f>
        <v/>
      </c>
      <c r="V349" s="11">
        <f>IF(LEFT(B349,4)&lt;&gt;"    ","",U349*I349)</f>
        <v/>
      </c>
      <c r="W349" s="11">
        <f>IF(LEFT(B349,4)&lt;&gt;"    ","",X349+Z349)</f>
        <v/>
      </c>
      <c r="X349" s="8" t="n"/>
      <c r="Y349" s="9">
        <f>IF(LEFT(B349,4)&lt;&gt;"    ",0,IF(P349&lt;0,P349,IF(U349&gt;0.3,W349-X349,0)))</f>
        <v/>
      </c>
      <c r="Z349" s="71">
        <f>Y349</f>
        <v/>
      </c>
      <c r="AA349" s="71" t="n"/>
      <c r="AB349" s="109" t="n"/>
      <c r="AC349" s="9">
        <f>IF(LEFT(B349,4)&lt;&gt;"    ",0,BK349)</f>
        <v/>
      </c>
      <c r="AD349" s="9">
        <f>Z349-AC349</f>
        <v/>
      </c>
      <c r="AE349" s="10" t="n"/>
      <c r="AF349" s="24" t="n"/>
      <c r="AG349" s="11" t="n"/>
      <c r="AH349" s="8" t="n"/>
      <c r="AI349" s="9">
        <f>IF(LEFT(B349,4)&lt;&gt;"    ","",AG349-AH349)</f>
        <v/>
      </c>
      <c r="AJ349" s="9" t="n"/>
      <c r="AK349" s="10" t="n"/>
      <c r="AL349" s="11">
        <f>IF(LEFT(B349,4)&lt;&gt;"    ","",W349-AG349)</f>
        <v/>
      </c>
      <c r="AM349" s="8">
        <f>IF(LEFT(B349,4)&lt;&gt;"    ","",X349-AH349)</f>
        <v/>
      </c>
      <c r="AN349" s="9">
        <f>IF(LEFT(B349,4)&lt;&gt;"    ","",Y349-AI349)</f>
        <v/>
      </c>
      <c r="AO349" s="9">
        <f>IF(LEFT(B349,4)&lt;&gt;"    ","",Z349-AJ349)</f>
        <v/>
      </c>
      <c r="AP349" s="10" t="n"/>
      <c r="AQ349" s="25">
        <f>IF(LEFT(B349,4)&lt;&gt;"    ","",I349-W349)</f>
        <v/>
      </c>
      <c r="AR349" s="25">
        <f>M349-X349</f>
        <v/>
      </c>
      <c r="AS349" s="25">
        <f>IF(LEFT(B349,4)&lt;&gt;"    ","",P349-Z349)</f>
        <v/>
      </c>
      <c r="AT349" s="10" t="n"/>
      <c r="AU349" s="12" t="n"/>
      <c r="AV349" s="12">
        <f>IF(LEFT(B349,4)&lt;&gt;"    ","",IF(W349-AU349&gt;=0,W349-AU349," "))</f>
        <v/>
      </c>
      <c r="AW349" s="12">
        <f>IF(LEFT(B349,4)&lt;&gt;"    ","",IF(AU349-W349&gt;=0,AU349-W349," "))</f>
        <v/>
      </c>
      <c r="AX349" s="186" t="n"/>
      <c r="AY349" s="187" t="n"/>
      <c r="AZ349" s="186" t="n"/>
      <c r="BA349" s="186" t="n"/>
      <c r="BB349" s="188" t="n"/>
      <c r="BC349" s="187" t="n"/>
      <c r="BD349" s="187" t="n"/>
      <c r="BE349" s="186" t="n"/>
      <c r="BF349" s="186" t="n"/>
      <c r="BG349" s="186" t="n"/>
      <c r="BH349" s="186" t="n"/>
      <c r="BI349" s="186" t="n"/>
      <c r="BJ349" s="186" t="n"/>
      <c r="BK349" s="186" t="n"/>
      <c r="BL349" s="186" t="n"/>
      <c r="BM349" s="186" t="n"/>
      <c r="BN349" s="186" t="n"/>
      <c r="BO349" s="186" t="n"/>
      <c r="BP349" s="186" t="n"/>
      <c r="BQ349" s="186" t="n"/>
      <c r="BR349" s="186" t="n"/>
      <c r="BS349" s="186" t="n"/>
      <c r="BT349" s="186" t="n"/>
      <c r="BU349" s="186" t="n"/>
      <c r="BV349" s="186" t="n"/>
      <c r="BW349" s="186" t="n"/>
      <c r="BX349" s="186" t="n"/>
      <c r="BY349" s="186" t="n"/>
      <c r="BZ349" s="186" t="n"/>
      <c r="CA349" s="186" t="n"/>
      <c r="CB349" s="186" t="n"/>
      <c r="CC349" s="190" t="n"/>
      <c r="CD349" s="186" t="n"/>
      <c r="CE349" s="186" t="n"/>
      <c r="CF349" s="186" t="n"/>
      <c r="CG349" s="186" t="n"/>
      <c r="CH349" s="186" t="n"/>
      <c r="CI349" s="191" t="n"/>
      <c r="CJ349" s="192" t="n"/>
      <c r="CK349" s="192" t="n"/>
      <c r="CL349" s="192" t="n"/>
      <c r="CM349" s="192" t="n"/>
    </row>
    <row r="350">
      <c r="A350" s="177" t="n"/>
      <c r="B350" s="178" t="n"/>
      <c r="C350" s="178" t="n"/>
      <c r="D350" s="179" t="n"/>
      <c r="E350" s="180" t="n"/>
      <c r="F350" s="181" t="n"/>
      <c r="G350" s="182" t="n"/>
      <c r="H350" s="105" t="n"/>
      <c r="I350" s="196">
        <f>F350</f>
        <v/>
      </c>
      <c r="J350" s="184" t="n"/>
      <c r="K350" s="185" t="n"/>
      <c r="L350" s="8" t="n"/>
      <c r="M350" s="71">
        <f>L350</f>
        <v/>
      </c>
      <c r="N350" s="71" t="n"/>
      <c r="O350" s="101" t="n"/>
      <c r="P350" s="9">
        <f>I350-M350</f>
        <v/>
      </c>
      <c r="Q350" s="9">
        <f>IF(LEFT(B350,4)&lt;&gt;"    ",0,BN350)</f>
        <v/>
      </c>
      <c r="R350" s="9">
        <f>+P350-Q350</f>
        <v/>
      </c>
      <c r="S350" s="281" t="n"/>
      <c r="T350" s="10" t="n"/>
      <c r="U350" s="23">
        <f>IF(LEFT(B350,4)&lt;&gt;"    ","",IF(M350&lt;&gt;0,X350/M350,0))</f>
        <v/>
      </c>
      <c r="V350" s="11">
        <f>IF(LEFT(B350,4)&lt;&gt;"    ","",U350*I350)</f>
        <v/>
      </c>
      <c r="W350" s="11">
        <f>IF(LEFT(B350,4)&lt;&gt;"    ","",X350+Z350)</f>
        <v/>
      </c>
      <c r="X350" s="8" t="n"/>
      <c r="Y350" s="9">
        <f>IF(LEFT(B350,4)&lt;&gt;"    ",0,IF(P350&lt;0,P350,IF(U350&gt;0.3,W350-X350,0)))</f>
        <v/>
      </c>
      <c r="Z350" s="71">
        <f>Y350</f>
        <v/>
      </c>
      <c r="AA350" s="71" t="n"/>
      <c r="AB350" s="109" t="n"/>
      <c r="AC350" s="9">
        <f>IF(LEFT(B350,4)&lt;&gt;"    ",0,BK350)</f>
        <v/>
      </c>
      <c r="AD350" s="9">
        <f>Z350-AC350</f>
        <v/>
      </c>
      <c r="AE350" s="10" t="n"/>
      <c r="AF350" s="24" t="n"/>
      <c r="AG350" s="11" t="n"/>
      <c r="AH350" s="8" t="n"/>
      <c r="AI350" s="9">
        <f>IF(LEFT(B350,4)&lt;&gt;"    ","",AG350-AH350)</f>
        <v/>
      </c>
      <c r="AJ350" s="9" t="n"/>
      <c r="AK350" s="10" t="n"/>
      <c r="AL350" s="11">
        <f>IF(LEFT(B350,4)&lt;&gt;"    ","",W350-AG350)</f>
        <v/>
      </c>
      <c r="AM350" s="8">
        <f>IF(LEFT(B350,4)&lt;&gt;"    ","",X350-AH350)</f>
        <v/>
      </c>
      <c r="AN350" s="9">
        <f>IF(LEFT(B350,4)&lt;&gt;"    ","",Y350-AI350)</f>
        <v/>
      </c>
      <c r="AO350" s="9">
        <f>IF(LEFT(B350,4)&lt;&gt;"    ","",Z350-AJ350)</f>
        <v/>
      </c>
      <c r="AP350" s="10" t="n"/>
      <c r="AQ350" s="25">
        <f>IF(LEFT(B350,4)&lt;&gt;"    ","",I350-W350)</f>
        <v/>
      </c>
      <c r="AR350" s="25">
        <f>M350-X350</f>
        <v/>
      </c>
      <c r="AS350" s="25">
        <f>IF(LEFT(B350,4)&lt;&gt;"    ","",P350-Z350)</f>
        <v/>
      </c>
      <c r="AT350" s="10" t="n"/>
      <c r="AU350" s="12" t="n"/>
      <c r="AV350" s="12">
        <f>IF(LEFT(B350,4)&lt;&gt;"    ","",IF(W350-AU350&gt;=0,W350-AU350," "))</f>
        <v/>
      </c>
      <c r="AW350" s="12">
        <f>IF(LEFT(B350,4)&lt;&gt;"    ","",IF(AU350-W350&gt;=0,AU350-W350," "))</f>
        <v/>
      </c>
      <c r="AX350" s="186" t="n"/>
      <c r="AY350" s="187" t="n"/>
      <c r="AZ350" s="186" t="n"/>
      <c r="BA350" s="186" t="n"/>
      <c r="BB350" s="188" t="n"/>
      <c r="BC350" s="187" t="n"/>
      <c r="BD350" s="187" t="n"/>
      <c r="BE350" s="186" t="n"/>
      <c r="BF350" s="186" t="n"/>
      <c r="BG350" s="186" t="n"/>
      <c r="BH350" s="186" t="n"/>
      <c r="BI350" s="186" t="n"/>
      <c r="BJ350" s="186" t="n"/>
      <c r="BK350" s="186" t="n"/>
      <c r="BL350" s="186" t="n"/>
      <c r="BM350" s="186" t="n"/>
      <c r="BN350" s="186" t="n"/>
      <c r="BO350" s="186" t="n"/>
      <c r="BP350" s="186" t="n"/>
      <c r="BQ350" s="186" t="n"/>
      <c r="BR350" s="186" t="n"/>
      <c r="BS350" s="186" t="n"/>
      <c r="BT350" s="186" t="n"/>
      <c r="BU350" s="186" t="n"/>
      <c r="BV350" s="186" t="n"/>
      <c r="BW350" s="186" t="n"/>
      <c r="BX350" s="186" t="n"/>
      <c r="BY350" s="186" t="n"/>
      <c r="BZ350" s="186" t="n"/>
      <c r="CA350" s="186" t="n"/>
      <c r="CB350" s="186" t="n"/>
      <c r="CC350" s="190" t="n"/>
      <c r="CD350" s="186" t="n"/>
      <c r="CE350" s="186" t="n"/>
      <c r="CF350" s="186" t="n"/>
      <c r="CG350" s="186" t="n"/>
      <c r="CH350" s="186" t="n"/>
      <c r="CI350" s="191" t="n"/>
      <c r="CJ350" s="192" t="n"/>
      <c r="CK350" s="192" t="n"/>
      <c r="CL350" s="192" t="n"/>
      <c r="CM350" s="192" t="n"/>
    </row>
    <row r="351">
      <c r="A351" s="177" t="n"/>
      <c r="B351" s="178" t="n"/>
      <c r="C351" s="178" t="n"/>
      <c r="D351" s="179" t="n"/>
      <c r="E351" s="180" t="n"/>
      <c r="F351" s="181" t="n"/>
      <c r="G351" s="182" t="n"/>
      <c r="H351" s="105" t="n"/>
      <c r="I351" s="196">
        <f>F351</f>
        <v/>
      </c>
      <c r="J351" s="184" t="n"/>
      <c r="K351" s="185" t="n"/>
      <c r="L351" s="8" t="n"/>
      <c r="M351" s="71">
        <f>L351</f>
        <v/>
      </c>
      <c r="N351" s="71" t="n"/>
      <c r="O351" s="101" t="n"/>
      <c r="P351" s="9">
        <f>I351-M351</f>
        <v/>
      </c>
      <c r="Q351" s="9">
        <f>IF(LEFT(B351,4)&lt;&gt;"    ",0,BN351)</f>
        <v/>
      </c>
      <c r="R351" s="9">
        <f>+P351-Q351</f>
        <v/>
      </c>
      <c r="S351" s="281" t="n"/>
      <c r="T351" s="10" t="n"/>
      <c r="U351" s="23">
        <f>IF(LEFT(B351,4)&lt;&gt;"    ","",IF(M351&lt;&gt;0,X351/M351,0))</f>
        <v/>
      </c>
      <c r="V351" s="11">
        <f>IF(LEFT(B351,4)&lt;&gt;"    ","",U351*I351)</f>
        <v/>
      </c>
      <c r="W351" s="11">
        <f>IF(LEFT(B351,4)&lt;&gt;"    ","",X351+Z351)</f>
        <v/>
      </c>
      <c r="X351" s="8" t="n"/>
      <c r="Y351" s="9">
        <f>IF(LEFT(B351,4)&lt;&gt;"    ",0,IF(P351&lt;0,P351,IF(U351&gt;0.3,W351-X351,0)))</f>
        <v/>
      </c>
      <c r="Z351" s="71">
        <f>Y351</f>
        <v/>
      </c>
      <c r="AA351" s="71" t="n"/>
      <c r="AB351" s="109" t="n"/>
      <c r="AC351" s="9">
        <f>IF(LEFT(B351,4)&lt;&gt;"    ",0,BK351)</f>
        <v/>
      </c>
      <c r="AD351" s="9">
        <f>Z351-AC351</f>
        <v/>
      </c>
      <c r="AE351" s="10" t="n"/>
      <c r="AF351" s="24" t="n"/>
      <c r="AG351" s="11" t="n"/>
      <c r="AH351" s="8" t="n"/>
      <c r="AI351" s="9">
        <f>IF(LEFT(B351,4)&lt;&gt;"    ","",AG351-AH351)</f>
        <v/>
      </c>
      <c r="AJ351" s="9" t="n"/>
      <c r="AK351" s="10" t="n"/>
      <c r="AL351" s="11">
        <f>IF(LEFT(B351,4)&lt;&gt;"    ","",W351-AG351)</f>
        <v/>
      </c>
      <c r="AM351" s="8">
        <f>IF(LEFT(B351,4)&lt;&gt;"    ","",X351-AH351)</f>
        <v/>
      </c>
      <c r="AN351" s="9">
        <f>IF(LEFT(B351,4)&lt;&gt;"    ","",Y351-AI351)</f>
        <v/>
      </c>
      <c r="AO351" s="9">
        <f>IF(LEFT(B351,4)&lt;&gt;"    ","",Z351-AJ351)</f>
        <v/>
      </c>
      <c r="AP351" s="10" t="n"/>
      <c r="AQ351" s="25">
        <f>IF(LEFT(B351,4)&lt;&gt;"    ","",I351-W351)</f>
        <v/>
      </c>
      <c r="AR351" s="25">
        <f>M351-X351</f>
        <v/>
      </c>
      <c r="AS351" s="25">
        <f>IF(LEFT(B351,4)&lt;&gt;"    ","",P351-Z351)</f>
        <v/>
      </c>
      <c r="AT351" s="10" t="n"/>
      <c r="AU351" s="12" t="n"/>
      <c r="AV351" s="12">
        <f>IF(LEFT(B351,4)&lt;&gt;"    ","",IF(W351-AU351&gt;=0,W351-AU351," "))</f>
        <v/>
      </c>
      <c r="AW351" s="12">
        <f>IF(LEFT(B351,4)&lt;&gt;"    ","",IF(AU351-W351&gt;=0,AU351-W351," "))</f>
        <v/>
      </c>
      <c r="AX351" s="186" t="n"/>
      <c r="AY351" s="187" t="n"/>
      <c r="AZ351" s="186" t="n"/>
      <c r="BA351" s="186" t="n"/>
      <c r="BB351" s="188" t="n"/>
      <c r="BC351" s="187" t="n"/>
      <c r="BD351" s="187" t="n"/>
      <c r="BE351" s="186" t="n"/>
      <c r="BF351" s="186" t="n"/>
      <c r="BG351" s="186" t="n"/>
      <c r="BH351" s="186" t="n"/>
      <c r="BI351" s="186" t="n"/>
      <c r="BJ351" s="186" t="n"/>
      <c r="BK351" s="186" t="n"/>
      <c r="BL351" s="186" t="n"/>
      <c r="BM351" s="186" t="n"/>
      <c r="BN351" s="186" t="n"/>
      <c r="BO351" s="186" t="n"/>
      <c r="BP351" s="186" t="n"/>
      <c r="BQ351" s="186" t="n"/>
      <c r="BR351" s="186" t="n"/>
      <c r="BS351" s="186" t="n"/>
      <c r="BT351" s="186" t="n"/>
      <c r="BU351" s="186" t="n"/>
      <c r="BV351" s="186" t="n"/>
      <c r="BW351" s="186" t="n"/>
      <c r="BX351" s="186" t="n"/>
      <c r="BY351" s="186" t="n"/>
      <c r="BZ351" s="186" t="n"/>
      <c r="CA351" s="186" t="n"/>
      <c r="CB351" s="186" t="n"/>
      <c r="CC351" s="190" t="n"/>
      <c r="CD351" s="186" t="n"/>
      <c r="CE351" s="186" t="n"/>
      <c r="CF351" s="186" t="n"/>
      <c r="CG351" s="186" t="n"/>
      <c r="CH351" s="186" t="n"/>
      <c r="CI351" s="191" t="n"/>
      <c r="CJ351" s="192" t="n"/>
      <c r="CK351" s="192" t="n"/>
      <c r="CL351" s="192" t="n"/>
      <c r="CM351" s="192" t="n"/>
    </row>
    <row r="352">
      <c r="A352" s="177" t="n"/>
      <c r="B352" s="178" t="n"/>
      <c r="C352" s="178" t="n"/>
      <c r="D352" s="179" t="n"/>
      <c r="E352" s="180" t="n"/>
      <c r="F352" s="181" t="n"/>
      <c r="G352" s="182" t="n"/>
      <c r="H352" s="105" t="n"/>
      <c r="I352" s="196">
        <f>F352</f>
        <v/>
      </c>
      <c r="J352" s="184" t="n"/>
      <c r="K352" s="185" t="n"/>
      <c r="L352" s="8" t="n"/>
      <c r="M352" s="71">
        <f>L352</f>
        <v/>
      </c>
      <c r="N352" s="71" t="n"/>
      <c r="O352" s="101" t="n"/>
      <c r="P352" s="9">
        <f>I352-M352</f>
        <v/>
      </c>
      <c r="Q352" s="9">
        <f>IF(LEFT(B352,4)&lt;&gt;"    ",0,BN352)</f>
        <v/>
      </c>
      <c r="R352" s="9">
        <f>+P352-Q352</f>
        <v/>
      </c>
      <c r="S352" s="281" t="n"/>
      <c r="T352" s="10" t="n"/>
      <c r="U352" s="23">
        <f>IF(LEFT(B352,4)&lt;&gt;"    ","",IF(M352&lt;&gt;0,X352/M352,0))</f>
        <v/>
      </c>
      <c r="V352" s="11">
        <f>IF(LEFT(B352,4)&lt;&gt;"    ","",U352*I352)</f>
        <v/>
      </c>
      <c r="W352" s="11">
        <f>IF(LEFT(B352,4)&lt;&gt;"    ","",X352+Z352)</f>
        <v/>
      </c>
      <c r="X352" s="8" t="n"/>
      <c r="Y352" s="9">
        <f>IF(LEFT(B352,4)&lt;&gt;"    ",0,IF(P352&lt;0,P352,IF(U352&gt;0.3,W352-X352,0)))</f>
        <v/>
      </c>
      <c r="Z352" s="71">
        <f>Y352</f>
        <v/>
      </c>
      <c r="AA352" s="71" t="n"/>
      <c r="AB352" s="109" t="n"/>
      <c r="AC352" s="9">
        <f>IF(LEFT(B352,4)&lt;&gt;"    ",0,BK352)</f>
        <v/>
      </c>
      <c r="AD352" s="9">
        <f>Z352-AC352</f>
        <v/>
      </c>
      <c r="AE352" s="10" t="n"/>
      <c r="AF352" s="24" t="n"/>
      <c r="AG352" s="11" t="n"/>
      <c r="AH352" s="8" t="n"/>
      <c r="AI352" s="9">
        <f>IF(LEFT(B352,4)&lt;&gt;"    ","",AG352-AH352)</f>
        <v/>
      </c>
      <c r="AJ352" s="9" t="n"/>
      <c r="AK352" s="10" t="n"/>
      <c r="AL352" s="11">
        <f>IF(LEFT(B352,4)&lt;&gt;"    ","",W352-AG352)</f>
        <v/>
      </c>
      <c r="AM352" s="8">
        <f>IF(LEFT(B352,4)&lt;&gt;"    ","",X352-AH352)</f>
        <v/>
      </c>
      <c r="AN352" s="9">
        <f>IF(LEFT(B352,4)&lt;&gt;"    ","",Y352-AI352)</f>
        <v/>
      </c>
      <c r="AO352" s="9">
        <f>IF(LEFT(B352,4)&lt;&gt;"    ","",Z352-AJ352)</f>
        <v/>
      </c>
      <c r="AP352" s="10" t="n"/>
      <c r="AQ352" s="25">
        <f>IF(LEFT(B352,4)&lt;&gt;"    ","",I352-W352)</f>
        <v/>
      </c>
      <c r="AR352" s="25">
        <f>M352-X352</f>
        <v/>
      </c>
      <c r="AS352" s="25">
        <f>IF(LEFT(B352,4)&lt;&gt;"    ","",P352-Z352)</f>
        <v/>
      </c>
      <c r="AT352" s="10" t="n"/>
      <c r="AU352" s="12" t="n"/>
      <c r="AV352" s="12">
        <f>IF(LEFT(B352,4)&lt;&gt;"    ","",IF(W352-AU352&gt;=0,W352-AU352," "))</f>
        <v/>
      </c>
      <c r="AW352" s="12">
        <f>IF(LEFT(B352,4)&lt;&gt;"    ","",IF(AU352-W352&gt;=0,AU352-W352," "))</f>
        <v/>
      </c>
      <c r="AX352" s="186" t="n"/>
      <c r="AY352" s="187" t="n"/>
      <c r="AZ352" s="186" t="n"/>
      <c r="BA352" s="186" t="n"/>
      <c r="BB352" s="188" t="n"/>
      <c r="BC352" s="187" t="n"/>
      <c r="BD352" s="187" t="n"/>
      <c r="BE352" s="186" t="n"/>
      <c r="BF352" s="186" t="n"/>
      <c r="BG352" s="186" t="n"/>
      <c r="BH352" s="186" t="n"/>
      <c r="BI352" s="186" t="n"/>
      <c r="BJ352" s="186" t="n"/>
      <c r="BK352" s="186" t="n"/>
      <c r="BL352" s="186" t="n"/>
      <c r="BM352" s="186" t="n"/>
      <c r="BN352" s="186" t="n"/>
      <c r="BO352" s="186" t="n"/>
      <c r="BP352" s="186" t="n"/>
      <c r="BQ352" s="186" t="n"/>
      <c r="BR352" s="186" t="n"/>
      <c r="BS352" s="186" t="n"/>
      <c r="BT352" s="186" t="n"/>
      <c r="BU352" s="186" t="n"/>
      <c r="BV352" s="186" t="n"/>
      <c r="BW352" s="186" t="n"/>
      <c r="BX352" s="186" t="n"/>
      <c r="BY352" s="186" t="n"/>
      <c r="BZ352" s="186" t="n"/>
      <c r="CA352" s="186" t="n"/>
      <c r="CB352" s="186" t="n"/>
      <c r="CC352" s="190" t="n"/>
      <c r="CD352" s="186" t="n"/>
      <c r="CE352" s="186" t="n"/>
      <c r="CF352" s="186" t="n"/>
      <c r="CG352" s="186" t="n"/>
      <c r="CH352" s="186" t="n"/>
      <c r="CI352" s="191" t="n"/>
      <c r="CJ352" s="192" t="n"/>
      <c r="CK352" s="192" t="n"/>
      <c r="CL352" s="192" t="n"/>
      <c r="CM352" s="192" t="n"/>
    </row>
    <row r="353">
      <c r="A353" s="177" t="n"/>
      <c r="B353" s="178" t="n"/>
      <c r="C353" s="178" t="n"/>
      <c r="D353" s="179" t="n"/>
      <c r="E353" s="180" t="n"/>
      <c r="F353" s="181" t="n"/>
      <c r="G353" s="182" t="n"/>
      <c r="H353" s="105" t="n"/>
      <c r="I353" s="196">
        <f>F353</f>
        <v/>
      </c>
      <c r="J353" s="184" t="n"/>
      <c r="K353" s="185" t="n"/>
      <c r="L353" s="8" t="n"/>
      <c r="M353" s="71">
        <f>L353</f>
        <v/>
      </c>
      <c r="N353" s="71" t="n"/>
      <c r="O353" s="101" t="n"/>
      <c r="P353" s="9">
        <f>I353-M353</f>
        <v/>
      </c>
      <c r="Q353" s="9">
        <f>IF(LEFT(B353,4)&lt;&gt;"    ",0,BN353)</f>
        <v/>
      </c>
      <c r="R353" s="9">
        <f>+P353-Q353</f>
        <v/>
      </c>
      <c r="S353" s="281" t="n"/>
      <c r="T353" s="10" t="n"/>
      <c r="U353" s="23">
        <f>IF(LEFT(B353,4)&lt;&gt;"    ","",IF(M353&lt;&gt;0,X353/M353,0))</f>
        <v/>
      </c>
      <c r="V353" s="11">
        <f>IF(LEFT(B353,4)&lt;&gt;"    ","",U353*I353)</f>
        <v/>
      </c>
      <c r="W353" s="11">
        <f>IF(LEFT(B353,4)&lt;&gt;"    ","",X353+Z353)</f>
        <v/>
      </c>
      <c r="X353" s="8" t="n"/>
      <c r="Y353" s="9">
        <f>IF(LEFT(B353,4)&lt;&gt;"    ",0,IF(P353&lt;0,P353,IF(U353&gt;0.3,W353-X353,0)))</f>
        <v/>
      </c>
      <c r="Z353" s="71">
        <f>Y353</f>
        <v/>
      </c>
      <c r="AA353" s="71" t="n"/>
      <c r="AB353" s="109" t="n"/>
      <c r="AC353" s="9">
        <f>IF(LEFT(B353,4)&lt;&gt;"    ",0,BK353)</f>
        <v/>
      </c>
      <c r="AD353" s="9">
        <f>Z353-AC353</f>
        <v/>
      </c>
      <c r="AE353" s="10" t="n"/>
      <c r="AF353" s="24" t="n"/>
      <c r="AG353" s="11" t="n"/>
      <c r="AH353" s="8" t="n"/>
      <c r="AI353" s="9">
        <f>IF(LEFT(B353,4)&lt;&gt;"    ","",AG353-AH353)</f>
        <v/>
      </c>
      <c r="AJ353" s="9" t="n"/>
      <c r="AK353" s="10" t="n"/>
      <c r="AL353" s="11">
        <f>IF(LEFT(B353,4)&lt;&gt;"    ","",W353-AG353)</f>
        <v/>
      </c>
      <c r="AM353" s="8">
        <f>IF(LEFT(B353,4)&lt;&gt;"    ","",X353-AH353)</f>
        <v/>
      </c>
      <c r="AN353" s="9">
        <f>IF(LEFT(B353,4)&lt;&gt;"    ","",Y353-AI353)</f>
        <v/>
      </c>
      <c r="AO353" s="9">
        <f>IF(LEFT(B353,4)&lt;&gt;"    ","",Z353-AJ353)</f>
        <v/>
      </c>
      <c r="AP353" s="10" t="n"/>
      <c r="AQ353" s="25">
        <f>IF(LEFT(B353,4)&lt;&gt;"    ","",I353-W353)</f>
        <v/>
      </c>
      <c r="AR353" s="25">
        <f>M353-X353</f>
        <v/>
      </c>
      <c r="AS353" s="25">
        <f>IF(LEFT(B353,4)&lt;&gt;"    ","",P353-Z353)</f>
        <v/>
      </c>
      <c r="AT353" s="10" t="n"/>
      <c r="AU353" s="12" t="n"/>
      <c r="AV353" s="12">
        <f>IF(LEFT(B353,4)&lt;&gt;"    ","",IF(W353-AU353&gt;=0,W353-AU353," "))</f>
        <v/>
      </c>
      <c r="AW353" s="12">
        <f>IF(LEFT(B353,4)&lt;&gt;"    ","",IF(AU353-W353&gt;=0,AU353-W353," "))</f>
        <v/>
      </c>
      <c r="AX353" s="186" t="n"/>
      <c r="AY353" s="187" t="n"/>
      <c r="AZ353" s="186" t="n"/>
      <c r="BA353" s="186" t="n"/>
      <c r="BB353" s="188" t="n"/>
      <c r="BC353" s="187" t="n"/>
      <c r="BD353" s="187" t="n"/>
      <c r="BE353" s="186" t="n"/>
      <c r="BF353" s="186" t="n"/>
      <c r="BG353" s="186" t="n"/>
      <c r="BH353" s="186" t="n"/>
      <c r="BI353" s="186" t="n"/>
      <c r="BJ353" s="186" t="n"/>
      <c r="BK353" s="186" t="n"/>
      <c r="BL353" s="186" t="n"/>
      <c r="BM353" s="186" t="n"/>
      <c r="BN353" s="186" t="n"/>
      <c r="BO353" s="186" t="n"/>
      <c r="BP353" s="186" t="n"/>
      <c r="BQ353" s="186" t="n"/>
      <c r="BR353" s="186" t="n"/>
      <c r="BS353" s="186" t="n"/>
      <c r="BT353" s="186" t="n"/>
      <c r="BU353" s="186" t="n"/>
      <c r="BV353" s="186" t="n"/>
      <c r="BW353" s="186" t="n"/>
      <c r="BX353" s="186" t="n"/>
      <c r="BY353" s="186" t="n"/>
      <c r="BZ353" s="186" t="n"/>
      <c r="CA353" s="186" t="n"/>
      <c r="CB353" s="186" t="n"/>
      <c r="CC353" s="190" t="n"/>
      <c r="CD353" s="186" t="n"/>
      <c r="CE353" s="186" t="n"/>
      <c r="CF353" s="186" t="n"/>
      <c r="CG353" s="186" t="n"/>
      <c r="CH353" s="186" t="n"/>
      <c r="CI353" s="191" t="n"/>
      <c r="CJ353" s="192" t="n"/>
      <c r="CK353" s="192" t="n"/>
      <c r="CL353" s="192" t="n"/>
      <c r="CM353" s="192" t="n"/>
    </row>
    <row r="354">
      <c r="A354" s="177" t="n"/>
      <c r="B354" s="178" t="n"/>
      <c r="C354" s="178" t="n"/>
      <c r="D354" s="179" t="n"/>
      <c r="E354" s="180" t="n"/>
      <c r="F354" s="181" t="n"/>
      <c r="G354" s="182" t="n"/>
      <c r="H354" s="105" t="n"/>
      <c r="I354" s="196">
        <f>F354</f>
        <v/>
      </c>
      <c r="J354" s="184" t="n"/>
      <c r="K354" s="185" t="n"/>
      <c r="L354" s="8" t="n"/>
      <c r="M354" s="71">
        <f>L354</f>
        <v/>
      </c>
      <c r="N354" s="71" t="n"/>
      <c r="O354" s="101" t="n"/>
      <c r="P354" s="9">
        <f>I354-M354</f>
        <v/>
      </c>
      <c r="Q354" s="9">
        <f>IF(LEFT(B354,4)&lt;&gt;"    ",0,BN354)</f>
        <v/>
      </c>
      <c r="R354" s="9">
        <f>+P354-Q354</f>
        <v/>
      </c>
      <c r="S354" s="281" t="n"/>
      <c r="T354" s="10" t="n"/>
      <c r="U354" s="23">
        <f>IF(LEFT(B354,4)&lt;&gt;"    ","",IF(M354&lt;&gt;0,X354/M354,0))</f>
        <v/>
      </c>
      <c r="V354" s="11">
        <f>IF(LEFT(B354,4)&lt;&gt;"    ","",U354*I354)</f>
        <v/>
      </c>
      <c r="W354" s="11">
        <f>IF(LEFT(B354,4)&lt;&gt;"    ","",X354+Z354)</f>
        <v/>
      </c>
      <c r="X354" s="8" t="n"/>
      <c r="Y354" s="9">
        <f>IF(LEFT(B354,4)&lt;&gt;"    ",0,IF(P354&lt;0,P354,IF(U354&gt;0.3,W354-X354,0)))</f>
        <v/>
      </c>
      <c r="Z354" s="71">
        <f>Y354</f>
        <v/>
      </c>
      <c r="AA354" s="71" t="n"/>
      <c r="AB354" s="109" t="n"/>
      <c r="AC354" s="9">
        <f>IF(LEFT(B354,4)&lt;&gt;"    ",0,BK354)</f>
        <v/>
      </c>
      <c r="AD354" s="9">
        <f>Z354-AC354</f>
        <v/>
      </c>
      <c r="AE354" s="10" t="n"/>
      <c r="AF354" s="24" t="n"/>
      <c r="AG354" s="11" t="n"/>
      <c r="AH354" s="8" t="n"/>
      <c r="AI354" s="9">
        <f>IF(LEFT(B354,4)&lt;&gt;"    ","",AG354-AH354)</f>
        <v/>
      </c>
      <c r="AJ354" s="9" t="n"/>
      <c r="AK354" s="10" t="n"/>
      <c r="AL354" s="11">
        <f>IF(LEFT(B354,4)&lt;&gt;"    ","",W354-AG354)</f>
        <v/>
      </c>
      <c r="AM354" s="8">
        <f>IF(LEFT(B354,4)&lt;&gt;"    ","",X354-AH354)</f>
        <v/>
      </c>
      <c r="AN354" s="9">
        <f>IF(LEFT(B354,4)&lt;&gt;"    ","",Y354-AI354)</f>
        <v/>
      </c>
      <c r="AO354" s="9">
        <f>IF(LEFT(B354,4)&lt;&gt;"    ","",Z354-AJ354)</f>
        <v/>
      </c>
      <c r="AP354" s="10" t="n"/>
      <c r="AQ354" s="25">
        <f>IF(LEFT(B354,4)&lt;&gt;"    ","",I354-W354)</f>
        <v/>
      </c>
      <c r="AR354" s="25">
        <f>M354-X354</f>
        <v/>
      </c>
      <c r="AS354" s="25">
        <f>IF(LEFT(B354,4)&lt;&gt;"    ","",P354-Z354)</f>
        <v/>
      </c>
      <c r="AT354" s="10" t="n"/>
      <c r="AU354" s="12" t="n"/>
      <c r="AV354" s="12">
        <f>IF(LEFT(B354,4)&lt;&gt;"    ","",IF(W354-AU354&gt;=0,W354-AU354," "))</f>
        <v/>
      </c>
      <c r="AW354" s="12">
        <f>IF(LEFT(B354,4)&lt;&gt;"    ","",IF(AU354-W354&gt;=0,AU354-W354," "))</f>
        <v/>
      </c>
      <c r="AX354" s="186" t="n"/>
      <c r="AY354" s="187" t="n"/>
      <c r="AZ354" s="186" t="n"/>
      <c r="BA354" s="186" t="n"/>
      <c r="BB354" s="188" t="n"/>
      <c r="BC354" s="187" t="n"/>
      <c r="BD354" s="187" t="n"/>
      <c r="BE354" s="186" t="n"/>
      <c r="BF354" s="186" t="n"/>
      <c r="BG354" s="186" t="n"/>
      <c r="BH354" s="186" t="n"/>
      <c r="BI354" s="186" t="n"/>
      <c r="BJ354" s="186" t="n"/>
      <c r="BK354" s="186" t="n"/>
      <c r="BL354" s="186" t="n"/>
      <c r="BM354" s="186" t="n"/>
      <c r="BN354" s="186" t="n"/>
      <c r="BO354" s="186" t="n"/>
      <c r="BP354" s="186" t="n"/>
      <c r="BQ354" s="186" t="n"/>
      <c r="BR354" s="186" t="n"/>
      <c r="BS354" s="186" t="n"/>
      <c r="BT354" s="186" t="n"/>
      <c r="BU354" s="186" t="n"/>
      <c r="BV354" s="186" t="n"/>
      <c r="BW354" s="186" t="n"/>
      <c r="BX354" s="186" t="n"/>
      <c r="BY354" s="186" t="n"/>
      <c r="BZ354" s="186" t="n"/>
      <c r="CA354" s="186" t="n"/>
      <c r="CB354" s="186" t="n"/>
      <c r="CC354" s="190" t="n"/>
      <c r="CD354" s="186" t="n"/>
      <c r="CE354" s="186" t="n"/>
      <c r="CF354" s="186" t="n"/>
      <c r="CG354" s="186" t="n"/>
      <c r="CH354" s="186" t="n"/>
      <c r="CI354" s="191" t="n"/>
      <c r="CJ354" s="192" t="n"/>
      <c r="CK354" s="192" t="n"/>
      <c r="CL354" s="192" t="n"/>
      <c r="CM354" s="192" t="n"/>
    </row>
    <row r="355">
      <c r="A355" s="177" t="n"/>
      <c r="B355" s="178" t="n"/>
      <c r="C355" s="178" t="n"/>
      <c r="D355" s="179" t="n"/>
      <c r="E355" s="180" t="n"/>
      <c r="F355" s="181" t="n"/>
      <c r="G355" s="182" t="n"/>
      <c r="H355" s="105" t="n"/>
      <c r="I355" s="196">
        <f>F355</f>
        <v/>
      </c>
      <c r="J355" s="184" t="n"/>
      <c r="K355" s="185" t="n"/>
      <c r="L355" s="8" t="n"/>
      <c r="M355" s="71">
        <f>L355</f>
        <v/>
      </c>
      <c r="N355" s="71" t="n"/>
      <c r="O355" s="101" t="n"/>
      <c r="P355" s="9">
        <f>I355-M355</f>
        <v/>
      </c>
      <c r="Q355" s="9">
        <f>IF(LEFT(B355,4)&lt;&gt;"    ",0,BN355)</f>
        <v/>
      </c>
      <c r="R355" s="9">
        <f>+P355-Q355</f>
        <v/>
      </c>
      <c r="S355" s="281" t="n"/>
      <c r="T355" s="10" t="n"/>
      <c r="U355" s="23">
        <f>IF(LEFT(B355,4)&lt;&gt;"    ","",IF(M355&lt;&gt;0,X355/M355,0))</f>
        <v/>
      </c>
      <c r="V355" s="11">
        <f>IF(LEFT(B355,4)&lt;&gt;"    ","",U355*I355)</f>
        <v/>
      </c>
      <c r="W355" s="11">
        <f>IF(LEFT(B355,4)&lt;&gt;"    ","",X355+Z355)</f>
        <v/>
      </c>
      <c r="X355" s="8" t="n"/>
      <c r="Y355" s="9">
        <f>IF(LEFT(B355,4)&lt;&gt;"    ",0,IF(P355&lt;0,P355,IF(U355&gt;0.3,W355-X355,0)))</f>
        <v/>
      </c>
      <c r="Z355" s="71">
        <f>Y355</f>
        <v/>
      </c>
      <c r="AA355" s="71" t="n"/>
      <c r="AB355" s="109" t="n"/>
      <c r="AC355" s="9">
        <f>IF(LEFT(B355,4)&lt;&gt;"    ",0,BK355)</f>
        <v/>
      </c>
      <c r="AD355" s="9">
        <f>Z355-AC355</f>
        <v/>
      </c>
      <c r="AE355" s="10" t="n"/>
      <c r="AF355" s="24" t="n"/>
      <c r="AG355" s="11" t="n"/>
      <c r="AH355" s="8" t="n"/>
      <c r="AI355" s="9">
        <f>IF(LEFT(B355,4)&lt;&gt;"    ","",AG355-AH355)</f>
        <v/>
      </c>
      <c r="AJ355" s="9" t="n"/>
      <c r="AK355" s="10" t="n"/>
      <c r="AL355" s="11">
        <f>IF(LEFT(B355,4)&lt;&gt;"    ","",W355-AG355)</f>
        <v/>
      </c>
      <c r="AM355" s="8">
        <f>IF(LEFT(B355,4)&lt;&gt;"    ","",X355-AH355)</f>
        <v/>
      </c>
      <c r="AN355" s="9">
        <f>IF(LEFT(B355,4)&lt;&gt;"    ","",Y355-AI355)</f>
        <v/>
      </c>
      <c r="AO355" s="9">
        <f>IF(LEFT(B355,4)&lt;&gt;"    ","",Z355-AJ355)</f>
        <v/>
      </c>
      <c r="AP355" s="10" t="n"/>
      <c r="AQ355" s="25">
        <f>IF(LEFT(B355,4)&lt;&gt;"    ","",I355-W355)</f>
        <v/>
      </c>
      <c r="AR355" s="25">
        <f>M355-X355</f>
        <v/>
      </c>
      <c r="AS355" s="25">
        <f>IF(LEFT(B355,4)&lt;&gt;"    ","",P355-Z355)</f>
        <v/>
      </c>
      <c r="AT355" s="10" t="n"/>
      <c r="AU355" s="12" t="n"/>
      <c r="AV355" s="12">
        <f>IF(LEFT(B355,4)&lt;&gt;"    ","",IF(W355-AU355&gt;=0,W355-AU355," "))</f>
        <v/>
      </c>
      <c r="AW355" s="12">
        <f>IF(LEFT(B355,4)&lt;&gt;"    ","",IF(AU355-W355&gt;=0,AU355-W355," "))</f>
        <v/>
      </c>
      <c r="AX355" s="186" t="n"/>
      <c r="AY355" s="187" t="n"/>
      <c r="AZ355" s="186" t="n"/>
      <c r="BA355" s="186" t="n"/>
      <c r="BB355" s="188" t="n"/>
      <c r="BC355" s="187" t="n"/>
      <c r="BD355" s="187" t="n"/>
      <c r="BE355" s="186" t="n"/>
      <c r="BF355" s="186" t="n"/>
      <c r="BG355" s="186" t="n"/>
      <c r="BH355" s="186" t="n"/>
      <c r="BI355" s="186" t="n"/>
      <c r="BJ355" s="186" t="n"/>
      <c r="BK355" s="186" t="n"/>
      <c r="BL355" s="186" t="n"/>
      <c r="BM355" s="186" t="n"/>
      <c r="BN355" s="186" t="n"/>
      <c r="BO355" s="186" t="n"/>
      <c r="BP355" s="186" t="n"/>
      <c r="BQ355" s="186" t="n"/>
      <c r="BR355" s="186" t="n"/>
      <c r="BS355" s="186" t="n"/>
      <c r="BT355" s="186" t="n"/>
      <c r="BU355" s="186" t="n"/>
      <c r="BV355" s="186" t="n"/>
      <c r="BW355" s="186" t="n"/>
      <c r="BX355" s="186" t="n"/>
      <c r="BY355" s="186" t="n"/>
      <c r="BZ355" s="186" t="n"/>
      <c r="CA355" s="186" t="n"/>
      <c r="CB355" s="186" t="n"/>
      <c r="CC355" s="190" t="n"/>
      <c r="CD355" s="186" t="n"/>
      <c r="CE355" s="186" t="n"/>
      <c r="CF355" s="186" t="n"/>
      <c r="CG355" s="186" t="n"/>
      <c r="CH355" s="186" t="n"/>
      <c r="CI355" s="191" t="n"/>
      <c r="CJ355" s="192" t="n"/>
      <c r="CK355" s="192" t="n"/>
      <c r="CL355" s="192" t="n"/>
      <c r="CM355" s="192" t="n"/>
    </row>
    <row r="356">
      <c r="A356" s="177" t="n"/>
      <c r="B356" s="178" t="n"/>
      <c r="C356" s="178" t="n"/>
      <c r="D356" s="179" t="n"/>
      <c r="E356" s="180" t="n"/>
      <c r="F356" s="181" t="n"/>
      <c r="G356" s="182" t="n"/>
      <c r="H356" s="105" t="n"/>
      <c r="I356" s="196">
        <f>F356</f>
        <v/>
      </c>
      <c r="J356" s="184" t="n"/>
      <c r="K356" s="185" t="n"/>
      <c r="L356" s="8" t="n"/>
      <c r="M356" s="71">
        <f>L356</f>
        <v/>
      </c>
      <c r="N356" s="71" t="n"/>
      <c r="O356" s="101" t="n"/>
      <c r="P356" s="9">
        <f>I356-M356</f>
        <v/>
      </c>
      <c r="Q356" s="9">
        <f>IF(LEFT(B356,4)&lt;&gt;"    ",0,BN356)</f>
        <v/>
      </c>
      <c r="R356" s="9">
        <f>+P356-Q356</f>
        <v/>
      </c>
      <c r="S356" s="281" t="n"/>
      <c r="T356" s="10" t="n"/>
      <c r="U356" s="23">
        <f>IF(LEFT(B356,4)&lt;&gt;"    ","",IF(M356&lt;&gt;0,X356/M356,0))</f>
        <v/>
      </c>
      <c r="V356" s="11">
        <f>IF(LEFT(B356,4)&lt;&gt;"    ","",U356*I356)</f>
        <v/>
      </c>
      <c r="W356" s="11">
        <f>IF(LEFT(B356,4)&lt;&gt;"    ","",X356+Z356)</f>
        <v/>
      </c>
      <c r="X356" s="8" t="n"/>
      <c r="Y356" s="9">
        <f>IF(LEFT(B356,4)&lt;&gt;"    ",0,IF(P356&lt;0,P356,IF(U356&gt;0.3,W356-X356,0)))</f>
        <v/>
      </c>
      <c r="Z356" s="71">
        <f>Y356</f>
        <v/>
      </c>
      <c r="AA356" s="71" t="n"/>
      <c r="AB356" s="109" t="n"/>
      <c r="AC356" s="9">
        <f>IF(LEFT(B356,4)&lt;&gt;"    ",0,BK356)</f>
        <v/>
      </c>
      <c r="AD356" s="9">
        <f>Z356-AC356</f>
        <v/>
      </c>
      <c r="AE356" s="10" t="n"/>
      <c r="AF356" s="24" t="n"/>
      <c r="AG356" s="11" t="n"/>
      <c r="AH356" s="8" t="n"/>
      <c r="AI356" s="9">
        <f>IF(LEFT(B356,4)&lt;&gt;"    ","",AG356-AH356)</f>
        <v/>
      </c>
      <c r="AJ356" s="9" t="n"/>
      <c r="AK356" s="10" t="n"/>
      <c r="AL356" s="11">
        <f>IF(LEFT(B356,4)&lt;&gt;"    ","",W356-AG356)</f>
        <v/>
      </c>
      <c r="AM356" s="8">
        <f>IF(LEFT(B356,4)&lt;&gt;"    ","",X356-AH356)</f>
        <v/>
      </c>
      <c r="AN356" s="9">
        <f>IF(LEFT(B356,4)&lt;&gt;"    ","",Y356-AI356)</f>
        <v/>
      </c>
      <c r="AO356" s="9">
        <f>IF(LEFT(B356,4)&lt;&gt;"    ","",Z356-AJ356)</f>
        <v/>
      </c>
      <c r="AP356" s="10" t="n"/>
      <c r="AQ356" s="25">
        <f>IF(LEFT(B356,4)&lt;&gt;"    ","",I356-W356)</f>
        <v/>
      </c>
      <c r="AR356" s="25">
        <f>M356-X356</f>
        <v/>
      </c>
      <c r="AS356" s="25">
        <f>IF(LEFT(B356,4)&lt;&gt;"    ","",P356-Z356)</f>
        <v/>
      </c>
      <c r="AT356" s="10" t="n"/>
      <c r="AU356" s="12" t="n"/>
      <c r="AV356" s="12">
        <f>IF(LEFT(B356,4)&lt;&gt;"    ","",IF(W356-AU356&gt;=0,W356-AU356," "))</f>
        <v/>
      </c>
      <c r="AW356" s="12">
        <f>IF(LEFT(B356,4)&lt;&gt;"    ","",IF(AU356-W356&gt;=0,AU356-W356," "))</f>
        <v/>
      </c>
      <c r="AX356" s="186" t="n"/>
      <c r="AY356" s="187" t="n"/>
      <c r="AZ356" s="186" t="n"/>
      <c r="BA356" s="186" t="n"/>
      <c r="BB356" s="188" t="n"/>
      <c r="BC356" s="187" t="n"/>
      <c r="BD356" s="187" t="n"/>
      <c r="BE356" s="186" t="n"/>
      <c r="BF356" s="186" t="n"/>
      <c r="BG356" s="186" t="n"/>
      <c r="BH356" s="186" t="n"/>
      <c r="BI356" s="186" t="n"/>
      <c r="BJ356" s="186" t="n"/>
      <c r="BK356" s="186" t="n"/>
      <c r="BL356" s="186" t="n"/>
      <c r="BM356" s="186" t="n"/>
      <c r="BN356" s="186" t="n"/>
      <c r="BO356" s="186" t="n"/>
      <c r="BP356" s="186" t="n"/>
      <c r="BQ356" s="186" t="n"/>
      <c r="BR356" s="186" t="n"/>
      <c r="BS356" s="186" t="n"/>
      <c r="BT356" s="186" t="n"/>
      <c r="BU356" s="186" t="n"/>
      <c r="BV356" s="186" t="n"/>
      <c r="BW356" s="186" t="n"/>
      <c r="BX356" s="186" t="n"/>
      <c r="BY356" s="186" t="n"/>
      <c r="BZ356" s="186" t="n"/>
      <c r="CA356" s="186" t="n"/>
      <c r="CB356" s="186" t="n"/>
      <c r="CC356" s="190" t="n"/>
      <c r="CD356" s="186" t="n"/>
      <c r="CE356" s="186" t="n"/>
      <c r="CF356" s="186" t="n"/>
      <c r="CG356" s="186" t="n"/>
      <c r="CH356" s="186" t="n"/>
      <c r="CI356" s="191" t="n"/>
      <c r="CJ356" s="192" t="n"/>
      <c r="CK356" s="192" t="n"/>
      <c r="CL356" s="192" t="n"/>
      <c r="CM356" s="192" t="n"/>
    </row>
    <row r="357">
      <c r="A357" s="177" t="n"/>
      <c r="B357" s="195" t="n"/>
      <c r="C357" s="178" t="n"/>
      <c r="D357" s="179" t="n"/>
      <c r="E357" s="180" t="n"/>
      <c r="F357" s="181" t="n"/>
      <c r="G357" s="182" t="n"/>
      <c r="H357" s="105" t="n"/>
      <c r="I357" s="196">
        <f>F357</f>
        <v/>
      </c>
      <c r="J357" s="184" t="n"/>
      <c r="K357" s="185" t="n"/>
      <c r="L357" s="8" t="n"/>
      <c r="M357" s="71">
        <f>L357</f>
        <v/>
      </c>
      <c r="N357" s="71" t="n"/>
      <c r="O357" s="101" t="n"/>
      <c r="P357" s="9">
        <f>I357-M357</f>
        <v/>
      </c>
      <c r="Q357" s="9">
        <f>IF(LEFT(B357,4)&lt;&gt;"    ",0,BN357)</f>
        <v/>
      </c>
      <c r="R357" s="9">
        <f>+P357-Q357</f>
        <v/>
      </c>
      <c r="S357" s="281" t="n"/>
      <c r="T357" s="10" t="n"/>
      <c r="U357" s="23">
        <f>IF(LEFT(B357,4)&lt;&gt;"    ","",IF(M357&lt;&gt;0,X357/M357,0))</f>
        <v/>
      </c>
      <c r="V357" s="11">
        <f>IF(LEFT(B357,4)&lt;&gt;"    ","",U357*I357)</f>
        <v/>
      </c>
      <c r="W357" s="11">
        <f>IF(LEFT(B357,4)&lt;&gt;"    ","",X357+Z357)</f>
        <v/>
      </c>
      <c r="X357" s="8" t="n"/>
      <c r="Y357" s="9">
        <f>IF(LEFT(B357,4)&lt;&gt;"    ",0,IF(P357&lt;0,P357,IF(U357&gt;0.3,W357-X357,0)))</f>
        <v/>
      </c>
      <c r="Z357" s="71">
        <f>Y357</f>
        <v/>
      </c>
      <c r="AA357" s="71" t="n"/>
      <c r="AB357" s="109" t="n"/>
      <c r="AC357" s="9">
        <f>IF(LEFT(B357,4)&lt;&gt;"    ",0,BK357)</f>
        <v/>
      </c>
      <c r="AD357" s="9">
        <f>Z357-AC357</f>
        <v/>
      </c>
      <c r="AE357" s="10" t="n"/>
      <c r="AF357" s="24" t="n"/>
      <c r="AG357" s="11" t="n"/>
      <c r="AH357" s="8" t="n"/>
      <c r="AI357" s="9">
        <f>IF(LEFT(B357,4)&lt;&gt;"    ","",AG357-AH357)</f>
        <v/>
      </c>
      <c r="AJ357" s="9" t="n"/>
      <c r="AK357" s="10" t="n"/>
      <c r="AL357" s="11">
        <f>IF(LEFT(B357,4)&lt;&gt;"    ","",W357-AG357)</f>
        <v/>
      </c>
      <c r="AM357" s="8">
        <f>IF(LEFT(B357,4)&lt;&gt;"    ","",X357-AH357)</f>
        <v/>
      </c>
      <c r="AN357" s="9">
        <f>IF(LEFT(B357,4)&lt;&gt;"    ","",Y357-AI357)</f>
        <v/>
      </c>
      <c r="AO357" s="9">
        <f>IF(LEFT(B357,4)&lt;&gt;"    ","",Z357-AJ357)</f>
        <v/>
      </c>
      <c r="AP357" s="10" t="n"/>
      <c r="AQ357" s="25">
        <f>IF(LEFT(B357,4)&lt;&gt;"    ","",I357-W357)</f>
        <v/>
      </c>
      <c r="AR357" s="25">
        <f>M357-X357</f>
        <v/>
      </c>
      <c r="AS357" s="25">
        <f>IF(LEFT(B357,4)&lt;&gt;"    ","",P357-Z357)</f>
        <v/>
      </c>
      <c r="AT357" s="10" t="n"/>
      <c r="AU357" s="12" t="n"/>
      <c r="AV357" s="12">
        <f>IF(LEFT(B357,4)&lt;&gt;"    ","",IF(W357-AU357&gt;=0,W357-AU357," "))</f>
        <v/>
      </c>
      <c r="AW357" s="12">
        <f>IF(LEFT(B357,4)&lt;&gt;"    ","",IF(AU357-W357&gt;=0,AU357-W357," "))</f>
        <v/>
      </c>
      <c r="AX357" s="186" t="n"/>
      <c r="AY357" s="187" t="n"/>
      <c r="AZ357" s="186" t="n"/>
      <c r="BA357" s="186" t="n"/>
      <c r="BB357" s="188" t="n"/>
      <c r="BC357" s="187" t="n"/>
      <c r="BD357" s="187" t="n"/>
      <c r="BE357" s="186" t="n"/>
      <c r="BF357" s="186" t="n"/>
      <c r="BG357" s="186" t="n"/>
      <c r="BH357" s="186" t="n"/>
      <c r="BI357" s="186" t="n"/>
      <c r="BJ357" s="186" t="n"/>
      <c r="BK357" s="186" t="n"/>
      <c r="BL357" s="186" t="n"/>
      <c r="BM357" s="186" t="n"/>
      <c r="BN357" s="186" t="n"/>
      <c r="BO357" s="186" t="n"/>
      <c r="BP357" s="186" t="n"/>
      <c r="BQ357" s="186" t="n"/>
      <c r="BR357" s="186" t="n"/>
      <c r="BS357" s="186" t="n"/>
      <c r="BT357" s="186" t="n"/>
      <c r="BU357" s="186" t="n"/>
      <c r="BV357" s="186" t="n"/>
      <c r="BW357" s="186" t="n"/>
      <c r="BX357" s="186" t="n"/>
      <c r="BY357" s="186" t="n"/>
      <c r="BZ357" s="186" t="n"/>
      <c r="CA357" s="186" t="n"/>
      <c r="CB357" s="186" t="n"/>
      <c r="CC357" s="190" t="n"/>
      <c r="CD357" s="186" t="n"/>
      <c r="CE357" s="186" t="n"/>
      <c r="CF357" s="186" t="n"/>
      <c r="CG357" s="186" t="n"/>
      <c r="CH357" s="186" t="n"/>
      <c r="CI357" s="191" t="n"/>
      <c r="CJ357" s="192" t="n"/>
      <c r="CK357" s="192" t="n"/>
      <c r="CL357" s="192" t="n"/>
      <c r="CM357" s="192" t="n"/>
    </row>
    <row r="358">
      <c r="A358" s="177" t="n"/>
      <c r="B358" s="195" t="n"/>
      <c r="C358" s="178" t="n"/>
      <c r="D358" s="179" t="n"/>
      <c r="E358" s="180" t="n"/>
      <c r="F358" s="181" t="n"/>
      <c r="G358" s="182" t="n"/>
      <c r="H358" s="105" t="n"/>
      <c r="I358" s="196">
        <f>F358</f>
        <v/>
      </c>
      <c r="J358" s="184" t="n"/>
      <c r="K358" s="185" t="n"/>
      <c r="L358" s="8" t="n"/>
      <c r="M358" s="71">
        <f>L358</f>
        <v/>
      </c>
      <c r="N358" s="71" t="n"/>
      <c r="O358" s="101" t="n"/>
      <c r="P358" s="9">
        <f>I358-M358</f>
        <v/>
      </c>
      <c r="Q358" s="9">
        <f>IF(LEFT(B358,4)&lt;&gt;"    ",0,BN358)</f>
        <v/>
      </c>
      <c r="R358" s="9">
        <f>+P358-Q358</f>
        <v/>
      </c>
      <c r="S358" s="281" t="n"/>
      <c r="T358" s="10" t="n"/>
      <c r="U358" s="23">
        <f>IF(LEFT(B358,4)&lt;&gt;"    ","",IF(M358&lt;&gt;0,X358/M358,0))</f>
        <v/>
      </c>
      <c r="V358" s="11">
        <f>IF(LEFT(B358,4)&lt;&gt;"    ","",U358*I358)</f>
        <v/>
      </c>
      <c r="W358" s="11">
        <f>IF(LEFT(B358,4)&lt;&gt;"    ","",X358+Z358)</f>
        <v/>
      </c>
      <c r="X358" s="8" t="n"/>
      <c r="Y358" s="9">
        <f>IF(LEFT(B358,4)&lt;&gt;"    ",0,IF(P358&lt;0,P358,IF(U358&gt;0.3,W358-X358,0)))</f>
        <v/>
      </c>
      <c r="Z358" s="71">
        <f>Y358</f>
        <v/>
      </c>
      <c r="AA358" s="71" t="n"/>
      <c r="AB358" s="109" t="n"/>
      <c r="AC358" s="9">
        <f>IF(LEFT(B358,4)&lt;&gt;"    ",0,BK358)</f>
        <v/>
      </c>
      <c r="AD358" s="9">
        <f>Z358-AC358</f>
        <v/>
      </c>
      <c r="AE358" s="10" t="n"/>
      <c r="AF358" s="24" t="n"/>
      <c r="AG358" s="11" t="n"/>
      <c r="AH358" s="8" t="n"/>
      <c r="AI358" s="9">
        <f>IF(LEFT(B358,4)&lt;&gt;"    ","",AG358-AH358)</f>
        <v/>
      </c>
      <c r="AJ358" s="9" t="n"/>
      <c r="AK358" s="10" t="n"/>
      <c r="AL358" s="11">
        <f>IF(LEFT(B358,4)&lt;&gt;"    ","",W358-AG358)</f>
        <v/>
      </c>
      <c r="AM358" s="8">
        <f>IF(LEFT(B358,4)&lt;&gt;"    ","",X358-AH358)</f>
        <v/>
      </c>
      <c r="AN358" s="9">
        <f>IF(LEFT(B358,4)&lt;&gt;"    ","",Y358-AI358)</f>
        <v/>
      </c>
      <c r="AO358" s="9">
        <f>IF(LEFT(B358,4)&lt;&gt;"    ","",Z358-AJ358)</f>
        <v/>
      </c>
      <c r="AP358" s="10" t="n"/>
      <c r="AQ358" s="25">
        <f>IF(LEFT(B358,4)&lt;&gt;"    ","",I358-W358)</f>
        <v/>
      </c>
      <c r="AR358" s="25">
        <f>M358-X358</f>
        <v/>
      </c>
      <c r="AS358" s="25">
        <f>IF(LEFT(B358,4)&lt;&gt;"    ","",P358-Z358)</f>
        <v/>
      </c>
      <c r="AT358" s="10" t="n"/>
      <c r="AU358" s="12" t="n"/>
      <c r="AV358" s="12">
        <f>IF(LEFT(B358,4)&lt;&gt;"    ","",IF(W358-AU358&gt;=0,W358-AU358," "))</f>
        <v/>
      </c>
      <c r="AW358" s="12">
        <f>IF(LEFT(B358,4)&lt;&gt;"    ","",IF(AU358-W358&gt;=0,AU358-W358," "))</f>
        <v/>
      </c>
      <c r="AX358" s="186" t="n"/>
      <c r="AY358" s="187" t="n"/>
      <c r="AZ358" s="186" t="n"/>
      <c r="BA358" s="186" t="n"/>
      <c r="BB358" s="188" t="n"/>
      <c r="BC358" s="187" t="n"/>
      <c r="BD358" s="187" t="n"/>
      <c r="BE358" s="186" t="n"/>
      <c r="BF358" s="186" t="n"/>
      <c r="BG358" s="186" t="n"/>
      <c r="BH358" s="186" t="n"/>
      <c r="BI358" s="186" t="n"/>
      <c r="BJ358" s="186" t="n"/>
      <c r="BK358" s="186" t="n"/>
      <c r="BL358" s="186" t="n"/>
      <c r="BM358" s="186" t="n"/>
      <c r="BN358" s="186" t="n"/>
      <c r="BO358" s="186" t="n"/>
      <c r="BP358" s="186" t="n"/>
      <c r="BQ358" s="186" t="n"/>
      <c r="BR358" s="186" t="n"/>
      <c r="BS358" s="186" t="n"/>
      <c r="BT358" s="186" t="n"/>
      <c r="BU358" s="186" t="n"/>
      <c r="BV358" s="186" t="n"/>
      <c r="BW358" s="186" t="n"/>
      <c r="BX358" s="186" t="n"/>
      <c r="BY358" s="186" t="n"/>
      <c r="BZ358" s="186" t="n"/>
      <c r="CA358" s="186" t="n"/>
      <c r="CB358" s="186" t="n"/>
      <c r="CC358" s="190" t="n"/>
      <c r="CD358" s="186" t="n"/>
      <c r="CE358" s="186" t="n"/>
      <c r="CF358" s="186" t="n"/>
      <c r="CG358" s="186" t="n"/>
      <c r="CH358" s="186" t="n"/>
      <c r="CI358" s="191" t="n"/>
      <c r="CJ358" s="192" t="n"/>
      <c r="CK358" s="192" t="n"/>
      <c r="CL358" s="192" t="n"/>
      <c r="CM358" s="192" t="n"/>
    </row>
    <row r="359">
      <c r="A359" s="177" t="n"/>
      <c r="B359" s="195" t="n"/>
      <c r="C359" s="178" t="n"/>
      <c r="D359" s="179" t="n"/>
      <c r="E359" s="180" t="n"/>
      <c r="F359" s="181" t="n"/>
      <c r="G359" s="182" t="n"/>
      <c r="H359" s="105" t="n"/>
      <c r="I359" s="196">
        <f>F359</f>
        <v/>
      </c>
      <c r="J359" s="184" t="n"/>
      <c r="K359" s="185" t="n"/>
      <c r="L359" s="8" t="n"/>
      <c r="M359" s="71">
        <f>L359</f>
        <v/>
      </c>
      <c r="N359" s="71" t="n"/>
      <c r="O359" s="101" t="n"/>
      <c r="P359" s="9">
        <f>I359-M359</f>
        <v/>
      </c>
      <c r="Q359" s="9">
        <f>IF(LEFT(B359,4)&lt;&gt;"    ",0,BN359)</f>
        <v/>
      </c>
      <c r="R359" s="9">
        <f>+P359-Q359</f>
        <v/>
      </c>
      <c r="S359" s="281" t="n"/>
      <c r="T359" s="10" t="n"/>
      <c r="U359" s="23">
        <f>IF(LEFT(B359,4)&lt;&gt;"    ","",IF(M359&lt;&gt;0,X359/M359,0))</f>
        <v/>
      </c>
      <c r="V359" s="11">
        <f>IF(LEFT(B359,4)&lt;&gt;"    ","",U359*I359)</f>
        <v/>
      </c>
      <c r="W359" s="11">
        <f>IF(LEFT(B359,4)&lt;&gt;"    ","",X359+Z359)</f>
        <v/>
      </c>
      <c r="X359" s="8" t="n"/>
      <c r="Y359" s="9">
        <f>IF(LEFT(B359,4)&lt;&gt;"    ",0,IF(P359&lt;0,P359,IF(U359&gt;0.3,W359-X359,0)))</f>
        <v/>
      </c>
      <c r="Z359" s="71">
        <f>Y359</f>
        <v/>
      </c>
      <c r="AA359" s="71" t="n"/>
      <c r="AB359" s="109" t="n"/>
      <c r="AC359" s="9">
        <f>IF(LEFT(B359,4)&lt;&gt;"    ",0,BK359)</f>
        <v/>
      </c>
      <c r="AD359" s="9">
        <f>Z359-AC359</f>
        <v/>
      </c>
      <c r="AE359" s="10" t="n"/>
      <c r="AF359" s="24" t="n"/>
      <c r="AG359" s="11" t="n"/>
      <c r="AH359" s="8" t="n"/>
      <c r="AI359" s="9">
        <f>IF(LEFT(B359,4)&lt;&gt;"    ","",AG359-AH359)</f>
        <v/>
      </c>
      <c r="AJ359" s="9" t="n"/>
      <c r="AK359" s="10" t="n"/>
      <c r="AL359" s="11">
        <f>IF(LEFT(B359,4)&lt;&gt;"    ","",W359-AG359)</f>
        <v/>
      </c>
      <c r="AM359" s="8">
        <f>IF(LEFT(B359,4)&lt;&gt;"    ","",X359-AH359)</f>
        <v/>
      </c>
      <c r="AN359" s="9">
        <f>IF(LEFT(B359,4)&lt;&gt;"    ","",Y359-AI359)</f>
        <v/>
      </c>
      <c r="AO359" s="9">
        <f>IF(LEFT(B359,4)&lt;&gt;"    ","",Z359-AJ359)</f>
        <v/>
      </c>
      <c r="AP359" s="10" t="n"/>
      <c r="AQ359" s="25">
        <f>IF(LEFT(B359,4)&lt;&gt;"    ","",I359-W359)</f>
        <v/>
      </c>
      <c r="AR359" s="25">
        <f>M359-X359</f>
        <v/>
      </c>
      <c r="AS359" s="25">
        <f>IF(LEFT(B359,4)&lt;&gt;"    ","",P359-Z359)</f>
        <v/>
      </c>
      <c r="AT359" s="10" t="n"/>
      <c r="AU359" s="12" t="n"/>
      <c r="AV359" s="12">
        <f>IF(LEFT(B359,4)&lt;&gt;"    ","",IF(W359-AU359&gt;=0,W359-AU359," "))</f>
        <v/>
      </c>
      <c r="AW359" s="12">
        <f>IF(LEFT(B359,4)&lt;&gt;"    ","",IF(AU359-W359&gt;=0,AU359-W359," "))</f>
        <v/>
      </c>
      <c r="AX359" s="186" t="n"/>
      <c r="AY359" s="187" t="n"/>
      <c r="AZ359" s="186" t="n"/>
      <c r="BA359" s="186" t="n"/>
      <c r="BB359" s="188" t="n"/>
      <c r="BC359" s="187" t="n"/>
      <c r="BD359" s="187" t="n"/>
      <c r="BE359" s="186" t="n"/>
      <c r="BF359" s="186" t="n"/>
      <c r="BG359" s="186" t="n"/>
      <c r="BH359" s="186" t="n"/>
      <c r="BI359" s="186" t="n"/>
      <c r="BJ359" s="186" t="n"/>
      <c r="BK359" s="186" t="n"/>
      <c r="BL359" s="186" t="n"/>
      <c r="BM359" s="186" t="n"/>
      <c r="BN359" s="186" t="n"/>
      <c r="BO359" s="186" t="n"/>
      <c r="BP359" s="186" t="n"/>
      <c r="BQ359" s="186" t="n"/>
      <c r="BR359" s="186" t="n"/>
      <c r="BS359" s="186" t="n"/>
      <c r="BT359" s="186" t="n"/>
      <c r="BU359" s="186" t="n"/>
      <c r="BV359" s="186" t="n"/>
      <c r="BW359" s="186" t="n"/>
      <c r="BX359" s="186" t="n"/>
      <c r="BY359" s="186" t="n"/>
      <c r="BZ359" s="186" t="n"/>
      <c r="CA359" s="186" t="n"/>
      <c r="CB359" s="186" t="n"/>
      <c r="CC359" s="190" t="n"/>
      <c r="CD359" s="186" t="n"/>
      <c r="CE359" s="186" t="n"/>
      <c r="CF359" s="186" t="n"/>
      <c r="CG359" s="186" t="n"/>
      <c r="CH359" s="186" t="n"/>
      <c r="CI359" s="191" t="n"/>
      <c r="CJ359" s="192" t="n"/>
      <c r="CK359" s="192" t="n"/>
      <c r="CL359" s="192" t="n"/>
      <c r="CM359" s="192" t="n"/>
    </row>
    <row r="360">
      <c r="A360" s="177" t="n"/>
      <c r="B360" s="195" t="n"/>
      <c r="C360" s="178" t="n"/>
      <c r="D360" s="179" t="n"/>
      <c r="E360" s="180" t="n"/>
      <c r="F360" s="181" t="n"/>
      <c r="G360" s="182" t="n"/>
      <c r="H360" s="105" t="n"/>
      <c r="I360" s="196">
        <f>F360</f>
        <v/>
      </c>
      <c r="J360" s="184" t="n"/>
      <c r="K360" s="185" t="n"/>
      <c r="L360" s="8" t="n"/>
      <c r="M360" s="71">
        <f>L360</f>
        <v/>
      </c>
      <c r="N360" s="71" t="n"/>
      <c r="O360" s="101" t="n"/>
      <c r="P360" s="9">
        <f>I360-M360</f>
        <v/>
      </c>
      <c r="Q360" s="9">
        <f>IF(LEFT(B360,4)&lt;&gt;"    ",0,BN360)</f>
        <v/>
      </c>
      <c r="R360" s="9">
        <f>+P360-Q360</f>
        <v/>
      </c>
      <c r="S360" s="281" t="n"/>
      <c r="T360" s="10" t="n"/>
      <c r="U360" s="23">
        <f>IF(LEFT(B360,4)&lt;&gt;"    ","",IF(M360&lt;&gt;0,X360/M360,0))</f>
        <v/>
      </c>
      <c r="V360" s="11">
        <f>IF(LEFT(B360,4)&lt;&gt;"    ","",U360*I360)</f>
        <v/>
      </c>
      <c r="W360" s="11">
        <f>IF(LEFT(B360,4)&lt;&gt;"    ","",X360+Z360)</f>
        <v/>
      </c>
      <c r="X360" s="8" t="n"/>
      <c r="Y360" s="9">
        <f>IF(LEFT(B360,4)&lt;&gt;"    ",0,IF(P360&lt;0,P360,IF(U360&gt;0.3,W360-X360,0)))</f>
        <v/>
      </c>
      <c r="Z360" s="71">
        <f>Y360</f>
        <v/>
      </c>
      <c r="AA360" s="71" t="n"/>
      <c r="AB360" s="109" t="n"/>
      <c r="AC360" s="9">
        <f>IF(LEFT(B360,4)&lt;&gt;"    ",0,BK360)</f>
        <v/>
      </c>
      <c r="AD360" s="9">
        <f>Z360-AC360</f>
        <v/>
      </c>
      <c r="AE360" s="10" t="n"/>
      <c r="AF360" s="24" t="n"/>
      <c r="AG360" s="11" t="n"/>
      <c r="AH360" s="8" t="n"/>
      <c r="AI360" s="9">
        <f>IF(LEFT(B360,4)&lt;&gt;"    ","",AG360-AH360)</f>
        <v/>
      </c>
      <c r="AJ360" s="9" t="n"/>
      <c r="AK360" s="10" t="n"/>
      <c r="AL360" s="11">
        <f>IF(LEFT(B360,4)&lt;&gt;"    ","",W360-AG360)</f>
        <v/>
      </c>
      <c r="AM360" s="8">
        <f>IF(LEFT(B360,4)&lt;&gt;"    ","",X360-AH360)</f>
        <v/>
      </c>
      <c r="AN360" s="9">
        <f>IF(LEFT(B360,4)&lt;&gt;"    ","",Y360-AI360)</f>
        <v/>
      </c>
      <c r="AO360" s="9">
        <f>IF(LEFT(B360,4)&lt;&gt;"    ","",Z360-AJ360)</f>
        <v/>
      </c>
      <c r="AP360" s="10" t="n"/>
      <c r="AQ360" s="25">
        <f>IF(LEFT(B360,4)&lt;&gt;"    ","",I360-W360)</f>
        <v/>
      </c>
      <c r="AR360" s="25">
        <f>M360-X360</f>
        <v/>
      </c>
      <c r="AS360" s="25">
        <f>IF(LEFT(B360,4)&lt;&gt;"    ","",P360-Z360)</f>
        <v/>
      </c>
      <c r="AT360" s="10" t="n"/>
      <c r="AU360" s="12" t="n"/>
      <c r="AV360" s="12">
        <f>IF(LEFT(B360,4)&lt;&gt;"    ","",IF(W360-AU360&gt;=0,W360-AU360," "))</f>
        <v/>
      </c>
      <c r="AW360" s="12">
        <f>IF(LEFT(B360,4)&lt;&gt;"    ","",IF(AU360-W360&gt;=0,AU360-W360," "))</f>
        <v/>
      </c>
      <c r="AX360" s="186" t="n"/>
      <c r="AY360" s="187" t="n"/>
      <c r="AZ360" s="186" t="n"/>
      <c r="BA360" s="186" t="n"/>
      <c r="BB360" s="188" t="n"/>
      <c r="BC360" s="187" t="n"/>
      <c r="BD360" s="187" t="n"/>
      <c r="BE360" s="186" t="n"/>
      <c r="BF360" s="186" t="n"/>
      <c r="BG360" s="186" t="n"/>
      <c r="BH360" s="186" t="n"/>
      <c r="BI360" s="186" t="n"/>
      <c r="BJ360" s="186" t="n"/>
      <c r="BK360" s="186" t="n"/>
      <c r="BL360" s="186" t="n"/>
      <c r="BM360" s="186" t="n"/>
      <c r="BN360" s="186" t="n"/>
      <c r="BO360" s="186" t="n"/>
      <c r="BP360" s="186" t="n"/>
      <c r="BQ360" s="186" t="n"/>
      <c r="BR360" s="186" t="n"/>
      <c r="BS360" s="186" t="n"/>
      <c r="BT360" s="186" t="n"/>
      <c r="BU360" s="186" t="n"/>
      <c r="BV360" s="186" t="n"/>
      <c r="BW360" s="186" t="n"/>
      <c r="BX360" s="186" t="n"/>
      <c r="BY360" s="186" t="n"/>
      <c r="BZ360" s="186" t="n"/>
      <c r="CA360" s="186" t="n"/>
      <c r="CB360" s="186" t="n"/>
      <c r="CC360" s="190" t="n"/>
      <c r="CD360" s="186" t="n"/>
      <c r="CE360" s="186" t="n"/>
      <c r="CF360" s="186" t="n"/>
      <c r="CG360" s="186" t="n"/>
      <c r="CH360" s="186" t="n"/>
      <c r="CI360" s="191" t="n"/>
      <c r="CJ360" s="192" t="n"/>
      <c r="CK360" s="192" t="n"/>
      <c r="CL360" s="192" t="n"/>
      <c r="CM360" s="192" t="n"/>
    </row>
    <row r="361">
      <c r="A361" s="177" t="n"/>
      <c r="B361" s="178" t="n"/>
      <c r="C361" s="178" t="n"/>
      <c r="D361" s="179" t="n"/>
      <c r="E361" s="180" t="n"/>
      <c r="F361" s="181" t="n"/>
      <c r="G361" s="182" t="n"/>
      <c r="H361" s="105" t="n"/>
      <c r="I361" s="196">
        <f>F361</f>
        <v/>
      </c>
      <c r="J361" s="184" t="n"/>
      <c r="K361" s="185" t="n"/>
      <c r="L361" s="8" t="n"/>
      <c r="M361" s="71">
        <f>L361</f>
        <v/>
      </c>
      <c r="N361" s="71" t="n"/>
      <c r="O361" s="101" t="n"/>
      <c r="P361" s="9">
        <f>I361-M361</f>
        <v/>
      </c>
      <c r="Q361" s="9">
        <f>IF(LEFT(B361,4)&lt;&gt;"    ",0,BN361)</f>
        <v/>
      </c>
      <c r="R361" s="9">
        <f>+P361-Q361</f>
        <v/>
      </c>
      <c r="S361" s="281" t="n"/>
      <c r="T361" s="10" t="n"/>
      <c r="U361" s="23">
        <f>IF(LEFT(B361,4)&lt;&gt;"    ","",IF(M361&lt;&gt;0,X361/M361,0))</f>
        <v/>
      </c>
      <c r="V361" s="11">
        <f>IF(LEFT(B361,4)&lt;&gt;"    ","",U361*I361)</f>
        <v/>
      </c>
      <c r="W361" s="11">
        <f>IF(LEFT(B361,4)&lt;&gt;"    ","",X361+Z361)</f>
        <v/>
      </c>
      <c r="X361" s="8" t="n"/>
      <c r="Y361" s="9">
        <f>IF(LEFT(B361,4)&lt;&gt;"    ",0,IF(P361&lt;0,P361,IF(U361&gt;0.3,W361-X361,0)))</f>
        <v/>
      </c>
      <c r="Z361" s="71">
        <f>Y361</f>
        <v/>
      </c>
      <c r="AA361" s="71" t="n"/>
      <c r="AB361" s="109" t="n"/>
      <c r="AC361" s="9">
        <f>IF(LEFT(B361,4)&lt;&gt;"    ",0,BK361)</f>
        <v/>
      </c>
      <c r="AD361" s="9">
        <f>Z361-AC361</f>
        <v/>
      </c>
      <c r="AE361" s="10" t="n"/>
      <c r="AF361" s="24" t="n"/>
      <c r="AG361" s="11" t="n"/>
      <c r="AH361" s="8" t="n"/>
      <c r="AI361" s="9">
        <f>IF(LEFT(B361,4)&lt;&gt;"    ","",AG361-AH361)</f>
        <v/>
      </c>
      <c r="AJ361" s="9" t="n"/>
      <c r="AK361" s="10" t="n"/>
      <c r="AL361" s="11">
        <f>IF(LEFT(B361,4)&lt;&gt;"    ","",W361-AG361)</f>
        <v/>
      </c>
      <c r="AM361" s="8">
        <f>IF(LEFT(B361,4)&lt;&gt;"    ","",X361-AH361)</f>
        <v/>
      </c>
      <c r="AN361" s="9">
        <f>IF(LEFT(B361,4)&lt;&gt;"    ","",Y361-AI361)</f>
        <v/>
      </c>
      <c r="AO361" s="9">
        <f>IF(LEFT(B361,4)&lt;&gt;"    ","",Z361-AJ361)</f>
        <v/>
      </c>
      <c r="AP361" s="10" t="n"/>
      <c r="AQ361" s="25">
        <f>IF(LEFT(B361,4)&lt;&gt;"    ","",I361-W361)</f>
        <v/>
      </c>
      <c r="AR361" s="25">
        <f>M361-X361</f>
        <v/>
      </c>
      <c r="AS361" s="25">
        <f>IF(LEFT(B361,4)&lt;&gt;"    ","",P361-Z361)</f>
        <v/>
      </c>
      <c r="AT361" s="10" t="n"/>
      <c r="AU361" s="12" t="n"/>
      <c r="AV361" s="12">
        <f>IF(LEFT(B361,4)&lt;&gt;"    ","",IF(W361-AU361&gt;=0,W361-AU361," "))</f>
        <v/>
      </c>
      <c r="AW361" s="12">
        <f>IF(LEFT(B361,4)&lt;&gt;"    ","",IF(AU361-W361&gt;=0,AU361-W361," "))</f>
        <v/>
      </c>
      <c r="AX361" s="186" t="n"/>
      <c r="AY361" s="187" t="n"/>
      <c r="AZ361" s="186" t="n"/>
      <c r="BA361" s="186" t="n"/>
      <c r="BB361" s="188" t="n"/>
      <c r="BC361" s="187" t="n"/>
      <c r="BD361" s="187" t="n"/>
      <c r="BE361" s="186" t="n"/>
      <c r="BF361" s="186" t="n"/>
      <c r="BG361" s="186" t="n"/>
      <c r="BH361" s="186" t="n"/>
      <c r="BI361" s="186" t="n"/>
      <c r="BJ361" s="186" t="n"/>
      <c r="BK361" s="186" t="n"/>
      <c r="BL361" s="186" t="n"/>
      <c r="BM361" s="186" t="n"/>
      <c r="BN361" s="186" t="n"/>
      <c r="BO361" s="186" t="n"/>
      <c r="BP361" s="186" t="n"/>
      <c r="BQ361" s="186" t="n"/>
      <c r="BR361" s="186" t="n"/>
      <c r="BS361" s="186" t="n"/>
      <c r="BT361" s="186" t="n"/>
      <c r="BU361" s="186" t="n"/>
      <c r="BV361" s="186" t="n"/>
      <c r="BW361" s="186" t="n"/>
      <c r="BX361" s="186" t="n"/>
      <c r="BY361" s="186" t="n"/>
      <c r="BZ361" s="186" t="n"/>
      <c r="CA361" s="186" t="n"/>
      <c r="CB361" s="186" t="n"/>
      <c r="CC361" s="190" t="n"/>
      <c r="CD361" s="186" t="n"/>
      <c r="CE361" s="186" t="n"/>
      <c r="CF361" s="186" t="n"/>
      <c r="CG361" s="186" t="n"/>
      <c r="CH361" s="186" t="n"/>
      <c r="CI361" s="191" t="n"/>
      <c r="CJ361" s="192" t="n"/>
      <c r="CK361" s="192" t="n"/>
      <c r="CL361" s="192" t="n"/>
      <c r="CM361" s="192" t="n"/>
    </row>
    <row r="362">
      <c r="A362" s="177" t="n"/>
      <c r="B362" s="178" t="n"/>
      <c r="C362" s="178" t="n"/>
      <c r="D362" s="179" t="n"/>
      <c r="E362" s="180" t="n"/>
      <c r="F362" s="181" t="n"/>
      <c r="G362" s="182" t="n"/>
      <c r="H362" s="105" t="n"/>
      <c r="I362" s="196">
        <f>F362</f>
        <v/>
      </c>
      <c r="J362" s="184" t="n"/>
      <c r="K362" s="185" t="n"/>
      <c r="L362" s="8" t="n"/>
      <c r="M362" s="71">
        <f>L362</f>
        <v/>
      </c>
      <c r="N362" s="71" t="n"/>
      <c r="O362" s="101" t="n"/>
      <c r="P362" s="9">
        <f>I362-M362</f>
        <v/>
      </c>
      <c r="Q362" s="9">
        <f>IF(LEFT(B362,4)&lt;&gt;"    ",0,BN362)</f>
        <v/>
      </c>
      <c r="R362" s="9">
        <f>+P362-Q362</f>
        <v/>
      </c>
      <c r="S362" s="281" t="n"/>
      <c r="T362" s="10" t="n"/>
      <c r="U362" s="23">
        <f>IF(LEFT(B362,4)&lt;&gt;"    ","",IF(M362&lt;&gt;0,X362/M362,0))</f>
        <v/>
      </c>
      <c r="V362" s="11">
        <f>IF(LEFT(B362,4)&lt;&gt;"    ","",U362*I362)</f>
        <v/>
      </c>
      <c r="W362" s="11">
        <f>IF(LEFT(B362,4)&lt;&gt;"    ","",X362+Z362)</f>
        <v/>
      </c>
      <c r="X362" s="8" t="n"/>
      <c r="Y362" s="9">
        <f>IF(LEFT(B362,4)&lt;&gt;"    ",0,IF(P362&lt;0,P362,IF(U362&gt;0.3,W362-X362,0)))</f>
        <v/>
      </c>
      <c r="Z362" s="71">
        <f>Y362</f>
        <v/>
      </c>
      <c r="AA362" s="71" t="n"/>
      <c r="AB362" s="109" t="n"/>
      <c r="AC362" s="9">
        <f>IF(LEFT(B362,4)&lt;&gt;"    ",0,BK362)</f>
        <v/>
      </c>
      <c r="AD362" s="9">
        <f>Z362-AC362</f>
        <v/>
      </c>
      <c r="AE362" s="10" t="n"/>
      <c r="AF362" s="24" t="n"/>
      <c r="AG362" s="11" t="n"/>
      <c r="AH362" s="8" t="n"/>
      <c r="AI362" s="9">
        <f>IF(LEFT(B362,4)&lt;&gt;"    ","",AG362-AH362)</f>
        <v/>
      </c>
      <c r="AJ362" s="9" t="n"/>
      <c r="AK362" s="10" t="n"/>
      <c r="AL362" s="11">
        <f>IF(LEFT(B362,4)&lt;&gt;"    ","",W362-AG362)</f>
        <v/>
      </c>
      <c r="AM362" s="8">
        <f>IF(LEFT(B362,4)&lt;&gt;"    ","",X362-AH362)</f>
        <v/>
      </c>
      <c r="AN362" s="9">
        <f>IF(LEFT(B362,4)&lt;&gt;"    ","",Y362-AI362)</f>
        <v/>
      </c>
      <c r="AO362" s="9">
        <f>IF(LEFT(B362,4)&lt;&gt;"    ","",Z362-AJ362)</f>
        <v/>
      </c>
      <c r="AP362" s="10" t="n"/>
      <c r="AQ362" s="25">
        <f>IF(LEFT(B362,4)&lt;&gt;"    ","",I362-W362)</f>
        <v/>
      </c>
      <c r="AR362" s="25">
        <f>M362-X362</f>
        <v/>
      </c>
      <c r="AS362" s="25">
        <f>IF(LEFT(B362,4)&lt;&gt;"    ","",P362-Z362)</f>
        <v/>
      </c>
      <c r="AT362" s="10" t="n"/>
      <c r="AU362" s="12" t="n"/>
      <c r="AV362" s="12">
        <f>IF(LEFT(B362,4)&lt;&gt;"    ","",IF(W362-AU362&gt;=0,W362-AU362," "))</f>
        <v/>
      </c>
      <c r="AW362" s="12">
        <f>IF(LEFT(B362,4)&lt;&gt;"    ","",IF(AU362-W362&gt;=0,AU362-W362," "))</f>
        <v/>
      </c>
      <c r="AX362" s="186" t="n"/>
      <c r="AY362" s="187" t="n"/>
      <c r="AZ362" s="186" t="n"/>
      <c r="BA362" s="186" t="n"/>
      <c r="BB362" s="188" t="n"/>
      <c r="BC362" s="187" t="n"/>
      <c r="BD362" s="187" t="n"/>
      <c r="BE362" s="186" t="n"/>
      <c r="BF362" s="186" t="n"/>
      <c r="BG362" s="186" t="n"/>
      <c r="BH362" s="186" t="n"/>
      <c r="BI362" s="186" t="n"/>
      <c r="BJ362" s="186" t="n"/>
      <c r="BK362" s="186" t="n"/>
      <c r="BL362" s="186" t="n"/>
      <c r="BM362" s="186" t="n"/>
      <c r="BN362" s="186" t="n"/>
      <c r="BO362" s="186" t="n"/>
      <c r="BP362" s="186" t="n"/>
      <c r="BQ362" s="186" t="n"/>
      <c r="BR362" s="186" t="n"/>
      <c r="BS362" s="186" t="n"/>
      <c r="BT362" s="186" t="n"/>
      <c r="BU362" s="186" t="n"/>
      <c r="BV362" s="186" t="n"/>
      <c r="BW362" s="186" t="n"/>
      <c r="BX362" s="186" t="n"/>
      <c r="BY362" s="186" t="n"/>
      <c r="BZ362" s="186" t="n"/>
      <c r="CA362" s="186" t="n"/>
      <c r="CB362" s="186" t="n"/>
      <c r="CC362" s="190" t="n"/>
      <c r="CD362" s="186" t="n"/>
      <c r="CE362" s="186" t="n"/>
      <c r="CF362" s="186" t="n"/>
      <c r="CG362" s="186" t="n"/>
      <c r="CH362" s="186" t="n"/>
      <c r="CI362" s="191" t="n"/>
      <c r="CJ362" s="192" t="n"/>
      <c r="CK362" s="192" t="n"/>
      <c r="CL362" s="192" t="n"/>
      <c r="CM362" s="192" t="n"/>
    </row>
    <row r="363">
      <c r="A363" s="177" t="n"/>
      <c r="B363" s="178" t="n"/>
      <c r="C363" s="178" t="n"/>
      <c r="D363" s="179" t="n"/>
      <c r="E363" s="180" t="n"/>
      <c r="F363" s="181" t="n"/>
      <c r="G363" s="182" t="n"/>
      <c r="H363" s="105" t="n"/>
      <c r="I363" s="196">
        <f>F363</f>
        <v/>
      </c>
      <c r="J363" s="184" t="n"/>
      <c r="K363" s="185" t="n"/>
      <c r="L363" s="8" t="n"/>
      <c r="M363" s="71">
        <f>L363</f>
        <v/>
      </c>
      <c r="N363" s="71" t="n"/>
      <c r="O363" s="101" t="n"/>
      <c r="P363" s="9">
        <f>I363-M363</f>
        <v/>
      </c>
      <c r="Q363" s="9">
        <f>IF(LEFT(B363,4)&lt;&gt;"    ",0,BN363)</f>
        <v/>
      </c>
      <c r="R363" s="9">
        <f>+P363-Q363</f>
        <v/>
      </c>
      <c r="S363" s="281" t="n"/>
      <c r="T363" s="10" t="n"/>
      <c r="U363" s="23">
        <f>IF(LEFT(B363,4)&lt;&gt;"    ","",IF(M363&lt;&gt;0,X363/M363,0))</f>
        <v/>
      </c>
      <c r="V363" s="11">
        <f>IF(LEFT(B363,4)&lt;&gt;"    ","",U363*I363)</f>
        <v/>
      </c>
      <c r="W363" s="11">
        <f>IF(LEFT(B363,4)&lt;&gt;"    ","",X363+Z363)</f>
        <v/>
      </c>
      <c r="X363" s="8" t="n"/>
      <c r="Y363" s="9">
        <f>IF(LEFT(B363,4)&lt;&gt;"    ",0,IF(P363&lt;0,P363,IF(U363&gt;0.3,W363-X363,0)))</f>
        <v/>
      </c>
      <c r="Z363" s="71">
        <f>Y363</f>
        <v/>
      </c>
      <c r="AA363" s="71" t="n"/>
      <c r="AB363" s="109" t="n"/>
      <c r="AC363" s="9">
        <f>IF(LEFT(B363,4)&lt;&gt;"    ",0,BK363)</f>
        <v/>
      </c>
      <c r="AD363" s="9">
        <f>Z363-AC363</f>
        <v/>
      </c>
      <c r="AE363" s="10" t="n"/>
      <c r="AF363" s="24" t="n"/>
      <c r="AG363" s="11" t="n"/>
      <c r="AH363" s="8" t="n"/>
      <c r="AI363" s="9">
        <f>IF(LEFT(B363,4)&lt;&gt;"    ","",AG363-AH363)</f>
        <v/>
      </c>
      <c r="AJ363" s="9" t="n"/>
      <c r="AK363" s="10" t="n"/>
      <c r="AL363" s="11">
        <f>IF(LEFT(B363,4)&lt;&gt;"    ","",W363-AG363)</f>
        <v/>
      </c>
      <c r="AM363" s="8">
        <f>IF(LEFT(B363,4)&lt;&gt;"    ","",X363-AH363)</f>
        <v/>
      </c>
      <c r="AN363" s="9">
        <f>IF(LEFT(B363,4)&lt;&gt;"    ","",Y363-AI363)</f>
        <v/>
      </c>
      <c r="AO363" s="9">
        <f>IF(LEFT(B363,4)&lt;&gt;"    ","",Z363-AJ363)</f>
        <v/>
      </c>
      <c r="AP363" s="10" t="n"/>
      <c r="AQ363" s="25">
        <f>IF(LEFT(B363,4)&lt;&gt;"    ","",I363-W363)</f>
        <v/>
      </c>
      <c r="AR363" s="25">
        <f>M363-X363</f>
        <v/>
      </c>
      <c r="AS363" s="25">
        <f>IF(LEFT(B363,4)&lt;&gt;"    ","",P363-Z363)</f>
        <v/>
      </c>
      <c r="AT363" s="10" t="n"/>
      <c r="AU363" s="12" t="n"/>
      <c r="AV363" s="12">
        <f>IF(LEFT(B363,4)&lt;&gt;"    ","",IF(W363-AU363&gt;=0,W363-AU363," "))</f>
        <v/>
      </c>
      <c r="AW363" s="12">
        <f>IF(LEFT(B363,4)&lt;&gt;"    ","",IF(AU363-W363&gt;=0,AU363-W363," "))</f>
        <v/>
      </c>
      <c r="AX363" s="186" t="n"/>
      <c r="AY363" s="187" t="n"/>
      <c r="AZ363" s="186" t="n"/>
      <c r="BA363" s="186" t="n"/>
      <c r="BB363" s="188" t="n"/>
      <c r="BC363" s="187" t="n"/>
      <c r="BD363" s="187" t="n"/>
      <c r="BE363" s="186" t="n"/>
      <c r="BF363" s="186" t="n"/>
      <c r="BG363" s="186" t="n"/>
      <c r="BH363" s="186" t="n"/>
      <c r="BI363" s="186" t="n"/>
      <c r="BJ363" s="186" t="n"/>
      <c r="BK363" s="186" t="n"/>
      <c r="BL363" s="186" t="n"/>
      <c r="BM363" s="186" t="n"/>
      <c r="BN363" s="186" t="n"/>
      <c r="BO363" s="186" t="n"/>
      <c r="BP363" s="186" t="n"/>
      <c r="BQ363" s="186" t="n"/>
      <c r="BR363" s="186" t="n"/>
      <c r="BS363" s="186" t="n"/>
      <c r="BT363" s="186" t="n"/>
      <c r="BU363" s="186" t="n"/>
      <c r="BV363" s="186" t="n"/>
      <c r="BW363" s="186" t="n"/>
      <c r="BX363" s="186" t="n"/>
      <c r="BY363" s="186" t="n"/>
      <c r="BZ363" s="186" t="n"/>
      <c r="CA363" s="186" t="n"/>
      <c r="CB363" s="186" t="n"/>
      <c r="CC363" s="190" t="n"/>
      <c r="CD363" s="186" t="n"/>
      <c r="CE363" s="186" t="n"/>
      <c r="CF363" s="186" t="n"/>
      <c r="CG363" s="186" t="n"/>
      <c r="CH363" s="186" t="n"/>
      <c r="CI363" s="191" t="n"/>
      <c r="CJ363" s="192" t="n"/>
      <c r="CK363" s="192" t="n"/>
      <c r="CL363" s="192" t="n"/>
      <c r="CM363" s="192" t="n"/>
    </row>
    <row r="364">
      <c r="A364" s="177" t="n"/>
      <c r="B364" s="178" t="n"/>
      <c r="C364" s="178" t="n"/>
      <c r="D364" s="179" t="n"/>
      <c r="E364" s="180" t="n"/>
      <c r="F364" s="181" t="n"/>
      <c r="G364" s="182" t="n"/>
      <c r="H364" s="105" t="n"/>
      <c r="I364" s="196">
        <f>F364</f>
        <v/>
      </c>
      <c r="J364" s="184" t="n"/>
      <c r="K364" s="185" t="n"/>
      <c r="L364" s="8" t="n"/>
      <c r="M364" s="71">
        <f>L364</f>
        <v/>
      </c>
      <c r="N364" s="71" t="n"/>
      <c r="O364" s="101" t="n"/>
      <c r="P364" s="9">
        <f>I364-M364</f>
        <v/>
      </c>
      <c r="Q364" s="9">
        <f>IF(LEFT(B364,4)&lt;&gt;"    ",0,BN364)</f>
        <v/>
      </c>
      <c r="R364" s="9">
        <f>+P364-Q364</f>
        <v/>
      </c>
      <c r="S364" s="281" t="n"/>
      <c r="T364" s="10" t="n"/>
      <c r="U364" s="23">
        <f>IF(LEFT(B364,4)&lt;&gt;"    ","",IF(M364&lt;&gt;0,X364/M364,0))</f>
        <v/>
      </c>
      <c r="V364" s="11">
        <f>IF(LEFT(B364,4)&lt;&gt;"    ","",U364*I364)</f>
        <v/>
      </c>
      <c r="W364" s="11">
        <f>IF(LEFT(B364,4)&lt;&gt;"    ","",X364+Z364)</f>
        <v/>
      </c>
      <c r="X364" s="8" t="n"/>
      <c r="Y364" s="9">
        <f>IF(LEFT(B364,4)&lt;&gt;"    ",0,IF(P364&lt;0,P364,IF(U364&gt;0.3,W364-X364,0)))</f>
        <v/>
      </c>
      <c r="Z364" s="71">
        <f>Y364</f>
        <v/>
      </c>
      <c r="AA364" s="71" t="n"/>
      <c r="AB364" s="109" t="n"/>
      <c r="AC364" s="9">
        <f>IF(LEFT(B364,4)&lt;&gt;"    ",0,BK364)</f>
        <v/>
      </c>
      <c r="AD364" s="9">
        <f>Z364-AC364</f>
        <v/>
      </c>
      <c r="AE364" s="10" t="n"/>
      <c r="AF364" s="24" t="n"/>
      <c r="AG364" s="11" t="n"/>
      <c r="AH364" s="8" t="n"/>
      <c r="AI364" s="9">
        <f>IF(LEFT(B364,4)&lt;&gt;"    ","",AG364-AH364)</f>
        <v/>
      </c>
      <c r="AJ364" s="9" t="n"/>
      <c r="AK364" s="10" t="n"/>
      <c r="AL364" s="11">
        <f>IF(LEFT(B364,4)&lt;&gt;"    ","",W364-AG364)</f>
        <v/>
      </c>
      <c r="AM364" s="8">
        <f>IF(LEFT(B364,4)&lt;&gt;"    ","",X364-AH364)</f>
        <v/>
      </c>
      <c r="AN364" s="9">
        <f>IF(LEFT(B364,4)&lt;&gt;"    ","",Y364-AI364)</f>
        <v/>
      </c>
      <c r="AO364" s="9">
        <f>IF(LEFT(B364,4)&lt;&gt;"    ","",Z364-AJ364)</f>
        <v/>
      </c>
      <c r="AP364" s="10" t="n"/>
      <c r="AQ364" s="25">
        <f>IF(LEFT(B364,4)&lt;&gt;"    ","",I364-W364)</f>
        <v/>
      </c>
      <c r="AR364" s="25">
        <f>M364-X364</f>
        <v/>
      </c>
      <c r="AS364" s="25">
        <f>IF(LEFT(B364,4)&lt;&gt;"    ","",P364-Z364)</f>
        <v/>
      </c>
      <c r="AT364" s="10" t="n"/>
      <c r="AU364" s="12" t="n"/>
      <c r="AV364" s="12">
        <f>IF(LEFT(B364,4)&lt;&gt;"    ","",IF(W364-AU364&gt;=0,W364-AU364," "))</f>
        <v/>
      </c>
      <c r="AW364" s="12">
        <f>IF(LEFT(B364,4)&lt;&gt;"    ","",IF(AU364-W364&gt;=0,AU364-W364," "))</f>
        <v/>
      </c>
      <c r="AX364" s="186" t="n"/>
      <c r="AY364" s="187" t="n"/>
      <c r="AZ364" s="186" t="n"/>
      <c r="BA364" s="186" t="n"/>
      <c r="BB364" s="188" t="n"/>
      <c r="BC364" s="187" t="n"/>
      <c r="BD364" s="187" t="n"/>
      <c r="BE364" s="186" t="n"/>
      <c r="BF364" s="186" t="n"/>
      <c r="BG364" s="186" t="n"/>
      <c r="BH364" s="186" t="n"/>
      <c r="BI364" s="186" t="n"/>
      <c r="BJ364" s="186" t="n"/>
      <c r="BK364" s="186" t="n"/>
      <c r="BL364" s="186" t="n"/>
      <c r="BM364" s="186" t="n"/>
      <c r="BN364" s="186" t="n"/>
      <c r="BO364" s="186" t="n"/>
      <c r="BP364" s="186" t="n"/>
      <c r="BQ364" s="186" t="n"/>
      <c r="BR364" s="186" t="n"/>
      <c r="BS364" s="186" t="n"/>
      <c r="BT364" s="186" t="n"/>
      <c r="BU364" s="186" t="n"/>
      <c r="BV364" s="186" t="n"/>
      <c r="BW364" s="186" t="n"/>
      <c r="BX364" s="186" t="n"/>
      <c r="BY364" s="186" t="n"/>
      <c r="BZ364" s="186" t="n"/>
      <c r="CA364" s="186" t="n"/>
      <c r="CB364" s="186" t="n"/>
      <c r="CC364" s="190" t="n"/>
      <c r="CD364" s="186" t="n"/>
      <c r="CE364" s="186" t="n"/>
      <c r="CF364" s="186" t="n"/>
      <c r="CG364" s="186" t="n"/>
      <c r="CH364" s="186" t="n"/>
      <c r="CI364" s="191" t="n"/>
      <c r="CJ364" s="192" t="n"/>
      <c r="CK364" s="192" t="n"/>
      <c r="CL364" s="192" t="n"/>
      <c r="CM364" s="192" t="n"/>
    </row>
    <row r="365">
      <c r="A365" s="177" t="n"/>
      <c r="B365" s="178" t="n"/>
      <c r="C365" s="178" t="n"/>
      <c r="D365" s="179" t="n"/>
      <c r="E365" s="180" t="n"/>
      <c r="F365" s="181" t="n"/>
      <c r="G365" s="182" t="n"/>
      <c r="H365" s="105" t="n"/>
      <c r="I365" s="196">
        <f>F365</f>
        <v/>
      </c>
      <c r="J365" s="184" t="n"/>
      <c r="K365" s="185" t="n"/>
      <c r="L365" s="8" t="n"/>
      <c r="M365" s="71">
        <f>L365</f>
        <v/>
      </c>
      <c r="N365" s="71" t="n"/>
      <c r="O365" s="101" t="n"/>
      <c r="P365" s="9">
        <f>I365-M365</f>
        <v/>
      </c>
      <c r="Q365" s="9">
        <f>IF(LEFT(B365,4)&lt;&gt;"    ",0,BN365)</f>
        <v/>
      </c>
      <c r="R365" s="9">
        <f>+P365-Q365</f>
        <v/>
      </c>
      <c r="S365" s="281" t="n"/>
      <c r="T365" s="10" t="n"/>
      <c r="U365" s="23">
        <f>IF(LEFT(B365,4)&lt;&gt;"    ","",IF(M365&lt;&gt;0,X365/M365,0))</f>
        <v/>
      </c>
      <c r="V365" s="11">
        <f>IF(LEFT(B365,4)&lt;&gt;"    ","",U365*I365)</f>
        <v/>
      </c>
      <c r="W365" s="11">
        <f>IF(LEFT(B365,4)&lt;&gt;"    ","",X365+Z365)</f>
        <v/>
      </c>
      <c r="X365" s="8" t="n"/>
      <c r="Y365" s="9">
        <f>IF(LEFT(B365,4)&lt;&gt;"    ",0,IF(P365&lt;0,P365,IF(U365&gt;0.3,W365-X365,0)))</f>
        <v/>
      </c>
      <c r="Z365" s="71">
        <f>Y365</f>
        <v/>
      </c>
      <c r="AA365" s="71" t="n"/>
      <c r="AB365" s="109" t="n"/>
      <c r="AC365" s="9">
        <f>IF(LEFT(B365,4)&lt;&gt;"    ",0,BK365)</f>
        <v/>
      </c>
      <c r="AD365" s="9">
        <f>Z365-AC365</f>
        <v/>
      </c>
      <c r="AE365" s="10" t="n"/>
      <c r="AF365" s="24" t="n"/>
      <c r="AG365" s="11" t="n"/>
      <c r="AH365" s="8" t="n"/>
      <c r="AI365" s="9">
        <f>IF(LEFT(B365,4)&lt;&gt;"    ","",AG365-AH365)</f>
        <v/>
      </c>
      <c r="AJ365" s="9" t="n"/>
      <c r="AK365" s="10" t="n"/>
      <c r="AL365" s="11">
        <f>IF(LEFT(B365,4)&lt;&gt;"    ","",W365-AG365)</f>
        <v/>
      </c>
      <c r="AM365" s="8">
        <f>IF(LEFT(B365,4)&lt;&gt;"    ","",X365-AH365)</f>
        <v/>
      </c>
      <c r="AN365" s="9">
        <f>IF(LEFT(B365,4)&lt;&gt;"    ","",Y365-AI365)</f>
        <v/>
      </c>
      <c r="AO365" s="9">
        <f>IF(LEFT(B365,4)&lt;&gt;"    ","",Z365-AJ365)</f>
        <v/>
      </c>
      <c r="AP365" s="10" t="n"/>
      <c r="AQ365" s="25">
        <f>IF(LEFT(B365,4)&lt;&gt;"    ","",I365-W365)</f>
        <v/>
      </c>
      <c r="AR365" s="25">
        <f>M365-X365</f>
        <v/>
      </c>
      <c r="AS365" s="25">
        <f>IF(LEFT(B365,4)&lt;&gt;"    ","",P365-Z365)</f>
        <v/>
      </c>
      <c r="AT365" s="10" t="n"/>
      <c r="AU365" s="12" t="n"/>
      <c r="AV365" s="12">
        <f>IF(LEFT(B365,4)&lt;&gt;"    ","",IF(W365-AU365&gt;=0,W365-AU365," "))</f>
        <v/>
      </c>
      <c r="AW365" s="12">
        <f>IF(LEFT(B365,4)&lt;&gt;"    ","",IF(AU365-W365&gt;=0,AU365-W365," "))</f>
        <v/>
      </c>
      <c r="AX365" s="186" t="n"/>
      <c r="AY365" s="187" t="n"/>
      <c r="AZ365" s="186" t="n"/>
      <c r="BA365" s="186" t="n"/>
      <c r="BB365" s="188" t="n"/>
      <c r="BC365" s="187" t="n"/>
      <c r="BD365" s="187" t="n"/>
      <c r="BE365" s="186" t="n"/>
      <c r="BF365" s="186" t="n"/>
      <c r="BG365" s="186" t="n"/>
      <c r="BH365" s="186" t="n"/>
      <c r="BI365" s="186" t="n"/>
      <c r="BJ365" s="186" t="n"/>
      <c r="BK365" s="186" t="n"/>
      <c r="BL365" s="186" t="n"/>
      <c r="BM365" s="186" t="n"/>
      <c r="BN365" s="186" t="n"/>
      <c r="BO365" s="186" t="n"/>
      <c r="BP365" s="186" t="n"/>
      <c r="BQ365" s="186" t="n"/>
      <c r="BR365" s="186" t="n"/>
      <c r="BS365" s="186" t="n"/>
      <c r="BT365" s="186" t="n"/>
      <c r="BU365" s="186" t="n"/>
      <c r="BV365" s="186" t="n"/>
      <c r="BW365" s="186" t="n"/>
      <c r="BX365" s="186" t="n"/>
      <c r="BY365" s="186" t="n"/>
      <c r="BZ365" s="186" t="n"/>
      <c r="CA365" s="186" t="n"/>
      <c r="CB365" s="186" t="n"/>
      <c r="CC365" s="190" t="n"/>
      <c r="CD365" s="186" t="n"/>
      <c r="CE365" s="186" t="n"/>
      <c r="CF365" s="186" t="n"/>
      <c r="CG365" s="186" t="n"/>
      <c r="CH365" s="186" t="n"/>
      <c r="CI365" s="191" t="n"/>
      <c r="CJ365" s="192" t="n"/>
      <c r="CK365" s="192" t="n"/>
      <c r="CL365" s="192" t="n"/>
      <c r="CM365" s="192" t="n"/>
    </row>
    <row r="366">
      <c r="A366" s="177" t="n"/>
      <c r="B366" s="195" t="n"/>
      <c r="C366" s="178" t="n"/>
      <c r="D366" s="179" t="n"/>
      <c r="E366" s="180" t="n"/>
      <c r="F366" s="181" t="n"/>
      <c r="G366" s="182" t="n"/>
      <c r="H366" s="105" t="n"/>
      <c r="I366" s="196">
        <f>F366</f>
        <v/>
      </c>
      <c r="J366" s="184" t="n"/>
      <c r="K366" s="185" t="n"/>
      <c r="L366" s="8" t="n"/>
      <c r="M366" s="71">
        <f>L366</f>
        <v/>
      </c>
      <c r="N366" s="71" t="n"/>
      <c r="O366" s="101" t="n"/>
      <c r="P366" s="9">
        <f>I366-M366</f>
        <v/>
      </c>
      <c r="Q366" s="9">
        <f>IF(LEFT(B366,4)&lt;&gt;"    ",0,BN366)</f>
        <v/>
      </c>
      <c r="R366" s="9">
        <f>+P366-Q366</f>
        <v/>
      </c>
      <c r="S366" s="281" t="n"/>
      <c r="T366" s="10" t="n"/>
      <c r="U366" s="23">
        <f>IF(LEFT(B366,4)&lt;&gt;"    ","",IF(M366&lt;&gt;0,X366/M366,0))</f>
        <v/>
      </c>
      <c r="V366" s="11">
        <f>IF(LEFT(B366,4)&lt;&gt;"    ","",U366*I366)</f>
        <v/>
      </c>
      <c r="W366" s="11">
        <f>IF(LEFT(B366,4)&lt;&gt;"    ","",X366+Z366)</f>
        <v/>
      </c>
      <c r="X366" s="8" t="n"/>
      <c r="Y366" s="9">
        <f>IF(LEFT(B366,4)&lt;&gt;"    ",0,IF(P366&lt;0,P366,IF(U366&gt;0.3,W366-X366,0)))</f>
        <v/>
      </c>
      <c r="Z366" s="71">
        <f>Y366</f>
        <v/>
      </c>
      <c r="AA366" s="71" t="n"/>
      <c r="AB366" s="109" t="n"/>
      <c r="AC366" s="9">
        <f>IF(LEFT(B366,4)&lt;&gt;"    ",0,BK366)</f>
        <v/>
      </c>
      <c r="AD366" s="9">
        <f>Z366-AC366</f>
        <v/>
      </c>
      <c r="AE366" s="10" t="n"/>
      <c r="AF366" s="24" t="n"/>
      <c r="AG366" s="11" t="n"/>
      <c r="AH366" s="8" t="n"/>
      <c r="AI366" s="9">
        <f>IF(LEFT(B366,4)&lt;&gt;"    ","",AG366-AH366)</f>
        <v/>
      </c>
      <c r="AJ366" s="9" t="n"/>
      <c r="AK366" s="10" t="n"/>
      <c r="AL366" s="11">
        <f>IF(LEFT(B366,4)&lt;&gt;"    ","",W366-AG366)</f>
        <v/>
      </c>
      <c r="AM366" s="8">
        <f>IF(LEFT(B366,4)&lt;&gt;"    ","",X366-AH366)</f>
        <v/>
      </c>
      <c r="AN366" s="9">
        <f>IF(LEFT(B366,4)&lt;&gt;"    ","",Y366-AI366)</f>
        <v/>
      </c>
      <c r="AO366" s="9">
        <f>IF(LEFT(B366,4)&lt;&gt;"    ","",Z366-AJ366)</f>
        <v/>
      </c>
      <c r="AP366" s="10" t="n"/>
      <c r="AQ366" s="25">
        <f>IF(LEFT(B366,4)&lt;&gt;"    ","",I366-W366)</f>
        <v/>
      </c>
      <c r="AR366" s="25">
        <f>M366-X366</f>
        <v/>
      </c>
      <c r="AS366" s="25">
        <f>IF(LEFT(B366,4)&lt;&gt;"    ","",P366-Z366)</f>
        <v/>
      </c>
      <c r="AT366" s="10" t="n"/>
      <c r="AU366" s="12" t="n"/>
      <c r="AV366" s="12">
        <f>IF(LEFT(B366,4)&lt;&gt;"    ","",IF(W366-AU366&gt;=0,W366-AU366," "))</f>
        <v/>
      </c>
      <c r="AW366" s="12">
        <f>IF(LEFT(B366,4)&lt;&gt;"    ","",IF(AU366-W366&gt;=0,AU366-W366," "))</f>
        <v/>
      </c>
      <c r="AX366" s="186" t="n"/>
      <c r="AY366" s="187" t="n"/>
      <c r="AZ366" s="186" t="n"/>
      <c r="BA366" s="186" t="n"/>
      <c r="BB366" s="188" t="n"/>
      <c r="BC366" s="187" t="n"/>
      <c r="BD366" s="187" t="n"/>
      <c r="BE366" s="186" t="n"/>
      <c r="BF366" s="186" t="n"/>
      <c r="BG366" s="186" t="n"/>
      <c r="BH366" s="186" t="n"/>
      <c r="BI366" s="186" t="n"/>
      <c r="BJ366" s="186" t="n"/>
      <c r="BK366" s="186" t="n"/>
      <c r="BL366" s="186" t="n"/>
      <c r="BM366" s="186" t="n"/>
      <c r="BN366" s="186" t="n"/>
      <c r="BO366" s="186" t="n"/>
      <c r="BP366" s="186" t="n"/>
      <c r="BQ366" s="186" t="n"/>
      <c r="BR366" s="186" t="n"/>
      <c r="BS366" s="186" t="n"/>
      <c r="BT366" s="186" t="n"/>
      <c r="BU366" s="186" t="n"/>
      <c r="BV366" s="186" t="n"/>
      <c r="BW366" s="186" t="n"/>
      <c r="BX366" s="186" t="n"/>
      <c r="BY366" s="186" t="n"/>
      <c r="BZ366" s="186" t="n"/>
      <c r="CA366" s="186" t="n"/>
      <c r="CB366" s="186" t="n"/>
      <c r="CC366" s="190" t="n"/>
      <c r="CD366" s="186" t="n"/>
      <c r="CE366" s="186" t="n"/>
      <c r="CF366" s="186" t="n"/>
      <c r="CG366" s="186" t="n"/>
      <c r="CH366" s="186" t="n"/>
      <c r="CI366" s="191" t="n"/>
      <c r="CJ366" s="192" t="n"/>
      <c r="CK366" s="192" t="n"/>
      <c r="CL366" s="192" t="n"/>
      <c r="CM366" s="192" t="n"/>
    </row>
    <row r="367">
      <c r="A367" s="177" t="n"/>
      <c r="B367" s="195" t="n"/>
      <c r="C367" s="178" t="n"/>
      <c r="D367" s="179" t="n"/>
      <c r="E367" s="180" t="n"/>
      <c r="F367" s="181" t="n"/>
      <c r="G367" s="182" t="n"/>
      <c r="H367" s="105" t="n"/>
      <c r="I367" s="196">
        <f>F367</f>
        <v/>
      </c>
      <c r="J367" s="184" t="n"/>
      <c r="K367" s="185" t="n"/>
      <c r="L367" s="8" t="n"/>
      <c r="M367" s="71">
        <f>L367</f>
        <v/>
      </c>
      <c r="N367" s="71" t="n"/>
      <c r="O367" s="101" t="n"/>
      <c r="P367" s="9">
        <f>I367-M367</f>
        <v/>
      </c>
      <c r="Q367" s="9">
        <f>IF(LEFT(B367,4)&lt;&gt;"    ",0,BN367)</f>
        <v/>
      </c>
      <c r="R367" s="9">
        <f>+P367-Q367</f>
        <v/>
      </c>
      <c r="S367" s="281" t="n"/>
      <c r="T367" s="10" t="n"/>
      <c r="U367" s="23">
        <f>IF(LEFT(B367,4)&lt;&gt;"    ","",IF(M367&lt;&gt;0,X367/M367,0))</f>
        <v/>
      </c>
      <c r="V367" s="11">
        <f>IF(LEFT(B367,4)&lt;&gt;"    ","",U367*I367)</f>
        <v/>
      </c>
      <c r="W367" s="11">
        <f>IF(LEFT(B367,4)&lt;&gt;"    ","",X367+Z367)</f>
        <v/>
      </c>
      <c r="X367" s="8" t="n"/>
      <c r="Y367" s="9">
        <f>IF(LEFT(B367,4)&lt;&gt;"    ",0,IF(P367&lt;0,P367,IF(U367&gt;0.3,W367-X367,0)))</f>
        <v/>
      </c>
      <c r="Z367" s="71">
        <f>Y367</f>
        <v/>
      </c>
      <c r="AA367" s="71" t="n"/>
      <c r="AB367" s="109" t="n"/>
      <c r="AC367" s="9">
        <f>IF(LEFT(B367,4)&lt;&gt;"    ",0,BK367)</f>
        <v/>
      </c>
      <c r="AD367" s="9">
        <f>Z367-AC367</f>
        <v/>
      </c>
      <c r="AE367" s="10" t="n"/>
      <c r="AF367" s="24" t="n"/>
      <c r="AG367" s="11" t="n"/>
      <c r="AH367" s="8" t="n"/>
      <c r="AI367" s="9">
        <f>IF(LEFT(B367,4)&lt;&gt;"    ","",AG367-AH367)</f>
        <v/>
      </c>
      <c r="AJ367" s="9" t="n"/>
      <c r="AK367" s="10" t="n"/>
      <c r="AL367" s="11">
        <f>IF(LEFT(B367,4)&lt;&gt;"    ","",W367-AG367)</f>
        <v/>
      </c>
      <c r="AM367" s="8">
        <f>IF(LEFT(B367,4)&lt;&gt;"    ","",X367-AH367)</f>
        <v/>
      </c>
      <c r="AN367" s="9">
        <f>IF(LEFT(B367,4)&lt;&gt;"    ","",Y367-AI367)</f>
        <v/>
      </c>
      <c r="AO367" s="9">
        <f>IF(LEFT(B367,4)&lt;&gt;"    ","",Z367-AJ367)</f>
        <v/>
      </c>
      <c r="AP367" s="10" t="n"/>
      <c r="AQ367" s="25">
        <f>IF(LEFT(B367,4)&lt;&gt;"    ","",I367-W367)</f>
        <v/>
      </c>
      <c r="AR367" s="25">
        <f>M367-X367</f>
        <v/>
      </c>
      <c r="AS367" s="25">
        <f>IF(LEFT(B367,4)&lt;&gt;"    ","",P367-Z367)</f>
        <v/>
      </c>
      <c r="AT367" s="10" t="n"/>
      <c r="AU367" s="12" t="n"/>
      <c r="AV367" s="12">
        <f>IF(LEFT(B367,4)&lt;&gt;"    ","",IF(W367-AU367&gt;=0,W367-AU367," "))</f>
        <v/>
      </c>
      <c r="AW367" s="12">
        <f>IF(LEFT(B367,4)&lt;&gt;"    ","",IF(AU367-W367&gt;=0,AU367-W367," "))</f>
        <v/>
      </c>
      <c r="AX367" s="186" t="n"/>
      <c r="AY367" s="187" t="n"/>
      <c r="AZ367" s="186" t="n"/>
      <c r="BA367" s="186" t="n"/>
      <c r="BB367" s="188" t="n"/>
      <c r="BC367" s="187" t="n"/>
      <c r="BD367" s="187" t="n"/>
      <c r="BE367" s="186" t="n"/>
      <c r="BF367" s="186" t="n"/>
      <c r="BG367" s="186" t="n"/>
      <c r="BH367" s="186" t="n"/>
      <c r="BI367" s="186" t="n"/>
      <c r="BJ367" s="186" t="n"/>
      <c r="BK367" s="186" t="n"/>
      <c r="BL367" s="186" t="n"/>
      <c r="BM367" s="186" t="n"/>
      <c r="BN367" s="186" t="n"/>
      <c r="BO367" s="186" t="n"/>
      <c r="BP367" s="186" t="n"/>
      <c r="BQ367" s="186" t="n"/>
      <c r="BR367" s="186" t="n"/>
      <c r="BS367" s="186" t="n"/>
      <c r="BT367" s="186" t="n"/>
      <c r="BU367" s="186" t="n"/>
      <c r="BV367" s="186" t="n"/>
      <c r="BW367" s="186" t="n"/>
      <c r="BX367" s="186" t="n"/>
      <c r="BY367" s="186" t="n"/>
      <c r="BZ367" s="186" t="n"/>
      <c r="CA367" s="186" t="n"/>
      <c r="CB367" s="186" t="n"/>
      <c r="CC367" s="190" t="n"/>
      <c r="CD367" s="186" t="n"/>
      <c r="CE367" s="186" t="n"/>
      <c r="CF367" s="186" t="n"/>
      <c r="CG367" s="186" t="n"/>
      <c r="CH367" s="186" t="n"/>
      <c r="CI367" s="191" t="n"/>
      <c r="CJ367" s="192" t="n"/>
      <c r="CK367" s="192" t="n"/>
      <c r="CL367" s="192" t="n"/>
      <c r="CM367" s="192" t="n"/>
    </row>
    <row r="368">
      <c r="A368" s="177" t="n"/>
      <c r="B368" s="195" t="n"/>
      <c r="C368" s="178" t="n"/>
      <c r="D368" s="179" t="n"/>
      <c r="E368" s="180" t="n"/>
      <c r="F368" s="181" t="n"/>
      <c r="G368" s="182" t="n"/>
      <c r="H368" s="105" t="n"/>
      <c r="I368" s="196">
        <f>F368</f>
        <v/>
      </c>
      <c r="J368" s="184" t="n"/>
      <c r="K368" s="185" t="n"/>
      <c r="L368" s="8" t="n"/>
      <c r="M368" s="71">
        <f>L368</f>
        <v/>
      </c>
      <c r="N368" s="71" t="n"/>
      <c r="O368" s="101" t="n"/>
      <c r="P368" s="9">
        <f>I368-M368</f>
        <v/>
      </c>
      <c r="Q368" s="9">
        <f>IF(LEFT(B368,4)&lt;&gt;"    ",0,BN368)</f>
        <v/>
      </c>
      <c r="R368" s="9">
        <f>+P368-Q368</f>
        <v/>
      </c>
      <c r="S368" s="281" t="n"/>
      <c r="T368" s="10" t="n"/>
      <c r="U368" s="23">
        <f>IF(LEFT(B368,4)&lt;&gt;"    ","",IF(M368&lt;&gt;0,X368/M368,0))</f>
        <v/>
      </c>
      <c r="V368" s="11">
        <f>IF(LEFT(B368,4)&lt;&gt;"    ","",U368*I368)</f>
        <v/>
      </c>
      <c r="W368" s="11">
        <f>IF(LEFT(B368,4)&lt;&gt;"    ","",X368+Z368)</f>
        <v/>
      </c>
      <c r="X368" s="8" t="n"/>
      <c r="Y368" s="9">
        <f>IF(LEFT(B368,4)&lt;&gt;"    ",0,IF(P368&lt;0,P368,IF(U368&gt;0.3,W368-X368,0)))</f>
        <v/>
      </c>
      <c r="Z368" s="71">
        <f>Y368</f>
        <v/>
      </c>
      <c r="AA368" s="71" t="n"/>
      <c r="AB368" s="109" t="n"/>
      <c r="AC368" s="9">
        <f>IF(LEFT(B368,4)&lt;&gt;"    ",0,BK368)</f>
        <v/>
      </c>
      <c r="AD368" s="9">
        <f>Z368-AC368</f>
        <v/>
      </c>
      <c r="AE368" s="10" t="n"/>
      <c r="AF368" s="24" t="n"/>
      <c r="AG368" s="11" t="n"/>
      <c r="AH368" s="8" t="n"/>
      <c r="AI368" s="9">
        <f>IF(LEFT(B368,4)&lt;&gt;"    ","",AG368-AH368)</f>
        <v/>
      </c>
      <c r="AJ368" s="9" t="n"/>
      <c r="AK368" s="10" t="n"/>
      <c r="AL368" s="11">
        <f>IF(LEFT(B368,4)&lt;&gt;"    ","",W368-AG368)</f>
        <v/>
      </c>
      <c r="AM368" s="8">
        <f>IF(LEFT(B368,4)&lt;&gt;"    ","",X368-AH368)</f>
        <v/>
      </c>
      <c r="AN368" s="9">
        <f>IF(LEFT(B368,4)&lt;&gt;"    ","",Y368-AI368)</f>
        <v/>
      </c>
      <c r="AO368" s="9">
        <f>IF(LEFT(B368,4)&lt;&gt;"    ","",Z368-AJ368)</f>
        <v/>
      </c>
      <c r="AP368" s="10" t="n"/>
      <c r="AQ368" s="25">
        <f>IF(LEFT(B368,4)&lt;&gt;"    ","",I368-W368)</f>
        <v/>
      </c>
      <c r="AR368" s="25">
        <f>M368-X368</f>
        <v/>
      </c>
      <c r="AS368" s="25">
        <f>IF(LEFT(B368,4)&lt;&gt;"    ","",P368-Z368)</f>
        <v/>
      </c>
      <c r="AT368" s="10" t="n"/>
      <c r="AU368" s="12" t="n"/>
      <c r="AV368" s="12">
        <f>IF(LEFT(B368,4)&lt;&gt;"    ","",IF(W368-AU368&gt;=0,W368-AU368," "))</f>
        <v/>
      </c>
      <c r="AW368" s="12">
        <f>IF(LEFT(B368,4)&lt;&gt;"    ","",IF(AU368-W368&gt;=0,AU368-W368," "))</f>
        <v/>
      </c>
      <c r="AX368" s="186" t="n"/>
      <c r="AY368" s="187" t="n"/>
      <c r="AZ368" s="186" t="n"/>
      <c r="BA368" s="186" t="n"/>
      <c r="BB368" s="188" t="n"/>
      <c r="BC368" s="187" t="n"/>
      <c r="BD368" s="187" t="n"/>
      <c r="BE368" s="186" t="n"/>
      <c r="BF368" s="186" t="n"/>
      <c r="BG368" s="186" t="n"/>
      <c r="BH368" s="186" t="n"/>
      <c r="BI368" s="186" t="n"/>
      <c r="BJ368" s="186" t="n"/>
      <c r="BK368" s="186" t="n"/>
      <c r="BL368" s="186" t="n"/>
      <c r="BM368" s="186" t="n"/>
      <c r="BN368" s="186" t="n"/>
      <c r="BO368" s="186" t="n"/>
      <c r="BP368" s="186" t="n"/>
      <c r="BQ368" s="186" t="n"/>
      <c r="BR368" s="186" t="n"/>
      <c r="BS368" s="186" t="n"/>
      <c r="BT368" s="186" t="n"/>
      <c r="BU368" s="186" t="n"/>
      <c r="BV368" s="186" t="n"/>
      <c r="BW368" s="186" t="n"/>
      <c r="BX368" s="186" t="n"/>
      <c r="BY368" s="186" t="n"/>
      <c r="BZ368" s="186" t="n"/>
      <c r="CA368" s="186" t="n"/>
      <c r="CB368" s="186" t="n"/>
      <c r="CC368" s="190" t="n"/>
      <c r="CD368" s="186" t="n"/>
      <c r="CE368" s="186" t="n"/>
      <c r="CF368" s="186" t="n"/>
      <c r="CG368" s="186" t="n"/>
      <c r="CH368" s="186" t="n"/>
      <c r="CI368" s="191" t="n"/>
      <c r="CJ368" s="192" t="n"/>
      <c r="CK368" s="192" t="n"/>
      <c r="CL368" s="192" t="n"/>
      <c r="CM368" s="192" t="n"/>
    </row>
    <row r="369">
      <c r="A369" s="177" t="n"/>
      <c r="B369" s="178" t="n"/>
      <c r="C369" s="178" t="n"/>
      <c r="D369" s="179" t="n"/>
      <c r="E369" s="180" t="n"/>
      <c r="F369" s="181" t="n"/>
      <c r="G369" s="182" t="n"/>
      <c r="H369" s="105" t="n"/>
      <c r="I369" s="196">
        <f>F369</f>
        <v/>
      </c>
      <c r="J369" s="184" t="n"/>
      <c r="K369" s="185" t="n"/>
      <c r="L369" s="8" t="n"/>
      <c r="M369" s="71">
        <f>L369</f>
        <v/>
      </c>
      <c r="N369" s="71" t="n"/>
      <c r="O369" s="101" t="n"/>
      <c r="P369" s="9">
        <f>I369-M369</f>
        <v/>
      </c>
      <c r="Q369" s="9">
        <f>IF(LEFT(B369,4)&lt;&gt;"    ",0,BN369)</f>
        <v/>
      </c>
      <c r="R369" s="9">
        <f>+P369-Q369</f>
        <v/>
      </c>
      <c r="S369" s="281" t="n"/>
      <c r="T369" s="10" t="n"/>
      <c r="U369" s="23">
        <f>IF(LEFT(B369,4)&lt;&gt;"    ","",IF(M369&lt;&gt;0,X369/M369,0))</f>
        <v/>
      </c>
      <c r="V369" s="11">
        <f>IF(LEFT(B369,4)&lt;&gt;"    ","",U369*I369)</f>
        <v/>
      </c>
      <c r="W369" s="11">
        <f>IF(LEFT(B369,4)&lt;&gt;"    ","",X369+Z369)</f>
        <v/>
      </c>
      <c r="X369" s="8" t="n"/>
      <c r="Y369" s="9">
        <f>IF(LEFT(B369,4)&lt;&gt;"    ",0,IF(P369&lt;0,P369,IF(U369&gt;0.3,W369-X369,0)))</f>
        <v/>
      </c>
      <c r="Z369" s="71">
        <f>Y369</f>
        <v/>
      </c>
      <c r="AA369" s="71" t="n"/>
      <c r="AB369" s="109" t="n"/>
      <c r="AC369" s="9">
        <f>IF(LEFT(B369,4)&lt;&gt;"    ",0,BK369)</f>
        <v/>
      </c>
      <c r="AD369" s="9">
        <f>Z369-AC369</f>
        <v/>
      </c>
      <c r="AE369" s="10" t="n"/>
      <c r="AF369" s="24" t="n"/>
      <c r="AG369" s="11" t="n"/>
      <c r="AH369" s="8" t="n"/>
      <c r="AI369" s="9">
        <f>IF(LEFT(B369,4)&lt;&gt;"    ","",AG369-AH369)</f>
        <v/>
      </c>
      <c r="AJ369" s="9" t="n"/>
      <c r="AK369" s="10" t="n"/>
      <c r="AL369" s="11">
        <f>IF(LEFT(B369,4)&lt;&gt;"    ","",W369-AG369)</f>
        <v/>
      </c>
      <c r="AM369" s="8">
        <f>IF(LEFT(B369,4)&lt;&gt;"    ","",X369-AH369)</f>
        <v/>
      </c>
      <c r="AN369" s="9">
        <f>IF(LEFT(B369,4)&lt;&gt;"    ","",Y369-AI369)</f>
        <v/>
      </c>
      <c r="AO369" s="9">
        <f>IF(LEFT(B369,4)&lt;&gt;"    ","",Z369-AJ369)</f>
        <v/>
      </c>
      <c r="AP369" s="10" t="n"/>
      <c r="AQ369" s="25">
        <f>IF(LEFT(B369,4)&lt;&gt;"    ","",I369-W369)</f>
        <v/>
      </c>
      <c r="AR369" s="25">
        <f>M369-X369</f>
        <v/>
      </c>
      <c r="AS369" s="25">
        <f>IF(LEFT(B369,4)&lt;&gt;"    ","",P369-Z369)</f>
        <v/>
      </c>
      <c r="AT369" s="10" t="n"/>
      <c r="AU369" s="12" t="n"/>
      <c r="AV369" s="12">
        <f>IF(LEFT(B369,4)&lt;&gt;"    ","",IF(W369-AU369&gt;=0,W369-AU369," "))</f>
        <v/>
      </c>
      <c r="AW369" s="12">
        <f>IF(LEFT(B369,4)&lt;&gt;"    ","",IF(AU369-W369&gt;=0,AU369-W369," "))</f>
        <v/>
      </c>
      <c r="AX369" s="186" t="n"/>
      <c r="AY369" s="187" t="n"/>
      <c r="AZ369" s="186" t="n"/>
      <c r="BA369" s="186" t="n"/>
      <c r="BB369" s="188" t="n"/>
      <c r="BC369" s="187" t="n"/>
      <c r="BD369" s="187" t="n"/>
      <c r="BE369" s="186" t="n"/>
      <c r="BF369" s="186" t="n"/>
      <c r="BG369" s="186" t="n"/>
      <c r="BH369" s="186" t="n"/>
      <c r="BI369" s="186" t="n"/>
      <c r="BJ369" s="186" t="n"/>
      <c r="BK369" s="186" t="n"/>
      <c r="BL369" s="186" t="n"/>
      <c r="BM369" s="186" t="n"/>
      <c r="BN369" s="186" t="n"/>
      <c r="BO369" s="186" t="n"/>
      <c r="BP369" s="186" t="n"/>
      <c r="BQ369" s="186" t="n"/>
      <c r="BR369" s="186" t="n"/>
      <c r="BS369" s="186" t="n"/>
      <c r="BT369" s="186" t="n"/>
      <c r="BU369" s="186" t="n"/>
      <c r="BV369" s="186" t="n"/>
      <c r="BW369" s="186" t="n"/>
      <c r="BX369" s="186" t="n"/>
      <c r="BY369" s="186" t="n"/>
      <c r="BZ369" s="186" t="n"/>
      <c r="CA369" s="186" t="n"/>
      <c r="CB369" s="186" t="n"/>
      <c r="CC369" s="190" t="n"/>
      <c r="CD369" s="186" t="n"/>
      <c r="CE369" s="186" t="n"/>
      <c r="CF369" s="186" t="n"/>
      <c r="CG369" s="186" t="n"/>
      <c r="CH369" s="186" t="n"/>
      <c r="CI369" s="191" t="n"/>
      <c r="CJ369" s="192" t="n"/>
      <c r="CK369" s="192" t="n"/>
      <c r="CL369" s="192" t="n"/>
      <c r="CM369" s="192" t="n"/>
    </row>
    <row r="370">
      <c r="A370" s="177" t="n"/>
      <c r="B370" s="178" t="n"/>
      <c r="C370" s="178" t="n"/>
      <c r="D370" s="179" t="n"/>
      <c r="E370" s="180" t="n"/>
      <c r="F370" s="181" t="n"/>
      <c r="G370" s="182" t="n"/>
      <c r="H370" s="105" t="n"/>
      <c r="I370" s="196">
        <f>F370</f>
        <v/>
      </c>
      <c r="J370" s="184" t="n"/>
      <c r="K370" s="185" t="n"/>
      <c r="L370" s="8" t="n"/>
      <c r="M370" s="184">
        <f>L370</f>
        <v/>
      </c>
      <c r="N370" s="184" t="n"/>
      <c r="O370" s="185" t="n"/>
      <c r="P370" s="9">
        <f>I370-M370</f>
        <v/>
      </c>
      <c r="Q370" s="9">
        <f>IF(LEFT(B370,4)&lt;&gt;"    ",0,BN370)</f>
        <v/>
      </c>
      <c r="R370" s="9">
        <f>+P370-Q370</f>
        <v/>
      </c>
      <c r="S370" s="281" t="n"/>
      <c r="T370" s="10" t="n"/>
      <c r="U370" s="23">
        <f>IF(LEFT(B370,4)&lt;&gt;"    ","",IF(M370&lt;&gt;0,X370/M370,0))</f>
        <v/>
      </c>
      <c r="V370" s="11">
        <f>IF(LEFT(B370,4)&lt;&gt;"    ","",U370*I370)</f>
        <v/>
      </c>
      <c r="W370" s="11">
        <f>IF(LEFT(B370,4)&lt;&gt;"    ","",X370+Z370)</f>
        <v/>
      </c>
      <c r="X370" s="8" t="n"/>
      <c r="Y370" s="9">
        <f>IF(LEFT(B370,4)&lt;&gt;"    ",0,IF(P370&lt;0,P370,IF(U370&gt;0.3,W370-X370,0)))</f>
        <v/>
      </c>
      <c r="Z370" s="71">
        <f>Y370</f>
        <v/>
      </c>
      <c r="AA370" s="71" t="n"/>
      <c r="AB370" s="109" t="n"/>
      <c r="AC370" s="9">
        <f>IF(LEFT(B370,4)&lt;&gt;"    ",0,BK370)</f>
        <v/>
      </c>
      <c r="AD370" s="9">
        <f>Z370-AC370</f>
        <v/>
      </c>
      <c r="AE370" s="10" t="n"/>
      <c r="AF370" s="24" t="n"/>
      <c r="AG370" s="11" t="n"/>
      <c r="AH370" s="8" t="n"/>
      <c r="AI370" s="9">
        <f>IF(LEFT(B370,4)&lt;&gt;"    ","",AG370-AH370)</f>
        <v/>
      </c>
      <c r="AJ370" s="9" t="n"/>
      <c r="AK370" s="10" t="n"/>
      <c r="AL370" s="11">
        <f>IF(LEFT(B370,4)&lt;&gt;"    ","",W370-AG370)</f>
        <v/>
      </c>
      <c r="AM370" s="8">
        <f>IF(LEFT(B370,4)&lt;&gt;"    ","",X370-AH370)</f>
        <v/>
      </c>
      <c r="AN370" s="9">
        <f>IF(LEFT(B370,4)&lt;&gt;"    ","",Y370-AI370)</f>
        <v/>
      </c>
      <c r="AO370" s="9">
        <f>IF(LEFT(B370,4)&lt;&gt;"    ","",Z370-AJ370)</f>
        <v/>
      </c>
      <c r="AP370" s="10" t="n"/>
      <c r="AQ370" s="25">
        <f>IF(LEFT(B370,4)&lt;&gt;"    ","",I370-W370)</f>
        <v/>
      </c>
      <c r="AR370" s="25">
        <f>M370-X370</f>
        <v/>
      </c>
      <c r="AS370" s="25">
        <f>IF(LEFT(B370,4)&lt;&gt;"    ","",P370-Z370)</f>
        <v/>
      </c>
      <c r="AT370" s="10" t="n"/>
      <c r="AU370" s="12" t="n"/>
      <c r="AV370" s="12">
        <f>IF(LEFT(B370,4)&lt;&gt;"    ","",IF(W370-AU370&gt;=0,W370-AU370," "))</f>
        <v/>
      </c>
      <c r="AW370" s="12">
        <f>IF(LEFT(B370,4)&lt;&gt;"    ","",IF(AU370-W370&gt;=0,AU370-W370," "))</f>
        <v/>
      </c>
      <c r="AX370" s="186" t="n"/>
      <c r="AY370" s="187" t="n"/>
      <c r="AZ370" s="186" t="n"/>
      <c r="BA370" s="186" t="n"/>
      <c r="BB370" s="188" t="n"/>
      <c r="BC370" s="187" t="n"/>
      <c r="BD370" s="187" t="n"/>
      <c r="BE370" s="186" t="n"/>
      <c r="BF370" s="186" t="n"/>
      <c r="BG370" s="186" t="n"/>
      <c r="BH370" s="186" t="n"/>
      <c r="BI370" s="186" t="n"/>
      <c r="BJ370" s="186" t="n"/>
      <c r="BK370" s="186" t="n"/>
      <c r="BL370" s="186" t="n"/>
      <c r="BM370" s="186" t="n"/>
      <c r="BN370" s="186" t="n"/>
      <c r="BO370" s="186" t="n"/>
      <c r="BP370" s="186" t="n"/>
      <c r="BQ370" s="186" t="n"/>
      <c r="BR370" s="186" t="n"/>
      <c r="BS370" s="186" t="n"/>
      <c r="BT370" s="186" t="n"/>
      <c r="BU370" s="186" t="n"/>
      <c r="BV370" s="186" t="n"/>
      <c r="BW370" s="186" t="n"/>
      <c r="BX370" s="186" t="n"/>
      <c r="BY370" s="186" t="n"/>
      <c r="BZ370" s="186" t="n"/>
      <c r="CA370" s="186" t="n"/>
      <c r="CB370" s="186" t="n"/>
      <c r="CC370" s="190" t="n"/>
      <c r="CD370" s="186" t="n"/>
      <c r="CE370" s="186" t="n"/>
      <c r="CF370" s="186" t="n"/>
      <c r="CG370" s="186" t="n"/>
      <c r="CH370" s="186" t="n"/>
      <c r="CI370" s="191" t="n"/>
      <c r="CJ370" s="192" t="n"/>
      <c r="CK370" s="192" t="n"/>
      <c r="CL370" s="192" t="n"/>
      <c r="CM370" s="192" t="n"/>
    </row>
    <row r="371">
      <c r="A371" s="177" t="n"/>
      <c r="B371" s="178" t="n"/>
      <c r="C371" s="178" t="n"/>
      <c r="D371" s="179" t="n"/>
      <c r="E371" s="180" t="n"/>
      <c r="F371" s="181" t="n"/>
      <c r="G371" s="182" t="n"/>
      <c r="H371" s="105" t="n"/>
      <c r="I371" s="196">
        <f>F371</f>
        <v/>
      </c>
      <c r="J371" s="184" t="n"/>
      <c r="K371" s="185" t="n"/>
      <c r="L371" s="8" t="n"/>
      <c r="M371" s="71">
        <f>L371</f>
        <v/>
      </c>
      <c r="N371" s="71" t="n"/>
      <c r="O371" s="101" t="n"/>
      <c r="P371" s="9">
        <f>I371-M371</f>
        <v/>
      </c>
      <c r="Q371" s="9">
        <f>IF(LEFT(B371,4)&lt;&gt;"    ",0,BN371)</f>
        <v/>
      </c>
      <c r="R371" s="9">
        <f>+P371-Q371</f>
        <v/>
      </c>
      <c r="S371" s="281" t="n"/>
      <c r="T371" s="10" t="n"/>
      <c r="U371" s="23">
        <f>IF(LEFT(B371,4)&lt;&gt;"    ","",IF(M371&lt;&gt;0,X371/M371,0))</f>
        <v/>
      </c>
      <c r="V371" s="11">
        <f>IF(LEFT(B371,4)&lt;&gt;"    ","",U371*I371)</f>
        <v/>
      </c>
      <c r="W371" s="11">
        <f>IF(LEFT(B371,4)&lt;&gt;"    ","",X371+Z371)</f>
        <v/>
      </c>
      <c r="X371" s="8" t="n"/>
      <c r="Y371" s="9">
        <f>IF(LEFT(B371,4)&lt;&gt;"    ",0,IF(P371&lt;0,P371,IF(U371&gt;0.3,W371-X371,0)))</f>
        <v/>
      </c>
      <c r="Z371" s="71">
        <f>Y371</f>
        <v/>
      </c>
      <c r="AA371" s="71" t="n"/>
      <c r="AB371" s="109" t="n"/>
      <c r="AC371" s="9">
        <f>IF(LEFT(B371,4)&lt;&gt;"    ",0,BK371)</f>
        <v/>
      </c>
      <c r="AD371" s="9">
        <f>Z371-AC371</f>
        <v/>
      </c>
      <c r="AE371" s="10" t="n"/>
      <c r="AF371" s="24" t="n"/>
      <c r="AG371" s="11" t="n"/>
      <c r="AH371" s="8" t="n"/>
      <c r="AI371" s="9">
        <f>IF(LEFT(B371,4)&lt;&gt;"    ","",AG371-AH371)</f>
        <v/>
      </c>
      <c r="AJ371" s="9" t="n"/>
      <c r="AK371" s="10" t="n"/>
      <c r="AL371" s="11">
        <f>IF(LEFT(B371,4)&lt;&gt;"    ","",W371-AG371)</f>
        <v/>
      </c>
      <c r="AM371" s="8">
        <f>IF(LEFT(B371,4)&lt;&gt;"    ","",X371-AH371)</f>
        <v/>
      </c>
      <c r="AN371" s="9">
        <f>IF(LEFT(B371,4)&lt;&gt;"    ","",Y371-AI371)</f>
        <v/>
      </c>
      <c r="AO371" s="9">
        <f>IF(LEFT(B371,4)&lt;&gt;"    ","",Z371-AJ371)</f>
        <v/>
      </c>
      <c r="AP371" s="10" t="n"/>
      <c r="AQ371" s="25">
        <f>IF(LEFT(B371,4)&lt;&gt;"    ","",I371-W371)</f>
        <v/>
      </c>
      <c r="AR371" s="25">
        <f>M371-X371</f>
        <v/>
      </c>
      <c r="AS371" s="25">
        <f>IF(LEFT(B371,4)&lt;&gt;"    ","",P371-Z371)</f>
        <v/>
      </c>
      <c r="AT371" s="10" t="n"/>
      <c r="AU371" s="12" t="n"/>
      <c r="AV371" s="12">
        <f>IF(LEFT(B371,4)&lt;&gt;"    ","",IF(W371-AU371&gt;=0,W371-AU371," "))</f>
        <v/>
      </c>
      <c r="AW371" s="12">
        <f>IF(LEFT(B371,4)&lt;&gt;"    ","",IF(AU371-W371&gt;=0,AU371-W371," "))</f>
        <v/>
      </c>
      <c r="AX371" s="186" t="n"/>
      <c r="AY371" s="187" t="n"/>
      <c r="AZ371" s="186" t="n"/>
      <c r="BA371" s="186" t="n"/>
      <c r="BB371" s="188" t="n"/>
      <c r="BC371" s="187" t="n"/>
      <c r="BD371" s="187" t="n"/>
      <c r="BE371" s="186" t="n"/>
      <c r="BF371" s="186" t="n"/>
      <c r="BG371" s="186" t="n"/>
      <c r="BH371" s="186" t="n"/>
      <c r="BI371" s="186" t="n"/>
      <c r="BJ371" s="186" t="n"/>
      <c r="BK371" s="186" t="n"/>
      <c r="BL371" s="186" t="n"/>
      <c r="BM371" s="186" t="n"/>
      <c r="BN371" s="186" t="n"/>
      <c r="BO371" s="186" t="n"/>
      <c r="BP371" s="186" t="n"/>
      <c r="BQ371" s="186" t="n"/>
      <c r="BR371" s="186" t="n"/>
      <c r="BS371" s="186" t="n"/>
      <c r="BT371" s="186" t="n"/>
      <c r="BU371" s="186" t="n"/>
      <c r="BV371" s="186" t="n"/>
      <c r="BW371" s="186" t="n"/>
      <c r="BX371" s="186" t="n"/>
      <c r="BY371" s="186" t="n"/>
      <c r="BZ371" s="186" t="n"/>
      <c r="CA371" s="186" t="n"/>
      <c r="CB371" s="186" t="n"/>
      <c r="CC371" s="190" t="n"/>
      <c r="CD371" s="186" t="n"/>
      <c r="CE371" s="186" t="n"/>
      <c r="CF371" s="186" t="n"/>
      <c r="CG371" s="186" t="n"/>
      <c r="CH371" s="186" t="n"/>
      <c r="CI371" s="191" t="n"/>
      <c r="CJ371" s="192" t="n"/>
      <c r="CK371" s="192" t="n"/>
      <c r="CL371" s="192" t="n"/>
      <c r="CM371" s="192" t="n"/>
    </row>
    <row r="372">
      <c r="A372" s="177" t="n"/>
      <c r="B372" s="178" t="n"/>
      <c r="C372" s="178" t="n"/>
      <c r="D372" s="179" t="n"/>
      <c r="E372" s="180" t="n"/>
      <c r="F372" s="181" t="n"/>
      <c r="G372" s="182" t="n"/>
      <c r="H372" s="105" t="n"/>
      <c r="I372" s="196">
        <f>F372</f>
        <v/>
      </c>
      <c r="J372" s="184" t="n"/>
      <c r="K372" s="185" t="n"/>
      <c r="L372" s="8" t="n"/>
      <c r="M372" s="71">
        <f>L372</f>
        <v/>
      </c>
      <c r="N372" s="71" t="n"/>
      <c r="O372" s="101" t="n"/>
      <c r="P372" s="9">
        <f>I372-M372</f>
        <v/>
      </c>
      <c r="Q372" s="9">
        <f>IF(LEFT(B372,4)&lt;&gt;"    ",0,BN372)</f>
        <v/>
      </c>
      <c r="R372" s="9">
        <f>+P372-Q372</f>
        <v/>
      </c>
      <c r="S372" s="281" t="n"/>
      <c r="T372" s="10" t="n"/>
      <c r="U372" s="23">
        <f>IF(LEFT(B372,4)&lt;&gt;"    ","",IF(M372&lt;&gt;0,X372/M372,0))</f>
        <v/>
      </c>
      <c r="V372" s="11">
        <f>IF(LEFT(B372,4)&lt;&gt;"    ","",U372*I372)</f>
        <v/>
      </c>
      <c r="W372" s="11">
        <f>IF(LEFT(B372,4)&lt;&gt;"    ","",X372+Z372)</f>
        <v/>
      </c>
      <c r="X372" s="8" t="n"/>
      <c r="Y372" s="9">
        <f>IF(LEFT(B372,4)&lt;&gt;"    ",0,IF(P372&lt;0,P372,IF(U372&gt;0.3,W372-X372,0)))</f>
        <v/>
      </c>
      <c r="Z372" s="71">
        <f>Y372</f>
        <v/>
      </c>
      <c r="AA372" s="71" t="n"/>
      <c r="AB372" s="109" t="n"/>
      <c r="AC372" s="9">
        <f>IF(LEFT(B372,4)&lt;&gt;"    ",0,BK372)</f>
        <v/>
      </c>
      <c r="AD372" s="9">
        <f>Z372-AC372</f>
        <v/>
      </c>
      <c r="AE372" s="10" t="n"/>
      <c r="AF372" s="24" t="n"/>
      <c r="AG372" s="11" t="n"/>
      <c r="AH372" s="8" t="n"/>
      <c r="AI372" s="9">
        <f>IF(LEFT(B372,4)&lt;&gt;"    ","",AG372-AH372)</f>
        <v/>
      </c>
      <c r="AJ372" s="9" t="n"/>
      <c r="AK372" s="10" t="n"/>
      <c r="AL372" s="11">
        <f>IF(LEFT(B372,4)&lt;&gt;"    ","",W372-AG372)</f>
        <v/>
      </c>
      <c r="AM372" s="8">
        <f>IF(LEFT(B372,4)&lt;&gt;"    ","",X372-AH372)</f>
        <v/>
      </c>
      <c r="AN372" s="9">
        <f>IF(LEFT(B372,4)&lt;&gt;"    ","",Y372-AI372)</f>
        <v/>
      </c>
      <c r="AO372" s="9">
        <f>IF(LEFT(B372,4)&lt;&gt;"    ","",Z372-AJ372)</f>
        <v/>
      </c>
      <c r="AP372" s="10" t="n"/>
      <c r="AQ372" s="25">
        <f>IF(LEFT(B372,4)&lt;&gt;"    ","",I372-W372)</f>
        <v/>
      </c>
      <c r="AR372" s="25">
        <f>M372-X372</f>
        <v/>
      </c>
      <c r="AS372" s="25">
        <f>IF(LEFT(B372,4)&lt;&gt;"    ","",P372-Z372)</f>
        <v/>
      </c>
      <c r="AT372" s="10" t="n"/>
      <c r="AU372" s="12" t="n"/>
      <c r="AV372" s="12">
        <f>IF(LEFT(B372,4)&lt;&gt;"    ","",IF(W372-AU372&gt;=0,W372-AU372," "))</f>
        <v/>
      </c>
      <c r="AW372" s="12">
        <f>IF(LEFT(B372,4)&lt;&gt;"    ","",IF(AU372-W372&gt;=0,AU372-W372," "))</f>
        <v/>
      </c>
      <c r="AX372" s="186" t="n"/>
      <c r="AY372" s="187" t="n"/>
      <c r="AZ372" s="186" t="n"/>
      <c r="BA372" s="186" t="n"/>
      <c r="BB372" s="188" t="n"/>
      <c r="BC372" s="187" t="n"/>
      <c r="BD372" s="187" t="n"/>
      <c r="BE372" s="186" t="n"/>
      <c r="BF372" s="186" t="n"/>
      <c r="BG372" s="186" t="n"/>
      <c r="BH372" s="186" t="n"/>
      <c r="BI372" s="186" t="n"/>
      <c r="BJ372" s="186" t="n"/>
      <c r="BK372" s="186" t="n"/>
      <c r="BL372" s="186" t="n"/>
      <c r="BM372" s="186" t="n"/>
      <c r="BN372" s="186" t="n"/>
      <c r="BO372" s="186" t="n"/>
      <c r="BP372" s="186" t="n"/>
      <c r="BQ372" s="186" t="n"/>
      <c r="BR372" s="186" t="n"/>
      <c r="BS372" s="186" t="n"/>
      <c r="BT372" s="186" t="n"/>
      <c r="BU372" s="186" t="n"/>
      <c r="BV372" s="186" t="n"/>
      <c r="BW372" s="186" t="n"/>
      <c r="BX372" s="186" t="n"/>
      <c r="BY372" s="186" t="n"/>
      <c r="BZ372" s="186" t="n"/>
      <c r="CA372" s="186" t="n"/>
      <c r="CB372" s="186" t="n"/>
      <c r="CC372" s="190" t="n"/>
      <c r="CD372" s="186" t="n"/>
      <c r="CE372" s="186" t="n"/>
      <c r="CF372" s="186" t="n"/>
      <c r="CG372" s="186" t="n"/>
      <c r="CH372" s="186" t="n"/>
      <c r="CI372" s="191" t="n"/>
      <c r="CJ372" s="192" t="n"/>
      <c r="CK372" s="192" t="n"/>
      <c r="CL372" s="192" t="n"/>
      <c r="CM372" s="192" t="n"/>
    </row>
    <row r="373">
      <c r="A373" s="177" t="n"/>
      <c r="B373" s="178" t="n"/>
      <c r="C373" s="178" t="n"/>
      <c r="D373" s="179" t="n"/>
      <c r="E373" s="180" t="n"/>
      <c r="F373" s="181" t="n"/>
      <c r="G373" s="182" t="n"/>
      <c r="H373" s="105" t="n"/>
      <c r="I373" s="196">
        <f>F373</f>
        <v/>
      </c>
      <c r="J373" s="184" t="n"/>
      <c r="K373" s="185" t="n"/>
      <c r="L373" s="8" t="n"/>
      <c r="M373" s="71">
        <f>L373</f>
        <v/>
      </c>
      <c r="N373" s="71" t="n"/>
      <c r="O373" s="101" t="n"/>
      <c r="P373" s="9">
        <f>I373-M373</f>
        <v/>
      </c>
      <c r="Q373" s="9">
        <f>IF(LEFT(B373,4)&lt;&gt;"    ",0,BN373)</f>
        <v/>
      </c>
      <c r="R373" s="9">
        <f>+P373-Q373</f>
        <v/>
      </c>
      <c r="S373" s="281" t="n"/>
      <c r="T373" s="10" t="n"/>
      <c r="U373" s="23">
        <f>IF(LEFT(B373,4)&lt;&gt;"    ","",IF(M373&lt;&gt;0,X373/M373,0))</f>
        <v/>
      </c>
      <c r="V373" s="11">
        <f>IF(LEFT(B373,4)&lt;&gt;"    ","",U373*I373)</f>
        <v/>
      </c>
      <c r="W373" s="11">
        <f>IF(LEFT(B373,4)&lt;&gt;"    ","",X373+Z373)</f>
        <v/>
      </c>
      <c r="X373" s="8" t="n"/>
      <c r="Y373" s="9">
        <f>IF(LEFT(B373,4)&lt;&gt;"    ",0,IF(P373&lt;0,P373,IF(U373&gt;0.3,W373-X373,0)))</f>
        <v/>
      </c>
      <c r="Z373" s="71">
        <f>Y373</f>
        <v/>
      </c>
      <c r="AA373" s="71" t="n"/>
      <c r="AB373" s="109" t="n"/>
      <c r="AC373" s="9">
        <f>IF(LEFT(B373,4)&lt;&gt;"    ",0,BK373)</f>
        <v/>
      </c>
      <c r="AD373" s="9">
        <f>Z373-AC373</f>
        <v/>
      </c>
      <c r="AE373" s="10" t="n"/>
      <c r="AF373" s="24" t="n"/>
      <c r="AG373" s="11" t="n"/>
      <c r="AH373" s="8" t="n"/>
      <c r="AI373" s="9">
        <f>IF(LEFT(B373,4)&lt;&gt;"    ","",AG373-AH373)</f>
        <v/>
      </c>
      <c r="AJ373" s="9" t="n"/>
      <c r="AK373" s="10" t="n"/>
      <c r="AL373" s="11">
        <f>IF(LEFT(B373,4)&lt;&gt;"    ","",W373-AG373)</f>
        <v/>
      </c>
      <c r="AM373" s="8">
        <f>IF(LEFT(B373,4)&lt;&gt;"    ","",X373-AH373)</f>
        <v/>
      </c>
      <c r="AN373" s="9">
        <f>IF(LEFT(B373,4)&lt;&gt;"    ","",Y373-AI373)</f>
        <v/>
      </c>
      <c r="AO373" s="9">
        <f>IF(LEFT(B373,4)&lt;&gt;"    ","",Z373-AJ373)</f>
        <v/>
      </c>
      <c r="AP373" s="10" t="n"/>
      <c r="AQ373" s="25">
        <f>IF(LEFT(B373,4)&lt;&gt;"    ","",I373-W373)</f>
        <v/>
      </c>
      <c r="AR373" s="25">
        <f>M373-X373</f>
        <v/>
      </c>
      <c r="AS373" s="25">
        <f>IF(LEFT(B373,4)&lt;&gt;"    ","",P373-Z373)</f>
        <v/>
      </c>
      <c r="AT373" s="10" t="n"/>
      <c r="AU373" s="12" t="n"/>
      <c r="AV373" s="12">
        <f>IF(LEFT(B373,4)&lt;&gt;"    ","",IF(W373-AU373&gt;=0,W373-AU373," "))</f>
        <v/>
      </c>
      <c r="AW373" s="12">
        <f>IF(LEFT(B373,4)&lt;&gt;"    ","",IF(AU373-W373&gt;=0,AU373-W373," "))</f>
        <v/>
      </c>
      <c r="AX373" s="186" t="n"/>
      <c r="AY373" s="187" t="n"/>
      <c r="AZ373" s="186" t="n"/>
      <c r="BA373" s="186" t="n"/>
      <c r="BB373" s="188" t="n"/>
      <c r="BC373" s="187" t="n"/>
      <c r="BD373" s="187" t="n"/>
      <c r="BE373" s="186" t="n"/>
      <c r="BF373" s="186" t="n"/>
      <c r="BG373" s="186" t="n"/>
      <c r="BH373" s="186" t="n"/>
      <c r="BI373" s="186" t="n"/>
      <c r="BJ373" s="186" t="n"/>
      <c r="BK373" s="186" t="n"/>
      <c r="BL373" s="186" t="n"/>
      <c r="BM373" s="186" t="n"/>
      <c r="BN373" s="186" t="n"/>
      <c r="BO373" s="186" t="n"/>
      <c r="BP373" s="186" t="n"/>
      <c r="BQ373" s="186" t="n"/>
      <c r="BR373" s="186" t="n"/>
      <c r="BS373" s="186" t="n"/>
      <c r="BT373" s="186" t="n"/>
      <c r="BU373" s="186" t="n"/>
      <c r="BV373" s="186" t="n"/>
      <c r="BW373" s="186" t="n"/>
      <c r="BX373" s="186" t="n"/>
      <c r="BY373" s="186" t="n"/>
      <c r="BZ373" s="186" t="n"/>
      <c r="CA373" s="186" t="n"/>
      <c r="CB373" s="186" t="n"/>
      <c r="CC373" s="190" t="n"/>
      <c r="CD373" s="186" t="n"/>
      <c r="CE373" s="186" t="n"/>
      <c r="CF373" s="186" t="n"/>
      <c r="CG373" s="186" t="n"/>
      <c r="CH373" s="186" t="n"/>
      <c r="CI373" s="191" t="n"/>
      <c r="CJ373" s="192" t="n"/>
      <c r="CK373" s="192" t="n"/>
      <c r="CL373" s="192" t="n"/>
      <c r="CM373" s="192" t="n"/>
    </row>
    <row r="374">
      <c r="A374" s="177" t="n"/>
      <c r="B374" s="178" t="n"/>
      <c r="C374" s="178" t="n"/>
      <c r="D374" s="179" t="n"/>
      <c r="E374" s="180" t="n"/>
      <c r="F374" s="181" t="n"/>
      <c r="G374" s="182" t="n"/>
      <c r="H374" s="105" t="n"/>
      <c r="I374" s="196">
        <f>F374</f>
        <v/>
      </c>
      <c r="J374" s="184" t="n"/>
      <c r="K374" s="185" t="n"/>
      <c r="L374" s="8" t="n"/>
      <c r="M374" s="71">
        <f>L374</f>
        <v/>
      </c>
      <c r="N374" s="71" t="n"/>
      <c r="O374" s="101" t="n"/>
      <c r="P374" s="9">
        <f>I374-M374</f>
        <v/>
      </c>
      <c r="Q374" s="9">
        <f>IF(LEFT(B374,4)&lt;&gt;"    ",0,BN374)</f>
        <v/>
      </c>
      <c r="R374" s="9">
        <f>+P374-Q374</f>
        <v/>
      </c>
      <c r="S374" s="281" t="n"/>
      <c r="T374" s="10" t="n"/>
      <c r="U374" s="23">
        <f>IF(LEFT(B374,4)&lt;&gt;"    ","",IF(M374&lt;&gt;0,X374/M374,0))</f>
        <v/>
      </c>
      <c r="V374" s="11">
        <f>IF(LEFT(B374,4)&lt;&gt;"    ","",U374*I374)</f>
        <v/>
      </c>
      <c r="W374" s="11">
        <f>IF(LEFT(B374,4)&lt;&gt;"    ","",X374+Z374)</f>
        <v/>
      </c>
      <c r="X374" s="8" t="n"/>
      <c r="Y374" s="9">
        <f>IF(LEFT(B374,4)&lt;&gt;"    ",0,IF(P374&lt;0,P374,IF(U374&gt;0.3,W374-X374,0)))</f>
        <v/>
      </c>
      <c r="Z374" s="71">
        <f>Y374</f>
        <v/>
      </c>
      <c r="AA374" s="71" t="n"/>
      <c r="AB374" s="109" t="n"/>
      <c r="AC374" s="9">
        <f>IF(LEFT(B374,4)&lt;&gt;"    ",0,BK374)</f>
        <v/>
      </c>
      <c r="AD374" s="9">
        <f>Z374-AC374</f>
        <v/>
      </c>
      <c r="AE374" s="10" t="n"/>
      <c r="AF374" s="24" t="n"/>
      <c r="AG374" s="11" t="n"/>
      <c r="AH374" s="8" t="n"/>
      <c r="AI374" s="9">
        <f>IF(LEFT(B374,4)&lt;&gt;"    ","",AG374-AH374)</f>
        <v/>
      </c>
      <c r="AJ374" s="9" t="n"/>
      <c r="AK374" s="10" t="n"/>
      <c r="AL374" s="11">
        <f>IF(LEFT(B374,4)&lt;&gt;"    ","",W374-AG374)</f>
        <v/>
      </c>
      <c r="AM374" s="8">
        <f>IF(LEFT(B374,4)&lt;&gt;"    ","",X374-AH374)</f>
        <v/>
      </c>
      <c r="AN374" s="9">
        <f>IF(LEFT(B374,4)&lt;&gt;"    ","",Y374-AI374)</f>
        <v/>
      </c>
      <c r="AO374" s="9">
        <f>IF(LEFT(B374,4)&lt;&gt;"    ","",Z374-AJ374)</f>
        <v/>
      </c>
      <c r="AP374" s="10" t="n"/>
      <c r="AQ374" s="25">
        <f>IF(LEFT(B374,4)&lt;&gt;"    ","",I374-W374)</f>
        <v/>
      </c>
      <c r="AR374" s="25">
        <f>M374-X374</f>
        <v/>
      </c>
      <c r="AS374" s="25">
        <f>IF(LEFT(B374,4)&lt;&gt;"    ","",P374-Z374)</f>
        <v/>
      </c>
      <c r="AT374" s="10" t="n"/>
      <c r="AU374" s="12" t="n"/>
      <c r="AV374" s="12">
        <f>IF(LEFT(B374,4)&lt;&gt;"    ","",IF(W374-AU374&gt;=0,W374-AU374," "))</f>
        <v/>
      </c>
      <c r="AW374" s="12">
        <f>IF(LEFT(B374,4)&lt;&gt;"    ","",IF(AU374-W374&gt;=0,AU374-W374," "))</f>
        <v/>
      </c>
      <c r="AX374" s="186" t="n"/>
      <c r="AY374" s="187" t="n"/>
      <c r="AZ374" s="186" t="n"/>
      <c r="BA374" s="186" t="n"/>
      <c r="BB374" s="188" t="n"/>
      <c r="BC374" s="187" t="n"/>
      <c r="BD374" s="187" t="n"/>
      <c r="BE374" s="186" t="n"/>
      <c r="BF374" s="186" t="n"/>
      <c r="BG374" s="186" t="n"/>
      <c r="BH374" s="186" t="n"/>
      <c r="BI374" s="186" t="n"/>
      <c r="BJ374" s="186" t="n"/>
      <c r="BK374" s="186" t="n"/>
      <c r="BL374" s="186" t="n"/>
      <c r="BM374" s="186" t="n"/>
      <c r="BN374" s="186" t="n"/>
      <c r="BO374" s="186" t="n"/>
      <c r="BP374" s="186" t="n"/>
      <c r="BQ374" s="186" t="n"/>
      <c r="BR374" s="186" t="n"/>
      <c r="BS374" s="186" t="n"/>
      <c r="BT374" s="186" t="n"/>
      <c r="BU374" s="186" t="n"/>
      <c r="BV374" s="186" t="n"/>
      <c r="BW374" s="186" t="n"/>
      <c r="BX374" s="186" t="n"/>
      <c r="BY374" s="186" t="n"/>
      <c r="BZ374" s="186" t="n"/>
      <c r="CA374" s="186" t="n"/>
      <c r="CB374" s="186" t="n"/>
      <c r="CC374" s="190" t="n"/>
      <c r="CD374" s="186" t="n"/>
      <c r="CE374" s="186" t="n"/>
      <c r="CF374" s="186" t="n"/>
      <c r="CG374" s="186" t="n"/>
      <c r="CH374" s="186" t="n"/>
      <c r="CI374" s="191" t="n"/>
      <c r="CJ374" s="192" t="n"/>
      <c r="CK374" s="192" t="n"/>
      <c r="CL374" s="192" t="n"/>
      <c r="CM374" s="192" t="n"/>
    </row>
    <row r="375">
      <c r="A375" s="177" t="n"/>
      <c r="B375" s="178" t="n"/>
      <c r="C375" s="178" t="n"/>
      <c r="D375" s="179" t="n"/>
      <c r="E375" s="180" t="n"/>
      <c r="F375" s="181" t="n"/>
      <c r="G375" s="182" t="n"/>
      <c r="H375" s="105" t="n"/>
      <c r="I375" s="196">
        <f>F375</f>
        <v/>
      </c>
      <c r="J375" s="184" t="n"/>
      <c r="K375" s="185" t="n"/>
      <c r="L375" s="8" t="n"/>
      <c r="M375" s="71">
        <f>L375</f>
        <v/>
      </c>
      <c r="N375" s="71" t="n"/>
      <c r="O375" s="101" t="n"/>
      <c r="P375" s="9">
        <f>I375-M375</f>
        <v/>
      </c>
      <c r="Q375" s="9">
        <f>IF(LEFT(B375,4)&lt;&gt;"    ",0,BN375)</f>
        <v/>
      </c>
      <c r="R375" s="9">
        <f>+P375-Q375</f>
        <v/>
      </c>
      <c r="S375" s="281" t="n"/>
      <c r="T375" s="10" t="n"/>
      <c r="U375" s="23">
        <f>IF(LEFT(B375,4)&lt;&gt;"    ","",IF(M375&lt;&gt;0,X375/M375,0))</f>
        <v/>
      </c>
      <c r="V375" s="11">
        <f>IF(LEFT(B375,4)&lt;&gt;"    ","",U375*I375)</f>
        <v/>
      </c>
      <c r="W375" s="11">
        <f>IF(LEFT(B375,4)&lt;&gt;"    ","",X375+Z375)</f>
        <v/>
      </c>
      <c r="X375" s="8" t="n"/>
      <c r="Y375" s="9">
        <f>IF(LEFT(B375,4)&lt;&gt;"    ",0,IF(P375&lt;0,P375,IF(U375&gt;0.3,W375-X375,0)))</f>
        <v/>
      </c>
      <c r="Z375" s="71">
        <f>Y375</f>
        <v/>
      </c>
      <c r="AA375" s="71" t="n"/>
      <c r="AB375" s="109" t="n"/>
      <c r="AC375" s="9">
        <f>IF(LEFT(B375,4)&lt;&gt;"    ",0,BK375)</f>
        <v/>
      </c>
      <c r="AD375" s="9">
        <f>Z375-AC375</f>
        <v/>
      </c>
      <c r="AE375" s="10" t="n"/>
      <c r="AF375" s="24" t="n"/>
      <c r="AG375" s="11" t="n"/>
      <c r="AH375" s="8" t="n"/>
      <c r="AI375" s="9">
        <f>IF(LEFT(B375,4)&lt;&gt;"    ","",AG375-AH375)</f>
        <v/>
      </c>
      <c r="AJ375" s="9" t="n"/>
      <c r="AK375" s="10" t="n"/>
      <c r="AL375" s="11">
        <f>IF(LEFT(B375,4)&lt;&gt;"    ","",W375-AG375)</f>
        <v/>
      </c>
      <c r="AM375" s="8">
        <f>IF(LEFT(B375,4)&lt;&gt;"    ","",X375-AH375)</f>
        <v/>
      </c>
      <c r="AN375" s="9">
        <f>IF(LEFT(B375,4)&lt;&gt;"    ","",Y375-AI375)</f>
        <v/>
      </c>
      <c r="AO375" s="9">
        <f>IF(LEFT(B375,4)&lt;&gt;"    ","",Z375-AJ375)</f>
        <v/>
      </c>
      <c r="AP375" s="10" t="n"/>
      <c r="AQ375" s="25">
        <f>IF(LEFT(B375,4)&lt;&gt;"    ","",I375-W375)</f>
        <v/>
      </c>
      <c r="AR375" s="25">
        <f>M375-X375</f>
        <v/>
      </c>
      <c r="AS375" s="25">
        <f>IF(LEFT(B375,4)&lt;&gt;"    ","",P375-Z375)</f>
        <v/>
      </c>
      <c r="AT375" s="10" t="n"/>
      <c r="AU375" s="12" t="n"/>
      <c r="AV375" s="12">
        <f>IF(LEFT(B375,4)&lt;&gt;"    ","",IF(W375-AU375&gt;=0,W375-AU375," "))</f>
        <v/>
      </c>
      <c r="AW375" s="12">
        <f>IF(LEFT(B375,4)&lt;&gt;"    ","",IF(AU375-W375&gt;=0,AU375-W375," "))</f>
        <v/>
      </c>
      <c r="AX375" s="186" t="n"/>
      <c r="AY375" s="187" t="n"/>
      <c r="AZ375" s="186" t="n"/>
      <c r="BA375" s="186" t="n"/>
      <c r="BB375" s="188" t="n"/>
      <c r="BC375" s="187" t="n"/>
      <c r="BD375" s="187" t="n"/>
      <c r="BE375" s="186" t="n"/>
      <c r="BF375" s="186" t="n"/>
      <c r="BG375" s="186" t="n"/>
      <c r="BH375" s="186" t="n"/>
      <c r="BI375" s="186" t="n"/>
      <c r="BJ375" s="186" t="n"/>
      <c r="BK375" s="186" t="n"/>
      <c r="BL375" s="186" t="n"/>
      <c r="BM375" s="186" t="n"/>
      <c r="BN375" s="186" t="n"/>
      <c r="BO375" s="186" t="n"/>
      <c r="BP375" s="186" t="n"/>
      <c r="BQ375" s="186" t="n"/>
      <c r="BR375" s="186" t="n"/>
      <c r="BS375" s="186" t="n"/>
      <c r="BT375" s="186" t="n"/>
      <c r="BU375" s="186" t="n"/>
      <c r="BV375" s="186" t="n"/>
      <c r="BW375" s="186" t="n"/>
      <c r="BX375" s="186" t="n"/>
      <c r="BY375" s="186" t="n"/>
      <c r="BZ375" s="186" t="n"/>
      <c r="CA375" s="186" t="n"/>
      <c r="CB375" s="186" t="n"/>
      <c r="CC375" s="190" t="n"/>
      <c r="CD375" s="186" t="n"/>
      <c r="CE375" s="186" t="n"/>
      <c r="CF375" s="186" t="n"/>
      <c r="CG375" s="186" t="n"/>
      <c r="CH375" s="186" t="n"/>
      <c r="CI375" s="191" t="n"/>
      <c r="CJ375" s="192" t="n"/>
      <c r="CK375" s="192" t="n"/>
      <c r="CL375" s="192" t="n"/>
      <c r="CM375" s="192" t="n"/>
    </row>
    <row r="376">
      <c r="A376" s="177" t="n"/>
      <c r="B376" s="178" t="n"/>
      <c r="C376" s="178" t="n"/>
      <c r="D376" s="179" t="n"/>
      <c r="E376" s="180" t="n"/>
      <c r="F376" s="181" t="n"/>
      <c r="G376" s="182" t="n"/>
      <c r="H376" s="105" t="n"/>
      <c r="I376" s="196">
        <f>F376</f>
        <v/>
      </c>
      <c r="J376" s="184" t="n"/>
      <c r="K376" s="185" t="n"/>
      <c r="L376" s="8" t="n"/>
      <c r="M376" s="71">
        <f>L376</f>
        <v/>
      </c>
      <c r="N376" s="71" t="n"/>
      <c r="O376" s="101" t="n"/>
      <c r="P376" s="9">
        <f>I376-M376</f>
        <v/>
      </c>
      <c r="Q376" s="9">
        <f>IF(LEFT(B376,4)&lt;&gt;"    ",0,BN376)</f>
        <v/>
      </c>
      <c r="R376" s="9">
        <f>+P376-Q376</f>
        <v/>
      </c>
      <c r="S376" s="281" t="n"/>
      <c r="T376" s="10" t="n"/>
      <c r="U376" s="23">
        <f>IF(LEFT(B376,4)&lt;&gt;"    ","",IF(M376&lt;&gt;0,X376/M376,0))</f>
        <v/>
      </c>
      <c r="V376" s="11">
        <f>IF(LEFT(B376,4)&lt;&gt;"    ","",U376*I376)</f>
        <v/>
      </c>
      <c r="W376" s="11">
        <f>IF(LEFT(B376,4)&lt;&gt;"    ","",X376+Z376)</f>
        <v/>
      </c>
      <c r="X376" s="8" t="n"/>
      <c r="Y376" s="9">
        <f>IF(LEFT(B376,4)&lt;&gt;"    ",0,IF(P376&lt;0,P376,IF(U376&gt;0.3,W376-X376,0)))</f>
        <v/>
      </c>
      <c r="Z376" s="71">
        <f>Y376</f>
        <v/>
      </c>
      <c r="AA376" s="71" t="n"/>
      <c r="AB376" s="109" t="n"/>
      <c r="AC376" s="9">
        <f>IF(LEFT(B376,4)&lt;&gt;"    ",0,BK376)</f>
        <v/>
      </c>
      <c r="AD376" s="9">
        <f>Z376-AC376</f>
        <v/>
      </c>
      <c r="AE376" s="10" t="n"/>
      <c r="AF376" s="24" t="n"/>
      <c r="AG376" s="11" t="n"/>
      <c r="AH376" s="8" t="n"/>
      <c r="AI376" s="9">
        <f>IF(LEFT(B376,4)&lt;&gt;"    ","",AG376-AH376)</f>
        <v/>
      </c>
      <c r="AJ376" s="9" t="n"/>
      <c r="AK376" s="10" t="n"/>
      <c r="AL376" s="11">
        <f>IF(LEFT(B376,4)&lt;&gt;"    ","",W376-AG376)</f>
        <v/>
      </c>
      <c r="AM376" s="8">
        <f>IF(LEFT(B376,4)&lt;&gt;"    ","",X376-AH376)</f>
        <v/>
      </c>
      <c r="AN376" s="9">
        <f>IF(LEFT(B376,4)&lt;&gt;"    ","",Y376-AI376)</f>
        <v/>
      </c>
      <c r="AO376" s="9">
        <f>IF(LEFT(B376,4)&lt;&gt;"    ","",Z376-AJ376)</f>
        <v/>
      </c>
      <c r="AP376" s="10" t="n"/>
      <c r="AQ376" s="25">
        <f>IF(LEFT(B376,4)&lt;&gt;"    ","",I376-W376)</f>
        <v/>
      </c>
      <c r="AR376" s="25">
        <f>M376-X376</f>
        <v/>
      </c>
      <c r="AS376" s="25">
        <f>IF(LEFT(B376,4)&lt;&gt;"    ","",P376-Z376)</f>
        <v/>
      </c>
      <c r="AT376" s="10" t="n"/>
      <c r="AU376" s="12" t="n"/>
      <c r="AV376" s="12">
        <f>IF(LEFT(B376,4)&lt;&gt;"    ","",IF(W376-AU376&gt;=0,W376-AU376," "))</f>
        <v/>
      </c>
      <c r="AW376" s="12">
        <f>IF(LEFT(B376,4)&lt;&gt;"    ","",IF(AU376-W376&gt;=0,AU376-W376," "))</f>
        <v/>
      </c>
      <c r="AX376" s="186" t="n"/>
      <c r="AY376" s="187" t="n"/>
      <c r="AZ376" s="186" t="n"/>
      <c r="BA376" s="186" t="n"/>
      <c r="BB376" s="188" t="n"/>
      <c r="BC376" s="187" t="n"/>
      <c r="BD376" s="187" t="n"/>
      <c r="BE376" s="186" t="n"/>
      <c r="BF376" s="186" t="n"/>
      <c r="BG376" s="186" t="n"/>
      <c r="BH376" s="186" t="n"/>
      <c r="BI376" s="186" t="n"/>
      <c r="BJ376" s="186" t="n"/>
      <c r="BK376" s="186" t="n"/>
      <c r="BL376" s="186" t="n"/>
      <c r="BM376" s="186" t="n"/>
      <c r="BN376" s="186" t="n"/>
      <c r="BO376" s="186" t="n"/>
      <c r="BP376" s="186" t="n"/>
      <c r="BQ376" s="186" t="n"/>
      <c r="BR376" s="186" t="n"/>
      <c r="BS376" s="186" t="n"/>
      <c r="BT376" s="186" t="n"/>
      <c r="BU376" s="186" t="n"/>
      <c r="BV376" s="186" t="n"/>
      <c r="BW376" s="186" t="n"/>
      <c r="BX376" s="186" t="n"/>
      <c r="BY376" s="186" t="n"/>
      <c r="BZ376" s="186" t="n"/>
      <c r="CA376" s="186" t="n"/>
      <c r="CB376" s="186" t="n"/>
      <c r="CC376" s="190" t="n"/>
      <c r="CD376" s="186" t="n"/>
      <c r="CE376" s="186" t="n"/>
      <c r="CF376" s="186" t="n"/>
      <c r="CG376" s="186" t="n"/>
      <c r="CH376" s="186" t="n"/>
      <c r="CI376" s="191" t="n"/>
      <c r="CJ376" s="192" t="n"/>
      <c r="CK376" s="192" t="n"/>
      <c r="CL376" s="192" t="n"/>
      <c r="CM376" s="192" t="n"/>
    </row>
    <row r="377">
      <c r="A377" s="177" t="n"/>
      <c r="B377" s="178" t="n"/>
      <c r="C377" s="178" t="n"/>
      <c r="D377" s="179" t="n"/>
      <c r="E377" s="180" t="n"/>
      <c r="F377" s="181" t="n"/>
      <c r="G377" s="182" t="n"/>
      <c r="H377" s="105" t="n"/>
      <c r="I377" s="196">
        <f>F377</f>
        <v/>
      </c>
      <c r="J377" s="184" t="n"/>
      <c r="K377" s="185" t="n"/>
      <c r="L377" s="8" t="n"/>
      <c r="M377" s="71">
        <f>L377</f>
        <v/>
      </c>
      <c r="N377" s="71" t="n"/>
      <c r="O377" s="101" t="n"/>
      <c r="P377" s="9">
        <f>I377-M377</f>
        <v/>
      </c>
      <c r="Q377" s="9">
        <f>IF(LEFT(B377,4)&lt;&gt;"    ",0,BN377)</f>
        <v/>
      </c>
      <c r="R377" s="9">
        <f>+P377-Q377</f>
        <v/>
      </c>
      <c r="S377" s="281" t="n"/>
      <c r="T377" s="10" t="n"/>
      <c r="U377" s="23">
        <f>IF(LEFT(B377,4)&lt;&gt;"    ","",IF(M377&lt;&gt;0,X377/M377,0))</f>
        <v/>
      </c>
      <c r="V377" s="11">
        <f>IF(LEFT(B377,4)&lt;&gt;"    ","",U377*I377)</f>
        <v/>
      </c>
      <c r="W377" s="11">
        <f>IF(LEFT(B377,4)&lt;&gt;"    ","",X377+Z377)</f>
        <v/>
      </c>
      <c r="X377" s="8" t="n"/>
      <c r="Y377" s="9">
        <f>IF(LEFT(B377,4)&lt;&gt;"    ",0,IF(P377&lt;0,P377,IF(U377&gt;0.3,W377-X377,0)))</f>
        <v/>
      </c>
      <c r="Z377" s="71">
        <f>Y377</f>
        <v/>
      </c>
      <c r="AA377" s="71" t="n"/>
      <c r="AB377" s="109" t="n"/>
      <c r="AC377" s="9">
        <f>IF(LEFT(B377,4)&lt;&gt;"    ",0,BK377)</f>
        <v/>
      </c>
      <c r="AD377" s="9">
        <f>Z377-AC377</f>
        <v/>
      </c>
      <c r="AE377" s="10" t="n"/>
      <c r="AF377" s="24" t="n"/>
      <c r="AG377" s="11" t="n"/>
      <c r="AH377" s="8" t="n"/>
      <c r="AI377" s="9">
        <f>IF(LEFT(B377,4)&lt;&gt;"    ","",AG377-AH377)</f>
        <v/>
      </c>
      <c r="AJ377" s="9" t="n"/>
      <c r="AK377" s="10" t="n"/>
      <c r="AL377" s="11">
        <f>IF(LEFT(B377,4)&lt;&gt;"    ","",W377-AG377)</f>
        <v/>
      </c>
      <c r="AM377" s="8">
        <f>IF(LEFT(B377,4)&lt;&gt;"    ","",X377-AH377)</f>
        <v/>
      </c>
      <c r="AN377" s="9">
        <f>IF(LEFT(B377,4)&lt;&gt;"    ","",Y377-AI377)</f>
        <v/>
      </c>
      <c r="AO377" s="9">
        <f>IF(LEFT(B377,4)&lt;&gt;"    ","",Z377-AJ377)</f>
        <v/>
      </c>
      <c r="AP377" s="10" t="n"/>
      <c r="AQ377" s="25">
        <f>IF(LEFT(B377,4)&lt;&gt;"    ","",I377-W377)</f>
        <v/>
      </c>
      <c r="AR377" s="25">
        <f>M377-X377</f>
        <v/>
      </c>
      <c r="AS377" s="25">
        <f>IF(LEFT(B377,4)&lt;&gt;"    ","",P377-Z377)</f>
        <v/>
      </c>
      <c r="AT377" s="10" t="n"/>
      <c r="AU377" s="12" t="n"/>
      <c r="AV377" s="12">
        <f>IF(LEFT(B377,4)&lt;&gt;"    ","",IF(W377-AU377&gt;=0,W377-AU377," "))</f>
        <v/>
      </c>
      <c r="AW377" s="12">
        <f>IF(LEFT(B377,4)&lt;&gt;"    ","",IF(AU377-W377&gt;=0,AU377-W377," "))</f>
        <v/>
      </c>
      <c r="AX377" s="186" t="n"/>
      <c r="AY377" s="187" t="n"/>
      <c r="AZ377" s="186" t="n"/>
      <c r="BA377" s="186" t="n"/>
      <c r="BB377" s="188" t="n"/>
      <c r="BC377" s="187" t="n"/>
      <c r="BD377" s="187" t="n"/>
      <c r="BE377" s="186" t="n"/>
      <c r="BF377" s="186" t="n"/>
      <c r="BG377" s="186" t="n"/>
      <c r="BH377" s="186" t="n"/>
      <c r="BI377" s="186" t="n"/>
      <c r="BJ377" s="186" t="n"/>
      <c r="BK377" s="186" t="n"/>
      <c r="BL377" s="186" t="n"/>
      <c r="BM377" s="186" t="n"/>
      <c r="BN377" s="186" t="n"/>
      <c r="BO377" s="186" t="n"/>
      <c r="BP377" s="186" t="n"/>
      <c r="BQ377" s="186" t="n"/>
      <c r="BR377" s="186" t="n"/>
      <c r="BS377" s="186" t="n"/>
      <c r="BT377" s="186" t="n"/>
      <c r="BU377" s="186" t="n"/>
      <c r="BV377" s="186" t="n"/>
      <c r="BW377" s="186" t="n"/>
      <c r="BX377" s="186" t="n"/>
      <c r="BY377" s="186" t="n"/>
      <c r="BZ377" s="186" t="n"/>
      <c r="CA377" s="186" t="n"/>
      <c r="CB377" s="186" t="n"/>
      <c r="CC377" s="190" t="n"/>
      <c r="CD377" s="186" t="n"/>
      <c r="CE377" s="186" t="n"/>
      <c r="CF377" s="186" t="n"/>
      <c r="CG377" s="186" t="n"/>
      <c r="CH377" s="186" t="n"/>
      <c r="CI377" s="191" t="n"/>
      <c r="CJ377" s="192" t="n"/>
      <c r="CK377" s="192" t="n"/>
      <c r="CL377" s="192" t="n"/>
      <c r="CM377" s="192" t="n"/>
    </row>
    <row r="378">
      <c r="A378" s="177" t="n"/>
      <c r="B378" s="178" t="n"/>
      <c r="C378" s="178" t="n"/>
      <c r="D378" s="179" t="n"/>
      <c r="E378" s="180" t="n"/>
      <c r="F378" s="181" t="n"/>
      <c r="G378" s="182" t="n"/>
      <c r="H378" s="105" t="n"/>
      <c r="I378" s="196">
        <f>F378</f>
        <v/>
      </c>
      <c r="J378" s="184" t="n"/>
      <c r="K378" s="185" t="n"/>
      <c r="L378" s="8" t="n"/>
      <c r="M378" s="71">
        <f>L378</f>
        <v/>
      </c>
      <c r="N378" s="71" t="n"/>
      <c r="O378" s="101" t="n"/>
      <c r="P378" s="9">
        <f>I378-M378</f>
        <v/>
      </c>
      <c r="Q378" s="9">
        <f>IF(LEFT(B378,4)&lt;&gt;"    ",0,BN378)</f>
        <v/>
      </c>
      <c r="R378" s="9">
        <f>+P378-Q378</f>
        <v/>
      </c>
      <c r="S378" s="281" t="n"/>
      <c r="T378" s="10" t="n"/>
      <c r="U378" s="23">
        <f>IF(LEFT(B378,4)&lt;&gt;"    ","",IF(M378&lt;&gt;0,X378/M378,0))</f>
        <v/>
      </c>
      <c r="V378" s="11">
        <f>IF(LEFT(B378,4)&lt;&gt;"    ","",U378*I378)</f>
        <v/>
      </c>
      <c r="W378" s="11">
        <f>IF(LEFT(B378,4)&lt;&gt;"    ","",X378+Z378)</f>
        <v/>
      </c>
      <c r="X378" s="8" t="n"/>
      <c r="Y378" s="9">
        <f>IF(LEFT(B378,4)&lt;&gt;"    ",0,IF(P378&lt;0,P378,IF(U378&gt;0.3,W378-X378,0)))</f>
        <v/>
      </c>
      <c r="Z378" s="71">
        <f>Y378</f>
        <v/>
      </c>
      <c r="AA378" s="71" t="n"/>
      <c r="AB378" s="109" t="n"/>
      <c r="AC378" s="9">
        <f>IF(LEFT(B378,4)&lt;&gt;"    ",0,BK378)</f>
        <v/>
      </c>
      <c r="AD378" s="9">
        <f>Z378-AC378</f>
        <v/>
      </c>
      <c r="AE378" s="10" t="n"/>
      <c r="AF378" s="24" t="n"/>
      <c r="AG378" s="11" t="n"/>
      <c r="AH378" s="8" t="n"/>
      <c r="AI378" s="9">
        <f>IF(LEFT(B378,4)&lt;&gt;"    ","",AG378-AH378)</f>
        <v/>
      </c>
      <c r="AJ378" s="9" t="n"/>
      <c r="AK378" s="10" t="n"/>
      <c r="AL378" s="11">
        <f>IF(LEFT(B378,4)&lt;&gt;"    ","",W378-AG378)</f>
        <v/>
      </c>
      <c r="AM378" s="8">
        <f>IF(LEFT(B378,4)&lt;&gt;"    ","",X378-AH378)</f>
        <v/>
      </c>
      <c r="AN378" s="9">
        <f>IF(LEFT(B378,4)&lt;&gt;"    ","",Y378-AI378)</f>
        <v/>
      </c>
      <c r="AO378" s="9">
        <f>IF(LEFT(B378,4)&lt;&gt;"    ","",Z378-AJ378)</f>
        <v/>
      </c>
      <c r="AP378" s="10" t="n"/>
      <c r="AQ378" s="25">
        <f>IF(LEFT(B378,4)&lt;&gt;"    ","",I378-W378)</f>
        <v/>
      </c>
      <c r="AR378" s="25">
        <f>M378-X378</f>
        <v/>
      </c>
      <c r="AS378" s="25">
        <f>IF(LEFT(B378,4)&lt;&gt;"    ","",P378-Z378)</f>
        <v/>
      </c>
      <c r="AT378" s="10" t="n"/>
      <c r="AU378" s="12" t="n"/>
      <c r="AV378" s="12">
        <f>IF(LEFT(B378,4)&lt;&gt;"    ","",IF(W378-AU378&gt;=0,W378-AU378," "))</f>
        <v/>
      </c>
      <c r="AW378" s="12">
        <f>IF(LEFT(B378,4)&lt;&gt;"    ","",IF(AU378-W378&gt;=0,AU378-W378," "))</f>
        <v/>
      </c>
      <c r="AX378" s="186" t="n"/>
      <c r="AY378" s="187" t="n"/>
      <c r="AZ378" s="186" t="n"/>
      <c r="BA378" s="186" t="n"/>
      <c r="BB378" s="188" t="n"/>
      <c r="BC378" s="187" t="n"/>
      <c r="BD378" s="187" t="n"/>
      <c r="BE378" s="186" t="n"/>
      <c r="BF378" s="186" t="n"/>
      <c r="BG378" s="186" t="n"/>
      <c r="BH378" s="186" t="n"/>
      <c r="BI378" s="186" t="n"/>
      <c r="BJ378" s="186" t="n"/>
      <c r="BK378" s="186" t="n"/>
      <c r="BL378" s="186" t="n"/>
      <c r="BM378" s="186" t="n"/>
      <c r="BN378" s="186" t="n"/>
      <c r="BO378" s="186" t="n"/>
      <c r="BP378" s="186" t="n"/>
      <c r="BQ378" s="186" t="n"/>
      <c r="BR378" s="186" t="n"/>
      <c r="BS378" s="186" t="n"/>
      <c r="BT378" s="186" t="n"/>
      <c r="BU378" s="186" t="n"/>
      <c r="BV378" s="186" t="n"/>
      <c r="BW378" s="186" t="n"/>
      <c r="BX378" s="186" t="n"/>
      <c r="BY378" s="186" t="n"/>
      <c r="BZ378" s="186" t="n"/>
      <c r="CA378" s="186" t="n"/>
      <c r="CB378" s="186" t="n"/>
      <c r="CC378" s="190" t="n"/>
      <c r="CD378" s="186" t="n"/>
      <c r="CE378" s="186" t="n"/>
      <c r="CF378" s="186" t="n"/>
      <c r="CG378" s="186" t="n"/>
      <c r="CH378" s="186" t="n"/>
      <c r="CI378" s="191" t="n"/>
      <c r="CJ378" s="192" t="n"/>
      <c r="CK378" s="192" t="n"/>
      <c r="CL378" s="192" t="n"/>
      <c r="CM378" s="192" t="n"/>
    </row>
    <row r="379">
      <c r="A379" s="177" t="n"/>
      <c r="B379" s="178" t="n"/>
      <c r="C379" s="178" t="n"/>
      <c r="D379" s="179" t="n"/>
      <c r="E379" s="180" t="n"/>
      <c r="F379" s="181" t="n"/>
      <c r="G379" s="182" t="n"/>
      <c r="H379" s="105" t="n"/>
      <c r="I379" s="196">
        <f>F379</f>
        <v/>
      </c>
      <c r="J379" s="184" t="n"/>
      <c r="K379" s="185" t="n"/>
      <c r="L379" s="8" t="n"/>
      <c r="M379" s="71">
        <f>L379</f>
        <v/>
      </c>
      <c r="N379" s="71" t="n"/>
      <c r="O379" s="101" t="n"/>
      <c r="P379" s="9">
        <f>I379-M379</f>
        <v/>
      </c>
      <c r="Q379" s="9">
        <f>IF(LEFT(B379,4)&lt;&gt;"    ",0,BN379)</f>
        <v/>
      </c>
      <c r="R379" s="9">
        <f>+P379-Q379</f>
        <v/>
      </c>
      <c r="S379" s="281" t="n"/>
      <c r="T379" s="10" t="n"/>
      <c r="U379" s="23">
        <f>IF(LEFT(B379,4)&lt;&gt;"    ","",IF(M379&lt;&gt;0,X379/M379,0))</f>
        <v/>
      </c>
      <c r="V379" s="11">
        <f>IF(LEFT(B379,4)&lt;&gt;"    ","",U379*I379)</f>
        <v/>
      </c>
      <c r="W379" s="11">
        <f>IF(LEFT(B379,4)&lt;&gt;"    ","",X379+Z379)</f>
        <v/>
      </c>
      <c r="X379" s="8" t="n"/>
      <c r="Y379" s="9">
        <f>IF(LEFT(B379,4)&lt;&gt;"    ",0,IF(P379&lt;0,P379,IF(U379&gt;0.3,W379-X379,0)))</f>
        <v/>
      </c>
      <c r="Z379" s="71">
        <f>Y379</f>
        <v/>
      </c>
      <c r="AA379" s="71" t="n"/>
      <c r="AB379" s="109" t="n"/>
      <c r="AC379" s="9">
        <f>IF(LEFT(B379,4)&lt;&gt;"    ",0,BK379)</f>
        <v/>
      </c>
      <c r="AD379" s="9">
        <f>Z379-AC379</f>
        <v/>
      </c>
      <c r="AE379" s="10" t="n"/>
      <c r="AF379" s="24" t="n"/>
      <c r="AG379" s="11" t="n"/>
      <c r="AH379" s="8" t="n"/>
      <c r="AI379" s="9">
        <f>IF(LEFT(B379,4)&lt;&gt;"    ","",AG379-AH379)</f>
        <v/>
      </c>
      <c r="AJ379" s="9" t="n"/>
      <c r="AK379" s="10" t="n"/>
      <c r="AL379" s="11">
        <f>IF(LEFT(B379,4)&lt;&gt;"    ","",W379-AG379)</f>
        <v/>
      </c>
      <c r="AM379" s="8">
        <f>IF(LEFT(B379,4)&lt;&gt;"    ","",X379-AH379)</f>
        <v/>
      </c>
      <c r="AN379" s="9">
        <f>IF(LEFT(B379,4)&lt;&gt;"    ","",Y379-AI379)</f>
        <v/>
      </c>
      <c r="AO379" s="9">
        <f>IF(LEFT(B379,4)&lt;&gt;"    ","",Z379-AJ379)</f>
        <v/>
      </c>
      <c r="AP379" s="10" t="n"/>
      <c r="AQ379" s="25">
        <f>IF(LEFT(B379,4)&lt;&gt;"    ","",I379-W379)</f>
        <v/>
      </c>
      <c r="AR379" s="25">
        <f>M379-X379</f>
        <v/>
      </c>
      <c r="AS379" s="25">
        <f>IF(LEFT(B379,4)&lt;&gt;"    ","",P379-Z379)</f>
        <v/>
      </c>
      <c r="AT379" s="10" t="n"/>
      <c r="AU379" s="12" t="n"/>
      <c r="AV379" s="12">
        <f>IF(LEFT(B379,4)&lt;&gt;"    ","",IF(W379-AU379&gt;=0,W379-AU379," "))</f>
        <v/>
      </c>
      <c r="AW379" s="12">
        <f>IF(LEFT(B379,4)&lt;&gt;"    ","",IF(AU379-W379&gt;=0,AU379-W379," "))</f>
        <v/>
      </c>
      <c r="AX379" s="186" t="n"/>
      <c r="AY379" s="187" t="n"/>
      <c r="AZ379" s="186" t="n"/>
      <c r="BA379" s="186" t="n"/>
      <c r="BB379" s="188" t="n"/>
      <c r="BC379" s="187" t="n"/>
      <c r="BD379" s="187" t="n"/>
      <c r="BE379" s="186" t="n"/>
      <c r="BF379" s="186" t="n"/>
      <c r="BG379" s="186" t="n"/>
      <c r="BH379" s="186" t="n"/>
      <c r="BI379" s="186" t="n"/>
      <c r="BJ379" s="186" t="n"/>
      <c r="BK379" s="186" t="n"/>
      <c r="BL379" s="186" t="n"/>
      <c r="BM379" s="186" t="n"/>
      <c r="BN379" s="186" t="n"/>
      <c r="BO379" s="186" t="n"/>
      <c r="BP379" s="186" t="n"/>
      <c r="BQ379" s="186" t="n"/>
      <c r="BR379" s="186" t="n"/>
      <c r="BS379" s="186" t="n"/>
      <c r="BT379" s="186" t="n"/>
      <c r="BU379" s="186" t="n"/>
      <c r="BV379" s="186" t="n"/>
      <c r="BW379" s="186" t="n"/>
      <c r="BX379" s="186" t="n"/>
      <c r="BY379" s="186" t="n"/>
      <c r="BZ379" s="186" t="n"/>
      <c r="CA379" s="186" t="n"/>
      <c r="CB379" s="186" t="n"/>
      <c r="CC379" s="190" t="n"/>
      <c r="CD379" s="186" t="n"/>
      <c r="CE379" s="186" t="n"/>
      <c r="CF379" s="186" t="n"/>
      <c r="CG379" s="186" t="n"/>
      <c r="CH379" s="186" t="n"/>
      <c r="CI379" s="191" t="n"/>
      <c r="CJ379" s="192" t="n"/>
      <c r="CK379" s="192" t="n"/>
      <c r="CL379" s="192" t="n"/>
      <c r="CM379" s="192" t="n"/>
    </row>
    <row r="380">
      <c r="A380" s="177" t="n"/>
      <c r="B380" s="178" t="n"/>
      <c r="C380" s="178" t="n"/>
      <c r="D380" s="179" t="n"/>
      <c r="E380" s="180" t="n"/>
      <c r="F380" s="181" t="n"/>
      <c r="G380" s="182" t="n"/>
      <c r="H380" s="105" t="n"/>
      <c r="I380" s="196">
        <f>F380</f>
        <v/>
      </c>
      <c r="J380" s="184" t="n"/>
      <c r="K380" s="185" t="n"/>
      <c r="L380" s="8" t="n"/>
      <c r="M380" s="71">
        <f>L380</f>
        <v/>
      </c>
      <c r="N380" s="71" t="n"/>
      <c r="O380" s="101" t="n"/>
      <c r="P380" s="9">
        <f>I380-M380</f>
        <v/>
      </c>
      <c r="Q380" s="9">
        <f>IF(LEFT(B380,4)&lt;&gt;"    ",0,BN380)</f>
        <v/>
      </c>
      <c r="R380" s="9">
        <f>+P380-Q380</f>
        <v/>
      </c>
      <c r="S380" s="281" t="n"/>
      <c r="T380" s="10" t="n"/>
      <c r="U380" s="23">
        <f>IF(LEFT(B380,4)&lt;&gt;"    ","",IF(M380&lt;&gt;0,X380/M380,0))</f>
        <v/>
      </c>
      <c r="V380" s="11">
        <f>IF(LEFT(B380,4)&lt;&gt;"    ","",U380*I380)</f>
        <v/>
      </c>
      <c r="W380" s="11">
        <f>IF(LEFT(B380,4)&lt;&gt;"    ","",X380+Z380)</f>
        <v/>
      </c>
      <c r="X380" s="8" t="n"/>
      <c r="Y380" s="9">
        <f>IF(LEFT(B380,4)&lt;&gt;"    ",0,IF(P380&lt;0,P380,IF(U380&gt;0.3,W380-X380,0)))</f>
        <v/>
      </c>
      <c r="Z380" s="71">
        <f>Y380</f>
        <v/>
      </c>
      <c r="AA380" s="71" t="n"/>
      <c r="AB380" s="109" t="n"/>
      <c r="AC380" s="9">
        <f>IF(LEFT(B380,4)&lt;&gt;"    ",0,BK380)</f>
        <v/>
      </c>
      <c r="AD380" s="9">
        <f>Z380-AC380</f>
        <v/>
      </c>
      <c r="AE380" s="10" t="n"/>
      <c r="AF380" s="24" t="n"/>
      <c r="AG380" s="11" t="n"/>
      <c r="AH380" s="8" t="n"/>
      <c r="AI380" s="9">
        <f>IF(LEFT(B380,4)&lt;&gt;"    ","",AG380-AH380)</f>
        <v/>
      </c>
      <c r="AJ380" s="9" t="n"/>
      <c r="AK380" s="10" t="n"/>
      <c r="AL380" s="11">
        <f>IF(LEFT(B380,4)&lt;&gt;"    ","",W380-AG380)</f>
        <v/>
      </c>
      <c r="AM380" s="8">
        <f>IF(LEFT(B380,4)&lt;&gt;"    ","",X380-AH380)</f>
        <v/>
      </c>
      <c r="AN380" s="9">
        <f>IF(LEFT(B380,4)&lt;&gt;"    ","",Y380-AI380)</f>
        <v/>
      </c>
      <c r="AO380" s="9">
        <f>IF(LEFT(B380,4)&lt;&gt;"    ","",Z380-AJ380)</f>
        <v/>
      </c>
      <c r="AP380" s="10" t="n"/>
      <c r="AQ380" s="25">
        <f>IF(LEFT(B380,4)&lt;&gt;"    ","",I380-W380)</f>
        <v/>
      </c>
      <c r="AR380" s="25">
        <f>M380-X380</f>
        <v/>
      </c>
      <c r="AS380" s="25">
        <f>IF(LEFT(B380,4)&lt;&gt;"    ","",P380-Z380)</f>
        <v/>
      </c>
      <c r="AT380" s="10" t="n"/>
      <c r="AU380" s="12" t="n"/>
      <c r="AV380" s="12">
        <f>IF(LEFT(B380,4)&lt;&gt;"    ","",IF(W380-AU380&gt;=0,W380-AU380," "))</f>
        <v/>
      </c>
      <c r="AW380" s="12">
        <f>IF(LEFT(B380,4)&lt;&gt;"    ","",IF(AU380-W380&gt;=0,AU380-W380," "))</f>
        <v/>
      </c>
      <c r="AX380" s="186" t="n"/>
      <c r="AY380" s="187" t="n"/>
      <c r="AZ380" s="186" t="n"/>
      <c r="BA380" s="186" t="n"/>
      <c r="BB380" s="188" t="n"/>
      <c r="BC380" s="187" t="n"/>
      <c r="BD380" s="187" t="n"/>
      <c r="BE380" s="186" t="n"/>
      <c r="BF380" s="186" t="n"/>
      <c r="BG380" s="186" t="n"/>
      <c r="BH380" s="186" t="n"/>
      <c r="BI380" s="186" t="n"/>
      <c r="BJ380" s="186" t="n"/>
      <c r="BK380" s="186" t="n"/>
      <c r="BL380" s="186" t="n"/>
      <c r="BM380" s="186" t="n"/>
      <c r="BN380" s="186" t="n"/>
      <c r="BO380" s="186" t="n"/>
      <c r="BP380" s="186" t="n"/>
      <c r="BQ380" s="186" t="n"/>
      <c r="BR380" s="186" t="n"/>
      <c r="BS380" s="186" t="n"/>
      <c r="BT380" s="186" t="n"/>
      <c r="BU380" s="186" t="n"/>
      <c r="BV380" s="186" t="n"/>
      <c r="BW380" s="186" t="n"/>
      <c r="BX380" s="186" t="n"/>
      <c r="BY380" s="186" t="n"/>
      <c r="BZ380" s="186" t="n"/>
      <c r="CA380" s="186" t="n"/>
      <c r="CB380" s="186" t="n"/>
      <c r="CC380" s="190" t="n"/>
      <c r="CD380" s="186" t="n"/>
      <c r="CE380" s="186" t="n"/>
      <c r="CF380" s="186" t="n"/>
      <c r="CG380" s="186" t="n"/>
      <c r="CH380" s="186" t="n"/>
      <c r="CI380" s="191" t="n"/>
      <c r="CJ380" s="192" t="n"/>
      <c r="CK380" s="192" t="n"/>
      <c r="CL380" s="192" t="n"/>
      <c r="CM380" s="192" t="n"/>
    </row>
    <row r="381">
      <c r="A381" s="177" t="n"/>
      <c r="B381" s="178" t="n"/>
      <c r="C381" s="178" t="n"/>
      <c r="D381" s="179" t="n"/>
      <c r="E381" s="180" t="n"/>
      <c r="F381" s="181" t="n"/>
      <c r="G381" s="182" t="n"/>
      <c r="H381" s="105" t="n"/>
      <c r="I381" s="196">
        <f>F381</f>
        <v/>
      </c>
      <c r="J381" s="184" t="n"/>
      <c r="K381" s="185" t="n"/>
      <c r="L381" s="8" t="n"/>
      <c r="M381" s="71">
        <f>L381</f>
        <v/>
      </c>
      <c r="N381" s="71" t="n"/>
      <c r="O381" s="101" t="n"/>
      <c r="P381" s="9">
        <f>I381-M381</f>
        <v/>
      </c>
      <c r="Q381" s="9">
        <f>IF(LEFT(B381,4)&lt;&gt;"    ",0,BN381)</f>
        <v/>
      </c>
      <c r="R381" s="9">
        <f>+P381-Q381</f>
        <v/>
      </c>
      <c r="S381" s="281" t="n"/>
      <c r="T381" s="10" t="n"/>
      <c r="U381" s="23">
        <f>IF(LEFT(B381,4)&lt;&gt;"    ","",IF(M381&lt;&gt;0,X381/M381,0))</f>
        <v/>
      </c>
      <c r="V381" s="11">
        <f>IF(LEFT(B381,4)&lt;&gt;"    ","",U381*I381)</f>
        <v/>
      </c>
      <c r="W381" s="11">
        <f>IF(LEFT(B381,4)&lt;&gt;"    ","",X381+Z381)</f>
        <v/>
      </c>
      <c r="X381" s="8" t="n"/>
      <c r="Y381" s="9">
        <f>IF(LEFT(B381,4)&lt;&gt;"    ",0,IF(P381&lt;0,P381,IF(U381&gt;0.3,W381-X381,0)))</f>
        <v/>
      </c>
      <c r="Z381" s="71">
        <f>Y381</f>
        <v/>
      </c>
      <c r="AA381" s="71" t="n"/>
      <c r="AB381" s="109" t="n"/>
      <c r="AC381" s="9">
        <f>IF(LEFT(B381,4)&lt;&gt;"    ",0,BK381)</f>
        <v/>
      </c>
      <c r="AD381" s="9">
        <f>Z381-AC381</f>
        <v/>
      </c>
      <c r="AE381" s="10" t="n"/>
      <c r="AF381" s="24" t="n"/>
      <c r="AG381" s="11" t="n"/>
      <c r="AH381" s="8" t="n"/>
      <c r="AI381" s="9">
        <f>IF(LEFT(B381,4)&lt;&gt;"    ","",AG381-AH381)</f>
        <v/>
      </c>
      <c r="AJ381" s="9" t="n"/>
      <c r="AK381" s="10" t="n"/>
      <c r="AL381" s="11">
        <f>IF(LEFT(B381,4)&lt;&gt;"    ","",W381-AG381)</f>
        <v/>
      </c>
      <c r="AM381" s="8">
        <f>IF(LEFT(B381,4)&lt;&gt;"    ","",X381-AH381)</f>
        <v/>
      </c>
      <c r="AN381" s="9">
        <f>IF(LEFT(B381,4)&lt;&gt;"    ","",Y381-AI381)</f>
        <v/>
      </c>
      <c r="AO381" s="9">
        <f>IF(LEFT(B381,4)&lt;&gt;"    ","",Z381-AJ381)</f>
        <v/>
      </c>
      <c r="AP381" s="10" t="n"/>
      <c r="AQ381" s="25">
        <f>IF(LEFT(B381,4)&lt;&gt;"    ","",I381-W381)</f>
        <v/>
      </c>
      <c r="AR381" s="25">
        <f>M381-X381</f>
        <v/>
      </c>
      <c r="AS381" s="25">
        <f>IF(LEFT(B381,4)&lt;&gt;"    ","",P381-Z381)</f>
        <v/>
      </c>
      <c r="AT381" s="10" t="n"/>
      <c r="AU381" s="12" t="n"/>
      <c r="AV381" s="12">
        <f>IF(LEFT(B381,4)&lt;&gt;"    ","",IF(W381-AU381&gt;=0,W381-AU381," "))</f>
        <v/>
      </c>
      <c r="AW381" s="12">
        <f>IF(LEFT(B381,4)&lt;&gt;"    ","",IF(AU381-W381&gt;=0,AU381-W381," "))</f>
        <v/>
      </c>
      <c r="AX381" s="186" t="n"/>
      <c r="AY381" s="187" t="n"/>
      <c r="AZ381" s="186" t="n"/>
      <c r="BA381" s="186" t="n"/>
      <c r="BB381" s="188" t="n"/>
      <c r="BC381" s="187" t="n"/>
      <c r="BD381" s="187" t="n"/>
      <c r="BE381" s="186" t="n"/>
      <c r="BF381" s="186" t="n"/>
      <c r="BG381" s="186" t="n"/>
      <c r="BH381" s="186" t="n"/>
      <c r="BI381" s="186" t="n"/>
      <c r="BJ381" s="186" t="n"/>
      <c r="BK381" s="186" t="n"/>
      <c r="BL381" s="186" t="n"/>
      <c r="BM381" s="186" t="n"/>
      <c r="BN381" s="186" t="n"/>
      <c r="BO381" s="186" t="n"/>
      <c r="BP381" s="186" t="n"/>
      <c r="BQ381" s="186" t="n"/>
      <c r="BR381" s="186" t="n"/>
      <c r="BS381" s="186" t="n"/>
      <c r="BT381" s="186" t="n"/>
      <c r="BU381" s="186" t="n"/>
      <c r="BV381" s="186" t="n"/>
      <c r="BW381" s="186" t="n"/>
      <c r="BX381" s="186" t="n"/>
      <c r="BY381" s="186" t="n"/>
      <c r="BZ381" s="186" t="n"/>
      <c r="CA381" s="186" t="n"/>
      <c r="CB381" s="186" t="n"/>
      <c r="CC381" s="190" t="n"/>
      <c r="CD381" s="186" t="n"/>
      <c r="CE381" s="186" t="n"/>
      <c r="CF381" s="186" t="n"/>
      <c r="CG381" s="186" t="n"/>
      <c r="CH381" s="186" t="n"/>
      <c r="CI381" s="191" t="n"/>
      <c r="CJ381" s="192" t="n"/>
      <c r="CK381" s="192" t="n"/>
      <c r="CL381" s="192" t="n"/>
      <c r="CM381" s="192" t="n"/>
    </row>
    <row r="382">
      <c r="A382" s="177" t="n"/>
      <c r="B382" s="178" t="n"/>
      <c r="C382" s="178" t="n"/>
      <c r="D382" s="179" t="n"/>
      <c r="E382" s="180" t="n"/>
      <c r="F382" s="181" t="n"/>
      <c r="G382" s="182" t="n"/>
      <c r="H382" s="105" t="n"/>
      <c r="I382" s="196">
        <f>F382</f>
        <v/>
      </c>
      <c r="J382" s="184" t="n"/>
      <c r="K382" s="185" t="n"/>
      <c r="L382" s="8" t="n"/>
      <c r="M382" s="71">
        <f>L382</f>
        <v/>
      </c>
      <c r="N382" s="71" t="n"/>
      <c r="O382" s="101" t="n"/>
      <c r="P382" s="9">
        <f>I382-M382</f>
        <v/>
      </c>
      <c r="Q382" s="9">
        <f>IF(LEFT(B382,4)&lt;&gt;"    ",0,BN382)</f>
        <v/>
      </c>
      <c r="R382" s="9">
        <f>+P382-Q382</f>
        <v/>
      </c>
      <c r="S382" s="281" t="n"/>
      <c r="T382" s="10" t="n"/>
      <c r="U382" s="23">
        <f>IF(LEFT(B382,4)&lt;&gt;"    ","",IF(M382&lt;&gt;0,X382/M382,0))</f>
        <v/>
      </c>
      <c r="V382" s="11">
        <f>IF(LEFT(B382,4)&lt;&gt;"    ","",U382*I382)</f>
        <v/>
      </c>
      <c r="W382" s="11">
        <f>IF(LEFT(B382,4)&lt;&gt;"    ","",X382+Z382)</f>
        <v/>
      </c>
      <c r="X382" s="8" t="n"/>
      <c r="Y382" s="9">
        <f>IF(LEFT(B382,4)&lt;&gt;"    ",0,IF(P382&lt;0,P382,IF(U382&gt;0.3,W382-X382,0)))</f>
        <v/>
      </c>
      <c r="Z382" s="71">
        <f>Y382</f>
        <v/>
      </c>
      <c r="AA382" s="71" t="n"/>
      <c r="AB382" s="109" t="n"/>
      <c r="AC382" s="9">
        <f>IF(LEFT(B382,4)&lt;&gt;"    ",0,BK382)</f>
        <v/>
      </c>
      <c r="AD382" s="9">
        <f>Z382-AC382</f>
        <v/>
      </c>
      <c r="AE382" s="10" t="n"/>
      <c r="AF382" s="24" t="n"/>
      <c r="AG382" s="11" t="n"/>
      <c r="AH382" s="8" t="n"/>
      <c r="AI382" s="9">
        <f>IF(LEFT(B382,4)&lt;&gt;"    ","",AG382-AH382)</f>
        <v/>
      </c>
      <c r="AJ382" s="9" t="n"/>
      <c r="AK382" s="10" t="n"/>
      <c r="AL382" s="11">
        <f>IF(LEFT(B382,4)&lt;&gt;"    ","",W382-AG382)</f>
        <v/>
      </c>
      <c r="AM382" s="8">
        <f>IF(LEFT(B382,4)&lt;&gt;"    ","",X382-AH382)</f>
        <v/>
      </c>
      <c r="AN382" s="9">
        <f>IF(LEFT(B382,4)&lt;&gt;"    ","",Y382-AI382)</f>
        <v/>
      </c>
      <c r="AO382" s="9">
        <f>IF(LEFT(B382,4)&lt;&gt;"    ","",Z382-AJ382)</f>
        <v/>
      </c>
      <c r="AP382" s="10" t="n"/>
      <c r="AQ382" s="25">
        <f>IF(LEFT(B382,4)&lt;&gt;"    ","",I382-W382)</f>
        <v/>
      </c>
      <c r="AR382" s="25">
        <f>M382-X382</f>
        <v/>
      </c>
      <c r="AS382" s="25">
        <f>IF(LEFT(B382,4)&lt;&gt;"    ","",P382-Z382)</f>
        <v/>
      </c>
      <c r="AT382" s="10" t="n"/>
      <c r="AU382" s="12" t="n"/>
      <c r="AV382" s="12">
        <f>IF(LEFT(B382,4)&lt;&gt;"    ","",IF(W382-AU382&gt;=0,W382-AU382," "))</f>
        <v/>
      </c>
      <c r="AW382" s="12">
        <f>IF(LEFT(B382,4)&lt;&gt;"    ","",IF(AU382-W382&gt;=0,AU382-W382," "))</f>
        <v/>
      </c>
      <c r="AX382" s="186" t="n"/>
      <c r="AY382" s="187" t="n"/>
      <c r="AZ382" s="186" t="n"/>
      <c r="BA382" s="186" t="n"/>
      <c r="BB382" s="188" t="n"/>
      <c r="BC382" s="187" t="n"/>
      <c r="BD382" s="187" t="n"/>
      <c r="BE382" s="186" t="n"/>
      <c r="BF382" s="186" t="n"/>
      <c r="BG382" s="186" t="n"/>
      <c r="BH382" s="186" t="n"/>
      <c r="BI382" s="186" t="n"/>
      <c r="BJ382" s="186" t="n"/>
      <c r="BK382" s="186" t="n"/>
      <c r="BL382" s="186" t="n"/>
      <c r="BM382" s="186" t="n"/>
      <c r="BN382" s="186" t="n"/>
      <c r="BO382" s="186" t="n"/>
      <c r="BP382" s="186" t="n"/>
      <c r="BQ382" s="186" t="n"/>
      <c r="BR382" s="186" t="n"/>
      <c r="BS382" s="186" t="n"/>
      <c r="BT382" s="186" t="n"/>
      <c r="BU382" s="186" t="n"/>
      <c r="BV382" s="186" t="n"/>
      <c r="BW382" s="186" t="n"/>
      <c r="BX382" s="186" t="n"/>
      <c r="BY382" s="186" t="n"/>
      <c r="BZ382" s="186" t="n"/>
      <c r="CA382" s="186" t="n"/>
      <c r="CB382" s="186" t="n"/>
      <c r="CC382" s="190" t="n"/>
      <c r="CD382" s="186" t="n"/>
      <c r="CE382" s="186" t="n"/>
      <c r="CF382" s="186" t="n"/>
      <c r="CG382" s="186" t="n"/>
      <c r="CH382" s="186" t="n"/>
      <c r="CI382" s="191" t="n"/>
      <c r="CJ382" s="192" t="n"/>
      <c r="CK382" s="192" t="n"/>
      <c r="CL382" s="192" t="n"/>
      <c r="CM382" s="192" t="n"/>
    </row>
    <row r="383">
      <c r="A383" s="177" t="n"/>
      <c r="B383" s="178" t="n"/>
      <c r="C383" s="178" t="n"/>
      <c r="D383" s="179" t="n"/>
      <c r="E383" s="180" t="n"/>
      <c r="F383" s="181" t="n"/>
      <c r="G383" s="182" t="n"/>
      <c r="H383" s="105" t="n"/>
      <c r="I383" s="196">
        <f>F383</f>
        <v/>
      </c>
      <c r="J383" s="184" t="n"/>
      <c r="K383" s="185" t="n"/>
      <c r="L383" s="8" t="n"/>
      <c r="M383" s="71">
        <f>L383</f>
        <v/>
      </c>
      <c r="N383" s="71" t="n"/>
      <c r="O383" s="101" t="n"/>
      <c r="P383" s="9">
        <f>I383-M383</f>
        <v/>
      </c>
      <c r="Q383" s="9">
        <f>IF(LEFT(B383,4)&lt;&gt;"    ",0,BN383)</f>
        <v/>
      </c>
      <c r="R383" s="9">
        <f>+P383-Q383</f>
        <v/>
      </c>
      <c r="S383" s="281" t="n"/>
      <c r="T383" s="10" t="n"/>
      <c r="U383" s="23">
        <f>IF(LEFT(B383,4)&lt;&gt;"    ","",IF(M383&lt;&gt;0,X383/M383,0))</f>
        <v/>
      </c>
      <c r="V383" s="11">
        <f>IF(LEFT(B383,4)&lt;&gt;"    ","",U383*I383)</f>
        <v/>
      </c>
      <c r="W383" s="11">
        <f>IF(LEFT(B383,4)&lt;&gt;"    ","",X383+Z383)</f>
        <v/>
      </c>
      <c r="X383" s="8" t="n"/>
      <c r="Y383" s="9">
        <f>IF(LEFT(B383,4)&lt;&gt;"    ",0,IF(P383&lt;0,P383,IF(U383&gt;0.3,W383-X383,0)))</f>
        <v/>
      </c>
      <c r="Z383" s="71">
        <f>Y383</f>
        <v/>
      </c>
      <c r="AA383" s="71" t="n"/>
      <c r="AB383" s="109" t="n"/>
      <c r="AC383" s="9">
        <f>IF(LEFT(B383,4)&lt;&gt;"    ",0,BK383)</f>
        <v/>
      </c>
      <c r="AD383" s="9">
        <f>Z383-AC383</f>
        <v/>
      </c>
      <c r="AE383" s="10" t="n"/>
      <c r="AF383" s="24" t="n"/>
      <c r="AG383" s="11" t="n"/>
      <c r="AH383" s="8" t="n"/>
      <c r="AI383" s="9">
        <f>IF(LEFT(B383,4)&lt;&gt;"    ","",AG383-AH383)</f>
        <v/>
      </c>
      <c r="AJ383" s="9" t="n"/>
      <c r="AK383" s="10" t="n"/>
      <c r="AL383" s="11">
        <f>IF(LEFT(B383,4)&lt;&gt;"    ","",W383-AG383)</f>
        <v/>
      </c>
      <c r="AM383" s="8">
        <f>IF(LEFT(B383,4)&lt;&gt;"    ","",X383-AH383)</f>
        <v/>
      </c>
      <c r="AN383" s="9">
        <f>IF(LEFT(B383,4)&lt;&gt;"    ","",Y383-AI383)</f>
        <v/>
      </c>
      <c r="AO383" s="9">
        <f>IF(LEFT(B383,4)&lt;&gt;"    ","",Z383-AJ383)</f>
        <v/>
      </c>
      <c r="AP383" s="10" t="n"/>
      <c r="AQ383" s="25">
        <f>IF(LEFT(B383,4)&lt;&gt;"    ","",I383-W383)</f>
        <v/>
      </c>
      <c r="AR383" s="25">
        <f>M383-X383</f>
        <v/>
      </c>
      <c r="AS383" s="25">
        <f>IF(LEFT(B383,4)&lt;&gt;"    ","",P383-Z383)</f>
        <v/>
      </c>
      <c r="AT383" s="10" t="n"/>
      <c r="AU383" s="12" t="n"/>
      <c r="AV383" s="12">
        <f>IF(LEFT(B383,4)&lt;&gt;"    ","",IF(W383-AU383&gt;=0,W383-AU383," "))</f>
        <v/>
      </c>
      <c r="AW383" s="12">
        <f>IF(LEFT(B383,4)&lt;&gt;"    ","",IF(AU383-W383&gt;=0,AU383-W383," "))</f>
        <v/>
      </c>
      <c r="AX383" s="186" t="n"/>
      <c r="AY383" s="187" t="n"/>
      <c r="AZ383" s="186" t="n"/>
      <c r="BA383" s="186" t="n"/>
      <c r="BB383" s="188" t="n"/>
      <c r="BC383" s="187" t="n"/>
      <c r="BD383" s="187" t="n"/>
      <c r="BE383" s="186" t="n"/>
      <c r="BF383" s="186" t="n"/>
      <c r="BG383" s="186" t="n"/>
      <c r="BH383" s="186" t="n"/>
      <c r="BI383" s="186" t="n"/>
      <c r="BJ383" s="186" t="n"/>
      <c r="BK383" s="186" t="n"/>
      <c r="BL383" s="186" t="n"/>
      <c r="BM383" s="186" t="n"/>
      <c r="BN383" s="186" t="n"/>
      <c r="BO383" s="186" t="n"/>
      <c r="BP383" s="186" t="n"/>
      <c r="BQ383" s="186" t="n"/>
      <c r="BR383" s="186" t="n"/>
      <c r="BS383" s="186" t="n"/>
      <c r="BT383" s="186" t="n"/>
      <c r="BU383" s="186" t="n"/>
      <c r="BV383" s="186" t="n"/>
      <c r="BW383" s="186" t="n"/>
      <c r="BX383" s="186" t="n"/>
      <c r="BY383" s="186" t="n"/>
      <c r="BZ383" s="186" t="n"/>
      <c r="CA383" s="186" t="n"/>
      <c r="CB383" s="186" t="n"/>
      <c r="CC383" s="190" t="n"/>
      <c r="CD383" s="186" t="n"/>
      <c r="CE383" s="186" t="n"/>
      <c r="CF383" s="186" t="n"/>
      <c r="CG383" s="186" t="n"/>
      <c r="CH383" s="186" t="n"/>
      <c r="CI383" s="191" t="n"/>
      <c r="CJ383" s="192" t="n"/>
      <c r="CK383" s="192" t="n"/>
      <c r="CL383" s="192" t="n"/>
      <c r="CM383" s="192" t="n"/>
    </row>
    <row r="384">
      <c r="A384" s="177" t="n"/>
      <c r="B384" s="178" t="n"/>
      <c r="C384" s="178" t="n"/>
      <c r="D384" s="179" t="n"/>
      <c r="E384" s="180" t="n"/>
      <c r="F384" s="181" t="n"/>
      <c r="G384" s="182" t="n"/>
      <c r="H384" s="105" t="n"/>
      <c r="I384" s="196">
        <f>F384</f>
        <v/>
      </c>
      <c r="J384" s="184" t="n"/>
      <c r="K384" s="185" t="n"/>
      <c r="L384" s="8" t="n"/>
      <c r="M384" s="71">
        <f>L384</f>
        <v/>
      </c>
      <c r="N384" s="71" t="n"/>
      <c r="O384" s="101" t="n"/>
      <c r="P384" s="9">
        <f>I384-M384</f>
        <v/>
      </c>
      <c r="Q384" s="9">
        <f>IF(LEFT(B384,4)&lt;&gt;"    ",0,BN384)</f>
        <v/>
      </c>
      <c r="R384" s="9">
        <f>+P384-Q384</f>
        <v/>
      </c>
      <c r="S384" s="281" t="n"/>
      <c r="T384" s="10" t="n"/>
      <c r="U384" s="23">
        <f>IF(LEFT(B384,4)&lt;&gt;"    ","",IF(M384&lt;&gt;0,X384/M384,0))</f>
        <v/>
      </c>
      <c r="V384" s="11">
        <f>IF(LEFT(B384,4)&lt;&gt;"    ","",U384*I384)</f>
        <v/>
      </c>
      <c r="W384" s="11">
        <f>IF(LEFT(B384,4)&lt;&gt;"    ","",X384+Z384)</f>
        <v/>
      </c>
      <c r="X384" s="8" t="n"/>
      <c r="Y384" s="9">
        <f>IF(LEFT(B384,4)&lt;&gt;"    ",0,IF(P384&lt;0,P384,IF(U384&gt;0.3,W384-X384,0)))</f>
        <v/>
      </c>
      <c r="Z384" s="71">
        <f>Y384</f>
        <v/>
      </c>
      <c r="AA384" s="71" t="n"/>
      <c r="AB384" s="109" t="n"/>
      <c r="AC384" s="9">
        <f>IF(LEFT(B384,4)&lt;&gt;"    ",0,BK384)</f>
        <v/>
      </c>
      <c r="AD384" s="9">
        <f>Z384-AC384</f>
        <v/>
      </c>
      <c r="AE384" s="10" t="n"/>
      <c r="AF384" s="24" t="n"/>
      <c r="AG384" s="11" t="n"/>
      <c r="AH384" s="8" t="n"/>
      <c r="AI384" s="9">
        <f>IF(LEFT(B384,4)&lt;&gt;"    ","",AG384-AH384)</f>
        <v/>
      </c>
      <c r="AJ384" s="9" t="n"/>
      <c r="AK384" s="10" t="n"/>
      <c r="AL384" s="11">
        <f>IF(LEFT(B384,4)&lt;&gt;"    ","",W384-AG384)</f>
        <v/>
      </c>
      <c r="AM384" s="8">
        <f>IF(LEFT(B384,4)&lt;&gt;"    ","",X384-AH384)</f>
        <v/>
      </c>
      <c r="AN384" s="9">
        <f>IF(LEFT(B384,4)&lt;&gt;"    ","",Y384-AI384)</f>
        <v/>
      </c>
      <c r="AO384" s="9">
        <f>IF(LEFT(B384,4)&lt;&gt;"    ","",Z384-AJ384)</f>
        <v/>
      </c>
      <c r="AP384" s="10" t="n"/>
      <c r="AQ384" s="25">
        <f>IF(LEFT(B384,4)&lt;&gt;"    ","",I384-W384)</f>
        <v/>
      </c>
      <c r="AR384" s="25">
        <f>M384-X384</f>
        <v/>
      </c>
      <c r="AS384" s="25">
        <f>IF(LEFT(B384,4)&lt;&gt;"    ","",P384-Z384)</f>
        <v/>
      </c>
      <c r="AT384" s="10" t="n"/>
      <c r="AU384" s="12" t="n"/>
      <c r="AV384" s="12">
        <f>IF(LEFT(B384,4)&lt;&gt;"    ","",IF(W384-AU384&gt;=0,W384-AU384," "))</f>
        <v/>
      </c>
      <c r="AW384" s="12">
        <f>IF(LEFT(B384,4)&lt;&gt;"    ","",IF(AU384-W384&gt;=0,AU384-W384," "))</f>
        <v/>
      </c>
      <c r="AX384" s="186" t="n"/>
      <c r="AY384" s="187" t="n"/>
      <c r="AZ384" s="186" t="n"/>
      <c r="BA384" s="186" t="n"/>
      <c r="BB384" s="188" t="n"/>
      <c r="BC384" s="187" t="n"/>
      <c r="BD384" s="187" t="n"/>
      <c r="BE384" s="186" t="n"/>
      <c r="BF384" s="186" t="n"/>
      <c r="BG384" s="186" t="n"/>
      <c r="BH384" s="186" t="n"/>
      <c r="BI384" s="186" t="n"/>
      <c r="BJ384" s="186" t="n"/>
      <c r="BK384" s="186" t="n"/>
      <c r="BL384" s="186" t="n"/>
      <c r="BM384" s="186" t="n"/>
      <c r="BN384" s="186" t="n"/>
      <c r="BO384" s="186" t="n"/>
      <c r="BP384" s="186" t="n"/>
      <c r="BQ384" s="186" t="n"/>
      <c r="BR384" s="186" t="n"/>
      <c r="BS384" s="186" t="n"/>
      <c r="BT384" s="186" t="n"/>
      <c r="BU384" s="186" t="n"/>
      <c r="BV384" s="186" t="n"/>
      <c r="BW384" s="186" t="n"/>
      <c r="BX384" s="186" t="n"/>
      <c r="BY384" s="186" t="n"/>
      <c r="BZ384" s="186" t="n"/>
      <c r="CA384" s="186" t="n"/>
      <c r="CB384" s="186" t="n"/>
      <c r="CC384" s="190" t="n"/>
      <c r="CD384" s="186" t="n"/>
      <c r="CE384" s="186" t="n"/>
      <c r="CF384" s="186" t="n"/>
      <c r="CG384" s="186" t="n"/>
      <c r="CH384" s="186" t="n"/>
      <c r="CI384" s="191" t="n"/>
      <c r="CJ384" s="192" t="n"/>
      <c r="CK384" s="192" t="n"/>
      <c r="CL384" s="192" t="n"/>
      <c r="CM384" s="192" t="n"/>
    </row>
    <row r="385">
      <c r="A385" s="177" t="n"/>
      <c r="B385" s="178" t="n"/>
      <c r="C385" s="178" t="n"/>
      <c r="D385" s="179" t="n"/>
      <c r="E385" s="180" t="n"/>
      <c r="F385" s="181" t="n"/>
      <c r="G385" s="182" t="n"/>
      <c r="H385" s="105" t="n"/>
      <c r="I385" s="196">
        <f>F385</f>
        <v/>
      </c>
      <c r="J385" s="184" t="n"/>
      <c r="K385" s="185" t="n"/>
      <c r="L385" s="8" t="n"/>
      <c r="M385" s="71">
        <f>L385</f>
        <v/>
      </c>
      <c r="N385" s="71" t="n"/>
      <c r="O385" s="101" t="n"/>
      <c r="P385" s="9">
        <f>I385-M385</f>
        <v/>
      </c>
      <c r="Q385" s="9">
        <f>IF(LEFT(B385,4)&lt;&gt;"    ",0,BN385)</f>
        <v/>
      </c>
      <c r="R385" s="9">
        <f>+P385-Q385</f>
        <v/>
      </c>
      <c r="S385" s="281" t="n"/>
      <c r="T385" s="10" t="n"/>
      <c r="U385" s="23">
        <f>IF(LEFT(B385,4)&lt;&gt;"    ","",IF(M385&lt;&gt;0,X385/M385,0))</f>
        <v/>
      </c>
      <c r="V385" s="11">
        <f>IF(LEFT(B385,4)&lt;&gt;"    ","",U385*I385)</f>
        <v/>
      </c>
      <c r="W385" s="11">
        <f>IF(LEFT(B385,4)&lt;&gt;"    ","",X385+Z385)</f>
        <v/>
      </c>
      <c r="X385" s="8" t="n"/>
      <c r="Y385" s="9">
        <f>IF(LEFT(B385,4)&lt;&gt;"    ",0,IF(P385&lt;0,P385,IF(U385&gt;0.3,W385-X385,0)))</f>
        <v/>
      </c>
      <c r="Z385" s="71">
        <f>Y385</f>
        <v/>
      </c>
      <c r="AA385" s="71" t="n"/>
      <c r="AB385" s="109" t="n"/>
      <c r="AC385" s="9">
        <f>IF(LEFT(B385,4)&lt;&gt;"    ",0,BK385)</f>
        <v/>
      </c>
      <c r="AD385" s="9">
        <f>Z385-AC385</f>
        <v/>
      </c>
      <c r="AE385" s="10" t="n"/>
      <c r="AF385" s="24" t="n"/>
      <c r="AG385" s="11" t="n"/>
      <c r="AH385" s="8" t="n"/>
      <c r="AI385" s="9">
        <f>IF(LEFT(B385,4)&lt;&gt;"    ","",AG385-AH385)</f>
        <v/>
      </c>
      <c r="AJ385" s="9" t="n"/>
      <c r="AK385" s="10" t="n"/>
      <c r="AL385" s="11">
        <f>IF(LEFT(B385,4)&lt;&gt;"    ","",W385-AG385)</f>
        <v/>
      </c>
      <c r="AM385" s="8">
        <f>IF(LEFT(B385,4)&lt;&gt;"    ","",X385-AH385)</f>
        <v/>
      </c>
      <c r="AN385" s="9">
        <f>IF(LEFT(B385,4)&lt;&gt;"    ","",Y385-AI385)</f>
        <v/>
      </c>
      <c r="AO385" s="9">
        <f>IF(LEFT(B385,4)&lt;&gt;"    ","",Z385-AJ385)</f>
        <v/>
      </c>
      <c r="AP385" s="10" t="n"/>
      <c r="AQ385" s="25">
        <f>IF(LEFT(B385,4)&lt;&gt;"    ","",I385-W385)</f>
        <v/>
      </c>
      <c r="AR385" s="25">
        <f>M385-X385</f>
        <v/>
      </c>
      <c r="AS385" s="25">
        <f>IF(LEFT(B385,4)&lt;&gt;"    ","",P385-Z385)</f>
        <v/>
      </c>
      <c r="AT385" s="10" t="n"/>
      <c r="AU385" s="12" t="n"/>
      <c r="AV385" s="12">
        <f>IF(LEFT(B385,4)&lt;&gt;"    ","",IF(W385-AU385&gt;=0,W385-AU385," "))</f>
        <v/>
      </c>
      <c r="AW385" s="12">
        <f>IF(LEFT(B385,4)&lt;&gt;"    ","",IF(AU385-W385&gt;=0,AU385-W385," "))</f>
        <v/>
      </c>
      <c r="AX385" s="186" t="n"/>
      <c r="AY385" s="187" t="n"/>
      <c r="AZ385" s="186" t="n"/>
      <c r="BA385" s="186" t="n"/>
      <c r="BB385" s="188" t="n"/>
      <c r="BC385" s="187" t="n"/>
      <c r="BD385" s="187" t="n"/>
      <c r="BE385" s="186" t="n"/>
      <c r="BF385" s="186" t="n"/>
      <c r="BG385" s="186" t="n"/>
      <c r="BH385" s="186" t="n"/>
      <c r="BI385" s="186" t="n"/>
      <c r="BJ385" s="186" t="n"/>
      <c r="BK385" s="186" t="n"/>
      <c r="BL385" s="186" t="n"/>
      <c r="BM385" s="186" t="n"/>
      <c r="BN385" s="186" t="n"/>
      <c r="BO385" s="186" t="n"/>
      <c r="BP385" s="186" t="n"/>
      <c r="BQ385" s="186" t="n"/>
      <c r="BR385" s="186" t="n"/>
      <c r="BS385" s="186" t="n"/>
      <c r="BT385" s="186" t="n"/>
      <c r="BU385" s="186" t="n"/>
      <c r="BV385" s="186" t="n"/>
      <c r="BW385" s="186" t="n"/>
      <c r="BX385" s="186" t="n"/>
      <c r="BY385" s="186" t="n"/>
      <c r="BZ385" s="186" t="n"/>
      <c r="CA385" s="186" t="n"/>
      <c r="CB385" s="186" t="n"/>
      <c r="CC385" s="190" t="n"/>
      <c r="CD385" s="186" t="n"/>
      <c r="CE385" s="186" t="n"/>
      <c r="CF385" s="186" t="n"/>
      <c r="CG385" s="186" t="n"/>
      <c r="CH385" s="186" t="n"/>
      <c r="CI385" s="191" t="n"/>
      <c r="CJ385" s="192" t="n"/>
      <c r="CK385" s="192" t="n"/>
      <c r="CL385" s="192" t="n"/>
      <c r="CM385" s="192" t="n"/>
    </row>
    <row r="386">
      <c r="A386" s="177" t="n"/>
      <c r="B386" s="178" t="n"/>
      <c r="C386" s="178" t="n"/>
      <c r="D386" s="179" t="n"/>
      <c r="E386" s="180" t="n"/>
      <c r="F386" s="181" t="n"/>
      <c r="G386" s="182" t="n"/>
      <c r="H386" s="105" t="n"/>
      <c r="I386" s="196">
        <f>F386</f>
        <v/>
      </c>
      <c r="J386" s="184" t="n"/>
      <c r="K386" s="185" t="n"/>
      <c r="L386" s="8" t="n"/>
      <c r="M386" s="71">
        <f>L386</f>
        <v/>
      </c>
      <c r="N386" s="71" t="n"/>
      <c r="O386" s="101" t="n"/>
      <c r="P386" s="9">
        <f>I386-M386</f>
        <v/>
      </c>
      <c r="Q386" s="9">
        <f>IF(LEFT(B386,4)&lt;&gt;"    ",0,BN386)</f>
        <v/>
      </c>
      <c r="R386" s="9">
        <f>+P386-Q386</f>
        <v/>
      </c>
      <c r="S386" s="281" t="n"/>
      <c r="T386" s="10" t="n"/>
      <c r="U386" s="23">
        <f>IF(LEFT(B386,4)&lt;&gt;"    ","",IF(M386&lt;&gt;0,X386/M386,0))</f>
        <v/>
      </c>
      <c r="V386" s="11">
        <f>IF(LEFT(B386,4)&lt;&gt;"    ","",U386*I386)</f>
        <v/>
      </c>
      <c r="W386" s="11">
        <f>IF(LEFT(B386,4)&lt;&gt;"    ","",X386+Z386)</f>
        <v/>
      </c>
      <c r="X386" s="8" t="n"/>
      <c r="Y386" s="9">
        <f>IF(LEFT(B386,4)&lt;&gt;"    ",0,IF(P386&lt;0,P386,IF(U386&gt;0.3,W386-X386,0)))</f>
        <v/>
      </c>
      <c r="Z386" s="71">
        <f>Y386</f>
        <v/>
      </c>
      <c r="AA386" s="71" t="n"/>
      <c r="AB386" s="109" t="n"/>
      <c r="AC386" s="9">
        <f>IF(LEFT(B386,4)&lt;&gt;"    ",0,BK386)</f>
        <v/>
      </c>
      <c r="AD386" s="9">
        <f>Z386-AC386</f>
        <v/>
      </c>
      <c r="AE386" s="10" t="n"/>
      <c r="AF386" s="24" t="n"/>
      <c r="AG386" s="11" t="n"/>
      <c r="AH386" s="8" t="n"/>
      <c r="AI386" s="9">
        <f>IF(LEFT(B386,4)&lt;&gt;"    ","",AG386-AH386)</f>
        <v/>
      </c>
      <c r="AJ386" s="9" t="n"/>
      <c r="AK386" s="10" t="n"/>
      <c r="AL386" s="11">
        <f>IF(LEFT(B386,4)&lt;&gt;"    ","",W386-AG386)</f>
        <v/>
      </c>
      <c r="AM386" s="8">
        <f>IF(LEFT(B386,4)&lt;&gt;"    ","",X386-AH386)</f>
        <v/>
      </c>
      <c r="AN386" s="9">
        <f>IF(LEFT(B386,4)&lt;&gt;"    ","",Y386-AI386)</f>
        <v/>
      </c>
      <c r="AO386" s="9">
        <f>IF(LEFT(B386,4)&lt;&gt;"    ","",Z386-AJ386)</f>
        <v/>
      </c>
      <c r="AP386" s="10" t="n"/>
      <c r="AQ386" s="25">
        <f>IF(LEFT(B386,4)&lt;&gt;"    ","",I386-W386)</f>
        <v/>
      </c>
      <c r="AR386" s="25">
        <f>M386-X386</f>
        <v/>
      </c>
      <c r="AS386" s="25">
        <f>IF(LEFT(B386,4)&lt;&gt;"    ","",P386-Z386)</f>
        <v/>
      </c>
      <c r="AT386" s="10" t="n"/>
      <c r="AU386" s="12" t="n"/>
      <c r="AV386" s="12">
        <f>IF(LEFT(B386,4)&lt;&gt;"    ","",IF(W386-AU386&gt;=0,W386-AU386," "))</f>
        <v/>
      </c>
      <c r="AW386" s="12">
        <f>IF(LEFT(B386,4)&lt;&gt;"    ","",IF(AU386-W386&gt;=0,AU386-W386," "))</f>
        <v/>
      </c>
      <c r="AX386" s="186" t="n"/>
      <c r="AY386" s="187" t="n"/>
      <c r="AZ386" s="186" t="n"/>
      <c r="BA386" s="186" t="n"/>
      <c r="BB386" s="188" t="n"/>
      <c r="BC386" s="187" t="n"/>
      <c r="BD386" s="187" t="n"/>
      <c r="BE386" s="186" t="n"/>
      <c r="BF386" s="186" t="n"/>
      <c r="BG386" s="186" t="n"/>
      <c r="BH386" s="186" t="n"/>
      <c r="BI386" s="186" t="n"/>
      <c r="BJ386" s="186" t="n"/>
      <c r="BK386" s="186" t="n"/>
      <c r="BL386" s="186" t="n"/>
      <c r="BM386" s="186" t="n"/>
      <c r="BN386" s="186" t="n"/>
      <c r="BO386" s="186" t="n"/>
      <c r="BP386" s="186" t="n"/>
      <c r="BQ386" s="186" t="n"/>
      <c r="BR386" s="186" t="n"/>
      <c r="BS386" s="186" t="n"/>
      <c r="BT386" s="186" t="n"/>
      <c r="BU386" s="186" t="n"/>
      <c r="BV386" s="186" t="n"/>
      <c r="BW386" s="186" t="n"/>
      <c r="BX386" s="186" t="n"/>
      <c r="BY386" s="186" t="n"/>
      <c r="BZ386" s="186" t="n"/>
      <c r="CA386" s="186" t="n"/>
      <c r="CB386" s="186" t="n"/>
      <c r="CC386" s="190" t="n"/>
      <c r="CD386" s="186" t="n"/>
      <c r="CE386" s="186" t="n"/>
      <c r="CF386" s="186" t="n"/>
      <c r="CG386" s="186" t="n"/>
      <c r="CH386" s="186" t="n"/>
      <c r="CI386" s="191" t="n"/>
      <c r="CJ386" s="192" t="n"/>
      <c r="CK386" s="192" t="n"/>
      <c r="CL386" s="192" t="n"/>
      <c r="CM386" s="192" t="n"/>
    </row>
    <row r="387">
      <c r="A387" s="177" t="n"/>
      <c r="B387" s="178" t="n"/>
      <c r="C387" s="178" t="n"/>
      <c r="D387" s="179" t="n"/>
      <c r="E387" s="180" t="n"/>
      <c r="F387" s="181" t="n"/>
      <c r="G387" s="182" t="n"/>
      <c r="H387" s="105" t="n"/>
      <c r="I387" s="196">
        <f>F387</f>
        <v/>
      </c>
      <c r="J387" s="184" t="n"/>
      <c r="K387" s="185" t="n"/>
      <c r="L387" s="8" t="n"/>
      <c r="M387" s="71">
        <f>L387</f>
        <v/>
      </c>
      <c r="N387" s="71" t="n"/>
      <c r="O387" s="101" t="n"/>
      <c r="P387" s="9">
        <f>I387-M387</f>
        <v/>
      </c>
      <c r="Q387" s="9">
        <f>IF(LEFT(B387,4)&lt;&gt;"    ",0,BN387)</f>
        <v/>
      </c>
      <c r="R387" s="9">
        <f>+P387-Q387</f>
        <v/>
      </c>
      <c r="S387" s="281" t="n"/>
      <c r="T387" s="10" t="n"/>
      <c r="U387" s="23">
        <f>IF(LEFT(B387,4)&lt;&gt;"    ","",IF(M387&lt;&gt;0,X387/M387,0))</f>
        <v/>
      </c>
      <c r="V387" s="11">
        <f>IF(LEFT(B387,4)&lt;&gt;"    ","",U387*I387)</f>
        <v/>
      </c>
      <c r="W387" s="11">
        <f>IF(LEFT(B387,4)&lt;&gt;"    ","",X387+Z387)</f>
        <v/>
      </c>
      <c r="X387" s="8" t="n"/>
      <c r="Y387" s="9">
        <f>IF(LEFT(B387,4)&lt;&gt;"    ",0,IF(P387&lt;0,P387,IF(U387&gt;0.3,W387-X387,0)))</f>
        <v/>
      </c>
      <c r="Z387" s="71">
        <f>Y387</f>
        <v/>
      </c>
      <c r="AA387" s="71" t="n"/>
      <c r="AB387" s="109" t="n"/>
      <c r="AC387" s="9">
        <f>IF(LEFT(B387,4)&lt;&gt;"    ",0,BK387)</f>
        <v/>
      </c>
      <c r="AD387" s="9">
        <f>Z387-AC387</f>
        <v/>
      </c>
      <c r="AE387" s="10" t="n"/>
      <c r="AF387" s="24" t="n"/>
      <c r="AG387" s="11" t="n"/>
      <c r="AH387" s="8" t="n"/>
      <c r="AI387" s="9">
        <f>IF(LEFT(B387,4)&lt;&gt;"    ","",AG387-AH387)</f>
        <v/>
      </c>
      <c r="AJ387" s="9" t="n"/>
      <c r="AK387" s="10" t="n"/>
      <c r="AL387" s="11">
        <f>IF(LEFT(B387,4)&lt;&gt;"    ","",W387-AG387)</f>
        <v/>
      </c>
      <c r="AM387" s="8">
        <f>IF(LEFT(B387,4)&lt;&gt;"    ","",X387-AH387)</f>
        <v/>
      </c>
      <c r="AN387" s="9">
        <f>IF(LEFT(B387,4)&lt;&gt;"    ","",Y387-AI387)</f>
        <v/>
      </c>
      <c r="AO387" s="9">
        <f>IF(LEFT(B387,4)&lt;&gt;"    ","",Z387-AJ387)</f>
        <v/>
      </c>
      <c r="AP387" s="10" t="n"/>
      <c r="AQ387" s="25">
        <f>IF(LEFT(B387,4)&lt;&gt;"    ","",I387-W387)</f>
        <v/>
      </c>
      <c r="AR387" s="25">
        <f>M387-X387</f>
        <v/>
      </c>
      <c r="AS387" s="25">
        <f>IF(LEFT(B387,4)&lt;&gt;"    ","",P387-Z387)</f>
        <v/>
      </c>
      <c r="AT387" s="10" t="n"/>
      <c r="AU387" s="12" t="n"/>
      <c r="AV387" s="12">
        <f>IF(LEFT(B387,4)&lt;&gt;"    ","",IF(W387-AU387&gt;=0,W387-AU387," "))</f>
        <v/>
      </c>
      <c r="AW387" s="12">
        <f>IF(LEFT(B387,4)&lt;&gt;"    ","",IF(AU387-W387&gt;=0,AU387-W387," "))</f>
        <v/>
      </c>
      <c r="AX387" s="186" t="n"/>
      <c r="AY387" s="187" t="n"/>
      <c r="AZ387" s="186" t="n"/>
      <c r="BA387" s="186" t="n"/>
      <c r="BB387" s="188" t="n"/>
      <c r="BC387" s="187" t="n"/>
      <c r="BD387" s="187" t="n"/>
      <c r="BE387" s="186" t="n"/>
      <c r="BF387" s="186" t="n"/>
      <c r="BG387" s="186" t="n"/>
      <c r="BH387" s="186" t="n"/>
      <c r="BI387" s="186" t="n"/>
      <c r="BJ387" s="186" t="n"/>
      <c r="BK387" s="186" t="n"/>
      <c r="BL387" s="186" t="n"/>
      <c r="BM387" s="186" t="n"/>
      <c r="BN387" s="186" t="n"/>
      <c r="BO387" s="186" t="n"/>
      <c r="BP387" s="186" t="n"/>
      <c r="BQ387" s="186" t="n"/>
      <c r="BR387" s="186" t="n"/>
      <c r="BS387" s="186" t="n"/>
      <c r="BT387" s="186" t="n"/>
      <c r="BU387" s="186" t="n"/>
      <c r="BV387" s="186" t="n"/>
      <c r="BW387" s="186" t="n"/>
      <c r="BX387" s="186" t="n"/>
      <c r="BY387" s="186" t="n"/>
      <c r="BZ387" s="186" t="n"/>
      <c r="CA387" s="186" t="n"/>
      <c r="CB387" s="186" t="n"/>
      <c r="CC387" s="190" t="n"/>
      <c r="CD387" s="186" t="n"/>
      <c r="CE387" s="186" t="n"/>
      <c r="CF387" s="186" t="n"/>
      <c r="CG387" s="186" t="n"/>
      <c r="CH387" s="186" t="n"/>
      <c r="CI387" s="191" t="n"/>
      <c r="CJ387" s="192" t="n"/>
      <c r="CK387" s="192" t="n"/>
      <c r="CL387" s="192" t="n"/>
      <c r="CM387" s="192" t="n"/>
    </row>
    <row r="388">
      <c r="A388" s="177" t="n"/>
      <c r="B388" s="178" t="n"/>
      <c r="C388" s="178" t="n"/>
      <c r="D388" s="179" t="n"/>
      <c r="E388" s="180" t="n"/>
      <c r="F388" s="181" t="n"/>
      <c r="G388" s="182" t="n"/>
      <c r="H388" s="105" t="n"/>
      <c r="I388" s="196">
        <f>F388</f>
        <v/>
      </c>
      <c r="J388" s="184" t="n"/>
      <c r="K388" s="185" t="n"/>
      <c r="L388" s="8" t="n"/>
      <c r="M388" s="71">
        <f>L388</f>
        <v/>
      </c>
      <c r="N388" s="71" t="n"/>
      <c r="O388" s="101" t="n"/>
      <c r="P388" s="9">
        <f>I388-M388</f>
        <v/>
      </c>
      <c r="Q388" s="9">
        <f>IF(LEFT(B388,4)&lt;&gt;"    ",0,BN388)</f>
        <v/>
      </c>
      <c r="R388" s="9">
        <f>+P388-Q388</f>
        <v/>
      </c>
      <c r="S388" s="281" t="n"/>
      <c r="T388" s="10" t="n"/>
      <c r="U388" s="23">
        <f>IF(LEFT(B388,4)&lt;&gt;"    ","",IF(M388&lt;&gt;0,X388/M388,0))</f>
        <v/>
      </c>
      <c r="V388" s="11">
        <f>IF(LEFT(B388,4)&lt;&gt;"    ","",U388*I388)</f>
        <v/>
      </c>
      <c r="W388" s="11">
        <f>IF(LEFT(B388,4)&lt;&gt;"    ","",X388+Z388)</f>
        <v/>
      </c>
      <c r="X388" s="8" t="n"/>
      <c r="Y388" s="9">
        <f>IF(LEFT(B388,4)&lt;&gt;"    ",0,IF(P388&lt;0,P388,IF(U388&gt;0.3,W388-X388,0)))</f>
        <v/>
      </c>
      <c r="Z388" s="71">
        <f>Y388</f>
        <v/>
      </c>
      <c r="AA388" s="71" t="n"/>
      <c r="AB388" s="109" t="n"/>
      <c r="AC388" s="9">
        <f>IF(LEFT(B388,4)&lt;&gt;"    ",0,BK388)</f>
        <v/>
      </c>
      <c r="AD388" s="9">
        <f>Z388-AC388</f>
        <v/>
      </c>
      <c r="AE388" s="10" t="n"/>
      <c r="AF388" s="24" t="n"/>
      <c r="AG388" s="11" t="n"/>
      <c r="AH388" s="8" t="n"/>
      <c r="AI388" s="9">
        <f>IF(LEFT(B388,4)&lt;&gt;"    ","",AG388-AH388)</f>
        <v/>
      </c>
      <c r="AJ388" s="9" t="n"/>
      <c r="AK388" s="10" t="n"/>
      <c r="AL388" s="11">
        <f>IF(LEFT(B388,4)&lt;&gt;"    ","",W388-AG388)</f>
        <v/>
      </c>
      <c r="AM388" s="8">
        <f>IF(LEFT(B388,4)&lt;&gt;"    ","",X388-AH388)</f>
        <v/>
      </c>
      <c r="AN388" s="9">
        <f>IF(LEFT(B388,4)&lt;&gt;"    ","",Y388-AI388)</f>
        <v/>
      </c>
      <c r="AO388" s="9">
        <f>IF(LEFT(B388,4)&lt;&gt;"    ","",Z388-AJ388)</f>
        <v/>
      </c>
      <c r="AP388" s="10" t="n"/>
      <c r="AQ388" s="25">
        <f>IF(LEFT(B388,4)&lt;&gt;"    ","",I388-W388)</f>
        <v/>
      </c>
      <c r="AR388" s="25">
        <f>M388-X388</f>
        <v/>
      </c>
      <c r="AS388" s="25">
        <f>IF(LEFT(B388,4)&lt;&gt;"    ","",P388-Z388)</f>
        <v/>
      </c>
      <c r="AT388" s="10" t="n"/>
      <c r="AU388" s="12" t="n"/>
      <c r="AV388" s="12">
        <f>IF(LEFT(B388,4)&lt;&gt;"    ","",IF(W388-AU388&gt;=0,W388-AU388," "))</f>
        <v/>
      </c>
      <c r="AW388" s="12">
        <f>IF(LEFT(B388,4)&lt;&gt;"    ","",IF(AU388-W388&gt;=0,AU388-W388," "))</f>
        <v/>
      </c>
      <c r="AX388" s="186" t="n"/>
      <c r="AY388" s="187" t="n"/>
      <c r="AZ388" s="186" t="n"/>
      <c r="BA388" s="186" t="n"/>
      <c r="BB388" s="188" t="n"/>
      <c r="BC388" s="187" t="n"/>
      <c r="BD388" s="187" t="n"/>
      <c r="BE388" s="186" t="n"/>
      <c r="BF388" s="186" t="n"/>
      <c r="BG388" s="186" t="n"/>
      <c r="BH388" s="186" t="n"/>
      <c r="BI388" s="186" t="n"/>
      <c r="BJ388" s="186" t="n"/>
      <c r="BK388" s="186" t="n"/>
      <c r="BL388" s="186" t="n"/>
      <c r="BM388" s="186" t="n"/>
      <c r="BN388" s="186" t="n"/>
      <c r="BO388" s="186" t="n"/>
      <c r="BP388" s="186" t="n"/>
      <c r="BQ388" s="186" t="n"/>
      <c r="BR388" s="186" t="n"/>
      <c r="BS388" s="186" t="n"/>
      <c r="BT388" s="186" t="n"/>
      <c r="BU388" s="186" t="n"/>
      <c r="BV388" s="186" t="n"/>
      <c r="BW388" s="186" t="n"/>
      <c r="BX388" s="186" t="n"/>
      <c r="BY388" s="186" t="n"/>
      <c r="BZ388" s="186" t="n"/>
      <c r="CA388" s="186" t="n"/>
      <c r="CB388" s="186" t="n"/>
      <c r="CC388" s="190" t="n"/>
      <c r="CD388" s="186" t="n"/>
      <c r="CE388" s="186" t="n"/>
      <c r="CF388" s="186" t="n"/>
      <c r="CG388" s="186" t="n"/>
      <c r="CH388" s="186" t="n"/>
      <c r="CI388" s="191" t="n"/>
      <c r="CJ388" s="192" t="n"/>
      <c r="CK388" s="192" t="n"/>
      <c r="CL388" s="192" t="n"/>
      <c r="CM388" s="192" t="n"/>
    </row>
    <row r="389">
      <c r="A389" s="177" t="n"/>
      <c r="B389" s="178" t="n"/>
      <c r="C389" s="178" t="n"/>
      <c r="D389" s="179" t="n"/>
      <c r="E389" s="180" t="n"/>
      <c r="F389" s="181" t="n"/>
      <c r="G389" s="182" t="n"/>
      <c r="H389" s="105" t="n"/>
      <c r="I389" s="196">
        <f>F389</f>
        <v/>
      </c>
      <c r="J389" s="184" t="n"/>
      <c r="K389" s="185" t="n"/>
      <c r="L389" s="8" t="n"/>
      <c r="M389" s="71">
        <f>L389</f>
        <v/>
      </c>
      <c r="N389" s="71" t="n"/>
      <c r="O389" s="101" t="n"/>
      <c r="P389" s="9">
        <f>I389-M389</f>
        <v/>
      </c>
      <c r="Q389" s="9">
        <f>IF(LEFT(B389,4)&lt;&gt;"    ",0,BN389)</f>
        <v/>
      </c>
      <c r="R389" s="9">
        <f>+P389-Q389</f>
        <v/>
      </c>
      <c r="S389" s="281" t="n"/>
      <c r="T389" s="10" t="n"/>
      <c r="U389" s="23">
        <f>IF(LEFT(B389,4)&lt;&gt;"    ","",IF(M389&lt;&gt;0,X389/M389,0))</f>
        <v/>
      </c>
      <c r="V389" s="11">
        <f>IF(LEFT(B389,4)&lt;&gt;"    ","",U389*I389)</f>
        <v/>
      </c>
      <c r="W389" s="11">
        <f>IF(LEFT(B389,4)&lt;&gt;"    ","",X389+Z389)</f>
        <v/>
      </c>
      <c r="X389" s="8" t="n"/>
      <c r="Y389" s="9">
        <f>IF(LEFT(B389,4)&lt;&gt;"    ",0,IF(P389&lt;0,P389,IF(U389&gt;0.3,W389-X389,0)))</f>
        <v/>
      </c>
      <c r="Z389" s="71">
        <f>Y389</f>
        <v/>
      </c>
      <c r="AA389" s="71" t="n"/>
      <c r="AB389" s="109" t="n"/>
      <c r="AC389" s="9">
        <f>IF(LEFT(B389,4)&lt;&gt;"    ",0,BK389)</f>
        <v/>
      </c>
      <c r="AD389" s="9">
        <f>Z389-AC389</f>
        <v/>
      </c>
      <c r="AE389" s="10" t="n"/>
      <c r="AF389" s="24" t="n"/>
      <c r="AG389" s="11" t="n"/>
      <c r="AH389" s="8" t="n"/>
      <c r="AI389" s="9">
        <f>IF(LEFT(B389,4)&lt;&gt;"    ","",AG389-AH389)</f>
        <v/>
      </c>
      <c r="AJ389" s="9" t="n"/>
      <c r="AK389" s="10" t="n"/>
      <c r="AL389" s="11">
        <f>IF(LEFT(B389,4)&lt;&gt;"    ","",W389-AG389)</f>
        <v/>
      </c>
      <c r="AM389" s="8">
        <f>IF(LEFT(B389,4)&lt;&gt;"    ","",X389-AH389)</f>
        <v/>
      </c>
      <c r="AN389" s="9">
        <f>IF(LEFT(B389,4)&lt;&gt;"    ","",Y389-AI389)</f>
        <v/>
      </c>
      <c r="AO389" s="9">
        <f>IF(LEFT(B389,4)&lt;&gt;"    ","",Z389-AJ389)</f>
        <v/>
      </c>
      <c r="AP389" s="10" t="n"/>
      <c r="AQ389" s="25">
        <f>IF(LEFT(B389,4)&lt;&gt;"    ","",I389-W389)</f>
        <v/>
      </c>
      <c r="AR389" s="25">
        <f>M389-X389</f>
        <v/>
      </c>
      <c r="AS389" s="25">
        <f>IF(LEFT(B389,4)&lt;&gt;"    ","",P389-Z389)</f>
        <v/>
      </c>
      <c r="AT389" s="10" t="n"/>
      <c r="AU389" s="12" t="n"/>
      <c r="AV389" s="12">
        <f>IF(LEFT(B389,4)&lt;&gt;"    ","",IF(W389-AU389&gt;=0,W389-AU389," "))</f>
        <v/>
      </c>
      <c r="AW389" s="12">
        <f>IF(LEFT(B389,4)&lt;&gt;"    ","",IF(AU389-W389&gt;=0,AU389-W389," "))</f>
        <v/>
      </c>
      <c r="AX389" s="186" t="n"/>
      <c r="AY389" s="187" t="n"/>
      <c r="AZ389" s="186" t="n"/>
      <c r="BA389" s="186" t="n"/>
      <c r="BB389" s="188" t="n"/>
      <c r="BC389" s="187" t="n"/>
      <c r="BD389" s="187" t="n"/>
      <c r="BE389" s="186" t="n"/>
      <c r="BF389" s="186" t="n"/>
      <c r="BG389" s="186" t="n"/>
      <c r="BH389" s="186" t="n"/>
      <c r="BI389" s="186" t="n"/>
      <c r="BJ389" s="186" t="n"/>
      <c r="BK389" s="186" t="n"/>
      <c r="BL389" s="186" t="n"/>
      <c r="BM389" s="186" t="n"/>
      <c r="BN389" s="186" t="n"/>
      <c r="BO389" s="186" t="n"/>
      <c r="BP389" s="186" t="n"/>
      <c r="BQ389" s="186" t="n"/>
      <c r="BR389" s="186" t="n"/>
      <c r="BS389" s="186" t="n"/>
      <c r="BT389" s="186" t="n"/>
      <c r="BU389" s="186" t="n"/>
      <c r="BV389" s="186" t="n"/>
      <c r="BW389" s="186" t="n"/>
      <c r="BX389" s="186" t="n"/>
      <c r="BY389" s="186" t="n"/>
      <c r="BZ389" s="186" t="n"/>
      <c r="CA389" s="186" t="n"/>
      <c r="CB389" s="186" t="n"/>
      <c r="CC389" s="190" t="n"/>
      <c r="CD389" s="186" t="n"/>
      <c r="CE389" s="186" t="n"/>
      <c r="CF389" s="186" t="n"/>
      <c r="CG389" s="186" t="n"/>
      <c r="CH389" s="186" t="n"/>
      <c r="CI389" s="191" t="n"/>
      <c r="CJ389" s="192" t="n"/>
      <c r="CK389" s="192" t="n"/>
      <c r="CL389" s="192" t="n"/>
      <c r="CM389" s="192" t="n"/>
    </row>
    <row r="390">
      <c r="A390" s="177" t="n"/>
      <c r="B390" s="178" t="n"/>
      <c r="C390" s="178" t="n"/>
      <c r="D390" s="179" t="n"/>
      <c r="E390" s="180" t="n"/>
      <c r="F390" s="181" t="n"/>
      <c r="G390" s="182" t="n"/>
      <c r="H390" s="105" t="n"/>
      <c r="I390" s="196">
        <f>F390</f>
        <v/>
      </c>
      <c r="J390" s="184" t="n"/>
      <c r="K390" s="185" t="n"/>
      <c r="L390" s="8" t="n"/>
      <c r="M390" s="71">
        <f>L390</f>
        <v/>
      </c>
      <c r="N390" s="71" t="n"/>
      <c r="O390" s="101" t="n"/>
      <c r="P390" s="9">
        <f>I390-M390</f>
        <v/>
      </c>
      <c r="Q390" s="9">
        <f>IF(LEFT(B390,4)&lt;&gt;"    ",0,BN390)</f>
        <v/>
      </c>
      <c r="R390" s="9">
        <f>+P390-Q390</f>
        <v/>
      </c>
      <c r="S390" s="281" t="n"/>
      <c r="T390" s="10" t="n"/>
      <c r="U390" s="23">
        <f>IF(LEFT(B390,4)&lt;&gt;"    ","",IF(M390&lt;&gt;0,X390/M390,0))</f>
        <v/>
      </c>
      <c r="V390" s="11">
        <f>IF(LEFT(B390,4)&lt;&gt;"    ","",U390*I390)</f>
        <v/>
      </c>
      <c r="W390" s="11">
        <f>IF(LEFT(B390,4)&lt;&gt;"    ","",X390+Z390)</f>
        <v/>
      </c>
      <c r="X390" s="8" t="n"/>
      <c r="Y390" s="9">
        <f>IF(LEFT(B390,4)&lt;&gt;"    ",0,IF(P390&lt;0,P390,IF(U390&gt;0.3,W390-X390,0)))</f>
        <v/>
      </c>
      <c r="Z390" s="71">
        <f>Y390</f>
        <v/>
      </c>
      <c r="AA390" s="71" t="n"/>
      <c r="AB390" s="109" t="n"/>
      <c r="AC390" s="9">
        <f>IF(LEFT(B390,4)&lt;&gt;"    ",0,BK390)</f>
        <v/>
      </c>
      <c r="AD390" s="9">
        <f>Z390-AC390</f>
        <v/>
      </c>
      <c r="AE390" s="10" t="n"/>
      <c r="AF390" s="24" t="n"/>
      <c r="AG390" s="11" t="n"/>
      <c r="AH390" s="8" t="n"/>
      <c r="AI390" s="9">
        <f>IF(LEFT(B390,4)&lt;&gt;"    ","",AG390-AH390)</f>
        <v/>
      </c>
      <c r="AJ390" s="9" t="n"/>
      <c r="AK390" s="10" t="n"/>
      <c r="AL390" s="11">
        <f>IF(LEFT(B390,4)&lt;&gt;"    ","",W390-AG390)</f>
        <v/>
      </c>
      <c r="AM390" s="8">
        <f>IF(LEFT(B390,4)&lt;&gt;"    ","",X390-AH390)</f>
        <v/>
      </c>
      <c r="AN390" s="9">
        <f>IF(LEFT(B390,4)&lt;&gt;"    ","",Y390-AI390)</f>
        <v/>
      </c>
      <c r="AO390" s="9">
        <f>IF(LEFT(B390,4)&lt;&gt;"    ","",Z390-AJ390)</f>
        <v/>
      </c>
      <c r="AP390" s="10" t="n"/>
      <c r="AQ390" s="25">
        <f>IF(LEFT(B390,4)&lt;&gt;"    ","",I390-W390)</f>
        <v/>
      </c>
      <c r="AR390" s="25">
        <f>M390-X390</f>
        <v/>
      </c>
      <c r="AS390" s="25">
        <f>IF(LEFT(B390,4)&lt;&gt;"    ","",P390-Z390)</f>
        <v/>
      </c>
      <c r="AT390" s="10" t="n"/>
      <c r="AU390" s="12" t="n"/>
      <c r="AV390" s="12">
        <f>IF(LEFT(B390,4)&lt;&gt;"    ","",IF(W390-AU390&gt;=0,W390-AU390," "))</f>
        <v/>
      </c>
      <c r="AW390" s="12">
        <f>IF(LEFT(B390,4)&lt;&gt;"    ","",IF(AU390-W390&gt;=0,AU390-W390," "))</f>
        <v/>
      </c>
      <c r="AX390" s="186" t="n"/>
      <c r="AY390" s="187" t="n"/>
      <c r="AZ390" s="186" t="n"/>
      <c r="BA390" s="186" t="n"/>
      <c r="BB390" s="188" t="n"/>
      <c r="BC390" s="187" t="n"/>
      <c r="BD390" s="187" t="n"/>
      <c r="BE390" s="186" t="n"/>
      <c r="BF390" s="186" t="n"/>
      <c r="BG390" s="186" t="n"/>
      <c r="BH390" s="186" t="n"/>
      <c r="BI390" s="186" t="n"/>
      <c r="BJ390" s="186" t="n"/>
      <c r="BK390" s="186" t="n"/>
      <c r="BL390" s="186" t="n"/>
      <c r="BM390" s="186" t="n"/>
      <c r="BN390" s="186" t="n"/>
      <c r="BO390" s="186" t="n"/>
      <c r="BP390" s="186" t="n"/>
      <c r="BQ390" s="186" t="n"/>
      <c r="BR390" s="186" t="n"/>
      <c r="BS390" s="186" t="n"/>
      <c r="BT390" s="186" t="n"/>
      <c r="BU390" s="186" t="n"/>
      <c r="BV390" s="186" t="n"/>
      <c r="BW390" s="186" t="n"/>
      <c r="BX390" s="186" t="n"/>
      <c r="BY390" s="186" t="n"/>
      <c r="BZ390" s="186" t="n"/>
      <c r="CA390" s="186" t="n"/>
      <c r="CB390" s="186" t="n"/>
      <c r="CC390" s="190" t="n"/>
      <c r="CD390" s="186" t="n"/>
      <c r="CE390" s="186" t="n"/>
      <c r="CF390" s="186" t="n"/>
      <c r="CG390" s="186" t="n"/>
      <c r="CH390" s="186" t="n"/>
      <c r="CI390" s="191" t="n"/>
      <c r="CJ390" s="192" t="n"/>
      <c r="CK390" s="192" t="n"/>
      <c r="CL390" s="192" t="n"/>
      <c r="CM390" s="192" t="n"/>
    </row>
    <row r="391">
      <c r="A391" s="177" t="n"/>
      <c r="B391" s="178" t="n"/>
      <c r="C391" s="178" t="n"/>
      <c r="D391" s="179" t="n"/>
      <c r="E391" s="180" t="n"/>
      <c r="F391" s="181" t="n"/>
      <c r="G391" s="182" t="n"/>
      <c r="H391" s="105" t="n"/>
      <c r="I391" s="196">
        <f>F391</f>
        <v/>
      </c>
      <c r="J391" s="184" t="n"/>
      <c r="K391" s="185" t="n"/>
      <c r="L391" s="8" t="n"/>
      <c r="M391" s="71">
        <f>L391</f>
        <v/>
      </c>
      <c r="N391" s="71" t="n"/>
      <c r="O391" s="101" t="n"/>
      <c r="P391" s="9">
        <f>I391-M391</f>
        <v/>
      </c>
      <c r="Q391" s="9">
        <f>IF(LEFT(B391,4)&lt;&gt;"    ",0,BN391)</f>
        <v/>
      </c>
      <c r="R391" s="9">
        <f>+P391-Q391</f>
        <v/>
      </c>
      <c r="S391" s="281" t="n"/>
      <c r="T391" s="10" t="n"/>
      <c r="U391" s="23">
        <f>IF(LEFT(B391,4)&lt;&gt;"    ","",IF(M391&lt;&gt;0,X391/M391,0))</f>
        <v/>
      </c>
      <c r="V391" s="11">
        <f>IF(LEFT(B391,4)&lt;&gt;"    ","",U391*I391)</f>
        <v/>
      </c>
      <c r="W391" s="11">
        <f>IF(LEFT(B391,4)&lt;&gt;"    ","",X391+Z391)</f>
        <v/>
      </c>
      <c r="X391" s="8" t="n"/>
      <c r="Y391" s="9">
        <f>IF(LEFT(B391,4)&lt;&gt;"    ",0,IF(P391&lt;0,P391,IF(U391&gt;0.3,W391-X391,0)))</f>
        <v/>
      </c>
      <c r="Z391" s="71">
        <f>Y391</f>
        <v/>
      </c>
      <c r="AA391" s="71" t="n"/>
      <c r="AB391" s="109" t="n"/>
      <c r="AC391" s="9">
        <f>IF(LEFT(B391,4)&lt;&gt;"    ",0,BK391)</f>
        <v/>
      </c>
      <c r="AD391" s="9">
        <f>Z391-AC391</f>
        <v/>
      </c>
      <c r="AE391" s="10" t="n"/>
      <c r="AF391" s="24" t="n"/>
      <c r="AG391" s="11" t="n"/>
      <c r="AH391" s="8" t="n"/>
      <c r="AI391" s="9">
        <f>IF(LEFT(B391,4)&lt;&gt;"    ","",AG391-AH391)</f>
        <v/>
      </c>
      <c r="AJ391" s="9" t="n"/>
      <c r="AK391" s="10" t="n"/>
      <c r="AL391" s="11">
        <f>IF(LEFT(B391,4)&lt;&gt;"    ","",W391-AG391)</f>
        <v/>
      </c>
      <c r="AM391" s="8">
        <f>IF(LEFT(B391,4)&lt;&gt;"    ","",X391-AH391)</f>
        <v/>
      </c>
      <c r="AN391" s="9">
        <f>IF(LEFT(B391,4)&lt;&gt;"    ","",Y391-AI391)</f>
        <v/>
      </c>
      <c r="AO391" s="9">
        <f>IF(LEFT(B391,4)&lt;&gt;"    ","",Z391-AJ391)</f>
        <v/>
      </c>
      <c r="AP391" s="10" t="n"/>
      <c r="AQ391" s="25">
        <f>IF(LEFT(B391,4)&lt;&gt;"    ","",I391-W391)</f>
        <v/>
      </c>
      <c r="AR391" s="25">
        <f>M391-X391</f>
        <v/>
      </c>
      <c r="AS391" s="25">
        <f>IF(LEFT(B391,4)&lt;&gt;"    ","",P391-Z391)</f>
        <v/>
      </c>
      <c r="AT391" s="10" t="n"/>
      <c r="AU391" s="12" t="n"/>
      <c r="AV391" s="12">
        <f>IF(LEFT(B391,4)&lt;&gt;"    ","",IF(W391-AU391&gt;=0,W391-AU391," "))</f>
        <v/>
      </c>
      <c r="AW391" s="12">
        <f>IF(LEFT(B391,4)&lt;&gt;"    ","",IF(AU391-W391&gt;=0,AU391-W391," "))</f>
        <v/>
      </c>
      <c r="AX391" s="186" t="n"/>
      <c r="AY391" s="187" t="n"/>
      <c r="AZ391" s="186" t="n"/>
      <c r="BA391" s="186" t="n"/>
      <c r="BB391" s="188" t="n"/>
      <c r="BC391" s="187" t="n"/>
      <c r="BD391" s="187" t="n"/>
      <c r="BE391" s="186" t="n"/>
      <c r="BF391" s="186" t="n"/>
      <c r="BG391" s="186" t="n"/>
      <c r="BH391" s="186" t="n"/>
      <c r="BI391" s="186" t="n"/>
      <c r="BJ391" s="186" t="n"/>
      <c r="BK391" s="186" t="n"/>
      <c r="BL391" s="186" t="n"/>
      <c r="BM391" s="186" t="n"/>
      <c r="BN391" s="186" t="n"/>
      <c r="BO391" s="186" t="n"/>
      <c r="BP391" s="186" t="n"/>
      <c r="BQ391" s="186" t="n"/>
      <c r="BR391" s="186" t="n"/>
      <c r="BS391" s="186" t="n"/>
      <c r="BT391" s="186" t="n"/>
      <c r="BU391" s="186" t="n"/>
      <c r="BV391" s="186" t="n"/>
      <c r="BW391" s="186" t="n"/>
      <c r="BX391" s="186" t="n"/>
      <c r="BY391" s="186" t="n"/>
      <c r="BZ391" s="186" t="n"/>
      <c r="CA391" s="186" t="n"/>
      <c r="CB391" s="186" t="n"/>
      <c r="CC391" s="190" t="n"/>
      <c r="CD391" s="186" t="n"/>
      <c r="CE391" s="186" t="n"/>
      <c r="CF391" s="186" t="n"/>
      <c r="CG391" s="186" t="n"/>
      <c r="CH391" s="186" t="n"/>
      <c r="CI391" s="191" t="n"/>
      <c r="CJ391" s="192" t="n"/>
      <c r="CK391" s="192" t="n"/>
      <c r="CL391" s="192" t="n"/>
      <c r="CM391" s="192" t="n"/>
    </row>
    <row r="392">
      <c r="A392" s="177" t="n"/>
      <c r="B392" s="178" t="n"/>
      <c r="C392" s="178" t="n"/>
      <c r="D392" s="179" t="n"/>
      <c r="E392" s="180" t="n"/>
      <c r="F392" s="181" t="n"/>
      <c r="G392" s="182" t="n"/>
      <c r="H392" s="105" t="n"/>
      <c r="I392" s="196">
        <f>F392</f>
        <v/>
      </c>
      <c r="J392" s="184" t="n"/>
      <c r="K392" s="185" t="n"/>
      <c r="L392" s="8" t="n"/>
      <c r="M392" s="71">
        <f>L392</f>
        <v/>
      </c>
      <c r="N392" s="71" t="n"/>
      <c r="O392" s="101" t="n"/>
      <c r="P392" s="9">
        <f>I392-M392</f>
        <v/>
      </c>
      <c r="Q392" s="9">
        <f>IF(LEFT(B392,4)&lt;&gt;"    ",0,BN392)</f>
        <v/>
      </c>
      <c r="R392" s="9">
        <f>+P392-Q392</f>
        <v/>
      </c>
      <c r="S392" s="281" t="n"/>
      <c r="T392" s="10" t="n"/>
      <c r="U392" s="23">
        <f>IF(LEFT(B392,4)&lt;&gt;"    ","",IF(M392&lt;&gt;0,X392/M392,0))</f>
        <v/>
      </c>
      <c r="V392" s="11">
        <f>IF(LEFT(B392,4)&lt;&gt;"    ","",U392*I392)</f>
        <v/>
      </c>
      <c r="W392" s="11">
        <f>IF(LEFT(B392,4)&lt;&gt;"    ","",X392+Z392)</f>
        <v/>
      </c>
      <c r="X392" s="8" t="n"/>
      <c r="Y392" s="9">
        <f>IF(LEFT(B392,4)&lt;&gt;"    ",0,IF(P392&lt;0,P392,IF(U392&gt;0.3,W392-X392,0)))</f>
        <v/>
      </c>
      <c r="Z392" s="71">
        <f>Y392</f>
        <v/>
      </c>
      <c r="AA392" s="71" t="n"/>
      <c r="AB392" s="109" t="n"/>
      <c r="AC392" s="9">
        <f>IF(LEFT(B392,4)&lt;&gt;"    ",0,BK392)</f>
        <v/>
      </c>
      <c r="AD392" s="9">
        <f>Z392-AC392</f>
        <v/>
      </c>
      <c r="AE392" s="10" t="n"/>
      <c r="AF392" s="24" t="n"/>
      <c r="AG392" s="11" t="n"/>
      <c r="AH392" s="8" t="n"/>
      <c r="AI392" s="9">
        <f>IF(LEFT(B392,4)&lt;&gt;"    ","",AG392-AH392)</f>
        <v/>
      </c>
      <c r="AJ392" s="9" t="n"/>
      <c r="AK392" s="10" t="n"/>
      <c r="AL392" s="11">
        <f>IF(LEFT(B392,4)&lt;&gt;"    ","",W392-AG392)</f>
        <v/>
      </c>
      <c r="AM392" s="8">
        <f>IF(LEFT(B392,4)&lt;&gt;"    ","",X392-AH392)</f>
        <v/>
      </c>
      <c r="AN392" s="9">
        <f>IF(LEFT(B392,4)&lt;&gt;"    ","",Y392-AI392)</f>
        <v/>
      </c>
      <c r="AO392" s="9">
        <f>IF(LEFT(B392,4)&lt;&gt;"    ","",Z392-AJ392)</f>
        <v/>
      </c>
      <c r="AP392" s="10" t="n"/>
      <c r="AQ392" s="25">
        <f>IF(LEFT(B392,4)&lt;&gt;"    ","",I392-W392)</f>
        <v/>
      </c>
      <c r="AR392" s="25">
        <f>M392-X392</f>
        <v/>
      </c>
      <c r="AS392" s="25">
        <f>IF(LEFT(B392,4)&lt;&gt;"    ","",P392-Z392)</f>
        <v/>
      </c>
      <c r="AT392" s="10" t="n"/>
      <c r="AU392" s="12" t="n"/>
      <c r="AV392" s="12">
        <f>IF(LEFT(B392,4)&lt;&gt;"    ","",IF(W392-AU392&gt;=0,W392-AU392," "))</f>
        <v/>
      </c>
      <c r="AW392" s="12">
        <f>IF(LEFT(B392,4)&lt;&gt;"    ","",IF(AU392-W392&gt;=0,AU392-W392," "))</f>
        <v/>
      </c>
      <c r="AX392" s="186" t="n"/>
      <c r="AY392" s="187" t="n"/>
      <c r="AZ392" s="186" t="n"/>
      <c r="BA392" s="186" t="n"/>
      <c r="BB392" s="188" t="n"/>
      <c r="BC392" s="187" t="n"/>
      <c r="BD392" s="187" t="n"/>
      <c r="BE392" s="186" t="n"/>
      <c r="BF392" s="186" t="n"/>
      <c r="BG392" s="186" t="n"/>
      <c r="BH392" s="186" t="n"/>
      <c r="BI392" s="186" t="n"/>
      <c r="BJ392" s="186" t="n"/>
      <c r="BK392" s="186" t="n"/>
      <c r="BL392" s="186" t="n"/>
      <c r="BM392" s="186" t="n"/>
      <c r="BN392" s="186" t="n"/>
      <c r="BO392" s="186" t="n"/>
      <c r="BP392" s="186" t="n"/>
      <c r="BQ392" s="186" t="n"/>
      <c r="BR392" s="186" t="n"/>
      <c r="BS392" s="186" t="n"/>
      <c r="BT392" s="186" t="n"/>
      <c r="BU392" s="186" t="n"/>
      <c r="BV392" s="186" t="n"/>
      <c r="BW392" s="186" t="n"/>
      <c r="BX392" s="186" t="n"/>
      <c r="BY392" s="186" t="n"/>
      <c r="BZ392" s="186" t="n"/>
      <c r="CA392" s="186" t="n"/>
      <c r="CB392" s="186" t="n"/>
      <c r="CC392" s="190" t="n"/>
      <c r="CD392" s="186" t="n"/>
      <c r="CE392" s="186" t="n"/>
      <c r="CF392" s="186" t="n"/>
      <c r="CG392" s="186" t="n"/>
      <c r="CH392" s="186" t="n"/>
      <c r="CI392" s="191" t="n"/>
      <c r="CJ392" s="192" t="n"/>
      <c r="CK392" s="192" t="n"/>
      <c r="CL392" s="192" t="n"/>
      <c r="CM392" s="192" t="n"/>
    </row>
    <row r="393">
      <c r="A393" s="177" t="n"/>
      <c r="B393" s="178" t="n"/>
      <c r="C393" s="178" t="n"/>
      <c r="D393" s="179" t="n"/>
      <c r="E393" s="180" t="n"/>
      <c r="F393" s="181" t="n"/>
      <c r="G393" s="182" t="n"/>
      <c r="H393" s="105" t="n"/>
      <c r="I393" s="196">
        <f>F393</f>
        <v/>
      </c>
      <c r="J393" s="184" t="n"/>
      <c r="K393" s="185" t="n"/>
      <c r="L393" s="8" t="n"/>
      <c r="M393" s="71">
        <f>L393</f>
        <v/>
      </c>
      <c r="N393" s="71" t="n"/>
      <c r="O393" s="101" t="n"/>
      <c r="P393" s="9">
        <f>I393-M393</f>
        <v/>
      </c>
      <c r="Q393" s="9">
        <f>IF(LEFT(B393,4)&lt;&gt;"    ",0,BN393)</f>
        <v/>
      </c>
      <c r="R393" s="9">
        <f>+P393-Q393</f>
        <v/>
      </c>
      <c r="S393" s="281" t="n"/>
      <c r="T393" s="10" t="n"/>
      <c r="U393" s="23">
        <f>IF(LEFT(B393,4)&lt;&gt;"    ","",IF(M393&lt;&gt;0,X393/M393,0))</f>
        <v/>
      </c>
      <c r="V393" s="11">
        <f>IF(LEFT(B393,4)&lt;&gt;"    ","",U393*I393)</f>
        <v/>
      </c>
      <c r="W393" s="11">
        <f>IF(LEFT(B393,4)&lt;&gt;"    ","",X393+Z393)</f>
        <v/>
      </c>
      <c r="X393" s="8" t="n"/>
      <c r="Y393" s="9">
        <f>IF(LEFT(B393,4)&lt;&gt;"    ",0,IF(P393&lt;0,P393,IF(U393&gt;0.3,W393-X393,0)))</f>
        <v/>
      </c>
      <c r="Z393" s="71">
        <f>Y393</f>
        <v/>
      </c>
      <c r="AA393" s="71" t="n"/>
      <c r="AB393" s="109" t="n"/>
      <c r="AC393" s="9">
        <f>IF(LEFT(B393,4)&lt;&gt;"    ",0,BK393)</f>
        <v/>
      </c>
      <c r="AD393" s="9">
        <f>Z393-AC393</f>
        <v/>
      </c>
      <c r="AE393" s="10" t="n"/>
      <c r="AF393" s="24" t="n"/>
      <c r="AG393" s="11" t="n"/>
      <c r="AH393" s="8" t="n"/>
      <c r="AI393" s="9">
        <f>IF(LEFT(B393,4)&lt;&gt;"    ","",AG393-AH393)</f>
        <v/>
      </c>
      <c r="AJ393" s="9" t="n"/>
      <c r="AK393" s="10" t="n"/>
      <c r="AL393" s="11">
        <f>IF(LEFT(B393,4)&lt;&gt;"    ","",W393-AG393)</f>
        <v/>
      </c>
      <c r="AM393" s="8">
        <f>IF(LEFT(B393,4)&lt;&gt;"    ","",X393-AH393)</f>
        <v/>
      </c>
      <c r="AN393" s="9">
        <f>IF(LEFT(B393,4)&lt;&gt;"    ","",Y393-AI393)</f>
        <v/>
      </c>
      <c r="AO393" s="9">
        <f>IF(LEFT(B393,4)&lt;&gt;"    ","",Z393-AJ393)</f>
        <v/>
      </c>
      <c r="AP393" s="10" t="n"/>
      <c r="AQ393" s="25">
        <f>IF(LEFT(B393,4)&lt;&gt;"    ","",I393-W393)</f>
        <v/>
      </c>
      <c r="AR393" s="25">
        <f>M393-X393</f>
        <v/>
      </c>
      <c r="AS393" s="25">
        <f>IF(LEFT(B393,4)&lt;&gt;"    ","",P393-Z393)</f>
        <v/>
      </c>
      <c r="AT393" s="10" t="n"/>
      <c r="AU393" s="12" t="n"/>
      <c r="AV393" s="12">
        <f>IF(LEFT(B393,4)&lt;&gt;"    ","",IF(W393-AU393&gt;=0,W393-AU393," "))</f>
        <v/>
      </c>
      <c r="AW393" s="12">
        <f>IF(LEFT(B393,4)&lt;&gt;"    ","",IF(AU393-W393&gt;=0,AU393-W393," "))</f>
        <v/>
      </c>
      <c r="AX393" s="186" t="n"/>
      <c r="AY393" s="187" t="n"/>
      <c r="AZ393" s="186" t="n"/>
      <c r="BA393" s="186" t="n"/>
      <c r="BB393" s="188" t="n"/>
      <c r="BC393" s="187" t="n"/>
      <c r="BD393" s="187" t="n"/>
      <c r="BE393" s="186" t="n"/>
      <c r="BF393" s="186" t="n"/>
      <c r="BG393" s="186" t="n"/>
      <c r="BH393" s="186" t="n"/>
      <c r="BI393" s="186" t="n"/>
      <c r="BJ393" s="186" t="n"/>
      <c r="BK393" s="186" t="n"/>
      <c r="BL393" s="186" t="n"/>
      <c r="BM393" s="186" t="n"/>
      <c r="BN393" s="186" t="n"/>
      <c r="BO393" s="186" t="n"/>
      <c r="BP393" s="186" t="n"/>
      <c r="BQ393" s="186" t="n"/>
      <c r="BR393" s="186" t="n"/>
      <c r="BS393" s="186" t="n"/>
      <c r="BT393" s="186" t="n"/>
      <c r="BU393" s="186" t="n"/>
      <c r="BV393" s="186" t="n"/>
      <c r="BW393" s="186" t="n"/>
      <c r="BX393" s="186" t="n"/>
      <c r="BY393" s="186" t="n"/>
      <c r="BZ393" s="186" t="n"/>
      <c r="CA393" s="186" t="n"/>
      <c r="CB393" s="186" t="n"/>
      <c r="CC393" s="190" t="n"/>
      <c r="CD393" s="186" t="n"/>
      <c r="CE393" s="186" t="n"/>
      <c r="CF393" s="186" t="n"/>
      <c r="CG393" s="186" t="n"/>
      <c r="CH393" s="186" t="n"/>
      <c r="CI393" s="191" t="n"/>
      <c r="CJ393" s="192" t="n"/>
      <c r="CK393" s="192" t="n"/>
      <c r="CL393" s="192" t="n"/>
      <c r="CM393" s="192" t="n"/>
    </row>
    <row r="394">
      <c r="A394" s="177" t="n"/>
      <c r="B394" s="178" t="n"/>
      <c r="C394" s="178" t="n"/>
      <c r="D394" s="179" t="n"/>
      <c r="E394" s="180" t="n"/>
      <c r="F394" s="181" t="n"/>
      <c r="G394" s="182" t="n"/>
      <c r="H394" s="105" t="n"/>
      <c r="I394" s="196">
        <f>F394</f>
        <v/>
      </c>
      <c r="J394" s="184" t="n"/>
      <c r="K394" s="185" t="n"/>
      <c r="L394" s="8" t="n"/>
      <c r="M394" s="71">
        <f>L394</f>
        <v/>
      </c>
      <c r="N394" s="71" t="n"/>
      <c r="O394" s="101" t="n"/>
      <c r="P394" s="9">
        <f>I394-M394</f>
        <v/>
      </c>
      <c r="Q394" s="9">
        <f>IF(LEFT(B394,4)&lt;&gt;"    ",0,BN394)</f>
        <v/>
      </c>
      <c r="R394" s="9">
        <f>+P394-Q394</f>
        <v/>
      </c>
      <c r="S394" s="281" t="n"/>
      <c r="T394" s="10" t="n"/>
      <c r="U394" s="23">
        <f>IF(LEFT(B394,4)&lt;&gt;"    ","",IF(M394&lt;&gt;0,X394/M394,0))</f>
        <v/>
      </c>
      <c r="V394" s="11">
        <f>IF(LEFT(B394,4)&lt;&gt;"    ","",U394*I394)</f>
        <v/>
      </c>
      <c r="W394" s="11">
        <f>IF(LEFT(B394,4)&lt;&gt;"    ","",X394+Z394)</f>
        <v/>
      </c>
      <c r="X394" s="8" t="n"/>
      <c r="Y394" s="9">
        <f>IF(LEFT(B394,4)&lt;&gt;"    ",0,IF(P394&lt;0,P394,IF(U394&gt;0.3,W394-X394,0)))</f>
        <v/>
      </c>
      <c r="Z394" s="71">
        <f>Y394</f>
        <v/>
      </c>
      <c r="AA394" s="71" t="n"/>
      <c r="AB394" s="109" t="n"/>
      <c r="AC394" s="9">
        <f>IF(LEFT(B394,4)&lt;&gt;"    ",0,BK394)</f>
        <v/>
      </c>
      <c r="AD394" s="9">
        <f>Z394-AC394</f>
        <v/>
      </c>
      <c r="AE394" s="10" t="n"/>
      <c r="AF394" s="24" t="n"/>
      <c r="AG394" s="11" t="n"/>
      <c r="AH394" s="8" t="n"/>
      <c r="AI394" s="9">
        <f>IF(LEFT(B394,4)&lt;&gt;"    ","",AG394-AH394)</f>
        <v/>
      </c>
      <c r="AJ394" s="9" t="n"/>
      <c r="AK394" s="10" t="n"/>
      <c r="AL394" s="11">
        <f>IF(LEFT(B394,4)&lt;&gt;"    ","",W394-AG394)</f>
        <v/>
      </c>
      <c r="AM394" s="8">
        <f>IF(LEFT(B394,4)&lt;&gt;"    ","",X394-AH394)</f>
        <v/>
      </c>
      <c r="AN394" s="9">
        <f>IF(LEFT(B394,4)&lt;&gt;"    ","",Y394-AI394)</f>
        <v/>
      </c>
      <c r="AO394" s="9">
        <f>IF(LEFT(B394,4)&lt;&gt;"    ","",Z394-AJ394)</f>
        <v/>
      </c>
      <c r="AP394" s="10" t="n"/>
      <c r="AQ394" s="25">
        <f>IF(LEFT(B394,4)&lt;&gt;"    ","",I394-W394)</f>
        <v/>
      </c>
      <c r="AR394" s="25">
        <f>M394-X394</f>
        <v/>
      </c>
      <c r="AS394" s="25">
        <f>IF(LEFT(B394,4)&lt;&gt;"    ","",P394-Z394)</f>
        <v/>
      </c>
      <c r="AT394" s="10" t="n"/>
      <c r="AU394" s="12" t="n"/>
      <c r="AV394" s="12">
        <f>IF(LEFT(B394,4)&lt;&gt;"    ","",IF(W394-AU394&gt;=0,W394-AU394," "))</f>
        <v/>
      </c>
      <c r="AW394" s="12">
        <f>IF(LEFT(B394,4)&lt;&gt;"    ","",IF(AU394-W394&gt;=0,AU394-W394," "))</f>
        <v/>
      </c>
      <c r="AX394" s="186" t="n"/>
      <c r="AY394" s="187" t="n"/>
      <c r="AZ394" s="186" t="n"/>
      <c r="BA394" s="186" t="n"/>
      <c r="BB394" s="188" t="n"/>
      <c r="BC394" s="187" t="n"/>
      <c r="BD394" s="187" t="n"/>
      <c r="BE394" s="186" t="n"/>
      <c r="BF394" s="186" t="n"/>
      <c r="BG394" s="186" t="n"/>
      <c r="BH394" s="186" t="n"/>
      <c r="BI394" s="186" t="n"/>
      <c r="BJ394" s="186" t="n"/>
      <c r="BK394" s="186" t="n"/>
      <c r="BL394" s="186" t="n"/>
      <c r="BM394" s="186" t="n"/>
      <c r="BN394" s="186" t="n"/>
      <c r="BO394" s="186" t="n"/>
      <c r="BP394" s="186" t="n"/>
      <c r="BQ394" s="186" t="n"/>
      <c r="BR394" s="186" t="n"/>
      <c r="BS394" s="186" t="n"/>
      <c r="BT394" s="186" t="n"/>
      <c r="BU394" s="186" t="n"/>
      <c r="BV394" s="186" t="n"/>
      <c r="BW394" s="186" t="n"/>
      <c r="BX394" s="186" t="n"/>
      <c r="BY394" s="186" t="n"/>
      <c r="BZ394" s="186" t="n"/>
      <c r="CA394" s="186" t="n"/>
      <c r="CB394" s="186" t="n"/>
      <c r="CC394" s="190" t="n"/>
      <c r="CD394" s="186" t="n"/>
      <c r="CE394" s="186" t="n"/>
      <c r="CF394" s="186" t="n"/>
      <c r="CG394" s="186" t="n"/>
      <c r="CH394" s="186" t="n"/>
      <c r="CI394" s="191" t="n"/>
      <c r="CJ394" s="192" t="n"/>
      <c r="CK394" s="192" t="n"/>
      <c r="CL394" s="192" t="n"/>
      <c r="CM394" s="192" t="n"/>
    </row>
    <row r="395">
      <c r="A395" s="177" t="n"/>
      <c r="B395" s="178" t="n"/>
      <c r="C395" s="178" t="n"/>
      <c r="D395" s="179" t="n"/>
      <c r="E395" s="180" t="n"/>
      <c r="F395" s="181" t="n"/>
      <c r="G395" s="182" t="n"/>
      <c r="H395" s="105" t="n"/>
      <c r="I395" s="196">
        <f>F395</f>
        <v/>
      </c>
      <c r="J395" s="184" t="n"/>
      <c r="K395" s="185" t="n"/>
      <c r="L395" s="8" t="n"/>
      <c r="M395" s="71">
        <f>L395</f>
        <v/>
      </c>
      <c r="N395" s="71" t="n"/>
      <c r="O395" s="101" t="n"/>
      <c r="P395" s="9">
        <f>I395-M395</f>
        <v/>
      </c>
      <c r="Q395" s="9">
        <f>IF(LEFT(B395,4)&lt;&gt;"    ",0,BN395)</f>
        <v/>
      </c>
      <c r="R395" s="9">
        <f>+P395-Q395</f>
        <v/>
      </c>
      <c r="S395" s="281" t="n"/>
      <c r="T395" s="10" t="n"/>
      <c r="U395" s="23">
        <f>IF(LEFT(B395,4)&lt;&gt;"    ","",IF(M395&lt;&gt;0,X395/M395,0))</f>
        <v/>
      </c>
      <c r="V395" s="11">
        <f>IF(LEFT(B395,4)&lt;&gt;"    ","",U395*I395)</f>
        <v/>
      </c>
      <c r="W395" s="11">
        <f>IF(LEFT(B395,4)&lt;&gt;"    ","",X395+Z395)</f>
        <v/>
      </c>
      <c r="X395" s="8" t="n"/>
      <c r="Y395" s="9">
        <f>IF(LEFT(B395,4)&lt;&gt;"    ",0,IF(P395&lt;0,P395,IF(U395&gt;0.3,W395-X395,0)))</f>
        <v/>
      </c>
      <c r="Z395" s="71">
        <f>Y395</f>
        <v/>
      </c>
      <c r="AA395" s="71" t="n"/>
      <c r="AB395" s="109" t="n"/>
      <c r="AC395" s="9">
        <f>IF(LEFT(B395,4)&lt;&gt;"    ",0,BK395)</f>
        <v/>
      </c>
      <c r="AD395" s="9">
        <f>Z395-AC395</f>
        <v/>
      </c>
      <c r="AE395" s="10" t="n"/>
      <c r="AF395" s="24" t="n"/>
      <c r="AG395" s="11" t="n"/>
      <c r="AH395" s="8" t="n"/>
      <c r="AI395" s="9">
        <f>IF(LEFT(B395,4)&lt;&gt;"    ","",AG395-AH395)</f>
        <v/>
      </c>
      <c r="AJ395" s="9" t="n"/>
      <c r="AK395" s="10" t="n"/>
      <c r="AL395" s="11">
        <f>IF(LEFT(B395,4)&lt;&gt;"    ","",W395-AG395)</f>
        <v/>
      </c>
      <c r="AM395" s="8">
        <f>IF(LEFT(B395,4)&lt;&gt;"    ","",X395-AH395)</f>
        <v/>
      </c>
      <c r="AN395" s="9">
        <f>IF(LEFT(B395,4)&lt;&gt;"    ","",Y395-AI395)</f>
        <v/>
      </c>
      <c r="AO395" s="9">
        <f>IF(LEFT(B395,4)&lt;&gt;"    ","",Z395-AJ395)</f>
        <v/>
      </c>
      <c r="AP395" s="10" t="n"/>
      <c r="AQ395" s="25">
        <f>IF(LEFT(B395,4)&lt;&gt;"    ","",I395-W395)</f>
        <v/>
      </c>
      <c r="AR395" s="25">
        <f>M395-X395</f>
        <v/>
      </c>
      <c r="AS395" s="25">
        <f>IF(LEFT(B395,4)&lt;&gt;"    ","",P395-Z395)</f>
        <v/>
      </c>
      <c r="AT395" s="10" t="n"/>
      <c r="AU395" s="12" t="n"/>
      <c r="AV395" s="12">
        <f>IF(LEFT(B395,4)&lt;&gt;"    ","",IF(W395-AU395&gt;=0,W395-AU395," "))</f>
        <v/>
      </c>
      <c r="AW395" s="12">
        <f>IF(LEFT(B395,4)&lt;&gt;"    ","",IF(AU395-W395&gt;=0,AU395-W395," "))</f>
        <v/>
      </c>
      <c r="AX395" s="186" t="n"/>
      <c r="AY395" s="187" t="n"/>
      <c r="AZ395" s="186" t="n"/>
      <c r="BA395" s="186" t="n"/>
      <c r="BB395" s="188" t="n"/>
      <c r="BC395" s="187" t="n"/>
      <c r="BD395" s="187" t="n"/>
      <c r="BE395" s="186" t="n"/>
      <c r="BF395" s="186" t="n"/>
      <c r="BG395" s="186" t="n"/>
      <c r="BH395" s="186" t="n"/>
      <c r="BI395" s="186" t="n"/>
      <c r="BJ395" s="186" t="n"/>
      <c r="BK395" s="186" t="n"/>
      <c r="BL395" s="186" t="n"/>
      <c r="BM395" s="186" t="n"/>
      <c r="BN395" s="186" t="n"/>
      <c r="BO395" s="186" t="n"/>
      <c r="BP395" s="186" t="n"/>
      <c r="BQ395" s="186" t="n"/>
      <c r="BR395" s="186" t="n"/>
      <c r="BS395" s="186" t="n"/>
      <c r="BT395" s="186" t="n"/>
      <c r="BU395" s="186" t="n"/>
      <c r="BV395" s="186" t="n"/>
      <c r="BW395" s="186" t="n"/>
      <c r="BX395" s="186" t="n"/>
      <c r="BY395" s="186" t="n"/>
      <c r="BZ395" s="186" t="n"/>
      <c r="CA395" s="186" t="n"/>
      <c r="CB395" s="186" t="n"/>
      <c r="CC395" s="190" t="n"/>
      <c r="CD395" s="186" t="n"/>
      <c r="CE395" s="186" t="n"/>
      <c r="CF395" s="186" t="n"/>
      <c r="CG395" s="186" t="n"/>
      <c r="CH395" s="186" t="n"/>
      <c r="CI395" s="191" t="n"/>
      <c r="CJ395" s="192" t="n"/>
      <c r="CK395" s="192" t="n"/>
      <c r="CL395" s="192" t="n"/>
      <c r="CM395" s="192" t="n"/>
    </row>
    <row r="396">
      <c r="A396" s="177" t="n"/>
      <c r="B396" s="178" t="n"/>
      <c r="C396" s="178" t="n"/>
      <c r="D396" s="179" t="n"/>
      <c r="E396" s="180" t="n"/>
      <c r="F396" s="181" t="n"/>
      <c r="G396" s="182" t="n"/>
      <c r="H396" s="105" t="n"/>
      <c r="I396" s="196">
        <f>F396</f>
        <v/>
      </c>
      <c r="J396" s="184" t="n"/>
      <c r="K396" s="185" t="n"/>
      <c r="L396" s="8" t="n"/>
      <c r="M396" s="71">
        <f>L396</f>
        <v/>
      </c>
      <c r="N396" s="71" t="n"/>
      <c r="O396" s="101" t="n"/>
      <c r="P396" s="9">
        <f>I396-M396</f>
        <v/>
      </c>
      <c r="Q396" s="9">
        <f>IF(LEFT(B396,4)&lt;&gt;"    ",0,BN396)</f>
        <v/>
      </c>
      <c r="R396" s="9">
        <f>+P396-Q396</f>
        <v/>
      </c>
      <c r="S396" s="281" t="n"/>
      <c r="T396" s="10" t="n"/>
      <c r="U396" s="23">
        <f>IF(LEFT(B396,4)&lt;&gt;"    ","",IF(M396&lt;&gt;0,X396/M396,0))</f>
        <v/>
      </c>
      <c r="V396" s="11">
        <f>IF(LEFT(B396,4)&lt;&gt;"    ","",U396*I396)</f>
        <v/>
      </c>
      <c r="W396" s="11">
        <f>IF(LEFT(B396,4)&lt;&gt;"    ","",X396+Z396)</f>
        <v/>
      </c>
      <c r="X396" s="8" t="n"/>
      <c r="Y396" s="9">
        <f>IF(LEFT(B396,4)&lt;&gt;"    ",0,IF(P396&lt;0,P396,IF(U396&gt;0.3,W396-X396,0)))</f>
        <v/>
      </c>
      <c r="Z396" s="71">
        <f>Y396</f>
        <v/>
      </c>
      <c r="AA396" s="71" t="n"/>
      <c r="AB396" s="109" t="n"/>
      <c r="AC396" s="9">
        <f>IF(LEFT(B396,4)&lt;&gt;"    ",0,BK396)</f>
        <v/>
      </c>
      <c r="AD396" s="9">
        <f>Z396-AC396</f>
        <v/>
      </c>
      <c r="AE396" s="10" t="n"/>
      <c r="AF396" s="24" t="n"/>
      <c r="AG396" s="11" t="n"/>
      <c r="AH396" s="8" t="n"/>
      <c r="AI396" s="9">
        <f>IF(LEFT(B396,4)&lt;&gt;"    ","",AG396-AH396)</f>
        <v/>
      </c>
      <c r="AJ396" s="9" t="n"/>
      <c r="AK396" s="10" t="n"/>
      <c r="AL396" s="11">
        <f>IF(LEFT(B396,4)&lt;&gt;"    ","",W396-AG396)</f>
        <v/>
      </c>
      <c r="AM396" s="8">
        <f>IF(LEFT(B396,4)&lt;&gt;"    ","",X396-AH396)</f>
        <v/>
      </c>
      <c r="AN396" s="9">
        <f>IF(LEFT(B396,4)&lt;&gt;"    ","",Y396-AI396)</f>
        <v/>
      </c>
      <c r="AO396" s="9">
        <f>IF(LEFT(B396,4)&lt;&gt;"    ","",Z396-AJ396)</f>
        <v/>
      </c>
      <c r="AP396" s="10" t="n"/>
      <c r="AQ396" s="25">
        <f>IF(LEFT(B396,4)&lt;&gt;"    ","",I396-W396)</f>
        <v/>
      </c>
      <c r="AR396" s="25">
        <f>M396-X396</f>
        <v/>
      </c>
      <c r="AS396" s="25">
        <f>IF(LEFT(B396,4)&lt;&gt;"    ","",P396-Z396)</f>
        <v/>
      </c>
      <c r="AT396" s="10" t="n"/>
      <c r="AU396" s="12" t="n"/>
      <c r="AV396" s="12">
        <f>IF(LEFT(B396,4)&lt;&gt;"    ","",IF(W396-AU396&gt;=0,W396-AU396," "))</f>
        <v/>
      </c>
      <c r="AW396" s="12">
        <f>IF(LEFT(B396,4)&lt;&gt;"    ","",IF(AU396-W396&gt;=0,AU396-W396," "))</f>
        <v/>
      </c>
      <c r="AX396" s="186" t="n"/>
      <c r="AY396" s="187" t="n"/>
      <c r="AZ396" s="186" t="n"/>
      <c r="BA396" s="186" t="n"/>
      <c r="BB396" s="188" t="n"/>
      <c r="BC396" s="187" t="n"/>
      <c r="BD396" s="187" t="n"/>
      <c r="BE396" s="186" t="n"/>
      <c r="BF396" s="186" t="n"/>
      <c r="BG396" s="186" t="n"/>
      <c r="BH396" s="186" t="n"/>
      <c r="BI396" s="186" t="n"/>
      <c r="BJ396" s="186" t="n"/>
      <c r="BK396" s="186" t="n"/>
      <c r="BL396" s="186" t="n"/>
      <c r="BM396" s="186" t="n"/>
      <c r="BN396" s="186" t="n"/>
      <c r="BO396" s="186" t="n"/>
      <c r="BP396" s="186" t="n"/>
      <c r="BQ396" s="186" t="n"/>
      <c r="BR396" s="186" t="n"/>
      <c r="BS396" s="186" t="n"/>
      <c r="BT396" s="186" t="n"/>
      <c r="BU396" s="186" t="n"/>
      <c r="BV396" s="186" t="n"/>
      <c r="BW396" s="186" t="n"/>
      <c r="BX396" s="186" t="n"/>
      <c r="BY396" s="186" t="n"/>
      <c r="BZ396" s="186" t="n"/>
      <c r="CA396" s="186" t="n"/>
      <c r="CB396" s="186" t="n"/>
      <c r="CC396" s="190" t="n"/>
      <c r="CD396" s="186" t="n"/>
      <c r="CE396" s="186" t="n"/>
      <c r="CF396" s="186" t="n"/>
      <c r="CG396" s="186" t="n"/>
      <c r="CH396" s="186" t="n"/>
      <c r="CI396" s="191" t="n"/>
      <c r="CJ396" s="192" t="n"/>
      <c r="CK396" s="192" t="n"/>
      <c r="CL396" s="192" t="n"/>
      <c r="CM396" s="192" t="n"/>
    </row>
    <row r="397">
      <c r="A397" s="177" t="n"/>
      <c r="B397" s="178" t="n"/>
      <c r="C397" s="178" t="n"/>
      <c r="D397" s="179" t="n"/>
      <c r="E397" s="180" t="n"/>
      <c r="F397" s="181" t="n"/>
      <c r="G397" s="182" t="n"/>
      <c r="H397" s="105" t="n"/>
      <c r="I397" s="196">
        <f>F397</f>
        <v/>
      </c>
      <c r="J397" s="184" t="n"/>
      <c r="K397" s="185" t="n"/>
      <c r="L397" s="8" t="n"/>
      <c r="M397" s="71">
        <f>L397</f>
        <v/>
      </c>
      <c r="N397" s="71" t="n"/>
      <c r="O397" s="101" t="n"/>
      <c r="P397" s="9">
        <f>I397-M397</f>
        <v/>
      </c>
      <c r="Q397" s="9">
        <f>IF(LEFT(B397,4)&lt;&gt;"    ",0,BN397)</f>
        <v/>
      </c>
      <c r="R397" s="9">
        <f>+P397-Q397</f>
        <v/>
      </c>
      <c r="S397" s="281" t="n"/>
      <c r="T397" s="10" t="n"/>
      <c r="U397" s="23">
        <f>IF(LEFT(B397,4)&lt;&gt;"    ","",IF(M397&lt;&gt;0,X397/M397,0))</f>
        <v/>
      </c>
      <c r="V397" s="11">
        <f>IF(LEFT(B397,4)&lt;&gt;"    ","",U397*I397)</f>
        <v/>
      </c>
      <c r="W397" s="11">
        <f>IF(LEFT(B397,4)&lt;&gt;"    ","",X397+Z397)</f>
        <v/>
      </c>
      <c r="X397" s="8" t="n"/>
      <c r="Y397" s="9">
        <f>IF(LEFT(B397,4)&lt;&gt;"    ",0,IF(P397&lt;0,P397,IF(U397&gt;0.3,W397-X397,0)))</f>
        <v/>
      </c>
      <c r="Z397" s="71">
        <f>Y397</f>
        <v/>
      </c>
      <c r="AA397" s="71" t="n"/>
      <c r="AB397" s="109" t="n"/>
      <c r="AC397" s="9">
        <f>IF(LEFT(B397,4)&lt;&gt;"    ",0,BK397)</f>
        <v/>
      </c>
      <c r="AD397" s="9">
        <f>Z397-AC397</f>
        <v/>
      </c>
      <c r="AE397" s="10" t="n"/>
      <c r="AF397" s="24" t="n"/>
      <c r="AG397" s="11" t="n"/>
      <c r="AH397" s="8" t="n"/>
      <c r="AI397" s="9">
        <f>IF(LEFT(B397,4)&lt;&gt;"    ","",AG397-AH397)</f>
        <v/>
      </c>
      <c r="AJ397" s="9" t="n"/>
      <c r="AK397" s="10" t="n"/>
      <c r="AL397" s="11">
        <f>IF(LEFT(B397,4)&lt;&gt;"    ","",W397-AG397)</f>
        <v/>
      </c>
      <c r="AM397" s="8">
        <f>IF(LEFT(B397,4)&lt;&gt;"    ","",X397-AH397)</f>
        <v/>
      </c>
      <c r="AN397" s="9">
        <f>IF(LEFT(B397,4)&lt;&gt;"    ","",Y397-AI397)</f>
        <v/>
      </c>
      <c r="AO397" s="9">
        <f>IF(LEFT(B397,4)&lt;&gt;"    ","",Z397-AJ397)</f>
        <v/>
      </c>
      <c r="AP397" s="10" t="n"/>
      <c r="AQ397" s="25">
        <f>IF(LEFT(B397,4)&lt;&gt;"    ","",I397-W397)</f>
        <v/>
      </c>
      <c r="AR397" s="25">
        <f>M397-X397</f>
        <v/>
      </c>
      <c r="AS397" s="25">
        <f>IF(LEFT(B397,4)&lt;&gt;"    ","",P397-Z397)</f>
        <v/>
      </c>
      <c r="AT397" s="10" t="n"/>
      <c r="AU397" s="12" t="n"/>
      <c r="AV397" s="12">
        <f>IF(LEFT(B397,4)&lt;&gt;"    ","",IF(W397-AU397&gt;=0,W397-AU397," "))</f>
        <v/>
      </c>
      <c r="AW397" s="12">
        <f>IF(LEFT(B397,4)&lt;&gt;"    ","",IF(AU397-W397&gt;=0,AU397-W397," "))</f>
        <v/>
      </c>
      <c r="AX397" s="186" t="n"/>
      <c r="AY397" s="187" t="n"/>
      <c r="AZ397" s="186" t="n"/>
      <c r="BA397" s="186" t="n"/>
      <c r="BB397" s="188" t="n"/>
      <c r="BC397" s="187" t="n"/>
      <c r="BD397" s="187" t="n"/>
      <c r="BE397" s="186" t="n"/>
      <c r="BF397" s="186" t="n"/>
      <c r="BG397" s="186" t="n"/>
      <c r="BH397" s="186" t="n"/>
      <c r="BI397" s="186" t="n"/>
      <c r="BJ397" s="186" t="n"/>
      <c r="BK397" s="186" t="n"/>
      <c r="BL397" s="186" t="n"/>
      <c r="BM397" s="186" t="n"/>
      <c r="BN397" s="186" t="n"/>
      <c r="BO397" s="186" t="n"/>
      <c r="BP397" s="186" t="n"/>
      <c r="BQ397" s="186" t="n"/>
      <c r="BR397" s="186" t="n"/>
      <c r="BS397" s="186" t="n"/>
      <c r="BT397" s="186" t="n"/>
      <c r="BU397" s="186" t="n"/>
      <c r="BV397" s="186" t="n"/>
      <c r="BW397" s="186" t="n"/>
      <c r="BX397" s="186" t="n"/>
      <c r="BY397" s="186" t="n"/>
      <c r="BZ397" s="186" t="n"/>
      <c r="CA397" s="186" t="n"/>
      <c r="CB397" s="186" t="n"/>
      <c r="CC397" s="190" t="n"/>
      <c r="CD397" s="186" t="n"/>
      <c r="CE397" s="186" t="n"/>
      <c r="CF397" s="186" t="n"/>
      <c r="CG397" s="186" t="n"/>
      <c r="CH397" s="186" t="n"/>
      <c r="CI397" s="191" t="n"/>
      <c r="CJ397" s="192" t="n"/>
      <c r="CK397" s="192" t="n"/>
      <c r="CL397" s="192" t="n"/>
      <c r="CM397" s="192" t="n"/>
    </row>
    <row r="398">
      <c r="A398" s="177" t="n"/>
      <c r="B398" s="178" t="n"/>
      <c r="C398" s="178" t="n"/>
      <c r="D398" s="179" t="n"/>
      <c r="E398" s="180" t="n"/>
      <c r="F398" s="181" t="n"/>
      <c r="G398" s="182" t="n"/>
      <c r="H398" s="105" t="n"/>
      <c r="I398" s="196">
        <f>F398</f>
        <v/>
      </c>
      <c r="J398" s="184" t="n"/>
      <c r="K398" s="185" t="n"/>
      <c r="L398" s="8" t="n"/>
      <c r="M398" s="71">
        <f>L398</f>
        <v/>
      </c>
      <c r="N398" s="71" t="n"/>
      <c r="O398" s="101" t="n"/>
      <c r="P398" s="9">
        <f>I398-M398</f>
        <v/>
      </c>
      <c r="Q398" s="9">
        <f>IF(LEFT(B398,4)&lt;&gt;"    ",0,BN398)</f>
        <v/>
      </c>
      <c r="R398" s="9">
        <f>+P398-Q398</f>
        <v/>
      </c>
      <c r="S398" s="281" t="n"/>
      <c r="T398" s="10" t="n"/>
      <c r="U398" s="23">
        <f>IF(LEFT(B398,4)&lt;&gt;"    ","",IF(M398&lt;&gt;0,X398/M398,0))</f>
        <v/>
      </c>
      <c r="V398" s="11">
        <f>IF(LEFT(B398,4)&lt;&gt;"    ","",U398*I398)</f>
        <v/>
      </c>
      <c r="W398" s="11">
        <f>IF(LEFT(B398,4)&lt;&gt;"    ","",X398+Z398)</f>
        <v/>
      </c>
      <c r="X398" s="8" t="n"/>
      <c r="Y398" s="9">
        <f>IF(LEFT(B398,4)&lt;&gt;"    ",0,IF(P398&lt;0,P398,IF(U398&gt;0.3,W398-X398,0)))</f>
        <v/>
      </c>
      <c r="Z398" s="71">
        <f>Y398</f>
        <v/>
      </c>
      <c r="AA398" s="71" t="n"/>
      <c r="AB398" s="109" t="n"/>
      <c r="AC398" s="9">
        <f>IF(LEFT(B398,4)&lt;&gt;"    ",0,BK398)</f>
        <v/>
      </c>
      <c r="AD398" s="9">
        <f>Z398-AC398</f>
        <v/>
      </c>
      <c r="AE398" s="10" t="n"/>
      <c r="AF398" s="24" t="n"/>
      <c r="AG398" s="11" t="n"/>
      <c r="AH398" s="8" t="n"/>
      <c r="AI398" s="9">
        <f>IF(LEFT(B398,4)&lt;&gt;"    ","",AG398-AH398)</f>
        <v/>
      </c>
      <c r="AJ398" s="9" t="n"/>
      <c r="AK398" s="10" t="n"/>
      <c r="AL398" s="11">
        <f>IF(LEFT(B398,4)&lt;&gt;"    ","",W398-AG398)</f>
        <v/>
      </c>
      <c r="AM398" s="8">
        <f>IF(LEFT(B398,4)&lt;&gt;"    ","",X398-AH398)</f>
        <v/>
      </c>
      <c r="AN398" s="9">
        <f>IF(LEFT(B398,4)&lt;&gt;"    ","",Y398-AI398)</f>
        <v/>
      </c>
      <c r="AO398" s="9">
        <f>IF(LEFT(B398,4)&lt;&gt;"    ","",Z398-AJ398)</f>
        <v/>
      </c>
      <c r="AP398" s="10" t="n"/>
      <c r="AQ398" s="25">
        <f>IF(LEFT(B398,4)&lt;&gt;"    ","",I398-W398)</f>
        <v/>
      </c>
      <c r="AR398" s="25">
        <f>M398-X398</f>
        <v/>
      </c>
      <c r="AS398" s="25">
        <f>IF(LEFT(B398,4)&lt;&gt;"    ","",P398-Z398)</f>
        <v/>
      </c>
      <c r="AT398" s="10" t="n"/>
      <c r="AU398" s="12" t="n"/>
      <c r="AV398" s="12">
        <f>IF(LEFT(B398,4)&lt;&gt;"    ","",IF(W398-AU398&gt;=0,W398-AU398," "))</f>
        <v/>
      </c>
      <c r="AW398" s="12">
        <f>IF(LEFT(B398,4)&lt;&gt;"    ","",IF(AU398-W398&gt;=0,AU398-W398," "))</f>
        <v/>
      </c>
      <c r="AX398" s="186" t="n"/>
      <c r="AY398" s="187" t="n"/>
      <c r="AZ398" s="186" t="n"/>
      <c r="BA398" s="186" t="n"/>
      <c r="BB398" s="188" t="n"/>
      <c r="BC398" s="187" t="n"/>
      <c r="BD398" s="187" t="n"/>
      <c r="BE398" s="186" t="n"/>
      <c r="BF398" s="186" t="n"/>
      <c r="BG398" s="186" t="n"/>
      <c r="BH398" s="186" t="n"/>
      <c r="BI398" s="186" t="n"/>
      <c r="BJ398" s="186" t="n"/>
      <c r="BK398" s="186" t="n"/>
      <c r="BL398" s="186" t="n"/>
      <c r="BM398" s="186" t="n"/>
      <c r="BN398" s="186" t="n"/>
      <c r="BO398" s="186" t="n"/>
      <c r="BP398" s="186" t="n"/>
      <c r="BQ398" s="186" t="n"/>
      <c r="BR398" s="186" t="n"/>
      <c r="BS398" s="186" t="n"/>
      <c r="BT398" s="186" t="n"/>
      <c r="BU398" s="186" t="n"/>
      <c r="BV398" s="186" t="n"/>
      <c r="BW398" s="186" t="n"/>
      <c r="BX398" s="186" t="n"/>
      <c r="BY398" s="186" t="n"/>
      <c r="BZ398" s="186" t="n"/>
      <c r="CA398" s="186" t="n"/>
      <c r="CB398" s="186" t="n"/>
      <c r="CC398" s="190" t="n"/>
      <c r="CD398" s="186" t="n"/>
      <c r="CE398" s="186" t="n"/>
      <c r="CF398" s="186" t="n"/>
      <c r="CG398" s="186" t="n"/>
      <c r="CH398" s="186" t="n"/>
      <c r="CI398" s="191" t="n"/>
      <c r="CJ398" s="192" t="n"/>
      <c r="CK398" s="192" t="n"/>
      <c r="CL398" s="192" t="n"/>
      <c r="CM398" s="192" t="n"/>
    </row>
    <row r="399">
      <c r="A399" s="177" t="n"/>
      <c r="B399" s="178" t="n"/>
      <c r="C399" s="178" t="n"/>
      <c r="D399" s="179" t="n"/>
      <c r="E399" s="180" t="n"/>
      <c r="F399" s="181" t="n"/>
      <c r="G399" s="182" t="n"/>
      <c r="H399" s="105" t="n"/>
      <c r="I399" s="196">
        <f>F399</f>
        <v/>
      </c>
      <c r="J399" s="184" t="n"/>
      <c r="K399" s="185" t="n"/>
      <c r="L399" s="8" t="n"/>
      <c r="M399" s="71">
        <f>L399</f>
        <v/>
      </c>
      <c r="N399" s="71" t="n"/>
      <c r="O399" s="101" t="n"/>
      <c r="P399" s="9">
        <f>I399-M399</f>
        <v/>
      </c>
      <c r="Q399" s="9">
        <f>IF(LEFT(B399,4)&lt;&gt;"    ",0,BN399)</f>
        <v/>
      </c>
      <c r="R399" s="9">
        <f>+P399-Q399</f>
        <v/>
      </c>
      <c r="S399" s="281" t="n"/>
      <c r="T399" s="10" t="n"/>
      <c r="U399" s="23">
        <f>IF(LEFT(B399,4)&lt;&gt;"    ","",IF(M399&lt;&gt;0,X399/M399,0))</f>
        <v/>
      </c>
      <c r="V399" s="11">
        <f>IF(LEFT(B399,4)&lt;&gt;"    ","",U399*I399)</f>
        <v/>
      </c>
      <c r="W399" s="11">
        <f>IF(LEFT(B399,4)&lt;&gt;"    ","",X399+Z399)</f>
        <v/>
      </c>
      <c r="X399" s="8" t="n"/>
      <c r="Y399" s="9">
        <f>IF(LEFT(B399,4)&lt;&gt;"    ",0,IF(P399&lt;0,P399,IF(U399&gt;0.3,W399-X399,0)))</f>
        <v/>
      </c>
      <c r="Z399" s="71">
        <f>Y399</f>
        <v/>
      </c>
      <c r="AA399" s="71" t="n"/>
      <c r="AB399" s="109" t="n"/>
      <c r="AC399" s="9">
        <f>IF(LEFT(B399,4)&lt;&gt;"    ",0,BK399)</f>
        <v/>
      </c>
      <c r="AD399" s="9">
        <f>Z399-AC399</f>
        <v/>
      </c>
      <c r="AE399" s="10" t="n"/>
      <c r="AF399" s="24" t="n"/>
      <c r="AG399" s="11" t="n"/>
      <c r="AH399" s="8" t="n"/>
      <c r="AI399" s="9">
        <f>IF(LEFT(B399,4)&lt;&gt;"    ","",AG399-AH399)</f>
        <v/>
      </c>
      <c r="AJ399" s="9" t="n"/>
      <c r="AK399" s="10" t="n"/>
      <c r="AL399" s="11">
        <f>IF(LEFT(B399,4)&lt;&gt;"    ","",W399-AG399)</f>
        <v/>
      </c>
      <c r="AM399" s="8">
        <f>IF(LEFT(B399,4)&lt;&gt;"    ","",X399-AH399)</f>
        <v/>
      </c>
      <c r="AN399" s="9">
        <f>IF(LEFT(B399,4)&lt;&gt;"    ","",Y399-AI399)</f>
        <v/>
      </c>
      <c r="AO399" s="9">
        <f>IF(LEFT(B399,4)&lt;&gt;"    ","",Z399-AJ399)</f>
        <v/>
      </c>
      <c r="AP399" s="10" t="n"/>
      <c r="AQ399" s="25">
        <f>IF(LEFT(B399,4)&lt;&gt;"    ","",I399-W399)</f>
        <v/>
      </c>
      <c r="AR399" s="25">
        <f>M399-X399</f>
        <v/>
      </c>
      <c r="AS399" s="25">
        <f>IF(LEFT(B399,4)&lt;&gt;"    ","",P399-Z399)</f>
        <v/>
      </c>
      <c r="AT399" s="10" t="n"/>
      <c r="AU399" s="12" t="n"/>
      <c r="AV399" s="12">
        <f>IF(LEFT(B399,4)&lt;&gt;"    ","",IF(W399-AU399&gt;=0,W399-AU399," "))</f>
        <v/>
      </c>
      <c r="AW399" s="12">
        <f>IF(LEFT(B399,4)&lt;&gt;"    ","",IF(AU399-W399&gt;=0,AU399-W399," "))</f>
        <v/>
      </c>
      <c r="AX399" s="186" t="n"/>
      <c r="AY399" s="187" t="n"/>
      <c r="AZ399" s="186" t="n"/>
      <c r="BA399" s="186" t="n"/>
      <c r="BB399" s="188" t="n"/>
      <c r="BC399" s="187" t="n"/>
      <c r="BD399" s="187" t="n"/>
      <c r="BE399" s="186" t="n"/>
      <c r="BF399" s="186" t="n"/>
      <c r="BG399" s="186" t="n"/>
      <c r="BH399" s="186" t="n"/>
      <c r="BI399" s="186" t="n"/>
      <c r="BJ399" s="186" t="n"/>
      <c r="BK399" s="186" t="n"/>
      <c r="BL399" s="186" t="n"/>
      <c r="BM399" s="186" t="n"/>
      <c r="BN399" s="186" t="n"/>
      <c r="BO399" s="186" t="n"/>
      <c r="BP399" s="186" t="n"/>
      <c r="BQ399" s="186" t="n"/>
      <c r="BR399" s="186" t="n"/>
      <c r="BS399" s="186" t="n"/>
      <c r="BT399" s="186" t="n"/>
      <c r="BU399" s="186" t="n"/>
      <c r="BV399" s="186" t="n"/>
      <c r="BW399" s="186" t="n"/>
      <c r="BX399" s="186" t="n"/>
      <c r="BY399" s="186" t="n"/>
      <c r="BZ399" s="186" t="n"/>
      <c r="CA399" s="186" t="n"/>
      <c r="CB399" s="186" t="n"/>
      <c r="CC399" s="190" t="n"/>
      <c r="CD399" s="186" t="n"/>
      <c r="CE399" s="186" t="n"/>
      <c r="CF399" s="186" t="n"/>
      <c r="CG399" s="186" t="n"/>
      <c r="CH399" s="186" t="n"/>
      <c r="CI399" s="191" t="n"/>
      <c r="CJ399" s="192" t="n"/>
      <c r="CK399" s="192" t="n"/>
      <c r="CL399" s="192" t="n"/>
      <c r="CM399" s="192" t="n"/>
    </row>
    <row r="400">
      <c r="A400" s="177" t="n"/>
      <c r="B400" s="178" t="n"/>
      <c r="C400" s="178" t="n"/>
      <c r="D400" s="179" t="n"/>
      <c r="E400" s="180" t="n"/>
      <c r="F400" s="181" t="n"/>
      <c r="G400" s="182" t="n"/>
      <c r="H400" s="105" t="n"/>
      <c r="I400" s="196">
        <f>F400</f>
        <v/>
      </c>
      <c r="J400" s="184" t="n"/>
      <c r="K400" s="185" t="n"/>
      <c r="L400" s="8" t="n"/>
      <c r="M400" s="184">
        <f>L400</f>
        <v/>
      </c>
      <c r="N400" s="184" t="n"/>
      <c r="O400" s="185" t="n"/>
      <c r="P400" s="9">
        <f>I400-M400</f>
        <v/>
      </c>
      <c r="Q400" s="9">
        <f>IF(LEFT(B400,4)&lt;&gt;"    ",0,BN400)</f>
        <v/>
      </c>
      <c r="R400" s="9">
        <f>+P400-Q400</f>
        <v/>
      </c>
      <c r="S400" s="281" t="n"/>
      <c r="T400" s="10" t="n"/>
      <c r="U400" s="23">
        <f>IF(LEFT(B400,4)&lt;&gt;"    ","",IF(M400&lt;&gt;0,X400/M400,0))</f>
        <v/>
      </c>
      <c r="V400" s="11">
        <f>IF(LEFT(B400,4)&lt;&gt;"    ","",U400*I400)</f>
        <v/>
      </c>
      <c r="W400" s="11">
        <f>IF(LEFT(B400,4)&lt;&gt;"    ","",X400+Z400)</f>
        <v/>
      </c>
      <c r="X400" s="8" t="n"/>
      <c r="Y400" s="9">
        <f>IF(LEFT(B400,4)&lt;&gt;"    ",0,IF(P400&lt;0,P400,IF(U400&gt;0.3,W400-X400,0)))</f>
        <v/>
      </c>
      <c r="Z400" s="71">
        <f>Y400</f>
        <v/>
      </c>
      <c r="AA400" s="71" t="n"/>
      <c r="AB400" s="109" t="n"/>
      <c r="AC400" s="9">
        <f>IF(LEFT(B400,4)&lt;&gt;"    ",0,BK400)</f>
        <v/>
      </c>
      <c r="AD400" s="9">
        <f>Z400-AC400</f>
        <v/>
      </c>
      <c r="AE400" s="10" t="n"/>
      <c r="AF400" s="24" t="n"/>
      <c r="AG400" s="11" t="n"/>
      <c r="AH400" s="8" t="n"/>
      <c r="AI400" s="9">
        <f>IF(LEFT(B400,4)&lt;&gt;"    ","",AG400-AH400)</f>
        <v/>
      </c>
      <c r="AJ400" s="9" t="n"/>
      <c r="AK400" s="10" t="n"/>
      <c r="AL400" s="11">
        <f>IF(LEFT(B400,4)&lt;&gt;"    ","",W400-AG400)</f>
        <v/>
      </c>
      <c r="AM400" s="8">
        <f>IF(LEFT(B400,4)&lt;&gt;"    ","",X400-AH400)</f>
        <v/>
      </c>
      <c r="AN400" s="9">
        <f>IF(LEFT(B400,4)&lt;&gt;"    ","",Y400-AI400)</f>
        <v/>
      </c>
      <c r="AO400" s="9">
        <f>IF(LEFT(B400,4)&lt;&gt;"    ","",Z400-AJ400)</f>
        <v/>
      </c>
      <c r="AP400" s="10" t="n"/>
      <c r="AQ400" s="25">
        <f>IF(LEFT(B400,4)&lt;&gt;"    ","",I400-W400)</f>
        <v/>
      </c>
      <c r="AR400" s="25">
        <f>M400-X400</f>
        <v/>
      </c>
      <c r="AS400" s="25">
        <f>IF(LEFT(B400,4)&lt;&gt;"    ","",P400-Z400)</f>
        <v/>
      </c>
      <c r="AT400" s="10" t="n"/>
      <c r="AU400" s="12" t="n"/>
      <c r="AV400" s="12">
        <f>IF(LEFT(B400,4)&lt;&gt;"    ","",IF(W400-AU400&gt;=0,W400-AU400," "))</f>
        <v/>
      </c>
      <c r="AW400" s="12">
        <f>IF(LEFT(B400,4)&lt;&gt;"    ","",IF(AU400-W400&gt;=0,AU400-W400," "))</f>
        <v/>
      </c>
      <c r="AX400" s="186" t="n"/>
      <c r="AY400" s="187" t="n"/>
      <c r="AZ400" s="186" t="n"/>
      <c r="BA400" s="186" t="n"/>
      <c r="BB400" s="188" t="n"/>
      <c r="BC400" s="187" t="n"/>
      <c r="BD400" s="187" t="n"/>
      <c r="BE400" s="186" t="n"/>
      <c r="BF400" s="186" t="n"/>
      <c r="BG400" s="186" t="n"/>
      <c r="BH400" s="186" t="n"/>
      <c r="BI400" s="186" t="n"/>
      <c r="BJ400" s="186" t="n"/>
      <c r="BK400" s="186" t="n"/>
      <c r="BL400" s="186" t="n"/>
      <c r="BM400" s="186" t="n"/>
      <c r="BN400" s="186" t="n"/>
      <c r="BO400" s="186" t="n"/>
      <c r="BP400" s="186" t="n"/>
      <c r="BQ400" s="186" t="n"/>
      <c r="BR400" s="186" t="n"/>
      <c r="BS400" s="186" t="n"/>
      <c r="BT400" s="186" t="n"/>
      <c r="BU400" s="186" t="n"/>
      <c r="BV400" s="186" t="n"/>
      <c r="BW400" s="186" t="n"/>
      <c r="BX400" s="186" t="n"/>
      <c r="BY400" s="186" t="n"/>
      <c r="BZ400" s="186" t="n"/>
      <c r="CA400" s="186" t="n"/>
      <c r="CB400" s="186" t="n"/>
      <c r="CC400" s="190" t="n"/>
      <c r="CD400" s="186" t="n"/>
      <c r="CE400" s="186" t="n"/>
      <c r="CF400" s="186" t="n"/>
      <c r="CG400" s="186" t="n"/>
      <c r="CH400" s="186" t="n"/>
      <c r="CI400" s="191" t="n"/>
      <c r="CJ400" s="192" t="n"/>
      <c r="CK400" s="192" t="n"/>
      <c r="CL400" s="192" t="n"/>
      <c r="CM400" s="192" t="n"/>
    </row>
    <row r="401">
      <c r="A401" s="177" t="n"/>
      <c r="B401" s="178" t="n"/>
      <c r="C401" s="178" t="n"/>
      <c r="D401" s="179" t="n"/>
      <c r="E401" s="180" t="n"/>
      <c r="F401" s="181" t="n"/>
      <c r="G401" s="182" t="n"/>
      <c r="H401" s="105" t="n"/>
      <c r="I401" s="196">
        <f>F401</f>
        <v/>
      </c>
      <c r="J401" s="184" t="n"/>
      <c r="K401" s="185" t="n"/>
      <c r="L401" s="8" t="n"/>
      <c r="M401" s="71">
        <f>L401</f>
        <v/>
      </c>
      <c r="N401" s="71" t="n"/>
      <c r="O401" s="101" t="n"/>
      <c r="P401" s="9">
        <f>I401-M401</f>
        <v/>
      </c>
      <c r="Q401" s="9">
        <f>IF(LEFT(B401,4)&lt;&gt;"    ",0,BN401)</f>
        <v/>
      </c>
      <c r="R401" s="9">
        <f>+P401-Q401</f>
        <v/>
      </c>
      <c r="S401" s="281" t="n"/>
      <c r="T401" s="10" t="n"/>
      <c r="U401" s="23">
        <f>IF(LEFT(B401,4)&lt;&gt;"    ","",IF(M401&lt;&gt;0,X401/M401,0))</f>
        <v/>
      </c>
      <c r="V401" s="11">
        <f>IF(LEFT(B401,4)&lt;&gt;"    ","",U401*I401)</f>
        <v/>
      </c>
      <c r="W401" s="11">
        <f>IF(LEFT(B401,4)&lt;&gt;"    ","",X401+Z401)</f>
        <v/>
      </c>
      <c r="X401" s="8" t="n"/>
      <c r="Y401" s="9">
        <f>IF(LEFT(B401,4)&lt;&gt;"    ",0,IF(P401&lt;0,P401,IF(U401&gt;0.3,W401-X401,0)))</f>
        <v/>
      </c>
      <c r="Z401" s="71">
        <f>Y401</f>
        <v/>
      </c>
      <c r="AA401" s="71" t="n"/>
      <c r="AB401" s="109" t="n"/>
      <c r="AC401" s="9">
        <f>IF(LEFT(B401,4)&lt;&gt;"    ",0,BK401)</f>
        <v/>
      </c>
      <c r="AD401" s="9">
        <f>Z401-AC401</f>
        <v/>
      </c>
      <c r="AE401" s="10" t="n"/>
      <c r="AF401" s="24" t="n"/>
      <c r="AG401" s="11" t="n"/>
      <c r="AH401" s="8" t="n"/>
      <c r="AI401" s="9">
        <f>IF(LEFT(B401,4)&lt;&gt;"    ","",AG401-AH401)</f>
        <v/>
      </c>
      <c r="AJ401" s="9" t="n"/>
      <c r="AK401" s="10" t="n"/>
      <c r="AL401" s="11">
        <f>IF(LEFT(B401,4)&lt;&gt;"    ","",W401-AG401)</f>
        <v/>
      </c>
      <c r="AM401" s="8">
        <f>IF(LEFT(B401,4)&lt;&gt;"    ","",X401-AH401)</f>
        <v/>
      </c>
      <c r="AN401" s="9">
        <f>IF(LEFT(B401,4)&lt;&gt;"    ","",Y401-AI401)</f>
        <v/>
      </c>
      <c r="AO401" s="9">
        <f>IF(LEFT(B401,4)&lt;&gt;"    ","",Z401-AJ401)</f>
        <v/>
      </c>
      <c r="AP401" s="10" t="n"/>
      <c r="AQ401" s="25">
        <f>IF(LEFT(B401,4)&lt;&gt;"    ","",I401-W401)</f>
        <v/>
      </c>
      <c r="AR401" s="25">
        <f>M401-X401</f>
        <v/>
      </c>
      <c r="AS401" s="25">
        <f>IF(LEFT(B401,4)&lt;&gt;"    ","",P401-Z401)</f>
        <v/>
      </c>
      <c r="AT401" s="10" t="n"/>
      <c r="AU401" s="12" t="n"/>
      <c r="AV401" s="12">
        <f>IF(LEFT(B401,4)&lt;&gt;"    ","",IF(W401-AU401&gt;=0,W401-AU401," "))</f>
        <v/>
      </c>
      <c r="AW401" s="12">
        <f>IF(LEFT(B401,4)&lt;&gt;"    ","",IF(AU401-W401&gt;=0,AU401-W401," "))</f>
        <v/>
      </c>
      <c r="AX401" s="186" t="n"/>
      <c r="AY401" s="187" t="n"/>
      <c r="AZ401" s="186" t="n"/>
      <c r="BA401" s="186" t="n"/>
      <c r="BB401" s="188" t="n"/>
      <c r="BC401" s="187" t="n"/>
      <c r="BD401" s="187" t="n"/>
      <c r="BE401" s="186" t="n"/>
      <c r="BF401" s="186" t="n"/>
      <c r="BG401" s="186" t="n"/>
      <c r="BH401" s="186" t="n"/>
      <c r="BI401" s="186" t="n"/>
      <c r="BJ401" s="186" t="n"/>
      <c r="BK401" s="186" t="n"/>
      <c r="BL401" s="186" t="n"/>
      <c r="BM401" s="186" t="n"/>
      <c r="BN401" s="186" t="n"/>
      <c r="BO401" s="186" t="n"/>
      <c r="BP401" s="186" t="n"/>
      <c r="BQ401" s="186" t="n"/>
      <c r="BR401" s="186" t="n"/>
      <c r="BS401" s="186" t="n"/>
      <c r="BT401" s="186" t="n"/>
      <c r="BU401" s="186" t="n"/>
      <c r="BV401" s="186" t="n"/>
      <c r="BW401" s="186" t="n"/>
      <c r="BX401" s="186" t="n"/>
      <c r="BY401" s="186" t="n"/>
      <c r="BZ401" s="186" t="n"/>
      <c r="CA401" s="186" t="n"/>
      <c r="CB401" s="186" t="n"/>
      <c r="CC401" s="190" t="n"/>
      <c r="CD401" s="186" t="n"/>
      <c r="CE401" s="186" t="n"/>
      <c r="CF401" s="186" t="n"/>
      <c r="CG401" s="186" t="n"/>
      <c r="CH401" s="186" t="n"/>
      <c r="CI401" s="191" t="n"/>
      <c r="CJ401" s="192" t="n"/>
      <c r="CK401" s="192" t="n"/>
      <c r="CL401" s="192" t="n"/>
      <c r="CM401" s="192" t="n"/>
    </row>
    <row r="402">
      <c r="A402" s="177" t="n"/>
      <c r="B402" s="178" t="n"/>
      <c r="C402" s="178" t="n"/>
      <c r="D402" s="179" t="n"/>
      <c r="E402" s="180" t="n"/>
      <c r="F402" s="181" t="n"/>
      <c r="G402" s="182" t="n"/>
      <c r="H402" s="105" t="n"/>
      <c r="I402" s="196">
        <f>F402</f>
        <v/>
      </c>
      <c r="J402" s="184" t="n"/>
      <c r="K402" s="185" t="n"/>
      <c r="L402" s="8" t="n"/>
      <c r="M402" s="71">
        <f>L402</f>
        <v/>
      </c>
      <c r="N402" s="71" t="n"/>
      <c r="O402" s="101" t="n"/>
      <c r="P402" s="9">
        <f>I402-M402</f>
        <v/>
      </c>
      <c r="Q402" s="9">
        <f>IF(LEFT(B402,4)&lt;&gt;"    ",0,BN402)</f>
        <v/>
      </c>
      <c r="R402" s="9">
        <f>+P402-Q402</f>
        <v/>
      </c>
      <c r="S402" s="281" t="n"/>
      <c r="T402" s="10" t="n"/>
      <c r="U402" s="23">
        <f>IF(LEFT(B402,4)&lt;&gt;"    ","",IF(M402&lt;&gt;0,X402/M402,0))</f>
        <v/>
      </c>
      <c r="V402" s="11">
        <f>IF(LEFT(B402,4)&lt;&gt;"    ","",U402*I402)</f>
        <v/>
      </c>
      <c r="W402" s="11">
        <f>IF(LEFT(B402,4)&lt;&gt;"    ","",X402+Z402)</f>
        <v/>
      </c>
      <c r="X402" s="8" t="n"/>
      <c r="Y402" s="9">
        <f>IF(LEFT(B402,4)&lt;&gt;"    ",0,IF(P402&lt;0,P402,IF(U402&gt;0.3,W402-X402,0)))</f>
        <v/>
      </c>
      <c r="Z402" s="71">
        <f>Y402</f>
        <v/>
      </c>
      <c r="AA402" s="71" t="n"/>
      <c r="AB402" s="109" t="n"/>
      <c r="AC402" s="9">
        <f>IF(LEFT(B402,4)&lt;&gt;"    ",0,BK402)</f>
        <v/>
      </c>
      <c r="AD402" s="9">
        <f>Z402-AC402</f>
        <v/>
      </c>
      <c r="AE402" s="10" t="n"/>
      <c r="AF402" s="24" t="n"/>
      <c r="AG402" s="11" t="n"/>
      <c r="AH402" s="8" t="n"/>
      <c r="AI402" s="9">
        <f>IF(LEFT(B402,4)&lt;&gt;"    ","",AG402-AH402)</f>
        <v/>
      </c>
      <c r="AJ402" s="9" t="n"/>
      <c r="AK402" s="10" t="n"/>
      <c r="AL402" s="11">
        <f>IF(LEFT(B402,4)&lt;&gt;"    ","",W402-AG402)</f>
        <v/>
      </c>
      <c r="AM402" s="8">
        <f>IF(LEFT(B402,4)&lt;&gt;"    ","",X402-AH402)</f>
        <v/>
      </c>
      <c r="AN402" s="9">
        <f>IF(LEFT(B402,4)&lt;&gt;"    ","",Y402-AI402)</f>
        <v/>
      </c>
      <c r="AO402" s="9">
        <f>IF(LEFT(B402,4)&lt;&gt;"    ","",Z402-AJ402)</f>
        <v/>
      </c>
      <c r="AP402" s="10" t="n"/>
      <c r="AQ402" s="25">
        <f>IF(LEFT(B402,4)&lt;&gt;"    ","",I402-W402)</f>
        <v/>
      </c>
      <c r="AR402" s="25">
        <f>M402-X402</f>
        <v/>
      </c>
      <c r="AS402" s="25">
        <f>IF(LEFT(B402,4)&lt;&gt;"    ","",P402-Z402)</f>
        <v/>
      </c>
      <c r="AT402" s="10" t="n"/>
      <c r="AU402" s="12" t="n"/>
      <c r="AV402" s="12">
        <f>IF(LEFT(B402,4)&lt;&gt;"    ","",IF(W402-AU402&gt;=0,W402-AU402," "))</f>
        <v/>
      </c>
      <c r="AW402" s="12">
        <f>IF(LEFT(B402,4)&lt;&gt;"    ","",IF(AU402-W402&gt;=0,AU402-W402," "))</f>
        <v/>
      </c>
      <c r="AX402" s="186" t="n"/>
      <c r="AY402" s="187" t="n"/>
      <c r="AZ402" s="186" t="n"/>
      <c r="BA402" s="186" t="n"/>
      <c r="BB402" s="188" t="n"/>
      <c r="BC402" s="187" t="n"/>
      <c r="BD402" s="187" t="n"/>
      <c r="BE402" s="186" t="n"/>
      <c r="BF402" s="186" t="n"/>
      <c r="BG402" s="186" t="n"/>
      <c r="BH402" s="186" t="n"/>
      <c r="BI402" s="186" t="n"/>
      <c r="BJ402" s="186" t="n"/>
      <c r="BK402" s="186" t="n"/>
      <c r="BL402" s="186" t="n"/>
      <c r="BM402" s="186" t="n"/>
      <c r="BN402" s="186" t="n"/>
      <c r="BO402" s="186" t="n"/>
      <c r="BP402" s="186" t="n"/>
      <c r="BQ402" s="186" t="n"/>
      <c r="BR402" s="186" t="n"/>
      <c r="BS402" s="186" t="n"/>
      <c r="BT402" s="186" t="n"/>
      <c r="BU402" s="186" t="n"/>
      <c r="BV402" s="186" t="n"/>
      <c r="BW402" s="186" t="n"/>
      <c r="BX402" s="186" t="n"/>
      <c r="BY402" s="186" t="n"/>
      <c r="BZ402" s="186" t="n"/>
      <c r="CA402" s="186" t="n"/>
      <c r="CB402" s="186" t="n"/>
      <c r="CC402" s="190" t="n"/>
      <c r="CD402" s="186" t="n"/>
      <c r="CE402" s="186" t="n"/>
      <c r="CF402" s="186" t="n"/>
      <c r="CG402" s="186" t="n"/>
      <c r="CH402" s="186" t="n"/>
      <c r="CI402" s="191" t="n"/>
      <c r="CJ402" s="192" t="n"/>
      <c r="CK402" s="192" t="n"/>
      <c r="CL402" s="192" t="n"/>
      <c r="CM402" s="192" t="n"/>
    </row>
    <row r="403">
      <c r="A403" s="177" t="n"/>
      <c r="B403" s="178" t="n"/>
      <c r="C403" s="178" t="n"/>
      <c r="D403" s="179" t="n"/>
      <c r="E403" s="180" t="n"/>
      <c r="F403" s="181" t="n"/>
      <c r="G403" s="182" t="n"/>
      <c r="H403" s="105" t="n"/>
      <c r="I403" s="196">
        <f>F403</f>
        <v/>
      </c>
      <c r="J403" s="184" t="n"/>
      <c r="K403" s="185" t="n"/>
      <c r="L403" s="8" t="n"/>
      <c r="M403" s="71">
        <f>L403</f>
        <v/>
      </c>
      <c r="N403" s="71" t="n"/>
      <c r="O403" s="101" t="n"/>
      <c r="P403" s="9">
        <f>I403-M403</f>
        <v/>
      </c>
      <c r="Q403" s="9">
        <f>IF(LEFT(B403,4)&lt;&gt;"    ",0,BN403)</f>
        <v/>
      </c>
      <c r="R403" s="9">
        <f>+P403-Q403</f>
        <v/>
      </c>
      <c r="S403" s="281" t="n"/>
      <c r="T403" s="10" t="n"/>
      <c r="U403" s="23">
        <f>IF(LEFT(B403,4)&lt;&gt;"    ","",IF(M403&lt;&gt;0,X403/M403,0))</f>
        <v/>
      </c>
      <c r="V403" s="11">
        <f>IF(LEFT(B403,4)&lt;&gt;"    ","",U403*I403)</f>
        <v/>
      </c>
      <c r="W403" s="11">
        <f>IF(LEFT(B403,4)&lt;&gt;"    ","",X403+Z403)</f>
        <v/>
      </c>
      <c r="X403" s="8" t="n"/>
      <c r="Y403" s="9">
        <f>IF(LEFT(B403,4)&lt;&gt;"    ",0,IF(P403&lt;0,P403,IF(U403&gt;0.3,W403-X403,0)))</f>
        <v/>
      </c>
      <c r="Z403" s="71">
        <f>Y403</f>
        <v/>
      </c>
      <c r="AA403" s="71" t="n"/>
      <c r="AB403" s="109" t="n"/>
      <c r="AC403" s="9">
        <f>IF(LEFT(B403,4)&lt;&gt;"    ",0,BK403)</f>
        <v/>
      </c>
      <c r="AD403" s="9">
        <f>Z403-AC403</f>
        <v/>
      </c>
      <c r="AE403" s="10" t="n"/>
      <c r="AF403" s="24" t="n"/>
      <c r="AG403" s="11" t="n"/>
      <c r="AH403" s="8" t="n"/>
      <c r="AI403" s="9">
        <f>IF(LEFT(B403,4)&lt;&gt;"    ","",AG403-AH403)</f>
        <v/>
      </c>
      <c r="AJ403" s="9" t="n"/>
      <c r="AK403" s="10" t="n"/>
      <c r="AL403" s="11">
        <f>IF(LEFT(B403,4)&lt;&gt;"    ","",W403-AG403)</f>
        <v/>
      </c>
      <c r="AM403" s="8">
        <f>IF(LEFT(B403,4)&lt;&gt;"    ","",X403-AH403)</f>
        <v/>
      </c>
      <c r="AN403" s="9">
        <f>IF(LEFT(B403,4)&lt;&gt;"    ","",Y403-AI403)</f>
        <v/>
      </c>
      <c r="AO403" s="9">
        <f>IF(LEFT(B403,4)&lt;&gt;"    ","",Z403-AJ403)</f>
        <v/>
      </c>
      <c r="AP403" s="10" t="n"/>
      <c r="AQ403" s="25">
        <f>IF(LEFT(B403,4)&lt;&gt;"    ","",I403-W403)</f>
        <v/>
      </c>
      <c r="AR403" s="25">
        <f>M403-X403</f>
        <v/>
      </c>
      <c r="AS403" s="25">
        <f>IF(LEFT(B403,4)&lt;&gt;"    ","",P403-Z403)</f>
        <v/>
      </c>
      <c r="AT403" s="10" t="n"/>
      <c r="AU403" s="12" t="n"/>
      <c r="AV403" s="12">
        <f>IF(LEFT(B403,4)&lt;&gt;"    ","",IF(W403-AU403&gt;=0,W403-AU403," "))</f>
        <v/>
      </c>
      <c r="AW403" s="12">
        <f>IF(LEFT(B403,4)&lt;&gt;"    ","",IF(AU403-W403&gt;=0,AU403-W403," "))</f>
        <v/>
      </c>
      <c r="AX403" s="186" t="n"/>
      <c r="AY403" s="187" t="n"/>
      <c r="AZ403" s="186" t="n"/>
      <c r="BA403" s="186" t="n"/>
      <c r="BB403" s="188" t="n"/>
      <c r="BC403" s="187" t="n"/>
      <c r="BD403" s="187" t="n"/>
      <c r="BE403" s="186" t="n"/>
      <c r="BF403" s="186" t="n"/>
      <c r="BG403" s="186" t="n"/>
      <c r="BH403" s="186" t="n"/>
      <c r="BI403" s="186" t="n"/>
      <c r="BJ403" s="186" t="n"/>
      <c r="BK403" s="186" t="n"/>
      <c r="BL403" s="186" t="n"/>
      <c r="BM403" s="186" t="n"/>
      <c r="BN403" s="186" t="n"/>
      <c r="BO403" s="186" t="n"/>
      <c r="BP403" s="186" t="n"/>
      <c r="BQ403" s="186" t="n"/>
      <c r="BR403" s="186" t="n"/>
      <c r="BS403" s="186" t="n"/>
      <c r="BT403" s="186" t="n"/>
      <c r="BU403" s="186" t="n"/>
      <c r="BV403" s="186" t="n"/>
      <c r="BW403" s="186" t="n"/>
      <c r="BX403" s="186" t="n"/>
      <c r="BY403" s="186" t="n"/>
      <c r="BZ403" s="186" t="n"/>
      <c r="CA403" s="186" t="n"/>
      <c r="CB403" s="186" t="n"/>
      <c r="CC403" s="190" t="n"/>
      <c r="CD403" s="186" t="n"/>
      <c r="CE403" s="186" t="n"/>
      <c r="CF403" s="186" t="n"/>
      <c r="CG403" s="186" t="n"/>
      <c r="CH403" s="186" t="n"/>
      <c r="CI403" s="191" t="n"/>
      <c r="CJ403" s="192" t="n"/>
      <c r="CK403" s="192" t="n"/>
      <c r="CL403" s="192" t="n"/>
      <c r="CM403" s="192" t="n"/>
    </row>
    <row r="404">
      <c r="A404" s="177" t="n"/>
      <c r="B404" s="178" t="n"/>
      <c r="C404" s="178" t="n"/>
      <c r="D404" s="179" t="n"/>
      <c r="E404" s="180" t="n"/>
      <c r="F404" s="181" t="n"/>
      <c r="G404" s="182" t="n"/>
      <c r="H404" s="105" t="n"/>
      <c r="I404" s="196">
        <f>F404</f>
        <v/>
      </c>
      <c r="J404" s="184" t="n"/>
      <c r="K404" s="185" t="n"/>
      <c r="L404" s="8" t="n"/>
      <c r="M404" s="71">
        <f>L404</f>
        <v/>
      </c>
      <c r="N404" s="71" t="n"/>
      <c r="O404" s="101" t="n"/>
      <c r="P404" s="9">
        <f>I404-M404</f>
        <v/>
      </c>
      <c r="Q404" s="9">
        <f>IF(LEFT(B404,4)&lt;&gt;"    ",0,BN404)</f>
        <v/>
      </c>
      <c r="R404" s="9">
        <f>+P404-Q404</f>
        <v/>
      </c>
      <c r="S404" s="281" t="n"/>
      <c r="T404" s="10" t="n"/>
      <c r="U404" s="23">
        <f>IF(LEFT(B404,4)&lt;&gt;"    ","",IF(M404&lt;&gt;0,X404/M404,0))</f>
        <v/>
      </c>
      <c r="V404" s="11">
        <f>IF(LEFT(B404,4)&lt;&gt;"    ","",U404*I404)</f>
        <v/>
      </c>
      <c r="W404" s="11">
        <f>IF(LEFT(B404,4)&lt;&gt;"    ","",X404+Z404)</f>
        <v/>
      </c>
      <c r="X404" s="8" t="n"/>
      <c r="Y404" s="9">
        <f>IF(LEFT(B404,4)&lt;&gt;"    ",0,IF(P404&lt;0,P404,IF(U404&gt;0.3,W404-X404,0)))</f>
        <v/>
      </c>
      <c r="Z404" s="71">
        <f>Y404</f>
        <v/>
      </c>
      <c r="AA404" s="71" t="n"/>
      <c r="AB404" s="109" t="n"/>
      <c r="AC404" s="9">
        <f>IF(LEFT(B404,4)&lt;&gt;"    ",0,BK404)</f>
        <v/>
      </c>
      <c r="AD404" s="9">
        <f>Z404-AC404</f>
        <v/>
      </c>
      <c r="AE404" s="10" t="n"/>
      <c r="AF404" s="24" t="n"/>
      <c r="AG404" s="11" t="n"/>
      <c r="AH404" s="8" t="n"/>
      <c r="AI404" s="9">
        <f>IF(LEFT(B404,4)&lt;&gt;"    ","",AG404-AH404)</f>
        <v/>
      </c>
      <c r="AJ404" s="9" t="n"/>
      <c r="AK404" s="10" t="n"/>
      <c r="AL404" s="11">
        <f>IF(LEFT(B404,4)&lt;&gt;"    ","",W404-AG404)</f>
        <v/>
      </c>
      <c r="AM404" s="8">
        <f>IF(LEFT(B404,4)&lt;&gt;"    ","",X404-AH404)</f>
        <v/>
      </c>
      <c r="AN404" s="9">
        <f>IF(LEFT(B404,4)&lt;&gt;"    ","",Y404-AI404)</f>
        <v/>
      </c>
      <c r="AO404" s="9">
        <f>IF(LEFT(B404,4)&lt;&gt;"    ","",Z404-AJ404)</f>
        <v/>
      </c>
      <c r="AP404" s="10" t="n"/>
      <c r="AQ404" s="25">
        <f>IF(LEFT(B404,4)&lt;&gt;"    ","",I404-W404)</f>
        <v/>
      </c>
      <c r="AR404" s="25">
        <f>M404-X404</f>
        <v/>
      </c>
      <c r="AS404" s="25">
        <f>IF(LEFT(B404,4)&lt;&gt;"    ","",P404-Z404)</f>
        <v/>
      </c>
      <c r="AT404" s="10" t="n"/>
      <c r="AU404" s="12" t="n"/>
      <c r="AV404" s="12">
        <f>IF(LEFT(B404,4)&lt;&gt;"    ","",IF(W404-AU404&gt;=0,W404-AU404," "))</f>
        <v/>
      </c>
      <c r="AW404" s="12">
        <f>IF(LEFT(B404,4)&lt;&gt;"    ","",IF(AU404-W404&gt;=0,AU404-W404," "))</f>
        <v/>
      </c>
      <c r="AX404" s="186" t="n"/>
      <c r="AY404" s="187" t="n"/>
      <c r="AZ404" s="186" t="n"/>
      <c r="BA404" s="186" t="n"/>
      <c r="BB404" s="188" t="n"/>
      <c r="BC404" s="187" t="n"/>
      <c r="BD404" s="187" t="n"/>
      <c r="BE404" s="186" t="n"/>
      <c r="BF404" s="186" t="n"/>
      <c r="BG404" s="186" t="n"/>
      <c r="BH404" s="186" t="n"/>
      <c r="BI404" s="186" t="n"/>
      <c r="BJ404" s="186" t="n"/>
      <c r="BK404" s="186" t="n"/>
      <c r="BL404" s="186" t="n"/>
      <c r="BM404" s="186" t="n"/>
      <c r="BN404" s="186" t="n"/>
      <c r="BO404" s="186" t="n"/>
      <c r="BP404" s="186" t="n"/>
      <c r="BQ404" s="186" t="n"/>
      <c r="BR404" s="186" t="n"/>
      <c r="BS404" s="186" t="n"/>
      <c r="BT404" s="186" t="n"/>
      <c r="BU404" s="186" t="n"/>
      <c r="BV404" s="186" t="n"/>
      <c r="BW404" s="186" t="n"/>
      <c r="BX404" s="186" t="n"/>
      <c r="BY404" s="186" t="n"/>
      <c r="BZ404" s="186" t="n"/>
      <c r="CA404" s="186" t="n"/>
      <c r="CB404" s="186" t="n"/>
      <c r="CC404" s="190" t="n"/>
      <c r="CD404" s="186" t="n"/>
      <c r="CE404" s="186" t="n"/>
      <c r="CF404" s="186" t="n"/>
      <c r="CG404" s="186" t="n"/>
      <c r="CH404" s="186" t="n"/>
      <c r="CI404" s="191" t="n"/>
      <c r="CJ404" s="192" t="n"/>
      <c r="CK404" s="192" t="n"/>
      <c r="CL404" s="192" t="n"/>
      <c r="CM404" s="192" t="n"/>
    </row>
    <row r="405">
      <c r="A405" s="177" t="n"/>
      <c r="B405" s="178" t="n"/>
      <c r="C405" s="178" t="n"/>
      <c r="D405" s="179" t="n"/>
      <c r="E405" s="180" t="n"/>
      <c r="F405" s="181" t="n"/>
      <c r="G405" s="182" t="n"/>
      <c r="H405" s="105" t="n"/>
      <c r="I405" s="196">
        <f>F405</f>
        <v/>
      </c>
      <c r="J405" s="184" t="n"/>
      <c r="K405" s="185" t="n"/>
      <c r="L405" s="8" t="n"/>
      <c r="M405" s="71">
        <f>L405</f>
        <v/>
      </c>
      <c r="N405" s="71" t="n"/>
      <c r="O405" s="101" t="n"/>
      <c r="P405" s="9">
        <f>I405-M405</f>
        <v/>
      </c>
      <c r="Q405" s="9">
        <f>IF(LEFT(B405,4)&lt;&gt;"    ",0,BN405)</f>
        <v/>
      </c>
      <c r="R405" s="9">
        <f>+P405-Q405</f>
        <v/>
      </c>
      <c r="S405" s="281" t="n"/>
      <c r="T405" s="10" t="n"/>
      <c r="U405" s="23">
        <f>IF(LEFT(B405,4)&lt;&gt;"    ","",IF(M405&lt;&gt;0,X405/M405,0))</f>
        <v/>
      </c>
      <c r="V405" s="11">
        <f>IF(LEFT(B405,4)&lt;&gt;"    ","",U405*I405)</f>
        <v/>
      </c>
      <c r="W405" s="11">
        <f>IF(LEFT(B405,4)&lt;&gt;"    ","",X405+Z405)</f>
        <v/>
      </c>
      <c r="X405" s="8" t="n"/>
      <c r="Y405" s="9">
        <f>IF(LEFT(B405,4)&lt;&gt;"    ",0,IF(P405&lt;0,P405,IF(U405&gt;0.3,W405-X405,0)))</f>
        <v/>
      </c>
      <c r="Z405" s="71">
        <f>Y405</f>
        <v/>
      </c>
      <c r="AA405" s="71" t="n"/>
      <c r="AB405" s="109" t="n"/>
      <c r="AC405" s="9">
        <f>IF(LEFT(B405,4)&lt;&gt;"    ",0,BK405)</f>
        <v/>
      </c>
      <c r="AD405" s="9">
        <f>Z405-AC405</f>
        <v/>
      </c>
      <c r="AE405" s="10" t="n"/>
      <c r="AF405" s="24" t="n"/>
      <c r="AG405" s="11" t="n"/>
      <c r="AH405" s="8" t="n"/>
      <c r="AI405" s="9">
        <f>IF(LEFT(B405,4)&lt;&gt;"    ","",AG405-AH405)</f>
        <v/>
      </c>
      <c r="AJ405" s="9" t="n"/>
      <c r="AK405" s="10" t="n"/>
      <c r="AL405" s="11">
        <f>IF(LEFT(B405,4)&lt;&gt;"    ","",W405-AG405)</f>
        <v/>
      </c>
      <c r="AM405" s="8">
        <f>IF(LEFT(B405,4)&lt;&gt;"    ","",X405-AH405)</f>
        <v/>
      </c>
      <c r="AN405" s="9">
        <f>IF(LEFT(B405,4)&lt;&gt;"    ","",Y405-AI405)</f>
        <v/>
      </c>
      <c r="AO405" s="9">
        <f>IF(LEFT(B405,4)&lt;&gt;"    ","",Z405-AJ405)</f>
        <v/>
      </c>
      <c r="AP405" s="10" t="n"/>
      <c r="AQ405" s="25">
        <f>IF(LEFT(B405,4)&lt;&gt;"    ","",I405-W405)</f>
        <v/>
      </c>
      <c r="AR405" s="25">
        <f>M405-X405</f>
        <v/>
      </c>
      <c r="AS405" s="25">
        <f>IF(LEFT(B405,4)&lt;&gt;"    ","",P405-Z405)</f>
        <v/>
      </c>
      <c r="AT405" s="10" t="n"/>
      <c r="AU405" s="12" t="n"/>
      <c r="AV405" s="12">
        <f>IF(LEFT(B405,4)&lt;&gt;"    ","",IF(W405-AU405&gt;=0,W405-AU405," "))</f>
        <v/>
      </c>
      <c r="AW405" s="12">
        <f>IF(LEFT(B405,4)&lt;&gt;"    ","",IF(AU405-W405&gt;=0,AU405-W405," "))</f>
        <v/>
      </c>
      <c r="AX405" s="186" t="n"/>
      <c r="AY405" s="187" t="n"/>
      <c r="AZ405" s="186" t="n"/>
      <c r="BA405" s="186" t="n"/>
      <c r="BB405" s="188" t="n"/>
      <c r="BC405" s="187" t="n"/>
      <c r="BD405" s="187" t="n"/>
      <c r="BE405" s="186" t="n"/>
      <c r="BF405" s="186" t="n"/>
      <c r="BG405" s="186" t="n"/>
      <c r="BH405" s="186" t="n"/>
      <c r="BI405" s="186" t="n"/>
      <c r="BJ405" s="186" t="n"/>
      <c r="BK405" s="186" t="n"/>
      <c r="BL405" s="186" t="n"/>
      <c r="BM405" s="186" t="n"/>
      <c r="BN405" s="186" t="n"/>
      <c r="BO405" s="186" t="n"/>
      <c r="BP405" s="186" t="n"/>
      <c r="BQ405" s="186" t="n"/>
      <c r="BR405" s="186" t="n"/>
      <c r="BS405" s="186" t="n"/>
      <c r="BT405" s="186" t="n"/>
      <c r="BU405" s="186" t="n"/>
      <c r="BV405" s="186" t="n"/>
      <c r="BW405" s="186" t="n"/>
      <c r="BX405" s="186" t="n"/>
      <c r="BY405" s="186" t="n"/>
      <c r="BZ405" s="186" t="n"/>
      <c r="CA405" s="186" t="n"/>
      <c r="CB405" s="186" t="n"/>
      <c r="CC405" s="190" t="n"/>
      <c r="CD405" s="186" t="n"/>
      <c r="CE405" s="186" t="n"/>
      <c r="CF405" s="186" t="n"/>
      <c r="CG405" s="186" t="n"/>
      <c r="CH405" s="186" t="n"/>
      <c r="CI405" s="191" t="n"/>
      <c r="CJ405" s="192" t="n"/>
      <c r="CK405" s="192" t="n"/>
      <c r="CL405" s="192" t="n"/>
      <c r="CM405" s="192" t="n"/>
    </row>
    <row r="406">
      <c r="A406" s="177" t="n"/>
      <c r="B406" s="178" t="n"/>
      <c r="C406" s="178" t="n"/>
      <c r="D406" s="179" t="n"/>
      <c r="E406" s="180" t="n"/>
      <c r="F406" s="181" t="n"/>
      <c r="G406" s="182" t="n"/>
      <c r="H406" s="105" t="n"/>
      <c r="I406" s="196">
        <f>F406</f>
        <v/>
      </c>
      <c r="J406" s="184" t="n"/>
      <c r="K406" s="185" t="n"/>
      <c r="L406" s="8" t="n"/>
      <c r="M406" s="71">
        <f>L406</f>
        <v/>
      </c>
      <c r="N406" s="71" t="n"/>
      <c r="O406" s="101" t="n"/>
      <c r="P406" s="9">
        <f>I406-M406</f>
        <v/>
      </c>
      <c r="Q406" s="9">
        <f>IF(LEFT(B406,4)&lt;&gt;"    ",0,BN406)</f>
        <v/>
      </c>
      <c r="R406" s="9">
        <f>+P406-Q406</f>
        <v/>
      </c>
      <c r="S406" s="281" t="n"/>
      <c r="T406" s="10" t="n"/>
      <c r="U406" s="23">
        <f>IF(LEFT(B406,4)&lt;&gt;"    ","",IF(M406&lt;&gt;0,X406/M406,0))</f>
        <v/>
      </c>
      <c r="V406" s="11">
        <f>IF(LEFT(B406,4)&lt;&gt;"    ","",U406*I406)</f>
        <v/>
      </c>
      <c r="W406" s="11">
        <f>IF(LEFT(B406,4)&lt;&gt;"    ","",X406+Z406)</f>
        <v/>
      </c>
      <c r="X406" s="8" t="n"/>
      <c r="Y406" s="9">
        <f>IF(LEFT(B406,4)&lt;&gt;"    ",0,IF(P406&lt;0,P406,IF(U406&gt;0.3,W406-X406,0)))</f>
        <v/>
      </c>
      <c r="Z406" s="71">
        <f>Y406</f>
        <v/>
      </c>
      <c r="AA406" s="72" t="n"/>
      <c r="AB406" s="109" t="n"/>
      <c r="AC406" s="9">
        <f>IF(LEFT(B406,4)&lt;&gt;"    ",0,BK406)</f>
        <v/>
      </c>
      <c r="AD406" s="9">
        <f>Z406-AC406</f>
        <v/>
      </c>
      <c r="AE406" s="10" t="n"/>
      <c r="AF406" s="24" t="n"/>
      <c r="AG406" s="11" t="n"/>
      <c r="AH406" s="8" t="n"/>
      <c r="AI406" s="9">
        <f>IF(LEFT(B406,4)&lt;&gt;"    ","",AG406-AH406)</f>
        <v/>
      </c>
      <c r="AJ406" s="9" t="n"/>
      <c r="AK406" s="10" t="n"/>
      <c r="AL406" s="11">
        <f>IF(LEFT(B406,4)&lt;&gt;"    ","",W406-AG406)</f>
        <v/>
      </c>
      <c r="AM406" s="8">
        <f>IF(LEFT(B406,4)&lt;&gt;"    ","",X406-AH406)</f>
        <v/>
      </c>
      <c r="AN406" s="9">
        <f>IF(LEFT(B406,4)&lt;&gt;"    ","",Y406-AI406)</f>
        <v/>
      </c>
      <c r="AO406" s="9">
        <f>IF(LEFT(B406,4)&lt;&gt;"    ","",Z406-AJ406)</f>
        <v/>
      </c>
      <c r="AP406" s="10" t="n"/>
      <c r="AQ406" s="25">
        <f>IF(LEFT(B406,4)&lt;&gt;"    ","",I406-W406)</f>
        <v/>
      </c>
      <c r="AR406" s="25">
        <f>M406-X406</f>
        <v/>
      </c>
      <c r="AS406" s="25">
        <f>IF(LEFT(B406,4)&lt;&gt;"    ","",P406-Z406)</f>
        <v/>
      </c>
      <c r="AT406" s="10" t="n"/>
      <c r="AU406" s="12" t="n"/>
      <c r="AV406" s="12">
        <f>IF(LEFT(B406,4)&lt;&gt;"    ","",IF(W406-AU406&gt;=0,W406-AU406," "))</f>
        <v/>
      </c>
      <c r="AW406" s="12">
        <f>IF(LEFT(B406,4)&lt;&gt;"    ","",IF(AU406-W406&gt;=0,AU406-W406," "))</f>
        <v/>
      </c>
      <c r="AX406" s="186" t="n"/>
      <c r="AY406" s="187" t="n"/>
      <c r="AZ406" s="186" t="n"/>
      <c r="BA406" s="186" t="n"/>
      <c r="BB406" s="188" t="n"/>
      <c r="BC406" s="187" t="n"/>
      <c r="BD406" s="187" t="n"/>
      <c r="BE406" s="186" t="n"/>
      <c r="BF406" s="186" t="n"/>
      <c r="BG406" s="186" t="n"/>
      <c r="BH406" s="186" t="n"/>
      <c r="BI406" s="186" t="n"/>
      <c r="BJ406" s="186" t="n"/>
      <c r="BK406" s="186" t="n"/>
      <c r="BL406" s="186" t="n"/>
      <c r="BM406" s="186" t="n"/>
      <c r="BN406" s="186" t="n"/>
      <c r="BO406" s="186" t="n"/>
      <c r="BP406" s="186" t="n"/>
      <c r="BQ406" s="186" t="n"/>
      <c r="BR406" s="186" t="n"/>
      <c r="BS406" s="186" t="n"/>
      <c r="BT406" s="186" t="n"/>
      <c r="BU406" s="186" t="n"/>
      <c r="BV406" s="186" t="n"/>
      <c r="BW406" s="186" t="n"/>
      <c r="BX406" s="186" t="n"/>
      <c r="BY406" s="186" t="n"/>
      <c r="BZ406" s="186" t="n"/>
      <c r="CA406" s="186" t="n"/>
      <c r="CB406" s="186" t="n"/>
      <c r="CC406" s="190" t="n"/>
      <c r="CD406" s="186" t="n"/>
      <c r="CE406" s="186" t="n"/>
      <c r="CF406" s="186" t="n"/>
      <c r="CG406" s="186" t="n"/>
      <c r="CH406" s="186" t="n"/>
      <c r="CI406" s="191" t="n"/>
      <c r="CJ406" s="192" t="n"/>
      <c r="CK406" s="192" t="n"/>
      <c r="CL406" s="192" t="n"/>
      <c r="CM406" s="192" t="n"/>
    </row>
    <row r="407">
      <c r="A407" s="177" t="n"/>
      <c r="B407" s="178" t="n"/>
      <c r="C407" s="178" t="n"/>
      <c r="D407" s="179" t="n"/>
      <c r="E407" s="180" t="n"/>
      <c r="F407" s="181" t="n"/>
      <c r="G407" s="182" t="n"/>
      <c r="H407" s="105" t="n"/>
      <c r="I407" s="196">
        <f>F407</f>
        <v/>
      </c>
      <c r="J407" s="184" t="n"/>
      <c r="K407" s="185" t="n"/>
      <c r="L407" s="8" t="n"/>
      <c r="M407" s="71">
        <f>L407</f>
        <v/>
      </c>
      <c r="N407" s="71" t="n"/>
      <c r="O407" s="101" t="n"/>
      <c r="P407" s="9">
        <f>I407-M407</f>
        <v/>
      </c>
      <c r="Q407" s="9">
        <f>IF(LEFT(B407,4)&lt;&gt;"    ",0,BN407)</f>
        <v/>
      </c>
      <c r="R407" s="9">
        <f>+P407-Q407</f>
        <v/>
      </c>
      <c r="S407" s="281" t="n"/>
      <c r="T407" s="10" t="n"/>
      <c r="U407" s="23">
        <f>IF(LEFT(B407,4)&lt;&gt;"    ","",IF(M407&lt;&gt;0,X407/M407,0))</f>
        <v/>
      </c>
      <c r="V407" s="11">
        <f>IF(LEFT(B407,4)&lt;&gt;"    ","",U407*I407)</f>
        <v/>
      </c>
      <c r="W407" s="11">
        <f>IF(LEFT(B407,4)&lt;&gt;"    ","",X407+Z407)</f>
        <v/>
      </c>
      <c r="X407" s="8" t="n"/>
      <c r="Y407" s="9">
        <f>IF(LEFT(B407,4)&lt;&gt;"    ",0,IF(P407&lt;0,P407,IF(U407&gt;0.3,W407-X407,0)))</f>
        <v/>
      </c>
      <c r="Z407" s="71">
        <f>Y407</f>
        <v/>
      </c>
      <c r="AA407" s="71" t="n"/>
      <c r="AB407" s="109" t="n"/>
      <c r="AC407" s="9">
        <f>IF(LEFT(B407,4)&lt;&gt;"    ",0,BK407)</f>
        <v/>
      </c>
      <c r="AD407" s="9">
        <f>Z407-AC407</f>
        <v/>
      </c>
      <c r="AE407" s="10" t="n"/>
      <c r="AF407" s="24" t="n"/>
      <c r="AG407" s="11" t="n"/>
      <c r="AH407" s="8" t="n"/>
      <c r="AI407" s="9">
        <f>IF(LEFT(B407,4)&lt;&gt;"    ","",AG407-AH407)</f>
        <v/>
      </c>
      <c r="AJ407" s="9" t="n"/>
      <c r="AK407" s="10" t="n"/>
      <c r="AL407" s="11">
        <f>IF(LEFT(B407,4)&lt;&gt;"    ","",W407-AG407)</f>
        <v/>
      </c>
      <c r="AM407" s="8">
        <f>IF(LEFT(B407,4)&lt;&gt;"    ","",X407-AH407)</f>
        <v/>
      </c>
      <c r="AN407" s="9">
        <f>IF(LEFT(B407,4)&lt;&gt;"    ","",Y407-AI407)</f>
        <v/>
      </c>
      <c r="AO407" s="9">
        <f>IF(LEFT(B407,4)&lt;&gt;"    ","",Z407-AJ407)</f>
        <v/>
      </c>
      <c r="AP407" s="10" t="n"/>
      <c r="AQ407" s="25">
        <f>IF(LEFT(B407,4)&lt;&gt;"    ","",I407-W407)</f>
        <v/>
      </c>
      <c r="AR407" s="25">
        <f>M407-X407</f>
        <v/>
      </c>
      <c r="AS407" s="25">
        <f>IF(LEFT(B407,4)&lt;&gt;"    ","",P407-Z407)</f>
        <v/>
      </c>
      <c r="AT407" s="10" t="n"/>
      <c r="AU407" s="12" t="n"/>
      <c r="AV407" s="12">
        <f>IF(LEFT(B407,4)&lt;&gt;"    ","",IF(W407-AU407&gt;=0,W407-AU407," "))</f>
        <v/>
      </c>
      <c r="AW407" s="12">
        <f>IF(LEFT(B407,4)&lt;&gt;"    ","",IF(AU407-W407&gt;=0,AU407-W407," "))</f>
        <v/>
      </c>
      <c r="AX407" s="186" t="n"/>
      <c r="AY407" s="187" t="n"/>
      <c r="AZ407" s="186" t="n"/>
      <c r="BA407" s="186" t="n"/>
      <c r="BB407" s="188" t="n"/>
      <c r="BC407" s="187" t="n"/>
      <c r="BD407" s="187" t="n"/>
      <c r="BE407" s="186" t="n"/>
      <c r="BF407" s="186" t="n"/>
      <c r="BG407" s="186" t="n"/>
      <c r="BH407" s="186" t="n"/>
      <c r="BI407" s="186" t="n"/>
      <c r="BJ407" s="186" t="n"/>
      <c r="BK407" s="186" t="n"/>
      <c r="BL407" s="186" t="n"/>
      <c r="BM407" s="186" t="n"/>
      <c r="BN407" s="186" t="n"/>
      <c r="BO407" s="186" t="n"/>
      <c r="BP407" s="186" t="n"/>
      <c r="BQ407" s="186" t="n"/>
      <c r="BR407" s="186" t="n"/>
      <c r="BS407" s="186" t="n"/>
      <c r="BT407" s="186" t="n"/>
      <c r="BU407" s="186" t="n"/>
      <c r="BV407" s="186" t="n"/>
      <c r="BW407" s="186" t="n"/>
      <c r="BX407" s="186" t="n"/>
      <c r="BY407" s="186" t="n"/>
      <c r="BZ407" s="186" t="n"/>
      <c r="CA407" s="186" t="n"/>
      <c r="CB407" s="186" t="n"/>
      <c r="CC407" s="190" t="n"/>
      <c r="CD407" s="186" t="n"/>
      <c r="CE407" s="186" t="n"/>
      <c r="CF407" s="186" t="n"/>
      <c r="CG407" s="186" t="n"/>
      <c r="CH407" s="186" t="n"/>
      <c r="CI407" s="191" t="n"/>
      <c r="CJ407" s="192" t="n"/>
      <c r="CK407" s="192" t="n"/>
      <c r="CL407" s="192" t="n"/>
      <c r="CM407" s="192" t="n"/>
    </row>
    <row r="408">
      <c r="A408" s="177" t="n"/>
      <c r="B408" s="178" t="n"/>
      <c r="C408" s="178" t="n"/>
      <c r="D408" s="179" t="n"/>
      <c r="E408" s="180" t="n"/>
      <c r="F408" s="181" t="n"/>
      <c r="G408" s="182" t="n"/>
      <c r="H408" s="105" t="n"/>
      <c r="I408" s="196">
        <f>F408</f>
        <v/>
      </c>
      <c r="J408" s="184" t="n"/>
      <c r="K408" s="185" t="n"/>
      <c r="L408" s="8" t="n"/>
      <c r="M408" s="71">
        <f>L408</f>
        <v/>
      </c>
      <c r="N408" s="71" t="n"/>
      <c r="O408" s="101" t="n"/>
      <c r="P408" s="9">
        <f>I408-M408</f>
        <v/>
      </c>
      <c r="Q408" s="9">
        <f>IF(LEFT(B408,4)&lt;&gt;"    ",0,BN408)</f>
        <v/>
      </c>
      <c r="R408" s="9">
        <f>+P408-Q408</f>
        <v/>
      </c>
      <c r="S408" s="281" t="n"/>
      <c r="T408" s="10" t="n"/>
      <c r="U408" s="23">
        <f>IF(LEFT(B408,4)&lt;&gt;"    ","",IF(M408&lt;&gt;0,X408/M408,0))</f>
        <v/>
      </c>
      <c r="V408" s="11">
        <f>IF(LEFT(B408,4)&lt;&gt;"    ","",U408*I408)</f>
        <v/>
      </c>
      <c r="W408" s="11">
        <f>IF(LEFT(B408,4)&lt;&gt;"    ","",X408+Z408)</f>
        <v/>
      </c>
      <c r="X408" s="8" t="n"/>
      <c r="Y408" s="9">
        <f>IF(LEFT(B408,4)&lt;&gt;"    ",0,IF(P408&lt;0,P408,IF(U408&gt;0.3,W408-X408,0)))</f>
        <v/>
      </c>
      <c r="Z408" s="71">
        <f>Y408</f>
        <v/>
      </c>
      <c r="AA408" s="71" t="n"/>
      <c r="AB408" s="109" t="n"/>
      <c r="AC408" s="9">
        <f>IF(LEFT(B408,4)&lt;&gt;"    ",0,BK408)</f>
        <v/>
      </c>
      <c r="AD408" s="9">
        <f>Z408-AC408</f>
        <v/>
      </c>
      <c r="AE408" s="10" t="n"/>
      <c r="AF408" s="24" t="n"/>
      <c r="AG408" s="11" t="n"/>
      <c r="AH408" s="8" t="n"/>
      <c r="AI408" s="9">
        <f>IF(LEFT(B408,4)&lt;&gt;"    ","",AG408-AH408)</f>
        <v/>
      </c>
      <c r="AJ408" s="9" t="n"/>
      <c r="AK408" s="10" t="n"/>
      <c r="AL408" s="11">
        <f>IF(LEFT(B408,4)&lt;&gt;"    ","",W408-AG408)</f>
        <v/>
      </c>
      <c r="AM408" s="8">
        <f>IF(LEFT(B408,4)&lt;&gt;"    ","",X408-AH408)</f>
        <v/>
      </c>
      <c r="AN408" s="9">
        <f>IF(LEFT(B408,4)&lt;&gt;"    ","",Y408-AI408)</f>
        <v/>
      </c>
      <c r="AO408" s="9">
        <f>IF(LEFT(B408,4)&lt;&gt;"    ","",Z408-AJ408)</f>
        <v/>
      </c>
      <c r="AP408" s="10" t="n"/>
      <c r="AQ408" s="25">
        <f>IF(LEFT(B408,4)&lt;&gt;"    ","",I408-W408)</f>
        <v/>
      </c>
      <c r="AR408" s="25">
        <f>M408-X408</f>
        <v/>
      </c>
      <c r="AS408" s="25">
        <f>IF(LEFT(B408,4)&lt;&gt;"    ","",P408-Z408)</f>
        <v/>
      </c>
      <c r="AT408" s="10" t="n"/>
      <c r="AU408" s="12" t="n"/>
      <c r="AV408" s="12">
        <f>IF(LEFT(B408,4)&lt;&gt;"    ","",IF(W408-AU408&gt;=0,W408-AU408," "))</f>
        <v/>
      </c>
      <c r="AW408" s="12">
        <f>IF(LEFT(B408,4)&lt;&gt;"    ","",IF(AU408-W408&gt;=0,AU408-W408," "))</f>
        <v/>
      </c>
      <c r="AX408" s="186" t="n"/>
      <c r="AY408" s="187" t="n"/>
      <c r="AZ408" s="186" t="n"/>
      <c r="BA408" s="186" t="n"/>
      <c r="BB408" s="188" t="n"/>
      <c r="BC408" s="187" t="n"/>
      <c r="BD408" s="187" t="n"/>
      <c r="BE408" s="186" t="n"/>
      <c r="BF408" s="186" t="n"/>
      <c r="BG408" s="186" t="n"/>
      <c r="BH408" s="186" t="n"/>
      <c r="BI408" s="186" t="n"/>
      <c r="BJ408" s="186" t="n"/>
      <c r="BK408" s="186" t="n"/>
      <c r="BL408" s="186" t="n"/>
      <c r="BM408" s="186" t="n"/>
      <c r="BN408" s="186" t="n"/>
      <c r="BO408" s="186" t="n"/>
      <c r="BP408" s="186" t="n"/>
      <c r="BQ408" s="186" t="n"/>
      <c r="BR408" s="186" t="n"/>
      <c r="BS408" s="186" t="n"/>
      <c r="BT408" s="186" t="n"/>
      <c r="BU408" s="186" t="n"/>
      <c r="BV408" s="186" t="n"/>
      <c r="BW408" s="186" t="n"/>
      <c r="BX408" s="186" t="n"/>
      <c r="BY408" s="186" t="n"/>
      <c r="BZ408" s="186" t="n"/>
      <c r="CA408" s="186" t="n"/>
      <c r="CB408" s="186" t="n"/>
      <c r="CC408" s="190" t="n"/>
      <c r="CD408" s="186" t="n"/>
      <c r="CE408" s="186" t="n"/>
      <c r="CF408" s="186" t="n"/>
      <c r="CG408" s="186" t="n"/>
      <c r="CH408" s="186" t="n"/>
      <c r="CI408" s="191" t="n"/>
      <c r="CJ408" s="192" t="n"/>
      <c r="CK408" s="192" t="n"/>
      <c r="CL408" s="192" t="n"/>
      <c r="CM408" s="192" t="n"/>
    </row>
    <row r="409">
      <c r="A409" s="177" t="n"/>
      <c r="B409" s="178" t="n"/>
      <c r="C409" s="178" t="n"/>
      <c r="D409" s="179" t="n"/>
      <c r="E409" s="180" t="n"/>
      <c r="F409" s="181" t="n"/>
      <c r="G409" s="182" t="n"/>
      <c r="H409" s="105" t="n"/>
      <c r="I409" s="196">
        <f>F409</f>
        <v/>
      </c>
      <c r="J409" s="184" t="n"/>
      <c r="K409" s="185" t="n"/>
      <c r="L409" s="8" t="n"/>
      <c r="M409" s="71">
        <f>L409</f>
        <v/>
      </c>
      <c r="N409" s="71" t="n"/>
      <c r="O409" s="101" t="n"/>
      <c r="P409" s="9">
        <f>I409-M409</f>
        <v/>
      </c>
      <c r="Q409" s="9">
        <f>IF(LEFT(B409,4)&lt;&gt;"    ",0,BN409)</f>
        <v/>
      </c>
      <c r="R409" s="9">
        <f>+P409-Q409</f>
        <v/>
      </c>
      <c r="S409" s="281" t="n"/>
      <c r="T409" s="10" t="n"/>
      <c r="U409" s="23">
        <f>IF(LEFT(B409,4)&lt;&gt;"    ","",IF(M409&lt;&gt;0,X409/M409,0))</f>
        <v/>
      </c>
      <c r="V409" s="11">
        <f>IF(LEFT(B409,4)&lt;&gt;"    ","",U409*I409)</f>
        <v/>
      </c>
      <c r="W409" s="11">
        <f>IF(LEFT(B409,4)&lt;&gt;"    ","",X409+Z409)</f>
        <v/>
      </c>
      <c r="X409" s="8" t="n"/>
      <c r="Y409" s="9">
        <f>IF(LEFT(B409,4)&lt;&gt;"    ",0,IF(P409&lt;0,P409,IF(U409&gt;0.3,W409-X409,0)))</f>
        <v/>
      </c>
      <c r="Z409" s="71">
        <f>Y409</f>
        <v/>
      </c>
      <c r="AA409" s="71" t="n"/>
      <c r="AB409" s="109" t="n"/>
      <c r="AC409" s="9">
        <f>IF(LEFT(B409,4)&lt;&gt;"    ",0,BK409)</f>
        <v/>
      </c>
      <c r="AD409" s="9">
        <f>Z409-AC409</f>
        <v/>
      </c>
      <c r="AE409" s="10" t="n"/>
      <c r="AF409" s="24" t="n"/>
      <c r="AG409" s="11" t="n"/>
      <c r="AH409" s="8" t="n"/>
      <c r="AI409" s="9">
        <f>IF(LEFT(B409,4)&lt;&gt;"    ","",AG409-AH409)</f>
        <v/>
      </c>
      <c r="AJ409" s="9" t="n"/>
      <c r="AK409" s="10" t="n"/>
      <c r="AL409" s="11">
        <f>IF(LEFT(B409,4)&lt;&gt;"    ","",W409-AG409)</f>
        <v/>
      </c>
      <c r="AM409" s="8">
        <f>IF(LEFT(B409,4)&lt;&gt;"    ","",X409-AH409)</f>
        <v/>
      </c>
      <c r="AN409" s="9">
        <f>IF(LEFT(B409,4)&lt;&gt;"    ","",Y409-AI409)</f>
        <v/>
      </c>
      <c r="AO409" s="9">
        <f>IF(LEFT(B409,4)&lt;&gt;"    ","",Z409-AJ409)</f>
        <v/>
      </c>
      <c r="AP409" s="10" t="n"/>
      <c r="AQ409" s="25">
        <f>IF(LEFT(B409,4)&lt;&gt;"    ","",I409-W409)</f>
        <v/>
      </c>
      <c r="AR409" s="25">
        <f>M409-X409</f>
        <v/>
      </c>
      <c r="AS409" s="25">
        <f>IF(LEFT(B409,4)&lt;&gt;"    ","",P409-Z409)</f>
        <v/>
      </c>
      <c r="AT409" s="10" t="n"/>
      <c r="AU409" s="12" t="n"/>
      <c r="AV409" s="12">
        <f>IF(LEFT(B409,4)&lt;&gt;"    ","",IF(W409-AU409&gt;=0,W409-AU409," "))</f>
        <v/>
      </c>
      <c r="AW409" s="12">
        <f>IF(LEFT(B409,4)&lt;&gt;"    ","",IF(AU409-W409&gt;=0,AU409-W409," "))</f>
        <v/>
      </c>
      <c r="AX409" s="186" t="n"/>
      <c r="AY409" s="187" t="n"/>
      <c r="AZ409" s="186" t="n"/>
      <c r="BA409" s="186" t="n"/>
      <c r="BB409" s="188" t="n"/>
      <c r="BC409" s="187" t="n"/>
      <c r="BD409" s="187" t="n"/>
      <c r="BE409" s="186" t="n"/>
      <c r="BF409" s="186" t="n"/>
      <c r="BG409" s="186" t="n"/>
      <c r="BH409" s="186" t="n"/>
      <c r="BI409" s="186" t="n"/>
      <c r="BJ409" s="186" t="n"/>
      <c r="BK409" s="186" t="n"/>
      <c r="BL409" s="186" t="n"/>
      <c r="BM409" s="186" t="n"/>
      <c r="BN409" s="186" t="n"/>
      <c r="BO409" s="186" t="n"/>
      <c r="BP409" s="186" t="n"/>
      <c r="BQ409" s="186" t="n"/>
      <c r="BR409" s="186" t="n"/>
      <c r="BS409" s="186" t="n"/>
      <c r="BT409" s="186" t="n"/>
      <c r="BU409" s="186" t="n"/>
      <c r="BV409" s="186" t="n"/>
      <c r="BW409" s="186" t="n"/>
      <c r="BX409" s="186" t="n"/>
      <c r="BY409" s="186" t="n"/>
      <c r="BZ409" s="186" t="n"/>
      <c r="CA409" s="186" t="n"/>
      <c r="CB409" s="186" t="n"/>
      <c r="CC409" s="190" t="n"/>
      <c r="CD409" s="186" t="n"/>
      <c r="CE409" s="186" t="n"/>
      <c r="CF409" s="186" t="n"/>
      <c r="CG409" s="186" t="n"/>
      <c r="CH409" s="186" t="n"/>
      <c r="CI409" s="191" t="n"/>
      <c r="CJ409" s="192" t="n"/>
      <c r="CK409" s="192" t="n"/>
      <c r="CL409" s="192" t="n"/>
      <c r="CM409" s="192" t="n"/>
    </row>
    <row r="410">
      <c r="A410" s="177" t="n"/>
      <c r="B410" s="178" t="n"/>
      <c r="C410" s="178" t="n"/>
      <c r="D410" s="179" t="n"/>
      <c r="E410" s="180" t="n"/>
      <c r="F410" s="181" t="n"/>
      <c r="G410" s="182" t="n"/>
      <c r="H410" s="105" t="n"/>
      <c r="I410" s="196">
        <f>F410</f>
        <v/>
      </c>
      <c r="J410" s="184" t="n"/>
      <c r="K410" s="185" t="n"/>
      <c r="L410" s="8" t="n"/>
      <c r="M410" s="71">
        <f>L410</f>
        <v/>
      </c>
      <c r="N410" s="71" t="n"/>
      <c r="O410" s="101" t="n"/>
      <c r="P410" s="9">
        <f>I410-M410</f>
        <v/>
      </c>
      <c r="Q410" s="9">
        <f>IF(LEFT(B410,4)&lt;&gt;"    ",0,BN410)</f>
        <v/>
      </c>
      <c r="R410" s="9">
        <f>+P410-Q410</f>
        <v/>
      </c>
      <c r="S410" s="281" t="n"/>
      <c r="T410" s="10" t="n"/>
      <c r="U410" s="23">
        <f>IF(LEFT(B410,4)&lt;&gt;"    ","",IF(M410&lt;&gt;0,X410/M410,0))</f>
        <v/>
      </c>
      <c r="V410" s="11">
        <f>IF(LEFT(B410,4)&lt;&gt;"    ","",U410*I410)</f>
        <v/>
      </c>
      <c r="W410" s="11">
        <f>IF(LEFT(B410,4)&lt;&gt;"    ","",X410+Z410)</f>
        <v/>
      </c>
      <c r="X410" s="8" t="n"/>
      <c r="Y410" s="9">
        <f>IF(LEFT(B410,4)&lt;&gt;"    ",0,IF(P410&lt;0,P410,IF(U410&gt;0.3,W410-X410,0)))</f>
        <v/>
      </c>
      <c r="Z410" s="71">
        <f>Y410</f>
        <v/>
      </c>
      <c r="AA410" s="71" t="n"/>
      <c r="AB410" s="109" t="n"/>
      <c r="AC410" s="9">
        <f>IF(LEFT(B410,4)&lt;&gt;"    ",0,BK410)</f>
        <v/>
      </c>
      <c r="AD410" s="9">
        <f>Z410-AC410</f>
        <v/>
      </c>
      <c r="AE410" s="10" t="n"/>
      <c r="AF410" s="24" t="n"/>
      <c r="AG410" s="11" t="n"/>
      <c r="AH410" s="8" t="n"/>
      <c r="AI410" s="9">
        <f>IF(LEFT(B410,4)&lt;&gt;"    ","",AG410-AH410)</f>
        <v/>
      </c>
      <c r="AJ410" s="9" t="n"/>
      <c r="AK410" s="10" t="n"/>
      <c r="AL410" s="11">
        <f>IF(LEFT(B410,4)&lt;&gt;"    ","",W410-AG410)</f>
        <v/>
      </c>
      <c r="AM410" s="8">
        <f>IF(LEFT(B410,4)&lt;&gt;"    ","",X410-AH410)</f>
        <v/>
      </c>
      <c r="AN410" s="9">
        <f>IF(LEFT(B410,4)&lt;&gt;"    ","",Y410-AI410)</f>
        <v/>
      </c>
      <c r="AO410" s="9">
        <f>IF(LEFT(B410,4)&lt;&gt;"    ","",Z410-AJ410)</f>
        <v/>
      </c>
      <c r="AP410" s="10" t="n"/>
      <c r="AQ410" s="25">
        <f>IF(LEFT(B410,4)&lt;&gt;"    ","",I410-W410)</f>
        <v/>
      </c>
      <c r="AR410" s="25">
        <f>M410-X410</f>
        <v/>
      </c>
      <c r="AS410" s="25">
        <f>IF(LEFT(B410,4)&lt;&gt;"    ","",P410-Z410)</f>
        <v/>
      </c>
      <c r="AT410" s="10" t="n"/>
      <c r="AU410" s="12" t="n"/>
      <c r="AV410" s="12">
        <f>IF(LEFT(B410,4)&lt;&gt;"    ","",IF(W410-AU410&gt;=0,W410-AU410," "))</f>
        <v/>
      </c>
      <c r="AW410" s="12">
        <f>IF(LEFT(B410,4)&lt;&gt;"    ","",IF(AU410-W410&gt;=0,AU410-W410," "))</f>
        <v/>
      </c>
      <c r="AX410" s="186" t="n"/>
      <c r="AY410" s="187" t="n"/>
      <c r="AZ410" s="186" t="n"/>
      <c r="BA410" s="186" t="n"/>
      <c r="BB410" s="188" t="n"/>
      <c r="BC410" s="187" t="n"/>
      <c r="BD410" s="187" t="n"/>
      <c r="BE410" s="186" t="n"/>
      <c r="BF410" s="186" t="n"/>
      <c r="BG410" s="186" t="n"/>
      <c r="BH410" s="186" t="n"/>
      <c r="BI410" s="186" t="n"/>
      <c r="BJ410" s="186" t="n"/>
      <c r="BK410" s="186" t="n"/>
      <c r="BL410" s="186" t="n"/>
      <c r="BM410" s="186" t="n"/>
      <c r="BN410" s="186" t="n"/>
      <c r="BO410" s="186" t="n"/>
      <c r="BP410" s="186" t="n"/>
      <c r="BQ410" s="186" t="n"/>
      <c r="BR410" s="186" t="n"/>
      <c r="BS410" s="186" t="n"/>
      <c r="BT410" s="186" t="n"/>
      <c r="BU410" s="186" t="n"/>
      <c r="BV410" s="186" t="n"/>
      <c r="BW410" s="186" t="n"/>
      <c r="BX410" s="186" t="n"/>
      <c r="BY410" s="186" t="n"/>
      <c r="BZ410" s="186" t="n"/>
      <c r="CA410" s="186" t="n"/>
      <c r="CB410" s="186" t="n"/>
      <c r="CC410" s="190" t="n"/>
      <c r="CD410" s="186" t="n"/>
      <c r="CE410" s="186" t="n"/>
      <c r="CF410" s="186" t="n"/>
      <c r="CG410" s="186" t="n"/>
      <c r="CH410" s="186" t="n"/>
      <c r="CI410" s="191" t="n"/>
      <c r="CJ410" s="192" t="n"/>
      <c r="CK410" s="192" t="n"/>
      <c r="CL410" s="192" t="n"/>
      <c r="CM410" s="192" t="n"/>
    </row>
    <row r="411">
      <c r="A411" s="177" t="n"/>
      <c r="B411" s="178" t="n"/>
      <c r="C411" s="178" t="n"/>
      <c r="D411" s="179" t="n"/>
      <c r="E411" s="180" t="n"/>
      <c r="F411" s="181" t="n"/>
      <c r="G411" s="182" t="n"/>
      <c r="H411" s="105" t="n"/>
      <c r="I411" s="196">
        <f>F411</f>
        <v/>
      </c>
      <c r="J411" s="184" t="n"/>
      <c r="K411" s="185" t="n"/>
      <c r="L411" s="8" t="n"/>
      <c r="M411" s="71">
        <f>L411</f>
        <v/>
      </c>
      <c r="N411" s="71" t="n"/>
      <c r="O411" s="101" t="n"/>
      <c r="P411" s="9">
        <f>I411-M411</f>
        <v/>
      </c>
      <c r="Q411" s="9">
        <f>IF(LEFT(B411,4)&lt;&gt;"    ",0,BN411)</f>
        <v/>
      </c>
      <c r="R411" s="9">
        <f>+P411-Q411</f>
        <v/>
      </c>
      <c r="S411" s="281" t="n"/>
      <c r="T411" s="10" t="n"/>
      <c r="U411" s="23">
        <f>IF(LEFT(B411,4)&lt;&gt;"    ","",IF(M411&lt;&gt;0,X411/M411,0))</f>
        <v/>
      </c>
      <c r="V411" s="11">
        <f>IF(LEFT(B411,4)&lt;&gt;"    ","",U411*I411)</f>
        <v/>
      </c>
      <c r="W411" s="11">
        <f>IF(LEFT(B411,4)&lt;&gt;"    ","",X411+Z411)</f>
        <v/>
      </c>
      <c r="X411" s="8" t="n"/>
      <c r="Y411" s="9">
        <f>IF(LEFT(B411,4)&lt;&gt;"    ",0,IF(P411&lt;0,P411,IF(U411&gt;0.3,W411-X411,0)))</f>
        <v/>
      </c>
      <c r="Z411" s="71">
        <f>Y411</f>
        <v/>
      </c>
      <c r="AA411" s="71" t="n"/>
      <c r="AB411" s="109" t="n"/>
      <c r="AC411" s="9">
        <f>IF(LEFT(B411,4)&lt;&gt;"    ",0,BK411)</f>
        <v/>
      </c>
      <c r="AD411" s="9">
        <f>Z411-AC411</f>
        <v/>
      </c>
      <c r="AE411" s="10" t="n"/>
      <c r="AF411" s="24" t="n"/>
      <c r="AG411" s="11" t="n"/>
      <c r="AH411" s="8" t="n"/>
      <c r="AI411" s="9">
        <f>IF(LEFT(B411,4)&lt;&gt;"    ","",AG411-AH411)</f>
        <v/>
      </c>
      <c r="AJ411" s="9" t="n"/>
      <c r="AK411" s="10" t="n"/>
      <c r="AL411" s="11">
        <f>IF(LEFT(B411,4)&lt;&gt;"    ","",W411-AG411)</f>
        <v/>
      </c>
      <c r="AM411" s="8">
        <f>IF(LEFT(B411,4)&lt;&gt;"    ","",X411-AH411)</f>
        <v/>
      </c>
      <c r="AN411" s="9">
        <f>IF(LEFT(B411,4)&lt;&gt;"    ","",Y411-AI411)</f>
        <v/>
      </c>
      <c r="AO411" s="9">
        <f>IF(LEFT(B411,4)&lt;&gt;"    ","",Z411-AJ411)</f>
        <v/>
      </c>
      <c r="AP411" s="10" t="n"/>
      <c r="AQ411" s="25">
        <f>IF(LEFT(B411,4)&lt;&gt;"    ","",I411-W411)</f>
        <v/>
      </c>
      <c r="AR411" s="25">
        <f>M411-X411</f>
        <v/>
      </c>
      <c r="AS411" s="25">
        <f>IF(LEFT(B411,4)&lt;&gt;"    ","",P411-Z411)</f>
        <v/>
      </c>
      <c r="AT411" s="10" t="n"/>
      <c r="AU411" s="12" t="n"/>
      <c r="AV411" s="12">
        <f>IF(LEFT(B411,4)&lt;&gt;"    ","",IF(W411-AU411&gt;=0,W411-AU411," "))</f>
        <v/>
      </c>
      <c r="AW411" s="12">
        <f>IF(LEFT(B411,4)&lt;&gt;"    ","",IF(AU411-W411&gt;=0,AU411-W411," "))</f>
        <v/>
      </c>
      <c r="AX411" s="186" t="n"/>
      <c r="AY411" s="187" t="n"/>
      <c r="AZ411" s="186" t="n"/>
      <c r="BA411" s="186" t="n"/>
      <c r="BB411" s="188" t="n"/>
      <c r="BC411" s="187" t="n"/>
      <c r="BD411" s="187" t="n"/>
      <c r="BE411" s="186" t="n"/>
      <c r="BF411" s="186" t="n"/>
      <c r="BG411" s="186" t="n"/>
      <c r="BH411" s="186" t="n"/>
      <c r="BI411" s="186" t="n"/>
      <c r="BJ411" s="186" t="n"/>
      <c r="BK411" s="186" t="n"/>
      <c r="BL411" s="186" t="n"/>
      <c r="BM411" s="186" t="n"/>
      <c r="BN411" s="186" t="n"/>
      <c r="BO411" s="186" t="n"/>
      <c r="BP411" s="186" t="n"/>
      <c r="BQ411" s="186" t="n"/>
      <c r="BR411" s="186" t="n"/>
      <c r="BS411" s="186" t="n"/>
      <c r="BT411" s="186" t="n"/>
      <c r="BU411" s="186" t="n"/>
      <c r="BV411" s="186" t="n"/>
      <c r="BW411" s="186" t="n"/>
      <c r="BX411" s="186" t="n"/>
      <c r="BY411" s="186" t="n"/>
      <c r="BZ411" s="186" t="n"/>
      <c r="CA411" s="186" t="n"/>
      <c r="CB411" s="186" t="n"/>
      <c r="CC411" s="190" t="n"/>
      <c r="CD411" s="186" t="n"/>
      <c r="CE411" s="186" t="n"/>
      <c r="CF411" s="186" t="n"/>
      <c r="CG411" s="186" t="n"/>
      <c r="CH411" s="186" t="n"/>
      <c r="CI411" s="191" t="n"/>
      <c r="CJ411" s="192" t="n"/>
      <c r="CK411" s="192" t="n"/>
      <c r="CL411" s="192" t="n"/>
      <c r="CM411" s="192" t="n"/>
    </row>
    <row r="412">
      <c r="A412" s="177" t="n"/>
      <c r="B412" s="178" t="n"/>
      <c r="C412" s="178" t="n"/>
      <c r="D412" s="179" t="n"/>
      <c r="E412" s="180" t="n"/>
      <c r="F412" s="181" t="n"/>
      <c r="G412" s="182" t="n"/>
      <c r="H412" s="105" t="n"/>
      <c r="I412" s="196">
        <f>F412</f>
        <v/>
      </c>
      <c r="J412" s="184" t="n"/>
      <c r="K412" s="185" t="n"/>
      <c r="L412" s="8" t="n"/>
      <c r="M412" s="71">
        <f>L412</f>
        <v/>
      </c>
      <c r="N412" s="71" t="n"/>
      <c r="O412" s="101" t="n"/>
      <c r="P412" s="9">
        <f>I412-M412</f>
        <v/>
      </c>
      <c r="Q412" s="9">
        <f>IF(LEFT(B412,4)&lt;&gt;"    ",0,BN412)</f>
        <v/>
      </c>
      <c r="R412" s="9">
        <f>+P412-Q412</f>
        <v/>
      </c>
      <c r="S412" s="281" t="n"/>
      <c r="T412" s="10" t="n"/>
      <c r="U412" s="23">
        <f>IF(LEFT(B412,4)&lt;&gt;"    ","",IF(M412&lt;&gt;0,X412/M412,0))</f>
        <v/>
      </c>
      <c r="V412" s="11">
        <f>IF(LEFT(B412,4)&lt;&gt;"    ","",U412*I412)</f>
        <v/>
      </c>
      <c r="W412" s="11">
        <f>IF(LEFT(B412,4)&lt;&gt;"    ","",X412+Z412)</f>
        <v/>
      </c>
      <c r="X412" s="8" t="n"/>
      <c r="Y412" s="9">
        <f>IF(LEFT(B412,4)&lt;&gt;"    ",0,IF(P412&lt;0,P412,IF(U412&gt;0.3,W412-X412,0)))</f>
        <v/>
      </c>
      <c r="Z412" s="71">
        <f>Y412</f>
        <v/>
      </c>
      <c r="AA412" s="71" t="n"/>
      <c r="AB412" s="109" t="n"/>
      <c r="AC412" s="9">
        <f>IF(LEFT(B412,4)&lt;&gt;"    ",0,BK412)</f>
        <v/>
      </c>
      <c r="AD412" s="9">
        <f>Z412-AC412</f>
        <v/>
      </c>
      <c r="AE412" s="10" t="n"/>
      <c r="AF412" s="24" t="n"/>
      <c r="AG412" s="11" t="n"/>
      <c r="AH412" s="8" t="n"/>
      <c r="AI412" s="9">
        <f>IF(LEFT(B412,4)&lt;&gt;"    ","",AG412-AH412)</f>
        <v/>
      </c>
      <c r="AJ412" s="9" t="n"/>
      <c r="AK412" s="10" t="n"/>
      <c r="AL412" s="11">
        <f>IF(LEFT(B412,4)&lt;&gt;"    ","",W412-AG412)</f>
        <v/>
      </c>
      <c r="AM412" s="8">
        <f>IF(LEFT(B412,4)&lt;&gt;"    ","",X412-AH412)</f>
        <v/>
      </c>
      <c r="AN412" s="9">
        <f>IF(LEFT(B412,4)&lt;&gt;"    ","",Y412-AI412)</f>
        <v/>
      </c>
      <c r="AO412" s="9">
        <f>IF(LEFT(B412,4)&lt;&gt;"    ","",Z412-AJ412)</f>
        <v/>
      </c>
      <c r="AP412" s="10" t="n"/>
      <c r="AQ412" s="25">
        <f>IF(LEFT(B412,4)&lt;&gt;"    ","",I412-W412)</f>
        <v/>
      </c>
      <c r="AR412" s="25">
        <f>M412-X412</f>
        <v/>
      </c>
      <c r="AS412" s="25">
        <f>IF(LEFT(B412,4)&lt;&gt;"    ","",P412-Z412)</f>
        <v/>
      </c>
      <c r="AT412" s="10" t="n"/>
      <c r="AU412" s="12" t="n"/>
      <c r="AV412" s="12">
        <f>IF(LEFT(B412,4)&lt;&gt;"    ","",IF(W412-AU412&gt;=0,W412-AU412," "))</f>
        <v/>
      </c>
      <c r="AW412" s="12">
        <f>IF(LEFT(B412,4)&lt;&gt;"    ","",IF(AU412-W412&gt;=0,AU412-W412," "))</f>
        <v/>
      </c>
      <c r="AX412" s="186" t="n"/>
      <c r="AY412" s="187" t="n"/>
      <c r="AZ412" s="186" t="n"/>
      <c r="BA412" s="186" t="n"/>
      <c r="BB412" s="188" t="n"/>
      <c r="BC412" s="187" t="n"/>
      <c r="BD412" s="187" t="n"/>
      <c r="BE412" s="186" t="n"/>
      <c r="BF412" s="186" t="n"/>
      <c r="BG412" s="186" t="n"/>
      <c r="BH412" s="186" t="n"/>
      <c r="BI412" s="186" t="n"/>
      <c r="BJ412" s="186" t="n"/>
      <c r="BK412" s="186" t="n"/>
      <c r="BL412" s="186" t="n"/>
      <c r="BM412" s="186" t="n"/>
      <c r="BN412" s="186" t="n"/>
      <c r="BO412" s="186" t="n"/>
      <c r="BP412" s="186" t="n"/>
      <c r="BQ412" s="186" t="n"/>
      <c r="BR412" s="186" t="n"/>
      <c r="BS412" s="186" t="n"/>
      <c r="BT412" s="186" t="n"/>
      <c r="BU412" s="186" t="n"/>
      <c r="BV412" s="186" t="n"/>
      <c r="BW412" s="186" t="n"/>
      <c r="BX412" s="186" t="n"/>
      <c r="BY412" s="186" t="n"/>
      <c r="BZ412" s="186" t="n"/>
      <c r="CA412" s="186" t="n"/>
      <c r="CB412" s="186" t="n"/>
      <c r="CC412" s="190" t="n"/>
      <c r="CD412" s="186" t="n"/>
      <c r="CE412" s="186" t="n"/>
      <c r="CF412" s="186" t="n"/>
      <c r="CG412" s="186" t="n"/>
      <c r="CH412" s="186" t="n"/>
      <c r="CI412" s="191" t="n"/>
      <c r="CJ412" s="192" t="n"/>
      <c r="CK412" s="192" t="n"/>
      <c r="CL412" s="192" t="n"/>
      <c r="CM412" s="192" t="n"/>
    </row>
    <row r="413">
      <c r="A413" s="177" t="n"/>
      <c r="B413" s="178" t="n"/>
      <c r="C413" s="178" t="n"/>
      <c r="D413" s="179" t="n"/>
      <c r="E413" s="180" t="n"/>
      <c r="F413" s="181" t="n"/>
      <c r="G413" s="182" t="n"/>
      <c r="H413" s="105" t="n"/>
      <c r="I413" s="196">
        <f>F413</f>
        <v/>
      </c>
      <c r="J413" s="184" t="n"/>
      <c r="K413" s="185" t="n"/>
      <c r="L413" s="8" t="n"/>
      <c r="M413" s="71">
        <f>L413</f>
        <v/>
      </c>
      <c r="N413" s="71" t="n"/>
      <c r="O413" s="101" t="n"/>
      <c r="P413" s="9">
        <f>I413-M413</f>
        <v/>
      </c>
      <c r="Q413" s="9">
        <f>IF(LEFT(B413,4)&lt;&gt;"    ",0,BN413)</f>
        <v/>
      </c>
      <c r="R413" s="9">
        <f>+P413-Q413</f>
        <v/>
      </c>
      <c r="S413" s="281" t="n"/>
      <c r="T413" s="10" t="n"/>
      <c r="U413" s="23">
        <f>IF(LEFT(B413,4)&lt;&gt;"    ","",IF(M413&lt;&gt;0,X413/M413,0))</f>
        <v/>
      </c>
      <c r="V413" s="11">
        <f>IF(LEFT(B413,4)&lt;&gt;"    ","",U413*I413)</f>
        <v/>
      </c>
      <c r="W413" s="11">
        <f>IF(LEFT(B413,4)&lt;&gt;"    ","",X413+Z413)</f>
        <v/>
      </c>
      <c r="X413" s="8" t="n"/>
      <c r="Y413" s="9">
        <f>IF(LEFT(B413,4)&lt;&gt;"    ",0,IF(P413&lt;0,P413,IF(U413&gt;0.3,W413-X413,0)))</f>
        <v/>
      </c>
      <c r="Z413" s="71">
        <f>Y413</f>
        <v/>
      </c>
      <c r="AA413" s="71" t="n"/>
      <c r="AB413" s="109" t="n"/>
      <c r="AC413" s="9">
        <f>IF(LEFT(B413,4)&lt;&gt;"    ",0,BK413)</f>
        <v/>
      </c>
      <c r="AD413" s="9">
        <f>Z413-AC413</f>
        <v/>
      </c>
      <c r="AE413" s="10" t="n"/>
      <c r="AF413" s="24" t="n"/>
      <c r="AG413" s="11" t="n"/>
      <c r="AH413" s="8" t="n"/>
      <c r="AI413" s="9">
        <f>IF(LEFT(B413,4)&lt;&gt;"    ","",AG413-AH413)</f>
        <v/>
      </c>
      <c r="AJ413" s="9" t="n"/>
      <c r="AK413" s="10" t="n"/>
      <c r="AL413" s="11">
        <f>IF(LEFT(B413,4)&lt;&gt;"    ","",W413-AG413)</f>
        <v/>
      </c>
      <c r="AM413" s="8">
        <f>IF(LEFT(B413,4)&lt;&gt;"    ","",X413-AH413)</f>
        <v/>
      </c>
      <c r="AN413" s="9">
        <f>IF(LEFT(B413,4)&lt;&gt;"    ","",Y413-AI413)</f>
        <v/>
      </c>
      <c r="AO413" s="9">
        <f>IF(LEFT(B413,4)&lt;&gt;"    ","",Z413-AJ413)</f>
        <v/>
      </c>
      <c r="AP413" s="10" t="n"/>
      <c r="AQ413" s="25">
        <f>IF(LEFT(B413,4)&lt;&gt;"    ","",I413-W413)</f>
        <v/>
      </c>
      <c r="AR413" s="25">
        <f>M413-X413</f>
        <v/>
      </c>
      <c r="AS413" s="25">
        <f>IF(LEFT(B413,4)&lt;&gt;"    ","",P413-Z413)</f>
        <v/>
      </c>
      <c r="AT413" s="10" t="n"/>
      <c r="AU413" s="12" t="n"/>
      <c r="AV413" s="12">
        <f>IF(LEFT(B413,4)&lt;&gt;"    ","",IF(W413-AU413&gt;=0,W413-AU413," "))</f>
        <v/>
      </c>
      <c r="AW413" s="12">
        <f>IF(LEFT(B413,4)&lt;&gt;"    ","",IF(AU413-W413&gt;=0,AU413-W413," "))</f>
        <v/>
      </c>
      <c r="AX413" s="186" t="n"/>
      <c r="AY413" s="187" t="n"/>
      <c r="AZ413" s="186" t="n"/>
      <c r="BA413" s="186" t="n"/>
      <c r="BB413" s="188" t="n"/>
      <c r="BC413" s="187" t="n"/>
      <c r="BD413" s="187" t="n"/>
      <c r="BE413" s="186" t="n"/>
      <c r="BF413" s="186" t="n"/>
      <c r="BG413" s="186" t="n"/>
      <c r="BH413" s="186" t="n"/>
      <c r="BI413" s="186" t="n"/>
      <c r="BJ413" s="186" t="n"/>
      <c r="BK413" s="186" t="n"/>
      <c r="BL413" s="186" t="n"/>
      <c r="BM413" s="186" t="n"/>
      <c r="BN413" s="186" t="n"/>
      <c r="BO413" s="186" t="n"/>
      <c r="BP413" s="186" t="n"/>
      <c r="BQ413" s="186" t="n"/>
      <c r="BR413" s="186" t="n"/>
      <c r="BS413" s="186" t="n"/>
      <c r="BT413" s="186" t="n"/>
      <c r="BU413" s="186" t="n"/>
      <c r="BV413" s="186" t="n"/>
      <c r="BW413" s="186" t="n"/>
      <c r="BX413" s="186" t="n"/>
      <c r="BY413" s="186" t="n"/>
      <c r="BZ413" s="186" t="n"/>
      <c r="CA413" s="186" t="n"/>
      <c r="CB413" s="186" t="n"/>
      <c r="CC413" s="190" t="n"/>
      <c r="CD413" s="186" t="n"/>
      <c r="CE413" s="186" t="n"/>
      <c r="CF413" s="186" t="n"/>
      <c r="CG413" s="186" t="n"/>
      <c r="CH413" s="186" t="n"/>
      <c r="CI413" s="191" t="n"/>
      <c r="CJ413" s="192" t="n"/>
      <c r="CK413" s="192" t="n"/>
      <c r="CL413" s="192" t="n"/>
      <c r="CM413" s="192" t="n"/>
    </row>
    <row r="414">
      <c r="A414" s="177" t="n"/>
      <c r="B414" s="178" t="n"/>
      <c r="C414" s="178" t="n"/>
      <c r="D414" s="179" t="n"/>
      <c r="E414" s="180" t="n"/>
      <c r="F414" s="181" t="n"/>
      <c r="G414" s="182" t="n"/>
      <c r="H414" s="105" t="n"/>
      <c r="I414" s="196">
        <f>F414</f>
        <v/>
      </c>
      <c r="J414" s="184" t="n"/>
      <c r="K414" s="185" t="n"/>
      <c r="L414" s="8" t="n"/>
      <c r="M414" s="71">
        <f>L414</f>
        <v/>
      </c>
      <c r="N414" s="71" t="n"/>
      <c r="O414" s="101" t="n"/>
      <c r="P414" s="9">
        <f>I414-M414</f>
        <v/>
      </c>
      <c r="Q414" s="9">
        <f>IF(LEFT(B414,4)&lt;&gt;"    ",0,BN414)</f>
        <v/>
      </c>
      <c r="R414" s="9">
        <f>+P414-Q414</f>
        <v/>
      </c>
      <c r="S414" s="281" t="n"/>
      <c r="T414" s="10" t="n"/>
      <c r="U414" s="23">
        <f>IF(LEFT(B414,4)&lt;&gt;"    ","",IF(M414&lt;&gt;0,X414/M414,0))</f>
        <v/>
      </c>
      <c r="V414" s="11">
        <f>IF(LEFT(B414,4)&lt;&gt;"    ","",U414*I414)</f>
        <v/>
      </c>
      <c r="W414" s="11">
        <f>IF(LEFT(B414,4)&lt;&gt;"    ","",X414+Z414)</f>
        <v/>
      </c>
      <c r="X414" s="8" t="n"/>
      <c r="Y414" s="9">
        <f>IF(LEFT(B414,4)&lt;&gt;"    ",0,IF(P414&lt;0,P414,IF(U414&gt;0.3,W414-X414,0)))</f>
        <v/>
      </c>
      <c r="Z414" s="71">
        <f>Y414</f>
        <v/>
      </c>
      <c r="AA414" s="71" t="n"/>
      <c r="AB414" s="109" t="n"/>
      <c r="AC414" s="9">
        <f>IF(LEFT(B414,4)&lt;&gt;"    ",0,BK414)</f>
        <v/>
      </c>
      <c r="AD414" s="9">
        <f>Z414-AC414</f>
        <v/>
      </c>
      <c r="AE414" s="10" t="n"/>
      <c r="AF414" s="24" t="n"/>
      <c r="AG414" s="11" t="n"/>
      <c r="AH414" s="8" t="n"/>
      <c r="AI414" s="9">
        <f>IF(LEFT(B414,4)&lt;&gt;"    ","",AG414-AH414)</f>
        <v/>
      </c>
      <c r="AJ414" s="9" t="n"/>
      <c r="AK414" s="10" t="n"/>
      <c r="AL414" s="11">
        <f>IF(LEFT(B414,4)&lt;&gt;"    ","",W414-AG414)</f>
        <v/>
      </c>
      <c r="AM414" s="8">
        <f>IF(LEFT(B414,4)&lt;&gt;"    ","",X414-AH414)</f>
        <v/>
      </c>
      <c r="AN414" s="9">
        <f>IF(LEFT(B414,4)&lt;&gt;"    ","",Y414-AI414)</f>
        <v/>
      </c>
      <c r="AO414" s="9">
        <f>IF(LEFT(B414,4)&lt;&gt;"    ","",Z414-AJ414)</f>
        <v/>
      </c>
      <c r="AP414" s="10" t="n"/>
      <c r="AQ414" s="25">
        <f>IF(LEFT(B414,4)&lt;&gt;"    ","",I414-W414)</f>
        <v/>
      </c>
      <c r="AR414" s="25">
        <f>M414-X414</f>
        <v/>
      </c>
      <c r="AS414" s="25">
        <f>IF(LEFT(B414,4)&lt;&gt;"    ","",P414-Z414)</f>
        <v/>
      </c>
      <c r="AT414" s="10" t="n"/>
      <c r="AU414" s="12" t="n"/>
      <c r="AV414" s="12">
        <f>IF(LEFT(B414,4)&lt;&gt;"    ","",IF(W414-AU414&gt;=0,W414-AU414," "))</f>
        <v/>
      </c>
      <c r="AW414" s="12">
        <f>IF(LEFT(B414,4)&lt;&gt;"    ","",IF(AU414-W414&gt;=0,AU414-W414," "))</f>
        <v/>
      </c>
      <c r="AX414" s="186" t="n"/>
      <c r="AY414" s="187" t="n"/>
      <c r="AZ414" s="186" t="n"/>
      <c r="BA414" s="186" t="n"/>
      <c r="BB414" s="188" t="n"/>
      <c r="BC414" s="187" t="n"/>
      <c r="BD414" s="187" t="n"/>
      <c r="BE414" s="186" t="n"/>
      <c r="BF414" s="186" t="n"/>
      <c r="BG414" s="186" t="n"/>
      <c r="BH414" s="186" t="n"/>
      <c r="BI414" s="186" t="n"/>
      <c r="BJ414" s="186" t="n"/>
      <c r="BK414" s="186" t="n"/>
      <c r="BL414" s="186" t="n"/>
      <c r="BM414" s="186" t="n"/>
      <c r="BN414" s="186" t="n"/>
      <c r="BO414" s="186" t="n"/>
      <c r="BP414" s="186" t="n"/>
      <c r="BQ414" s="186" t="n"/>
      <c r="BR414" s="186" t="n"/>
      <c r="BS414" s="186" t="n"/>
      <c r="BT414" s="186" t="n"/>
      <c r="BU414" s="186" t="n"/>
      <c r="BV414" s="186" t="n"/>
      <c r="BW414" s="186" t="n"/>
      <c r="BX414" s="186" t="n"/>
      <c r="BY414" s="186" t="n"/>
      <c r="BZ414" s="186" t="n"/>
      <c r="CA414" s="186" t="n"/>
      <c r="CB414" s="186" t="n"/>
      <c r="CC414" s="190" t="n"/>
      <c r="CD414" s="186" t="n"/>
      <c r="CE414" s="186" t="n"/>
      <c r="CF414" s="186" t="n"/>
      <c r="CG414" s="186" t="n"/>
      <c r="CH414" s="186" t="n"/>
      <c r="CI414" s="191" t="n"/>
      <c r="CJ414" s="192" t="n"/>
      <c r="CK414" s="192" t="n"/>
      <c r="CL414" s="192" t="n"/>
      <c r="CM414" s="192" t="n"/>
    </row>
    <row r="415">
      <c r="A415" s="177" t="n"/>
      <c r="B415" s="178" t="n"/>
      <c r="C415" s="178" t="n"/>
      <c r="D415" s="179" t="n"/>
      <c r="E415" s="180" t="n"/>
      <c r="F415" s="181" t="n"/>
      <c r="G415" s="182" t="n"/>
      <c r="H415" s="105" t="n"/>
      <c r="I415" s="196">
        <f>F415</f>
        <v/>
      </c>
      <c r="J415" s="184" t="n"/>
      <c r="K415" s="185" t="n"/>
      <c r="L415" s="8" t="n"/>
      <c r="M415" s="71">
        <f>L415</f>
        <v/>
      </c>
      <c r="N415" s="71" t="n"/>
      <c r="O415" s="101" t="n"/>
      <c r="P415" s="9">
        <f>I415-M415</f>
        <v/>
      </c>
      <c r="Q415" s="9">
        <f>IF(LEFT(B415,4)&lt;&gt;"    ",0,BN415)</f>
        <v/>
      </c>
      <c r="R415" s="9">
        <f>+P415-Q415</f>
        <v/>
      </c>
      <c r="S415" s="281" t="n"/>
      <c r="T415" s="10" t="n"/>
      <c r="U415" s="23">
        <f>IF(LEFT(B415,4)&lt;&gt;"    ","",IF(M415&lt;&gt;0,X415/M415,0))</f>
        <v/>
      </c>
      <c r="V415" s="11">
        <f>IF(LEFT(B415,4)&lt;&gt;"    ","",U415*I415)</f>
        <v/>
      </c>
      <c r="W415" s="11">
        <f>IF(LEFT(B415,4)&lt;&gt;"    ","",X415+Z415)</f>
        <v/>
      </c>
      <c r="X415" s="8" t="n"/>
      <c r="Y415" s="9">
        <f>IF(LEFT(B415,4)&lt;&gt;"    ",0,IF(P415&lt;0,P415,IF(U415&gt;0.3,W415-X415,0)))</f>
        <v/>
      </c>
      <c r="Z415" s="71">
        <f>Y415</f>
        <v/>
      </c>
      <c r="AA415" s="71" t="n"/>
      <c r="AB415" s="109" t="n"/>
      <c r="AC415" s="9">
        <f>IF(LEFT(B415,4)&lt;&gt;"    ",0,BK415)</f>
        <v/>
      </c>
      <c r="AD415" s="9">
        <f>Z415-AC415</f>
        <v/>
      </c>
      <c r="AE415" s="10" t="n"/>
      <c r="AF415" s="24" t="n"/>
      <c r="AG415" s="11" t="n"/>
      <c r="AH415" s="8" t="n"/>
      <c r="AI415" s="9">
        <f>IF(LEFT(B415,4)&lt;&gt;"    ","",AG415-AH415)</f>
        <v/>
      </c>
      <c r="AJ415" s="9" t="n"/>
      <c r="AK415" s="10" t="n"/>
      <c r="AL415" s="11">
        <f>IF(LEFT(B415,4)&lt;&gt;"    ","",W415-AG415)</f>
        <v/>
      </c>
      <c r="AM415" s="8">
        <f>IF(LEFT(B415,4)&lt;&gt;"    ","",X415-AH415)</f>
        <v/>
      </c>
      <c r="AN415" s="9">
        <f>IF(LEFT(B415,4)&lt;&gt;"    ","",Y415-AI415)</f>
        <v/>
      </c>
      <c r="AO415" s="9">
        <f>IF(LEFT(B415,4)&lt;&gt;"    ","",Z415-AJ415)</f>
        <v/>
      </c>
      <c r="AP415" s="10" t="n"/>
      <c r="AQ415" s="25">
        <f>IF(LEFT(B415,4)&lt;&gt;"    ","",I415-W415)</f>
        <v/>
      </c>
      <c r="AR415" s="25">
        <f>M415-X415</f>
        <v/>
      </c>
      <c r="AS415" s="25">
        <f>IF(LEFT(B415,4)&lt;&gt;"    ","",P415-Z415)</f>
        <v/>
      </c>
      <c r="AT415" s="10" t="n"/>
      <c r="AU415" s="12" t="n"/>
      <c r="AV415" s="12">
        <f>IF(LEFT(B415,4)&lt;&gt;"    ","",IF(W415-AU415&gt;=0,W415-AU415," "))</f>
        <v/>
      </c>
      <c r="AW415" s="12">
        <f>IF(LEFT(B415,4)&lt;&gt;"    ","",IF(AU415-W415&gt;=0,AU415-W415," "))</f>
        <v/>
      </c>
      <c r="AX415" s="186" t="n"/>
      <c r="AY415" s="187" t="n"/>
      <c r="AZ415" s="186" t="n"/>
      <c r="BA415" s="186" t="n"/>
      <c r="BB415" s="188" t="n"/>
      <c r="BC415" s="187" t="n"/>
      <c r="BD415" s="187" t="n"/>
      <c r="BE415" s="186" t="n"/>
      <c r="BF415" s="186" t="n"/>
      <c r="BG415" s="186" t="n"/>
      <c r="BH415" s="186" t="n"/>
      <c r="BI415" s="186" t="n"/>
      <c r="BJ415" s="186" t="n"/>
      <c r="BK415" s="186" t="n"/>
      <c r="BL415" s="186" t="n"/>
      <c r="BM415" s="186" t="n"/>
      <c r="BN415" s="186" t="n"/>
      <c r="BO415" s="186" t="n"/>
      <c r="BP415" s="186" t="n"/>
      <c r="BQ415" s="186" t="n"/>
      <c r="BR415" s="186" t="n"/>
      <c r="BS415" s="186" t="n"/>
      <c r="BT415" s="186" t="n"/>
      <c r="BU415" s="186" t="n"/>
      <c r="BV415" s="186" t="n"/>
      <c r="BW415" s="186" t="n"/>
      <c r="BX415" s="186" t="n"/>
      <c r="BY415" s="186" t="n"/>
      <c r="BZ415" s="186" t="n"/>
      <c r="CA415" s="186" t="n"/>
      <c r="CB415" s="186" t="n"/>
      <c r="CC415" s="190" t="n"/>
      <c r="CD415" s="186" t="n"/>
      <c r="CE415" s="186" t="n"/>
      <c r="CF415" s="186" t="n"/>
      <c r="CG415" s="186" t="n"/>
      <c r="CH415" s="186" t="n"/>
      <c r="CI415" s="191" t="n"/>
      <c r="CJ415" s="192" t="n"/>
      <c r="CK415" s="192" t="n"/>
      <c r="CL415" s="192" t="n"/>
      <c r="CM415" s="192" t="n"/>
    </row>
    <row r="416">
      <c r="A416" s="177" t="n"/>
      <c r="B416" s="178" t="n"/>
      <c r="C416" s="178" t="n"/>
      <c r="D416" s="179" t="n"/>
      <c r="E416" s="180" t="n"/>
      <c r="F416" s="181" t="n"/>
      <c r="G416" s="182" t="n"/>
      <c r="H416" s="105" t="n"/>
      <c r="I416" s="196">
        <f>F416</f>
        <v/>
      </c>
      <c r="J416" s="184" t="n"/>
      <c r="K416" s="185" t="n"/>
      <c r="L416" s="8" t="n"/>
      <c r="M416" s="71">
        <f>L416</f>
        <v/>
      </c>
      <c r="N416" s="71" t="n"/>
      <c r="O416" s="101" t="n"/>
      <c r="P416" s="9">
        <f>I416-M416</f>
        <v/>
      </c>
      <c r="Q416" s="9">
        <f>IF(LEFT(B416,4)&lt;&gt;"    ",0,BN416)</f>
        <v/>
      </c>
      <c r="R416" s="9">
        <f>+P416-Q416</f>
        <v/>
      </c>
      <c r="S416" s="281" t="n"/>
      <c r="T416" s="10" t="n"/>
      <c r="U416" s="23">
        <f>IF(LEFT(B416,4)&lt;&gt;"    ","",IF(M416&lt;&gt;0,X416/M416,0))</f>
        <v/>
      </c>
      <c r="V416" s="11">
        <f>IF(LEFT(B416,4)&lt;&gt;"    ","",U416*I416)</f>
        <v/>
      </c>
      <c r="W416" s="11">
        <f>IF(LEFT(B416,4)&lt;&gt;"    ","",X416+Z416)</f>
        <v/>
      </c>
      <c r="X416" s="8" t="n"/>
      <c r="Y416" s="9">
        <f>IF(LEFT(B416,4)&lt;&gt;"    ",0,IF(P416&lt;0,P416,IF(U416&gt;0.3,W416-X416,0)))</f>
        <v/>
      </c>
      <c r="Z416" s="71">
        <f>Y416</f>
        <v/>
      </c>
      <c r="AA416" s="71" t="n"/>
      <c r="AB416" s="109" t="n"/>
      <c r="AC416" s="9">
        <f>IF(LEFT(B416,4)&lt;&gt;"    ",0,BK416)</f>
        <v/>
      </c>
      <c r="AD416" s="9">
        <f>Z416-AC416</f>
        <v/>
      </c>
      <c r="AE416" s="10" t="n"/>
      <c r="AF416" s="24" t="n"/>
      <c r="AG416" s="11" t="n"/>
      <c r="AH416" s="8" t="n"/>
      <c r="AI416" s="9">
        <f>IF(LEFT(B416,4)&lt;&gt;"    ","",AG416-AH416)</f>
        <v/>
      </c>
      <c r="AJ416" s="9" t="n"/>
      <c r="AK416" s="10" t="n"/>
      <c r="AL416" s="11">
        <f>IF(LEFT(B416,4)&lt;&gt;"    ","",W416-AG416)</f>
        <v/>
      </c>
      <c r="AM416" s="8">
        <f>IF(LEFT(B416,4)&lt;&gt;"    ","",X416-AH416)</f>
        <v/>
      </c>
      <c r="AN416" s="9">
        <f>IF(LEFT(B416,4)&lt;&gt;"    ","",Y416-AI416)</f>
        <v/>
      </c>
      <c r="AO416" s="9">
        <f>IF(LEFT(B416,4)&lt;&gt;"    ","",Z416-AJ416)</f>
        <v/>
      </c>
      <c r="AP416" s="10" t="n"/>
      <c r="AQ416" s="25">
        <f>IF(LEFT(B416,4)&lt;&gt;"    ","",I416-W416)</f>
        <v/>
      </c>
      <c r="AR416" s="25">
        <f>M416-X416</f>
        <v/>
      </c>
      <c r="AS416" s="25">
        <f>IF(LEFT(B416,4)&lt;&gt;"    ","",P416-Z416)</f>
        <v/>
      </c>
      <c r="AT416" s="10" t="n"/>
      <c r="AU416" s="12" t="n"/>
      <c r="AV416" s="12">
        <f>IF(LEFT(B416,4)&lt;&gt;"    ","",IF(W416-AU416&gt;=0,W416-AU416," "))</f>
        <v/>
      </c>
      <c r="AW416" s="12">
        <f>IF(LEFT(B416,4)&lt;&gt;"    ","",IF(AU416-W416&gt;=0,AU416-W416," "))</f>
        <v/>
      </c>
      <c r="AX416" s="186" t="n"/>
      <c r="AY416" s="187" t="n"/>
      <c r="AZ416" s="186" t="n"/>
      <c r="BA416" s="186" t="n"/>
      <c r="BB416" s="188" t="n"/>
      <c r="BC416" s="187" t="n"/>
      <c r="BD416" s="187" t="n"/>
      <c r="BE416" s="186" t="n"/>
      <c r="BF416" s="186" t="n"/>
      <c r="BG416" s="186" t="n"/>
      <c r="BH416" s="186" t="n"/>
      <c r="BI416" s="186" t="n"/>
      <c r="BJ416" s="186" t="n"/>
      <c r="BK416" s="186" t="n"/>
      <c r="BL416" s="186" t="n"/>
      <c r="BM416" s="186" t="n"/>
      <c r="BN416" s="186" t="n"/>
      <c r="BO416" s="186" t="n"/>
      <c r="BP416" s="186" t="n"/>
      <c r="BQ416" s="186" t="n"/>
      <c r="BR416" s="186" t="n"/>
      <c r="BS416" s="186" t="n"/>
      <c r="BT416" s="186" t="n"/>
      <c r="BU416" s="186" t="n"/>
      <c r="BV416" s="186" t="n"/>
      <c r="BW416" s="186" t="n"/>
      <c r="BX416" s="186" t="n"/>
      <c r="BY416" s="186" t="n"/>
      <c r="BZ416" s="186" t="n"/>
      <c r="CA416" s="186" t="n"/>
      <c r="CB416" s="186" t="n"/>
      <c r="CC416" s="190" t="n"/>
      <c r="CD416" s="186" t="n"/>
      <c r="CE416" s="186" t="n"/>
      <c r="CF416" s="186" t="n"/>
      <c r="CG416" s="186" t="n"/>
      <c r="CH416" s="186" t="n"/>
      <c r="CI416" s="191" t="n"/>
      <c r="CJ416" s="192" t="n"/>
      <c r="CK416" s="192" t="n"/>
      <c r="CL416" s="192" t="n"/>
      <c r="CM416" s="192" t="n"/>
    </row>
    <row r="417">
      <c r="A417" s="177" t="n"/>
      <c r="B417" s="178" t="n"/>
      <c r="C417" s="178" t="n"/>
      <c r="D417" s="179" t="n"/>
      <c r="E417" s="180" t="n"/>
      <c r="F417" s="181" t="n"/>
      <c r="G417" s="182" t="n"/>
      <c r="H417" s="105" t="n"/>
      <c r="I417" s="196">
        <f>F417</f>
        <v/>
      </c>
      <c r="J417" s="184" t="n"/>
      <c r="K417" s="185" t="n"/>
      <c r="L417" s="8" t="n"/>
      <c r="M417" s="71">
        <f>L417</f>
        <v/>
      </c>
      <c r="N417" s="71" t="n"/>
      <c r="O417" s="101" t="n"/>
      <c r="P417" s="9">
        <f>I417-M417</f>
        <v/>
      </c>
      <c r="Q417" s="9">
        <f>IF(LEFT(B417,4)&lt;&gt;"    ",0,BN417)</f>
        <v/>
      </c>
      <c r="R417" s="9">
        <f>+P417-Q417</f>
        <v/>
      </c>
      <c r="S417" s="281" t="n"/>
      <c r="T417" s="10" t="n"/>
      <c r="U417" s="23">
        <f>IF(LEFT(B417,4)&lt;&gt;"    ","",IF(M417&lt;&gt;0,X417/M417,0))</f>
        <v/>
      </c>
      <c r="V417" s="11">
        <f>IF(LEFT(B417,4)&lt;&gt;"    ","",U417*I417)</f>
        <v/>
      </c>
      <c r="W417" s="11">
        <f>IF(LEFT(B417,4)&lt;&gt;"    ","",X417+Z417)</f>
        <v/>
      </c>
      <c r="X417" s="8" t="n"/>
      <c r="Y417" s="9">
        <f>IF(LEFT(B417,4)&lt;&gt;"    ",0,IF(P417&lt;0,P417,IF(U417&gt;0.3,W417-X417,0)))</f>
        <v/>
      </c>
      <c r="Z417" s="71">
        <f>Y417</f>
        <v/>
      </c>
      <c r="AA417" s="71" t="n"/>
      <c r="AB417" s="109" t="n"/>
      <c r="AC417" s="9">
        <f>IF(LEFT(B417,4)&lt;&gt;"    ",0,BK417)</f>
        <v/>
      </c>
      <c r="AD417" s="9">
        <f>Z417-AC417</f>
        <v/>
      </c>
      <c r="AE417" s="10" t="n"/>
      <c r="AF417" s="24" t="n"/>
      <c r="AG417" s="11" t="n"/>
      <c r="AH417" s="8" t="n"/>
      <c r="AI417" s="9">
        <f>IF(LEFT(B417,4)&lt;&gt;"    ","",AG417-AH417)</f>
        <v/>
      </c>
      <c r="AJ417" s="9" t="n"/>
      <c r="AK417" s="10" t="n"/>
      <c r="AL417" s="11">
        <f>IF(LEFT(B417,4)&lt;&gt;"    ","",W417-AG417)</f>
        <v/>
      </c>
      <c r="AM417" s="8">
        <f>IF(LEFT(B417,4)&lt;&gt;"    ","",X417-AH417)</f>
        <v/>
      </c>
      <c r="AN417" s="9">
        <f>IF(LEFT(B417,4)&lt;&gt;"    ","",Y417-AI417)</f>
        <v/>
      </c>
      <c r="AO417" s="9">
        <f>IF(LEFT(B417,4)&lt;&gt;"    ","",Z417-AJ417)</f>
        <v/>
      </c>
      <c r="AP417" s="10" t="n"/>
      <c r="AQ417" s="25">
        <f>IF(LEFT(B417,4)&lt;&gt;"    ","",I417-W417)</f>
        <v/>
      </c>
      <c r="AR417" s="25">
        <f>M417-X417</f>
        <v/>
      </c>
      <c r="AS417" s="25">
        <f>IF(LEFT(B417,4)&lt;&gt;"    ","",P417-Z417)</f>
        <v/>
      </c>
      <c r="AT417" s="10" t="n"/>
      <c r="AU417" s="12" t="n"/>
      <c r="AV417" s="12">
        <f>IF(LEFT(B417,4)&lt;&gt;"    ","",IF(W417-AU417&gt;=0,W417-AU417," "))</f>
        <v/>
      </c>
      <c r="AW417" s="12">
        <f>IF(LEFT(B417,4)&lt;&gt;"    ","",IF(AU417-W417&gt;=0,AU417-W417," "))</f>
        <v/>
      </c>
      <c r="AX417" s="186" t="n"/>
      <c r="AY417" s="187" t="n"/>
      <c r="AZ417" s="186" t="n"/>
      <c r="BA417" s="186" t="n"/>
      <c r="BB417" s="188" t="n"/>
      <c r="BC417" s="187" t="n"/>
      <c r="BD417" s="187" t="n"/>
      <c r="BE417" s="186" t="n"/>
      <c r="BF417" s="186" t="n"/>
      <c r="BG417" s="186" t="n"/>
      <c r="BH417" s="186" t="n"/>
      <c r="BI417" s="186" t="n"/>
      <c r="BJ417" s="186" t="n"/>
      <c r="BK417" s="186" t="n"/>
      <c r="BL417" s="186" t="n"/>
      <c r="BM417" s="186" t="n"/>
      <c r="BN417" s="186" t="n"/>
      <c r="BO417" s="186" t="n"/>
      <c r="BP417" s="186" t="n"/>
      <c r="BQ417" s="186" t="n"/>
      <c r="BR417" s="186" t="n"/>
      <c r="BS417" s="186" t="n"/>
      <c r="BT417" s="186" t="n"/>
      <c r="BU417" s="186" t="n"/>
      <c r="BV417" s="186" t="n"/>
      <c r="BW417" s="186" t="n"/>
      <c r="BX417" s="186" t="n"/>
      <c r="BY417" s="186" t="n"/>
      <c r="BZ417" s="186" t="n"/>
      <c r="CA417" s="186" t="n"/>
      <c r="CB417" s="186" t="n"/>
      <c r="CC417" s="190" t="n"/>
      <c r="CD417" s="186" t="n"/>
      <c r="CE417" s="186" t="n"/>
      <c r="CF417" s="186" t="n"/>
      <c r="CG417" s="186" t="n"/>
      <c r="CH417" s="186" t="n"/>
      <c r="CI417" s="191" t="n"/>
      <c r="CJ417" s="192" t="n"/>
      <c r="CK417" s="192" t="n"/>
      <c r="CL417" s="192" t="n"/>
      <c r="CM417" s="192" t="n"/>
    </row>
    <row r="418">
      <c r="A418" s="177" t="n"/>
      <c r="B418" s="178" t="n"/>
      <c r="C418" s="178" t="n"/>
      <c r="D418" s="179" t="n"/>
      <c r="E418" s="180" t="n"/>
      <c r="F418" s="181" t="n"/>
      <c r="G418" s="182" t="n"/>
      <c r="H418" s="105" t="n"/>
      <c r="I418" s="196">
        <f>F418</f>
        <v/>
      </c>
      <c r="J418" s="184" t="n"/>
      <c r="K418" s="185" t="n"/>
      <c r="L418" s="8" t="n"/>
      <c r="M418" s="71">
        <f>L418</f>
        <v/>
      </c>
      <c r="N418" s="71" t="n"/>
      <c r="O418" s="101" t="n"/>
      <c r="P418" s="9">
        <f>I418-M418</f>
        <v/>
      </c>
      <c r="Q418" s="9">
        <f>IF(LEFT(B418,4)&lt;&gt;"    ",0,BN418)</f>
        <v/>
      </c>
      <c r="R418" s="9">
        <f>+P418-Q418</f>
        <v/>
      </c>
      <c r="S418" s="281" t="n"/>
      <c r="T418" s="10" t="n"/>
      <c r="U418" s="23">
        <f>IF(LEFT(B418,4)&lt;&gt;"    ","",IF(M418&lt;&gt;0,X418/M418,0))</f>
        <v/>
      </c>
      <c r="V418" s="11">
        <f>IF(LEFT(B418,4)&lt;&gt;"    ","",U418*I418)</f>
        <v/>
      </c>
      <c r="W418" s="11">
        <f>IF(LEFT(B418,4)&lt;&gt;"    ","",X418+Z418)</f>
        <v/>
      </c>
      <c r="X418" s="8" t="n"/>
      <c r="Y418" s="9">
        <f>IF(LEFT(B418,4)&lt;&gt;"    ",0,IF(P418&lt;0,P418,IF(U418&gt;0.3,W418-X418,0)))</f>
        <v/>
      </c>
      <c r="Z418" s="71">
        <f>Y418</f>
        <v/>
      </c>
      <c r="AA418" s="71" t="n"/>
      <c r="AB418" s="109" t="n"/>
      <c r="AC418" s="9">
        <f>IF(LEFT(B418,4)&lt;&gt;"    ",0,BK418)</f>
        <v/>
      </c>
      <c r="AD418" s="9">
        <f>Z418-AC418</f>
        <v/>
      </c>
      <c r="AE418" s="10" t="n"/>
      <c r="AF418" s="24" t="n"/>
      <c r="AG418" s="11" t="n"/>
      <c r="AH418" s="8" t="n"/>
      <c r="AI418" s="9">
        <f>IF(LEFT(B418,4)&lt;&gt;"    ","",AG418-AH418)</f>
        <v/>
      </c>
      <c r="AJ418" s="9" t="n"/>
      <c r="AK418" s="10" t="n"/>
      <c r="AL418" s="11">
        <f>IF(LEFT(B418,4)&lt;&gt;"    ","",W418-AG418)</f>
        <v/>
      </c>
      <c r="AM418" s="8">
        <f>IF(LEFT(B418,4)&lt;&gt;"    ","",X418-AH418)</f>
        <v/>
      </c>
      <c r="AN418" s="9">
        <f>IF(LEFT(B418,4)&lt;&gt;"    ","",Y418-AI418)</f>
        <v/>
      </c>
      <c r="AO418" s="9">
        <f>IF(LEFT(B418,4)&lt;&gt;"    ","",Z418-AJ418)</f>
        <v/>
      </c>
      <c r="AP418" s="10" t="n"/>
      <c r="AQ418" s="25">
        <f>IF(LEFT(B418,4)&lt;&gt;"    ","",I418-W418)</f>
        <v/>
      </c>
      <c r="AR418" s="25">
        <f>M418-X418</f>
        <v/>
      </c>
      <c r="AS418" s="25">
        <f>IF(LEFT(B418,4)&lt;&gt;"    ","",P418-Z418)</f>
        <v/>
      </c>
      <c r="AT418" s="10" t="n"/>
      <c r="AU418" s="12" t="n"/>
      <c r="AV418" s="12">
        <f>IF(LEFT(B418,4)&lt;&gt;"    ","",IF(W418-AU418&gt;=0,W418-AU418," "))</f>
        <v/>
      </c>
      <c r="AW418" s="12">
        <f>IF(LEFT(B418,4)&lt;&gt;"    ","",IF(AU418-W418&gt;=0,AU418-W418," "))</f>
        <v/>
      </c>
      <c r="AX418" s="186" t="n"/>
      <c r="AY418" s="187" t="n"/>
      <c r="AZ418" s="186" t="n"/>
      <c r="BA418" s="186" t="n"/>
      <c r="BB418" s="188" t="n"/>
      <c r="BC418" s="187" t="n"/>
      <c r="BD418" s="187" t="n"/>
      <c r="BE418" s="186" t="n"/>
      <c r="BF418" s="186" t="n"/>
      <c r="BG418" s="186" t="n"/>
      <c r="BH418" s="186" t="n"/>
      <c r="BI418" s="186" t="n"/>
      <c r="BJ418" s="186" t="n"/>
      <c r="BK418" s="186" t="n"/>
      <c r="BL418" s="186" t="n"/>
      <c r="BM418" s="186" t="n"/>
      <c r="BN418" s="186" t="n"/>
      <c r="BO418" s="186" t="n"/>
      <c r="BP418" s="186" t="n"/>
      <c r="BQ418" s="186" t="n"/>
      <c r="BR418" s="186" t="n"/>
      <c r="BS418" s="186" t="n"/>
      <c r="BT418" s="186" t="n"/>
      <c r="BU418" s="186" t="n"/>
      <c r="BV418" s="186" t="n"/>
      <c r="BW418" s="186" t="n"/>
      <c r="BX418" s="186" t="n"/>
      <c r="BY418" s="186" t="n"/>
      <c r="BZ418" s="186" t="n"/>
      <c r="CA418" s="186" t="n"/>
      <c r="CB418" s="186" t="n"/>
      <c r="CC418" s="190" t="n"/>
      <c r="CD418" s="186" t="n"/>
      <c r="CE418" s="186" t="n"/>
      <c r="CF418" s="186" t="n"/>
      <c r="CG418" s="186" t="n"/>
      <c r="CH418" s="186" t="n"/>
      <c r="CI418" s="191" t="n"/>
      <c r="CJ418" s="192" t="n"/>
      <c r="CK418" s="192" t="n"/>
      <c r="CL418" s="192" t="n"/>
      <c r="CM418" s="192" t="n"/>
    </row>
    <row r="419">
      <c r="A419" s="177" t="n"/>
      <c r="B419" s="178" t="n"/>
      <c r="C419" s="178" t="n"/>
      <c r="D419" s="179" t="n"/>
      <c r="E419" s="180" t="n"/>
      <c r="F419" s="181" t="n"/>
      <c r="G419" s="182" t="n"/>
      <c r="H419" s="105" t="n"/>
      <c r="I419" s="196">
        <f>F419</f>
        <v/>
      </c>
      <c r="J419" s="184" t="n"/>
      <c r="K419" s="185" t="n"/>
      <c r="L419" s="8" t="n"/>
      <c r="M419" s="71">
        <f>L419</f>
        <v/>
      </c>
      <c r="N419" s="71" t="n"/>
      <c r="O419" s="101" t="n"/>
      <c r="P419" s="9">
        <f>I419-M419</f>
        <v/>
      </c>
      <c r="Q419" s="9">
        <f>IF(LEFT(B419,4)&lt;&gt;"    ",0,BN419)</f>
        <v/>
      </c>
      <c r="R419" s="9">
        <f>+P419-Q419</f>
        <v/>
      </c>
      <c r="S419" s="281" t="n"/>
      <c r="T419" s="10" t="n"/>
      <c r="U419" s="23">
        <f>IF(LEFT(B419,4)&lt;&gt;"    ","",IF(M419&lt;&gt;0,X419/M419,0))</f>
        <v/>
      </c>
      <c r="V419" s="11">
        <f>IF(LEFT(B419,4)&lt;&gt;"    ","",U419*I419)</f>
        <v/>
      </c>
      <c r="W419" s="11">
        <f>IF(LEFT(B419,4)&lt;&gt;"    ","",X419+Z419)</f>
        <v/>
      </c>
      <c r="X419" s="8" t="n"/>
      <c r="Y419" s="9">
        <f>IF(LEFT(B419,4)&lt;&gt;"    ",0,IF(P419&lt;0,P419,IF(U419&gt;0.3,W419-X419,0)))</f>
        <v/>
      </c>
      <c r="Z419" s="71">
        <f>Y419</f>
        <v/>
      </c>
      <c r="AA419" s="71" t="n"/>
      <c r="AB419" s="109" t="n"/>
      <c r="AC419" s="9">
        <f>IF(LEFT(B419,4)&lt;&gt;"    ",0,BK419)</f>
        <v/>
      </c>
      <c r="AD419" s="9">
        <f>Z419-AC419</f>
        <v/>
      </c>
      <c r="AE419" s="10" t="n"/>
      <c r="AF419" s="24" t="n"/>
      <c r="AG419" s="11" t="n"/>
      <c r="AH419" s="8" t="n"/>
      <c r="AI419" s="9">
        <f>IF(LEFT(B419,4)&lt;&gt;"    ","",AG419-AH419)</f>
        <v/>
      </c>
      <c r="AJ419" s="9" t="n"/>
      <c r="AK419" s="10" t="n"/>
      <c r="AL419" s="11">
        <f>IF(LEFT(B419,4)&lt;&gt;"    ","",W419-AG419)</f>
        <v/>
      </c>
      <c r="AM419" s="8">
        <f>IF(LEFT(B419,4)&lt;&gt;"    ","",X419-AH419)</f>
        <v/>
      </c>
      <c r="AN419" s="9">
        <f>IF(LEFT(B419,4)&lt;&gt;"    ","",Y419-AI419)</f>
        <v/>
      </c>
      <c r="AO419" s="9">
        <f>IF(LEFT(B419,4)&lt;&gt;"    ","",Z419-AJ419)</f>
        <v/>
      </c>
      <c r="AP419" s="10" t="n"/>
      <c r="AQ419" s="25">
        <f>IF(LEFT(B419,4)&lt;&gt;"    ","",I419-W419)</f>
        <v/>
      </c>
      <c r="AR419" s="25">
        <f>M419-X419</f>
        <v/>
      </c>
      <c r="AS419" s="25">
        <f>IF(LEFT(B419,4)&lt;&gt;"    ","",P419-Z419)</f>
        <v/>
      </c>
      <c r="AT419" s="10" t="n"/>
      <c r="AU419" s="12" t="n"/>
      <c r="AV419" s="12">
        <f>IF(LEFT(B419,4)&lt;&gt;"    ","",IF(W419-AU419&gt;=0,W419-AU419," "))</f>
        <v/>
      </c>
      <c r="AW419" s="12">
        <f>IF(LEFT(B419,4)&lt;&gt;"    ","",IF(AU419-W419&gt;=0,AU419-W419," "))</f>
        <v/>
      </c>
      <c r="AX419" s="186" t="n"/>
      <c r="AY419" s="187" t="n"/>
      <c r="AZ419" s="186" t="n"/>
      <c r="BA419" s="186" t="n"/>
      <c r="BB419" s="188" t="n"/>
      <c r="BC419" s="187" t="n"/>
      <c r="BD419" s="187" t="n"/>
      <c r="BE419" s="186" t="n"/>
      <c r="BF419" s="186" t="n"/>
      <c r="BG419" s="186" t="n"/>
      <c r="BH419" s="186" t="n"/>
      <c r="BI419" s="186" t="n"/>
      <c r="BJ419" s="186" t="n"/>
      <c r="BK419" s="186" t="n"/>
      <c r="BL419" s="186" t="n"/>
      <c r="BM419" s="186" t="n"/>
      <c r="BN419" s="186" t="n"/>
      <c r="BO419" s="186" t="n"/>
      <c r="BP419" s="186" t="n"/>
      <c r="BQ419" s="186" t="n"/>
      <c r="BR419" s="186" t="n"/>
      <c r="BS419" s="186" t="n"/>
      <c r="BT419" s="186" t="n"/>
      <c r="BU419" s="186" t="n"/>
      <c r="BV419" s="186" t="n"/>
      <c r="BW419" s="186" t="n"/>
      <c r="BX419" s="186" t="n"/>
      <c r="BY419" s="186" t="n"/>
      <c r="BZ419" s="186" t="n"/>
      <c r="CA419" s="186" t="n"/>
      <c r="CB419" s="186" t="n"/>
      <c r="CC419" s="190" t="n"/>
      <c r="CD419" s="186" t="n"/>
      <c r="CE419" s="186" t="n"/>
      <c r="CF419" s="186" t="n"/>
      <c r="CG419" s="186" t="n"/>
      <c r="CH419" s="186" t="n"/>
      <c r="CI419" s="191" t="n"/>
      <c r="CJ419" s="192" t="n"/>
      <c r="CK419" s="192" t="n"/>
      <c r="CL419" s="192" t="n"/>
      <c r="CM419" s="192" t="n"/>
    </row>
    <row r="420">
      <c r="A420" s="177" t="n"/>
      <c r="B420" s="178" t="n"/>
      <c r="C420" s="178" t="n"/>
      <c r="D420" s="179" t="n"/>
      <c r="E420" s="180" t="n"/>
      <c r="F420" s="181" t="n"/>
      <c r="G420" s="182" t="n"/>
      <c r="H420" s="105" t="n"/>
      <c r="I420" s="196">
        <f>F420</f>
        <v/>
      </c>
      <c r="J420" s="184" t="n"/>
      <c r="K420" s="185" t="n"/>
      <c r="L420" s="8" t="n"/>
      <c r="M420" s="71">
        <f>L420</f>
        <v/>
      </c>
      <c r="N420" s="71" t="n"/>
      <c r="O420" s="101" t="n"/>
      <c r="P420" s="9">
        <f>I420-M420</f>
        <v/>
      </c>
      <c r="Q420" s="9">
        <f>IF(LEFT(B420,4)&lt;&gt;"    ",0,BN420)</f>
        <v/>
      </c>
      <c r="R420" s="9">
        <f>+P420-Q420</f>
        <v/>
      </c>
      <c r="S420" s="281" t="n"/>
      <c r="T420" s="10" t="n"/>
      <c r="U420" s="23">
        <f>IF(LEFT(B420,4)&lt;&gt;"    ","",IF(M420&lt;&gt;0,X420/M420,0))</f>
        <v/>
      </c>
      <c r="V420" s="11">
        <f>IF(LEFT(B420,4)&lt;&gt;"    ","",U420*I420)</f>
        <v/>
      </c>
      <c r="W420" s="11">
        <f>IF(LEFT(B420,4)&lt;&gt;"    ","",X420+Z420)</f>
        <v/>
      </c>
      <c r="X420" s="8" t="n"/>
      <c r="Y420" s="9">
        <f>IF(LEFT(B420,4)&lt;&gt;"    ",0,IF(P420&lt;0,P420,IF(U420&gt;0.3,W420-X420,0)))</f>
        <v/>
      </c>
      <c r="Z420" s="71">
        <f>Y420</f>
        <v/>
      </c>
      <c r="AA420" s="71" t="n"/>
      <c r="AB420" s="109" t="n"/>
      <c r="AC420" s="9">
        <f>IF(LEFT(B420,4)&lt;&gt;"    ",0,BK420)</f>
        <v/>
      </c>
      <c r="AD420" s="9">
        <f>Z420-AC420</f>
        <v/>
      </c>
      <c r="AE420" s="10" t="n"/>
      <c r="AF420" s="24" t="n"/>
      <c r="AG420" s="11" t="n"/>
      <c r="AH420" s="8" t="n"/>
      <c r="AI420" s="9">
        <f>IF(LEFT(B420,4)&lt;&gt;"    ","",AG420-AH420)</f>
        <v/>
      </c>
      <c r="AJ420" s="9" t="n"/>
      <c r="AK420" s="10" t="n"/>
      <c r="AL420" s="11">
        <f>IF(LEFT(B420,4)&lt;&gt;"    ","",W420-AG420)</f>
        <v/>
      </c>
      <c r="AM420" s="8">
        <f>IF(LEFT(B420,4)&lt;&gt;"    ","",X420-AH420)</f>
        <v/>
      </c>
      <c r="AN420" s="9">
        <f>IF(LEFT(B420,4)&lt;&gt;"    ","",Y420-AI420)</f>
        <v/>
      </c>
      <c r="AO420" s="9">
        <f>IF(LEFT(B420,4)&lt;&gt;"    ","",Z420-AJ420)</f>
        <v/>
      </c>
      <c r="AP420" s="10" t="n"/>
      <c r="AQ420" s="25">
        <f>IF(LEFT(B420,4)&lt;&gt;"    ","",I420-W420)</f>
        <v/>
      </c>
      <c r="AR420" s="25">
        <f>M420-X420</f>
        <v/>
      </c>
      <c r="AS420" s="25">
        <f>IF(LEFT(B420,4)&lt;&gt;"    ","",P420-Z420)</f>
        <v/>
      </c>
      <c r="AT420" s="10" t="n"/>
      <c r="AU420" s="12" t="n"/>
      <c r="AV420" s="12">
        <f>IF(LEFT(B420,4)&lt;&gt;"    ","",IF(W420-AU420&gt;=0,W420-AU420," "))</f>
        <v/>
      </c>
      <c r="AW420" s="12">
        <f>IF(LEFT(B420,4)&lt;&gt;"    ","",IF(AU420-W420&gt;=0,AU420-W420," "))</f>
        <v/>
      </c>
      <c r="AX420" s="186" t="n"/>
      <c r="AY420" s="187" t="n"/>
      <c r="AZ420" s="186" t="n"/>
      <c r="BA420" s="186" t="n"/>
      <c r="BB420" s="188" t="n"/>
      <c r="BC420" s="187" t="n"/>
      <c r="BD420" s="187" t="n"/>
      <c r="BE420" s="186" t="n"/>
      <c r="BF420" s="186" t="n"/>
      <c r="BG420" s="186" t="n"/>
      <c r="BH420" s="186" t="n"/>
      <c r="BI420" s="186" t="n"/>
      <c r="BJ420" s="186" t="n"/>
      <c r="BK420" s="186" t="n"/>
      <c r="BL420" s="186" t="n"/>
      <c r="BM420" s="186" t="n"/>
      <c r="BN420" s="186" t="n"/>
      <c r="BO420" s="186" t="n"/>
      <c r="BP420" s="186" t="n"/>
      <c r="BQ420" s="186" t="n"/>
      <c r="BR420" s="186" t="n"/>
      <c r="BS420" s="186" t="n"/>
      <c r="BT420" s="186" t="n"/>
      <c r="BU420" s="186" t="n"/>
      <c r="BV420" s="186" t="n"/>
      <c r="BW420" s="186" t="n"/>
      <c r="BX420" s="186" t="n"/>
      <c r="BY420" s="186" t="n"/>
      <c r="BZ420" s="186" t="n"/>
      <c r="CA420" s="186" t="n"/>
      <c r="CB420" s="186" t="n"/>
      <c r="CC420" s="190" t="n"/>
      <c r="CD420" s="186" t="n"/>
      <c r="CE420" s="186" t="n"/>
      <c r="CF420" s="186" t="n"/>
      <c r="CG420" s="186" t="n"/>
      <c r="CH420" s="186" t="n"/>
      <c r="CI420" s="191" t="n"/>
      <c r="CJ420" s="192" t="n"/>
      <c r="CK420" s="192" t="n"/>
      <c r="CL420" s="192" t="n"/>
      <c r="CM420" s="192" t="n"/>
    </row>
    <row r="421">
      <c r="A421" s="177" t="n"/>
      <c r="B421" s="178" t="n"/>
      <c r="C421" s="178" t="n"/>
      <c r="D421" s="179" t="n"/>
      <c r="E421" s="180" t="n"/>
      <c r="F421" s="181" t="n"/>
      <c r="G421" s="182" t="n"/>
      <c r="H421" s="105" t="n"/>
      <c r="I421" s="196">
        <f>F421</f>
        <v/>
      </c>
      <c r="J421" s="184" t="n"/>
      <c r="K421" s="185" t="n"/>
      <c r="L421" s="8" t="n"/>
      <c r="M421" s="71">
        <f>L421</f>
        <v/>
      </c>
      <c r="N421" s="71" t="n"/>
      <c r="O421" s="101" t="n"/>
      <c r="P421" s="9">
        <f>I421-M421</f>
        <v/>
      </c>
      <c r="Q421" s="9">
        <f>IF(LEFT(B421,4)&lt;&gt;"    ",0,BN421)</f>
        <v/>
      </c>
      <c r="R421" s="9">
        <f>+P421-Q421</f>
        <v/>
      </c>
      <c r="S421" s="281" t="n"/>
      <c r="T421" s="10" t="n"/>
      <c r="U421" s="23">
        <f>IF(LEFT(B421,4)&lt;&gt;"    ","",IF(M421&lt;&gt;0,X421/M421,0))</f>
        <v/>
      </c>
      <c r="V421" s="11">
        <f>IF(LEFT(B421,4)&lt;&gt;"    ","",U421*I421)</f>
        <v/>
      </c>
      <c r="W421" s="11">
        <f>IF(LEFT(B421,4)&lt;&gt;"    ","",X421+Z421)</f>
        <v/>
      </c>
      <c r="X421" s="8" t="n"/>
      <c r="Y421" s="9">
        <f>IF(LEFT(B421,4)&lt;&gt;"    ",0,IF(P421&lt;0,P421,IF(U421&gt;0.3,W421-X421,0)))</f>
        <v/>
      </c>
      <c r="Z421" s="71">
        <f>Y421</f>
        <v/>
      </c>
      <c r="AA421" s="71" t="n"/>
      <c r="AB421" s="109" t="n"/>
      <c r="AC421" s="9">
        <f>IF(LEFT(B421,4)&lt;&gt;"    ",0,BK421)</f>
        <v/>
      </c>
      <c r="AD421" s="9">
        <f>Z421-AC421</f>
        <v/>
      </c>
      <c r="AE421" s="10" t="n"/>
      <c r="AF421" s="24" t="n"/>
      <c r="AG421" s="11" t="n"/>
      <c r="AH421" s="8" t="n"/>
      <c r="AI421" s="9">
        <f>IF(LEFT(B421,4)&lt;&gt;"    ","",AG421-AH421)</f>
        <v/>
      </c>
      <c r="AJ421" s="9" t="n"/>
      <c r="AK421" s="10" t="n"/>
      <c r="AL421" s="11">
        <f>IF(LEFT(B421,4)&lt;&gt;"    ","",W421-AG421)</f>
        <v/>
      </c>
      <c r="AM421" s="8">
        <f>IF(LEFT(B421,4)&lt;&gt;"    ","",X421-AH421)</f>
        <v/>
      </c>
      <c r="AN421" s="9">
        <f>IF(LEFT(B421,4)&lt;&gt;"    ","",Y421-AI421)</f>
        <v/>
      </c>
      <c r="AO421" s="9">
        <f>IF(LEFT(B421,4)&lt;&gt;"    ","",Z421-AJ421)</f>
        <v/>
      </c>
      <c r="AP421" s="10" t="n"/>
      <c r="AQ421" s="25">
        <f>IF(LEFT(B421,4)&lt;&gt;"    ","",I421-W421)</f>
        <v/>
      </c>
      <c r="AR421" s="25">
        <f>M421-X421</f>
        <v/>
      </c>
      <c r="AS421" s="25">
        <f>IF(LEFT(B421,4)&lt;&gt;"    ","",P421-Z421)</f>
        <v/>
      </c>
      <c r="AT421" s="10" t="n"/>
      <c r="AU421" s="12" t="n"/>
      <c r="AV421" s="12">
        <f>IF(LEFT(B421,4)&lt;&gt;"    ","",IF(W421-AU421&gt;=0,W421-AU421," "))</f>
        <v/>
      </c>
      <c r="AW421" s="12">
        <f>IF(LEFT(B421,4)&lt;&gt;"    ","",IF(AU421-W421&gt;=0,AU421-W421," "))</f>
        <v/>
      </c>
      <c r="AX421" s="186" t="n"/>
      <c r="AY421" s="187" t="n"/>
      <c r="AZ421" s="186" t="n"/>
      <c r="BA421" s="186" t="n"/>
      <c r="BB421" s="188" t="n"/>
      <c r="BC421" s="187" t="n"/>
      <c r="BD421" s="187" t="n"/>
      <c r="BE421" s="186" t="n"/>
      <c r="BF421" s="186" t="n"/>
      <c r="BG421" s="186" t="n"/>
      <c r="BH421" s="186" t="n"/>
      <c r="BI421" s="186" t="n"/>
      <c r="BJ421" s="186" t="n"/>
      <c r="BK421" s="186" t="n"/>
      <c r="BL421" s="186" t="n"/>
      <c r="BM421" s="186" t="n"/>
      <c r="BN421" s="186" t="n"/>
      <c r="BO421" s="186" t="n"/>
      <c r="BP421" s="186" t="n"/>
      <c r="BQ421" s="186" t="n"/>
      <c r="BR421" s="186" t="n"/>
      <c r="BS421" s="186" t="n"/>
      <c r="BT421" s="186" t="n"/>
      <c r="BU421" s="186" t="n"/>
      <c r="BV421" s="186" t="n"/>
      <c r="BW421" s="186" t="n"/>
      <c r="BX421" s="186" t="n"/>
      <c r="BY421" s="186" t="n"/>
      <c r="BZ421" s="186" t="n"/>
      <c r="CA421" s="186" t="n"/>
      <c r="CB421" s="186" t="n"/>
      <c r="CC421" s="190" t="n"/>
      <c r="CD421" s="186" t="n"/>
      <c r="CE421" s="186" t="n"/>
      <c r="CF421" s="186" t="n"/>
      <c r="CG421" s="186" t="n"/>
      <c r="CH421" s="186" t="n"/>
      <c r="CI421" s="191" t="n"/>
      <c r="CJ421" s="192" t="n"/>
      <c r="CK421" s="192" t="n"/>
      <c r="CL421" s="192" t="n"/>
      <c r="CM421" s="192" t="n"/>
    </row>
    <row r="422">
      <c r="A422" s="177" t="n"/>
      <c r="B422" s="178" t="n"/>
      <c r="C422" s="178" t="n"/>
      <c r="D422" s="179" t="n"/>
      <c r="E422" s="180" t="n"/>
      <c r="F422" s="181" t="n"/>
      <c r="G422" s="182" t="n"/>
      <c r="H422" s="105" t="n"/>
      <c r="I422" s="196">
        <f>F422</f>
        <v/>
      </c>
      <c r="J422" s="184" t="n"/>
      <c r="K422" s="185" t="n"/>
      <c r="L422" s="8" t="n"/>
      <c r="M422" s="184">
        <f>L422</f>
        <v/>
      </c>
      <c r="N422" s="184" t="n"/>
      <c r="O422" s="185" t="n"/>
      <c r="P422" s="9">
        <f>I422-M422</f>
        <v/>
      </c>
      <c r="Q422" s="9">
        <f>IF(LEFT(B422,4)&lt;&gt;"    ",0,BN422)</f>
        <v/>
      </c>
      <c r="R422" s="9">
        <f>+P422-Q422</f>
        <v/>
      </c>
      <c r="S422" s="281" t="n"/>
      <c r="T422" s="10" t="n"/>
      <c r="U422" s="23">
        <f>IF(LEFT(B422,4)&lt;&gt;"    ","",IF(M422&lt;&gt;0,X422/M422,0))</f>
        <v/>
      </c>
      <c r="V422" s="11">
        <f>IF(LEFT(B422,4)&lt;&gt;"    ","",U422*I422)</f>
        <v/>
      </c>
      <c r="W422" s="11">
        <f>IF(LEFT(B422,4)&lt;&gt;"    ","",X422+Z422)</f>
        <v/>
      </c>
      <c r="X422" s="8" t="n"/>
      <c r="Y422" s="9">
        <f>IF(LEFT(B422,4)&lt;&gt;"    ",0,IF(P422&lt;0,P422,IF(U422&gt;0.3,W422-X422,0)))</f>
        <v/>
      </c>
      <c r="Z422" s="71">
        <f>Y422</f>
        <v/>
      </c>
      <c r="AA422" s="71" t="n"/>
      <c r="AB422" s="109" t="n"/>
      <c r="AC422" s="9">
        <f>IF(LEFT(B422,4)&lt;&gt;"    ",0,BK422)</f>
        <v/>
      </c>
      <c r="AD422" s="9">
        <f>Z422-AC422</f>
        <v/>
      </c>
      <c r="AE422" s="10" t="n"/>
      <c r="AF422" s="24" t="n"/>
      <c r="AG422" s="11" t="n"/>
      <c r="AH422" s="8" t="n"/>
      <c r="AI422" s="9">
        <f>IF(LEFT(B422,4)&lt;&gt;"    ","",AG422-AH422)</f>
        <v/>
      </c>
      <c r="AJ422" s="9" t="n"/>
      <c r="AK422" s="10" t="n"/>
      <c r="AL422" s="11">
        <f>IF(LEFT(B422,4)&lt;&gt;"    ","",W422-AG422)</f>
        <v/>
      </c>
      <c r="AM422" s="8">
        <f>IF(LEFT(B422,4)&lt;&gt;"    ","",X422-AH422)</f>
        <v/>
      </c>
      <c r="AN422" s="9">
        <f>IF(LEFT(B422,4)&lt;&gt;"    ","",Y422-AI422)</f>
        <v/>
      </c>
      <c r="AO422" s="9">
        <f>IF(LEFT(B422,4)&lt;&gt;"    ","",Z422-AJ422)</f>
        <v/>
      </c>
      <c r="AP422" s="10" t="n"/>
      <c r="AQ422" s="25">
        <f>IF(LEFT(B422,4)&lt;&gt;"    ","",I422-W422)</f>
        <v/>
      </c>
      <c r="AR422" s="25">
        <f>M422-X422</f>
        <v/>
      </c>
      <c r="AS422" s="25">
        <f>IF(LEFT(B422,4)&lt;&gt;"    ","",P422-Z422)</f>
        <v/>
      </c>
      <c r="AT422" s="10" t="n"/>
      <c r="AU422" s="12" t="n"/>
      <c r="AV422" s="12">
        <f>IF(LEFT(B422,4)&lt;&gt;"    ","",IF(W422-AU422&gt;=0,W422-AU422," "))</f>
        <v/>
      </c>
      <c r="AW422" s="12">
        <f>IF(LEFT(B422,4)&lt;&gt;"    ","",IF(AU422-W422&gt;=0,AU422-W422," "))</f>
        <v/>
      </c>
      <c r="AX422" s="186" t="n"/>
      <c r="AY422" s="187" t="n"/>
      <c r="AZ422" s="186" t="n"/>
      <c r="BA422" s="186" t="n"/>
      <c r="BB422" s="188" t="n"/>
      <c r="BC422" s="187" t="n"/>
      <c r="BD422" s="187" t="n"/>
      <c r="BE422" s="186" t="n"/>
      <c r="BF422" s="186" t="n"/>
      <c r="BG422" s="186" t="n"/>
      <c r="BH422" s="186" t="n"/>
      <c r="BI422" s="186" t="n"/>
      <c r="BJ422" s="186" t="n"/>
      <c r="BK422" s="186" t="n"/>
      <c r="BL422" s="186" t="n"/>
      <c r="BM422" s="186" t="n"/>
      <c r="BN422" s="186" t="n"/>
      <c r="BO422" s="186" t="n"/>
      <c r="BP422" s="186" t="n"/>
      <c r="BQ422" s="186" t="n"/>
      <c r="BR422" s="186" t="n"/>
      <c r="BS422" s="186" t="n"/>
      <c r="BT422" s="186" t="n"/>
      <c r="BU422" s="186" t="n"/>
      <c r="BV422" s="186" t="n"/>
      <c r="BW422" s="186" t="n"/>
      <c r="BX422" s="186" t="n"/>
      <c r="BY422" s="186" t="n"/>
      <c r="BZ422" s="186" t="n"/>
      <c r="CA422" s="186" t="n"/>
      <c r="CB422" s="186" t="n"/>
      <c r="CC422" s="190" t="n"/>
      <c r="CD422" s="186" t="n"/>
      <c r="CE422" s="186" t="n"/>
      <c r="CF422" s="186" t="n"/>
      <c r="CG422" s="186" t="n"/>
      <c r="CH422" s="186" t="n"/>
      <c r="CI422" s="191" t="n"/>
      <c r="CJ422" s="192" t="n"/>
      <c r="CK422" s="192" t="n"/>
      <c r="CL422" s="192" t="n"/>
      <c r="CM422" s="192" t="n"/>
    </row>
    <row r="423">
      <c r="A423" s="177" t="n"/>
      <c r="B423" s="178" t="n"/>
      <c r="C423" s="178" t="n"/>
      <c r="D423" s="179" t="n"/>
      <c r="E423" s="180" t="n"/>
      <c r="F423" s="181" t="n"/>
      <c r="G423" s="182" t="n"/>
      <c r="H423" s="105" t="n"/>
      <c r="I423" s="196">
        <f>F423</f>
        <v/>
      </c>
      <c r="J423" s="184" t="n"/>
      <c r="K423" s="185" t="n"/>
      <c r="L423" s="8" t="n"/>
      <c r="M423" s="71">
        <f>L423</f>
        <v/>
      </c>
      <c r="N423" s="71" t="n"/>
      <c r="O423" s="101" t="n"/>
      <c r="P423" s="9">
        <f>I423-M423</f>
        <v/>
      </c>
      <c r="Q423" s="9">
        <f>IF(LEFT(B423,4)&lt;&gt;"    ",0,BN423)</f>
        <v/>
      </c>
      <c r="R423" s="9">
        <f>+P423-Q423</f>
        <v/>
      </c>
      <c r="S423" s="281" t="n"/>
      <c r="T423" s="10" t="n"/>
      <c r="U423" s="23">
        <f>IF(LEFT(B423,4)&lt;&gt;"    ","",IF(M423&lt;&gt;0,X423/M423,0))</f>
        <v/>
      </c>
      <c r="V423" s="11">
        <f>IF(LEFT(B423,4)&lt;&gt;"    ","",U423*I423)</f>
        <v/>
      </c>
      <c r="W423" s="11">
        <f>IF(LEFT(B423,4)&lt;&gt;"    ","",X423+Z423)</f>
        <v/>
      </c>
      <c r="X423" s="8" t="n"/>
      <c r="Y423" s="9">
        <f>IF(LEFT(B423,4)&lt;&gt;"    ",0,IF(P423&lt;0,P423,IF(U423&gt;0.3,W423-X423,0)))</f>
        <v/>
      </c>
      <c r="Z423" s="71">
        <f>Y423</f>
        <v/>
      </c>
      <c r="AA423" s="71" t="n"/>
      <c r="AB423" s="109" t="n"/>
      <c r="AC423" s="9">
        <f>IF(LEFT(B423,4)&lt;&gt;"    ",0,BK423)</f>
        <v/>
      </c>
      <c r="AD423" s="9">
        <f>Z423-AC423</f>
        <v/>
      </c>
      <c r="AE423" s="10" t="n"/>
      <c r="AF423" s="24" t="n"/>
      <c r="AG423" s="11" t="n"/>
      <c r="AH423" s="8" t="n"/>
      <c r="AI423" s="9">
        <f>IF(LEFT(B423,4)&lt;&gt;"    ","",AG423-AH423)</f>
        <v/>
      </c>
      <c r="AJ423" s="9" t="n"/>
      <c r="AK423" s="10" t="n"/>
      <c r="AL423" s="11">
        <f>IF(LEFT(B423,4)&lt;&gt;"    ","",W423-AG423)</f>
        <v/>
      </c>
      <c r="AM423" s="8">
        <f>IF(LEFT(B423,4)&lt;&gt;"    ","",X423-AH423)</f>
        <v/>
      </c>
      <c r="AN423" s="9">
        <f>IF(LEFT(B423,4)&lt;&gt;"    ","",Y423-AI423)</f>
        <v/>
      </c>
      <c r="AO423" s="9">
        <f>IF(LEFT(B423,4)&lt;&gt;"    ","",Z423-AJ423)</f>
        <v/>
      </c>
      <c r="AP423" s="10" t="n"/>
      <c r="AQ423" s="25">
        <f>IF(LEFT(B423,4)&lt;&gt;"    ","",I423-W423)</f>
        <v/>
      </c>
      <c r="AR423" s="25">
        <f>M423-X423</f>
        <v/>
      </c>
      <c r="AS423" s="25">
        <f>IF(LEFT(B423,4)&lt;&gt;"    ","",P423-Z423)</f>
        <v/>
      </c>
      <c r="AT423" s="10" t="n"/>
      <c r="AU423" s="12" t="n"/>
      <c r="AV423" s="12">
        <f>IF(LEFT(B423,4)&lt;&gt;"    ","",IF(W423-AU423&gt;=0,W423-AU423," "))</f>
        <v/>
      </c>
      <c r="AW423" s="12">
        <f>IF(LEFT(B423,4)&lt;&gt;"    ","",IF(AU423-W423&gt;=0,AU423-W423," "))</f>
        <v/>
      </c>
      <c r="AX423" s="186" t="n"/>
      <c r="AY423" s="187" t="n"/>
      <c r="AZ423" s="186" t="n"/>
      <c r="BA423" s="186" t="n"/>
      <c r="BB423" s="188" t="n"/>
      <c r="BC423" s="187" t="n"/>
      <c r="BD423" s="187" t="n"/>
      <c r="BE423" s="186" t="n"/>
      <c r="BF423" s="186" t="n"/>
      <c r="BG423" s="186" t="n"/>
      <c r="BH423" s="186" t="n"/>
      <c r="BI423" s="186" t="n"/>
      <c r="BJ423" s="186" t="n"/>
      <c r="BK423" s="186" t="n"/>
      <c r="BL423" s="186" t="n"/>
      <c r="BM423" s="186" t="n"/>
      <c r="BN423" s="186" t="n"/>
      <c r="BO423" s="186" t="n"/>
      <c r="BP423" s="186" t="n"/>
      <c r="BQ423" s="186" t="n"/>
      <c r="BR423" s="186" t="n"/>
      <c r="BS423" s="186" t="n"/>
      <c r="BT423" s="186" t="n"/>
      <c r="BU423" s="186" t="n"/>
      <c r="BV423" s="186" t="n"/>
      <c r="BW423" s="186" t="n"/>
      <c r="BX423" s="186" t="n"/>
      <c r="BY423" s="186" t="n"/>
      <c r="BZ423" s="186" t="n"/>
      <c r="CA423" s="186" t="n"/>
      <c r="CB423" s="186" t="n"/>
      <c r="CC423" s="190" t="n"/>
      <c r="CD423" s="186" t="n"/>
      <c r="CE423" s="186" t="n"/>
      <c r="CF423" s="186" t="n"/>
      <c r="CG423" s="186" t="n"/>
      <c r="CH423" s="186" t="n"/>
      <c r="CI423" s="191" t="n"/>
      <c r="CJ423" s="192" t="n"/>
      <c r="CK423" s="192" t="n"/>
      <c r="CL423" s="192" t="n"/>
      <c r="CM423" s="192" t="n"/>
    </row>
    <row r="424">
      <c r="A424" s="177" t="n"/>
      <c r="B424" s="178" t="n"/>
      <c r="C424" s="178" t="n"/>
      <c r="D424" s="179" t="n"/>
      <c r="E424" s="180" t="n"/>
      <c r="F424" s="181" t="n"/>
      <c r="G424" s="182" t="n"/>
      <c r="H424" s="105" t="n"/>
      <c r="I424" s="196">
        <f>F424</f>
        <v/>
      </c>
      <c r="J424" s="184" t="n"/>
      <c r="K424" s="185" t="n"/>
      <c r="L424" s="8" t="n"/>
      <c r="M424" s="71">
        <f>L424</f>
        <v/>
      </c>
      <c r="N424" s="71" t="n"/>
      <c r="O424" s="101" t="n"/>
      <c r="P424" s="9">
        <f>I424-M424</f>
        <v/>
      </c>
      <c r="Q424" s="9">
        <f>IF(LEFT(B424,4)&lt;&gt;"    ",0,BN424)</f>
        <v/>
      </c>
      <c r="R424" s="9">
        <f>+P424-Q424</f>
        <v/>
      </c>
      <c r="S424" s="281" t="n"/>
      <c r="T424" s="10" t="n"/>
      <c r="U424" s="23">
        <f>IF(LEFT(B424,4)&lt;&gt;"    ","",IF(M424&lt;&gt;0,X424/M424,0))</f>
        <v/>
      </c>
      <c r="V424" s="11">
        <f>IF(LEFT(B424,4)&lt;&gt;"    ","",U424*I424)</f>
        <v/>
      </c>
      <c r="W424" s="11">
        <f>IF(LEFT(B424,4)&lt;&gt;"    ","",X424+Z424)</f>
        <v/>
      </c>
      <c r="X424" s="8" t="n"/>
      <c r="Y424" s="9">
        <f>IF(LEFT(B424,4)&lt;&gt;"    ",0,IF(P424&lt;0,P424,IF(U424&gt;0.3,W424-X424,0)))</f>
        <v/>
      </c>
      <c r="Z424" s="71">
        <f>Y424</f>
        <v/>
      </c>
      <c r="AA424" s="71" t="n"/>
      <c r="AB424" s="109" t="n"/>
      <c r="AC424" s="9">
        <f>IF(LEFT(B424,4)&lt;&gt;"    ",0,BK424)</f>
        <v/>
      </c>
      <c r="AD424" s="9">
        <f>Z424-AC424</f>
        <v/>
      </c>
      <c r="AE424" s="10" t="n"/>
      <c r="AF424" s="24" t="n"/>
      <c r="AG424" s="11" t="n"/>
      <c r="AH424" s="8" t="n"/>
      <c r="AI424" s="9">
        <f>IF(LEFT(B424,4)&lt;&gt;"    ","",AG424-AH424)</f>
        <v/>
      </c>
      <c r="AJ424" s="9" t="n"/>
      <c r="AK424" s="10" t="n"/>
      <c r="AL424" s="11">
        <f>IF(LEFT(B424,4)&lt;&gt;"    ","",W424-AG424)</f>
        <v/>
      </c>
      <c r="AM424" s="8">
        <f>IF(LEFT(B424,4)&lt;&gt;"    ","",X424-AH424)</f>
        <v/>
      </c>
      <c r="AN424" s="9">
        <f>IF(LEFT(B424,4)&lt;&gt;"    ","",Y424-AI424)</f>
        <v/>
      </c>
      <c r="AO424" s="9">
        <f>IF(LEFT(B424,4)&lt;&gt;"    ","",Z424-AJ424)</f>
        <v/>
      </c>
      <c r="AP424" s="10" t="n"/>
      <c r="AQ424" s="25">
        <f>IF(LEFT(B424,4)&lt;&gt;"    ","",I424-W424)</f>
        <v/>
      </c>
      <c r="AR424" s="25">
        <f>M424-X424</f>
        <v/>
      </c>
      <c r="AS424" s="25">
        <f>IF(LEFT(B424,4)&lt;&gt;"    ","",P424-Z424)</f>
        <v/>
      </c>
      <c r="AT424" s="10" t="n"/>
      <c r="AU424" s="12" t="n"/>
      <c r="AV424" s="12">
        <f>IF(LEFT(B424,4)&lt;&gt;"    ","",IF(W424-AU424&gt;=0,W424-AU424," "))</f>
        <v/>
      </c>
      <c r="AW424" s="12">
        <f>IF(LEFT(B424,4)&lt;&gt;"    ","",IF(AU424-W424&gt;=0,AU424-W424," "))</f>
        <v/>
      </c>
      <c r="AX424" s="186" t="n"/>
      <c r="AY424" s="187" t="n"/>
      <c r="AZ424" s="186" t="n"/>
      <c r="BA424" s="186" t="n"/>
      <c r="BB424" s="188" t="n"/>
      <c r="BC424" s="187" t="n"/>
      <c r="BD424" s="187" t="n"/>
      <c r="BE424" s="186" t="n"/>
      <c r="BF424" s="186" t="n"/>
      <c r="BG424" s="186" t="n"/>
      <c r="BH424" s="186" t="n"/>
      <c r="BI424" s="186" t="n"/>
      <c r="BJ424" s="186" t="n"/>
      <c r="BK424" s="186" t="n"/>
      <c r="BL424" s="186" t="n"/>
      <c r="BM424" s="186" t="n"/>
      <c r="BN424" s="186" t="n"/>
      <c r="BO424" s="186" t="n"/>
      <c r="BP424" s="186" t="n"/>
      <c r="BQ424" s="186" t="n"/>
      <c r="BR424" s="186" t="n"/>
      <c r="BS424" s="186" t="n"/>
      <c r="BT424" s="186" t="n"/>
      <c r="BU424" s="186" t="n"/>
      <c r="BV424" s="186" t="n"/>
      <c r="BW424" s="186" t="n"/>
      <c r="BX424" s="186" t="n"/>
      <c r="BY424" s="186" t="n"/>
      <c r="BZ424" s="186" t="n"/>
      <c r="CA424" s="186" t="n"/>
      <c r="CB424" s="186" t="n"/>
      <c r="CC424" s="190" t="n"/>
      <c r="CD424" s="186" t="n"/>
      <c r="CE424" s="186" t="n"/>
      <c r="CF424" s="186" t="n"/>
      <c r="CG424" s="186" t="n"/>
      <c r="CH424" s="186" t="n"/>
      <c r="CI424" s="191" t="n"/>
      <c r="CJ424" s="192" t="n"/>
      <c r="CK424" s="192" t="n"/>
      <c r="CL424" s="192" t="n"/>
      <c r="CM424" s="192" t="n"/>
    </row>
    <row r="425">
      <c r="A425" s="177" t="n"/>
      <c r="B425" s="178" t="n"/>
      <c r="C425" s="178" t="n"/>
      <c r="D425" s="179" t="n"/>
      <c r="E425" s="180" t="n"/>
      <c r="F425" s="181" t="n"/>
      <c r="G425" s="182" t="n"/>
      <c r="H425" s="105" t="n"/>
      <c r="I425" s="196">
        <f>F425</f>
        <v/>
      </c>
      <c r="J425" s="184" t="n"/>
      <c r="K425" s="185" t="n"/>
      <c r="L425" s="8" t="n"/>
      <c r="M425" s="71">
        <f>L425</f>
        <v/>
      </c>
      <c r="N425" s="71" t="n"/>
      <c r="O425" s="101" t="n"/>
      <c r="P425" s="9">
        <f>I425-M425</f>
        <v/>
      </c>
      <c r="Q425" s="9">
        <f>IF(LEFT(B425,4)&lt;&gt;"    ",0,BN425)</f>
        <v/>
      </c>
      <c r="R425" s="9">
        <f>+P425-Q425</f>
        <v/>
      </c>
      <c r="S425" s="281" t="n"/>
      <c r="T425" s="10" t="n"/>
      <c r="U425" s="23">
        <f>IF(LEFT(B425,4)&lt;&gt;"    ","",IF(M425&lt;&gt;0,X425/M425,0))</f>
        <v/>
      </c>
      <c r="V425" s="11">
        <f>IF(LEFT(B425,4)&lt;&gt;"    ","",U425*I425)</f>
        <v/>
      </c>
      <c r="W425" s="11">
        <f>IF(LEFT(B425,4)&lt;&gt;"    ","",X425+Z425)</f>
        <v/>
      </c>
      <c r="X425" s="8" t="n"/>
      <c r="Y425" s="9">
        <f>IF(LEFT(B425,4)&lt;&gt;"    ",0,IF(P425&lt;0,P425,IF(U425&gt;0.3,W425-X425,0)))</f>
        <v/>
      </c>
      <c r="Z425" s="71">
        <f>Y425</f>
        <v/>
      </c>
      <c r="AA425" s="71" t="n"/>
      <c r="AB425" s="109" t="n"/>
      <c r="AC425" s="9">
        <f>IF(LEFT(B425,4)&lt;&gt;"    ",0,BK425)</f>
        <v/>
      </c>
      <c r="AD425" s="9">
        <f>Z425-AC425</f>
        <v/>
      </c>
      <c r="AE425" s="10" t="n"/>
      <c r="AF425" s="24" t="n"/>
      <c r="AG425" s="11" t="n"/>
      <c r="AH425" s="8" t="n"/>
      <c r="AI425" s="9">
        <f>IF(LEFT(B425,4)&lt;&gt;"    ","",AG425-AH425)</f>
        <v/>
      </c>
      <c r="AJ425" s="9" t="n"/>
      <c r="AK425" s="10" t="n"/>
      <c r="AL425" s="11">
        <f>IF(LEFT(B425,4)&lt;&gt;"    ","",W425-AG425)</f>
        <v/>
      </c>
      <c r="AM425" s="8">
        <f>IF(LEFT(B425,4)&lt;&gt;"    ","",X425-AH425)</f>
        <v/>
      </c>
      <c r="AN425" s="9">
        <f>IF(LEFT(B425,4)&lt;&gt;"    ","",Y425-AI425)</f>
        <v/>
      </c>
      <c r="AO425" s="9">
        <f>IF(LEFT(B425,4)&lt;&gt;"    ","",Z425-AJ425)</f>
        <v/>
      </c>
      <c r="AP425" s="10" t="n"/>
      <c r="AQ425" s="25">
        <f>IF(LEFT(B425,4)&lt;&gt;"    ","",I425-W425)</f>
        <v/>
      </c>
      <c r="AR425" s="25">
        <f>M425-X425</f>
        <v/>
      </c>
      <c r="AS425" s="25">
        <f>IF(LEFT(B425,4)&lt;&gt;"    ","",P425-Z425)</f>
        <v/>
      </c>
      <c r="AT425" s="10" t="n"/>
      <c r="AU425" s="12" t="n"/>
      <c r="AV425" s="12">
        <f>IF(LEFT(B425,4)&lt;&gt;"    ","",IF(W425-AU425&gt;=0,W425-AU425," "))</f>
        <v/>
      </c>
      <c r="AW425" s="12">
        <f>IF(LEFT(B425,4)&lt;&gt;"    ","",IF(AU425-W425&gt;=0,AU425-W425," "))</f>
        <v/>
      </c>
      <c r="AX425" s="186" t="n"/>
      <c r="AY425" s="187" t="n"/>
      <c r="AZ425" s="186" t="n"/>
      <c r="BA425" s="186" t="n"/>
      <c r="BB425" s="188" t="n"/>
      <c r="BC425" s="187" t="n"/>
      <c r="BD425" s="187" t="n"/>
      <c r="BE425" s="186" t="n"/>
      <c r="BF425" s="186" t="n"/>
      <c r="BG425" s="186" t="n"/>
      <c r="BH425" s="186" t="n"/>
      <c r="BI425" s="186" t="n"/>
      <c r="BJ425" s="186" t="n"/>
      <c r="BK425" s="186" t="n"/>
      <c r="BL425" s="186" t="n"/>
      <c r="BM425" s="186" t="n"/>
      <c r="BN425" s="186" t="n"/>
      <c r="BO425" s="186" t="n"/>
      <c r="BP425" s="186" t="n"/>
      <c r="BQ425" s="186" t="n"/>
      <c r="BR425" s="186" t="n"/>
      <c r="BS425" s="186" t="n"/>
      <c r="BT425" s="186" t="n"/>
      <c r="BU425" s="186" t="n"/>
      <c r="BV425" s="186" t="n"/>
      <c r="BW425" s="186" t="n"/>
      <c r="BX425" s="186" t="n"/>
      <c r="BY425" s="186" t="n"/>
      <c r="BZ425" s="186" t="n"/>
      <c r="CA425" s="186" t="n"/>
      <c r="CB425" s="186" t="n"/>
      <c r="CC425" s="190" t="n"/>
      <c r="CD425" s="186" t="n"/>
      <c r="CE425" s="186" t="n"/>
      <c r="CF425" s="186" t="n"/>
      <c r="CG425" s="186" t="n"/>
      <c r="CH425" s="186" t="n"/>
      <c r="CI425" s="191" t="n"/>
      <c r="CJ425" s="192" t="n"/>
      <c r="CK425" s="192" t="n"/>
      <c r="CL425" s="192" t="n"/>
      <c r="CM425" s="192" t="n"/>
    </row>
    <row r="426">
      <c r="A426" s="177" t="n"/>
      <c r="B426" s="178" t="n"/>
      <c r="C426" s="178" t="n"/>
      <c r="D426" s="179" t="n"/>
      <c r="E426" s="180" t="n"/>
      <c r="F426" s="181" t="n"/>
      <c r="G426" s="182" t="n"/>
      <c r="H426" s="105" t="n"/>
      <c r="I426" s="196">
        <f>F426</f>
        <v/>
      </c>
      <c r="J426" s="184" t="n"/>
      <c r="K426" s="185" t="n"/>
      <c r="L426" s="8" t="n"/>
      <c r="M426" s="71">
        <f>L426</f>
        <v/>
      </c>
      <c r="N426" s="71" t="n"/>
      <c r="O426" s="101" t="n"/>
      <c r="P426" s="9">
        <f>I426-M426</f>
        <v/>
      </c>
      <c r="Q426" s="9">
        <f>IF(LEFT(B426,4)&lt;&gt;"    ",0,BN426)</f>
        <v/>
      </c>
      <c r="R426" s="9">
        <f>+P426-Q426</f>
        <v/>
      </c>
      <c r="S426" s="281" t="n"/>
      <c r="T426" s="10" t="n"/>
      <c r="U426" s="23">
        <f>IF(LEFT(B426,4)&lt;&gt;"    ","",IF(M426&lt;&gt;0,X426/M426,0))</f>
        <v/>
      </c>
      <c r="V426" s="11">
        <f>IF(LEFT(B426,4)&lt;&gt;"    ","",U426*I426)</f>
        <v/>
      </c>
      <c r="W426" s="11">
        <f>IF(LEFT(B426,4)&lt;&gt;"    ","",X426+Z426)</f>
        <v/>
      </c>
      <c r="X426" s="8" t="n"/>
      <c r="Y426" s="9">
        <f>IF(LEFT(B426,4)&lt;&gt;"    ",0,IF(P426&lt;0,P426,IF(U426&gt;0.3,W426-X426,0)))</f>
        <v/>
      </c>
      <c r="Z426" s="71">
        <f>Y426</f>
        <v/>
      </c>
      <c r="AA426" s="71" t="n"/>
      <c r="AB426" s="109" t="n"/>
      <c r="AC426" s="9">
        <f>IF(LEFT(B426,4)&lt;&gt;"    ",0,BK426)</f>
        <v/>
      </c>
      <c r="AD426" s="9">
        <f>Z426-AC426</f>
        <v/>
      </c>
      <c r="AE426" s="10" t="n"/>
      <c r="AF426" s="24" t="n"/>
      <c r="AG426" s="11" t="n"/>
      <c r="AH426" s="8" t="n"/>
      <c r="AI426" s="9">
        <f>IF(LEFT(B426,4)&lt;&gt;"    ","",AG426-AH426)</f>
        <v/>
      </c>
      <c r="AJ426" s="9" t="n"/>
      <c r="AK426" s="10" t="n"/>
      <c r="AL426" s="11">
        <f>IF(LEFT(B426,4)&lt;&gt;"    ","",W426-AG426)</f>
        <v/>
      </c>
      <c r="AM426" s="8">
        <f>IF(LEFT(B426,4)&lt;&gt;"    ","",X426-AH426)</f>
        <v/>
      </c>
      <c r="AN426" s="9">
        <f>IF(LEFT(B426,4)&lt;&gt;"    ","",Y426-AI426)</f>
        <v/>
      </c>
      <c r="AO426" s="9">
        <f>IF(LEFT(B426,4)&lt;&gt;"    ","",Z426-AJ426)</f>
        <v/>
      </c>
      <c r="AP426" s="10" t="n"/>
      <c r="AQ426" s="25">
        <f>IF(LEFT(B426,4)&lt;&gt;"    ","",I426-W426)</f>
        <v/>
      </c>
      <c r="AR426" s="25">
        <f>M426-X426</f>
        <v/>
      </c>
      <c r="AS426" s="25">
        <f>IF(LEFT(B426,4)&lt;&gt;"    ","",P426-Z426)</f>
        <v/>
      </c>
      <c r="AT426" s="10" t="n"/>
      <c r="AU426" s="12" t="n"/>
      <c r="AV426" s="12">
        <f>IF(LEFT(B426,4)&lt;&gt;"    ","",IF(W426-AU426&gt;=0,W426-AU426," "))</f>
        <v/>
      </c>
      <c r="AW426" s="12">
        <f>IF(LEFT(B426,4)&lt;&gt;"    ","",IF(AU426-W426&gt;=0,AU426-W426," "))</f>
        <v/>
      </c>
      <c r="AX426" s="186" t="n"/>
      <c r="AY426" s="187" t="n"/>
      <c r="AZ426" s="186" t="n"/>
      <c r="BA426" s="186" t="n"/>
      <c r="BB426" s="188" t="n"/>
      <c r="BC426" s="187" t="n"/>
      <c r="BD426" s="187" t="n"/>
      <c r="BE426" s="186" t="n"/>
      <c r="BF426" s="186" t="n"/>
      <c r="BG426" s="186" t="n"/>
      <c r="BH426" s="186" t="n"/>
      <c r="BI426" s="186" t="n"/>
      <c r="BJ426" s="186" t="n"/>
      <c r="BK426" s="186" t="n"/>
      <c r="BL426" s="186" t="n"/>
      <c r="BM426" s="186" t="n"/>
      <c r="BN426" s="186" t="n"/>
      <c r="BO426" s="186" t="n"/>
      <c r="BP426" s="186" t="n"/>
      <c r="BQ426" s="186" t="n"/>
      <c r="BR426" s="186" t="n"/>
      <c r="BS426" s="186" t="n"/>
      <c r="BT426" s="186" t="n"/>
      <c r="BU426" s="186" t="n"/>
      <c r="BV426" s="186" t="n"/>
      <c r="BW426" s="186" t="n"/>
      <c r="BX426" s="186" t="n"/>
      <c r="BY426" s="186" t="n"/>
      <c r="BZ426" s="186" t="n"/>
      <c r="CA426" s="186" t="n"/>
      <c r="CB426" s="186" t="n"/>
      <c r="CC426" s="190" t="n"/>
      <c r="CD426" s="186" t="n"/>
      <c r="CE426" s="186" t="n"/>
      <c r="CF426" s="186" t="n"/>
      <c r="CG426" s="186" t="n"/>
      <c r="CH426" s="186" t="n"/>
      <c r="CI426" s="191" t="n"/>
      <c r="CJ426" s="192" t="n"/>
      <c r="CK426" s="192" t="n"/>
      <c r="CL426" s="192" t="n"/>
      <c r="CM426" s="192" t="n"/>
    </row>
    <row r="427">
      <c r="A427" s="177" t="n"/>
      <c r="B427" s="178" t="n"/>
      <c r="C427" s="178" t="n"/>
      <c r="D427" s="179" t="n"/>
      <c r="E427" s="180" t="n"/>
      <c r="F427" s="181" t="n"/>
      <c r="G427" s="182" t="n"/>
      <c r="H427" s="105" t="n"/>
      <c r="I427" s="196">
        <f>F427</f>
        <v/>
      </c>
      <c r="J427" s="184" t="n"/>
      <c r="K427" s="185" t="n"/>
      <c r="L427" s="8" t="n"/>
      <c r="M427" s="71">
        <f>L427</f>
        <v/>
      </c>
      <c r="N427" s="71" t="n"/>
      <c r="O427" s="101" t="n"/>
      <c r="P427" s="9">
        <f>I427-M427</f>
        <v/>
      </c>
      <c r="Q427" s="9">
        <f>IF(LEFT(B427,4)&lt;&gt;"    ",0,BN427)</f>
        <v/>
      </c>
      <c r="R427" s="9">
        <f>+P427-Q427</f>
        <v/>
      </c>
      <c r="S427" s="281" t="n"/>
      <c r="T427" s="10" t="n"/>
      <c r="U427" s="23">
        <f>IF(LEFT(B427,4)&lt;&gt;"    ","",IF(M427&lt;&gt;0,X427/M427,0))</f>
        <v/>
      </c>
      <c r="V427" s="11">
        <f>IF(LEFT(B427,4)&lt;&gt;"    ","",U427*I427)</f>
        <v/>
      </c>
      <c r="W427" s="11">
        <f>IF(LEFT(B427,4)&lt;&gt;"    ","",X427+Z427)</f>
        <v/>
      </c>
      <c r="X427" s="8" t="n"/>
      <c r="Y427" s="9">
        <f>IF(LEFT(B427,4)&lt;&gt;"    ",0,IF(P427&lt;0,P427,IF(U427&gt;0.3,W427-X427,0)))</f>
        <v/>
      </c>
      <c r="Z427" s="71">
        <f>Y427</f>
        <v/>
      </c>
      <c r="AA427" s="71" t="n"/>
      <c r="AB427" s="109" t="n"/>
      <c r="AC427" s="9">
        <f>IF(LEFT(B427,4)&lt;&gt;"    ",0,BK427)</f>
        <v/>
      </c>
      <c r="AD427" s="9">
        <f>Z427-AC427</f>
        <v/>
      </c>
      <c r="AE427" s="10" t="n"/>
      <c r="AF427" s="24" t="n"/>
      <c r="AG427" s="11" t="n"/>
      <c r="AH427" s="8" t="n"/>
      <c r="AI427" s="9">
        <f>IF(LEFT(B427,4)&lt;&gt;"    ","",AG427-AH427)</f>
        <v/>
      </c>
      <c r="AJ427" s="9" t="n"/>
      <c r="AK427" s="10" t="n"/>
      <c r="AL427" s="11">
        <f>IF(LEFT(B427,4)&lt;&gt;"    ","",W427-AG427)</f>
        <v/>
      </c>
      <c r="AM427" s="8">
        <f>IF(LEFT(B427,4)&lt;&gt;"    ","",X427-AH427)</f>
        <v/>
      </c>
      <c r="AN427" s="9">
        <f>IF(LEFT(B427,4)&lt;&gt;"    ","",Y427-AI427)</f>
        <v/>
      </c>
      <c r="AO427" s="9">
        <f>IF(LEFT(B427,4)&lt;&gt;"    ","",Z427-AJ427)</f>
        <v/>
      </c>
      <c r="AP427" s="10" t="n"/>
      <c r="AQ427" s="25">
        <f>IF(LEFT(B427,4)&lt;&gt;"    ","",I427-W427)</f>
        <v/>
      </c>
      <c r="AR427" s="25">
        <f>M427-X427</f>
        <v/>
      </c>
      <c r="AS427" s="25">
        <f>IF(LEFT(B427,4)&lt;&gt;"    ","",P427-Z427)</f>
        <v/>
      </c>
      <c r="AT427" s="10" t="n"/>
      <c r="AU427" s="12" t="n"/>
      <c r="AV427" s="12">
        <f>IF(LEFT(B427,4)&lt;&gt;"    ","",IF(W427-AU427&gt;=0,W427-AU427," "))</f>
        <v/>
      </c>
      <c r="AW427" s="12">
        <f>IF(LEFT(B427,4)&lt;&gt;"    ","",IF(AU427-W427&gt;=0,AU427-W427," "))</f>
        <v/>
      </c>
      <c r="AX427" s="186" t="n"/>
      <c r="AY427" s="187" t="n"/>
      <c r="AZ427" s="186" t="n"/>
      <c r="BA427" s="186" t="n"/>
      <c r="BB427" s="188" t="n"/>
      <c r="BC427" s="187" t="n"/>
      <c r="BD427" s="187" t="n"/>
      <c r="BE427" s="186" t="n"/>
      <c r="BF427" s="186" t="n"/>
      <c r="BG427" s="186" t="n"/>
      <c r="BH427" s="186" t="n"/>
      <c r="BI427" s="186" t="n"/>
      <c r="BJ427" s="186" t="n"/>
      <c r="BK427" s="186" t="n"/>
      <c r="BL427" s="186" t="n"/>
      <c r="BM427" s="186" t="n"/>
      <c r="BN427" s="186" t="n"/>
      <c r="BO427" s="186" t="n"/>
      <c r="BP427" s="186" t="n"/>
      <c r="BQ427" s="186" t="n"/>
      <c r="BR427" s="186" t="n"/>
      <c r="BS427" s="186" t="n"/>
      <c r="BT427" s="186" t="n"/>
      <c r="BU427" s="186" t="n"/>
      <c r="BV427" s="186" t="n"/>
      <c r="BW427" s="186" t="n"/>
      <c r="BX427" s="186" t="n"/>
      <c r="BY427" s="186" t="n"/>
      <c r="BZ427" s="186" t="n"/>
      <c r="CA427" s="186" t="n"/>
      <c r="CB427" s="186" t="n"/>
      <c r="CC427" s="190" t="n"/>
      <c r="CD427" s="186" t="n"/>
      <c r="CE427" s="186" t="n"/>
      <c r="CF427" s="186" t="n"/>
      <c r="CG427" s="186" t="n"/>
      <c r="CH427" s="186" t="n"/>
      <c r="CI427" s="191" t="n"/>
      <c r="CJ427" s="192" t="n"/>
      <c r="CK427" s="192" t="n"/>
      <c r="CL427" s="192" t="n"/>
      <c r="CM427" s="192" t="n"/>
    </row>
    <row r="428">
      <c r="A428" s="177" t="n"/>
      <c r="B428" s="178" t="n"/>
      <c r="C428" s="178" t="n"/>
      <c r="D428" s="179" t="n"/>
      <c r="E428" s="180" t="n"/>
      <c r="F428" s="181" t="n"/>
      <c r="G428" s="182" t="n"/>
      <c r="H428" s="105" t="n"/>
      <c r="I428" s="196">
        <f>F428</f>
        <v/>
      </c>
      <c r="J428" s="184" t="n"/>
      <c r="K428" s="185" t="n"/>
      <c r="L428" s="8" t="n"/>
      <c r="M428" s="71">
        <f>L428</f>
        <v/>
      </c>
      <c r="N428" s="71" t="n"/>
      <c r="O428" s="101" t="n"/>
      <c r="P428" s="9">
        <f>I428-M428</f>
        <v/>
      </c>
      <c r="Q428" s="9">
        <f>IF(LEFT(B428,4)&lt;&gt;"    ",0,BN428)</f>
        <v/>
      </c>
      <c r="R428" s="9">
        <f>+P428-Q428</f>
        <v/>
      </c>
      <c r="S428" s="281" t="n"/>
      <c r="T428" s="10" t="n"/>
      <c r="U428" s="23">
        <f>IF(LEFT(B428,4)&lt;&gt;"    ","",IF(M428&lt;&gt;0,X428/M428,0))</f>
        <v/>
      </c>
      <c r="V428" s="11">
        <f>IF(LEFT(B428,4)&lt;&gt;"    ","",U428*I428)</f>
        <v/>
      </c>
      <c r="W428" s="11">
        <f>IF(LEFT(B428,4)&lt;&gt;"    ","",X428+Z428)</f>
        <v/>
      </c>
      <c r="X428" s="8" t="n"/>
      <c r="Y428" s="9">
        <f>IF(LEFT(B428,4)&lt;&gt;"    ",0,IF(P428&lt;0,P428,IF(U428&gt;0.3,W428-X428,0)))</f>
        <v/>
      </c>
      <c r="Z428" s="71">
        <f>Y428</f>
        <v/>
      </c>
      <c r="AA428" s="71" t="n"/>
      <c r="AB428" s="109" t="n"/>
      <c r="AC428" s="9">
        <f>IF(LEFT(B428,4)&lt;&gt;"    ",0,BK428)</f>
        <v/>
      </c>
      <c r="AD428" s="9">
        <f>Z428-AC428</f>
        <v/>
      </c>
      <c r="AE428" s="10" t="n"/>
      <c r="AF428" s="24" t="n"/>
      <c r="AG428" s="11" t="n"/>
      <c r="AH428" s="8" t="n"/>
      <c r="AI428" s="9">
        <f>IF(LEFT(B428,4)&lt;&gt;"    ","",AG428-AH428)</f>
        <v/>
      </c>
      <c r="AJ428" s="9" t="n"/>
      <c r="AK428" s="10" t="n"/>
      <c r="AL428" s="11">
        <f>IF(LEFT(B428,4)&lt;&gt;"    ","",W428-AG428)</f>
        <v/>
      </c>
      <c r="AM428" s="8">
        <f>IF(LEFT(B428,4)&lt;&gt;"    ","",X428-AH428)</f>
        <v/>
      </c>
      <c r="AN428" s="9">
        <f>IF(LEFT(B428,4)&lt;&gt;"    ","",Y428-AI428)</f>
        <v/>
      </c>
      <c r="AO428" s="9">
        <f>IF(LEFT(B428,4)&lt;&gt;"    ","",Z428-AJ428)</f>
        <v/>
      </c>
      <c r="AP428" s="10" t="n"/>
      <c r="AQ428" s="25">
        <f>IF(LEFT(B428,4)&lt;&gt;"    ","",I428-W428)</f>
        <v/>
      </c>
      <c r="AR428" s="25">
        <f>M428-X428</f>
        <v/>
      </c>
      <c r="AS428" s="25">
        <f>IF(LEFT(B428,4)&lt;&gt;"    ","",P428-Z428)</f>
        <v/>
      </c>
      <c r="AT428" s="10" t="n"/>
      <c r="AU428" s="12" t="n"/>
      <c r="AV428" s="12">
        <f>IF(LEFT(B428,4)&lt;&gt;"    ","",IF(W428-AU428&gt;=0,W428-AU428," "))</f>
        <v/>
      </c>
      <c r="AW428" s="12">
        <f>IF(LEFT(B428,4)&lt;&gt;"    ","",IF(AU428-W428&gt;=0,AU428-W428," "))</f>
        <v/>
      </c>
      <c r="AX428" s="186" t="n"/>
      <c r="AY428" s="187" t="n"/>
      <c r="AZ428" s="186" t="n"/>
      <c r="BA428" s="186" t="n"/>
      <c r="BB428" s="188" t="n"/>
      <c r="BC428" s="187" t="n"/>
      <c r="BD428" s="187" t="n"/>
      <c r="BE428" s="186" t="n"/>
      <c r="BF428" s="186" t="n"/>
      <c r="BG428" s="186" t="n"/>
      <c r="BH428" s="186" t="n"/>
      <c r="BI428" s="186" t="n"/>
      <c r="BJ428" s="186" t="n"/>
      <c r="BK428" s="186" t="n"/>
      <c r="BL428" s="186" t="n"/>
      <c r="BM428" s="186" t="n"/>
      <c r="BN428" s="186" t="n"/>
      <c r="BO428" s="186" t="n"/>
      <c r="BP428" s="186" t="n"/>
      <c r="BQ428" s="186" t="n"/>
      <c r="BR428" s="186" t="n"/>
      <c r="BS428" s="186" t="n"/>
      <c r="BT428" s="186" t="n"/>
      <c r="BU428" s="186" t="n"/>
      <c r="BV428" s="186" t="n"/>
      <c r="BW428" s="186" t="n"/>
      <c r="BX428" s="186" t="n"/>
      <c r="BY428" s="186" t="n"/>
      <c r="BZ428" s="186" t="n"/>
      <c r="CA428" s="186" t="n"/>
      <c r="CB428" s="186" t="n"/>
      <c r="CC428" s="190" t="n"/>
      <c r="CD428" s="186" t="n"/>
      <c r="CE428" s="186" t="n"/>
      <c r="CF428" s="186" t="n"/>
      <c r="CG428" s="186" t="n"/>
      <c r="CH428" s="186" t="n"/>
      <c r="CI428" s="191" t="n"/>
      <c r="CJ428" s="192" t="n"/>
      <c r="CK428" s="192" t="n"/>
      <c r="CL428" s="192" t="n"/>
      <c r="CM428" s="192" t="n"/>
    </row>
    <row r="429">
      <c r="A429" s="177" t="n"/>
      <c r="B429" s="178" t="n"/>
      <c r="C429" s="178" t="n"/>
      <c r="D429" s="179" t="n"/>
      <c r="E429" s="180" t="n"/>
      <c r="F429" s="181" t="n"/>
      <c r="G429" s="182" t="n"/>
      <c r="H429" s="105" t="n"/>
      <c r="I429" s="196">
        <f>F429</f>
        <v/>
      </c>
      <c r="J429" s="184" t="n"/>
      <c r="K429" s="185" t="n"/>
      <c r="L429" s="8" t="n"/>
      <c r="M429" s="71">
        <f>L429</f>
        <v/>
      </c>
      <c r="N429" s="71" t="n"/>
      <c r="O429" s="101" t="n"/>
      <c r="P429" s="9">
        <f>I429-M429</f>
        <v/>
      </c>
      <c r="Q429" s="9">
        <f>IF(LEFT(B429,4)&lt;&gt;"    ",0,BN429)</f>
        <v/>
      </c>
      <c r="R429" s="9">
        <f>+P429-Q429</f>
        <v/>
      </c>
      <c r="S429" s="281" t="n"/>
      <c r="T429" s="10" t="n"/>
      <c r="U429" s="23">
        <f>IF(LEFT(B429,4)&lt;&gt;"    ","",IF(M429&lt;&gt;0,X429/M429,0))</f>
        <v/>
      </c>
      <c r="V429" s="11">
        <f>IF(LEFT(B429,4)&lt;&gt;"    ","",U429*I429)</f>
        <v/>
      </c>
      <c r="W429" s="11">
        <f>IF(LEFT(B429,4)&lt;&gt;"    ","",X429+Z429)</f>
        <v/>
      </c>
      <c r="X429" s="8" t="n"/>
      <c r="Y429" s="9">
        <f>IF(LEFT(B429,4)&lt;&gt;"    ",0,IF(P429&lt;0,P429,IF(U429&gt;0.3,W429-X429,0)))</f>
        <v/>
      </c>
      <c r="Z429" s="71">
        <f>Y429</f>
        <v/>
      </c>
      <c r="AA429" s="71" t="n"/>
      <c r="AB429" s="109" t="n"/>
      <c r="AC429" s="9">
        <f>IF(LEFT(B429,4)&lt;&gt;"    ",0,BK429)</f>
        <v/>
      </c>
      <c r="AD429" s="9">
        <f>Z429-AC429</f>
        <v/>
      </c>
      <c r="AE429" s="10" t="n"/>
      <c r="AF429" s="24" t="n"/>
      <c r="AG429" s="11" t="n"/>
      <c r="AH429" s="8" t="n"/>
      <c r="AI429" s="9">
        <f>IF(LEFT(B429,4)&lt;&gt;"    ","",AG429-AH429)</f>
        <v/>
      </c>
      <c r="AJ429" s="9" t="n"/>
      <c r="AK429" s="10" t="n"/>
      <c r="AL429" s="11">
        <f>IF(LEFT(B429,4)&lt;&gt;"    ","",W429-AG429)</f>
        <v/>
      </c>
      <c r="AM429" s="8">
        <f>IF(LEFT(B429,4)&lt;&gt;"    ","",X429-AH429)</f>
        <v/>
      </c>
      <c r="AN429" s="9">
        <f>IF(LEFT(B429,4)&lt;&gt;"    ","",Y429-AI429)</f>
        <v/>
      </c>
      <c r="AO429" s="9">
        <f>IF(LEFT(B429,4)&lt;&gt;"    ","",Z429-AJ429)</f>
        <v/>
      </c>
      <c r="AP429" s="10" t="n"/>
      <c r="AQ429" s="25">
        <f>IF(LEFT(B429,4)&lt;&gt;"    ","",I429-W429)</f>
        <v/>
      </c>
      <c r="AR429" s="25">
        <f>M429-X429</f>
        <v/>
      </c>
      <c r="AS429" s="25">
        <f>IF(LEFT(B429,4)&lt;&gt;"    ","",P429-Z429)</f>
        <v/>
      </c>
      <c r="AT429" s="10" t="n"/>
      <c r="AU429" s="12" t="n"/>
      <c r="AV429" s="12">
        <f>IF(LEFT(B429,4)&lt;&gt;"    ","",IF(W429-AU429&gt;=0,W429-AU429," "))</f>
        <v/>
      </c>
      <c r="AW429" s="12">
        <f>IF(LEFT(B429,4)&lt;&gt;"    ","",IF(AU429-W429&gt;=0,AU429-W429," "))</f>
        <v/>
      </c>
      <c r="AX429" s="186" t="n"/>
      <c r="AY429" s="187" t="n"/>
      <c r="AZ429" s="186" t="n"/>
      <c r="BA429" s="186" t="n"/>
      <c r="BB429" s="188" t="n"/>
      <c r="BC429" s="187" t="n"/>
      <c r="BD429" s="187" t="n"/>
      <c r="BE429" s="186" t="n"/>
      <c r="BF429" s="186" t="n"/>
      <c r="BG429" s="186" t="n"/>
      <c r="BH429" s="186" t="n"/>
      <c r="BI429" s="186" t="n"/>
      <c r="BJ429" s="186" t="n"/>
      <c r="BK429" s="186" t="n"/>
      <c r="BL429" s="186" t="n"/>
      <c r="BM429" s="186" t="n"/>
      <c r="BN429" s="186" t="n"/>
      <c r="BO429" s="186" t="n"/>
      <c r="BP429" s="186" t="n"/>
      <c r="BQ429" s="186" t="n"/>
      <c r="BR429" s="186" t="n"/>
      <c r="BS429" s="186" t="n"/>
      <c r="BT429" s="186" t="n"/>
      <c r="BU429" s="186" t="n"/>
      <c r="BV429" s="186" t="n"/>
      <c r="BW429" s="186" t="n"/>
      <c r="BX429" s="186" t="n"/>
      <c r="BY429" s="186" t="n"/>
      <c r="BZ429" s="186" t="n"/>
      <c r="CA429" s="186" t="n"/>
      <c r="CB429" s="186" t="n"/>
      <c r="CC429" s="190" t="n"/>
      <c r="CD429" s="186" t="n"/>
      <c r="CE429" s="186" t="n"/>
      <c r="CF429" s="186" t="n"/>
      <c r="CG429" s="186" t="n"/>
      <c r="CH429" s="186" t="n"/>
      <c r="CI429" s="191" t="n"/>
      <c r="CJ429" s="192" t="n"/>
      <c r="CK429" s="192" t="n"/>
      <c r="CL429" s="192" t="n"/>
      <c r="CM429" s="192" t="n"/>
    </row>
    <row r="430">
      <c r="A430" s="177" t="n"/>
      <c r="B430" s="178" t="n"/>
      <c r="C430" s="178" t="n"/>
      <c r="D430" s="179" t="n"/>
      <c r="E430" s="180" t="n"/>
      <c r="F430" s="181" t="n"/>
      <c r="G430" s="182" t="n"/>
      <c r="H430" s="105" t="n"/>
      <c r="I430" s="196">
        <f>F430</f>
        <v/>
      </c>
      <c r="J430" s="184" t="n"/>
      <c r="K430" s="185" t="n"/>
      <c r="L430" s="8" t="n"/>
      <c r="M430" s="71">
        <f>L430</f>
        <v/>
      </c>
      <c r="N430" s="71" t="n"/>
      <c r="O430" s="101" t="n"/>
      <c r="P430" s="9">
        <f>I430-M430</f>
        <v/>
      </c>
      <c r="Q430" s="9">
        <f>IF(LEFT(B430,4)&lt;&gt;"    ",0,BN430)</f>
        <v/>
      </c>
      <c r="R430" s="9">
        <f>+P430-Q430</f>
        <v/>
      </c>
      <c r="S430" s="281" t="n"/>
      <c r="T430" s="10" t="n"/>
      <c r="U430" s="23">
        <f>IF(LEFT(B430,4)&lt;&gt;"    ","",IF(M430&lt;&gt;0,X430/M430,0))</f>
        <v/>
      </c>
      <c r="V430" s="11">
        <f>IF(LEFT(B430,4)&lt;&gt;"    ","",U430*I430)</f>
        <v/>
      </c>
      <c r="W430" s="11">
        <f>IF(LEFT(B430,4)&lt;&gt;"    ","",X430+Z430)</f>
        <v/>
      </c>
      <c r="X430" s="8" t="n"/>
      <c r="Y430" s="9">
        <f>IF(LEFT(B430,4)&lt;&gt;"    ",0,IF(P430&lt;0,P430,IF(U430&gt;0.3,W430-X430,0)))</f>
        <v/>
      </c>
      <c r="Z430" s="71">
        <f>Y430</f>
        <v/>
      </c>
      <c r="AA430" s="71" t="n"/>
      <c r="AB430" s="109" t="n"/>
      <c r="AC430" s="9">
        <f>IF(LEFT(B430,4)&lt;&gt;"    ",0,BK430)</f>
        <v/>
      </c>
      <c r="AD430" s="9">
        <f>Z430-AC430</f>
        <v/>
      </c>
      <c r="AE430" s="10" t="n"/>
      <c r="AF430" s="24" t="n"/>
      <c r="AG430" s="11" t="n"/>
      <c r="AH430" s="8" t="n"/>
      <c r="AI430" s="9">
        <f>IF(LEFT(B430,4)&lt;&gt;"    ","",AG430-AH430)</f>
        <v/>
      </c>
      <c r="AJ430" s="9" t="n"/>
      <c r="AK430" s="10" t="n"/>
      <c r="AL430" s="11">
        <f>IF(LEFT(B430,4)&lt;&gt;"    ","",W430-AG430)</f>
        <v/>
      </c>
      <c r="AM430" s="8">
        <f>IF(LEFT(B430,4)&lt;&gt;"    ","",X430-AH430)</f>
        <v/>
      </c>
      <c r="AN430" s="9">
        <f>IF(LEFT(B430,4)&lt;&gt;"    ","",Y430-AI430)</f>
        <v/>
      </c>
      <c r="AO430" s="9">
        <f>IF(LEFT(B430,4)&lt;&gt;"    ","",Z430-AJ430)</f>
        <v/>
      </c>
      <c r="AP430" s="10" t="n"/>
      <c r="AQ430" s="25">
        <f>IF(LEFT(B430,4)&lt;&gt;"    ","",I430-W430)</f>
        <v/>
      </c>
      <c r="AR430" s="25">
        <f>M430-X430</f>
        <v/>
      </c>
      <c r="AS430" s="25">
        <f>IF(LEFT(B430,4)&lt;&gt;"    ","",P430-Z430)</f>
        <v/>
      </c>
      <c r="AT430" s="10" t="n"/>
      <c r="AU430" s="12" t="n"/>
      <c r="AV430" s="12">
        <f>IF(LEFT(B430,4)&lt;&gt;"    ","",IF(W430-AU430&gt;=0,W430-AU430," "))</f>
        <v/>
      </c>
      <c r="AW430" s="12">
        <f>IF(LEFT(B430,4)&lt;&gt;"    ","",IF(AU430-W430&gt;=0,AU430-W430," "))</f>
        <v/>
      </c>
      <c r="AX430" s="186" t="n"/>
      <c r="AY430" s="187" t="n"/>
      <c r="AZ430" s="186" t="n"/>
      <c r="BA430" s="186" t="n"/>
      <c r="BB430" s="188" t="n"/>
      <c r="BC430" s="187" t="n"/>
      <c r="BD430" s="187" t="n"/>
      <c r="BE430" s="186" t="n"/>
      <c r="BF430" s="186" t="n"/>
      <c r="BG430" s="186" t="n"/>
      <c r="BH430" s="186" t="n"/>
      <c r="BI430" s="186" t="n"/>
      <c r="BJ430" s="186" t="n"/>
      <c r="BK430" s="186" t="n"/>
      <c r="BL430" s="186" t="n"/>
      <c r="BM430" s="186" t="n"/>
      <c r="BN430" s="186" t="n"/>
      <c r="BO430" s="186" t="n"/>
      <c r="BP430" s="186" t="n"/>
      <c r="BQ430" s="186" t="n"/>
      <c r="BR430" s="186" t="n"/>
      <c r="BS430" s="186" t="n"/>
      <c r="BT430" s="186" t="n"/>
      <c r="BU430" s="186" t="n"/>
      <c r="BV430" s="186" t="n"/>
      <c r="BW430" s="186" t="n"/>
      <c r="BX430" s="186" t="n"/>
      <c r="BY430" s="186" t="n"/>
      <c r="BZ430" s="186" t="n"/>
      <c r="CA430" s="186" t="n"/>
      <c r="CB430" s="186" t="n"/>
      <c r="CC430" s="190" t="n"/>
      <c r="CD430" s="186" t="n"/>
      <c r="CE430" s="186" t="n"/>
      <c r="CF430" s="186" t="n"/>
      <c r="CG430" s="186" t="n"/>
      <c r="CH430" s="186" t="n"/>
      <c r="CI430" s="191" t="n"/>
      <c r="CJ430" s="192" t="n"/>
      <c r="CK430" s="192" t="n"/>
      <c r="CL430" s="192" t="n"/>
      <c r="CM430" s="192" t="n"/>
    </row>
    <row r="431">
      <c r="A431" s="177" t="n"/>
      <c r="B431" s="178" t="n"/>
      <c r="C431" s="178" t="n"/>
      <c r="D431" s="179" t="n"/>
      <c r="E431" s="180" t="n"/>
      <c r="F431" s="181" t="n"/>
      <c r="G431" s="182" t="n"/>
      <c r="H431" s="105" t="n"/>
      <c r="I431" s="196">
        <f>F431</f>
        <v/>
      </c>
      <c r="J431" s="184" t="n"/>
      <c r="K431" s="185" t="n"/>
      <c r="L431" s="8" t="n"/>
      <c r="M431" s="71">
        <f>L431</f>
        <v/>
      </c>
      <c r="N431" s="71" t="n"/>
      <c r="O431" s="101" t="n"/>
      <c r="P431" s="9">
        <f>I431-M431</f>
        <v/>
      </c>
      <c r="Q431" s="9">
        <f>IF(LEFT(B431,4)&lt;&gt;"    ",0,BN431)</f>
        <v/>
      </c>
      <c r="R431" s="9">
        <f>+P431-Q431</f>
        <v/>
      </c>
      <c r="S431" s="281" t="n"/>
      <c r="T431" s="10" t="n"/>
      <c r="U431" s="23">
        <f>IF(LEFT(B431,4)&lt;&gt;"    ","",IF(M431&lt;&gt;0,X431/M431,0))</f>
        <v/>
      </c>
      <c r="V431" s="11">
        <f>IF(LEFT(B431,4)&lt;&gt;"    ","",U431*I431)</f>
        <v/>
      </c>
      <c r="W431" s="11">
        <f>IF(LEFT(B431,4)&lt;&gt;"    ","",X431+Z431)</f>
        <v/>
      </c>
      <c r="X431" s="8" t="n"/>
      <c r="Y431" s="9">
        <f>IF(LEFT(B431,4)&lt;&gt;"    ",0,IF(P431&lt;0,P431,IF(U431&gt;0.3,W431-X431,0)))</f>
        <v/>
      </c>
      <c r="Z431" s="71">
        <f>Y431</f>
        <v/>
      </c>
      <c r="AA431" s="71" t="n"/>
      <c r="AB431" s="109" t="n"/>
      <c r="AC431" s="9">
        <f>IF(LEFT(B431,4)&lt;&gt;"    ",0,BK431)</f>
        <v/>
      </c>
      <c r="AD431" s="9">
        <f>Z431-AC431</f>
        <v/>
      </c>
      <c r="AE431" s="10" t="n"/>
      <c r="AF431" s="24" t="n"/>
      <c r="AG431" s="11" t="n"/>
      <c r="AH431" s="8" t="n"/>
      <c r="AI431" s="9">
        <f>IF(LEFT(B431,4)&lt;&gt;"    ","",AG431-AH431)</f>
        <v/>
      </c>
      <c r="AJ431" s="9" t="n"/>
      <c r="AK431" s="10" t="n"/>
      <c r="AL431" s="11">
        <f>IF(LEFT(B431,4)&lt;&gt;"    ","",W431-AG431)</f>
        <v/>
      </c>
      <c r="AM431" s="8">
        <f>IF(LEFT(B431,4)&lt;&gt;"    ","",X431-AH431)</f>
        <v/>
      </c>
      <c r="AN431" s="9">
        <f>IF(LEFT(B431,4)&lt;&gt;"    ","",Y431-AI431)</f>
        <v/>
      </c>
      <c r="AO431" s="9">
        <f>IF(LEFT(B431,4)&lt;&gt;"    ","",Z431-AJ431)</f>
        <v/>
      </c>
      <c r="AP431" s="10" t="n"/>
      <c r="AQ431" s="25">
        <f>IF(LEFT(B431,4)&lt;&gt;"    ","",I431-W431)</f>
        <v/>
      </c>
      <c r="AR431" s="25">
        <f>M431-X431</f>
        <v/>
      </c>
      <c r="AS431" s="25">
        <f>IF(LEFT(B431,4)&lt;&gt;"    ","",P431-Z431)</f>
        <v/>
      </c>
      <c r="AT431" s="10" t="n"/>
      <c r="AU431" s="12" t="n"/>
      <c r="AV431" s="12">
        <f>IF(LEFT(B431,4)&lt;&gt;"    ","",IF(W431-AU431&gt;=0,W431-AU431," "))</f>
        <v/>
      </c>
      <c r="AW431" s="12">
        <f>IF(LEFT(B431,4)&lt;&gt;"    ","",IF(AU431-W431&gt;=0,AU431-W431," "))</f>
        <v/>
      </c>
      <c r="AX431" s="186" t="n"/>
      <c r="AY431" s="187" t="n"/>
      <c r="AZ431" s="186" t="n"/>
      <c r="BA431" s="186" t="n"/>
      <c r="BB431" s="188" t="n"/>
      <c r="BC431" s="187" t="n"/>
      <c r="BD431" s="187" t="n"/>
      <c r="BE431" s="186" t="n"/>
      <c r="BF431" s="186" t="n"/>
      <c r="BG431" s="186" t="n"/>
      <c r="BH431" s="186" t="n"/>
      <c r="BI431" s="186" t="n"/>
      <c r="BJ431" s="186" t="n"/>
      <c r="BK431" s="186" t="n"/>
      <c r="BL431" s="186" t="n"/>
      <c r="BM431" s="186" t="n"/>
      <c r="BN431" s="186" t="n"/>
      <c r="BO431" s="186" t="n"/>
      <c r="BP431" s="186" t="n"/>
      <c r="BQ431" s="186" t="n"/>
      <c r="BR431" s="186" t="n"/>
      <c r="BS431" s="186" t="n"/>
      <c r="BT431" s="186" t="n"/>
      <c r="BU431" s="186" t="n"/>
      <c r="BV431" s="186" t="n"/>
      <c r="BW431" s="186" t="n"/>
      <c r="BX431" s="186" t="n"/>
      <c r="BY431" s="186" t="n"/>
      <c r="BZ431" s="186" t="n"/>
      <c r="CA431" s="186" t="n"/>
      <c r="CB431" s="186" t="n"/>
      <c r="CC431" s="190" t="n"/>
      <c r="CD431" s="186" t="n"/>
      <c r="CE431" s="186" t="n"/>
      <c r="CF431" s="186" t="n"/>
      <c r="CG431" s="186" t="n"/>
      <c r="CH431" s="186" t="n"/>
      <c r="CI431" s="191" t="n"/>
      <c r="CJ431" s="192" t="n"/>
      <c r="CK431" s="192" t="n"/>
      <c r="CL431" s="192" t="n"/>
      <c r="CM431" s="192" t="n"/>
    </row>
    <row r="432">
      <c r="A432" s="177" t="n"/>
      <c r="B432" s="178" t="n"/>
      <c r="C432" s="178" t="n"/>
      <c r="D432" s="179" t="n"/>
      <c r="E432" s="180" t="n"/>
      <c r="F432" s="181" t="n"/>
      <c r="G432" s="182" t="n"/>
      <c r="H432" s="105" t="n"/>
      <c r="I432" s="196">
        <f>F432</f>
        <v/>
      </c>
      <c r="J432" s="184" t="n"/>
      <c r="K432" s="185" t="n"/>
      <c r="L432" s="8" t="n"/>
      <c r="M432" s="71">
        <f>L432</f>
        <v/>
      </c>
      <c r="N432" s="71" t="n"/>
      <c r="O432" s="101" t="n"/>
      <c r="P432" s="9">
        <f>I432-M432</f>
        <v/>
      </c>
      <c r="Q432" s="9">
        <f>IF(LEFT(B432,4)&lt;&gt;"    ",0,BN432)</f>
        <v/>
      </c>
      <c r="R432" s="9">
        <f>+P432-Q432</f>
        <v/>
      </c>
      <c r="S432" s="281" t="n"/>
      <c r="T432" s="10" t="n"/>
      <c r="U432" s="23">
        <f>IF(LEFT(B432,4)&lt;&gt;"    ","",IF(M432&lt;&gt;0,X432/M432,0))</f>
        <v/>
      </c>
      <c r="V432" s="11">
        <f>IF(LEFT(B432,4)&lt;&gt;"    ","",U432*I432)</f>
        <v/>
      </c>
      <c r="W432" s="11">
        <f>IF(LEFT(B432,4)&lt;&gt;"    ","",X432+Z432)</f>
        <v/>
      </c>
      <c r="X432" s="8" t="n"/>
      <c r="Y432" s="9">
        <f>IF(LEFT(B432,4)&lt;&gt;"    ",0,IF(P432&lt;0,P432,IF(U432&gt;0.3,W432-X432,0)))</f>
        <v/>
      </c>
      <c r="Z432" s="71">
        <f>Y432</f>
        <v/>
      </c>
      <c r="AA432" s="71" t="n"/>
      <c r="AB432" s="109" t="n"/>
      <c r="AC432" s="9">
        <f>IF(LEFT(B432,4)&lt;&gt;"    ",0,BK432)</f>
        <v/>
      </c>
      <c r="AD432" s="9">
        <f>Z432-AC432</f>
        <v/>
      </c>
      <c r="AE432" s="10" t="n"/>
      <c r="AF432" s="24" t="n"/>
      <c r="AG432" s="11" t="n"/>
      <c r="AH432" s="8" t="n"/>
      <c r="AI432" s="9">
        <f>IF(LEFT(B432,4)&lt;&gt;"    ","",AG432-AH432)</f>
        <v/>
      </c>
      <c r="AJ432" s="9" t="n"/>
      <c r="AK432" s="10" t="n"/>
      <c r="AL432" s="11">
        <f>IF(LEFT(B432,4)&lt;&gt;"    ","",W432-AG432)</f>
        <v/>
      </c>
      <c r="AM432" s="8">
        <f>IF(LEFT(B432,4)&lt;&gt;"    ","",X432-AH432)</f>
        <v/>
      </c>
      <c r="AN432" s="9">
        <f>IF(LEFT(B432,4)&lt;&gt;"    ","",Y432-AI432)</f>
        <v/>
      </c>
      <c r="AO432" s="9">
        <f>IF(LEFT(B432,4)&lt;&gt;"    ","",Z432-AJ432)</f>
        <v/>
      </c>
      <c r="AP432" s="10" t="n"/>
      <c r="AQ432" s="25">
        <f>IF(LEFT(B432,4)&lt;&gt;"    ","",I432-W432)</f>
        <v/>
      </c>
      <c r="AR432" s="25">
        <f>M432-X432</f>
        <v/>
      </c>
      <c r="AS432" s="25">
        <f>IF(LEFT(B432,4)&lt;&gt;"    ","",P432-Z432)</f>
        <v/>
      </c>
      <c r="AT432" s="10" t="n"/>
      <c r="AU432" s="12" t="n"/>
      <c r="AV432" s="12">
        <f>IF(LEFT(B432,4)&lt;&gt;"    ","",IF(W432-AU432&gt;=0,W432-AU432," "))</f>
        <v/>
      </c>
      <c r="AW432" s="12">
        <f>IF(LEFT(B432,4)&lt;&gt;"    ","",IF(AU432-W432&gt;=0,AU432-W432," "))</f>
        <v/>
      </c>
      <c r="AX432" s="186" t="n"/>
      <c r="AY432" s="187" t="n"/>
      <c r="AZ432" s="186" t="n"/>
      <c r="BA432" s="186" t="n"/>
      <c r="BB432" s="188" t="n"/>
      <c r="BC432" s="187" t="n"/>
      <c r="BD432" s="187" t="n"/>
      <c r="BE432" s="186" t="n"/>
      <c r="BF432" s="186" t="n"/>
      <c r="BG432" s="186" t="n"/>
      <c r="BH432" s="186" t="n"/>
      <c r="BI432" s="186" t="n"/>
      <c r="BJ432" s="186" t="n"/>
      <c r="BK432" s="186" t="n"/>
      <c r="BL432" s="186" t="n"/>
      <c r="BM432" s="186" t="n"/>
      <c r="BN432" s="186" t="n"/>
      <c r="BO432" s="186" t="n"/>
      <c r="BP432" s="186" t="n"/>
      <c r="BQ432" s="186" t="n"/>
      <c r="BR432" s="186" t="n"/>
      <c r="BS432" s="186" t="n"/>
      <c r="BT432" s="186" t="n"/>
      <c r="BU432" s="186" t="n"/>
      <c r="BV432" s="186" t="n"/>
      <c r="BW432" s="186" t="n"/>
      <c r="BX432" s="186" t="n"/>
      <c r="BY432" s="186" t="n"/>
      <c r="BZ432" s="186" t="n"/>
      <c r="CA432" s="186" t="n"/>
      <c r="CB432" s="186" t="n"/>
      <c r="CC432" s="190" t="n"/>
      <c r="CD432" s="186" t="n"/>
      <c r="CE432" s="186" t="n"/>
      <c r="CF432" s="186" t="n"/>
      <c r="CG432" s="186" t="n"/>
      <c r="CH432" s="186" t="n"/>
      <c r="CI432" s="191" t="n"/>
      <c r="CJ432" s="192" t="n"/>
      <c r="CK432" s="192" t="n"/>
      <c r="CL432" s="192" t="n"/>
      <c r="CM432" s="192" t="n"/>
    </row>
    <row r="433">
      <c r="A433" s="177" t="n"/>
      <c r="B433" s="178" t="n"/>
      <c r="C433" s="178" t="n"/>
      <c r="D433" s="179" t="n"/>
      <c r="E433" s="180" t="n"/>
      <c r="F433" s="181" t="n"/>
      <c r="G433" s="182" t="n"/>
      <c r="H433" s="105" t="n"/>
      <c r="I433" s="196">
        <f>F433</f>
        <v/>
      </c>
      <c r="J433" s="184" t="n"/>
      <c r="K433" s="185" t="n"/>
      <c r="L433" s="8" t="n"/>
      <c r="M433" s="71">
        <f>L433</f>
        <v/>
      </c>
      <c r="N433" s="71" t="n"/>
      <c r="O433" s="101" t="n"/>
      <c r="P433" s="9">
        <f>I433-M433</f>
        <v/>
      </c>
      <c r="Q433" s="9">
        <f>IF(LEFT(B433,4)&lt;&gt;"    ",0,BN433)</f>
        <v/>
      </c>
      <c r="R433" s="9">
        <f>+P433-Q433</f>
        <v/>
      </c>
      <c r="S433" s="281" t="n"/>
      <c r="T433" s="10" t="n"/>
      <c r="U433" s="23">
        <f>IF(LEFT(B433,4)&lt;&gt;"    ","",IF(M433&lt;&gt;0,X433/M433,0))</f>
        <v/>
      </c>
      <c r="V433" s="11">
        <f>IF(LEFT(B433,4)&lt;&gt;"    ","",U433*I433)</f>
        <v/>
      </c>
      <c r="W433" s="11">
        <f>IF(LEFT(B433,4)&lt;&gt;"    ","",X433+Z433)</f>
        <v/>
      </c>
      <c r="X433" s="8" t="n"/>
      <c r="Y433" s="9">
        <f>IF(LEFT(B433,4)&lt;&gt;"    ",0,IF(P433&lt;0,P433,IF(U433&gt;0.3,W433-X433,0)))</f>
        <v/>
      </c>
      <c r="Z433" s="71">
        <f>Y433</f>
        <v/>
      </c>
      <c r="AA433" s="71" t="n"/>
      <c r="AB433" s="109" t="n"/>
      <c r="AC433" s="9">
        <f>IF(LEFT(B433,4)&lt;&gt;"    ",0,BK433)</f>
        <v/>
      </c>
      <c r="AD433" s="9">
        <f>Z433-AC433</f>
        <v/>
      </c>
      <c r="AE433" s="10" t="n"/>
      <c r="AF433" s="24" t="n"/>
      <c r="AG433" s="11" t="n"/>
      <c r="AH433" s="8" t="n"/>
      <c r="AI433" s="9">
        <f>IF(LEFT(B433,4)&lt;&gt;"    ","",AG433-AH433)</f>
        <v/>
      </c>
      <c r="AJ433" s="9" t="n"/>
      <c r="AK433" s="10" t="n"/>
      <c r="AL433" s="11">
        <f>IF(LEFT(B433,4)&lt;&gt;"    ","",W433-AG433)</f>
        <v/>
      </c>
      <c r="AM433" s="8">
        <f>IF(LEFT(B433,4)&lt;&gt;"    ","",X433-AH433)</f>
        <v/>
      </c>
      <c r="AN433" s="9">
        <f>IF(LEFT(B433,4)&lt;&gt;"    ","",Y433-AI433)</f>
        <v/>
      </c>
      <c r="AO433" s="9">
        <f>IF(LEFT(B433,4)&lt;&gt;"    ","",Z433-AJ433)</f>
        <v/>
      </c>
      <c r="AP433" s="10" t="n"/>
      <c r="AQ433" s="25">
        <f>IF(LEFT(B433,4)&lt;&gt;"    ","",I433-W433)</f>
        <v/>
      </c>
      <c r="AR433" s="25">
        <f>M433-X433</f>
        <v/>
      </c>
      <c r="AS433" s="25">
        <f>IF(LEFT(B433,4)&lt;&gt;"    ","",P433-Z433)</f>
        <v/>
      </c>
      <c r="AT433" s="10" t="n"/>
      <c r="AU433" s="12" t="n"/>
      <c r="AV433" s="12">
        <f>IF(LEFT(B433,4)&lt;&gt;"    ","",IF(W433-AU433&gt;=0,W433-AU433," "))</f>
        <v/>
      </c>
      <c r="AW433" s="12">
        <f>IF(LEFT(B433,4)&lt;&gt;"    ","",IF(AU433-W433&gt;=0,AU433-W433," "))</f>
        <v/>
      </c>
      <c r="AX433" s="186" t="n"/>
      <c r="AY433" s="187" t="n"/>
      <c r="AZ433" s="186" t="n"/>
      <c r="BA433" s="186" t="n"/>
      <c r="BB433" s="188" t="n"/>
      <c r="BC433" s="187" t="n"/>
      <c r="BD433" s="187" t="n"/>
      <c r="BE433" s="186" t="n"/>
      <c r="BF433" s="186" t="n"/>
      <c r="BG433" s="186" t="n"/>
      <c r="BH433" s="186" t="n"/>
      <c r="BI433" s="186" t="n"/>
      <c r="BJ433" s="186" t="n"/>
      <c r="BK433" s="186" t="n"/>
      <c r="BL433" s="186" t="n"/>
      <c r="BM433" s="186" t="n"/>
      <c r="BN433" s="186" t="n"/>
      <c r="BO433" s="186" t="n"/>
      <c r="BP433" s="186" t="n"/>
      <c r="BQ433" s="186" t="n"/>
      <c r="BR433" s="186" t="n"/>
      <c r="BS433" s="186" t="n"/>
      <c r="BT433" s="186" t="n"/>
      <c r="BU433" s="186" t="n"/>
      <c r="BV433" s="186" t="n"/>
      <c r="BW433" s="186" t="n"/>
      <c r="BX433" s="186" t="n"/>
      <c r="BY433" s="186" t="n"/>
      <c r="BZ433" s="186" t="n"/>
      <c r="CA433" s="186" t="n"/>
      <c r="CB433" s="186" t="n"/>
      <c r="CC433" s="190" t="n"/>
      <c r="CD433" s="186" t="n"/>
      <c r="CE433" s="186" t="n"/>
      <c r="CF433" s="186" t="n"/>
      <c r="CG433" s="186" t="n"/>
      <c r="CH433" s="186" t="n"/>
      <c r="CI433" s="191" t="n"/>
      <c r="CJ433" s="192" t="n"/>
      <c r="CK433" s="192" t="n"/>
      <c r="CL433" s="192" t="n"/>
      <c r="CM433" s="192" t="n"/>
    </row>
    <row r="434">
      <c r="A434" s="177" t="n"/>
      <c r="B434" s="178" t="n"/>
      <c r="C434" s="178" t="n"/>
      <c r="D434" s="179" t="n"/>
      <c r="E434" s="180" t="n"/>
      <c r="F434" s="181" t="n"/>
      <c r="G434" s="182" t="n"/>
      <c r="H434" s="105" t="n"/>
      <c r="I434" s="196">
        <f>F434</f>
        <v/>
      </c>
      <c r="J434" s="184" t="n"/>
      <c r="K434" s="185" t="n"/>
      <c r="L434" s="8" t="n"/>
      <c r="M434" s="71">
        <f>L434</f>
        <v/>
      </c>
      <c r="N434" s="71" t="n"/>
      <c r="O434" s="101" t="n"/>
      <c r="P434" s="9">
        <f>I434-M434</f>
        <v/>
      </c>
      <c r="Q434" s="9">
        <f>IF(LEFT(B434,4)&lt;&gt;"    ",0,BN434)</f>
        <v/>
      </c>
      <c r="R434" s="9">
        <f>+P434-Q434</f>
        <v/>
      </c>
      <c r="S434" s="281" t="n"/>
      <c r="T434" s="10" t="n"/>
      <c r="U434" s="23">
        <f>IF(LEFT(B434,4)&lt;&gt;"    ","",IF(M434&lt;&gt;0,X434/M434,0))</f>
        <v/>
      </c>
      <c r="V434" s="11">
        <f>IF(LEFT(B434,4)&lt;&gt;"    ","",U434*I434)</f>
        <v/>
      </c>
      <c r="W434" s="11">
        <f>IF(LEFT(B434,4)&lt;&gt;"    ","",X434+Z434)</f>
        <v/>
      </c>
      <c r="X434" s="8" t="n"/>
      <c r="Y434" s="9">
        <f>IF(LEFT(B434,4)&lt;&gt;"    ",0,IF(P434&lt;0,P434,IF(U434&gt;0.3,W434-X434,0)))</f>
        <v/>
      </c>
      <c r="Z434" s="71">
        <f>Y434</f>
        <v/>
      </c>
      <c r="AA434" s="71" t="n"/>
      <c r="AB434" s="109" t="n"/>
      <c r="AC434" s="9">
        <f>IF(LEFT(B434,4)&lt;&gt;"    ",0,BK434)</f>
        <v/>
      </c>
      <c r="AD434" s="9">
        <f>Z434-AC434</f>
        <v/>
      </c>
      <c r="AE434" s="10" t="n"/>
      <c r="AF434" s="24" t="n"/>
      <c r="AG434" s="11" t="n"/>
      <c r="AH434" s="8" t="n"/>
      <c r="AI434" s="9">
        <f>IF(LEFT(B434,4)&lt;&gt;"    ","",AG434-AH434)</f>
        <v/>
      </c>
      <c r="AJ434" s="9" t="n"/>
      <c r="AK434" s="10" t="n"/>
      <c r="AL434" s="11">
        <f>IF(LEFT(B434,4)&lt;&gt;"    ","",W434-AG434)</f>
        <v/>
      </c>
      <c r="AM434" s="8">
        <f>IF(LEFT(B434,4)&lt;&gt;"    ","",X434-AH434)</f>
        <v/>
      </c>
      <c r="AN434" s="9">
        <f>IF(LEFT(B434,4)&lt;&gt;"    ","",Y434-AI434)</f>
        <v/>
      </c>
      <c r="AO434" s="9">
        <f>IF(LEFT(B434,4)&lt;&gt;"    ","",Z434-AJ434)</f>
        <v/>
      </c>
      <c r="AP434" s="10" t="n"/>
      <c r="AQ434" s="25">
        <f>IF(LEFT(B434,4)&lt;&gt;"    ","",I434-W434)</f>
        <v/>
      </c>
      <c r="AR434" s="25">
        <f>M434-X434</f>
        <v/>
      </c>
      <c r="AS434" s="25">
        <f>IF(LEFT(B434,4)&lt;&gt;"    ","",P434-Z434)</f>
        <v/>
      </c>
      <c r="AT434" s="10" t="n"/>
      <c r="AU434" s="12" t="n"/>
      <c r="AV434" s="12">
        <f>IF(LEFT(B434,4)&lt;&gt;"    ","",IF(W434-AU434&gt;=0,W434-AU434," "))</f>
        <v/>
      </c>
      <c r="AW434" s="12">
        <f>IF(LEFT(B434,4)&lt;&gt;"    ","",IF(AU434-W434&gt;=0,AU434-W434," "))</f>
        <v/>
      </c>
      <c r="AX434" s="186" t="n"/>
      <c r="AY434" s="187" t="n"/>
      <c r="AZ434" s="186" t="n"/>
      <c r="BA434" s="186" t="n"/>
      <c r="BB434" s="188" t="n"/>
      <c r="BC434" s="187" t="n"/>
      <c r="BD434" s="187" t="n"/>
      <c r="BE434" s="186" t="n"/>
      <c r="BF434" s="186" t="n"/>
      <c r="BG434" s="186" t="n"/>
      <c r="BH434" s="186" t="n"/>
      <c r="BI434" s="186" t="n"/>
      <c r="BJ434" s="186" t="n"/>
      <c r="BK434" s="186" t="n"/>
      <c r="BL434" s="186" t="n"/>
      <c r="BM434" s="186" t="n"/>
      <c r="BN434" s="186" t="n"/>
      <c r="BO434" s="186" t="n"/>
      <c r="BP434" s="186" t="n"/>
      <c r="BQ434" s="186" t="n"/>
      <c r="BR434" s="186" t="n"/>
      <c r="BS434" s="186" t="n"/>
      <c r="BT434" s="186" t="n"/>
      <c r="BU434" s="186" t="n"/>
      <c r="BV434" s="186" t="n"/>
      <c r="BW434" s="186" t="n"/>
      <c r="BX434" s="186" t="n"/>
      <c r="BY434" s="186" t="n"/>
      <c r="BZ434" s="186" t="n"/>
      <c r="CA434" s="186" t="n"/>
      <c r="CB434" s="186" t="n"/>
      <c r="CC434" s="190" t="n"/>
      <c r="CD434" s="186" t="n"/>
      <c r="CE434" s="186" t="n"/>
      <c r="CF434" s="186" t="n"/>
      <c r="CG434" s="186" t="n"/>
      <c r="CH434" s="186" t="n"/>
      <c r="CI434" s="191" t="n"/>
      <c r="CJ434" s="192" t="n"/>
      <c r="CK434" s="192" t="n"/>
      <c r="CL434" s="192" t="n"/>
      <c r="CM434" s="192" t="n"/>
    </row>
    <row r="435">
      <c r="A435" s="177" t="n"/>
      <c r="B435" s="178" t="n"/>
      <c r="C435" s="178" t="n"/>
      <c r="D435" s="179" t="n"/>
      <c r="E435" s="180" t="n"/>
      <c r="F435" s="181" t="n"/>
      <c r="G435" s="182" t="n"/>
      <c r="H435" s="105" t="n"/>
      <c r="I435" s="196">
        <f>F435</f>
        <v/>
      </c>
      <c r="J435" s="184" t="n"/>
      <c r="K435" s="185" t="n"/>
      <c r="L435" s="8" t="n"/>
      <c r="M435" s="71">
        <f>L435</f>
        <v/>
      </c>
      <c r="N435" s="71" t="n"/>
      <c r="O435" s="101" t="n"/>
      <c r="P435" s="9">
        <f>I435-M435</f>
        <v/>
      </c>
      <c r="Q435" s="9">
        <f>IF(LEFT(B435,4)&lt;&gt;"    ",0,BN435)</f>
        <v/>
      </c>
      <c r="R435" s="9">
        <f>+P435-Q435</f>
        <v/>
      </c>
      <c r="S435" s="281" t="n"/>
      <c r="T435" s="10" t="n"/>
      <c r="U435" s="23">
        <f>IF(LEFT(B435,4)&lt;&gt;"    ","",IF(M435&lt;&gt;0,X435/M435,0))</f>
        <v/>
      </c>
      <c r="V435" s="11">
        <f>IF(LEFT(B435,4)&lt;&gt;"    ","",U435*I435)</f>
        <v/>
      </c>
      <c r="W435" s="11">
        <f>IF(LEFT(B435,4)&lt;&gt;"    ","",X435+Z435)</f>
        <v/>
      </c>
      <c r="X435" s="8" t="n"/>
      <c r="Y435" s="9">
        <f>IF(LEFT(B435,4)&lt;&gt;"    ",0,IF(P435&lt;0,P435,IF(U435&gt;0.3,W435-X435,0)))</f>
        <v/>
      </c>
      <c r="Z435" s="71">
        <f>Y435</f>
        <v/>
      </c>
      <c r="AA435" s="71" t="n"/>
      <c r="AB435" s="109" t="n"/>
      <c r="AC435" s="9">
        <f>IF(LEFT(B435,4)&lt;&gt;"    ",0,BK435)</f>
        <v/>
      </c>
      <c r="AD435" s="9">
        <f>Z435-AC435</f>
        <v/>
      </c>
      <c r="AE435" s="10" t="n"/>
      <c r="AF435" s="24" t="n"/>
      <c r="AG435" s="11" t="n"/>
      <c r="AH435" s="8" t="n"/>
      <c r="AI435" s="9">
        <f>IF(LEFT(B435,4)&lt;&gt;"    ","",AG435-AH435)</f>
        <v/>
      </c>
      <c r="AJ435" s="9" t="n"/>
      <c r="AK435" s="10" t="n"/>
      <c r="AL435" s="11">
        <f>IF(LEFT(B435,4)&lt;&gt;"    ","",W435-AG435)</f>
        <v/>
      </c>
      <c r="AM435" s="8">
        <f>IF(LEFT(B435,4)&lt;&gt;"    ","",X435-AH435)</f>
        <v/>
      </c>
      <c r="AN435" s="9">
        <f>IF(LEFT(B435,4)&lt;&gt;"    ","",Y435-AI435)</f>
        <v/>
      </c>
      <c r="AO435" s="9">
        <f>IF(LEFT(B435,4)&lt;&gt;"    ","",Z435-AJ435)</f>
        <v/>
      </c>
      <c r="AP435" s="10" t="n"/>
      <c r="AQ435" s="25">
        <f>IF(LEFT(B435,4)&lt;&gt;"    ","",I435-W435)</f>
        <v/>
      </c>
      <c r="AR435" s="25">
        <f>M435-X435</f>
        <v/>
      </c>
      <c r="AS435" s="25">
        <f>IF(LEFT(B435,4)&lt;&gt;"    ","",P435-Z435)</f>
        <v/>
      </c>
      <c r="AT435" s="10" t="n"/>
      <c r="AU435" s="12" t="n"/>
      <c r="AV435" s="12">
        <f>IF(LEFT(B435,4)&lt;&gt;"    ","",IF(W435-AU435&gt;=0,W435-AU435," "))</f>
        <v/>
      </c>
      <c r="AW435" s="12">
        <f>IF(LEFT(B435,4)&lt;&gt;"    ","",IF(AU435-W435&gt;=0,AU435-W435," "))</f>
        <v/>
      </c>
      <c r="AX435" s="186" t="n"/>
      <c r="AY435" s="187" t="n"/>
      <c r="AZ435" s="186" t="n"/>
      <c r="BA435" s="186" t="n"/>
      <c r="BB435" s="188" t="n"/>
      <c r="BC435" s="187" t="n"/>
      <c r="BD435" s="187" t="n"/>
      <c r="BE435" s="186" t="n"/>
      <c r="BF435" s="186" t="n"/>
      <c r="BG435" s="186" t="n"/>
      <c r="BH435" s="186" t="n"/>
      <c r="BI435" s="186" t="n"/>
      <c r="BJ435" s="186" t="n"/>
      <c r="BK435" s="186" t="n"/>
      <c r="BL435" s="186" t="n"/>
      <c r="BM435" s="186" t="n"/>
      <c r="BN435" s="186" t="n"/>
      <c r="BO435" s="186" t="n"/>
      <c r="BP435" s="186" t="n"/>
      <c r="BQ435" s="186" t="n"/>
      <c r="BR435" s="186" t="n"/>
      <c r="BS435" s="186" t="n"/>
      <c r="BT435" s="186" t="n"/>
      <c r="BU435" s="186" t="n"/>
      <c r="BV435" s="186" t="n"/>
      <c r="BW435" s="186" t="n"/>
      <c r="BX435" s="186" t="n"/>
      <c r="BY435" s="186" t="n"/>
      <c r="BZ435" s="186" t="n"/>
      <c r="CA435" s="186" t="n"/>
      <c r="CB435" s="186" t="n"/>
      <c r="CC435" s="190" t="n"/>
      <c r="CD435" s="186" t="n"/>
      <c r="CE435" s="186" t="n"/>
      <c r="CF435" s="186" t="n"/>
      <c r="CG435" s="186" t="n"/>
      <c r="CH435" s="186" t="n"/>
      <c r="CI435" s="191" t="n"/>
      <c r="CJ435" s="192" t="n"/>
      <c r="CK435" s="192" t="n"/>
      <c r="CL435" s="192" t="n"/>
      <c r="CM435" s="192" t="n"/>
    </row>
    <row r="436">
      <c r="A436" s="177" t="n"/>
      <c r="B436" s="178" t="n"/>
      <c r="C436" s="178" t="n"/>
      <c r="D436" s="179" t="n"/>
      <c r="E436" s="180" t="n"/>
      <c r="F436" s="181" t="n"/>
      <c r="G436" s="182" t="n"/>
      <c r="H436" s="105" t="n"/>
      <c r="I436" s="196">
        <f>F436</f>
        <v/>
      </c>
      <c r="J436" s="184" t="n"/>
      <c r="K436" s="185" t="n"/>
      <c r="L436" s="8" t="n"/>
      <c r="M436" s="71">
        <f>L436</f>
        <v/>
      </c>
      <c r="N436" s="71" t="n"/>
      <c r="O436" s="101" t="n"/>
      <c r="P436" s="9">
        <f>I436-M436</f>
        <v/>
      </c>
      <c r="Q436" s="9">
        <f>IF(LEFT(B436,4)&lt;&gt;"    ",0,BN436)</f>
        <v/>
      </c>
      <c r="R436" s="9">
        <f>+P436-Q436</f>
        <v/>
      </c>
      <c r="S436" s="281" t="n"/>
      <c r="T436" s="10" t="n"/>
      <c r="U436" s="23">
        <f>IF(LEFT(B436,4)&lt;&gt;"    ","",IF(M436&lt;&gt;0,X436/M436,0))</f>
        <v/>
      </c>
      <c r="V436" s="11">
        <f>IF(LEFT(B436,4)&lt;&gt;"    ","",U436*I436)</f>
        <v/>
      </c>
      <c r="W436" s="11">
        <f>IF(LEFT(B436,4)&lt;&gt;"    ","",X436+Z436)</f>
        <v/>
      </c>
      <c r="X436" s="8" t="n"/>
      <c r="Y436" s="9">
        <f>IF(LEFT(B436,4)&lt;&gt;"    ",0,IF(P436&lt;0,P436,IF(U436&gt;0.3,W436-X436,0)))</f>
        <v/>
      </c>
      <c r="Z436" s="71">
        <f>Y436</f>
        <v/>
      </c>
      <c r="AA436" s="71" t="n"/>
      <c r="AB436" s="109" t="n"/>
      <c r="AC436" s="9">
        <f>IF(LEFT(B436,4)&lt;&gt;"    ",0,BK436)</f>
        <v/>
      </c>
      <c r="AD436" s="9">
        <f>Z436-AC436</f>
        <v/>
      </c>
      <c r="AE436" s="10" t="n"/>
      <c r="AF436" s="24" t="n"/>
      <c r="AG436" s="11" t="n"/>
      <c r="AH436" s="8" t="n"/>
      <c r="AI436" s="9">
        <f>IF(LEFT(B436,4)&lt;&gt;"    ","",AG436-AH436)</f>
        <v/>
      </c>
      <c r="AJ436" s="9" t="n"/>
      <c r="AK436" s="10" t="n"/>
      <c r="AL436" s="11">
        <f>IF(LEFT(B436,4)&lt;&gt;"    ","",W436-AG436)</f>
        <v/>
      </c>
      <c r="AM436" s="8">
        <f>IF(LEFT(B436,4)&lt;&gt;"    ","",X436-AH436)</f>
        <v/>
      </c>
      <c r="AN436" s="9">
        <f>IF(LEFT(B436,4)&lt;&gt;"    ","",Y436-AI436)</f>
        <v/>
      </c>
      <c r="AO436" s="9">
        <f>IF(LEFT(B436,4)&lt;&gt;"    ","",Z436-AJ436)</f>
        <v/>
      </c>
      <c r="AP436" s="10" t="n"/>
      <c r="AQ436" s="25">
        <f>IF(LEFT(B436,4)&lt;&gt;"    ","",I436-W436)</f>
        <v/>
      </c>
      <c r="AR436" s="25">
        <f>M436-X436</f>
        <v/>
      </c>
      <c r="AS436" s="25">
        <f>IF(LEFT(B436,4)&lt;&gt;"    ","",P436-Z436)</f>
        <v/>
      </c>
      <c r="AT436" s="10" t="n"/>
      <c r="AU436" s="12" t="n"/>
      <c r="AV436" s="12">
        <f>IF(LEFT(B436,4)&lt;&gt;"    ","",IF(W436-AU436&gt;=0,W436-AU436," "))</f>
        <v/>
      </c>
      <c r="AW436" s="12">
        <f>IF(LEFT(B436,4)&lt;&gt;"    ","",IF(AU436-W436&gt;=0,AU436-W436," "))</f>
        <v/>
      </c>
      <c r="AX436" s="186" t="n"/>
      <c r="AY436" s="187" t="n"/>
      <c r="AZ436" s="186" t="n"/>
      <c r="BA436" s="186" t="n"/>
      <c r="BB436" s="188" t="n"/>
      <c r="BC436" s="187" t="n"/>
      <c r="BD436" s="187" t="n"/>
      <c r="BE436" s="186" t="n"/>
      <c r="BF436" s="186" t="n"/>
      <c r="BG436" s="186" t="n"/>
      <c r="BH436" s="186" t="n"/>
      <c r="BI436" s="186" t="n"/>
      <c r="BJ436" s="186" t="n"/>
      <c r="BK436" s="186" t="n"/>
      <c r="BL436" s="186" t="n"/>
      <c r="BM436" s="186" t="n"/>
      <c r="BN436" s="186" t="n"/>
      <c r="BO436" s="186" t="n"/>
      <c r="BP436" s="186" t="n"/>
      <c r="BQ436" s="186" t="n"/>
      <c r="BR436" s="186" t="n"/>
      <c r="BS436" s="186" t="n"/>
      <c r="BT436" s="186" t="n"/>
      <c r="BU436" s="186" t="n"/>
      <c r="BV436" s="186" t="n"/>
      <c r="BW436" s="186" t="n"/>
      <c r="BX436" s="186" t="n"/>
      <c r="BY436" s="186" t="n"/>
      <c r="BZ436" s="186" t="n"/>
      <c r="CA436" s="186" t="n"/>
      <c r="CB436" s="186" t="n"/>
      <c r="CC436" s="190" t="n"/>
      <c r="CD436" s="186" t="n"/>
      <c r="CE436" s="186" t="n"/>
      <c r="CF436" s="186" t="n"/>
      <c r="CG436" s="186" t="n"/>
      <c r="CH436" s="186" t="n"/>
      <c r="CI436" s="191" t="n"/>
      <c r="CJ436" s="192" t="n"/>
      <c r="CK436" s="192" t="n"/>
      <c r="CL436" s="192" t="n"/>
      <c r="CM436" s="192" t="n"/>
    </row>
    <row r="437">
      <c r="A437" s="177" t="n"/>
      <c r="B437" s="178" t="n"/>
      <c r="C437" s="178" t="n"/>
      <c r="D437" s="179" t="n"/>
      <c r="E437" s="180" t="n"/>
      <c r="F437" s="181" t="n"/>
      <c r="G437" s="182" t="n"/>
      <c r="H437" s="105" t="n"/>
      <c r="I437" s="196">
        <f>F437</f>
        <v/>
      </c>
      <c r="J437" s="184" t="n"/>
      <c r="K437" s="185" t="n"/>
      <c r="L437" s="8" t="n"/>
      <c r="M437" s="71">
        <f>L437</f>
        <v/>
      </c>
      <c r="N437" s="71" t="n"/>
      <c r="O437" s="101" t="n"/>
      <c r="P437" s="9">
        <f>I437-M437</f>
        <v/>
      </c>
      <c r="Q437" s="9">
        <f>IF(LEFT(B437,4)&lt;&gt;"    ",0,BN437)</f>
        <v/>
      </c>
      <c r="R437" s="9">
        <f>+P437-Q437</f>
        <v/>
      </c>
      <c r="S437" s="281" t="n"/>
      <c r="T437" s="10" t="n"/>
      <c r="U437" s="23">
        <f>IF(LEFT(B437,4)&lt;&gt;"    ","",IF(M437&lt;&gt;0,X437/M437,0))</f>
        <v/>
      </c>
      <c r="V437" s="11">
        <f>IF(LEFT(B437,4)&lt;&gt;"    ","",U437*I437)</f>
        <v/>
      </c>
      <c r="W437" s="11">
        <f>IF(LEFT(B437,4)&lt;&gt;"    ","",X437+Z437)</f>
        <v/>
      </c>
      <c r="X437" s="8" t="n"/>
      <c r="Y437" s="9">
        <f>IF(LEFT(B437,4)&lt;&gt;"    ",0,IF(P437&lt;0,P437,IF(U437&gt;0.3,W437-X437,0)))</f>
        <v/>
      </c>
      <c r="Z437" s="71">
        <f>Y437</f>
        <v/>
      </c>
      <c r="AA437" s="71" t="n"/>
      <c r="AB437" s="109" t="n"/>
      <c r="AC437" s="9">
        <f>IF(LEFT(B437,4)&lt;&gt;"    ",0,BK437)</f>
        <v/>
      </c>
      <c r="AD437" s="9">
        <f>Z437-AC437</f>
        <v/>
      </c>
      <c r="AE437" s="10" t="n"/>
      <c r="AF437" s="24" t="n"/>
      <c r="AG437" s="11" t="n"/>
      <c r="AH437" s="8" t="n"/>
      <c r="AI437" s="9">
        <f>IF(LEFT(B437,4)&lt;&gt;"    ","",AG437-AH437)</f>
        <v/>
      </c>
      <c r="AJ437" s="9" t="n"/>
      <c r="AK437" s="10" t="n"/>
      <c r="AL437" s="11">
        <f>IF(LEFT(B437,4)&lt;&gt;"    ","",W437-AG437)</f>
        <v/>
      </c>
      <c r="AM437" s="8">
        <f>IF(LEFT(B437,4)&lt;&gt;"    ","",X437-AH437)</f>
        <v/>
      </c>
      <c r="AN437" s="9">
        <f>IF(LEFT(B437,4)&lt;&gt;"    ","",Y437-AI437)</f>
        <v/>
      </c>
      <c r="AO437" s="9">
        <f>IF(LEFT(B437,4)&lt;&gt;"    ","",Z437-AJ437)</f>
        <v/>
      </c>
      <c r="AP437" s="10" t="n"/>
      <c r="AQ437" s="25">
        <f>IF(LEFT(B437,4)&lt;&gt;"    ","",I437-W437)</f>
        <v/>
      </c>
      <c r="AR437" s="25">
        <f>M437-X437</f>
        <v/>
      </c>
      <c r="AS437" s="25">
        <f>IF(LEFT(B437,4)&lt;&gt;"    ","",P437-Z437)</f>
        <v/>
      </c>
      <c r="AT437" s="10" t="n"/>
      <c r="AU437" s="12" t="n"/>
      <c r="AV437" s="12">
        <f>IF(LEFT(B437,4)&lt;&gt;"    ","",IF(W437-AU437&gt;=0,W437-AU437," "))</f>
        <v/>
      </c>
      <c r="AW437" s="12">
        <f>IF(LEFT(B437,4)&lt;&gt;"    ","",IF(AU437-W437&gt;=0,AU437-W437," "))</f>
        <v/>
      </c>
      <c r="AX437" s="186" t="n"/>
      <c r="AY437" s="187" t="n"/>
      <c r="AZ437" s="186" t="n"/>
      <c r="BA437" s="186" t="n"/>
      <c r="BB437" s="188" t="n"/>
      <c r="BC437" s="187" t="n"/>
      <c r="BD437" s="187" t="n"/>
      <c r="BE437" s="186" t="n"/>
      <c r="BF437" s="186" t="n"/>
      <c r="BG437" s="186" t="n"/>
      <c r="BH437" s="186" t="n"/>
      <c r="BI437" s="186" t="n"/>
      <c r="BJ437" s="186" t="n"/>
      <c r="BK437" s="186" t="n"/>
      <c r="BL437" s="186" t="n"/>
      <c r="BM437" s="186" t="n"/>
      <c r="BN437" s="186" t="n"/>
      <c r="BO437" s="186" t="n"/>
      <c r="BP437" s="186" t="n"/>
      <c r="BQ437" s="186" t="n"/>
      <c r="BR437" s="186" t="n"/>
      <c r="BS437" s="186" t="n"/>
      <c r="BT437" s="186" t="n"/>
      <c r="BU437" s="186" t="n"/>
      <c r="BV437" s="186" t="n"/>
      <c r="BW437" s="186" t="n"/>
      <c r="BX437" s="186" t="n"/>
      <c r="BY437" s="186" t="n"/>
      <c r="BZ437" s="186" t="n"/>
      <c r="CA437" s="186" t="n"/>
      <c r="CB437" s="186" t="n"/>
      <c r="CC437" s="190" t="n"/>
      <c r="CD437" s="186" t="n"/>
      <c r="CE437" s="186" t="n"/>
      <c r="CF437" s="186" t="n"/>
      <c r="CG437" s="186" t="n"/>
      <c r="CH437" s="186" t="n"/>
      <c r="CI437" s="191" t="n"/>
      <c r="CJ437" s="192" t="n"/>
      <c r="CK437" s="192" t="n"/>
      <c r="CL437" s="192" t="n"/>
      <c r="CM437" s="192" t="n"/>
    </row>
    <row r="438">
      <c r="T438" s="13" t="n"/>
      <c r="AY438" s="74" t="n"/>
      <c r="AZ438" s="77" t="inlineStr">
        <is>
          <t>T</t>
        </is>
      </c>
      <c r="BA438" s="77" t="inlineStr">
        <is>
          <t>T</t>
        </is>
      </c>
      <c r="BB438" s="77" t="inlineStr">
        <is>
          <t>T</t>
        </is>
      </c>
      <c r="BC438" s="77" t="inlineStr">
        <is>
          <t>T</t>
        </is>
      </c>
      <c r="BD438" s="77" t="inlineStr">
        <is>
          <t>T</t>
        </is>
      </c>
      <c r="BE438" s="77" t="n"/>
      <c r="BF438" s="77" t="n"/>
      <c r="BG438" s="77" t="n"/>
      <c r="BH438" s="77" t="n"/>
      <c r="BI438" s="77" t="n"/>
      <c r="BJ438" s="77" t="n"/>
      <c r="BK438" s="77" t="n"/>
      <c r="BL438" s="77" t="n"/>
      <c r="BM438" s="77" t="n"/>
      <c r="BN438" s="77" t="n"/>
      <c r="BO438" s="77" t="n"/>
      <c r="BP438" s="77" t="n"/>
      <c r="BQ438" s="77" t="n"/>
      <c r="BR438" s="77" t="n"/>
      <c r="BS438" s="77" t="n"/>
      <c r="BT438" s="77" t="n"/>
      <c r="BU438" s="77" t="n"/>
      <c r="BV438" s="77" t="n"/>
      <c r="BW438" s="77" t="n"/>
      <c r="BX438" s="77" t="n"/>
      <c r="BY438" s="77" t="n"/>
      <c r="BZ438" s="77">
        <f>I438</f>
        <v/>
      </c>
      <c r="CA438" s="77">
        <f>M438</f>
        <v/>
      </c>
      <c r="CB438" s="77" t="n"/>
      <c r="CC438" s="77" t="n"/>
    </row>
    <row r="439">
      <c r="C439" s="13" t="n"/>
      <c r="D439" s="13" t="n"/>
      <c r="F439" s="13" t="n"/>
      <c r="G439" s="174" t="n"/>
      <c r="H439" s="13" t="n"/>
      <c r="I439" s="13" t="n"/>
      <c r="J439" s="13" t="n"/>
      <c r="K439" s="13" t="n"/>
      <c r="T439" s="13" t="n"/>
      <c r="AY439" s="74" t="n"/>
      <c r="AZ439" s="77" t="inlineStr">
        <is>
          <t>T</t>
        </is>
      </c>
      <c r="BA439" s="77" t="inlineStr">
        <is>
          <t>T</t>
        </is>
      </c>
      <c r="BB439" s="77" t="inlineStr">
        <is>
          <t>T</t>
        </is>
      </c>
      <c r="BC439" s="77" t="inlineStr">
        <is>
          <t>T</t>
        </is>
      </c>
      <c r="BD439" s="77" t="inlineStr">
        <is>
          <t>T</t>
        </is>
      </c>
      <c r="BE439" s="77" t="n"/>
      <c r="BF439" s="77" t="n"/>
      <c r="BG439" s="77" t="n"/>
      <c r="BH439" s="77" t="n"/>
      <c r="BI439" s="77" t="n"/>
      <c r="BJ439" s="77" t="n"/>
      <c r="BK439" s="77" t="n"/>
      <c r="BL439" s="77" t="n"/>
      <c r="BM439" s="77" t="n"/>
      <c r="BN439" s="77" t="n"/>
      <c r="BO439" s="77" t="n"/>
      <c r="BP439" s="77" t="n"/>
      <c r="BQ439" s="77" t="n"/>
      <c r="BR439" s="77" t="n"/>
      <c r="BS439" s="77" t="n"/>
      <c r="BT439" s="77" t="n"/>
      <c r="BU439" s="77" t="n"/>
      <c r="BV439" s="77" t="n"/>
      <c r="BW439" s="77" t="n"/>
      <c r="BX439" s="77" t="n"/>
      <c r="BY439" s="77" t="n"/>
      <c r="BZ439" s="77">
        <f>I439</f>
        <v/>
      </c>
      <c r="CA439" s="77">
        <f>M439</f>
        <v/>
      </c>
      <c r="CB439" s="77" t="n"/>
      <c r="CC439" s="77" t="n"/>
    </row>
    <row r="440">
      <c r="AY440" s="74" t="n"/>
      <c r="AZ440" s="77" t="inlineStr">
        <is>
          <t>T</t>
        </is>
      </c>
      <c r="BA440" s="77" t="inlineStr">
        <is>
          <t>T</t>
        </is>
      </c>
      <c r="BB440" s="77" t="inlineStr">
        <is>
          <t>T</t>
        </is>
      </c>
      <c r="BC440" s="77" t="inlineStr">
        <is>
          <t>T</t>
        </is>
      </c>
      <c r="BD440" s="77" t="inlineStr">
        <is>
          <t>T</t>
        </is>
      </c>
      <c r="BE440" s="77" t="n"/>
      <c r="BF440" s="77" t="n"/>
      <c r="BG440" s="77" t="n"/>
      <c r="BH440" s="77" t="n"/>
      <c r="BI440" s="77" t="n"/>
      <c r="BJ440" s="77" t="n"/>
      <c r="BK440" s="77" t="n"/>
      <c r="BL440" s="77" t="n"/>
      <c r="BM440" s="77" t="n"/>
      <c r="BN440" s="77" t="n"/>
      <c r="BO440" s="77" t="n"/>
      <c r="BP440" s="77" t="n"/>
      <c r="BQ440" s="77" t="n"/>
      <c r="BR440" s="77" t="n"/>
      <c r="BS440" s="77" t="n"/>
      <c r="BT440" s="77" t="n"/>
      <c r="BU440" s="77" t="n"/>
      <c r="BV440" s="77" t="n"/>
      <c r="BW440" s="77" t="n"/>
      <c r="BX440" s="77" t="n"/>
      <c r="BY440" s="77" t="n"/>
      <c r="BZ440" s="77">
        <f>I440</f>
        <v/>
      </c>
      <c r="CA440" s="77">
        <f>M440</f>
        <v/>
      </c>
      <c r="CB440" s="77" t="n"/>
      <c r="CC440" s="77" t="n"/>
    </row>
    <row r="441">
      <c r="C441" s="13" t="n"/>
      <c r="D441" s="13" t="n"/>
      <c r="F441" s="13" t="n"/>
      <c r="G441" s="174" t="n"/>
      <c r="H441" s="13" t="n"/>
      <c r="I441" s="13" t="n"/>
      <c r="J441" s="13" t="n"/>
      <c r="K441" s="13" t="n"/>
      <c r="AY441" s="74" t="n"/>
      <c r="AZ441" s="77" t="inlineStr">
        <is>
          <t>T</t>
        </is>
      </c>
      <c r="BA441" s="77" t="inlineStr">
        <is>
          <t>T</t>
        </is>
      </c>
      <c r="BB441" s="77" t="inlineStr">
        <is>
          <t>T</t>
        </is>
      </c>
      <c r="BC441" s="77" t="inlineStr">
        <is>
          <t>T</t>
        </is>
      </c>
      <c r="BD441" s="77" t="inlineStr">
        <is>
          <t>T</t>
        </is>
      </c>
      <c r="BE441" s="77" t="n"/>
      <c r="BF441" s="77" t="n"/>
      <c r="BG441" s="77" t="n"/>
      <c r="BH441" s="77" t="n"/>
      <c r="BI441" s="77" t="n"/>
      <c r="BJ441" s="77" t="n"/>
      <c r="BK441" s="77" t="n"/>
      <c r="BL441" s="77" t="n"/>
      <c r="BM441" s="77" t="n"/>
      <c r="BN441" s="77" t="n"/>
      <c r="BO441" s="77" t="n"/>
      <c r="BP441" s="77" t="n"/>
      <c r="BQ441" s="77" t="n"/>
      <c r="BR441" s="77" t="n"/>
      <c r="BS441" s="77" t="n"/>
      <c r="BT441" s="77" t="n"/>
      <c r="BU441" s="77" t="n"/>
      <c r="BV441" s="77" t="n"/>
      <c r="BW441" s="77" t="n"/>
      <c r="BX441" s="77" t="n"/>
      <c r="BY441" s="77" t="n"/>
      <c r="BZ441" s="77">
        <f>I441</f>
        <v/>
      </c>
      <c r="CA441" s="77">
        <f>M441</f>
        <v/>
      </c>
      <c r="CB441" s="77" t="n"/>
      <c r="CC441" s="77" t="n"/>
    </row>
    <row r="442">
      <c r="AY442" s="74" t="n"/>
      <c r="AZ442" s="77" t="inlineStr">
        <is>
          <t>T</t>
        </is>
      </c>
      <c r="BA442" s="77" t="inlineStr">
        <is>
          <t>T</t>
        </is>
      </c>
      <c r="BB442" s="77" t="inlineStr">
        <is>
          <t>T</t>
        </is>
      </c>
      <c r="BC442" s="77" t="inlineStr">
        <is>
          <t>T</t>
        </is>
      </c>
      <c r="BD442" s="77" t="inlineStr">
        <is>
          <t>T</t>
        </is>
      </c>
      <c r="BE442" s="77" t="n"/>
      <c r="BF442" s="77" t="n"/>
      <c r="BG442" s="77" t="n"/>
      <c r="BH442" s="77" t="n"/>
      <c r="BI442" s="77" t="n"/>
      <c r="BJ442" s="77" t="n"/>
      <c r="BK442" s="77" t="n"/>
      <c r="BL442" s="77" t="n"/>
      <c r="BM442" s="77" t="n"/>
      <c r="BN442" s="77" t="n"/>
      <c r="BO442" s="77" t="n"/>
      <c r="BP442" s="77" t="n"/>
      <c r="BQ442" s="77" t="n"/>
      <c r="BR442" s="77" t="n"/>
      <c r="BS442" s="77" t="n"/>
      <c r="BT442" s="77" t="n"/>
      <c r="BU442" s="77" t="n"/>
      <c r="BV442" s="77" t="n"/>
      <c r="BW442" s="77" t="n"/>
      <c r="BX442" s="77" t="n"/>
      <c r="BY442" s="77" t="n"/>
      <c r="BZ442" s="77">
        <f>I442</f>
        <v/>
      </c>
      <c r="CA442" s="77">
        <f>M442</f>
        <v/>
      </c>
      <c r="CB442" s="77" t="n"/>
      <c r="CC442" s="77" t="n"/>
    </row>
    <row r="443">
      <c r="C443" s="13" t="n"/>
      <c r="D443" s="13" t="n"/>
      <c r="I443" s="13" t="n"/>
      <c r="J443" s="13" t="n"/>
      <c r="K443" s="13" t="n"/>
      <c r="AY443" s="74" t="n"/>
      <c r="AZ443" s="77" t="inlineStr">
        <is>
          <t>T</t>
        </is>
      </c>
      <c r="BA443" s="77" t="inlineStr">
        <is>
          <t>T</t>
        </is>
      </c>
      <c r="BB443" s="77" t="inlineStr">
        <is>
          <t>T</t>
        </is>
      </c>
      <c r="BC443" s="77" t="inlineStr">
        <is>
          <t>T</t>
        </is>
      </c>
      <c r="BD443" s="77" t="inlineStr">
        <is>
          <t>T</t>
        </is>
      </c>
      <c r="BE443" s="77" t="n"/>
      <c r="BF443" s="77" t="n"/>
      <c r="BG443" s="77" t="n"/>
      <c r="BH443" s="77" t="n"/>
      <c r="BI443" s="77" t="n"/>
      <c r="BJ443" s="77" t="n"/>
      <c r="BK443" s="77" t="n"/>
      <c r="BL443" s="77" t="n"/>
      <c r="BM443" s="77" t="n"/>
      <c r="BN443" s="77" t="n"/>
      <c r="BO443" s="77" t="n"/>
      <c r="BP443" s="77" t="n"/>
      <c r="BQ443" s="77" t="n"/>
      <c r="BR443" s="77" t="n"/>
      <c r="BS443" s="77" t="n"/>
      <c r="BT443" s="77" t="n"/>
      <c r="BU443" s="77" t="n"/>
      <c r="BV443" s="77" t="n"/>
      <c r="BW443" s="77" t="n"/>
      <c r="BX443" s="77" t="n"/>
      <c r="BY443" s="77" t="n"/>
      <c r="BZ443" s="77">
        <f>I443</f>
        <v/>
      </c>
      <c r="CA443" s="77">
        <f>M443</f>
        <v/>
      </c>
      <c r="CB443" s="77" t="n"/>
      <c r="CC443" s="77" t="n"/>
    </row>
    <row r="444">
      <c r="AY444" s="74" t="n"/>
      <c r="AZ444" s="77" t="inlineStr">
        <is>
          <t>T</t>
        </is>
      </c>
      <c r="BA444" s="77" t="inlineStr">
        <is>
          <t>T</t>
        </is>
      </c>
      <c r="BB444" s="77" t="inlineStr">
        <is>
          <t>T</t>
        </is>
      </c>
      <c r="BC444" s="77" t="inlineStr">
        <is>
          <t>T</t>
        </is>
      </c>
      <c r="BD444" s="77" t="inlineStr">
        <is>
          <t>T</t>
        </is>
      </c>
      <c r="BE444" s="77" t="n"/>
      <c r="BF444" s="77" t="n"/>
      <c r="BG444" s="77" t="n"/>
      <c r="BH444" s="77" t="n"/>
      <c r="BI444" s="77" t="n"/>
      <c r="BJ444" s="77" t="n"/>
      <c r="BK444" s="77" t="n"/>
      <c r="BL444" s="77" t="n"/>
      <c r="BM444" s="77" t="n"/>
      <c r="BN444" s="77" t="n"/>
      <c r="BO444" s="77" t="n"/>
      <c r="BP444" s="77" t="n"/>
      <c r="BQ444" s="77" t="n"/>
      <c r="BR444" s="77" t="n"/>
      <c r="BS444" s="77" t="n"/>
      <c r="BT444" s="77" t="n"/>
      <c r="BU444" s="77" t="n"/>
      <c r="BV444" s="77" t="n"/>
      <c r="BW444" s="77" t="n"/>
      <c r="BX444" s="77" t="n"/>
      <c r="BY444" s="77" t="n"/>
      <c r="BZ444" s="77">
        <f>I444</f>
        <v/>
      </c>
      <c r="CA444" s="77">
        <f>M444</f>
        <v/>
      </c>
      <c r="CB444" s="77" t="n"/>
      <c r="CC444" s="77" t="n"/>
    </row>
    <row r="445">
      <c r="C445" s="13" t="n"/>
      <c r="D445" s="13" t="n"/>
      <c r="I445" s="13" t="n"/>
      <c r="J445" s="13" t="n"/>
      <c r="K445" s="13" t="n"/>
      <c r="AY445" s="74" t="n"/>
      <c r="AZ445" s="77" t="inlineStr">
        <is>
          <t>T</t>
        </is>
      </c>
      <c r="BA445" s="77" t="inlineStr">
        <is>
          <t>T</t>
        </is>
      </c>
      <c r="BB445" s="77" t="inlineStr">
        <is>
          <t>T</t>
        </is>
      </c>
      <c r="BC445" s="77" t="inlineStr">
        <is>
          <t>T</t>
        </is>
      </c>
      <c r="BD445" s="77" t="inlineStr">
        <is>
          <t>T</t>
        </is>
      </c>
      <c r="BE445" s="77" t="n"/>
      <c r="BF445" s="77" t="n"/>
      <c r="BG445" s="77" t="n"/>
      <c r="BH445" s="77" t="n"/>
      <c r="BI445" s="77" t="n"/>
      <c r="BJ445" s="77" t="n"/>
      <c r="BK445" s="77" t="n"/>
      <c r="BL445" s="77" t="n"/>
      <c r="BM445" s="77" t="n"/>
      <c r="BN445" s="77" t="n"/>
      <c r="BO445" s="77" t="n"/>
      <c r="BP445" s="77" t="n"/>
      <c r="BQ445" s="77" t="n"/>
      <c r="BR445" s="77" t="n"/>
      <c r="BS445" s="77" t="n"/>
      <c r="BT445" s="77" t="n"/>
      <c r="BU445" s="77" t="n"/>
      <c r="BV445" s="77" t="n"/>
      <c r="BW445" s="77" t="n"/>
      <c r="BX445" s="77" t="n"/>
      <c r="BY445" s="77" t="n"/>
      <c r="BZ445" s="77">
        <f>I445</f>
        <v/>
      </c>
      <c r="CA445" s="77">
        <f>M445</f>
        <v/>
      </c>
      <c r="CB445" s="77" t="n"/>
      <c r="CC445" s="77" t="n"/>
    </row>
    <row r="446">
      <c r="AY446" s="74" t="n"/>
      <c r="AZ446" s="77" t="inlineStr">
        <is>
          <t>T</t>
        </is>
      </c>
      <c r="BA446" s="77" t="inlineStr">
        <is>
          <t>T</t>
        </is>
      </c>
      <c r="BB446" s="77" t="inlineStr">
        <is>
          <t>T</t>
        </is>
      </c>
      <c r="BC446" s="77" t="inlineStr">
        <is>
          <t>T</t>
        </is>
      </c>
      <c r="BD446" s="77" t="inlineStr">
        <is>
          <t>T</t>
        </is>
      </c>
      <c r="BE446" s="77" t="n"/>
      <c r="BF446" s="77" t="n"/>
      <c r="BG446" s="77" t="n"/>
      <c r="BH446" s="77" t="n"/>
      <c r="BI446" s="77" t="n"/>
      <c r="BJ446" s="77" t="n"/>
      <c r="BK446" s="77" t="n"/>
      <c r="BL446" s="77" t="n"/>
      <c r="BM446" s="77" t="n"/>
      <c r="BN446" s="77" t="n"/>
      <c r="BO446" s="77" t="n"/>
      <c r="BP446" s="77" t="n"/>
      <c r="BQ446" s="77" t="n"/>
      <c r="BR446" s="77" t="n"/>
      <c r="BS446" s="77" t="n"/>
      <c r="BT446" s="77" t="n"/>
      <c r="BU446" s="77" t="n"/>
      <c r="BV446" s="77" t="n"/>
      <c r="BW446" s="77" t="n"/>
      <c r="BX446" s="77" t="n"/>
      <c r="BY446" s="77" t="n"/>
      <c r="BZ446" s="77">
        <f>I446</f>
        <v/>
      </c>
      <c r="CA446" s="77">
        <f>M446</f>
        <v/>
      </c>
      <c r="CB446" s="77" t="n"/>
      <c r="CC446" s="77" t="n"/>
    </row>
    <row r="447">
      <c r="C447" s="13" t="n"/>
      <c r="D447" s="13" t="n"/>
      <c r="I447" s="13" t="n"/>
      <c r="J447" s="13" t="n"/>
      <c r="K447" s="13" t="n"/>
      <c r="AY447" s="74" t="n"/>
      <c r="AZ447" s="77" t="inlineStr">
        <is>
          <t>T</t>
        </is>
      </c>
      <c r="BA447" s="77" t="inlineStr">
        <is>
          <t>T</t>
        </is>
      </c>
      <c r="BB447" s="77" t="inlineStr">
        <is>
          <t>T</t>
        </is>
      </c>
      <c r="BC447" s="77" t="inlineStr">
        <is>
          <t>T</t>
        </is>
      </c>
      <c r="BD447" s="77" t="inlineStr">
        <is>
          <t>T</t>
        </is>
      </c>
      <c r="BE447" s="77" t="n"/>
      <c r="BF447" s="77" t="n"/>
      <c r="BG447" s="77" t="n"/>
      <c r="BH447" s="77" t="n"/>
      <c r="BI447" s="77" t="n"/>
      <c r="BJ447" s="77" t="n"/>
      <c r="BK447" s="77" t="n"/>
      <c r="BL447" s="77" t="n"/>
      <c r="BM447" s="77" t="n"/>
      <c r="BN447" s="77" t="n"/>
      <c r="BO447" s="77" t="n"/>
      <c r="BP447" s="77" t="n"/>
      <c r="BQ447" s="77" t="n"/>
      <c r="BR447" s="77" t="n"/>
      <c r="BS447" s="77" t="n"/>
      <c r="BT447" s="77" t="n"/>
      <c r="BU447" s="77" t="n"/>
      <c r="BV447" s="77" t="n"/>
      <c r="BW447" s="77" t="n"/>
      <c r="BX447" s="77" t="n"/>
      <c r="BY447" s="77" t="n"/>
      <c r="BZ447" s="77">
        <f>I447</f>
        <v/>
      </c>
      <c r="CA447" s="77">
        <f>M447</f>
        <v/>
      </c>
      <c r="CB447" s="77" t="n"/>
      <c r="CC447" s="77" t="n"/>
    </row>
    <row r="448">
      <c r="T448" s="13" t="n"/>
      <c r="AY448" s="74" t="n"/>
      <c r="AZ448" s="77" t="inlineStr">
        <is>
          <t>T</t>
        </is>
      </c>
      <c r="BA448" s="77" t="inlineStr">
        <is>
          <t>T</t>
        </is>
      </c>
      <c r="BB448" s="77" t="inlineStr">
        <is>
          <t>T</t>
        </is>
      </c>
      <c r="BC448" s="77" t="inlineStr">
        <is>
          <t>T</t>
        </is>
      </c>
      <c r="BD448" s="77" t="inlineStr">
        <is>
          <t>T</t>
        </is>
      </c>
      <c r="BE448" s="77" t="n"/>
      <c r="BF448" s="77" t="n"/>
      <c r="BG448" s="77" t="n"/>
      <c r="BH448" s="77" t="n"/>
      <c r="BI448" s="77" t="n"/>
      <c r="BJ448" s="77" t="n"/>
      <c r="BK448" s="77" t="n"/>
      <c r="BL448" s="77" t="n"/>
      <c r="BM448" s="77" t="n"/>
      <c r="BN448" s="77" t="n"/>
      <c r="BO448" s="77" t="n"/>
      <c r="BP448" s="77" t="n"/>
      <c r="BQ448" s="77" t="n"/>
      <c r="BR448" s="77" t="n"/>
      <c r="BS448" s="77" t="n"/>
      <c r="BT448" s="77" t="n"/>
      <c r="BU448" s="77" t="n"/>
      <c r="BV448" s="77" t="n"/>
      <c r="BW448" s="77" t="n"/>
      <c r="BX448" s="77" t="n"/>
      <c r="BY448" s="77" t="n"/>
      <c r="BZ448" s="77">
        <f>I448</f>
        <v/>
      </c>
      <c r="CA448" s="77">
        <f>M448</f>
        <v/>
      </c>
      <c r="CB448" s="77" t="n"/>
      <c r="CC448" s="77" t="n"/>
    </row>
    <row r="449">
      <c r="B449" s="6" t="n"/>
      <c r="C449" s="13" t="n"/>
      <c r="D449" s="13" t="n"/>
      <c r="L449" s="15" t="n"/>
      <c r="P449" s="15" t="n"/>
      <c r="Q449" s="15" t="n"/>
      <c r="S449" s="15" t="n"/>
      <c r="T449" s="13" t="n"/>
      <c r="X449" s="15" t="n"/>
      <c r="AE449" s="15" t="n"/>
      <c r="AG449" s="15" t="n"/>
      <c r="AH449" s="15" t="n"/>
      <c r="AI449" s="15" t="n"/>
      <c r="AJ449" s="15" t="n"/>
      <c r="AR449" s="15" t="n"/>
      <c r="AS449" s="15" t="n"/>
      <c r="AT449" s="15" t="n"/>
      <c r="AW449" s="15" t="n"/>
      <c r="AX449" s="15" t="n"/>
      <c r="AY449" s="74" t="n"/>
      <c r="AZ449" s="77" t="inlineStr">
        <is>
          <t>T</t>
        </is>
      </c>
      <c r="BA449" s="77" t="inlineStr">
        <is>
          <t>T</t>
        </is>
      </c>
      <c r="BB449" s="77" t="inlineStr">
        <is>
          <t>T</t>
        </is>
      </c>
      <c r="BC449" s="77" t="inlineStr">
        <is>
          <t>T</t>
        </is>
      </c>
      <c r="BD449" s="77" t="inlineStr">
        <is>
          <t>T</t>
        </is>
      </c>
      <c r="BE449" s="77" t="n"/>
      <c r="BF449" s="77" t="n"/>
      <c r="BG449" s="77" t="n"/>
      <c r="BH449" s="77" t="n"/>
      <c r="BI449" s="77" t="n"/>
      <c r="BJ449" s="77" t="n"/>
      <c r="BK449" s="77" t="n"/>
      <c r="BL449" s="77" t="n"/>
      <c r="BM449" s="77" t="n"/>
      <c r="BN449" s="77" t="n"/>
      <c r="BO449" s="77" t="n"/>
      <c r="BP449" s="77" t="n"/>
      <c r="BQ449" s="77" t="n"/>
      <c r="BR449" s="77" t="n"/>
      <c r="BS449" s="77" t="n"/>
      <c r="BT449" s="77" t="n"/>
      <c r="BU449" s="77" t="n"/>
      <c r="BV449" s="77" t="n"/>
      <c r="BW449" s="77" t="n"/>
      <c r="BX449" s="77" t="n"/>
      <c r="BY449" s="77" t="n"/>
      <c r="BZ449" s="77">
        <f>I449</f>
        <v/>
      </c>
      <c r="CA449" s="77">
        <f>M449</f>
        <v/>
      </c>
      <c r="CB449" s="77" t="n"/>
      <c r="CC449" s="77" t="n"/>
    </row>
    <row r="450">
      <c r="T450" s="13" t="n"/>
      <c r="AY450" s="74" t="n"/>
      <c r="AZ450" s="77" t="inlineStr">
        <is>
          <t>T</t>
        </is>
      </c>
      <c r="BA450" s="77" t="inlineStr">
        <is>
          <t>T</t>
        </is>
      </c>
      <c r="BB450" s="77" t="inlineStr">
        <is>
          <t>T</t>
        </is>
      </c>
      <c r="BC450" s="77" t="inlineStr">
        <is>
          <t>T</t>
        </is>
      </c>
      <c r="BD450" s="77" t="inlineStr">
        <is>
          <t>T</t>
        </is>
      </c>
      <c r="BE450" s="77" t="n"/>
      <c r="BF450" s="77" t="n"/>
      <c r="BG450" s="77" t="n"/>
      <c r="BH450" s="77" t="n"/>
      <c r="BI450" s="77" t="n"/>
      <c r="BJ450" s="77" t="n"/>
      <c r="BK450" s="77" t="n"/>
      <c r="BL450" s="77" t="n"/>
      <c r="BM450" s="77" t="n"/>
      <c r="BN450" s="77" t="n"/>
      <c r="BO450" s="77" t="n"/>
      <c r="BP450" s="77" t="n"/>
      <c r="BQ450" s="77" t="n"/>
      <c r="BR450" s="77" t="n"/>
      <c r="BS450" s="77" t="n"/>
      <c r="BT450" s="77" t="n"/>
      <c r="BU450" s="77" t="n"/>
      <c r="BV450" s="77" t="n"/>
      <c r="BW450" s="77" t="n"/>
      <c r="BX450" s="77" t="n"/>
      <c r="BY450" s="77" t="n"/>
      <c r="BZ450" s="77">
        <f>I450</f>
        <v/>
      </c>
      <c r="CA450" s="77">
        <f>M450</f>
        <v/>
      </c>
      <c r="CB450" s="77" t="n"/>
      <c r="CC450" s="77" t="n"/>
    </row>
    <row r="451">
      <c r="B451" s="7" t="n"/>
      <c r="C451" s="13" t="n"/>
      <c r="D451" s="13" t="n"/>
      <c r="I451" s="13" t="n"/>
      <c r="J451" s="13" t="n"/>
      <c r="K451" s="13" t="n"/>
      <c r="T451" s="13" t="n"/>
      <c r="AY451" s="74" t="n"/>
      <c r="AZ451" s="77" t="inlineStr">
        <is>
          <t>T</t>
        </is>
      </c>
      <c r="BA451" s="77" t="inlineStr">
        <is>
          <t>T</t>
        </is>
      </c>
      <c r="BB451" s="77" t="inlineStr">
        <is>
          <t>T</t>
        </is>
      </c>
      <c r="BC451" s="77" t="inlineStr">
        <is>
          <t>T</t>
        </is>
      </c>
      <c r="BD451" s="77" t="inlineStr">
        <is>
          <t>T</t>
        </is>
      </c>
      <c r="BE451" s="77" t="n"/>
      <c r="BF451" s="77" t="n"/>
      <c r="BG451" s="77" t="n"/>
      <c r="BH451" s="77" t="n"/>
      <c r="BI451" s="77" t="n"/>
      <c r="BJ451" s="77" t="n"/>
      <c r="BK451" s="77" t="n"/>
      <c r="BL451" s="77" t="n"/>
      <c r="BM451" s="77" t="n"/>
      <c r="BN451" s="77" t="n"/>
      <c r="BO451" s="77" t="n"/>
      <c r="BP451" s="77" t="n"/>
      <c r="BQ451" s="77" t="n"/>
      <c r="BR451" s="77" t="n"/>
      <c r="BS451" s="77" t="n"/>
      <c r="BT451" s="77" t="n"/>
      <c r="BU451" s="77" t="n"/>
      <c r="BV451" s="77" t="n"/>
      <c r="BW451" s="77" t="n"/>
      <c r="BX451" s="77" t="n"/>
      <c r="BY451" s="77" t="n"/>
      <c r="BZ451" s="77">
        <f>I451</f>
        <v/>
      </c>
      <c r="CA451" s="77">
        <f>M451</f>
        <v/>
      </c>
      <c r="CB451" s="77" t="n"/>
      <c r="CC451" s="77" t="n"/>
    </row>
    <row r="452">
      <c r="AY452" s="74" t="n"/>
      <c r="AZ452" s="77" t="inlineStr">
        <is>
          <t>T</t>
        </is>
      </c>
      <c r="BA452" s="77" t="inlineStr">
        <is>
          <t>T</t>
        </is>
      </c>
      <c r="BB452" s="77" t="inlineStr">
        <is>
          <t>T</t>
        </is>
      </c>
      <c r="BC452" s="77" t="inlineStr">
        <is>
          <t>T</t>
        </is>
      </c>
      <c r="BD452" s="77" t="inlineStr">
        <is>
          <t>T</t>
        </is>
      </c>
      <c r="BE452" s="77" t="n"/>
      <c r="BF452" s="77" t="n"/>
      <c r="BG452" s="77" t="n"/>
      <c r="BH452" s="77" t="n"/>
      <c r="BI452" s="77" t="n"/>
      <c r="BJ452" s="77" t="n"/>
      <c r="BK452" s="77" t="n"/>
      <c r="BL452" s="77" t="n"/>
      <c r="BM452" s="77" t="n"/>
      <c r="BN452" s="77" t="n"/>
      <c r="BO452" s="77" t="n"/>
      <c r="BP452" s="77" t="n"/>
      <c r="BQ452" s="77" t="n"/>
      <c r="BR452" s="77" t="n"/>
      <c r="BS452" s="77" t="n"/>
      <c r="BT452" s="77" t="n"/>
      <c r="BU452" s="77" t="n"/>
      <c r="BV452" s="77" t="n"/>
      <c r="BW452" s="77" t="n"/>
      <c r="BX452" s="77" t="n"/>
      <c r="BY452" s="77" t="n"/>
      <c r="BZ452" s="77">
        <f>I452</f>
        <v/>
      </c>
      <c r="CA452" s="77">
        <f>M452</f>
        <v/>
      </c>
      <c r="CB452" s="77" t="n"/>
      <c r="CC452" s="77" t="n"/>
    </row>
    <row r="453">
      <c r="C453" s="13" t="n"/>
      <c r="D453" s="13" t="n"/>
      <c r="I453" s="13" t="n"/>
      <c r="J453" s="13" t="n"/>
      <c r="K453" s="13" t="n"/>
      <c r="AY453" s="74" t="n"/>
      <c r="AZ453" s="77" t="inlineStr">
        <is>
          <t>T</t>
        </is>
      </c>
      <c r="BA453" s="77" t="inlineStr">
        <is>
          <t>T</t>
        </is>
      </c>
      <c r="BB453" s="77" t="inlineStr">
        <is>
          <t>T</t>
        </is>
      </c>
      <c r="BC453" s="77" t="inlineStr">
        <is>
          <t>T</t>
        </is>
      </c>
      <c r="BD453" s="77" t="inlineStr">
        <is>
          <t>T</t>
        </is>
      </c>
      <c r="BE453" s="77" t="n"/>
      <c r="BF453" s="77" t="n"/>
      <c r="BG453" s="77" t="n"/>
      <c r="BH453" s="77" t="n"/>
      <c r="BI453" s="77" t="n"/>
      <c r="BJ453" s="77" t="n"/>
      <c r="BK453" s="77" t="n"/>
      <c r="BL453" s="77" t="n"/>
      <c r="BM453" s="77" t="n"/>
      <c r="BN453" s="77" t="n"/>
      <c r="BO453" s="77" t="n"/>
      <c r="BP453" s="77" t="n"/>
      <c r="BQ453" s="77" t="n"/>
      <c r="BR453" s="77" t="n"/>
      <c r="BS453" s="77" t="n"/>
      <c r="BT453" s="77" t="n"/>
      <c r="BU453" s="77" t="n"/>
      <c r="BV453" s="77" t="n"/>
      <c r="BW453" s="77" t="n"/>
      <c r="BX453" s="77" t="n"/>
      <c r="BY453" s="77" t="n"/>
      <c r="BZ453" s="77">
        <f>I453</f>
        <v/>
      </c>
      <c r="CA453" s="77">
        <f>M453</f>
        <v/>
      </c>
      <c r="CB453" s="77" t="n"/>
      <c r="CC453" s="77" t="n"/>
    </row>
    <row r="454">
      <c r="AY454" s="74" t="n"/>
      <c r="AZ454" s="77" t="inlineStr">
        <is>
          <t>T</t>
        </is>
      </c>
      <c r="BA454" s="77" t="inlineStr">
        <is>
          <t>T</t>
        </is>
      </c>
      <c r="BB454" s="77" t="inlineStr">
        <is>
          <t>T</t>
        </is>
      </c>
      <c r="BC454" s="77" t="inlineStr">
        <is>
          <t>T</t>
        </is>
      </c>
      <c r="BD454" s="77" t="inlineStr">
        <is>
          <t>T</t>
        </is>
      </c>
      <c r="BE454" s="77" t="n"/>
      <c r="BF454" s="77" t="n"/>
      <c r="BG454" s="77" t="n"/>
      <c r="BH454" s="77" t="n"/>
      <c r="BI454" s="77" t="n"/>
      <c r="BJ454" s="77" t="n"/>
      <c r="BK454" s="77" t="n"/>
      <c r="BL454" s="77" t="n"/>
      <c r="BM454" s="77" t="n"/>
      <c r="BN454" s="77" t="n"/>
      <c r="BO454" s="77" t="n"/>
      <c r="BP454" s="77" t="n"/>
      <c r="BQ454" s="77" t="n"/>
      <c r="BR454" s="77" t="n"/>
      <c r="BS454" s="77" t="n"/>
      <c r="BT454" s="77" t="n"/>
      <c r="BU454" s="77" t="n"/>
      <c r="BV454" s="77" t="n"/>
      <c r="BW454" s="77" t="n"/>
      <c r="BX454" s="77" t="n"/>
      <c r="BY454" s="77" t="n"/>
      <c r="BZ454" s="77">
        <f>I454</f>
        <v/>
      </c>
      <c r="CA454" s="77">
        <f>M454</f>
        <v/>
      </c>
      <c r="CB454" s="77" t="n"/>
      <c r="CC454" s="77" t="n"/>
    </row>
    <row r="455">
      <c r="C455" s="13" t="n"/>
      <c r="D455" s="13" t="n"/>
      <c r="I455" s="13" t="n"/>
      <c r="J455" s="13" t="n"/>
      <c r="K455" s="13" t="n"/>
      <c r="AY455" s="74" t="n"/>
      <c r="AZ455" s="77" t="inlineStr">
        <is>
          <t>T</t>
        </is>
      </c>
      <c r="BA455" s="77" t="inlineStr">
        <is>
          <t>T</t>
        </is>
      </c>
      <c r="BB455" s="77" t="inlineStr">
        <is>
          <t>T</t>
        </is>
      </c>
      <c r="BC455" s="77" t="inlineStr">
        <is>
          <t>T</t>
        </is>
      </c>
      <c r="BD455" s="77" t="inlineStr">
        <is>
          <t>T</t>
        </is>
      </c>
      <c r="BE455" s="77" t="n"/>
      <c r="BF455" s="77" t="n"/>
      <c r="BG455" s="77" t="n"/>
      <c r="BH455" s="77" t="n"/>
      <c r="BI455" s="77" t="n"/>
      <c r="BJ455" s="77" t="n"/>
      <c r="BK455" s="77" t="n"/>
      <c r="BL455" s="77" t="n"/>
      <c r="BM455" s="77" t="n"/>
      <c r="BN455" s="77" t="n"/>
      <c r="BO455" s="77" t="n"/>
      <c r="BP455" s="77" t="n"/>
      <c r="BQ455" s="77" t="n"/>
      <c r="BR455" s="77" t="n"/>
      <c r="BS455" s="77" t="n"/>
      <c r="BT455" s="77" t="n"/>
      <c r="BU455" s="77" t="n"/>
      <c r="BV455" s="77" t="n"/>
      <c r="BW455" s="77" t="n"/>
      <c r="BX455" s="77" t="n"/>
      <c r="BY455" s="77" t="n"/>
      <c r="BZ455" s="77">
        <f>I455</f>
        <v/>
      </c>
      <c r="CA455" s="77">
        <f>M455</f>
        <v/>
      </c>
      <c r="CB455" s="77" t="n"/>
      <c r="CC455" s="77" t="n"/>
    </row>
    <row r="456">
      <c r="AY456" s="74" t="n"/>
      <c r="AZ456" s="77" t="inlineStr">
        <is>
          <t>T</t>
        </is>
      </c>
      <c r="BA456" s="77" t="inlineStr">
        <is>
          <t>T</t>
        </is>
      </c>
      <c r="BB456" s="77" t="inlineStr">
        <is>
          <t>T</t>
        </is>
      </c>
      <c r="BC456" s="77" t="inlineStr">
        <is>
          <t>T</t>
        </is>
      </c>
      <c r="BD456" s="77" t="inlineStr">
        <is>
          <t>T</t>
        </is>
      </c>
      <c r="BE456" s="77" t="n"/>
      <c r="BF456" s="77" t="n"/>
      <c r="BG456" s="77" t="n"/>
      <c r="BH456" s="77" t="n"/>
      <c r="BI456" s="77" t="n"/>
      <c r="BJ456" s="77" t="n"/>
      <c r="BK456" s="77" t="n"/>
      <c r="BL456" s="77" t="n"/>
      <c r="BM456" s="77" t="n"/>
      <c r="BN456" s="77" t="n"/>
      <c r="BO456" s="77" t="n"/>
      <c r="BP456" s="77" t="n"/>
      <c r="BQ456" s="77" t="n"/>
      <c r="BR456" s="77" t="n"/>
      <c r="BS456" s="77" t="n"/>
      <c r="BT456" s="77" t="n"/>
      <c r="BU456" s="77" t="n"/>
      <c r="BV456" s="77" t="n"/>
      <c r="BW456" s="77" t="n"/>
      <c r="BX456" s="77" t="n"/>
      <c r="BY456" s="77" t="n"/>
      <c r="BZ456" s="77">
        <f>I456</f>
        <v/>
      </c>
      <c r="CA456" s="77">
        <f>M456</f>
        <v/>
      </c>
      <c r="CB456" s="77" t="n"/>
      <c r="CC456" s="77" t="n"/>
    </row>
    <row r="457">
      <c r="C457" s="13" t="n"/>
      <c r="D457" s="13" t="n"/>
      <c r="I457" s="13" t="n"/>
      <c r="J457" s="13" t="n"/>
      <c r="K457" s="13" t="n"/>
      <c r="AY457" s="74" t="n"/>
      <c r="AZ457" s="77" t="inlineStr">
        <is>
          <t>T</t>
        </is>
      </c>
      <c r="BA457" s="77" t="inlineStr">
        <is>
          <t>T</t>
        </is>
      </c>
      <c r="BB457" s="77" t="inlineStr">
        <is>
          <t>T</t>
        </is>
      </c>
      <c r="BC457" s="77" t="inlineStr">
        <is>
          <t>T</t>
        </is>
      </c>
      <c r="BD457" s="77" t="inlineStr">
        <is>
          <t>T</t>
        </is>
      </c>
      <c r="BE457" s="77" t="n"/>
      <c r="BF457" s="77" t="n"/>
      <c r="BG457" s="77" t="n"/>
      <c r="BH457" s="77" t="n"/>
      <c r="BI457" s="77" t="n"/>
      <c r="BJ457" s="77" t="n"/>
      <c r="BK457" s="77" t="n"/>
      <c r="BL457" s="77" t="n"/>
      <c r="BM457" s="77" t="n"/>
      <c r="BN457" s="77" t="n"/>
      <c r="BO457" s="77" t="n"/>
      <c r="BP457" s="77" t="n"/>
      <c r="BQ457" s="77" t="n"/>
      <c r="BR457" s="77" t="n"/>
      <c r="BS457" s="77" t="n"/>
      <c r="BT457" s="77" t="n"/>
      <c r="BU457" s="77" t="n"/>
      <c r="BV457" s="77" t="n"/>
      <c r="BW457" s="77" t="n"/>
      <c r="BX457" s="77" t="n"/>
      <c r="BY457" s="77" t="n"/>
      <c r="BZ457" s="77">
        <f>I457</f>
        <v/>
      </c>
      <c r="CA457" s="77">
        <f>M457</f>
        <v/>
      </c>
      <c r="CB457" s="77" t="n"/>
      <c r="CC457" s="77" t="n"/>
    </row>
    <row r="458">
      <c r="AY458" s="74" t="n"/>
      <c r="AZ458" s="77" t="inlineStr">
        <is>
          <t>T</t>
        </is>
      </c>
      <c r="BA458" s="77" t="inlineStr">
        <is>
          <t>T</t>
        </is>
      </c>
      <c r="BB458" s="77" t="inlineStr">
        <is>
          <t>T</t>
        </is>
      </c>
      <c r="BC458" s="77" t="inlineStr">
        <is>
          <t>T</t>
        </is>
      </c>
      <c r="BD458" s="77" t="inlineStr">
        <is>
          <t>T</t>
        </is>
      </c>
      <c r="BE458" s="77" t="n"/>
      <c r="BF458" s="77" t="n"/>
      <c r="BG458" s="77" t="n"/>
      <c r="BH458" s="77" t="n"/>
      <c r="BI458" s="77" t="n"/>
      <c r="BJ458" s="77" t="n"/>
      <c r="BK458" s="77" t="n"/>
      <c r="BL458" s="77" t="n"/>
      <c r="BM458" s="77" t="n"/>
      <c r="BN458" s="77" t="n"/>
      <c r="BO458" s="77" t="n"/>
      <c r="BP458" s="77" t="n"/>
      <c r="BQ458" s="77" t="n"/>
      <c r="BR458" s="77" t="n"/>
      <c r="BS458" s="77" t="n"/>
      <c r="BT458" s="77" t="n"/>
      <c r="BU458" s="77" t="n"/>
      <c r="BV458" s="77" t="n"/>
      <c r="BW458" s="77" t="n"/>
      <c r="BX458" s="77" t="n"/>
      <c r="BY458" s="77" t="n"/>
      <c r="BZ458" s="77">
        <f>I458</f>
        <v/>
      </c>
      <c r="CA458" s="77">
        <f>M458</f>
        <v/>
      </c>
      <c r="CB458" s="77" t="n"/>
      <c r="CC458" s="77" t="n"/>
    </row>
    <row r="459">
      <c r="C459" s="13" t="n"/>
      <c r="D459" s="13" t="n"/>
      <c r="I459" s="13" t="n"/>
      <c r="J459" s="13" t="n"/>
      <c r="K459" s="13" t="n"/>
      <c r="T459" s="13" t="n"/>
      <c r="AY459" s="74" t="n"/>
      <c r="AZ459" s="77" t="inlineStr">
        <is>
          <t>T</t>
        </is>
      </c>
      <c r="BA459" s="77" t="inlineStr">
        <is>
          <t>T</t>
        </is>
      </c>
      <c r="BB459" s="77" t="inlineStr">
        <is>
          <t>T</t>
        </is>
      </c>
      <c r="BC459" s="77" t="inlineStr">
        <is>
          <t>T</t>
        </is>
      </c>
      <c r="BD459" s="77" t="inlineStr">
        <is>
          <t>T</t>
        </is>
      </c>
      <c r="BE459" s="77" t="n"/>
      <c r="BF459" s="77" t="n"/>
      <c r="BG459" s="77" t="n"/>
      <c r="BH459" s="77" t="n"/>
      <c r="BI459" s="77" t="n"/>
      <c r="BJ459" s="77" t="n"/>
      <c r="BK459" s="77" t="n"/>
      <c r="BL459" s="77" t="n"/>
      <c r="BM459" s="77" t="n"/>
      <c r="BN459" s="77" t="n"/>
      <c r="BO459" s="77" t="n"/>
      <c r="BP459" s="77" t="n"/>
      <c r="BQ459" s="77" t="n"/>
      <c r="BR459" s="77" t="n"/>
      <c r="BS459" s="77" t="n"/>
      <c r="BT459" s="77" t="n"/>
      <c r="BU459" s="77" t="n"/>
      <c r="BV459" s="77" t="n"/>
      <c r="BW459" s="77" t="n"/>
      <c r="BX459" s="77" t="n"/>
      <c r="BY459" s="77" t="n"/>
      <c r="BZ459" s="77">
        <f>I459</f>
        <v/>
      </c>
      <c r="CA459" s="77">
        <f>M459</f>
        <v/>
      </c>
      <c r="CB459" s="77" t="n"/>
      <c r="CC459" s="77" t="n"/>
    </row>
    <row r="460">
      <c r="AY460" s="74" t="n"/>
      <c r="AZ460" s="77" t="inlineStr">
        <is>
          <t>T</t>
        </is>
      </c>
      <c r="BA460" s="77" t="inlineStr">
        <is>
          <t>T</t>
        </is>
      </c>
      <c r="BB460" s="77" t="inlineStr">
        <is>
          <t>T</t>
        </is>
      </c>
      <c r="BC460" s="77" t="inlineStr">
        <is>
          <t>T</t>
        </is>
      </c>
      <c r="BD460" s="77" t="inlineStr">
        <is>
          <t>T</t>
        </is>
      </c>
      <c r="BE460" s="77" t="n"/>
      <c r="BF460" s="77" t="n"/>
      <c r="BG460" s="77" t="n"/>
      <c r="BH460" s="77" t="n"/>
      <c r="BI460" s="77" t="n"/>
      <c r="BJ460" s="77" t="n"/>
      <c r="BK460" s="77" t="n"/>
      <c r="BL460" s="77" t="n"/>
      <c r="BM460" s="77" t="n"/>
      <c r="BN460" s="77" t="n"/>
      <c r="BO460" s="77" t="n"/>
      <c r="BP460" s="77" t="n"/>
      <c r="BQ460" s="77" t="n"/>
      <c r="BR460" s="77" t="n"/>
      <c r="BS460" s="77" t="n"/>
      <c r="BT460" s="77" t="n"/>
      <c r="BU460" s="77" t="n"/>
      <c r="BV460" s="77" t="n"/>
      <c r="BW460" s="77" t="n"/>
      <c r="BX460" s="77" t="n"/>
      <c r="BY460" s="77" t="n"/>
      <c r="BZ460" s="77">
        <f>I460</f>
        <v/>
      </c>
      <c r="CA460" s="77">
        <f>M460</f>
        <v/>
      </c>
      <c r="CB460" s="77" t="n"/>
      <c r="CC460" s="77" t="n"/>
    </row>
    <row r="461">
      <c r="C461" s="13" t="n"/>
      <c r="D461" s="13" t="n"/>
      <c r="I461" s="13" t="n"/>
      <c r="J461" s="13" t="n"/>
      <c r="K461" s="13" t="n"/>
      <c r="T461" s="13" t="n"/>
      <c r="AY461" s="74" t="n"/>
      <c r="AZ461" s="77" t="inlineStr">
        <is>
          <t>T</t>
        </is>
      </c>
      <c r="BA461" s="77" t="inlineStr">
        <is>
          <t>T</t>
        </is>
      </c>
      <c r="BB461" s="77" t="inlineStr">
        <is>
          <t>T</t>
        </is>
      </c>
      <c r="BC461" s="77" t="inlineStr">
        <is>
          <t>T</t>
        </is>
      </c>
      <c r="BD461" s="77" t="inlineStr">
        <is>
          <t>T</t>
        </is>
      </c>
      <c r="BE461" s="77" t="n"/>
      <c r="BF461" s="77" t="n"/>
      <c r="BG461" s="77" t="n"/>
      <c r="BH461" s="77" t="n"/>
      <c r="BI461" s="77" t="n"/>
      <c r="BJ461" s="77" t="n"/>
      <c r="BK461" s="77" t="n"/>
      <c r="BL461" s="77" t="n"/>
      <c r="BM461" s="77" t="n"/>
      <c r="BN461" s="77" t="n"/>
      <c r="BO461" s="77" t="n"/>
      <c r="BP461" s="77" t="n"/>
      <c r="BQ461" s="77" t="n"/>
      <c r="BR461" s="77" t="n"/>
      <c r="BS461" s="77" t="n"/>
      <c r="BT461" s="77" t="n"/>
      <c r="BU461" s="77" t="n"/>
      <c r="BV461" s="77" t="n"/>
      <c r="BW461" s="77" t="n"/>
      <c r="BX461" s="77" t="n"/>
      <c r="BY461" s="77" t="n"/>
      <c r="BZ461" s="77">
        <f>I461</f>
        <v/>
      </c>
      <c r="CA461" s="77">
        <f>M461</f>
        <v/>
      </c>
      <c r="CB461" s="77" t="n"/>
      <c r="CC461" s="77" t="n"/>
    </row>
    <row r="462">
      <c r="AY462" s="74" t="n"/>
      <c r="AZ462" s="77" t="inlineStr">
        <is>
          <t>T</t>
        </is>
      </c>
      <c r="BA462" s="77" t="inlineStr">
        <is>
          <t>T</t>
        </is>
      </c>
      <c r="BB462" s="77" t="inlineStr">
        <is>
          <t>T</t>
        </is>
      </c>
      <c r="BC462" s="77" t="inlineStr">
        <is>
          <t>T</t>
        </is>
      </c>
      <c r="BD462" s="77" t="inlineStr">
        <is>
          <t>T</t>
        </is>
      </c>
      <c r="BE462" s="77" t="n"/>
      <c r="BF462" s="77" t="n"/>
      <c r="BG462" s="77" t="n"/>
      <c r="BH462" s="77" t="n"/>
      <c r="BI462" s="77" t="n"/>
      <c r="BJ462" s="77" t="n"/>
      <c r="BK462" s="77" t="n"/>
      <c r="BL462" s="77" t="n"/>
      <c r="BM462" s="77" t="n"/>
      <c r="BN462" s="77" t="n"/>
      <c r="BO462" s="77" t="n"/>
      <c r="BP462" s="77" t="n"/>
      <c r="BQ462" s="77" t="n"/>
      <c r="BR462" s="77" t="n"/>
      <c r="BS462" s="77" t="n"/>
      <c r="BT462" s="77" t="n"/>
      <c r="BU462" s="77" t="n"/>
      <c r="BV462" s="77" t="n"/>
      <c r="BW462" s="77" t="n"/>
      <c r="BX462" s="77" t="n"/>
      <c r="BY462" s="77" t="n"/>
      <c r="BZ462" s="77">
        <f>I462</f>
        <v/>
      </c>
      <c r="CA462" s="77">
        <f>M462</f>
        <v/>
      </c>
      <c r="CB462" s="77" t="n"/>
      <c r="CC462" s="77" t="n"/>
    </row>
    <row r="463">
      <c r="C463" s="13" t="n"/>
      <c r="D463" s="13" t="n"/>
      <c r="I463" s="13" t="n"/>
      <c r="J463" s="13" t="n"/>
      <c r="K463" s="13" t="n"/>
      <c r="T463" s="13" t="n"/>
      <c r="AY463" s="74" t="n"/>
      <c r="AZ463" s="77" t="inlineStr">
        <is>
          <t>T</t>
        </is>
      </c>
      <c r="BA463" s="77" t="inlineStr">
        <is>
          <t>T</t>
        </is>
      </c>
      <c r="BB463" s="77" t="inlineStr">
        <is>
          <t>T</t>
        </is>
      </c>
      <c r="BC463" s="77" t="inlineStr">
        <is>
          <t>T</t>
        </is>
      </c>
      <c r="BD463" s="77" t="inlineStr">
        <is>
          <t>T</t>
        </is>
      </c>
      <c r="BE463" s="77" t="n"/>
      <c r="BF463" s="77" t="n"/>
      <c r="BG463" s="77" t="n"/>
      <c r="BH463" s="77" t="n"/>
      <c r="BI463" s="77" t="n"/>
      <c r="BJ463" s="77" t="n"/>
      <c r="BK463" s="77" t="n"/>
      <c r="BL463" s="77" t="n"/>
      <c r="BM463" s="77" t="n"/>
      <c r="BN463" s="77" t="n"/>
      <c r="BO463" s="77" t="n"/>
      <c r="BP463" s="77" t="n"/>
      <c r="BQ463" s="77" t="n"/>
      <c r="BR463" s="77" t="n"/>
      <c r="BS463" s="77" t="n"/>
      <c r="BT463" s="77" t="n"/>
      <c r="BU463" s="77" t="n"/>
      <c r="BV463" s="77" t="n"/>
      <c r="BW463" s="77" t="n"/>
      <c r="BX463" s="77" t="n"/>
      <c r="BY463" s="77" t="n"/>
      <c r="BZ463" s="77">
        <f>I463</f>
        <v/>
      </c>
      <c r="CA463" s="77">
        <f>M463</f>
        <v/>
      </c>
      <c r="CB463" s="77" t="n"/>
      <c r="CC463" s="77" t="n"/>
    </row>
    <row r="464">
      <c r="B464" s="6" t="n"/>
      <c r="L464" s="15" t="n"/>
      <c r="P464" s="15" t="n"/>
      <c r="Q464" s="15" t="n"/>
      <c r="S464" s="15" t="n"/>
      <c r="X464" s="15" t="n"/>
      <c r="AE464" s="15" t="n"/>
      <c r="AG464" s="15" t="n"/>
      <c r="AH464" s="15" t="n"/>
      <c r="AI464" s="15" t="n"/>
      <c r="AJ464" s="15" t="n"/>
      <c r="AR464" s="15" t="n"/>
      <c r="AS464" s="15" t="n"/>
      <c r="AT464" s="15" t="n"/>
      <c r="AW464" s="15" t="n"/>
      <c r="AX464" s="15" t="n"/>
      <c r="AY464" s="74" t="n"/>
      <c r="AZ464" s="77" t="inlineStr">
        <is>
          <t>T</t>
        </is>
      </c>
      <c r="BA464" s="77" t="inlineStr">
        <is>
          <t>T</t>
        </is>
      </c>
      <c r="BB464" s="77" t="inlineStr">
        <is>
          <t>T</t>
        </is>
      </c>
      <c r="BC464" s="77" t="inlineStr">
        <is>
          <t>T</t>
        </is>
      </c>
      <c r="BD464" s="77" t="inlineStr">
        <is>
          <t>T</t>
        </is>
      </c>
      <c r="BE464" s="77" t="n"/>
      <c r="BF464" s="77" t="n"/>
      <c r="BG464" s="77" t="n"/>
      <c r="BH464" s="77" t="n"/>
      <c r="BI464" s="77" t="n"/>
      <c r="BJ464" s="77" t="n"/>
      <c r="BK464" s="77" t="n"/>
      <c r="BL464" s="77" t="n"/>
      <c r="BM464" s="77" t="n"/>
      <c r="BN464" s="77" t="n"/>
      <c r="BO464" s="77" t="n"/>
      <c r="BP464" s="77" t="n"/>
      <c r="BQ464" s="77" t="n"/>
      <c r="BR464" s="77" t="n"/>
      <c r="BS464" s="77" t="n"/>
      <c r="BT464" s="77" t="n"/>
      <c r="BU464" s="77" t="n"/>
      <c r="BV464" s="77" t="n"/>
      <c r="BW464" s="77" t="n"/>
      <c r="BX464" s="77" t="n"/>
      <c r="BY464" s="77" t="n"/>
      <c r="BZ464" s="77">
        <f>I464</f>
        <v/>
      </c>
      <c r="CA464" s="77">
        <f>M464</f>
        <v/>
      </c>
      <c r="CB464" s="77" t="n"/>
      <c r="CC464" s="77" t="n"/>
    </row>
    <row r="465">
      <c r="C465" s="13" t="n"/>
      <c r="D465" s="13" t="n"/>
      <c r="I465" s="13" t="n"/>
      <c r="J465" s="13" t="n"/>
      <c r="K465" s="13" t="n"/>
      <c r="T465" s="13" t="n"/>
      <c r="AY465" s="74" t="n"/>
      <c r="AZ465" s="77" t="inlineStr">
        <is>
          <t>T</t>
        </is>
      </c>
      <c r="BA465" s="77" t="inlineStr">
        <is>
          <t>T</t>
        </is>
      </c>
      <c r="BB465" s="77" t="inlineStr">
        <is>
          <t>T</t>
        </is>
      </c>
      <c r="BC465" s="77" t="inlineStr">
        <is>
          <t>T</t>
        </is>
      </c>
      <c r="BD465" s="77" t="inlineStr">
        <is>
          <t>T</t>
        </is>
      </c>
      <c r="BE465" s="77" t="n"/>
      <c r="BF465" s="77" t="n"/>
      <c r="BG465" s="77" t="n"/>
      <c r="BH465" s="77" t="n"/>
      <c r="BI465" s="77" t="n"/>
      <c r="BJ465" s="77" t="n"/>
      <c r="BK465" s="77" t="n"/>
      <c r="BL465" s="77" t="n"/>
      <c r="BM465" s="77" t="n"/>
      <c r="BN465" s="77" t="n"/>
      <c r="BO465" s="77" t="n"/>
      <c r="BP465" s="77" t="n"/>
      <c r="BQ465" s="77" t="n"/>
      <c r="BR465" s="77" t="n"/>
      <c r="BS465" s="77" t="n"/>
      <c r="BT465" s="77" t="n"/>
      <c r="BU465" s="77" t="n"/>
      <c r="BV465" s="77" t="n"/>
      <c r="BW465" s="77" t="n"/>
      <c r="BX465" s="77" t="n"/>
      <c r="BY465" s="77" t="n"/>
      <c r="BZ465" s="77">
        <f>I465</f>
        <v/>
      </c>
      <c r="CA465" s="77">
        <f>M465</f>
        <v/>
      </c>
      <c r="CB465" s="77" t="n"/>
      <c r="CC465" s="77" t="n"/>
    </row>
    <row r="466">
      <c r="B466" s="6" t="n"/>
      <c r="L466" s="15" t="n"/>
      <c r="P466" s="15" t="n"/>
      <c r="Q466" s="15" t="n"/>
      <c r="S466" s="15" t="n"/>
      <c r="X466" s="15" t="n"/>
      <c r="AE466" s="15" t="n"/>
      <c r="AG466" s="15" t="n"/>
      <c r="AH466" s="15" t="n"/>
      <c r="AI466" s="15" t="n"/>
      <c r="AJ466" s="15" t="n"/>
      <c r="AR466" s="15" t="n"/>
      <c r="AS466" s="15" t="n"/>
      <c r="AT466" s="15" t="n"/>
      <c r="AW466" s="15" t="n"/>
      <c r="AX466" s="15" t="n"/>
      <c r="AY466" s="74" t="n"/>
      <c r="AZ466" s="77" t="inlineStr">
        <is>
          <t>T</t>
        </is>
      </c>
      <c r="BA466" s="77" t="inlineStr">
        <is>
          <t>T</t>
        </is>
      </c>
      <c r="BB466" s="77" t="inlineStr">
        <is>
          <t>T</t>
        </is>
      </c>
      <c r="BC466" s="77" t="inlineStr">
        <is>
          <t>T</t>
        </is>
      </c>
      <c r="BD466" s="77" t="inlineStr">
        <is>
          <t>T</t>
        </is>
      </c>
      <c r="BE466" s="77" t="n"/>
      <c r="BF466" s="77" t="n"/>
      <c r="BG466" s="77" t="n"/>
      <c r="BH466" s="77" t="n"/>
      <c r="BI466" s="77" t="n"/>
      <c r="BJ466" s="77" t="n"/>
      <c r="BK466" s="77" t="n"/>
      <c r="BL466" s="77" t="n"/>
      <c r="BM466" s="77" t="n"/>
      <c r="BN466" s="77" t="n"/>
      <c r="BO466" s="77" t="n"/>
      <c r="BP466" s="77" t="n"/>
      <c r="BQ466" s="77" t="n"/>
      <c r="BR466" s="77" t="n"/>
      <c r="BS466" s="77" t="n"/>
      <c r="BT466" s="77" t="n"/>
      <c r="BU466" s="77" t="n"/>
      <c r="BV466" s="77" t="n"/>
      <c r="BW466" s="77" t="n"/>
      <c r="BX466" s="77" t="n"/>
      <c r="BY466" s="77" t="n"/>
      <c r="BZ466" s="77">
        <f>I466</f>
        <v/>
      </c>
      <c r="CA466" s="77">
        <f>M466</f>
        <v/>
      </c>
      <c r="CB466" s="77" t="n"/>
      <c r="CC466" s="77" t="n"/>
    </row>
    <row r="467">
      <c r="C467" s="13" t="n"/>
      <c r="D467" s="13" t="n"/>
      <c r="I467" s="13" t="n"/>
      <c r="J467" s="13" t="n"/>
      <c r="K467" s="13" t="n"/>
      <c r="AY467" s="74" t="n"/>
      <c r="AZ467" s="77" t="inlineStr">
        <is>
          <t>T</t>
        </is>
      </c>
      <c r="BA467" s="77" t="inlineStr">
        <is>
          <t>T</t>
        </is>
      </c>
      <c r="BB467" s="77" t="inlineStr">
        <is>
          <t>T</t>
        </is>
      </c>
      <c r="BC467" s="77" t="inlineStr">
        <is>
          <t>T</t>
        </is>
      </c>
      <c r="BD467" s="77" t="inlineStr">
        <is>
          <t>T</t>
        </is>
      </c>
      <c r="BE467" s="77" t="n"/>
      <c r="BF467" s="77" t="n"/>
      <c r="BG467" s="77" t="n"/>
      <c r="BH467" s="77" t="n"/>
      <c r="BI467" s="77" t="n"/>
      <c r="BJ467" s="77" t="n"/>
      <c r="BK467" s="77" t="n"/>
      <c r="BL467" s="77" t="n"/>
      <c r="BM467" s="77" t="n"/>
      <c r="BN467" s="77" t="n"/>
      <c r="BO467" s="77" t="n"/>
      <c r="BP467" s="77" t="n"/>
      <c r="BQ467" s="77" t="n"/>
      <c r="BR467" s="77" t="n"/>
      <c r="BS467" s="77" t="n"/>
      <c r="BT467" s="77" t="n"/>
      <c r="BU467" s="77" t="n"/>
      <c r="BV467" s="77" t="n"/>
      <c r="BW467" s="77" t="n"/>
      <c r="BX467" s="77" t="n"/>
      <c r="BY467" s="77" t="n"/>
      <c r="BZ467" s="77">
        <f>I467</f>
        <v/>
      </c>
      <c r="CA467" s="77">
        <f>M467</f>
        <v/>
      </c>
      <c r="CB467" s="77" t="n"/>
      <c r="CC467" s="77" t="n"/>
    </row>
    <row r="468">
      <c r="AY468" s="74" t="n"/>
      <c r="AZ468" s="77" t="inlineStr">
        <is>
          <t>T</t>
        </is>
      </c>
      <c r="BA468" s="77" t="inlineStr">
        <is>
          <t>T</t>
        </is>
      </c>
      <c r="BB468" s="77" t="inlineStr">
        <is>
          <t>T</t>
        </is>
      </c>
      <c r="BC468" s="77" t="inlineStr">
        <is>
          <t>T</t>
        </is>
      </c>
      <c r="BD468" s="77" t="inlineStr">
        <is>
          <t>T</t>
        </is>
      </c>
      <c r="BE468" s="77" t="n"/>
      <c r="BF468" s="77" t="n"/>
      <c r="BG468" s="77" t="n"/>
      <c r="BH468" s="77" t="n"/>
      <c r="BI468" s="77" t="n"/>
      <c r="BJ468" s="77" t="n"/>
      <c r="BK468" s="77" t="n"/>
      <c r="BL468" s="77" t="n"/>
      <c r="BM468" s="77" t="n"/>
      <c r="BN468" s="77" t="n"/>
      <c r="BO468" s="77" t="n"/>
      <c r="BP468" s="77" t="n"/>
      <c r="BQ468" s="77" t="n"/>
      <c r="BR468" s="77" t="n"/>
      <c r="BS468" s="77" t="n"/>
      <c r="BT468" s="77" t="n"/>
      <c r="BU468" s="77" t="n"/>
      <c r="BV468" s="77" t="n"/>
      <c r="BW468" s="77" t="n"/>
      <c r="BX468" s="77" t="n"/>
      <c r="BY468" s="77" t="n"/>
      <c r="BZ468" s="77">
        <f>I468</f>
        <v/>
      </c>
      <c r="CA468" s="77">
        <f>M468</f>
        <v/>
      </c>
      <c r="CB468" s="77" t="n"/>
      <c r="CC468" s="77" t="n"/>
    </row>
    <row r="469">
      <c r="C469" s="13" t="n"/>
      <c r="D469" s="13" t="n"/>
      <c r="I469" s="13" t="n"/>
      <c r="J469" s="13" t="n"/>
      <c r="K469" s="13" t="n"/>
      <c r="AY469" s="74" t="n"/>
      <c r="AZ469" s="77" t="inlineStr">
        <is>
          <t>T</t>
        </is>
      </c>
      <c r="BA469" s="77" t="inlineStr">
        <is>
          <t>T</t>
        </is>
      </c>
      <c r="BB469" s="77" t="inlineStr">
        <is>
          <t>T</t>
        </is>
      </c>
      <c r="BC469" s="77" t="inlineStr">
        <is>
          <t>T</t>
        </is>
      </c>
      <c r="BD469" s="77" t="inlineStr">
        <is>
          <t>T</t>
        </is>
      </c>
      <c r="BE469" s="77" t="n"/>
      <c r="BF469" s="77" t="n"/>
      <c r="BG469" s="77" t="n"/>
      <c r="BH469" s="77" t="n"/>
      <c r="BI469" s="77" t="n"/>
      <c r="BJ469" s="77" t="n"/>
      <c r="BK469" s="77" t="n"/>
      <c r="BL469" s="77" t="n"/>
      <c r="BM469" s="77" t="n"/>
      <c r="BN469" s="77" t="n"/>
      <c r="BO469" s="77" t="n"/>
      <c r="BP469" s="77" t="n"/>
      <c r="BQ469" s="77" t="n"/>
      <c r="BR469" s="77" t="n"/>
      <c r="BS469" s="77" t="n"/>
      <c r="BT469" s="77" t="n"/>
      <c r="BU469" s="77" t="n"/>
      <c r="BV469" s="77" t="n"/>
      <c r="BW469" s="77" t="n"/>
      <c r="BX469" s="77" t="n"/>
      <c r="BY469" s="77" t="n"/>
      <c r="BZ469" s="77">
        <f>I469</f>
        <v/>
      </c>
      <c r="CA469" s="77">
        <f>M469</f>
        <v/>
      </c>
      <c r="CB469" s="77" t="n"/>
      <c r="CC469" s="77" t="n"/>
    </row>
    <row r="470">
      <c r="AY470" s="74" t="n"/>
      <c r="AZ470" s="77" t="inlineStr">
        <is>
          <t>T</t>
        </is>
      </c>
      <c r="BA470" s="77" t="inlineStr">
        <is>
          <t>T</t>
        </is>
      </c>
      <c r="BB470" s="77" t="inlineStr">
        <is>
          <t>T</t>
        </is>
      </c>
      <c r="BC470" s="77" t="inlineStr">
        <is>
          <t>T</t>
        </is>
      </c>
      <c r="BD470" s="77" t="inlineStr">
        <is>
          <t>T</t>
        </is>
      </c>
      <c r="BE470" s="77" t="n"/>
      <c r="BF470" s="77" t="n"/>
      <c r="BG470" s="77" t="n"/>
      <c r="BH470" s="77" t="n"/>
      <c r="BI470" s="77" t="n"/>
      <c r="BJ470" s="77" t="n"/>
      <c r="BK470" s="77" t="n"/>
      <c r="BL470" s="77" t="n"/>
      <c r="BM470" s="77" t="n"/>
      <c r="BN470" s="77" t="n"/>
      <c r="BO470" s="77" t="n"/>
      <c r="BP470" s="77" t="n"/>
      <c r="BQ470" s="77" t="n"/>
      <c r="BR470" s="77" t="n"/>
      <c r="BS470" s="77" t="n"/>
      <c r="BT470" s="77" t="n"/>
      <c r="BU470" s="77" t="n"/>
      <c r="BV470" s="77" t="n"/>
      <c r="BW470" s="77" t="n"/>
      <c r="BX470" s="77" t="n"/>
      <c r="BY470" s="77" t="n"/>
      <c r="BZ470" s="77">
        <f>I470</f>
        <v/>
      </c>
      <c r="CA470" s="77">
        <f>M470</f>
        <v/>
      </c>
      <c r="CB470" s="77" t="n"/>
      <c r="CC470" s="77" t="n"/>
    </row>
    <row r="471">
      <c r="C471" s="13" t="n"/>
      <c r="D471" s="13" t="n"/>
      <c r="I471" s="13" t="n"/>
      <c r="J471" s="13" t="n"/>
      <c r="K471" s="13" t="n"/>
      <c r="AY471" s="74" t="n"/>
      <c r="AZ471" s="77" t="inlineStr">
        <is>
          <t>T</t>
        </is>
      </c>
      <c r="BA471" s="77" t="inlineStr">
        <is>
          <t>T</t>
        </is>
      </c>
      <c r="BB471" s="77" t="inlineStr">
        <is>
          <t>T</t>
        </is>
      </c>
      <c r="BC471" s="77" t="inlineStr">
        <is>
          <t>T</t>
        </is>
      </c>
      <c r="BD471" s="77" t="inlineStr">
        <is>
          <t>T</t>
        </is>
      </c>
      <c r="BE471" s="77" t="n"/>
      <c r="BF471" s="77" t="n"/>
      <c r="BG471" s="77" t="n"/>
      <c r="BH471" s="77" t="n"/>
      <c r="BI471" s="77" t="n"/>
      <c r="BJ471" s="77" t="n"/>
      <c r="BK471" s="77" t="n"/>
      <c r="BL471" s="77" t="n"/>
      <c r="BM471" s="77" t="n"/>
      <c r="BN471" s="77" t="n"/>
      <c r="BO471" s="77" t="n"/>
      <c r="BP471" s="77" t="n"/>
      <c r="BQ471" s="77" t="n"/>
      <c r="BR471" s="77" t="n"/>
      <c r="BS471" s="77" t="n"/>
      <c r="BT471" s="77" t="n"/>
      <c r="BU471" s="77" t="n"/>
      <c r="BV471" s="77" t="n"/>
      <c r="BW471" s="77" t="n"/>
      <c r="BX471" s="77" t="n"/>
      <c r="BY471" s="77" t="n"/>
      <c r="BZ471" s="77">
        <f>I471</f>
        <v/>
      </c>
      <c r="CA471" s="77">
        <f>M471</f>
        <v/>
      </c>
      <c r="CB471" s="77" t="n"/>
      <c r="CC471" s="77" t="n"/>
    </row>
    <row r="472">
      <c r="AY472" s="74" t="n"/>
      <c r="AZ472" s="77" t="inlineStr">
        <is>
          <t>T</t>
        </is>
      </c>
      <c r="BA472" s="77" t="inlineStr">
        <is>
          <t>T</t>
        </is>
      </c>
      <c r="BB472" s="77" t="inlineStr">
        <is>
          <t>T</t>
        </is>
      </c>
      <c r="BC472" s="77" t="inlineStr">
        <is>
          <t>T</t>
        </is>
      </c>
      <c r="BD472" s="77" t="inlineStr">
        <is>
          <t>T</t>
        </is>
      </c>
      <c r="BE472" s="77" t="n"/>
      <c r="BF472" s="77" t="n"/>
      <c r="BG472" s="77" t="n"/>
      <c r="BH472" s="77" t="n"/>
      <c r="BI472" s="77" t="n"/>
      <c r="BJ472" s="77" t="n"/>
      <c r="BK472" s="77" t="n"/>
      <c r="BL472" s="77" t="n"/>
      <c r="BM472" s="77" t="n"/>
      <c r="BN472" s="77" t="n"/>
      <c r="BO472" s="77" t="n"/>
      <c r="BP472" s="77" t="n"/>
      <c r="BQ472" s="77" t="n"/>
      <c r="BR472" s="77" t="n"/>
      <c r="BS472" s="77" t="n"/>
      <c r="BT472" s="77" t="n"/>
      <c r="BU472" s="77" t="n"/>
      <c r="BV472" s="77" t="n"/>
      <c r="BW472" s="77" t="n"/>
      <c r="BX472" s="77" t="n"/>
      <c r="BY472" s="77" t="n"/>
      <c r="BZ472" s="77">
        <f>I472</f>
        <v/>
      </c>
      <c r="CA472" s="77">
        <f>M472</f>
        <v/>
      </c>
      <c r="CB472" s="77" t="n"/>
      <c r="CC472" s="77" t="n"/>
    </row>
    <row r="473">
      <c r="C473" s="13" t="n"/>
      <c r="D473" s="13" t="n"/>
      <c r="I473" s="13" t="n"/>
      <c r="J473" s="13" t="n"/>
      <c r="K473" s="13" t="n"/>
      <c r="AY473" s="74" t="n"/>
      <c r="AZ473" s="77" t="inlineStr">
        <is>
          <t>T</t>
        </is>
      </c>
      <c r="BA473" s="77" t="inlineStr">
        <is>
          <t>T</t>
        </is>
      </c>
      <c r="BB473" s="77" t="inlineStr">
        <is>
          <t>T</t>
        </is>
      </c>
      <c r="BC473" s="77" t="inlineStr">
        <is>
          <t>T</t>
        </is>
      </c>
      <c r="BD473" s="77" t="inlineStr">
        <is>
          <t>T</t>
        </is>
      </c>
      <c r="BE473" s="77" t="n"/>
      <c r="BF473" s="77" t="n"/>
      <c r="BG473" s="77" t="n"/>
      <c r="BH473" s="77" t="n"/>
      <c r="BI473" s="77" t="n"/>
      <c r="BJ473" s="77" t="n"/>
      <c r="BK473" s="77" t="n"/>
      <c r="BL473" s="77" t="n"/>
      <c r="BM473" s="77" t="n"/>
      <c r="BN473" s="77" t="n"/>
      <c r="BO473" s="77" t="n"/>
      <c r="BP473" s="77" t="n"/>
      <c r="BQ473" s="77" t="n"/>
      <c r="BR473" s="77" t="n"/>
      <c r="BS473" s="77" t="n"/>
      <c r="BT473" s="77" t="n"/>
      <c r="BU473" s="77" t="n"/>
      <c r="BV473" s="77" t="n"/>
      <c r="BW473" s="77" t="n"/>
      <c r="BX473" s="77" t="n"/>
      <c r="BY473" s="77" t="n"/>
      <c r="BZ473" s="77">
        <f>I473</f>
        <v/>
      </c>
      <c r="CA473" s="77">
        <f>M473</f>
        <v/>
      </c>
      <c r="CB473" s="77" t="n"/>
      <c r="CC473" s="77" t="n"/>
    </row>
    <row r="474">
      <c r="AY474" s="74" t="n"/>
      <c r="AZ474" s="77" t="inlineStr">
        <is>
          <t>T</t>
        </is>
      </c>
      <c r="BA474" s="77" t="inlineStr">
        <is>
          <t>T</t>
        </is>
      </c>
      <c r="BB474" s="77" t="inlineStr">
        <is>
          <t>T</t>
        </is>
      </c>
      <c r="BC474" s="77" t="inlineStr">
        <is>
          <t>T</t>
        </is>
      </c>
      <c r="BD474" s="77" t="inlineStr">
        <is>
          <t>T</t>
        </is>
      </c>
      <c r="BE474" s="77" t="n"/>
      <c r="BF474" s="77" t="n"/>
      <c r="BG474" s="77" t="n"/>
      <c r="BH474" s="77" t="n"/>
      <c r="BI474" s="77" t="n"/>
      <c r="BJ474" s="77" t="n"/>
      <c r="BK474" s="77" t="n"/>
      <c r="BL474" s="77" t="n"/>
      <c r="BM474" s="77" t="n"/>
      <c r="BN474" s="77" t="n"/>
      <c r="BO474" s="77" t="n"/>
      <c r="BP474" s="77" t="n"/>
      <c r="BQ474" s="77" t="n"/>
      <c r="BR474" s="77" t="n"/>
      <c r="BS474" s="77" t="n"/>
      <c r="BT474" s="77" t="n"/>
      <c r="BU474" s="77" t="n"/>
      <c r="BV474" s="77" t="n"/>
      <c r="BW474" s="77" t="n"/>
      <c r="BX474" s="77" t="n"/>
      <c r="BY474" s="77" t="n"/>
      <c r="BZ474" s="77">
        <f>I474</f>
        <v/>
      </c>
      <c r="CA474" s="77">
        <f>M474</f>
        <v/>
      </c>
      <c r="CB474" s="77" t="n"/>
      <c r="CC474" s="77" t="n"/>
    </row>
    <row r="475">
      <c r="C475" s="13" t="n"/>
      <c r="D475" s="13" t="n"/>
      <c r="I475" s="13" t="n"/>
      <c r="J475" s="13" t="n"/>
      <c r="K475" s="13" t="n"/>
      <c r="AY475" s="74" t="n"/>
      <c r="AZ475" s="77" t="inlineStr">
        <is>
          <t>T</t>
        </is>
      </c>
      <c r="BA475" s="77" t="inlineStr">
        <is>
          <t>T</t>
        </is>
      </c>
      <c r="BB475" s="77" t="inlineStr">
        <is>
          <t>T</t>
        </is>
      </c>
      <c r="BC475" s="77" t="inlineStr">
        <is>
          <t>T</t>
        </is>
      </c>
      <c r="BD475" s="77" t="inlineStr">
        <is>
          <t>T</t>
        </is>
      </c>
      <c r="BE475" s="77" t="n"/>
      <c r="BF475" s="77" t="n"/>
      <c r="BG475" s="77" t="n"/>
      <c r="BH475" s="77" t="n"/>
      <c r="BI475" s="77" t="n"/>
      <c r="BJ475" s="77" t="n"/>
      <c r="BK475" s="77" t="n"/>
      <c r="BL475" s="77" t="n"/>
      <c r="BM475" s="77" t="n"/>
      <c r="BN475" s="77" t="n"/>
      <c r="BO475" s="77" t="n"/>
      <c r="BP475" s="77" t="n"/>
      <c r="BQ475" s="77" t="n"/>
      <c r="BR475" s="77" t="n"/>
      <c r="BS475" s="77" t="n"/>
      <c r="BT475" s="77" t="n"/>
      <c r="BU475" s="77" t="n"/>
      <c r="BV475" s="77" t="n"/>
      <c r="BW475" s="77" t="n"/>
      <c r="BX475" s="77" t="n"/>
      <c r="BY475" s="77" t="n"/>
      <c r="BZ475" s="77">
        <f>I475</f>
        <v/>
      </c>
      <c r="CA475" s="77">
        <f>M475</f>
        <v/>
      </c>
      <c r="CB475" s="77" t="n"/>
      <c r="CC475" s="77" t="n"/>
    </row>
    <row r="476">
      <c r="AY476" s="74" t="n"/>
      <c r="AZ476" s="77" t="inlineStr">
        <is>
          <t>T</t>
        </is>
      </c>
      <c r="BA476" s="77" t="inlineStr">
        <is>
          <t>T</t>
        </is>
      </c>
      <c r="BB476" s="77" t="inlineStr">
        <is>
          <t>T</t>
        </is>
      </c>
      <c r="BC476" s="77" t="inlineStr">
        <is>
          <t>T</t>
        </is>
      </c>
      <c r="BD476" s="77" t="inlineStr">
        <is>
          <t>T</t>
        </is>
      </c>
      <c r="BE476" s="77" t="n"/>
      <c r="BF476" s="77" t="n"/>
      <c r="BG476" s="77" t="n"/>
      <c r="BH476" s="77" t="n"/>
      <c r="BI476" s="77" t="n"/>
      <c r="BJ476" s="77" t="n"/>
      <c r="BK476" s="77" t="n"/>
      <c r="BL476" s="77" t="n"/>
      <c r="BM476" s="77" t="n"/>
      <c r="BN476" s="77" t="n"/>
      <c r="BO476" s="77" t="n"/>
      <c r="BP476" s="77" t="n"/>
      <c r="BQ476" s="77" t="n"/>
      <c r="BR476" s="77" t="n"/>
      <c r="BS476" s="77" t="n"/>
      <c r="BT476" s="77" t="n"/>
      <c r="BU476" s="77" t="n"/>
      <c r="BV476" s="77" t="n"/>
      <c r="BW476" s="77" t="n"/>
      <c r="BX476" s="77" t="n"/>
      <c r="BY476" s="77" t="n"/>
      <c r="BZ476" s="77">
        <f>I476</f>
        <v/>
      </c>
      <c r="CA476" s="77">
        <f>M476</f>
        <v/>
      </c>
      <c r="CB476" s="77" t="n"/>
      <c r="CC476" s="77" t="n"/>
    </row>
    <row r="477">
      <c r="C477" s="13" t="n"/>
      <c r="D477" s="13" t="n"/>
      <c r="I477" s="13" t="n"/>
      <c r="J477" s="13" t="n"/>
      <c r="K477" s="13" t="n"/>
      <c r="AY477" s="74" t="n"/>
      <c r="AZ477" s="77" t="inlineStr">
        <is>
          <t>T</t>
        </is>
      </c>
      <c r="BA477" s="77" t="inlineStr">
        <is>
          <t>T</t>
        </is>
      </c>
      <c r="BB477" s="77" t="inlineStr">
        <is>
          <t>T</t>
        </is>
      </c>
      <c r="BC477" s="77" t="inlineStr">
        <is>
          <t>T</t>
        </is>
      </c>
      <c r="BD477" s="77" t="inlineStr">
        <is>
          <t>T</t>
        </is>
      </c>
      <c r="BE477" s="77" t="n"/>
      <c r="BF477" s="77" t="n"/>
      <c r="BG477" s="77" t="n"/>
      <c r="BH477" s="77" t="n"/>
      <c r="BI477" s="77" t="n"/>
      <c r="BJ477" s="77" t="n"/>
      <c r="BK477" s="77" t="n"/>
      <c r="BL477" s="77" t="n"/>
      <c r="BM477" s="77" t="n"/>
      <c r="BN477" s="77" t="n"/>
      <c r="BO477" s="77" t="n"/>
      <c r="BP477" s="77" t="n"/>
      <c r="BQ477" s="77" t="n"/>
      <c r="BR477" s="77" t="n"/>
      <c r="BS477" s="77" t="n"/>
      <c r="BT477" s="77" t="n"/>
      <c r="BU477" s="77" t="n"/>
      <c r="BV477" s="77" t="n"/>
      <c r="BW477" s="77" t="n"/>
      <c r="BX477" s="77" t="n"/>
      <c r="BY477" s="77" t="n"/>
      <c r="BZ477" s="77">
        <f>I477</f>
        <v/>
      </c>
      <c r="CA477" s="77">
        <f>M477</f>
        <v/>
      </c>
      <c r="CB477" s="77" t="n"/>
      <c r="CC477" s="77" t="n"/>
    </row>
    <row r="478">
      <c r="AY478" s="74" t="n"/>
      <c r="AZ478" s="77" t="inlineStr">
        <is>
          <t>T</t>
        </is>
      </c>
      <c r="BA478" s="77" t="inlineStr">
        <is>
          <t>T</t>
        </is>
      </c>
      <c r="BB478" s="77" t="inlineStr">
        <is>
          <t>T</t>
        </is>
      </c>
      <c r="BC478" s="77" t="inlineStr">
        <is>
          <t>T</t>
        </is>
      </c>
      <c r="BD478" s="77" t="inlineStr">
        <is>
          <t>T</t>
        </is>
      </c>
      <c r="BE478" s="77" t="n"/>
      <c r="BF478" s="77" t="n"/>
      <c r="BG478" s="77" t="n"/>
      <c r="BH478" s="77" t="n"/>
      <c r="BI478" s="77" t="n"/>
      <c r="BJ478" s="77" t="n"/>
      <c r="BK478" s="77" t="n"/>
      <c r="BL478" s="77" t="n"/>
      <c r="BM478" s="77" t="n"/>
      <c r="BN478" s="77" t="n"/>
      <c r="BO478" s="77" t="n"/>
      <c r="BP478" s="77" t="n"/>
      <c r="BQ478" s="77" t="n"/>
      <c r="BR478" s="77" t="n"/>
      <c r="BS478" s="77" t="n"/>
      <c r="BT478" s="77" t="n"/>
      <c r="BU478" s="77" t="n"/>
      <c r="BV478" s="77" t="n"/>
      <c r="BW478" s="77" t="n"/>
      <c r="BX478" s="77" t="n"/>
      <c r="BY478" s="77" t="n"/>
      <c r="BZ478" s="77">
        <f>I478</f>
        <v/>
      </c>
      <c r="CA478" s="77">
        <f>M478</f>
        <v/>
      </c>
      <c r="CB478" s="77" t="n"/>
      <c r="CC478" s="77" t="n"/>
    </row>
    <row r="479">
      <c r="C479" s="13" t="n"/>
      <c r="D479" s="13" t="n"/>
      <c r="I479" s="13" t="n"/>
      <c r="J479" s="13" t="n"/>
      <c r="K479" s="13" t="n"/>
      <c r="AY479" s="74" t="n"/>
      <c r="AZ479" s="77" t="inlineStr">
        <is>
          <t>T</t>
        </is>
      </c>
      <c r="BA479" s="77" t="inlineStr">
        <is>
          <t>T</t>
        </is>
      </c>
      <c r="BB479" s="77" t="inlineStr">
        <is>
          <t>T</t>
        </is>
      </c>
      <c r="BC479" s="77" t="inlineStr">
        <is>
          <t>T</t>
        </is>
      </c>
      <c r="BD479" s="77" t="inlineStr">
        <is>
          <t>T</t>
        </is>
      </c>
      <c r="BE479" s="77" t="n"/>
      <c r="BF479" s="77" t="n"/>
      <c r="BG479" s="77" t="n"/>
      <c r="BH479" s="77" t="n"/>
      <c r="BI479" s="77" t="n"/>
      <c r="BJ479" s="77" t="n"/>
      <c r="BK479" s="77" t="n"/>
      <c r="BL479" s="77" t="n"/>
      <c r="BM479" s="77" t="n"/>
      <c r="BN479" s="77" t="n"/>
      <c r="BO479" s="77" t="n"/>
      <c r="BP479" s="77" t="n"/>
      <c r="BQ479" s="77" t="n"/>
      <c r="BR479" s="77" t="n"/>
      <c r="BS479" s="77" t="n"/>
      <c r="BT479" s="77" t="n"/>
      <c r="BU479" s="77" t="n"/>
      <c r="BV479" s="77" t="n"/>
      <c r="BW479" s="77" t="n"/>
      <c r="BX479" s="77" t="n"/>
      <c r="BY479" s="77" t="n"/>
      <c r="BZ479" s="77">
        <f>I479</f>
        <v/>
      </c>
      <c r="CA479" s="77">
        <f>M479</f>
        <v/>
      </c>
      <c r="CB479" s="77" t="n"/>
      <c r="CC479" s="77" t="n"/>
    </row>
    <row r="480">
      <c r="AY480" s="74" t="n"/>
      <c r="AZ480" s="77" t="inlineStr">
        <is>
          <t>T</t>
        </is>
      </c>
      <c r="BA480" s="77" t="inlineStr">
        <is>
          <t>T</t>
        </is>
      </c>
      <c r="BB480" s="77" t="inlineStr">
        <is>
          <t>T</t>
        </is>
      </c>
      <c r="BC480" s="77" t="inlineStr">
        <is>
          <t>T</t>
        </is>
      </c>
      <c r="BD480" s="77" t="inlineStr">
        <is>
          <t>T</t>
        </is>
      </c>
      <c r="BE480" s="77" t="n"/>
      <c r="BF480" s="77" t="n"/>
      <c r="BG480" s="77" t="n"/>
      <c r="BH480" s="77" t="n"/>
      <c r="BI480" s="77" t="n"/>
      <c r="BJ480" s="77" t="n"/>
      <c r="BK480" s="77" t="n"/>
      <c r="BL480" s="77" t="n"/>
      <c r="BM480" s="77" t="n"/>
      <c r="BN480" s="77" t="n"/>
      <c r="BO480" s="77" t="n"/>
      <c r="BP480" s="77" t="n"/>
      <c r="BQ480" s="77" t="n"/>
      <c r="BR480" s="77" t="n"/>
      <c r="BS480" s="77" t="n"/>
      <c r="BT480" s="77" t="n"/>
      <c r="BU480" s="77" t="n"/>
      <c r="BV480" s="77" t="n"/>
      <c r="BW480" s="77" t="n"/>
      <c r="BX480" s="77" t="n"/>
      <c r="BY480" s="77" t="n"/>
      <c r="BZ480" s="77">
        <f>I480</f>
        <v/>
      </c>
      <c r="CA480" s="77">
        <f>M480</f>
        <v/>
      </c>
      <c r="CB480" s="77" t="n"/>
      <c r="CC480" s="77" t="n"/>
    </row>
    <row r="481">
      <c r="C481" s="13" t="n"/>
      <c r="D481" s="13" t="n"/>
      <c r="I481" s="13" t="n"/>
      <c r="J481" s="13" t="n"/>
      <c r="K481" s="13" t="n"/>
      <c r="AY481" s="74" t="n"/>
      <c r="AZ481" s="77" t="inlineStr">
        <is>
          <t>T</t>
        </is>
      </c>
      <c r="BA481" s="77" t="inlineStr">
        <is>
          <t>T</t>
        </is>
      </c>
      <c r="BB481" s="77" t="inlineStr">
        <is>
          <t>T</t>
        </is>
      </c>
      <c r="BC481" s="77" t="inlineStr">
        <is>
          <t>T</t>
        </is>
      </c>
      <c r="BD481" s="77" t="inlineStr">
        <is>
          <t>T</t>
        </is>
      </c>
      <c r="BE481" s="77" t="n"/>
      <c r="BF481" s="77" t="n"/>
      <c r="BG481" s="77" t="n"/>
      <c r="BH481" s="77" t="n"/>
      <c r="BI481" s="77" t="n"/>
      <c r="BJ481" s="77" t="n"/>
      <c r="BK481" s="77" t="n"/>
      <c r="BL481" s="77" t="n"/>
      <c r="BM481" s="77" t="n"/>
      <c r="BN481" s="77" t="n"/>
      <c r="BO481" s="77" t="n"/>
      <c r="BP481" s="77" t="n"/>
      <c r="BQ481" s="77" t="n"/>
      <c r="BR481" s="77" t="n"/>
      <c r="BS481" s="77" t="n"/>
      <c r="BT481" s="77" t="n"/>
      <c r="BU481" s="77" t="n"/>
      <c r="BV481" s="77" t="n"/>
      <c r="BW481" s="77" t="n"/>
      <c r="BX481" s="77" t="n"/>
      <c r="BY481" s="77" t="n"/>
      <c r="BZ481" s="77">
        <f>I481</f>
        <v/>
      </c>
      <c r="CA481" s="77">
        <f>M481</f>
        <v/>
      </c>
      <c r="CB481" s="77" t="n"/>
      <c r="CC481" s="77" t="n"/>
    </row>
    <row r="482">
      <c r="AY482" s="74" t="n"/>
      <c r="AZ482" s="77" t="inlineStr">
        <is>
          <t>T</t>
        </is>
      </c>
      <c r="BA482" s="77" t="inlineStr">
        <is>
          <t>T</t>
        </is>
      </c>
      <c r="BB482" s="77" t="inlineStr">
        <is>
          <t>T</t>
        </is>
      </c>
      <c r="BC482" s="77" t="inlineStr">
        <is>
          <t>T</t>
        </is>
      </c>
      <c r="BD482" s="77" t="inlineStr">
        <is>
          <t>T</t>
        </is>
      </c>
      <c r="BE482" s="77" t="n"/>
      <c r="BF482" s="77" t="n"/>
      <c r="BG482" s="77" t="n"/>
      <c r="BH482" s="77" t="n"/>
      <c r="BI482" s="77" t="n"/>
      <c r="BJ482" s="77" t="n"/>
      <c r="BK482" s="77" t="n"/>
      <c r="BL482" s="77" t="n"/>
      <c r="BM482" s="77" t="n"/>
      <c r="BN482" s="77" t="n"/>
      <c r="BO482" s="77" t="n"/>
      <c r="BP482" s="77" t="n"/>
      <c r="BQ482" s="77" t="n"/>
      <c r="BR482" s="77" t="n"/>
      <c r="BS482" s="77" t="n"/>
      <c r="BT482" s="77" t="n"/>
      <c r="BU482" s="77" t="n"/>
      <c r="BV482" s="77" t="n"/>
      <c r="BW482" s="77" t="n"/>
      <c r="BX482" s="77" t="n"/>
      <c r="BY482" s="77" t="n"/>
      <c r="BZ482" s="77">
        <f>I482</f>
        <v/>
      </c>
      <c r="CA482" s="77">
        <f>M482</f>
        <v/>
      </c>
      <c r="CB482" s="77" t="n"/>
      <c r="CC482" s="77" t="n"/>
    </row>
    <row r="483">
      <c r="C483" s="13" t="n"/>
      <c r="D483" s="13" t="n"/>
      <c r="I483" s="13" t="n"/>
      <c r="J483" s="13" t="n"/>
      <c r="K483" s="13" t="n"/>
      <c r="AY483" s="74" t="n"/>
      <c r="AZ483" s="77" t="inlineStr">
        <is>
          <t>T</t>
        </is>
      </c>
      <c r="BA483" s="77" t="inlineStr">
        <is>
          <t>T</t>
        </is>
      </c>
      <c r="BB483" s="77" t="inlineStr">
        <is>
          <t>T</t>
        </is>
      </c>
      <c r="BC483" s="77" t="inlineStr">
        <is>
          <t>T</t>
        </is>
      </c>
      <c r="BD483" s="77" t="inlineStr">
        <is>
          <t>T</t>
        </is>
      </c>
      <c r="BE483" s="77" t="n"/>
      <c r="BF483" s="77" t="n"/>
      <c r="BG483" s="77" t="n"/>
      <c r="BH483" s="77" t="n"/>
      <c r="BI483" s="77" t="n"/>
      <c r="BJ483" s="77" t="n"/>
      <c r="BK483" s="77" t="n"/>
      <c r="BL483" s="77" t="n"/>
      <c r="BM483" s="77" t="n"/>
      <c r="BN483" s="77" t="n"/>
      <c r="BO483" s="77" t="n"/>
      <c r="BP483" s="77" t="n"/>
      <c r="BQ483" s="77" t="n"/>
      <c r="BR483" s="77" t="n"/>
      <c r="BS483" s="77" t="n"/>
      <c r="BT483" s="77" t="n"/>
      <c r="BU483" s="77" t="n"/>
      <c r="BV483" s="77" t="n"/>
      <c r="BW483" s="77" t="n"/>
      <c r="BX483" s="77" t="n"/>
      <c r="BY483" s="77" t="n"/>
      <c r="BZ483" s="77">
        <f>I483</f>
        <v/>
      </c>
      <c r="CA483" s="77">
        <f>M483</f>
        <v/>
      </c>
      <c r="CB483" s="77" t="n"/>
      <c r="CC483" s="77" t="n"/>
    </row>
    <row r="484">
      <c r="AY484" s="74" t="n"/>
      <c r="AZ484" s="77" t="inlineStr">
        <is>
          <t>T</t>
        </is>
      </c>
      <c r="BA484" s="77" t="inlineStr">
        <is>
          <t>T</t>
        </is>
      </c>
      <c r="BB484" s="77" t="inlineStr">
        <is>
          <t>T</t>
        </is>
      </c>
      <c r="BC484" s="77" t="inlineStr">
        <is>
          <t>T</t>
        </is>
      </c>
      <c r="BD484" s="77" t="inlineStr">
        <is>
          <t>T</t>
        </is>
      </c>
      <c r="BE484" s="77" t="n"/>
      <c r="BF484" s="77" t="n"/>
      <c r="BG484" s="77" t="n"/>
      <c r="BH484" s="77" t="n"/>
      <c r="BI484" s="77" t="n"/>
      <c r="BJ484" s="77" t="n"/>
      <c r="BK484" s="77" t="n"/>
      <c r="BL484" s="77" t="n"/>
      <c r="BM484" s="77" t="n"/>
      <c r="BN484" s="77" t="n"/>
      <c r="BO484" s="77" t="n"/>
      <c r="BP484" s="77" t="n"/>
      <c r="BQ484" s="77" t="n"/>
      <c r="BR484" s="77" t="n"/>
      <c r="BS484" s="77" t="n"/>
      <c r="BT484" s="77" t="n"/>
      <c r="BU484" s="77" t="n"/>
      <c r="BV484" s="77" t="n"/>
      <c r="BW484" s="77" t="n"/>
      <c r="BX484" s="77" t="n"/>
      <c r="BY484" s="77" t="n"/>
      <c r="BZ484" s="77">
        <f>I484</f>
        <v/>
      </c>
      <c r="CA484" s="77">
        <f>M484</f>
        <v/>
      </c>
      <c r="CB484" s="77" t="n"/>
      <c r="CC484" s="77" t="n"/>
    </row>
    <row r="485">
      <c r="C485" s="13" t="n"/>
      <c r="D485" s="13" t="n"/>
      <c r="I485" s="13" t="n"/>
      <c r="J485" s="13" t="n"/>
      <c r="K485" s="13" t="n"/>
      <c r="AY485" s="74" t="n"/>
      <c r="AZ485" s="77" t="inlineStr">
        <is>
          <t>T</t>
        </is>
      </c>
      <c r="BA485" s="77" t="inlineStr">
        <is>
          <t>T</t>
        </is>
      </c>
      <c r="BB485" s="77" t="inlineStr">
        <is>
          <t>T</t>
        </is>
      </c>
      <c r="BC485" s="77" t="inlineStr">
        <is>
          <t>T</t>
        </is>
      </c>
      <c r="BD485" s="77" t="inlineStr">
        <is>
          <t>T</t>
        </is>
      </c>
      <c r="BE485" s="77" t="n"/>
      <c r="BF485" s="77" t="n"/>
      <c r="BG485" s="77" t="n"/>
      <c r="BH485" s="77" t="n"/>
      <c r="BI485" s="77" t="n"/>
      <c r="BJ485" s="77" t="n"/>
      <c r="BK485" s="77" t="n"/>
      <c r="BL485" s="77" t="n"/>
      <c r="BM485" s="77" t="n"/>
      <c r="BN485" s="77" t="n"/>
      <c r="BO485" s="77" t="n"/>
      <c r="BP485" s="77" t="n"/>
      <c r="BQ485" s="77" t="n"/>
      <c r="BR485" s="77" t="n"/>
      <c r="BS485" s="77" t="n"/>
      <c r="BT485" s="77" t="n"/>
      <c r="BU485" s="77" t="n"/>
      <c r="BV485" s="77" t="n"/>
      <c r="BW485" s="77" t="n"/>
      <c r="BX485" s="77" t="n"/>
      <c r="BY485" s="77" t="n"/>
      <c r="BZ485" s="77">
        <f>I485</f>
        <v/>
      </c>
      <c r="CA485" s="77">
        <f>M485</f>
        <v/>
      </c>
      <c r="CB485" s="77" t="n"/>
      <c r="CC485" s="77" t="n"/>
    </row>
    <row r="486">
      <c r="AY486" s="74" t="n"/>
      <c r="AZ486" s="77" t="inlineStr">
        <is>
          <t>T</t>
        </is>
      </c>
      <c r="BA486" s="77" t="inlineStr">
        <is>
          <t>T</t>
        </is>
      </c>
      <c r="BB486" s="77" t="inlineStr">
        <is>
          <t>T</t>
        </is>
      </c>
      <c r="BC486" s="77" t="inlineStr">
        <is>
          <t>T</t>
        </is>
      </c>
      <c r="BD486" s="77" t="inlineStr">
        <is>
          <t>T</t>
        </is>
      </c>
      <c r="BE486" s="77" t="n"/>
      <c r="BF486" s="77" t="n"/>
      <c r="BG486" s="77" t="n"/>
      <c r="BH486" s="77" t="n"/>
      <c r="BI486" s="77" t="n"/>
      <c r="BJ486" s="77" t="n"/>
      <c r="BK486" s="77" t="n"/>
      <c r="BL486" s="77" t="n"/>
      <c r="BM486" s="77" t="n"/>
      <c r="BN486" s="77" t="n"/>
      <c r="BO486" s="77" t="n"/>
      <c r="BP486" s="77" t="n"/>
      <c r="BQ486" s="77" t="n"/>
      <c r="BR486" s="77" t="n"/>
      <c r="BS486" s="77" t="n"/>
      <c r="BT486" s="77" t="n"/>
      <c r="BU486" s="77" t="n"/>
      <c r="BV486" s="77" t="n"/>
      <c r="BW486" s="77" t="n"/>
      <c r="BX486" s="77" t="n"/>
      <c r="BY486" s="77" t="n"/>
      <c r="BZ486" s="77">
        <f>I486</f>
        <v/>
      </c>
      <c r="CA486" s="77">
        <f>M486</f>
        <v/>
      </c>
      <c r="CB486" s="77" t="n"/>
      <c r="CC486" s="77" t="n"/>
    </row>
    <row r="487">
      <c r="C487" s="13" t="n"/>
      <c r="D487" s="13" t="n"/>
      <c r="I487" s="13" t="n"/>
      <c r="J487" s="13" t="n"/>
      <c r="K487" s="13" t="n"/>
      <c r="AY487" s="74" t="n"/>
      <c r="AZ487" s="77" t="inlineStr">
        <is>
          <t>T</t>
        </is>
      </c>
      <c r="BA487" s="77" t="inlineStr">
        <is>
          <t>T</t>
        </is>
      </c>
      <c r="BB487" s="77" t="inlineStr">
        <is>
          <t>T</t>
        </is>
      </c>
      <c r="BC487" s="77" t="inlineStr">
        <is>
          <t>T</t>
        </is>
      </c>
      <c r="BD487" s="77" t="inlineStr">
        <is>
          <t>T</t>
        </is>
      </c>
      <c r="BE487" s="77" t="n"/>
      <c r="BF487" s="77" t="n"/>
      <c r="BG487" s="77" t="n"/>
      <c r="BH487" s="77" t="n"/>
      <c r="BI487" s="77" t="n"/>
      <c r="BJ487" s="77" t="n"/>
      <c r="BK487" s="77" t="n"/>
      <c r="BL487" s="77" t="n"/>
      <c r="BM487" s="77" t="n"/>
      <c r="BN487" s="77" t="n"/>
      <c r="BO487" s="77" t="n"/>
      <c r="BP487" s="77" t="n"/>
      <c r="BQ487" s="77" t="n"/>
      <c r="BR487" s="77" t="n"/>
      <c r="BS487" s="77" t="n"/>
      <c r="BT487" s="77" t="n"/>
      <c r="BU487" s="77" t="n"/>
      <c r="BV487" s="77" t="n"/>
      <c r="BW487" s="77" t="n"/>
      <c r="BX487" s="77" t="n"/>
      <c r="BY487" s="77" t="n"/>
      <c r="BZ487" s="77">
        <f>I487</f>
        <v/>
      </c>
      <c r="CA487" s="77">
        <f>M487</f>
        <v/>
      </c>
      <c r="CB487" s="77" t="n"/>
      <c r="CC487" s="77" t="n"/>
    </row>
    <row r="488">
      <c r="AY488" s="74" t="n"/>
      <c r="AZ488" s="77" t="inlineStr">
        <is>
          <t>T</t>
        </is>
      </c>
      <c r="BA488" s="77" t="inlineStr">
        <is>
          <t>T</t>
        </is>
      </c>
      <c r="BB488" s="77" t="inlineStr">
        <is>
          <t>T</t>
        </is>
      </c>
      <c r="BC488" s="77" t="inlineStr">
        <is>
          <t>T</t>
        </is>
      </c>
      <c r="BD488" s="77" t="inlineStr">
        <is>
          <t>T</t>
        </is>
      </c>
      <c r="BE488" s="77" t="n"/>
      <c r="BF488" s="77" t="n"/>
      <c r="BG488" s="77" t="n"/>
      <c r="BH488" s="77" t="n"/>
      <c r="BI488" s="77" t="n"/>
      <c r="BJ488" s="77" t="n"/>
      <c r="BK488" s="77" t="n"/>
      <c r="BL488" s="77" t="n"/>
      <c r="BM488" s="77" t="n"/>
      <c r="BN488" s="77" t="n"/>
      <c r="BO488" s="77" t="n"/>
      <c r="BP488" s="77" t="n"/>
      <c r="BQ488" s="77" t="n"/>
      <c r="BR488" s="77" t="n"/>
      <c r="BS488" s="77" t="n"/>
      <c r="BT488" s="77" t="n"/>
      <c r="BU488" s="77" t="n"/>
      <c r="BV488" s="77" t="n"/>
      <c r="BW488" s="77" t="n"/>
      <c r="BX488" s="77" t="n"/>
      <c r="BY488" s="77" t="n"/>
      <c r="BZ488" s="77">
        <f>I488</f>
        <v/>
      </c>
      <c r="CA488" s="77">
        <f>M488</f>
        <v/>
      </c>
      <c r="CB488" s="77" t="n"/>
      <c r="CC488" s="77" t="n"/>
    </row>
    <row r="489">
      <c r="C489" s="13" t="n"/>
      <c r="D489" s="13" t="n"/>
      <c r="I489" s="13" t="n"/>
      <c r="J489" s="13" t="n"/>
      <c r="K489" s="13" t="n"/>
      <c r="AY489" s="74" t="n"/>
      <c r="AZ489" s="77" t="inlineStr">
        <is>
          <t>T</t>
        </is>
      </c>
      <c r="BA489" s="77" t="inlineStr">
        <is>
          <t>T</t>
        </is>
      </c>
      <c r="BB489" s="77" t="inlineStr">
        <is>
          <t>T</t>
        </is>
      </c>
      <c r="BC489" s="77" t="inlineStr">
        <is>
          <t>T</t>
        </is>
      </c>
      <c r="BD489" s="77" t="inlineStr">
        <is>
          <t>T</t>
        </is>
      </c>
      <c r="BE489" s="77" t="n"/>
      <c r="BF489" s="77" t="n"/>
      <c r="BG489" s="77" t="n"/>
      <c r="BH489" s="77" t="n"/>
      <c r="BI489" s="77" t="n"/>
      <c r="BJ489" s="77" t="n"/>
      <c r="BK489" s="77" t="n"/>
      <c r="BL489" s="77" t="n"/>
      <c r="BM489" s="77" t="n"/>
      <c r="BN489" s="77" t="n"/>
      <c r="BO489" s="77" t="n"/>
      <c r="BP489" s="77" t="n"/>
      <c r="BQ489" s="77" t="n"/>
      <c r="BR489" s="77" t="n"/>
      <c r="BS489" s="77" t="n"/>
      <c r="BT489" s="77" t="n"/>
      <c r="BU489" s="77" t="n"/>
      <c r="BV489" s="77" t="n"/>
      <c r="BW489" s="77" t="n"/>
      <c r="BX489" s="77" t="n"/>
      <c r="BY489" s="77" t="n"/>
      <c r="BZ489" s="77">
        <f>I489</f>
        <v/>
      </c>
      <c r="CA489" s="77">
        <f>M489</f>
        <v/>
      </c>
      <c r="CB489" s="77" t="n"/>
      <c r="CC489" s="77" t="n"/>
    </row>
    <row r="490">
      <c r="AY490" s="74" t="n"/>
      <c r="AZ490" s="77" t="inlineStr">
        <is>
          <t>T</t>
        </is>
      </c>
      <c r="BA490" s="77" t="inlineStr">
        <is>
          <t>T</t>
        </is>
      </c>
      <c r="BB490" s="77" t="inlineStr">
        <is>
          <t>T</t>
        </is>
      </c>
      <c r="BC490" s="77" t="inlineStr">
        <is>
          <t>T</t>
        </is>
      </c>
      <c r="BD490" s="77" t="inlineStr">
        <is>
          <t>T</t>
        </is>
      </c>
      <c r="BE490" s="77" t="n"/>
      <c r="BF490" s="77" t="n"/>
      <c r="BG490" s="77" t="n"/>
      <c r="BH490" s="77" t="n"/>
      <c r="BI490" s="77" t="n"/>
      <c r="BJ490" s="77" t="n"/>
      <c r="BK490" s="77" t="n"/>
      <c r="BL490" s="77" t="n"/>
      <c r="BM490" s="77" t="n"/>
      <c r="BN490" s="77" t="n"/>
      <c r="BO490" s="77" t="n"/>
      <c r="BP490" s="77" t="n"/>
      <c r="BQ490" s="77" t="n"/>
      <c r="BR490" s="77" t="n"/>
      <c r="BS490" s="77" t="n"/>
      <c r="BT490" s="77" t="n"/>
      <c r="BU490" s="77" t="n"/>
      <c r="BV490" s="77" t="n"/>
      <c r="BW490" s="77" t="n"/>
      <c r="BX490" s="77" t="n"/>
      <c r="BY490" s="77" t="n"/>
      <c r="BZ490" s="77">
        <f>I490</f>
        <v/>
      </c>
      <c r="CA490" s="77">
        <f>M490</f>
        <v/>
      </c>
      <c r="CB490" s="77" t="n"/>
      <c r="CC490" s="77" t="n"/>
    </row>
    <row r="491">
      <c r="C491" s="13" t="n"/>
      <c r="D491" s="13" t="n"/>
      <c r="I491" s="13" t="n"/>
      <c r="J491" s="13" t="n"/>
      <c r="K491" s="13" t="n"/>
      <c r="AY491" s="74" t="n"/>
      <c r="AZ491" s="77" t="inlineStr">
        <is>
          <t>T</t>
        </is>
      </c>
      <c r="BA491" s="77" t="inlineStr">
        <is>
          <t>T</t>
        </is>
      </c>
      <c r="BB491" s="77" t="inlineStr">
        <is>
          <t>T</t>
        </is>
      </c>
      <c r="BC491" s="77" t="inlineStr">
        <is>
          <t>T</t>
        </is>
      </c>
      <c r="BD491" s="77" t="inlineStr">
        <is>
          <t>T</t>
        </is>
      </c>
      <c r="BE491" s="77" t="n"/>
      <c r="BF491" s="77" t="n"/>
      <c r="BG491" s="77" t="n"/>
      <c r="BH491" s="77" t="n"/>
      <c r="BI491" s="77" t="n"/>
      <c r="BJ491" s="77" t="n"/>
      <c r="BK491" s="77" t="n"/>
      <c r="BL491" s="77" t="n"/>
      <c r="BM491" s="77" t="n"/>
      <c r="BN491" s="77" t="n"/>
      <c r="BO491" s="77" t="n"/>
      <c r="BP491" s="77" t="n"/>
      <c r="BQ491" s="77" t="n"/>
      <c r="BR491" s="77" t="n"/>
      <c r="BS491" s="77" t="n"/>
      <c r="BT491" s="77" t="n"/>
      <c r="BU491" s="77" t="n"/>
      <c r="BV491" s="77" t="n"/>
      <c r="BW491" s="77" t="n"/>
      <c r="BX491" s="77" t="n"/>
      <c r="BY491" s="77" t="n"/>
      <c r="BZ491" s="77">
        <f>I491</f>
        <v/>
      </c>
      <c r="CA491" s="77">
        <f>M491</f>
        <v/>
      </c>
      <c r="CB491" s="77" t="n"/>
      <c r="CC491" s="77" t="n"/>
    </row>
    <row r="492">
      <c r="AY492" s="74" t="n"/>
      <c r="AZ492" s="77" t="inlineStr">
        <is>
          <t>T</t>
        </is>
      </c>
      <c r="BA492" s="77" t="inlineStr">
        <is>
          <t>T</t>
        </is>
      </c>
      <c r="BB492" s="77" t="inlineStr">
        <is>
          <t>T</t>
        </is>
      </c>
      <c r="BC492" s="77" t="inlineStr">
        <is>
          <t>T</t>
        </is>
      </c>
      <c r="BD492" s="77" t="inlineStr">
        <is>
          <t>T</t>
        </is>
      </c>
      <c r="BE492" s="77" t="n"/>
      <c r="BF492" s="77" t="n"/>
      <c r="BG492" s="77" t="n"/>
      <c r="BH492" s="77" t="n"/>
      <c r="BI492" s="77" t="n"/>
      <c r="BJ492" s="77" t="n"/>
      <c r="BK492" s="77" t="n"/>
      <c r="BL492" s="77" t="n"/>
      <c r="BM492" s="77" t="n"/>
      <c r="BN492" s="77" t="n"/>
      <c r="BO492" s="77" t="n"/>
      <c r="BP492" s="77" t="n"/>
      <c r="BQ492" s="77" t="n"/>
      <c r="BR492" s="77" t="n"/>
      <c r="BS492" s="77" t="n"/>
      <c r="BT492" s="77" t="n"/>
      <c r="BU492" s="77" t="n"/>
      <c r="BV492" s="77" t="n"/>
      <c r="BW492" s="77" t="n"/>
      <c r="BX492" s="77" t="n"/>
      <c r="BY492" s="77" t="n"/>
      <c r="BZ492" s="77">
        <f>I492</f>
        <v/>
      </c>
      <c r="CA492" s="77">
        <f>M492</f>
        <v/>
      </c>
      <c r="CB492" s="77" t="n"/>
      <c r="CC492" s="77" t="n"/>
    </row>
    <row r="493">
      <c r="C493" s="13" t="n"/>
      <c r="D493" s="13" t="n"/>
      <c r="I493" s="13" t="n"/>
      <c r="J493" s="13" t="n"/>
      <c r="K493" s="13" t="n"/>
      <c r="AY493" s="74" t="n"/>
      <c r="AZ493" s="77" t="inlineStr">
        <is>
          <t>T</t>
        </is>
      </c>
      <c r="BA493" s="77" t="inlineStr">
        <is>
          <t>T</t>
        </is>
      </c>
      <c r="BB493" s="77" t="inlineStr">
        <is>
          <t>T</t>
        </is>
      </c>
      <c r="BC493" s="77" t="inlineStr">
        <is>
          <t>T</t>
        </is>
      </c>
      <c r="BD493" s="77" t="inlineStr">
        <is>
          <t>T</t>
        </is>
      </c>
      <c r="BE493" s="77" t="n"/>
      <c r="BF493" s="77" t="n"/>
      <c r="BG493" s="77" t="n"/>
      <c r="BH493" s="77" t="n"/>
      <c r="BI493" s="77" t="n"/>
      <c r="BJ493" s="77" t="n"/>
      <c r="BK493" s="77" t="n"/>
      <c r="BL493" s="77" t="n"/>
      <c r="BM493" s="77" t="n"/>
      <c r="BN493" s="77" t="n"/>
      <c r="BO493" s="77" t="n"/>
      <c r="BP493" s="77" t="n"/>
      <c r="BQ493" s="77" t="n"/>
      <c r="BR493" s="77" t="n"/>
      <c r="BS493" s="77" t="n"/>
      <c r="BT493" s="77" t="n"/>
      <c r="BU493" s="77" t="n"/>
      <c r="BV493" s="77" t="n"/>
      <c r="BW493" s="77" t="n"/>
      <c r="BX493" s="77" t="n"/>
      <c r="BY493" s="77" t="n"/>
      <c r="BZ493" s="77">
        <f>I493</f>
        <v/>
      </c>
      <c r="CA493" s="77">
        <f>M493</f>
        <v/>
      </c>
      <c r="CB493" s="77" t="n"/>
      <c r="CC493" s="77" t="n"/>
    </row>
    <row r="494">
      <c r="AY494" s="74" t="n"/>
      <c r="AZ494" s="77" t="inlineStr">
        <is>
          <t>T</t>
        </is>
      </c>
      <c r="BA494" s="77" t="inlineStr">
        <is>
          <t>T</t>
        </is>
      </c>
      <c r="BB494" s="77" t="inlineStr">
        <is>
          <t>T</t>
        </is>
      </c>
      <c r="BC494" s="77" t="inlineStr">
        <is>
          <t>T</t>
        </is>
      </c>
      <c r="BD494" s="77" t="inlineStr">
        <is>
          <t>T</t>
        </is>
      </c>
      <c r="BE494" s="77" t="n"/>
      <c r="BF494" s="77" t="n"/>
      <c r="BG494" s="77" t="n"/>
      <c r="BH494" s="77" t="n"/>
      <c r="BI494" s="77" t="n"/>
      <c r="BJ494" s="77" t="n"/>
      <c r="BK494" s="77" t="n"/>
      <c r="BL494" s="77" t="n"/>
      <c r="BM494" s="77" t="n"/>
      <c r="BN494" s="77" t="n"/>
      <c r="BO494" s="77" t="n"/>
      <c r="BP494" s="77" t="n"/>
      <c r="BQ494" s="77" t="n"/>
      <c r="BR494" s="77" t="n"/>
      <c r="BS494" s="77" t="n"/>
      <c r="BT494" s="77" t="n"/>
      <c r="BU494" s="77" t="n"/>
      <c r="BV494" s="77" t="n"/>
      <c r="BW494" s="77" t="n"/>
      <c r="BX494" s="77" t="n"/>
      <c r="BY494" s="77" t="n"/>
      <c r="BZ494" s="77">
        <f>I494</f>
        <v/>
      </c>
      <c r="CA494" s="77">
        <f>M494</f>
        <v/>
      </c>
      <c r="CB494" s="77" t="n"/>
      <c r="CC494" s="77" t="n"/>
    </row>
    <row r="495">
      <c r="C495" s="13" t="n"/>
      <c r="D495" s="13" t="n"/>
      <c r="I495" s="13" t="n"/>
      <c r="J495" s="13" t="n"/>
      <c r="K495" s="13" t="n"/>
      <c r="AY495" s="74" t="n"/>
      <c r="AZ495" s="77" t="inlineStr">
        <is>
          <t>T</t>
        </is>
      </c>
      <c r="BA495" s="77" t="inlineStr">
        <is>
          <t>T</t>
        </is>
      </c>
      <c r="BB495" s="77" t="inlineStr">
        <is>
          <t>T</t>
        </is>
      </c>
      <c r="BC495" s="77" t="inlineStr">
        <is>
          <t>T</t>
        </is>
      </c>
      <c r="BD495" s="77" t="inlineStr">
        <is>
          <t>T</t>
        </is>
      </c>
      <c r="BE495" s="77" t="n"/>
      <c r="BF495" s="77" t="n"/>
      <c r="BG495" s="77" t="n"/>
      <c r="BH495" s="77" t="n"/>
      <c r="BI495" s="77" t="n"/>
      <c r="BJ495" s="77" t="n"/>
      <c r="BK495" s="77" t="n"/>
      <c r="BL495" s="77" t="n"/>
      <c r="BM495" s="77" t="n"/>
      <c r="BN495" s="77" t="n"/>
      <c r="BO495" s="77" t="n"/>
      <c r="BP495" s="77" t="n"/>
      <c r="BQ495" s="77" t="n"/>
      <c r="BR495" s="77" t="n"/>
      <c r="BS495" s="77" t="n"/>
      <c r="BT495" s="77" t="n"/>
      <c r="BU495" s="77" t="n"/>
      <c r="BV495" s="77" t="n"/>
      <c r="BW495" s="77" t="n"/>
      <c r="BX495" s="77" t="n"/>
      <c r="BY495" s="77" t="n"/>
      <c r="BZ495" s="77">
        <f>I495</f>
        <v/>
      </c>
      <c r="CA495" s="77">
        <f>M495</f>
        <v/>
      </c>
      <c r="CB495" s="77" t="n"/>
      <c r="CC495" s="77" t="n"/>
    </row>
    <row r="496">
      <c r="AY496" s="74" t="n"/>
      <c r="AZ496" s="77" t="inlineStr">
        <is>
          <t>T</t>
        </is>
      </c>
      <c r="BA496" s="77" t="inlineStr">
        <is>
          <t>T</t>
        </is>
      </c>
      <c r="BB496" s="77" t="inlineStr">
        <is>
          <t>T</t>
        </is>
      </c>
      <c r="BC496" s="77" t="inlineStr">
        <is>
          <t>T</t>
        </is>
      </c>
      <c r="BD496" s="77" t="inlineStr">
        <is>
          <t>T</t>
        </is>
      </c>
      <c r="BE496" s="77" t="n"/>
      <c r="BF496" s="77" t="n"/>
      <c r="BG496" s="77" t="n"/>
      <c r="BH496" s="77" t="n"/>
      <c r="BI496" s="77" t="n"/>
      <c r="BJ496" s="77" t="n"/>
      <c r="BK496" s="77" t="n"/>
      <c r="BL496" s="77" t="n"/>
      <c r="BM496" s="77" t="n"/>
      <c r="BN496" s="77" t="n"/>
      <c r="BO496" s="77" t="n"/>
      <c r="BP496" s="77" t="n"/>
      <c r="BQ496" s="77" t="n"/>
      <c r="BR496" s="77" t="n"/>
      <c r="BS496" s="77" t="n"/>
      <c r="BT496" s="77" t="n"/>
      <c r="BU496" s="77" t="n"/>
      <c r="BV496" s="77" t="n"/>
      <c r="BW496" s="77" t="n"/>
      <c r="BX496" s="77" t="n"/>
      <c r="BY496" s="77" t="n"/>
      <c r="BZ496" s="77">
        <f>I496</f>
        <v/>
      </c>
      <c r="CA496" s="77">
        <f>M496</f>
        <v/>
      </c>
      <c r="CB496" s="77" t="n"/>
      <c r="CC496" s="77" t="n"/>
    </row>
    <row r="497">
      <c r="C497" s="13" t="n"/>
      <c r="D497" s="13" t="n"/>
      <c r="I497" s="13" t="n"/>
      <c r="J497" s="13" t="n"/>
      <c r="K497" s="13" t="n"/>
      <c r="AY497" s="74" t="n"/>
      <c r="AZ497" s="77" t="inlineStr">
        <is>
          <t>T</t>
        </is>
      </c>
      <c r="BA497" s="77" t="inlineStr">
        <is>
          <t>T</t>
        </is>
      </c>
      <c r="BB497" s="77" t="inlineStr">
        <is>
          <t>T</t>
        </is>
      </c>
      <c r="BC497" s="77" t="inlineStr">
        <is>
          <t>T</t>
        </is>
      </c>
      <c r="BD497" s="77" t="inlineStr">
        <is>
          <t>T</t>
        </is>
      </c>
      <c r="BE497" s="77" t="n"/>
      <c r="BF497" s="77" t="n"/>
      <c r="BG497" s="77" t="n"/>
      <c r="BH497" s="77" t="n"/>
      <c r="BI497" s="77" t="n"/>
      <c r="BJ497" s="77" t="n"/>
      <c r="BK497" s="77" t="n"/>
      <c r="BL497" s="77" t="n"/>
      <c r="BM497" s="77" t="n"/>
      <c r="BN497" s="77" t="n"/>
      <c r="BO497" s="77" t="n"/>
      <c r="BP497" s="77" t="n"/>
      <c r="BQ497" s="77" t="n"/>
      <c r="BR497" s="77" t="n"/>
      <c r="BS497" s="77" t="n"/>
      <c r="BT497" s="77" t="n"/>
      <c r="BU497" s="77" t="n"/>
      <c r="BV497" s="77" t="n"/>
      <c r="BW497" s="77" t="n"/>
      <c r="BX497" s="77" t="n"/>
      <c r="BY497" s="77" t="n"/>
      <c r="BZ497" s="77">
        <f>I497</f>
        <v/>
      </c>
      <c r="CA497" s="77">
        <f>M497</f>
        <v/>
      </c>
      <c r="CB497" s="77" t="n"/>
      <c r="CC497" s="77" t="n"/>
    </row>
    <row r="498">
      <c r="AY498" s="74" t="n"/>
      <c r="AZ498" s="77" t="inlineStr">
        <is>
          <t>T</t>
        </is>
      </c>
      <c r="BA498" s="77" t="inlineStr">
        <is>
          <t>T</t>
        </is>
      </c>
      <c r="BB498" s="77" t="inlineStr">
        <is>
          <t>T</t>
        </is>
      </c>
      <c r="BC498" s="77" t="inlineStr">
        <is>
          <t>T</t>
        </is>
      </c>
      <c r="BD498" s="77" t="inlineStr">
        <is>
          <t>T</t>
        </is>
      </c>
      <c r="BE498" s="77" t="n"/>
      <c r="BF498" s="77" t="n"/>
      <c r="BG498" s="77" t="n"/>
      <c r="BH498" s="77" t="n"/>
      <c r="BI498" s="77" t="n"/>
      <c r="BJ498" s="77" t="n"/>
      <c r="BK498" s="77" t="n"/>
      <c r="BL498" s="77" t="n"/>
      <c r="BM498" s="77" t="n"/>
      <c r="BN498" s="77" t="n"/>
      <c r="BO498" s="77" t="n"/>
      <c r="BP498" s="77" t="n"/>
      <c r="BQ498" s="77" t="n"/>
      <c r="BR498" s="77" t="n"/>
      <c r="BS498" s="77" t="n"/>
      <c r="BT498" s="77" t="n"/>
      <c r="BU498" s="77" t="n"/>
      <c r="BV498" s="77" t="n"/>
      <c r="BW498" s="77" t="n"/>
      <c r="BX498" s="77" t="n"/>
      <c r="BY498" s="77" t="n"/>
      <c r="BZ498" s="77">
        <f>I498</f>
        <v/>
      </c>
      <c r="CA498" s="77">
        <f>M498</f>
        <v/>
      </c>
      <c r="CB498" s="77" t="n"/>
      <c r="CC498" s="77" t="n"/>
    </row>
    <row r="499">
      <c r="C499" s="13" t="n"/>
      <c r="D499" s="13" t="n"/>
      <c r="I499" s="13" t="n"/>
      <c r="J499" s="13" t="n"/>
      <c r="K499" s="13" t="n"/>
      <c r="AY499" s="74" t="n"/>
      <c r="AZ499" s="77" t="inlineStr">
        <is>
          <t>T</t>
        </is>
      </c>
      <c r="BA499" s="77" t="inlineStr">
        <is>
          <t>T</t>
        </is>
      </c>
      <c r="BB499" s="77" t="inlineStr">
        <is>
          <t>T</t>
        </is>
      </c>
      <c r="BC499" s="77" t="inlineStr">
        <is>
          <t>T</t>
        </is>
      </c>
      <c r="BD499" s="77" t="inlineStr">
        <is>
          <t>T</t>
        </is>
      </c>
      <c r="BE499" s="77" t="n"/>
      <c r="BF499" s="77" t="n"/>
      <c r="BG499" s="77" t="n"/>
      <c r="BH499" s="77" t="n"/>
      <c r="BI499" s="77" t="n"/>
      <c r="BJ499" s="77" t="n"/>
      <c r="BK499" s="77" t="n"/>
      <c r="BL499" s="77" t="n"/>
      <c r="BM499" s="77" t="n"/>
      <c r="BN499" s="77" t="n"/>
      <c r="BO499" s="77" t="n"/>
      <c r="BP499" s="77" t="n"/>
      <c r="BQ499" s="77" t="n"/>
      <c r="BR499" s="77" t="n"/>
      <c r="BS499" s="77" t="n"/>
      <c r="BT499" s="77" t="n"/>
      <c r="BU499" s="77" t="n"/>
      <c r="BV499" s="77" t="n"/>
      <c r="BW499" s="77" t="n"/>
      <c r="BX499" s="77" t="n"/>
      <c r="BY499" s="77" t="n"/>
      <c r="BZ499" s="77">
        <f>I499</f>
        <v/>
      </c>
      <c r="CA499" s="77">
        <f>M499</f>
        <v/>
      </c>
      <c r="CB499" s="77" t="n"/>
      <c r="CC499" s="77" t="n"/>
    </row>
    <row r="500">
      <c r="AY500" s="74" t="n"/>
      <c r="AZ500" s="77" t="inlineStr">
        <is>
          <t>T</t>
        </is>
      </c>
      <c r="BA500" s="77" t="inlineStr">
        <is>
          <t>T</t>
        </is>
      </c>
      <c r="BB500" s="77" t="inlineStr">
        <is>
          <t>T</t>
        </is>
      </c>
      <c r="BC500" s="77" t="inlineStr">
        <is>
          <t>T</t>
        </is>
      </c>
      <c r="BD500" s="77" t="inlineStr">
        <is>
          <t>T</t>
        </is>
      </c>
      <c r="BE500" s="77" t="n"/>
      <c r="BF500" s="77" t="n"/>
      <c r="BG500" s="77" t="n"/>
      <c r="BH500" s="77" t="n"/>
      <c r="BI500" s="77" t="n"/>
      <c r="BJ500" s="77" t="n"/>
      <c r="BK500" s="77" t="n"/>
      <c r="BL500" s="77" t="n"/>
      <c r="BM500" s="77" t="n"/>
      <c r="BN500" s="77" t="n"/>
      <c r="BO500" s="77" t="n"/>
      <c r="BP500" s="77" t="n"/>
      <c r="BQ500" s="77" t="n"/>
      <c r="BR500" s="77" t="n"/>
      <c r="BS500" s="77" t="n"/>
      <c r="BT500" s="77" t="n"/>
      <c r="BU500" s="77" t="n"/>
      <c r="BV500" s="77" t="n"/>
      <c r="BW500" s="77" t="n"/>
      <c r="BX500" s="77" t="n"/>
      <c r="BY500" s="77" t="n"/>
      <c r="BZ500" s="77">
        <f>I500</f>
        <v/>
      </c>
      <c r="CA500" s="77">
        <f>M500</f>
        <v/>
      </c>
      <c r="CB500" s="77" t="n"/>
      <c r="CC500" s="77" t="n"/>
    </row>
    <row r="501">
      <c r="AY501" s="74" t="n"/>
      <c r="AZ501" s="77" t="inlineStr">
        <is>
          <t>T</t>
        </is>
      </c>
      <c r="BA501" s="77" t="inlineStr">
        <is>
          <t>T</t>
        </is>
      </c>
      <c r="BB501" s="77" t="inlineStr">
        <is>
          <t>T</t>
        </is>
      </c>
      <c r="BC501" s="77" t="inlineStr">
        <is>
          <t>T</t>
        </is>
      </c>
      <c r="BD501" s="77" t="inlineStr">
        <is>
          <t>T</t>
        </is>
      </c>
      <c r="BE501" s="77" t="n"/>
      <c r="BF501" s="77" t="n"/>
      <c r="BG501" s="77" t="n"/>
      <c r="BH501" s="77" t="n"/>
      <c r="BI501" s="77" t="n"/>
      <c r="BJ501" s="77" t="n"/>
      <c r="BK501" s="77" t="n"/>
      <c r="BL501" s="77" t="n"/>
      <c r="BM501" s="77" t="n"/>
      <c r="BN501" s="77" t="n"/>
      <c r="BO501" s="77" t="n"/>
      <c r="BP501" s="77" t="n"/>
      <c r="BQ501" s="77" t="n"/>
      <c r="BR501" s="77" t="n"/>
      <c r="BS501" s="77" t="n"/>
      <c r="BT501" s="77" t="n"/>
      <c r="BU501" s="77" t="n"/>
      <c r="BV501" s="77" t="n"/>
      <c r="BW501" s="77" t="n"/>
      <c r="BX501" s="77" t="n"/>
      <c r="BY501" s="77" t="n"/>
      <c r="BZ501" s="77">
        <f>I501</f>
        <v/>
      </c>
      <c r="CA501" s="77">
        <f>M501</f>
        <v/>
      </c>
      <c r="CB501" s="77" t="n"/>
      <c r="CC501" s="77" t="n"/>
    </row>
    <row r="502">
      <c r="AY502" s="74" t="n"/>
      <c r="AZ502" s="77" t="inlineStr">
        <is>
          <t>T</t>
        </is>
      </c>
      <c r="BA502" s="77" t="inlineStr">
        <is>
          <t>T</t>
        </is>
      </c>
      <c r="BB502" s="77" t="inlineStr">
        <is>
          <t>T</t>
        </is>
      </c>
      <c r="BC502" s="77" t="inlineStr">
        <is>
          <t>T</t>
        </is>
      </c>
      <c r="BD502" s="77" t="inlineStr">
        <is>
          <t>T</t>
        </is>
      </c>
      <c r="BE502" s="77" t="n"/>
      <c r="BF502" s="77" t="n"/>
      <c r="BG502" s="77" t="n"/>
      <c r="BH502" s="77" t="n"/>
      <c r="BI502" s="77" t="n"/>
      <c r="BJ502" s="77" t="n"/>
      <c r="BK502" s="77" t="n"/>
      <c r="BL502" s="77" t="n"/>
      <c r="BM502" s="77" t="n"/>
      <c r="BN502" s="77" t="n"/>
      <c r="BO502" s="77" t="n"/>
      <c r="BP502" s="77" t="n"/>
      <c r="BQ502" s="77" t="n"/>
      <c r="BR502" s="77" t="n"/>
      <c r="BS502" s="77" t="n"/>
      <c r="BT502" s="77" t="n"/>
      <c r="BU502" s="77" t="n"/>
      <c r="BV502" s="77" t="n"/>
      <c r="BW502" s="77" t="n"/>
      <c r="BX502" s="77" t="n"/>
      <c r="BY502" s="77" t="n"/>
      <c r="BZ502" s="77">
        <f>I502</f>
        <v/>
      </c>
      <c r="CA502" s="77">
        <f>M502</f>
        <v/>
      </c>
      <c r="CB502" s="77" t="n"/>
      <c r="CC502" s="77" t="n"/>
    </row>
    <row r="503">
      <c r="AY503" s="74" t="n"/>
      <c r="AZ503" s="77" t="inlineStr">
        <is>
          <t>T</t>
        </is>
      </c>
      <c r="BA503" s="77" t="inlineStr">
        <is>
          <t>T</t>
        </is>
      </c>
      <c r="BB503" s="77" t="inlineStr">
        <is>
          <t>T</t>
        </is>
      </c>
      <c r="BC503" s="77" t="inlineStr">
        <is>
          <t>T</t>
        </is>
      </c>
      <c r="BD503" s="77" t="inlineStr">
        <is>
          <t>T</t>
        </is>
      </c>
      <c r="BE503" s="77" t="n"/>
      <c r="BF503" s="77" t="n"/>
      <c r="BG503" s="77" t="n"/>
      <c r="BH503" s="77" t="n"/>
      <c r="BI503" s="77" t="n"/>
      <c r="BJ503" s="77" t="n"/>
      <c r="BK503" s="77" t="n"/>
      <c r="BL503" s="77" t="n"/>
      <c r="BM503" s="77" t="n"/>
      <c r="BN503" s="77" t="n"/>
      <c r="BO503" s="77" t="n"/>
      <c r="BP503" s="77" t="n"/>
      <c r="BQ503" s="77" t="n"/>
      <c r="BR503" s="77" t="n"/>
      <c r="BS503" s="77" t="n"/>
      <c r="BT503" s="77" t="n"/>
      <c r="BU503" s="77" t="n"/>
      <c r="BV503" s="77" t="n"/>
      <c r="BW503" s="77" t="n"/>
      <c r="BX503" s="77" t="n"/>
      <c r="BY503" s="77" t="n"/>
      <c r="BZ503" s="77">
        <f>I503</f>
        <v/>
      </c>
      <c r="CA503" s="77">
        <f>M503</f>
        <v/>
      </c>
      <c r="CB503" s="77" t="n"/>
      <c r="CC503" s="77" t="n"/>
    </row>
    <row r="504">
      <c r="AY504" s="74" t="n"/>
      <c r="AZ504" s="77" t="inlineStr">
        <is>
          <t>T</t>
        </is>
      </c>
      <c r="BA504" s="77" t="inlineStr">
        <is>
          <t>T</t>
        </is>
      </c>
      <c r="BB504" s="77" t="inlineStr">
        <is>
          <t>T</t>
        </is>
      </c>
      <c r="BC504" s="77" t="inlineStr">
        <is>
          <t>T</t>
        </is>
      </c>
      <c r="BD504" s="77" t="inlineStr">
        <is>
          <t>T</t>
        </is>
      </c>
      <c r="BE504" s="77" t="n"/>
      <c r="BF504" s="77" t="n"/>
      <c r="BG504" s="77" t="n"/>
      <c r="BH504" s="77" t="n"/>
      <c r="BI504" s="77" t="n"/>
      <c r="BJ504" s="77" t="n"/>
      <c r="BK504" s="77" t="n"/>
      <c r="BL504" s="77" t="n"/>
      <c r="BM504" s="77" t="n"/>
      <c r="BN504" s="77" t="n"/>
      <c r="BO504" s="77" t="n"/>
      <c r="BP504" s="77" t="n"/>
      <c r="BQ504" s="77" t="n"/>
      <c r="BR504" s="77" t="n"/>
      <c r="BS504" s="77" t="n"/>
      <c r="BT504" s="77" t="n"/>
      <c r="BU504" s="77" t="n"/>
      <c r="BV504" s="77" t="n"/>
      <c r="BW504" s="77" t="n"/>
      <c r="BX504" s="77" t="n"/>
      <c r="BY504" s="77" t="n"/>
      <c r="BZ504" s="77">
        <f>I504</f>
        <v/>
      </c>
      <c r="CA504" s="77">
        <f>M504</f>
        <v/>
      </c>
      <c r="CB504" s="77" t="n"/>
      <c r="CC504" s="77" t="n"/>
    </row>
    <row r="505">
      <c r="AY505" s="74" t="n"/>
      <c r="AZ505" s="77" t="inlineStr">
        <is>
          <t>T</t>
        </is>
      </c>
      <c r="BA505" s="77" t="inlineStr">
        <is>
          <t>T</t>
        </is>
      </c>
      <c r="BB505" s="77" t="inlineStr">
        <is>
          <t>T</t>
        </is>
      </c>
      <c r="BC505" s="77" t="inlineStr">
        <is>
          <t>T</t>
        </is>
      </c>
      <c r="BD505" s="77" t="inlineStr">
        <is>
          <t>T</t>
        </is>
      </c>
      <c r="BE505" s="77" t="n"/>
      <c r="BF505" s="77" t="n"/>
      <c r="BG505" s="77" t="n"/>
      <c r="BH505" s="77" t="n"/>
      <c r="BI505" s="77" t="n"/>
      <c r="BJ505" s="77" t="n"/>
      <c r="BK505" s="77" t="n"/>
      <c r="BL505" s="77" t="n"/>
      <c r="BM505" s="77" t="n"/>
      <c r="BN505" s="77" t="n"/>
      <c r="BO505" s="77" t="n"/>
      <c r="BP505" s="77" t="n"/>
      <c r="BQ505" s="77" t="n"/>
      <c r="BR505" s="77" t="n"/>
      <c r="BS505" s="77" t="n"/>
      <c r="BT505" s="77" t="n"/>
      <c r="BU505" s="77" t="n"/>
      <c r="BV505" s="77" t="n"/>
      <c r="BW505" s="77" t="n"/>
      <c r="BX505" s="77" t="n"/>
      <c r="BY505" s="77" t="n"/>
      <c r="BZ505" s="77">
        <f>I505</f>
        <v/>
      </c>
      <c r="CA505" s="77">
        <f>M505</f>
        <v/>
      </c>
      <c r="CB505" s="77" t="n"/>
      <c r="CC505" s="77" t="n"/>
    </row>
    <row r="506">
      <c r="AY506" s="74" t="n"/>
      <c r="AZ506" s="77" t="inlineStr">
        <is>
          <t>T</t>
        </is>
      </c>
      <c r="BA506" s="77" t="inlineStr">
        <is>
          <t>T</t>
        </is>
      </c>
      <c r="BB506" s="77" t="inlineStr">
        <is>
          <t>T</t>
        </is>
      </c>
      <c r="BC506" s="77" t="inlineStr">
        <is>
          <t>T</t>
        </is>
      </c>
      <c r="BD506" s="77" t="inlineStr">
        <is>
          <t>T</t>
        </is>
      </c>
      <c r="BE506" s="77" t="n"/>
      <c r="BF506" s="77" t="n"/>
      <c r="BG506" s="77" t="n"/>
      <c r="BH506" s="77" t="n"/>
      <c r="BI506" s="77" t="n"/>
      <c r="BJ506" s="77" t="n"/>
      <c r="BK506" s="77" t="n"/>
      <c r="BL506" s="77" t="n"/>
      <c r="BM506" s="77" t="n"/>
      <c r="BN506" s="77" t="n"/>
      <c r="BO506" s="77" t="n"/>
      <c r="BP506" s="77" t="n"/>
      <c r="BQ506" s="77" t="n"/>
      <c r="BR506" s="77" t="n"/>
      <c r="BS506" s="77" t="n"/>
      <c r="BT506" s="77" t="n"/>
      <c r="BU506" s="77" t="n"/>
      <c r="BV506" s="77" t="n"/>
      <c r="BW506" s="77" t="n"/>
      <c r="BX506" s="77" t="n"/>
      <c r="BY506" s="77" t="n"/>
      <c r="BZ506" s="77">
        <f>I506</f>
        <v/>
      </c>
      <c r="CA506" s="77">
        <f>M506</f>
        <v/>
      </c>
      <c r="CB506" s="77" t="n"/>
      <c r="CC506" s="77" t="n"/>
    </row>
    <row r="507">
      <c r="AY507" s="74" t="n"/>
      <c r="AZ507" s="77" t="inlineStr">
        <is>
          <t>T</t>
        </is>
      </c>
      <c r="BA507" s="77" t="inlineStr">
        <is>
          <t>T</t>
        </is>
      </c>
      <c r="BB507" s="77" t="inlineStr">
        <is>
          <t>T</t>
        </is>
      </c>
      <c r="BC507" s="77" t="inlineStr">
        <is>
          <t>T</t>
        </is>
      </c>
      <c r="BD507" s="77" t="inlineStr">
        <is>
          <t>T</t>
        </is>
      </c>
      <c r="BE507" s="77" t="n"/>
      <c r="BF507" s="77" t="n"/>
      <c r="BG507" s="77" t="n"/>
      <c r="BH507" s="77" t="n"/>
      <c r="BI507" s="77" t="n"/>
      <c r="BJ507" s="77" t="n"/>
      <c r="BK507" s="77" t="n"/>
      <c r="BL507" s="77" t="n"/>
      <c r="BM507" s="77" t="n"/>
      <c r="BN507" s="77" t="n"/>
      <c r="BO507" s="77" t="n"/>
      <c r="BP507" s="77" t="n"/>
      <c r="BQ507" s="77" t="n"/>
      <c r="BR507" s="77" t="n"/>
      <c r="BS507" s="77" t="n"/>
      <c r="BT507" s="77" t="n"/>
      <c r="BU507" s="77" t="n"/>
      <c r="BV507" s="77" t="n"/>
      <c r="BW507" s="77" t="n"/>
      <c r="BX507" s="77" t="n"/>
      <c r="BY507" s="77" t="n"/>
      <c r="BZ507" s="77">
        <f>I507</f>
        <v/>
      </c>
      <c r="CA507" s="77">
        <f>M507</f>
        <v/>
      </c>
      <c r="CB507" s="77" t="n"/>
      <c r="CC507" s="77" t="n"/>
    </row>
    <row r="508">
      <c r="AY508" s="74" t="n"/>
      <c r="AZ508" s="77" t="inlineStr">
        <is>
          <t>T</t>
        </is>
      </c>
      <c r="BA508" s="77" t="inlineStr">
        <is>
          <t>T</t>
        </is>
      </c>
      <c r="BB508" s="77" t="inlineStr">
        <is>
          <t>T</t>
        </is>
      </c>
      <c r="BC508" s="77" t="inlineStr">
        <is>
          <t>T</t>
        </is>
      </c>
      <c r="BD508" s="77" t="inlineStr">
        <is>
          <t>T</t>
        </is>
      </c>
      <c r="BE508" s="77" t="n"/>
      <c r="BF508" s="77" t="n"/>
      <c r="BG508" s="77" t="n"/>
      <c r="BH508" s="77" t="n"/>
      <c r="BI508" s="77" t="n"/>
      <c r="BJ508" s="77" t="n"/>
      <c r="BK508" s="77" t="n"/>
      <c r="BL508" s="77" t="n"/>
      <c r="BM508" s="77" t="n"/>
      <c r="BN508" s="77" t="n"/>
      <c r="BO508" s="77" t="n"/>
      <c r="BP508" s="77" t="n"/>
      <c r="BQ508" s="77" t="n"/>
      <c r="BR508" s="77" t="n"/>
      <c r="BS508" s="77" t="n"/>
      <c r="BT508" s="77" t="n"/>
      <c r="BU508" s="77" t="n"/>
      <c r="BV508" s="77" t="n"/>
      <c r="BW508" s="77" t="n"/>
      <c r="BX508" s="77" t="n"/>
      <c r="BY508" s="77" t="n"/>
      <c r="BZ508" s="77">
        <f>I508</f>
        <v/>
      </c>
      <c r="CA508" s="77">
        <f>M508</f>
        <v/>
      </c>
      <c r="CB508" s="77" t="n"/>
      <c r="CC508" s="77" t="n"/>
    </row>
    <row r="509">
      <c r="AY509" s="74" t="n"/>
      <c r="AZ509" s="77" t="inlineStr">
        <is>
          <t>T</t>
        </is>
      </c>
      <c r="BA509" s="77" t="inlineStr">
        <is>
          <t>T</t>
        </is>
      </c>
      <c r="BB509" s="77" t="inlineStr">
        <is>
          <t>T</t>
        </is>
      </c>
      <c r="BC509" s="77" t="inlineStr">
        <is>
          <t>T</t>
        </is>
      </c>
      <c r="BD509" s="77" t="inlineStr">
        <is>
          <t>T</t>
        </is>
      </c>
      <c r="BE509" s="77" t="n"/>
      <c r="BF509" s="77" t="n"/>
      <c r="BG509" s="77" t="n"/>
      <c r="BH509" s="77" t="n"/>
      <c r="BI509" s="77" t="n"/>
      <c r="BJ509" s="77" t="n"/>
      <c r="BK509" s="77" t="n"/>
      <c r="BL509" s="77" t="n"/>
      <c r="BM509" s="77" t="n"/>
      <c r="BN509" s="77" t="n"/>
      <c r="BO509" s="77" t="n"/>
      <c r="BP509" s="77" t="n"/>
      <c r="BQ509" s="77" t="n"/>
      <c r="BR509" s="77" t="n"/>
      <c r="BS509" s="77" t="n"/>
      <c r="BT509" s="77" t="n"/>
      <c r="BU509" s="77" t="n"/>
      <c r="BV509" s="77" t="n"/>
      <c r="BW509" s="77" t="n"/>
      <c r="BX509" s="77" t="n"/>
      <c r="BY509" s="77" t="n"/>
      <c r="BZ509" s="77">
        <f>I509</f>
        <v/>
      </c>
      <c r="CA509" s="77">
        <f>M509</f>
        <v/>
      </c>
      <c r="CB509" s="77" t="n"/>
      <c r="CC509" s="77" t="n"/>
    </row>
    <row r="510">
      <c r="AY510" s="74" t="n"/>
      <c r="AZ510" s="77" t="inlineStr">
        <is>
          <t>T</t>
        </is>
      </c>
      <c r="BA510" s="77" t="inlineStr">
        <is>
          <t>T</t>
        </is>
      </c>
      <c r="BB510" s="77" t="inlineStr">
        <is>
          <t>T</t>
        </is>
      </c>
      <c r="BC510" s="77" t="inlineStr">
        <is>
          <t>T</t>
        </is>
      </c>
      <c r="BD510" s="77" t="inlineStr">
        <is>
          <t>T</t>
        </is>
      </c>
      <c r="BE510" s="77" t="n"/>
      <c r="BF510" s="77" t="n"/>
      <c r="BG510" s="77" t="n"/>
      <c r="BH510" s="77" t="n"/>
      <c r="BI510" s="77" t="n"/>
      <c r="BJ510" s="77" t="n"/>
      <c r="BK510" s="77" t="n"/>
      <c r="BL510" s="77" t="n"/>
      <c r="BM510" s="77" t="n"/>
      <c r="BN510" s="77" t="n"/>
      <c r="BO510" s="77" t="n"/>
      <c r="BP510" s="77" t="n"/>
      <c r="BQ510" s="77" t="n"/>
      <c r="BR510" s="77" t="n"/>
      <c r="BS510" s="77" t="n"/>
      <c r="BT510" s="77" t="n"/>
      <c r="BU510" s="77" t="n"/>
      <c r="BV510" s="77" t="n"/>
      <c r="BW510" s="77" t="n"/>
      <c r="BX510" s="77" t="n"/>
      <c r="BY510" s="77" t="n"/>
      <c r="BZ510" s="77">
        <f>I510</f>
        <v/>
      </c>
      <c r="CA510" s="77">
        <f>M510</f>
        <v/>
      </c>
      <c r="CB510" s="77" t="n"/>
      <c r="CC510" s="77" t="n"/>
    </row>
    <row r="511">
      <c r="AY511" s="74" t="n"/>
      <c r="AZ511" s="77" t="inlineStr">
        <is>
          <t>T</t>
        </is>
      </c>
      <c r="BA511" s="77" t="inlineStr">
        <is>
          <t>T</t>
        </is>
      </c>
      <c r="BB511" s="77" t="inlineStr">
        <is>
          <t>T</t>
        </is>
      </c>
      <c r="BC511" s="77" t="inlineStr">
        <is>
          <t>T</t>
        </is>
      </c>
      <c r="BD511" s="77" t="inlineStr">
        <is>
          <t>T</t>
        </is>
      </c>
      <c r="BE511" s="77" t="n"/>
      <c r="BF511" s="77" t="n"/>
      <c r="BG511" s="77" t="n"/>
      <c r="BH511" s="77" t="n"/>
      <c r="BI511" s="77" t="n"/>
      <c r="BJ511" s="77" t="n"/>
      <c r="BK511" s="77" t="n"/>
      <c r="BL511" s="77" t="n"/>
      <c r="BM511" s="77" t="n"/>
      <c r="BN511" s="77" t="n"/>
      <c r="BO511" s="77" t="n"/>
      <c r="BP511" s="77" t="n"/>
      <c r="BQ511" s="77" t="n"/>
      <c r="BR511" s="77" t="n"/>
      <c r="BS511" s="77" t="n"/>
      <c r="BT511" s="77" t="n"/>
      <c r="BU511" s="77" t="n"/>
      <c r="BV511" s="77" t="n"/>
      <c r="BW511" s="77" t="n"/>
      <c r="BX511" s="77" t="n"/>
      <c r="BY511" s="77" t="n"/>
      <c r="BZ511" s="77">
        <f>I511</f>
        <v/>
      </c>
      <c r="CA511" s="77">
        <f>M511</f>
        <v/>
      </c>
      <c r="CB511" s="77" t="n"/>
      <c r="CC511" s="77" t="n"/>
    </row>
    <row r="512">
      <c r="AY512" s="74" t="n"/>
      <c r="AZ512" s="77" t="inlineStr">
        <is>
          <t>T</t>
        </is>
      </c>
      <c r="BA512" s="77" t="inlineStr">
        <is>
          <t>T</t>
        </is>
      </c>
      <c r="BB512" s="77" t="inlineStr">
        <is>
          <t>T</t>
        </is>
      </c>
      <c r="BC512" s="77" t="inlineStr">
        <is>
          <t>T</t>
        </is>
      </c>
      <c r="BD512" s="77" t="inlineStr">
        <is>
          <t>T</t>
        </is>
      </c>
      <c r="BE512" s="77" t="n"/>
      <c r="BF512" s="77" t="n"/>
      <c r="BG512" s="77" t="n"/>
      <c r="BH512" s="77" t="n"/>
      <c r="BI512" s="77" t="n"/>
      <c r="BJ512" s="77" t="n"/>
      <c r="BK512" s="77" t="n"/>
      <c r="BL512" s="77" t="n"/>
      <c r="BM512" s="77" t="n"/>
      <c r="BN512" s="77" t="n"/>
      <c r="BO512" s="77" t="n"/>
      <c r="BP512" s="77" t="n"/>
      <c r="BQ512" s="77" t="n"/>
      <c r="BR512" s="77" t="n"/>
      <c r="BS512" s="77" t="n"/>
      <c r="BT512" s="77" t="n"/>
      <c r="BU512" s="77" t="n"/>
      <c r="BV512" s="77" t="n"/>
      <c r="BW512" s="77" t="n"/>
      <c r="BX512" s="77" t="n"/>
      <c r="BY512" s="77" t="n"/>
      <c r="BZ512" s="77">
        <f>I512</f>
        <v/>
      </c>
      <c r="CA512" s="77">
        <f>M512</f>
        <v/>
      </c>
      <c r="CB512" s="77" t="n"/>
      <c r="CC512" s="77" t="n"/>
    </row>
    <row r="513">
      <c r="AY513" s="74" t="n"/>
      <c r="AZ513" s="77" t="inlineStr">
        <is>
          <t>T</t>
        </is>
      </c>
      <c r="BA513" s="77" t="inlineStr">
        <is>
          <t>T</t>
        </is>
      </c>
      <c r="BB513" s="77" t="inlineStr">
        <is>
          <t>T</t>
        </is>
      </c>
      <c r="BC513" s="77" t="inlineStr">
        <is>
          <t>T</t>
        </is>
      </c>
      <c r="BD513" s="77" t="inlineStr">
        <is>
          <t>T</t>
        </is>
      </c>
      <c r="BE513" s="77" t="n"/>
      <c r="BF513" s="77" t="n"/>
      <c r="BG513" s="77" t="n"/>
      <c r="BH513" s="77" t="n"/>
      <c r="BI513" s="77" t="n"/>
      <c r="BJ513" s="77" t="n"/>
      <c r="BK513" s="77" t="n"/>
      <c r="BL513" s="77" t="n"/>
      <c r="BM513" s="77" t="n"/>
      <c r="BN513" s="77" t="n"/>
      <c r="BO513" s="77" t="n"/>
      <c r="BP513" s="77" t="n"/>
      <c r="BQ513" s="77" t="n"/>
      <c r="BR513" s="77" t="n"/>
      <c r="BS513" s="77" t="n"/>
      <c r="BT513" s="77" t="n"/>
      <c r="BU513" s="77" t="n"/>
      <c r="BV513" s="77" t="n"/>
      <c r="BW513" s="77" t="n"/>
      <c r="BX513" s="77" t="n"/>
      <c r="BY513" s="77" t="n"/>
      <c r="BZ513" s="77">
        <f>I513</f>
        <v/>
      </c>
      <c r="CA513" s="77">
        <f>M513</f>
        <v/>
      </c>
      <c r="CB513" s="77" t="n"/>
      <c r="CC513" s="77" t="n"/>
    </row>
    <row r="514">
      <c r="AY514" s="74" t="n"/>
      <c r="AZ514" s="77" t="inlineStr">
        <is>
          <t>T</t>
        </is>
      </c>
      <c r="BA514" s="77" t="inlineStr">
        <is>
          <t>T</t>
        </is>
      </c>
      <c r="BB514" s="77" t="inlineStr">
        <is>
          <t>T</t>
        </is>
      </c>
      <c r="BC514" s="77" t="inlineStr">
        <is>
          <t>T</t>
        </is>
      </c>
      <c r="BD514" s="77" t="inlineStr">
        <is>
          <t>T</t>
        </is>
      </c>
      <c r="BE514" s="77" t="n"/>
      <c r="BF514" s="77" t="n"/>
      <c r="BG514" s="77" t="n"/>
      <c r="BH514" s="77" t="n"/>
      <c r="BI514" s="77" t="n"/>
      <c r="BJ514" s="77" t="n"/>
      <c r="BK514" s="77" t="n"/>
      <c r="BL514" s="77" t="n"/>
      <c r="BM514" s="77" t="n"/>
      <c r="BN514" s="77" t="n"/>
      <c r="BO514" s="77" t="n"/>
      <c r="BP514" s="77" t="n"/>
      <c r="BQ514" s="77" t="n"/>
      <c r="BR514" s="77" t="n"/>
      <c r="BS514" s="77" t="n"/>
      <c r="BT514" s="77" t="n"/>
      <c r="BU514" s="77" t="n"/>
      <c r="BV514" s="77" t="n"/>
      <c r="BW514" s="77" t="n"/>
      <c r="BX514" s="77" t="n"/>
      <c r="BY514" s="77" t="n"/>
      <c r="BZ514" s="77">
        <f>I514</f>
        <v/>
      </c>
      <c r="CA514" s="77">
        <f>M514</f>
        <v/>
      </c>
      <c r="CB514" s="77" t="n"/>
      <c r="CC514" s="77" t="n"/>
    </row>
    <row r="515">
      <c r="AY515" s="74" t="n"/>
      <c r="AZ515" s="77" t="inlineStr">
        <is>
          <t>T</t>
        </is>
      </c>
      <c r="BA515" s="77" t="inlineStr">
        <is>
          <t>T</t>
        </is>
      </c>
      <c r="BB515" s="77" t="inlineStr">
        <is>
          <t>T</t>
        </is>
      </c>
      <c r="BC515" s="77" t="inlineStr">
        <is>
          <t>T</t>
        </is>
      </c>
      <c r="BD515" s="77" t="inlineStr">
        <is>
          <t>T</t>
        </is>
      </c>
      <c r="BE515" s="77" t="n"/>
      <c r="BF515" s="77" t="n"/>
      <c r="BG515" s="77" t="n"/>
      <c r="BH515" s="77" t="n"/>
      <c r="BI515" s="77" t="n"/>
      <c r="BJ515" s="77" t="n"/>
      <c r="BK515" s="77" t="n"/>
      <c r="BL515" s="77" t="n"/>
      <c r="BM515" s="77" t="n"/>
      <c r="BN515" s="77" t="n"/>
      <c r="BO515" s="77" t="n"/>
      <c r="BP515" s="77" t="n"/>
      <c r="BQ515" s="77" t="n"/>
      <c r="BR515" s="77" t="n"/>
      <c r="BS515" s="77" t="n"/>
      <c r="BT515" s="77" t="n"/>
      <c r="BU515" s="77" t="n"/>
      <c r="BV515" s="77" t="n"/>
      <c r="BW515" s="77" t="n"/>
      <c r="BX515" s="77" t="n"/>
      <c r="BY515" s="77" t="n"/>
      <c r="BZ515" s="77">
        <f>I515</f>
        <v/>
      </c>
      <c r="CA515" s="77">
        <f>M515</f>
        <v/>
      </c>
      <c r="CB515" s="77" t="n"/>
      <c r="CC515" s="77" t="n"/>
    </row>
    <row r="516">
      <c r="AY516" s="74" t="n"/>
      <c r="AZ516" s="77" t="inlineStr">
        <is>
          <t>T</t>
        </is>
      </c>
      <c r="BA516" s="77" t="inlineStr">
        <is>
          <t>T</t>
        </is>
      </c>
      <c r="BB516" s="77" t="inlineStr">
        <is>
          <t>T</t>
        </is>
      </c>
      <c r="BC516" s="77" t="inlineStr">
        <is>
          <t>T</t>
        </is>
      </c>
      <c r="BD516" s="77" t="inlineStr">
        <is>
          <t>T</t>
        </is>
      </c>
      <c r="BE516" s="77" t="n"/>
      <c r="BF516" s="77" t="n"/>
      <c r="BG516" s="77" t="n"/>
      <c r="BH516" s="77" t="n"/>
      <c r="BI516" s="77" t="n"/>
      <c r="BJ516" s="77" t="n"/>
      <c r="BK516" s="77" t="n"/>
      <c r="BL516" s="77" t="n"/>
      <c r="BM516" s="77" t="n"/>
      <c r="BN516" s="77" t="n"/>
      <c r="BO516" s="77" t="n"/>
      <c r="BP516" s="77" t="n"/>
      <c r="BQ516" s="77" t="n"/>
      <c r="BR516" s="77" t="n"/>
      <c r="BS516" s="77" t="n"/>
      <c r="BT516" s="77" t="n"/>
      <c r="BU516" s="77" t="n"/>
      <c r="BV516" s="77" t="n"/>
      <c r="BW516" s="77" t="n"/>
      <c r="BX516" s="77" t="n"/>
      <c r="BY516" s="77" t="n"/>
      <c r="BZ516" s="77">
        <f>I516</f>
        <v/>
      </c>
      <c r="CA516" s="77">
        <f>M516</f>
        <v/>
      </c>
      <c r="CB516" s="77" t="n"/>
      <c r="CC516" s="77" t="n"/>
    </row>
    <row r="517">
      <c r="AY517" s="74" t="n"/>
      <c r="AZ517" s="77" t="inlineStr">
        <is>
          <t>T</t>
        </is>
      </c>
      <c r="BA517" s="77" t="inlineStr">
        <is>
          <t>T</t>
        </is>
      </c>
      <c r="BB517" s="77" t="inlineStr">
        <is>
          <t>T</t>
        </is>
      </c>
      <c r="BC517" s="77" t="inlineStr">
        <is>
          <t>T</t>
        </is>
      </c>
      <c r="BD517" s="77" t="inlineStr">
        <is>
          <t>T</t>
        </is>
      </c>
      <c r="BE517" s="77" t="n"/>
      <c r="BF517" s="77" t="n"/>
      <c r="BG517" s="77" t="n"/>
      <c r="BH517" s="77" t="n"/>
      <c r="BI517" s="77" t="n"/>
      <c r="BJ517" s="77" t="n"/>
      <c r="BK517" s="77" t="n"/>
      <c r="BL517" s="77" t="n"/>
      <c r="BM517" s="77" t="n"/>
      <c r="BN517" s="77" t="n"/>
      <c r="BO517" s="77" t="n"/>
      <c r="BP517" s="77" t="n"/>
      <c r="BQ517" s="77" t="n"/>
      <c r="BR517" s="77" t="n"/>
      <c r="BS517" s="77" t="n"/>
      <c r="BT517" s="77" t="n"/>
      <c r="BU517" s="77" t="n"/>
      <c r="BV517" s="77" t="n"/>
      <c r="BW517" s="77" t="n"/>
      <c r="BX517" s="77" t="n"/>
      <c r="BY517" s="77" t="n"/>
      <c r="BZ517" s="77">
        <f>I517</f>
        <v/>
      </c>
      <c r="CA517" s="77">
        <f>M517</f>
        <v/>
      </c>
      <c r="CB517" s="77" t="n"/>
      <c r="CC517" s="77" t="n"/>
    </row>
    <row r="518">
      <c r="AY518" s="74" t="n"/>
      <c r="AZ518" s="77" t="inlineStr">
        <is>
          <t>T</t>
        </is>
      </c>
      <c r="BA518" s="77" t="inlineStr">
        <is>
          <t>T</t>
        </is>
      </c>
      <c r="BB518" s="77" t="inlineStr">
        <is>
          <t>T</t>
        </is>
      </c>
      <c r="BC518" s="77" t="inlineStr">
        <is>
          <t>T</t>
        </is>
      </c>
      <c r="BD518" s="77" t="inlineStr">
        <is>
          <t>T</t>
        </is>
      </c>
      <c r="BE518" s="77" t="n"/>
      <c r="BF518" s="77" t="n"/>
      <c r="BG518" s="77" t="n"/>
      <c r="BH518" s="77" t="n"/>
      <c r="BI518" s="77" t="n"/>
      <c r="BJ518" s="77" t="n"/>
      <c r="BK518" s="77" t="n"/>
      <c r="BL518" s="77" t="n"/>
      <c r="BM518" s="77" t="n"/>
      <c r="BN518" s="77" t="n"/>
      <c r="BO518" s="77" t="n"/>
      <c r="BP518" s="77" t="n"/>
      <c r="BQ518" s="77" t="n"/>
      <c r="BR518" s="77" t="n"/>
      <c r="BS518" s="77" t="n"/>
      <c r="BT518" s="77" t="n"/>
      <c r="BU518" s="77" t="n"/>
      <c r="BV518" s="77" t="n"/>
      <c r="BW518" s="77" t="n"/>
      <c r="BX518" s="77" t="n"/>
      <c r="BY518" s="77" t="n"/>
      <c r="BZ518" s="77">
        <f>I518</f>
        <v/>
      </c>
      <c r="CA518" s="77">
        <f>M518</f>
        <v/>
      </c>
      <c r="CB518" s="77" t="n"/>
      <c r="CC518" s="77" t="n"/>
    </row>
    <row r="519">
      <c r="AY519" s="74" t="n"/>
      <c r="AZ519" s="77" t="inlineStr">
        <is>
          <t>T</t>
        </is>
      </c>
      <c r="BA519" s="77" t="inlineStr">
        <is>
          <t>T</t>
        </is>
      </c>
      <c r="BB519" s="77" t="inlineStr">
        <is>
          <t>T</t>
        </is>
      </c>
      <c r="BC519" s="77" t="inlineStr">
        <is>
          <t>T</t>
        </is>
      </c>
      <c r="BD519" s="77" t="inlineStr">
        <is>
          <t>T</t>
        </is>
      </c>
      <c r="BE519" s="77" t="n"/>
      <c r="BF519" s="77" t="n"/>
      <c r="BG519" s="77" t="n"/>
      <c r="BH519" s="77" t="n"/>
      <c r="BI519" s="77" t="n"/>
      <c r="BJ519" s="77" t="n"/>
      <c r="BK519" s="77" t="n"/>
      <c r="BL519" s="77" t="n"/>
      <c r="BM519" s="77" t="n"/>
      <c r="BN519" s="77" t="n"/>
      <c r="BO519" s="77" t="n"/>
      <c r="BP519" s="77" t="n"/>
      <c r="BQ519" s="77" t="n"/>
      <c r="BR519" s="77" t="n"/>
      <c r="BS519" s="77" t="n"/>
      <c r="BT519" s="77" t="n"/>
      <c r="BU519" s="77" t="n"/>
      <c r="BV519" s="77" t="n"/>
      <c r="BW519" s="77" t="n"/>
      <c r="BX519" s="77" t="n"/>
      <c r="BY519" s="77" t="n"/>
      <c r="BZ519" s="77">
        <f>I519</f>
        <v/>
      </c>
      <c r="CA519" s="77">
        <f>M519</f>
        <v/>
      </c>
      <c r="CB519" s="77" t="n"/>
      <c r="CC519" s="77" t="n"/>
    </row>
    <row r="520">
      <c r="AY520" s="74" t="n"/>
      <c r="AZ520" s="77" t="inlineStr">
        <is>
          <t>T</t>
        </is>
      </c>
      <c r="BA520" s="77" t="inlineStr">
        <is>
          <t>T</t>
        </is>
      </c>
      <c r="BB520" s="77" t="inlineStr">
        <is>
          <t>T</t>
        </is>
      </c>
      <c r="BC520" s="77" t="inlineStr">
        <is>
          <t>T</t>
        </is>
      </c>
      <c r="BD520" s="77" t="inlineStr">
        <is>
          <t>T</t>
        </is>
      </c>
      <c r="BE520" s="77" t="n"/>
      <c r="BF520" s="77" t="n"/>
      <c r="BG520" s="77" t="n"/>
      <c r="BH520" s="77" t="n"/>
      <c r="BI520" s="77" t="n"/>
      <c r="BJ520" s="77" t="n"/>
      <c r="BK520" s="77" t="n"/>
      <c r="BL520" s="77" t="n"/>
      <c r="BM520" s="77" t="n"/>
      <c r="BN520" s="77" t="n"/>
      <c r="BO520" s="77" t="n"/>
      <c r="BP520" s="77" t="n"/>
      <c r="BQ520" s="77" t="n"/>
      <c r="BR520" s="77" t="n"/>
      <c r="BS520" s="77" t="n"/>
      <c r="BT520" s="77" t="n"/>
      <c r="BU520" s="77" t="n"/>
      <c r="BV520" s="77" t="n"/>
      <c r="BW520" s="77" t="n"/>
      <c r="BX520" s="77" t="n"/>
      <c r="BY520" s="77" t="n"/>
      <c r="BZ520" s="77">
        <f>I520</f>
        <v/>
      </c>
      <c r="CA520" s="77">
        <f>M520</f>
        <v/>
      </c>
      <c r="CB520" s="77" t="n"/>
      <c r="CC520" s="77" t="n"/>
    </row>
    <row r="521">
      <c r="AY521" s="74" t="n"/>
      <c r="AZ521" s="77" t="inlineStr">
        <is>
          <t>T</t>
        </is>
      </c>
      <c r="BA521" s="77" t="inlineStr">
        <is>
          <t>T</t>
        </is>
      </c>
      <c r="BB521" s="77" t="inlineStr">
        <is>
          <t>T</t>
        </is>
      </c>
      <c r="BC521" s="77" t="inlineStr">
        <is>
          <t>T</t>
        </is>
      </c>
      <c r="BD521" s="77" t="inlineStr">
        <is>
          <t>T</t>
        </is>
      </c>
      <c r="BE521" s="77" t="n"/>
      <c r="BF521" s="77" t="n"/>
      <c r="BG521" s="77" t="n"/>
      <c r="BH521" s="77" t="n"/>
      <c r="BI521" s="77" t="n"/>
      <c r="BJ521" s="77" t="n"/>
      <c r="BK521" s="77" t="n"/>
      <c r="BL521" s="77" t="n"/>
      <c r="BM521" s="77" t="n"/>
      <c r="BN521" s="77" t="n"/>
      <c r="BO521" s="77" t="n"/>
      <c r="BP521" s="77" t="n"/>
      <c r="BQ521" s="77" t="n"/>
      <c r="BR521" s="77" t="n"/>
      <c r="BS521" s="77" t="n"/>
      <c r="BT521" s="77" t="n"/>
      <c r="BU521" s="77" t="n"/>
      <c r="BV521" s="77" t="n"/>
      <c r="BW521" s="77" t="n"/>
      <c r="BX521" s="77" t="n"/>
      <c r="BY521" s="77" t="n"/>
      <c r="BZ521" s="77">
        <f>I521</f>
        <v/>
      </c>
      <c r="CA521" s="77">
        <f>M521</f>
        <v/>
      </c>
      <c r="CB521" s="77" t="n"/>
      <c r="CC521" s="77" t="n"/>
    </row>
    <row r="522">
      <c r="AY522" s="74" t="n"/>
      <c r="AZ522" s="77" t="inlineStr">
        <is>
          <t>T</t>
        </is>
      </c>
      <c r="BA522" s="77" t="inlineStr">
        <is>
          <t>T</t>
        </is>
      </c>
      <c r="BB522" s="77" t="inlineStr">
        <is>
          <t>T</t>
        </is>
      </c>
      <c r="BC522" s="77" t="inlineStr">
        <is>
          <t>T</t>
        </is>
      </c>
      <c r="BD522" s="77" t="inlineStr">
        <is>
          <t>T</t>
        </is>
      </c>
      <c r="BE522" s="77" t="n"/>
      <c r="BF522" s="77" t="n"/>
      <c r="BG522" s="77" t="n"/>
      <c r="BH522" s="77" t="n"/>
      <c r="BI522" s="77" t="n"/>
      <c r="BJ522" s="77" t="n"/>
      <c r="BK522" s="77" t="n"/>
      <c r="BL522" s="77" t="n"/>
      <c r="BM522" s="77" t="n"/>
      <c r="BN522" s="77" t="n"/>
      <c r="BO522" s="77" t="n"/>
      <c r="BP522" s="77" t="n"/>
      <c r="BQ522" s="77" t="n"/>
      <c r="BR522" s="77" t="n"/>
      <c r="BS522" s="77" t="n"/>
      <c r="BT522" s="77" t="n"/>
      <c r="BU522" s="77" t="n"/>
      <c r="BV522" s="77" t="n"/>
      <c r="BW522" s="77" t="n"/>
      <c r="BX522" s="77" t="n"/>
      <c r="BY522" s="77" t="n"/>
      <c r="BZ522" s="77">
        <f>I522</f>
        <v/>
      </c>
      <c r="CA522" s="77">
        <f>M522</f>
        <v/>
      </c>
      <c r="CB522" s="77" t="n"/>
      <c r="CC522" s="77" t="n"/>
    </row>
    <row r="523">
      <c r="AY523" s="74" t="n"/>
      <c r="AZ523" s="77" t="inlineStr">
        <is>
          <t>T</t>
        </is>
      </c>
      <c r="BA523" s="77" t="inlineStr">
        <is>
          <t>T</t>
        </is>
      </c>
      <c r="BB523" s="77" t="inlineStr">
        <is>
          <t>T</t>
        </is>
      </c>
      <c r="BC523" s="77" t="inlineStr">
        <is>
          <t>T</t>
        </is>
      </c>
      <c r="BD523" s="77" t="inlineStr">
        <is>
          <t>T</t>
        </is>
      </c>
      <c r="BE523" s="77" t="n"/>
      <c r="BF523" s="77" t="n"/>
      <c r="BG523" s="77" t="n"/>
      <c r="BH523" s="77" t="n"/>
      <c r="BI523" s="77" t="n"/>
      <c r="BJ523" s="77" t="n"/>
      <c r="BK523" s="77" t="n"/>
      <c r="BL523" s="77" t="n"/>
      <c r="BM523" s="77" t="n"/>
      <c r="BN523" s="77" t="n"/>
      <c r="BO523" s="77" t="n"/>
      <c r="BP523" s="77" t="n"/>
      <c r="BQ523" s="77" t="n"/>
      <c r="BR523" s="77" t="n"/>
      <c r="BS523" s="77" t="n"/>
      <c r="BT523" s="77" t="n"/>
      <c r="BU523" s="77" t="n"/>
      <c r="BV523" s="77" t="n"/>
      <c r="BW523" s="77" t="n"/>
      <c r="BX523" s="77" t="n"/>
      <c r="BY523" s="77" t="n"/>
      <c r="BZ523" s="77">
        <f>I523</f>
        <v/>
      </c>
      <c r="CA523" s="77">
        <f>M523</f>
        <v/>
      </c>
      <c r="CB523" s="77" t="n"/>
      <c r="CC523" s="77" t="n"/>
    </row>
    <row r="524">
      <c r="AY524" s="74" t="n"/>
      <c r="AZ524" s="77" t="inlineStr">
        <is>
          <t>T</t>
        </is>
      </c>
      <c r="BA524" s="77" t="inlineStr">
        <is>
          <t>T</t>
        </is>
      </c>
      <c r="BB524" s="77" t="inlineStr">
        <is>
          <t>T</t>
        </is>
      </c>
      <c r="BC524" s="77" t="inlineStr">
        <is>
          <t>T</t>
        </is>
      </c>
      <c r="BD524" s="77" t="inlineStr">
        <is>
          <t>T</t>
        </is>
      </c>
      <c r="BE524" s="77" t="n"/>
      <c r="BF524" s="77" t="n"/>
      <c r="BG524" s="77" t="n"/>
      <c r="BH524" s="77" t="n"/>
      <c r="BI524" s="77" t="n"/>
      <c r="BJ524" s="77" t="n"/>
      <c r="BK524" s="77" t="n"/>
      <c r="BL524" s="77" t="n"/>
      <c r="BM524" s="77" t="n"/>
      <c r="BN524" s="77" t="n"/>
      <c r="BO524" s="77" t="n"/>
      <c r="BP524" s="77" t="n"/>
      <c r="BQ524" s="77" t="n"/>
      <c r="BR524" s="77" t="n"/>
      <c r="BS524" s="77" t="n"/>
      <c r="BT524" s="77" t="n"/>
      <c r="BU524" s="77" t="n"/>
      <c r="BV524" s="77" t="n"/>
      <c r="BW524" s="77" t="n"/>
      <c r="BX524" s="77" t="n"/>
      <c r="BY524" s="77" t="n"/>
      <c r="BZ524" s="77">
        <f>I524</f>
        <v/>
      </c>
      <c r="CA524" s="77">
        <f>M524</f>
        <v/>
      </c>
      <c r="CB524" s="77" t="n"/>
      <c r="CC524" s="77" t="n"/>
    </row>
    <row r="525">
      <c r="AY525" s="74" t="n"/>
      <c r="AZ525" s="77" t="inlineStr">
        <is>
          <t>T</t>
        </is>
      </c>
      <c r="BA525" s="77" t="inlineStr">
        <is>
          <t>T</t>
        </is>
      </c>
      <c r="BB525" s="77" t="inlineStr">
        <is>
          <t>T</t>
        </is>
      </c>
      <c r="BC525" s="77" t="inlineStr">
        <is>
          <t>T</t>
        </is>
      </c>
      <c r="BD525" s="77" t="inlineStr">
        <is>
          <t>T</t>
        </is>
      </c>
      <c r="BE525" s="77" t="n"/>
      <c r="BF525" s="77" t="n"/>
      <c r="BG525" s="77" t="n"/>
      <c r="BH525" s="77" t="n"/>
      <c r="BI525" s="77" t="n"/>
      <c r="BJ525" s="77" t="n"/>
      <c r="BK525" s="77" t="n"/>
      <c r="BL525" s="77" t="n"/>
      <c r="BM525" s="77" t="n"/>
      <c r="BN525" s="77" t="n"/>
      <c r="BO525" s="77" t="n"/>
      <c r="BP525" s="77" t="n"/>
      <c r="BQ525" s="77" t="n"/>
      <c r="BR525" s="77" t="n"/>
      <c r="BS525" s="77" t="n"/>
      <c r="BT525" s="77" t="n"/>
      <c r="BU525" s="77" t="n"/>
      <c r="BV525" s="77" t="n"/>
      <c r="BW525" s="77" t="n"/>
      <c r="BX525" s="77" t="n"/>
      <c r="BY525" s="77" t="n"/>
      <c r="BZ525" s="77">
        <f>I525</f>
        <v/>
      </c>
      <c r="CA525" s="77">
        <f>M525</f>
        <v/>
      </c>
      <c r="CB525" s="77" t="n"/>
      <c r="CC525" s="77" t="n"/>
    </row>
    <row r="526">
      <c r="AY526" s="74" t="n"/>
      <c r="AZ526" s="77" t="inlineStr">
        <is>
          <t>T</t>
        </is>
      </c>
      <c r="BA526" s="77" t="inlineStr">
        <is>
          <t>T</t>
        </is>
      </c>
      <c r="BB526" s="77" t="inlineStr">
        <is>
          <t>T</t>
        </is>
      </c>
      <c r="BC526" s="77" t="inlineStr">
        <is>
          <t>T</t>
        </is>
      </c>
      <c r="BD526" s="77" t="inlineStr">
        <is>
          <t>T</t>
        </is>
      </c>
      <c r="BE526" s="77" t="n"/>
      <c r="BF526" s="77" t="n"/>
      <c r="BG526" s="77" t="n"/>
      <c r="BH526" s="77" t="n"/>
      <c r="BI526" s="77" t="n"/>
      <c r="BJ526" s="77" t="n"/>
      <c r="BK526" s="77" t="n"/>
      <c r="BL526" s="77" t="n"/>
      <c r="BM526" s="77" t="n"/>
      <c r="BN526" s="77" t="n"/>
      <c r="BO526" s="77" t="n"/>
      <c r="BP526" s="77" t="n"/>
      <c r="BQ526" s="77" t="n"/>
      <c r="BR526" s="77" t="n"/>
      <c r="BS526" s="77" t="n"/>
      <c r="BT526" s="77" t="n"/>
      <c r="BU526" s="77" t="n"/>
      <c r="BV526" s="77" t="n"/>
      <c r="BW526" s="77" t="n"/>
      <c r="BX526" s="77" t="n"/>
      <c r="BY526" s="77" t="n"/>
      <c r="BZ526" s="77">
        <f>I526</f>
        <v/>
      </c>
      <c r="CA526" s="77">
        <f>M526</f>
        <v/>
      </c>
      <c r="CB526" s="77" t="n"/>
      <c r="CC526" s="77" t="n"/>
    </row>
    <row r="527">
      <c r="AY527" s="74" t="n"/>
      <c r="AZ527" s="77" t="inlineStr">
        <is>
          <t>T</t>
        </is>
      </c>
      <c r="BA527" s="77" t="inlineStr">
        <is>
          <t>T</t>
        </is>
      </c>
      <c r="BB527" s="77" t="inlineStr">
        <is>
          <t>T</t>
        </is>
      </c>
      <c r="BC527" s="77" t="inlineStr">
        <is>
          <t>T</t>
        </is>
      </c>
      <c r="BD527" s="77" t="inlineStr">
        <is>
          <t>T</t>
        </is>
      </c>
      <c r="BE527" s="77" t="n"/>
      <c r="BF527" s="77" t="n"/>
      <c r="BG527" s="77" t="n"/>
      <c r="BH527" s="77" t="n"/>
      <c r="BI527" s="77" t="n"/>
      <c r="BJ527" s="77" t="n"/>
      <c r="BK527" s="77" t="n"/>
      <c r="BL527" s="77" t="n"/>
      <c r="BM527" s="77" t="n"/>
      <c r="BN527" s="77" t="n"/>
      <c r="BO527" s="77" t="n"/>
      <c r="BP527" s="77" t="n"/>
      <c r="BQ527" s="77" t="n"/>
      <c r="BR527" s="77" t="n"/>
      <c r="BS527" s="77" t="n"/>
      <c r="BT527" s="77" t="n"/>
      <c r="BU527" s="77" t="n"/>
      <c r="BV527" s="77" t="n"/>
      <c r="BW527" s="77" t="n"/>
      <c r="BX527" s="77" t="n"/>
      <c r="BY527" s="77" t="n"/>
      <c r="BZ527" s="77">
        <f>I527</f>
        <v/>
      </c>
      <c r="CA527" s="77">
        <f>M527</f>
        <v/>
      </c>
      <c r="CB527" s="77" t="n"/>
      <c r="CC527" s="77" t="n"/>
    </row>
    <row r="528">
      <c r="AY528" s="74" t="n"/>
      <c r="AZ528" s="77" t="inlineStr">
        <is>
          <t>T</t>
        </is>
      </c>
      <c r="BA528" s="77" t="inlineStr">
        <is>
          <t>T</t>
        </is>
      </c>
      <c r="BB528" s="77" t="inlineStr">
        <is>
          <t>T</t>
        </is>
      </c>
      <c r="BC528" s="77" t="inlineStr">
        <is>
          <t>T</t>
        </is>
      </c>
      <c r="BD528" s="77" t="inlineStr">
        <is>
          <t>T</t>
        </is>
      </c>
      <c r="BE528" s="77" t="n"/>
      <c r="BF528" s="77" t="n"/>
      <c r="BG528" s="77" t="n"/>
      <c r="BH528" s="77" t="n"/>
      <c r="BI528" s="77" t="n"/>
      <c r="BJ528" s="77" t="n"/>
      <c r="BK528" s="77" t="n"/>
      <c r="BL528" s="77" t="n"/>
      <c r="BM528" s="77" t="n"/>
      <c r="BN528" s="77" t="n"/>
      <c r="BO528" s="77" t="n"/>
      <c r="BP528" s="77" t="n"/>
      <c r="BQ528" s="77" t="n"/>
      <c r="BR528" s="77" t="n"/>
      <c r="BS528" s="77" t="n"/>
      <c r="BT528" s="77" t="n"/>
      <c r="BU528" s="77" t="n"/>
      <c r="BV528" s="77" t="n"/>
      <c r="BW528" s="77" t="n"/>
      <c r="BX528" s="77" t="n"/>
      <c r="BY528" s="77" t="n"/>
      <c r="BZ528" s="77">
        <f>I528</f>
        <v/>
      </c>
      <c r="CA528" s="77">
        <f>M528</f>
        <v/>
      </c>
      <c r="CB528" s="77" t="n"/>
      <c r="CC528" s="77" t="n"/>
    </row>
    <row r="529">
      <c r="AY529" s="74" t="n"/>
      <c r="AZ529" s="77" t="inlineStr">
        <is>
          <t>T</t>
        </is>
      </c>
      <c r="BA529" s="77" t="inlineStr">
        <is>
          <t>T</t>
        </is>
      </c>
      <c r="BB529" s="77" t="inlineStr">
        <is>
          <t>T</t>
        </is>
      </c>
      <c r="BC529" s="77" t="inlineStr">
        <is>
          <t>T</t>
        </is>
      </c>
      <c r="BD529" s="77" t="inlineStr">
        <is>
          <t>T</t>
        </is>
      </c>
      <c r="BE529" s="77" t="n"/>
      <c r="BF529" s="77" t="n"/>
      <c r="BG529" s="77" t="n"/>
      <c r="BH529" s="77" t="n"/>
      <c r="BI529" s="77" t="n"/>
      <c r="BJ529" s="77" t="n"/>
      <c r="BK529" s="77" t="n"/>
      <c r="BL529" s="77" t="n"/>
      <c r="BM529" s="77" t="n"/>
      <c r="BN529" s="77" t="n"/>
      <c r="BO529" s="77" t="n"/>
      <c r="BP529" s="77" t="n"/>
      <c r="BQ529" s="77" t="n"/>
      <c r="BR529" s="77" t="n"/>
      <c r="BS529" s="77" t="n"/>
      <c r="BT529" s="77" t="n"/>
      <c r="BU529" s="77" t="n"/>
      <c r="BV529" s="77" t="n"/>
      <c r="BW529" s="77" t="n"/>
      <c r="BX529" s="77" t="n"/>
      <c r="BY529" s="77" t="n"/>
      <c r="BZ529" s="77">
        <f>I529</f>
        <v/>
      </c>
      <c r="CA529" s="77">
        <f>M529</f>
        <v/>
      </c>
      <c r="CB529" s="77" t="n"/>
      <c r="CC529" s="77" t="n"/>
    </row>
    <row r="530">
      <c r="AY530" s="74" t="n"/>
      <c r="AZ530" s="77" t="inlineStr">
        <is>
          <t>T</t>
        </is>
      </c>
      <c r="BA530" s="77" t="inlineStr">
        <is>
          <t>T</t>
        </is>
      </c>
      <c r="BB530" s="77" t="inlineStr">
        <is>
          <t>T</t>
        </is>
      </c>
      <c r="BC530" s="77" t="inlineStr">
        <is>
          <t>T</t>
        </is>
      </c>
      <c r="BD530" s="77" t="inlineStr">
        <is>
          <t>T</t>
        </is>
      </c>
      <c r="BE530" s="77" t="n"/>
      <c r="BF530" s="77" t="n"/>
      <c r="BG530" s="77" t="n"/>
      <c r="BH530" s="77" t="n"/>
      <c r="BI530" s="77" t="n"/>
      <c r="BJ530" s="77" t="n"/>
      <c r="BK530" s="77" t="n"/>
      <c r="BL530" s="77" t="n"/>
      <c r="BM530" s="77" t="n"/>
      <c r="BN530" s="77" t="n"/>
      <c r="BO530" s="77" t="n"/>
      <c r="BP530" s="77" t="n"/>
      <c r="BQ530" s="77" t="n"/>
      <c r="BR530" s="77" t="n"/>
      <c r="BS530" s="77" t="n"/>
      <c r="BT530" s="77" t="n"/>
      <c r="BU530" s="77" t="n"/>
      <c r="BV530" s="77" t="n"/>
      <c r="BW530" s="77" t="n"/>
      <c r="BX530" s="77" t="n"/>
      <c r="BY530" s="77" t="n"/>
      <c r="BZ530" s="77">
        <f>I530</f>
        <v/>
      </c>
      <c r="CA530" s="77">
        <f>M530</f>
        <v/>
      </c>
      <c r="CB530" s="77" t="n"/>
      <c r="CC530" s="77" t="n"/>
    </row>
    <row r="531">
      <c r="AY531" s="74" t="n"/>
      <c r="AZ531" s="77" t="inlineStr">
        <is>
          <t>T</t>
        </is>
      </c>
      <c r="BA531" s="77" t="inlineStr">
        <is>
          <t>T</t>
        </is>
      </c>
      <c r="BB531" s="77" t="inlineStr">
        <is>
          <t>T</t>
        </is>
      </c>
      <c r="BC531" s="77" t="inlineStr">
        <is>
          <t>T</t>
        </is>
      </c>
      <c r="BD531" s="77" t="inlineStr">
        <is>
          <t>T</t>
        </is>
      </c>
      <c r="BE531" s="77" t="n"/>
      <c r="BF531" s="77" t="n"/>
      <c r="BG531" s="77" t="n"/>
      <c r="BH531" s="77" t="n"/>
      <c r="BI531" s="77" t="n"/>
      <c r="BJ531" s="77" t="n"/>
      <c r="BK531" s="77" t="n"/>
      <c r="BL531" s="77" t="n"/>
      <c r="BM531" s="77" t="n"/>
      <c r="BN531" s="77" t="n"/>
      <c r="BO531" s="77" t="n"/>
      <c r="BP531" s="77" t="n"/>
      <c r="BQ531" s="77" t="n"/>
      <c r="BR531" s="77" t="n"/>
      <c r="BS531" s="77" t="n"/>
      <c r="BT531" s="77" t="n"/>
      <c r="BU531" s="77" t="n"/>
      <c r="BV531" s="77" t="n"/>
      <c r="BW531" s="77" t="n"/>
      <c r="BX531" s="77" t="n"/>
      <c r="BY531" s="77" t="n"/>
      <c r="BZ531" s="77">
        <f>I531</f>
        <v/>
      </c>
      <c r="CA531" s="77">
        <f>M531</f>
        <v/>
      </c>
      <c r="CB531" s="77" t="n"/>
      <c r="CC531" s="77" t="n"/>
    </row>
    <row r="532">
      <c r="AY532" s="74" t="n"/>
      <c r="AZ532" s="77" t="inlineStr">
        <is>
          <t>T</t>
        </is>
      </c>
      <c r="BA532" s="77" t="inlineStr">
        <is>
          <t>T</t>
        </is>
      </c>
      <c r="BB532" s="77" t="inlineStr">
        <is>
          <t>T</t>
        </is>
      </c>
      <c r="BC532" s="77" t="inlineStr">
        <is>
          <t>T</t>
        </is>
      </c>
      <c r="BD532" s="77" t="inlineStr">
        <is>
          <t>T</t>
        </is>
      </c>
      <c r="BE532" s="77" t="n"/>
      <c r="BF532" s="77" t="n"/>
      <c r="BG532" s="77" t="n"/>
      <c r="BH532" s="77" t="n"/>
      <c r="BI532" s="77" t="n"/>
      <c r="BJ532" s="77" t="n"/>
      <c r="BK532" s="77" t="n"/>
      <c r="BL532" s="77" t="n"/>
      <c r="BM532" s="77" t="n"/>
      <c r="BN532" s="77" t="n"/>
      <c r="BO532" s="77" t="n"/>
      <c r="BP532" s="77" t="n"/>
      <c r="BQ532" s="77" t="n"/>
      <c r="BR532" s="77" t="n"/>
      <c r="BS532" s="77" t="n"/>
      <c r="BT532" s="77" t="n"/>
      <c r="BU532" s="77" t="n"/>
      <c r="BV532" s="77" t="n"/>
      <c r="BW532" s="77" t="n"/>
      <c r="BX532" s="77" t="n"/>
      <c r="BY532" s="77" t="n"/>
      <c r="BZ532" s="77">
        <f>I532</f>
        <v/>
      </c>
      <c r="CA532" s="77">
        <f>M532</f>
        <v/>
      </c>
      <c r="CB532" s="77" t="n"/>
      <c r="CC532" s="77" t="n"/>
    </row>
    <row r="533">
      <c r="AY533" s="74" t="n"/>
      <c r="AZ533" s="77" t="inlineStr">
        <is>
          <t>T</t>
        </is>
      </c>
      <c r="BA533" s="77" t="inlineStr">
        <is>
          <t>T</t>
        </is>
      </c>
      <c r="BB533" s="77" t="inlineStr">
        <is>
          <t>T</t>
        </is>
      </c>
      <c r="BC533" s="77" t="inlineStr">
        <is>
          <t>T</t>
        </is>
      </c>
      <c r="BD533" s="77" t="inlineStr">
        <is>
          <t>T</t>
        </is>
      </c>
      <c r="BE533" s="77" t="n"/>
      <c r="BF533" s="77" t="n"/>
      <c r="BG533" s="77" t="n"/>
      <c r="BH533" s="77" t="n"/>
      <c r="BI533" s="77" t="n"/>
      <c r="BJ533" s="77" t="n"/>
      <c r="BK533" s="77" t="n"/>
      <c r="BL533" s="77" t="n"/>
      <c r="BM533" s="77" t="n"/>
      <c r="BN533" s="77" t="n"/>
      <c r="BO533" s="77" t="n"/>
      <c r="BP533" s="77" t="n"/>
      <c r="BQ533" s="77" t="n"/>
      <c r="BR533" s="77" t="n"/>
      <c r="BS533" s="77" t="n"/>
      <c r="BT533" s="77" t="n"/>
      <c r="BU533" s="77" t="n"/>
      <c r="BV533" s="77" t="n"/>
      <c r="BW533" s="77" t="n"/>
      <c r="BX533" s="77" t="n"/>
      <c r="BY533" s="77" t="n"/>
      <c r="BZ533" s="77">
        <f>I533</f>
        <v/>
      </c>
      <c r="CA533" s="77">
        <f>M533</f>
        <v/>
      </c>
      <c r="CB533" s="77" t="n"/>
      <c r="CC533" s="77" t="n"/>
    </row>
    <row r="534">
      <c r="AY534" s="74" t="n"/>
      <c r="AZ534" s="77" t="inlineStr">
        <is>
          <t>T</t>
        </is>
      </c>
      <c r="BA534" s="77" t="inlineStr">
        <is>
          <t>T</t>
        </is>
      </c>
      <c r="BB534" s="77" t="inlineStr">
        <is>
          <t>T</t>
        </is>
      </c>
      <c r="BC534" s="77" t="inlineStr">
        <is>
          <t>T</t>
        </is>
      </c>
      <c r="BD534" s="77" t="inlineStr">
        <is>
          <t>T</t>
        </is>
      </c>
      <c r="BE534" s="77" t="n"/>
      <c r="BF534" s="77" t="n"/>
      <c r="BG534" s="77" t="n"/>
      <c r="BH534" s="77" t="n"/>
      <c r="BI534" s="77" t="n"/>
      <c r="BJ534" s="77" t="n"/>
      <c r="BK534" s="77" t="n"/>
      <c r="BL534" s="77" t="n"/>
      <c r="BM534" s="77" t="n"/>
      <c r="BN534" s="77" t="n"/>
      <c r="BO534" s="77" t="n"/>
      <c r="BP534" s="77" t="n"/>
      <c r="BQ534" s="77" t="n"/>
      <c r="BR534" s="77" t="n"/>
      <c r="BS534" s="77" t="n"/>
      <c r="BT534" s="77" t="n"/>
      <c r="BU534" s="77" t="n"/>
      <c r="BV534" s="77" t="n"/>
      <c r="BW534" s="77" t="n"/>
      <c r="BX534" s="77" t="n"/>
      <c r="BY534" s="77" t="n"/>
      <c r="BZ534" s="77">
        <f>I534</f>
        <v/>
      </c>
      <c r="CA534" s="77">
        <f>M534</f>
        <v/>
      </c>
      <c r="CB534" s="77" t="n"/>
      <c r="CC534" s="77" t="n"/>
    </row>
    <row r="535">
      <c r="AY535" s="74" t="n"/>
      <c r="AZ535" s="77" t="inlineStr">
        <is>
          <t>T</t>
        </is>
      </c>
      <c r="BA535" s="77" t="inlineStr">
        <is>
          <t>T</t>
        </is>
      </c>
      <c r="BB535" s="77" t="inlineStr">
        <is>
          <t>T</t>
        </is>
      </c>
      <c r="BC535" s="77" t="inlineStr">
        <is>
          <t>T</t>
        </is>
      </c>
      <c r="BD535" s="77" t="inlineStr">
        <is>
          <t>T</t>
        </is>
      </c>
      <c r="BE535" s="77" t="n"/>
      <c r="BF535" s="77" t="n"/>
      <c r="BG535" s="77" t="n"/>
      <c r="BH535" s="77" t="n"/>
      <c r="BI535" s="77" t="n"/>
      <c r="BJ535" s="77" t="n"/>
      <c r="BK535" s="77" t="n"/>
      <c r="BL535" s="77" t="n"/>
      <c r="BM535" s="77" t="n"/>
      <c r="BN535" s="77" t="n"/>
      <c r="BO535" s="77" t="n"/>
      <c r="BP535" s="77" t="n"/>
      <c r="BQ535" s="77" t="n"/>
      <c r="BR535" s="77" t="n"/>
      <c r="BS535" s="77" t="n"/>
      <c r="BT535" s="77" t="n"/>
      <c r="BU535" s="77" t="n"/>
      <c r="BV535" s="77" t="n"/>
      <c r="BW535" s="77" t="n"/>
      <c r="BX535" s="77" t="n"/>
      <c r="BY535" s="77" t="n"/>
      <c r="BZ535" s="77">
        <f>I535</f>
        <v/>
      </c>
      <c r="CA535" s="77">
        <f>M535</f>
        <v/>
      </c>
      <c r="CB535" s="77" t="n"/>
      <c r="CC535" s="77" t="n"/>
    </row>
    <row r="536">
      <c r="AY536" s="74" t="n"/>
      <c r="AZ536" s="77" t="inlineStr">
        <is>
          <t>T</t>
        </is>
      </c>
      <c r="BA536" s="77" t="inlineStr">
        <is>
          <t>T</t>
        </is>
      </c>
      <c r="BB536" s="77" t="inlineStr">
        <is>
          <t>T</t>
        </is>
      </c>
      <c r="BC536" s="77" t="inlineStr">
        <is>
          <t>T</t>
        </is>
      </c>
      <c r="BD536" s="77" t="inlineStr">
        <is>
          <t>T</t>
        </is>
      </c>
      <c r="BE536" s="77" t="n"/>
      <c r="BF536" s="77" t="n"/>
      <c r="BG536" s="77" t="n"/>
      <c r="BH536" s="77" t="n"/>
      <c r="BI536" s="77" t="n"/>
      <c r="BJ536" s="77" t="n"/>
      <c r="BK536" s="77" t="n"/>
      <c r="BL536" s="77" t="n"/>
      <c r="BM536" s="77" t="n"/>
      <c r="BN536" s="77" t="n"/>
      <c r="BO536" s="77" t="n"/>
      <c r="BP536" s="77" t="n"/>
      <c r="BQ536" s="77" t="n"/>
      <c r="BR536" s="77" t="n"/>
      <c r="BS536" s="77" t="n"/>
      <c r="BT536" s="77" t="n"/>
      <c r="BU536" s="77" t="n"/>
      <c r="BV536" s="77" t="n"/>
      <c r="BW536" s="77" t="n"/>
      <c r="BX536" s="77" t="n"/>
      <c r="BY536" s="77" t="n"/>
      <c r="BZ536" s="77">
        <f>I536</f>
        <v/>
      </c>
      <c r="CA536" s="77">
        <f>M536</f>
        <v/>
      </c>
      <c r="CB536" s="77" t="n"/>
      <c r="CC536" s="77" t="n"/>
    </row>
    <row r="537">
      <c r="AY537" s="74" t="n"/>
      <c r="AZ537" s="77" t="inlineStr">
        <is>
          <t>T</t>
        </is>
      </c>
      <c r="BA537" s="77" t="inlineStr">
        <is>
          <t>T</t>
        </is>
      </c>
      <c r="BB537" s="77" t="inlineStr">
        <is>
          <t>T</t>
        </is>
      </c>
      <c r="BC537" s="77" t="inlineStr">
        <is>
          <t>T</t>
        </is>
      </c>
      <c r="BD537" s="77" t="inlineStr">
        <is>
          <t>T</t>
        </is>
      </c>
      <c r="BE537" s="77" t="n"/>
      <c r="BF537" s="77" t="n"/>
      <c r="BG537" s="77" t="n"/>
      <c r="BH537" s="77" t="n"/>
      <c r="BI537" s="77" t="n"/>
      <c r="BJ537" s="77" t="n"/>
      <c r="BK537" s="77" t="n"/>
      <c r="BL537" s="77" t="n"/>
      <c r="BM537" s="77" t="n"/>
      <c r="BN537" s="77" t="n"/>
      <c r="BO537" s="77" t="n"/>
      <c r="BP537" s="77" t="n"/>
      <c r="BQ537" s="77" t="n"/>
      <c r="BR537" s="77" t="n"/>
      <c r="BS537" s="77" t="n"/>
      <c r="BT537" s="77" t="n"/>
      <c r="BU537" s="77" t="n"/>
      <c r="BV537" s="77" t="n"/>
      <c r="BW537" s="77" t="n"/>
      <c r="BX537" s="77" t="n"/>
      <c r="BY537" s="77" t="n"/>
      <c r="BZ537" s="77">
        <f>I537</f>
        <v/>
      </c>
      <c r="CA537" s="77">
        <f>M537</f>
        <v/>
      </c>
      <c r="CB537" s="77" t="n"/>
      <c r="CC537" s="77" t="n"/>
    </row>
    <row r="538">
      <c r="AY538" s="74" t="n"/>
      <c r="AZ538" s="77" t="inlineStr">
        <is>
          <t>T</t>
        </is>
      </c>
      <c r="BA538" s="77" t="inlineStr">
        <is>
          <t>T</t>
        </is>
      </c>
      <c r="BB538" s="77" t="inlineStr">
        <is>
          <t>T</t>
        </is>
      </c>
      <c r="BC538" s="77" t="inlineStr">
        <is>
          <t>T</t>
        </is>
      </c>
      <c r="BD538" s="77" t="inlineStr">
        <is>
          <t>T</t>
        </is>
      </c>
      <c r="BE538" s="77" t="n"/>
      <c r="BF538" s="77" t="n"/>
      <c r="BG538" s="77" t="n"/>
      <c r="BH538" s="77" t="n"/>
      <c r="BI538" s="77" t="n"/>
      <c r="BJ538" s="77" t="n"/>
      <c r="BK538" s="77" t="n"/>
      <c r="BL538" s="77" t="n"/>
      <c r="BM538" s="77" t="n"/>
      <c r="BN538" s="77" t="n"/>
      <c r="BO538" s="77" t="n"/>
      <c r="BP538" s="77" t="n"/>
      <c r="BQ538" s="77" t="n"/>
      <c r="BR538" s="77" t="n"/>
      <c r="BS538" s="77" t="n"/>
      <c r="BT538" s="77" t="n"/>
      <c r="BU538" s="77" t="n"/>
      <c r="BV538" s="77" t="n"/>
      <c r="BW538" s="77" t="n"/>
      <c r="BX538" s="77" t="n"/>
      <c r="BY538" s="77" t="n"/>
      <c r="BZ538" s="77">
        <f>I538</f>
        <v/>
      </c>
      <c r="CA538" s="77">
        <f>M538</f>
        <v/>
      </c>
      <c r="CB538" s="77" t="n"/>
      <c r="CC538" s="77" t="n"/>
    </row>
    <row r="539">
      <c r="AY539" s="74" t="n"/>
      <c r="AZ539" s="77" t="inlineStr">
        <is>
          <t>T</t>
        </is>
      </c>
      <c r="BA539" s="77" t="inlineStr">
        <is>
          <t>T</t>
        </is>
      </c>
      <c r="BB539" s="77" t="inlineStr">
        <is>
          <t>T</t>
        </is>
      </c>
      <c r="BC539" s="77" t="inlineStr">
        <is>
          <t>T</t>
        </is>
      </c>
      <c r="BD539" s="77" t="inlineStr">
        <is>
          <t>T</t>
        </is>
      </c>
      <c r="BE539" s="77" t="n"/>
      <c r="BF539" s="77" t="n"/>
      <c r="BG539" s="77" t="n"/>
      <c r="BH539" s="77" t="n"/>
      <c r="BI539" s="77" t="n"/>
      <c r="BJ539" s="77" t="n"/>
      <c r="BK539" s="77" t="n"/>
      <c r="BL539" s="77" t="n"/>
      <c r="BM539" s="77" t="n"/>
      <c r="BN539" s="77" t="n"/>
      <c r="BO539" s="77" t="n"/>
      <c r="BP539" s="77" t="n"/>
      <c r="BQ539" s="77" t="n"/>
      <c r="BR539" s="77" t="n"/>
      <c r="BS539" s="77" t="n"/>
      <c r="BT539" s="77" t="n"/>
      <c r="BU539" s="77" t="n"/>
      <c r="BV539" s="77" t="n"/>
      <c r="BW539" s="77" t="n"/>
      <c r="BX539" s="77" t="n"/>
      <c r="BY539" s="77" t="n"/>
      <c r="BZ539" s="77">
        <f>I539</f>
        <v/>
      </c>
      <c r="CA539" s="77">
        <f>M539</f>
        <v/>
      </c>
      <c r="CB539" s="77" t="n"/>
      <c r="CC539" s="77" t="n"/>
    </row>
    <row r="540">
      <c r="AY540" s="74" t="n"/>
      <c r="AZ540" s="77" t="inlineStr">
        <is>
          <t>T</t>
        </is>
      </c>
      <c r="BA540" s="77" t="inlineStr">
        <is>
          <t>T</t>
        </is>
      </c>
      <c r="BB540" s="77" t="inlineStr">
        <is>
          <t>T</t>
        </is>
      </c>
      <c r="BC540" s="77" t="inlineStr">
        <is>
          <t>T</t>
        </is>
      </c>
      <c r="BD540" s="77" t="inlineStr">
        <is>
          <t>T</t>
        </is>
      </c>
      <c r="BE540" s="77" t="n"/>
      <c r="BF540" s="77" t="n"/>
      <c r="BG540" s="77" t="n"/>
      <c r="BH540" s="77" t="n"/>
      <c r="BI540" s="77" t="n"/>
      <c r="BJ540" s="77" t="n"/>
      <c r="BK540" s="77" t="n"/>
      <c r="BL540" s="77" t="n"/>
      <c r="BM540" s="77" t="n"/>
      <c r="BN540" s="77" t="n"/>
      <c r="BO540" s="77" t="n"/>
      <c r="BP540" s="77" t="n"/>
      <c r="BQ540" s="77" t="n"/>
      <c r="BR540" s="77" t="n"/>
      <c r="BS540" s="77" t="n"/>
      <c r="BT540" s="77" t="n"/>
      <c r="BU540" s="77" t="n"/>
      <c r="BV540" s="77" t="n"/>
      <c r="BW540" s="77" t="n"/>
      <c r="BX540" s="77" t="n"/>
      <c r="BY540" s="77" t="n"/>
      <c r="BZ540" s="77">
        <f>I540</f>
        <v/>
      </c>
      <c r="CA540" s="77">
        <f>M540</f>
        <v/>
      </c>
      <c r="CB540" s="77" t="n"/>
      <c r="CC540" s="77" t="n"/>
    </row>
    <row r="541">
      <c r="AY541" s="74" t="n"/>
      <c r="AZ541" s="77" t="inlineStr">
        <is>
          <t>T</t>
        </is>
      </c>
      <c r="BA541" s="77" t="inlineStr">
        <is>
          <t>T</t>
        </is>
      </c>
      <c r="BB541" s="77" t="inlineStr">
        <is>
          <t>T</t>
        </is>
      </c>
      <c r="BC541" s="77" t="inlineStr">
        <is>
          <t>T</t>
        </is>
      </c>
      <c r="BD541" s="77" t="inlineStr">
        <is>
          <t>T</t>
        </is>
      </c>
      <c r="BE541" s="77" t="n"/>
      <c r="BF541" s="77" t="n"/>
      <c r="BG541" s="77" t="n"/>
      <c r="BH541" s="77" t="n"/>
      <c r="BI541" s="77" t="n"/>
      <c r="BJ541" s="77" t="n"/>
      <c r="BK541" s="77" t="n"/>
      <c r="BL541" s="77" t="n"/>
      <c r="BM541" s="77" t="n"/>
      <c r="BN541" s="77" t="n"/>
      <c r="BO541" s="77" t="n"/>
      <c r="BP541" s="77" t="n"/>
      <c r="BQ541" s="77" t="n"/>
      <c r="BR541" s="77" t="n"/>
      <c r="BS541" s="77" t="n"/>
      <c r="BT541" s="77" t="n"/>
      <c r="BU541" s="77" t="n"/>
      <c r="BV541" s="77" t="n"/>
      <c r="BW541" s="77" t="n"/>
      <c r="BX541" s="77" t="n"/>
      <c r="BY541" s="77" t="n"/>
      <c r="BZ541" s="77">
        <f>I541</f>
        <v/>
      </c>
      <c r="CA541" s="77">
        <f>M541</f>
        <v/>
      </c>
      <c r="CB541" s="77" t="n"/>
      <c r="CC541" s="77" t="n"/>
    </row>
    <row r="542">
      <c r="AY542" s="74" t="n"/>
      <c r="AZ542" s="77" t="inlineStr">
        <is>
          <t>T</t>
        </is>
      </c>
      <c r="BA542" s="77" t="inlineStr">
        <is>
          <t>T</t>
        </is>
      </c>
      <c r="BB542" s="77" t="inlineStr">
        <is>
          <t>T</t>
        </is>
      </c>
      <c r="BC542" s="77" t="inlineStr">
        <is>
          <t>T</t>
        </is>
      </c>
      <c r="BD542" s="77" t="inlineStr">
        <is>
          <t>T</t>
        </is>
      </c>
      <c r="BE542" s="77" t="n"/>
      <c r="BF542" s="77" t="n"/>
      <c r="BG542" s="77" t="n"/>
      <c r="BH542" s="77" t="n"/>
      <c r="BI542" s="77" t="n"/>
      <c r="BJ542" s="77" t="n"/>
      <c r="BK542" s="77" t="n"/>
      <c r="BL542" s="77" t="n"/>
      <c r="BM542" s="77" t="n"/>
      <c r="BN542" s="77" t="n"/>
      <c r="BO542" s="77" t="n"/>
      <c r="BP542" s="77" t="n"/>
      <c r="BQ542" s="77" t="n"/>
      <c r="BR542" s="77" t="n"/>
      <c r="BS542" s="77" t="n"/>
      <c r="BT542" s="77" t="n"/>
      <c r="BU542" s="77" t="n"/>
      <c r="BV542" s="77" t="n"/>
      <c r="BW542" s="77" t="n"/>
      <c r="BX542" s="77" t="n"/>
      <c r="BY542" s="77" t="n"/>
      <c r="BZ542" s="77">
        <f>I542</f>
        <v/>
      </c>
      <c r="CA542" s="77">
        <f>M542</f>
        <v/>
      </c>
      <c r="CB542" s="77" t="n"/>
      <c r="CC542" s="77" t="n"/>
    </row>
    <row r="543">
      <c r="AY543" s="74" t="n"/>
      <c r="AZ543" s="77" t="inlineStr">
        <is>
          <t>T</t>
        </is>
      </c>
      <c r="BA543" s="77" t="inlineStr">
        <is>
          <t>T</t>
        </is>
      </c>
      <c r="BB543" s="77" t="inlineStr">
        <is>
          <t>T</t>
        </is>
      </c>
      <c r="BC543" s="77" t="inlineStr">
        <is>
          <t>T</t>
        </is>
      </c>
      <c r="BD543" s="77" t="inlineStr">
        <is>
          <t>T</t>
        </is>
      </c>
      <c r="BE543" s="77" t="n"/>
      <c r="BF543" s="77" t="n"/>
      <c r="BG543" s="77" t="n"/>
      <c r="BH543" s="77" t="n"/>
      <c r="BI543" s="77" t="n"/>
      <c r="BJ543" s="77" t="n"/>
      <c r="BK543" s="77" t="n"/>
      <c r="BL543" s="77" t="n"/>
      <c r="BM543" s="77" t="n"/>
      <c r="BN543" s="77" t="n"/>
      <c r="BO543" s="77" t="n"/>
      <c r="BP543" s="77" t="n"/>
      <c r="BQ543" s="77" t="n"/>
      <c r="BR543" s="77" t="n"/>
      <c r="BS543" s="77" t="n"/>
      <c r="BT543" s="77" t="n"/>
      <c r="BU543" s="77" t="n"/>
      <c r="BV543" s="77" t="n"/>
      <c r="BW543" s="77" t="n"/>
      <c r="BX543" s="77" t="n"/>
      <c r="BY543" s="77" t="n"/>
      <c r="BZ543" s="77">
        <f>I543</f>
        <v/>
      </c>
      <c r="CA543" s="77">
        <f>M543</f>
        <v/>
      </c>
      <c r="CB543" s="77" t="n"/>
      <c r="CC543" s="77" t="n"/>
    </row>
    <row r="544">
      <c r="AY544" s="74" t="n"/>
      <c r="AZ544" s="77" t="inlineStr">
        <is>
          <t>T</t>
        </is>
      </c>
      <c r="BA544" s="77" t="inlineStr">
        <is>
          <t>T</t>
        </is>
      </c>
      <c r="BB544" s="77" t="inlineStr">
        <is>
          <t>T</t>
        </is>
      </c>
      <c r="BC544" s="77" t="inlineStr">
        <is>
          <t>T</t>
        </is>
      </c>
      <c r="BD544" s="77" t="inlineStr">
        <is>
          <t>T</t>
        </is>
      </c>
      <c r="BE544" s="77" t="n"/>
      <c r="BF544" s="77" t="n"/>
      <c r="BG544" s="77" t="n"/>
      <c r="BH544" s="77" t="n"/>
      <c r="BI544" s="77" t="n"/>
      <c r="BJ544" s="77" t="n"/>
      <c r="BK544" s="77" t="n"/>
      <c r="BL544" s="77" t="n"/>
      <c r="BM544" s="77" t="n"/>
      <c r="BN544" s="77" t="n"/>
      <c r="BO544" s="77" t="n"/>
      <c r="BP544" s="77" t="n"/>
      <c r="BQ544" s="77" t="n"/>
      <c r="BR544" s="77" t="n"/>
      <c r="BS544" s="77" t="n"/>
      <c r="BT544" s="77" t="n"/>
      <c r="BU544" s="77" t="n"/>
      <c r="BV544" s="77" t="n"/>
      <c r="BW544" s="77" t="n"/>
      <c r="BX544" s="77" t="n"/>
      <c r="BY544" s="77" t="n"/>
      <c r="BZ544" s="77">
        <f>I544</f>
        <v/>
      </c>
      <c r="CA544" s="77">
        <f>M544</f>
        <v/>
      </c>
      <c r="CB544" s="77" t="n"/>
      <c r="CC544" s="77" t="n"/>
    </row>
    <row r="545">
      <c r="AY545" s="74" t="n"/>
      <c r="AZ545" s="77" t="inlineStr">
        <is>
          <t>T</t>
        </is>
      </c>
      <c r="BA545" s="77" t="inlineStr">
        <is>
          <t>T</t>
        </is>
      </c>
      <c r="BB545" s="77" t="inlineStr">
        <is>
          <t>T</t>
        </is>
      </c>
      <c r="BC545" s="77" t="inlineStr">
        <is>
          <t>T</t>
        </is>
      </c>
      <c r="BD545" s="77" t="inlineStr">
        <is>
          <t>T</t>
        </is>
      </c>
      <c r="BE545" s="77" t="n"/>
      <c r="BF545" s="77" t="n"/>
      <c r="BG545" s="77" t="n"/>
      <c r="BH545" s="77" t="n"/>
      <c r="BI545" s="77" t="n"/>
      <c r="BJ545" s="77" t="n"/>
      <c r="BK545" s="77" t="n"/>
      <c r="BL545" s="77" t="n"/>
      <c r="BM545" s="77" t="n"/>
      <c r="BN545" s="77" t="n"/>
      <c r="BO545" s="77" t="n"/>
      <c r="BP545" s="77" t="n"/>
      <c r="BQ545" s="77" t="n"/>
      <c r="BR545" s="77" t="n"/>
      <c r="BS545" s="77" t="n"/>
      <c r="BT545" s="77" t="n"/>
      <c r="BU545" s="77" t="n"/>
      <c r="BV545" s="77" t="n"/>
      <c r="BW545" s="77" t="n"/>
      <c r="BX545" s="77" t="n"/>
      <c r="BY545" s="77" t="n"/>
      <c r="BZ545" s="77">
        <f>I545</f>
        <v/>
      </c>
      <c r="CA545" s="77">
        <f>M545</f>
        <v/>
      </c>
      <c r="CB545" s="77" t="n"/>
      <c r="CC545" s="77" t="n"/>
    </row>
    <row r="546">
      <c r="AY546" s="74" t="n"/>
      <c r="AZ546" s="77" t="inlineStr">
        <is>
          <t>T</t>
        </is>
      </c>
      <c r="BA546" s="77" t="inlineStr">
        <is>
          <t>T</t>
        </is>
      </c>
      <c r="BB546" s="77" t="inlineStr">
        <is>
          <t>T</t>
        </is>
      </c>
      <c r="BC546" s="77" t="inlineStr">
        <is>
          <t>T</t>
        </is>
      </c>
      <c r="BD546" s="77" t="inlineStr">
        <is>
          <t>T</t>
        </is>
      </c>
      <c r="BE546" s="77" t="n"/>
      <c r="BF546" s="77" t="n"/>
      <c r="BG546" s="77" t="n"/>
      <c r="BH546" s="77" t="n"/>
      <c r="BI546" s="77" t="n"/>
      <c r="BJ546" s="77" t="n"/>
      <c r="BK546" s="77" t="n"/>
      <c r="BL546" s="77" t="n"/>
      <c r="BM546" s="77" t="n"/>
      <c r="BN546" s="77" t="n"/>
      <c r="BO546" s="77" t="n"/>
      <c r="BP546" s="77" t="n"/>
      <c r="BQ546" s="77" t="n"/>
      <c r="BR546" s="77" t="n"/>
      <c r="BS546" s="77" t="n"/>
      <c r="BT546" s="77" t="n"/>
      <c r="BU546" s="77" t="n"/>
      <c r="BV546" s="77" t="n"/>
      <c r="BW546" s="77" t="n"/>
      <c r="BX546" s="77" t="n"/>
      <c r="BY546" s="77" t="n"/>
      <c r="BZ546" s="77">
        <f>I546</f>
        <v/>
      </c>
      <c r="CA546" s="77">
        <f>M546</f>
        <v/>
      </c>
      <c r="CB546" s="77" t="n"/>
      <c r="CC546" s="77" t="n"/>
    </row>
    <row r="547">
      <c r="AY547" s="74" t="n"/>
      <c r="AZ547" s="77" t="inlineStr">
        <is>
          <t>T</t>
        </is>
      </c>
      <c r="BA547" s="77" t="inlineStr">
        <is>
          <t>T</t>
        </is>
      </c>
      <c r="BB547" s="77" t="inlineStr">
        <is>
          <t>T</t>
        </is>
      </c>
      <c r="BC547" s="77" t="inlineStr">
        <is>
          <t>T</t>
        </is>
      </c>
      <c r="BD547" s="77" t="inlineStr">
        <is>
          <t>T</t>
        </is>
      </c>
      <c r="BE547" s="77" t="n"/>
      <c r="BF547" s="77" t="n"/>
      <c r="BG547" s="77" t="n"/>
      <c r="BH547" s="77" t="n"/>
      <c r="BI547" s="77" t="n"/>
      <c r="BJ547" s="77" t="n"/>
      <c r="BK547" s="77" t="n"/>
      <c r="BL547" s="77" t="n"/>
      <c r="BM547" s="77" t="n"/>
      <c r="BN547" s="77" t="n"/>
      <c r="BO547" s="77" t="n"/>
      <c r="BP547" s="77" t="n"/>
      <c r="BQ547" s="77" t="n"/>
      <c r="BR547" s="77" t="n"/>
      <c r="BS547" s="77" t="n"/>
      <c r="BT547" s="77" t="n"/>
      <c r="BU547" s="77" t="n"/>
      <c r="BV547" s="77" t="n"/>
      <c r="BW547" s="77" t="n"/>
      <c r="BX547" s="77" t="n"/>
      <c r="BY547" s="77" t="n"/>
      <c r="BZ547" s="77">
        <f>I547</f>
        <v/>
      </c>
      <c r="CA547" s="77">
        <f>M547</f>
        <v/>
      </c>
      <c r="CB547" s="77" t="n"/>
      <c r="CC547" s="77" t="n"/>
    </row>
    <row r="548">
      <c r="AY548" s="74" t="n"/>
      <c r="AZ548" s="77" t="inlineStr">
        <is>
          <t>T</t>
        </is>
      </c>
      <c r="BA548" s="77" t="inlineStr">
        <is>
          <t>T</t>
        </is>
      </c>
      <c r="BB548" s="77" t="inlineStr">
        <is>
          <t>T</t>
        </is>
      </c>
      <c r="BC548" s="77" t="inlineStr">
        <is>
          <t>T</t>
        </is>
      </c>
      <c r="BD548" s="77" t="inlineStr">
        <is>
          <t>T</t>
        </is>
      </c>
      <c r="BE548" s="77" t="n"/>
      <c r="BF548" s="77" t="n"/>
      <c r="BG548" s="77" t="n"/>
      <c r="BH548" s="77" t="n"/>
      <c r="BI548" s="77" t="n"/>
      <c r="BJ548" s="77" t="n"/>
      <c r="BK548" s="77" t="n"/>
      <c r="BL548" s="77" t="n"/>
      <c r="BM548" s="77" t="n"/>
      <c r="BN548" s="77" t="n"/>
      <c r="BO548" s="77" t="n"/>
      <c r="BP548" s="77" t="n"/>
      <c r="BQ548" s="77" t="n"/>
      <c r="BR548" s="77" t="n"/>
      <c r="BS548" s="77" t="n"/>
      <c r="BT548" s="77" t="n"/>
      <c r="BU548" s="77" t="n"/>
      <c r="BV548" s="77" t="n"/>
      <c r="BW548" s="77" t="n"/>
      <c r="BX548" s="77" t="n"/>
      <c r="BY548" s="77" t="n"/>
      <c r="BZ548" s="77">
        <f>I548</f>
        <v/>
      </c>
      <c r="CA548" s="77">
        <f>M548</f>
        <v/>
      </c>
      <c r="CB548" s="77" t="n"/>
      <c r="CC548" s="77" t="n"/>
    </row>
    <row r="549">
      <c r="AY549" s="74" t="n"/>
      <c r="AZ549" s="77" t="inlineStr">
        <is>
          <t>T</t>
        </is>
      </c>
      <c r="BA549" s="77" t="inlineStr">
        <is>
          <t>T</t>
        </is>
      </c>
      <c r="BB549" s="77" t="inlineStr">
        <is>
          <t>T</t>
        </is>
      </c>
      <c r="BC549" s="77" t="inlineStr">
        <is>
          <t>T</t>
        </is>
      </c>
      <c r="BD549" s="77" t="inlineStr">
        <is>
          <t>T</t>
        </is>
      </c>
      <c r="BE549" s="77" t="n"/>
      <c r="BF549" s="77" t="n"/>
      <c r="BG549" s="77" t="n"/>
      <c r="BH549" s="77" t="n"/>
      <c r="BI549" s="77" t="n"/>
      <c r="BJ549" s="77" t="n"/>
      <c r="BK549" s="77" t="n"/>
      <c r="BL549" s="77" t="n"/>
      <c r="BM549" s="77" t="n"/>
      <c r="BN549" s="77" t="n"/>
      <c r="BO549" s="77" t="n"/>
      <c r="BP549" s="77" t="n"/>
      <c r="BQ549" s="77" t="n"/>
      <c r="BR549" s="77" t="n"/>
      <c r="BS549" s="77" t="n"/>
      <c r="BT549" s="77" t="n"/>
      <c r="BU549" s="77" t="n"/>
      <c r="BV549" s="77" t="n"/>
      <c r="BW549" s="77" t="n"/>
      <c r="BX549" s="77" t="n"/>
      <c r="BY549" s="77" t="n"/>
      <c r="BZ549" s="77">
        <f>I549</f>
        <v/>
      </c>
      <c r="CA549" s="77">
        <f>M549</f>
        <v/>
      </c>
      <c r="CB549" s="77" t="n"/>
      <c r="CC549" s="77" t="n"/>
    </row>
    <row r="550">
      <c r="AY550" s="74" t="n"/>
      <c r="AZ550" s="77" t="inlineStr">
        <is>
          <t>T</t>
        </is>
      </c>
      <c r="BA550" s="77" t="inlineStr">
        <is>
          <t>T</t>
        </is>
      </c>
      <c r="BB550" s="77" t="inlineStr">
        <is>
          <t>T</t>
        </is>
      </c>
      <c r="BC550" s="77" t="inlineStr">
        <is>
          <t>T</t>
        </is>
      </c>
      <c r="BD550" s="77" t="inlineStr">
        <is>
          <t>T</t>
        </is>
      </c>
      <c r="BE550" s="77" t="n"/>
      <c r="BF550" s="77" t="n"/>
      <c r="BG550" s="77" t="n"/>
      <c r="BH550" s="77" t="n"/>
      <c r="BI550" s="77" t="n"/>
      <c r="BJ550" s="77" t="n"/>
      <c r="BK550" s="77" t="n"/>
      <c r="BL550" s="77" t="n"/>
      <c r="BM550" s="77" t="n"/>
      <c r="BN550" s="77" t="n"/>
      <c r="BO550" s="77" t="n"/>
      <c r="BP550" s="77" t="n"/>
      <c r="BQ550" s="77" t="n"/>
      <c r="BR550" s="77" t="n"/>
      <c r="BS550" s="77" t="n"/>
      <c r="BT550" s="77" t="n"/>
      <c r="BU550" s="77" t="n"/>
      <c r="BV550" s="77" t="n"/>
      <c r="BW550" s="77" t="n"/>
      <c r="BX550" s="77" t="n"/>
      <c r="BY550" s="77" t="n"/>
      <c r="BZ550" s="77">
        <f>I550</f>
        <v/>
      </c>
      <c r="CA550" s="77">
        <f>M550</f>
        <v/>
      </c>
      <c r="CB550" s="77" t="n"/>
      <c r="CC550" s="77" t="n"/>
    </row>
    <row r="551">
      <c r="AY551" s="74" t="n"/>
      <c r="AZ551" s="77" t="inlineStr">
        <is>
          <t>T</t>
        </is>
      </c>
      <c r="BA551" s="77" t="inlineStr">
        <is>
          <t>T</t>
        </is>
      </c>
      <c r="BB551" s="77" t="inlineStr">
        <is>
          <t>T</t>
        </is>
      </c>
      <c r="BC551" s="77" t="inlineStr">
        <is>
          <t>T</t>
        </is>
      </c>
      <c r="BD551" s="77" t="inlineStr">
        <is>
          <t>T</t>
        </is>
      </c>
      <c r="BE551" s="77" t="n"/>
      <c r="BF551" s="77" t="n"/>
      <c r="BG551" s="77" t="n"/>
      <c r="BH551" s="77" t="n"/>
      <c r="BI551" s="77" t="n"/>
      <c r="BJ551" s="77" t="n"/>
      <c r="BK551" s="77" t="n"/>
      <c r="BL551" s="77" t="n"/>
      <c r="BM551" s="77" t="n"/>
      <c r="BN551" s="77" t="n"/>
      <c r="BO551" s="77" t="n"/>
      <c r="BP551" s="77" t="n"/>
      <c r="BQ551" s="77" t="n"/>
      <c r="BR551" s="77" t="n"/>
      <c r="BS551" s="77" t="n"/>
      <c r="BT551" s="77" t="n"/>
      <c r="BU551" s="77" t="n"/>
      <c r="BV551" s="77" t="n"/>
      <c r="BW551" s="77" t="n"/>
      <c r="BX551" s="77" t="n"/>
      <c r="BY551" s="77" t="n"/>
      <c r="BZ551" s="77">
        <f>I551</f>
        <v/>
      </c>
      <c r="CA551" s="77">
        <f>M551</f>
        <v/>
      </c>
      <c r="CB551" s="77" t="n"/>
      <c r="CC551" s="77" t="n"/>
    </row>
    <row r="552">
      <c r="AY552" s="74" t="n"/>
      <c r="AZ552" s="77" t="inlineStr">
        <is>
          <t>T</t>
        </is>
      </c>
      <c r="BA552" s="77" t="inlineStr">
        <is>
          <t>T</t>
        </is>
      </c>
      <c r="BB552" s="77" t="inlineStr">
        <is>
          <t>T</t>
        </is>
      </c>
      <c r="BC552" s="77" t="inlineStr">
        <is>
          <t>T</t>
        </is>
      </c>
      <c r="BD552" s="77" t="inlineStr">
        <is>
          <t>T</t>
        </is>
      </c>
      <c r="BE552" s="77" t="n"/>
      <c r="BF552" s="77" t="n"/>
      <c r="BG552" s="77" t="n"/>
      <c r="BH552" s="77" t="n"/>
      <c r="BI552" s="77" t="n"/>
      <c r="BJ552" s="77" t="n"/>
      <c r="BK552" s="77" t="n"/>
      <c r="BL552" s="77" t="n"/>
      <c r="BM552" s="77" t="n"/>
      <c r="BN552" s="77" t="n"/>
      <c r="BO552" s="77" t="n"/>
      <c r="BP552" s="77" t="n"/>
      <c r="BQ552" s="77" t="n"/>
      <c r="BR552" s="77" t="n"/>
      <c r="BS552" s="77" t="n"/>
      <c r="BT552" s="77" t="n"/>
      <c r="BU552" s="77" t="n"/>
      <c r="BV552" s="77" t="n"/>
      <c r="BW552" s="77" t="n"/>
      <c r="BX552" s="77" t="n"/>
      <c r="BY552" s="77" t="n"/>
      <c r="BZ552" s="77">
        <f>I552</f>
        <v/>
      </c>
      <c r="CA552" s="77">
        <f>M552</f>
        <v/>
      </c>
      <c r="CB552" s="77" t="n"/>
      <c r="CC552" s="77" t="n"/>
    </row>
    <row r="553">
      <c r="AY553" s="74" t="n"/>
      <c r="AZ553" s="77" t="inlineStr">
        <is>
          <t>T</t>
        </is>
      </c>
      <c r="BA553" s="77" t="inlineStr">
        <is>
          <t>T</t>
        </is>
      </c>
      <c r="BB553" s="77" t="inlineStr">
        <is>
          <t>T</t>
        </is>
      </c>
      <c r="BC553" s="77" t="inlineStr">
        <is>
          <t>T</t>
        </is>
      </c>
      <c r="BD553" s="77" t="inlineStr">
        <is>
          <t>T</t>
        </is>
      </c>
      <c r="BE553" s="77" t="n"/>
      <c r="BF553" s="77" t="n"/>
      <c r="BG553" s="77" t="n"/>
      <c r="BH553" s="77" t="n"/>
      <c r="BI553" s="77" t="n"/>
      <c r="BJ553" s="77" t="n"/>
      <c r="BK553" s="77" t="n"/>
      <c r="BL553" s="77" t="n"/>
      <c r="BM553" s="77" t="n"/>
      <c r="BN553" s="77" t="n"/>
      <c r="BO553" s="77" t="n"/>
      <c r="BP553" s="77" t="n"/>
      <c r="BQ553" s="77" t="n"/>
      <c r="BR553" s="77" t="n"/>
      <c r="BS553" s="77" t="n"/>
      <c r="BT553" s="77" t="n"/>
      <c r="BU553" s="77" t="n"/>
      <c r="BV553" s="77" t="n"/>
      <c r="BW553" s="77" t="n"/>
      <c r="BX553" s="77" t="n"/>
      <c r="BY553" s="77" t="n"/>
      <c r="BZ553" s="77">
        <f>I553</f>
        <v/>
      </c>
      <c r="CA553" s="77">
        <f>M553</f>
        <v/>
      </c>
      <c r="CB553" s="77" t="n"/>
      <c r="CC553" s="77" t="n"/>
    </row>
    <row r="554">
      <c r="AY554" s="74" t="n"/>
      <c r="AZ554" s="77" t="inlineStr">
        <is>
          <t>T</t>
        </is>
      </c>
      <c r="BA554" s="77" t="inlineStr">
        <is>
          <t>T</t>
        </is>
      </c>
      <c r="BB554" s="77" t="inlineStr">
        <is>
          <t>T</t>
        </is>
      </c>
      <c r="BC554" s="77" t="inlineStr">
        <is>
          <t>T</t>
        </is>
      </c>
      <c r="BD554" s="77" t="inlineStr">
        <is>
          <t>T</t>
        </is>
      </c>
      <c r="BE554" s="77" t="n"/>
      <c r="BF554" s="77" t="n"/>
      <c r="BG554" s="77" t="n"/>
      <c r="BH554" s="77" t="n"/>
      <c r="BI554" s="77" t="n"/>
      <c r="BJ554" s="77" t="n"/>
      <c r="BK554" s="77" t="n"/>
      <c r="BL554" s="77" t="n"/>
      <c r="BM554" s="77" t="n"/>
      <c r="BN554" s="77" t="n"/>
      <c r="BO554" s="77" t="n"/>
      <c r="BP554" s="77" t="n"/>
      <c r="BQ554" s="77" t="n"/>
      <c r="BR554" s="77" t="n"/>
      <c r="BS554" s="77" t="n"/>
      <c r="BT554" s="77" t="n"/>
      <c r="BU554" s="77" t="n"/>
      <c r="BV554" s="77" t="n"/>
      <c r="BW554" s="77" t="n"/>
      <c r="BX554" s="77" t="n"/>
      <c r="BY554" s="77" t="n"/>
      <c r="BZ554" s="77">
        <f>I554</f>
        <v/>
      </c>
      <c r="CA554" s="77">
        <f>M554</f>
        <v/>
      </c>
      <c r="CB554" s="77" t="n"/>
      <c r="CC554" s="77" t="n"/>
    </row>
    <row r="555">
      <c r="AY555" s="74" t="n"/>
      <c r="AZ555" s="77" t="inlineStr">
        <is>
          <t>T</t>
        </is>
      </c>
      <c r="BA555" s="77" t="inlineStr">
        <is>
          <t>T</t>
        </is>
      </c>
      <c r="BB555" s="77" t="inlineStr">
        <is>
          <t>T</t>
        </is>
      </c>
      <c r="BC555" s="77" t="inlineStr">
        <is>
          <t>T</t>
        </is>
      </c>
      <c r="BD555" s="77" t="inlineStr">
        <is>
          <t>T</t>
        </is>
      </c>
      <c r="BE555" s="77" t="n"/>
      <c r="BF555" s="77" t="n"/>
      <c r="BG555" s="77" t="n"/>
      <c r="BH555" s="77" t="n"/>
      <c r="BI555" s="77" t="n"/>
      <c r="BJ555" s="77" t="n"/>
      <c r="BK555" s="77" t="n"/>
      <c r="BL555" s="77" t="n"/>
      <c r="BM555" s="77" t="n"/>
      <c r="BN555" s="77" t="n"/>
      <c r="BO555" s="77" t="n"/>
      <c r="BP555" s="77" t="n"/>
      <c r="BQ555" s="77" t="n"/>
      <c r="BR555" s="77" t="n"/>
      <c r="BS555" s="77" t="n"/>
      <c r="BT555" s="77" t="n"/>
      <c r="BU555" s="77" t="n"/>
      <c r="BV555" s="77" t="n"/>
      <c r="BW555" s="77" t="n"/>
      <c r="BX555" s="77" t="n"/>
      <c r="BY555" s="77" t="n"/>
      <c r="BZ555" s="77">
        <f>I555</f>
        <v/>
      </c>
      <c r="CA555" s="77">
        <f>M555</f>
        <v/>
      </c>
      <c r="CB555" s="77" t="n"/>
      <c r="CC555" s="77" t="n"/>
    </row>
    <row r="556">
      <c r="AY556" s="74" t="n"/>
      <c r="AZ556" s="77" t="inlineStr">
        <is>
          <t>T</t>
        </is>
      </c>
      <c r="BA556" s="77" t="inlineStr">
        <is>
          <t>T</t>
        </is>
      </c>
      <c r="BB556" s="77" t="inlineStr">
        <is>
          <t>T</t>
        </is>
      </c>
      <c r="BC556" s="77" t="inlineStr">
        <is>
          <t>T</t>
        </is>
      </c>
      <c r="BD556" s="77" t="inlineStr">
        <is>
          <t>T</t>
        </is>
      </c>
      <c r="BE556" s="77" t="n"/>
      <c r="BF556" s="77" t="n"/>
      <c r="BG556" s="77" t="n"/>
      <c r="BH556" s="77" t="n"/>
      <c r="BI556" s="77" t="n"/>
      <c r="BJ556" s="77" t="n"/>
      <c r="BK556" s="77" t="n"/>
      <c r="BL556" s="77" t="n"/>
      <c r="BM556" s="77" t="n"/>
      <c r="BN556" s="77" t="n"/>
      <c r="BO556" s="77" t="n"/>
      <c r="BP556" s="77" t="n"/>
      <c r="BQ556" s="77" t="n"/>
      <c r="BR556" s="77" t="n"/>
      <c r="BS556" s="77" t="n"/>
      <c r="BT556" s="77" t="n"/>
      <c r="BU556" s="77" t="n"/>
      <c r="BV556" s="77" t="n"/>
      <c r="BW556" s="77" t="n"/>
      <c r="BX556" s="77" t="n"/>
      <c r="BY556" s="77" t="n"/>
      <c r="BZ556" s="77">
        <f>I556</f>
        <v/>
      </c>
      <c r="CA556" s="77">
        <f>M556</f>
        <v/>
      </c>
      <c r="CB556" s="77" t="n"/>
      <c r="CC556" s="77" t="n"/>
    </row>
    <row r="557">
      <c r="AY557" s="74" t="n"/>
      <c r="AZ557" s="77" t="inlineStr">
        <is>
          <t>T</t>
        </is>
      </c>
      <c r="BA557" s="77" t="inlineStr">
        <is>
          <t>T</t>
        </is>
      </c>
      <c r="BB557" s="77" t="inlineStr">
        <is>
          <t>T</t>
        </is>
      </c>
      <c r="BC557" s="77" t="inlineStr">
        <is>
          <t>T</t>
        </is>
      </c>
      <c r="BD557" s="77" t="inlineStr">
        <is>
          <t>T</t>
        </is>
      </c>
      <c r="BE557" s="77" t="n"/>
      <c r="BF557" s="77" t="n"/>
      <c r="BG557" s="77" t="n"/>
      <c r="BH557" s="77" t="n"/>
      <c r="BI557" s="77" t="n"/>
      <c r="BJ557" s="77" t="n"/>
      <c r="BK557" s="77" t="n"/>
      <c r="BL557" s="77" t="n"/>
      <c r="BM557" s="77" t="n"/>
      <c r="BN557" s="77" t="n"/>
      <c r="BO557" s="77" t="n"/>
      <c r="BP557" s="77" t="n"/>
      <c r="BQ557" s="77" t="n"/>
      <c r="BR557" s="77" t="n"/>
      <c r="BS557" s="77" t="n"/>
      <c r="BT557" s="77" t="n"/>
      <c r="BU557" s="77" t="n"/>
      <c r="BV557" s="77" t="n"/>
      <c r="BW557" s="77" t="n"/>
      <c r="BX557" s="77" t="n"/>
      <c r="BY557" s="77" t="n"/>
      <c r="BZ557" s="77">
        <f>I557</f>
        <v/>
      </c>
      <c r="CA557" s="77">
        <f>M557</f>
        <v/>
      </c>
      <c r="CB557" s="77" t="n"/>
      <c r="CC557" s="77" t="n"/>
    </row>
    <row r="558">
      <c r="AY558" s="74" t="n"/>
      <c r="AZ558" s="77" t="inlineStr">
        <is>
          <t>T</t>
        </is>
      </c>
      <c r="BA558" s="77" t="inlineStr">
        <is>
          <t>T</t>
        </is>
      </c>
      <c r="BB558" s="77" t="inlineStr">
        <is>
          <t>T</t>
        </is>
      </c>
      <c r="BC558" s="77" t="inlineStr">
        <is>
          <t>T</t>
        </is>
      </c>
      <c r="BD558" s="77" t="inlineStr">
        <is>
          <t>T</t>
        </is>
      </c>
      <c r="BE558" s="77" t="n"/>
      <c r="BF558" s="77" t="n"/>
      <c r="BG558" s="77" t="n"/>
      <c r="BH558" s="77" t="n"/>
      <c r="BI558" s="77" t="n"/>
      <c r="BJ558" s="77" t="n"/>
      <c r="BK558" s="77" t="n"/>
      <c r="BL558" s="77" t="n"/>
      <c r="BM558" s="77" t="n"/>
      <c r="BN558" s="77" t="n"/>
      <c r="BO558" s="77" t="n"/>
      <c r="BP558" s="77" t="n"/>
      <c r="BQ558" s="77" t="n"/>
      <c r="BR558" s="77" t="n"/>
      <c r="BS558" s="77" t="n"/>
      <c r="BT558" s="77" t="n"/>
      <c r="BU558" s="77" t="n"/>
      <c r="BV558" s="77" t="n"/>
      <c r="BW558" s="77" t="n"/>
      <c r="BX558" s="77" t="n"/>
      <c r="BY558" s="77" t="n"/>
      <c r="BZ558" s="77">
        <f>I558</f>
        <v/>
      </c>
      <c r="CA558" s="77">
        <f>M558</f>
        <v/>
      </c>
      <c r="CB558" s="77" t="n"/>
      <c r="CC558" s="77" t="n"/>
    </row>
    <row r="559">
      <c r="AY559" s="74" t="n"/>
      <c r="AZ559" s="77" t="inlineStr">
        <is>
          <t>T</t>
        </is>
      </c>
      <c r="BA559" s="77" t="inlineStr">
        <is>
          <t>T</t>
        </is>
      </c>
      <c r="BB559" s="77" t="inlineStr">
        <is>
          <t>T</t>
        </is>
      </c>
      <c r="BC559" s="77" t="inlineStr">
        <is>
          <t>T</t>
        </is>
      </c>
      <c r="BD559" s="77" t="inlineStr">
        <is>
          <t>T</t>
        </is>
      </c>
      <c r="BE559" s="77" t="n"/>
      <c r="BF559" s="77" t="n"/>
      <c r="BG559" s="77" t="n"/>
      <c r="BH559" s="77" t="n"/>
      <c r="BI559" s="77" t="n"/>
      <c r="BJ559" s="77" t="n"/>
      <c r="BK559" s="77" t="n"/>
      <c r="BL559" s="77" t="n"/>
      <c r="BM559" s="77" t="n"/>
      <c r="BN559" s="77" t="n"/>
      <c r="BO559" s="77" t="n"/>
      <c r="BP559" s="77" t="n"/>
      <c r="BQ559" s="77" t="n"/>
      <c r="BR559" s="77" t="n"/>
      <c r="BS559" s="77" t="n"/>
      <c r="BT559" s="77" t="n"/>
      <c r="BU559" s="77" t="n"/>
      <c r="BV559" s="77" t="n"/>
      <c r="BW559" s="77" t="n"/>
      <c r="BX559" s="77" t="n"/>
      <c r="BY559" s="77" t="n"/>
      <c r="BZ559" s="77">
        <f>I559</f>
        <v/>
      </c>
      <c r="CA559" s="77">
        <f>M559</f>
        <v/>
      </c>
      <c r="CB559" s="77" t="n"/>
      <c r="CC559" s="77" t="n"/>
    </row>
    <row r="560">
      <c r="AY560" s="74" t="n"/>
      <c r="AZ560" s="77" t="inlineStr">
        <is>
          <t>T</t>
        </is>
      </c>
      <c r="BA560" s="77" t="inlineStr">
        <is>
          <t>T</t>
        </is>
      </c>
      <c r="BB560" s="77" t="inlineStr">
        <is>
          <t>T</t>
        </is>
      </c>
      <c r="BC560" s="77" t="inlineStr">
        <is>
          <t>T</t>
        </is>
      </c>
      <c r="BD560" s="77" t="inlineStr">
        <is>
          <t>T</t>
        </is>
      </c>
      <c r="BE560" s="77" t="n"/>
      <c r="BF560" s="77" t="n"/>
      <c r="BG560" s="77" t="n"/>
      <c r="BH560" s="77" t="n"/>
      <c r="BI560" s="77" t="n"/>
      <c r="BJ560" s="77" t="n"/>
      <c r="BK560" s="77" t="n"/>
      <c r="BL560" s="77" t="n"/>
      <c r="BM560" s="77" t="n"/>
      <c r="BN560" s="77" t="n"/>
      <c r="BO560" s="77" t="n"/>
      <c r="BP560" s="77" t="n"/>
      <c r="BQ560" s="77" t="n"/>
      <c r="BR560" s="77" t="n"/>
      <c r="BS560" s="77" t="n"/>
      <c r="BT560" s="77" t="n"/>
      <c r="BU560" s="77" t="n"/>
      <c r="BV560" s="77" t="n"/>
      <c r="BW560" s="77" t="n"/>
      <c r="BX560" s="77" t="n"/>
      <c r="BY560" s="77" t="n"/>
      <c r="BZ560" s="77">
        <f>I560</f>
        <v/>
      </c>
      <c r="CA560" s="77">
        <f>M560</f>
        <v/>
      </c>
      <c r="CB560" s="77" t="n"/>
      <c r="CC560" s="77" t="n"/>
    </row>
    <row r="561">
      <c r="AY561" s="74" t="n"/>
      <c r="AZ561" s="77" t="inlineStr">
        <is>
          <t>T</t>
        </is>
      </c>
      <c r="BA561" s="77" t="inlineStr">
        <is>
          <t>T</t>
        </is>
      </c>
      <c r="BB561" s="77" t="inlineStr">
        <is>
          <t>T</t>
        </is>
      </c>
      <c r="BC561" s="77" t="inlineStr">
        <is>
          <t>T</t>
        </is>
      </c>
      <c r="BD561" s="77" t="inlineStr">
        <is>
          <t>T</t>
        </is>
      </c>
      <c r="BE561" s="77" t="n"/>
      <c r="BF561" s="77" t="n"/>
      <c r="BG561" s="77" t="n"/>
      <c r="BH561" s="77" t="n"/>
      <c r="BI561" s="77" t="n"/>
      <c r="BJ561" s="77" t="n"/>
      <c r="BK561" s="77" t="n"/>
      <c r="BL561" s="77" t="n"/>
      <c r="BM561" s="77" t="n"/>
      <c r="BN561" s="77" t="n"/>
      <c r="BO561" s="77" t="n"/>
      <c r="BP561" s="77" t="n"/>
      <c r="BQ561" s="77" t="n"/>
      <c r="BR561" s="77" t="n"/>
      <c r="BS561" s="77" t="n"/>
      <c r="BT561" s="77" t="n"/>
      <c r="BU561" s="77" t="n"/>
      <c r="BV561" s="77" t="n"/>
      <c r="BW561" s="77" t="n"/>
      <c r="BX561" s="77" t="n"/>
      <c r="BY561" s="77" t="n"/>
      <c r="BZ561" s="77">
        <f>I561</f>
        <v/>
      </c>
      <c r="CA561" s="77">
        <f>M561</f>
        <v/>
      </c>
      <c r="CB561" s="77" t="n"/>
      <c r="CC561" s="77" t="n"/>
    </row>
    <row r="562">
      <c r="AY562" s="74" t="n"/>
      <c r="AZ562" s="77" t="inlineStr">
        <is>
          <t>T</t>
        </is>
      </c>
      <c r="BA562" s="77" t="inlineStr">
        <is>
          <t>T</t>
        </is>
      </c>
      <c r="BB562" s="77" t="inlineStr">
        <is>
          <t>T</t>
        </is>
      </c>
      <c r="BC562" s="77" t="inlineStr">
        <is>
          <t>T</t>
        </is>
      </c>
      <c r="BD562" s="77" t="inlineStr">
        <is>
          <t>T</t>
        </is>
      </c>
      <c r="BE562" s="77" t="n"/>
      <c r="BF562" s="77" t="n"/>
      <c r="BG562" s="77" t="n"/>
      <c r="BH562" s="77" t="n"/>
      <c r="BI562" s="77" t="n"/>
      <c r="BJ562" s="77" t="n"/>
      <c r="BK562" s="77" t="n"/>
      <c r="BL562" s="77" t="n"/>
      <c r="BM562" s="77" t="n"/>
      <c r="BN562" s="77" t="n"/>
      <c r="BO562" s="77" t="n"/>
      <c r="BP562" s="77" t="n"/>
      <c r="BQ562" s="77" t="n"/>
      <c r="BR562" s="77" t="n"/>
      <c r="BS562" s="77" t="n"/>
      <c r="BT562" s="77" t="n"/>
      <c r="BU562" s="77" t="n"/>
      <c r="BV562" s="77" t="n"/>
      <c r="BW562" s="77" t="n"/>
      <c r="BX562" s="77" t="n"/>
      <c r="BY562" s="77" t="n"/>
      <c r="BZ562" s="77">
        <f>I562</f>
        <v/>
      </c>
      <c r="CA562" s="77">
        <f>M562</f>
        <v/>
      </c>
      <c r="CB562" s="77" t="n"/>
      <c r="CC562" s="77" t="n"/>
    </row>
    <row r="563">
      <c r="AY563" s="74" t="n"/>
      <c r="AZ563" s="77" t="inlineStr">
        <is>
          <t>T</t>
        </is>
      </c>
      <c r="BA563" s="77" t="inlineStr">
        <is>
          <t>T</t>
        </is>
      </c>
      <c r="BB563" s="77" t="inlineStr">
        <is>
          <t>T</t>
        </is>
      </c>
      <c r="BC563" s="77" t="inlineStr">
        <is>
          <t>T</t>
        </is>
      </c>
      <c r="BD563" s="77" t="inlineStr">
        <is>
          <t>T</t>
        </is>
      </c>
      <c r="BE563" s="77" t="n"/>
      <c r="BF563" s="77" t="n"/>
      <c r="BG563" s="77" t="n"/>
      <c r="BH563" s="77" t="n"/>
      <c r="BI563" s="77" t="n"/>
      <c r="BJ563" s="77" t="n"/>
      <c r="BK563" s="77" t="n"/>
      <c r="BL563" s="77" t="n"/>
      <c r="BM563" s="77" t="n"/>
      <c r="BN563" s="77" t="n"/>
      <c r="BO563" s="77" t="n"/>
      <c r="BP563" s="77" t="n"/>
      <c r="BQ563" s="77" t="n"/>
      <c r="BR563" s="77" t="n"/>
      <c r="BS563" s="77" t="n"/>
      <c r="BT563" s="77" t="n"/>
      <c r="BU563" s="77" t="n"/>
      <c r="BV563" s="77" t="n"/>
      <c r="BW563" s="77" t="n"/>
      <c r="BX563" s="77" t="n"/>
      <c r="BY563" s="77" t="n"/>
      <c r="BZ563" s="77">
        <f>I563</f>
        <v/>
      </c>
      <c r="CA563" s="77">
        <f>M563</f>
        <v/>
      </c>
      <c r="CB563" s="77" t="n"/>
      <c r="CC563" s="77" t="n"/>
    </row>
    <row r="564">
      <c r="AY564" s="74" t="n"/>
      <c r="AZ564" s="77" t="inlineStr">
        <is>
          <t>T</t>
        </is>
      </c>
      <c r="BA564" s="77" t="inlineStr">
        <is>
          <t>T</t>
        </is>
      </c>
      <c r="BB564" s="77" t="inlineStr">
        <is>
          <t>T</t>
        </is>
      </c>
      <c r="BC564" s="77" t="inlineStr">
        <is>
          <t>T</t>
        </is>
      </c>
      <c r="BD564" s="77" t="inlineStr">
        <is>
          <t>T</t>
        </is>
      </c>
      <c r="BE564" s="77" t="n"/>
      <c r="BF564" s="77" t="n"/>
      <c r="BG564" s="77" t="n"/>
      <c r="BH564" s="77" t="n"/>
      <c r="BI564" s="77" t="n"/>
      <c r="BJ564" s="77" t="n"/>
      <c r="BK564" s="77" t="n"/>
      <c r="BL564" s="77" t="n"/>
      <c r="BM564" s="77" t="n"/>
      <c r="BN564" s="77" t="n"/>
      <c r="BO564" s="77" t="n"/>
      <c r="BP564" s="77" t="n"/>
      <c r="BQ564" s="77" t="n"/>
      <c r="BR564" s="77" t="n"/>
      <c r="BS564" s="77" t="n"/>
      <c r="BT564" s="77" t="n"/>
      <c r="BU564" s="77" t="n"/>
      <c r="BV564" s="77" t="n"/>
      <c r="BW564" s="77" t="n"/>
      <c r="BX564" s="77" t="n"/>
      <c r="BY564" s="77" t="n"/>
      <c r="BZ564" s="77">
        <f>I564</f>
        <v/>
      </c>
      <c r="CA564" s="77">
        <f>M564</f>
        <v/>
      </c>
      <c r="CB564" s="77" t="n"/>
      <c r="CC564" s="77" t="n"/>
    </row>
    <row r="565">
      <c r="AY565" s="74" t="n"/>
      <c r="AZ565" s="77" t="inlineStr">
        <is>
          <t>T</t>
        </is>
      </c>
      <c r="BA565" s="77" t="inlineStr">
        <is>
          <t>T</t>
        </is>
      </c>
      <c r="BB565" s="77" t="inlineStr">
        <is>
          <t>T</t>
        </is>
      </c>
      <c r="BC565" s="77" t="inlineStr">
        <is>
          <t>T</t>
        </is>
      </c>
      <c r="BD565" s="77" t="inlineStr">
        <is>
          <t>T</t>
        </is>
      </c>
      <c r="BE565" s="77" t="n"/>
      <c r="BF565" s="77" t="n"/>
      <c r="BG565" s="77" t="n"/>
      <c r="BH565" s="77" t="n"/>
      <c r="BI565" s="77" t="n"/>
      <c r="BJ565" s="77" t="n"/>
      <c r="BK565" s="77" t="n"/>
      <c r="BL565" s="77" t="n"/>
      <c r="BM565" s="77" t="n"/>
      <c r="BN565" s="77" t="n"/>
      <c r="BO565" s="77" t="n"/>
      <c r="BP565" s="77" t="n"/>
      <c r="BQ565" s="77" t="n"/>
      <c r="BR565" s="77" t="n"/>
      <c r="BS565" s="77" t="n"/>
      <c r="BT565" s="77" t="n"/>
      <c r="BU565" s="77" t="n"/>
      <c r="BV565" s="77" t="n"/>
      <c r="BW565" s="77" t="n"/>
      <c r="BX565" s="77" t="n"/>
      <c r="BY565" s="77" t="n"/>
      <c r="BZ565" s="77">
        <f>I565</f>
        <v/>
      </c>
      <c r="CA565" s="77">
        <f>M565</f>
        <v/>
      </c>
      <c r="CB565" s="77" t="n"/>
      <c r="CC565" s="77" t="n"/>
    </row>
    <row r="566">
      <c r="AY566" s="74" t="n"/>
      <c r="AZ566" s="77" t="inlineStr">
        <is>
          <t>T</t>
        </is>
      </c>
      <c r="BA566" s="77" t="inlineStr">
        <is>
          <t>T</t>
        </is>
      </c>
      <c r="BB566" s="77" t="inlineStr">
        <is>
          <t>T</t>
        </is>
      </c>
      <c r="BC566" s="77" t="inlineStr">
        <is>
          <t>T</t>
        </is>
      </c>
      <c r="BD566" s="77" t="inlineStr">
        <is>
          <t>T</t>
        </is>
      </c>
      <c r="BE566" s="77" t="n"/>
      <c r="BF566" s="77" t="n"/>
      <c r="BG566" s="77" t="n"/>
      <c r="BH566" s="77" t="n"/>
      <c r="BI566" s="77" t="n"/>
      <c r="BJ566" s="77" t="n"/>
      <c r="BK566" s="77" t="n"/>
      <c r="BL566" s="77" t="n"/>
      <c r="BM566" s="77" t="n"/>
      <c r="BN566" s="77" t="n"/>
      <c r="BO566" s="77" t="n"/>
      <c r="BP566" s="77" t="n"/>
      <c r="BQ566" s="77" t="n"/>
      <c r="BR566" s="77" t="n"/>
      <c r="BS566" s="77" t="n"/>
      <c r="BT566" s="77" t="n"/>
      <c r="BU566" s="77" t="n"/>
      <c r="BV566" s="77" t="n"/>
      <c r="BW566" s="77" t="n"/>
      <c r="BX566" s="77" t="n"/>
      <c r="BY566" s="77" t="n"/>
      <c r="BZ566" s="77">
        <f>I566</f>
        <v/>
      </c>
      <c r="CA566" s="77">
        <f>M566</f>
        <v/>
      </c>
      <c r="CB566" s="77" t="n"/>
      <c r="CC566" s="77" t="n"/>
    </row>
    <row r="567">
      <c r="AY567" s="74" t="n"/>
      <c r="AZ567" s="77" t="inlineStr">
        <is>
          <t>T</t>
        </is>
      </c>
      <c r="BA567" s="77" t="inlineStr">
        <is>
          <t>T</t>
        </is>
      </c>
      <c r="BB567" s="77" t="inlineStr">
        <is>
          <t>T</t>
        </is>
      </c>
      <c r="BC567" s="77" t="inlineStr">
        <is>
          <t>T</t>
        </is>
      </c>
      <c r="BD567" s="77" t="inlineStr">
        <is>
          <t>T</t>
        </is>
      </c>
      <c r="BE567" s="77" t="n"/>
      <c r="BF567" s="77" t="n"/>
      <c r="BG567" s="77" t="n"/>
      <c r="BH567" s="77" t="n"/>
      <c r="BI567" s="77" t="n"/>
      <c r="BJ567" s="77" t="n"/>
      <c r="BK567" s="77" t="n"/>
      <c r="BL567" s="77" t="n"/>
      <c r="BM567" s="77" t="n"/>
      <c r="BN567" s="77" t="n"/>
      <c r="BO567" s="77" t="n"/>
      <c r="BP567" s="77" t="n"/>
      <c r="BQ567" s="77" t="n"/>
      <c r="BR567" s="77" t="n"/>
      <c r="BS567" s="77" t="n"/>
      <c r="BT567" s="77" t="n"/>
      <c r="BU567" s="77" t="n"/>
      <c r="BV567" s="77" t="n"/>
      <c r="BW567" s="77" t="n"/>
      <c r="BX567" s="77" t="n"/>
      <c r="BY567" s="77" t="n"/>
      <c r="BZ567" s="77">
        <f>I567</f>
        <v/>
      </c>
      <c r="CA567" s="77">
        <f>M567</f>
        <v/>
      </c>
      <c r="CB567" s="77" t="n"/>
      <c r="CC567" s="77" t="n"/>
    </row>
    <row r="568">
      <c r="AY568" s="74" t="n"/>
      <c r="AZ568" s="77" t="inlineStr">
        <is>
          <t>T</t>
        </is>
      </c>
      <c r="BA568" s="77" t="inlineStr">
        <is>
          <t>T</t>
        </is>
      </c>
      <c r="BB568" s="77" t="inlineStr">
        <is>
          <t>T</t>
        </is>
      </c>
      <c r="BC568" s="77" t="inlineStr">
        <is>
          <t>T</t>
        </is>
      </c>
      <c r="BD568" s="77" t="inlineStr">
        <is>
          <t>T</t>
        </is>
      </c>
      <c r="BE568" s="77" t="n"/>
      <c r="BF568" s="77" t="n"/>
      <c r="BG568" s="77" t="n"/>
      <c r="BH568" s="77" t="n"/>
      <c r="BI568" s="77" t="n"/>
      <c r="BJ568" s="77" t="n"/>
      <c r="BK568" s="77" t="n"/>
      <c r="BL568" s="77" t="n"/>
      <c r="BM568" s="77" t="n"/>
      <c r="BN568" s="77" t="n"/>
      <c r="BO568" s="77" t="n"/>
      <c r="BP568" s="77" t="n"/>
      <c r="BQ568" s="77" t="n"/>
      <c r="BR568" s="77" t="n"/>
      <c r="BS568" s="77" t="n"/>
      <c r="BT568" s="77" t="n"/>
      <c r="BU568" s="77" t="n"/>
      <c r="BV568" s="77" t="n"/>
      <c r="BW568" s="77" t="n"/>
      <c r="BX568" s="77" t="n"/>
      <c r="BY568" s="77" t="n"/>
      <c r="BZ568" s="77">
        <f>I568</f>
        <v/>
      </c>
      <c r="CA568" s="77">
        <f>M568</f>
        <v/>
      </c>
      <c r="CB568" s="77" t="n"/>
      <c r="CC568" s="77" t="n"/>
    </row>
    <row r="569">
      <c r="AY569" s="74" t="n"/>
      <c r="AZ569" s="77" t="inlineStr">
        <is>
          <t>T</t>
        </is>
      </c>
      <c r="BA569" s="77" t="inlineStr">
        <is>
          <t>T</t>
        </is>
      </c>
      <c r="BB569" s="77" t="inlineStr">
        <is>
          <t>T</t>
        </is>
      </c>
      <c r="BC569" s="77" t="inlineStr">
        <is>
          <t>T</t>
        </is>
      </c>
      <c r="BD569" s="77" t="inlineStr">
        <is>
          <t>T</t>
        </is>
      </c>
      <c r="BE569" s="77" t="n"/>
      <c r="BF569" s="77" t="n"/>
      <c r="BG569" s="77" t="n"/>
      <c r="BH569" s="77" t="n"/>
      <c r="BI569" s="77" t="n"/>
      <c r="BJ569" s="77" t="n"/>
      <c r="BK569" s="77" t="n"/>
      <c r="BL569" s="77" t="n"/>
      <c r="BM569" s="77" t="n"/>
      <c r="BN569" s="77" t="n"/>
      <c r="BO569" s="77" t="n"/>
      <c r="BP569" s="77" t="n"/>
      <c r="BQ569" s="77" t="n"/>
      <c r="BR569" s="77" t="n"/>
      <c r="BS569" s="77" t="n"/>
      <c r="BT569" s="77" t="n"/>
      <c r="BU569" s="77" t="n"/>
      <c r="BV569" s="77" t="n"/>
      <c r="BW569" s="77" t="n"/>
      <c r="BX569" s="77" t="n"/>
      <c r="BY569" s="77" t="n"/>
      <c r="BZ569" s="77">
        <f>I569</f>
        <v/>
      </c>
      <c r="CA569" s="77">
        <f>M569</f>
        <v/>
      </c>
      <c r="CB569" s="77" t="n"/>
      <c r="CC569" s="77" t="n"/>
    </row>
    <row r="570">
      <c r="AY570" s="74" t="n"/>
      <c r="AZ570" s="77" t="inlineStr">
        <is>
          <t>T</t>
        </is>
      </c>
      <c r="BA570" s="77" t="inlineStr">
        <is>
          <t>T</t>
        </is>
      </c>
      <c r="BB570" s="77" t="inlineStr">
        <is>
          <t>T</t>
        </is>
      </c>
      <c r="BC570" s="77" t="inlineStr">
        <is>
          <t>T</t>
        </is>
      </c>
      <c r="BD570" s="77" t="inlineStr">
        <is>
          <t>T</t>
        </is>
      </c>
      <c r="BE570" s="77" t="n"/>
      <c r="BF570" s="77" t="n"/>
      <c r="BG570" s="77" t="n"/>
      <c r="BH570" s="77" t="n"/>
      <c r="BI570" s="77" t="n"/>
      <c r="BJ570" s="77" t="n"/>
      <c r="BK570" s="77" t="n"/>
      <c r="BL570" s="77" t="n"/>
      <c r="BM570" s="77" t="n"/>
      <c r="BN570" s="77" t="n"/>
      <c r="BO570" s="77" t="n"/>
      <c r="BP570" s="77" t="n"/>
      <c r="BQ570" s="77" t="n"/>
      <c r="BR570" s="77" t="n"/>
      <c r="BS570" s="77" t="n"/>
      <c r="BT570" s="77" t="n"/>
      <c r="BU570" s="77" t="n"/>
      <c r="BV570" s="77" t="n"/>
      <c r="BW570" s="77" t="n"/>
      <c r="BX570" s="77" t="n"/>
      <c r="BY570" s="77" t="n"/>
      <c r="BZ570" s="77">
        <f>I570</f>
        <v/>
      </c>
      <c r="CA570" s="77">
        <f>M570</f>
        <v/>
      </c>
      <c r="CB570" s="77" t="n"/>
      <c r="CC570" s="77" t="n"/>
    </row>
    <row r="571">
      <c r="AY571" s="74" t="n"/>
      <c r="AZ571" s="77" t="inlineStr">
        <is>
          <t>T</t>
        </is>
      </c>
      <c r="BA571" s="77" t="inlineStr">
        <is>
          <t>T</t>
        </is>
      </c>
      <c r="BB571" s="77" t="inlineStr">
        <is>
          <t>T</t>
        </is>
      </c>
      <c r="BC571" s="77" t="inlineStr">
        <is>
          <t>T</t>
        </is>
      </c>
      <c r="BD571" s="77" t="inlineStr">
        <is>
          <t>T</t>
        </is>
      </c>
      <c r="BE571" s="77" t="n"/>
      <c r="BF571" s="77" t="n"/>
      <c r="BG571" s="77" t="n"/>
      <c r="BH571" s="77" t="n"/>
      <c r="BI571" s="77" t="n"/>
      <c r="BJ571" s="77" t="n"/>
      <c r="BK571" s="77" t="n"/>
      <c r="BL571" s="77" t="n"/>
      <c r="BM571" s="77" t="n"/>
      <c r="BN571" s="77" t="n"/>
      <c r="BO571" s="77" t="n"/>
      <c r="BP571" s="77" t="n"/>
      <c r="BQ571" s="77" t="n"/>
      <c r="BR571" s="77" t="n"/>
      <c r="BS571" s="77" t="n"/>
      <c r="BT571" s="77" t="n"/>
      <c r="BU571" s="77" t="n"/>
      <c r="BV571" s="77" t="n"/>
      <c r="BW571" s="77" t="n"/>
      <c r="BX571" s="77" t="n"/>
      <c r="BY571" s="77" t="n"/>
      <c r="BZ571" s="77">
        <f>I571</f>
        <v/>
      </c>
      <c r="CA571" s="77">
        <f>M571</f>
        <v/>
      </c>
      <c r="CB571" s="77" t="n"/>
      <c r="CC571" s="77" t="n"/>
    </row>
    <row r="572">
      <c r="AY572" s="74" t="n"/>
      <c r="AZ572" s="77" t="inlineStr">
        <is>
          <t>T</t>
        </is>
      </c>
      <c r="BA572" s="77" t="inlineStr">
        <is>
          <t>T</t>
        </is>
      </c>
      <c r="BB572" s="77" t="inlineStr">
        <is>
          <t>T</t>
        </is>
      </c>
      <c r="BC572" s="77" t="inlineStr">
        <is>
          <t>T</t>
        </is>
      </c>
      <c r="BD572" s="77" t="inlineStr">
        <is>
          <t>T</t>
        </is>
      </c>
      <c r="BE572" s="77" t="n"/>
      <c r="BF572" s="77" t="n"/>
      <c r="BG572" s="77" t="n"/>
      <c r="BH572" s="77" t="n"/>
      <c r="BI572" s="77" t="n"/>
      <c r="BJ572" s="77" t="n"/>
      <c r="BK572" s="77" t="n"/>
      <c r="BL572" s="77" t="n"/>
      <c r="BM572" s="77" t="n"/>
      <c r="BN572" s="77" t="n"/>
      <c r="BO572" s="77" t="n"/>
      <c r="BP572" s="77" t="n"/>
      <c r="BQ572" s="77" t="n"/>
      <c r="BR572" s="77" t="n"/>
      <c r="BS572" s="77" t="n"/>
      <c r="BT572" s="77" t="n"/>
      <c r="BU572" s="77" t="n"/>
      <c r="BV572" s="77" t="n"/>
      <c r="BW572" s="77" t="n"/>
      <c r="BX572" s="77" t="n"/>
      <c r="BY572" s="77" t="n"/>
      <c r="BZ572" s="77">
        <f>I572</f>
        <v/>
      </c>
      <c r="CA572" s="77">
        <f>M572</f>
        <v/>
      </c>
      <c r="CB572" s="77" t="n"/>
      <c r="CC572" s="77" t="n"/>
    </row>
    <row r="573">
      <c r="AY573" s="74" t="n"/>
      <c r="AZ573" s="77" t="inlineStr">
        <is>
          <t>T</t>
        </is>
      </c>
      <c r="BA573" s="77" t="inlineStr">
        <is>
          <t>T</t>
        </is>
      </c>
      <c r="BB573" s="77" t="inlineStr">
        <is>
          <t>T</t>
        </is>
      </c>
      <c r="BC573" s="77" t="inlineStr">
        <is>
          <t>T</t>
        </is>
      </c>
      <c r="BD573" s="77" t="inlineStr">
        <is>
          <t>T</t>
        </is>
      </c>
      <c r="BE573" s="77" t="n"/>
      <c r="BF573" s="77" t="n"/>
      <c r="BG573" s="77" t="n"/>
      <c r="BH573" s="77" t="n"/>
      <c r="BI573" s="77" t="n"/>
      <c r="BJ573" s="77" t="n"/>
      <c r="BK573" s="77" t="n"/>
      <c r="BL573" s="77" t="n"/>
      <c r="BM573" s="77" t="n"/>
      <c r="BN573" s="77" t="n"/>
      <c r="BO573" s="77" t="n"/>
      <c r="BP573" s="77" t="n"/>
      <c r="BQ573" s="77" t="n"/>
      <c r="BR573" s="77" t="n"/>
      <c r="BS573" s="77" t="n"/>
      <c r="BT573" s="77" t="n"/>
      <c r="BU573" s="77" t="n"/>
      <c r="BV573" s="77" t="n"/>
      <c r="BW573" s="77" t="n"/>
      <c r="BX573" s="77" t="n"/>
      <c r="BY573" s="77" t="n"/>
      <c r="BZ573" s="77">
        <f>I573</f>
        <v/>
      </c>
      <c r="CA573" s="77">
        <f>M573</f>
        <v/>
      </c>
      <c r="CB573" s="77" t="n"/>
      <c r="CC573" s="77" t="n"/>
    </row>
    <row r="574">
      <c r="AY574" s="74" t="n"/>
      <c r="AZ574" s="77" t="inlineStr">
        <is>
          <t>T</t>
        </is>
      </c>
      <c r="BA574" s="77" t="inlineStr">
        <is>
          <t>T</t>
        </is>
      </c>
      <c r="BB574" s="77" t="inlineStr">
        <is>
          <t>T</t>
        </is>
      </c>
      <c r="BC574" s="77" t="inlineStr">
        <is>
          <t>T</t>
        </is>
      </c>
      <c r="BD574" s="77" t="inlineStr">
        <is>
          <t>T</t>
        </is>
      </c>
      <c r="BE574" s="77" t="n"/>
      <c r="BF574" s="77" t="n"/>
      <c r="BG574" s="77" t="n"/>
      <c r="BH574" s="77" t="n"/>
      <c r="BI574" s="77" t="n"/>
      <c r="BJ574" s="77" t="n"/>
      <c r="BK574" s="77" t="n"/>
      <c r="BL574" s="77" t="n"/>
      <c r="BM574" s="77" t="n"/>
      <c r="BN574" s="77" t="n"/>
      <c r="BO574" s="77" t="n"/>
      <c r="BP574" s="77" t="n"/>
      <c r="BQ574" s="77" t="n"/>
      <c r="BR574" s="77" t="n"/>
      <c r="BS574" s="77" t="n"/>
      <c r="BT574" s="77" t="n"/>
      <c r="BU574" s="77" t="n"/>
      <c r="BV574" s="77" t="n"/>
      <c r="BW574" s="77" t="n"/>
      <c r="BX574" s="77" t="n"/>
      <c r="BY574" s="77" t="n"/>
      <c r="BZ574" s="77">
        <f>I574</f>
        <v/>
      </c>
      <c r="CA574" s="77">
        <f>M574</f>
        <v/>
      </c>
      <c r="CB574" s="77" t="n"/>
      <c r="CC574" s="77" t="n"/>
    </row>
    <row r="575">
      <c r="AY575" s="74" t="n"/>
      <c r="AZ575" s="77" t="inlineStr">
        <is>
          <t>T</t>
        </is>
      </c>
      <c r="BA575" s="77" t="inlineStr">
        <is>
          <t>T</t>
        </is>
      </c>
      <c r="BB575" s="77" t="inlineStr">
        <is>
          <t>T</t>
        </is>
      </c>
      <c r="BC575" s="77" t="inlineStr">
        <is>
          <t>T</t>
        </is>
      </c>
      <c r="BD575" s="77" t="inlineStr">
        <is>
          <t>T</t>
        </is>
      </c>
      <c r="BE575" s="77" t="n"/>
      <c r="BF575" s="77" t="n"/>
      <c r="BG575" s="77" t="n"/>
      <c r="BH575" s="77" t="n"/>
      <c r="BI575" s="77" t="n"/>
      <c r="BJ575" s="77" t="n"/>
      <c r="BK575" s="77" t="n"/>
      <c r="BL575" s="77" t="n"/>
      <c r="BM575" s="77" t="n"/>
      <c r="BN575" s="77" t="n"/>
      <c r="BO575" s="77" t="n"/>
      <c r="BP575" s="77" t="n"/>
      <c r="BQ575" s="77" t="n"/>
      <c r="BR575" s="77" t="n"/>
      <c r="BS575" s="77" t="n"/>
      <c r="BT575" s="77" t="n"/>
      <c r="BU575" s="77" t="n"/>
      <c r="BV575" s="77" t="n"/>
      <c r="BW575" s="77" t="n"/>
      <c r="BX575" s="77" t="n"/>
      <c r="BY575" s="77" t="n"/>
      <c r="BZ575" s="77">
        <f>I575</f>
        <v/>
      </c>
      <c r="CA575" s="77">
        <f>M575</f>
        <v/>
      </c>
      <c r="CB575" s="77" t="n"/>
      <c r="CC575" s="77" t="n"/>
    </row>
    <row r="576">
      <c r="AY576" s="74" t="n"/>
      <c r="AZ576" s="77" t="inlineStr">
        <is>
          <t>T</t>
        </is>
      </c>
      <c r="BA576" s="77" t="inlineStr">
        <is>
          <t>T</t>
        </is>
      </c>
      <c r="BB576" s="77" t="inlineStr">
        <is>
          <t>T</t>
        </is>
      </c>
      <c r="BC576" s="77" t="inlineStr">
        <is>
          <t>T</t>
        </is>
      </c>
      <c r="BD576" s="77" t="inlineStr">
        <is>
          <t>T</t>
        </is>
      </c>
      <c r="BE576" s="77" t="n"/>
      <c r="BF576" s="77" t="n"/>
      <c r="BG576" s="77" t="n"/>
      <c r="BH576" s="77" t="n"/>
      <c r="BI576" s="77" t="n"/>
      <c r="BJ576" s="77" t="n"/>
      <c r="BK576" s="77" t="n"/>
      <c r="BL576" s="77" t="n"/>
      <c r="BM576" s="77" t="n"/>
      <c r="BN576" s="77" t="n"/>
      <c r="BO576" s="77" t="n"/>
      <c r="BP576" s="77" t="n"/>
      <c r="BQ576" s="77" t="n"/>
      <c r="BR576" s="77" t="n"/>
      <c r="BS576" s="77" t="n"/>
      <c r="BT576" s="77" t="n"/>
      <c r="BU576" s="77" t="n"/>
      <c r="BV576" s="77" t="n"/>
      <c r="BW576" s="77" t="n"/>
      <c r="BX576" s="77" t="n"/>
      <c r="BY576" s="77" t="n"/>
      <c r="BZ576" s="77">
        <f>I576</f>
        <v/>
      </c>
      <c r="CA576" s="77">
        <f>M576</f>
        <v/>
      </c>
      <c r="CB576" s="77" t="n"/>
      <c r="CC576" s="77" t="n"/>
    </row>
    <row r="577">
      <c r="AY577" s="74" t="n"/>
      <c r="AZ577" s="77" t="inlineStr">
        <is>
          <t>T</t>
        </is>
      </c>
      <c r="BA577" s="77" t="inlineStr">
        <is>
          <t>T</t>
        </is>
      </c>
      <c r="BB577" s="77" t="inlineStr">
        <is>
          <t>T</t>
        </is>
      </c>
      <c r="BC577" s="77" t="inlineStr">
        <is>
          <t>T</t>
        </is>
      </c>
      <c r="BD577" s="77" t="inlineStr">
        <is>
          <t>T</t>
        </is>
      </c>
      <c r="BE577" s="77" t="n"/>
      <c r="BF577" s="77" t="n"/>
      <c r="BG577" s="77" t="n"/>
      <c r="BH577" s="77" t="n"/>
      <c r="BI577" s="77" t="n"/>
      <c r="BJ577" s="77" t="n"/>
      <c r="BK577" s="77" t="n"/>
      <c r="BL577" s="77" t="n"/>
      <c r="BM577" s="77" t="n"/>
      <c r="BN577" s="77" t="n"/>
      <c r="BO577" s="77" t="n"/>
      <c r="BP577" s="77" t="n"/>
      <c r="BQ577" s="77" t="n"/>
      <c r="BR577" s="77" t="n"/>
      <c r="BS577" s="77" t="n"/>
      <c r="BT577" s="77" t="n"/>
      <c r="BU577" s="77" t="n"/>
      <c r="BV577" s="77" t="n"/>
      <c r="BW577" s="77" t="n"/>
      <c r="BX577" s="77" t="n"/>
      <c r="BY577" s="77" t="n"/>
      <c r="BZ577" s="77">
        <f>I577</f>
        <v/>
      </c>
      <c r="CA577" s="77">
        <f>M577</f>
        <v/>
      </c>
      <c r="CB577" s="77" t="n"/>
      <c r="CC577" s="77" t="n"/>
    </row>
    <row r="578">
      <c r="AY578" s="74" t="n"/>
      <c r="AZ578" s="77" t="inlineStr">
        <is>
          <t>T</t>
        </is>
      </c>
      <c r="BA578" s="77" t="inlineStr">
        <is>
          <t>T</t>
        </is>
      </c>
      <c r="BB578" s="77" t="inlineStr">
        <is>
          <t>T</t>
        </is>
      </c>
      <c r="BC578" s="77" t="inlineStr">
        <is>
          <t>T</t>
        </is>
      </c>
      <c r="BD578" s="77" t="inlineStr">
        <is>
          <t>T</t>
        </is>
      </c>
      <c r="BE578" s="77" t="n"/>
      <c r="BF578" s="77" t="n"/>
      <c r="BG578" s="77" t="n"/>
      <c r="BH578" s="77" t="n"/>
      <c r="BI578" s="77" t="n"/>
      <c r="BJ578" s="77" t="n"/>
      <c r="BK578" s="77" t="n"/>
      <c r="BL578" s="77" t="n"/>
      <c r="BM578" s="77" t="n"/>
      <c r="BN578" s="77" t="n"/>
      <c r="BO578" s="77" t="n"/>
      <c r="BP578" s="77" t="n"/>
      <c r="BQ578" s="77" t="n"/>
      <c r="BR578" s="77" t="n"/>
      <c r="BS578" s="77" t="n"/>
      <c r="BT578" s="77" t="n"/>
      <c r="BU578" s="77" t="n"/>
      <c r="BV578" s="77" t="n"/>
      <c r="BW578" s="77" t="n"/>
      <c r="BX578" s="77" t="n"/>
      <c r="BY578" s="77" t="n"/>
      <c r="BZ578" s="77">
        <f>I578</f>
        <v/>
      </c>
      <c r="CA578" s="77">
        <f>M578</f>
        <v/>
      </c>
      <c r="CB578" s="77" t="n"/>
      <c r="CC578" s="77" t="n"/>
    </row>
    <row r="579">
      <c r="AY579" s="74" t="n"/>
      <c r="AZ579" s="77" t="inlineStr">
        <is>
          <t>T</t>
        </is>
      </c>
      <c r="BA579" s="77" t="inlineStr">
        <is>
          <t>T</t>
        </is>
      </c>
      <c r="BB579" s="77" t="inlineStr">
        <is>
          <t>T</t>
        </is>
      </c>
      <c r="BC579" s="77" t="inlineStr">
        <is>
          <t>T</t>
        </is>
      </c>
      <c r="BD579" s="77" t="inlineStr">
        <is>
          <t>T</t>
        </is>
      </c>
      <c r="BE579" s="77" t="n"/>
      <c r="BF579" s="77" t="n"/>
      <c r="BG579" s="77" t="n"/>
      <c r="BH579" s="77" t="n"/>
      <c r="BI579" s="77" t="n"/>
      <c r="BJ579" s="77" t="n"/>
      <c r="BK579" s="77" t="n"/>
      <c r="BL579" s="77" t="n"/>
      <c r="BM579" s="77" t="n"/>
      <c r="BN579" s="77" t="n"/>
      <c r="BO579" s="77" t="n"/>
      <c r="BP579" s="77" t="n"/>
      <c r="BQ579" s="77" t="n"/>
      <c r="BR579" s="77" t="n"/>
      <c r="BS579" s="77" t="n"/>
      <c r="BT579" s="77" t="n"/>
      <c r="BU579" s="77" t="n"/>
      <c r="BV579" s="77" t="n"/>
      <c r="BW579" s="77" t="n"/>
      <c r="BX579" s="77" t="n"/>
      <c r="BY579" s="77" t="n"/>
      <c r="BZ579" s="77">
        <f>I579</f>
        <v/>
      </c>
      <c r="CA579" s="77">
        <f>M579</f>
        <v/>
      </c>
      <c r="CB579" s="77" t="n"/>
      <c r="CC579" s="77" t="n"/>
    </row>
    <row r="580">
      <c r="AY580" s="74" t="n"/>
      <c r="AZ580" s="77" t="inlineStr">
        <is>
          <t>T</t>
        </is>
      </c>
      <c r="BA580" s="77" t="inlineStr">
        <is>
          <t>T</t>
        </is>
      </c>
      <c r="BB580" s="77" t="inlineStr">
        <is>
          <t>T</t>
        </is>
      </c>
      <c r="BC580" s="77" t="inlineStr">
        <is>
          <t>T</t>
        </is>
      </c>
      <c r="BD580" s="77" t="inlineStr">
        <is>
          <t>T</t>
        </is>
      </c>
      <c r="BE580" s="77" t="n"/>
      <c r="BF580" s="77" t="n"/>
      <c r="BG580" s="77" t="n"/>
      <c r="BH580" s="77" t="n"/>
      <c r="BI580" s="77" t="n"/>
      <c r="BJ580" s="77" t="n"/>
      <c r="BK580" s="77" t="n"/>
      <c r="BL580" s="77" t="n"/>
      <c r="BM580" s="77" t="n"/>
      <c r="BN580" s="77" t="n"/>
      <c r="BO580" s="77" t="n"/>
      <c r="BP580" s="77" t="n"/>
      <c r="BQ580" s="77" t="n"/>
      <c r="BR580" s="77" t="n"/>
      <c r="BS580" s="77" t="n"/>
      <c r="BT580" s="77" t="n"/>
      <c r="BU580" s="77" t="n"/>
      <c r="BV580" s="77" t="n"/>
      <c r="BW580" s="77" t="n"/>
      <c r="BX580" s="77" t="n"/>
      <c r="BY580" s="77" t="n"/>
      <c r="BZ580" s="77">
        <f>I580</f>
        <v/>
      </c>
      <c r="CA580" s="77">
        <f>M580</f>
        <v/>
      </c>
      <c r="CB580" s="77" t="n"/>
      <c r="CC580" s="77" t="n"/>
    </row>
    <row r="581">
      <c r="AY581" s="74" t="n"/>
      <c r="AZ581" s="77" t="inlineStr">
        <is>
          <t>T</t>
        </is>
      </c>
      <c r="BA581" s="77" t="inlineStr">
        <is>
          <t>T</t>
        </is>
      </c>
      <c r="BB581" s="77" t="inlineStr">
        <is>
          <t>T</t>
        </is>
      </c>
      <c r="BC581" s="77" t="inlineStr">
        <is>
          <t>T</t>
        </is>
      </c>
      <c r="BD581" s="77" t="inlineStr">
        <is>
          <t>T</t>
        </is>
      </c>
      <c r="BE581" s="77" t="n"/>
      <c r="BF581" s="77" t="n"/>
      <c r="BG581" s="77" t="n"/>
      <c r="BH581" s="77" t="n"/>
      <c r="BI581" s="77" t="n"/>
      <c r="BJ581" s="77" t="n"/>
      <c r="BK581" s="77" t="n"/>
      <c r="BL581" s="77" t="n"/>
      <c r="BM581" s="77" t="n"/>
      <c r="BN581" s="77" t="n"/>
      <c r="BO581" s="77" t="n"/>
      <c r="BP581" s="77" t="n"/>
      <c r="BQ581" s="77" t="n"/>
      <c r="BR581" s="77" t="n"/>
      <c r="BS581" s="77" t="n"/>
      <c r="BT581" s="77" t="n"/>
      <c r="BU581" s="77" t="n"/>
      <c r="BV581" s="77" t="n"/>
      <c r="BW581" s="77" t="n"/>
      <c r="BX581" s="77" t="n"/>
      <c r="BY581" s="77" t="n"/>
      <c r="BZ581" s="77">
        <f>I581</f>
        <v/>
      </c>
      <c r="CA581" s="77">
        <f>M581</f>
        <v/>
      </c>
      <c r="CB581" s="77" t="n"/>
      <c r="CC581" s="77" t="n"/>
    </row>
    <row r="582">
      <c r="AY582" s="74" t="n"/>
      <c r="AZ582" s="77" t="inlineStr">
        <is>
          <t>T</t>
        </is>
      </c>
      <c r="BA582" s="77" t="inlineStr">
        <is>
          <t>T</t>
        </is>
      </c>
      <c r="BB582" s="77" t="inlineStr">
        <is>
          <t>T</t>
        </is>
      </c>
      <c r="BC582" s="77" t="inlineStr">
        <is>
          <t>T</t>
        </is>
      </c>
      <c r="BD582" s="77" t="inlineStr">
        <is>
          <t>T</t>
        </is>
      </c>
      <c r="BE582" s="77" t="n"/>
      <c r="BF582" s="77" t="n"/>
      <c r="BG582" s="77" t="n"/>
      <c r="BH582" s="77" t="n"/>
      <c r="BI582" s="77" t="n"/>
      <c r="BJ582" s="77" t="n"/>
      <c r="BK582" s="77" t="n"/>
      <c r="BL582" s="77" t="n"/>
      <c r="BM582" s="77" t="n"/>
      <c r="BN582" s="77" t="n"/>
      <c r="BO582" s="77" t="n"/>
      <c r="BP582" s="77" t="n"/>
      <c r="BQ582" s="77" t="n"/>
      <c r="BR582" s="77" t="n"/>
      <c r="BS582" s="77" t="n"/>
      <c r="BT582" s="77" t="n"/>
      <c r="BU582" s="77" t="n"/>
      <c r="BV582" s="77" t="n"/>
      <c r="BW582" s="77" t="n"/>
      <c r="BX582" s="77" t="n"/>
      <c r="BY582" s="77" t="n"/>
      <c r="BZ582" s="77">
        <f>I582</f>
        <v/>
      </c>
      <c r="CA582" s="77">
        <f>M582</f>
        <v/>
      </c>
      <c r="CB582" s="77" t="n"/>
      <c r="CC582" s="77" t="n"/>
    </row>
    <row r="583">
      <c r="AY583" s="74" t="n"/>
      <c r="AZ583" s="77" t="inlineStr">
        <is>
          <t>T</t>
        </is>
      </c>
      <c r="BA583" s="77" t="inlineStr">
        <is>
          <t>T</t>
        </is>
      </c>
      <c r="BB583" s="77" t="inlineStr">
        <is>
          <t>T</t>
        </is>
      </c>
      <c r="BC583" s="77" t="inlineStr">
        <is>
          <t>T</t>
        </is>
      </c>
      <c r="BD583" s="77" t="inlineStr">
        <is>
          <t>T</t>
        </is>
      </c>
      <c r="BE583" s="77" t="n"/>
      <c r="BF583" s="77" t="n"/>
      <c r="BG583" s="77" t="n"/>
      <c r="BH583" s="77" t="n"/>
      <c r="BI583" s="77" t="n"/>
      <c r="BJ583" s="77" t="n"/>
      <c r="BK583" s="77" t="n"/>
      <c r="BL583" s="77" t="n"/>
      <c r="BM583" s="77" t="n"/>
      <c r="BN583" s="77" t="n"/>
      <c r="BO583" s="77" t="n"/>
      <c r="BP583" s="77" t="n"/>
      <c r="BQ583" s="77" t="n"/>
      <c r="BR583" s="77" t="n"/>
      <c r="BS583" s="77" t="n"/>
      <c r="BT583" s="77" t="n"/>
      <c r="BU583" s="77" t="n"/>
      <c r="BV583" s="77" t="n"/>
      <c r="BW583" s="77" t="n"/>
      <c r="BX583" s="77" t="n"/>
      <c r="BY583" s="77" t="n"/>
      <c r="BZ583" s="77">
        <f>I583</f>
        <v/>
      </c>
      <c r="CA583" s="77">
        <f>M583</f>
        <v/>
      </c>
      <c r="CB583" s="77" t="n"/>
      <c r="CC583" s="77" t="n"/>
    </row>
    <row r="584">
      <c r="AY584" s="74" t="n"/>
      <c r="AZ584" s="77" t="inlineStr">
        <is>
          <t>T</t>
        </is>
      </c>
      <c r="BA584" s="77" t="inlineStr">
        <is>
          <t>T</t>
        </is>
      </c>
      <c r="BB584" s="77" t="inlineStr">
        <is>
          <t>T</t>
        </is>
      </c>
      <c r="BC584" s="77" t="inlineStr">
        <is>
          <t>T</t>
        </is>
      </c>
      <c r="BD584" s="77" t="inlineStr">
        <is>
          <t>T</t>
        </is>
      </c>
      <c r="BE584" s="77" t="n"/>
      <c r="BF584" s="77" t="n"/>
      <c r="BG584" s="77" t="n"/>
      <c r="BH584" s="77" t="n"/>
      <c r="BI584" s="77" t="n"/>
      <c r="BJ584" s="77" t="n"/>
      <c r="BK584" s="77" t="n"/>
      <c r="BL584" s="77" t="n"/>
      <c r="BM584" s="77" t="n"/>
      <c r="BN584" s="77" t="n"/>
      <c r="BO584" s="77" t="n"/>
      <c r="BP584" s="77" t="n"/>
      <c r="BQ584" s="77" t="n"/>
      <c r="BR584" s="77" t="n"/>
      <c r="BS584" s="77" t="n"/>
      <c r="BT584" s="77" t="n"/>
      <c r="BU584" s="77" t="n"/>
      <c r="BV584" s="77" t="n"/>
      <c r="BW584" s="77" t="n"/>
      <c r="BX584" s="77" t="n"/>
      <c r="BY584" s="77" t="n"/>
      <c r="BZ584" s="77">
        <f>I584</f>
        <v/>
      </c>
      <c r="CA584" s="77">
        <f>M584</f>
        <v/>
      </c>
      <c r="CB584" s="77" t="n"/>
      <c r="CC584" s="77" t="n"/>
    </row>
    <row r="585">
      <c r="AY585" s="74" t="n"/>
      <c r="AZ585" s="77" t="inlineStr">
        <is>
          <t>T</t>
        </is>
      </c>
      <c r="BA585" s="77" t="inlineStr">
        <is>
          <t>T</t>
        </is>
      </c>
      <c r="BB585" s="77" t="inlineStr">
        <is>
          <t>T</t>
        </is>
      </c>
      <c r="BC585" s="77" t="inlineStr">
        <is>
          <t>T</t>
        </is>
      </c>
      <c r="BD585" s="77" t="inlineStr">
        <is>
          <t>T</t>
        </is>
      </c>
      <c r="BE585" s="77" t="n"/>
      <c r="BF585" s="77" t="n"/>
      <c r="BG585" s="77" t="n"/>
      <c r="BH585" s="77" t="n"/>
      <c r="BI585" s="77" t="n"/>
      <c r="BJ585" s="77" t="n"/>
      <c r="BK585" s="77" t="n"/>
      <c r="BL585" s="77" t="n"/>
      <c r="BM585" s="77" t="n"/>
      <c r="BN585" s="77" t="n"/>
      <c r="BO585" s="77" t="n"/>
      <c r="BP585" s="77" t="n"/>
      <c r="BQ585" s="77" t="n"/>
      <c r="BR585" s="77" t="n"/>
      <c r="BS585" s="77" t="n"/>
      <c r="BT585" s="77" t="n"/>
      <c r="BU585" s="77" t="n"/>
      <c r="BV585" s="77" t="n"/>
      <c r="BW585" s="77" t="n"/>
      <c r="BX585" s="77" t="n"/>
      <c r="BY585" s="77" t="n"/>
      <c r="BZ585" s="77">
        <f>I585</f>
        <v/>
      </c>
      <c r="CA585" s="77">
        <f>M585</f>
        <v/>
      </c>
      <c r="CB585" s="77" t="n"/>
      <c r="CC585" s="77" t="n"/>
    </row>
    <row r="586">
      <c r="AY586" s="74" t="n"/>
      <c r="AZ586" s="77" t="inlineStr">
        <is>
          <t>T</t>
        </is>
      </c>
      <c r="BA586" s="77" t="inlineStr">
        <is>
          <t>T</t>
        </is>
      </c>
      <c r="BB586" s="77" t="inlineStr">
        <is>
          <t>T</t>
        </is>
      </c>
      <c r="BC586" s="77" t="inlineStr">
        <is>
          <t>T</t>
        </is>
      </c>
      <c r="BD586" s="77" t="inlineStr">
        <is>
          <t>T</t>
        </is>
      </c>
      <c r="BE586" s="77" t="n"/>
      <c r="BF586" s="77" t="n"/>
      <c r="BG586" s="77" t="n"/>
      <c r="BH586" s="77" t="n"/>
      <c r="BI586" s="77" t="n"/>
      <c r="BJ586" s="77" t="n"/>
      <c r="BK586" s="77" t="n"/>
      <c r="BL586" s="77" t="n"/>
      <c r="BM586" s="77" t="n"/>
      <c r="BN586" s="77" t="n"/>
      <c r="BO586" s="77" t="n"/>
      <c r="BP586" s="77" t="n"/>
      <c r="BQ586" s="77" t="n"/>
      <c r="BR586" s="77" t="n"/>
      <c r="BS586" s="77" t="n"/>
      <c r="BT586" s="77" t="n"/>
      <c r="BU586" s="77" t="n"/>
      <c r="BV586" s="77" t="n"/>
      <c r="BW586" s="77" t="n"/>
      <c r="BX586" s="77" t="n"/>
      <c r="BY586" s="77" t="n"/>
      <c r="BZ586" s="77">
        <f>I586</f>
        <v/>
      </c>
      <c r="CA586" s="77">
        <f>M586</f>
        <v/>
      </c>
      <c r="CB586" s="77" t="n"/>
      <c r="CC586" s="77" t="n"/>
    </row>
    <row r="587">
      <c r="AY587" s="74" t="n"/>
      <c r="AZ587" s="77" t="inlineStr">
        <is>
          <t>T</t>
        </is>
      </c>
      <c r="BA587" s="77" t="inlineStr">
        <is>
          <t>T</t>
        </is>
      </c>
      <c r="BB587" s="77" t="inlineStr">
        <is>
          <t>T</t>
        </is>
      </c>
      <c r="BC587" s="77" t="inlineStr">
        <is>
          <t>T</t>
        </is>
      </c>
      <c r="BD587" s="77" t="inlineStr">
        <is>
          <t>T</t>
        </is>
      </c>
      <c r="BE587" s="77" t="n"/>
      <c r="BF587" s="77" t="n"/>
      <c r="BG587" s="77" t="n"/>
      <c r="BH587" s="77" t="n"/>
      <c r="BI587" s="77" t="n"/>
      <c r="BJ587" s="77" t="n"/>
      <c r="BK587" s="77" t="n"/>
      <c r="BL587" s="77" t="n"/>
      <c r="BM587" s="77" t="n"/>
      <c r="BN587" s="77" t="n"/>
      <c r="BO587" s="77" t="n"/>
      <c r="BP587" s="77" t="n"/>
      <c r="BQ587" s="77" t="n"/>
      <c r="BR587" s="77" t="n"/>
      <c r="BS587" s="77" t="n"/>
      <c r="BT587" s="77" t="n"/>
      <c r="BU587" s="77" t="n"/>
      <c r="BV587" s="77" t="n"/>
      <c r="BW587" s="77" t="n"/>
      <c r="BX587" s="77" t="n"/>
      <c r="BY587" s="77" t="n"/>
      <c r="BZ587" s="77">
        <f>I587</f>
        <v/>
      </c>
      <c r="CA587" s="77">
        <f>M587</f>
        <v/>
      </c>
      <c r="CB587" s="77" t="n"/>
      <c r="CC587" s="77" t="n"/>
    </row>
    <row r="588">
      <c r="AY588" s="74" t="n"/>
      <c r="AZ588" s="77" t="inlineStr">
        <is>
          <t>T</t>
        </is>
      </c>
      <c r="BA588" s="77" t="inlineStr">
        <is>
          <t>T</t>
        </is>
      </c>
      <c r="BB588" s="77" t="inlineStr">
        <is>
          <t>T</t>
        </is>
      </c>
      <c r="BC588" s="77" t="inlineStr">
        <is>
          <t>T</t>
        </is>
      </c>
      <c r="BD588" s="77" t="inlineStr">
        <is>
          <t>T</t>
        </is>
      </c>
      <c r="BE588" s="77" t="n"/>
      <c r="BF588" s="77" t="n"/>
      <c r="BG588" s="77" t="n"/>
      <c r="BH588" s="77" t="n"/>
      <c r="BI588" s="77" t="n"/>
      <c r="BJ588" s="77" t="n"/>
      <c r="BK588" s="77" t="n"/>
      <c r="BL588" s="77" t="n"/>
      <c r="BM588" s="77" t="n"/>
      <c r="BN588" s="77" t="n"/>
      <c r="BO588" s="77" t="n"/>
      <c r="BP588" s="77" t="n"/>
      <c r="BQ588" s="77" t="n"/>
      <c r="BR588" s="77" t="n"/>
      <c r="BS588" s="77" t="n"/>
      <c r="BT588" s="77" t="n"/>
      <c r="BU588" s="77" t="n"/>
      <c r="BV588" s="77" t="n"/>
      <c r="BW588" s="77" t="n"/>
      <c r="BX588" s="77" t="n"/>
      <c r="BY588" s="77" t="n"/>
      <c r="BZ588" s="77">
        <f>I588</f>
        <v/>
      </c>
      <c r="CA588" s="77">
        <f>M588</f>
        <v/>
      </c>
      <c r="CB588" s="77" t="n"/>
      <c r="CC588" s="77" t="n"/>
    </row>
    <row r="589">
      <c r="AY589" s="74" t="n"/>
      <c r="AZ589" s="77" t="inlineStr">
        <is>
          <t>T</t>
        </is>
      </c>
      <c r="BA589" s="77" t="inlineStr">
        <is>
          <t>T</t>
        </is>
      </c>
      <c r="BB589" s="77" t="inlineStr">
        <is>
          <t>T</t>
        </is>
      </c>
      <c r="BC589" s="77" t="inlineStr">
        <is>
          <t>T</t>
        </is>
      </c>
      <c r="BD589" s="77" t="inlineStr">
        <is>
          <t>T</t>
        </is>
      </c>
      <c r="BE589" s="77" t="n"/>
      <c r="BF589" s="77" t="n"/>
      <c r="BG589" s="77" t="n"/>
      <c r="BH589" s="77" t="n"/>
      <c r="BI589" s="77" t="n"/>
      <c r="BJ589" s="77" t="n"/>
      <c r="BK589" s="77" t="n"/>
      <c r="BL589" s="77" t="n"/>
      <c r="BM589" s="77" t="n"/>
      <c r="BN589" s="77" t="n"/>
      <c r="BO589" s="77" t="n"/>
      <c r="BP589" s="77" t="n"/>
      <c r="BQ589" s="77" t="n"/>
      <c r="BR589" s="77" t="n"/>
      <c r="BS589" s="77" t="n"/>
      <c r="BT589" s="77" t="n"/>
      <c r="BU589" s="77" t="n"/>
      <c r="BV589" s="77" t="n"/>
      <c r="BW589" s="77" t="n"/>
      <c r="BX589" s="77" t="n"/>
      <c r="BY589" s="77" t="n"/>
      <c r="BZ589" s="77">
        <f>I589</f>
        <v/>
      </c>
      <c r="CA589" s="77">
        <f>M589</f>
        <v/>
      </c>
      <c r="CB589" s="77" t="n"/>
      <c r="CC589" s="77" t="n"/>
    </row>
    <row r="590">
      <c r="AY590" s="74" t="n"/>
      <c r="AZ590" s="77" t="inlineStr">
        <is>
          <t>T</t>
        </is>
      </c>
      <c r="BA590" s="77" t="inlineStr">
        <is>
          <t>T</t>
        </is>
      </c>
      <c r="BB590" s="77" t="inlineStr">
        <is>
          <t>T</t>
        </is>
      </c>
      <c r="BC590" s="77" t="inlineStr">
        <is>
          <t>T</t>
        </is>
      </c>
      <c r="BD590" s="77" t="inlineStr">
        <is>
          <t>T</t>
        </is>
      </c>
      <c r="BE590" s="77" t="n"/>
      <c r="BF590" s="77" t="n"/>
      <c r="BG590" s="77" t="n"/>
      <c r="BH590" s="77" t="n"/>
      <c r="BI590" s="77" t="n"/>
      <c r="BJ590" s="77" t="n"/>
      <c r="BK590" s="77" t="n"/>
      <c r="BL590" s="77" t="n"/>
      <c r="BM590" s="77" t="n"/>
      <c r="BN590" s="77" t="n"/>
      <c r="BO590" s="77" t="n"/>
      <c r="BP590" s="77" t="n"/>
      <c r="BQ590" s="77" t="n"/>
      <c r="BR590" s="77" t="n"/>
      <c r="BS590" s="77" t="n"/>
      <c r="BT590" s="77" t="n"/>
      <c r="BU590" s="77" t="n"/>
      <c r="BV590" s="77" t="n"/>
      <c r="BW590" s="77" t="n"/>
      <c r="BX590" s="77" t="n"/>
      <c r="BY590" s="77" t="n"/>
      <c r="BZ590" s="77">
        <f>I590</f>
        <v/>
      </c>
      <c r="CA590" s="77">
        <f>M590</f>
        <v/>
      </c>
      <c r="CB590" s="77" t="n"/>
      <c r="CC590" s="77" t="n"/>
    </row>
    <row r="591">
      <c r="AY591" s="74" t="n"/>
      <c r="AZ591" s="77" t="inlineStr">
        <is>
          <t>T</t>
        </is>
      </c>
      <c r="BA591" s="77" t="inlineStr">
        <is>
          <t>T</t>
        </is>
      </c>
      <c r="BB591" s="77" t="inlineStr">
        <is>
          <t>T</t>
        </is>
      </c>
      <c r="BC591" s="77" t="inlineStr">
        <is>
          <t>T</t>
        </is>
      </c>
      <c r="BD591" s="77" t="inlineStr">
        <is>
          <t>T</t>
        </is>
      </c>
      <c r="BE591" s="77" t="n"/>
      <c r="BF591" s="77" t="n"/>
      <c r="BG591" s="77" t="n"/>
      <c r="BH591" s="77" t="n"/>
      <c r="BI591" s="77" t="n"/>
      <c r="BJ591" s="77" t="n"/>
      <c r="BK591" s="77" t="n"/>
      <c r="BL591" s="77" t="n"/>
      <c r="BM591" s="77" t="n"/>
      <c r="BN591" s="77" t="n"/>
      <c r="BO591" s="77" t="n"/>
      <c r="BP591" s="77" t="n"/>
      <c r="BQ591" s="77" t="n"/>
      <c r="BR591" s="77" t="n"/>
      <c r="BS591" s="77" t="n"/>
      <c r="BT591" s="77" t="n"/>
      <c r="BU591" s="77" t="n"/>
      <c r="BV591" s="77" t="n"/>
      <c r="BW591" s="77" t="n"/>
      <c r="BX591" s="77" t="n"/>
      <c r="BY591" s="77" t="n"/>
      <c r="BZ591" s="77">
        <f>I591</f>
        <v/>
      </c>
      <c r="CA591" s="77">
        <f>M591</f>
        <v/>
      </c>
      <c r="CB591" s="77" t="n"/>
      <c r="CC591" s="77" t="n"/>
    </row>
    <row r="592">
      <c r="AY592" s="74" t="n"/>
      <c r="AZ592" s="77" t="inlineStr">
        <is>
          <t>T</t>
        </is>
      </c>
      <c r="BA592" s="77" t="inlineStr">
        <is>
          <t>T</t>
        </is>
      </c>
      <c r="BB592" s="77" t="inlineStr">
        <is>
          <t>T</t>
        </is>
      </c>
      <c r="BC592" s="77" t="inlineStr">
        <is>
          <t>T</t>
        </is>
      </c>
      <c r="BD592" s="77" t="inlineStr">
        <is>
          <t>T</t>
        </is>
      </c>
      <c r="BE592" s="77" t="n"/>
      <c r="BF592" s="77" t="n"/>
      <c r="BG592" s="77" t="n"/>
      <c r="BH592" s="77" t="n"/>
      <c r="BI592" s="77" t="n"/>
      <c r="BJ592" s="77" t="n"/>
      <c r="BK592" s="77" t="n"/>
      <c r="BL592" s="77" t="n"/>
      <c r="BM592" s="77" t="n"/>
      <c r="BN592" s="77" t="n"/>
      <c r="BO592" s="77" t="n"/>
      <c r="BP592" s="77" t="n"/>
      <c r="BQ592" s="77" t="n"/>
      <c r="BR592" s="77" t="n"/>
      <c r="BS592" s="77" t="n"/>
      <c r="BT592" s="77" t="n"/>
      <c r="BU592" s="77" t="n"/>
      <c r="BV592" s="77" t="n"/>
      <c r="BW592" s="77" t="n"/>
      <c r="BX592" s="77" t="n"/>
      <c r="BY592" s="77" t="n"/>
      <c r="BZ592" s="77">
        <f>I592</f>
        <v/>
      </c>
      <c r="CA592" s="77">
        <f>M592</f>
        <v/>
      </c>
      <c r="CB592" s="77" t="n"/>
      <c r="CC592" s="77" t="n"/>
    </row>
    <row r="593">
      <c r="AY593" s="74" t="n"/>
      <c r="AZ593" s="77" t="inlineStr">
        <is>
          <t>T</t>
        </is>
      </c>
      <c r="BA593" s="77" t="inlineStr">
        <is>
          <t>T</t>
        </is>
      </c>
      <c r="BB593" s="77" t="inlineStr">
        <is>
          <t>T</t>
        </is>
      </c>
      <c r="BC593" s="77" t="inlineStr">
        <is>
          <t>T</t>
        </is>
      </c>
      <c r="BD593" s="77" t="inlineStr">
        <is>
          <t>T</t>
        </is>
      </c>
      <c r="BE593" s="77" t="n"/>
      <c r="BF593" s="77" t="n"/>
      <c r="BG593" s="77" t="n"/>
      <c r="BH593" s="77" t="n"/>
      <c r="BI593" s="77" t="n"/>
      <c r="BJ593" s="77" t="n"/>
      <c r="BK593" s="77" t="n"/>
      <c r="BL593" s="77" t="n"/>
      <c r="BM593" s="77" t="n"/>
      <c r="BN593" s="77" t="n"/>
      <c r="BO593" s="77" t="n"/>
      <c r="BP593" s="77" t="n"/>
      <c r="BQ593" s="77" t="n"/>
      <c r="BR593" s="77" t="n"/>
      <c r="BS593" s="77" t="n"/>
      <c r="BT593" s="77" t="n"/>
      <c r="BU593" s="77" t="n"/>
      <c r="BV593" s="77" t="n"/>
      <c r="BW593" s="77" t="n"/>
      <c r="BX593" s="77" t="n"/>
      <c r="BY593" s="77" t="n"/>
      <c r="BZ593" s="77">
        <f>I593</f>
        <v/>
      </c>
      <c r="CA593" s="77">
        <f>M593</f>
        <v/>
      </c>
      <c r="CB593" s="77" t="n"/>
      <c r="CC593" s="77" t="n"/>
    </row>
    <row r="594">
      <c r="AY594" s="74" t="n"/>
      <c r="AZ594" s="77" t="inlineStr">
        <is>
          <t>T</t>
        </is>
      </c>
      <c r="BA594" s="77" t="inlineStr">
        <is>
          <t>T</t>
        </is>
      </c>
      <c r="BB594" s="77" t="inlineStr">
        <is>
          <t>T</t>
        </is>
      </c>
      <c r="BC594" s="77" t="inlineStr">
        <is>
          <t>T</t>
        </is>
      </c>
      <c r="BD594" s="77" t="inlineStr">
        <is>
          <t>T</t>
        </is>
      </c>
      <c r="BE594" s="77" t="n"/>
      <c r="BF594" s="77" t="n"/>
      <c r="BG594" s="77" t="n"/>
      <c r="BH594" s="77" t="n"/>
      <c r="BI594" s="77" t="n"/>
      <c r="BJ594" s="77" t="n"/>
      <c r="BK594" s="77" t="n"/>
      <c r="BL594" s="77" t="n"/>
      <c r="BM594" s="77" t="n"/>
      <c r="BN594" s="77" t="n"/>
      <c r="BO594" s="77" t="n"/>
      <c r="BP594" s="77" t="n"/>
      <c r="BQ594" s="77" t="n"/>
      <c r="BR594" s="77" t="n"/>
      <c r="BS594" s="77" t="n"/>
      <c r="BT594" s="77" t="n"/>
      <c r="BU594" s="77" t="n"/>
      <c r="BV594" s="77" t="n"/>
      <c r="BW594" s="77" t="n"/>
      <c r="BX594" s="77" t="n"/>
      <c r="BY594" s="77" t="n"/>
      <c r="BZ594" s="77">
        <f>I594</f>
        <v/>
      </c>
      <c r="CA594" s="77">
        <f>M594</f>
        <v/>
      </c>
      <c r="CB594" s="77" t="n"/>
      <c r="CC594" s="77" t="n"/>
    </row>
    <row r="595">
      <c r="AY595" s="74" t="n"/>
      <c r="AZ595" s="77" t="inlineStr">
        <is>
          <t>T</t>
        </is>
      </c>
      <c r="BA595" s="77" t="inlineStr">
        <is>
          <t>T</t>
        </is>
      </c>
      <c r="BB595" s="77" t="inlineStr">
        <is>
          <t>T</t>
        </is>
      </c>
      <c r="BC595" s="77" t="inlineStr">
        <is>
          <t>T</t>
        </is>
      </c>
      <c r="BD595" s="77" t="inlineStr">
        <is>
          <t>T</t>
        </is>
      </c>
      <c r="BE595" s="77" t="n"/>
      <c r="BF595" s="77" t="n"/>
      <c r="BG595" s="77" t="n"/>
      <c r="BH595" s="77" t="n"/>
      <c r="BI595" s="77" t="n"/>
      <c r="BJ595" s="77" t="n"/>
      <c r="BK595" s="77" t="n"/>
      <c r="BL595" s="77" t="n"/>
      <c r="BM595" s="77" t="n"/>
      <c r="BN595" s="77" t="n"/>
      <c r="BO595" s="77" t="n"/>
      <c r="BP595" s="77" t="n"/>
      <c r="BQ595" s="77" t="n"/>
      <c r="BR595" s="77" t="n"/>
      <c r="BS595" s="77" t="n"/>
      <c r="BT595" s="77" t="n"/>
      <c r="BU595" s="77" t="n"/>
      <c r="BV595" s="77" t="n"/>
      <c r="BW595" s="77" t="n"/>
      <c r="BX595" s="77" t="n"/>
      <c r="BY595" s="77" t="n"/>
      <c r="BZ595" s="77">
        <f>I595</f>
        <v/>
      </c>
      <c r="CA595" s="77">
        <f>M595</f>
        <v/>
      </c>
      <c r="CB595" s="77" t="n"/>
      <c r="CC595" s="77" t="n"/>
    </row>
    <row r="596">
      <c r="AY596" s="74" t="n"/>
      <c r="AZ596" s="77" t="inlineStr">
        <is>
          <t>T</t>
        </is>
      </c>
      <c r="BA596" s="77" t="inlineStr">
        <is>
          <t>T</t>
        </is>
      </c>
      <c r="BB596" s="77" t="inlineStr">
        <is>
          <t>T</t>
        </is>
      </c>
      <c r="BC596" s="77" t="inlineStr">
        <is>
          <t>T</t>
        </is>
      </c>
      <c r="BD596" s="77" t="inlineStr">
        <is>
          <t>T</t>
        </is>
      </c>
      <c r="BE596" s="77" t="n"/>
      <c r="BF596" s="77" t="n"/>
      <c r="BG596" s="77" t="n"/>
      <c r="BH596" s="77" t="n"/>
      <c r="BI596" s="77" t="n"/>
      <c r="BJ596" s="77" t="n"/>
      <c r="BK596" s="77" t="n"/>
      <c r="BL596" s="77" t="n"/>
      <c r="BM596" s="77" t="n"/>
      <c r="BN596" s="77" t="n"/>
      <c r="BO596" s="77" t="n"/>
      <c r="BP596" s="77" t="n"/>
      <c r="BQ596" s="77" t="n"/>
      <c r="BR596" s="77" t="n"/>
      <c r="BS596" s="77" t="n"/>
      <c r="BT596" s="77" t="n"/>
      <c r="BU596" s="77" t="n"/>
      <c r="BV596" s="77" t="n"/>
      <c r="BW596" s="77" t="n"/>
      <c r="BX596" s="77" t="n"/>
      <c r="BY596" s="77" t="n"/>
      <c r="BZ596" s="77">
        <f>I596</f>
        <v/>
      </c>
      <c r="CA596" s="77">
        <f>M596</f>
        <v/>
      </c>
      <c r="CB596" s="77" t="n"/>
      <c r="CC596" s="77" t="n"/>
    </row>
    <row r="597">
      <c r="AY597" s="74" t="n"/>
      <c r="AZ597" s="77" t="inlineStr">
        <is>
          <t>T</t>
        </is>
      </c>
      <c r="BA597" s="77" t="inlineStr">
        <is>
          <t>T</t>
        </is>
      </c>
      <c r="BB597" s="77" t="inlineStr">
        <is>
          <t>T</t>
        </is>
      </c>
      <c r="BC597" s="77" t="inlineStr">
        <is>
          <t>T</t>
        </is>
      </c>
      <c r="BD597" s="77" t="inlineStr">
        <is>
          <t>T</t>
        </is>
      </c>
      <c r="BE597" s="77" t="n"/>
      <c r="BF597" s="77" t="n"/>
      <c r="BG597" s="77" t="n"/>
      <c r="BH597" s="77" t="n"/>
      <c r="BI597" s="77" t="n"/>
      <c r="BJ597" s="77" t="n"/>
      <c r="BK597" s="77" t="n"/>
      <c r="BL597" s="77" t="n"/>
      <c r="BM597" s="77" t="n"/>
      <c r="BN597" s="77" t="n"/>
      <c r="BO597" s="77" t="n"/>
      <c r="BP597" s="77" t="n"/>
      <c r="BQ597" s="77" t="n"/>
      <c r="BR597" s="77" t="n"/>
      <c r="BS597" s="77" t="n"/>
      <c r="BT597" s="77" t="n"/>
      <c r="BU597" s="77" t="n"/>
      <c r="BV597" s="77" t="n"/>
      <c r="BW597" s="77" t="n"/>
      <c r="BX597" s="77" t="n"/>
      <c r="BY597" s="77" t="n"/>
      <c r="BZ597" s="77">
        <f>I597</f>
        <v/>
      </c>
      <c r="CA597" s="77">
        <f>M597</f>
        <v/>
      </c>
      <c r="CB597" s="77" t="n"/>
      <c r="CC597" s="77" t="n"/>
    </row>
    <row r="598">
      <c r="AY598" s="74" t="n"/>
      <c r="AZ598" s="77" t="inlineStr">
        <is>
          <t>T</t>
        </is>
      </c>
      <c r="BA598" s="77" t="inlineStr">
        <is>
          <t>T</t>
        </is>
      </c>
      <c r="BB598" s="77" t="inlineStr">
        <is>
          <t>T</t>
        </is>
      </c>
      <c r="BC598" s="77" t="inlineStr">
        <is>
          <t>T</t>
        </is>
      </c>
      <c r="BD598" s="77" t="inlineStr">
        <is>
          <t>T</t>
        </is>
      </c>
      <c r="BE598" s="77" t="n"/>
      <c r="BF598" s="77" t="n"/>
      <c r="BG598" s="77" t="n"/>
      <c r="BH598" s="77" t="n"/>
      <c r="BI598" s="77" t="n"/>
      <c r="BJ598" s="77" t="n"/>
      <c r="BK598" s="77" t="n"/>
      <c r="BL598" s="77" t="n"/>
      <c r="BM598" s="77" t="n"/>
      <c r="BN598" s="77" t="n"/>
      <c r="BO598" s="77" t="n"/>
      <c r="BP598" s="77" t="n"/>
      <c r="BQ598" s="77" t="n"/>
      <c r="BR598" s="77" t="n"/>
      <c r="BS598" s="77" t="n"/>
      <c r="BT598" s="77" t="n"/>
      <c r="BU598" s="77" t="n"/>
      <c r="BV598" s="77" t="n"/>
      <c r="BW598" s="77" t="n"/>
      <c r="BX598" s="77" t="n"/>
      <c r="BY598" s="77" t="n"/>
      <c r="BZ598" s="77">
        <f>I598</f>
        <v/>
      </c>
      <c r="CA598" s="77">
        <f>M598</f>
        <v/>
      </c>
      <c r="CB598" s="77" t="n"/>
      <c r="CC598" s="77" t="n"/>
    </row>
    <row r="599">
      <c r="AY599" s="74" t="n"/>
      <c r="AZ599" s="77" t="inlineStr">
        <is>
          <t>T</t>
        </is>
      </c>
      <c r="BA599" s="77" t="inlineStr">
        <is>
          <t>T</t>
        </is>
      </c>
      <c r="BB599" s="77" t="inlineStr">
        <is>
          <t>T</t>
        </is>
      </c>
      <c r="BC599" s="77" t="inlineStr">
        <is>
          <t>T</t>
        </is>
      </c>
      <c r="BD599" s="77" t="inlineStr">
        <is>
          <t>T</t>
        </is>
      </c>
      <c r="BE599" s="77" t="n"/>
      <c r="BF599" s="77" t="n"/>
      <c r="BG599" s="77" t="n"/>
      <c r="BH599" s="77" t="n"/>
      <c r="BI599" s="77" t="n"/>
      <c r="BJ599" s="77" t="n"/>
      <c r="BK599" s="77" t="n"/>
      <c r="BL599" s="77" t="n"/>
      <c r="BM599" s="77" t="n"/>
      <c r="BN599" s="77" t="n"/>
      <c r="BO599" s="77" t="n"/>
      <c r="BP599" s="77" t="n"/>
      <c r="BQ599" s="77" t="n"/>
      <c r="BR599" s="77" t="n"/>
      <c r="BS599" s="77" t="n"/>
      <c r="BT599" s="77" t="n"/>
      <c r="BU599" s="77" t="n"/>
      <c r="BV599" s="77" t="n"/>
      <c r="BW599" s="77" t="n"/>
      <c r="BX599" s="77" t="n"/>
      <c r="BY599" s="77" t="n"/>
      <c r="BZ599" s="77">
        <f>I599</f>
        <v/>
      </c>
      <c r="CA599" s="77">
        <f>M599</f>
        <v/>
      </c>
      <c r="CB599" s="77" t="n"/>
      <c r="CC599" s="77" t="n"/>
    </row>
    <row r="600">
      <c r="AY600" s="74" t="n"/>
      <c r="AZ600" s="77" t="inlineStr">
        <is>
          <t>T</t>
        </is>
      </c>
      <c r="BA600" s="77" t="inlineStr">
        <is>
          <t>T</t>
        </is>
      </c>
      <c r="BB600" s="77" t="inlineStr">
        <is>
          <t>T</t>
        </is>
      </c>
      <c r="BC600" s="77" t="inlineStr">
        <is>
          <t>T</t>
        </is>
      </c>
      <c r="BD600" s="77" t="inlineStr">
        <is>
          <t>T</t>
        </is>
      </c>
      <c r="BE600" s="77" t="n"/>
      <c r="BF600" s="77" t="n"/>
      <c r="BG600" s="77" t="n"/>
      <c r="BH600" s="77" t="n"/>
      <c r="BI600" s="77" t="n"/>
      <c r="BJ600" s="77" t="n"/>
      <c r="BK600" s="77" t="n"/>
      <c r="BL600" s="77" t="n"/>
      <c r="BM600" s="77" t="n"/>
      <c r="BN600" s="77" t="n"/>
      <c r="BO600" s="77" t="n"/>
      <c r="BP600" s="77" t="n"/>
      <c r="BQ600" s="77" t="n"/>
      <c r="BR600" s="77" t="n"/>
      <c r="BS600" s="77" t="n"/>
      <c r="BT600" s="77" t="n"/>
      <c r="BU600" s="77" t="n"/>
      <c r="BV600" s="77" t="n"/>
      <c r="BW600" s="77" t="n"/>
      <c r="BX600" s="77" t="n"/>
      <c r="BY600" s="77" t="n"/>
      <c r="BZ600" s="77">
        <f>I600</f>
        <v/>
      </c>
      <c r="CA600" s="77">
        <f>M600</f>
        <v/>
      </c>
      <c r="CB600" s="77" t="n"/>
      <c r="CC600" s="77" t="n"/>
    </row>
    <row r="601">
      <c r="AY601" s="74" t="n"/>
      <c r="AZ601" s="77" t="inlineStr">
        <is>
          <t>T</t>
        </is>
      </c>
      <c r="BA601" s="77" t="inlineStr">
        <is>
          <t>T</t>
        </is>
      </c>
      <c r="BB601" s="77" t="inlineStr">
        <is>
          <t>T</t>
        </is>
      </c>
      <c r="BC601" s="77" t="inlineStr">
        <is>
          <t>T</t>
        </is>
      </c>
      <c r="BD601" s="77" t="inlineStr">
        <is>
          <t>T</t>
        </is>
      </c>
      <c r="BE601" s="77" t="n"/>
      <c r="BF601" s="77" t="n"/>
      <c r="BG601" s="77" t="n"/>
      <c r="BH601" s="77" t="n"/>
      <c r="BI601" s="77" t="n"/>
      <c r="BJ601" s="77" t="n"/>
      <c r="BK601" s="77" t="n"/>
      <c r="BL601" s="77" t="n"/>
      <c r="BM601" s="77" t="n"/>
      <c r="BN601" s="77" t="n"/>
      <c r="BO601" s="77" t="n"/>
      <c r="BP601" s="77" t="n"/>
      <c r="BQ601" s="77" t="n"/>
      <c r="BR601" s="77" t="n"/>
      <c r="BS601" s="77" t="n"/>
      <c r="BT601" s="77" t="n"/>
      <c r="BU601" s="77" t="n"/>
      <c r="BV601" s="77" t="n"/>
      <c r="BW601" s="77" t="n"/>
      <c r="BX601" s="77" t="n"/>
      <c r="BY601" s="77" t="n"/>
      <c r="BZ601" s="77">
        <f>I601</f>
        <v/>
      </c>
      <c r="CA601" s="77">
        <f>M601</f>
        <v/>
      </c>
      <c r="CB601" s="77" t="n"/>
      <c r="CC601" s="77" t="n"/>
    </row>
    <row r="602">
      <c r="AY602" s="74" t="n"/>
      <c r="AZ602" s="77" t="inlineStr">
        <is>
          <t>T</t>
        </is>
      </c>
      <c r="BA602" s="77" t="inlineStr">
        <is>
          <t>T</t>
        </is>
      </c>
      <c r="BB602" s="77" t="inlineStr">
        <is>
          <t>T</t>
        </is>
      </c>
      <c r="BC602" s="77" t="inlineStr">
        <is>
          <t>T</t>
        </is>
      </c>
      <c r="BD602" s="77" t="inlineStr">
        <is>
          <t>T</t>
        </is>
      </c>
      <c r="BE602" s="77" t="n"/>
      <c r="BF602" s="77" t="n"/>
      <c r="BG602" s="77" t="n"/>
      <c r="BH602" s="77" t="n"/>
      <c r="BI602" s="77" t="n"/>
      <c r="BJ602" s="77" t="n"/>
      <c r="BK602" s="77" t="n"/>
      <c r="BL602" s="77" t="n"/>
      <c r="BM602" s="77" t="n"/>
      <c r="BN602" s="77" t="n"/>
      <c r="BO602" s="77" t="n"/>
      <c r="BP602" s="77" t="n"/>
      <c r="BQ602" s="77" t="n"/>
      <c r="BR602" s="77" t="n"/>
      <c r="BS602" s="77" t="n"/>
      <c r="BT602" s="77" t="n"/>
      <c r="BU602" s="77" t="n"/>
      <c r="BV602" s="77" t="n"/>
      <c r="BW602" s="77" t="n"/>
      <c r="BX602" s="77" t="n"/>
      <c r="BY602" s="77" t="n"/>
      <c r="BZ602" s="77">
        <f>I602</f>
        <v/>
      </c>
      <c r="CA602" s="77">
        <f>M602</f>
        <v/>
      </c>
      <c r="CB602" s="77" t="n"/>
      <c r="CC602" s="77" t="n"/>
    </row>
    <row r="603">
      <c r="AY603" s="74" t="n"/>
      <c r="AZ603" s="77" t="inlineStr">
        <is>
          <t>T</t>
        </is>
      </c>
      <c r="BA603" s="77" t="inlineStr">
        <is>
          <t>T</t>
        </is>
      </c>
      <c r="BB603" s="77" t="inlineStr">
        <is>
          <t>T</t>
        </is>
      </c>
      <c r="BC603" s="77" t="inlineStr">
        <is>
          <t>T</t>
        </is>
      </c>
      <c r="BD603" s="77" t="inlineStr">
        <is>
          <t>T</t>
        </is>
      </c>
      <c r="BE603" s="77" t="n"/>
      <c r="BF603" s="77" t="n"/>
      <c r="BG603" s="77" t="n"/>
      <c r="BH603" s="77" t="n"/>
      <c r="BI603" s="77" t="n"/>
      <c r="BJ603" s="77" t="n"/>
      <c r="BK603" s="77" t="n"/>
      <c r="BL603" s="77" t="n"/>
      <c r="BM603" s="77" t="n"/>
      <c r="BN603" s="77" t="n"/>
      <c r="BO603" s="77" t="n"/>
      <c r="BP603" s="77" t="n"/>
      <c r="BQ603" s="77" t="n"/>
      <c r="BR603" s="77" t="n"/>
      <c r="BS603" s="77" t="n"/>
      <c r="BT603" s="77" t="n"/>
      <c r="BU603" s="77" t="n"/>
      <c r="BV603" s="77" t="n"/>
      <c r="BW603" s="77" t="n"/>
      <c r="BX603" s="77" t="n"/>
      <c r="BY603" s="77" t="n"/>
      <c r="BZ603" s="77">
        <f>I603</f>
        <v/>
      </c>
      <c r="CA603" s="77">
        <f>M603</f>
        <v/>
      </c>
      <c r="CB603" s="77" t="n"/>
      <c r="CC603" s="77" t="n"/>
    </row>
    <row r="604">
      <c r="AY604" s="74" t="n"/>
      <c r="AZ604" s="77" t="inlineStr">
        <is>
          <t>T</t>
        </is>
      </c>
      <c r="BA604" s="77" t="inlineStr">
        <is>
          <t>T</t>
        </is>
      </c>
      <c r="BB604" s="77" t="inlineStr">
        <is>
          <t>T</t>
        </is>
      </c>
      <c r="BC604" s="77" t="inlineStr">
        <is>
          <t>T</t>
        </is>
      </c>
      <c r="BD604" s="77" t="inlineStr">
        <is>
          <t>T</t>
        </is>
      </c>
      <c r="BE604" s="77" t="n"/>
      <c r="BF604" s="77" t="n"/>
      <c r="BG604" s="77" t="n"/>
      <c r="BH604" s="77" t="n"/>
      <c r="BI604" s="77" t="n"/>
      <c r="BJ604" s="77" t="n"/>
      <c r="BK604" s="77" t="n"/>
      <c r="BL604" s="77" t="n"/>
      <c r="BM604" s="77" t="n"/>
      <c r="BN604" s="77" t="n"/>
      <c r="BO604" s="77" t="n"/>
      <c r="BP604" s="77" t="n"/>
      <c r="BQ604" s="77" t="n"/>
      <c r="BR604" s="77" t="n"/>
      <c r="BS604" s="77" t="n"/>
      <c r="BT604" s="77" t="n"/>
      <c r="BU604" s="77" t="n"/>
      <c r="BV604" s="77" t="n"/>
      <c r="BW604" s="77" t="n"/>
      <c r="BX604" s="77" t="n"/>
      <c r="BY604" s="77" t="n"/>
      <c r="BZ604" s="77">
        <f>I604</f>
        <v/>
      </c>
      <c r="CA604" s="77">
        <f>M604</f>
        <v/>
      </c>
      <c r="CB604" s="77" t="n"/>
      <c r="CC604" s="77" t="n"/>
    </row>
    <row r="605">
      <c r="AY605" s="74" t="n"/>
      <c r="AZ605" s="77" t="inlineStr">
        <is>
          <t>T</t>
        </is>
      </c>
      <c r="BA605" s="77" t="inlineStr">
        <is>
          <t>T</t>
        </is>
      </c>
      <c r="BB605" s="77" t="inlineStr">
        <is>
          <t>T</t>
        </is>
      </c>
      <c r="BC605" s="77" t="inlineStr">
        <is>
          <t>T</t>
        </is>
      </c>
      <c r="BD605" s="77" t="inlineStr">
        <is>
          <t>T</t>
        </is>
      </c>
      <c r="BE605" s="77" t="n"/>
      <c r="BF605" s="77" t="n"/>
      <c r="BG605" s="77" t="n"/>
      <c r="BH605" s="77" t="n"/>
      <c r="BI605" s="77" t="n"/>
      <c r="BJ605" s="77" t="n"/>
      <c r="BK605" s="77" t="n"/>
      <c r="BL605" s="77" t="n"/>
      <c r="BM605" s="77" t="n"/>
      <c r="BN605" s="77" t="n"/>
      <c r="BO605" s="77" t="n"/>
      <c r="BP605" s="77" t="n"/>
      <c r="BQ605" s="77" t="n"/>
      <c r="BR605" s="77" t="n"/>
      <c r="BS605" s="77" t="n"/>
      <c r="BT605" s="77" t="n"/>
      <c r="BU605" s="77" t="n"/>
      <c r="BV605" s="77" t="n"/>
      <c r="BW605" s="77" t="n"/>
      <c r="BX605" s="77" t="n"/>
      <c r="BY605" s="77" t="n"/>
      <c r="BZ605" s="77">
        <f>I605</f>
        <v/>
      </c>
      <c r="CA605" s="77">
        <f>M605</f>
        <v/>
      </c>
      <c r="CB605" s="77" t="n"/>
      <c r="CC605" s="77" t="n"/>
    </row>
    <row r="606">
      <c r="AY606" s="74" t="n"/>
      <c r="AZ606" s="77" t="inlineStr">
        <is>
          <t>T</t>
        </is>
      </c>
      <c r="BA606" s="77" t="inlineStr">
        <is>
          <t>T</t>
        </is>
      </c>
      <c r="BB606" s="77" t="inlineStr">
        <is>
          <t>T</t>
        </is>
      </c>
      <c r="BC606" s="77" t="inlineStr">
        <is>
          <t>T</t>
        </is>
      </c>
      <c r="BD606" s="77" t="inlineStr">
        <is>
          <t>T</t>
        </is>
      </c>
      <c r="BE606" s="77" t="n"/>
      <c r="BF606" s="77" t="n"/>
      <c r="BG606" s="77" t="n"/>
      <c r="BH606" s="77" t="n"/>
      <c r="BI606" s="77" t="n"/>
      <c r="BJ606" s="77" t="n"/>
      <c r="BK606" s="77" t="n"/>
      <c r="BL606" s="77" t="n"/>
      <c r="BM606" s="77" t="n"/>
      <c r="BN606" s="77" t="n"/>
      <c r="BO606" s="77" t="n"/>
      <c r="BP606" s="77" t="n"/>
      <c r="BQ606" s="77" t="n"/>
      <c r="BR606" s="77" t="n"/>
      <c r="BS606" s="77" t="n"/>
      <c r="BT606" s="77" t="n"/>
      <c r="BU606" s="77" t="n"/>
      <c r="BV606" s="77" t="n"/>
      <c r="BW606" s="77" t="n"/>
      <c r="BX606" s="77" t="n"/>
      <c r="BY606" s="77" t="n"/>
      <c r="BZ606" s="77">
        <f>I606</f>
        <v/>
      </c>
      <c r="CA606" s="77">
        <f>M606</f>
        <v/>
      </c>
      <c r="CB606" s="77" t="n"/>
      <c r="CC606" s="77" t="n"/>
    </row>
    <row r="607">
      <c r="AY607" s="74" t="n"/>
      <c r="AZ607" s="77" t="inlineStr">
        <is>
          <t>T</t>
        </is>
      </c>
      <c r="BA607" s="77" t="inlineStr">
        <is>
          <t>T</t>
        </is>
      </c>
      <c r="BB607" s="77" t="inlineStr">
        <is>
          <t>T</t>
        </is>
      </c>
      <c r="BC607" s="77" t="inlineStr">
        <is>
          <t>T</t>
        </is>
      </c>
      <c r="BD607" s="77" t="inlineStr">
        <is>
          <t>T</t>
        </is>
      </c>
      <c r="BE607" s="77" t="n"/>
      <c r="BF607" s="77" t="n"/>
      <c r="BG607" s="77" t="n"/>
      <c r="BH607" s="77" t="n"/>
      <c r="BI607" s="77" t="n"/>
      <c r="BJ607" s="77" t="n"/>
      <c r="BK607" s="77" t="n"/>
      <c r="BL607" s="77" t="n"/>
      <c r="BM607" s="77" t="n"/>
      <c r="BN607" s="77" t="n"/>
      <c r="BO607" s="77" t="n"/>
      <c r="BP607" s="77" t="n"/>
      <c r="BQ607" s="77" t="n"/>
      <c r="BR607" s="77" t="n"/>
      <c r="BS607" s="77" t="n"/>
      <c r="BT607" s="77" t="n"/>
      <c r="BU607" s="77" t="n"/>
      <c r="BV607" s="77" t="n"/>
      <c r="BW607" s="77" t="n"/>
      <c r="BX607" s="77" t="n"/>
      <c r="BY607" s="77" t="n"/>
      <c r="BZ607" s="77">
        <f>I607</f>
        <v/>
      </c>
      <c r="CA607" s="77">
        <f>M607</f>
        <v/>
      </c>
      <c r="CB607" s="77" t="n"/>
      <c r="CC607" s="77" t="n"/>
    </row>
    <row r="608">
      <c r="AY608" s="74" t="n"/>
      <c r="AZ608" s="77" t="inlineStr">
        <is>
          <t>T</t>
        </is>
      </c>
      <c r="BA608" s="77" t="inlineStr">
        <is>
          <t>T</t>
        </is>
      </c>
      <c r="BB608" s="77" t="inlineStr">
        <is>
          <t>T</t>
        </is>
      </c>
      <c r="BC608" s="77" t="inlineStr">
        <is>
          <t>T</t>
        </is>
      </c>
      <c r="BD608" s="77" t="inlineStr">
        <is>
          <t>T</t>
        </is>
      </c>
      <c r="BE608" s="77" t="n"/>
      <c r="BF608" s="77" t="n"/>
      <c r="BG608" s="77" t="n"/>
      <c r="BH608" s="77" t="n"/>
      <c r="BI608" s="77" t="n"/>
      <c r="BJ608" s="77" t="n"/>
      <c r="BK608" s="77" t="n"/>
      <c r="BL608" s="77" t="n"/>
      <c r="BM608" s="77" t="n"/>
      <c r="BN608" s="77" t="n"/>
      <c r="BO608" s="77" t="n"/>
      <c r="BP608" s="77" t="n"/>
      <c r="BQ608" s="77" t="n"/>
      <c r="BR608" s="77" t="n"/>
      <c r="BS608" s="77" t="n"/>
      <c r="BT608" s="77" t="n"/>
      <c r="BU608" s="77" t="n"/>
      <c r="BV608" s="77" t="n"/>
      <c r="BW608" s="77" t="n"/>
      <c r="BX608" s="77" t="n"/>
      <c r="BY608" s="77" t="n"/>
      <c r="BZ608" s="77">
        <f>I608</f>
        <v/>
      </c>
      <c r="CA608" s="77">
        <f>M608</f>
        <v/>
      </c>
      <c r="CB608" s="77" t="n"/>
      <c r="CC608" s="77" t="n"/>
    </row>
    <row r="609">
      <c r="AY609" s="74" t="n"/>
      <c r="AZ609" s="77" t="inlineStr">
        <is>
          <t>T</t>
        </is>
      </c>
      <c r="BA609" s="77" t="inlineStr">
        <is>
          <t>T</t>
        </is>
      </c>
      <c r="BB609" s="77" t="inlineStr">
        <is>
          <t>T</t>
        </is>
      </c>
      <c r="BC609" s="77" t="inlineStr">
        <is>
          <t>T</t>
        </is>
      </c>
      <c r="BD609" s="77" t="inlineStr">
        <is>
          <t>T</t>
        </is>
      </c>
      <c r="BE609" s="77" t="n"/>
      <c r="BF609" s="77" t="n"/>
      <c r="BG609" s="77" t="n"/>
      <c r="BH609" s="77" t="n"/>
      <c r="BI609" s="77" t="n"/>
      <c r="BJ609" s="77" t="n"/>
      <c r="BK609" s="77" t="n"/>
      <c r="BL609" s="77" t="n"/>
      <c r="BM609" s="77" t="n"/>
      <c r="BN609" s="77" t="n"/>
      <c r="BO609" s="77" t="n"/>
      <c r="BP609" s="77" t="n"/>
      <c r="BQ609" s="77" t="n"/>
      <c r="BR609" s="77" t="n"/>
      <c r="BS609" s="77" t="n"/>
      <c r="BT609" s="77" t="n"/>
      <c r="BU609" s="77" t="n"/>
      <c r="BV609" s="77" t="n"/>
      <c r="BW609" s="77" t="n"/>
      <c r="BX609" s="77" t="n"/>
      <c r="BY609" s="77" t="n"/>
      <c r="BZ609" s="77">
        <f>I609</f>
        <v/>
      </c>
      <c r="CA609" s="77">
        <f>M609</f>
        <v/>
      </c>
      <c r="CB609" s="77" t="n"/>
      <c r="CC609" s="77" t="n"/>
    </row>
    <row r="610">
      <c r="AY610" s="74" t="n"/>
      <c r="AZ610" s="77" t="inlineStr">
        <is>
          <t>T</t>
        </is>
      </c>
      <c r="BA610" s="77" t="inlineStr">
        <is>
          <t>T</t>
        </is>
      </c>
      <c r="BB610" s="77" t="inlineStr">
        <is>
          <t>T</t>
        </is>
      </c>
      <c r="BC610" s="77" t="inlineStr">
        <is>
          <t>T</t>
        </is>
      </c>
      <c r="BD610" s="77" t="inlineStr">
        <is>
          <t>T</t>
        </is>
      </c>
      <c r="BE610" s="77" t="n"/>
      <c r="BF610" s="77" t="n"/>
      <c r="BG610" s="77" t="n"/>
      <c r="BH610" s="77" t="n"/>
      <c r="BI610" s="77" t="n"/>
      <c r="BJ610" s="77" t="n"/>
      <c r="BK610" s="77" t="n"/>
      <c r="BL610" s="77" t="n"/>
      <c r="BM610" s="77" t="n"/>
      <c r="BN610" s="77" t="n"/>
      <c r="BO610" s="77" t="n"/>
      <c r="BP610" s="77" t="n"/>
      <c r="BQ610" s="77" t="n"/>
      <c r="BR610" s="77" t="n"/>
      <c r="BS610" s="77" t="n"/>
      <c r="BT610" s="77" t="n"/>
      <c r="BU610" s="77" t="n"/>
      <c r="BV610" s="77" t="n"/>
      <c r="BW610" s="77" t="n"/>
      <c r="BX610" s="77" t="n"/>
      <c r="BY610" s="77" t="n"/>
      <c r="BZ610" s="77">
        <f>I610</f>
        <v/>
      </c>
      <c r="CA610" s="77">
        <f>M610</f>
        <v/>
      </c>
      <c r="CB610" s="77" t="n"/>
      <c r="CC610" s="77" t="n"/>
    </row>
    <row r="611">
      <c r="AY611" s="74" t="n"/>
      <c r="AZ611" s="77" t="inlineStr">
        <is>
          <t>T</t>
        </is>
      </c>
      <c r="BA611" s="77" t="inlineStr">
        <is>
          <t>T</t>
        </is>
      </c>
      <c r="BB611" s="77" t="inlineStr">
        <is>
          <t>T</t>
        </is>
      </c>
      <c r="BC611" s="77" t="inlineStr">
        <is>
          <t>T</t>
        </is>
      </c>
      <c r="BD611" s="77" t="inlineStr">
        <is>
          <t>T</t>
        </is>
      </c>
      <c r="BE611" s="77" t="n"/>
      <c r="BF611" s="77" t="n"/>
      <c r="BG611" s="77" t="n"/>
      <c r="BH611" s="77" t="n"/>
      <c r="BI611" s="77" t="n"/>
      <c r="BJ611" s="77" t="n"/>
      <c r="BK611" s="77" t="n"/>
      <c r="BL611" s="77" t="n"/>
      <c r="BM611" s="77" t="n"/>
      <c r="BN611" s="77" t="n"/>
      <c r="BO611" s="77" t="n"/>
      <c r="BP611" s="77" t="n"/>
      <c r="BQ611" s="77" t="n"/>
      <c r="BR611" s="77" t="n"/>
      <c r="BS611" s="77" t="n"/>
      <c r="BT611" s="77" t="n"/>
      <c r="BU611" s="77" t="n"/>
      <c r="BV611" s="77" t="n"/>
      <c r="BW611" s="77" t="n"/>
      <c r="BX611" s="77" t="n"/>
      <c r="BY611" s="77" t="n"/>
      <c r="BZ611" s="77">
        <f>I611</f>
        <v/>
      </c>
      <c r="CA611" s="77">
        <f>M611</f>
        <v/>
      </c>
      <c r="CB611" s="77" t="n"/>
      <c r="CC611" s="77" t="n"/>
    </row>
    <row r="612">
      <c r="AY612" s="74" t="n"/>
      <c r="AZ612" s="77" t="inlineStr">
        <is>
          <t>T</t>
        </is>
      </c>
      <c r="BA612" s="77" t="inlineStr">
        <is>
          <t>T</t>
        </is>
      </c>
      <c r="BB612" s="77" t="inlineStr">
        <is>
          <t>T</t>
        </is>
      </c>
      <c r="BC612" s="77" t="inlineStr">
        <is>
          <t>T</t>
        </is>
      </c>
      <c r="BD612" s="77" t="inlineStr">
        <is>
          <t>T</t>
        </is>
      </c>
      <c r="BE612" s="77" t="n"/>
      <c r="BF612" s="77" t="n"/>
      <c r="BG612" s="77" t="n"/>
      <c r="BH612" s="77" t="n"/>
      <c r="BI612" s="77" t="n"/>
      <c r="BJ612" s="77" t="n"/>
      <c r="BK612" s="77" t="n"/>
      <c r="BL612" s="77" t="n"/>
      <c r="BM612" s="77" t="n"/>
      <c r="BN612" s="77" t="n"/>
      <c r="BO612" s="77" t="n"/>
      <c r="BP612" s="77" t="n"/>
      <c r="BQ612" s="77" t="n"/>
      <c r="BR612" s="77" t="n"/>
      <c r="BS612" s="77" t="n"/>
      <c r="BT612" s="77" t="n"/>
      <c r="BU612" s="77" t="n"/>
      <c r="BV612" s="77" t="n"/>
      <c r="BW612" s="77" t="n"/>
      <c r="BX612" s="77" t="n"/>
      <c r="BY612" s="77" t="n"/>
      <c r="BZ612" s="77">
        <f>I612</f>
        <v/>
      </c>
      <c r="CA612" s="77">
        <f>M612</f>
        <v/>
      </c>
      <c r="CB612" s="77" t="n"/>
      <c r="CC612" s="77" t="n"/>
    </row>
    <row r="613">
      <c r="AY613" s="74" t="n"/>
      <c r="AZ613" s="77" t="inlineStr">
        <is>
          <t>T</t>
        </is>
      </c>
      <c r="BA613" s="77" t="inlineStr">
        <is>
          <t>T</t>
        </is>
      </c>
      <c r="BB613" s="77" t="inlineStr">
        <is>
          <t>T</t>
        </is>
      </c>
      <c r="BC613" s="77" t="inlineStr">
        <is>
          <t>T</t>
        </is>
      </c>
      <c r="BD613" s="77" t="inlineStr">
        <is>
          <t>T</t>
        </is>
      </c>
      <c r="BE613" s="77" t="n"/>
      <c r="BF613" s="77" t="n"/>
      <c r="BG613" s="77" t="n"/>
      <c r="BH613" s="77" t="n"/>
      <c r="BI613" s="77" t="n"/>
      <c r="BJ613" s="77" t="n"/>
      <c r="BK613" s="77" t="n"/>
      <c r="BL613" s="77" t="n"/>
      <c r="BM613" s="77" t="n"/>
      <c r="BN613" s="77" t="n"/>
      <c r="BO613" s="77" t="n"/>
      <c r="BP613" s="77" t="n"/>
      <c r="BQ613" s="77" t="n"/>
      <c r="BR613" s="77" t="n"/>
      <c r="BS613" s="77" t="n"/>
      <c r="BT613" s="77" t="n"/>
      <c r="BU613" s="77" t="n"/>
      <c r="BV613" s="77" t="n"/>
      <c r="BW613" s="77" t="n"/>
      <c r="BX613" s="77" t="n"/>
      <c r="BY613" s="77" t="n"/>
      <c r="BZ613" s="77">
        <f>I613</f>
        <v/>
      </c>
      <c r="CA613" s="77">
        <f>M613</f>
        <v/>
      </c>
      <c r="CB613" s="77" t="n"/>
      <c r="CC613" s="77" t="n"/>
    </row>
    <row r="614">
      <c r="AY614" s="74" t="n"/>
      <c r="AZ614" s="77" t="inlineStr">
        <is>
          <t>T</t>
        </is>
      </c>
      <c r="BA614" s="77" t="inlineStr">
        <is>
          <t>T</t>
        </is>
      </c>
      <c r="BB614" s="77" t="inlineStr">
        <is>
          <t>T</t>
        </is>
      </c>
      <c r="BC614" s="77" t="inlineStr">
        <is>
          <t>T</t>
        </is>
      </c>
      <c r="BD614" s="77" t="inlineStr">
        <is>
          <t>T</t>
        </is>
      </c>
      <c r="BE614" s="77" t="n"/>
      <c r="BF614" s="77" t="n"/>
      <c r="BG614" s="77" t="n"/>
      <c r="BH614" s="77" t="n"/>
      <c r="BI614" s="77" t="n"/>
      <c r="BJ614" s="77" t="n"/>
      <c r="BK614" s="77" t="n"/>
      <c r="BL614" s="77" t="n"/>
      <c r="BM614" s="77" t="n"/>
      <c r="BN614" s="77" t="n"/>
      <c r="BO614" s="77" t="n"/>
      <c r="BP614" s="77" t="n"/>
      <c r="BQ614" s="77" t="n"/>
      <c r="BR614" s="77" t="n"/>
      <c r="BS614" s="77" t="n"/>
      <c r="BT614" s="77" t="n"/>
      <c r="BU614" s="77" t="n"/>
      <c r="BV614" s="77" t="n"/>
      <c r="BW614" s="77" t="n"/>
      <c r="BX614" s="77" t="n"/>
      <c r="BY614" s="77" t="n"/>
      <c r="BZ614" s="77">
        <f>I614</f>
        <v/>
      </c>
      <c r="CA614" s="77">
        <f>M614</f>
        <v/>
      </c>
      <c r="CB614" s="77" t="n"/>
      <c r="CC614" s="77" t="n"/>
    </row>
    <row r="615">
      <c r="AY615" s="74" t="n"/>
      <c r="AZ615" s="77" t="inlineStr">
        <is>
          <t>T</t>
        </is>
      </c>
      <c r="BA615" s="77" t="inlineStr">
        <is>
          <t>T</t>
        </is>
      </c>
      <c r="BB615" s="77" t="inlineStr">
        <is>
          <t>T</t>
        </is>
      </c>
      <c r="BC615" s="77" t="inlineStr">
        <is>
          <t>T</t>
        </is>
      </c>
      <c r="BD615" s="77" t="inlineStr">
        <is>
          <t>T</t>
        </is>
      </c>
      <c r="BE615" s="77" t="n"/>
      <c r="BF615" s="77" t="n"/>
      <c r="BG615" s="77" t="n"/>
      <c r="BH615" s="77" t="n"/>
      <c r="BI615" s="77" t="n"/>
      <c r="BJ615" s="77" t="n"/>
      <c r="BK615" s="77" t="n"/>
      <c r="BL615" s="77" t="n"/>
      <c r="BM615" s="77" t="n"/>
      <c r="BN615" s="77" t="n"/>
      <c r="BO615" s="77" t="n"/>
      <c r="BP615" s="77" t="n"/>
      <c r="BQ615" s="77" t="n"/>
      <c r="BR615" s="77" t="n"/>
      <c r="BS615" s="77" t="n"/>
      <c r="BT615" s="77" t="n"/>
      <c r="BU615" s="77" t="n"/>
      <c r="BV615" s="77" t="n"/>
      <c r="BW615" s="77" t="n"/>
      <c r="BX615" s="77" t="n"/>
      <c r="BY615" s="77" t="n"/>
      <c r="BZ615" s="77">
        <f>I615</f>
        <v/>
      </c>
      <c r="CA615" s="77">
        <f>M615</f>
        <v/>
      </c>
      <c r="CB615" s="77" t="n"/>
      <c r="CC615" s="77" t="n"/>
    </row>
    <row r="616">
      <c r="AY616" s="74" t="n"/>
      <c r="AZ616" s="77" t="inlineStr">
        <is>
          <t>T</t>
        </is>
      </c>
      <c r="BA616" s="77" t="inlineStr">
        <is>
          <t>T</t>
        </is>
      </c>
      <c r="BB616" s="77" t="inlineStr">
        <is>
          <t>T</t>
        </is>
      </c>
      <c r="BC616" s="77" t="inlineStr">
        <is>
          <t>T</t>
        </is>
      </c>
      <c r="BD616" s="77" t="inlineStr">
        <is>
          <t>T</t>
        </is>
      </c>
      <c r="BE616" s="77" t="n"/>
      <c r="BF616" s="77" t="n"/>
      <c r="BG616" s="77" t="n"/>
      <c r="BH616" s="77" t="n"/>
      <c r="BI616" s="77" t="n"/>
      <c r="BJ616" s="77" t="n"/>
      <c r="BK616" s="77" t="n"/>
      <c r="BL616" s="77" t="n"/>
      <c r="BM616" s="77" t="n"/>
      <c r="BN616" s="77" t="n"/>
      <c r="BO616" s="77" t="n"/>
      <c r="BP616" s="77" t="n"/>
      <c r="BQ616" s="77" t="n"/>
      <c r="BR616" s="77" t="n"/>
      <c r="BS616" s="77" t="n"/>
      <c r="BT616" s="77" t="n"/>
      <c r="BU616" s="77" t="n"/>
      <c r="BV616" s="77" t="n"/>
      <c r="BW616" s="77" t="n"/>
      <c r="BX616" s="77" t="n"/>
      <c r="BY616" s="77" t="n"/>
      <c r="BZ616" s="77">
        <f>I616</f>
        <v/>
      </c>
      <c r="CA616" s="77">
        <f>M616</f>
        <v/>
      </c>
      <c r="CB616" s="77" t="n"/>
      <c r="CC616" s="77" t="n"/>
    </row>
    <row r="617">
      <c r="AY617" s="74" t="n"/>
      <c r="AZ617" s="77" t="inlineStr">
        <is>
          <t>T</t>
        </is>
      </c>
      <c r="BA617" s="77" t="inlineStr">
        <is>
          <t>T</t>
        </is>
      </c>
      <c r="BB617" s="77" t="inlineStr">
        <is>
          <t>T</t>
        </is>
      </c>
      <c r="BC617" s="77" t="inlineStr">
        <is>
          <t>T</t>
        </is>
      </c>
      <c r="BD617" s="77" t="inlineStr">
        <is>
          <t>T</t>
        </is>
      </c>
      <c r="BE617" s="77" t="n"/>
      <c r="BF617" s="77" t="n"/>
      <c r="BG617" s="77" t="n"/>
      <c r="BH617" s="77" t="n"/>
      <c r="BI617" s="77" t="n"/>
      <c r="BJ617" s="77" t="n"/>
      <c r="BK617" s="77" t="n"/>
      <c r="BL617" s="77" t="n"/>
      <c r="BM617" s="77" t="n"/>
      <c r="BN617" s="77" t="n"/>
      <c r="BO617" s="77" t="n"/>
      <c r="BP617" s="77" t="n"/>
      <c r="BQ617" s="77" t="n"/>
      <c r="BR617" s="77" t="n"/>
      <c r="BS617" s="77" t="n"/>
      <c r="BT617" s="77" t="n"/>
      <c r="BU617" s="77" t="n"/>
      <c r="BV617" s="77" t="n"/>
      <c r="BW617" s="77" t="n"/>
      <c r="BX617" s="77" t="n"/>
      <c r="BY617" s="77" t="n"/>
      <c r="BZ617" s="77">
        <f>I617</f>
        <v/>
      </c>
      <c r="CA617" s="77">
        <f>M617</f>
        <v/>
      </c>
      <c r="CB617" s="77" t="n"/>
      <c r="CC617" s="77" t="n"/>
    </row>
    <row r="618">
      <c r="AY618" s="74" t="n"/>
      <c r="AZ618" s="77" t="inlineStr">
        <is>
          <t>T</t>
        </is>
      </c>
      <c r="BA618" s="77" t="inlineStr">
        <is>
          <t>T</t>
        </is>
      </c>
      <c r="BB618" s="77" t="inlineStr">
        <is>
          <t>T</t>
        </is>
      </c>
      <c r="BC618" s="77" t="inlineStr">
        <is>
          <t>T</t>
        </is>
      </c>
      <c r="BD618" s="77" t="inlineStr">
        <is>
          <t>T</t>
        </is>
      </c>
      <c r="BE618" s="77" t="n"/>
      <c r="BF618" s="77" t="n"/>
      <c r="BG618" s="77" t="n"/>
      <c r="BH618" s="77" t="n"/>
      <c r="BI618" s="77" t="n"/>
      <c r="BJ618" s="77" t="n"/>
      <c r="BK618" s="77" t="n"/>
      <c r="BL618" s="77" t="n"/>
      <c r="BM618" s="77" t="n"/>
      <c r="BN618" s="77" t="n"/>
      <c r="BO618" s="77" t="n"/>
      <c r="BP618" s="77" t="n"/>
      <c r="BQ618" s="77" t="n"/>
      <c r="BR618" s="77" t="n"/>
      <c r="BS618" s="77" t="n"/>
      <c r="BT618" s="77" t="n"/>
      <c r="BU618" s="77" t="n"/>
      <c r="BV618" s="77" t="n"/>
      <c r="BW618" s="77" t="n"/>
      <c r="BX618" s="77" t="n"/>
      <c r="BY618" s="77" t="n"/>
      <c r="BZ618" s="77">
        <f>I618</f>
        <v/>
      </c>
      <c r="CA618" s="77">
        <f>M618</f>
        <v/>
      </c>
      <c r="CB618" s="77" t="n"/>
      <c r="CC618" s="77" t="n"/>
    </row>
    <row r="619">
      <c r="AY619" s="74" t="n"/>
      <c r="AZ619" s="77" t="inlineStr">
        <is>
          <t>T</t>
        </is>
      </c>
      <c r="BA619" s="77" t="inlineStr">
        <is>
          <t>T</t>
        </is>
      </c>
      <c r="BB619" s="77" t="inlineStr">
        <is>
          <t>T</t>
        </is>
      </c>
      <c r="BC619" s="77" t="inlineStr">
        <is>
          <t>T</t>
        </is>
      </c>
      <c r="BD619" s="77" t="inlineStr">
        <is>
          <t>T</t>
        </is>
      </c>
      <c r="BE619" s="77" t="n"/>
      <c r="BF619" s="77" t="n"/>
      <c r="BG619" s="77" t="n"/>
      <c r="BH619" s="77" t="n"/>
      <c r="BI619" s="77" t="n"/>
      <c r="BJ619" s="77" t="n"/>
      <c r="BK619" s="77" t="n"/>
      <c r="BL619" s="77" t="n"/>
      <c r="BM619" s="77" t="n"/>
      <c r="BN619" s="77" t="n"/>
      <c r="BO619" s="77" t="n"/>
      <c r="BP619" s="77" t="n"/>
      <c r="BQ619" s="77" t="n"/>
      <c r="BR619" s="77" t="n"/>
      <c r="BS619" s="77" t="n"/>
      <c r="BT619" s="77" t="n"/>
      <c r="BU619" s="77" t="n"/>
      <c r="BV619" s="77" t="n"/>
      <c r="BW619" s="77" t="n"/>
      <c r="BX619" s="77" t="n"/>
      <c r="BY619" s="77" t="n"/>
      <c r="BZ619" s="77">
        <f>I619</f>
        <v/>
      </c>
      <c r="CA619" s="77">
        <f>M619</f>
        <v/>
      </c>
      <c r="CB619" s="77" t="n"/>
      <c r="CC619" s="77" t="n"/>
    </row>
    <row r="620">
      <c r="AY620" s="74" t="n"/>
      <c r="AZ620" s="77" t="inlineStr">
        <is>
          <t>T</t>
        </is>
      </c>
      <c r="BA620" s="77" t="inlineStr">
        <is>
          <t>T</t>
        </is>
      </c>
      <c r="BB620" s="77" t="inlineStr">
        <is>
          <t>T</t>
        </is>
      </c>
      <c r="BC620" s="77" t="inlineStr">
        <is>
          <t>T</t>
        </is>
      </c>
      <c r="BD620" s="77" t="inlineStr">
        <is>
          <t>T</t>
        </is>
      </c>
      <c r="BE620" s="77" t="n"/>
      <c r="BF620" s="77" t="n"/>
      <c r="BG620" s="77" t="n"/>
      <c r="BH620" s="77" t="n"/>
      <c r="BI620" s="77" t="n"/>
      <c r="BJ620" s="77" t="n"/>
      <c r="BK620" s="77" t="n"/>
      <c r="BL620" s="77" t="n"/>
      <c r="BM620" s="77" t="n"/>
      <c r="BN620" s="77" t="n"/>
      <c r="BO620" s="77" t="n"/>
      <c r="BP620" s="77" t="n"/>
      <c r="BQ620" s="77" t="n"/>
      <c r="BR620" s="77" t="n"/>
      <c r="BS620" s="77" t="n"/>
      <c r="BT620" s="77" t="n"/>
      <c r="BU620" s="77" t="n"/>
      <c r="BV620" s="77" t="n"/>
      <c r="BW620" s="77" t="n"/>
      <c r="BX620" s="77" t="n"/>
      <c r="BY620" s="77" t="n"/>
      <c r="BZ620" s="77">
        <f>I620</f>
        <v/>
      </c>
      <c r="CA620" s="77">
        <f>M620</f>
        <v/>
      </c>
      <c r="CB620" s="77" t="n"/>
      <c r="CC620" s="77" t="n"/>
    </row>
    <row r="621">
      <c r="AY621" s="74" t="n"/>
      <c r="AZ621" s="77" t="inlineStr">
        <is>
          <t>T</t>
        </is>
      </c>
      <c r="BA621" s="77" t="inlineStr">
        <is>
          <t>T</t>
        </is>
      </c>
      <c r="BB621" s="77" t="inlineStr">
        <is>
          <t>T</t>
        </is>
      </c>
      <c r="BC621" s="77" t="inlineStr">
        <is>
          <t>T</t>
        </is>
      </c>
      <c r="BD621" s="77" t="inlineStr">
        <is>
          <t>T</t>
        </is>
      </c>
      <c r="BE621" s="77" t="n"/>
      <c r="BF621" s="77" t="n"/>
      <c r="BG621" s="77" t="n"/>
      <c r="BH621" s="77" t="n"/>
      <c r="BI621" s="77" t="n"/>
      <c r="BJ621" s="77" t="n"/>
      <c r="BK621" s="77" t="n"/>
      <c r="BL621" s="77" t="n"/>
      <c r="BM621" s="77" t="n"/>
      <c r="BN621" s="77" t="n"/>
      <c r="BO621" s="77" t="n"/>
      <c r="BP621" s="77" t="n"/>
      <c r="BQ621" s="77" t="n"/>
      <c r="BR621" s="77" t="n"/>
      <c r="BS621" s="77" t="n"/>
      <c r="BT621" s="77" t="n"/>
      <c r="BU621" s="77" t="n"/>
      <c r="BV621" s="77" t="n"/>
      <c r="BW621" s="77" t="n"/>
      <c r="BX621" s="77" t="n"/>
      <c r="BY621" s="77" t="n"/>
      <c r="BZ621" s="77">
        <f>I621</f>
        <v/>
      </c>
      <c r="CA621" s="77">
        <f>M621</f>
        <v/>
      </c>
      <c r="CB621" s="77" t="n"/>
      <c r="CC621" s="77" t="n"/>
    </row>
    <row r="622">
      <c r="AY622" s="74" t="n"/>
      <c r="AZ622" s="77" t="inlineStr">
        <is>
          <t>T</t>
        </is>
      </c>
      <c r="BA622" s="77" t="inlineStr">
        <is>
          <t>T</t>
        </is>
      </c>
      <c r="BB622" s="77" t="inlineStr">
        <is>
          <t>T</t>
        </is>
      </c>
      <c r="BC622" s="77" t="inlineStr">
        <is>
          <t>T</t>
        </is>
      </c>
      <c r="BD622" s="77" t="inlineStr">
        <is>
          <t>T</t>
        </is>
      </c>
      <c r="BE622" s="77" t="n"/>
      <c r="BF622" s="77" t="n"/>
      <c r="BG622" s="77" t="n"/>
      <c r="BH622" s="77" t="n"/>
      <c r="BI622" s="77" t="n"/>
      <c r="BJ622" s="77" t="n"/>
      <c r="BK622" s="77" t="n"/>
      <c r="BL622" s="77" t="n"/>
      <c r="BM622" s="77" t="n"/>
      <c r="BN622" s="77" t="n"/>
      <c r="BO622" s="77" t="n"/>
      <c r="BP622" s="77" t="n"/>
      <c r="BQ622" s="77" t="n"/>
      <c r="BR622" s="77" t="n"/>
      <c r="BS622" s="77" t="n"/>
      <c r="BT622" s="77" t="n"/>
      <c r="BU622" s="77" t="n"/>
      <c r="BV622" s="77" t="n"/>
      <c r="BW622" s="77" t="n"/>
      <c r="BX622" s="77" t="n"/>
      <c r="BY622" s="77" t="n"/>
      <c r="BZ622" s="77">
        <f>I622</f>
        <v/>
      </c>
      <c r="CA622" s="77">
        <f>M622</f>
        <v/>
      </c>
      <c r="CB622" s="77" t="n"/>
      <c r="CC622" s="77" t="n"/>
    </row>
    <row r="623">
      <c r="AY623" s="74" t="n"/>
      <c r="AZ623" s="77" t="inlineStr">
        <is>
          <t>T</t>
        </is>
      </c>
      <c r="BA623" s="77" t="inlineStr">
        <is>
          <t>T</t>
        </is>
      </c>
      <c r="BB623" s="77" t="inlineStr">
        <is>
          <t>T</t>
        </is>
      </c>
      <c r="BC623" s="77" t="inlineStr">
        <is>
          <t>T</t>
        </is>
      </c>
      <c r="BD623" s="77" t="inlineStr">
        <is>
          <t>T</t>
        </is>
      </c>
      <c r="BE623" s="77" t="n"/>
      <c r="BF623" s="77" t="n"/>
      <c r="BG623" s="77" t="n"/>
      <c r="BH623" s="77" t="n"/>
      <c r="BI623" s="77" t="n"/>
      <c r="BJ623" s="77" t="n"/>
      <c r="BK623" s="77" t="n"/>
      <c r="BL623" s="77" t="n"/>
      <c r="BM623" s="77" t="n"/>
      <c r="BN623" s="77" t="n"/>
      <c r="BO623" s="77" t="n"/>
      <c r="BP623" s="77" t="n"/>
      <c r="BQ623" s="77" t="n"/>
      <c r="BR623" s="77" t="n"/>
      <c r="BS623" s="77" t="n"/>
      <c r="BT623" s="77" t="n"/>
      <c r="BU623" s="77" t="n"/>
      <c r="BV623" s="77" t="n"/>
      <c r="BW623" s="77" t="n"/>
      <c r="BX623" s="77" t="n"/>
      <c r="BY623" s="77" t="n"/>
      <c r="BZ623" s="77">
        <f>I623</f>
        <v/>
      </c>
      <c r="CA623" s="77">
        <f>M623</f>
        <v/>
      </c>
      <c r="CB623" s="77" t="n"/>
      <c r="CC623" s="77" t="n"/>
    </row>
    <row r="624">
      <c r="AY624" s="74" t="n"/>
      <c r="AZ624" s="77" t="inlineStr">
        <is>
          <t>T</t>
        </is>
      </c>
      <c r="BA624" s="77" t="inlineStr">
        <is>
          <t>T</t>
        </is>
      </c>
      <c r="BB624" s="77" t="inlineStr">
        <is>
          <t>T</t>
        </is>
      </c>
      <c r="BC624" s="77" t="inlineStr">
        <is>
          <t>T</t>
        </is>
      </c>
      <c r="BD624" s="77" t="inlineStr">
        <is>
          <t>T</t>
        </is>
      </c>
      <c r="BE624" s="77" t="n"/>
      <c r="BF624" s="77" t="n"/>
      <c r="BG624" s="77" t="n"/>
      <c r="BH624" s="77" t="n"/>
      <c r="BI624" s="77" t="n"/>
      <c r="BJ624" s="77" t="n"/>
      <c r="BK624" s="77" t="n"/>
      <c r="BL624" s="77" t="n"/>
      <c r="BM624" s="77" t="n"/>
      <c r="BN624" s="77" t="n"/>
      <c r="BO624" s="77" t="n"/>
      <c r="BP624" s="77" t="n"/>
      <c r="BQ624" s="77" t="n"/>
      <c r="BR624" s="77" t="n"/>
      <c r="BS624" s="77" t="n"/>
      <c r="BT624" s="77" t="n"/>
      <c r="BU624" s="77" t="n"/>
      <c r="BV624" s="77" t="n"/>
      <c r="BW624" s="77" t="n"/>
      <c r="BX624" s="77" t="n"/>
      <c r="BY624" s="77" t="n"/>
      <c r="BZ624" s="77">
        <f>I624</f>
        <v/>
      </c>
      <c r="CA624" s="77">
        <f>M624</f>
        <v/>
      </c>
      <c r="CB624" s="77" t="n"/>
      <c r="CC624" s="77" t="n"/>
    </row>
    <row r="625">
      <c r="AY625" s="74" t="n"/>
      <c r="AZ625" s="77" t="inlineStr">
        <is>
          <t>T</t>
        </is>
      </c>
      <c r="BA625" s="77" t="inlineStr">
        <is>
          <t>T</t>
        </is>
      </c>
      <c r="BB625" s="77" t="inlineStr">
        <is>
          <t>T</t>
        </is>
      </c>
      <c r="BC625" s="77" t="inlineStr">
        <is>
          <t>T</t>
        </is>
      </c>
      <c r="BD625" s="77" t="inlineStr">
        <is>
          <t>T</t>
        </is>
      </c>
      <c r="BE625" s="77" t="n"/>
      <c r="BF625" s="77" t="n"/>
      <c r="BG625" s="77" t="n"/>
      <c r="BH625" s="77" t="n"/>
      <c r="BI625" s="77" t="n"/>
      <c r="BJ625" s="77" t="n"/>
      <c r="BK625" s="77" t="n"/>
      <c r="BL625" s="77" t="n"/>
      <c r="BM625" s="77" t="n"/>
      <c r="BN625" s="77" t="n"/>
      <c r="BO625" s="77" t="n"/>
      <c r="BP625" s="77" t="n"/>
      <c r="BQ625" s="77" t="n"/>
      <c r="BR625" s="77" t="n"/>
      <c r="BS625" s="77" t="n"/>
      <c r="BT625" s="77" t="n"/>
      <c r="BU625" s="77" t="n"/>
      <c r="BV625" s="77" t="n"/>
      <c r="BW625" s="77" t="n"/>
      <c r="BX625" s="77" t="n"/>
      <c r="BY625" s="77" t="n"/>
      <c r="BZ625" s="77">
        <f>I625</f>
        <v/>
      </c>
      <c r="CA625" s="77">
        <f>M625</f>
        <v/>
      </c>
      <c r="CB625" s="77" t="n"/>
      <c r="CC625" s="77" t="n"/>
    </row>
    <row r="626">
      <c r="AY626" s="74" t="n"/>
      <c r="AZ626" s="77" t="inlineStr">
        <is>
          <t>T</t>
        </is>
      </c>
      <c r="BA626" s="77" t="inlineStr">
        <is>
          <t>T</t>
        </is>
      </c>
      <c r="BB626" s="77" t="inlineStr">
        <is>
          <t>T</t>
        </is>
      </c>
      <c r="BC626" s="77" t="inlineStr">
        <is>
          <t>T</t>
        </is>
      </c>
      <c r="BD626" s="77" t="inlineStr">
        <is>
          <t>T</t>
        </is>
      </c>
      <c r="BE626" s="77" t="n"/>
      <c r="BF626" s="77" t="n"/>
      <c r="BG626" s="77" t="n"/>
      <c r="BH626" s="77" t="n"/>
      <c r="BI626" s="77" t="n"/>
      <c r="BJ626" s="77" t="n"/>
      <c r="BK626" s="77" t="n"/>
      <c r="BL626" s="77" t="n"/>
      <c r="BM626" s="77" t="n"/>
      <c r="BN626" s="77" t="n"/>
      <c r="BO626" s="77" t="n"/>
      <c r="BP626" s="77" t="n"/>
      <c r="BQ626" s="77" t="n"/>
      <c r="BR626" s="77" t="n"/>
      <c r="BS626" s="77" t="n"/>
      <c r="BT626" s="77" t="n"/>
      <c r="BU626" s="77" t="n"/>
      <c r="BV626" s="77" t="n"/>
      <c r="BW626" s="77" t="n"/>
      <c r="BX626" s="77" t="n"/>
      <c r="BY626" s="77" t="n"/>
      <c r="BZ626" s="77">
        <f>I626</f>
        <v/>
      </c>
      <c r="CA626" s="77">
        <f>M626</f>
        <v/>
      </c>
      <c r="CB626" s="77" t="n"/>
      <c r="CC626" s="77" t="n"/>
    </row>
    <row r="627">
      <c r="AY627" s="74" t="n"/>
      <c r="AZ627" s="77" t="inlineStr">
        <is>
          <t>T</t>
        </is>
      </c>
      <c r="BA627" s="77" t="inlineStr">
        <is>
          <t>T</t>
        </is>
      </c>
      <c r="BB627" s="77" t="inlineStr">
        <is>
          <t>T</t>
        </is>
      </c>
      <c r="BC627" s="77" t="inlineStr">
        <is>
          <t>T</t>
        </is>
      </c>
      <c r="BD627" s="77" t="inlineStr">
        <is>
          <t>T</t>
        </is>
      </c>
      <c r="BE627" s="77" t="n"/>
      <c r="BF627" s="77" t="n"/>
      <c r="BG627" s="77" t="n"/>
      <c r="BH627" s="77" t="n"/>
      <c r="BI627" s="77" t="n"/>
      <c r="BJ627" s="77" t="n"/>
      <c r="BK627" s="77" t="n"/>
      <c r="BL627" s="77" t="n"/>
      <c r="BM627" s="77" t="n"/>
      <c r="BN627" s="77" t="n"/>
      <c r="BO627" s="77" t="n"/>
      <c r="BP627" s="77" t="n"/>
      <c r="BQ627" s="77" t="n"/>
      <c r="BR627" s="77" t="n"/>
      <c r="BS627" s="77" t="n"/>
      <c r="BT627" s="77" t="n"/>
      <c r="BU627" s="77" t="n"/>
      <c r="BV627" s="77" t="n"/>
      <c r="BW627" s="77" t="n"/>
      <c r="BX627" s="77" t="n"/>
      <c r="BY627" s="77" t="n"/>
      <c r="BZ627" s="77">
        <f>I627</f>
        <v/>
      </c>
      <c r="CA627" s="77">
        <f>M627</f>
        <v/>
      </c>
      <c r="CB627" s="77" t="n"/>
      <c r="CC627" s="77" t="n"/>
    </row>
    <row r="628">
      <c r="AY628" s="74" t="n"/>
      <c r="AZ628" s="77" t="inlineStr">
        <is>
          <t>T</t>
        </is>
      </c>
      <c r="BA628" s="77" t="inlineStr">
        <is>
          <t>T</t>
        </is>
      </c>
      <c r="BB628" s="77" t="inlineStr">
        <is>
          <t>T</t>
        </is>
      </c>
      <c r="BC628" s="77" t="inlineStr">
        <is>
          <t>T</t>
        </is>
      </c>
      <c r="BD628" s="77" t="inlineStr">
        <is>
          <t>T</t>
        </is>
      </c>
      <c r="BE628" s="77" t="n"/>
      <c r="BF628" s="77" t="n"/>
      <c r="BG628" s="77" t="n"/>
      <c r="BH628" s="77" t="n"/>
      <c r="BI628" s="77" t="n"/>
      <c r="BJ628" s="77" t="n"/>
      <c r="BK628" s="77" t="n"/>
      <c r="BL628" s="77" t="n"/>
      <c r="BM628" s="77" t="n"/>
      <c r="BN628" s="77" t="n"/>
      <c r="BO628" s="77" t="n"/>
      <c r="BP628" s="77" t="n"/>
      <c r="BQ628" s="77" t="n"/>
      <c r="BR628" s="77" t="n"/>
      <c r="BS628" s="77" t="n"/>
      <c r="BT628" s="77" t="n"/>
      <c r="BU628" s="77" t="n"/>
      <c r="BV628" s="77" t="n"/>
      <c r="BW628" s="77" t="n"/>
      <c r="BX628" s="77" t="n"/>
      <c r="BY628" s="77" t="n"/>
      <c r="BZ628" s="77">
        <f>I628</f>
        <v/>
      </c>
      <c r="CA628" s="77">
        <f>M628</f>
        <v/>
      </c>
      <c r="CB628" s="77" t="n"/>
      <c r="CC628" s="77" t="n"/>
    </row>
    <row r="629">
      <c r="AY629" s="74" t="n"/>
      <c r="AZ629" s="77" t="n"/>
      <c r="BA629" s="77" t="n"/>
      <c r="BB629" s="77" t="n"/>
      <c r="BC629" s="77" t="n"/>
      <c r="BD629" s="77" t="n"/>
      <c r="BE629" s="77" t="n"/>
      <c r="BF629" s="77" t="n"/>
      <c r="BG629" s="77" t="n"/>
      <c r="BH629" s="77" t="n"/>
      <c r="BI629" s="77" t="n"/>
      <c r="BJ629" s="77" t="n"/>
      <c r="BK629" s="77" t="n"/>
      <c r="BL629" s="77" t="n"/>
      <c r="BM629" s="77" t="n"/>
      <c r="BN629" s="77" t="n"/>
      <c r="BO629" s="77" t="n"/>
      <c r="BP629" s="77" t="n"/>
      <c r="BQ629" s="77" t="n"/>
      <c r="BR629" s="77" t="n"/>
      <c r="BS629" s="77" t="n"/>
      <c r="BT629" s="77" t="n"/>
      <c r="BU629" s="77" t="n"/>
      <c r="BV629" s="77" t="n"/>
      <c r="BW629" s="77" t="n"/>
      <c r="BX629" s="77" t="n"/>
      <c r="BY629" s="77" t="n"/>
      <c r="BZ629" s="77" t="n"/>
      <c r="CA629" s="77" t="n"/>
      <c r="CB629" s="77" t="n"/>
      <c r="CC629" s="77" t="n"/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c2pB8wmjnAtfDdPIqep2cg==" formatRows="0" sort="1" spinCount="100000" hashValue="f+UZGwoPR7v/gwaiNrX/HcFTe/NspOLG06iHYJVGVOTFhKan7WgGxrH/vTGdxU3QkcMA2CVFnJNCyzkrfkZsnw=="/>
  <mergeCells count="51">
    <mergeCell ref="AI3:AI5"/>
    <mergeCell ref="AJ3:AJ5"/>
    <mergeCell ref="AL3:AL5"/>
    <mergeCell ref="M3:M5"/>
    <mergeCell ref="AA3:AA5"/>
    <mergeCell ref="AG3:AG5"/>
    <mergeCell ref="P3:P5"/>
    <mergeCell ref="R3:R5"/>
    <mergeCell ref="J3:J5"/>
    <mergeCell ref="V3:V5"/>
    <mergeCell ref="K3:K5"/>
    <mergeCell ref="AQ2:AS2"/>
    <mergeCell ref="AD3:AD5"/>
    <mergeCell ref="AU3:AU5"/>
    <mergeCell ref="A2:C2"/>
    <mergeCell ref="H3:H5"/>
    <mergeCell ref="AM3:AM5"/>
    <mergeCell ref="AB3:AB5"/>
    <mergeCell ref="AS3:AS5"/>
    <mergeCell ref="E2:S2"/>
    <mergeCell ref="C3:C5"/>
    <mergeCell ref="E3:E5"/>
    <mergeCell ref="AN3:AN5"/>
    <mergeCell ref="B3:B5"/>
    <mergeCell ref="S3:S5"/>
    <mergeCell ref="Y3:Y5"/>
    <mergeCell ref="AR3:AR5"/>
    <mergeCell ref="AL2:AO2"/>
    <mergeCell ref="AF3:AF5"/>
    <mergeCell ref="AH3:AH5"/>
    <mergeCell ref="O3:O5"/>
    <mergeCell ref="AU2:AW2"/>
    <mergeCell ref="Q3:Q5"/>
    <mergeCell ref="AC3:AC5"/>
    <mergeCell ref="AV3:AV5"/>
    <mergeCell ref="N3:N5"/>
    <mergeCell ref="F3:F5"/>
    <mergeCell ref="AF2:AJ2"/>
    <mergeCell ref="U2:AD2"/>
    <mergeCell ref="I3:I5"/>
    <mergeCell ref="Z3:Z5"/>
    <mergeCell ref="L3:L5"/>
    <mergeCell ref="AO3:AO5"/>
    <mergeCell ref="X3:X5"/>
    <mergeCell ref="AQ3:AQ5"/>
    <mergeCell ref="AW3:AW5"/>
    <mergeCell ref="A3:A5"/>
    <mergeCell ref="G3:G5"/>
    <mergeCell ref="D3:D5"/>
    <mergeCell ref="U3:U5"/>
    <mergeCell ref="W3:W5"/>
  </mergeCells>
  <pageMargins left="0.7" right="0.7" top="0.75" bottom="0.75" header="0.3" footer="0.3"/>
  <pageSetup orientation="portrait" scale="1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2">
    <outlinePr summaryBelow="1" summaryRight="1"/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baseColWidth="8" defaultColWidth="9.109375" defaultRowHeight="14.4"/>
  <cols>
    <col width="9.77734375" customWidth="1" style="3" min="1" max="1"/>
    <col width="60.77734375" customWidth="1" style="3" min="2" max="2"/>
    <col width="17.77734375" customWidth="1" style="3" min="3" max="3"/>
    <col width="2.44140625" customWidth="1" style="3" min="4" max="4"/>
    <col width="14.77734375" customWidth="1" style="3" min="5" max="6"/>
    <col width="4.44140625" customWidth="1" style="173" min="7" max="7"/>
    <col width="4.77734375" customWidth="1" style="3" min="8" max="9"/>
    <col width="14.77734375" customWidth="1" style="3" min="10" max="10"/>
    <col hidden="1" width="50.77734375" customWidth="1" style="3" min="11" max="11"/>
    <col width="2.77734375" customWidth="1" style="3" min="12" max="12"/>
    <col width="14.77734375" customWidth="1" style="3" min="13" max="14"/>
    <col hidden="1" width="50.77734375" customWidth="1" style="3" min="15" max="15"/>
    <col width="2.77734375" customWidth="1" style="3" min="16" max="16"/>
    <col width="13.77734375" customWidth="1" style="3" min="17" max="19"/>
    <col width="11.77734375" customWidth="1" style="3" min="20" max="20"/>
    <col width="2.77734375" customWidth="1" style="3" min="21" max="21"/>
    <col width="9.77734375" customWidth="1" style="3" min="22" max="22"/>
    <col width="14.77734375" customWidth="1" style="3" min="23" max="24"/>
    <col width="13.77734375" customWidth="1" style="3" min="25" max="27"/>
    <col width="2.77734375" customWidth="1" style="3" min="28" max="28"/>
    <col width="11.77734375" customWidth="1" style="3" min="29" max="29"/>
    <col width="14.77734375" customWidth="1" style="3" min="30" max="31"/>
    <col width="13.77734375" customWidth="1" style="3" min="32" max="32"/>
    <col width="2.77734375" customWidth="1" style="3" min="33" max="33"/>
    <col width="14.77734375" customWidth="1" style="3" min="34" max="35"/>
    <col width="13.77734375" customWidth="1" style="3" min="36" max="36"/>
    <col width="2.77734375" customWidth="1" style="3" min="37" max="37"/>
    <col width="14.77734375" customWidth="1" style="3" min="38" max="40"/>
    <col width="2.77734375" customWidth="1" style="3" min="41" max="41"/>
    <col width="14.77734375" customWidth="1" style="3" min="42" max="44"/>
    <col width="2.77734375" customWidth="1" style="3" min="45" max="45"/>
    <col width="66.5546875" customWidth="1" style="3" min="46" max="46"/>
    <col width="13.33203125" customWidth="1" style="3" min="47" max="47"/>
    <col width="11.88671875" customWidth="1" style="3" min="48" max="48"/>
    <col width="9.109375" customWidth="1" style="3" min="49" max="50"/>
    <col width="8.77734375" customWidth="1" style="3" min="51" max="51"/>
    <col width="16.33203125" customWidth="1" style="3" min="52" max="52"/>
    <col width="11.77734375" customWidth="1" style="3" min="53" max="53"/>
    <col width="12" customWidth="1" style="3" min="54" max="54"/>
    <col width="15.109375" customWidth="1" style="3" min="55" max="55"/>
    <col width="20.5546875" customWidth="1" style="3" min="56" max="57"/>
    <col width="18.33203125" customWidth="1" style="3" min="58" max="58"/>
    <col width="20" customWidth="1" style="3" min="59" max="59"/>
    <col width="19.88671875" customWidth="1" style="3" min="60" max="60"/>
    <col width="28.33203125" customWidth="1" style="3" min="61" max="61"/>
    <col width="20.21875" customWidth="1" style="3" min="62" max="62"/>
    <col width="23.88671875" customWidth="1" style="3" min="63" max="63"/>
    <col width="22.21875" customWidth="1" style="3" min="64" max="64"/>
    <col width="24.44140625" customWidth="1" style="3" min="65" max="65"/>
    <col width="20.88671875" customWidth="1" style="3" min="66" max="66"/>
    <col width="25.6640625" customWidth="1" style="3" min="67" max="67"/>
    <col width="22.109375" customWidth="1" style="3" min="68" max="68"/>
    <col width="19.6640625" customWidth="1" style="3" min="69" max="69"/>
    <col width="19.44140625" customWidth="1" style="3" min="70" max="70"/>
    <col width="20.77734375" customWidth="1" style="3" min="71" max="71"/>
    <col width="14.88671875" customWidth="1" style="3" min="72" max="73"/>
    <col width="15.6640625" customWidth="1" style="3" min="74" max="74"/>
    <col width="18.6640625" customWidth="1" style="3" min="75" max="75"/>
    <col width="20.77734375" customWidth="1" style="3" min="76" max="76"/>
    <col width="26" customWidth="1" style="3" min="77" max="77"/>
    <col width="24.77734375" customWidth="1" style="3" min="78" max="78"/>
    <col width="25.44140625" customWidth="1" style="3" min="79" max="79"/>
    <col width="30" customWidth="1" style="98" min="80" max="80"/>
    <col width="21.77734375" customWidth="1" style="104" min="81" max="84"/>
    <col width="9.109375" customWidth="1" style="3" min="85" max="91"/>
    <col width="10.109375" customWidth="1" style="3" min="92" max="94"/>
    <col width="9.109375" customWidth="1" style="3" min="95" max="16384"/>
  </cols>
  <sheetData>
    <row r="1" ht="23.4" customHeight="1">
      <c r="A1" s="81" t="inlineStr">
        <is>
          <t>COLJobNumber</t>
        </is>
      </c>
      <c r="B1" s="81" t="inlineStr">
        <is>
          <t>COLJobDesc</t>
        </is>
      </c>
      <c r="C1" s="81" t="inlineStr">
        <is>
          <t>COLPrjMngr</t>
        </is>
      </c>
      <c r="D1" s="82" t="inlineStr">
        <is>
          <t>COLExAll</t>
        </is>
      </c>
      <c r="E1" s="81" t="inlineStr">
        <is>
          <t>COLCurConAmt</t>
        </is>
      </c>
      <c r="F1" s="81" t="inlineStr">
        <is>
          <t>COLPMProjRev</t>
        </is>
      </c>
      <c r="G1" s="171" t="inlineStr">
        <is>
          <t>COLClose</t>
        </is>
      </c>
      <c r="H1" s="82" t="inlineStr">
        <is>
          <t>COLDone</t>
        </is>
      </c>
      <c r="I1" s="82" t="inlineStr">
        <is>
          <t>COLGAAPDone</t>
        </is>
      </c>
      <c r="J1" s="81" t="inlineStr">
        <is>
          <t>COLOvrRevProj</t>
        </is>
      </c>
      <c r="K1" s="81" t="inlineStr">
        <is>
          <t>COLOvrRevProjNotes</t>
        </is>
      </c>
      <c r="L1" s="82" t="inlineStr">
        <is>
          <t>COLOvrRevProjNotes2</t>
        </is>
      </c>
      <c r="M1" s="81" t="inlineStr">
        <is>
          <t>COLPMProjCost</t>
        </is>
      </c>
      <c r="N1" s="81" t="inlineStr">
        <is>
          <t>COLOvrCostProj</t>
        </is>
      </c>
      <c r="O1" s="81" t="inlineStr">
        <is>
          <t>COLOvrCostProjNotes</t>
        </is>
      </c>
      <c r="P1" s="82" t="inlineStr">
        <is>
          <t>COLOvrCostProjNotes2</t>
        </is>
      </c>
      <c r="Q1" s="81" t="inlineStr">
        <is>
          <t>COLProjProfit</t>
        </is>
      </c>
      <c r="R1" s="81" t="inlineStr">
        <is>
          <t>COLPriorProjProfit</t>
        </is>
      </c>
      <c r="S1" s="81" t="inlineStr">
        <is>
          <t>COLChgProjProfit</t>
        </is>
      </c>
      <c r="T1" s="81" t="inlineStr">
        <is>
          <t>COLCompDate</t>
        </is>
      </c>
      <c r="U1" s="82" t="inlineStr">
        <is>
          <t>COLSP1</t>
        </is>
      </c>
      <c r="V1" s="81" t="inlineStr">
        <is>
          <t>COLJTDPctComp</t>
        </is>
      </c>
      <c r="W1" s="81" t="inlineStr">
        <is>
          <t>COLJTDEarnedRev</t>
        </is>
      </c>
      <c r="X1" s="81" t="inlineStr">
        <is>
          <t>COLJTDCost</t>
        </is>
      </c>
      <c r="Y1" s="81" t="inlineStr">
        <is>
          <t>COLJTDProfit</t>
        </is>
      </c>
      <c r="Z1" s="81" t="inlineStr">
        <is>
          <t>COLJTDPriorProfit</t>
        </is>
      </c>
      <c r="AA1" s="81" t="inlineStr">
        <is>
          <t>COLJTDChgProfit</t>
        </is>
      </c>
      <c r="AB1" s="88" t="inlineStr">
        <is>
          <t>COLSP2</t>
        </is>
      </c>
      <c r="AC1" s="3" t="inlineStr">
        <is>
          <t>COLAPYPctComp</t>
        </is>
      </c>
      <c r="AD1" s="3" t="inlineStr">
        <is>
          <t>COLAPYRev</t>
        </is>
      </c>
      <c r="AE1" s="3" t="inlineStr">
        <is>
          <t>COLAPYCost</t>
        </is>
      </c>
      <c r="AF1" s="3" t="inlineStr">
        <is>
          <t>COLAPYCalcProfit</t>
        </is>
      </c>
      <c r="AG1" s="87" t="inlineStr">
        <is>
          <t>COLSP3</t>
        </is>
      </c>
      <c r="AH1" s="3" t="inlineStr">
        <is>
          <t>COLCYRev</t>
        </is>
      </c>
      <c r="AI1" s="3" t="inlineStr">
        <is>
          <t>COLCYCost</t>
        </is>
      </c>
      <c r="AJ1" s="3" t="inlineStr">
        <is>
          <t>COLCYCalcProfit</t>
        </is>
      </c>
      <c r="AK1" s="87" t="inlineStr">
        <is>
          <t>COLSP4</t>
        </is>
      </c>
      <c r="AL1" s="3" t="inlineStr">
        <is>
          <t>COLBRev</t>
        </is>
      </c>
      <c r="AM1" s="3" t="inlineStr">
        <is>
          <t>COLBCost</t>
        </is>
      </c>
      <c r="AN1" s="3" t="inlineStr">
        <is>
          <t>COLBProfit</t>
        </is>
      </c>
      <c r="AO1" s="87" t="inlineStr">
        <is>
          <t>COLSP5</t>
        </is>
      </c>
      <c r="AP1" s="3" t="inlineStr">
        <is>
          <t>COLBILLBillings</t>
        </is>
      </c>
      <c r="AQ1" s="3" t="inlineStr">
        <is>
          <t>COLBILLRevExBill</t>
        </is>
      </c>
      <c r="AR1" s="3" t="inlineStr">
        <is>
          <t>COLBILLBillExRev</t>
        </is>
      </c>
      <c r="AS1" s="76" t="n"/>
      <c r="AU1" s="3" t="inlineStr">
        <is>
          <t>COLZOPsRChg</t>
        </is>
      </c>
      <c r="AV1" s="3" t="inlineStr">
        <is>
          <t>COLZOPsCChg</t>
        </is>
      </c>
      <c r="AW1" s="3" t="inlineStr">
        <is>
          <t>COLZudChg</t>
        </is>
      </c>
      <c r="AX1" s="3" t="inlineStr">
        <is>
          <t>COLZOPsRChg</t>
        </is>
      </c>
      <c r="AY1" s="3" t="inlineStr">
        <is>
          <t>COLZOPsCChg</t>
        </is>
      </c>
      <c r="AZ1" s="3" t="inlineStr">
        <is>
          <t>COLZOPsRev</t>
        </is>
      </c>
      <c r="BA1" s="3" t="inlineStr">
        <is>
          <t>COLZOPsCost</t>
        </is>
      </c>
      <c r="BB1" s="3" t="inlineStr">
        <is>
          <t>COLZGAAPRev</t>
        </is>
      </c>
      <c r="BC1" s="3" t="inlineStr">
        <is>
          <t>COLZGAAPCost</t>
        </is>
      </c>
      <c r="BD1" s="3" t="inlineStr">
        <is>
          <t>COLZPriorOPsProfit</t>
        </is>
      </c>
      <c r="BE1" s="3" t="inlineStr">
        <is>
          <t>COLZPriorBonusProfit</t>
        </is>
      </c>
      <c r="BF1" s="3" t="inlineStr">
        <is>
          <t>COLZPriorGAAPProfit</t>
        </is>
      </c>
      <c r="BG1" s="3" t="inlineStr">
        <is>
          <t>COLZContractStatus</t>
        </is>
      </c>
      <c r="BH1" s="3" t="inlineStr">
        <is>
          <t>COLZPriorJTDOPsProfit</t>
        </is>
      </c>
      <c r="BI1" s="3" t="inlineStr">
        <is>
          <t>COLZPriorJTDGAAPProfit</t>
        </is>
      </c>
      <c r="BJ1" s="3" t="inlineStr">
        <is>
          <t>COLZOPsRevNotes</t>
        </is>
      </c>
      <c r="BK1" s="3" t="inlineStr">
        <is>
          <t>COLZOPsCostNotes</t>
        </is>
      </c>
      <c r="BL1" s="3" t="inlineStr">
        <is>
          <t>COLZGAAPRevNotes</t>
        </is>
      </c>
      <c r="BM1" s="3" t="inlineStr">
        <is>
          <t>COLZGAAPCostNotes</t>
        </is>
      </c>
      <c r="BN1" s="3" t="inlineStr">
        <is>
          <t>COLZGAAPRevComment</t>
        </is>
      </c>
      <c r="BO1" s="3" t="inlineStr">
        <is>
          <t>COLZGAAPCostComment</t>
        </is>
      </c>
      <c r="BP1" s="3" t="inlineStr">
        <is>
          <t>COLZOPsRevComment</t>
        </is>
      </c>
      <c r="BQ1" s="3" t="inlineStr">
        <is>
          <t>COLZOPsCostComment</t>
        </is>
      </c>
      <c r="BR1" s="3" t="inlineStr">
        <is>
          <t>COLZGAAPRevNew</t>
        </is>
      </c>
      <c r="BS1" s="3" t="inlineStr">
        <is>
          <t>COLZGAAPCostNew</t>
        </is>
      </c>
      <c r="BT1" s="3" t="inlineStr">
        <is>
          <t>COLZOPsRevNew</t>
        </is>
      </c>
      <c r="BU1" s="3" t="inlineStr">
        <is>
          <t>COLZOPsCostNew</t>
        </is>
      </c>
      <c r="BV1" s="3" t="inlineStr">
        <is>
          <t>COLZUserName</t>
        </is>
      </c>
      <c r="BW1" s="3" t="inlineStr">
        <is>
          <t>COLZBatchSeq</t>
        </is>
      </c>
      <c r="BX1" s="3" t="inlineStr">
        <is>
          <t>COLZGAAPPYRev</t>
        </is>
      </c>
      <c r="BY1" s="3" t="inlineStr">
        <is>
          <t>COLZGAAPPYCost</t>
        </is>
      </c>
      <c r="BZ1" s="3" t="inlineStr">
        <is>
          <t>COLZOpsPYRev</t>
        </is>
      </c>
      <c r="CA1" s="3" t="inlineStr">
        <is>
          <t>COLZOpsPYCost</t>
        </is>
      </c>
      <c r="CB1" s="98" t="inlineStr">
        <is>
          <t>COLZRowVersion</t>
        </is>
      </c>
      <c r="CC1" s="103" t="inlineStr">
        <is>
          <t>COLZORGJTDCost</t>
        </is>
      </c>
      <c r="CD1" s="103" t="inlineStr">
        <is>
          <t>COLZORGCYCost</t>
        </is>
      </c>
      <c r="CE1" s="103" t="inlineStr">
        <is>
          <t>COLZORGBilledAmt</t>
        </is>
      </c>
      <c r="CF1" s="103" t="inlineStr">
        <is>
          <t>COLZORGCYBilledAmt</t>
        </is>
      </c>
    </row>
    <row r="2" ht="15.6" customFormat="1" customHeight="1" s="7">
      <c r="A2" s="262" t="n"/>
      <c r="B2" s="263" t="n"/>
      <c r="C2" s="264" t="n"/>
      <c r="D2" s="85" t="inlineStr">
        <is>
          <t>-</t>
        </is>
      </c>
      <c r="E2" s="265" t="inlineStr">
        <is>
          <t>J O B   A T   C O M P L E T I O N</t>
        </is>
      </c>
      <c r="F2" s="263" t="n"/>
      <c r="G2" s="263" t="n"/>
      <c r="H2" s="263" t="n"/>
      <c r="I2" s="263" t="n"/>
      <c r="J2" s="263" t="n"/>
      <c r="K2" s="263" t="n"/>
      <c r="L2" s="263" t="n"/>
      <c r="M2" s="263" t="n"/>
      <c r="N2" s="263" t="n"/>
      <c r="O2" s="263" t="n"/>
      <c r="P2" s="263" t="n"/>
      <c r="Q2" s="263" t="n"/>
      <c r="R2" s="263" t="n"/>
      <c r="S2" s="263" t="n"/>
      <c r="T2" s="264" t="n"/>
      <c r="V2" s="265" t="inlineStr">
        <is>
          <t>J O B   T O   D A T E</t>
        </is>
      </c>
      <c r="W2" s="263" t="n"/>
      <c r="X2" s="263" t="n"/>
      <c r="Y2" s="263" t="n"/>
      <c r="Z2" s="263" t="n"/>
      <c r="AA2" s="264" t="n"/>
      <c r="AB2" s="84" t="inlineStr">
        <is>
          <t>-</t>
        </is>
      </c>
      <c r="AC2" s="237" t="inlineStr">
        <is>
          <t>A L L   P R I O R   Y E A R S   C O M B I N E D</t>
        </is>
      </c>
      <c r="AD2" s="263" t="n"/>
      <c r="AE2" s="263" t="n"/>
      <c r="AF2" s="266" t="n"/>
      <c r="AG2" s="84" t="inlineStr">
        <is>
          <t>-</t>
        </is>
      </c>
      <c r="AH2" s="237" t="inlineStr">
        <is>
          <t>C U R R E N T   Y E A R</t>
        </is>
      </c>
      <c r="AI2" s="263" t="n"/>
      <c r="AJ2" s="266" t="n"/>
      <c r="AK2" s="84" t="inlineStr">
        <is>
          <t>-</t>
        </is>
      </c>
      <c r="AL2" s="216" t="inlineStr">
        <is>
          <t>B A C K L O G</t>
        </is>
      </c>
      <c r="AM2" s="263" t="n"/>
      <c r="AN2" s="263" t="n"/>
      <c r="AO2" s="84" t="inlineStr">
        <is>
          <t>-</t>
        </is>
      </c>
      <c r="AP2" s="265" t="inlineStr">
        <is>
          <t>B I L L I N G S</t>
        </is>
      </c>
      <c r="AQ2" s="263" t="n"/>
      <c r="AR2" s="264" t="n"/>
      <c r="AT2" s="3" t="n"/>
      <c r="AU2" s="3" t="n"/>
      <c r="AV2" s="3" t="n"/>
      <c r="AW2" s="3" t="n"/>
      <c r="AX2" s="3" t="n"/>
      <c r="AY2" s="3" t="n"/>
      <c r="AZ2" s="3" t="n"/>
      <c r="BA2" s="3" t="n"/>
      <c r="BB2" s="3" t="n"/>
      <c r="BC2" s="3" t="n"/>
      <c r="BD2" s="3" t="n"/>
      <c r="BE2" s="3" t="n"/>
      <c r="BF2" s="3" t="n"/>
      <c r="BG2" s="3" t="n"/>
      <c r="BH2" s="3" t="n"/>
      <c r="BI2" s="3" t="n"/>
      <c r="BJ2" s="3" t="n"/>
      <c r="BK2" s="3" t="n"/>
      <c r="BL2" s="3" t="n"/>
      <c r="BM2" s="3" t="n"/>
      <c r="BN2" s="3" t="n"/>
      <c r="BO2" s="3" t="n"/>
      <c r="BP2" s="3" t="n"/>
      <c r="BQ2" s="3" t="n"/>
      <c r="BR2" s="3" t="n"/>
      <c r="BS2" s="3" t="n"/>
      <c r="BT2" s="3" t="n"/>
      <c r="BU2" s="3" t="n"/>
      <c r="BV2" s="3" t="n"/>
      <c r="BW2" s="3" t="n"/>
      <c r="BX2" s="3" t="n"/>
      <c r="BY2" s="3" t="n"/>
      <c r="CA2" s="3" t="n"/>
      <c r="CB2" s="98" t="n"/>
      <c r="CC2" s="104" t="n"/>
      <c r="CD2" s="104" t="n"/>
      <c r="CE2" s="104" t="n"/>
      <c r="CF2" s="104" t="n"/>
      <c r="CG2" s="3" t="n"/>
      <c r="CH2" s="3" t="n"/>
      <c r="CI2" s="3" t="n"/>
      <c r="CJ2" s="3" t="n"/>
      <c r="CK2" s="3" t="n"/>
      <c r="CL2" s="3" t="n"/>
      <c r="CM2" s="3" t="n"/>
      <c r="CN2" s="3" t="n"/>
      <c r="CO2" s="3" t="n"/>
      <c r="CP2" s="3" t="n"/>
      <c r="CQ2" s="3" t="n"/>
    </row>
    <row r="3" ht="14.4" customFormat="1" customHeight="1" s="7">
      <c r="A3" s="282" t="inlineStr">
        <is>
          <t>Job No.</t>
        </is>
      </c>
      <c r="B3" s="282" t="inlineStr">
        <is>
          <t>Job Description</t>
        </is>
      </c>
      <c r="C3" s="282" t="inlineStr">
        <is>
          <t>Project Manager</t>
        </is>
      </c>
      <c r="D3" s="268" t="n"/>
      <c r="E3" s="269" t="inlineStr">
        <is>
          <t>Current Contract Amount</t>
        </is>
      </c>
      <c r="F3" s="269" t="inlineStr">
        <is>
          <t>PM Projected Revenue</t>
        </is>
      </c>
      <c r="G3" s="270" t="inlineStr">
        <is>
          <t>Close</t>
        </is>
      </c>
      <c r="H3" s="218" t="inlineStr">
        <is>
          <t>Op's Done</t>
        </is>
      </c>
      <c r="I3" s="218" t="inlineStr">
        <is>
          <t>GAAP Done</t>
        </is>
      </c>
      <c r="J3" s="271" t="inlineStr">
        <is>
          <t>GAAP Override Revenue Projection</t>
        </is>
      </c>
      <c r="K3" s="271" t="inlineStr">
        <is>
          <t>GAAP Override Revenue Notes</t>
        </is>
      </c>
      <c r="L3" s="270" t="inlineStr">
        <is>
          <t>Notes</t>
        </is>
      </c>
      <c r="M3" s="272" t="inlineStr">
        <is>
          <t>PM Projected Cost</t>
        </is>
      </c>
      <c r="N3" s="271" t="inlineStr">
        <is>
          <t>GAAP Override Cost Projection</t>
        </is>
      </c>
      <c r="O3" s="271" t="inlineStr">
        <is>
          <t>GAAP Override Cost Notes</t>
        </is>
      </c>
      <c r="P3" s="270" t="inlineStr">
        <is>
          <t>Notes</t>
        </is>
      </c>
      <c r="Q3" s="273" t="inlineStr">
        <is>
          <t>Projected Profit</t>
        </is>
      </c>
      <c r="R3" s="273" t="inlineStr">
        <is>
          <t>Prior Projected Profit</t>
        </is>
      </c>
      <c r="S3" s="273" t="inlineStr">
        <is>
          <t>Change In Projected Profit</t>
        </is>
      </c>
      <c r="T3" s="282" t="inlineStr">
        <is>
          <t>Completion Date</t>
        </is>
      </c>
      <c r="U3" s="22" t="n"/>
      <c r="V3" s="274" t="inlineStr">
        <is>
          <t>JTD Percent Complete</t>
        </is>
      </c>
      <c r="W3" s="269" t="inlineStr">
        <is>
          <t>JTD Earned Revenue</t>
        </is>
      </c>
      <c r="X3" s="272" t="inlineStr">
        <is>
          <t>JTD Cost</t>
        </is>
      </c>
      <c r="Y3" s="273" t="inlineStr">
        <is>
          <t>JTD Profit</t>
        </is>
      </c>
      <c r="Z3" s="273" t="inlineStr">
        <is>
          <t>JTD Prior Profit</t>
        </is>
      </c>
      <c r="AA3" s="273" t="inlineStr">
        <is>
          <t>JTD Change In Profit</t>
        </is>
      </c>
      <c r="AB3" s="22" t="n"/>
      <c r="AC3" s="226" t="inlineStr">
        <is>
          <t>Previous Yr Percent Complete</t>
        </is>
      </c>
      <c r="AD3" s="215" t="inlineStr">
        <is>
          <t>Previous Yr Revenue</t>
        </is>
      </c>
      <c r="AE3" s="212" t="inlineStr">
        <is>
          <t>Previous Yr Cost</t>
        </is>
      </c>
      <c r="AF3" s="210" t="inlineStr">
        <is>
          <t>Previous Yr Calculated Profit</t>
        </is>
      </c>
      <c r="AG3" s="22" t="n"/>
      <c r="AH3" s="215" t="inlineStr">
        <is>
          <t>Current Yr Revenue</t>
        </is>
      </c>
      <c r="AI3" s="212" t="inlineStr">
        <is>
          <t>Current Yr Cost</t>
        </is>
      </c>
      <c r="AJ3" s="210" t="inlineStr">
        <is>
          <t>Current Yr Calculated Profit</t>
        </is>
      </c>
      <c r="AK3" s="22" t="n"/>
      <c r="AL3" s="267" t="inlineStr">
        <is>
          <t>Remaining Revenue (Backlog)</t>
        </is>
      </c>
      <c r="AM3" s="267" t="inlineStr">
        <is>
          <t>Remaining Cost</t>
        </is>
      </c>
      <c r="AN3" s="267" t="inlineStr">
        <is>
          <t>GAAP Remaining Profit</t>
        </is>
      </c>
      <c r="AO3" s="22" t="n"/>
      <c r="AP3" s="275" t="inlineStr">
        <is>
          <t>JTD Billings</t>
        </is>
      </c>
      <c r="AQ3" s="275" t="inlineStr">
        <is>
          <t>Revenue in Excess of Billing</t>
        </is>
      </c>
      <c r="AR3" s="275" t="inlineStr">
        <is>
          <t>Billings in Excess of Revenue</t>
        </is>
      </c>
      <c r="AS3" s="22" t="n"/>
      <c r="AT3" s="3" t="n"/>
      <c r="AU3" s="3" t="n"/>
      <c r="AV3" s="3" t="n"/>
      <c r="AW3" s="3" t="n"/>
      <c r="AX3" s="3" t="n"/>
      <c r="AY3" s="3" t="n"/>
      <c r="AZ3" s="3" t="n"/>
      <c r="BA3" s="3" t="n"/>
      <c r="BB3" s="3" t="n"/>
      <c r="BC3" s="3" t="n"/>
      <c r="BD3" s="3" t="n"/>
      <c r="BE3" s="3" t="n"/>
      <c r="BF3" s="3" t="n"/>
      <c r="BG3" s="3" t="n"/>
      <c r="BH3" s="3" t="n"/>
      <c r="BI3" s="3" t="n"/>
      <c r="BJ3" s="3" t="n"/>
      <c r="BK3" s="3" t="n"/>
      <c r="BL3" s="3" t="n"/>
      <c r="BM3" s="3" t="n"/>
      <c r="BN3" s="3" t="n"/>
      <c r="BO3" s="3" t="n"/>
      <c r="BP3" s="3" t="n"/>
      <c r="BQ3" s="3" t="n"/>
      <c r="BR3" s="3" t="n"/>
      <c r="BS3" s="3" t="n"/>
      <c r="BT3" s="3" t="n"/>
      <c r="BU3" s="3" t="n"/>
      <c r="BV3" s="3" t="n"/>
      <c r="BW3" s="3" t="n"/>
      <c r="BX3" s="3" t="n"/>
      <c r="BY3" s="3" t="n"/>
      <c r="BZ3" s="3" t="n"/>
      <c r="CA3" s="3" t="n"/>
      <c r="CB3" s="98" t="n"/>
      <c r="CC3" s="104" t="n"/>
      <c r="CD3" s="104" t="n"/>
      <c r="CE3" s="104" t="n"/>
      <c r="CF3" s="104" t="n"/>
      <c r="CG3" s="3" t="n"/>
      <c r="CH3" s="3" t="n"/>
      <c r="CI3" s="3" t="n"/>
      <c r="CJ3" s="3" t="n"/>
      <c r="CK3" s="3" t="n"/>
      <c r="CL3" s="3" t="n"/>
      <c r="CM3" s="3" t="n"/>
      <c r="CN3" s="3" t="n"/>
      <c r="CO3" s="3" t="n"/>
      <c r="CP3" s="3" t="n"/>
      <c r="CQ3" s="3" t="n"/>
    </row>
    <row r="4" customFormat="1" s="7">
      <c r="A4" s="276" t="n"/>
      <c r="B4" s="276" t="n"/>
      <c r="C4" s="276" t="n"/>
      <c r="D4" s="276" t="n"/>
      <c r="E4" s="276" t="n"/>
      <c r="F4" s="276" t="n"/>
      <c r="G4" s="276" t="n"/>
      <c r="H4" s="276" t="n"/>
      <c r="I4" s="276" t="n"/>
      <c r="J4" s="276" t="n"/>
      <c r="K4" s="276" t="n"/>
      <c r="L4" s="276" t="n"/>
      <c r="M4" s="276" t="n"/>
      <c r="N4" s="276" t="n"/>
      <c r="O4" s="276" t="n"/>
      <c r="P4" s="276" t="n"/>
      <c r="Q4" s="276" t="n"/>
      <c r="R4" s="276" t="n"/>
      <c r="S4" s="276" t="n"/>
      <c r="T4" s="276" t="n"/>
      <c r="U4" s="22" t="n"/>
      <c r="V4" s="276" t="n"/>
      <c r="W4" s="276" t="n"/>
      <c r="X4" s="276" t="n"/>
      <c r="Y4" s="276" t="n"/>
      <c r="Z4" s="276" t="n"/>
      <c r="AA4" s="276" t="n"/>
      <c r="AB4" s="22" t="n"/>
      <c r="AC4" s="277" t="n"/>
      <c r="AD4" s="277" t="n"/>
      <c r="AE4" s="277" t="n"/>
      <c r="AF4" s="277" t="n"/>
      <c r="AG4" s="22" t="n"/>
      <c r="AH4" s="277" t="n"/>
      <c r="AI4" s="277" t="n"/>
      <c r="AJ4" s="277" t="n"/>
      <c r="AK4" s="22" t="n"/>
      <c r="AL4" s="276" t="n"/>
      <c r="AM4" s="276" t="n"/>
      <c r="AN4" s="276" t="n"/>
      <c r="AO4" s="22" t="n"/>
      <c r="AP4" s="276" t="n"/>
      <c r="AQ4" s="276" t="n"/>
      <c r="AR4" s="276" t="n"/>
      <c r="AS4" s="22" t="n"/>
      <c r="AT4" s="3" t="n"/>
      <c r="AU4" s="3" t="n"/>
      <c r="AV4" s="3" t="n"/>
      <c r="AW4" s="3" t="n"/>
      <c r="AX4" s="3" t="n"/>
      <c r="AY4" s="3" t="n"/>
      <c r="AZ4" s="3" t="n"/>
      <c r="BA4" s="3" t="n"/>
      <c r="BB4" s="3" t="n"/>
      <c r="BC4" s="3" t="n"/>
      <c r="BD4" s="3" t="n"/>
      <c r="BE4" s="3" t="n"/>
      <c r="BF4" s="3" t="n"/>
      <c r="BG4" s="3" t="n"/>
      <c r="BH4" s="3" t="n"/>
      <c r="BI4" s="3" t="n"/>
      <c r="BJ4" s="3" t="n"/>
      <c r="BK4" s="3" t="n"/>
      <c r="BL4" s="3" t="n"/>
      <c r="BM4" s="3" t="n"/>
      <c r="BN4" s="3" t="n"/>
      <c r="BO4" s="3" t="n"/>
      <c r="BP4" s="3" t="n"/>
      <c r="BQ4" s="3" t="n"/>
      <c r="BR4" s="3" t="n"/>
      <c r="BS4" s="3" t="n"/>
      <c r="BT4" s="3" t="n"/>
      <c r="BU4" s="3" t="n"/>
      <c r="BV4" s="3" t="n"/>
      <c r="BW4" s="3" t="n"/>
      <c r="BX4" s="3" t="n"/>
      <c r="BY4" s="3" t="n"/>
      <c r="BZ4" s="3" t="n"/>
      <c r="CA4" s="3" t="n"/>
      <c r="CB4" s="98" t="n"/>
      <c r="CC4" s="104" t="n"/>
      <c r="CD4" s="104" t="n"/>
      <c r="CE4" s="104" t="n"/>
      <c r="CF4" s="104" t="n"/>
      <c r="CG4" s="3" t="n"/>
      <c r="CH4" s="3" t="n"/>
      <c r="CI4" s="3" t="n"/>
      <c r="CJ4" s="3" t="n"/>
      <c r="CK4" s="3" t="n"/>
      <c r="CL4" s="3" t="n"/>
      <c r="CM4" s="3" t="n"/>
      <c r="CN4" s="3" t="n"/>
      <c r="CO4" s="3" t="n"/>
      <c r="CP4" s="3" t="n"/>
      <c r="CQ4" s="3" t="n"/>
    </row>
    <row r="5" customFormat="1" s="7">
      <c r="A5" s="278" t="n"/>
      <c r="B5" s="278" t="n"/>
      <c r="C5" s="278" t="n"/>
      <c r="D5" s="278" t="n"/>
      <c r="E5" s="278" t="n"/>
      <c r="F5" s="278" t="n"/>
      <c r="G5" s="278" t="n"/>
      <c r="H5" s="276" t="n"/>
      <c r="I5" s="276" t="n"/>
      <c r="J5" s="278" t="n"/>
      <c r="K5" s="278" t="n"/>
      <c r="L5" s="278" t="n"/>
      <c r="M5" s="278" t="n"/>
      <c r="N5" s="278" t="n"/>
      <c r="O5" s="278" t="n"/>
      <c r="P5" s="278" t="n"/>
      <c r="Q5" s="278" t="n"/>
      <c r="R5" s="278" t="n"/>
      <c r="S5" s="278" t="n"/>
      <c r="T5" s="278" t="n"/>
      <c r="U5" s="22" t="n"/>
      <c r="V5" s="278" t="n"/>
      <c r="W5" s="278" t="n"/>
      <c r="X5" s="278" t="n"/>
      <c r="Y5" s="278" t="n"/>
      <c r="Z5" s="278" t="n"/>
      <c r="AA5" s="278" t="n"/>
      <c r="AB5" s="22" t="n"/>
      <c r="AC5" s="279" t="n"/>
      <c r="AD5" s="279" t="n"/>
      <c r="AE5" s="279" t="n"/>
      <c r="AF5" s="279" t="n"/>
      <c r="AG5" s="22" t="n"/>
      <c r="AH5" s="279" t="n"/>
      <c r="AI5" s="279" t="n"/>
      <c r="AJ5" s="279" t="n"/>
      <c r="AK5" s="22" t="n"/>
      <c r="AL5" s="278" t="n"/>
      <c r="AM5" s="278" t="n"/>
      <c r="AN5" s="278" t="n"/>
      <c r="AO5" s="22" t="n"/>
      <c r="AP5" s="278" t="n"/>
      <c r="AQ5" s="278" t="n"/>
      <c r="AR5" s="278" t="n"/>
      <c r="AS5" s="22" t="n"/>
      <c r="AU5" s="3" t="inlineStr">
        <is>
          <t>OPsRChng</t>
        </is>
      </c>
      <c r="AV5" s="3" t="inlineStr">
        <is>
          <t>OPsCChng</t>
        </is>
      </c>
      <c r="AW5" s="3" t="inlineStr">
        <is>
          <t>ud</t>
        </is>
      </c>
      <c r="AX5" s="3" t="inlineStr">
        <is>
          <t>JCOR</t>
        </is>
      </c>
      <c r="AY5" s="3" t="inlineStr">
        <is>
          <t>JCOP</t>
        </is>
      </c>
      <c r="AZ5" s="3" t="inlineStr">
        <is>
          <t>OPsRev</t>
        </is>
      </c>
      <c r="BA5" s="3" t="inlineStr">
        <is>
          <t>OPsCost</t>
        </is>
      </c>
      <c r="BB5" s="3" t="inlineStr">
        <is>
          <t>GAAPRev</t>
        </is>
      </c>
      <c r="BC5" s="3" t="inlineStr">
        <is>
          <t>GAAPCost</t>
        </is>
      </c>
      <c r="BD5" s="3" t="inlineStr">
        <is>
          <t>PriorOPsProfit</t>
        </is>
      </c>
      <c r="BE5" s="3" t="inlineStr">
        <is>
          <t>PriorBonusProfit</t>
        </is>
      </c>
      <c r="BF5" s="3" t="inlineStr">
        <is>
          <t>PriorGAAPProfit</t>
        </is>
      </c>
      <c r="BG5" s="3" t="n"/>
      <c r="BH5" s="3" t="inlineStr">
        <is>
          <t>PriorJTDOPsProfit</t>
        </is>
      </c>
      <c r="BI5" s="3" t="inlineStr">
        <is>
          <t>PriorJTDGAAPProfit</t>
        </is>
      </c>
      <c r="BJ5" s="3" t="inlineStr">
        <is>
          <t>OPSRevNotes</t>
        </is>
      </c>
      <c r="BK5" s="3" t="inlineStr">
        <is>
          <t>OPsCostNotes</t>
        </is>
      </c>
      <c r="BL5" s="3" t="inlineStr">
        <is>
          <t>GAAPRevNotes</t>
        </is>
      </c>
      <c r="BM5" s="3" t="inlineStr">
        <is>
          <t>GAAPCostNotes</t>
        </is>
      </c>
      <c r="BN5" s="3" t="inlineStr">
        <is>
          <t>GAAPRevComment</t>
        </is>
      </c>
      <c r="BO5" s="3" t="inlineStr">
        <is>
          <t>GAAPCostComment</t>
        </is>
      </c>
      <c r="BP5" s="3" t="inlineStr">
        <is>
          <t>OpsRevComment</t>
        </is>
      </c>
      <c r="BQ5" s="3" t="inlineStr">
        <is>
          <t>OpsCostComment</t>
        </is>
      </c>
      <c r="BR5" s="3" t="inlineStr">
        <is>
          <t>GAAPRevNew</t>
        </is>
      </c>
      <c r="BS5" s="3" t="inlineStr">
        <is>
          <t>GAAPCostNew</t>
        </is>
      </c>
      <c r="BT5" s="3" t="inlineStr">
        <is>
          <t>OpsRevNew</t>
        </is>
      </c>
      <c r="BU5" s="3" t="inlineStr">
        <is>
          <t>OpsCostNew</t>
        </is>
      </c>
      <c r="BV5" s="3" t="inlineStr">
        <is>
          <t>UserName</t>
        </is>
      </c>
      <c r="BW5" s="3" t="inlineStr">
        <is>
          <t>BatchSeq</t>
        </is>
      </c>
      <c r="BX5" s="3" t="n"/>
      <c r="BY5" s="3" t="n"/>
      <c r="BZ5" s="3" t="n"/>
      <c r="CA5" s="3" t="n"/>
      <c r="CB5" s="98" t="n"/>
      <c r="CC5" s="104" t="n"/>
      <c r="CD5" s="104" t="n"/>
      <c r="CE5" s="104" t="n"/>
      <c r="CF5" s="104" t="n"/>
      <c r="CG5" s="3" t="n"/>
      <c r="CH5" s="3" t="n"/>
      <c r="CI5" s="3" t="n"/>
      <c r="CJ5" s="3" t="n"/>
      <c r="CK5" s="3" t="n"/>
      <c r="CL5" s="3" t="n"/>
      <c r="CM5" s="3" t="n"/>
      <c r="CN5" s="3" t="n"/>
      <c r="CO5" s="3" t="n"/>
      <c r="CP5" s="3" t="n"/>
      <c r="CQ5" s="3" t="n"/>
    </row>
    <row r="6" ht="19.2" customHeight="1">
      <c r="A6" s="33" t="n"/>
      <c r="B6" s="94" t="n"/>
      <c r="C6" s="94" t="n"/>
      <c r="D6" s="86" t="n"/>
      <c r="E6" s="93" t="n"/>
      <c r="F6" s="96" t="n"/>
      <c r="G6" s="283">
        <f>'Jobs-Ops'!G6</f>
        <v/>
      </c>
      <c r="H6" s="114">
        <f>'Jobs-Ops'!H6</f>
        <v/>
      </c>
      <c r="I6" s="105" t="n"/>
      <c r="J6" s="102">
        <f>F6</f>
        <v/>
      </c>
      <c r="K6" s="95" t="n"/>
      <c r="L6" s="99" t="n"/>
      <c r="M6" s="8" t="n"/>
      <c r="N6" s="69">
        <f>M6</f>
        <v/>
      </c>
      <c r="O6" s="69" t="n"/>
      <c r="P6" s="100" t="n"/>
      <c r="Q6" s="9">
        <f>J6-N6</f>
        <v/>
      </c>
      <c r="R6" s="9">
        <f>IF(LEFT(B6,4)&lt;&gt;"    ",0,BI6)</f>
        <v/>
      </c>
      <c r="S6" s="9">
        <f>+Q6-R6</f>
        <v/>
      </c>
      <c r="T6" s="118">
        <f>IF('Jobs-Ops'!S6&lt;&gt; "",'Jobs-Ops'!S6,"")</f>
        <v/>
      </c>
      <c r="U6" s="10" t="n"/>
      <c r="V6" s="16">
        <f>IF(LEFT(B6,4)&lt;&gt;"    ","",IF(N6&lt;&gt;0,X6/N6,0))</f>
        <v/>
      </c>
      <c r="W6" s="11">
        <f>IF(LEFT(B6,4)&lt;&gt;"    ","",IF(V6&gt;=0.1,V6*J6,X6))</f>
        <v/>
      </c>
      <c r="X6" s="8" t="n"/>
      <c r="Y6" s="9">
        <f>IF(LEFT(B6,4)&lt;&gt;"    ",0,IF(Q6&lt;0,Q6,IF(V6&gt;0.1,W6-X6,0)))</f>
        <v/>
      </c>
      <c r="Z6" s="9">
        <f>IF(LEFT(B6,4)&lt;&gt;"    ",0,IF(V6&gt;0.1,BI6,0))</f>
        <v/>
      </c>
      <c r="AA6" s="9">
        <f>Y6-Z6</f>
        <v/>
      </c>
      <c r="AB6" s="10" t="n"/>
      <c r="AC6" s="24" t="n"/>
      <c r="AD6" s="11" t="n"/>
      <c r="AE6" s="8" t="n"/>
      <c r="AF6" s="9">
        <f>IF(LEFT(B6,4)&lt;&gt;"    ","",AD6-AE6)</f>
        <v/>
      </c>
      <c r="AG6" s="10" t="n"/>
      <c r="AH6" s="11">
        <f>IF(LEFT(B6,4)&lt;&gt;"    ","",W6-AD6)</f>
        <v/>
      </c>
      <c r="AI6" s="8">
        <f>IF(LEFT(B6,4)&lt;&gt;"    ","",X6-AE6)</f>
        <v/>
      </c>
      <c r="AJ6" s="9">
        <f>IF(LEFT(B6,4)&lt;&gt;"    ","",Y6-AF6)</f>
        <v/>
      </c>
      <c r="AK6" s="10" t="n"/>
      <c r="AL6" s="25">
        <f>IF(LEFT(B6,4)&lt;&gt;"    ","",J6-W6)</f>
        <v/>
      </c>
      <c r="AM6" s="25">
        <f>N6-X6</f>
        <v/>
      </c>
      <c r="AN6" s="25">
        <f>IF(LEFT(B6,4)&lt;&gt;"    ","",Q6-Y6)</f>
        <v/>
      </c>
      <c r="AO6" s="10" t="n"/>
      <c r="AP6" s="12" t="n"/>
      <c r="AQ6" s="12">
        <f>IF(LEFT(B6,4)&lt;&gt;"    ","",IF(W6-AP6&gt;=0,W6-AP6," "))</f>
        <v/>
      </c>
      <c r="AR6" s="12">
        <f>IF(LEFT(B6,4)&lt;&gt;"    ","",IF(AP6-W6&gt;=0,AP6-W6," "))</f>
        <v/>
      </c>
      <c r="AS6" s="34" t="n"/>
      <c r="AT6" s="73" t="n"/>
      <c r="AU6" s="77" t="inlineStr">
        <is>
          <t>T</t>
        </is>
      </c>
      <c r="AV6" s="77" t="inlineStr">
        <is>
          <t>T</t>
        </is>
      </c>
      <c r="AW6" s="78" t="inlineStr">
        <is>
          <t>T</t>
        </is>
      </c>
      <c r="AX6" s="79" t="inlineStr">
        <is>
          <t>T</t>
        </is>
      </c>
      <c r="AY6" s="79" t="inlineStr">
        <is>
          <t>T</t>
        </is>
      </c>
      <c r="AZ6" s="77" t="n"/>
      <c r="BA6" s="77" t="n"/>
      <c r="BB6" s="97" t="n"/>
      <c r="BC6" s="97" t="n"/>
      <c r="BD6" s="77" t="n"/>
      <c r="BE6" s="77" t="n"/>
      <c r="BF6" s="77" t="n"/>
      <c r="BG6" s="77" t="n"/>
      <c r="BH6" s="77" t="n"/>
      <c r="BI6" s="77" t="n"/>
      <c r="BJ6" s="77" t="n"/>
      <c r="BK6" s="77" t="n"/>
      <c r="BL6" s="77" t="n"/>
      <c r="BM6" s="77" t="n"/>
      <c r="BN6" s="77" t="n"/>
      <c r="BO6" s="77" t="n"/>
      <c r="BP6" s="77" t="n"/>
      <c r="BQ6" s="77" t="n"/>
      <c r="BR6" s="151">
        <f>J6</f>
        <v/>
      </c>
      <c r="BS6" s="151">
        <f>N6</f>
        <v/>
      </c>
      <c r="BT6" s="77" t="n"/>
      <c r="BU6" s="77" t="n"/>
      <c r="BV6" s="80" t="n"/>
    </row>
    <row r="7" ht="14.1" customHeight="1">
      <c r="A7" s="197" t="n"/>
      <c r="B7" s="198" t="n"/>
      <c r="C7" s="198" t="n"/>
      <c r="D7" s="179" t="n"/>
      <c r="E7" s="180" t="n"/>
      <c r="F7" s="181" t="n"/>
      <c r="G7" s="284">
        <f>'Jobs-Ops'!G7</f>
        <v/>
      </c>
      <c r="H7" s="114">
        <f>'Jobs-Ops'!H7</f>
        <v/>
      </c>
      <c r="I7" s="105" t="n"/>
      <c r="J7" s="183">
        <f>F7</f>
        <v/>
      </c>
      <c r="K7" s="184" t="n"/>
      <c r="L7" s="185" t="n"/>
      <c r="M7" s="8" t="n"/>
      <c r="N7" s="184">
        <f>M7</f>
        <v/>
      </c>
      <c r="O7" s="71" t="n"/>
      <c r="P7" s="101" t="n"/>
      <c r="Q7" s="9">
        <f>J7-N7</f>
        <v/>
      </c>
      <c r="R7" s="9">
        <f>IF(LEFT(B7,4)&lt;&gt;"    ",0,BI7)</f>
        <v/>
      </c>
      <c r="S7" s="9">
        <f>+Q7-R7</f>
        <v/>
      </c>
      <c r="T7" s="200">
        <f>IF('Jobs-Ops'!S7&lt;&gt; "",'Jobs-Ops'!S7,"")</f>
        <v/>
      </c>
      <c r="U7" s="10" t="n"/>
      <c r="V7" s="23">
        <f>IF(LEFT(B7,4)&lt;&gt;"    ","",IF(N7&lt;&gt;0,X7/N7,0))</f>
        <v/>
      </c>
      <c r="W7" s="11">
        <f>IF(LEFT(B7,4)&lt;&gt;"    ","",IF(V7&gt;=0.1,V7*J7,X7))</f>
        <v/>
      </c>
      <c r="X7" s="8" t="n"/>
      <c r="Y7" s="9">
        <f>IF(LEFT(B7,4)&lt;&gt;"    ",0,IF(Q7&lt;0,Q7,IF(V7&gt;0.1,W7-X7,0)))</f>
        <v/>
      </c>
      <c r="Z7" s="9">
        <f>IF(LEFT(B7,4)&lt;&gt;"    ",0,IF(V7&gt;0.1,BI7,0))</f>
        <v/>
      </c>
      <c r="AA7" s="9">
        <f>Y7-Z7</f>
        <v/>
      </c>
      <c r="AB7" s="10" t="n"/>
      <c r="AC7" s="24" t="n"/>
      <c r="AD7" s="11" t="n"/>
      <c r="AE7" s="8" t="n"/>
      <c r="AF7" s="9">
        <f>IF(LEFT(B7,4)&lt;&gt;"    ","",AD7-AE7)</f>
        <v/>
      </c>
      <c r="AG7" s="10" t="n"/>
      <c r="AH7" s="11">
        <f>IF(LEFT(B7,4)&lt;&gt;"    ","",W7-AD7)</f>
        <v/>
      </c>
      <c r="AI7" s="8">
        <f>IF(LEFT(B7,4)&lt;&gt;"    ","",X7-AE7)</f>
        <v/>
      </c>
      <c r="AJ7" s="9">
        <f>IF(LEFT(B7,4)&lt;&gt;"    ","",Y7-AF7)</f>
        <v/>
      </c>
      <c r="AK7" s="10" t="n"/>
      <c r="AL7" s="25">
        <f>IF(LEFT(B7,4)&lt;&gt;"    ","",J7-W7)</f>
        <v/>
      </c>
      <c r="AM7" s="25">
        <f>N7-X7</f>
        <v/>
      </c>
      <c r="AN7" s="25">
        <f>IF(LEFT(B7,4)&lt;&gt;"    ","",Q7-Y7)</f>
        <v/>
      </c>
      <c r="AO7" s="10" t="n"/>
      <c r="AP7" s="12" t="n"/>
      <c r="AQ7" s="12">
        <f>IF(LEFT(B7,4)&lt;&gt;"    ","",IF(W7-AP7&gt;=0,W7-AP7," "))</f>
        <v/>
      </c>
      <c r="AR7" s="12">
        <f>IF(LEFT(B7,4)&lt;&gt;"    ","",IF(AP7-W7&gt;=0,AP7-W7," "))</f>
        <v/>
      </c>
      <c r="AS7" s="186" t="n"/>
      <c r="AT7" s="187" t="n"/>
      <c r="AU7" s="186" t="n"/>
      <c r="AV7" s="186" t="n"/>
      <c r="AW7" s="188" t="n"/>
      <c r="AX7" s="187" t="n"/>
      <c r="AY7" s="187" t="n"/>
      <c r="AZ7" s="186" t="n"/>
      <c r="BA7" s="186" t="n"/>
      <c r="BB7" s="186" t="n"/>
      <c r="BC7" s="186" t="n"/>
      <c r="BD7" s="186" t="n"/>
      <c r="BE7" s="186" t="n"/>
      <c r="BF7" s="186" t="n"/>
      <c r="BG7" s="186" t="n"/>
      <c r="BH7" s="186" t="n"/>
      <c r="BI7" s="186" t="n"/>
      <c r="BJ7" s="186" t="n"/>
      <c r="BK7" s="186" t="n"/>
      <c r="BL7" s="186" t="n"/>
      <c r="BM7" s="186" t="n"/>
      <c r="BN7" s="186" t="n"/>
      <c r="BO7" s="186" t="n"/>
      <c r="BP7" s="186" t="n"/>
      <c r="BQ7" s="186" t="n"/>
      <c r="BR7" s="189" t="n"/>
      <c r="BS7" s="189" t="n"/>
      <c r="BT7" s="186" t="n"/>
      <c r="BU7" s="186" t="n"/>
      <c r="BV7" s="190" t="n"/>
      <c r="BW7" s="186" t="n"/>
      <c r="BX7" s="186" t="n"/>
      <c r="BY7" s="186" t="n"/>
      <c r="BZ7" s="186" t="n"/>
      <c r="CA7" s="186" t="n"/>
      <c r="CB7" s="187" t="n"/>
      <c r="CC7" s="192" t="n"/>
      <c r="CD7" s="192" t="n"/>
      <c r="CE7" s="192" t="n"/>
      <c r="CF7" s="192" t="n"/>
    </row>
    <row r="8">
      <c r="A8" s="197" t="n"/>
      <c r="B8" s="198" t="n"/>
      <c r="C8" s="198" t="n"/>
      <c r="D8" s="179" t="n"/>
      <c r="E8" s="180" t="n"/>
      <c r="F8" s="181" t="n"/>
      <c r="G8" s="284">
        <f>'Jobs-Ops'!G8</f>
        <v/>
      </c>
      <c r="H8" s="114">
        <f>'Jobs-Ops'!H8</f>
        <v/>
      </c>
      <c r="I8" s="105" t="n"/>
      <c r="J8" s="183">
        <f>F8</f>
        <v/>
      </c>
      <c r="K8" s="184" t="n"/>
      <c r="L8" s="185" t="n"/>
      <c r="M8" s="8" t="n"/>
      <c r="N8" s="184">
        <f>M8</f>
        <v/>
      </c>
      <c r="O8" s="72" t="n"/>
      <c r="P8" s="101" t="n"/>
      <c r="Q8" s="9">
        <f>J8-N8</f>
        <v/>
      </c>
      <c r="R8" s="9">
        <f>IF(LEFT(B8,4)&lt;&gt;"    ",0,BI8)</f>
        <v/>
      </c>
      <c r="S8" s="9">
        <f>+Q8-R8</f>
        <v/>
      </c>
      <c r="T8" s="200">
        <f>IF('Jobs-Ops'!S8&lt;&gt; "",'Jobs-Ops'!S8,"")</f>
        <v/>
      </c>
      <c r="U8" s="10" t="n"/>
      <c r="V8" s="23">
        <f>IF(LEFT(B8,4)&lt;&gt;"    ","",IF(N8&lt;&gt;0,X8/N8,0))</f>
        <v/>
      </c>
      <c r="W8" s="11">
        <f>IF(LEFT(B8,4)&lt;&gt;"    ","",IF(V8&gt;=0.1,V8*J8,X8))</f>
        <v/>
      </c>
      <c r="X8" s="8" t="n"/>
      <c r="Y8" s="9">
        <f>IF(LEFT(B8,4)&lt;&gt;"    ",0,IF(Q8&lt;0,Q8,IF(V8&gt;0.1,W8-X8,0)))</f>
        <v/>
      </c>
      <c r="Z8" s="9">
        <f>IF(LEFT(B8,4)&lt;&gt;"    ",0,IF(V8&gt;0.1,BI8,0))</f>
        <v/>
      </c>
      <c r="AA8" s="9">
        <f>Y8-Z8</f>
        <v/>
      </c>
      <c r="AB8" s="10" t="n"/>
      <c r="AC8" s="24" t="n"/>
      <c r="AD8" s="11" t="n"/>
      <c r="AE8" s="8" t="n"/>
      <c r="AF8" s="9">
        <f>IF(LEFT(B8,4)&lt;&gt;"    ","",AD8-AE8)</f>
        <v/>
      </c>
      <c r="AG8" s="10" t="n"/>
      <c r="AH8" s="11">
        <f>IF(LEFT(B8,4)&lt;&gt;"    ","",W8-AD8)</f>
        <v/>
      </c>
      <c r="AI8" s="8">
        <f>IF(LEFT(B8,4)&lt;&gt;"    ","",X8-AE8)</f>
        <v/>
      </c>
      <c r="AJ8" s="9">
        <f>IF(LEFT(B8,4)&lt;&gt;"    ","",Y8-AF8)</f>
        <v/>
      </c>
      <c r="AK8" s="10" t="n"/>
      <c r="AL8" s="25">
        <f>IF(LEFT(B8,4)&lt;&gt;"    ","",J8-W8)</f>
        <v/>
      </c>
      <c r="AM8" s="25">
        <f>N8-X8</f>
        <v/>
      </c>
      <c r="AN8" s="25">
        <f>IF(LEFT(B8,4)&lt;&gt;"    ","",Q8-Y8)</f>
        <v/>
      </c>
      <c r="AO8" s="10" t="n"/>
      <c r="AP8" s="12" t="n"/>
      <c r="AQ8" s="12">
        <f>IF(LEFT(B8,4)&lt;&gt;"    ","",IF(W8-AP8&gt;=0,W8-AP8," "))</f>
        <v/>
      </c>
      <c r="AR8" s="12">
        <f>IF(LEFT(B8,4)&lt;&gt;"    ","",IF(AP8-W8&gt;=0,AP8-W8," "))</f>
        <v/>
      </c>
      <c r="AS8" s="186" t="n"/>
      <c r="AT8" s="187" t="n"/>
      <c r="AU8" s="186" t="n"/>
      <c r="AV8" s="186" t="n"/>
      <c r="AW8" s="188" t="n"/>
      <c r="AX8" s="187" t="n"/>
      <c r="AY8" s="187" t="n"/>
      <c r="AZ8" s="186" t="n"/>
      <c r="BA8" s="186" t="n"/>
      <c r="BB8" s="186" t="n"/>
      <c r="BC8" s="186" t="n"/>
      <c r="BD8" s="186" t="n"/>
      <c r="BE8" s="186" t="n"/>
      <c r="BF8" s="186" t="n"/>
      <c r="BG8" s="186" t="n"/>
      <c r="BH8" s="186" t="n"/>
      <c r="BI8" s="186" t="n"/>
      <c r="BJ8" s="186" t="n"/>
      <c r="BK8" s="186" t="n"/>
      <c r="BL8" s="186" t="n"/>
      <c r="BM8" s="186" t="n"/>
      <c r="BN8" s="186" t="n"/>
      <c r="BO8" s="186" t="n"/>
      <c r="BP8" s="186" t="n"/>
      <c r="BQ8" s="186" t="n"/>
      <c r="BR8" s="189" t="n"/>
      <c r="BS8" s="189" t="n"/>
      <c r="BT8" s="186" t="n"/>
      <c r="BU8" s="186" t="n"/>
      <c r="BV8" s="190" t="n"/>
      <c r="BW8" s="186" t="n"/>
      <c r="BX8" s="186" t="n"/>
      <c r="BY8" s="186" t="n"/>
      <c r="BZ8" s="186" t="n"/>
      <c r="CA8" s="186" t="n"/>
      <c r="CB8" s="187" t="n"/>
      <c r="CC8" s="192" t="n"/>
      <c r="CD8" s="192" t="n"/>
      <c r="CE8" s="192" t="n"/>
      <c r="CF8" s="192" t="n"/>
    </row>
    <row r="9">
      <c r="A9" s="197" t="n"/>
      <c r="B9" s="198" t="n"/>
      <c r="C9" s="198" t="n"/>
      <c r="D9" s="179" t="n"/>
      <c r="E9" s="180" t="n"/>
      <c r="F9" s="181" t="n"/>
      <c r="G9" s="284">
        <f>'Jobs-Ops'!G9</f>
        <v/>
      </c>
      <c r="H9" s="114">
        <f>'Jobs-Ops'!H9</f>
        <v/>
      </c>
      <c r="I9" s="105" t="n"/>
      <c r="J9" s="183">
        <f>F9</f>
        <v/>
      </c>
      <c r="K9" s="193" t="n"/>
      <c r="L9" s="185" t="n"/>
      <c r="M9" s="8" t="n"/>
      <c r="N9" s="184">
        <f>M9</f>
        <v/>
      </c>
      <c r="O9" s="72" t="n"/>
      <c r="P9" s="101" t="n"/>
      <c r="Q9" s="9">
        <f>J9-N9</f>
        <v/>
      </c>
      <c r="R9" s="9">
        <f>IF(LEFT(B9,4)&lt;&gt;"    ",0,BI9)</f>
        <v/>
      </c>
      <c r="S9" s="9">
        <f>+Q9-R9</f>
        <v/>
      </c>
      <c r="T9" s="200">
        <f>IF('Jobs-Ops'!S9&lt;&gt; "",'Jobs-Ops'!S9,"")</f>
        <v/>
      </c>
      <c r="U9" s="10" t="n"/>
      <c r="V9" s="23">
        <f>IF(LEFT(B9,4)&lt;&gt;"    ","",IF(N9&lt;&gt;0,X9/N9,0))</f>
        <v/>
      </c>
      <c r="W9" s="11">
        <f>IF(LEFT(B9,4)&lt;&gt;"    ","",IF(V9&gt;=0.1,V9*J9,X9))</f>
        <v/>
      </c>
      <c r="X9" s="8" t="n"/>
      <c r="Y9" s="9">
        <f>IF(LEFT(B9,4)&lt;&gt;"    ",0,IF(Q9&lt;0,Q9,IF(V9&gt;0.1,W9-X9,0)))</f>
        <v/>
      </c>
      <c r="Z9" s="9">
        <f>IF(LEFT(B9,4)&lt;&gt;"    ",0,IF(V9&gt;0.1,BI9,0))</f>
        <v/>
      </c>
      <c r="AA9" s="9">
        <f>Y9-Z9</f>
        <v/>
      </c>
      <c r="AB9" s="10" t="n"/>
      <c r="AC9" s="24" t="n"/>
      <c r="AD9" s="11" t="n"/>
      <c r="AE9" s="8" t="n"/>
      <c r="AF9" s="9">
        <f>IF(LEFT(B9,4)&lt;&gt;"    ","",AD9-AE9)</f>
        <v/>
      </c>
      <c r="AG9" s="10" t="n"/>
      <c r="AH9" s="11">
        <f>IF(LEFT(B9,4)&lt;&gt;"    ","",W9-AD9)</f>
        <v/>
      </c>
      <c r="AI9" s="8">
        <f>IF(LEFT(B9,4)&lt;&gt;"    ","",X9-AE9)</f>
        <v/>
      </c>
      <c r="AJ9" s="9">
        <f>IF(LEFT(B9,4)&lt;&gt;"    ","",Y9-AF9)</f>
        <v/>
      </c>
      <c r="AK9" s="10" t="n"/>
      <c r="AL9" s="25">
        <f>IF(LEFT(B9,4)&lt;&gt;"    ","",J9-W9)</f>
        <v/>
      </c>
      <c r="AM9" s="25">
        <f>N9-X9</f>
        <v/>
      </c>
      <c r="AN9" s="25">
        <f>IF(LEFT(B9,4)&lt;&gt;"    ","",Q9-Y9)</f>
        <v/>
      </c>
      <c r="AO9" s="10" t="n"/>
      <c r="AP9" s="12" t="n"/>
      <c r="AQ9" s="12">
        <f>IF(LEFT(B9,4)&lt;&gt;"    ","",IF(W9-AP9&gt;=0,W9-AP9," "))</f>
        <v/>
      </c>
      <c r="AR9" s="12">
        <f>IF(LEFT(B9,4)&lt;&gt;"    ","",IF(AP9-W9&gt;=0,AP9-W9," "))</f>
        <v/>
      </c>
      <c r="AS9" s="186" t="n"/>
      <c r="AT9" s="187" t="n"/>
      <c r="AU9" s="186" t="n"/>
      <c r="AV9" s="186" t="n"/>
      <c r="AW9" s="188" t="n"/>
      <c r="AX9" s="187" t="n"/>
      <c r="AY9" s="187" t="n"/>
      <c r="AZ9" s="186" t="n"/>
      <c r="BA9" s="186" t="n"/>
      <c r="BB9" s="186" t="n"/>
      <c r="BC9" s="186" t="n"/>
      <c r="BD9" s="186" t="n"/>
      <c r="BE9" s="186" t="n"/>
      <c r="BF9" s="186" t="n"/>
      <c r="BG9" s="186" t="n"/>
      <c r="BH9" s="186" t="n"/>
      <c r="BI9" s="186" t="n"/>
      <c r="BJ9" s="186" t="n"/>
      <c r="BK9" s="186" t="n"/>
      <c r="BL9" s="186" t="n"/>
      <c r="BM9" s="186" t="n"/>
      <c r="BN9" s="186" t="n"/>
      <c r="BO9" s="186" t="n"/>
      <c r="BP9" s="186" t="n"/>
      <c r="BQ9" s="186" t="n"/>
      <c r="BR9" s="189" t="n"/>
      <c r="BS9" s="189" t="n"/>
      <c r="BT9" s="186" t="n"/>
      <c r="BU9" s="186" t="n"/>
      <c r="BV9" s="190" t="n"/>
      <c r="BW9" s="186" t="n"/>
      <c r="BX9" s="192" t="n"/>
      <c r="BY9" s="192" t="n"/>
      <c r="BZ9" s="192" t="n"/>
      <c r="CA9" s="192" t="n"/>
      <c r="CB9" s="187" t="n"/>
      <c r="CC9" s="192" t="n"/>
      <c r="CD9" s="192" t="n"/>
      <c r="CE9" s="192" t="n"/>
      <c r="CF9" s="192" t="n"/>
    </row>
    <row r="10">
      <c r="A10" s="197" t="n"/>
      <c r="B10" s="198" t="n"/>
      <c r="C10" s="198" t="n"/>
      <c r="D10" s="179" t="n"/>
      <c r="E10" s="180" t="n"/>
      <c r="F10" s="181" t="n"/>
      <c r="G10" s="284">
        <f>'Jobs-Ops'!G10</f>
        <v/>
      </c>
      <c r="H10" s="114">
        <f>'Jobs-Ops'!H10</f>
        <v/>
      </c>
      <c r="I10" s="105" t="n"/>
      <c r="J10" s="183">
        <f>F10</f>
        <v/>
      </c>
      <c r="K10" s="193" t="n"/>
      <c r="L10" s="185" t="n"/>
      <c r="M10" s="8" t="n"/>
      <c r="N10" s="184">
        <f>M10</f>
        <v/>
      </c>
      <c r="O10" s="72" t="n"/>
      <c r="P10" s="101" t="n"/>
      <c r="Q10" s="9">
        <f>J10-N10</f>
        <v/>
      </c>
      <c r="R10" s="9">
        <f>IF(LEFT(B10,4)&lt;&gt;"    ",0,BI10)</f>
        <v/>
      </c>
      <c r="S10" s="9">
        <f>+Q10-R10</f>
        <v/>
      </c>
      <c r="T10" s="200">
        <f>IF('Jobs-Ops'!S10&lt;&gt; "",'Jobs-Ops'!S10,"")</f>
        <v/>
      </c>
      <c r="U10" s="10" t="n"/>
      <c r="V10" s="23">
        <f>IF(LEFT(B10,4)&lt;&gt;"    ","",IF(N10&lt;&gt;0,X10/N10,0))</f>
        <v/>
      </c>
      <c r="W10" s="11">
        <f>IF(LEFT(B10,4)&lt;&gt;"    ","",IF(V10&gt;=0.1,V10*J10,X10))</f>
        <v/>
      </c>
      <c r="X10" s="8" t="n"/>
      <c r="Y10" s="9">
        <f>IF(LEFT(B10,4)&lt;&gt;"    ",0,IF(Q10&lt;0,Q10,IF(V10&gt;0.1,W10-X10,0)))</f>
        <v/>
      </c>
      <c r="Z10" s="9">
        <f>IF(LEFT(B10,4)&lt;&gt;"    ",0,IF(V10&gt;0.1,BI10,0))</f>
        <v/>
      </c>
      <c r="AA10" s="9">
        <f>Y10-Z10</f>
        <v/>
      </c>
      <c r="AB10" s="10" t="n"/>
      <c r="AC10" s="24" t="n"/>
      <c r="AD10" s="11" t="n"/>
      <c r="AE10" s="8" t="n"/>
      <c r="AF10" s="9">
        <f>IF(LEFT(B10,4)&lt;&gt;"    ","",AD10-AE10)</f>
        <v/>
      </c>
      <c r="AG10" s="10" t="n"/>
      <c r="AH10" s="11">
        <f>IF(LEFT(B10,4)&lt;&gt;"    ","",W10-AD10)</f>
        <v/>
      </c>
      <c r="AI10" s="8">
        <f>IF(LEFT(B10,4)&lt;&gt;"    ","",X10-AE10)</f>
        <v/>
      </c>
      <c r="AJ10" s="9">
        <f>IF(LEFT(B10,4)&lt;&gt;"    ","",Y10-AF10)</f>
        <v/>
      </c>
      <c r="AK10" s="10" t="n"/>
      <c r="AL10" s="25">
        <f>IF(LEFT(B10,4)&lt;&gt;"    ","",J10-W10)</f>
        <v/>
      </c>
      <c r="AM10" s="25">
        <f>N10-X10</f>
        <v/>
      </c>
      <c r="AN10" s="25">
        <f>IF(LEFT(B10,4)&lt;&gt;"    ","",Q10-Y10)</f>
        <v/>
      </c>
      <c r="AO10" s="10" t="n"/>
      <c r="AP10" s="12" t="n"/>
      <c r="AQ10" s="12">
        <f>IF(LEFT(B10,4)&lt;&gt;"    ","",IF(W10-AP10&gt;=0,W10-AP10," "))</f>
        <v/>
      </c>
      <c r="AR10" s="12">
        <f>IF(LEFT(B10,4)&lt;&gt;"    ","",IF(AP10-W10&gt;=0,AP10-W10," "))</f>
        <v/>
      </c>
      <c r="AS10" s="186" t="n"/>
      <c r="AT10" s="187" t="n"/>
      <c r="AU10" s="186" t="n"/>
      <c r="AV10" s="186" t="n"/>
      <c r="AW10" s="188" t="n"/>
      <c r="AX10" s="187" t="n"/>
      <c r="AY10" s="187" t="n"/>
      <c r="AZ10" s="186" t="n"/>
      <c r="BA10" s="186" t="n"/>
      <c r="BB10" s="186" t="n"/>
      <c r="BC10" s="186" t="n"/>
      <c r="BD10" s="186" t="n"/>
      <c r="BE10" s="186" t="n"/>
      <c r="BF10" s="186" t="n"/>
      <c r="BG10" s="186" t="n"/>
      <c r="BH10" s="186" t="n"/>
      <c r="BI10" s="186" t="n"/>
      <c r="BJ10" s="186" t="n"/>
      <c r="BK10" s="186" t="n"/>
      <c r="BL10" s="186" t="n"/>
      <c r="BM10" s="186" t="n"/>
      <c r="BN10" s="186" t="n"/>
      <c r="BO10" s="186" t="n"/>
      <c r="BP10" s="186" t="n"/>
      <c r="BQ10" s="186" t="n"/>
      <c r="BR10" s="189" t="n"/>
      <c r="BS10" s="189" t="n"/>
      <c r="BT10" s="186" t="n"/>
      <c r="BU10" s="186" t="n"/>
      <c r="BV10" s="190" t="n"/>
      <c r="BW10" s="186" t="n"/>
      <c r="BX10" s="192" t="n"/>
      <c r="BY10" s="192" t="n"/>
      <c r="BZ10" s="192" t="n"/>
      <c r="CA10" s="192" t="n"/>
      <c r="CB10" s="187" t="n"/>
      <c r="CC10" s="192" t="n"/>
      <c r="CD10" s="192" t="n"/>
      <c r="CE10" s="192" t="n"/>
      <c r="CF10" s="192" t="n"/>
    </row>
    <row r="11">
      <c r="A11" s="197" t="n"/>
      <c r="B11" s="198" t="n"/>
      <c r="C11" s="198" t="n"/>
      <c r="D11" s="179" t="n"/>
      <c r="E11" s="180" t="n"/>
      <c r="F11" s="181" t="n"/>
      <c r="G11" s="284">
        <f>'Jobs-Ops'!G11</f>
        <v/>
      </c>
      <c r="H11" s="114">
        <f>'Jobs-Ops'!H11</f>
        <v/>
      </c>
      <c r="I11" s="105" t="n"/>
      <c r="J11" s="183">
        <f>F11</f>
        <v/>
      </c>
      <c r="K11" s="193" t="n"/>
      <c r="L11" s="185" t="n"/>
      <c r="M11" s="8" t="n"/>
      <c r="N11" s="184">
        <f>M11</f>
        <v/>
      </c>
      <c r="O11" s="72" t="n"/>
      <c r="P11" s="101" t="n"/>
      <c r="Q11" s="9">
        <f>J11-N11</f>
        <v/>
      </c>
      <c r="R11" s="9">
        <f>IF(LEFT(B11,4)&lt;&gt;"    ",0,BI11)</f>
        <v/>
      </c>
      <c r="S11" s="9">
        <f>+Q11-R11</f>
        <v/>
      </c>
      <c r="T11" s="200">
        <f>IF('Jobs-Ops'!S11&lt;&gt; "",'Jobs-Ops'!S11,"")</f>
        <v/>
      </c>
      <c r="U11" s="10" t="n"/>
      <c r="V11" s="23">
        <f>IF(LEFT(B11,4)&lt;&gt;"    ","",IF(N11&lt;&gt;0,X11/N11,0))</f>
        <v/>
      </c>
      <c r="W11" s="11">
        <f>IF(LEFT(B11,4)&lt;&gt;"    ","",IF(V11&gt;=0.1,V11*J11,X11))</f>
        <v/>
      </c>
      <c r="X11" s="8" t="n"/>
      <c r="Y11" s="9">
        <f>IF(LEFT(B11,4)&lt;&gt;"    ",0,IF(Q11&lt;0,Q11,IF(V11&gt;0.1,W11-X11,0)))</f>
        <v/>
      </c>
      <c r="Z11" s="9">
        <f>IF(LEFT(B11,4)&lt;&gt;"    ",0,IF(V11&gt;0.1,BI11,0))</f>
        <v/>
      </c>
      <c r="AA11" s="9">
        <f>Y11-Z11</f>
        <v/>
      </c>
      <c r="AB11" s="10" t="n"/>
      <c r="AC11" s="24" t="n"/>
      <c r="AD11" s="11" t="n"/>
      <c r="AE11" s="8" t="n"/>
      <c r="AF11" s="9">
        <f>IF(LEFT(B11,4)&lt;&gt;"    ","",AD11-AE11)</f>
        <v/>
      </c>
      <c r="AG11" s="10" t="n"/>
      <c r="AH11" s="11">
        <f>IF(LEFT(B11,4)&lt;&gt;"    ","",W11-AD11)</f>
        <v/>
      </c>
      <c r="AI11" s="8">
        <f>IF(LEFT(B11,4)&lt;&gt;"    ","",X11-AE11)</f>
        <v/>
      </c>
      <c r="AJ11" s="9">
        <f>IF(LEFT(B11,4)&lt;&gt;"    ","",Y11-AF11)</f>
        <v/>
      </c>
      <c r="AK11" s="10" t="n"/>
      <c r="AL11" s="25">
        <f>IF(LEFT(B11,4)&lt;&gt;"    ","",J11-W11)</f>
        <v/>
      </c>
      <c r="AM11" s="25">
        <f>N11-X11</f>
        <v/>
      </c>
      <c r="AN11" s="25">
        <f>IF(LEFT(B11,4)&lt;&gt;"    ","",Q11-Y11)</f>
        <v/>
      </c>
      <c r="AO11" s="10" t="n"/>
      <c r="AP11" s="12" t="n"/>
      <c r="AQ11" s="12">
        <f>IF(LEFT(B11,4)&lt;&gt;"    ","",IF(W11-AP11&gt;=0,W11-AP11," "))</f>
        <v/>
      </c>
      <c r="AR11" s="12">
        <f>IF(LEFT(B11,4)&lt;&gt;"    ","",IF(AP11-W11&gt;=0,AP11-W11," "))</f>
        <v/>
      </c>
      <c r="AS11" s="186" t="n"/>
      <c r="AT11" s="187" t="n"/>
      <c r="AU11" s="186" t="n"/>
      <c r="AV11" s="186" t="n"/>
      <c r="AW11" s="188" t="n"/>
      <c r="AX11" s="187" t="n"/>
      <c r="AY11" s="187" t="n"/>
      <c r="AZ11" s="186" t="n"/>
      <c r="BA11" s="186" t="n"/>
      <c r="BB11" s="186" t="n"/>
      <c r="BC11" s="186" t="n"/>
      <c r="BD11" s="186" t="n"/>
      <c r="BE11" s="194" t="n"/>
      <c r="BF11" s="186" t="n"/>
      <c r="BG11" s="186" t="n"/>
      <c r="BH11" s="186" t="n"/>
      <c r="BI11" s="186" t="n"/>
      <c r="BJ11" s="186" t="n"/>
      <c r="BK11" s="186" t="n"/>
      <c r="BL11" s="186" t="n"/>
      <c r="BM11" s="186" t="n"/>
      <c r="BN11" s="186" t="n"/>
      <c r="BO11" s="186" t="n"/>
      <c r="BP11" s="186" t="n"/>
      <c r="BQ11" s="186" t="n"/>
      <c r="BR11" s="189" t="n"/>
      <c r="BS11" s="189" t="n"/>
      <c r="BT11" s="186" t="n"/>
      <c r="BU11" s="186" t="n"/>
      <c r="BV11" s="190" t="n"/>
      <c r="BW11" s="186" t="n"/>
      <c r="BX11" s="186" t="n"/>
      <c r="BY11" s="186" t="n"/>
      <c r="BZ11" s="186" t="n"/>
      <c r="CA11" s="186" t="n"/>
      <c r="CB11" s="187" t="n"/>
      <c r="CC11" s="192" t="n"/>
      <c r="CD11" s="192" t="n"/>
      <c r="CE11" s="192" t="n"/>
      <c r="CF11" s="192" t="n"/>
    </row>
    <row r="12">
      <c r="A12" s="197" t="n"/>
      <c r="B12" s="198" t="n"/>
      <c r="C12" s="198" t="n"/>
      <c r="D12" s="179" t="n"/>
      <c r="E12" s="180" t="n"/>
      <c r="F12" s="181" t="n"/>
      <c r="G12" s="284">
        <f>'Jobs-Ops'!G12</f>
        <v/>
      </c>
      <c r="H12" s="114">
        <f>'Jobs-Ops'!H12</f>
        <v/>
      </c>
      <c r="I12" s="105" t="n"/>
      <c r="J12" s="183">
        <f>F12</f>
        <v/>
      </c>
      <c r="K12" s="193" t="n"/>
      <c r="L12" s="185" t="n"/>
      <c r="M12" s="8" t="n"/>
      <c r="N12" s="184">
        <f>M12</f>
        <v/>
      </c>
      <c r="O12" s="71" t="n"/>
      <c r="P12" s="101" t="n"/>
      <c r="Q12" s="9">
        <f>J12-N12</f>
        <v/>
      </c>
      <c r="R12" s="9">
        <f>IF(LEFT(B12,4)&lt;&gt;"    ",0,BI12)</f>
        <v/>
      </c>
      <c r="S12" s="9">
        <f>+Q12-R12</f>
        <v/>
      </c>
      <c r="T12" s="200">
        <f>IF('Jobs-Ops'!S12&lt;&gt; "",'Jobs-Ops'!S12,"")</f>
        <v/>
      </c>
      <c r="U12" s="10" t="n"/>
      <c r="V12" s="23">
        <f>IF(LEFT(B12,4)&lt;&gt;"    ","",IF(N12&lt;&gt;0,X12/N12,0))</f>
        <v/>
      </c>
      <c r="W12" s="11">
        <f>IF(LEFT(B12,4)&lt;&gt;"    ","",IF(V12&gt;=0.1,V12*J12,X12))</f>
        <v/>
      </c>
      <c r="X12" s="8" t="n"/>
      <c r="Y12" s="9">
        <f>IF(LEFT(B12,4)&lt;&gt;"    ",0,IF(Q12&lt;0,Q12,IF(V12&gt;0.1,W12-X12,0)))</f>
        <v/>
      </c>
      <c r="Z12" s="9">
        <f>IF(LEFT(B12,4)&lt;&gt;"    ",0,IF(V12&gt;0.1,BI12,0))</f>
        <v/>
      </c>
      <c r="AA12" s="9">
        <f>Y12-Z12</f>
        <v/>
      </c>
      <c r="AB12" s="10" t="n"/>
      <c r="AC12" s="24" t="n"/>
      <c r="AD12" s="11" t="n"/>
      <c r="AE12" s="8" t="n"/>
      <c r="AF12" s="9">
        <f>IF(LEFT(B12,4)&lt;&gt;"    ","",AD12-AE12)</f>
        <v/>
      </c>
      <c r="AG12" s="10" t="n"/>
      <c r="AH12" s="11">
        <f>IF(LEFT(B12,4)&lt;&gt;"    ","",W12-AD12)</f>
        <v/>
      </c>
      <c r="AI12" s="8">
        <f>IF(LEFT(B12,4)&lt;&gt;"    ","",X12-AE12)</f>
        <v/>
      </c>
      <c r="AJ12" s="9">
        <f>IF(LEFT(B12,4)&lt;&gt;"    ","",Y12-AF12)</f>
        <v/>
      </c>
      <c r="AK12" s="10" t="n"/>
      <c r="AL12" s="25">
        <f>IF(LEFT(B12,4)&lt;&gt;"    ","",J12-W12)</f>
        <v/>
      </c>
      <c r="AM12" s="25">
        <f>N12-X12</f>
        <v/>
      </c>
      <c r="AN12" s="25">
        <f>IF(LEFT(B12,4)&lt;&gt;"    ","",Q12-Y12)</f>
        <v/>
      </c>
      <c r="AO12" s="10" t="n"/>
      <c r="AP12" s="12" t="n"/>
      <c r="AQ12" s="12">
        <f>IF(LEFT(B12,4)&lt;&gt;"    ","",IF(W12-AP12&gt;=0,W12-AP12," "))</f>
        <v/>
      </c>
      <c r="AR12" s="12">
        <f>IF(LEFT(B12,4)&lt;&gt;"    ","",IF(AP12-W12&gt;=0,AP12-W12," "))</f>
        <v/>
      </c>
      <c r="AS12" s="186" t="n"/>
      <c r="AT12" s="187" t="n"/>
      <c r="AU12" s="186" t="n"/>
      <c r="AV12" s="186" t="n"/>
      <c r="AW12" s="188" t="n"/>
      <c r="AX12" s="187" t="n"/>
      <c r="AY12" s="187" t="n"/>
      <c r="AZ12" s="186" t="n"/>
      <c r="BA12" s="186" t="n"/>
      <c r="BB12" s="186" t="n"/>
      <c r="BC12" s="186" t="n"/>
      <c r="BD12" s="186" t="n"/>
      <c r="BE12" s="186" t="n"/>
      <c r="BF12" s="186" t="n"/>
      <c r="BG12" s="186" t="n"/>
      <c r="BH12" s="186" t="n"/>
      <c r="BI12" s="186" t="n"/>
      <c r="BJ12" s="186" t="n"/>
      <c r="BK12" s="186" t="n"/>
      <c r="BL12" s="186" t="n"/>
      <c r="BM12" s="186" t="n"/>
      <c r="BN12" s="186" t="n"/>
      <c r="BO12" s="186" t="n"/>
      <c r="BP12" s="186" t="n"/>
      <c r="BQ12" s="186" t="n"/>
      <c r="BR12" s="189" t="n"/>
      <c r="BS12" s="189" t="n"/>
      <c r="BT12" s="186" t="n"/>
      <c r="BU12" s="186" t="n"/>
      <c r="BV12" s="190" t="n"/>
      <c r="BW12" s="186" t="n"/>
      <c r="BX12" s="186" t="n"/>
      <c r="BY12" s="186" t="n"/>
      <c r="BZ12" s="186" t="n"/>
      <c r="CA12" s="186" t="n"/>
      <c r="CB12" s="187" t="n"/>
      <c r="CC12" s="192" t="n"/>
      <c r="CD12" s="192" t="n"/>
      <c r="CE12" s="192" t="n"/>
      <c r="CF12" s="192" t="n"/>
    </row>
    <row r="13">
      <c r="A13" s="197" t="n"/>
      <c r="B13" s="198" t="n"/>
      <c r="C13" s="198" t="n"/>
      <c r="D13" s="179" t="n"/>
      <c r="E13" s="180" t="n"/>
      <c r="F13" s="181" t="n"/>
      <c r="G13" s="284">
        <f>'Jobs-Ops'!G13</f>
        <v/>
      </c>
      <c r="H13" s="114">
        <f>'Jobs-Ops'!H13</f>
        <v/>
      </c>
      <c r="I13" s="105" t="n"/>
      <c r="J13" s="183">
        <f>F13</f>
        <v/>
      </c>
      <c r="K13" s="193" t="n"/>
      <c r="L13" s="185" t="n"/>
      <c r="M13" s="8" t="n"/>
      <c r="N13" s="184">
        <f>M13</f>
        <v/>
      </c>
      <c r="O13" s="71" t="n"/>
      <c r="P13" s="101" t="n"/>
      <c r="Q13" s="9">
        <f>J13-N13</f>
        <v/>
      </c>
      <c r="R13" s="9">
        <f>IF(LEFT(B13,4)&lt;&gt;"    ",0,BI13)</f>
        <v/>
      </c>
      <c r="S13" s="9">
        <f>+Q13-R13</f>
        <v/>
      </c>
      <c r="T13" s="200">
        <f>IF('Jobs-Ops'!S13&lt;&gt; "",'Jobs-Ops'!S13,"")</f>
        <v/>
      </c>
      <c r="U13" s="10" t="n"/>
      <c r="V13" s="23">
        <f>IF(LEFT(B13,4)&lt;&gt;"    ","",IF(N13&lt;&gt;0,X13/N13,0))</f>
        <v/>
      </c>
      <c r="W13" s="11">
        <f>IF(LEFT(B13,4)&lt;&gt;"    ","",IF(V13&gt;=0.1,V13*J13,X13))</f>
        <v/>
      </c>
      <c r="X13" s="8" t="n"/>
      <c r="Y13" s="9">
        <f>IF(LEFT(B13,4)&lt;&gt;"    ",0,IF(Q13&lt;0,Q13,IF(V13&gt;0.1,W13-X13,0)))</f>
        <v/>
      </c>
      <c r="Z13" s="9">
        <f>IF(LEFT(B13,4)&lt;&gt;"    ",0,IF(V13&gt;0.1,BI13,0))</f>
        <v/>
      </c>
      <c r="AA13" s="9">
        <f>Y13-Z13</f>
        <v/>
      </c>
      <c r="AB13" s="10" t="n"/>
      <c r="AC13" s="24" t="n"/>
      <c r="AD13" s="11" t="n"/>
      <c r="AE13" s="8" t="n"/>
      <c r="AF13" s="9">
        <f>IF(LEFT(B13,4)&lt;&gt;"    ","",AD13-AE13)</f>
        <v/>
      </c>
      <c r="AG13" s="10" t="n"/>
      <c r="AH13" s="11">
        <f>IF(LEFT(B13,4)&lt;&gt;"    ","",W13-AD13)</f>
        <v/>
      </c>
      <c r="AI13" s="8">
        <f>IF(LEFT(B13,4)&lt;&gt;"    ","",X13-AE13)</f>
        <v/>
      </c>
      <c r="AJ13" s="9">
        <f>IF(LEFT(B13,4)&lt;&gt;"    ","",Y13-AF13)</f>
        <v/>
      </c>
      <c r="AK13" s="10" t="n"/>
      <c r="AL13" s="25">
        <f>IF(LEFT(B13,4)&lt;&gt;"    ","",J13-W13)</f>
        <v/>
      </c>
      <c r="AM13" s="25">
        <f>N13-X13</f>
        <v/>
      </c>
      <c r="AN13" s="25">
        <f>IF(LEFT(B13,4)&lt;&gt;"    ","",Q13-Y13)</f>
        <v/>
      </c>
      <c r="AO13" s="10" t="n"/>
      <c r="AP13" s="12" t="n"/>
      <c r="AQ13" s="12">
        <f>IF(LEFT(B13,4)&lt;&gt;"    ","",IF(W13-AP13&gt;=0,W13-AP13," "))</f>
        <v/>
      </c>
      <c r="AR13" s="12">
        <f>IF(LEFT(B13,4)&lt;&gt;"    ","",IF(AP13-W13&gt;=0,AP13-W13," "))</f>
        <v/>
      </c>
      <c r="AS13" s="186" t="n"/>
      <c r="AT13" s="187" t="n"/>
      <c r="AU13" s="186" t="n"/>
      <c r="AV13" s="186" t="n"/>
      <c r="AW13" s="188" t="n"/>
      <c r="AX13" s="187" t="n"/>
      <c r="AY13" s="187" t="n"/>
      <c r="AZ13" s="186" t="n"/>
      <c r="BA13" s="186" t="n"/>
      <c r="BB13" s="186" t="n"/>
      <c r="BC13" s="186" t="n"/>
      <c r="BD13" s="186" t="n"/>
      <c r="BE13" s="186" t="n"/>
      <c r="BF13" s="186" t="n"/>
      <c r="BG13" s="186" t="n"/>
      <c r="BH13" s="186" t="n"/>
      <c r="BI13" s="186" t="n"/>
      <c r="BJ13" s="186" t="n"/>
      <c r="BK13" s="186" t="n"/>
      <c r="BL13" s="186" t="n"/>
      <c r="BM13" s="186" t="n"/>
      <c r="BN13" s="186" t="n"/>
      <c r="BO13" s="186" t="n"/>
      <c r="BP13" s="186" t="n"/>
      <c r="BQ13" s="186" t="n"/>
      <c r="BR13" s="189" t="n"/>
      <c r="BS13" s="189" t="n"/>
      <c r="BT13" s="186" t="n"/>
      <c r="BU13" s="186" t="n"/>
      <c r="BV13" s="190" t="n"/>
      <c r="BW13" s="186" t="n"/>
      <c r="BX13" s="186" t="n"/>
      <c r="BY13" s="186" t="n"/>
      <c r="BZ13" s="186" t="n"/>
      <c r="CA13" s="186" t="n"/>
      <c r="CB13" s="187" t="n"/>
      <c r="CC13" s="192" t="n"/>
      <c r="CD13" s="192" t="n"/>
      <c r="CE13" s="192" t="n"/>
      <c r="CF13" s="192" t="n"/>
    </row>
    <row r="14">
      <c r="A14" s="197" t="n"/>
      <c r="B14" s="198" t="n"/>
      <c r="C14" s="198" t="n"/>
      <c r="D14" s="179" t="n"/>
      <c r="E14" s="180" t="n"/>
      <c r="F14" s="181" t="n"/>
      <c r="G14" s="284">
        <f>'Jobs-Ops'!G14</f>
        <v/>
      </c>
      <c r="H14" s="114">
        <f>'Jobs-Ops'!H14</f>
        <v/>
      </c>
      <c r="I14" s="105" t="n"/>
      <c r="J14" s="183">
        <f>F14</f>
        <v/>
      </c>
      <c r="K14" s="193" t="n"/>
      <c r="L14" s="185" t="n"/>
      <c r="M14" s="8" t="n"/>
      <c r="N14" s="184">
        <f>M14</f>
        <v/>
      </c>
      <c r="O14" s="72" t="n"/>
      <c r="P14" s="101" t="n"/>
      <c r="Q14" s="9">
        <f>J14-N14</f>
        <v/>
      </c>
      <c r="R14" s="9">
        <f>IF(LEFT(B14,4)&lt;&gt;"    ",0,BI14)</f>
        <v/>
      </c>
      <c r="S14" s="9">
        <f>+Q14-R14</f>
        <v/>
      </c>
      <c r="T14" s="200">
        <f>IF('Jobs-Ops'!S14&lt;&gt; "",'Jobs-Ops'!S14,"")</f>
        <v/>
      </c>
      <c r="U14" s="10" t="n"/>
      <c r="V14" s="23">
        <f>IF(LEFT(B14,4)&lt;&gt;"    ","",IF(N14&lt;&gt;0,X14/N14,0))</f>
        <v/>
      </c>
      <c r="W14" s="11">
        <f>IF(LEFT(B14,4)&lt;&gt;"    ","",IF(V14&gt;=0.1,V14*J14,X14))</f>
        <v/>
      </c>
      <c r="X14" s="8" t="n"/>
      <c r="Y14" s="9">
        <f>IF(LEFT(B14,4)&lt;&gt;"    ",0,IF(Q14&lt;0,Q14,IF(V14&gt;0.1,W14-X14,0)))</f>
        <v/>
      </c>
      <c r="Z14" s="9">
        <f>IF(LEFT(B14,4)&lt;&gt;"    ",0,IF(V14&gt;0.1,BI14,0))</f>
        <v/>
      </c>
      <c r="AA14" s="9">
        <f>Y14-Z14</f>
        <v/>
      </c>
      <c r="AB14" s="10" t="n"/>
      <c r="AC14" s="24" t="n"/>
      <c r="AD14" s="11" t="n"/>
      <c r="AE14" s="8" t="n"/>
      <c r="AF14" s="9">
        <f>IF(LEFT(B14,4)&lt;&gt;"    ","",AD14-AE14)</f>
        <v/>
      </c>
      <c r="AG14" s="10" t="n"/>
      <c r="AH14" s="11">
        <f>IF(LEFT(B14,4)&lt;&gt;"    ","",W14-AD14)</f>
        <v/>
      </c>
      <c r="AI14" s="8">
        <f>IF(LEFT(B14,4)&lt;&gt;"    ","",X14-AE14)</f>
        <v/>
      </c>
      <c r="AJ14" s="9">
        <f>IF(LEFT(B14,4)&lt;&gt;"    ","",Y14-AF14)</f>
        <v/>
      </c>
      <c r="AK14" s="10" t="n"/>
      <c r="AL14" s="25">
        <f>IF(LEFT(B14,4)&lt;&gt;"    ","",J14-W14)</f>
        <v/>
      </c>
      <c r="AM14" s="25">
        <f>N14-X14</f>
        <v/>
      </c>
      <c r="AN14" s="25">
        <f>IF(LEFT(B14,4)&lt;&gt;"    ","",Q14-Y14)</f>
        <v/>
      </c>
      <c r="AO14" s="10" t="n"/>
      <c r="AP14" s="12" t="n"/>
      <c r="AQ14" s="12">
        <f>IF(LEFT(B14,4)&lt;&gt;"    ","",IF(W14-AP14&gt;=0,W14-AP14," "))</f>
        <v/>
      </c>
      <c r="AR14" s="12">
        <f>IF(LEFT(B14,4)&lt;&gt;"    ","",IF(AP14-W14&gt;=0,AP14-W14," "))</f>
        <v/>
      </c>
      <c r="AS14" s="186" t="n"/>
      <c r="AT14" s="187" t="n"/>
      <c r="AU14" s="186" t="n"/>
      <c r="AV14" s="186" t="n"/>
      <c r="AW14" s="188" t="n"/>
      <c r="AX14" s="187" t="n"/>
      <c r="AY14" s="187" t="n"/>
      <c r="AZ14" s="186" t="n"/>
      <c r="BA14" s="186" t="n"/>
      <c r="BB14" s="186" t="n"/>
      <c r="BC14" s="186" t="n"/>
      <c r="BD14" s="186" t="n"/>
      <c r="BE14" s="186" t="n"/>
      <c r="BF14" s="186" t="n"/>
      <c r="BG14" s="186" t="n"/>
      <c r="BH14" s="186" t="n"/>
      <c r="BI14" s="186" t="n"/>
      <c r="BJ14" s="186" t="n"/>
      <c r="BK14" s="186" t="n"/>
      <c r="BL14" s="186" t="n"/>
      <c r="BM14" s="186" t="n"/>
      <c r="BN14" s="186" t="n"/>
      <c r="BO14" s="186" t="n"/>
      <c r="BP14" s="186" t="n"/>
      <c r="BQ14" s="186" t="n"/>
      <c r="BR14" s="189" t="n"/>
      <c r="BS14" s="189" t="n"/>
      <c r="BT14" s="186" t="n"/>
      <c r="BU14" s="186" t="n"/>
      <c r="BV14" s="190" t="n"/>
      <c r="BW14" s="186" t="n"/>
      <c r="BX14" s="186" t="n"/>
      <c r="BY14" s="186" t="n"/>
      <c r="BZ14" s="186" t="n"/>
      <c r="CA14" s="186" t="n"/>
      <c r="CB14" s="187" t="n"/>
      <c r="CC14" s="192" t="n"/>
      <c r="CD14" s="192" t="n"/>
      <c r="CE14" s="192" t="n"/>
      <c r="CF14" s="192" t="n"/>
    </row>
    <row r="15">
      <c r="A15" s="197" t="n"/>
      <c r="B15" s="198" t="n"/>
      <c r="C15" s="198" t="n"/>
      <c r="D15" s="179" t="n"/>
      <c r="E15" s="180" t="n"/>
      <c r="F15" s="181" t="n"/>
      <c r="G15" s="284">
        <f>'Jobs-Ops'!G15</f>
        <v/>
      </c>
      <c r="H15" s="114">
        <f>'Jobs-Ops'!H15</f>
        <v/>
      </c>
      <c r="I15" s="105" t="n"/>
      <c r="J15" s="183">
        <f>F15</f>
        <v/>
      </c>
      <c r="K15" s="193" t="n"/>
      <c r="L15" s="185" t="n"/>
      <c r="M15" s="8" t="n"/>
      <c r="N15" s="184">
        <f>M15</f>
        <v/>
      </c>
      <c r="O15" s="72" t="n"/>
      <c r="P15" s="101" t="n"/>
      <c r="Q15" s="9">
        <f>J15-N15</f>
        <v/>
      </c>
      <c r="R15" s="9">
        <f>IF(LEFT(B15,4)&lt;&gt;"    ",0,BI15)</f>
        <v/>
      </c>
      <c r="S15" s="9">
        <f>+Q15-R15</f>
        <v/>
      </c>
      <c r="T15" s="200">
        <f>IF('Jobs-Ops'!S15&lt;&gt; "",'Jobs-Ops'!S15,"")</f>
        <v/>
      </c>
      <c r="U15" s="10" t="n"/>
      <c r="V15" s="23">
        <f>IF(LEFT(B15,4)&lt;&gt;"    ","",IF(N15&lt;&gt;0,X15/N15,0))</f>
        <v/>
      </c>
      <c r="W15" s="11">
        <f>IF(LEFT(B15,4)&lt;&gt;"    ","",IF(V15&gt;=0.1,V15*J15,X15))</f>
        <v/>
      </c>
      <c r="X15" s="8" t="n"/>
      <c r="Y15" s="9">
        <f>IF(LEFT(B15,4)&lt;&gt;"    ",0,IF(Q15&lt;0,Q15,IF(V15&gt;0.1,W15-X15,0)))</f>
        <v/>
      </c>
      <c r="Z15" s="9">
        <f>IF(LEFT(B15,4)&lt;&gt;"    ",0,IF(V15&gt;0.1,BI15,0))</f>
        <v/>
      </c>
      <c r="AA15" s="9">
        <f>Y15-Z15</f>
        <v/>
      </c>
      <c r="AB15" s="10" t="n"/>
      <c r="AC15" s="24" t="n"/>
      <c r="AD15" s="11" t="n"/>
      <c r="AE15" s="8" t="n"/>
      <c r="AF15" s="9">
        <f>IF(LEFT(B15,4)&lt;&gt;"    ","",AD15-AE15)</f>
        <v/>
      </c>
      <c r="AG15" s="10" t="n"/>
      <c r="AH15" s="11">
        <f>IF(LEFT(B15,4)&lt;&gt;"    ","",W15-AD15)</f>
        <v/>
      </c>
      <c r="AI15" s="8">
        <f>IF(LEFT(B15,4)&lt;&gt;"    ","",X15-AE15)</f>
        <v/>
      </c>
      <c r="AJ15" s="9">
        <f>IF(LEFT(B15,4)&lt;&gt;"    ","",Y15-AF15)</f>
        <v/>
      </c>
      <c r="AK15" s="10" t="n"/>
      <c r="AL15" s="25">
        <f>IF(LEFT(B15,4)&lt;&gt;"    ","",J15-W15)</f>
        <v/>
      </c>
      <c r="AM15" s="25">
        <f>N15-X15</f>
        <v/>
      </c>
      <c r="AN15" s="25">
        <f>IF(LEFT(B15,4)&lt;&gt;"    ","",Q15-Y15)</f>
        <v/>
      </c>
      <c r="AO15" s="10" t="n"/>
      <c r="AP15" s="12" t="n"/>
      <c r="AQ15" s="12">
        <f>IF(LEFT(B15,4)&lt;&gt;"    ","",IF(W15-AP15&gt;=0,W15-AP15," "))</f>
        <v/>
      </c>
      <c r="AR15" s="12">
        <f>IF(LEFT(B15,4)&lt;&gt;"    ","",IF(AP15-W15&gt;=0,AP15-W15," "))</f>
        <v/>
      </c>
      <c r="AS15" s="186" t="n"/>
      <c r="AT15" s="187" t="n"/>
      <c r="AU15" s="186" t="n"/>
      <c r="AV15" s="186" t="n"/>
      <c r="AW15" s="188" t="n"/>
      <c r="AX15" s="187" t="n"/>
      <c r="AY15" s="187" t="n"/>
      <c r="AZ15" s="186" t="n"/>
      <c r="BA15" s="186" t="n"/>
      <c r="BB15" s="186" t="n"/>
      <c r="BC15" s="186" t="n"/>
      <c r="BD15" s="186" t="n"/>
      <c r="BE15" s="186" t="n"/>
      <c r="BF15" s="186" t="n"/>
      <c r="BG15" s="186" t="n"/>
      <c r="BH15" s="186" t="n"/>
      <c r="BI15" s="186" t="n"/>
      <c r="BJ15" s="186" t="n"/>
      <c r="BK15" s="186" t="n"/>
      <c r="BL15" s="186" t="n"/>
      <c r="BM15" s="186" t="n"/>
      <c r="BN15" s="186" t="n"/>
      <c r="BO15" s="186" t="n"/>
      <c r="BP15" s="186" t="n"/>
      <c r="BQ15" s="186" t="n"/>
      <c r="BR15" s="189" t="n"/>
      <c r="BS15" s="189" t="n"/>
      <c r="BT15" s="186" t="n"/>
      <c r="BU15" s="186" t="n"/>
      <c r="BV15" s="190" t="n"/>
      <c r="BW15" s="186" t="n"/>
      <c r="BX15" s="186" t="n"/>
      <c r="BY15" s="186" t="n"/>
      <c r="BZ15" s="186" t="n"/>
      <c r="CA15" s="186" t="n"/>
      <c r="CB15" s="187" t="n"/>
      <c r="CC15" s="192" t="n"/>
      <c r="CD15" s="192" t="n"/>
      <c r="CE15" s="192" t="n"/>
      <c r="CF15" s="192" t="n"/>
    </row>
    <row r="16">
      <c r="A16" s="197" t="n"/>
      <c r="B16" s="198" t="n"/>
      <c r="C16" s="198" t="n"/>
      <c r="D16" s="179" t="n"/>
      <c r="E16" s="180" t="n"/>
      <c r="F16" s="181" t="n"/>
      <c r="G16" s="284">
        <f>'Jobs-Ops'!G16</f>
        <v/>
      </c>
      <c r="H16" s="114">
        <f>'Jobs-Ops'!H16</f>
        <v/>
      </c>
      <c r="I16" s="105" t="n"/>
      <c r="J16" s="183">
        <f>F16</f>
        <v/>
      </c>
      <c r="K16" s="193" t="n"/>
      <c r="L16" s="185" t="n"/>
      <c r="M16" s="8" t="n"/>
      <c r="N16" s="184">
        <f>M16</f>
        <v/>
      </c>
      <c r="O16" s="72" t="n"/>
      <c r="P16" s="101" t="n"/>
      <c r="Q16" s="9">
        <f>J16-N16</f>
        <v/>
      </c>
      <c r="R16" s="9">
        <f>IF(LEFT(B16,4)&lt;&gt;"    ",0,BI16)</f>
        <v/>
      </c>
      <c r="S16" s="9">
        <f>+Q16-R16</f>
        <v/>
      </c>
      <c r="T16" s="200">
        <f>IF('Jobs-Ops'!S16&lt;&gt; "",'Jobs-Ops'!S16,"")</f>
        <v/>
      </c>
      <c r="U16" s="10" t="n"/>
      <c r="V16" s="23">
        <f>IF(LEFT(B16,4)&lt;&gt;"    ","",IF(N16&lt;&gt;0,X16/N16,0))</f>
        <v/>
      </c>
      <c r="W16" s="11">
        <f>IF(LEFT(B16,4)&lt;&gt;"    ","",IF(V16&gt;=0.1,V16*J16,X16))</f>
        <v/>
      </c>
      <c r="X16" s="8" t="n"/>
      <c r="Y16" s="9">
        <f>IF(LEFT(B16,4)&lt;&gt;"    ",0,IF(Q16&lt;0,Q16,IF(V16&gt;0.1,W16-X16,0)))</f>
        <v/>
      </c>
      <c r="Z16" s="9">
        <f>IF(LEFT(B16,4)&lt;&gt;"    ",0,IF(V16&gt;0.1,BI16,0))</f>
        <v/>
      </c>
      <c r="AA16" s="9">
        <f>Y16-Z16</f>
        <v/>
      </c>
      <c r="AB16" s="10" t="n"/>
      <c r="AC16" s="24" t="n"/>
      <c r="AD16" s="11" t="n"/>
      <c r="AE16" s="8" t="n"/>
      <c r="AF16" s="9">
        <f>IF(LEFT(B16,4)&lt;&gt;"    ","",AD16-AE16)</f>
        <v/>
      </c>
      <c r="AG16" s="10" t="n"/>
      <c r="AH16" s="11">
        <f>IF(LEFT(B16,4)&lt;&gt;"    ","",W16-AD16)</f>
        <v/>
      </c>
      <c r="AI16" s="8">
        <f>IF(LEFT(B16,4)&lt;&gt;"    ","",X16-AE16)</f>
        <v/>
      </c>
      <c r="AJ16" s="9">
        <f>IF(LEFT(B16,4)&lt;&gt;"    ","",Y16-AF16)</f>
        <v/>
      </c>
      <c r="AK16" s="10" t="n"/>
      <c r="AL16" s="25">
        <f>IF(LEFT(B16,4)&lt;&gt;"    ","",J16-W16)</f>
        <v/>
      </c>
      <c r="AM16" s="25">
        <f>N16-X16</f>
        <v/>
      </c>
      <c r="AN16" s="25">
        <f>IF(LEFT(B16,4)&lt;&gt;"    ","",Q16-Y16)</f>
        <v/>
      </c>
      <c r="AO16" s="10" t="n"/>
      <c r="AP16" s="12" t="n"/>
      <c r="AQ16" s="12">
        <f>IF(LEFT(B16,4)&lt;&gt;"    ","",IF(W16-AP16&gt;=0,W16-AP16," "))</f>
        <v/>
      </c>
      <c r="AR16" s="12">
        <f>IF(LEFT(B16,4)&lt;&gt;"    ","",IF(AP16-W16&gt;=0,AP16-W16," "))</f>
        <v/>
      </c>
      <c r="AS16" s="186" t="n"/>
      <c r="AT16" s="187" t="n"/>
      <c r="AU16" s="186" t="n"/>
      <c r="AV16" s="186" t="n"/>
      <c r="AW16" s="188" t="n"/>
      <c r="AX16" s="187" t="n"/>
      <c r="AY16" s="187" t="n"/>
      <c r="AZ16" s="186" t="n"/>
      <c r="BA16" s="186" t="n"/>
      <c r="BB16" s="186" t="n"/>
      <c r="BC16" s="186" t="n"/>
      <c r="BD16" s="186" t="n"/>
      <c r="BE16" s="186" t="n"/>
      <c r="BF16" s="186" t="n"/>
      <c r="BG16" s="186" t="n"/>
      <c r="BH16" s="186" t="n"/>
      <c r="BI16" s="186" t="n"/>
      <c r="BJ16" s="186" t="n"/>
      <c r="BK16" s="186" t="n"/>
      <c r="BL16" s="186" t="n"/>
      <c r="BM16" s="186" t="n"/>
      <c r="BN16" s="186" t="n"/>
      <c r="BO16" s="186" t="n"/>
      <c r="BP16" s="186" t="n"/>
      <c r="BQ16" s="186" t="n"/>
      <c r="BR16" s="189" t="n"/>
      <c r="BS16" s="189" t="n"/>
      <c r="BT16" s="186" t="n"/>
      <c r="BU16" s="186" t="n"/>
      <c r="BV16" s="190" t="n"/>
      <c r="BW16" s="186" t="n"/>
      <c r="BX16" s="186" t="n"/>
      <c r="BY16" s="186" t="n"/>
      <c r="BZ16" s="186" t="n"/>
      <c r="CA16" s="186" t="n"/>
      <c r="CB16" s="187" t="n"/>
      <c r="CC16" s="192" t="n"/>
      <c r="CD16" s="192" t="n"/>
      <c r="CE16" s="192" t="n"/>
      <c r="CF16" s="192" t="n"/>
    </row>
    <row r="17">
      <c r="A17" s="197" t="n"/>
      <c r="B17" s="198" t="n"/>
      <c r="C17" s="198" t="n"/>
      <c r="D17" s="179" t="n"/>
      <c r="E17" s="180" t="n"/>
      <c r="F17" s="181" t="n"/>
      <c r="G17" s="284">
        <f>'Jobs-Ops'!G17</f>
        <v/>
      </c>
      <c r="H17" s="114">
        <f>'Jobs-Ops'!H17</f>
        <v/>
      </c>
      <c r="I17" s="105" t="n"/>
      <c r="J17" s="183">
        <f>F17</f>
        <v/>
      </c>
      <c r="K17" s="193" t="n"/>
      <c r="L17" s="185" t="n"/>
      <c r="M17" s="8" t="n"/>
      <c r="N17" s="184">
        <f>M17</f>
        <v/>
      </c>
      <c r="O17" s="72" t="n"/>
      <c r="P17" s="101" t="n"/>
      <c r="Q17" s="9">
        <f>J17-N17</f>
        <v/>
      </c>
      <c r="R17" s="9">
        <f>IF(LEFT(B17,4)&lt;&gt;"    ",0,BI17)</f>
        <v/>
      </c>
      <c r="S17" s="9">
        <f>+Q17-R17</f>
        <v/>
      </c>
      <c r="T17" s="200">
        <f>IF('Jobs-Ops'!S17&lt;&gt; "",'Jobs-Ops'!S17,"")</f>
        <v/>
      </c>
      <c r="U17" s="10" t="n"/>
      <c r="V17" s="23">
        <f>IF(LEFT(B17,4)&lt;&gt;"    ","",IF(N17&lt;&gt;0,X17/N17,0))</f>
        <v/>
      </c>
      <c r="W17" s="11">
        <f>IF(LEFT(B17,4)&lt;&gt;"    ","",IF(V17&gt;=0.1,V17*J17,X17))</f>
        <v/>
      </c>
      <c r="X17" s="8" t="n"/>
      <c r="Y17" s="9">
        <f>IF(LEFT(B17,4)&lt;&gt;"    ",0,IF(Q17&lt;0,Q17,IF(V17&gt;0.1,W17-X17,0)))</f>
        <v/>
      </c>
      <c r="Z17" s="9">
        <f>IF(LEFT(B17,4)&lt;&gt;"    ",0,IF(V17&gt;0.1,BI17,0))</f>
        <v/>
      </c>
      <c r="AA17" s="9">
        <f>Y17-Z17</f>
        <v/>
      </c>
      <c r="AB17" s="10" t="n"/>
      <c r="AC17" s="24" t="n"/>
      <c r="AD17" s="11" t="n"/>
      <c r="AE17" s="8" t="n"/>
      <c r="AF17" s="9">
        <f>IF(LEFT(B17,4)&lt;&gt;"    ","",AD17-AE17)</f>
        <v/>
      </c>
      <c r="AG17" s="10" t="n"/>
      <c r="AH17" s="11">
        <f>IF(LEFT(B17,4)&lt;&gt;"    ","",W17-AD17)</f>
        <v/>
      </c>
      <c r="AI17" s="8">
        <f>IF(LEFT(B17,4)&lt;&gt;"    ","",X17-AE17)</f>
        <v/>
      </c>
      <c r="AJ17" s="9">
        <f>IF(LEFT(B17,4)&lt;&gt;"    ","",Y17-AF17)</f>
        <v/>
      </c>
      <c r="AK17" s="10" t="n"/>
      <c r="AL17" s="25">
        <f>IF(LEFT(B17,4)&lt;&gt;"    ","",J17-W17)</f>
        <v/>
      </c>
      <c r="AM17" s="25">
        <f>N17-X17</f>
        <v/>
      </c>
      <c r="AN17" s="25">
        <f>IF(LEFT(B17,4)&lt;&gt;"    ","",Q17-Y17)</f>
        <v/>
      </c>
      <c r="AO17" s="10" t="n"/>
      <c r="AP17" s="12" t="n"/>
      <c r="AQ17" s="12">
        <f>IF(LEFT(B17,4)&lt;&gt;"    ","",IF(W17-AP17&gt;=0,W17-AP17," "))</f>
        <v/>
      </c>
      <c r="AR17" s="12">
        <f>IF(LEFT(B17,4)&lt;&gt;"    ","",IF(AP17-W17&gt;=0,AP17-W17," "))</f>
        <v/>
      </c>
      <c r="AS17" s="186" t="n"/>
      <c r="AT17" s="187" t="n"/>
      <c r="AU17" s="186" t="n"/>
      <c r="AV17" s="186" t="n"/>
      <c r="AW17" s="188" t="n"/>
      <c r="AX17" s="187" t="n"/>
      <c r="AY17" s="187" t="n"/>
      <c r="AZ17" s="186" t="n"/>
      <c r="BA17" s="186" t="n"/>
      <c r="BB17" s="186" t="n"/>
      <c r="BC17" s="186" t="n"/>
      <c r="BD17" s="186" t="n"/>
      <c r="BE17" s="186" t="n"/>
      <c r="BF17" s="186" t="n"/>
      <c r="BG17" s="186" t="n"/>
      <c r="BH17" s="186" t="n"/>
      <c r="BI17" s="186" t="n"/>
      <c r="BJ17" s="186" t="n"/>
      <c r="BK17" s="186" t="n"/>
      <c r="BL17" s="186" t="n"/>
      <c r="BM17" s="186" t="n"/>
      <c r="BN17" s="186" t="n"/>
      <c r="BO17" s="186" t="n"/>
      <c r="BP17" s="186" t="n"/>
      <c r="BQ17" s="186" t="n"/>
      <c r="BR17" s="189" t="n"/>
      <c r="BS17" s="189" t="n"/>
      <c r="BT17" s="186" t="n"/>
      <c r="BU17" s="186" t="n"/>
      <c r="BV17" s="190" t="n"/>
      <c r="BW17" s="186" t="n"/>
      <c r="BX17" s="186" t="n"/>
      <c r="BY17" s="186" t="n"/>
      <c r="BZ17" s="186" t="n"/>
      <c r="CA17" s="186" t="n"/>
      <c r="CB17" s="187" t="n"/>
      <c r="CC17" s="192" t="n"/>
      <c r="CD17" s="192" t="n"/>
      <c r="CE17" s="192" t="n"/>
      <c r="CF17" s="192" t="n"/>
    </row>
    <row r="18">
      <c r="A18" s="197" t="n"/>
      <c r="B18" s="198" t="n"/>
      <c r="C18" s="198" t="n"/>
      <c r="D18" s="179" t="n"/>
      <c r="E18" s="180" t="n"/>
      <c r="F18" s="181" t="n"/>
      <c r="G18" s="284">
        <f>'Jobs-Ops'!G18</f>
        <v/>
      </c>
      <c r="H18" s="114">
        <f>'Jobs-Ops'!H18</f>
        <v/>
      </c>
      <c r="I18" s="105" t="n"/>
      <c r="J18" s="183">
        <f>F18</f>
        <v/>
      </c>
      <c r="K18" s="193" t="n"/>
      <c r="L18" s="185" t="n"/>
      <c r="M18" s="8" t="n"/>
      <c r="N18" s="184">
        <f>M18</f>
        <v/>
      </c>
      <c r="O18" s="72" t="n"/>
      <c r="P18" s="101" t="n"/>
      <c r="Q18" s="9">
        <f>J18-N18</f>
        <v/>
      </c>
      <c r="R18" s="9">
        <f>IF(LEFT(B18,4)&lt;&gt;"    ",0,BI18)</f>
        <v/>
      </c>
      <c r="S18" s="9">
        <f>+Q18-R18</f>
        <v/>
      </c>
      <c r="T18" s="200">
        <f>IF('Jobs-Ops'!S18&lt;&gt; "",'Jobs-Ops'!S18,"")</f>
        <v/>
      </c>
      <c r="U18" s="10" t="n"/>
      <c r="V18" s="23">
        <f>IF(LEFT(B18,4)&lt;&gt;"    ","",IF(N18&lt;&gt;0,X18/N18,0))</f>
        <v/>
      </c>
      <c r="W18" s="11">
        <f>IF(LEFT(B18,4)&lt;&gt;"    ","",IF(V18&gt;=0.1,V18*J18,X18))</f>
        <v/>
      </c>
      <c r="X18" s="8" t="n"/>
      <c r="Y18" s="9">
        <f>IF(LEFT(B18,4)&lt;&gt;"    ",0,IF(Q18&lt;0,Q18,IF(V18&gt;0.1,W18-X18,0)))</f>
        <v/>
      </c>
      <c r="Z18" s="9">
        <f>IF(LEFT(B18,4)&lt;&gt;"    ",0,IF(V18&gt;0.1,BI18,0))</f>
        <v/>
      </c>
      <c r="AA18" s="9">
        <f>Y18-Z18</f>
        <v/>
      </c>
      <c r="AB18" s="10" t="n"/>
      <c r="AC18" s="24" t="n"/>
      <c r="AD18" s="11" t="n"/>
      <c r="AE18" s="8" t="n"/>
      <c r="AF18" s="9">
        <f>IF(LEFT(B18,4)&lt;&gt;"    ","",AD18-AE18)</f>
        <v/>
      </c>
      <c r="AG18" s="10" t="n"/>
      <c r="AH18" s="11">
        <f>IF(LEFT(B18,4)&lt;&gt;"    ","",W18-AD18)</f>
        <v/>
      </c>
      <c r="AI18" s="8">
        <f>IF(LEFT(B18,4)&lt;&gt;"    ","",X18-AE18)</f>
        <v/>
      </c>
      <c r="AJ18" s="9">
        <f>IF(LEFT(B18,4)&lt;&gt;"    ","",Y18-AF18)</f>
        <v/>
      </c>
      <c r="AK18" s="10" t="n"/>
      <c r="AL18" s="25">
        <f>IF(LEFT(B18,4)&lt;&gt;"    ","",J18-W18)</f>
        <v/>
      </c>
      <c r="AM18" s="25">
        <f>N18-X18</f>
        <v/>
      </c>
      <c r="AN18" s="25">
        <f>IF(LEFT(B18,4)&lt;&gt;"    ","",Q18-Y18)</f>
        <v/>
      </c>
      <c r="AO18" s="10" t="n"/>
      <c r="AP18" s="12" t="n"/>
      <c r="AQ18" s="12">
        <f>IF(LEFT(B18,4)&lt;&gt;"    ","",IF(W18-AP18&gt;=0,W18-AP18," "))</f>
        <v/>
      </c>
      <c r="AR18" s="12">
        <f>IF(LEFT(B18,4)&lt;&gt;"    ","",IF(AP18-W18&gt;=0,AP18-W18," "))</f>
        <v/>
      </c>
      <c r="AS18" s="186" t="n"/>
      <c r="AT18" s="187" t="n"/>
      <c r="AU18" s="186" t="n"/>
      <c r="AV18" s="186" t="n"/>
      <c r="AW18" s="188" t="n"/>
      <c r="AX18" s="187" t="n"/>
      <c r="AY18" s="187" t="n"/>
      <c r="AZ18" s="186" t="n"/>
      <c r="BA18" s="186" t="n"/>
      <c r="BB18" s="186" t="n"/>
      <c r="BC18" s="186" t="n"/>
      <c r="BD18" s="186" t="n"/>
      <c r="BE18" s="186" t="n"/>
      <c r="BF18" s="186" t="n"/>
      <c r="BG18" s="186" t="n"/>
      <c r="BH18" s="186" t="n"/>
      <c r="BI18" s="186" t="n"/>
      <c r="BJ18" s="186" t="n"/>
      <c r="BK18" s="186" t="n"/>
      <c r="BL18" s="186" t="n"/>
      <c r="BM18" s="186" t="n"/>
      <c r="BN18" s="186" t="n"/>
      <c r="BO18" s="186" t="n"/>
      <c r="BP18" s="186" t="n"/>
      <c r="BQ18" s="186" t="n"/>
      <c r="BR18" s="189" t="n"/>
      <c r="BS18" s="189" t="n"/>
      <c r="BT18" s="186" t="n"/>
      <c r="BU18" s="186" t="n"/>
      <c r="BV18" s="190" t="n"/>
      <c r="BW18" s="186" t="n"/>
      <c r="BX18" s="186" t="n"/>
      <c r="BY18" s="186" t="n"/>
      <c r="BZ18" s="186" t="n"/>
      <c r="CA18" s="186" t="n"/>
      <c r="CB18" s="187" t="n"/>
      <c r="CC18" s="192" t="n"/>
      <c r="CD18" s="192" t="n"/>
      <c r="CE18" s="192" t="n"/>
      <c r="CF18" s="192" t="n"/>
    </row>
    <row r="19">
      <c r="A19" s="197" t="n"/>
      <c r="B19" s="198" t="n"/>
      <c r="C19" s="198" t="n"/>
      <c r="D19" s="179" t="n"/>
      <c r="E19" s="180" t="n"/>
      <c r="F19" s="181" t="n"/>
      <c r="G19" s="284">
        <f>'Jobs-Ops'!G19</f>
        <v/>
      </c>
      <c r="H19" s="114">
        <f>'Jobs-Ops'!H19</f>
        <v/>
      </c>
      <c r="I19" s="105" t="n"/>
      <c r="J19" s="183">
        <f>F19</f>
        <v/>
      </c>
      <c r="K19" s="184" t="n"/>
      <c r="L19" s="185" t="n"/>
      <c r="M19" s="8" t="n"/>
      <c r="N19" s="184">
        <f>M19</f>
        <v/>
      </c>
      <c r="O19" s="72" t="n"/>
      <c r="P19" s="101" t="n"/>
      <c r="Q19" s="9">
        <f>J19-N19</f>
        <v/>
      </c>
      <c r="R19" s="9">
        <f>IF(LEFT(B19,4)&lt;&gt;"    ",0,BI19)</f>
        <v/>
      </c>
      <c r="S19" s="9">
        <f>+Q19-R19</f>
        <v/>
      </c>
      <c r="T19" s="200">
        <f>IF('Jobs-Ops'!S19&lt;&gt; "",'Jobs-Ops'!S19,"")</f>
        <v/>
      </c>
      <c r="U19" s="10" t="n"/>
      <c r="V19" s="23">
        <f>IF(LEFT(B19,4)&lt;&gt;"    ","",IF(N19&lt;&gt;0,X19/N19,0))</f>
        <v/>
      </c>
      <c r="W19" s="11">
        <f>IF(LEFT(B19,4)&lt;&gt;"    ","",IF(V19&gt;=0.1,V19*J19,X19))</f>
        <v/>
      </c>
      <c r="X19" s="8" t="n"/>
      <c r="Y19" s="9">
        <f>IF(LEFT(B19,4)&lt;&gt;"    ",0,IF(Q19&lt;0,Q19,IF(V19&gt;0.1,W19-X19,0)))</f>
        <v/>
      </c>
      <c r="Z19" s="9">
        <f>IF(LEFT(B19,4)&lt;&gt;"    ",0,IF(V19&gt;0.1,BI19,0))</f>
        <v/>
      </c>
      <c r="AA19" s="9">
        <f>Y19-Z19</f>
        <v/>
      </c>
      <c r="AB19" s="10" t="n"/>
      <c r="AC19" s="24" t="n"/>
      <c r="AD19" s="11" t="n"/>
      <c r="AE19" s="8" t="n"/>
      <c r="AF19" s="9">
        <f>IF(LEFT(B19,4)&lt;&gt;"    ","",AD19-AE19)</f>
        <v/>
      </c>
      <c r="AG19" s="10" t="n"/>
      <c r="AH19" s="11">
        <f>IF(LEFT(B19,4)&lt;&gt;"    ","",W19-AD19)</f>
        <v/>
      </c>
      <c r="AI19" s="8">
        <f>IF(LEFT(B19,4)&lt;&gt;"    ","",X19-AE19)</f>
        <v/>
      </c>
      <c r="AJ19" s="9">
        <f>IF(LEFT(B19,4)&lt;&gt;"    ","",Y19-AF19)</f>
        <v/>
      </c>
      <c r="AK19" s="10" t="n"/>
      <c r="AL19" s="25">
        <f>IF(LEFT(B19,4)&lt;&gt;"    ","",J19-W19)</f>
        <v/>
      </c>
      <c r="AM19" s="25">
        <f>N19-X19</f>
        <v/>
      </c>
      <c r="AN19" s="25">
        <f>IF(LEFT(B19,4)&lt;&gt;"    ","",Q19-Y19)</f>
        <v/>
      </c>
      <c r="AO19" s="10" t="n"/>
      <c r="AP19" s="12" t="n"/>
      <c r="AQ19" s="12">
        <f>IF(LEFT(B19,4)&lt;&gt;"    ","",IF(W19-AP19&gt;=0,W19-AP19," "))</f>
        <v/>
      </c>
      <c r="AR19" s="12">
        <f>IF(LEFT(B19,4)&lt;&gt;"    ","",IF(AP19-W19&gt;=0,AP19-W19," "))</f>
        <v/>
      </c>
      <c r="AS19" s="186" t="n"/>
      <c r="AT19" s="187" t="n"/>
      <c r="AU19" s="186" t="n"/>
      <c r="AV19" s="186" t="n"/>
      <c r="AW19" s="188" t="n"/>
      <c r="AX19" s="187" t="n"/>
      <c r="AY19" s="187" t="n"/>
      <c r="AZ19" s="186" t="n"/>
      <c r="BA19" s="186" t="n"/>
      <c r="BB19" s="186" t="n"/>
      <c r="BC19" s="186" t="n"/>
      <c r="BD19" s="186" t="n"/>
      <c r="BE19" s="186" t="n"/>
      <c r="BF19" s="186" t="n"/>
      <c r="BG19" s="186" t="n"/>
      <c r="BH19" s="186" t="n"/>
      <c r="BI19" s="186" t="n"/>
      <c r="BJ19" s="186" t="n"/>
      <c r="BK19" s="186" t="n"/>
      <c r="BL19" s="186" t="n"/>
      <c r="BM19" s="186" t="n"/>
      <c r="BN19" s="186" t="n"/>
      <c r="BO19" s="186" t="n"/>
      <c r="BP19" s="186" t="n"/>
      <c r="BQ19" s="186" t="n"/>
      <c r="BR19" s="189" t="n"/>
      <c r="BS19" s="189" t="n"/>
      <c r="BT19" s="186" t="n"/>
      <c r="BU19" s="186" t="n"/>
      <c r="BV19" s="190" t="n"/>
      <c r="BW19" s="186" t="n"/>
      <c r="BX19" s="186" t="n"/>
      <c r="BY19" s="186" t="n"/>
      <c r="BZ19" s="186" t="n"/>
      <c r="CA19" s="186" t="n"/>
      <c r="CB19" s="187" t="n"/>
      <c r="CC19" s="192" t="n"/>
      <c r="CD19" s="192" t="n"/>
      <c r="CE19" s="192" t="n"/>
      <c r="CF19" s="192" t="n"/>
    </row>
    <row r="20">
      <c r="A20" s="197" t="n"/>
      <c r="B20" s="198" t="n"/>
      <c r="C20" s="198" t="n"/>
      <c r="D20" s="179" t="n"/>
      <c r="E20" s="180" t="n"/>
      <c r="F20" s="181" t="n"/>
      <c r="G20" s="284">
        <f>'Jobs-Ops'!G20</f>
        <v/>
      </c>
      <c r="H20" s="114">
        <f>'Jobs-Ops'!H20</f>
        <v/>
      </c>
      <c r="I20" s="105" t="n"/>
      <c r="J20" s="183">
        <f>F20</f>
        <v/>
      </c>
      <c r="K20" s="184" t="n"/>
      <c r="L20" s="185" t="n"/>
      <c r="M20" s="8" t="n"/>
      <c r="N20" s="184">
        <f>M20</f>
        <v/>
      </c>
      <c r="O20" s="72" t="n"/>
      <c r="P20" s="101" t="n"/>
      <c r="Q20" s="9">
        <f>J20-N20</f>
        <v/>
      </c>
      <c r="R20" s="9">
        <f>IF(LEFT(B20,4)&lt;&gt;"    ",0,BI20)</f>
        <v/>
      </c>
      <c r="S20" s="9">
        <f>+Q20-R20</f>
        <v/>
      </c>
      <c r="T20" s="200">
        <f>IF('Jobs-Ops'!S20&lt;&gt; "",'Jobs-Ops'!S20,"")</f>
        <v/>
      </c>
      <c r="U20" s="10" t="n"/>
      <c r="V20" s="23">
        <f>IF(LEFT(B20,4)&lt;&gt;"    ","",IF(N20&lt;&gt;0,X20/N20,0))</f>
        <v/>
      </c>
      <c r="W20" s="11">
        <f>IF(LEFT(B20,4)&lt;&gt;"    ","",IF(V20&gt;=0.1,V20*J20,X20))</f>
        <v/>
      </c>
      <c r="X20" s="8" t="n"/>
      <c r="Y20" s="9">
        <f>IF(LEFT(B20,4)&lt;&gt;"    ",0,IF(Q20&lt;0,Q20,IF(V20&gt;0.1,W20-X20,0)))</f>
        <v/>
      </c>
      <c r="Z20" s="9">
        <f>IF(LEFT(B20,4)&lt;&gt;"    ",0,IF(V20&gt;0.1,BI20,0))</f>
        <v/>
      </c>
      <c r="AA20" s="9">
        <f>Y20-Z20</f>
        <v/>
      </c>
      <c r="AB20" s="10" t="n"/>
      <c r="AC20" s="24" t="n"/>
      <c r="AD20" s="11" t="n"/>
      <c r="AE20" s="8" t="n"/>
      <c r="AF20" s="9">
        <f>IF(LEFT(B20,4)&lt;&gt;"    ","",AD20-AE20)</f>
        <v/>
      </c>
      <c r="AG20" s="10" t="n"/>
      <c r="AH20" s="11">
        <f>IF(LEFT(B20,4)&lt;&gt;"    ","",W20-AD20)</f>
        <v/>
      </c>
      <c r="AI20" s="8">
        <f>IF(LEFT(B20,4)&lt;&gt;"    ","",X20-AE20)</f>
        <v/>
      </c>
      <c r="AJ20" s="9">
        <f>IF(LEFT(B20,4)&lt;&gt;"    ","",Y20-AF20)</f>
        <v/>
      </c>
      <c r="AK20" s="10" t="n"/>
      <c r="AL20" s="25">
        <f>IF(LEFT(B20,4)&lt;&gt;"    ","",J20-W20)</f>
        <v/>
      </c>
      <c r="AM20" s="25">
        <f>N20-X20</f>
        <v/>
      </c>
      <c r="AN20" s="25">
        <f>IF(LEFT(B20,4)&lt;&gt;"    ","",Q20-Y20)</f>
        <v/>
      </c>
      <c r="AO20" s="10" t="n"/>
      <c r="AP20" s="12" t="n"/>
      <c r="AQ20" s="12">
        <f>IF(LEFT(B20,4)&lt;&gt;"    ","",IF(W20-AP20&gt;=0,W20-AP20," "))</f>
        <v/>
      </c>
      <c r="AR20" s="12">
        <f>IF(LEFT(B20,4)&lt;&gt;"    ","",IF(AP20-W20&gt;=0,AP20-W20," "))</f>
        <v/>
      </c>
      <c r="AS20" s="186" t="n"/>
      <c r="AT20" s="187" t="n"/>
      <c r="AU20" s="186" t="n"/>
      <c r="AV20" s="186" t="n"/>
      <c r="AW20" s="188" t="n"/>
      <c r="AX20" s="187" t="n"/>
      <c r="AY20" s="187" t="n"/>
      <c r="AZ20" s="186" t="n"/>
      <c r="BA20" s="186" t="n"/>
      <c r="BB20" s="186" t="n"/>
      <c r="BC20" s="186" t="n"/>
      <c r="BD20" s="186" t="n"/>
      <c r="BE20" s="186" t="n"/>
      <c r="BF20" s="186" t="n"/>
      <c r="BG20" s="186" t="n"/>
      <c r="BH20" s="186" t="n"/>
      <c r="BI20" s="186" t="n"/>
      <c r="BJ20" s="186" t="n"/>
      <c r="BK20" s="186" t="n"/>
      <c r="BL20" s="186" t="n"/>
      <c r="BM20" s="186" t="n"/>
      <c r="BN20" s="186" t="n"/>
      <c r="BO20" s="186" t="n"/>
      <c r="BP20" s="186" t="n"/>
      <c r="BQ20" s="186" t="n"/>
      <c r="BR20" s="189" t="n"/>
      <c r="BS20" s="189" t="n"/>
      <c r="BT20" s="186" t="n"/>
      <c r="BU20" s="186" t="n"/>
      <c r="BV20" s="190" t="n"/>
      <c r="BW20" s="186" t="n"/>
      <c r="BX20" s="186" t="n"/>
      <c r="BY20" s="186" t="n"/>
      <c r="BZ20" s="186" t="n"/>
      <c r="CA20" s="186" t="n"/>
      <c r="CB20" s="187" t="n"/>
      <c r="CC20" s="192" t="n"/>
      <c r="CD20" s="192" t="n"/>
      <c r="CE20" s="192" t="n"/>
      <c r="CF20" s="192" t="n"/>
    </row>
    <row r="21">
      <c r="A21" s="197" t="n"/>
      <c r="B21" s="198" t="n"/>
      <c r="C21" s="198" t="n"/>
      <c r="D21" s="179" t="n"/>
      <c r="E21" s="180" t="n"/>
      <c r="F21" s="181" t="n"/>
      <c r="G21" s="284">
        <f>'Jobs-Ops'!G21</f>
        <v/>
      </c>
      <c r="H21" s="114">
        <f>'Jobs-Ops'!H21</f>
        <v/>
      </c>
      <c r="I21" s="105" t="n"/>
      <c r="J21" s="183">
        <f>F21</f>
        <v/>
      </c>
      <c r="K21" s="184" t="n"/>
      <c r="L21" s="185" t="n"/>
      <c r="M21" s="8" t="n"/>
      <c r="N21" s="184">
        <f>M21</f>
        <v/>
      </c>
      <c r="O21" s="71" t="n"/>
      <c r="P21" s="101" t="n"/>
      <c r="Q21" s="9">
        <f>J21-N21</f>
        <v/>
      </c>
      <c r="R21" s="9">
        <f>IF(LEFT(B21,4)&lt;&gt;"    ",0,BI21)</f>
        <v/>
      </c>
      <c r="S21" s="9">
        <f>+Q21-R21</f>
        <v/>
      </c>
      <c r="T21" s="200">
        <f>IF('Jobs-Ops'!S21&lt;&gt; "",'Jobs-Ops'!S21,"")</f>
        <v/>
      </c>
      <c r="U21" s="10" t="n"/>
      <c r="V21" s="23">
        <f>IF(LEFT(B21,4)&lt;&gt;"    ","",IF(N21&lt;&gt;0,X21/N21,0))</f>
        <v/>
      </c>
      <c r="W21" s="11">
        <f>IF(LEFT(B21,4)&lt;&gt;"    ","",IF(V21&gt;=0.1,V21*J21,X21))</f>
        <v/>
      </c>
      <c r="X21" s="8" t="n"/>
      <c r="Y21" s="9">
        <f>IF(LEFT(B21,4)&lt;&gt;"    ",0,IF(Q21&lt;0,Q21,IF(V21&gt;0.1,W21-X21,0)))</f>
        <v/>
      </c>
      <c r="Z21" s="9">
        <f>IF(LEFT(B21,4)&lt;&gt;"    ",0,IF(V21&gt;0.1,BI21,0))</f>
        <v/>
      </c>
      <c r="AA21" s="9">
        <f>Y21-Z21</f>
        <v/>
      </c>
      <c r="AB21" s="10" t="n"/>
      <c r="AC21" s="24" t="n"/>
      <c r="AD21" s="11" t="n"/>
      <c r="AE21" s="8" t="n"/>
      <c r="AF21" s="9">
        <f>IF(LEFT(B21,4)&lt;&gt;"    ","",AD21-AE21)</f>
        <v/>
      </c>
      <c r="AG21" s="10" t="n"/>
      <c r="AH21" s="11">
        <f>IF(LEFT(B21,4)&lt;&gt;"    ","",W21-AD21)</f>
        <v/>
      </c>
      <c r="AI21" s="8">
        <f>IF(LEFT(B21,4)&lt;&gt;"    ","",X21-AE21)</f>
        <v/>
      </c>
      <c r="AJ21" s="9">
        <f>IF(LEFT(B21,4)&lt;&gt;"    ","",Y21-AF21)</f>
        <v/>
      </c>
      <c r="AK21" s="10" t="n"/>
      <c r="AL21" s="25">
        <f>IF(LEFT(B21,4)&lt;&gt;"    ","",J21-W21)</f>
        <v/>
      </c>
      <c r="AM21" s="25">
        <f>N21-X21</f>
        <v/>
      </c>
      <c r="AN21" s="25">
        <f>IF(LEFT(B21,4)&lt;&gt;"    ","",Q21-Y21)</f>
        <v/>
      </c>
      <c r="AO21" s="10" t="n"/>
      <c r="AP21" s="12" t="n"/>
      <c r="AQ21" s="12">
        <f>IF(LEFT(B21,4)&lt;&gt;"    ","",IF(W21-AP21&gt;=0,W21-AP21," "))</f>
        <v/>
      </c>
      <c r="AR21" s="12">
        <f>IF(LEFT(B21,4)&lt;&gt;"    ","",IF(AP21-W21&gt;=0,AP21-W21," "))</f>
        <v/>
      </c>
      <c r="AS21" s="186" t="n"/>
      <c r="AT21" s="187" t="n"/>
      <c r="AU21" s="186" t="n"/>
      <c r="AV21" s="186" t="n"/>
      <c r="AW21" s="188" t="n"/>
      <c r="AX21" s="187" t="n"/>
      <c r="AY21" s="187" t="n"/>
      <c r="AZ21" s="186" t="n"/>
      <c r="BA21" s="186" t="n"/>
      <c r="BB21" s="186" t="n"/>
      <c r="BC21" s="186" t="n"/>
      <c r="BD21" s="186" t="n"/>
      <c r="BE21" s="186" t="n"/>
      <c r="BF21" s="186" t="n"/>
      <c r="BG21" s="186" t="n"/>
      <c r="BH21" s="186" t="n"/>
      <c r="BI21" s="186" t="n"/>
      <c r="BJ21" s="186" t="n"/>
      <c r="BK21" s="186" t="n"/>
      <c r="BL21" s="186" t="n"/>
      <c r="BM21" s="186" t="n"/>
      <c r="BN21" s="186" t="n"/>
      <c r="BO21" s="186" t="n"/>
      <c r="BP21" s="186" t="n"/>
      <c r="BQ21" s="186" t="n"/>
      <c r="BR21" s="189" t="n"/>
      <c r="BS21" s="189" t="n"/>
      <c r="BT21" s="186" t="n"/>
      <c r="BU21" s="186" t="n"/>
      <c r="BV21" s="190" t="n"/>
      <c r="BW21" s="186" t="n"/>
      <c r="BX21" s="186" t="n"/>
      <c r="BY21" s="186" t="n"/>
      <c r="BZ21" s="186" t="n"/>
      <c r="CA21" s="186" t="n"/>
      <c r="CB21" s="187" t="n"/>
      <c r="CC21" s="192" t="n"/>
      <c r="CD21" s="192" t="n"/>
      <c r="CE21" s="192" t="n"/>
      <c r="CF21" s="192" t="n"/>
    </row>
    <row r="22">
      <c r="A22" s="197" t="n"/>
      <c r="B22" s="198" t="n"/>
      <c r="C22" s="198" t="n"/>
      <c r="D22" s="179" t="n"/>
      <c r="E22" s="180" t="n"/>
      <c r="F22" s="181" t="n"/>
      <c r="G22" s="284">
        <f>'Jobs-Ops'!G22</f>
        <v/>
      </c>
      <c r="H22" s="114">
        <f>'Jobs-Ops'!H22</f>
        <v/>
      </c>
      <c r="I22" s="105" t="n"/>
      <c r="J22" s="183">
        <f>F22</f>
        <v/>
      </c>
      <c r="K22" s="184" t="n"/>
      <c r="L22" s="185" t="n"/>
      <c r="M22" s="8" t="n"/>
      <c r="N22" s="184">
        <f>M22</f>
        <v/>
      </c>
      <c r="O22" s="71" t="n"/>
      <c r="P22" s="101" t="n"/>
      <c r="Q22" s="9">
        <f>J22-N22</f>
        <v/>
      </c>
      <c r="R22" s="9">
        <f>IF(LEFT(B22,4)&lt;&gt;"    ",0,BI22)</f>
        <v/>
      </c>
      <c r="S22" s="9">
        <f>+Q22-R22</f>
        <v/>
      </c>
      <c r="T22" s="200">
        <f>IF('Jobs-Ops'!S22&lt;&gt; "",'Jobs-Ops'!S22,"")</f>
        <v/>
      </c>
      <c r="U22" s="10" t="n"/>
      <c r="V22" s="23">
        <f>IF(LEFT(B22,4)&lt;&gt;"    ","",IF(N22&lt;&gt;0,X22/N22,0))</f>
        <v/>
      </c>
      <c r="W22" s="11">
        <f>IF(LEFT(B22,4)&lt;&gt;"    ","",IF(V22&gt;=0.1,V22*J22,X22))</f>
        <v/>
      </c>
      <c r="X22" s="8" t="n"/>
      <c r="Y22" s="9">
        <f>IF(LEFT(B22,4)&lt;&gt;"    ",0,IF(Q22&lt;0,Q22,IF(V22&gt;0.1,W22-X22,0)))</f>
        <v/>
      </c>
      <c r="Z22" s="9">
        <f>IF(LEFT(B22,4)&lt;&gt;"    ",0,IF(V22&gt;0.1,BI22,0))</f>
        <v/>
      </c>
      <c r="AA22" s="9">
        <f>Y22-Z22</f>
        <v/>
      </c>
      <c r="AB22" s="10" t="n"/>
      <c r="AC22" s="24" t="n"/>
      <c r="AD22" s="11" t="n"/>
      <c r="AE22" s="8" t="n"/>
      <c r="AF22" s="9">
        <f>IF(LEFT(B22,4)&lt;&gt;"    ","",AD22-AE22)</f>
        <v/>
      </c>
      <c r="AG22" s="10" t="n"/>
      <c r="AH22" s="11">
        <f>IF(LEFT(B22,4)&lt;&gt;"    ","",W22-AD22)</f>
        <v/>
      </c>
      <c r="AI22" s="8">
        <f>IF(LEFT(B22,4)&lt;&gt;"    ","",X22-AE22)</f>
        <v/>
      </c>
      <c r="AJ22" s="9">
        <f>IF(LEFT(B22,4)&lt;&gt;"    ","",Y22-AF22)</f>
        <v/>
      </c>
      <c r="AK22" s="10" t="n"/>
      <c r="AL22" s="25">
        <f>IF(LEFT(B22,4)&lt;&gt;"    ","",J22-W22)</f>
        <v/>
      </c>
      <c r="AM22" s="25">
        <f>N22-X22</f>
        <v/>
      </c>
      <c r="AN22" s="25">
        <f>IF(LEFT(B22,4)&lt;&gt;"    ","",Q22-Y22)</f>
        <v/>
      </c>
      <c r="AO22" s="10" t="n"/>
      <c r="AP22" s="12" t="n"/>
      <c r="AQ22" s="12">
        <f>IF(LEFT(B22,4)&lt;&gt;"    ","",IF(W22-AP22&gt;=0,W22-AP22," "))</f>
        <v/>
      </c>
      <c r="AR22" s="12">
        <f>IF(LEFT(B22,4)&lt;&gt;"    ","",IF(AP22-W22&gt;=0,AP22-W22," "))</f>
        <v/>
      </c>
      <c r="AS22" s="186" t="n"/>
      <c r="AT22" s="187" t="n"/>
      <c r="AU22" s="186" t="n"/>
      <c r="AV22" s="186" t="n"/>
      <c r="AW22" s="188" t="n"/>
      <c r="AX22" s="187" t="n"/>
      <c r="AY22" s="187" t="n"/>
      <c r="AZ22" s="186" t="n"/>
      <c r="BA22" s="186" t="n"/>
      <c r="BB22" s="186" t="n"/>
      <c r="BC22" s="186" t="n"/>
      <c r="BD22" s="186" t="n"/>
      <c r="BE22" s="186" t="n"/>
      <c r="BF22" s="186" t="n"/>
      <c r="BG22" s="186" t="n"/>
      <c r="BH22" s="186" t="n"/>
      <c r="BI22" s="186" t="n"/>
      <c r="BJ22" s="186" t="n"/>
      <c r="BK22" s="186" t="n"/>
      <c r="BL22" s="186" t="n"/>
      <c r="BM22" s="186" t="n"/>
      <c r="BN22" s="186" t="n"/>
      <c r="BO22" s="186" t="n"/>
      <c r="BP22" s="186" t="n"/>
      <c r="BQ22" s="186" t="n"/>
      <c r="BR22" s="189" t="n"/>
      <c r="BS22" s="189" t="n"/>
      <c r="BT22" s="186" t="n"/>
      <c r="BU22" s="186" t="n"/>
      <c r="BV22" s="190" t="n"/>
      <c r="BW22" s="186" t="n"/>
      <c r="BX22" s="186" t="n"/>
      <c r="BY22" s="186" t="n"/>
      <c r="BZ22" s="186" t="n"/>
      <c r="CA22" s="186" t="n"/>
      <c r="CB22" s="187" t="n"/>
      <c r="CC22" s="192" t="n"/>
      <c r="CD22" s="192" t="n"/>
      <c r="CE22" s="192" t="n"/>
      <c r="CF22" s="192" t="n"/>
    </row>
    <row r="23">
      <c r="A23" s="197" t="n"/>
      <c r="B23" s="198" t="n"/>
      <c r="C23" s="198" t="n"/>
      <c r="D23" s="179" t="n"/>
      <c r="E23" s="180" t="n"/>
      <c r="F23" s="181" t="n"/>
      <c r="G23" s="284">
        <f>'Jobs-Ops'!G23</f>
        <v/>
      </c>
      <c r="H23" s="114">
        <f>'Jobs-Ops'!H23</f>
        <v/>
      </c>
      <c r="I23" s="105" t="n"/>
      <c r="J23" s="183">
        <f>F23</f>
        <v/>
      </c>
      <c r="K23" s="184" t="n"/>
      <c r="L23" s="185" t="n"/>
      <c r="M23" s="8" t="n"/>
      <c r="N23" s="184">
        <f>M23</f>
        <v/>
      </c>
      <c r="O23" s="71" t="n"/>
      <c r="P23" s="101" t="n"/>
      <c r="Q23" s="9">
        <f>J23-N23</f>
        <v/>
      </c>
      <c r="R23" s="9">
        <f>IF(LEFT(B23,4)&lt;&gt;"    ",0,BI23)</f>
        <v/>
      </c>
      <c r="S23" s="9">
        <f>+Q23-R23</f>
        <v/>
      </c>
      <c r="T23" s="200">
        <f>IF('Jobs-Ops'!S23&lt;&gt; "",'Jobs-Ops'!S23,"")</f>
        <v/>
      </c>
      <c r="U23" s="10" t="n"/>
      <c r="V23" s="23">
        <f>IF(LEFT(B23,4)&lt;&gt;"    ","",IF(N23&lt;&gt;0,X23/N23,0))</f>
        <v/>
      </c>
      <c r="W23" s="11">
        <f>IF(LEFT(B23,4)&lt;&gt;"    ","",IF(V23&gt;=0.1,V23*J23,X23))</f>
        <v/>
      </c>
      <c r="X23" s="8" t="n"/>
      <c r="Y23" s="9">
        <f>IF(LEFT(B23,4)&lt;&gt;"    ",0,IF(Q23&lt;0,Q23,IF(V23&gt;0.1,W23-X23,0)))</f>
        <v/>
      </c>
      <c r="Z23" s="9">
        <f>IF(LEFT(B23,4)&lt;&gt;"    ",0,IF(V23&gt;0.1,BI23,0))</f>
        <v/>
      </c>
      <c r="AA23" s="9">
        <f>Y23-Z23</f>
        <v/>
      </c>
      <c r="AB23" s="10" t="n"/>
      <c r="AC23" s="24" t="n"/>
      <c r="AD23" s="11" t="n"/>
      <c r="AE23" s="8" t="n"/>
      <c r="AF23" s="9">
        <f>IF(LEFT(B23,4)&lt;&gt;"    ","",AD23-AE23)</f>
        <v/>
      </c>
      <c r="AG23" s="10" t="n"/>
      <c r="AH23" s="11">
        <f>IF(LEFT(B23,4)&lt;&gt;"    ","",W23-AD23)</f>
        <v/>
      </c>
      <c r="AI23" s="8">
        <f>IF(LEFT(B23,4)&lt;&gt;"    ","",X23-AE23)</f>
        <v/>
      </c>
      <c r="AJ23" s="9">
        <f>IF(LEFT(B23,4)&lt;&gt;"    ","",Y23-AF23)</f>
        <v/>
      </c>
      <c r="AK23" s="10" t="n"/>
      <c r="AL23" s="25">
        <f>IF(LEFT(B23,4)&lt;&gt;"    ","",J23-W23)</f>
        <v/>
      </c>
      <c r="AM23" s="25">
        <f>N23-X23</f>
        <v/>
      </c>
      <c r="AN23" s="25">
        <f>IF(LEFT(B23,4)&lt;&gt;"    ","",Q23-Y23)</f>
        <v/>
      </c>
      <c r="AO23" s="10" t="n"/>
      <c r="AP23" s="12" t="n"/>
      <c r="AQ23" s="12">
        <f>IF(LEFT(B23,4)&lt;&gt;"    ","",IF(W23-AP23&gt;=0,W23-AP23," "))</f>
        <v/>
      </c>
      <c r="AR23" s="12">
        <f>IF(LEFT(B23,4)&lt;&gt;"    ","",IF(AP23-W23&gt;=0,AP23-W23," "))</f>
        <v/>
      </c>
      <c r="AS23" s="186" t="n"/>
      <c r="AT23" s="187" t="n"/>
      <c r="AU23" s="186" t="n"/>
      <c r="AV23" s="186" t="n"/>
      <c r="AW23" s="188" t="n"/>
      <c r="AX23" s="187" t="n"/>
      <c r="AY23" s="187" t="n"/>
      <c r="AZ23" s="186" t="n"/>
      <c r="BA23" s="186" t="n"/>
      <c r="BB23" s="186" t="n"/>
      <c r="BC23" s="186" t="n"/>
      <c r="BD23" s="186" t="n"/>
      <c r="BE23" s="186" t="n"/>
      <c r="BF23" s="186" t="n"/>
      <c r="BG23" s="186" t="n"/>
      <c r="BH23" s="186" t="n"/>
      <c r="BI23" s="186" t="n"/>
      <c r="BJ23" s="186" t="n"/>
      <c r="BK23" s="186" t="n"/>
      <c r="BL23" s="186" t="n"/>
      <c r="BM23" s="186" t="n"/>
      <c r="BN23" s="186" t="n"/>
      <c r="BO23" s="186" t="n"/>
      <c r="BP23" s="186" t="n"/>
      <c r="BQ23" s="186" t="n"/>
      <c r="BR23" s="189" t="n"/>
      <c r="BS23" s="189" t="n"/>
      <c r="BT23" s="186" t="n"/>
      <c r="BU23" s="186" t="n"/>
      <c r="BV23" s="190" t="n"/>
      <c r="BW23" s="186" t="n"/>
      <c r="BX23" s="186" t="n"/>
      <c r="BY23" s="186" t="n"/>
      <c r="BZ23" s="186" t="n"/>
      <c r="CA23" s="186" t="n"/>
      <c r="CB23" s="187" t="n"/>
      <c r="CC23" s="192" t="n"/>
      <c r="CD23" s="192" t="n"/>
      <c r="CE23" s="192" t="n"/>
      <c r="CF23" s="192" t="n"/>
    </row>
    <row r="24">
      <c r="A24" s="197" t="n"/>
      <c r="B24" s="198" t="n"/>
      <c r="C24" s="198" t="n"/>
      <c r="D24" s="179" t="n"/>
      <c r="E24" s="180" t="n"/>
      <c r="F24" s="181" t="n"/>
      <c r="G24" s="284">
        <f>'Jobs-Ops'!G24</f>
        <v/>
      </c>
      <c r="H24" s="114">
        <f>'Jobs-Ops'!H24</f>
        <v/>
      </c>
      <c r="I24" s="105" t="n"/>
      <c r="J24" s="183">
        <f>F24</f>
        <v/>
      </c>
      <c r="K24" s="184" t="n"/>
      <c r="L24" s="185" t="n"/>
      <c r="M24" s="8" t="n"/>
      <c r="N24" s="184">
        <f>M24</f>
        <v/>
      </c>
      <c r="O24" s="71" t="n"/>
      <c r="P24" s="101" t="n"/>
      <c r="Q24" s="9">
        <f>J24-N24</f>
        <v/>
      </c>
      <c r="R24" s="9">
        <f>IF(LEFT(B24,4)&lt;&gt;"    ",0,BI24)</f>
        <v/>
      </c>
      <c r="S24" s="9">
        <f>+Q24-R24</f>
        <v/>
      </c>
      <c r="T24" s="200">
        <f>IF('Jobs-Ops'!S24&lt;&gt; "",'Jobs-Ops'!S24,"")</f>
        <v/>
      </c>
      <c r="U24" s="10" t="n"/>
      <c r="V24" s="23">
        <f>IF(LEFT(B24,4)&lt;&gt;"    ","",IF(N24&lt;&gt;0,X24/N24,0))</f>
        <v/>
      </c>
      <c r="W24" s="11">
        <f>IF(LEFT(B24,4)&lt;&gt;"    ","",IF(V24&gt;=0.1,V24*J24,X24))</f>
        <v/>
      </c>
      <c r="X24" s="8" t="n"/>
      <c r="Y24" s="9">
        <f>IF(LEFT(B24,4)&lt;&gt;"    ",0,IF(Q24&lt;0,Q24,IF(V24&gt;0.1,W24-X24,0)))</f>
        <v/>
      </c>
      <c r="Z24" s="9">
        <f>IF(LEFT(B24,4)&lt;&gt;"    ",0,IF(V24&gt;0.1,BI24,0))</f>
        <v/>
      </c>
      <c r="AA24" s="9">
        <f>Y24-Z24</f>
        <v/>
      </c>
      <c r="AB24" s="10" t="n"/>
      <c r="AC24" s="24" t="n"/>
      <c r="AD24" s="11" t="n"/>
      <c r="AE24" s="8" t="n"/>
      <c r="AF24" s="9">
        <f>IF(LEFT(B24,4)&lt;&gt;"    ","",AD24-AE24)</f>
        <v/>
      </c>
      <c r="AG24" s="10" t="n"/>
      <c r="AH24" s="11">
        <f>IF(LEFT(B24,4)&lt;&gt;"    ","",W24-AD24)</f>
        <v/>
      </c>
      <c r="AI24" s="8">
        <f>IF(LEFT(B24,4)&lt;&gt;"    ","",X24-AE24)</f>
        <v/>
      </c>
      <c r="AJ24" s="9">
        <f>IF(LEFT(B24,4)&lt;&gt;"    ","",Y24-AF24)</f>
        <v/>
      </c>
      <c r="AK24" s="10" t="n"/>
      <c r="AL24" s="25">
        <f>IF(LEFT(B24,4)&lt;&gt;"    ","",J24-W24)</f>
        <v/>
      </c>
      <c r="AM24" s="25">
        <f>N24-X24</f>
        <v/>
      </c>
      <c r="AN24" s="25">
        <f>IF(LEFT(B24,4)&lt;&gt;"    ","",Q24-Y24)</f>
        <v/>
      </c>
      <c r="AO24" s="10" t="n"/>
      <c r="AP24" s="12" t="n"/>
      <c r="AQ24" s="12">
        <f>IF(LEFT(B24,4)&lt;&gt;"    ","",IF(W24-AP24&gt;=0,W24-AP24," "))</f>
        <v/>
      </c>
      <c r="AR24" s="12">
        <f>IF(LEFT(B24,4)&lt;&gt;"    ","",IF(AP24-W24&gt;=0,AP24-W24," "))</f>
        <v/>
      </c>
      <c r="AS24" s="186" t="n"/>
      <c r="AT24" s="187" t="n"/>
      <c r="AU24" s="186" t="n"/>
      <c r="AV24" s="186" t="n"/>
      <c r="AW24" s="188" t="n"/>
      <c r="AX24" s="187" t="n"/>
      <c r="AY24" s="187" t="n"/>
      <c r="AZ24" s="186" t="n"/>
      <c r="BA24" s="186" t="n"/>
      <c r="BB24" s="186" t="n"/>
      <c r="BC24" s="186" t="n"/>
      <c r="BD24" s="186" t="n"/>
      <c r="BE24" s="186" t="n"/>
      <c r="BF24" s="186" t="n"/>
      <c r="BG24" s="186" t="n"/>
      <c r="BH24" s="186" t="n"/>
      <c r="BI24" s="186" t="n"/>
      <c r="BJ24" s="186" t="n"/>
      <c r="BK24" s="186" t="n"/>
      <c r="BL24" s="186" t="n"/>
      <c r="BM24" s="186" t="n"/>
      <c r="BN24" s="186" t="n"/>
      <c r="BO24" s="186" t="n"/>
      <c r="BP24" s="186" t="n"/>
      <c r="BQ24" s="186" t="n"/>
      <c r="BR24" s="189" t="n"/>
      <c r="BS24" s="189" t="n"/>
      <c r="BT24" s="186" t="n"/>
      <c r="BU24" s="186" t="n"/>
      <c r="BV24" s="190" t="n"/>
      <c r="BW24" s="186" t="n"/>
      <c r="BX24" s="186" t="n"/>
      <c r="BY24" s="186" t="n"/>
      <c r="BZ24" s="186" t="n"/>
      <c r="CA24" s="186" t="n"/>
      <c r="CB24" s="187" t="n"/>
      <c r="CC24" s="192" t="n"/>
      <c r="CD24" s="192" t="n"/>
      <c r="CE24" s="192" t="n"/>
      <c r="CF24" s="192" t="n"/>
    </row>
    <row r="25">
      <c r="A25" s="197" t="n"/>
      <c r="B25" s="198" t="n"/>
      <c r="C25" s="198" t="n"/>
      <c r="D25" s="179" t="n"/>
      <c r="E25" s="180" t="n"/>
      <c r="F25" s="181" t="n"/>
      <c r="G25" s="284">
        <f>'Jobs-Ops'!G25</f>
        <v/>
      </c>
      <c r="H25" s="114">
        <f>'Jobs-Ops'!H25</f>
        <v/>
      </c>
      <c r="I25" s="105" t="n"/>
      <c r="J25" s="183">
        <f>F25</f>
        <v/>
      </c>
      <c r="K25" s="193" t="n"/>
      <c r="L25" s="185" t="n"/>
      <c r="M25" s="8" t="n"/>
      <c r="N25" s="184">
        <f>M25</f>
        <v/>
      </c>
      <c r="O25" s="71" t="n"/>
      <c r="P25" s="101" t="n"/>
      <c r="Q25" s="9">
        <f>J25-N25</f>
        <v/>
      </c>
      <c r="R25" s="9">
        <f>IF(LEFT(B25,4)&lt;&gt;"    ",0,BI25)</f>
        <v/>
      </c>
      <c r="S25" s="9">
        <f>+Q25-R25</f>
        <v/>
      </c>
      <c r="T25" s="200">
        <f>IF('Jobs-Ops'!S25&lt;&gt; "",'Jobs-Ops'!S25,"")</f>
        <v/>
      </c>
      <c r="U25" s="10" t="n"/>
      <c r="V25" s="23">
        <f>IF(LEFT(B25,4)&lt;&gt;"    ","",IF(N25&lt;&gt;0,X25/N25,0))</f>
        <v/>
      </c>
      <c r="W25" s="11">
        <f>IF(LEFT(B25,4)&lt;&gt;"    ","",IF(V25&gt;=0.1,V25*J25,X25))</f>
        <v/>
      </c>
      <c r="X25" s="8" t="n"/>
      <c r="Y25" s="9">
        <f>IF(LEFT(B25,4)&lt;&gt;"    ",0,IF(Q25&lt;0,Q25,IF(V25&gt;0.1,W25-X25,0)))</f>
        <v/>
      </c>
      <c r="Z25" s="9">
        <f>IF(LEFT(B25,4)&lt;&gt;"    ",0,IF(V25&gt;0.1,BI25,0))</f>
        <v/>
      </c>
      <c r="AA25" s="9">
        <f>Y25-Z25</f>
        <v/>
      </c>
      <c r="AB25" s="10" t="n"/>
      <c r="AC25" s="24" t="n"/>
      <c r="AD25" s="11" t="n"/>
      <c r="AE25" s="8" t="n"/>
      <c r="AF25" s="9">
        <f>IF(LEFT(B25,4)&lt;&gt;"    ","",AD25-AE25)</f>
        <v/>
      </c>
      <c r="AG25" s="10" t="n"/>
      <c r="AH25" s="11">
        <f>IF(LEFT(B25,4)&lt;&gt;"    ","",W25-AD25)</f>
        <v/>
      </c>
      <c r="AI25" s="8">
        <f>IF(LEFT(B25,4)&lt;&gt;"    ","",X25-AE25)</f>
        <v/>
      </c>
      <c r="AJ25" s="9">
        <f>IF(LEFT(B25,4)&lt;&gt;"    ","",Y25-AF25)</f>
        <v/>
      </c>
      <c r="AK25" s="10" t="n"/>
      <c r="AL25" s="25">
        <f>IF(LEFT(B25,4)&lt;&gt;"    ","",J25-W25)</f>
        <v/>
      </c>
      <c r="AM25" s="25">
        <f>N25-X25</f>
        <v/>
      </c>
      <c r="AN25" s="25">
        <f>IF(LEFT(B25,4)&lt;&gt;"    ","",Q25-Y25)</f>
        <v/>
      </c>
      <c r="AO25" s="10" t="n"/>
      <c r="AP25" s="12" t="n"/>
      <c r="AQ25" s="12">
        <f>IF(LEFT(B25,4)&lt;&gt;"    ","",IF(W25-AP25&gt;=0,W25-AP25," "))</f>
        <v/>
      </c>
      <c r="AR25" s="12">
        <f>IF(LEFT(B25,4)&lt;&gt;"    ","",IF(AP25-W25&gt;=0,AP25-W25," "))</f>
        <v/>
      </c>
      <c r="AS25" s="186" t="n"/>
      <c r="AT25" s="187" t="n"/>
      <c r="AU25" s="186" t="n"/>
      <c r="AV25" s="186" t="n"/>
      <c r="AW25" s="188" t="n"/>
      <c r="AX25" s="187" t="n"/>
      <c r="AY25" s="187" t="n"/>
      <c r="AZ25" s="186" t="n"/>
      <c r="BA25" s="186" t="n"/>
      <c r="BB25" s="186" t="n"/>
      <c r="BC25" s="186" t="n"/>
      <c r="BD25" s="186" t="n"/>
      <c r="BE25" s="186" t="n"/>
      <c r="BF25" s="186" t="n"/>
      <c r="BG25" s="186" t="n"/>
      <c r="BH25" s="186" t="n"/>
      <c r="BI25" s="186" t="n"/>
      <c r="BJ25" s="186" t="n"/>
      <c r="BK25" s="186" t="n"/>
      <c r="BL25" s="186" t="n"/>
      <c r="BM25" s="186" t="n"/>
      <c r="BN25" s="186" t="n"/>
      <c r="BO25" s="186" t="n"/>
      <c r="BP25" s="186" t="n"/>
      <c r="BQ25" s="186" t="n"/>
      <c r="BR25" s="189" t="n"/>
      <c r="BS25" s="189" t="n"/>
      <c r="BT25" s="186" t="n"/>
      <c r="BU25" s="186" t="n"/>
      <c r="BV25" s="190" t="n"/>
      <c r="BW25" s="186" t="n"/>
      <c r="BX25" s="186" t="n"/>
      <c r="BY25" s="186" t="n"/>
      <c r="BZ25" s="186" t="n"/>
      <c r="CA25" s="186" t="n"/>
      <c r="CB25" s="187" t="n"/>
      <c r="CC25" s="192" t="n"/>
      <c r="CD25" s="192" t="n"/>
      <c r="CE25" s="192" t="n"/>
      <c r="CF25" s="192" t="n"/>
    </row>
    <row r="26">
      <c r="A26" s="197" t="n"/>
      <c r="B26" s="198" t="n"/>
      <c r="C26" s="198" t="n"/>
      <c r="D26" s="179" t="n"/>
      <c r="E26" s="180" t="n"/>
      <c r="F26" s="181" t="n"/>
      <c r="G26" s="284">
        <f>'Jobs-Ops'!G26</f>
        <v/>
      </c>
      <c r="H26" s="114">
        <f>'Jobs-Ops'!H26</f>
        <v/>
      </c>
      <c r="I26" s="105" t="n"/>
      <c r="J26" s="183">
        <f>F26</f>
        <v/>
      </c>
      <c r="K26" s="193" t="n"/>
      <c r="L26" s="185" t="n"/>
      <c r="M26" s="8" t="n"/>
      <c r="N26" s="184">
        <f>M26</f>
        <v/>
      </c>
      <c r="O26" s="71" t="n"/>
      <c r="P26" s="101" t="n"/>
      <c r="Q26" s="9">
        <f>J26-N26</f>
        <v/>
      </c>
      <c r="R26" s="9">
        <f>IF(LEFT(B26,4)&lt;&gt;"    ",0,BI26)</f>
        <v/>
      </c>
      <c r="S26" s="9">
        <f>+Q26-R26</f>
        <v/>
      </c>
      <c r="T26" s="200">
        <f>IF('Jobs-Ops'!S26&lt;&gt; "",'Jobs-Ops'!S26,"")</f>
        <v/>
      </c>
      <c r="U26" s="10" t="n"/>
      <c r="V26" s="23">
        <f>IF(LEFT(B26,4)&lt;&gt;"    ","",IF(N26&lt;&gt;0,X26/N26,0))</f>
        <v/>
      </c>
      <c r="W26" s="11">
        <f>IF(LEFT(B26,4)&lt;&gt;"    ","",IF(V26&gt;=0.1,V26*J26,X26))</f>
        <v/>
      </c>
      <c r="X26" s="8" t="n"/>
      <c r="Y26" s="9">
        <f>IF(LEFT(B26,4)&lt;&gt;"    ",0,IF(Q26&lt;0,Q26,IF(V26&gt;0.1,W26-X26,0)))</f>
        <v/>
      </c>
      <c r="Z26" s="9">
        <f>IF(LEFT(B26,4)&lt;&gt;"    ",0,IF(V26&gt;0.1,BI26,0))</f>
        <v/>
      </c>
      <c r="AA26" s="9">
        <f>Y26-Z26</f>
        <v/>
      </c>
      <c r="AB26" s="10" t="n"/>
      <c r="AC26" s="24" t="n"/>
      <c r="AD26" s="11" t="n"/>
      <c r="AE26" s="8" t="n"/>
      <c r="AF26" s="9">
        <f>IF(LEFT(B26,4)&lt;&gt;"    ","",AD26-AE26)</f>
        <v/>
      </c>
      <c r="AG26" s="10" t="n"/>
      <c r="AH26" s="11">
        <f>IF(LEFT(B26,4)&lt;&gt;"    ","",W26-AD26)</f>
        <v/>
      </c>
      <c r="AI26" s="8">
        <f>IF(LEFT(B26,4)&lt;&gt;"    ","",X26-AE26)</f>
        <v/>
      </c>
      <c r="AJ26" s="9">
        <f>IF(LEFT(B26,4)&lt;&gt;"    ","",Y26-AF26)</f>
        <v/>
      </c>
      <c r="AK26" s="10" t="n"/>
      <c r="AL26" s="25">
        <f>IF(LEFT(B26,4)&lt;&gt;"    ","",J26-W26)</f>
        <v/>
      </c>
      <c r="AM26" s="25">
        <f>N26-X26</f>
        <v/>
      </c>
      <c r="AN26" s="25">
        <f>IF(LEFT(B26,4)&lt;&gt;"    ","",Q26-Y26)</f>
        <v/>
      </c>
      <c r="AO26" s="10" t="n"/>
      <c r="AP26" s="12" t="n"/>
      <c r="AQ26" s="12">
        <f>IF(LEFT(B26,4)&lt;&gt;"    ","",IF(W26-AP26&gt;=0,W26-AP26," "))</f>
        <v/>
      </c>
      <c r="AR26" s="12">
        <f>IF(LEFT(B26,4)&lt;&gt;"    ","",IF(AP26-W26&gt;=0,AP26-W26," "))</f>
        <v/>
      </c>
      <c r="AS26" s="186" t="n"/>
      <c r="AT26" s="187" t="n"/>
      <c r="AU26" s="186" t="n"/>
      <c r="AV26" s="186" t="n"/>
      <c r="AW26" s="188" t="n"/>
      <c r="AX26" s="187" t="n"/>
      <c r="AY26" s="187" t="n"/>
      <c r="AZ26" s="186" t="n"/>
      <c r="BA26" s="186" t="n"/>
      <c r="BB26" s="186" t="n"/>
      <c r="BC26" s="186" t="n"/>
      <c r="BD26" s="186" t="n"/>
      <c r="BE26" s="186" t="n"/>
      <c r="BF26" s="186" t="n"/>
      <c r="BG26" s="186" t="n"/>
      <c r="BH26" s="186" t="n"/>
      <c r="BI26" s="186" t="n"/>
      <c r="BJ26" s="186" t="n"/>
      <c r="BK26" s="186" t="n"/>
      <c r="BL26" s="186" t="n"/>
      <c r="BM26" s="186" t="n"/>
      <c r="BN26" s="186" t="n"/>
      <c r="BO26" s="186" t="n"/>
      <c r="BP26" s="186" t="n"/>
      <c r="BQ26" s="186" t="n"/>
      <c r="BR26" s="189" t="n"/>
      <c r="BS26" s="189" t="n"/>
      <c r="BT26" s="186" t="n"/>
      <c r="BU26" s="186" t="n"/>
      <c r="BV26" s="190" t="n"/>
      <c r="BW26" s="186" t="n"/>
      <c r="BX26" s="186" t="n"/>
      <c r="BY26" s="186" t="n"/>
      <c r="BZ26" s="186" t="n"/>
      <c r="CA26" s="186" t="n"/>
      <c r="CB26" s="187" t="n"/>
      <c r="CC26" s="192" t="n"/>
      <c r="CD26" s="192" t="n"/>
      <c r="CE26" s="192" t="n"/>
      <c r="CF26" s="192" t="n"/>
    </row>
    <row r="27">
      <c r="A27" s="197" t="n"/>
      <c r="B27" s="198" t="n"/>
      <c r="C27" s="198" t="n"/>
      <c r="D27" s="179" t="n"/>
      <c r="E27" s="180" t="n"/>
      <c r="F27" s="181" t="n"/>
      <c r="G27" s="284">
        <f>'Jobs-Ops'!G27</f>
        <v/>
      </c>
      <c r="H27" s="114">
        <f>'Jobs-Ops'!H27</f>
        <v/>
      </c>
      <c r="I27" s="105" t="n"/>
      <c r="J27" s="183">
        <f>F27</f>
        <v/>
      </c>
      <c r="K27" s="184" t="n"/>
      <c r="L27" s="185" t="n"/>
      <c r="M27" s="8" t="n"/>
      <c r="N27" s="184">
        <f>M27</f>
        <v/>
      </c>
      <c r="O27" s="71" t="n"/>
      <c r="P27" s="101" t="n"/>
      <c r="Q27" s="9">
        <f>J27-N27</f>
        <v/>
      </c>
      <c r="R27" s="9">
        <f>IF(LEFT(B27,4)&lt;&gt;"    ",0,BI27)</f>
        <v/>
      </c>
      <c r="S27" s="9">
        <f>+Q27-R27</f>
        <v/>
      </c>
      <c r="T27" s="200">
        <f>IF('Jobs-Ops'!S27&lt;&gt; "",'Jobs-Ops'!S27,"")</f>
        <v/>
      </c>
      <c r="U27" s="10" t="n"/>
      <c r="V27" s="23">
        <f>IF(LEFT(B27,4)&lt;&gt;"    ","",IF(N27&lt;&gt;0,X27/N27,0))</f>
        <v/>
      </c>
      <c r="W27" s="11">
        <f>IF(LEFT(B27,4)&lt;&gt;"    ","",IF(V27&gt;=0.1,V27*J27,X27))</f>
        <v/>
      </c>
      <c r="X27" s="8" t="n"/>
      <c r="Y27" s="9">
        <f>IF(LEFT(B27,4)&lt;&gt;"    ",0,IF(Q27&lt;0,Q27,IF(V27&gt;0.1,W27-X27,0)))</f>
        <v/>
      </c>
      <c r="Z27" s="9">
        <f>IF(LEFT(B27,4)&lt;&gt;"    ",0,IF(V27&gt;0.1,BI27,0))</f>
        <v/>
      </c>
      <c r="AA27" s="9">
        <f>Y27-Z27</f>
        <v/>
      </c>
      <c r="AB27" s="10" t="n"/>
      <c r="AC27" s="24" t="n"/>
      <c r="AD27" s="11" t="n"/>
      <c r="AE27" s="8" t="n"/>
      <c r="AF27" s="9">
        <f>IF(LEFT(B27,4)&lt;&gt;"    ","",AD27-AE27)</f>
        <v/>
      </c>
      <c r="AG27" s="10" t="n"/>
      <c r="AH27" s="11">
        <f>IF(LEFT(B27,4)&lt;&gt;"    ","",W27-AD27)</f>
        <v/>
      </c>
      <c r="AI27" s="8">
        <f>IF(LEFT(B27,4)&lt;&gt;"    ","",X27-AE27)</f>
        <v/>
      </c>
      <c r="AJ27" s="9">
        <f>IF(LEFT(B27,4)&lt;&gt;"    ","",Y27-AF27)</f>
        <v/>
      </c>
      <c r="AK27" s="10" t="n"/>
      <c r="AL27" s="25">
        <f>IF(LEFT(B27,4)&lt;&gt;"    ","",J27-W27)</f>
        <v/>
      </c>
      <c r="AM27" s="25">
        <f>N27-X27</f>
        <v/>
      </c>
      <c r="AN27" s="25">
        <f>IF(LEFT(B27,4)&lt;&gt;"    ","",Q27-Y27)</f>
        <v/>
      </c>
      <c r="AO27" s="10" t="n"/>
      <c r="AP27" s="12" t="n"/>
      <c r="AQ27" s="12">
        <f>IF(LEFT(B27,4)&lt;&gt;"    ","",IF(W27-AP27&gt;=0,W27-AP27," "))</f>
        <v/>
      </c>
      <c r="AR27" s="12">
        <f>IF(LEFT(B27,4)&lt;&gt;"    ","",IF(AP27-W27&gt;=0,AP27-W27," "))</f>
        <v/>
      </c>
      <c r="AS27" s="186" t="n"/>
      <c r="AT27" s="187" t="n"/>
      <c r="AU27" s="186" t="n"/>
      <c r="AV27" s="186" t="n"/>
      <c r="AW27" s="188" t="n"/>
      <c r="AX27" s="187" t="n"/>
      <c r="AY27" s="187" t="n"/>
      <c r="AZ27" s="186" t="n"/>
      <c r="BA27" s="186" t="n"/>
      <c r="BB27" s="186" t="n"/>
      <c r="BC27" s="186" t="n"/>
      <c r="BD27" s="186" t="n"/>
      <c r="BE27" s="186" t="n"/>
      <c r="BF27" s="186" t="n"/>
      <c r="BG27" s="186" t="n"/>
      <c r="BH27" s="186" t="n"/>
      <c r="BI27" s="186" t="n"/>
      <c r="BJ27" s="186" t="n"/>
      <c r="BK27" s="186" t="n"/>
      <c r="BL27" s="186" t="n"/>
      <c r="BM27" s="186" t="n"/>
      <c r="BN27" s="186" t="n"/>
      <c r="BO27" s="186" t="n"/>
      <c r="BP27" s="186" t="n"/>
      <c r="BQ27" s="186" t="n"/>
      <c r="BR27" s="189" t="n"/>
      <c r="BS27" s="189" t="n"/>
      <c r="BT27" s="186" t="n"/>
      <c r="BU27" s="186" t="n"/>
      <c r="BV27" s="190" t="n"/>
      <c r="BW27" s="186" t="n"/>
      <c r="BX27" s="186" t="n"/>
      <c r="BY27" s="186" t="n"/>
      <c r="BZ27" s="186" t="n"/>
      <c r="CA27" s="186" t="n"/>
      <c r="CB27" s="187" t="n"/>
      <c r="CC27" s="192" t="n"/>
      <c r="CD27" s="192" t="n"/>
      <c r="CE27" s="192" t="n"/>
      <c r="CF27" s="192" t="n"/>
    </row>
    <row r="28">
      <c r="A28" s="197" t="n"/>
      <c r="B28" s="198" t="n"/>
      <c r="C28" s="198" t="n"/>
      <c r="D28" s="179" t="n"/>
      <c r="E28" s="180" t="n"/>
      <c r="F28" s="181" t="n"/>
      <c r="G28" s="284">
        <f>'Jobs-Ops'!G28</f>
        <v/>
      </c>
      <c r="H28" s="114">
        <f>'Jobs-Ops'!H28</f>
        <v/>
      </c>
      <c r="I28" s="105" t="n"/>
      <c r="J28" s="183">
        <f>F28</f>
        <v/>
      </c>
      <c r="K28" s="184" t="n"/>
      <c r="L28" s="185" t="n"/>
      <c r="M28" s="8" t="n"/>
      <c r="N28" s="184">
        <f>M28</f>
        <v/>
      </c>
      <c r="O28" s="184" t="n"/>
      <c r="P28" s="185" t="n"/>
      <c r="Q28" s="9">
        <f>J28-N28</f>
        <v/>
      </c>
      <c r="R28" s="9">
        <f>IF(LEFT(B28,4)&lt;&gt;"    ",0,BI28)</f>
        <v/>
      </c>
      <c r="S28" s="9">
        <f>+Q28-R28</f>
        <v/>
      </c>
      <c r="T28" s="200">
        <f>IF('Jobs-Ops'!S28&lt;&gt; "",'Jobs-Ops'!S28,"")</f>
        <v/>
      </c>
      <c r="U28" s="10" t="n"/>
      <c r="V28" s="23">
        <f>IF(LEFT(B28,4)&lt;&gt;"    ","",IF(N28&lt;&gt;0,X28/N28,0))</f>
        <v/>
      </c>
      <c r="W28" s="11">
        <f>IF(LEFT(B28,4)&lt;&gt;"    ","",IF(V28&gt;=0.1,V28*J28,X28))</f>
        <v/>
      </c>
      <c r="X28" s="8" t="n"/>
      <c r="Y28" s="9">
        <f>IF(LEFT(B28,4)&lt;&gt;"    ",0,IF(Q28&lt;0,Q28,IF(V28&gt;0.1,W28-X28,0)))</f>
        <v/>
      </c>
      <c r="Z28" s="9">
        <f>IF(LEFT(B28,4)&lt;&gt;"    ",0,IF(V28&gt;0.1,BI28,0))</f>
        <v/>
      </c>
      <c r="AA28" s="9">
        <f>Y28-Z28</f>
        <v/>
      </c>
      <c r="AB28" s="10" t="n"/>
      <c r="AC28" s="24" t="n"/>
      <c r="AD28" s="11" t="n"/>
      <c r="AE28" s="8" t="n"/>
      <c r="AF28" s="9">
        <f>IF(LEFT(B28,4)&lt;&gt;"    ","",AD28-AE28)</f>
        <v/>
      </c>
      <c r="AG28" s="10" t="n"/>
      <c r="AH28" s="11">
        <f>IF(LEFT(B28,4)&lt;&gt;"    ","",W28-AD28)</f>
        <v/>
      </c>
      <c r="AI28" s="8">
        <f>IF(LEFT(B28,4)&lt;&gt;"    ","",X28-AE28)</f>
        <v/>
      </c>
      <c r="AJ28" s="9">
        <f>IF(LEFT(B28,4)&lt;&gt;"    ","",Y28-AF28)</f>
        <v/>
      </c>
      <c r="AK28" s="10" t="n"/>
      <c r="AL28" s="25">
        <f>IF(LEFT(B28,4)&lt;&gt;"    ","",J28-W28)</f>
        <v/>
      </c>
      <c r="AM28" s="25">
        <f>N28-X28</f>
        <v/>
      </c>
      <c r="AN28" s="25">
        <f>IF(LEFT(B28,4)&lt;&gt;"    ","",Q28-Y28)</f>
        <v/>
      </c>
      <c r="AO28" s="10" t="n"/>
      <c r="AP28" s="12" t="n"/>
      <c r="AQ28" s="12">
        <f>IF(LEFT(B28,4)&lt;&gt;"    ","",IF(W28-AP28&gt;=0,W28-AP28," "))</f>
        <v/>
      </c>
      <c r="AR28" s="12">
        <f>IF(LEFT(B28,4)&lt;&gt;"    ","",IF(AP28-W28&gt;=0,AP28-W28," "))</f>
        <v/>
      </c>
      <c r="AS28" s="186" t="n"/>
      <c r="AT28" s="187" t="n"/>
      <c r="AU28" s="186" t="n"/>
      <c r="AV28" s="186" t="n"/>
      <c r="AW28" s="188" t="n"/>
      <c r="AX28" s="187" t="n"/>
      <c r="AY28" s="187" t="n"/>
      <c r="AZ28" s="186" t="n"/>
      <c r="BA28" s="186" t="n"/>
      <c r="BB28" s="186" t="n"/>
      <c r="BC28" s="186" t="n"/>
      <c r="BD28" s="186" t="n"/>
      <c r="BE28" s="186" t="n"/>
      <c r="BF28" s="186" t="n"/>
      <c r="BG28" s="186" t="n"/>
      <c r="BH28" s="186" t="n"/>
      <c r="BI28" s="186" t="n"/>
      <c r="BJ28" s="186" t="n"/>
      <c r="BK28" s="186" t="n"/>
      <c r="BL28" s="186" t="n"/>
      <c r="BM28" s="186" t="n"/>
      <c r="BN28" s="186" t="n"/>
      <c r="BO28" s="186" t="n"/>
      <c r="BP28" s="186" t="n"/>
      <c r="BQ28" s="186" t="n"/>
      <c r="BR28" s="189" t="n"/>
      <c r="BS28" s="189" t="n"/>
      <c r="BT28" s="186" t="n"/>
      <c r="BU28" s="186" t="n"/>
      <c r="BV28" s="190" t="n"/>
      <c r="BW28" s="186" t="n"/>
      <c r="BX28" s="186" t="n"/>
      <c r="BY28" s="186" t="n"/>
      <c r="BZ28" s="186" t="n"/>
      <c r="CA28" s="186" t="n"/>
      <c r="CB28" s="187" t="n"/>
      <c r="CC28" s="192" t="n"/>
      <c r="CD28" s="192" t="n"/>
      <c r="CE28" s="192" t="n"/>
      <c r="CF28" s="192" t="n"/>
    </row>
    <row r="29">
      <c r="A29" s="197" t="n"/>
      <c r="B29" s="198" t="n"/>
      <c r="C29" s="198" t="n"/>
      <c r="D29" s="179" t="n"/>
      <c r="E29" s="180" t="n"/>
      <c r="F29" s="181" t="n"/>
      <c r="G29" s="284">
        <f>'Jobs-Ops'!G29</f>
        <v/>
      </c>
      <c r="H29" s="114">
        <f>'Jobs-Ops'!H29</f>
        <v/>
      </c>
      <c r="I29" s="105" t="n"/>
      <c r="J29" s="183">
        <f>F29</f>
        <v/>
      </c>
      <c r="K29" s="184" t="n"/>
      <c r="L29" s="185" t="n"/>
      <c r="M29" s="8" t="n"/>
      <c r="N29" s="184">
        <f>M29</f>
        <v/>
      </c>
      <c r="O29" s="71" t="n"/>
      <c r="P29" s="101" t="n"/>
      <c r="Q29" s="9">
        <f>J29-N29</f>
        <v/>
      </c>
      <c r="R29" s="9">
        <f>IF(LEFT(B29,4)&lt;&gt;"    ",0,BI29)</f>
        <v/>
      </c>
      <c r="S29" s="9">
        <f>+Q29-R29</f>
        <v/>
      </c>
      <c r="T29" s="200">
        <f>IF('Jobs-Ops'!S29&lt;&gt; "",'Jobs-Ops'!S29,"")</f>
        <v/>
      </c>
      <c r="U29" s="10" t="n"/>
      <c r="V29" s="23">
        <f>IF(LEFT(B29,4)&lt;&gt;"    ","",IF(N29&lt;&gt;0,X29/N29,0))</f>
        <v/>
      </c>
      <c r="W29" s="11">
        <f>IF(LEFT(B29,4)&lt;&gt;"    ","",IF(V29&gt;=0.1,V29*J29,X29))</f>
        <v/>
      </c>
      <c r="X29" s="8" t="n"/>
      <c r="Y29" s="9">
        <f>IF(LEFT(B29,4)&lt;&gt;"    ",0,IF(Q29&lt;0,Q29,IF(V29&gt;0.1,W29-X29,0)))</f>
        <v/>
      </c>
      <c r="Z29" s="9">
        <f>IF(LEFT(B29,4)&lt;&gt;"    ",0,IF(V29&gt;0.1,BI29,0))</f>
        <v/>
      </c>
      <c r="AA29" s="9">
        <f>Y29-Z29</f>
        <v/>
      </c>
      <c r="AB29" s="10" t="n"/>
      <c r="AC29" s="24" t="n"/>
      <c r="AD29" s="11" t="n"/>
      <c r="AE29" s="8" t="n"/>
      <c r="AF29" s="9">
        <f>IF(LEFT(B29,4)&lt;&gt;"    ","",AD29-AE29)</f>
        <v/>
      </c>
      <c r="AG29" s="10" t="n"/>
      <c r="AH29" s="11">
        <f>IF(LEFT(B29,4)&lt;&gt;"    ","",W29-AD29)</f>
        <v/>
      </c>
      <c r="AI29" s="8">
        <f>IF(LEFT(B29,4)&lt;&gt;"    ","",X29-AE29)</f>
        <v/>
      </c>
      <c r="AJ29" s="9">
        <f>IF(LEFT(B29,4)&lt;&gt;"    ","",Y29-AF29)</f>
        <v/>
      </c>
      <c r="AK29" s="10" t="n"/>
      <c r="AL29" s="25">
        <f>IF(LEFT(B29,4)&lt;&gt;"    ","",J29-W29)</f>
        <v/>
      </c>
      <c r="AM29" s="25">
        <f>N29-X29</f>
        <v/>
      </c>
      <c r="AN29" s="25">
        <f>IF(LEFT(B29,4)&lt;&gt;"    ","",Q29-Y29)</f>
        <v/>
      </c>
      <c r="AO29" s="10" t="n"/>
      <c r="AP29" s="12" t="n"/>
      <c r="AQ29" s="12">
        <f>IF(LEFT(B29,4)&lt;&gt;"    ","",IF(W29-AP29&gt;=0,W29-AP29," "))</f>
        <v/>
      </c>
      <c r="AR29" s="12">
        <f>IF(LEFT(B29,4)&lt;&gt;"    ","",IF(AP29-W29&gt;=0,AP29-W29," "))</f>
        <v/>
      </c>
      <c r="AS29" s="186" t="n"/>
      <c r="AT29" s="187" t="n"/>
      <c r="AU29" s="186" t="n"/>
      <c r="AV29" s="186" t="n"/>
      <c r="AW29" s="188" t="n"/>
      <c r="AX29" s="187" t="n"/>
      <c r="AY29" s="187" t="n"/>
      <c r="AZ29" s="186" t="n"/>
      <c r="BA29" s="186" t="n"/>
      <c r="BB29" s="186" t="n"/>
      <c r="BC29" s="186" t="n"/>
      <c r="BD29" s="186" t="n"/>
      <c r="BE29" s="186" t="n"/>
      <c r="BF29" s="186" t="n"/>
      <c r="BG29" s="186" t="n"/>
      <c r="BH29" s="186" t="n"/>
      <c r="BI29" s="186" t="n"/>
      <c r="BJ29" s="186" t="n"/>
      <c r="BK29" s="186" t="n"/>
      <c r="BL29" s="186" t="n"/>
      <c r="BM29" s="186" t="n"/>
      <c r="BN29" s="186" t="n"/>
      <c r="BO29" s="186" t="n"/>
      <c r="BP29" s="186" t="n"/>
      <c r="BQ29" s="186" t="n"/>
      <c r="BR29" s="189" t="n"/>
      <c r="BS29" s="189" t="n"/>
      <c r="BT29" s="186" t="n"/>
      <c r="BU29" s="186" t="n"/>
      <c r="BV29" s="190" t="n"/>
      <c r="BW29" s="186" t="n"/>
      <c r="BX29" s="186" t="n"/>
      <c r="BY29" s="186" t="n"/>
      <c r="BZ29" s="186" t="n"/>
      <c r="CA29" s="186" t="n"/>
      <c r="CB29" s="187" t="n"/>
      <c r="CC29" s="192" t="n"/>
      <c r="CD29" s="192" t="n"/>
      <c r="CE29" s="192" t="n"/>
      <c r="CF29" s="192" t="n"/>
    </row>
    <row r="30">
      <c r="A30" s="197" t="n"/>
      <c r="B30" s="198" t="n"/>
      <c r="C30" s="198" t="n"/>
      <c r="D30" s="179" t="n"/>
      <c r="E30" s="180" t="n"/>
      <c r="F30" s="181" t="n"/>
      <c r="G30" s="284">
        <f>'Jobs-Ops'!G30</f>
        <v/>
      </c>
      <c r="H30" s="114">
        <f>'Jobs-Ops'!H30</f>
        <v/>
      </c>
      <c r="I30" s="105" t="n"/>
      <c r="J30" s="183">
        <f>F30</f>
        <v/>
      </c>
      <c r="K30" s="184" t="n"/>
      <c r="L30" s="185" t="n"/>
      <c r="M30" s="8" t="n"/>
      <c r="N30" s="184">
        <f>M30</f>
        <v/>
      </c>
      <c r="O30" s="71" t="n"/>
      <c r="P30" s="101" t="n"/>
      <c r="Q30" s="9">
        <f>J30-N30</f>
        <v/>
      </c>
      <c r="R30" s="9">
        <f>IF(LEFT(B30,4)&lt;&gt;"    ",0,BI30)</f>
        <v/>
      </c>
      <c r="S30" s="9">
        <f>+Q30-R30</f>
        <v/>
      </c>
      <c r="T30" s="200">
        <f>IF('Jobs-Ops'!S30&lt;&gt; "",'Jobs-Ops'!S30,"")</f>
        <v/>
      </c>
      <c r="U30" s="10" t="n"/>
      <c r="V30" s="23">
        <f>IF(LEFT(B30,4)&lt;&gt;"    ","",IF(N30&lt;&gt;0,X30/N30,0))</f>
        <v/>
      </c>
      <c r="W30" s="11">
        <f>IF(LEFT(B30,4)&lt;&gt;"    ","",IF(V30&gt;=0.1,V30*J30,X30))</f>
        <v/>
      </c>
      <c r="X30" s="8" t="n"/>
      <c r="Y30" s="9">
        <f>IF(LEFT(B30,4)&lt;&gt;"    ",0,IF(Q30&lt;0,Q30,IF(V30&gt;0.1,W30-X30,0)))</f>
        <v/>
      </c>
      <c r="Z30" s="9">
        <f>IF(LEFT(B30,4)&lt;&gt;"    ",0,IF(V30&gt;0.1,BI30,0))</f>
        <v/>
      </c>
      <c r="AA30" s="9">
        <f>Y30-Z30</f>
        <v/>
      </c>
      <c r="AB30" s="10" t="n"/>
      <c r="AC30" s="24" t="n"/>
      <c r="AD30" s="11" t="n"/>
      <c r="AE30" s="8" t="n"/>
      <c r="AF30" s="9">
        <f>IF(LEFT(B30,4)&lt;&gt;"    ","",AD30-AE30)</f>
        <v/>
      </c>
      <c r="AG30" s="10" t="n"/>
      <c r="AH30" s="11">
        <f>IF(LEFT(B30,4)&lt;&gt;"    ","",W30-AD30)</f>
        <v/>
      </c>
      <c r="AI30" s="8">
        <f>IF(LEFT(B30,4)&lt;&gt;"    ","",X30-AE30)</f>
        <v/>
      </c>
      <c r="AJ30" s="9">
        <f>IF(LEFT(B30,4)&lt;&gt;"    ","",Y30-AF30)</f>
        <v/>
      </c>
      <c r="AK30" s="10" t="n"/>
      <c r="AL30" s="25">
        <f>IF(LEFT(B30,4)&lt;&gt;"    ","",J30-W30)</f>
        <v/>
      </c>
      <c r="AM30" s="25">
        <f>N30-X30</f>
        <v/>
      </c>
      <c r="AN30" s="25">
        <f>IF(LEFT(B30,4)&lt;&gt;"    ","",Q30-Y30)</f>
        <v/>
      </c>
      <c r="AO30" s="10" t="n"/>
      <c r="AP30" s="12" t="n"/>
      <c r="AQ30" s="12">
        <f>IF(LEFT(B30,4)&lt;&gt;"    ","",IF(W30-AP30&gt;=0,W30-AP30," "))</f>
        <v/>
      </c>
      <c r="AR30" s="12">
        <f>IF(LEFT(B30,4)&lt;&gt;"    ","",IF(AP30-W30&gt;=0,AP30-W30," "))</f>
        <v/>
      </c>
      <c r="AS30" s="186" t="n"/>
      <c r="AT30" s="187" t="n"/>
      <c r="AU30" s="186" t="n"/>
      <c r="AV30" s="186" t="n"/>
      <c r="AW30" s="188" t="n"/>
      <c r="AX30" s="187" t="n"/>
      <c r="AY30" s="187" t="n"/>
      <c r="AZ30" s="186" t="n"/>
      <c r="BA30" s="186" t="n"/>
      <c r="BB30" s="186" t="n"/>
      <c r="BC30" s="186" t="n"/>
      <c r="BD30" s="186" t="n"/>
      <c r="BE30" s="186" t="n"/>
      <c r="BF30" s="186" t="n"/>
      <c r="BG30" s="186" t="n"/>
      <c r="BH30" s="186" t="n"/>
      <c r="BI30" s="186" t="n"/>
      <c r="BJ30" s="186" t="n"/>
      <c r="BK30" s="186" t="n"/>
      <c r="BL30" s="186" t="n"/>
      <c r="BM30" s="186" t="n"/>
      <c r="BN30" s="186" t="n"/>
      <c r="BO30" s="186" t="n"/>
      <c r="BP30" s="186" t="n"/>
      <c r="BQ30" s="186" t="n"/>
      <c r="BR30" s="189" t="n"/>
      <c r="BS30" s="189" t="n"/>
      <c r="BT30" s="186" t="n"/>
      <c r="BU30" s="186" t="n"/>
      <c r="BV30" s="190" t="n"/>
      <c r="BW30" s="186" t="n"/>
      <c r="BX30" s="186" t="n"/>
      <c r="BY30" s="186" t="n"/>
      <c r="BZ30" s="186" t="n"/>
      <c r="CA30" s="186" t="n"/>
      <c r="CB30" s="187" t="n"/>
      <c r="CC30" s="192" t="n"/>
      <c r="CD30" s="192" t="n"/>
      <c r="CE30" s="192" t="n"/>
      <c r="CF30" s="192" t="n"/>
    </row>
    <row r="31">
      <c r="A31" s="197" t="n"/>
      <c r="B31" s="198" t="n"/>
      <c r="C31" s="198" t="n"/>
      <c r="D31" s="179" t="n"/>
      <c r="E31" s="180" t="n"/>
      <c r="F31" s="181" t="n"/>
      <c r="G31" s="284">
        <f>'Jobs-Ops'!G31</f>
        <v/>
      </c>
      <c r="H31" s="114">
        <f>'Jobs-Ops'!H31</f>
        <v/>
      </c>
      <c r="I31" s="105" t="n"/>
      <c r="J31" s="183">
        <f>F31</f>
        <v/>
      </c>
      <c r="K31" s="184" t="n"/>
      <c r="L31" s="185" t="n"/>
      <c r="M31" s="8" t="n"/>
      <c r="N31" s="184">
        <f>M31</f>
        <v/>
      </c>
      <c r="O31" s="71" t="n"/>
      <c r="P31" s="101" t="n"/>
      <c r="Q31" s="9">
        <f>J31-N31</f>
        <v/>
      </c>
      <c r="R31" s="9">
        <f>IF(LEFT(B31,4)&lt;&gt;"    ",0,BI31)</f>
        <v/>
      </c>
      <c r="S31" s="9">
        <f>+Q31-R31</f>
        <v/>
      </c>
      <c r="T31" s="200">
        <f>IF('Jobs-Ops'!S31&lt;&gt; "",'Jobs-Ops'!S31,"")</f>
        <v/>
      </c>
      <c r="U31" s="10" t="n"/>
      <c r="V31" s="23">
        <f>IF(LEFT(B31,4)&lt;&gt;"    ","",IF(N31&lt;&gt;0,X31/N31,0))</f>
        <v/>
      </c>
      <c r="W31" s="11">
        <f>IF(LEFT(B31,4)&lt;&gt;"    ","",IF(V31&gt;=0.1,V31*J31,X31))</f>
        <v/>
      </c>
      <c r="X31" s="8" t="n"/>
      <c r="Y31" s="9">
        <f>IF(LEFT(B31,4)&lt;&gt;"    ",0,IF(Q31&lt;0,Q31,IF(V31&gt;0.1,W31-X31,0)))</f>
        <v/>
      </c>
      <c r="Z31" s="9">
        <f>IF(LEFT(B31,4)&lt;&gt;"    ",0,IF(V31&gt;0.1,BI31,0))</f>
        <v/>
      </c>
      <c r="AA31" s="9">
        <f>Y31-Z31</f>
        <v/>
      </c>
      <c r="AB31" s="10" t="n"/>
      <c r="AC31" s="24" t="n"/>
      <c r="AD31" s="11" t="n"/>
      <c r="AE31" s="8" t="n"/>
      <c r="AF31" s="9">
        <f>IF(LEFT(B31,4)&lt;&gt;"    ","",AD31-AE31)</f>
        <v/>
      </c>
      <c r="AG31" s="10" t="n"/>
      <c r="AH31" s="11">
        <f>IF(LEFT(B31,4)&lt;&gt;"    ","",W31-AD31)</f>
        <v/>
      </c>
      <c r="AI31" s="8">
        <f>IF(LEFT(B31,4)&lt;&gt;"    ","",X31-AE31)</f>
        <v/>
      </c>
      <c r="AJ31" s="9">
        <f>IF(LEFT(B31,4)&lt;&gt;"    ","",Y31-AF31)</f>
        <v/>
      </c>
      <c r="AK31" s="10" t="n"/>
      <c r="AL31" s="25">
        <f>IF(LEFT(B31,4)&lt;&gt;"    ","",J31-W31)</f>
        <v/>
      </c>
      <c r="AM31" s="25">
        <f>N31-X31</f>
        <v/>
      </c>
      <c r="AN31" s="25">
        <f>IF(LEFT(B31,4)&lt;&gt;"    ","",Q31-Y31)</f>
        <v/>
      </c>
      <c r="AO31" s="10" t="n"/>
      <c r="AP31" s="12" t="n"/>
      <c r="AQ31" s="12">
        <f>IF(LEFT(B31,4)&lt;&gt;"    ","",IF(W31-AP31&gt;=0,W31-AP31," "))</f>
        <v/>
      </c>
      <c r="AR31" s="12">
        <f>IF(LEFT(B31,4)&lt;&gt;"    ","",IF(AP31-W31&gt;=0,AP31-W31," "))</f>
        <v/>
      </c>
      <c r="AS31" s="186" t="n"/>
      <c r="AT31" s="187" t="n"/>
      <c r="AU31" s="186" t="n"/>
      <c r="AV31" s="186" t="n"/>
      <c r="AW31" s="188" t="n"/>
      <c r="AX31" s="187" t="n"/>
      <c r="AY31" s="187" t="n"/>
      <c r="AZ31" s="186" t="n"/>
      <c r="BA31" s="186" t="n"/>
      <c r="BB31" s="186" t="n"/>
      <c r="BC31" s="186" t="n"/>
      <c r="BD31" s="186" t="n"/>
      <c r="BE31" s="186" t="n"/>
      <c r="BF31" s="186" t="n"/>
      <c r="BG31" s="186" t="n"/>
      <c r="BH31" s="186" t="n"/>
      <c r="BI31" s="186" t="n"/>
      <c r="BJ31" s="186" t="n"/>
      <c r="BK31" s="186" t="n"/>
      <c r="BL31" s="186" t="n"/>
      <c r="BM31" s="186" t="n"/>
      <c r="BN31" s="186" t="n"/>
      <c r="BO31" s="186" t="n"/>
      <c r="BP31" s="186" t="n"/>
      <c r="BQ31" s="186" t="n"/>
      <c r="BR31" s="189" t="n"/>
      <c r="BS31" s="189" t="n"/>
      <c r="BT31" s="186" t="n"/>
      <c r="BU31" s="186" t="n"/>
      <c r="BV31" s="190" t="n"/>
      <c r="BW31" s="186" t="n"/>
      <c r="BX31" s="186" t="n"/>
      <c r="BY31" s="186" t="n"/>
      <c r="BZ31" s="186" t="n"/>
      <c r="CA31" s="186" t="n"/>
      <c r="CB31" s="187" t="n"/>
      <c r="CC31" s="192" t="n"/>
      <c r="CD31" s="192" t="n"/>
      <c r="CE31" s="192" t="n"/>
      <c r="CF31" s="192" t="n"/>
    </row>
    <row r="32">
      <c r="A32" s="197" t="n"/>
      <c r="B32" s="198" t="n"/>
      <c r="C32" s="198" t="n"/>
      <c r="D32" s="179" t="n"/>
      <c r="E32" s="180" t="n"/>
      <c r="F32" s="181" t="n"/>
      <c r="G32" s="284">
        <f>'Jobs-Ops'!G32</f>
        <v/>
      </c>
      <c r="H32" s="114">
        <f>'Jobs-Ops'!H32</f>
        <v/>
      </c>
      <c r="I32" s="105" t="n"/>
      <c r="J32" s="183">
        <f>F32</f>
        <v/>
      </c>
      <c r="K32" s="184" t="n"/>
      <c r="L32" s="185" t="n"/>
      <c r="M32" s="8" t="n"/>
      <c r="N32" s="184">
        <f>M32</f>
        <v/>
      </c>
      <c r="O32" s="71" t="n"/>
      <c r="P32" s="101" t="n"/>
      <c r="Q32" s="9">
        <f>J32-N32</f>
        <v/>
      </c>
      <c r="R32" s="9">
        <f>IF(LEFT(B32,4)&lt;&gt;"    ",0,BI32)</f>
        <v/>
      </c>
      <c r="S32" s="9">
        <f>+Q32-R32</f>
        <v/>
      </c>
      <c r="T32" s="200">
        <f>IF('Jobs-Ops'!S32&lt;&gt; "",'Jobs-Ops'!S32,"")</f>
        <v/>
      </c>
      <c r="U32" s="10" t="n"/>
      <c r="V32" s="23">
        <f>IF(LEFT(B32,4)&lt;&gt;"    ","",IF(N32&lt;&gt;0,X32/N32,0))</f>
        <v/>
      </c>
      <c r="W32" s="11">
        <f>IF(LEFT(B32,4)&lt;&gt;"    ","",IF(V32&gt;=0.1,V32*J32,X32))</f>
        <v/>
      </c>
      <c r="X32" s="8" t="n"/>
      <c r="Y32" s="9">
        <f>IF(LEFT(B32,4)&lt;&gt;"    ",0,IF(Q32&lt;0,Q32,IF(V32&gt;0.1,W32-X32,0)))</f>
        <v/>
      </c>
      <c r="Z32" s="9">
        <f>IF(LEFT(B32,4)&lt;&gt;"    ",0,IF(V32&gt;0.1,BI32,0))</f>
        <v/>
      </c>
      <c r="AA32" s="9">
        <f>Y32-Z32</f>
        <v/>
      </c>
      <c r="AB32" s="10" t="n"/>
      <c r="AC32" s="24" t="n"/>
      <c r="AD32" s="11" t="n"/>
      <c r="AE32" s="8" t="n"/>
      <c r="AF32" s="9">
        <f>IF(LEFT(B32,4)&lt;&gt;"    ","",AD32-AE32)</f>
        <v/>
      </c>
      <c r="AG32" s="10" t="n"/>
      <c r="AH32" s="11">
        <f>IF(LEFT(B32,4)&lt;&gt;"    ","",W32-AD32)</f>
        <v/>
      </c>
      <c r="AI32" s="8">
        <f>IF(LEFT(B32,4)&lt;&gt;"    ","",X32-AE32)</f>
        <v/>
      </c>
      <c r="AJ32" s="9">
        <f>IF(LEFT(B32,4)&lt;&gt;"    ","",Y32-AF32)</f>
        <v/>
      </c>
      <c r="AK32" s="10" t="n"/>
      <c r="AL32" s="25">
        <f>IF(LEFT(B32,4)&lt;&gt;"    ","",J32-W32)</f>
        <v/>
      </c>
      <c r="AM32" s="25">
        <f>N32-X32</f>
        <v/>
      </c>
      <c r="AN32" s="25">
        <f>IF(LEFT(B32,4)&lt;&gt;"    ","",Q32-Y32)</f>
        <v/>
      </c>
      <c r="AO32" s="10" t="n"/>
      <c r="AP32" s="12" t="n"/>
      <c r="AQ32" s="12">
        <f>IF(LEFT(B32,4)&lt;&gt;"    ","",IF(W32-AP32&gt;=0,W32-AP32," "))</f>
        <v/>
      </c>
      <c r="AR32" s="12">
        <f>IF(LEFT(B32,4)&lt;&gt;"    ","",IF(AP32-W32&gt;=0,AP32-W32," "))</f>
        <v/>
      </c>
      <c r="AS32" s="186" t="n"/>
      <c r="AT32" s="187" t="n"/>
      <c r="AU32" s="186" t="n"/>
      <c r="AV32" s="186" t="n"/>
      <c r="AW32" s="188" t="n"/>
      <c r="AX32" s="187" t="n"/>
      <c r="AY32" s="187" t="n"/>
      <c r="AZ32" s="186" t="n"/>
      <c r="BA32" s="186" t="n"/>
      <c r="BB32" s="186" t="n"/>
      <c r="BC32" s="186" t="n"/>
      <c r="BD32" s="186" t="n"/>
      <c r="BE32" s="186" t="n"/>
      <c r="BF32" s="186" t="n"/>
      <c r="BG32" s="186" t="n"/>
      <c r="BH32" s="186" t="n"/>
      <c r="BI32" s="186" t="n"/>
      <c r="BJ32" s="186" t="n"/>
      <c r="BK32" s="186" t="n"/>
      <c r="BL32" s="186" t="n"/>
      <c r="BM32" s="186" t="n"/>
      <c r="BN32" s="186" t="n"/>
      <c r="BO32" s="186" t="n"/>
      <c r="BP32" s="186" t="n"/>
      <c r="BQ32" s="186" t="n"/>
      <c r="BR32" s="189" t="n"/>
      <c r="BS32" s="189" t="n"/>
      <c r="BT32" s="186" t="n"/>
      <c r="BU32" s="186" t="n"/>
      <c r="BV32" s="190" t="n"/>
      <c r="BW32" s="186" t="n"/>
      <c r="BX32" s="186" t="n"/>
      <c r="BY32" s="186" t="n"/>
      <c r="BZ32" s="186" t="n"/>
      <c r="CA32" s="186" t="n"/>
      <c r="CB32" s="187" t="n"/>
      <c r="CC32" s="192" t="n"/>
      <c r="CD32" s="192" t="n"/>
      <c r="CE32" s="192" t="n"/>
      <c r="CF32" s="192" t="n"/>
    </row>
    <row r="33">
      <c r="A33" s="197" t="n"/>
      <c r="B33" s="198" t="n"/>
      <c r="C33" s="198" t="n"/>
      <c r="D33" s="179" t="n"/>
      <c r="E33" s="180" t="n"/>
      <c r="F33" s="181" t="n"/>
      <c r="G33" s="284">
        <f>'Jobs-Ops'!G33</f>
        <v/>
      </c>
      <c r="H33" s="114">
        <f>'Jobs-Ops'!H33</f>
        <v/>
      </c>
      <c r="I33" s="105" t="n"/>
      <c r="J33" s="183">
        <f>F33</f>
        <v/>
      </c>
      <c r="K33" s="184" t="n"/>
      <c r="L33" s="185" t="n"/>
      <c r="M33" s="8" t="n"/>
      <c r="N33" s="184">
        <f>M33</f>
        <v/>
      </c>
      <c r="O33" s="71" t="n"/>
      <c r="P33" s="101" t="n"/>
      <c r="Q33" s="9">
        <f>J33-N33</f>
        <v/>
      </c>
      <c r="R33" s="9">
        <f>IF(LEFT(B33,4)&lt;&gt;"    ",0,BI33)</f>
        <v/>
      </c>
      <c r="S33" s="9">
        <f>+Q33-R33</f>
        <v/>
      </c>
      <c r="T33" s="200">
        <f>IF('Jobs-Ops'!S33&lt;&gt; "",'Jobs-Ops'!S33,"")</f>
        <v/>
      </c>
      <c r="U33" s="10" t="n"/>
      <c r="V33" s="23">
        <f>IF(LEFT(B33,4)&lt;&gt;"    ","",IF(N33&lt;&gt;0,X33/N33,0))</f>
        <v/>
      </c>
      <c r="W33" s="11">
        <f>IF(LEFT(B33,4)&lt;&gt;"    ","",IF(V33&gt;=0.1,V33*J33,X33))</f>
        <v/>
      </c>
      <c r="X33" s="8" t="n"/>
      <c r="Y33" s="9">
        <f>IF(LEFT(B33,4)&lt;&gt;"    ",0,IF(Q33&lt;0,Q33,IF(V33&gt;0.1,W33-X33,0)))</f>
        <v/>
      </c>
      <c r="Z33" s="9">
        <f>IF(LEFT(B33,4)&lt;&gt;"    ",0,IF(V33&gt;0.1,BI33,0))</f>
        <v/>
      </c>
      <c r="AA33" s="9">
        <f>Y33-Z33</f>
        <v/>
      </c>
      <c r="AB33" s="10" t="n"/>
      <c r="AC33" s="24" t="n"/>
      <c r="AD33" s="11" t="n"/>
      <c r="AE33" s="8" t="n"/>
      <c r="AF33" s="9">
        <f>IF(LEFT(B33,4)&lt;&gt;"    ","",AD33-AE33)</f>
        <v/>
      </c>
      <c r="AG33" s="10" t="n"/>
      <c r="AH33" s="11">
        <f>IF(LEFT(B33,4)&lt;&gt;"    ","",W33-AD33)</f>
        <v/>
      </c>
      <c r="AI33" s="8">
        <f>IF(LEFT(B33,4)&lt;&gt;"    ","",X33-AE33)</f>
        <v/>
      </c>
      <c r="AJ33" s="9">
        <f>IF(LEFT(B33,4)&lt;&gt;"    ","",Y33-AF33)</f>
        <v/>
      </c>
      <c r="AK33" s="10" t="n"/>
      <c r="AL33" s="25">
        <f>IF(LEFT(B33,4)&lt;&gt;"    ","",J33-W33)</f>
        <v/>
      </c>
      <c r="AM33" s="25">
        <f>N33-X33</f>
        <v/>
      </c>
      <c r="AN33" s="25">
        <f>IF(LEFT(B33,4)&lt;&gt;"    ","",Q33-Y33)</f>
        <v/>
      </c>
      <c r="AO33" s="10" t="n"/>
      <c r="AP33" s="12" t="n"/>
      <c r="AQ33" s="12">
        <f>IF(LEFT(B33,4)&lt;&gt;"    ","",IF(W33-AP33&gt;=0,W33-AP33," "))</f>
        <v/>
      </c>
      <c r="AR33" s="12">
        <f>IF(LEFT(B33,4)&lt;&gt;"    ","",IF(AP33-W33&gt;=0,AP33-W33," "))</f>
        <v/>
      </c>
      <c r="AS33" s="186" t="n"/>
      <c r="AT33" s="187" t="n"/>
      <c r="AU33" s="186" t="n"/>
      <c r="AV33" s="186" t="n"/>
      <c r="AW33" s="188" t="n"/>
      <c r="AX33" s="187" t="n"/>
      <c r="AY33" s="187" t="n"/>
      <c r="AZ33" s="186" t="n"/>
      <c r="BA33" s="186" t="n"/>
      <c r="BB33" s="186" t="n"/>
      <c r="BC33" s="186" t="n"/>
      <c r="BD33" s="186" t="n"/>
      <c r="BE33" s="186" t="n"/>
      <c r="BF33" s="186" t="n"/>
      <c r="BG33" s="186" t="n"/>
      <c r="BH33" s="186" t="n"/>
      <c r="BI33" s="186" t="n"/>
      <c r="BJ33" s="186" t="n"/>
      <c r="BK33" s="186" t="n"/>
      <c r="BL33" s="186" t="n"/>
      <c r="BM33" s="186" t="n"/>
      <c r="BN33" s="186" t="n"/>
      <c r="BO33" s="186" t="n"/>
      <c r="BP33" s="186" t="n"/>
      <c r="BQ33" s="186" t="n"/>
      <c r="BR33" s="189" t="n"/>
      <c r="BS33" s="189" t="n"/>
      <c r="BT33" s="186" t="n"/>
      <c r="BU33" s="186" t="n"/>
      <c r="BV33" s="190" t="n"/>
      <c r="BW33" s="186" t="n"/>
      <c r="BX33" s="186" t="n"/>
      <c r="BY33" s="186" t="n"/>
      <c r="BZ33" s="186" t="n"/>
      <c r="CA33" s="186" t="n"/>
      <c r="CB33" s="187" t="n"/>
      <c r="CC33" s="192" t="n"/>
      <c r="CD33" s="192" t="n"/>
      <c r="CE33" s="192" t="n"/>
      <c r="CF33" s="192" t="n"/>
    </row>
    <row r="34">
      <c r="A34" s="197" t="n"/>
      <c r="B34" s="198" t="n"/>
      <c r="C34" s="198" t="n"/>
      <c r="D34" s="179" t="n"/>
      <c r="E34" s="180" t="n"/>
      <c r="F34" s="181" t="n"/>
      <c r="G34" s="284">
        <f>'Jobs-Ops'!G34</f>
        <v/>
      </c>
      <c r="H34" s="114">
        <f>'Jobs-Ops'!H34</f>
        <v/>
      </c>
      <c r="I34" s="105" t="n"/>
      <c r="J34" s="183">
        <f>F34</f>
        <v/>
      </c>
      <c r="K34" s="184" t="n"/>
      <c r="L34" s="185" t="n"/>
      <c r="M34" s="8" t="n"/>
      <c r="N34" s="184">
        <f>M34</f>
        <v/>
      </c>
      <c r="O34" s="71" t="n"/>
      <c r="P34" s="101" t="n"/>
      <c r="Q34" s="9">
        <f>J34-N34</f>
        <v/>
      </c>
      <c r="R34" s="9">
        <f>IF(LEFT(B34,4)&lt;&gt;"    ",0,BI34)</f>
        <v/>
      </c>
      <c r="S34" s="9">
        <f>+Q34-R34</f>
        <v/>
      </c>
      <c r="T34" s="200">
        <f>IF('Jobs-Ops'!S34&lt;&gt; "",'Jobs-Ops'!S34,"")</f>
        <v/>
      </c>
      <c r="U34" s="10" t="n"/>
      <c r="V34" s="23">
        <f>IF(LEFT(B34,4)&lt;&gt;"    ","",IF(N34&lt;&gt;0,X34/N34,0))</f>
        <v/>
      </c>
      <c r="W34" s="11">
        <f>IF(LEFT(B34,4)&lt;&gt;"    ","",IF(V34&gt;=0.1,V34*J34,X34))</f>
        <v/>
      </c>
      <c r="X34" s="8" t="n"/>
      <c r="Y34" s="9">
        <f>IF(LEFT(B34,4)&lt;&gt;"    ",0,IF(Q34&lt;0,Q34,IF(V34&gt;0.1,W34-X34,0)))</f>
        <v/>
      </c>
      <c r="Z34" s="9">
        <f>IF(LEFT(B34,4)&lt;&gt;"    ",0,IF(V34&gt;0.1,BI34,0))</f>
        <v/>
      </c>
      <c r="AA34" s="9">
        <f>Y34-Z34</f>
        <v/>
      </c>
      <c r="AB34" s="10" t="n"/>
      <c r="AC34" s="24" t="n"/>
      <c r="AD34" s="11" t="n"/>
      <c r="AE34" s="8" t="n"/>
      <c r="AF34" s="9">
        <f>IF(LEFT(B34,4)&lt;&gt;"    ","",AD34-AE34)</f>
        <v/>
      </c>
      <c r="AG34" s="10" t="n"/>
      <c r="AH34" s="11">
        <f>IF(LEFT(B34,4)&lt;&gt;"    ","",W34-AD34)</f>
        <v/>
      </c>
      <c r="AI34" s="8">
        <f>IF(LEFT(B34,4)&lt;&gt;"    ","",X34-AE34)</f>
        <v/>
      </c>
      <c r="AJ34" s="9">
        <f>IF(LEFT(B34,4)&lt;&gt;"    ","",Y34-AF34)</f>
        <v/>
      </c>
      <c r="AK34" s="10" t="n"/>
      <c r="AL34" s="25">
        <f>IF(LEFT(B34,4)&lt;&gt;"    ","",J34-W34)</f>
        <v/>
      </c>
      <c r="AM34" s="25">
        <f>N34-X34</f>
        <v/>
      </c>
      <c r="AN34" s="25">
        <f>IF(LEFT(B34,4)&lt;&gt;"    ","",Q34-Y34)</f>
        <v/>
      </c>
      <c r="AO34" s="10" t="n"/>
      <c r="AP34" s="12" t="n"/>
      <c r="AQ34" s="12">
        <f>IF(LEFT(B34,4)&lt;&gt;"    ","",IF(W34-AP34&gt;=0,W34-AP34," "))</f>
        <v/>
      </c>
      <c r="AR34" s="12">
        <f>IF(LEFT(B34,4)&lt;&gt;"    ","",IF(AP34-W34&gt;=0,AP34-W34," "))</f>
        <v/>
      </c>
      <c r="AS34" s="186" t="n"/>
      <c r="AT34" s="187" t="n"/>
      <c r="AU34" s="186" t="n"/>
      <c r="AV34" s="186" t="n"/>
      <c r="AW34" s="188" t="n"/>
      <c r="AX34" s="187" t="n"/>
      <c r="AY34" s="187" t="n"/>
      <c r="AZ34" s="186" t="n"/>
      <c r="BA34" s="186" t="n"/>
      <c r="BB34" s="186" t="n"/>
      <c r="BC34" s="186" t="n"/>
      <c r="BD34" s="186" t="n"/>
      <c r="BE34" s="186" t="n"/>
      <c r="BF34" s="186" t="n"/>
      <c r="BG34" s="186" t="n"/>
      <c r="BH34" s="186" t="n"/>
      <c r="BI34" s="186" t="n"/>
      <c r="BJ34" s="186" t="n"/>
      <c r="BK34" s="186" t="n"/>
      <c r="BL34" s="186" t="n"/>
      <c r="BM34" s="186" t="n"/>
      <c r="BN34" s="186" t="n"/>
      <c r="BO34" s="186" t="n"/>
      <c r="BP34" s="186" t="n"/>
      <c r="BQ34" s="186" t="n"/>
      <c r="BR34" s="189" t="n"/>
      <c r="BS34" s="189" t="n"/>
      <c r="BT34" s="186" t="n"/>
      <c r="BU34" s="186" t="n"/>
      <c r="BV34" s="190" t="n"/>
      <c r="BW34" s="186" t="n"/>
      <c r="BX34" s="186" t="n"/>
      <c r="BY34" s="186" t="n"/>
      <c r="BZ34" s="186" t="n"/>
      <c r="CA34" s="186" t="n"/>
      <c r="CB34" s="187" t="n"/>
      <c r="CC34" s="192" t="n"/>
      <c r="CD34" s="192" t="n"/>
      <c r="CE34" s="192" t="n"/>
      <c r="CF34" s="192" t="n"/>
    </row>
    <row r="35">
      <c r="A35" s="197" t="n"/>
      <c r="B35" s="198" t="n"/>
      <c r="C35" s="198" t="n"/>
      <c r="D35" s="179" t="n"/>
      <c r="E35" s="180" t="n"/>
      <c r="F35" s="181" t="n"/>
      <c r="G35" s="284">
        <f>'Jobs-Ops'!G35</f>
        <v/>
      </c>
      <c r="H35" s="114">
        <f>'Jobs-Ops'!H35</f>
        <v/>
      </c>
      <c r="I35" s="105" t="n"/>
      <c r="J35" s="183">
        <f>F35</f>
        <v/>
      </c>
      <c r="K35" s="184" t="n"/>
      <c r="L35" s="185" t="n"/>
      <c r="M35" s="8" t="n"/>
      <c r="N35" s="184">
        <f>M35</f>
        <v/>
      </c>
      <c r="O35" s="71" t="n"/>
      <c r="P35" s="101" t="n"/>
      <c r="Q35" s="9">
        <f>J35-N35</f>
        <v/>
      </c>
      <c r="R35" s="9">
        <f>IF(LEFT(B35,4)&lt;&gt;"    ",0,BI35)</f>
        <v/>
      </c>
      <c r="S35" s="9">
        <f>+Q35-R35</f>
        <v/>
      </c>
      <c r="T35" s="200">
        <f>IF('Jobs-Ops'!S35&lt;&gt; "",'Jobs-Ops'!S35,"")</f>
        <v/>
      </c>
      <c r="U35" s="10" t="n"/>
      <c r="V35" s="23">
        <f>IF(LEFT(B35,4)&lt;&gt;"    ","",IF(N35&lt;&gt;0,X35/N35,0))</f>
        <v/>
      </c>
      <c r="W35" s="11">
        <f>IF(LEFT(B35,4)&lt;&gt;"    ","",IF(V35&gt;=0.1,V35*J35,X35))</f>
        <v/>
      </c>
      <c r="X35" s="8" t="n"/>
      <c r="Y35" s="9">
        <f>IF(LEFT(B35,4)&lt;&gt;"    ",0,IF(Q35&lt;0,Q35,IF(V35&gt;0.1,W35-X35,0)))</f>
        <v/>
      </c>
      <c r="Z35" s="9">
        <f>IF(LEFT(B35,4)&lt;&gt;"    ",0,IF(V35&gt;0.1,BI35,0))</f>
        <v/>
      </c>
      <c r="AA35" s="9">
        <f>Y35-Z35</f>
        <v/>
      </c>
      <c r="AB35" s="10" t="n"/>
      <c r="AC35" s="24" t="n"/>
      <c r="AD35" s="11" t="n"/>
      <c r="AE35" s="8" t="n"/>
      <c r="AF35" s="9">
        <f>IF(LEFT(B35,4)&lt;&gt;"    ","",AD35-AE35)</f>
        <v/>
      </c>
      <c r="AG35" s="10" t="n"/>
      <c r="AH35" s="11">
        <f>IF(LEFT(B35,4)&lt;&gt;"    ","",W35-AD35)</f>
        <v/>
      </c>
      <c r="AI35" s="8">
        <f>IF(LEFT(B35,4)&lt;&gt;"    ","",X35-AE35)</f>
        <v/>
      </c>
      <c r="AJ35" s="9">
        <f>IF(LEFT(B35,4)&lt;&gt;"    ","",Y35-AF35)</f>
        <v/>
      </c>
      <c r="AK35" s="10" t="n"/>
      <c r="AL35" s="25">
        <f>IF(LEFT(B35,4)&lt;&gt;"    ","",J35-W35)</f>
        <v/>
      </c>
      <c r="AM35" s="25">
        <f>N35-X35</f>
        <v/>
      </c>
      <c r="AN35" s="25">
        <f>IF(LEFT(B35,4)&lt;&gt;"    ","",Q35-Y35)</f>
        <v/>
      </c>
      <c r="AO35" s="10" t="n"/>
      <c r="AP35" s="12" t="n"/>
      <c r="AQ35" s="12">
        <f>IF(LEFT(B35,4)&lt;&gt;"    ","",IF(W35-AP35&gt;=0,W35-AP35," "))</f>
        <v/>
      </c>
      <c r="AR35" s="12">
        <f>IF(LEFT(B35,4)&lt;&gt;"    ","",IF(AP35-W35&gt;=0,AP35-W35," "))</f>
        <v/>
      </c>
      <c r="AS35" s="186" t="n"/>
      <c r="AT35" s="187" t="n"/>
      <c r="AU35" s="186" t="n"/>
      <c r="AV35" s="186" t="n"/>
      <c r="AW35" s="188" t="n"/>
      <c r="AX35" s="187" t="n"/>
      <c r="AY35" s="187" t="n"/>
      <c r="AZ35" s="186" t="n"/>
      <c r="BA35" s="186" t="n"/>
      <c r="BB35" s="186" t="n"/>
      <c r="BC35" s="186" t="n"/>
      <c r="BD35" s="186" t="n"/>
      <c r="BE35" s="186" t="n"/>
      <c r="BF35" s="186" t="n"/>
      <c r="BG35" s="186" t="n"/>
      <c r="BH35" s="186" t="n"/>
      <c r="BI35" s="186" t="n"/>
      <c r="BJ35" s="186" t="n"/>
      <c r="BK35" s="186" t="n"/>
      <c r="BL35" s="186" t="n"/>
      <c r="BM35" s="186" t="n"/>
      <c r="BN35" s="186" t="n"/>
      <c r="BO35" s="186" t="n"/>
      <c r="BP35" s="186" t="n"/>
      <c r="BQ35" s="186" t="n"/>
      <c r="BR35" s="189" t="n"/>
      <c r="BS35" s="189" t="n"/>
      <c r="BT35" s="186" t="n"/>
      <c r="BU35" s="186" t="n"/>
      <c r="BV35" s="190" t="n"/>
      <c r="BW35" s="186" t="n"/>
      <c r="BX35" s="186" t="n"/>
      <c r="BY35" s="186" t="n"/>
      <c r="BZ35" s="186" t="n"/>
      <c r="CA35" s="186" t="n"/>
      <c r="CB35" s="187" t="n"/>
      <c r="CC35" s="192" t="n"/>
      <c r="CD35" s="192" t="n"/>
      <c r="CE35" s="192" t="n"/>
      <c r="CF35" s="192" t="n"/>
    </row>
    <row r="36">
      <c r="A36" s="197" t="n"/>
      <c r="B36" s="198" t="n"/>
      <c r="C36" s="198" t="n"/>
      <c r="D36" s="179" t="n"/>
      <c r="E36" s="180" t="n"/>
      <c r="F36" s="181" t="n"/>
      <c r="G36" s="284">
        <f>'Jobs-Ops'!G36</f>
        <v/>
      </c>
      <c r="H36" s="114">
        <f>'Jobs-Ops'!H36</f>
        <v/>
      </c>
      <c r="I36" s="105" t="n"/>
      <c r="J36" s="183">
        <f>F36</f>
        <v/>
      </c>
      <c r="K36" s="184" t="n"/>
      <c r="L36" s="185" t="n"/>
      <c r="M36" s="8" t="n"/>
      <c r="N36" s="184">
        <f>M36</f>
        <v/>
      </c>
      <c r="O36" s="71" t="n"/>
      <c r="P36" s="101" t="n"/>
      <c r="Q36" s="9">
        <f>J36-N36</f>
        <v/>
      </c>
      <c r="R36" s="9">
        <f>IF(LEFT(B36,4)&lt;&gt;"    ",0,BI36)</f>
        <v/>
      </c>
      <c r="S36" s="9">
        <f>+Q36-R36</f>
        <v/>
      </c>
      <c r="T36" s="200">
        <f>IF('Jobs-Ops'!S36&lt;&gt; "",'Jobs-Ops'!S36,"")</f>
        <v/>
      </c>
      <c r="U36" s="10" t="n"/>
      <c r="V36" s="23">
        <f>IF(LEFT(B36,4)&lt;&gt;"    ","",IF(N36&lt;&gt;0,X36/N36,0))</f>
        <v/>
      </c>
      <c r="W36" s="11">
        <f>IF(LEFT(B36,4)&lt;&gt;"    ","",IF(V36&gt;=0.1,V36*J36,X36))</f>
        <v/>
      </c>
      <c r="X36" s="8" t="n"/>
      <c r="Y36" s="9">
        <f>IF(LEFT(B36,4)&lt;&gt;"    ",0,IF(Q36&lt;0,Q36,IF(V36&gt;0.1,W36-X36,0)))</f>
        <v/>
      </c>
      <c r="Z36" s="9">
        <f>IF(LEFT(B36,4)&lt;&gt;"    ",0,IF(V36&gt;0.1,BI36,0))</f>
        <v/>
      </c>
      <c r="AA36" s="9">
        <f>Y36-Z36</f>
        <v/>
      </c>
      <c r="AB36" s="10" t="n"/>
      <c r="AC36" s="24" t="n"/>
      <c r="AD36" s="11" t="n"/>
      <c r="AE36" s="8" t="n"/>
      <c r="AF36" s="9">
        <f>IF(LEFT(B36,4)&lt;&gt;"    ","",AD36-AE36)</f>
        <v/>
      </c>
      <c r="AG36" s="10" t="n"/>
      <c r="AH36" s="11">
        <f>IF(LEFT(B36,4)&lt;&gt;"    ","",W36-AD36)</f>
        <v/>
      </c>
      <c r="AI36" s="8">
        <f>IF(LEFT(B36,4)&lt;&gt;"    ","",X36-AE36)</f>
        <v/>
      </c>
      <c r="AJ36" s="9">
        <f>IF(LEFT(B36,4)&lt;&gt;"    ","",Y36-AF36)</f>
        <v/>
      </c>
      <c r="AK36" s="10" t="n"/>
      <c r="AL36" s="25">
        <f>IF(LEFT(B36,4)&lt;&gt;"    ","",J36-W36)</f>
        <v/>
      </c>
      <c r="AM36" s="25">
        <f>N36-X36</f>
        <v/>
      </c>
      <c r="AN36" s="25">
        <f>IF(LEFT(B36,4)&lt;&gt;"    ","",Q36-Y36)</f>
        <v/>
      </c>
      <c r="AO36" s="10" t="n"/>
      <c r="AP36" s="12" t="n"/>
      <c r="AQ36" s="12">
        <f>IF(LEFT(B36,4)&lt;&gt;"    ","",IF(W36-AP36&gt;=0,W36-AP36," "))</f>
        <v/>
      </c>
      <c r="AR36" s="12">
        <f>IF(LEFT(B36,4)&lt;&gt;"    ","",IF(AP36-W36&gt;=0,AP36-W36," "))</f>
        <v/>
      </c>
      <c r="AS36" s="186" t="n"/>
      <c r="AT36" s="187" t="n"/>
      <c r="AU36" s="186" t="n"/>
      <c r="AV36" s="186" t="n"/>
      <c r="AW36" s="188" t="n"/>
      <c r="AX36" s="187" t="n"/>
      <c r="AY36" s="187" t="n"/>
      <c r="AZ36" s="186" t="n"/>
      <c r="BA36" s="186" t="n"/>
      <c r="BB36" s="186" t="n"/>
      <c r="BC36" s="186" t="n"/>
      <c r="BD36" s="186" t="n"/>
      <c r="BE36" s="186" t="n"/>
      <c r="BF36" s="186" t="n"/>
      <c r="BG36" s="186" t="n"/>
      <c r="BH36" s="186" t="n"/>
      <c r="BI36" s="186" t="n"/>
      <c r="BJ36" s="186" t="n"/>
      <c r="BK36" s="186" t="n"/>
      <c r="BL36" s="186" t="n"/>
      <c r="BM36" s="186" t="n"/>
      <c r="BN36" s="186" t="n"/>
      <c r="BO36" s="186" t="n"/>
      <c r="BP36" s="186" t="n"/>
      <c r="BQ36" s="186" t="n"/>
      <c r="BR36" s="189" t="n"/>
      <c r="BS36" s="189" t="n"/>
      <c r="BT36" s="186" t="n"/>
      <c r="BU36" s="186" t="n"/>
      <c r="BV36" s="190" t="n"/>
      <c r="BW36" s="186" t="n"/>
      <c r="BX36" s="186" t="n"/>
      <c r="BY36" s="186" t="n"/>
      <c r="BZ36" s="186" t="n"/>
      <c r="CA36" s="186" t="n"/>
      <c r="CB36" s="187" t="n"/>
      <c r="CC36" s="192" t="n"/>
      <c r="CD36" s="192" t="n"/>
      <c r="CE36" s="192" t="n"/>
      <c r="CF36" s="192" t="n"/>
    </row>
    <row r="37">
      <c r="A37" s="197" t="n"/>
      <c r="B37" s="198" t="n"/>
      <c r="C37" s="198" t="n"/>
      <c r="D37" s="179" t="n"/>
      <c r="E37" s="180" t="n"/>
      <c r="F37" s="181" t="n"/>
      <c r="G37" s="284">
        <f>'Jobs-Ops'!G37</f>
        <v/>
      </c>
      <c r="H37" s="114">
        <f>'Jobs-Ops'!H37</f>
        <v/>
      </c>
      <c r="I37" s="105" t="n"/>
      <c r="J37" s="183">
        <f>F37</f>
        <v/>
      </c>
      <c r="K37" s="184" t="n"/>
      <c r="L37" s="185" t="n"/>
      <c r="M37" s="8" t="n"/>
      <c r="N37" s="184">
        <f>M37</f>
        <v/>
      </c>
      <c r="O37" s="71" t="n"/>
      <c r="P37" s="101" t="n"/>
      <c r="Q37" s="9">
        <f>J37-N37</f>
        <v/>
      </c>
      <c r="R37" s="9">
        <f>IF(LEFT(B37,4)&lt;&gt;"    ",0,BI37)</f>
        <v/>
      </c>
      <c r="S37" s="9">
        <f>+Q37-R37</f>
        <v/>
      </c>
      <c r="T37" s="200">
        <f>IF('Jobs-Ops'!S37&lt;&gt; "",'Jobs-Ops'!S37,"")</f>
        <v/>
      </c>
      <c r="U37" s="10" t="n"/>
      <c r="V37" s="23">
        <f>IF(LEFT(B37,4)&lt;&gt;"    ","",IF(N37&lt;&gt;0,X37/N37,0))</f>
        <v/>
      </c>
      <c r="W37" s="11">
        <f>IF(LEFT(B37,4)&lt;&gt;"    ","",IF(V37&gt;=0.1,V37*J37,X37))</f>
        <v/>
      </c>
      <c r="X37" s="8" t="n"/>
      <c r="Y37" s="9">
        <f>IF(LEFT(B37,4)&lt;&gt;"    ",0,IF(Q37&lt;0,Q37,IF(V37&gt;0.1,W37-X37,0)))</f>
        <v/>
      </c>
      <c r="Z37" s="9">
        <f>IF(LEFT(B37,4)&lt;&gt;"    ",0,IF(V37&gt;0.1,BI37,0))</f>
        <v/>
      </c>
      <c r="AA37" s="9">
        <f>Y37-Z37</f>
        <v/>
      </c>
      <c r="AB37" s="10" t="n"/>
      <c r="AC37" s="24" t="n"/>
      <c r="AD37" s="11" t="n"/>
      <c r="AE37" s="8" t="n"/>
      <c r="AF37" s="9">
        <f>IF(LEFT(B37,4)&lt;&gt;"    ","",AD37-AE37)</f>
        <v/>
      </c>
      <c r="AG37" s="10" t="n"/>
      <c r="AH37" s="11">
        <f>IF(LEFT(B37,4)&lt;&gt;"    ","",W37-AD37)</f>
        <v/>
      </c>
      <c r="AI37" s="8">
        <f>IF(LEFT(B37,4)&lt;&gt;"    ","",X37-AE37)</f>
        <v/>
      </c>
      <c r="AJ37" s="9">
        <f>IF(LEFT(B37,4)&lt;&gt;"    ","",Y37-AF37)</f>
        <v/>
      </c>
      <c r="AK37" s="10" t="n"/>
      <c r="AL37" s="25">
        <f>IF(LEFT(B37,4)&lt;&gt;"    ","",J37-W37)</f>
        <v/>
      </c>
      <c r="AM37" s="25">
        <f>N37-X37</f>
        <v/>
      </c>
      <c r="AN37" s="25">
        <f>IF(LEFT(B37,4)&lt;&gt;"    ","",Q37-Y37)</f>
        <v/>
      </c>
      <c r="AO37" s="10" t="n"/>
      <c r="AP37" s="12" t="n"/>
      <c r="AQ37" s="12">
        <f>IF(LEFT(B37,4)&lt;&gt;"    ","",IF(W37-AP37&gt;=0,W37-AP37," "))</f>
        <v/>
      </c>
      <c r="AR37" s="12">
        <f>IF(LEFT(B37,4)&lt;&gt;"    ","",IF(AP37-W37&gt;=0,AP37-W37," "))</f>
        <v/>
      </c>
      <c r="AS37" s="186" t="n"/>
      <c r="AT37" s="187" t="n"/>
      <c r="AU37" s="186" t="n"/>
      <c r="AV37" s="186" t="n"/>
      <c r="AW37" s="188" t="n"/>
      <c r="AX37" s="187" t="n"/>
      <c r="AY37" s="187" t="n"/>
      <c r="AZ37" s="186" t="n"/>
      <c r="BA37" s="186" t="n"/>
      <c r="BB37" s="186" t="n"/>
      <c r="BC37" s="186" t="n"/>
      <c r="BD37" s="186" t="n"/>
      <c r="BE37" s="186" t="n"/>
      <c r="BF37" s="186" t="n"/>
      <c r="BG37" s="186" t="n"/>
      <c r="BH37" s="186" t="n"/>
      <c r="BI37" s="186" t="n"/>
      <c r="BJ37" s="186" t="n"/>
      <c r="BK37" s="186" t="n"/>
      <c r="BL37" s="186" t="n"/>
      <c r="BM37" s="186" t="n"/>
      <c r="BN37" s="186" t="n"/>
      <c r="BO37" s="186" t="n"/>
      <c r="BP37" s="186" t="n"/>
      <c r="BQ37" s="186" t="n"/>
      <c r="BR37" s="189" t="n"/>
      <c r="BS37" s="189" t="n"/>
      <c r="BT37" s="186" t="n"/>
      <c r="BU37" s="186" t="n"/>
      <c r="BV37" s="190" t="n"/>
      <c r="BW37" s="186" t="n"/>
      <c r="BX37" s="186" t="n"/>
      <c r="BY37" s="186" t="n"/>
      <c r="BZ37" s="186" t="n"/>
      <c r="CA37" s="186" t="n"/>
      <c r="CB37" s="187" t="n"/>
      <c r="CC37" s="192" t="n"/>
      <c r="CD37" s="192" t="n"/>
      <c r="CE37" s="192" t="n"/>
      <c r="CF37" s="192" t="n"/>
    </row>
    <row r="38">
      <c r="A38" s="197" t="n"/>
      <c r="B38" s="198" t="n"/>
      <c r="C38" s="198" t="n"/>
      <c r="D38" s="179" t="n"/>
      <c r="E38" s="180" t="n"/>
      <c r="F38" s="181" t="n"/>
      <c r="G38" s="284">
        <f>'Jobs-Ops'!G38</f>
        <v/>
      </c>
      <c r="H38" s="114">
        <f>'Jobs-Ops'!H38</f>
        <v/>
      </c>
      <c r="I38" s="105" t="n"/>
      <c r="J38" s="183">
        <f>F38</f>
        <v/>
      </c>
      <c r="K38" s="184" t="n"/>
      <c r="L38" s="185" t="n"/>
      <c r="M38" s="8" t="n"/>
      <c r="N38" s="184">
        <f>M38</f>
        <v/>
      </c>
      <c r="O38" s="71" t="n"/>
      <c r="P38" s="101" t="n"/>
      <c r="Q38" s="9">
        <f>J38-N38</f>
        <v/>
      </c>
      <c r="R38" s="9">
        <f>IF(LEFT(B38,4)&lt;&gt;"    ",0,BI38)</f>
        <v/>
      </c>
      <c r="S38" s="9">
        <f>+Q38-R38</f>
        <v/>
      </c>
      <c r="T38" s="200">
        <f>IF('Jobs-Ops'!S38&lt;&gt; "",'Jobs-Ops'!S38,"")</f>
        <v/>
      </c>
      <c r="U38" s="10" t="n"/>
      <c r="V38" s="23">
        <f>IF(LEFT(B38,4)&lt;&gt;"    ","",IF(N38&lt;&gt;0,X38/N38,0))</f>
        <v/>
      </c>
      <c r="W38" s="11">
        <f>IF(LEFT(B38,4)&lt;&gt;"    ","",IF(V38&gt;=0.1,V38*J38,X38))</f>
        <v/>
      </c>
      <c r="X38" s="8" t="n"/>
      <c r="Y38" s="9">
        <f>IF(LEFT(B38,4)&lt;&gt;"    ",0,IF(Q38&lt;0,Q38,IF(V38&gt;0.1,W38-X38,0)))</f>
        <v/>
      </c>
      <c r="Z38" s="9">
        <f>IF(LEFT(B38,4)&lt;&gt;"    ",0,IF(V38&gt;0.1,BI38,0))</f>
        <v/>
      </c>
      <c r="AA38" s="9">
        <f>Y38-Z38</f>
        <v/>
      </c>
      <c r="AB38" s="10" t="n"/>
      <c r="AC38" s="24" t="n"/>
      <c r="AD38" s="11" t="n"/>
      <c r="AE38" s="8" t="n"/>
      <c r="AF38" s="9">
        <f>IF(LEFT(B38,4)&lt;&gt;"    ","",AD38-AE38)</f>
        <v/>
      </c>
      <c r="AG38" s="10" t="n"/>
      <c r="AH38" s="11">
        <f>IF(LEFT(B38,4)&lt;&gt;"    ","",W38-AD38)</f>
        <v/>
      </c>
      <c r="AI38" s="8">
        <f>IF(LEFT(B38,4)&lt;&gt;"    ","",X38-AE38)</f>
        <v/>
      </c>
      <c r="AJ38" s="9">
        <f>IF(LEFT(B38,4)&lt;&gt;"    ","",Y38-AF38)</f>
        <v/>
      </c>
      <c r="AK38" s="10" t="n"/>
      <c r="AL38" s="25">
        <f>IF(LEFT(B38,4)&lt;&gt;"    ","",J38-W38)</f>
        <v/>
      </c>
      <c r="AM38" s="25">
        <f>N38-X38</f>
        <v/>
      </c>
      <c r="AN38" s="25">
        <f>IF(LEFT(B38,4)&lt;&gt;"    ","",Q38-Y38)</f>
        <v/>
      </c>
      <c r="AO38" s="10" t="n"/>
      <c r="AP38" s="12" t="n"/>
      <c r="AQ38" s="12">
        <f>IF(LEFT(B38,4)&lt;&gt;"    ","",IF(W38-AP38&gt;=0,W38-AP38," "))</f>
        <v/>
      </c>
      <c r="AR38" s="12">
        <f>IF(LEFT(B38,4)&lt;&gt;"    ","",IF(AP38-W38&gt;=0,AP38-W38," "))</f>
        <v/>
      </c>
      <c r="AS38" s="186" t="n"/>
      <c r="AT38" s="187" t="n"/>
      <c r="AU38" s="186" t="n"/>
      <c r="AV38" s="186" t="n"/>
      <c r="AW38" s="188" t="n"/>
      <c r="AX38" s="187" t="n"/>
      <c r="AY38" s="187" t="n"/>
      <c r="AZ38" s="186" t="n"/>
      <c r="BA38" s="186" t="n"/>
      <c r="BB38" s="186" t="n"/>
      <c r="BC38" s="186" t="n"/>
      <c r="BD38" s="186" t="n"/>
      <c r="BE38" s="186" t="n"/>
      <c r="BF38" s="186" t="n"/>
      <c r="BG38" s="186" t="n"/>
      <c r="BH38" s="186" t="n"/>
      <c r="BI38" s="186" t="n"/>
      <c r="BJ38" s="186" t="n"/>
      <c r="BK38" s="186" t="n"/>
      <c r="BL38" s="186" t="n"/>
      <c r="BM38" s="186" t="n"/>
      <c r="BN38" s="186" t="n"/>
      <c r="BO38" s="186" t="n"/>
      <c r="BP38" s="186" t="n"/>
      <c r="BQ38" s="186" t="n"/>
      <c r="BR38" s="189" t="n"/>
      <c r="BS38" s="189" t="n"/>
      <c r="BT38" s="186" t="n"/>
      <c r="BU38" s="186" t="n"/>
      <c r="BV38" s="190" t="n"/>
      <c r="BW38" s="186" t="n"/>
      <c r="BX38" s="186" t="n"/>
      <c r="BY38" s="186" t="n"/>
      <c r="BZ38" s="186" t="n"/>
      <c r="CA38" s="186" t="n"/>
      <c r="CB38" s="187" t="n"/>
      <c r="CC38" s="192" t="n"/>
      <c r="CD38" s="192" t="n"/>
      <c r="CE38" s="192" t="n"/>
      <c r="CF38" s="192" t="n"/>
    </row>
    <row r="39">
      <c r="A39" s="197" t="n"/>
      <c r="B39" s="198" t="n"/>
      <c r="C39" s="198" t="n"/>
      <c r="D39" s="179" t="n"/>
      <c r="E39" s="180" t="n"/>
      <c r="F39" s="181" t="n"/>
      <c r="G39" s="284">
        <f>'Jobs-Ops'!G39</f>
        <v/>
      </c>
      <c r="H39" s="114">
        <f>'Jobs-Ops'!H39</f>
        <v/>
      </c>
      <c r="I39" s="105" t="n"/>
      <c r="J39" s="183">
        <f>F39</f>
        <v/>
      </c>
      <c r="K39" s="184" t="n"/>
      <c r="L39" s="185" t="n"/>
      <c r="M39" s="8" t="n"/>
      <c r="N39" s="184">
        <f>M39</f>
        <v/>
      </c>
      <c r="O39" s="71" t="n"/>
      <c r="P39" s="101" t="n"/>
      <c r="Q39" s="9">
        <f>J39-N39</f>
        <v/>
      </c>
      <c r="R39" s="9">
        <f>IF(LEFT(B39,4)&lt;&gt;"    ",0,BI39)</f>
        <v/>
      </c>
      <c r="S39" s="9">
        <f>+Q39-R39</f>
        <v/>
      </c>
      <c r="T39" s="200">
        <f>IF('Jobs-Ops'!S39&lt;&gt; "",'Jobs-Ops'!S39,"")</f>
        <v/>
      </c>
      <c r="U39" s="10" t="n"/>
      <c r="V39" s="23">
        <f>IF(LEFT(B39,4)&lt;&gt;"    ","",IF(N39&lt;&gt;0,X39/N39,0))</f>
        <v/>
      </c>
      <c r="W39" s="11">
        <f>IF(LEFT(B39,4)&lt;&gt;"    ","",IF(V39&gt;=0.1,V39*J39,X39))</f>
        <v/>
      </c>
      <c r="X39" s="8" t="n"/>
      <c r="Y39" s="9">
        <f>IF(LEFT(B39,4)&lt;&gt;"    ",0,IF(Q39&lt;0,Q39,IF(V39&gt;0.1,W39-X39,0)))</f>
        <v/>
      </c>
      <c r="Z39" s="9">
        <f>IF(LEFT(B39,4)&lt;&gt;"    ",0,IF(V39&gt;0.1,BI39,0))</f>
        <v/>
      </c>
      <c r="AA39" s="9">
        <f>Y39-Z39</f>
        <v/>
      </c>
      <c r="AB39" s="10" t="n"/>
      <c r="AC39" s="24" t="n"/>
      <c r="AD39" s="11" t="n"/>
      <c r="AE39" s="8" t="n"/>
      <c r="AF39" s="9">
        <f>IF(LEFT(B39,4)&lt;&gt;"    ","",AD39-AE39)</f>
        <v/>
      </c>
      <c r="AG39" s="10" t="n"/>
      <c r="AH39" s="11">
        <f>IF(LEFT(B39,4)&lt;&gt;"    ","",W39-AD39)</f>
        <v/>
      </c>
      <c r="AI39" s="8">
        <f>IF(LEFT(B39,4)&lt;&gt;"    ","",X39-AE39)</f>
        <v/>
      </c>
      <c r="AJ39" s="9">
        <f>IF(LEFT(B39,4)&lt;&gt;"    ","",Y39-AF39)</f>
        <v/>
      </c>
      <c r="AK39" s="10" t="n"/>
      <c r="AL39" s="25">
        <f>IF(LEFT(B39,4)&lt;&gt;"    ","",J39-W39)</f>
        <v/>
      </c>
      <c r="AM39" s="25">
        <f>N39-X39</f>
        <v/>
      </c>
      <c r="AN39" s="25">
        <f>IF(LEFT(B39,4)&lt;&gt;"    ","",Q39-Y39)</f>
        <v/>
      </c>
      <c r="AO39" s="10" t="n"/>
      <c r="AP39" s="12" t="n"/>
      <c r="AQ39" s="12">
        <f>IF(LEFT(B39,4)&lt;&gt;"    ","",IF(W39-AP39&gt;=0,W39-AP39," "))</f>
        <v/>
      </c>
      <c r="AR39" s="12">
        <f>IF(LEFT(B39,4)&lt;&gt;"    ","",IF(AP39-W39&gt;=0,AP39-W39," "))</f>
        <v/>
      </c>
      <c r="AS39" s="186" t="n"/>
      <c r="AT39" s="187" t="n"/>
      <c r="AU39" s="186" t="n"/>
      <c r="AV39" s="186" t="n"/>
      <c r="AW39" s="188" t="n"/>
      <c r="AX39" s="187" t="n"/>
      <c r="AY39" s="187" t="n"/>
      <c r="AZ39" s="186" t="n"/>
      <c r="BA39" s="186" t="n"/>
      <c r="BB39" s="186" t="n"/>
      <c r="BC39" s="186" t="n"/>
      <c r="BD39" s="186" t="n"/>
      <c r="BE39" s="186" t="n"/>
      <c r="BF39" s="186" t="n"/>
      <c r="BG39" s="186" t="n"/>
      <c r="BH39" s="186" t="n"/>
      <c r="BI39" s="186" t="n"/>
      <c r="BJ39" s="186" t="n"/>
      <c r="BK39" s="186" t="n"/>
      <c r="BL39" s="186" t="n"/>
      <c r="BM39" s="186" t="n"/>
      <c r="BN39" s="186" t="n"/>
      <c r="BO39" s="186" t="n"/>
      <c r="BP39" s="186" t="n"/>
      <c r="BQ39" s="186" t="n"/>
      <c r="BR39" s="189" t="n"/>
      <c r="BS39" s="189" t="n"/>
      <c r="BT39" s="186" t="n"/>
      <c r="BU39" s="186" t="n"/>
      <c r="BV39" s="190" t="n"/>
      <c r="BW39" s="186" t="n"/>
      <c r="BX39" s="186" t="n"/>
      <c r="BY39" s="186" t="n"/>
      <c r="BZ39" s="186" t="n"/>
      <c r="CA39" s="186" t="n"/>
      <c r="CB39" s="187" t="n"/>
      <c r="CC39" s="192" t="n"/>
      <c r="CD39" s="192" t="n"/>
      <c r="CE39" s="192" t="n"/>
      <c r="CF39" s="192" t="n"/>
    </row>
    <row r="40">
      <c r="A40" s="197" t="n"/>
      <c r="B40" s="198" t="n"/>
      <c r="C40" s="198" t="n"/>
      <c r="D40" s="179" t="n"/>
      <c r="E40" s="180" t="n"/>
      <c r="F40" s="181" t="n"/>
      <c r="G40" s="284">
        <f>'Jobs-Ops'!G40</f>
        <v/>
      </c>
      <c r="H40" s="114">
        <f>'Jobs-Ops'!H40</f>
        <v/>
      </c>
      <c r="I40" s="105" t="n"/>
      <c r="J40" s="183">
        <f>F40</f>
        <v/>
      </c>
      <c r="K40" s="184" t="n"/>
      <c r="L40" s="185" t="n"/>
      <c r="M40" s="8" t="n"/>
      <c r="N40" s="184">
        <f>M40</f>
        <v/>
      </c>
      <c r="O40" s="71" t="n"/>
      <c r="P40" s="101" t="n"/>
      <c r="Q40" s="9">
        <f>J40-N40</f>
        <v/>
      </c>
      <c r="R40" s="9">
        <f>IF(LEFT(B40,4)&lt;&gt;"    ",0,BI40)</f>
        <v/>
      </c>
      <c r="S40" s="9">
        <f>+Q40-R40</f>
        <v/>
      </c>
      <c r="T40" s="200">
        <f>IF('Jobs-Ops'!S40&lt;&gt; "",'Jobs-Ops'!S40,"")</f>
        <v/>
      </c>
      <c r="U40" s="10" t="n"/>
      <c r="V40" s="23">
        <f>IF(LEFT(B40,4)&lt;&gt;"    ","",IF(N40&lt;&gt;0,X40/N40,0))</f>
        <v/>
      </c>
      <c r="W40" s="11">
        <f>IF(LEFT(B40,4)&lt;&gt;"    ","",IF(V40&gt;=0.1,V40*J40,X40))</f>
        <v/>
      </c>
      <c r="X40" s="8" t="n"/>
      <c r="Y40" s="9">
        <f>IF(LEFT(B40,4)&lt;&gt;"    ",0,IF(Q40&lt;0,Q40,IF(V40&gt;0.1,W40-X40,0)))</f>
        <v/>
      </c>
      <c r="Z40" s="9">
        <f>IF(LEFT(B40,4)&lt;&gt;"    ",0,IF(V40&gt;0.1,BI40,0))</f>
        <v/>
      </c>
      <c r="AA40" s="9">
        <f>Y40-Z40</f>
        <v/>
      </c>
      <c r="AB40" s="10" t="n"/>
      <c r="AC40" s="24" t="n"/>
      <c r="AD40" s="11" t="n"/>
      <c r="AE40" s="8" t="n"/>
      <c r="AF40" s="9">
        <f>IF(LEFT(B40,4)&lt;&gt;"    ","",AD40-AE40)</f>
        <v/>
      </c>
      <c r="AG40" s="10" t="n"/>
      <c r="AH40" s="11">
        <f>IF(LEFT(B40,4)&lt;&gt;"    ","",W40-AD40)</f>
        <v/>
      </c>
      <c r="AI40" s="8">
        <f>IF(LEFT(B40,4)&lt;&gt;"    ","",X40-AE40)</f>
        <v/>
      </c>
      <c r="AJ40" s="9">
        <f>IF(LEFT(B40,4)&lt;&gt;"    ","",Y40-AF40)</f>
        <v/>
      </c>
      <c r="AK40" s="10" t="n"/>
      <c r="AL40" s="25">
        <f>IF(LEFT(B40,4)&lt;&gt;"    ","",J40-W40)</f>
        <v/>
      </c>
      <c r="AM40" s="25">
        <f>N40-X40</f>
        <v/>
      </c>
      <c r="AN40" s="25">
        <f>IF(LEFT(B40,4)&lt;&gt;"    ","",Q40-Y40)</f>
        <v/>
      </c>
      <c r="AO40" s="10" t="n"/>
      <c r="AP40" s="12" t="n"/>
      <c r="AQ40" s="12">
        <f>IF(LEFT(B40,4)&lt;&gt;"    ","",IF(W40-AP40&gt;=0,W40-AP40," "))</f>
        <v/>
      </c>
      <c r="AR40" s="12">
        <f>IF(LEFT(B40,4)&lt;&gt;"    ","",IF(AP40-W40&gt;=0,AP40-W40," "))</f>
        <v/>
      </c>
      <c r="AS40" s="186" t="n"/>
      <c r="AT40" s="187" t="n"/>
      <c r="AU40" s="186" t="n"/>
      <c r="AV40" s="186" t="n"/>
      <c r="AW40" s="188" t="n"/>
      <c r="AX40" s="187" t="n"/>
      <c r="AY40" s="187" t="n"/>
      <c r="AZ40" s="186" t="n"/>
      <c r="BA40" s="186" t="n"/>
      <c r="BB40" s="186" t="n"/>
      <c r="BC40" s="186" t="n"/>
      <c r="BD40" s="186" t="n"/>
      <c r="BE40" s="186" t="n"/>
      <c r="BF40" s="186" t="n"/>
      <c r="BG40" s="186" t="n"/>
      <c r="BH40" s="186" t="n"/>
      <c r="BI40" s="186" t="n"/>
      <c r="BJ40" s="186" t="n"/>
      <c r="BK40" s="186" t="n"/>
      <c r="BL40" s="186" t="n"/>
      <c r="BM40" s="186" t="n"/>
      <c r="BN40" s="186" t="n"/>
      <c r="BO40" s="186" t="n"/>
      <c r="BP40" s="186" t="n"/>
      <c r="BQ40" s="186" t="n"/>
      <c r="BR40" s="189" t="n"/>
      <c r="BS40" s="189" t="n"/>
      <c r="BT40" s="186" t="n"/>
      <c r="BU40" s="186" t="n"/>
      <c r="BV40" s="190" t="n"/>
      <c r="BW40" s="186" t="n"/>
      <c r="BX40" s="186" t="n"/>
      <c r="BY40" s="186" t="n"/>
      <c r="BZ40" s="186" t="n"/>
      <c r="CA40" s="186" t="n"/>
      <c r="CB40" s="187" t="n"/>
      <c r="CC40" s="192" t="n"/>
      <c r="CD40" s="192" t="n"/>
      <c r="CE40" s="192" t="n"/>
      <c r="CF40" s="192" t="n"/>
    </row>
    <row r="41">
      <c r="A41" s="197" t="n"/>
      <c r="B41" s="198" t="n"/>
      <c r="C41" s="198" t="n"/>
      <c r="D41" s="179" t="n"/>
      <c r="E41" s="180" t="n"/>
      <c r="F41" s="181" t="n"/>
      <c r="G41" s="284">
        <f>'Jobs-Ops'!G41</f>
        <v/>
      </c>
      <c r="H41" s="114">
        <f>'Jobs-Ops'!H41</f>
        <v/>
      </c>
      <c r="I41" s="105" t="n"/>
      <c r="J41" s="183">
        <f>F41</f>
        <v/>
      </c>
      <c r="K41" s="184" t="n"/>
      <c r="L41" s="185" t="n"/>
      <c r="M41" s="8" t="n"/>
      <c r="N41" s="184">
        <f>M41</f>
        <v/>
      </c>
      <c r="O41" s="71" t="n"/>
      <c r="P41" s="101" t="n"/>
      <c r="Q41" s="9">
        <f>J41-N41</f>
        <v/>
      </c>
      <c r="R41" s="9">
        <f>IF(LEFT(B41,4)&lt;&gt;"    ",0,BI41)</f>
        <v/>
      </c>
      <c r="S41" s="9">
        <f>+Q41-R41</f>
        <v/>
      </c>
      <c r="T41" s="200">
        <f>IF('Jobs-Ops'!S41&lt;&gt; "",'Jobs-Ops'!S41,"")</f>
        <v/>
      </c>
      <c r="U41" s="10" t="n"/>
      <c r="V41" s="23">
        <f>IF(LEFT(B41,4)&lt;&gt;"    ","",IF(N41&lt;&gt;0,X41/N41,0))</f>
        <v/>
      </c>
      <c r="W41" s="11">
        <f>IF(LEFT(B41,4)&lt;&gt;"    ","",IF(V41&gt;=0.1,V41*J41,X41))</f>
        <v/>
      </c>
      <c r="X41" s="8" t="n"/>
      <c r="Y41" s="9">
        <f>IF(LEFT(B41,4)&lt;&gt;"    ",0,IF(Q41&lt;0,Q41,IF(V41&gt;0.1,W41-X41,0)))</f>
        <v/>
      </c>
      <c r="Z41" s="9">
        <f>IF(LEFT(B41,4)&lt;&gt;"    ",0,IF(V41&gt;0.1,BI41,0))</f>
        <v/>
      </c>
      <c r="AA41" s="9">
        <f>Y41-Z41</f>
        <v/>
      </c>
      <c r="AB41" s="10" t="n"/>
      <c r="AC41" s="24" t="n"/>
      <c r="AD41" s="11" t="n"/>
      <c r="AE41" s="8" t="n"/>
      <c r="AF41" s="9">
        <f>IF(LEFT(B41,4)&lt;&gt;"    ","",AD41-AE41)</f>
        <v/>
      </c>
      <c r="AG41" s="10" t="n"/>
      <c r="AH41" s="11">
        <f>IF(LEFT(B41,4)&lt;&gt;"    ","",W41-AD41)</f>
        <v/>
      </c>
      <c r="AI41" s="8">
        <f>IF(LEFT(B41,4)&lt;&gt;"    ","",X41-AE41)</f>
        <v/>
      </c>
      <c r="AJ41" s="9">
        <f>IF(LEFT(B41,4)&lt;&gt;"    ","",Y41-AF41)</f>
        <v/>
      </c>
      <c r="AK41" s="10" t="n"/>
      <c r="AL41" s="25">
        <f>IF(LEFT(B41,4)&lt;&gt;"    ","",J41-W41)</f>
        <v/>
      </c>
      <c r="AM41" s="25">
        <f>N41-X41</f>
        <v/>
      </c>
      <c r="AN41" s="25">
        <f>IF(LEFT(B41,4)&lt;&gt;"    ","",Q41-Y41)</f>
        <v/>
      </c>
      <c r="AO41" s="10" t="n"/>
      <c r="AP41" s="12" t="n"/>
      <c r="AQ41" s="12">
        <f>IF(LEFT(B41,4)&lt;&gt;"    ","",IF(W41-AP41&gt;=0,W41-AP41," "))</f>
        <v/>
      </c>
      <c r="AR41" s="12">
        <f>IF(LEFT(B41,4)&lt;&gt;"    ","",IF(AP41-W41&gt;=0,AP41-W41," "))</f>
        <v/>
      </c>
      <c r="AS41" s="186" t="n"/>
      <c r="AT41" s="187" t="n"/>
      <c r="AU41" s="186" t="n"/>
      <c r="AV41" s="186" t="n"/>
      <c r="AW41" s="188" t="n"/>
      <c r="AX41" s="187" t="n"/>
      <c r="AY41" s="187" t="n"/>
      <c r="AZ41" s="186" t="n"/>
      <c r="BA41" s="186" t="n"/>
      <c r="BB41" s="186" t="n"/>
      <c r="BC41" s="186" t="n"/>
      <c r="BD41" s="186" t="n"/>
      <c r="BE41" s="186" t="n"/>
      <c r="BF41" s="186" t="n"/>
      <c r="BG41" s="186" t="n"/>
      <c r="BH41" s="186" t="n"/>
      <c r="BI41" s="186" t="n"/>
      <c r="BJ41" s="186" t="n"/>
      <c r="BK41" s="186" t="n"/>
      <c r="BL41" s="186" t="n"/>
      <c r="BM41" s="186" t="n"/>
      <c r="BN41" s="186" t="n"/>
      <c r="BO41" s="186" t="n"/>
      <c r="BP41" s="186" t="n"/>
      <c r="BQ41" s="186" t="n"/>
      <c r="BR41" s="189" t="n"/>
      <c r="BS41" s="189" t="n"/>
      <c r="BT41" s="186" t="n"/>
      <c r="BU41" s="186" t="n"/>
      <c r="BV41" s="190" t="n"/>
      <c r="BW41" s="186" t="n"/>
      <c r="BX41" s="186" t="n"/>
      <c r="BY41" s="186" t="n"/>
      <c r="BZ41" s="186" t="n"/>
      <c r="CA41" s="186" t="n"/>
      <c r="CB41" s="187" t="n"/>
      <c r="CC41" s="192" t="n"/>
      <c r="CD41" s="192" t="n"/>
      <c r="CE41" s="192" t="n"/>
      <c r="CF41" s="192" t="n"/>
    </row>
    <row r="42">
      <c r="A42" s="197" t="n"/>
      <c r="B42" s="198" t="n"/>
      <c r="C42" s="198" t="n"/>
      <c r="D42" s="179" t="n"/>
      <c r="E42" s="180" t="n"/>
      <c r="F42" s="181" t="n"/>
      <c r="G42" s="284">
        <f>'Jobs-Ops'!G42</f>
        <v/>
      </c>
      <c r="H42" s="114">
        <f>'Jobs-Ops'!H42</f>
        <v/>
      </c>
      <c r="I42" s="105" t="n"/>
      <c r="J42" s="183">
        <f>F42</f>
        <v/>
      </c>
      <c r="K42" s="184" t="n"/>
      <c r="L42" s="185" t="n"/>
      <c r="M42" s="8" t="n"/>
      <c r="N42" s="184">
        <f>M42</f>
        <v/>
      </c>
      <c r="O42" s="71" t="n"/>
      <c r="P42" s="101" t="n"/>
      <c r="Q42" s="9">
        <f>J42-N42</f>
        <v/>
      </c>
      <c r="R42" s="9">
        <f>IF(LEFT(B42,4)&lt;&gt;"    ",0,BI42)</f>
        <v/>
      </c>
      <c r="S42" s="9">
        <f>+Q42-R42</f>
        <v/>
      </c>
      <c r="T42" s="200">
        <f>IF('Jobs-Ops'!S42&lt;&gt; "",'Jobs-Ops'!S42,"")</f>
        <v/>
      </c>
      <c r="U42" s="10" t="n"/>
      <c r="V42" s="23">
        <f>IF(LEFT(B42,4)&lt;&gt;"    ","",IF(N42&lt;&gt;0,X42/N42,0))</f>
        <v/>
      </c>
      <c r="W42" s="11">
        <f>IF(LEFT(B42,4)&lt;&gt;"    ","",IF(V42&gt;=0.1,V42*J42,X42))</f>
        <v/>
      </c>
      <c r="X42" s="8" t="n"/>
      <c r="Y42" s="9">
        <f>IF(LEFT(B42,4)&lt;&gt;"    ",0,IF(Q42&lt;0,Q42,IF(V42&gt;0.1,W42-X42,0)))</f>
        <v/>
      </c>
      <c r="Z42" s="9">
        <f>IF(LEFT(B42,4)&lt;&gt;"    ",0,IF(V42&gt;0.1,BI42,0))</f>
        <v/>
      </c>
      <c r="AA42" s="9">
        <f>Y42-Z42</f>
        <v/>
      </c>
      <c r="AB42" s="10" t="n"/>
      <c r="AC42" s="24" t="n"/>
      <c r="AD42" s="11" t="n"/>
      <c r="AE42" s="8" t="n"/>
      <c r="AF42" s="9">
        <f>IF(LEFT(B42,4)&lt;&gt;"    ","",AD42-AE42)</f>
        <v/>
      </c>
      <c r="AG42" s="10" t="n"/>
      <c r="AH42" s="11">
        <f>IF(LEFT(B42,4)&lt;&gt;"    ","",W42-AD42)</f>
        <v/>
      </c>
      <c r="AI42" s="8">
        <f>IF(LEFT(B42,4)&lt;&gt;"    ","",X42-AE42)</f>
        <v/>
      </c>
      <c r="AJ42" s="9">
        <f>IF(LEFT(B42,4)&lt;&gt;"    ","",Y42-AF42)</f>
        <v/>
      </c>
      <c r="AK42" s="10" t="n"/>
      <c r="AL42" s="25">
        <f>IF(LEFT(B42,4)&lt;&gt;"    ","",J42-W42)</f>
        <v/>
      </c>
      <c r="AM42" s="25">
        <f>N42-X42</f>
        <v/>
      </c>
      <c r="AN42" s="25">
        <f>IF(LEFT(B42,4)&lt;&gt;"    ","",Q42-Y42)</f>
        <v/>
      </c>
      <c r="AO42" s="10" t="n"/>
      <c r="AP42" s="12" t="n"/>
      <c r="AQ42" s="12">
        <f>IF(LEFT(B42,4)&lt;&gt;"    ","",IF(W42-AP42&gt;=0,W42-AP42," "))</f>
        <v/>
      </c>
      <c r="AR42" s="12">
        <f>IF(LEFT(B42,4)&lt;&gt;"    ","",IF(AP42-W42&gt;=0,AP42-W42," "))</f>
        <v/>
      </c>
      <c r="AS42" s="186" t="n"/>
      <c r="AT42" s="187" t="n"/>
      <c r="AU42" s="186" t="n"/>
      <c r="AV42" s="186" t="n"/>
      <c r="AW42" s="188" t="n"/>
      <c r="AX42" s="187" t="n"/>
      <c r="AY42" s="187" t="n"/>
      <c r="AZ42" s="186" t="n"/>
      <c r="BA42" s="186" t="n"/>
      <c r="BB42" s="186" t="n"/>
      <c r="BC42" s="186" t="n"/>
      <c r="BD42" s="186" t="n"/>
      <c r="BE42" s="186" t="n"/>
      <c r="BF42" s="186" t="n"/>
      <c r="BG42" s="186" t="n"/>
      <c r="BH42" s="186" t="n"/>
      <c r="BI42" s="186" t="n"/>
      <c r="BJ42" s="186" t="n"/>
      <c r="BK42" s="186" t="n"/>
      <c r="BL42" s="186" t="n"/>
      <c r="BM42" s="186" t="n"/>
      <c r="BN42" s="186" t="n"/>
      <c r="BO42" s="186" t="n"/>
      <c r="BP42" s="186" t="n"/>
      <c r="BQ42" s="186" t="n"/>
      <c r="BR42" s="189" t="n"/>
      <c r="BS42" s="189" t="n"/>
      <c r="BT42" s="186" t="n"/>
      <c r="BU42" s="186" t="n"/>
      <c r="BV42" s="190" t="n"/>
      <c r="BW42" s="186" t="n"/>
      <c r="BX42" s="186" t="n"/>
      <c r="BY42" s="186" t="n"/>
      <c r="BZ42" s="186" t="n"/>
      <c r="CA42" s="186" t="n"/>
      <c r="CB42" s="187" t="n"/>
      <c r="CC42" s="192" t="n"/>
      <c r="CD42" s="192" t="n"/>
      <c r="CE42" s="192" t="n"/>
      <c r="CF42" s="192" t="n"/>
    </row>
    <row r="43">
      <c r="A43" s="197" t="n"/>
      <c r="B43" s="198" t="n"/>
      <c r="C43" s="198" t="n"/>
      <c r="D43" s="179" t="n"/>
      <c r="E43" s="180" t="n"/>
      <c r="F43" s="181" t="n"/>
      <c r="G43" s="284">
        <f>'Jobs-Ops'!G43</f>
        <v/>
      </c>
      <c r="H43" s="114">
        <f>'Jobs-Ops'!H43</f>
        <v/>
      </c>
      <c r="I43" s="105" t="n"/>
      <c r="J43" s="183">
        <f>F43</f>
        <v/>
      </c>
      <c r="K43" s="184" t="n"/>
      <c r="L43" s="185" t="n"/>
      <c r="M43" s="8" t="n"/>
      <c r="N43" s="184">
        <f>M43</f>
        <v/>
      </c>
      <c r="O43" s="71" t="n"/>
      <c r="P43" s="101" t="n"/>
      <c r="Q43" s="9">
        <f>J43-N43</f>
        <v/>
      </c>
      <c r="R43" s="9">
        <f>IF(LEFT(B43,4)&lt;&gt;"    ",0,BI43)</f>
        <v/>
      </c>
      <c r="S43" s="9">
        <f>+Q43-R43</f>
        <v/>
      </c>
      <c r="T43" s="200">
        <f>IF('Jobs-Ops'!S43&lt;&gt; "",'Jobs-Ops'!S43,"")</f>
        <v/>
      </c>
      <c r="U43" s="10" t="n"/>
      <c r="V43" s="23">
        <f>IF(LEFT(B43,4)&lt;&gt;"    ","",IF(N43&lt;&gt;0,X43/N43,0))</f>
        <v/>
      </c>
      <c r="W43" s="11">
        <f>IF(LEFT(B43,4)&lt;&gt;"    ","",IF(V43&gt;=0.1,V43*J43,X43))</f>
        <v/>
      </c>
      <c r="X43" s="8" t="n"/>
      <c r="Y43" s="9">
        <f>IF(LEFT(B43,4)&lt;&gt;"    ",0,IF(Q43&lt;0,Q43,IF(V43&gt;0.1,W43-X43,0)))</f>
        <v/>
      </c>
      <c r="Z43" s="9">
        <f>IF(LEFT(B43,4)&lt;&gt;"    ",0,IF(V43&gt;0.1,BI43,0))</f>
        <v/>
      </c>
      <c r="AA43" s="9">
        <f>Y43-Z43</f>
        <v/>
      </c>
      <c r="AB43" s="10" t="n"/>
      <c r="AC43" s="24" t="n"/>
      <c r="AD43" s="11" t="n"/>
      <c r="AE43" s="8" t="n"/>
      <c r="AF43" s="9">
        <f>IF(LEFT(B43,4)&lt;&gt;"    ","",AD43-AE43)</f>
        <v/>
      </c>
      <c r="AG43" s="10" t="n"/>
      <c r="AH43" s="11">
        <f>IF(LEFT(B43,4)&lt;&gt;"    ","",W43-AD43)</f>
        <v/>
      </c>
      <c r="AI43" s="8">
        <f>IF(LEFT(B43,4)&lt;&gt;"    ","",X43-AE43)</f>
        <v/>
      </c>
      <c r="AJ43" s="9">
        <f>IF(LEFT(B43,4)&lt;&gt;"    ","",Y43-AF43)</f>
        <v/>
      </c>
      <c r="AK43" s="10" t="n"/>
      <c r="AL43" s="25">
        <f>IF(LEFT(B43,4)&lt;&gt;"    ","",J43-W43)</f>
        <v/>
      </c>
      <c r="AM43" s="25">
        <f>N43-X43</f>
        <v/>
      </c>
      <c r="AN43" s="25">
        <f>IF(LEFT(B43,4)&lt;&gt;"    ","",Q43-Y43)</f>
        <v/>
      </c>
      <c r="AO43" s="10" t="n"/>
      <c r="AP43" s="12" t="n"/>
      <c r="AQ43" s="12">
        <f>IF(LEFT(B43,4)&lt;&gt;"    ","",IF(W43-AP43&gt;=0,W43-AP43," "))</f>
        <v/>
      </c>
      <c r="AR43" s="12">
        <f>IF(LEFT(B43,4)&lt;&gt;"    ","",IF(AP43-W43&gt;=0,AP43-W43," "))</f>
        <v/>
      </c>
      <c r="AS43" s="186" t="n"/>
      <c r="AT43" s="187" t="n"/>
      <c r="AU43" s="186" t="n"/>
      <c r="AV43" s="186" t="n"/>
      <c r="AW43" s="188" t="n"/>
      <c r="AX43" s="187" t="n"/>
      <c r="AY43" s="187" t="n"/>
      <c r="AZ43" s="186" t="n"/>
      <c r="BA43" s="186" t="n"/>
      <c r="BB43" s="186" t="n"/>
      <c r="BC43" s="186" t="n"/>
      <c r="BD43" s="186" t="n"/>
      <c r="BE43" s="186" t="n"/>
      <c r="BF43" s="186" t="n"/>
      <c r="BG43" s="186" t="n"/>
      <c r="BH43" s="186" t="n"/>
      <c r="BI43" s="186" t="n"/>
      <c r="BJ43" s="186" t="n"/>
      <c r="BK43" s="186" t="n"/>
      <c r="BL43" s="186" t="n"/>
      <c r="BM43" s="186" t="n"/>
      <c r="BN43" s="186" t="n"/>
      <c r="BO43" s="186" t="n"/>
      <c r="BP43" s="186" t="n"/>
      <c r="BQ43" s="186" t="n"/>
      <c r="BR43" s="189" t="n"/>
      <c r="BS43" s="189" t="n"/>
      <c r="BT43" s="186" t="n"/>
      <c r="BU43" s="186" t="n"/>
      <c r="BV43" s="190" t="n"/>
      <c r="BW43" s="186" t="n"/>
      <c r="BX43" s="186" t="n"/>
      <c r="BY43" s="186" t="n"/>
      <c r="BZ43" s="186" t="n"/>
      <c r="CA43" s="186" t="n"/>
      <c r="CB43" s="187" t="n"/>
      <c r="CC43" s="192" t="n"/>
      <c r="CD43" s="192" t="n"/>
      <c r="CE43" s="192" t="n"/>
      <c r="CF43" s="192" t="n"/>
    </row>
    <row r="44">
      <c r="A44" s="197" t="n"/>
      <c r="B44" s="198" t="n"/>
      <c r="C44" s="198" t="n"/>
      <c r="D44" s="179" t="n"/>
      <c r="E44" s="180" t="n"/>
      <c r="F44" s="181" t="n"/>
      <c r="G44" s="284">
        <f>'Jobs-Ops'!G44</f>
        <v/>
      </c>
      <c r="H44" s="114">
        <f>'Jobs-Ops'!H44</f>
        <v/>
      </c>
      <c r="I44" s="105" t="n"/>
      <c r="J44" s="183">
        <f>F44</f>
        <v/>
      </c>
      <c r="K44" s="184" t="n"/>
      <c r="L44" s="185" t="n"/>
      <c r="M44" s="8" t="n"/>
      <c r="N44" s="184">
        <f>M44</f>
        <v/>
      </c>
      <c r="O44" s="71" t="n"/>
      <c r="P44" s="101" t="n"/>
      <c r="Q44" s="9">
        <f>J44-N44</f>
        <v/>
      </c>
      <c r="R44" s="9">
        <f>IF(LEFT(B44,4)&lt;&gt;"    ",0,BI44)</f>
        <v/>
      </c>
      <c r="S44" s="9">
        <f>+Q44-R44</f>
        <v/>
      </c>
      <c r="T44" s="200">
        <f>IF('Jobs-Ops'!S44&lt;&gt; "",'Jobs-Ops'!S44,"")</f>
        <v/>
      </c>
      <c r="U44" s="10" t="n"/>
      <c r="V44" s="23">
        <f>IF(LEFT(B44,4)&lt;&gt;"    ","",IF(N44&lt;&gt;0,X44/N44,0))</f>
        <v/>
      </c>
      <c r="W44" s="11">
        <f>IF(LEFT(B44,4)&lt;&gt;"    ","",IF(V44&gt;=0.1,V44*J44,X44))</f>
        <v/>
      </c>
      <c r="X44" s="8" t="n"/>
      <c r="Y44" s="9">
        <f>IF(LEFT(B44,4)&lt;&gt;"    ",0,IF(Q44&lt;0,Q44,IF(V44&gt;0.1,W44-X44,0)))</f>
        <v/>
      </c>
      <c r="Z44" s="9">
        <f>IF(LEFT(B44,4)&lt;&gt;"    ",0,IF(V44&gt;0.1,BI44,0))</f>
        <v/>
      </c>
      <c r="AA44" s="9">
        <f>Y44-Z44</f>
        <v/>
      </c>
      <c r="AB44" s="10" t="n"/>
      <c r="AC44" s="24" t="n"/>
      <c r="AD44" s="11" t="n"/>
      <c r="AE44" s="8" t="n"/>
      <c r="AF44" s="9">
        <f>IF(LEFT(B44,4)&lt;&gt;"    ","",AD44-AE44)</f>
        <v/>
      </c>
      <c r="AG44" s="10" t="n"/>
      <c r="AH44" s="11">
        <f>IF(LEFT(B44,4)&lt;&gt;"    ","",W44-AD44)</f>
        <v/>
      </c>
      <c r="AI44" s="8">
        <f>IF(LEFT(B44,4)&lt;&gt;"    ","",X44-AE44)</f>
        <v/>
      </c>
      <c r="AJ44" s="9">
        <f>IF(LEFT(B44,4)&lt;&gt;"    ","",Y44-AF44)</f>
        <v/>
      </c>
      <c r="AK44" s="10" t="n"/>
      <c r="AL44" s="25">
        <f>IF(LEFT(B44,4)&lt;&gt;"    ","",J44-W44)</f>
        <v/>
      </c>
      <c r="AM44" s="25">
        <f>N44-X44</f>
        <v/>
      </c>
      <c r="AN44" s="25">
        <f>IF(LEFT(B44,4)&lt;&gt;"    ","",Q44-Y44)</f>
        <v/>
      </c>
      <c r="AO44" s="10" t="n"/>
      <c r="AP44" s="12" t="n"/>
      <c r="AQ44" s="12">
        <f>IF(LEFT(B44,4)&lt;&gt;"    ","",IF(W44-AP44&gt;=0,W44-AP44," "))</f>
        <v/>
      </c>
      <c r="AR44" s="12">
        <f>IF(LEFT(B44,4)&lt;&gt;"    ","",IF(AP44-W44&gt;=0,AP44-W44," "))</f>
        <v/>
      </c>
      <c r="AS44" s="186" t="n"/>
      <c r="AT44" s="187" t="n"/>
      <c r="AU44" s="186" t="n"/>
      <c r="AV44" s="186" t="n"/>
      <c r="AW44" s="188" t="n"/>
      <c r="AX44" s="187" t="n"/>
      <c r="AY44" s="187" t="n"/>
      <c r="AZ44" s="186" t="n"/>
      <c r="BA44" s="186" t="n"/>
      <c r="BB44" s="186" t="n"/>
      <c r="BC44" s="186" t="n"/>
      <c r="BD44" s="186" t="n"/>
      <c r="BE44" s="186" t="n"/>
      <c r="BF44" s="186" t="n"/>
      <c r="BG44" s="186" t="n"/>
      <c r="BH44" s="186" t="n"/>
      <c r="BI44" s="186" t="n"/>
      <c r="BJ44" s="186" t="n"/>
      <c r="BK44" s="186" t="n"/>
      <c r="BL44" s="186" t="n"/>
      <c r="BM44" s="186" t="n"/>
      <c r="BN44" s="186" t="n"/>
      <c r="BO44" s="186" t="n"/>
      <c r="BP44" s="186" t="n"/>
      <c r="BQ44" s="186" t="n"/>
      <c r="BR44" s="189" t="n"/>
      <c r="BS44" s="189" t="n"/>
      <c r="BT44" s="186" t="n"/>
      <c r="BU44" s="186" t="n"/>
      <c r="BV44" s="190" t="n"/>
      <c r="BW44" s="186" t="n"/>
      <c r="BX44" s="186" t="n"/>
      <c r="BY44" s="186" t="n"/>
      <c r="BZ44" s="186" t="n"/>
      <c r="CA44" s="186" t="n"/>
      <c r="CB44" s="187" t="n"/>
      <c r="CC44" s="192" t="n"/>
      <c r="CD44" s="192" t="n"/>
      <c r="CE44" s="192" t="n"/>
      <c r="CF44" s="192" t="n"/>
    </row>
    <row r="45">
      <c r="A45" s="197" t="n"/>
      <c r="B45" s="198" t="n"/>
      <c r="C45" s="198" t="n"/>
      <c r="D45" s="179" t="n"/>
      <c r="E45" s="180" t="n"/>
      <c r="F45" s="181" t="n"/>
      <c r="G45" s="284">
        <f>'Jobs-Ops'!G45</f>
        <v/>
      </c>
      <c r="H45" s="114">
        <f>'Jobs-Ops'!H45</f>
        <v/>
      </c>
      <c r="I45" s="105" t="n"/>
      <c r="J45" s="183">
        <f>F45</f>
        <v/>
      </c>
      <c r="K45" s="184" t="n"/>
      <c r="L45" s="185" t="n"/>
      <c r="M45" s="8" t="n"/>
      <c r="N45" s="184">
        <f>M45</f>
        <v/>
      </c>
      <c r="O45" s="71" t="n"/>
      <c r="P45" s="101" t="n"/>
      <c r="Q45" s="9">
        <f>J45-N45</f>
        <v/>
      </c>
      <c r="R45" s="9">
        <f>IF(LEFT(B45,4)&lt;&gt;"    ",0,BI45)</f>
        <v/>
      </c>
      <c r="S45" s="9">
        <f>+Q45-R45</f>
        <v/>
      </c>
      <c r="T45" s="200">
        <f>IF('Jobs-Ops'!S45&lt;&gt; "",'Jobs-Ops'!S45,"")</f>
        <v/>
      </c>
      <c r="U45" s="10" t="n"/>
      <c r="V45" s="23">
        <f>IF(LEFT(B45,4)&lt;&gt;"    ","",IF(N45&lt;&gt;0,X45/N45,0))</f>
        <v/>
      </c>
      <c r="W45" s="11">
        <f>IF(LEFT(B45,4)&lt;&gt;"    ","",IF(V45&gt;=0.1,V45*J45,X45))</f>
        <v/>
      </c>
      <c r="X45" s="8" t="n"/>
      <c r="Y45" s="9">
        <f>IF(LEFT(B45,4)&lt;&gt;"    ",0,IF(Q45&lt;0,Q45,IF(V45&gt;0.1,W45-X45,0)))</f>
        <v/>
      </c>
      <c r="Z45" s="9">
        <f>IF(LEFT(B45,4)&lt;&gt;"    ",0,IF(V45&gt;0.1,BI45,0))</f>
        <v/>
      </c>
      <c r="AA45" s="9">
        <f>Y45-Z45</f>
        <v/>
      </c>
      <c r="AB45" s="10" t="n"/>
      <c r="AC45" s="24" t="n"/>
      <c r="AD45" s="11" t="n"/>
      <c r="AE45" s="8" t="n"/>
      <c r="AF45" s="9">
        <f>IF(LEFT(B45,4)&lt;&gt;"    ","",AD45-AE45)</f>
        <v/>
      </c>
      <c r="AG45" s="10" t="n"/>
      <c r="AH45" s="11">
        <f>IF(LEFT(B45,4)&lt;&gt;"    ","",W45-AD45)</f>
        <v/>
      </c>
      <c r="AI45" s="8">
        <f>IF(LEFT(B45,4)&lt;&gt;"    ","",X45-AE45)</f>
        <v/>
      </c>
      <c r="AJ45" s="9">
        <f>IF(LEFT(B45,4)&lt;&gt;"    ","",Y45-AF45)</f>
        <v/>
      </c>
      <c r="AK45" s="10" t="n"/>
      <c r="AL45" s="25">
        <f>IF(LEFT(B45,4)&lt;&gt;"    ","",J45-W45)</f>
        <v/>
      </c>
      <c r="AM45" s="25">
        <f>N45-X45</f>
        <v/>
      </c>
      <c r="AN45" s="25">
        <f>IF(LEFT(B45,4)&lt;&gt;"    ","",Q45-Y45)</f>
        <v/>
      </c>
      <c r="AO45" s="10" t="n"/>
      <c r="AP45" s="12" t="n"/>
      <c r="AQ45" s="12">
        <f>IF(LEFT(B45,4)&lt;&gt;"    ","",IF(W45-AP45&gt;=0,W45-AP45," "))</f>
        <v/>
      </c>
      <c r="AR45" s="12">
        <f>IF(LEFT(B45,4)&lt;&gt;"    ","",IF(AP45-W45&gt;=0,AP45-W45," "))</f>
        <v/>
      </c>
      <c r="AS45" s="186" t="n"/>
      <c r="AT45" s="187" t="n"/>
      <c r="AU45" s="186" t="n"/>
      <c r="AV45" s="186" t="n"/>
      <c r="AW45" s="188" t="n"/>
      <c r="AX45" s="187" t="n"/>
      <c r="AY45" s="187" t="n"/>
      <c r="AZ45" s="186" t="n"/>
      <c r="BA45" s="186" t="n"/>
      <c r="BB45" s="186" t="n"/>
      <c r="BC45" s="186" t="n"/>
      <c r="BD45" s="186" t="n"/>
      <c r="BE45" s="186" t="n"/>
      <c r="BF45" s="186" t="n"/>
      <c r="BG45" s="186" t="n"/>
      <c r="BH45" s="186" t="n"/>
      <c r="BI45" s="186" t="n"/>
      <c r="BJ45" s="186" t="n"/>
      <c r="BK45" s="186" t="n"/>
      <c r="BL45" s="186" t="n"/>
      <c r="BM45" s="186" t="n"/>
      <c r="BN45" s="186" t="n"/>
      <c r="BO45" s="186" t="n"/>
      <c r="BP45" s="186" t="n"/>
      <c r="BQ45" s="186" t="n"/>
      <c r="BR45" s="189" t="n"/>
      <c r="BS45" s="189" t="n"/>
      <c r="BT45" s="186" t="n"/>
      <c r="BU45" s="186" t="n"/>
      <c r="BV45" s="190" t="n"/>
      <c r="BW45" s="186" t="n"/>
      <c r="BX45" s="186" t="n"/>
      <c r="BY45" s="186" t="n"/>
      <c r="BZ45" s="186" t="n"/>
      <c r="CA45" s="186" t="n"/>
      <c r="CB45" s="187" t="n"/>
      <c r="CC45" s="192" t="n"/>
      <c r="CD45" s="192" t="n"/>
      <c r="CE45" s="192" t="n"/>
      <c r="CF45" s="192" t="n"/>
    </row>
    <row r="46">
      <c r="A46" s="197" t="n"/>
      <c r="B46" s="198" t="n"/>
      <c r="C46" s="198" t="n"/>
      <c r="D46" s="179" t="n"/>
      <c r="E46" s="180" t="n"/>
      <c r="F46" s="181" t="n"/>
      <c r="G46" s="284">
        <f>'Jobs-Ops'!G46</f>
        <v/>
      </c>
      <c r="H46" s="114">
        <f>'Jobs-Ops'!H46</f>
        <v/>
      </c>
      <c r="I46" s="105" t="n"/>
      <c r="J46" s="183">
        <f>F46</f>
        <v/>
      </c>
      <c r="K46" s="184" t="n"/>
      <c r="L46" s="185" t="n"/>
      <c r="M46" s="8" t="n"/>
      <c r="N46" s="184">
        <f>M46</f>
        <v/>
      </c>
      <c r="O46" s="184" t="n"/>
      <c r="P46" s="185" t="n"/>
      <c r="Q46" s="9">
        <f>J46-N46</f>
        <v/>
      </c>
      <c r="R46" s="9">
        <f>IF(LEFT(B46,4)&lt;&gt;"    ",0,BI46)</f>
        <v/>
      </c>
      <c r="S46" s="9">
        <f>+Q46-R46</f>
        <v/>
      </c>
      <c r="T46" s="200">
        <f>IF('Jobs-Ops'!S46&lt;&gt; "",'Jobs-Ops'!S46,"")</f>
        <v/>
      </c>
      <c r="U46" s="10" t="n"/>
      <c r="V46" s="23">
        <f>IF(LEFT(B46,4)&lt;&gt;"    ","",IF(N46&lt;&gt;0,X46/N46,0))</f>
        <v/>
      </c>
      <c r="W46" s="11">
        <f>IF(LEFT(B46,4)&lt;&gt;"    ","",IF(V46&gt;=0.1,V46*J46,X46))</f>
        <v/>
      </c>
      <c r="X46" s="8" t="n"/>
      <c r="Y46" s="9">
        <f>IF(LEFT(B46,4)&lt;&gt;"    ",0,IF(Q46&lt;0,Q46,IF(V46&gt;0.1,W46-X46,0)))</f>
        <v/>
      </c>
      <c r="Z46" s="9">
        <f>IF(LEFT(B46,4)&lt;&gt;"    ",0,IF(V46&gt;0.1,BI46,0))</f>
        <v/>
      </c>
      <c r="AA46" s="9">
        <f>Y46-Z46</f>
        <v/>
      </c>
      <c r="AB46" s="10" t="n"/>
      <c r="AC46" s="24" t="n"/>
      <c r="AD46" s="11" t="n"/>
      <c r="AE46" s="8" t="n"/>
      <c r="AF46" s="9">
        <f>IF(LEFT(B46,4)&lt;&gt;"    ","",AD46-AE46)</f>
        <v/>
      </c>
      <c r="AG46" s="10" t="n"/>
      <c r="AH46" s="11">
        <f>IF(LEFT(B46,4)&lt;&gt;"    ","",W46-AD46)</f>
        <v/>
      </c>
      <c r="AI46" s="8">
        <f>IF(LEFT(B46,4)&lt;&gt;"    ","",X46-AE46)</f>
        <v/>
      </c>
      <c r="AJ46" s="9">
        <f>IF(LEFT(B46,4)&lt;&gt;"    ","",Y46-AF46)</f>
        <v/>
      </c>
      <c r="AK46" s="10" t="n"/>
      <c r="AL46" s="25">
        <f>IF(LEFT(B46,4)&lt;&gt;"    ","",J46-W46)</f>
        <v/>
      </c>
      <c r="AM46" s="25">
        <f>N46-X46</f>
        <v/>
      </c>
      <c r="AN46" s="25">
        <f>IF(LEFT(B46,4)&lt;&gt;"    ","",Q46-Y46)</f>
        <v/>
      </c>
      <c r="AO46" s="10" t="n"/>
      <c r="AP46" s="12" t="n"/>
      <c r="AQ46" s="12">
        <f>IF(LEFT(B46,4)&lt;&gt;"    ","",IF(W46-AP46&gt;=0,W46-AP46," "))</f>
        <v/>
      </c>
      <c r="AR46" s="12">
        <f>IF(LEFT(B46,4)&lt;&gt;"    ","",IF(AP46-W46&gt;=0,AP46-W46," "))</f>
        <v/>
      </c>
      <c r="AS46" s="186" t="n"/>
      <c r="AT46" s="187" t="n"/>
      <c r="AU46" s="186" t="n"/>
      <c r="AV46" s="186" t="n"/>
      <c r="AW46" s="188" t="n"/>
      <c r="AX46" s="187" t="n"/>
      <c r="AY46" s="187" t="n"/>
      <c r="AZ46" s="186" t="n"/>
      <c r="BA46" s="186" t="n"/>
      <c r="BB46" s="186" t="n"/>
      <c r="BC46" s="186" t="n"/>
      <c r="BD46" s="186" t="n"/>
      <c r="BE46" s="186" t="n"/>
      <c r="BF46" s="186" t="n"/>
      <c r="BG46" s="186" t="n"/>
      <c r="BH46" s="186" t="n"/>
      <c r="BI46" s="186" t="n"/>
      <c r="BJ46" s="186" t="n"/>
      <c r="BK46" s="186" t="n"/>
      <c r="BL46" s="186" t="n"/>
      <c r="BM46" s="186" t="n"/>
      <c r="BN46" s="186" t="n"/>
      <c r="BO46" s="186" t="n"/>
      <c r="BP46" s="186" t="n"/>
      <c r="BQ46" s="186" t="n"/>
      <c r="BR46" s="189" t="n"/>
      <c r="BS46" s="189" t="n"/>
      <c r="BT46" s="186" t="n"/>
      <c r="BU46" s="186" t="n"/>
      <c r="BV46" s="190" t="n"/>
      <c r="BW46" s="186" t="n"/>
      <c r="BX46" s="186" t="n"/>
      <c r="BY46" s="186" t="n"/>
      <c r="BZ46" s="186" t="n"/>
      <c r="CA46" s="186" t="n"/>
      <c r="CB46" s="187" t="n"/>
      <c r="CC46" s="192" t="n"/>
      <c r="CD46" s="192" t="n"/>
      <c r="CE46" s="192" t="n"/>
      <c r="CF46" s="192" t="n"/>
    </row>
    <row r="47">
      <c r="A47" s="197" t="n"/>
      <c r="B47" s="198" t="n"/>
      <c r="C47" s="198" t="n"/>
      <c r="D47" s="179" t="n"/>
      <c r="E47" s="180" t="n"/>
      <c r="F47" s="181" t="n"/>
      <c r="G47" s="284">
        <f>'Jobs-Ops'!G47</f>
        <v/>
      </c>
      <c r="H47" s="114">
        <f>'Jobs-Ops'!H47</f>
        <v/>
      </c>
      <c r="I47" s="105" t="n"/>
      <c r="J47" s="183">
        <f>F47</f>
        <v/>
      </c>
      <c r="K47" s="184" t="n"/>
      <c r="L47" s="185" t="n"/>
      <c r="M47" s="8" t="n"/>
      <c r="N47" s="184">
        <f>M47</f>
        <v/>
      </c>
      <c r="O47" s="71" t="n"/>
      <c r="P47" s="101" t="n"/>
      <c r="Q47" s="9">
        <f>J47-N47</f>
        <v/>
      </c>
      <c r="R47" s="9">
        <f>IF(LEFT(B47,4)&lt;&gt;"    ",0,BI47)</f>
        <v/>
      </c>
      <c r="S47" s="9">
        <f>+Q47-R47</f>
        <v/>
      </c>
      <c r="T47" s="200">
        <f>IF('Jobs-Ops'!S47&lt;&gt; "",'Jobs-Ops'!S47,"")</f>
        <v/>
      </c>
      <c r="U47" s="10" t="n"/>
      <c r="V47" s="23">
        <f>IF(LEFT(B47,4)&lt;&gt;"    ","",IF(N47&lt;&gt;0,X47/N47,0))</f>
        <v/>
      </c>
      <c r="W47" s="11">
        <f>IF(LEFT(B47,4)&lt;&gt;"    ","",IF(V47&gt;=0.1,V47*J47,X47))</f>
        <v/>
      </c>
      <c r="X47" s="8" t="n"/>
      <c r="Y47" s="9">
        <f>IF(LEFT(B47,4)&lt;&gt;"    ",0,IF(Q47&lt;0,Q47,IF(V47&gt;0.1,W47-X47,0)))</f>
        <v/>
      </c>
      <c r="Z47" s="9">
        <f>IF(LEFT(B47,4)&lt;&gt;"    ",0,IF(V47&gt;0.1,BI47,0))</f>
        <v/>
      </c>
      <c r="AA47" s="9">
        <f>Y47-Z47</f>
        <v/>
      </c>
      <c r="AB47" s="10" t="n"/>
      <c r="AC47" s="24" t="n"/>
      <c r="AD47" s="11" t="n"/>
      <c r="AE47" s="8" t="n"/>
      <c r="AF47" s="9">
        <f>IF(LEFT(B47,4)&lt;&gt;"    ","",AD47-AE47)</f>
        <v/>
      </c>
      <c r="AG47" s="10" t="n"/>
      <c r="AH47" s="11">
        <f>IF(LEFT(B47,4)&lt;&gt;"    ","",W47-AD47)</f>
        <v/>
      </c>
      <c r="AI47" s="8">
        <f>IF(LEFT(B47,4)&lt;&gt;"    ","",X47-AE47)</f>
        <v/>
      </c>
      <c r="AJ47" s="9">
        <f>IF(LEFT(B47,4)&lt;&gt;"    ","",Y47-AF47)</f>
        <v/>
      </c>
      <c r="AK47" s="10" t="n"/>
      <c r="AL47" s="25">
        <f>IF(LEFT(B47,4)&lt;&gt;"    ","",J47-W47)</f>
        <v/>
      </c>
      <c r="AM47" s="25">
        <f>N47-X47</f>
        <v/>
      </c>
      <c r="AN47" s="25">
        <f>IF(LEFT(B47,4)&lt;&gt;"    ","",Q47-Y47)</f>
        <v/>
      </c>
      <c r="AO47" s="10" t="n"/>
      <c r="AP47" s="12" t="n"/>
      <c r="AQ47" s="12">
        <f>IF(LEFT(B47,4)&lt;&gt;"    ","",IF(W47-AP47&gt;=0,W47-AP47," "))</f>
        <v/>
      </c>
      <c r="AR47" s="12">
        <f>IF(LEFT(B47,4)&lt;&gt;"    ","",IF(AP47-W47&gt;=0,AP47-W47," "))</f>
        <v/>
      </c>
      <c r="AS47" s="186" t="n"/>
      <c r="AT47" s="187" t="n"/>
      <c r="AU47" s="186" t="n"/>
      <c r="AV47" s="186" t="n"/>
      <c r="AW47" s="188" t="n"/>
      <c r="AX47" s="187" t="n"/>
      <c r="AY47" s="187" t="n"/>
      <c r="AZ47" s="186" t="n"/>
      <c r="BA47" s="186" t="n"/>
      <c r="BB47" s="186" t="n"/>
      <c r="BC47" s="186" t="n"/>
      <c r="BD47" s="186" t="n"/>
      <c r="BE47" s="186" t="n"/>
      <c r="BF47" s="186" t="n"/>
      <c r="BG47" s="186" t="n"/>
      <c r="BH47" s="186" t="n"/>
      <c r="BI47" s="186" t="n"/>
      <c r="BJ47" s="186" t="n"/>
      <c r="BK47" s="186" t="n"/>
      <c r="BL47" s="186" t="n"/>
      <c r="BM47" s="186" t="n"/>
      <c r="BN47" s="186" t="n"/>
      <c r="BO47" s="186" t="n"/>
      <c r="BP47" s="186" t="n"/>
      <c r="BQ47" s="186" t="n"/>
      <c r="BR47" s="189" t="n"/>
      <c r="BS47" s="189" t="n"/>
      <c r="BT47" s="186" t="n"/>
      <c r="BU47" s="186" t="n"/>
      <c r="BV47" s="190" t="n"/>
      <c r="BW47" s="186" t="n"/>
      <c r="BX47" s="186" t="n"/>
      <c r="BY47" s="186" t="n"/>
      <c r="BZ47" s="186" t="n"/>
      <c r="CA47" s="186" t="n"/>
      <c r="CB47" s="187" t="n"/>
      <c r="CC47" s="192" t="n"/>
      <c r="CD47" s="192" t="n"/>
      <c r="CE47" s="192" t="n"/>
      <c r="CF47" s="192" t="n"/>
    </row>
    <row r="48">
      <c r="A48" s="197" t="n"/>
      <c r="B48" s="198" t="n"/>
      <c r="C48" s="198" t="n"/>
      <c r="D48" s="179" t="n"/>
      <c r="E48" s="180" t="n"/>
      <c r="F48" s="181" t="n"/>
      <c r="G48" s="284">
        <f>'Jobs-Ops'!G48</f>
        <v/>
      </c>
      <c r="H48" s="114">
        <f>'Jobs-Ops'!H48</f>
        <v/>
      </c>
      <c r="I48" s="105" t="n"/>
      <c r="J48" s="183">
        <f>F48</f>
        <v/>
      </c>
      <c r="K48" s="184" t="n"/>
      <c r="L48" s="185" t="n"/>
      <c r="M48" s="8" t="n"/>
      <c r="N48" s="184">
        <f>M48</f>
        <v/>
      </c>
      <c r="O48" s="184" t="n"/>
      <c r="P48" s="185" t="n"/>
      <c r="Q48" s="9">
        <f>J48-N48</f>
        <v/>
      </c>
      <c r="R48" s="9">
        <f>IF(LEFT(B48,4)&lt;&gt;"    ",0,BI48)</f>
        <v/>
      </c>
      <c r="S48" s="9">
        <f>+Q48-R48</f>
        <v/>
      </c>
      <c r="T48" s="200">
        <f>IF('Jobs-Ops'!S48&lt;&gt; "",'Jobs-Ops'!S48,"")</f>
        <v/>
      </c>
      <c r="U48" s="10" t="n"/>
      <c r="V48" s="23">
        <f>IF(LEFT(B48,4)&lt;&gt;"    ","",IF(N48&lt;&gt;0,X48/N48,0))</f>
        <v/>
      </c>
      <c r="W48" s="11">
        <f>IF(LEFT(B48,4)&lt;&gt;"    ","",IF(V48&gt;=0.1,V48*J48,X48))</f>
        <v/>
      </c>
      <c r="X48" s="8" t="n"/>
      <c r="Y48" s="9">
        <f>IF(LEFT(B48,4)&lt;&gt;"    ",0,IF(Q48&lt;0,Q48,IF(V48&gt;0.1,W48-X48,0)))</f>
        <v/>
      </c>
      <c r="Z48" s="9">
        <f>IF(LEFT(B48,4)&lt;&gt;"    ",0,IF(V48&gt;0.1,BI48,0))</f>
        <v/>
      </c>
      <c r="AA48" s="9">
        <f>Y48-Z48</f>
        <v/>
      </c>
      <c r="AB48" s="10" t="n"/>
      <c r="AC48" s="24" t="n"/>
      <c r="AD48" s="11" t="n"/>
      <c r="AE48" s="8" t="n"/>
      <c r="AF48" s="9">
        <f>IF(LEFT(B48,4)&lt;&gt;"    ","",AD48-AE48)</f>
        <v/>
      </c>
      <c r="AG48" s="10" t="n"/>
      <c r="AH48" s="11">
        <f>IF(LEFT(B48,4)&lt;&gt;"    ","",W48-AD48)</f>
        <v/>
      </c>
      <c r="AI48" s="8">
        <f>IF(LEFT(B48,4)&lt;&gt;"    ","",X48-AE48)</f>
        <v/>
      </c>
      <c r="AJ48" s="9">
        <f>IF(LEFT(B48,4)&lt;&gt;"    ","",Y48-AF48)</f>
        <v/>
      </c>
      <c r="AK48" s="10" t="n"/>
      <c r="AL48" s="25">
        <f>IF(LEFT(B48,4)&lt;&gt;"    ","",J48-W48)</f>
        <v/>
      </c>
      <c r="AM48" s="25">
        <f>N48-X48</f>
        <v/>
      </c>
      <c r="AN48" s="25">
        <f>IF(LEFT(B48,4)&lt;&gt;"    ","",Q48-Y48)</f>
        <v/>
      </c>
      <c r="AO48" s="10" t="n"/>
      <c r="AP48" s="12" t="n"/>
      <c r="AQ48" s="12">
        <f>IF(LEFT(B48,4)&lt;&gt;"    ","",IF(W48-AP48&gt;=0,W48-AP48," "))</f>
        <v/>
      </c>
      <c r="AR48" s="12">
        <f>IF(LEFT(B48,4)&lt;&gt;"    ","",IF(AP48-W48&gt;=0,AP48-W48," "))</f>
        <v/>
      </c>
      <c r="AS48" s="186" t="n"/>
      <c r="AT48" s="187" t="n"/>
      <c r="AU48" s="186" t="n"/>
      <c r="AV48" s="186" t="n"/>
      <c r="AW48" s="188" t="n"/>
      <c r="AX48" s="187" t="n"/>
      <c r="AY48" s="187" t="n"/>
      <c r="AZ48" s="186" t="n"/>
      <c r="BA48" s="186" t="n"/>
      <c r="BB48" s="186" t="n"/>
      <c r="BC48" s="186" t="n"/>
      <c r="BD48" s="186" t="n"/>
      <c r="BE48" s="186" t="n"/>
      <c r="BF48" s="186" t="n"/>
      <c r="BG48" s="186" t="n"/>
      <c r="BH48" s="186" t="n"/>
      <c r="BI48" s="186" t="n"/>
      <c r="BJ48" s="186" t="n"/>
      <c r="BK48" s="186" t="n"/>
      <c r="BL48" s="186" t="n"/>
      <c r="BM48" s="186" t="n"/>
      <c r="BN48" s="186" t="n"/>
      <c r="BO48" s="186" t="n"/>
      <c r="BP48" s="186" t="n"/>
      <c r="BQ48" s="186" t="n"/>
      <c r="BR48" s="189" t="n"/>
      <c r="BS48" s="189" t="n"/>
      <c r="BT48" s="186" t="n"/>
      <c r="BU48" s="186" t="n"/>
      <c r="BV48" s="190" t="n"/>
      <c r="BW48" s="186" t="n"/>
      <c r="BX48" s="186" t="n"/>
      <c r="BY48" s="186" t="n"/>
      <c r="BZ48" s="186" t="n"/>
      <c r="CA48" s="186" t="n"/>
      <c r="CB48" s="187" t="n"/>
      <c r="CC48" s="192" t="n"/>
      <c r="CD48" s="192" t="n"/>
      <c r="CE48" s="192" t="n"/>
      <c r="CF48" s="192" t="n"/>
    </row>
    <row r="49">
      <c r="A49" s="197" t="n"/>
      <c r="B49" s="198" t="n"/>
      <c r="C49" s="198" t="n"/>
      <c r="D49" s="179" t="n"/>
      <c r="E49" s="180" t="n"/>
      <c r="F49" s="181" t="n"/>
      <c r="G49" s="284">
        <f>'Jobs-Ops'!G49</f>
        <v/>
      </c>
      <c r="H49" s="114">
        <f>'Jobs-Ops'!H49</f>
        <v/>
      </c>
      <c r="I49" s="105" t="n"/>
      <c r="J49" s="183">
        <f>F49</f>
        <v/>
      </c>
      <c r="K49" s="184" t="n"/>
      <c r="L49" s="185" t="n"/>
      <c r="M49" s="8" t="n"/>
      <c r="N49" s="184">
        <f>M49</f>
        <v/>
      </c>
      <c r="O49" s="71" t="n"/>
      <c r="P49" s="101" t="n"/>
      <c r="Q49" s="9">
        <f>J49-N49</f>
        <v/>
      </c>
      <c r="R49" s="9">
        <f>IF(LEFT(B49,4)&lt;&gt;"    ",0,BI49)</f>
        <v/>
      </c>
      <c r="S49" s="9">
        <f>+Q49-R49</f>
        <v/>
      </c>
      <c r="T49" s="200">
        <f>IF('Jobs-Ops'!S49&lt;&gt; "",'Jobs-Ops'!S49,"")</f>
        <v/>
      </c>
      <c r="U49" s="10" t="n"/>
      <c r="V49" s="23">
        <f>IF(LEFT(B49,4)&lt;&gt;"    ","",IF(N49&lt;&gt;0,X49/N49,0))</f>
        <v/>
      </c>
      <c r="W49" s="11">
        <f>IF(LEFT(B49,4)&lt;&gt;"    ","",IF(V49&gt;=0.1,V49*J49,X49))</f>
        <v/>
      </c>
      <c r="X49" s="8" t="n"/>
      <c r="Y49" s="9">
        <f>IF(LEFT(B49,4)&lt;&gt;"    ",0,IF(Q49&lt;0,Q49,IF(V49&gt;0.1,W49-X49,0)))</f>
        <v/>
      </c>
      <c r="Z49" s="9">
        <f>IF(LEFT(B49,4)&lt;&gt;"    ",0,IF(V49&gt;0.1,BI49,0))</f>
        <v/>
      </c>
      <c r="AA49" s="9">
        <f>Y49-Z49</f>
        <v/>
      </c>
      <c r="AB49" s="10" t="n"/>
      <c r="AC49" s="24" t="n"/>
      <c r="AD49" s="11" t="n"/>
      <c r="AE49" s="8" t="n"/>
      <c r="AF49" s="9">
        <f>IF(LEFT(B49,4)&lt;&gt;"    ","",AD49-AE49)</f>
        <v/>
      </c>
      <c r="AG49" s="10" t="n"/>
      <c r="AH49" s="11">
        <f>IF(LEFT(B49,4)&lt;&gt;"    ","",W49-AD49)</f>
        <v/>
      </c>
      <c r="AI49" s="8">
        <f>IF(LEFT(B49,4)&lt;&gt;"    ","",X49-AE49)</f>
        <v/>
      </c>
      <c r="AJ49" s="9">
        <f>IF(LEFT(B49,4)&lt;&gt;"    ","",Y49-AF49)</f>
        <v/>
      </c>
      <c r="AK49" s="10" t="n"/>
      <c r="AL49" s="25">
        <f>IF(LEFT(B49,4)&lt;&gt;"    ","",J49-W49)</f>
        <v/>
      </c>
      <c r="AM49" s="25">
        <f>N49-X49</f>
        <v/>
      </c>
      <c r="AN49" s="25">
        <f>IF(LEFT(B49,4)&lt;&gt;"    ","",Q49-Y49)</f>
        <v/>
      </c>
      <c r="AO49" s="10" t="n"/>
      <c r="AP49" s="12" t="n"/>
      <c r="AQ49" s="12">
        <f>IF(LEFT(B49,4)&lt;&gt;"    ","",IF(W49-AP49&gt;=0,W49-AP49," "))</f>
        <v/>
      </c>
      <c r="AR49" s="12">
        <f>IF(LEFT(B49,4)&lt;&gt;"    ","",IF(AP49-W49&gt;=0,AP49-W49," "))</f>
        <v/>
      </c>
      <c r="AS49" s="186" t="n"/>
      <c r="AT49" s="187" t="n"/>
      <c r="AU49" s="186" t="n"/>
      <c r="AV49" s="186" t="n"/>
      <c r="AW49" s="188" t="n"/>
      <c r="AX49" s="187" t="n"/>
      <c r="AY49" s="187" t="n"/>
      <c r="AZ49" s="186" t="n"/>
      <c r="BA49" s="186" t="n"/>
      <c r="BB49" s="186" t="n"/>
      <c r="BC49" s="186" t="n"/>
      <c r="BD49" s="186" t="n"/>
      <c r="BE49" s="186" t="n"/>
      <c r="BF49" s="186" t="n"/>
      <c r="BG49" s="186" t="n"/>
      <c r="BH49" s="186" t="n"/>
      <c r="BI49" s="186" t="n"/>
      <c r="BJ49" s="186" t="n"/>
      <c r="BK49" s="186" t="n"/>
      <c r="BL49" s="186" t="n"/>
      <c r="BM49" s="186" t="n"/>
      <c r="BN49" s="186" t="n"/>
      <c r="BO49" s="186" t="n"/>
      <c r="BP49" s="186" t="n"/>
      <c r="BQ49" s="186" t="n"/>
      <c r="BR49" s="189" t="n"/>
      <c r="BS49" s="189" t="n"/>
      <c r="BT49" s="186" t="n"/>
      <c r="BU49" s="186" t="n"/>
      <c r="BV49" s="190" t="n"/>
      <c r="BW49" s="186" t="n"/>
      <c r="BX49" s="186" t="n"/>
      <c r="BY49" s="186" t="n"/>
      <c r="BZ49" s="186" t="n"/>
      <c r="CA49" s="186" t="n"/>
      <c r="CB49" s="187" t="n"/>
      <c r="CC49" s="192" t="n"/>
      <c r="CD49" s="192" t="n"/>
      <c r="CE49" s="192" t="n"/>
      <c r="CF49" s="192" t="n"/>
    </row>
    <row r="50">
      <c r="A50" s="197" t="n"/>
      <c r="B50" s="198" t="n"/>
      <c r="C50" s="198" t="n"/>
      <c r="D50" s="179" t="n"/>
      <c r="E50" s="180" t="n"/>
      <c r="F50" s="181" t="n"/>
      <c r="G50" s="284">
        <f>'Jobs-Ops'!G50</f>
        <v/>
      </c>
      <c r="H50" s="114">
        <f>'Jobs-Ops'!H50</f>
        <v/>
      </c>
      <c r="I50" s="105" t="n"/>
      <c r="J50" s="183">
        <f>F50</f>
        <v/>
      </c>
      <c r="K50" s="184" t="n"/>
      <c r="L50" s="185" t="n"/>
      <c r="M50" s="8" t="n"/>
      <c r="N50" s="184">
        <f>M50</f>
        <v/>
      </c>
      <c r="O50" s="71" t="n"/>
      <c r="P50" s="101" t="n"/>
      <c r="Q50" s="9">
        <f>J50-N50</f>
        <v/>
      </c>
      <c r="R50" s="9">
        <f>IF(LEFT(B50,4)&lt;&gt;"    ",0,BI50)</f>
        <v/>
      </c>
      <c r="S50" s="9">
        <f>+Q50-R50</f>
        <v/>
      </c>
      <c r="T50" s="200">
        <f>IF('Jobs-Ops'!S50&lt;&gt; "",'Jobs-Ops'!S50,"")</f>
        <v/>
      </c>
      <c r="U50" s="10" t="n"/>
      <c r="V50" s="23">
        <f>IF(LEFT(B50,4)&lt;&gt;"    ","",IF(N50&lt;&gt;0,X50/N50,0))</f>
        <v/>
      </c>
      <c r="W50" s="11">
        <f>IF(LEFT(B50,4)&lt;&gt;"    ","",IF(V50&gt;=0.1,V50*J50,X50))</f>
        <v/>
      </c>
      <c r="X50" s="8" t="n"/>
      <c r="Y50" s="9">
        <f>IF(LEFT(B50,4)&lt;&gt;"    ",0,IF(Q50&lt;0,Q50,IF(V50&gt;0.1,W50-X50,0)))</f>
        <v/>
      </c>
      <c r="Z50" s="9">
        <f>IF(LEFT(B50,4)&lt;&gt;"    ",0,IF(V50&gt;0.1,BI50,0))</f>
        <v/>
      </c>
      <c r="AA50" s="9">
        <f>Y50-Z50</f>
        <v/>
      </c>
      <c r="AB50" s="10" t="n"/>
      <c r="AC50" s="24" t="n"/>
      <c r="AD50" s="11" t="n"/>
      <c r="AE50" s="8" t="n"/>
      <c r="AF50" s="9">
        <f>IF(LEFT(B50,4)&lt;&gt;"    ","",AD50-AE50)</f>
        <v/>
      </c>
      <c r="AG50" s="10" t="n"/>
      <c r="AH50" s="11">
        <f>IF(LEFT(B50,4)&lt;&gt;"    ","",W50-AD50)</f>
        <v/>
      </c>
      <c r="AI50" s="8">
        <f>IF(LEFT(B50,4)&lt;&gt;"    ","",X50-AE50)</f>
        <v/>
      </c>
      <c r="AJ50" s="9">
        <f>IF(LEFT(B50,4)&lt;&gt;"    ","",Y50-AF50)</f>
        <v/>
      </c>
      <c r="AK50" s="10" t="n"/>
      <c r="AL50" s="25">
        <f>IF(LEFT(B50,4)&lt;&gt;"    ","",J50-W50)</f>
        <v/>
      </c>
      <c r="AM50" s="25">
        <f>N50-X50</f>
        <v/>
      </c>
      <c r="AN50" s="25">
        <f>IF(LEFT(B50,4)&lt;&gt;"    ","",Q50-Y50)</f>
        <v/>
      </c>
      <c r="AO50" s="10" t="n"/>
      <c r="AP50" s="12" t="n"/>
      <c r="AQ50" s="12">
        <f>IF(LEFT(B50,4)&lt;&gt;"    ","",IF(W50-AP50&gt;=0,W50-AP50," "))</f>
        <v/>
      </c>
      <c r="AR50" s="12">
        <f>IF(LEFT(B50,4)&lt;&gt;"    ","",IF(AP50-W50&gt;=0,AP50-W50," "))</f>
        <v/>
      </c>
      <c r="AS50" s="186" t="n"/>
      <c r="AT50" s="187" t="n"/>
      <c r="AU50" s="186" t="n"/>
      <c r="AV50" s="186" t="n"/>
      <c r="AW50" s="188" t="n"/>
      <c r="AX50" s="187" t="n"/>
      <c r="AY50" s="187" t="n"/>
      <c r="AZ50" s="186" t="n"/>
      <c r="BA50" s="186" t="n"/>
      <c r="BB50" s="186" t="n"/>
      <c r="BC50" s="186" t="n"/>
      <c r="BD50" s="186" t="n"/>
      <c r="BE50" s="186" t="n"/>
      <c r="BF50" s="186" t="n"/>
      <c r="BG50" s="186" t="n"/>
      <c r="BH50" s="186" t="n"/>
      <c r="BI50" s="186" t="n"/>
      <c r="BJ50" s="186" t="n"/>
      <c r="BK50" s="186" t="n"/>
      <c r="BL50" s="186" t="n"/>
      <c r="BM50" s="186" t="n"/>
      <c r="BN50" s="186" t="n"/>
      <c r="BO50" s="186" t="n"/>
      <c r="BP50" s="186" t="n"/>
      <c r="BQ50" s="186" t="n"/>
      <c r="BR50" s="189" t="n"/>
      <c r="BS50" s="189" t="n"/>
      <c r="BT50" s="186" t="n"/>
      <c r="BU50" s="186" t="n"/>
      <c r="BV50" s="190" t="n"/>
      <c r="BW50" s="186" t="n"/>
      <c r="BX50" s="186" t="n"/>
      <c r="BY50" s="186" t="n"/>
      <c r="BZ50" s="186" t="n"/>
      <c r="CA50" s="186" t="n"/>
      <c r="CB50" s="187" t="n"/>
      <c r="CC50" s="192" t="n"/>
      <c r="CD50" s="192" t="n"/>
      <c r="CE50" s="192" t="n"/>
      <c r="CF50" s="192" t="n"/>
    </row>
    <row r="51">
      <c r="A51" s="197" t="n"/>
      <c r="B51" s="198" t="n"/>
      <c r="C51" s="198" t="n"/>
      <c r="D51" s="179" t="n"/>
      <c r="E51" s="180" t="n"/>
      <c r="F51" s="181" t="n"/>
      <c r="G51" s="284">
        <f>'Jobs-Ops'!G51</f>
        <v/>
      </c>
      <c r="H51" s="114">
        <f>'Jobs-Ops'!H51</f>
        <v/>
      </c>
      <c r="I51" s="105" t="n"/>
      <c r="J51" s="183">
        <f>F51</f>
        <v/>
      </c>
      <c r="K51" s="184" t="n"/>
      <c r="L51" s="185" t="n"/>
      <c r="M51" s="8" t="n"/>
      <c r="N51" s="184">
        <f>M51</f>
        <v/>
      </c>
      <c r="O51" s="71" t="n"/>
      <c r="P51" s="101" t="n"/>
      <c r="Q51" s="9">
        <f>J51-N51</f>
        <v/>
      </c>
      <c r="R51" s="9">
        <f>IF(LEFT(B51,4)&lt;&gt;"    ",0,BI51)</f>
        <v/>
      </c>
      <c r="S51" s="9">
        <f>+Q51-R51</f>
        <v/>
      </c>
      <c r="T51" s="200">
        <f>IF('Jobs-Ops'!S51&lt;&gt; "",'Jobs-Ops'!S51,"")</f>
        <v/>
      </c>
      <c r="U51" s="10" t="n"/>
      <c r="V51" s="23">
        <f>IF(LEFT(B51,4)&lt;&gt;"    ","",IF(N51&lt;&gt;0,X51/N51,0))</f>
        <v/>
      </c>
      <c r="W51" s="11">
        <f>IF(LEFT(B51,4)&lt;&gt;"    ","",IF(V51&gt;=0.1,V51*J51,X51))</f>
        <v/>
      </c>
      <c r="X51" s="8" t="n"/>
      <c r="Y51" s="9">
        <f>IF(LEFT(B51,4)&lt;&gt;"    ",0,IF(Q51&lt;0,Q51,IF(V51&gt;0.1,W51-X51,0)))</f>
        <v/>
      </c>
      <c r="Z51" s="9">
        <f>IF(LEFT(B51,4)&lt;&gt;"    ",0,IF(V51&gt;0.1,BI51,0))</f>
        <v/>
      </c>
      <c r="AA51" s="9">
        <f>Y51-Z51</f>
        <v/>
      </c>
      <c r="AB51" s="10" t="n"/>
      <c r="AC51" s="24" t="n"/>
      <c r="AD51" s="11" t="n"/>
      <c r="AE51" s="8" t="n"/>
      <c r="AF51" s="9">
        <f>IF(LEFT(B51,4)&lt;&gt;"    ","",AD51-AE51)</f>
        <v/>
      </c>
      <c r="AG51" s="10" t="n"/>
      <c r="AH51" s="11">
        <f>IF(LEFT(B51,4)&lt;&gt;"    ","",W51-AD51)</f>
        <v/>
      </c>
      <c r="AI51" s="8">
        <f>IF(LEFT(B51,4)&lt;&gt;"    ","",X51-AE51)</f>
        <v/>
      </c>
      <c r="AJ51" s="9">
        <f>IF(LEFT(B51,4)&lt;&gt;"    ","",Y51-AF51)</f>
        <v/>
      </c>
      <c r="AK51" s="10" t="n"/>
      <c r="AL51" s="25">
        <f>IF(LEFT(B51,4)&lt;&gt;"    ","",J51-W51)</f>
        <v/>
      </c>
      <c r="AM51" s="25">
        <f>N51-X51</f>
        <v/>
      </c>
      <c r="AN51" s="25">
        <f>IF(LEFT(B51,4)&lt;&gt;"    ","",Q51-Y51)</f>
        <v/>
      </c>
      <c r="AO51" s="10" t="n"/>
      <c r="AP51" s="12" t="n"/>
      <c r="AQ51" s="12">
        <f>IF(LEFT(B51,4)&lt;&gt;"    ","",IF(W51-AP51&gt;=0,W51-AP51," "))</f>
        <v/>
      </c>
      <c r="AR51" s="12">
        <f>IF(LEFT(B51,4)&lt;&gt;"    ","",IF(AP51-W51&gt;=0,AP51-W51," "))</f>
        <v/>
      </c>
      <c r="AS51" s="186" t="n"/>
      <c r="AT51" s="187" t="n"/>
      <c r="AU51" s="186" t="n"/>
      <c r="AV51" s="186" t="n"/>
      <c r="AW51" s="188" t="n"/>
      <c r="AX51" s="187" t="n"/>
      <c r="AY51" s="187" t="n"/>
      <c r="AZ51" s="186" t="n"/>
      <c r="BA51" s="186" t="n"/>
      <c r="BB51" s="186" t="n"/>
      <c r="BC51" s="186" t="n"/>
      <c r="BD51" s="186" t="n"/>
      <c r="BE51" s="186" t="n"/>
      <c r="BF51" s="186" t="n"/>
      <c r="BG51" s="186" t="n"/>
      <c r="BH51" s="186" t="n"/>
      <c r="BI51" s="186" t="n"/>
      <c r="BJ51" s="186" t="n"/>
      <c r="BK51" s="186" t="n"/>
      <c r="BL51" s="186" t="n"/>
      <c r="BM51" s="186" t="n"/>
      <c r="BN51" s="186" t="n"/>
      <c r="BO51" s="186" t="n"/>
      <c r="BP51" s="186" t="n"/>
      <c r="BQ51" s="186" t="n"/>
      <c r="BR51" s="189" t="n"/>
      <c r="BS51" s="189" t="n"/>
      <c r="BT51" s="186" t="n"/>
      <c r="BU51" s="186" t="n"/>
      <c r="BV51" s="190" t="n"/>
      <c r="BW51" s="186" t="n"/>
      <c r="BX51" s="186" t="n"/>
      <c r="BY51" s="186" t="n"/>
      <c r="BZ51" s="186" t="n"/>
      <c r="CA51" s="186" t="n"/>
      <c r="CB51" s="187" t="n"/>
      <c r="CC51" s="192" t="n"/>
      <c r="CD51" s="192" t="n"/>
      <c r="CE51" s="192" t="n"/>
      <c r="CF51" s="192" t="n"/>
    </row>
    <row r="52">
      <c r="A52" s="197" t="n"/>
      <c r="B52" s="198" t="n"/>
      <c r="C52" s="198" t="n"/>
      <c r="D52" s="179" t="n"/>
      <c r="E52" s="180" t="n"/>
      <c r="F52" s="181" t="n"/>
      <c r="G52" s="284">
        <f>'Jobs-Ops'!G52</f>
        <v/>
      </c>
      <c r="H52" s="114">
        <f>'Jobs-Ops'!H52</f>
        <v/>
      </c>
      <c r="I52" s="105" t="n"/>
      <c r="J52" s="183">
        <f>F52</f>
        <v/>
      </c>
      <c r="K52" s="184" t="n"/>
      <c r="L52" s="185" t="n"/>
      <c r="M52" s="8" t="n"/>
      <c r="N52" s="184">
        <f>M52</f>
        <v/>
      </c>
      <c r="O52" s="71" t="n"/>
      <c r="P52" s="101" t="n"/>
      <c r="Q52" s="9">
        <f>J52-N52</f>
        <v/>
      </c>
      <c r="R52" s="9">
        <f>IF(LEFT(B52,4)&lt;&gt;"    ",0,BI52)</f>
        <v/>
      </c>
      <c r="S52" s="9">
        <f>+Q52-R52</f>
        <v/>
      </c>
      <c r="T52" s="200">
        <f>IF('Jobs-Ops'!S52&lt;&gt; "",'Jobs-Ops'!S52,"")</f>
        <v/>
      </c>
      <c r="U52" s="10" t="n"/>
      <c r="V52" s="23">
        <f>IF(LEFT(B52,4)&lt;&gt;"    ","",IF(N52&lt;&gt;0,X52/N52,0))</f>
        <v/>
      </c>
      <c r="W52" s="11">
        <f>IF(LEFT(B52,4)&lt;&gt;"    ","",IF(V52&gt;=0.1,V52*J52,X52))</f>
        <v/>
      </c>
      <c r="X52" s="8" t="n"/>
      <c r="Y52" s="9">
        <f>IF(LEFT(B52,4)&lt;&gt;"    ",0,IF(Q52&lt;0,Q52,IF(V52&gt;0.1,W52-X52,0)))</f>
        <v/>
      </c>
      <c r="Z52" s="9">
        <f>IF(LEFT(B52,4)&lt;&gt;"    ",0,IF(V52&gt;0.1,BI52,0))</f>
        <v/>
      </c>
      <c r="AA52" s="9">
        <f>Y52-Z52</f>
        <v/>
      </c>
      <c r="AB52" s="10" t="n"/>
      <c r="AC52" s="24" t="n"/>
      <c r="AD52" s="11" t="n"/>
      <c r="AE52" s="8" t="n"/>
      <c r="AF52" s="9">
        <f>IF(LEFT(B52,4)&lt;&gt;"    ","",AD52-AE52)</f>
        <v/>
      </c>
      <c r="AG52" s="10" t="n"/>
      <c r="AH52" s="11">
        <f>IF(LEFT(B52,4)&lt;&gt;"    ","",W52-AD52)</f>
        <v/>
      </c>
      <c r="AI52" s="8">
        <f>IF(LEFT(B52,4)&lt;&gt;"    ","",X52-AE52)</f>
        <v/>
      </c>
      <c r="AJ52" s="9">
        <f>IF(LEFT(B52,4)&lt;&gt;"    ","",Y52-AF52)</f>
        <v/>
      </c>
      <c r="AK52" s="10" t="n"/>
      <c r="AL52" s="25">
        <f>IF(LEFT(B52,4)&lt;&gt;"    ","",J52-W52)</f>
        <v/>
      </c>
      <c r="AM52" s="25">
        <f>N52-X52</f>
        <v/>
      </c>
      <c r="AN52" s="25">
        <f>IF(LEFT(B52,4)&lt;&gt;"    ","",Q52-Y52)</f>
        <v/>
      </c>
      <c r="AO52" s="10" t="n"/>
      <c r="AP52" s="12" t="n"/>
      <c r="AQ52" s="12">
        <f>IF(LEFT(B52,4)&lt;&gt;"    ","",IF(W52-AP52&gt;=0,W52-AP52," "))</f>
        <v/>
      </c>
      <c r="AR52" s="12">
        <f>IF(LEFT(B52,4)&lt;&gt;"    ","",IF(AP52-W52&gt;=0,AP52-W52," "))</f>
        <v/>
      </c>
      <c r="AS52" s="186" t="n"/>
      <c r="AT52" s="187" t="n"/>
      <c r="AU52" s="186" t="n"/>
      <c r="AV52" s="186" t="n"/>
      <c r="AW52" s="188" t="n"/>
      <c r="AX52" s="187" t="n"/>
      <c r="AY52" s="187" t="n"/>
      <c r="AZ52" s="186" t="n"/>
      <c r="BA52" s="186" t="n"/>
      <c r="BB52" s="186" t="n"/>
      <c r="BC52" s="186" t="n"/>
      <c r="BD52" s="186" t="n"/>
      <c r="BE52" s="186" t="n"/>
      <c r="BF52" s="186" t="n"/>
      <c r="BG52" s="186" t="n"/>
      <c r="BH52" s="186" t="n"/>
      <c r="BI52" s="186" t="n"/>
      <c r="BJ52" s="186" t="n"/>
      <c r="BK52" s="186" t="n"/>
      <c r="BL52" s="186" t="n"/>
      <c r="BM52" s="186" t="n"/>
      <c r="BN52" s="186" t="n"/>
      <c r="BO52" s="186" t="n"/>
      <c r="BP52" s="186" t="n"/>
      <c r="BQ52" s="186" t="n"/>
      <c r="BR52" s="189" t="n"/>
      <c r="BS52" s="189" t="n"/>
      <c r="BT52" s="186" t="n"/>
      <c r="BU52" s="186" t="n"/>
      <c r="BV52" s="190" t="n"/>
      <c r="BW52" s="186" t="n"/>
      <c r="BX52" s="186" t="n"/>
      <c r="BY52" s="186" t="n"/>
      <c r="BZ52" s="186" t="n"/>
      <c r="CA52" s="186" t="n"/>
      <c r="CB52" s="187" t="n"/>
      <c r="CC52" s="192" t="n"/>
      <c r="CD52" s="192" t="n"/>
      <c r="CE52" s="192" t="n"/>
      <c r="CF52" s="192" t="n"/>
    </row>
    <row r="53">
      <c r="A53" s="197" t="n"/>
      <c r="B53" s="198" t="n"/>
      <c r="C53" s="198" t="n"/>
      <c r="D53" s="179" t="n"/>
      <c r="E53" s="180" t="n"/>
      <c r="F53" s="181" t="n"/>
      <c r="G53" s="284">
        <f>'Jobs-Ops'!G53</f>
        <v/>
      </c>
      <c r="H53" s="114">
        <f>'Jobs-Ops'!H53</f>
        <v/>
      </c>
      <c r="I53" s="105" t="n"/>
      <c r="J53" s="183">
        <f>F53</f>
        <v/>
      </c>
      <c r="K53" s="184" t="n"/>
      <c r="L53" s="185" t="n"/>
      <c r="M53" s="8" t="n"/>
      <c r="N53" s="184">
        <f>M53</f>
        <v/>
      </c>
      <c r="O53" s="71" t="n"/>
      <c r="P53" s="101" t="n"/>
      <c r="Q53" s="9">
        <f>J53-N53</f>
        <v/>
      </c>
      <c r="R53" s="9">
        <f>IF(LEFT(B53,4)&lt;&gt;"    ",0,BI53)</f>
        <v/>
      </c>
      <c r="S53" s="9">
        <f>+Q53-R53</f>
        <v/>
      </c>
      <c r="T53" s="200">
        <f>IF('Jobs-Ops'!S53&lt;&gt; "",'Jobs-Ops'!S53,"")</f>
        <v/>
      </c>
      <c r="U53" s="10" t="n"/>
      <c r="V53" s="23">
        <f>IF(LEFT(B53,4)&lt;&gt;"    ","",IF(N53&lt;&gt;0,X53/N53,0))</f>
        <v/>
      </c>
      <c r="W53" s="11">
        <f>IF(LEFT(B53,4)&lt;&gt;"    ","",IF(V53&gt;=0.1,V53*J53,X53))</f>
        <v/>
      </c>
      <c r="X53" s="8" t="n"/>
      <c r="Y53" s="9">
        <f>IF(LEFT(B53,4)&lt;&gt;"    ",0,IF(Q53&lt;0,Q53,IF(V53&gt;0.1,W53-X53,0)))</f>
        <v/>
      </c>
      <c r="Z53" s="9">
        <f>IF(LEFT(B53,4)&lt;&gt;"    ",0,IF(V53&gt;0.1,BI53,0))</f>
        <v/>
      </c>
      <c r="AA53" s="9">
        <f>Y53-Z53</f>
        <v/>
      </c>
      <c r="AB53" s="10" t="n"/>
      <c r="AC53" s="24" t="n"/>
      <c r="AD53" s="11" t="n"/>
      <c r="AE53" s="8" t="n"/>
      <c r="AF53" s="9">
        <f>IF(LEFT(B53,4)&lt;&gt;"    ","",AD53-AE53)</f>
        <v/>
      </c>
      <c r="AG53" s="10" t="n"/>
      <c r="AH53" s="11">
        <f>IF(LEFT(B53,4)&lt;&gt;"    ","",W53-AD53)</f>
        <v/>
      </c>
      <c r="AI53" s="8">
        <f>IF(LEFT(B53,4)&lt;&gt;"    ","",X53-AE53)</f>
        <v/>
      </c>
      <c r="AJ53" s="9">
        <f>IF(LEFT(B53,4)&lt;&gt;"    ","",Y53-AF53)</f>
        <v/>
      </c>
      <c r="AK53" s="10" t="n"/>
      <c r="AL53" s="25">
        <f>IF(LEFT(B53,4)&lt;&gt;"    ","",J53-W53)</f>
        <v/>
      </c>
      <c r="AM53" s="25">
        <f>N53-X53</f>
        <v/>
      </c>
      <c r="AN53" s="25">
        <f>IF(LEFT(B53,4)&lt;&gt;"    ","",Q53-Y53)</f>
        <v/>
      </c>
      <c r="AO53" s="10" t="n"/>
      <c r="AP53" s="12" t="n"/>
      <c r="AQ53" s="12">
        <f>IF(LEFT(B53,4)&lt;&gt;"    ","",IF(W53-AP53&gt;=0,W53-AP53," "))</f>
        <v/>
      </c>
      <c r="AR53" s="12">
        <f>IF(LEFT(B53,4)&lt;&gt;"    ","",IF(AP53-W53&gt;=0,AP53-W53," "))</f>
        <v/>
      </c>
      <c r="AS53" s="186" t="n"/>
      <c r="AT53" s="187" t="n"/>
      <c r="AU53" s="186" t="n"/>
      <c r="AV53" s="186" t="n"/>
      <c r="AW53" s="188" t="n"/>
      <c r="AX53" s="187" t="n"/>
      <c r="AY53" s="187" t="n"/>
      <c r="AZ53" s="186" t="n"/>
      <c r="BA53" s="186" t="n"/>
      <c r="BB53" s="186" t="n"/>
      <c r="BC53" s="186" t="n"/>
      <c r="BD53" s="186" t="n"/>
      <c r="BE53" s="186" t="n"/>
      <c r="BF53" s="186" t="n"/>
      <c r="BG53" s="186" t="n"/>
      <c r="BH53" s="186" t="n"/>
      <c r="BI53" s="186" t="n"/>
      <c r="BJ53" s="186" t="n"/>
      <c r="BK53" s="186" t="n"/>
      <c r="BL53" s="186" t="n"/>
      <c r="BM53" s="186" t="n"/>
      <c r="BN53" s="186" t="n"/>
      <c r="BO53" s="186" t="n"/>
      <c r="BP53" s="186" t="n"/>
      <c r="BQ53" s="186" t="n"/>
      <c r="BR53" s="189" t="n"/>
      <c r="BS53" s="189" t="n"/>
      <c r="BT53" s="186" t="n"/>
      <c r="BU53" s="186" t="n"/>
      <c r="BV53" s="190" t="n"/>
      <c r="BW53" s="186" t="n"/>
      <c r="BX53" s="186" t="n"/>
      <c r="BY53" s="186" t="n"/>
      <c r="BZ53" s="186" t="n"/>
      <c r="CA53" s="186" t="n"/>
      <c r="CB53" s="187" t="n"/>
      <c r="CC53" s="192" t="n"/>
      <c r="CD53" s="192" t="n"/>
      <c r="CE53" s="192" t="n"/>
      <c r="CF53" s="192" t="n"/>
    </row>
    <row r="54">
      <c r="A54" s="197" t="n"/>
      <c r="B54" s="198" t="n"/>
      <c r="C54" s="198" t="n"/>
      <c r="D54" s="179" t="n"/>
      <c r="E54" s="180" t="n"/>
      <c r="F54" s="181" t="n"/>
      <c r="G54" s="284">
        <f>'Jobs-Ops'!G54</f>
        <v/>
      </c>
      <c r="H54" s="114">
        <f>'Jobs-Ops'!H54</f>
        <v/>
      </c>
      <c r="I54" s="105" t="n"/>
      <c r="J54" s="183">
        <f>F54</f>
        <v/>
      </c>
      <c r="K54" s="184" t="n"/>
      <c r="L54" s="185" t="n"/>
      <c r="M54" s="8" t="n"/>
      <c r="N54" s="184">
        <f>M54</f>
        <v/>
      </c>
      <c r="O54" s="71" t="n"/>
      <c r="P54" s="101" t="n"/>
      <c r="Q54" s="9">
        <f>J54-N54</f>
        <v/>
      </c>
      <c r="R54" s="9">
        <f>IF(LEFT(B54,4)&lt;&gt;"    ",0,BI54)</f>
        <v/>
      </c>
      <c r="S54" s="9">
        <f>+Q54-R54</f>
        <v/>
      </c>
      <c r="T54" s="200">
        <f>IF('Jobs-Ops'!S54&lt;&gt; "",'Jobs-Ops'!S54,"")</f>
        <v/>
      </c>
      <c r="U54" s="10" t="n"/>
      <c r="V54" s="23">
        <f>IF(LEFT(B54,4)&lt;&gt;"    ","",IF(N54&lt;&gt;0,X54/N54,0))</f>
        <v/>
      </c>
      <c r="W54" s="11">
        <f>IF(LEFT(B54,4)&lt;&gt;"    ","",IF(V54&gt;=0.1,V54*J54,X54))</f>
        <v/>
      </c>
      <c r="X54" s="8" t="n"/>
      <c r="Y54" s="9">
        <f>IF(LEFT(B54,4)&lt;&gt;"    ",0,IF(Q54&lt;0,Q54,IF(V54&gt;0.1,W54-X54,0)))</f>
        <v/>
      </c>
      <c r="Z54" s="9">
        <f>IF(LEFT(B54,4)&lt;&gt;"    ",0,IF(V54&gt;0.1,BI54,0))</f>
        <v/>
      </c>
      <c r="AA54" s="9">
        <f>Y54-Z54</f>
        <v/>
      </c>
      <c r="AB54" s="10" t="n"/>
      <c r="AC54" s="24" t="n"/>
      <c r="AD54" s="11" t="n"/>
      <c r="AE54" s="8" t="n"/>
      <c r="AF54" s="9">
        <f>IF(LEFT(B54,4)&lt;&gt;"    ","",AD54-AE54)</f>
        <v/>
      </c>
      <c r="AG54" s="10" t="n"/>
      <c r="AH54" s="11">
        <f>IF(LEFT(B54,4)&lt;&gt;"    ","",W54-AD54)</f>
        <v/>
      </c>
      <c r="AI54" s="8">
        <f>IF(LEFT(B54,4)&lt;&gt;"    ","",X54-AE54)</f>
        <v/>
      </c>
      <c r="AJ54" s="9">
        <f>IF(LEFT(B54,4)&lt;&gt;"    ","",Y54-AF54)</f>
        <v/>
      </c>
      <c r="AK54" s="10" t="n"/>
      <c r="AL54" s="25">
        <f>IF(LEFT(B54,4)&lt;&gt;"    ","",J54-W54)</f>
        <v/>
      </c>
      <c r="AM54" s="25">
        <f>N54-X54</f>
        <v/>
      </c>
      <c r="AN54" s="25">
        <f>IF(LEFT(B54,4)&lt;&gt;"    ","",Q54-Y54)</f>
        <v/>
      </c>
      <c r="AO54" s="10" t="n"/>
      <c r="AP54" s="12" t="n"/>
      <c r="AQ54" s="12">
        <f>IF(LEFT(B54,4)&lt;&gt;"    ","",IF(W54-AP54&gt;=0,W54-AP54," "))</f>
        <v/>
      </c>
      <c r="AR54" s="12">
        <f>IF(LEFT(B54,4)&lt;&gt;"    ","",IF(AP54-W54&gt;=0,AP54-W54," "))</f>
        <v/>
      </c>
      <c r="AS54" s="186" t="n"/>
      <c r="AT54" s="187" t="n"/>
      <c r="AU54" s="186" t="n"/>
      <c r="AV54" s="186" t="n"/>
      <c r="AW54" s="188" t="n"/>
      <c r="AX54" s="187" t="n"/>
      <c r="AY54" s="187" t="n"/>
      <c r="AZ54" s="186" t="n"/>
      <c r="BA54" s="186" t="n"/>
      <c r="BB54" s="186" t="n"/>
      <c r="BC54" s="186" t="n"/>
      <c r="BD54" s="186" t="n"/>
      <c r="BE54" s="186" t="n"/>
      <c r="BF54" s="186" t="n"/>
      <c r="BG54" s="186" t="n"/>
      <c r="BH54" s="186" t="n"/>
      <c r="BI54" s="186" t="n"/>
      <c r="BJ54" s="186" t="n"/>
      <c r="BK54" s="186" t="n"/>
      <c r="BL54" s="186" t="n"/>
      <c r="BM54" s="186" t="n"/>
      <c r="BN54" s="186" t="n"/>
      <c r="BO54" s="186" t="n"/>
      <c r="BP54" s="186" t="n"/>
      <c r="BQ54" s="186" t="n"/>
      <c r="BR54" s="189" t="n"/>
      <c r="BS54" s="189" t="n"/>
      <c r="BT54" s="186" t="n"/>
      <c r="BU54" s="186" t="n"/>
      <c r="BV54" s="190" t="n"/>
      <c r="BW54" s="186" t="n"/>
      <c r="BX54" s="186" t="n"/>
      <c r="BY54" s="186" t="n"/>
      <c r="BZ54" s="186" t="n"/>
      <c r="CA54" s="186" t="n"/>
      <c r="CB54" s="187" t="n"/>
      <c r="CC54" s="192" t="n"/>
      <c r="CD54" s="192" t="n"/>
      <c r="CE54" s="192" t="n"/>
      <c r="CF54" s="192" t="n"/>
    </row>
    <row r="55">
      <c r="A55" s="197" t="n"/>
      <c r="B55" s="198" t="n"/>
      <c r="C55" s="198" t="n"/>
      <c r="D55" s="179" t="n"/>
      <c r="E55" s="180" t="n"/>
      <c r="F55" s="181" t="n"/>
      <c r="G55" s="284">
        <f>'Jobs-Ops'!G55</f>
        <v/>
      </c>
      <c r="H55" s="114">
        <f>'Jobs-Ops'!H55</f>
        <v/>
      </c>
      <c r="I55" s="105" t="n"/>
      <c r="J55" s="183">
        <f>F55</f>
        <v/>
      </c>
      <c r="K55" s="184" t="n"/>
      <c r="L55" s="185" t="n"/>
      <c r="M55" s="8" t="n"/>
      <c r="N55" s="184">
        <f>M55</f>
        <v/>
      </c>
      <c r="O55" s="71" t="n"/>
      <c r="P55" s="101" t="n"/>
      <c r="Q55" s="9">
        <f>J55-N55</f>
        <v/>
      </c>
      <c r="R55" s="9">
        <f>IF(LEFT(B55,4)&lt;&gt;"    ",0,BI55)</f>
        <v/>
      </c>
      <c r="S55" s="9">
        <f>+Q55-R55</f>
        <v/>
      </c>
      <c r="T55" s="200">
        <f>IF('Jobs-Ops'!S55&lt;&gt; "",'Jobs-Ops'!S55,"")</f>
        <v/>
      </c>
      <c r="U55" s="10" t="n"/>
      <c r="V55" s="23">
        <f>IF(LEFT(B55,4)&lt;&gt;"    ","",IF(N55&lt;&gt;0,X55/N55,0))</f>
        <v/>
      </c>
      <c r="W55" s="11">
        <f>IF(LEFT(B55,4)&lt;&gt;"    ","",IF(V55&gt;=0.1,V55*J55,X55))</f>
        <v/>
      </c>
      <c r="X55" s="8" t="n"/>
      <c r="Y55" s="9">
        <f>IF(LEFT(B55,4)&lt;&gt;"    ",0,IF(Q55&lt;0,Q55,IF(V55&gt;0.1,W55-X55,0)))</f>
        <v/>
      </c>
      <c r="Z55" s="9">
        <f>IF(LEFT(B55,4)&lt;&gt;"    ",0,IF(V55&gt;0.1,BI55,0))</f>
        <v/>
      </c>
      <c r="AA55" s="9">
        <f>Y55-Z55</f>
        <v/>
      </c>
      <c r="AB55" s="10" t="n"/>
      <c r="AC55" s="24" t="n"/>
      <c r="AD55" s="11" t="n"/>
      <c r="AE55" s="8" t="n"/>
      <c r="AF55" s="9">
        <f>IF(LEFT(B55,4)&lt;&gt;"    ","",AD55-AE55)</f>
        <v/>
      </c>
      <c r="AG55" s="10" t="n"/>
      <c r="AH55" s="11">
        <f>IF(LEFT(B55,4)&lt;&gt;"    ","",W55-AD55)</f>
        <v/>
      </c>
      <c r="AI55" s="8">
        <f>IF(LEFT(B55,4)&lt;&gt;"    ","",X55-AE55)</f>
        <v/>
      </c>
      <c r="AJ55" s="9">
        <f>IF(LEFT(B55,4)&lt;&gt;"    ","",Y55-AF55)</f>
        <v/>
      </c>
      <c r="AK55" s="10" t="n"/>
      <c r="AL55" s="25">
        <f>IF(LEFT(B55,4)&lt;&gt;"    ","",J55-W55)</f>
        <v/>
      </c>
      <c r="AM55" s="25">
        <f>N55-X55</f>
        <v/>
      </c>
      <c r="AN55" s="25">
        <f>IF(LEFT(B55,4)&lt;&gt;"    ","",Q55-Y55)</f>
        <v/>
      </c>
      <c r="AO55" s="10" t="n"/>
      <c r="AP55" s="12" t="n"/>
      <c r="AQ55" s="12">
        <f>IF(LEFT(B55,4)&lt;&gt;"    ","",IF(W55-AP55&gt;=0,W55-AP55," "))</f>
        <v/>
      </c>
      <c r="AR55" s="12">
        <f>IF(LEFT(B55,4)&lt;&gt;"    ","",IF(AP55-W55&gt;=0,AP55-W55," "))</f>
        <v/>
      </c>
      <c r="AS55" s="186" t="n"/>
      <c r="AT55" s="187" t="n"/>
      <c r="AU55" s="186" t="n"/>
      <c r="AV55" s="186" t="n"/>
      <c r="AW55" s="188" t="n"/>
      <c r="AX55" s="187" t="n"/>
      <c r="AY55" s="187" t="n"/>
      <c r="AZ55" s="186" t="n"/>
      <c r="BA55" s="186" t="n"/>
      <c r="BB55" s="186" t="n"/>
      <c r="BC55" s="186" t="n"/>
      <c r="BD55" s="186" t="n"/>
      <c r="BE55" s="186" t="n"/>
      <c r="BF55" s="186" t="n"/>
      <c r="BG55" s="186" t="n"/>
      <c r="BH55" s="186" t="n"/>
      <c r="BI55" s="186" t="n"/>
      <c r="BJ55" s="186" t="n"/>
      <c r="BK55" s="186" t="n"/>
      <c r="BL55" s="186" t="n"/>
      <c r="BM55" s="186" t="n"/>
      <c r="BN55" s="186" t="n"/>
      <c r="BO55" s="186" t="n"/>
      <c r="BP55" s="186" t="n"/>
      <c r="BQ55" s="186" t="n"/>
      <c r="BR55" s="189" t="n"/>
      <c r="BS55" s="189" t="n"/>
      <c r="BT55" s="186" t="n"/>
      <c r="BU55" s="186" t="n"/>
      <c r="BV55" s="190" t="n"/>
      <c r="BW55" s="186" t="n"/>
      <c r="BX55" s="186" t="n"/>
      <c r="BY55" s="186" t="n"/>
      <c r="BZ55" s="186" t="n"/>
      <c r="CA55" s="186" t="n"/>
      <c r="CB55" s="187" t="n"/>
      <c r="CC55" s="192" t="n"/>
      <c r="CD55" s="192" t="n"/>
      <c r="CE55" s="192" t="n"/>
      <c r="CF55" s="192" t="n"/>
    </row>
    <row r="56">
      <c r="A56" s="197" t="n"/>
      <c r="B56" s="198" t="n"/>
      <c r="C56" s="198" t="n"/>
      <c r="D56" s="179" t="n"/>
      <c r="E56" s="180" t="n"/>
      <c r="F56" s="181" t="n"/>
      <c r="G56" s="284">
        <f>'Jobs-Ops'!G56</f>
        <v/>
      </c>
      <c r="H56" s="114">
        <f>'Jobs-Ops'!H56</f>
        <v/>
      </c>
      <c r="I56" s="105" t="n"/>
      <c r="J56" s="183">
        <f>F56</f>
        <v/>
      </c>
      <c r="K56" s="184" t="n"/>
      <c r="L56" s="185" t="n"/>
      <c r="M56" s="8" t="n"/>
      <c r="N56" s="184">
        <f>M56</f>
        <v/>
      </c>
      <c r="O56" s="71" t="n"/>
      <c r="P56" s="101" t="n"/>
      <c r="Q56" s="9">
        <f>J56-N56</f>
        <v/>
      </c>
      <c r="R56" s="9">
        <f>IF(LEFT(B56,4)&lt;&gt;"    ",0,BI56)</f>
        <v/>
      </c>
      <c r="S56" s="9">
        <f>+Q56-R56</f>
        <v/>
      </c>
      <c r="T56" s="200">
        <f>IF('Jobs-Ops'!S56&lt;&gt; "",'Jobs-Ops'!S56,"")</f>
        <v/>
      </c>
      <c r="U56" s="10" t="n"/>
      <c r="V56" s="23">
        <f>IF(LEFT(B56,4)&lt;&gt;"    ","",IF(N56&lt;&gt;0,X56/N56,0))</f>
        <v/>
      </c>
      <c r="W56" s="11">
        <f>IF(LEFT(B56,4)&lt;&gt;"    ","",IF(V56&gt;=0.1,V56*J56,X56))</f>
        <v/>
      </c>
      <c r="X56" s="8" t="n"/>
      <c r="Y56" s="9">
        <f>IF(LEFT(B56,4)&lt;&gt;"    ",0,IF(Q56&lt;0,Q56,IF(V56&gt;0.1,W56-X56,0)))</f>
        <v/>
      </c>
      <c r="Z56" s="9">
        <f>IF(LEFT(B56,4)&lt;&gt;"    ",0,IF(V56&gt;0.1,BI56,0))</f>
        <v/>
      </c>
      <c r="AA56" s="9">
        <f>Y56-Z56</f>
        <v/>
      </c>
      <c r="AB56" s="10" t="n"/>
      <c r="AC56" s="24" t="n"/>
      <c r="AD56" s="11" t="n"/>
      <c r="AE56" s="8" t="n"/>
      <c r="AF56" s="9">
        <f>IF(LEFT(B56,4)&lt;&gt;"    ","",AD56-AE56)</f>
        <v/>
      </c>
      <c r="AG56" s="10" t="n"/>
      <c r="AH56" s="11">
        <f>IF(LEFT(B56,4)&lt;&gt;"    ","",W56-AD56)</f>
        <v/>
      </c>
      <c r="AI56" s="8">
        <f>IF(LEFT(B56,4)&lt;&gt;"    ","",X56-AE56)</f>
        <v/>
      </c>
      <c r="AJ56" s="9">
        <f>IF(LEFT(B56,4)&lt;&gt;"    ","",Y56-AF56)</f>
        <v/>
      </c>
      <c r="AK56" s="10" t="n"/>
      <c r="AL56" s="25">
        <f>IF(LEFT(B56,4)&lt;&gt;"    ","",J56-W56)</f>
        <v/>
      </c>
      <c r="AM56" s="25">
        <f>N56-X56</f>
        <v/>
      </c>
      <c r="AN56" s="25">
        <f>IF(LEFT(B56,4)&lt;&gt;"    ","",Q56-Y56)</f>
        <v/>
      </c>
      <c r="AO56" s="10" t="n"/>
      <c r="AP56" s="12" t="n"/>
      <c r="AQ56" s="12">
        <f>IF(LEFT(B56,4)&lt;&gt;"    ","",IF(W56-AP56&gt;=0,W56-AP56," "))</f>
        <v/>
      </c>
      <c r="AR56" s="12">
        <f>IF(LEFT(B56,4)&lt;&gt;"    ","",IF(AP56-W56&gt;=0,AP56-W56," "))</f>
        <v/>
      </c>
      <c r="AS56" s="186" t="n"/>
      <c r="AT56" s="187" t="n"/>
      <c r="AU56" s="186" t="n"/>
      <c r="AV56" s="186" t="n"/>
      <c r="AW56" s="188" t="n"/>
      <c r="AX56" s="187" t="n"/>
      <c r="AY56" s="187" t="n"/>
      <c r="AZ56" s="186" t="n"/>
      <c r="BA56" s="186" t="n"/>
      <c r="BB56" s="186" t="n"/>
      <c r="BC56" s="186" t="n"/>
      <c r="BD56" s="186" t="n"/>
      <c r="BE56" s="186" t="n"/>
      <c r="BF56" s="186" t="n"/>
      <c r="BG56" s="186" t="n"/>
      <c r="BH56" s="186" t="n"/>
      <c r="BI56" s="186" t="n"/>
      <c r="BJ56" s="186" t="n"/>
      <c r="BK56" s="186" t="n"/>
      <c r="BL56" s="186" t="n"/>
      <c r="BM56" s="186" t="n"/>
      <c r="BN56" s="186" t="n"/>
      <c r="BO56" s="186" t="n"/>
      <c r="BP56" s="186" t="n"/>
      <c r="BQ56" s="186" t="n"/>
      <c r="BR56" s="189" t="n"/>
      <c r="BS56" s="189" t="n"/>
      <c r="BT56" s="186" t="n"/>
      <c r="BU56" s="186" t="n"/>
      <c r="BV56" s="190" t="n"/>
      <c r="BW56" s="186" t="n"/>
      <c r="BX56" s="186" t="n"/>
      <c r="BY56" s="186" t="n"/>
      <c r="BZ56" s="186" t="n"/>
      <c r="CA56" s="186" t="n"/>
      <c r="CB56" s="187" t="n"/>
      <c r="CC56" s="192" t="n"/>
      <c r="CD56" s="192" t="n"/>
      <c r="CE56" s="192" t="n"/>
      <c r="CF56" s="192" t="n"/>
    </row>
    <row r="57">
      <c r="A57" s="197" t="n"/>
      <c r="B57" s="198" t="n"/>
      <c r="C57" s="198" t="n"/>
      <c r="D57" s="179" t="n"/>
      <c r="E57" s="180" t="n"/>
      <c r="F57" s="181" t="n"/>
      <c r="G57" s="284">
        <f>'Jobs-Ops'!G57</f>
        <v/>
      </c>
      <c r="H57" s="114">
        <f>'Jobs-Ops'!H57</f>
        <v/>
      </c>
      <c r="I57" s="105" t="n"/>
      <c r="J57" s="183">
        <f>F57</f>
        <v/>
      </c>
      <c r="K57" s="184" t="n"/>
      <c r="L57" s="185" t="n"/>
      <c r="M57" s="8" t="n"/>
      <c r="N57" s="184">
        <f>M57</f>
        <v/>
      </c>
      <c r="O57" s="71" t="n"/>
      <c r="P57" s="101" t="n"/>
      <c r="Q57" s="9">
        <f>J57-N57</f>
        <v/>
      </c>
      <c r="R57" s="9">
        <f>IF(LEFT(B57,4)&lt;&gt;"    ",0,BI57)</f>
        <v/>
      </c>
      <c r="S57" s="9">
        <f>+Q57-R57</f>
        <v/>
      </c>
      <c r="T57" s="200">
        <f>IF('Jobs-Ops'!S57&lt;&gt; "",'Jobs-Ops'!S57,"")</f>
        <v/>
      </c>
      <c r="U57" s="10" t="n"/>
      <c r="V57" s="23">
        <f>IF(LEFT(B57,4)&lt;&gt;"    ","",IF(N57&lt;&gt;0,X57/N57,0))</f>
        <v/>
      </c>
      <c r="W57" s="11">
        <f>IF(LEFT(B57,4)&lt;&gt;"    ","",IF(V57&gt;=0.1,V57*J57,X57))</f>
        <v/>
      </c>
      <c r="X57" s="8" t="n"/>
      <c r="Y57" s="9">
        <f>IF(LEFT(B57,4)&lt;&gt;"    ",0,IF(Q57&lt;0,Q57,IF(V57&gt;0.1,W57-X57,0)))</f>
        <v/>
      </c>
      <c r="Z57" s="9">
        <f>IF(LEFT(B57,4)&lt;&gt;"    ",0,IF(V57&gt;0.1,BI57,0))</f>
        <v/>
      </c>
      <c r="AA57" s="9">
        <f>Y57-Z57</f>
        <v/>
      </c>
      <c r="AB57" s="10" t="n"/>
      <c r="AC57" s="24" t="n"/>
      <c r="AD57" s="11" t="n"/>
      <c r="AE57" s="8" t="n"/>
      <c r="AF57" s="9">
        <f>IF(LEFT(B57,4)&lt;&gt;"    ","",AD57-AE57)</f>
        <v/>
      </c>
      <c r="AG57" s="10" t="n"/>
      <c r="AH57" s="11">
        <f>IF(LEFT(B57,4)&lt;&gt;"    ","",W57-AD57)</f>
        <v/>
      </c>
      <c r="AI57" s="8">
        <f>IF(LEFT(B57,4)&lt;&gt;"    ","",X57-AE57)</f>
        <v/>
      </c>
      <c r="AJ57" s="9">
        <f>IF(LEFT(B57,4)&lt;&gt;"    ","",Y57-AF57)</f>
        <v/>
      </c>
      <c r="AK57" s="10" t="n"/>
      <c r="AL57" s="25">
        <f>IF(LEFT(B57,4)&lt;&gt;"    ","",J57-W57)</f>
        <v/>
      </c>
      <c r="AM57" s="25">
        <f>N57-X57</f>
        <v/>
      </c>
      <c r="AN57" s="25">
        <f>IF(LEFT(B57,4)&lt;&gt;"    ","",Q57-Y57)</f>
        <v/>
      </c>
      <c r="AO57" s="10" t="n"/>
      <c r="AP57" s="12" t="n"/>
      <c r="AQ57" s="12">
        <f>IF(LEFT(B57,4)&lt;&gt;"    ","",IF(W57-AP57&gt;=0,W57-AP57," "))</f>
        <v/>
      </c>
      <c r="AR57" s="12">
        <f>IF(LEFT(B57,4)&lt;&gt;"    ","",IF(AP57-W57&gt;=0,AP57-W57," "))</f>
        <v/>
      </c>
      <c r="AS57" s="186" t="n"/>
      <c r="AT57" s="187" t="n"/>
      <c r="AU57" s="186" t="n"/>
      <c r="AV57" s="186" t="n"/>
      <c r="AW57" s="188" t="n"/>
      <c r="AX57" s="187" t="n"/>
      <c r="AY57" s="187" t="n"/>
      <c r="AZ57" s="186" t="n"/>
      <c r="BA57" s="186" t="n"/>
      <c r="BB57" s="186" t="n"/>
      <c r="BC57" s="186" t="n"/>
      <c r="BD57" s="186" t="n"/>
      <c r="BE57" s="186" t="n"/>
      <c r="BF57" s="186" t="n"/>
      <c r="BG57" s="186" t="n"/>
      <c r="BH57" s="186" t="n"/>
      <c r="BI57" s="186" t="n"/>
      <c r="BJ57" s="186" t="n"/>
      <c r="BK57" s="186" t="n"/>
      <c r="BL57" s="186" t="n"/>
      <c r="BM57" s="186" t="n"/>
      <c r="BN57" s="186" t="n"/>
      <c r="BO57" s="186" t="n"/>
      <c r="BP57" s="186" t="n"/>
      <c r="BQ57" s="186" t="n"/>
      <c r="BR57" s="189" t="n"/>
      <c r="BS57" s="189" t="n"/>
      <c r="BT57" s="186" t="n"/>
      <c r="BU57" s="186" t="n"/>
      <c r="BV57" s="190" t="n"/>
      <c r="BW57" s="186" t="n"/>
      <c r="BX57" s="186" t="n"/>
      <c r="BY57" s="186" t="n"/>
      <c r="BZ57" s="186" t="n"/>
      <c r="CA57" s="186" t="n"/>
      <c r="CB57" s="187" t="n"/>
      <c r="CC57" s="192" t="n"/>
      <c r="CD57" s="192" t="n"/>
      <c r="CE57" s="192" t="n"/>
      <c r="CF57" s="192" t="n"/>
    </row>
    <row r="58">
      <c r="A58" s="197" t="n"/>
      <c r="B58" s="198" t="n"/>
      <c r="C58" s="198" t="n"/>
      <c r="D58" s="179" t="n"/>
      <c r="E58" s="180" t="n"/>
      <c r="F58" s="181" t="n"/>
      <c r="G58" s="284">
        <f>'Jobs-Ops'!G58</f>
        <v/>
      </c>
      <c r="H58" s="114">
        <f>'Jobs-Ops'!H58</f>
        <v/>
      </c>
      <c r="I58" s="105" t="n"/>
      <c r="J58" s="183">
        <f>F58</f>
        <v/>
      </c>
      <c r="K58" s="184" t="n"/>
      <c r="L58" s="185" t="n"/>
      <c r="M58" s="8" t="n"/>
      <c r="N58" s="184">
        <f>M58</f>
        <v/>
      </c>
      <c r="O58" s="71" t="n"/>
      <c r="P58" s="101" t="n"/>
      <c r="Q58" s="9">
        <f>J58-N58</f>
        <v/>
      </c>
      <c r="R58" s="9">
        <f>IF(LEFT(B58,4)&lt;&gt;"    ",0,BI58)</f>
        <v/>
      </c>
      <c r="S58" s="9">
        <f>+Q58-R58</f>
        <v/>
      </c>
      <c r="T58" s="200">
        <f>IF('Jobs-Ops'!S58&lt;&gt; "",'Jobs-Ops'!S58,"")</f>
        <v/>
      </c>
      <c r="U58" s="10" t="n"/>
      <c r="V58" s="23">
        <f>IF(LEFT(B58,4)&lt;&gt;"    ","",IF(N58&lt;&gt;0,X58/N58,0))</f>
        <v/>
      </c>
      <c r="W58" s="11">
        <f>IF(LEFT(B58,4)&lt;&gt;"    ","",IF(V58&gt;=0.1,V58*J58,X58))</f>
        <v/>
      </c>
      <c r="X58" s="8" t="n"/>
      <c r="Y58" s="9">
        <f>IF(LEFT(B58,4)&lt;&gt;"    ",0,IF(Q58&lt;0,Q58,IF(V58&gt;0.1,W58-X58,0)))</f>
        <v/>
      </c>
      <c r="Z58" s="9">
        <f>IF(LEFT(B58,4)&lt;&gt;"    ",0,IF(V58&gt;0.1,BI58,0))</f>
        <v/>
      </c>
      <c r="AA58" s="9">
        <f>Y58-Z58</f>
        <v/>
      </c>
      <c r="AB58" s="10" t="n"/>
      <c r="AC58" s="24" t="n"/>
      <c r="AD58" s="11" t="n"/>
      <c r="AE58" s="8" t="n"/>
      <c r="AF58" s="9">
        <f>IF(LEFT(B58,4)&lt;&gt;"    ","",AD58-AE58)</f>
        <v/>
      </c>
      <c r="AG58" s="10" t="n"/>
      <c r="AH58" s="11">
        <f>IF(LEFT(B58,4)&lt;&gt;"    ","",W58-AD58)</f>
        <v/>
      </c>
      <c r="AI58" s="8">
        <f>IF(LEFT(B58,4)&lt;&gt;"    ","",X58-AE58)</f>
        <v/>
      </c>
      <c r="AJ58" s="9">
        <f>IF(LEFT(B58,4)&lt;&gt;"    ","",Y58-AF58)</f>
        <v/>
      </c>
      <c r="AK58" s="10" t="n"/>
      <c r="AL58" s="25">
        <f>IF(LEFT(B58,4)&lt;&gt;"    ","",J58-W58)</f>
        <v/>
      </c>
      <c r="AM58" s="25">
        <f>N58-X58</f>
        <v/>
      </c>
      <c r="AN58" s="25">
        <f>IF(LEFT(B58,4)&lt;&gt;"    ","",Q58-Y58)</f>
        <v/>
      </c>
      <c r="AO58" s="10" t="n"/>
      <c r="AP58" s="12" t="n"/>
      <c r="AQ58" s="12">
        <f>IF(LEFT(B58,4)&lt;&gt;"    ","",IF(W58-AP58&gt;=0,W58-AP58," "))</f>
        <v/>
      </c>
      <c r="AR58" s="12">
        <f>IF(LEFT(B58,4)&lt;&gt;"    ","",IF(AP58-W58&gt;=0,AP58-W58," "))</f>
        <v/>
      </c>
      <c r="AS58" s="186" t="n"/>
      <c r="AT58" s="187" t="n"/>
      <c r="AU58" s="186" t="n"/>
      <c r="AV58" s="186" t="n"/>
      <c r="AW58" s="188" t="n"/>
      <c r="AX58" s="187" t="n"/>
      <c r="AY58" s="187" t="n"/>
      <c r="AZ58" s="186" t="n"/>
      <c r="BA58" s="186" t="n"/>
      <c r="BB58" s="186" t="n"/>
      <c r="BC58" s="186" t="n"/>
      <c r="BD58" s="186" t="n"/>
      <c r="BE58" s="186" t="n"/>
      <c r="BF58" s="186" t="n"/>
      <c r="BG58" s="186" t="n"/>
      <c r="BH58" s="186" t="n"/>
      <c r="BI58" s="186" t="n"/>
      <c r="BJ58" s="186" t="n"/>
      <c r="BK58" s="186" t="n"/>
      <c r="BL58" s="186" t="n"/>
      <c r="BM58" s="186" t="n"/>
      <c r="BN58" s="186" t="n"/>
      <c r="BO58" s="186" t="n"/>
      <c r="BP58" s="186" t="n"/>
      <c r="BQ58" s="186" t="n"/>
      <c r="BR58" s="189" t="n"/>
      <c r="BS58" s="189" t="n"/>
      <c r="BT58" s="186" t="n"/>
      <c r="BU58" s="186" t="n"/>
      <c r="BV58" s="190" t="n"/>
      <c r="BW58" s="186" t="n"/>
      <c r="BX58" s="186" t="n"/>
      <c r="BY58" s="186" t="n"/>
      <c r="BZ58" s="186" t="n"/>
      <c r="CA58" s="186" t="n"/>
      <c r="CB58" s="187" t="n"/>
      <c r="CC58" s="192" t="n"/>
      <c r="CD58" s="192" t="n"/>
      <c r="CE58" s="192" t="n"/>
      <c r="CF58" s="192" t="n"/>
    </row>
    <row r="59">
      <c r="A59" s="197" t="n"/>
      <c r="B59" s="198" t="n"/>
      <c r="C59" s="198" t="n"/>
      <c r="D59" s="179" t="n"/>
      <c r="E59" s="180" t="n"/>
      <c r="F59" s="181" t="n"/>
      <c r="G59" s="284">
        <f>'Jobs-Ops'!G59</f>
        <v/>
      </c>
      <c r="H59" s="114">
        <f>'Jobs-Ops'!H59</f>
        <v/>
      </c>
      <c r="I59" s="105" t="n"/>
      <c r="J59" s="183">
        <f>F59</f>
        <v/>
      </c>
      <c r="K59" s="184" t="n"/>
      <c r="L59" s="185" t="n"/>
      <c r="M59" s="8" t="n"/>
      <c r="N59" s="184">
        <f>M59</f>
        <v/>
      </c>
      <c r="O59" s="71" t="n"/>
      <c r="P59" s="101" t="n"/>
      <c r="Q59" s="9">
        <f>J59-N59</f>
        <v/>
      </c>
      <c r="R59" s="9">
        <f>IF(LEFT(B59,4)&lt;&gt;"    ",0,BI59)</f>
        <v/>
      </c>
      <c r="S59" s="9">
        <f>+Q59-R59</f>
        <v/>
      </c>
      <c r="T59" s="200">
        <f>IF('Jobs-Ops'!S59&lt;&gt; "",'Jobs-Ops'!S59,"")</f>
        <v/>
      </c>
      <c r="U59" s="10" t="n"/>
      <c r="V59" s="23">
        <f>IF(LEFT(B59,4)&lt;&gt;"    ","",IF(N59&lt;&gt;0,X59/N59,0))</f>
        <v/>
      </c>
      <c r="W59" s="11">
        <f>IF(LEFT(B59,4)&lt;&gt;"    ","",IF(V59&gt;=0.1,V59*J59,X59))</f>
        <v/>
      </c>
      <c r="X59" s="8" t="n"/>
      <c r="Y59" s="9">
        <f>IF(LEFT(B59,4)&lt;&gt;"    ",0,IF(Q59&lt;0,Q59,IF(V59&gt;0.1,W59-X59,0)))</f>
        <v/>
      </c>
      <c r="Z59" s="9">
        <f>IF(LEFT(B59,4)&lt;&gt;"    ",0,IF(V59&gt;0.1,BI59,0))</f>
        <v/>
      </c>
      <c r="AA59" s="9">
        <f>Y59-Z59</f>
        <v/>
      </c>
      <c r="AB59" s="10" t="n"/>
      <c r="AC59" s="24" t="n"/>
      <c r="AD59" s="11" t="n"/>
      <c r="AE59" s="8" t="n"/>
      <c r="AF59" s="9">
        <f>IF(LEFT(B59,4)&lt;&gt;"    ","",AD59-AE59)</f>
        <v/>
      </c>
      <c r="AG59" s="10" t="n"/>
      <c r="AH59" s="11">
        <f>IF(LEFT(B59,4)&lt;&gt;"    ","",W59-AD59)</f>
        <v/>
      </c>
      <c r="AI59" s="8">
        <f>IF(LEFT(B59,4)&lt;&gt;"    ","",X59-AE59)</f>
        <v/>
      </c>
      <c r="AJ59" s="9">
        <f>IF(LEFT(B59,4)&lt;&gt;"    ","",Y59-AF59)</f>
        <v/>
      </c>
      <c r="AK59" s="10" t="n"/>
      <c r="AL59" s="25">
        <f>IF(LEFT(B59,4)&lt;&gt;"    ","",J59-W59)</f>
        <v/>
      </c>
      <c r="AM59" s="25">
        <f>N59-X59</f>
        <v/>
      </c>
      <c r="AN59" s="25">
        <f>IF(LEFT(B59,4)&lt;&gt;"    ","",Q59-Y59)</f>
        <v/>
      </c>
      <c r="AO59" s="10" t="n"/>
      <c r="AP59" s="12" t="n"/>
      <c r="AQ59" s="12">
        <f>IF(LEFT(B59,4)&lt;&gt;"    ","",IF(W59-AP59&gt;=0,W59-AP59," "))</f>
        <v/>
      </c>
      <c r="AR59" s="12">
        <f>IF(LEFT(B59,4)&lt;&gt;"    ","",IF(AP59-W59&gt;=0,AP59-W59," "))</f>
        <v/>
      </c>
      <c r="AS59" s="186" t="n"/>
      <c r="AT59" s="187" t="n"/>
      <c r="AU59" s="186" t="n"/>
      <c r="AV59" s="186" t="n"/>
      <c r="AW59" s="188" t="n"/>
      <c r="AX59" s="187" t="n"/>
      <c r="AY59" s="187" t="n"/>
      <c r="AZ59" s="186" t="n"/>
      <c r="BA59" s="186" t="n"/>
      <c r="BB59" s="186" t="n"/>
      <c r="BC59" s="186" t="n"/>
      <c r="BD59" s="186" t="n"/>
      <c r="BE59" s="186" t="n"/>
      <c r="BF59" s="186" t="n"/>
      <c r="BG59" s="186" t="n"/>
      <c r="BH59" s="186" t="n"/>
      <c r="BI59" s="186" t="n"/>
      <c r="BJ59" s="186" t="n"/>
      <c r="BK59" s="186" t="n"/>
      <c r="BL59" s="186" t="n"/>
      <c r="BM59" s="186" t="n"/>
      <c r="BN59" s="186" t="n"/>
      <c r="BO59" s="186" t="n"/>
      <c r="BP59" s="186" t="n"/>
      <c r="BQ59" s="186" t="n"/>
      <c r="BR59" s="189" t="n"/>
      <c r="BS59" s="189" t="n"/>
      <c r="BT59" s="186" t="n"/>
      <c r="BU59" s="186" t="n"/>
      <c r="BV59" s="190" t="n"/>
      <c r="BW59" s="186" t="n"/>
      <c r="BX59" s="186" t="n"/>
      <c r="BY59" s="186" t="n"/>
      <c r="BZ59" s="186" t="n"/>
      <c r="CA59" s="186" t="n"/>
      <c r="CB59" s="187" t="n"/>
      <c r="CC59" s="192" t="n"/>
      <c r="CD59" s="192" t="n"/>
      <c r="CE59" s="192" t="n"/>
      <c r="CF59" s="192" t="n"/>
    </row>
    <row r="60">
      <c r="A60" s="197" t="n"/>
      <c r="B60" s="198" t="n"/>
      <c r="C60" s="198" t="n"/>
      <c r="D60" s="179" t="n"/>
      <c r="E60" s="180" t="n"/>
      <c r="F60" s="181" t="n"/>
      <c r="G60" s="284">
        <f>'Jobs-Ops'!G60</f>
        <v/>
      </c>
      <c r="H60" s="114">
        <f>'Jobs-Ops'!H60</f>
        <v/>
      </c>
      <c r="I60" s="105" t="n"/>
      <c r="J60" s="183">
        <f>F60</f>
        <v/>
      </c>
      <c r="K60" s="184" t="n"/>
      <c r="L60" s="185" t="n"/>
      <c r="M60" s="8" t="n"/>
      <c r="N60" s="184">
        <f>M60</f>
        <v/>
      </c>
      <c r="O60" s="71" t="n"/>
      <c r="P60" s="101" t="n"/>
      <c r="Q60" s="9">
        <f>J60-N60</f>
        <v/>
      </c>
      <c r="R60" s="9">
        <f>IF(LEFT(B60,4)&lt;&gt;"    ",0,BI60)</f>
        <v/>
      </c>
      <c r="S60" s="9">
        <f>+Q60-R60</f>
        <v/>
      </c>
      <c r="T60" s="200">
        <f>IF('Jobs-Ops'!S60&lt;&gt; "",'Jobs-Ops'!S60,"")</f>
        <v/>
      </c>
      <c r="U60" s="10" t="n"/>
      <c r="V60" s="23">
        <f>IF(LEFT(B60,4)&lt;&gt;"    ","",IF(N60&lt;&gt;0,X60/N60,0))</f>
        <v/>
      </c>
      <c r="W60" s="11">
        <f>IF(LEFT(B60,4)&lt;&gt;"    ","",IF(V60&gt;=0.1,V60*J60,X60))</f>
        <v/>
      </c>
      <c r="X60" s="8" t="n"/>
      <c r="Y60" s="9">
        <f>IF(LEFT(B60,4)&lt;&gt;"    ",0,IF(Q60&lt;0,Q60,IF(V60&gt;0.1,W60-X60,0)))</f>
        <v/>
      </c>
      <c r="Z60" s="9">
        <f>IF(LEFT(B60,4)&lt;&gt;"    ",0,IF(V60&gt;0.1,BI60,0))</f>
        <v/>
      </c>
      <c r="AA60" s="9">
        <f>Y60-Z60</f>
        <v/>
      </c>
      <c r="AB60" s="10" t="n"/>
      <c r="AC60" s="24" t="n"/>
      <c r="AD60" s="11" t="n"/>
      <c r="AE60" s="8" t="n"/>
      <c r="AF60" s="9">
        <f>IF(LEFT(B60,4)&lt;&gt;"    ","",AD60-AE60)</f>
        <v/>
      </c>
      <c r="AG60" s="10" t="n"/>
      <c r="AH60" s="11">
        <f>IF(LEFT(B60,4)&lt;&gt;"    ","",W60-AD60)</f>
        <v/>
      </c>
      <c r="AI60" s="8">
        <f>IF(LEFT(B60,4)&lt;&gt;"    ","",X60-AE60)</f>
        <v/>
      </c>
      <c r="AJ60" s="9">
        <f>IF(LEFT(B60,4)&lt;&gt;"    ","",Y60-AF60)</f>
        <v/>
      </c>
      <c r="AK60" s="10" t="n"/>
      <c r="AL60" s="25">
        <f>IF(LEFT(B60,4)&lt;&gt;"    ","",J60-W60)</f>
        <v/>
      </c>
      <c r="AM60" s="25">
        <f>N60-X60</f>
        <v/>
      </c>
      <c r="AN60" s="25">
        <f>IF(LEFT(B60,4)&lt;&gt;"    ","",Q60-Y60)</f>
        <v/>
      </c>
      <c r="AO60" s="10" t="n"/>
      <c r="AP60" s="12" t="n"/>
      <c r="AQ60" s="12">
        <f>IF(LEFT(B60,4)&lt;&gt;"    ","",IF(W60-AP60&gt;=0,W60-AP60," "))</f>
        <v/>
      </c>
      <c r="AR60" s="12">
        <f>IF(LEFT(B60,4)&lt;&gt;"    ","",IF(AP60-W60&gt;=0,AP60-W60," "))</f>
        <v/>
      </c>
      <c r="AS60" s="186" t="n"/>
      <c r="AT60" s="187" t="n"/>
      <c r="AU60" s="186" t="n"/>
      <c r="AV60" s="186" t="n"/>
      <c r="AW60" s="188" t="n"/>
      <c r="AX60" s="187" t="n"/>
      <c r="AY60" s="187" t="n"/>
      <c r="AZ60" s="186" t="n"/>
      <c r="BA60" s="186" t="n"/>
      <c r="BB60" s="186" t="n"/>
      <c r="BC60" s="186" t="n"/>
      <c r="BD60" s="186" t="n"/>
      <c r="BE60" s="186" t="n"/>
      <c r="BF60" s="186" t="n"/>
      <c r="BG60" s="186" t="n"/>
      <c r="BH60" s="186" t="n"/>
      <c r="BI60" s="186" t="n"/>
      <c r="BJ60" s="186" t="n"/>
      <c r="BK60" s="186" t="n"/>
      <c r="BL60" s="186" t="n"/>
      <c r="BM60" s="186" t="n"/>
      <c r="BN60" s="186" t="n"/>
      <c r="BO60" s="186" t="n"/>
      <c r="BP60" s="186" t="n"/>
      <c r="BQ60" s="186" t="n"/>
      <c r="BR60" s="189" t="n"/>
      <c r="BS60" s="189" t="n"/>
      <c r="BT60" s="186" t="n"/>
      <c r="BU60" s="186" t="n"/>
      <c r="BV60" s="190" t="n"/>
      <c r="BW60" s="186" t="n"/>
      <c r="BX60" s="186" t="n"/>
      <c r="BY60" s="186" t="n"/>
      <c r="BZ60" s="186" t="n"/>
      <c r="CA60" s="186" t="n"/>
      <c r="CB60" s="187" t="n"/>
      <c r="CC60" s="192" t="n"/>
      <c r="CD60" s="192" t="n"/>
      <c r="CE60" s="192" t="n"/>
      <c r="CF60" s="192" t="n"/>
    </row>
    <row r="61">
      <c r="A61" s="197" t="n"/>
      <c r="B61" s="198" t="n"/>
      <c r="C61" s="198" t="n"/>
      <c r="D61" s="179" t="n"/>
      <c r="E61" s="180" t="n"/>
      <c r="F61" s="181" t="n"/>
      <c r="G61" s="284">
        <f>'Jobs-Ops'!G61</f>
        <v/>
      </c>
      <c r="H61" s="114">
        <f>'Jobs-Ops'!H61</f>
        <v/>
      </c>
      <c r="I61" s="105" t="n"/>
      <c r="J61" s="183">
        <f>F61</f>
        <v/>
      </c>
      <c r="K61" s="184" t="n"/>
      <c r="L61" s="185" t="n"/>
      <c r="M61" s="8" t="n"/>
      <c r="N61" s="184">
        <f>M61</f>
        <v/>
      </c>
      <c r="O61" s="71" t="n"/>
      <c r="P61" s="101" t="n"/>
      <c r="Q61" s="9">
        <f>J61-N61</f>
        <v/>
      </c>
      <c r="R61" s="9">
        <f>IF(LEFT(B61,4)&lt;&gt;"    ",0,BI61)</f>
        <v/>
      </c>
      <c r="S61" s="9">
        <f>+Q61-R61</f>
        <v/>
      </c>
      <c r="T61" s="200">
        <f>IF('Jobs-Ops'!S61&lt;&gt; "",'Jobs-Ops'!S61,"")</f>
        <v/>
      </c>
      <c r="U61" s="10" t="n"/>
      <c r="V61" s="23">
        <f>IF(LEFT(B61,4)&lt;&gt;"    ","",IF(N61&lt;&gt;0,X61/N61,0))</f>
        <v/>
      </c>
      <c r="W61" s="11">
        <f>IF(LEFT(B61,4)&lt;&gt;"    ","",IF(V61&gt;=0.1,V61*J61,X61))</f>
        <v/>
      </c>
      <c r="X61" s="8" t="n"/>
      <c r="Y61" s="9">
        <f>IF(LEFT(B61,4)&lt;&gt;"    ",0,IF(Q61&lt;0,Q61,IF(V61&gt;0.1,W61-X61,0)))</f>
        <v/>
      </c>
      <c r="Z61" s="9">
        <f>IF(LEFT(B61,4)&lt;&gt;"    ",0,IF(V61&gt;0.1,BI61,0))</f>
        <v/>
      </c>
      <c r="AA61" s="9">
        <f>Y61-Z61</f>
        <v/>
      </c>
      <c r="AB61" s="10" t="n"/>
      <c r="AC61" s="24" t="n"/>
      <c r="AD61" s="11" t="n"/>
      <c r="AE61" s="8" t="n"/>
      <c r="AF61" s="9">
        <f>IF(LEFT(B61,4)&lt;&gt;"    ","",AD61-AE61)</f>
        <v/>
      </c>
      <c r="AG61" s="10" t="n"/>
      <c r="AH61" s="11">
        <f>IF(LEFT(B61,4)&lt;&gt;"    ","",W61-AD61)</f>
        <v/>
      </c>
      <c r="AI61" s="8">
        <f>IF(LEFT(B61,4)&lt;&gt;"    ","",X61-AE61)</f>
        <v/>
      </c>
      <c r="AJ61" s="9">
        <f>IF(LEFT(B61,4)&lt;&gt;"    ","",Y61-AF61)</f>
        <v/>
      </c>
      <c r="AK61" s="10" t="n"/>
      <c r="AL61" s="25">
        <f>IF(LEFT(B61,4)&lt;&gt;"    ","",J61-W61)</f>
        <v/>
      </c>
      <c r="AM61" s="25">
        <f>N61-X61</f>
        <v/>
      </c>
      <c r="AN61" s="25">
        <f>IF(LEFT(B61,4)&lt;&gt;"    ","",Q61-Y61)</f>
        <v/>
      </c>
      <c r="AO61" s="10" t="n"/>
      <c r="AP61" s="12" t="n"/>
      <c r="AQ61" s="12">
        <f>IF(LEFT(B61,4)&lt;&gt;"    ","",IF(W61-AP61&gt;=0,W61-AP61," "))</f>
        <v/>
      </c>
      <c r="AR61" s="12">
        <f>IF(LEFT(B61,4)&lt;&gt;"    ","",IF(AP61-W61&gt;=0,AP61-W61," "))</f>
        <v/>
      </c>
      <c r="AS61" s="186" t="n"/>
      <c r="AT61" s="187" t="n"/>
      <c r="AU61" s="186" t="n"/>
      <c r="AV61" s="186" t="n"/>
      <c r="AW61" s="188" t="n"/>
      <c r="AX61" s="187" t="n"/>
      <c r="AY61" s="187" t="n"/>
      <c r="AZ61" s="186" t="n"/>
      <c r="BA61" s="186" t="n"/>
      <c r="BB61" s="186" t="n"/>
      <c r="BC61" s="186" t="n"/>
      <c r="BD61" s="186" t="n"/>
      <c r="BE61" s="186" t="n"/>
      <c r="BF61" s="186" t="n"/>
      <c r="BG61" s="186" t="n"/>
      <c r="BH61" s="186" t="n"/>
      <c r="BI61" s="186" t="n"/>
      <c r="BJ61" s="186" t="n"/>
      <c r="BK61" s="186" t="n"/>
      <c r="BL61" s="186" t="n"/>
      <c r="BM61" s="186" t="n"/>
      <c r="BN61" s="186" t="n"/>
      <c r="BO61" s="186" t="n"/>
      <c r="BP61" s="186" t="n"/>
      <c r="BQ61" s="186" t="n"/>
      <c r="BR61" s="189" t="n"/>
      <c r="BS61" s="189" t="n"/>
      <c r="BT61" s="186" t="n"/>
      <c r="BU61" s="186" t="n"/>
      <c r="BV61" s="190" t="n"/>
      <c r="BW61" s="186" t="n"/>
      <c r="BX61" s="186" t="n"/>
      <c r="BY61" s="186" t="n"/>
      <c r="BZ61" s="186" t="n"/>
      <c r="CA61" s="186" t="n"/>
      <c r="CB61" s="187" t="n"/>
      <c r="CC61" s="192" t="n"/>
      <c r="CD61" s="192" t="n"/>
      <c r="CE61" s="192" t="n"/>
      <c r="CF61" s="192" t="n"/>
    </row>
    <row r="62">
      <c r="A62" s="197" t="n"/>
      <c r="B62" s="198" t="n"/>
      <c r="C62" s="198" t="n"/>
      <c r="D62" s="179" t="n"/>
      <c r="E62" s="180" t="n"/>
      <c r="F62" s="181" t="n"/>
      <c r="G62" s="284">
        <f>'Jobs-Ops'!G62</f>
        <v/>
      </c>
      <c r="H62" s="114">
        <f>'Jobs-Ops'!H62</f>
        <v/>
      </c>
      <c r="I62" s="105" t="n"/>
      <c r="J62" s="183">
        <f>F62</f>
        <v/>
      </c>
      <c r="K62" s="184" t="n"/>
      <c r="L62" s="185" t="n"/>
      <c r="M62" s="8" t="n"/>
      <c r="N62" s="184">
        <f>M62</f>
        <v/>
      </c>
      <c r="O62" s="71" t="n"/>
      <c r="P62" s="101" t="n"/>
      <c r="Q62" s="9">
        <f>J62-N62</f>
        <v/>
      </c>
      <c r="R62" s="9">
        <f>IF(LEFT(B62,4)&lt;&gt;"    ",0,BI62)</f>
        <v/>
      </c>
      <c r="S62" s="9">
        <f>+Q62-R62</f>
        <v/>
      </c>
      <c r="T62" s="200">
        <f>IF('Jobs-Ops'!S62&lt;&gt; "",'Jobs-Ops'!S62,"")</f>
        <v/>
      </c>
      <c r="U62" s="10" t="n"/>
      <c r="V62" s="23">
        <f>IF(LEFT(B62,4)&lt;&gt;"    ","",IF(N62&lt;&gt;0,X62/N62,0))</f>
        <v/>
      </c>
      <c r="W62" s="11">
        <f>IF(LEFT(B62,4)&lt;&gt;"    ","",IF(V62&gt;=0.1,V62*J62,X62))</f>
        <v/>
      </c>
      <c r="X62" s="8" t="n"/>
      <c r="Y62" s="9">
        <f>IF(LEFT(B62,4)&lt;&gt;"    ",0,IF(Q62&lt;0,Q62,IF(V62&gt;0.1,W62-X62,0)))</f>
        <v/>
      </c>
      <c r="Z62" s="9">
        <f>IF(LEFT(B62,4)&lt;&gt;"    ",0,IF(V62&gt;0.1,BI62,0))</f>
        <v/>
      </c>
      <c r="AA62" s="9">
        <f>Y62-Z62</f>
        <v/>
      </c>
      <c r="AB62" s="10" t="n"/>
      <c r="AC62" s="24" t="n"/>
      <c r="AD62" s="11" t="n"/>
      <c r="AE62" s="8" t="n"/>
      <c r="AF62" s="9">
        <f>IF(LEFT(B62,4)&lt;&gt;"    ","",AD62-AE62)</f>
        <v/>
      </c>
      <c r="AG62" s="10" t="n"/>
      <c r="AH62" s="11">
        <f>IF(LEFT(B62,4)&lt;&gt;"    ","",W62-AD62)</f>
        <v/>
      </c>
      <c r="AI62" s="8">
        <f>IF(LEFT(B62,4)&lt;&gt;"    ","",X62-AE62)</f>
        <v/>
      </c>
      <c r="AJ62" s="9">
        <f>IF(LEFT(B62,4)&lt;&gt;"    ","",Y62-AF62)</f>
        <v/>
      </c>
      <c r="AK62" s="10" t="n"/>
      <c r="AL62" s="25">
        <f>IF(LEFT(B62,4)&lt;&gt;"    ","",J62-W62)</f>
        <v/>
      </c>
      <c r="AM62" s="25">
        <f>N62-X62</f>
        <v/>
      </c>
      <c r="AN62" s="25">
        <f>IF(LEFT(B62,4)&lt;&gt;"    ","",Q62-Y62)</f>
        <v/>
      </c>
      <c r="AO62" s="10" t="n"/>
      <c r="AP62" s="12" t="n"/>
      <c r="AQ62" s="12">
        <f>IF(LEFT(B62,4)&lt;&gt;"    ","",IF(W62-AP62&gt;=0,W62-AP62," "))</f>
        <v/>
      </c>
      <c r="AR62" s="12">
        <f>IF(LEFT(B62,4)&lt;&gt;"    ","",IF(AP62-W62&gt;=0,AP62-W62," "))</f>
        <v/>
      </c>
      <c r="AS62" s="186" t="n"/>
      <c r="AT62" s="187" t="n"/>
      <c r="AU62" s="186" t="n"/>
      <c r="AV62" s="186" t="n"/>
      <c r="AW62" s="188" t="n"/>
      <c r="AX62" s="187" t="n"/>
      <c r="AY62" s="187" t="n"/>
      <c r="AZ62" s="186" t="n"/>
      <c r="BA62" s="186" t="n"/>
      <c r="BB62" s="186" t="n"/>
      <c r="BC62" s="186" t="n"/>
      <c r="BD62" s="186" t="n"/>
      <c r="BE62" s="186" t="n"/>
      <c r="BF62" s="186" t="n"/>
      <c r="BG62" s="186" t="n"/>
      <c r="BH62" s="186" t="n"/>
      <c r="BI62" s="186" t="n"/>
      <c r="BJ62" s="186" t="n"/>
      <c r="BK62" s="186" t="n"/>
      <c r="BL62" s="186" t="n"/>
      <c r="BM62" s="186" t="n"/>
      <c r="BN62" s="186" t="n"/>
      <c r="BO62" s="186" t="n"/>
      <c r="BP62" s="186" t="n"/>
      <c r="BQ62" s="186" t="n"/>
      <c r="BR62" s="189" t="n"/>
      <c r="BS62" s="189" t="n"/>
      <c r="BT62" s="186" t="n"/>
      <c r="BU62" s="186" t="n"/>
      <c r="BV62" s="190" t="n"/>
      <c r="BW62" s="186" t="n"/>
      <c r="BX62" s="186" t="n"/>
      <c r="BY62" s="186" t="n"/>
      <c r="BZ62" s="186" t="n"/>
      <c r="CA62" s="186" t="n"/>
      <c r="CB62" s="187" t="n"/>
      <c r="CC62" s="192" t="n"/>
      <c r="CD62" s="192" t="n"/>
      <c r="CE62" s="192" t="n"/>
      <c r="CF62" s="192" t="n"/>
    </row>
    <row r="63">
      <c r="A63" s="197" t="n"/>
      <c r="B63" s="198" t="n"/>
      <c r="C63" s="198" t="n"/>
      <c r="D63" s="179" t="n"/>
      <c r="E63" s="180" t="n"/>
      <c r="F63" s="181" t="n"/>
      <c r="G63" s="284">
        <f>'Jobs-Ops'!G63</f>
        <v/>
      </c>
      <c r="H63" s="114">
        <f>'Jobs-Ops'!H63</f>
        <v/>
      </c>
      <c r="I63" s="105" t="n"/>
      <c r="J63" s="183">
        <f>F63</f>
        <v/>
      </c>
      <c r="K63" s="184" t="n"/>
      <c r="L63" s="185" t="n"/>
      <c r="M63" s="8" t="n"/>
      <c r="N63" s="184">
        <f>M63</f>
        <v/>
      </c>
      <c r="O63" s="71" t="n"/>
      <c r="P63" s="101" t="n"/>
      <c r="Q63" s="9">
        <f>J63-N63</f>
        <v/>
      </c>
      <c r="R63" s="9">
        <f>IF(LEFT(B63,4)&lt;&gt;"    ",0,BI63)</f>
        <v/>
      </c>
      <c r="S63" s="9">
        <f>+Q63-R63</f>
        <v/>
      </c>
      <c r="T63" s="200">
        <f>IF('Jobs-Ops'!S63&lt;&gt; "",'Jobs-Ops'!S63,"")</f>
        <v/>
      </c>
      <c r="U63" s="10" t="n"/>
      <c r="V63" s="23">
        <f>IF(LEFT(B63,4)&lt;&gt;"    ","",IF(N63&lt;&gt;0,X63/N63,0))</f>
        <v/>
      </c>
      <c r="W63" s="11">
        <f>IF(LEFT(B63,4)&lt;&gt;"    ","",IF(V63&gt;=0.1,V63*J63,X63))</f>
        <v/>
      </c>
      <c r="X63" s="8" t="n"/>
      <c r="Y63" s="9">
        <f>IF(LEFT(B63,4)&lt;&gt;"    ",0,IF(Q63&lt;0,Q63,IF(V63&gt;0.1,W63-X63,0)))</f>
        <v/>
      </c>
      <c r="Z63" s="9">
        <f>IF(LEFT(B63,4)&lt;&gt;"    ",0,IF(V63&gt;0.1,BI63,0))</f>
        <v/>
      </c>
      <c r="AA63" s="9">
        <f>Y63-Z63</f>
        <v/>
      </c>
      <c r="AB63" s="10" t="n"/>
      <c r="AC63" s="24" t="n"/>
      <c r="AD63" s="11" t="n"/>
      <c r="AE63" s="8" t="n"/>
      <c r="AF63" s="9">
        <f>IF(LEFT(B63,4)&lt;&gt;"    ","",AD63-AE63)</f>
        <v/>
      </c>
      <c r="AG63" s="10" t="n"/>
      <c r="AH63" s="11">
        <f>IF(LEFT(B63,4)&lt;&gt;"    ","",W63-AD63)</f>
        <v/>
      </c>
      <c r="AI63" s="8">
        <f>IF(LEFT(B63,4)&lt;&gt;"    ","",X63-AE63)</f>
        <v/>
      </c>
      <c r="AJ63" s="9">
        <f>IF(LEFT(B63,4)&lt;&gt;"    ","",Y63-AF63)</f>
        <v/>
      </c>
      <c r="AK63" s="10" t="n"/>
      <c r="AL63" s="25">
        <f>IF(LEFT(B63,4)&lt;&gt;"    ","",J63-W63)</f>
        <v/>
      </c>
      <c r="AM63" s="25">
        <f>N63-X63</f>
        <v/>
      </c>
      <c r="AN63" s="25">
        <f>IF(LEFT(B63,4)&lt;&gt;"    ","",Q63-Y63)</f>
        <v/>
      </c>
      <c r="AO63" s="10" t="n"/>
      <c r="AP63" s="12" t="n"/>
      <c r="AQ63" s="12">
        <f>IF(LEFT(B63,4)&lt;&gt;"    ","",IF(W63-AP63&gt;=0,W63-AP63," "))</f>
        <v/>
      </c>
      <c r="AR63" s="12">
        <f>IF(LEFT(B63,4)&lt;&gt;"    ","",IF(AP63-W63&gt;=0,AP63-W63," "))</f>
        <v/>
      </c>
      <c r="AS63" s="186" t="n"/>
      <c r="AT63" s="187" t="n"/>
      <c r="AU63" s="186" t="n"/>
      <c r="AV63" s="186" t="n"/>
      <c r="AW63" s="188" t="n"/>
      <c r="AX63" s="187" t="n"/>
      <c r="AY63" s="187" t="n"/>
      <c r="AZ63" s="186" t="n"/>
      <c r="BA63" s="186" t="n"/>
      <c r="BB63" s="186" t="n"/>
      <c r="BC63" s="186" t="n"/>
      <c r="BD63" s="186" t="n"/>
      <c r="BE63" s="186" t="n"/>
      <c r="BF63" s="186" t="n"/>
      <c r="BG63" s="186" t="n"/>
      <c r="BH63" s="186" t="n"/>
      <c r="BI63" s="186" t="n"/>
      <c r="BJ63" s="186" t="n"/>
      <c r="BK63" s="186" t="n"/>
      <c r="BL63" s="186" t="n"/>
      <c r="BM63" s="186" t="n"/>
      <c r="BN63" s="186" t="n"/>
      <c r="BO63" s="186" t="n"/>
      <c r="BP63" s="186" t="n"/>
      <c r="BQ63" s="186" t="n"/>
      <c r="BR63" s="189" t="n"/>
      <c r="BS63" s="189" t="n"/>
      <c r="BT63" s="186" t="n"/>
      <c r="BU63" s="186" t="n"/>
      <c r="BV63" s="190" t="n"/>
      <c r="BW63" s="186" t="n"/>
      <c r="BX63" s="186" t="n"/>
      <c r="BY63" s="186" t="n"/>
      <c r="BZ63" s="186" t="n"/>
      <c r="CA63" s="186" t="n"/>
      <c r="CB63" s="187" t="n"/>
      <c r="CC63" s="192" t="n"/>
      <c r="CD63" s="192" t="n"/>
      <c r="CE63" s="192" t="n"/>
      <c r="CF63" s="192" t="n"/>
    </row>
    <row r="64">
      <c r="A64" s="197" t="n"/>
      <c r="B64" s="198" t="n"/>
      <c r="C64" s="198" t="n"/>
      <c r="D64" s="179" t="n"/>
      <c r="E64" s="180" t="n"/>
      <c r="F64" s="181" t="n"/>
      <c r="G64" s="284">
        <f>'Jobs-Ops'!G64</f>
        <v/>
      </c>
      <c r="H64" s="114">
        <f>'Jobs-Ops'!H64</f>
        <v/>
      </c>
      <c r="I64" s="105" t="n"/>
      <c r="J64" s="183">
        <f>F64</f>
        <v/>
      </c>
      <c r="K64" s="184" t="n"/>
      <c r="L64" s="185" t="n"/>
      <c r="M64" s="8" t="n"/>
      <c r="N64" s="184">
        <f>M64</f>
        <v/>
      </c>
      <c r="O64" s="71" t="n"/>
      <c r="P64" s="101" t="n"/>
      <c r="Q64" s="9">
        <f>J64-N64</f>
        <v/>
      </c>
      <c r="R64" s="9">
        <f>IF(LEFT(B64,4)&lt;&gt;"    ",0,BI64)</f>
        <v/>
      </c>
      <c r="S64" s="9">
        <f>+Q64-R64</f>
        <v/>
      </c>
      <c r="T64" s="200">
        <f>IF('Jobs-Ops'!S64&lt;&gt; "",'Jobs-Ops'!S64,"")</f>
        <v/>
      </c>
      <c r="U64" s="10" t="n"/>
      <c r="V64" s="23">
        <f>IF(LEFT(B64,4)&lt;&gt;"    ","",IF(N64&lt;&gt;0,X64/N64,0))</f>
        <v/>
      </c>
      <c r="W64" s="11">
        <f>IF(LEFT(B64,4)&lt;&gt;"    ","",IF(V64&gt;=0.1,V64*J64,X64))</f>
        <v/>
      </c>
      <c r="X64" s="8" t="n"/>
      <c r="Y64" s="9">
        <f>IF(LEFT(B64,4)&lt;&gt;"    ",0,IF(Q64&lt;0,Q64,IF(V64&gt;0.1,W64-X64,0)))</f>
        <v/>
      </c>
      <c r="Z64" s="9">
        <f>IF(LEFT(B64,4)&lt;&gt;"    ",0,IF(V64&gt;0.1,BI64,0))</f>
        <v/>
      </c>
      <c r="AA64" s="9">
        <f>Y64-Z64</f>
        <v/>
      </c>
      <c r="AB64" s="10" t="n"/>
      <c r="AC64" s="24" t="n"/>
      <c r="AD64" s="11" t="n"/>
      <c r="AE64" s="8" t="n"/>
      <c r="AF64" s="9">
        <f>IF(LEFT(B64,4)&lt;&gt;"    ","",AD64-AE64)</f>
        <v/>
      </c>
      <c r="AG64" s="10" t="n"/>
      <c r="AH64" s="11">
        <f>IF(LEFT(B64,4)&lt;&gt;"    ","",W64-AD64)</f>
        <v/>
      </c>
      <c r="AI64" s="8">
        <f>IF(LEFT(B64,4)&lt;&gt;"    ","",X64-AE64)</f>
        <v/>
      </c>
      <c r="AJ64" s="9">
        <f>IF(LEFT(B64,4)&lt;&gt;"    ","",Y64-AF64)</f>
        <v/>
      </c>
      <c r="AK64" s="10" t="n"/>
      <c r="AL64" s="25">
        <f>IF(LEFT(B64,4)&lt;&gt;"    ","",J64-W64)</f>
        <v/>
      </c>
      <c r="AM64" s="25">
        <f>N64-X64</f>
        <v/>
      </c>
      <c r="AN64" s="25">
        <f>IF(LEFT(B64,4)&lt;&gt;"    ","",Q64-Y64)</f>
        <v/>
      </c>
      <c r="AO64" s="10" t="n"/>
      <c r="AP64" s="12" t="n"/>
      <c r="AQ64" s="12">
        <f>IF(LEFT(B64,4)&lt;&gt;"    ","",IF(W64-AP64&gt;=0,W64-AP64," "))</f>
        <v/>
      </c>
      <c r="AR64" s="12">
        <f>IF(LEFT(B64,4)&lt;&gt;"    ","",IF(AP64-W64&gt;=0,AP64-W64," "))</f>
        <v/>
      </c>
      <c r="AS64" s="186" t="n"/>
      <c r="AT64" s="187" t="n"/>
      <c r="AU64" s="186" t="n"/>
      <c r="AV64" s="186" t="n"/>
      <c r="AW64" s="188" t="n"/>
      <c r="AX64" s="187" t="n"/>
      <c r="AY64" s="187" t="n"/>
      <c r="AZ64" s="186" t="n"/>
      <c r="BA64" s="186" t="n"/>
      <c r="BB64" s="186" t="n"/>
      <c r="BC64" s="186" t="n"/>
      <c r="BD64" s="186" t="n"/>
      <c r="BE64" s="186" t="n"/>
      <c r="BF64" s="186" t="n"/>
      <c r="BG64" s="186" t="n"/>
      <c r="BH64" s="186" t="n"/>
      <c r="BI64" s="186" t="n"/>
      <c r="BJ64" s="186" t="n"/>
      <c r="BK64" s="186" t="n"/>
      <c r="BL64" s="186" t="n"/>
      <c r="BM64" s="186" t="n"/>
      <c r="BN64" s="186" t="n"/>
      <c r="BO64" s="186" t="n"/>
      <c r="BP64" s="186" t="n"/>
      <c r="BQ64" s="186" t="n"/>
      <c r="BR64" s="189" t="n"/>
      <c r="BS64" s="189" t="n"/>
      <c r="BT64" s="186" t="n"/>
      <c r="BU64" s="186" t="n"/>
      <c r="BV64" s="190" t="n"/>
      <c r="BW64" s="186" t="n"/>
      <c r="BX64" s="186" t="n"/>
      <c r="BY64" s="186" t="n"/>
      <c r="BZ64" s="186" t="n"/>
      <c r="CA64" s="186" t="n"/>
      <c r="CB64" s="187" t="n"/>
      <c r="CC64" s="192" t="n"/>
      <c r="CD64" s="192" t="n"/>
      <c r="CE64" s="192" t="n"/>
      <c r="CF64" s="192" t="n"/>
    </row>
    <row r="65">
      <c r="A65" s="197" t="n"/>
      <c r="B65" s="198" t="n"/>
      <c r="C65" s="198" t="n"/>
      <c r="D65" s="179" t="n"/>
      <c r="E65" s="180" t="n"/>
      <c r="F65" s="181" t="n"/>
      <c r="G65" s="284">
        <f>'Jobs-Ops'!G65</f>
        <v/>
      </c>
      <c r="H65" s="114">
        <f>'Jobs-Ops'!H65</f>
        <v/>
      </c>
      <c r="I65" s="105" t="n"/>
      <c r="J65" s="183">
        <f>F65</f>
        <v/>
      </c>
      <c r="K65" s="184" t="n"/>
      <c r="L65" s="185" t="n"/>
      <c r="M65" s="8" t="n"/>
      <c r="N65" s="184">
        <f>M65</f>
        <v/>
      </c>
      <c r="O65" s="184" t="n"/>
      <c r="P65" s="185" t="n"/>
      <c r="Q65" s="9">
        <f>J65-N65</f>
        <v/>
      </c>
      <c r="R65" s="9">
        <f>IF(LEFT(B65,4)&lt;&gt;"    ",0,BI65)</f>
        <v/>
      </c>
      <c r="S65" s="9">
        <f>+Q65-R65</f>
        <v/>
      </c>
      <c r="T65" s="200">
        <f>IF('Jobs-Ops'!S65&lt;&gt; "",'Jobs-Ops'!S65,"")</f>
        <v/>
      </c>
      <c r="U65" s="10" t="n"/>
      <c r="V65" s="23">
        <f>IF(LEFT(B65,4)&lt;&gt;"    ","",IF(N65&lt;&gt;0,X65/N65,0))</f>
        <v/>
      </c>
      <c r="W65" s="11">
        <f>IF(LEFT(B65,4)&lt;&gt;"    ","",IF(V65&gt;=0.1,V65*J65,X65))</f>
        <v/>
      </c>
      <c r="X65" s="8" t="n"/>
      <c r="Y65" s="9">
        <f>IF(LEFT(B65,4)&lt;&gt;"    ",0,IF(Q65&lt;0,Q65,IF(V65&gt;0.1,W65-X65,0)))</f>
        <v/>
      </c>
      <c r="Z65" s="9">
        <f>IF(LEFT(B65,4)&lt;&gt;"    ",0,IF(V65&gt;0.1,BI65,0))</f>
        <v/>
      </c>
      <c r="AA65" s="9">
        <f>Y65-Z65</f>
        <v/>
      </c>
      <c r="AB65" s="10" t="n"/>
      <c r="AC65" s="24" t="n"/>
      <c r="AD65" s="11" t="n"/>
      <c r="AE65" s="8" t="n"/>
      <c r="AF65" s="9">
        <f>IF(LEFT(B65,4)&lt;&gt;"    ","",AD65-AE65)</f>
        <v/>
      </c>
      <c r="AG65" s="10" t="n"/>
      <c r="AH65" s="11">
        <f>IF(LEFT(B65,4)&lt;&gt;"    ","",W65-AD65)</f>
        <v/>
      </c>
      <c r="AI65" s="8">
        <f>IF(LEFT(B65,4)&lt;&gt;"    ","",X65-AE65)</f>
        <v/>
      </c>
      <c r="AJ65" s="9">
        <f>IF(LEFT(B65,4)&lt;&gt;"    ","",Y65-AF65)</f>
        <v/>
      </c>
      <c r="AK65" s="10" t="n"/>
      <c r="AL65" s="25">
        <f>IF(LEFT(B65,4)&lt;&gt;"    ","",J65-W65)</f>
        <v/>
      </c>
      <c r="AM65" s="25">
        <f>N65-X65</f>
        <v/>
      </c>
      <c r="AN65" s="25">
        <f>IF(LEFT(B65,4)&lt;&gt;"    ","",Q65-Y65)</f>
        <v/>
      </c>
      <c r="AO65" s="10" t="n"/>
      <c r="AP65" s="12" t="n"/>
      <c r="AQ65" s="12">
        <f>IF(LEFT(B65,4)&lt;&gt;"    ","",IF(W65-AP65&gt;=0,W65-AP65," "))</f>
        <v/>
      </c>
      <c r="AR65" s="12">
        <f>IF(LEFT(B65,4)&lt;&gt;"    ","",IF(AP65-W65&gt;=0,AP65-W65," "))</f>
        <v/>
      </c>
      <c r="AS65" s="186" t="n"/>
      <c r="AT65" s="187" t="n"/>
      <c r="AU65" s="186" t="n"/>
      <c r="AV65" s="186" t="n"/>
      <c r="AW65" s="188" t="n"/>
      <c r="AX65" s="187" t="n"/>
      <c r="AY65" s="187" t="n"/>
      <c r="AZ65" s="186" t="n"/>
      <c r="BA65" s="186" t="n"/>
      <c r="BB65" s="186" t="n"/>
      <c r="BC65" s="186" t="n"/>
      <c r="BD65" s="186" t="n"/>
      <c r="BE65" s="186" t="n"/>
      <c r="BF65" s="186" t="n"/>
      <c r="BG65" s="186" t="n"/>
      <c r="BH65" s="186" t="n"/>
      <c r="BI65" s="186" t="n"/>
      <c r="BJ65" s="186" t="n"/>
      <c r="BK65" s="186" t="n"/>
      <c r="BL65" s="186" t="n"/>
      <c r="BM65" s="186" t="n"/>
      <c r="BN65" s="186" t="n"/>
      <c r="BO65" s="186" t="n"/>
      <c r="BP65" s="186" t="n"/>
      <c r="BQ65" s="186" t="n"/>
      <c r="BR65" s="189" t="n"/>
      <c r="BS65" s="189" t="n"/>
      <c r="BT65" s="186" t="n"/>
      <c r="BU65" s="186" t="n"/>
      <c r="BV65" s="190" t="n"/>
      <c r="BW65" s="186" t="n"/>
      <c r="BX65" s="186" t="n"/>
      <c r="BY65" s="186" t="n"/>
      <c r="BZ65" s="186" t="n"/>
      <c r="CA65" s="186" t="n"/>
      <c r="CB65" s="187" t="n"/>
      <c r="CC65" s="192" t="n"/>
      <c r="CD65" s="192" t="n"/>
      <c r="CE65" s="192" t="n"/>
      <c r="CF65" s="192" t="n"/>
    </row>
    <row r="66">
      <c r="A66" s="197" t="n"/>
      <c r="B66" s="198" t="n"/>
      <c r="C66" s="198" t="n"/>
      <c r="D66" s="179" t="n"/>
      <c r="E66" s="180" t="n"/>
      <c r="F66" s="181" t="n"/>
      <c r="G66" s="284">
        <f>'Jobs-Ops'!G66</f>
        <v/>
      </c>
      <c r="H66" s="114">
        <f>'Jobs-Ops'!H66</f>
        <v/>
      </c>
      <c r="I66" s="105" t="n"/>
      <c r="J66" s="183">
        <f>F66</f>
        <v/>
      </c>
      <c r="K66" s="184" t="n"/>
      <c r="L66" s="185" t="n"/>
      <c r="M66" s="8" t="n"/>
      <c r="N66" s="184">
        <f>M66</f>
        <v/>
      </c>
      <c r="O66" s="71" t="n"/>
      <c r="P66" s="101" t="n"/>
      <c r="Q66" s="9">
        <f>J66-N66</f>
        <v/>
      </c>
      <c r="R66" s="9">
        <f>IF(LEFT(B66,4)&lt;&gt;"    ",0,BI66)</f>
        <v/>
      </c>
      <c r="S66" s="9">
        <f>+Q66-R66</f>
        <v/>
      </c>
      <c r="T66" s="200">
        <f>IF('Jobs-Ops'!S66&lt;&gt; "",'Jobs-Ops'!S66,"")</f>
        <v/>
      </c>
      <c r="U66" s="10" t="n"/>
      <c r="V66" s="23">
        <f>IF(LEFT(B66,4)&lt;&gt;"    ","",IF(N66&lt;&gt;0,X66/N66,0))</f>
        <v/>
      </c>
      <c r="W66" s="11">
        <f>IF(LEFT(B66,4)&lt;&gt;"    ","",IF(V66&gt;=0.1,V66*J66,X66))</f>
        <v/>
      </c>
      <c r="X66" s="8" t="n"/>
      <c r="Y66" s="9">
        <f>IF(LEFT(B66,4)&lt;&gt;"    ",0,IF(Q66&lt;0,Q66,IF(V66&gt;0.1,W66-X66,0)))</f>
        <v/>
      </c>
      <c r="Z66" s="9">
        <f>IF(LEFT(B66,4)&lt;&gt;"    ",0,IF(V66&gt;0.1,BI66,0))</f>
        <v/>
      </c>
      <c r="AA66" s="9">
        <f>Y66-Z66</f>
        <v/>
      </c>
      <c r="AB66" s="10" t="n"/>
      <c r="AC66" s="24" t="n"/>
      <c r="AD66" s="11" t="n"/>
      <c r="AE66" s="8" t="n"/>
      <c r="AF66" s="9">
        <f>IF(LEFT(B66,4)&lt;&gt;"    ","",AD66-AE66)</f>
        <v/>
      </c>
      <c r="AG66" s="10" t="n"/>
      <c r="AH66" s="11">
        <f>IF(LEFT(B66,4)&lt;&gt;"    ","",W66-AD66)</f>
        <v/>
      </c>
      <c r="AI66" s="8">
        <f>IF(LEFT(B66,4)&lt;&gt;"    ","",X66-AE66)</f>
        <v/>
      </c>
      <c r="AJ66" s="9">
        <f>IF(LEFT(B66,4)&lt;&gt;"    ","",Y66-AF66)</f>
        <v/>
      </c>
      <c r="AK66" s="10" t="n"/>
      <c r="AL66" s="25">
        <f>IF(LEFT(B66,4)&lt;&gt;"    ","",J66-W66)</f>
        <v/>
      </c>
      <c r="AM66" s="25">
        <f>N66-X66</f>
        <v/>
      </c>
      <c r="AN66" s="25">
        <f>IF(LEFT(B66,4)&lt;&gt;"    ","",Q66-Y66)</f>
        <v/>
      </c>
      <c r="AO66" s="10" t="n"/>
      <c r="AP66" s="12" t="n"/>
      <c r="AQ66" s="12">
        <f>IF(LEFT(B66,4)&lt;&gt;"    ","",IF(W66-AP66&gt;=0,W66-AP66," "))</f>
        <v/>
      </c>
      <c r="AR66" s="12">
        <f>IF(LEFT(B66,4)&lt;&gt;"    ","",IF(AP66-W66&gt;=0,AP66-W66," "))</f>
        <v/>
      </c>
      <c r="AS66" s="186" t="n"/>
      <c r="AT66" s="187" t="n"/>
      <c r="AU66" s="186" t="n"/>
      <c r="AV66" s="186" t="n"/>
      <c r="AW66" s="188" t="n"/>
      <c r="AX66" s="187" t="n"/>
      <c r="AY66" s="187" t="n"/>
      <c r="AZ66" s="186" t="n"/>
      <c r="BA66" s="186" t="n"/>
      <c r="BB66" s="186" t="n"/>
      <c r="BC66" s="186" t="n"/>
      <c r="BD66" s="186" t="n"/>
      <c r="BE66" s="186" t="n"/>
      <c r="BF66" s="186" t="n"/>
      <c r="BG66" s="186" t="n"/>
      <c r="BH66" s="186" t="n"/>
      <c r="BI66" s="186" t="n"/>
      <c r="BJ66" s="186" t="n"/>
      <c r="BK66" s="186" t="n"/>
      <c r="BL66" s="186" t="n"/>
      <c r="BM66" s="186" t="n"/>
      <c r="BN66" s="186" t="n"/>
      <c r="BO66" s="186" t="n"/>
      <c r="BP66" s="186" t="n"/>
      <c r="BQ66" s="186" t="n"/>
      <c r="BR66" s="189" t="n"/>
      <c r="BS66" s="189" t="n"/>
      <c r="BT66" s="186" t="n"/>
      <c r="BU66" s="186" t="n"/>
      <c r="BV66" s="190" t="n"/>
      <c r="BW66" s="186" t="n"/>
      <c r="BX66" s="186" t="n"/>
      <c r="BY66" s="186" t="n"/>
      <c r="BZ66" s="186" t="n"/>
      <c r="CA66" s="186" t="n"/>
      <c r="CB66" s="187" t="n"/>
      <c r="CC66" s="192" t="n"/>
      <c r="CD66" s="192" t="n"/>
      <c r="CE66" s="192" t="n"/>
      <c r="CF66" s="192" t="n"/>
    </row>
    <row r="67">
      <c r="A67" s="197" t="n"/>
      <c r="B67" s="198" t="n"/>
      <c r="C67" s="198" t="n"/>
      <c r="D67" s="179" t="n"/>
      <c r="E67" s="180" t="n"/>
      <c r="F67" s="181" t="n"/>
      <c r="G67" s="284">
        <f>'Jobs-Ops'!G67</f>
        <v/>
      </c>
      <c r="H67" s="114">
        <f>'Jobs-Ops'!H67</f>
        <v/>
      </c>
      <c r="I67" s="105" t="n"/>
      <c r="J67" s="183">
        <f>F67</f>
        <v/>
      </c>
      <c r="K67" s="184" t="n"/>
      <c r="L67" s="185" t="n"/>
      <c r="M67" s="8" t="n"/>
      <c r="N67" s="184">
        <f>M67</f>
        <v/>
      </c>
      <c r="O67" s="71" t="n"/>
      <c r="P67" s="101" t="n"/>
      <c r="Q67" s="9">
        <f>J67-N67</f>
        <v/>
      </c>
      <c r="R67" s="9">
        <f>IF(LEFT(B67,4)&lt;&gt;"    ",0,BI67)</f>
        <v/>
      </c>
      <c r="S67" s="9">
        <f>+Q67-R67</f>
        <v/>
      </c>
      <c r="T67" s="200">
        <f>IF('Jobs-Ops'!S67&lt;&gt; "",'Jobs-Ops'!S67,"")</f>
        <v/>
      </c>
      <c r="U67" s="10" t="n"/>
      <c r="V67" s="23">
        <f>IF(LEFT(B67,4)&lt;&gt;"    ","",IF(N67&lt;&gt;0,X67/N67,0))</f>
        <v/>
      </c>
      <c r="W67" s="11">
        <f>IF(LEFT(B67,4)&lt;&gt;"    ","",IF(V67&gt;=0.1,V67*J67,X67))</f>
        <v/>
      </c>
      <c r="X67" s="8" t="n"/>
      <c r="Y67" s="9">
        <f>IF(LEFT(B67,4)&lt;&gt;"    ",0,IF(Q67&lt;0,Q67,IF(V67&gt;0.1,W67-X67,0)))</f>
        <v/>
      </c>
      <c r="Z67" s="9">
        <f>IF(LEFT(B67,4)&lt;&gt;"    ",0,IF(V67&gt;0.1,BI67,0))</f>
        <v/>
      </c>
      <c r="AA67" s="9">
        <f>Y67-Z67</f>
        <v/>
      </c>
      <c r="AB67" s="10" t="n"/>
      <c r="AC67" s="24" t="n"/>
      <c r="AD67" s="11" t="n"/>
      <c r="AE67" s="8" t="n"/>
      <c r="AF67" s="9">
        <f>IF(LEFT(B67,4)&lt;&gt;"    ","",AD67-AE67)</f>
        <v/>
      </c>
      <c r="AG67" s="10" t="n"/>
      <c r="AH67" s="11">
        <f>IF(LEFT(B67,4)&lt;&gt;"    ","",W67-AD67)</f>
        <v/>
      </c>
      <c r="AI67" s="8">
        <f>IF(LEFT(B67,4)&lt;&gt;"    ","",X67-AE67)</f>
        <v/>
      </c>
      <c r="AJ67" s="9">
        <f>IF(LEFT(B67,4)&lt;&gt;"    ","",Y67-AF67)</f>
        <v/>
      </c>
      <c r="AK67" s="10" t="n"/>
      <c r="AL67" s="25">
        <f>IF(LEFT(B67,4)&lt;&gt;"    ","",J67-W67)</f>
        <v/>
      </c>
      <c r="AM67" s="25">
        <f>N67-X67</f>
        <v/>
      </c>
      <c r="AN67" s="25">
        <f>IF(LEFT(B67,4)&lt;&gt;"    ","",Q67-Y67)</f>
        <v/>
      </c>
      <c r="AO67" s="10" t="n"/>
      <c r="AP67" s="12" t="n"/>
      <c r="AQ67" s="12">
        <f>IF(LEFT(B67,4)&lt;&gt;"    ","",IF(W67-AP67&gt;=0,W67-AP67," "))</f>
        <v/>
      </c>
      <c r="AR67" s="12">
        <f>IF(LEFT(B67,4)&lt;&gt;"    ","",IF(AP67-W67&gt;=0,AP67-W67," "))</f>
        <v/>
      </c>
      <c r="AS67" s="186" t="n"/>
      <c r="AT67" s="187" t="n"/>
      <c r="AU67" s="186" t="n"/>
      <c r="AV67" s="186" t="n"/>
      <c r="AW67" s="188" t="n"/>
      <c r="AX67" s="187" t="n"/>
      <c r="AY67" s="187" t="n"/>
      <c r="AZ67" s="186" t="n"/>
      <c r="BA67" s="186" t="n"/>
      <c r="BB67" s="186" t="n"/>
      <c r="BC67" s="186" t="n"/>
      <c r="BD67" s="186" t="n"/>
      <c r="BE67" s="186" t="n"/>
      <c r="BF67" s="186" t="n"/>
      <c r="BG67" s="186" t="n"/>
      <c r="BH67" s="186" t="n"/>
      <c r="BI67" s="186" t="n"/>
      <c r="BJ67" s="186" t="n"/>
      <c r="BK67" s="186" t="n"/>
      <c r="BL67" s="186" t="n"/>
      <c r="BM67" s="186" t="n"/>
      <c r="BN67" s="186" t="n"/>
      <c r="BO67" s="186" t="n"/>
      <c r="BP67" s="186" t="n"/>
      <c r="BQ67" s="186" t="n"/>
      <c r="BR67" s="189" t="n"/>
      <c r="BS67" s="189" t="n"/>
      <c r="BT67" s="186" t="n"/>
      <c r="BU67" s="186" t="n"/>
      <c r="BV67" s="190" t="n"/>
      <c r="BW67" s="186" t="n"/>
      <c r="BX67" s="186" t="n"/>
      <c r="BY67" s="186" t="n"/>
      <c r="BZ67" s="186" t="n"/>
      <c r="CA67" s="186" t="n"/>
      <c r="CB67" s="187" t="n"/>
      <c r="CC67" s="192" t="n"/>
      <c r="CD67" s="192" t="n"/>
      <c r="CE67" s="192" t="n"/>
      <c r="CF67" s="192" t="n"/>
    </row>
    <row r="68">
      <c r="A68" s="197" t="n"/>
      <c r="B68" s="201" t="n"/>
      <c r="C68" s="198" t="n"/>
      <c r="D68" s="179" t="n"/>
      <c r="E68" s="180" t="n"/>
      <c r="F68" s="181" t="n"/>
      <c r="G68" s="284">
        <f>'Jobs-Ops'!G68</f>
        <v/>
      </c>
      <c r="H68" s="114">
        <f>'Jobs-Ops'!H68</f>
        <v/>
      </c>
      <c r="I68" s="105" t="n"/>
      <c r="J68" s="183">
        <f>F68</f>
        <v/>
      </c>
      <c r="K68" s="184" t="n"/>
      <c r="L68" s="185" t="n"/>
      <c r="M68" s="8" t="n"/>
      <c r="N68" s="184">
        <f>M68</f>
        <v/>
      </c>
      <c r="O68" s="71" t="n"/>
      <c r="P68" s="101" t="n"/>
      <c r="Q68" s="9">
        <f>J68-N68</f>
        <v/>
      </c>
      <c r="R68" s="9">
        <f>IF(LEFT(B68,4)&lt;&gt;"    ",0,BI68)</f>
        <v/>
      </c>
      <c r="S68" s="9">
        <f>+Q68-R68</f>
        <v/>
      </c>
      <c r="T68" s="200">
        <f>IF('Jobs-Ops'!S68&lt;&gt; "",'Jobs-Ops'!S68,"")</f>
        <v/>
      </c>
      <c r="U68" s="10" t="n"/>
      <c r="V68" s="23">
        <f>IF(LEFT(B68,4)&lt;&gt;"    ","",IF(N68&lt;&gt;0,X68/N68,0))</f>
        <v/>
      </c>
      <c r="W68" s="11">
        <f>IF(LEFT(B68,4)&lt;&gt;"    ","",IF(V68&gt;=0.1,V68*J68,X68))</f>
        <v/>
      </c>
      <c r="X68" s="8" t="n"/>
      <c r="Y68" s="9">
        <f>IF(LEFT(B68,4)&lt;&gt;"    ",0,IF(Q68&lt;0,Q68,IF(V68&gt;0.1,W68-X68,0)))</f>
        <v/>
      </c>
      <c r="Z68" s="9">
        <f>IF(LEFT(B68,4)&lt;&gt;"    ",0,IF(V68&gt;0.1,BI68,0))</f>
        <v/>
      </c>
      <c r="AA68" s="9">
        <f>Y68-Z68</f>
        <v/>
      </c>
      <c r="AB68" s="10" t="n"/>
      <c r="AC68" s="24" t="n"/>
      <c r="AD68" s="11" t="n"/>
      <c r="AE68" s="8" t="n"/>
      <c r="AF68" s="9">
        <f>IF(LEFT(B68,4)&lt;&gt;"    ","",AD68-AE68)</f>
        <v/>
      </c>
      <c r="AG68" s="10" t="n"/>
      <c r="AH68" s="11">
        <f>IF(LEFT(B68,4)&lt;&gt;"    ","",W68-AD68)</f>
        <v/>
      </c>
      <c r="AI68" s="8">
        <f>IF(LEFT(B68,4)&lt;&gt;"    ","",X68-AE68)</f>
        <v/>
      </c>
      <c r="AJ68" s="9">
        <f>IF(LEFT(B68,4)&lt;&gt;"    ","",Y68-AF68)</f>
        <v/>
      </c>
      <c r="AK68" s="10" t="n"/>
      <c r="AL68" s="25">
        <f>IF(LEFT(B68,4)&lt;&gt;"    ","",J68-W68)</f>
        <v/>
      </c>
      <c r="AM68" s="25">
        <f>N68-X68</f>
        <v/>
      </c>
      <c r="AN68" s="25">
        <f>IF(LEFT(B68,4)&lt;&gt;"    ","",Q68-Y68)</f>
        <v/>
      </c>
      <c r="AO68" s="10" t="n"/>
      <c r="AP68" s="12" t="n"/>
      <c r="AQ68" s="12">
        <f>IF(LEFT(B68,4)&lt;&gt;"    ","",IF(W68-AP68&gt;=0,W68-AP68," "))</f>
        <v/>
      </c>
      <c r="AR68" s="12">
        <f>IF(LEFT(B68,4)&lt;&gt;"    ","",IF(AP68-W68&gt;=0,AP68-W68," "))</f>
        <v/>
      </c>
      <c r="AS68" s="186" t="n"/>
      <c r="AT68" s="187" t="n"/>
      <c r="AU68" s="186" t="n"/>
      <c r="AV68" s="186" t="n"/>
      <c r="AW68" s="188" t="n"/>
      <c r="AX68" s="187" t="n"/>
      <c r="AY68" s="187" t="n"/>
      <c r="AZ68" s="186" t="n"/>
      <c r="BA68" s="186" t="n"/>
      <c r="BB68" s="186" t="n"/>
      <c r="BC68" s="186" t="n"/>
      <c r="BD68" s="186" t="n"/>
      <c r="BE68" s="186" t="n"/>
      <c r="BF68" s="186" t="n"/>
      <c r="BG68" s="186" t="n"/>
      <c r="BH68" s="186" t="n"/>
      <c r="BI68" s="186" t="n"/>
      <c r="BJ68" s="186" t="n"/>
      <c r="BK68" s="186" t="n"/>
      <c r="BL68" s="186" t="n"/>
      <c r="BM68" s="186" t="n"/>
      <c r="BN68" s="186" t="n"/>
      <c r="BO68" s="186" t="n"/>
      <c r="BP68" s="186" t="n"/>
      <c r="BQ68" s="186" t="n"/>
      <c r="BR68" s="189" t="n"/>
      <c r="BS68" s="189" t="n"/>
      <c r="BT68" s="186" t="n"/>
      <c r="BU68" s="186" t="n"/>
      <c r="BV68" s="190" t="n"/>
      <c r="BW68" s="186" t="n"/>
      <c r="BX68" s="186" t="n"/>
      <c r="BY68" s="186" t="n"/>
      <c r="BZ68" s="186" t="n"/>
      <c r="CA68" s="186" t="n"/>
      <c r="CB68" s="187" t="n"/>
      <c r="CC68" s="192" t="n"/>
      <c r="CD68" s="192" t="n"/>
      <c r="CE68" s="192" t="n"/>
      <c r="CF68" s="192" t="n"/>
    </row>
    <row r="69">
      <c r="A69" s="197" t="n"/>
      <c r="B69" s="201" t="n"/>
      <c r="C69" s="198" t="n"/>
      <c r="D69" s="179" t="n"/>
      <c r="E69" s="180" t="n"/>
      <c r="F69" s="181" t="n"/>
      <c r="G69" s="284">
        <f>'Jobs-Ops'!G69</f>
        <v/>
      </c>
      <c r="H69" s="114">
        <f>'Jobs-Ops'!H69</f>
        <v/>
      </c>
      <c r="I69" s="105" t="n"/>
      <c r="J69" s="183">
        <f>F69</f>
        <v/>
      </c>
      <c r="K69" s="184" t="n"/>
      <c r="L69" s="185" t="n"/>
      <c r="M69" s="8" t="n"/>
      <c r="N69" s="184">
        <f>M69</f>
        <v/>
      </c>
      <c r="O69" s="71" t="n"/>
      <c r="P69" s="101" t="n"/>
      <c r="Q69" s="9">
        <f>J69-N69</f>
        <v/>
      </c>
      <c r="R69" s="9">
        <f>IF(LEFT(B69,4)&lt;&gt;"    ",0,BI69)</f>
        <v/>
      </c>
      <c r="S69" s="9">
        <f>+Q69-R69</f>
        <v/>
      </c>
      <c r="T69" s="200">
        <f>IF('Jobs-Ops'!S69&lt;&gt; "",'Jobs-Ops'!S69,"")</f>
        <v/>
      </c>
      <c r="U69" s="10" t="n"/>
      <c r="V69" s="23">
        <f>IF(LEFT(B69,4)&lt;&gt;"    ","",IF(N69&lt;&gt;0,X69/N69,0))</f>
        <v/>
      </c>
      <c r="W69" s="11">
        <f>IF(LEFT(B69,4)&lt;&gt;"    ","",IF(V69&gt;=0.1,V69*J69,X69))</f>
        <v/>
      </c>
      <c r="X69" s="8" t="n"/>
      <c r="Y69" s="9">
        <f>IF(LEFT(B69,4)&lt;&gt;"    ",0,IF(Q69&lt;0,Q69,IF(V69&gt;0.1,W69-X69,0)))</f>
        <v/>
      </c>
      <c r="Z69" s="9">
        <f>IF(LEFT(B69,4)&lt;&gt;"    ",0,IF(V69&gt;0.1,BI69,0))</f>
        <v/>
      </c>
      <c r="AA69" s="9">
        <f>Y69-Z69</f>
        <v/>
      </c>
      <c r="AB69" s="10" t="n"/>
      <c r="AC69" s="24" t="n"/>
      <c r="AD69" s="11" t="n"/>
      <c r="AE69" s="8" t="n"/>
      <c r="AF69" s="9">
        <f>IF(LEFT(B69,4)&lt;&gt;"    ","",AD69-AE69)</f>
        <v/>
      </c>
      <c r="AG69" s="10" t="n"/>
      <c r="AH69" s="11">
        <f>IF(LEFT(B69,4)&lt;&gt;"    ","",W69-AD69)</f>
        <v/>
      </c>
      <c r="AI69" s="8">
        <f>IF(LEFT(B69,4)&lt;&gt;"    ","",X69-AE69)</f>
        <v/>
      </c>
      <c r="AJ69" s="9">
        <f>IF(LEFT(B69,4)&lt;&gt;"    ","",Y69-AF69)</f>
        <v/>
      </c>
      <c r="AK69" s="10" t="n"/>
      <c r="AL69" s="25">
        <f>IF(LEFT(B69,4)&lt;&gt;"    ","",J69-W69)</f>
        <v/>
      </c>
      <c r="AM69" s="25">
        <f>N69-X69</f>
        <v/>
      </c>
      <c r="AN69" s="25">
        <f>IF(LEFT(B69,4)&lt;&gt;"    ","",Q69-Y69)</f>
        <v/>
      </c>
      <c r="AO69" s="10" t="n"/>
      <c r="AP69" s="12" t="n"/>
      <c r="AQ69" s="12">
        <f>IF(LEFT(B69,4)&lt;&gt;"    ","",IF(W69-AP69&gt;=0,W69-AP69," "))</f>
        <v/>
      </c>
      <c r="AR69" s="12">
        <f>IF(LEFT(B69,4)&lt;&gt;"    ","",IF(AP69-W69&gt;=0,AP69-W69," "))</f>
        <v/>
      </c>
      <c r="AS69" s="186" t="n"/>
      <c r="AT69" s="187" t="n"/>
      <c r="AU69" s="186" t="n"/>
      <c r="AV69" s="186" t="n"/>
      <c r="AW69" s="188" t="n"/>
      <c r="AX69" s="187" t="n"/>
      <c r="AY69" s="187" t="n"/>
      <c r="AZ69" s="186" t="n"/>
      <c r="BA69" s="186" t="n"/>
      <c r="BB69" s="186" t="n"/>
      <c r="BC69" s="186" t="n"/>
      <c r="BD69" s="186" t="n"/>
      <c r="BE69" s="186" t="n"/>
      <c r="BF69" s="186" t="n"/>
      <c r="BG69" s="186" t="n"/>
      <c r="BH69" s="186" t="n"/>
      <c r="BI69" s="186" t="n"/>
      <c r="BJ69" s="186" t="n"/>
      <c r="BK69" s="186" t="n"/>
      <c r="BL69" s="186" t="n"/>
      <c r="BM69" s="186" t="n"/>
      <c r="BN69" s="186" t="n"/>
      <c r="BO69" s="186" t="n"/>
      <c r="BP69" s="186" t="n"/>
      <c r="BQ69" s="186" t="n"/>
      <c r="BR69" s="189" t="n"/>
      <c r="BS69" s="189" t="n"/>
      <c r="BT69" s="186" t="n"/>
      <c r="BU69" s="186" t="n"/>
      <c r="BV69" s="190" t="n"/>
      <c r="BW69" s="186" t="n"/>
      <c r="BX69" s="186" t="n"/>
      <c r="BY69" s="186" t="n"/>
      <c r="BZ69" s="186" t="n"/>
      <c r="CA69" s="186" t="n"/>
      <c r="CB69" s="187" t="n"/>
      <c r="CC69" s="192" t="n"/>
      <c r="CD69" s="192" t="n"/>
      <c r="CE69" s="192" t="n"/>
      <c r="CF69" s="192" t="n"/>
    </row>
    <row r="70">
      <c r="A70" s="197" t="n"/>
      <c r="B70" s="201" t="n"/>
      <c r="C70" s="198" t="n"/>
      <c r="D70" s="179" t="n"/>
      <c r="E70" s="180" t="n"/>
      <c r="F70" s="181" t="n"/>
      <c r="G70" s="284">
        <f>'Jobs-Ops'!G70</f>
        <v/>
      </c>
      <c r="H70" s="114">
        <f>'Jobs-Ops'!H70</f>
        <v/>
      </c>
      <c r="I70" s="105" t="n"/>
      <c r="J70" s="183">
        <f>F70</f>
        <v/>
      </c>
      <c r="K70" s="184" t="n"/>
      <c r="L70" s="185" t="n"/>
      <c r="M70" s="8" t="n"/>
      <c r="N70" s="184">
        <f>M70</f>
        <v/>
      </c>
      <c r="O70" s="71" t="n"/>
      <c r="P70" s="101" t="n"/>
      <c r="Q70" s="9">
        <f>J70-N70</f>
        <v/>
      </c>
      <c r="R70" s="9">
        <f>IF(LEFT(B70,4)&lt;&gt;"    ",0,BI70)</f>
        <v/>
      </c>
      <c r="S70" s="9">
        <f>+Q70-R70</f>
        <v/>
      </c>
      <c r="T70" s="200">
        <f>IF('Jobs-Ops'!S70&lt;&gt; "",'Jobs-Ops'!S70,"")</f>
        <v/>
      </c>
      <c r="U70" s="10" t="n"/>
      <c r="V70" s="23">
        <f>IF(LEFT(B70,4)&lt;&gt;"    ","",IF(N70&lt;&gt;0,X70/N70,0))</f>
        <v/>
      </c>
      <c r="W70" s="11">
        <f>IF(LEFT(B70,4)&lt;&gt;"    ","",IF(V70&gt;=0.1,V70*J70,X70))</f>
        <v/>
      </c>
      <c r="X70" s="8" t="n"/>
      <c r="Y70" s="9">
        <f>IF(LEFT(B70,4)&lt;&gt;"    ",0,IF(Q70&lt;0,Q70,IF(V70&gt;0.1,W70-X70,0)))</f>
        <v/>
      </c>
      <c r="Z70" s="9">
        <f>IF(LEFT(B70,4)&lt;&gt;"    ",0,IF(V70&gt;0.1,BI70,0))</f>
        <v/>
      </c>
      <c r="AA70" s="9">
        <f>Y70-Z70</f>
        <v/>
      </c>
      <c r="AB70" s="10" t="n"/>
      <c r="AC70" s="24" t="n"/>
      <c r="AD70" s="11" t="n"/>
      <c r="AE70" s="8" t="n"/>
      <c r="AF70" s="9">
        <f>IF(LEFT(B70,4)&lt;&gt;"    ","",AD70-AE70)</f>
        <v/>
      </c>
      <c r="AG70" s="10" t="n"/>
      <c r="AH70" s="11">
        <f>IF(LEFT(B70,4)&lt;&gt;"    ","",W70-AD70)</f>
        <v/>
      </c>
      <c r="AI70" s="8">
        <f>IF(LEFT(B70,4)&lt;&gt;"    ","",X70-AE70)</f>
        <v/>
      </c>
      <c r="AJ70" s="9">
        <f>IF(LEFT(B70,4)&lt;&gt;"    ","",Y70-AF70)</f>
        <v/>
      </c>
      <c r="AK70" s="10" t="n"/>
      <c r="AL70" s="25">
        <f>IF(LEFT(B70,4)&lt;&gt;"    ","",J70-W70)</f>
        <v/>
      </c>
      <c r="AM70" s="25">
        <f>N70-X70</f>
        <v/>
      </c>
      <c r="AN70" s="25">
        <f>IF(LEFT(B70,4)&lt;&gt;"    ","",Q70-Y70)</f>
        <v/>
      </c>
      <c r="AO70" s="10" t="n"/>
      <c r="AP70" s="12" t="n"/>
      <c r="AQ70" s="12">
        <f>IF(LEFT(B70,4)&lt;&gt;"    ","",IF(W70-AP70&gt;=0,W70-AP70," "))</f>
        <v/>
      </c>
      <c r="AR70" s="12">
        <f>IF(LEFT(B70,4)&lt;&gt;"    ","",IF(AP70-W70&gt;=0,AP70-W70," "))</f>
        <v/>
      </c>
      <c r="AS70" s="186" t="n"/>
      <c r="AT70" s="187" t="n"/>
      <c r="AU70" s="186" t="n"/>
      <c r="AV70" s="186" t="n"/>
      <c r="AW70" s="188" t="n"/>
      <c r="AX70" s="187" t="n"/>
      <c r="AY70" s="187" t="n"/>
      <c r="AZ70" s="186" t="n"/>
      <c r="BA70" s="186" t="n"/>
      <c r="BB70" s="186" t="n"/>
      <c r="BC70" s="186" t="n"/>
      <c r="BD70" s="186" t="n"/>
      <c r="BE70" s="186" t="n"/>
      <c r="BF70" s="186" t="n"/>
      <c r="BG70" s="186" t="n"/>
      <c r="BH70" s="186" t="n"/>
      <c r="BI70" s="186" t="n"/>
      <c r="BJ70" s="186" t="n"/>
      <c r="BK70" s="186" t="n"/>
      <c r="BL70" s="186" t="n"/>
      <c r="BM70" s="186" t="n"/>
      <c r="BN70" s="186" t="n"/>
      <c r="BO70" s="186" t="n"/>
      <c r="BP70" s="186" t="n"/>
      <c r="BQ70" s="186" t="n"/>
      <c r="BR70" s="189" t="n"/>
      <c r="BS70" s="189" t="n"/>
      <c r="BT70" s="186" t="n"/>
      <c r="BU70" s="186" t="n"/>
      <c r="BV70" s="190" t="n"/>
      <c r="BW70" s="186" t="n"/>
      <c r="BX70" s="186" t="n"/>
      <c r="BY70" s="186" t="n"/>
      <c r="BZ70" s="186" t="n"/>
      <c r="CA70" s="186" t="n"/>
      <c r="CB70" s="187" t="n"/>
      <c r="CC70" s="192" t="n"/>
      <c r="CD70" s="192" t="n"/>
      <c r="CE70" s="192" t="n"/>
      <c r="CF70" s="192" t="n"/>
    </row>
    <row r="71">
      <c r="A71" s="197" t="n"/>
      <c r="B71" s="198" t="n"/>
      <c r="C71" s="198" t="n"/>
      <c r="D71" s="179" t="n"/>
      <c r="E71" s="180" t="n"/>
      <c r="F71" s="181" t="n"/>
      <c r="G71" s="284">
        <f>'Jobs-Ops'!G71</f>
        <v/>
      </c>
      <c r="H71" s="114">
        <f>'Jobs-Ops'!H71</f>
        <v/>
      </c>
      <c r="I71" s="105" t="n"/>
      <c r="J71" s="183">
        <f>F71</f>
        <v/>
      </c>
      <c r="K71" s="184" t="n"/>
      <c r="L71" s="185" t="n"/>
      <c r="M71" s="8" t="n"/>
      <c r="N71" s="184">
        <f>M71</f>
        <v/>
      </c>
      <c r="O71" s="71" t="n"/>
      <c r="P71" s="101" t="n"/>
      <c r="Q71" s="9">
        <f>J71-N71</f>
        <v/>
      </c>
      <c r="R71" s="9">
        <f>IF(LEFT(B71,4)&lt;&gt;"    ",0,BI71)</f>
        <v/>
      </c>
      <c r="S71" s="9">
        <f>+Q71-R71</f>
        <v/>
      </c>
      <c r="T71" s="200">
        <f>IF('Jobs-Ops'!S71&lt;&gt; "",'Jobs-Ops'!S71,"")</f>
        <v/>
      </c>
      <c r="U71" s="10" t="n"/>
      <c r="V71" s="23">
        <f>IF(LEFT(B71,4)&lt;&gt;"    ","",IF(N71&lt;&gt;0,X71/N71,0))</f>
        <v/>
      </c>
      <c r="W71" s="11">
        <f>IF(LEFT(B71,4)&lt;&gt;"    ","",IF(V71&gt;=0.1,V71*J71,X71))</f>
        <v/>
      </c>
      <c r="X71" s="8" t="n"/>
      <c r="Y71" s="9">
        <f>IF(LEFT(B71,4)&lt;&gt;"    ",0,IF(Q71&lt;0,Q71,IF(V71&gt;0.1,W71-X71,0)))</f>
        <v/>
      </c>
      <c r="Z71" s="9">
        <f>IF(LEFT(B71,4)&lt;&gt;"    ",0,IF(V71&gt;0.1,BI71,0))</f>
        <v/>
      </c>
      <c r="AA71" s="9">
        <f>Y71-Z71</f>
        <v/>
      </c>
      <c r="AB71" s="10" t="n"/>
      <c r="AC71" s="24" t="n"/>
      <c r="AD71" s="11" t="n"/>
      <c r="AE71" s="8" t="n"/>
      <c r="AF71" s="9">
        <f>IF(LEFT(B71,4)&lt;&gt;"    ","",AD71-AE71)</f>
        <v/>
      </c>
      <c r="AG71" s="10" t="n"/>
      <c r="AH71" s="11">
        <f>IF(LEFT(B71,4)&lt;&gt;"    ","",W71-AD71)</f>
        <v/>
      </c>
      <c r="AI71" s="8">
        <f>IF(LEFT(B71,4)&lt;&gt;"    ","",X71-AE71)</f>
        <v/>
      </c>
      <c r="AJ71" s="9">
        <f>IF(LEFT(B71,4)&lt;&gt;"    ","",Y71-AF71)</f>
        <v/>
      </c>
      <c r="AK71" s="10" t="n"/>
      <c r="AL71" s="25">
        <f>IF(LEFT(B71,4)&lt;&gt;"    ","",J71-W71)</f>
        <v/>
      </c>
      <c r="AM71" s="25">
        <f>N71-X71</f>
        <v/>
      </c>
      <c r="AN71" s="25">
        <f>IF(LEFT(B71,4)&lt;&gt;"    ","",Q71-Y71)</f>
        <v/>
      </c>
      <c r="AO71" s="10" t="n"/>
      <c r="AP71" s="12" t="n"/>
      <c r="AQ71" s="12">
        <f>IF(LEFT(B71,4)&lt;&gt;"    ","",IF(W71-AP71&gt;=0,W71-AP71," "))</f>
        <v/>
      </c>
      <c r="AR71" s="12">
        <f>IF(LEFT(B71,4)&lt;&gt;"    ","",IF(AP71-W71&gt;=0,AP71-W71," "))</f>
        <v/>
      </c>
      <c r="AS71" s="186" t="n"/>
      <c r="AT71" s="187" t="n"/>
      <c r="AU71" s="186" t="n"/>
      <c r="AV71" s="186" t="n"/>
      <c r="AW71" s="188" t="n"/>
      <c r="AX71" s="187" t="n"/>
      <c r="AY71" s="187" t="n"/>
      <c r="AZ71" s="186" t="n"/>
      <c r="BA71" s="186" t="n"/>
      <c r="BB71" s="186" t="n"/>
      <c r="BC71" s="186" t="n"/>
      <c r="BD71" s="186" t="n"/>
      <c r="BE71" s="186" t="n"/>
      <c r="BF71" s="186" t="n"/>
      <c r="BG71" s="186" t="n"/>
      <c r="BH71" s="186" t="n"/>
      <c r="BI71" s="186" t="n"/>
      <c r="BJ71" s="186" t="n"/>
      <c r="BK71" s="186" t="n"/>
      <c r="BL71" s="186" t="n"/>
      <c r="BM71" s="186" t="n"/>
      <c r="BN71" s="186" t="n"/>
      <c r="BO71" s="186" t="n"/>
      <c r="BP71" s="186" t="n"/>
      <c r="BQ71" s="186" t="n"/>
      <c r="BR71" s="189" t="n"/>
      <c r="BS71" s="189" t="n"/>
      <c r="BT71" s="186" t="n"/>
      <c r="BU71" s="186" t="n"/>
      <c r="BV71" s="190" t="n"/>
      <c r="BW71" s="186" t="n"/>
      <c r="BX71" s="186" t="n"/>
      <c r="BY71" s="186" t="n"/>
      <c r="BZ71" s="186" t="n"/>
      <c r="CA71" s="186" t="n"/>
      <c r="CB71" s="187" t="n"/>
      <c r="CC71" s="192" t="n"/>
      <c r="CD71" s="192" t="n"/>
      <c r="CE71" s="192" t="n"/>
      <c r="CF71" s="192" t="n"/>
    </row>
    <row r="72">
      <c r="A72" s="197" t="n"/>
      <c r="B72" s="198" t="n"/>
      <c r="C72" s="198" t="n"/>
      <c r="D72" s="179" t="n"/>
      <c r="E72" s="180" t="n"/>
      <c r="F72" s="181" t="n"/>
      <c r="G72" s="284">
        <f>'Jobs-Ops'!G72</f>
        <v/>
      </c>
      <c r="H72" s="114">
        <f>'Jobs-Ops'!H72</f>
        <v/>
      </c>
      <c r="I72" s="105" t="n"/>
      <c r="J72" s="183">
        <f>F72</f>
        <v/>
      </c>
      <c r="K72" s="184" t="n"/>
      <c r="L72" s="185" t="n"/>
      <c r="M72" s="8" t="n"/>
      <c r="N72" s="184">
        <f>M72</f>
        <v/>
      </c>
      <c r="O72" s="71" t="n"/>
      <c r="P72" s="101" t="n"/>
      <c r="Q72" s="9">
        <f>J72-N72</f>
        <v/>
      </c>
      <c r="R72" s="9">
        <f>IF(LEFT(B72,4)&lt;&gt;"    ",0,BI72)</f>
        <v/>
      </c>
      <c r="S72" s="9">
        <f>+Q72-R72</f>
        <v/>
      </c>
      <c r="T72" s="200">
        <f>IF('Jobs-Ops'!S72&lt;&gt; "",'Jobs-Ops'!S72,"")</f>
        <v/>
      </c>
      <c r="U72" s="10" t="n"/>
      <c r="V72" s="23">
        <f>IF(LEFT(B72,4)&lt;&gt;"    ","",IF(N72&lt;&gt;0,X72/N72,0))</f>
        <v/>
      </c>
      <c r="W72" s="11">
        <f>IF(LEFT(B72,4)&lt;&gt;"    ","",IF(V72&gt;=0.1,V72*J72,X72))</f>
        <v/>
      </c>
      <c r="X72" s="8" t="n"/>
      <c r="Y72" s="9">
        <f>IF(LEFT(B72,4)&lt;&gt;"    ",0,IF(Q72&lt;0,Q72,IF(V72&gt;0.1,W72-X72,0)))</f>
        <v/>
      </c>
      <c r="Z72" s="9">
        <f>IF(LEFT(B72,4)&lt;&gt;"    ",0,IF(V72&gt;0.1,BI72,0))</f>
        <v/>
      </c>
      <c r="AA72" s="9">
        <f>Y72-Z72</f>
        <v/>
      </c>
      <c r="AB72" s="10" t="n"/>
      <c r="AC72" s="24" t="n"/>
      <c r="AD72" s="11" t="n"/>
      <c r="AE72" s="8" t="n"/>
      <c r="AF72" s="9">
        <f>IF(LEFT(B72,4)&lt;&gt;"    ","",AD72-AE72)</f>
        <v/>
      </c>
      <c r="AG72" s="10" t="n"/>
      <c r="AH72" s="11">
        <f>IF(LEFT(B72,4)&lt;&gt;"    ","",W72-AD72)</f>
        <v/>
      </c>
      <c r="AI72" s="8">
        <f>IF(LEFT(B72,4)&lt;&gt;"    ","",X72-AE72)</f>
        <v/>
      </c>
      <c r="AJ72" s="9">
        <f>IF(LEFT(B72,4)&lt;&gt;"    ","",Y72-AF72)</f>
        <v/>
      </c>
      <c r="AK72" s="10" t="n"/>
      <c r="AL72" s="25">
        <f>IF(LEFT(B72,4)&lt;&gt;"    ","",J72-W72)</f>
        <v/>
      </c>
      <c r="AM72" s="25">
        <f>N72-X72</f>
        <v/>
      </c>
      <c r="AN72" s="25">
        <f>IF(LEFT(B72,4)&lt;&gt;"    ","",Q72-Y72)</f>
        <v/>
      </c>
      <c r="AO72" s="10" t="n"/>
      <c r="AP72" s="12" t="n"/>
      <c r="AQ72" s="12">
        <f>IF(LEFT(B72,4)&lt;&gt;"    ","",IF(W72-AP72&gt;=0,W72-AP72," "))</f>
        <v/>
      </c>
      <c r="AR72" s="12">
        <f>IF(LEFT(B72,4)&lt;&gt;"    ","",IF(AP72-W72&gt;=0,AP72-W72," "))</f>
        <v/>
      </c>
      <c r="AS72" s="186" t="n"/>
      <c r="AT72" s="187" t="n"/>
      <c r="AU72" s="186" t="n"/>
      <c r="AV72" s="186" t="n"/>
      <c r="AW72" s="188" t="n"/>
      <c r="AX72" s="187" t="n"/>
      <c r="AY72" s="187" t="n"/>
      <c r="AZ72" s="186" t="n"/>
      <c r="BA72" s="186" t="n"/>
      <c r="BB72" s="186" t="n"/>
      <c r="BC72" s="186" t="n"/>
      <c r="BD72" s="186" t="n"/>
      <c r="BE72" s="186" t="n"/>
      <c r="BF72" s="186" t="n"/>
      <c r="BG72" s="186" t="n"/>
      <c r="BH72" s="186" t="n"/>
      <c r="BI72" s="186" t="n"/>
      <c r="BJ72" s="186" t="n"/>
      <c r="BK72" s="186" t="n"/>
      <c r="BL72" s="186" t="n"/>
      <c r="BM72" s="186" t="n"/>
      <c r="BN72" s="186" t="n"/>
      <c r="BO72" s="186" t="n"/>
      <c r="BP72" s="186" t="n"/>
      <c r="BQ72" s="186" t="n"/>
      <c r="BR72" s="189" t="n"/>
      <c r="BS72" s="189" t="n"/>
      <c r="BT72" s="186" t="n"/>
      <c r="BU72" s="186" t="n"/>
      <c r="BV72" s="190" t="n"/>
      <c r="BW72" s="186" t="n"/>
      <c r="BX72" s="186" t="n"/>
      <c r="BY72" s="186" t="n"/>
      <c r="BZ72" s="186" t="n"/>
      <c r="CA72" s="186" t="n"/>
      <c r="CB72" s="187" t="n"/>
      <c r="CC72" s="192" t="n"/>
      <c r="CD72" s="192" t="n"/>
      <c r="CE72" s="192" t="n"/>
      <c r="CF72" s="192" t="n"/>
    </row>
    <row r="73">
      <c r="A73" s="197" t="n"/>
      <c r="B73" s="198" t="n"/>
      <c r="C73" s="198" t="n"/>
      <c r="D73" s="179" t="n"/>
      <c r="E73" s="180" t="n"/>
      <c r="F73" s="181" t="n"/>
      <c r="G73" s="284">
        <f>'Jobs-Ops'!G73</f>
        <v/>
      </c>
      <c r="H73" s="114">
        <f>'Jobs-Ops'!H73</f>
        <v/>
      </c>
      <c r="I73" s="105" t="n"/>
      <c r="J73" s="183">
        <f>F73</f>
        <v/>
      </c>
      <c r="K73" s="184" t="n"/>
      <c r="L73" s="185" t="n"/>
      <c r="M73" s="8" t="n"/>
      <c r="N73" s="184">
        <f>M73</f>
        <v/>
      </c>
      <c r="O73" s="71" t="n"/>
      <c r="P73" s="101" t="n"/>
      <c r="Q73" s="9">
        <f>J73-N73</f>
        <v/>
      </c>
      <c r="R73" s="9">
        <f>IF(LEFT(B73,4)&lt;&gt;"    ",0,BI73)</f>
        <v/>
      </c>
      <c r="S73" s="9">
        <f>+Q73-R73</f>
        <v/>
      </c>
      <c r="T73" s="200">
        <f>IF('Jobs-Ops'!S73&lt;&gt; "",'Jobs-Ops'!S73,"")</f>
        <v/>
      </c>
      <c r="U73" s="10" t="n"/>
      <c r="V73" s="23">
        <f>IF(LEFT(B73,4)&lt;&gt;"    ","",IF(N73&lt;&gt;0,X73/N73,0))</f>
        <v/>
      </c>
      <c r="W73" s="11">
        <f>IF(LEFT(B73,4)&lt;&gt;"    ","",IF(V73&gt;=0.1,V73*J73,X73))</f>
        <v/>
      </c>
      <c r="X73" s="8" t="n"/>
      <c r="Y73" s="9">
        <f>IF(LEFT(B73,4)&lt;&gt;"    ",0,IF(Q73&lt;0,Q73,IF(V73&gt;0.1,W73-X73,0)))</f>
        <v/>
      </c>
      <c r="Z73" s="9">
        <f>IF(LEFT(B73,4)&lt;&gt;"    ",0,IF(V73&gt;0.1,BI73,0))</f>
        <v/>
      </c>
      <c r="AA73" s="9">
        <f>Y73-Z73</f>
        <v/>
      </c>
      <c r="AB73" s="10" t="n"/>
      <c r="AC73" s="24" t="n"/>
      <c r="AD73" s="11" t="n"/>
      <c r="AE73" s="8" t="n"/>
      <c r="AF73" s="9">
        <f>IF(LEFT(B73,4)&lt;&gt;"    ","",AD73-AE73)</f>
        <v/>
      </c>
      <c r="AG73" s="10" t="n"/>
      <c r="AH73" s="11">
        <f>IF(LEFT(B73,4)&lt;&gt;"    ","",W73-AD73)</f>
        <v/>
      </c>
      <c r="AI73" s="8">
        <f>IF(LEFT(B73,4)&lt;&gt;"    ","",X73-AE73)</f>
        <v/>
      </c>
      <c r="AJ73" s="9">
        <f>IF(LEFT(B73,4)&lt;&gt;"    ","",Y73-AF73)</f>
        <v/>
      </c>
      <c r="AK73" s="10" t="n"/>
      <c r="AL73" s="25">
        <f>IF(LEFT(B73,4)&lt;&gt;"    ","",J73-W73)</f>
        <v/>
      </c>
      <c r="AM73" s="25">
        <f>N73-X73</f>
        <v/>
      </c>
      <c r="AN73" s="25">
        <f>IF(LEFT(B73,4)&lt;&gt;"    ","",Q73-Y73)</f>
        <v/>
      </c>
      <c r="AO73" s="10" t="n"/>
      <c r="AP73" s="12" t="n"/>
      <c r="AQ73" s="12">
        <f>IF(LEFT(B73,4)&lt;&gt;"    ","",IF(W73-AP73&gt;=0,W73-AP73," "))</f>
        <v/>
      </c>
      <c r="AR73" s="12">
        <f>IF(LEFT(B73,4)&lt;&gt;"    ","",IF(AP73-W73&gt;=0,AP73-W73," "))</f>
        <v/>
      </c>
      <c r="AS73" s="186" t="n"/>
      <c r="AT73" s="187" t="n"/>
      <c r="AU73" s="186" t="n"/>
      <c r="AV73" s="186" t="n"/>
      <c r="AW73" s="188" t="n"/>
      <c r="AX73" s="187" t="n"/>
      <c r="AY73" s="187" t="n"/>
      <c r="AZ73" s="186" t="n"/>
      <c r="BA73" s="186" t="n"/>
      <c r="BB73" s="186" t="n"/>
      <c r="BC73" s="186" t="n"/>
      <c r="BD73" s="186" t="n"/>
      <c r="BE73" s="186" t="n"/>
      <c r="BF73" s="186" t="n"/>
      <c r="BG73" s="186" t="n"/>
      <c r="BH73" s="186" t="n"/>
      <c r="BI73" s="186" t="n"/>
      <c r="BJ73" s="186" t="n"/>
      <c r="BK73" s="186" t="n"/>
      <c r="BL73" s="186" t="n"/>
      <c r="BM73" s="186" t="n"/>
      <c r="BN73" s="186" t="n"/>
      <c r="BO73" s="186" t="n"/>
      <c r="BP73" s="186" t="n"/>
      <c r="BQ73" s="186" t="n"/>
      <c r="BR73" s="189" t="n"/>
      <c r="BS73" s="189" t="n"/>
      <c r="BT73" s="186" t="n"/>
      <c r="BU73" s="186" t="n"/>
      <c r="BV73" s="190" t="n"/>
      <c r="BW73" s="186" t="n"/>
      <c r="BX73" s="186" t="n"/>
      <c r="BY73" s="186" t="n"/>
      <c r="BZ73" s="186" t="n"/>
      <c r="CA73" s="186" t="n"/>
      <c r="CB73" s="187" t="n"/>
      <c r="CC73" s="192" t="n"/>
      <c r="CD73" s="192" t="n"/>
      <c r="CE73" s="192" t="n"/>
      <c r="CF73" s="192" t="n"/>
    </row>
    <row r="74">
      <c r="A74" s="197" t="n"/>
      <c r="B74" s="198" t="n"/>
      <c r="C74" s="198" t="n"/>
      <c r="D74" s="179" t="n"/>
      <c r="E74" s="180" t="n"/>
      <c r="F74" s="181" t="n"/>
      <c r="G74" s="284">
        <f>'Jobs-Ops'!G74</f>
        <v/>
      </c>
      <c r="H74" s="114">
        <f>'Jobs-Ops'!H74</f>
        <v/>
      </c>
      <c r="I74" s="105" t="n"/>
      <c r="J74" s="183">
        <f>F74</f>
        <v/>
      </c>
      <c r="K74" s="184" t="n"/>
      <c r="L74" s="185" t="n"/>
      <c r="M74" s="8" t="n"/>
      <c r="N74" s="184">
        <f>M74</f>
        <v/>
      </c>
      <c r="O74" s="71" t="n"/>
      <c r="P74" s="101" t="n"/>
      <c r="Q74" s="9">
        <f>J74-N74</f>
        <v/>
      </c>
      <c r="R74" s="9">
        <f>IF(LEFT(B74,4)&lt;&gt;"    ",0,BI74)</f>
        <v/>
      </c>
      <c r="S74" s="9">
        <f>+Q74-R74</f>
        <v/>
      </c>
      <c r="T74" s="200">
        <f>IF('Jobs-Ops'!S74&lt;&gt; "",'Jobs-Ops'!S74,"")</f>
        <v/>
      </c>
      <c r="U74" s="10" t="n"/>
      <c r="V74" s="23">
        <f>IF(LEFT(B74,4)&lt;&gt;"    ","",IF(N74&lt;&gt;0,X74/N74,0))</f>
        <v/>
      </c>
      <c r="W74" s="11">
        <f>IF(LEFT(B74,4)&lt;&gt;"    ","",IF(V74&gt;=0.1,V74*J74,X74))</f>
        <v/>
      </c>
      <c r="X74" s="8" t="n"/>
      <c r="Y74" s="9">
        <f>IF(LEFT(B74,4)&lt;&gt;"    ",0,IF(Q74&lt;0,Q74,IF(V74&gt;0.1,W74-X74,0)))</f>
        <v/>
      </c>
      <c r="Z74" s="9">
        <f>IF(LEFT(B74,4)&lt;&gt;"    ",0,IF(V74&gt;0.1,BI74,0))</f>
        <v/>
      </c>
      <c r="AA74" s="9">
        <f>Y74-Z74</f>
        <v/>
      </c>
      <c r="AB74" s="10" t="n"/>
      <c r="AC74" s="24" t="n"/>
      <c r="AD74" s="11" t="n"/>
      <c r="AE74" s="8" t="n"/>
      <c r="AF74" s="9">
        <f>IF(LEFT(B74,4)&lt;&gt;"    ","",AD74-AE74)</f>
        <v/>
      </c>
      <c r="AG74" s="10" t="n"/>
      <c r="AH74" s="11">
        <f>IF(LEFT(B74,4)&lt;&gt;"    ","",W74-AD74)</f>
        <v/>
      </c>
      <c r="AI74" s="8">
        <f>IF(LEFT(B74,4)&lt;&gt;"    ","",X74-AE74)</f>
        <v/>
      </c>
      <c r="AJ74" s="9">
        <f>IF(LEFT(B74,4)&lt;&gt;"    ","",Y74-AF74)</f>
        <v/>
      </c>
      <c r="AK74" s="10" t="n"/>
      <c r="AL74" s="25">
        <f>IF(LEFT(B74,4)&lt;&gt;"    ","",J74-W74)</f>
        <v/>
      </c>
      <c r="AM74" s="25">
        <f>N74-X74</f>
        <v/>
      </c>
      <c r="AN74" s="25">
        <f>IF(LEFT(B74,4)&lt;&gt;"    ","",Q74-Y74)</f>
        <v/>
      </c>
      <c r="AO74" s="10" t="n"/>
      <c r="AP74" s="12" t="n"/>
      <c r="AQ74" s="12">
        <f>IF(LEFT(B74,4)&lt;&gt;"    ","",IF(W74-AP74&gt;=0,W74-AP74," "))</f>
        <v/>
      </c>
      <c r="AR74" s="12">
        <f>IF(LEFT(B74,4)&lt;&gt;"    ","",IF(AP74-W74&gt;=0,AP74-W74," "))</f>
        <v/>
      </c>
      <c r="AS74" s="186" t="n"/>
      <c r="AT74" s="187" t="n"/>
      <c r="AU74" s="186" t="n"/>
      <c r="AV74" s="186" t="n"/>
      <c r="AW74" s="188" t="n"/>
      <c r="AX74" s="187" t="n"/>
      <c r="AY74" s="187" t="n"/>
      <c r="AZ74" s="186" t="n"/>
      <c r="BA74" s="186" t="n"/>
      <c r="BB74" s="186" t="n"/>
      <c r="BC74" s="186" t="n"/>
      <c r="BD74" s="186" t="n"/>
      <c r="BE74" s="186" t="n"/>
      <c r="BF74" s="186" t="n"/>
      <c r="BG74" s="186" t="n"/>
      <c r="BH74" s="186" t="n"/>
      <c r="BI74" s="186" t="n"/>
      <c r="BJ74" s="186" t="n"/>
      <c r="BK74" s="186" t="n"/>
      <c r="BL74" s="186" t="n"/>
      <c r="BM74" s="186" t="n"/>
      <c r="BN74" s="186" t="n"/>
      <c r="BO74" s="186" t="n"/>
      <c r="BP74" s="186" t="n"/>
      <c r="BQ74" s="186" t="n"/>
      <c r="BR74" s="189" t="n"/>
      <c r="BS74" s="189" t="n"/>
      <c r="BT74" s="186" t="n"/>
      <c r="BU74" s="186" t="n"/>
      <c r="BV74" s="190" t="n"/>
      <c r="BW74" s="186" t="n"/>
      <c r="BX74" s="186" t="n"/>
      <c r="BY74" s="186" t="n"/>
      <c r="BZ74" s="186" t="n"/>
      <c r="CA74" s="186" t="n"/>
      <c r="CB74" s="187" t="n"/>
      <c r="CC74" s="192" t="n"/>
      <c r="CD74" s="192" t="n"/>
      <c r="CE74" s="192" t="n"/>
      <c r="CF74" s="192" t="n"/>
    </row>
    <row r="75">
      <c r="A75" s="197" t="n"/>
      <c r="B75" s="198" t="n"/>
      <c r="C75" s="198" t="n"/>
      <c r="D75" s="179" t="n"/>
      <c r="E75" s="180" t="n"/>
      <c r="F75" s="181" t="n"/>
      <c r="G75" s="284">
        <f>'Jobs-Ops'!G75</f>
        <v/>
      </c>
      <c r="H75" s="114">
        <f>'Jobs-Ops'!H75</f>
        <v/>
      </c>
      <c r="I75" s="105" t="n"/>
      <c r="J75" s="183">
        <f>F75</f>
        <v/>
      </c>
      <c r="K75" s="184" t="n"/>
      <c r="L75" s="185" t="n"/>
      <c r="M75" s="8" t="n"/>
      <c r="N75" s="184">
        <f>M75</f>
        <v/>
      </c>
      <c r="O75" s="71" t="n"/>
      <c r="P75" s="101" t="n"/>
      <c r="Q75" s="9">
        <f>J75-N75</f>
        <v/>
      </c>
      <c r="R75" s="9">
        <f>IF(LEFT(B75,4)&lt;&gt;"    ",0,BI75)</f>
        <v/>
      </c>
      <c r="S75" s="9">
        <f>+Q75-R75</f>
        <v/>
      </c>
      <c r="T75" s="200">
        <f>IF('Jobs-Ops'!S75&lt;&gt; "",'Jobs-Ops'!S75,"")</f>
        <v/>
      </c>
      <c r="U75" s="10" t="n"/>
      <c r="V75" s="23">
        <f>IF(LEFT(B75,4)&lt;&gt;"    ","",IF(N75&lt;&gt;0,X75/N75,0))</f>
        <v/>
      </c>
      <c r="W75" s="11">
        <f>IF(LEFT(B75,4)&lt;&gt;"    ","",IF(V75&gt;=0.1,V75*J75,X75))</f>
        <v/>
      </c>
      <c r="X75" s="8" t="n"/>
      <c r="Y75" s="9">
        <f>IF(LEFT(B75,4)&lt;&gt;"    ",0,IF(Q75&lt;0,Q75,IF(V75&gt;0.1,W75-X75,0)))</f>
        <v/>
      </c>
      <c r="Z75" s="9">
        <f>IF(LEFT(B75,4)&lt;&gt;"    ",0,IF(V75&gt;0.1,BI75,0))</f>
        <v/>
      </c>
      <c r="AA75" s="9">
        <f>Y75-Z75</f>
        <v/>
      </c>
      <c r="AB75" s="10" t="n"/>
      <c r="AC75" s="24" t="n"/>
      <c r="AD75" s="11" t="n"/>
      <c r="AE75" s="8" t="n"/>
      <c r="AF75" s="9">
        <f>IF(LEFT(B75,4)&lt;&gt;"    ","",AD75-AE75)</f>
        <v/>
      </c>
      <c r="AG75" s="10" t="n"/>
      <c r="AH75" s="11">
        <f>IF(LEFT(B75,4)&lt;&gt;"    ","",W75-AD75)</f>
        <v/>
      </c>
      <c r="AI75" s="8">
        <f>IF(LEFT(B75,4)&lt;&gt;"    ","",X75-AE75)</f>
        <v/>
      </c>
      <c r="AJ75" s="9">
        <f>IF(LEFT(B75,4)&lt;&gt;"    ","",Y75-AF75)</f>
        <v/>
      </c>
      <c r="AK75" s="10" t="n"/>
      <c r="AL75" s="25">
        <f>IF(LEFT(B75,4)&lt;&gt;"    ","",J75-W75)</f>
        <v/>
      </c>
      <c r="AM75" s="25">
        <f>N75-X75</f>
        <v/>
      </c>
      <c r="AN75" s="25">
        <f>IF(LEFT(B75,4)&lt;&gt;"    ","",Q75-Y75)</f>
        <v/>
      </c>
      <c r="AO75" s="10" t="n"/>
      <c r="AP75" s="12" t="n"/>
      <c r="AQ75" s="12">
        <f>IF(LEFT(B75,4)&lt;&gt;"    ","",IF(W75-AP75&gt;=0,W75-AP75," "))</f>
        <v/>
      </c>
      <c r="AR75" s="12">
        <f>IF(LEFT(B75,4)&lt;&gt;"    ","",IF(AP75-W75&gt;=0,AP75-W75," "))</f>
        <v/>
      </c>
      <c r="AS75" s="186" t="n"/>
      <c r="AT75" s="187" t="n"/>
      <c r="AU75" s="186" t="n"/>
      <c r="AV75" s="186" t="n"/>
      <c r="AW75" s="188" t="n"/>
      <c r="AX75" s="187" t="n"/>
      <c r="AY75" s="187" t="n"/>
      <c r="AZ75" s="186" t="n"/>
      <c r="BA75" s="186" t="n"/>
      <c r="BB75" s="186" t="n"/>
      <c r="BC75" s="186" t="n"/>
      <c r="BD75" s="186" t="n"/>
      <c r="BE75" s="186" t="n"/>
      <c r="BF75" s="186" t="n"/>
      <c r="BG75" s="186" t="n"/>
      <c r="BH75" s="186" t="n"/>
      <c r="BI75" s="186" t="n"/>
      <c r="BJ75" s="186" t="n"/>
      <c r="BK75" s="186" t="n"/>
      <c r="BL75" s="186" t="n"/>
      <c r="BM75" s="186" t="n"/>
      <c r="BN75" s="186" t="n"/>
      <c r="BO75" s="186" t="n"/>
      <c r="BP75" s="186" t="n"/>
      <c r="BQ75" s="186" t="n"/>
      <c r="BR75" s="189" t="n"/>
      <c r="BS75" s="189" t="n"/>
      <c r="BT75" s="186" t="n"/>
      <c r="BU75" s="186" t="n"/>
      <c r="BV75" s="190" t="n"/>
      <c r="BW75" s="186" t="n"/>
      <c r="BX75" s="186" t="n"/>
      <c r="BY75" s="186" t="n"/>
      <c r="BZ75" s="186" t="n"/>
      <c r="CA75" s="186" t="n"/>
      <c r="CB75" s="187" t="n"/>
      <c r="CC75" s="192" t="n"/>
      <c r="CD75" s="192" t="n"/>
      <c r="CE75" s="192" t="n"/>
      <c r="CF75" s="192" t="n"/>
    </row>
    <row r="76">
      <c r="A76" s="197" t="n"/>
      <c r="B76" s="198" t="n"/>
      <c r="C76" s="198" t="n"/>
      <c r="D76" s="179" t="n"/>
      <c r="E76" s="180" t="n"/>
      <c r="F76" s="181" t="n"/>
      <c r="G76" s="284">
        <f>'Jobs-Ops'!G76</f>
        <v/>
      </c>
      <c r="H76" s="114">
        <f>'Jobs-Ops'!H76</f>
        <v/>
      </c>
      <c r="I76" s="105" t="n"/>
      <c r="J76" s="183">
        <f>F76</f>
        <v/>
      </c>
      <c r="K76" s="184" t="n"/>
      <c r="L76" s="185" t="n"/>
      <c r="M76" s="8" t="n"/>
      <c r="N76" s="184">
        <f>M76</f>
        <v/>
      </c>
      <c r="O76" s="71" t="n"/>
      <c r="P76" s="101" t="n"/>
      <c r="Q76" s="9">
        <f>J76-N76</f>
        <v/>
      </c>
      <c r="R76" s="9">
        <f>IF(LEFT(B76,4)&lt;&gt;"    ",0,BI76)</f>
        <v/>
      </c>
      <c r="S76" s="9">
        <f>+Q76-R76</f>
        <v/>
      </c>
      <c r="T76" s="200">
        <f>IF('Jobs-Ops'!S76&lt;&gt; "",'Jobs-Ops'!S76,"")</f>
        <v/>
      </c>
      <c r="U76" s="10" t="n"/>
      <c r="V76" s="23">
        <f>IF(LEFT(B76,4)&lt;&gt;"    ","",IF(N76&lt;&gt;0,X76/N76,0))</f>
        <v/>
      </c>
      <c r="W76" s="11">
        <f>IF(LEFT(B76,4)&lt;&gt;"    ","",IF(V76&gt;=0.1,V76*J76,X76))</f>
        <v/>
      </c>
      <c r="X76" s="8" t="n"/>
      <c r="Y76" s="9">
        <f>IF(LEFT(B76,4)&lt;&gt;"    ",0,IF(Q76&lt;0,Q76,IF(V76&gt;0.1,W76-X76,0)))</f>
        <v/>
      </c>
      <c r="Z76" s="9">
        <f>IF(LEFT(B76,4)&lt;&gt;"    ",0,IF(V76&gt;0.1,BI76,0))</f>
        <v/>
      </c>
      <c r="AA76" s="9">
        <f>Y76-Z76</f>
        <v/>
      </c>
      <c r="AB76" s="10" t="n"/>
      <c r="AC76" s="24" t="n"/>
      <c r="AD76" s="11" t="n"/>
      <c r="AE76" s="8" t="n"/>
      <c r="AF76" s="9">
        <f>IF(LEFT(B76,4)&lt;&gt;"    ","",AD76-AE76)</f>
        <v/>
      </c>
      <c r="AG76" s="10" t="n"/>
      <c r="AH76" s="11">
        <f>IF(LEFT(B76,4)&lt;&gt;"    ","",W76-AD76)</f>
        <v/>
      </c>
      <c r="AI76" s="8">
        <f>IF(LEFT(B76,4)&lt;&gt;"    ","",X76-AE76)</f>
        <v/>
      </c>
      <c r="AJ76" s="9">
        <f>IF(LEFT(B76,4)&lt;&gt;"    ","",Y76-AF76)</f>
        <v/>
      </c>
      <c r="AK76" s="10" t="n"/>
      <c r="AL76" s="25">
        <f>IF(LEFT(B76,4)&lt;&gt;"    ","",J76-W76)</f>
        <v/>
      </c>
      <c r="AM76" s="25">
        <f>N76-X76</f>
        <v/>
      </c>
      <c r="AN76" s="25">
        <f>IF(LEFT(B76,4)&lt;&gt;"    ","",Q76-Y76)</f>
        <v/>
      </c>
      <c r="AO76" s="10" t="n"/>
      <c r="AP76" s="12" t="n"/>
      <c r="AQ76" s="12">
        <f>IF(LEFT(B76,4)&lt;&gt;"    ","",IF(W76-AP76&gt;=0,W76-AP76," "))</f>
        <v/>
      </c>
      <c r="AR76" s="12">
        <f>IF(LEFT(B76,4)&lt;&gt;"    ","",IF(AP76-W76&gt;=0,AP76-W76," "))</f>
        <v/>
      </c>
      <c r="AS76" s="186" t="n"/>
      <c r="AT76" s="187" t="n"/>
      <c r="AU76" s="186" t="n"/>
      <c r="AV76" s="186" t="n"/>
      <c r="AW76" s="188" t="n"/>
      <c r="AX76" s="187" t="n"/>
      <c r="AY76" s="187" t="n"/>
      <c r="AZ76" s="186" t="n"/>
      <c r="BA76" s="186" t="n"/>
      <c r="BB76" s="186" t="n"/>
      <c r="BC76" s="186" t="n"/>
      <c r="BD76" s="186" t="n"/>
      <c r="BE76" s="186" t="n"/>
      <c r="BF76" s="186" t="n"/>
      <c r="BG76" s="186" t="n"/>
      <c r="BH76" s="186" t="n"/>
      <c r="BI76" s="186" t="n"/>
      <c r="BJ76" s="186" t="n"/>
      <c r="BK76" s="186" t="n"/>
      <c r="BL76" s="186" t="n"/>
      <c r="BM76" s="186" t="n"/>
      <c r="BN76" s="186" t="n"/>
      <c r="BO76" s="186" t="n"/>
      <c r="BP76" s="186" t="n"/>
      <c r="BQ76" s="186" t="n"/>
      <c r="BR76" s="189" t="n"/>
      <c r="BS76" s="189" t="n"/>
      <c r="BT76" s="186" t="n"/>
      <c r="BU76" s="186" t="n"/>
      <c r="BV76" s="190" t="n"/>
      <c r="BW76" s="186" t="n"/>
      <c r="BX76" s="186" t="n"/>
      <c r="BY76" s="186" t="n"/>
      <c r="BZ76" s="186" t="n"/>
      <c r="CA76" s="186" t="n"/>
      <c r="CB76" s="187" t="n"/>
      <c r="CC76" s="192" t="n"/>
      <c r="CD76" s="192" t="n"/>
      <c r="CE76" s="192" t="n"/>
      <c r="CF76" s="192" t="n"/>
    </row>
    <row r="77">
      <c r="A77" s="197" t="n"/>
      <c r="B77" s="198" t="n"/>
      <c r="C77" s="198" t="n"/>
      <c r="D77" s="179" t="n"/>
      <c r="E77" s="180" t="n"/>
      <c r="F77" s="181" t="n"/>
      <c r="G77" s="284">
        <f>'Jobs-Ops'!G77</f>
        <v/>
      </c>
      <c r="H77" s="114">
        <f>'Jobs-Ops'!H77</f>
        <v/>
      </c>
      <c r="I77" s="105" t="n"/>
      <c r="J77" s="183">
        <f>F77</f>
        <v/>
      </c>
      <c r="K77" s="184" t="n"/>
      <c r="L77" s="185" t="n"/>
      <c r="M77" s="8" t="n"/>
      <c r="N77" s="184">
        <f>M77</f>
        <v/>
      </c>
      <c r="O77" s="71" t="n"/>
      <c r="P77" s="101" t="n"/>
      <c r="Q77" s="9">
        <f>J77-N77</f>
        <v/>
      </c>
      <c r="R77" s="9">
        <f>IF(LEFT(B77,4)&lt;&gt;"    ",0,BI77)</f>
        <v/>
      </c>
      <c r="S77" s="9">
        <f>+Q77-R77</f>
        <v/>
      </c>
      <c r="T77" s="200">
        <f>IF('Jobs-Ops'!S77&lt;&gt; "",'Jobs-Ops'!S77,"")</f>
        <v/>
      </c>
      <c r="U77" s="10" t="n"/>
      <c r="V77" s="23">
        <f>IF(LEFT(B77,4)&lt;&gt;"    ","",IF(N77&lt;&gt;0,X77/N77,0))</f>
        <v/>
      </c>
      <c r="W77" s="11">
        <f>IF(LEFT(B77,4)&lt;&gt;"    ","",IF(V77&gt;=0.1,V77*J77,X77))</f>
        <v/>
      </c>
      <c r="X77" s="8" t="n"/>
      <c r="Y77" s="9">
        <f>IF(LEFT(B77,4)&lt;&gt;"    ",0,IF(Q77&lt;0,Q77,IF(V77&gt;0.1,W77-X77,0)))</f>
        <v/>
      </c>
      <c r="Z77" s="9">
        <f>IF(LEFT(B77,4)&lt;&gt;"    ",0,IF(V77&gt;0.1,BI77,0))</f>
        <v/>
      </c>
      <c r="AA77" s="9">
        <f>Y77-Z77</f>
        <v/>
      </c>
      <c r="AB77" s="10" t="n"/>
      <c r="AC77" s="24" t="n"/>
      <c r="AD77" s="11" t="n"/>
      <c r="AE77" s="8" t="n"/>
      <c r="AF77" s="9">
        <f>IF(LEFT(B77,4)&lt;&gt;"    ","",AD77-AE77)</f>
        <v/>
      </c>
      <c r="AG77" s="10" t="n"/>
      <c r="AH77" s="11">
        <f>IF(LEFT(B77,4)&lt;&gt;"    ","",W77-AD77)</f>
        <v/>
      </c>
      <c r="AI77" s="8">
        <f>IF(LEFT(B77,4)&lt;&gt;"    ","",X77-AE77)</f>
        <v/>
      </c>
      <c r="AJ77" s="9">
        <f>IF(LEFT(B77,4)&lt;&gt;"    ","",Y77-AF77)</f>
        <v/>
      </c>
      <c r="AK77" s="10" t="n"/>
      <c r="AL77" s="25">
        <f>IF(LEFT(B77,4)&lt;&gt;"    ","",J77-W77)</f>
        <v/>
      </c>
      <c r="AM77" s="25">
        <f>N77-X77</f>
        <v/>
      </c>
      <c r="AN77" s="25">
        <f>IF(LEFT(B77,4)&lt;&gt;"    ","",Q77-Y77)</f>
        <v/>
      </c>
      <c r="AO77" s="10" t="n"/>
      <c r="AP77" s="12" t="n"/>
      <c r="AQ77" s="12">
        <f>IF(LEFT(B77,4)&lt;&gt;"    ","",IF(W77-AP77&gt;=0,W77-AP77," "))</f>
        <v/>
      </c>
      <c r="AR77" s="12">
        <f>IF(LEFT(B77,4)&lt;&gt;"    ","",IF(AP77-W77&gt;=0,AP77-W77," "))</f>
        <v/>
      </c>
      <c r="AS77" s="186" t="n"/>
      <c r="AT77" s="187" t="n"/>
      <c r="AU77" s="186" t="n"/>
      <c r="AV77" s="186" t="n"/>
      <c r="AW77" s="188" t="n"/>
      <c r="AX77" s="187" t="n"/>
      <c r="AY77" s="187" t="n"/>
      <c r="AZ77" s="186" t="n"/>
      <c r="BA77" s="186" t="n"/>
      <c r="BB77" s="186" t="n"/>
      <c r="BC77" s="186" t="n"/>
      <c r="BD77" s="186" t="n"/>
      <c r="BE77" s="186" t="n"/>
      <c r="BF77" s="186" t="n"/>
      <c r="BG77" s="186" t="n"/>
      <c r="BH77" s="186" t="n"/>
      <c r="BI77" s="186" t="n"/>
      <c r="BJ77" s="186" t="n"/>
      <c r="BK77" s="186" t="n"/>
      <c r="BL77" s="186" t="n"/>
      <c r="BM77" s="186" t="n"/>
      <c r="BN77" s="186" t="n"/>
      <c r="BO77" s="186" t="n"/>
      <c r="BP77" s="186" t="n"/>
      <c r="BQ77" s="186" t="n"/>
      <c r="BR77" s="189" t="n"/>
      <c r="BS77" s="189" t="n"/>
      <c r="BT77" s="186" t="n"/>
      <c r="BU77" s="186" t="n"/>
      <c r="BV77" s="190" t="n"/>
      <c r="BW77" s="186" t="n"/>
      <c r="BX77" s="186" t="n"/>
      <c r="BY77" s="186" t="n"/>
      <c r="BZ77" s="186" t="n"/>
      <c r="CA77" s="186" t="n"/>
      <c r="CB77" s="187" t="n"/>
      <c r="CC77" s="192" t="n"/>
      <c r="CD77" s="192" t="n"/>
      <c r="CE77" s="192" t="n"/>
      <c r="CF77" s="192" t="n"/>
    </row>
    <row r="78">
      <c r="A78" s="197" t="n"/>
      <c r="B78" s="198" t="n"/>
      <c r="C78" s="198" t="n"/>
      <c r="D78" s="179" t="n"/>
      <c r="E78" s="180" t="n"/>
      <c r="F78" s="181" t="n"/>
      <c r="G78" s="284">
        <f>'Jobs-Ops'!G78</f>
        <v/>
      </c>
      <c r="H78" s="114">
        <f>'Jobs-Ops'!H78</f>
        <v/>
      </c>
      <c r="I78" s="105" t="n"/>
      <c r="J78" s="183">
        <f>F78</f>
        <v/>
      </c>
      <c r="K78" s="184" t="n"/>
      <c r="L78" s="185" t="n"/>
      <c r="M78" s="8" t="n"/>
      <c r="N78" s="184">
        <f>M78</f>
        <v/>
      </c>
      <c r="O78" s="71" t="n"/>
      <c r="P78" s="101" t="n"/>
      <c r="Q78" s="9">
        <f>J78-N78</f>
        <v/>
      </c>
      <c r="R78" s="9">
        <f>IF(LEFT(B78,4)&lt;&gt;"    ",0,BI78)</f>
        <v/>
      </c>
      <c r="S78" s="9">
        <f>+Q78-R78</f>
        <v/>
      </c>
      <c r="T78" s="200">
        <f>IF('Jobs-Ops'!S78&lt;&gt; "",'Jobs-Ops'!S78,"")</f>
        <v/>
      </c>
      <c r="U78" s="10" t="n"/>
      <c r="V78" s="23">
        <f>IF(LEFT(B78,4)&lt;&gt;"    ","",IF(N78&lt;&gt;0,X78/N78,0))</f>
        <v/>
      </c>
      <c r="W78" s="11">
        <f>IF(LEFT(B78,4)&lt;&gt;"    ","",IF(V78&gt;=0.1,V78*J78,X78))</f>
        <v/>
      </c>
      <c r="X78" s="8" t="n"/>
      <c r="Y78" s="9">
        <f>IF(LEFT(B78,4)&lt;&gt;"    ",0,IF(Q78&lt;0,Q78,IF(V78&gt;0.1,W78-X78,0)))</f>
        <v/>
      </c>
      <c r="Z78" s="9">
        <f>IF(LEFT(B78,4)&lt;&gt;"    ",0,IF(V78&gt;0.1,BI78,0))</f>
        <v/>
      </c>
      <c r="AA78" s="9">
        <f>Y78-Z78</f>
        <v/>
      </c>
      <c r="AB78" s="10" t="n"/>
      <c r="AC78" s="24" t="n"/>
      <c r="AD78" s="11" t="n"/>
      <c r="AE78" s="8" t="n"/>
      <c r="AF78" s="9">
        <f>IF(LEFT(B78,4)&lt;&gt;"    ","",AD78-AE78)</f>
        <v/>
      </c>
      <c r="AG78" s="10" t="n"/>
      <c r="AH78" s="11">
        <f>IF(LEFT(B78,4)&lt;&gt;"    ","",W78-AD78)</f>
        <v/>
      </c>
      <c r="AI78" s="8">
        <f>IF(LEFT(B78,4)&lt;&gt;"    ","",X78-AE78)</f>
        <v/>
      </c>
      <c r="AJ78" s="9">
        <f>IF(LEFT(B78,4)&lt;&gt;"    ","",Y78-AF78)</f>
        <v/>
      </c>
      <c r="AK78" s="10" t="n"/>
      <c r="AL78" s="25">
        <f>IF(LEFT(B78,4)&lt;&gt;"    ","",J78-W78)</f>
        <v/>
      </c>
      <c r="AM78" s="25">
        <f>N78-X78</f>
        <v/>
      </c>
      <c r="AN78" s="25">
        <f>IF(LEFT(B78,4)&lt;&gt;"    ","",Q78-Y78)</f>
        <v/>
      </c>
      <c r="AO78" s="10" t="n"/>
      <c r="AP78" s="12" t="n"/>
      <c r="AQ78" s="12">
        <f>IF(LEFT(B78,4)&lt;&gt;"    ","",IF(W78-AP78&gt;=0,W78-AP78," "))</f>
        <v/>
      </c>
      <c r="AR78" s="12">
        <f>IF(LEFT(B78,4)&lt;&gt;"    ","",IF(AP78-W78&gt;=0,AP78-W78," "))</f>
        <v/>
      </c>
      <c r="AS78" s="186" t="n"/>
      <c r="AT78" s="187" t="n"/>
      <c r="AU78" s="186" t="n"/>
      <c r="AV78" s="186" t="n"/>
      <c r="AW78" s="188" t="n"/>
      <c r="AX78" s="187" t="n"/>
      <c r="AY78" s="187" t="n"/>
      <c r="AZ78" s="186" t="n"/>
      <c r="BA78" s="186" t="n"/>
      <c r="BB78" s="186" t="n"/>
      <c r="BC78" s="186" t="n"/>
      <c r="BD78" s="186" t="n"/>
      <c r="BE78" s="186" t="n"/>
      <c r="BF78" s="186" t="n"/>
      <c r="BG78" s="186" t="n"/>
      <c r="BH78" s="186" t="n"/>
      <c r="BI78" s="186" t="n"/>
      <c r="BJ78" s="186" t="n"/>
      <c r="BK78" s="186" t="n"/>
      <c r="BL78" s="186" t="n"/>
      <c r="BM78" s="186" t="n"/>
      <c r="BN78" s="186" t="n"/>
      <c r="BO78" s="186" t="n"/>
      <c r="BP78" s="186" t="n"/>
      <c r="BQ78" s="186" t="n"/>
      <c r="BR78" s="189" t="n"/>
      <c r="BS78" s="189" t="n"/>
      <c r="BT78" s="186" t="n"/>
      <c r="BU78" s="186" t="n"/>
      <c r="BV78" s="190" t="n"/>
      <c r="BW78" s="186" t="n"/>
      <c r="BX78" s="186" t="n"/>
      <c r="BY78" s="186" t="n"/>
      <c r="BZ78" s="186" t="n"/>
      <c r="CA78" s="186" t="n"/>
      <c r="CB78" s="187" t="n"/>
      <c r="CC78" s="192" t="n"/>
      <c r="CD78" s="192" t="n"/>
      <c r="CE78" s="192" t="n"/>
      <c r="CF78" s="192" t="n"/>
    </row>
    <row r="79">
      <c r="A79" s="197" t="n"/>
      <c r="B79" s="198" t="n"/>
      <c r="C79" s="198" t="n"/>
      <c r="D79" s="179" t="n"/>
      <c r="E79" s="180" t="n"/>
      <c r="F79" s="181" t="n"/>
      <c r="G79" s="284">
        <f>'Jobs-Ops'!G79</f>
        <v/>
      </c>
      <c r="H79" s="114">
        <f>'Jobs-Ops'!H79</f>
        <v/>
      </c>
      <c r="I79" s="105" t="n"/>
      <c r="J79" s="183">
        <f>F79</f>
        <v/>
      </c>
      <c r="K79" s="184" t="n"/>
      <c r="L79" s="185" t="n"/>
      <c r="M79" s="8" t="n"/>
      <c r="N79" s="184">
        <f>M79</f>
        <v/>
      </c>
      <c r="O79" s="71" t="n"/>
      <c r="P79" s="101" t="n"/>
      <c r="Q79" s="9">
        <f>J79-N79</f>
        <v/>
      </c>
      <c r="R79" s="9">
        <f>IF(LEFT(B79,4)&lt;&gt;"    ",0,BI79)</f>
        <v/>
      </c>
      <c r="S79" s="9">
        <f>+Q79-R79</f>
        <v/>
      </c>
      <c r="T79" s="200">
        <f>IF('Jobs-Ops'!S79&lt;&gt; "",'Jobs-Ops'!S79,"")</f>
        <v/>
      </c>
      <c r="U79" s="10" t="n"/>
      <c r="V79" s="23">
        <f>IF(LEFT(B79,4)&lt;&gt;"    ","",IF(N79&lt;&gt;0,X79/N79,0))</f>
        <v/>
      </c>
      <c r="W79" s="11">
        <f>IF(LEFT(B79,4)&lt;&gt;"    ","",IF(V79&gt;=0.1,V79*J79,X79))</f>
        <v/>
      </c>
      <c r="X79" s="8" t="n"/>
      <c r="Y79" s="9">
        <f>IF(LEFT(B79,4)&lt;&gt;"    ",0,IF(Q79&lt;0,Q79,IF(V79&gt;0.1,W79-X79,0)))</f>
        <v/>
      </c>
      <c r="Z79" s="9">
        <f>IF(LEFT(B79,4)&lt;&gt;"    ",0,IF(V79&gt;0.1,BI79,0))</f>
        <v/>
      </c>
      <c r="AA79" s="9">
        <f>Y79-Z79</f>
        <v/>
      </c>
      <c r="AB79" s="10" t="n"/>
      <c r="AC79" s="24" t="n"/>
      <c r="AD79" s="11" t="n"/>
      <c r="AE79" s="8" t="n"/>
      <c r="AF79" s="9">
        <f>IF(LEFT(B79,4)&lt;&gt;"    ","",AD79-AE79)</f>
        <v/>
      </c>
      <c r="AG79" s="10" t="n"/>
      <c r="AH79" s="11">
        <f>IF(LEFT(B79,4)&lt;&gt;"    ","",W79-AD79)</f>
        <v/>
      </c>
      <c r="AI79" s="8">
        <f>IF(LEFT(B79,4)&lt;&gt;"    ","",X79-AE79)</f>
        <v/>
      </c>
      <c r="AJ79" s="9">
        <f>IF(LEFT(B79,4)&lt;&gt;"    ","",Y79-AF79)</f>
        <v/>
      </c>
      <c r="AK79" s="10" t="n"/>
      <c r="AL79" s="25">
        <f>IF(LEFT(B79,4)&lt;&gt;"    ","",J79-W79)</f>
        <v/>
      </c>
      <c r="AM79" s="25">
        <f>N79-X79</f>
        <v/>
      </c>
      <c r="AN79" s="25">
        <f>IF(LEFT(B79,4)&lt;&gt;"    ","",Q79-Y79)</f>
        <v/>
      </c>
      <c r="AO79" s="10" t="n"/>
      <c r="AP79" s="12" t="n"/>
      <c r="AQ79" s="12">
        <f>IF(LEFT(B79,4)&lt;&gt;"    ","",IF(W79-AP79&gt;=0,W79-AP79," "))</f>
        <v/>
      </c>
      <c r="AR79" s="12">
        <f>IF(LEFT(B79,4)&lt;&gt;"    ","",IF(AP79-W79&gt;=0,AP79-W79," "))</f>
        <v/>
      </c>
      <c r="AS79" s="186" t="n"/>
      <c r="AT79" s="187" t="n"/>
      <c r="AU79" s="186" t="n"/>
      <c r="AV79" s="186" t="n"/>
      <c r="AW79" s="188" t="n"/>
      <c r="AX79" s="187" t="n"/>
      <c r="AY79" s="187" t="n"/>
      <c r="AZ79" s="186" t="n"/>
      <c r="BA79" s="186" t="n"/>
      <c r="BB79" s="186" t="n"/>
      <c r="BC79" s="186" t="n"/>
      <c r="BD79" s="186" t="n"/>
      <c r="BE79" s="186" t="n"/>
      <c r="BF79" s="186" t="n"/>
      <c r="BG79" s="186" t="n"/>
      <c r="BH79" s="186" t="n"/>
      <c r="BI79" s="186" t="n"/>
      <c r="BJ79" s="186" t="n"/>
      <c r="BK79" s="186" t="n"/>
      <c r="BL79" s="186" t="n"/>
      <c r="BM79" s="186" t="n"/>
      <c r="BN79" s="186" t="n"/>
      <c r="BO79" s="186" t="n"/>
      <c r="BP79" s="186" t="n"/>
      <c r="BQ79" s="186" t="n"/>
      <c r="BR79" s="189" t="n"/>
      <c r="BS79" s="189" t="n"/>
      <c r="BT79" s="186" t="n"/>
      <c r="BU79" s="186" t="n"/>
      <c r="BV79" s="190" t="n"/>
      <c r="BW79" s="186" t="n"/>
      <c r="BX79" s="186" t="n"/>
      <c r="BY79" s="186" t="n"/>
      <c r="BZ79" s="186" t="n"/>
      <c r="CA79" s="186" t="n"/>
      <c r="CB79" s="187" t="n"/>
      <c r="CC79" s="192" t="n"/>
      <c r="CD79" s="192" t="n"/>
      <c r="CE79" s="192" t="n"/>
      <c r="CF79" s="192" t="n"/>
    </row>
    <row r="80">
      <c r="A80" s="197" t="n"/>
      <c r="B80" s="198" t="n"/>
      <c r="C80" s="198" t="n"/>
      <c r="D80" s="179" t="n"/>
      <c r="E80" s="180" t="n"/>
      <c r="F80" s="181" t="n"/>
      <c r="G80" s="284">
        <f>'Jobs-Ops'!G80</f>
        <v/>
      </c>
      <c r="H80" s="114">
        <f>'Jobs-Ops'!H80</f>
        <v/>
      </c>
      <c r="I80" s="105" t="n"/>
      <c r="J80" s="183">
        <f>F80</f>
        <v/>
      </c>
      <c r="K80" s="184" t="n"/>
      <c r="L80" s="185" t="n"/>
      <c r="M80" s="8" t="n"/>
      <c r="N80" s="184">
        <f>M80</f>
        <v/>
      </c>
      <c r="O80" s="71" t="n"/>
      <c r="P80" s="101" t="n"/>
      <c r="Q80" s="9">
        <f>J80-N80</f>
        <v/>
      </c>
      <c r="R80" s="9">
        <f>IF(LEFT(B80,4)&lt;&gt;"    ",0,BI80)</f>
        <v/>
      </c>
      <c r="S80" s="9">
        <f>+Q80-R80</f>
        <v/>
      </c>
      <c r="T80" s="200">
        <f>IF('Jobs-Ops'!S80&lt;&gt; "",'Jobs-Ops'!S80,"")</f>
        <v/>
      </c>
      <c r="U80" s="10" t="n"/>
      <c r="V80" s="23">
        <f>IF(LEFT(B80,4)&lt;&gt;"    ","",IF(N80&lt;&gt;0,X80/N80,0))</f>
        <v/>
      </c>
      <c r="W80" s="11">
        <f>IF(LEFT(B80,4)&lt;&gt;"    ","",IF(V80&gt;=0.1,V80*J80,X80))</f>
        <v/>
      </c>
      <c r="X80" s="8" t="n"/>
      <c r="Y80" s="9">
        <f>IF(LEFT(B80,4)&lt;&gt;"    ",0,IF(Q80&lt;0,Q80,IF(V80&gt;0.1,W80-X80,0)))</f>
        <v/>
      </c>
      <c r="Z80" s="9">
        <f>IF(LEFT(B80,4)&lt;&gt;"    ",0,IF(V80&gt;0.1,BI80,0))</f>
        <v/>
      </c>
      <c r="AA80" s="9">
        <f>Y80-Z80</f>
        <v/>
      </c>
      <c r="AB80" s="10" t="n"/>
      <c r="AC80" s="24" t="n"/>
      <c r="AD80" s="11" t="n"/>
      <c r="AE80" s="8" t="n"/>
      <c r="AF80" s="9">
        <f>IF(LEFT(B80,4)&lt;&gt;"    ","",AD80-AE80)</f>
        <v/>
      </c>
      <c r="AG80" s="10" t="n"/>
      <c r="AH80" s="11">
        <f>IF(LEFT(B80,4)&lt;&gt;"    ","",W80-AD80)</f>
        <v/>
      </c>
      <c r="AI80" s="8">
        <f>IF(LEFT(B80,4)&lt;&gt;"    ","",X80-AE80)</f>
        <v/>
      </c>
      <c r="AJ80" s="9">
        <f>IF(LEFT(B80,4)&lt;&gt;"    ","",Y80-AF80)</f>
        <v/>
      </c>
      <c r="AK80" s="10" t="n"/>
      <c r="AL80" s="25">
        <f>IF(LEFT(B80,4)&lt;&gt;"    ","",J80-W80)</f>
        <v/>
      </c>
      <c r="AM80" s="25">
        <f>N80-X80</f>
        <v/>
      </c>
      <c r="AN80" s="25">
        <f>IF(LEFT(B80,4)&lt;&gt;"    ","",Q80-Y80)</f>
        <v/>
      </c>
      <c r="AO80" s="10" t="n"/>
      <c r="AP80" s="12" t="n"/>
      <c r="AQ80" s="12">
        <f>IF(LEFT(B80,4)&lt;&gt;"    ","",IF(W80-AP80&gt;=0,W80-AP80," "))</f>
        <v/>
      </c>
      <c r="AR80" s="12">
        <f>IF(LEFT(B80,4)&lt;&gt;"    ","",IF(AP80-W80&gt;=0,AP80-W80," "))</f>
        <v/>
      </c>
      <c r="AS80" s="186" t="n"/>
      <c r="AT80" s="187" t="n"/>
      <c r="AU80" s="186" t="n"/>
      <c r="AV80" s="186" t="n"/>
      <c r="AW80" s="188" t="n"/>
      <c r="AX80" s="187" t="n"/>
      <c r="AY80" s="187" t="n"/>
      <c r="AZ80" s="186" t="n"/>
      <c r="BA80" s="186" t="n"/>
      <c r="BB80" s="186" t="n"/>
      <c r="BC80" s="186" t="n"/>
      <c r="BD80" s="186" t="n"/>
      <c r="BE80" s="186" t="n"/>
      <c r="BF80" s="186" t="n"/>
      <c r="BG80" s="186" t="n"/>
      <c r="BH80" s="186" t="n"/>
      <c r="BI80" s="186" t="n"/>
      <c r="BJ80" s="186" t="n"/>
      <c r="BK80" s="186" t="n"/>
      <c r="BL80" s="186" t="n"/>
      <c r="BM80" s="186" t="n"/>
      <c r="BN80" s="186" t="n"/>
      <c r="BO80" s="186" t="n"/>
      <c r="BP80" s="186" t="n"/>
      <c r="BQ80" s="186" t="n"/>
      <c r="BR80" s="189" t="n"/>
      <c r="BS80" s="189" t="n"/>
      <c r="BT80" s="186" t="n"/>
      <c r="BU80" s="186" t="n"/>
      <c r="BV80" s="190" t="n"/>
      <c r="BW80" s="186" t="n"/>
      <c r="BX80" s="186" t="n"/>
      <c r="BY80" s="186" t="n"/>
      <c r="BZ80" s="186" t="n"/>
      <c r="CA80" s="186" t="n"/>
      <c r="CB80" s="187" t="n"/>
      <c r="CC80" s="192" t="n"/>
      <c r="CD80" s="192" t="n"/>
      <c r="CE80" s="192" t="n"/>
      <c r="CF80" s="192" t="n"/>
    </row>
    <row r="81">
      <c r="A81" s="197" t="n"/>
      <c r="B81" s="198" t="n"/>
      <c r="C81" s="198" t="n"/>
      <c r="D81" s="179" t="n"/>
      <c r="E81" s="180" t="n"/>
      <c r="F81" s="181" t="n"/>
      <c r="G81" s="284">
        <f>'Jobs-Ops'!G81</f>
        <v/>
      </c>
      <c r="H81" s="114">
        <f>'Jobs-Ops'!H81</f>
        <v/>
      </c>
      <c r="I81" s="105" t="n"/>
      <c r="J81" s="183">
        <f>F81</f>
        <v/>
      </c>
      <c r="K81" s="184" t="n"/>
      <c r="L81" s="185" t="n"/>
      <c r="M81" s="8" t="n"/>
      <c r="N81" s="184">
        <f>M81</f>
        <v/>
      </c>
      <c r="O81" s="71" t="n"/>
      <c r="P81" s="101" t="n"/>
      <c r="Q81" s="9">
        <f>J81-N81</f>
        <v/>
      </c>
      <c r="R81" s="9">
        <f>IF(LEFT(B81,4)&lt;&gt;"    ",0,BI81)</f>
        <v/>
      </c>
      <c r="S81" s="9">
        <f>+Q81-R81</f>
        <v/>
      </c>
      <c r="T81" s="200">
        <f>IF('Jobs-Ops'!S81&lt;&gt; "",'Jobs-Ops'!S81,"")</f>
        <v/>
      </c>
      <c r="U81" s="10" t="n"/>
      <c r="V81" s="23">
        <f>IF(LEFT(B81,4)&lt;&gt;"    ","",IF(N81&lt;&gt;0,X81/N81,0))</f>
        <v/>
      </c>
      <c r="W81" s="11">
        <f>IF(LEFT(B81,4)&lt;&gt;"    ","",IF(V81&gt;=0.1,V81*J81,X81))</f>
        <v/>
      </c>
      <c r="X81" s="8" t="n"/>
      <c r="Y81" s="9">
        <f>IF(LEFT(B81,4)&lt;&gt;"    ",0,IF(Q81&lt;0,Q81,IF(V81&gt;0.1,W81-X81,0)))</f>
        <v/>
      </c>
      <c r="Z81" s="9">
        <f>IF(LEFT(B81,4)&lt;&gt;"    ",0,IF(V81&gt;0.1,BI81,0))</f>
        <v/>
      </c>
      <c r="AA81" s="9">
        <f>Y81-Z81</f>
        <v/>
      </c>
      <c r="AB81" s="10" t="n"/>
      <c r="AC81" s="24" t="n"/>
      <c r="AD81" s="11" t="n"/>
      <c r="AE81" s="8" t="n"/>
      <c r="AF81" s="9">
        <f>IF(LEFT(B81,4)&lt;&gt;"    ","",AD81-AE81)</f>
        <v/>
      </c>
      <c r="AG81" s="10" t="n"/>
      <c r="AH81" s="11">
        <f>IF(LEFT(B81,4)&lt;&gt;"    ","",W81-AD81)</f>
        <v/>
      </c>
      <c r="AI81" s="8">
        <f>IF(LEFT(B81,4)&lt;&gt;"    ","",X81-AE81)</f>
        <v/>
      </c>
      <c r="AJ81" s="9">
        <f>IF(LEFT(B81,4)&lt;&gt;"    ","",Y81-AF81)</f>
        <v/>
      </c>
      <c r="AK81" s="10" t="n"/>
      <c r="AL81" s="25">
        <f>IF(LEFT(B81,4)&lt;&gt;"    ","",J81-W81)</f>
        <v/>
      </c>
      <c r="AM81" s="25">
        <f>N81-X81</f>
        <v/>
      </c>
      <c r="AN81" s="25">
        <f>IF(LEFT(B81,4)&lt;&gt;"    ","",Q81-Y81)</f>
        <v/>
      </c>
      <c r="AO81" s="10" t="n"/>
      <c r="AP81" s="12" t="n"/>
      <c r="AQ81" s="12">
        <f>IF(LEFT(B81,4)&lt;&gt;"    ","",IF(W81-AP81&gt;=0,W81-AP81," "))</f>
        <v/>
      </c>
      <c r="AR81" s="12">
        <f>IF(LEFT(B81,4)&lt;&gt;"    ","",IF(AP81-W81&gt;=0,AP81-W81," "))</f>
        <v/>
      </c>
      <c r="AS81" s="186" t="n"/>
      <c r="AT81" s="187" t="n"/>
      <c r="AU81" s="186" t="n"/>
      <c r="AV81" s="186" t="n"/>
      <c r="AW81" s="188" t="n"/>
      <c r="AX81" s="187" t="n"/>
      <c r="AY81" s="187" t="n"/>
      <c r="AZ81" s="186" t="n"/>
      <c r="BA81" s="186" t="n"/>
      <c r="BB81" s="186" t="n"/>
      <c r="BC81" s="186" t="n"/>
      <c r="BD81" s="186" t="n"/>
      <c r="BE81" s="186" t="n"/>
      <c r="BF81" s="186" t="n"/>
      <c r="BG81" s="186" t="n"/>
      <c r="BH81" s="186" t="n"/>
      <c r="BI81" s="186" t="n"/>
      <c r="BJ81" s="186" t="n"/>
      <c r="BK81" s="186" t="n"/>
      <c r="BL81" s="186" t="n"/>
      <c r="BM81" s="186" t="n"/>
      <c r="BN81" s="186" t="n"/>
      <c r="BO81" s="186" t="n"/>
      <c r="BP81" s="186" t="n"/>
      <c r="BQ81" s="186" t="n"/>
      <c r="BR81" s="189" t="n"/>
      <c r="BS81" s="189" t="n"/>
      <c r="BT81" s="186" t="n"/>
      <c r="BU81" s="186" t="n"/>
      <c r="BV81" s="190" t="n"/>
      <c r="BW81" s="186" t="n"/>
      <c r="BX81" s="186" t="n"/>
      <c r="BY81" s="186" t="n"/>
      <c r="BZ81" s="186" t="n"/>
      <c r="CA81" s="186" t="n"/>
      <c r="CB81" s="187" t="n"/>
      <c r="CC81" s="192" t="n"/>
      <c r="CD81" s="192" t="n"/>
      <c r="CE81" s="192" t="n"/>
      <c r="CF81" s="192" t="n"/>
    </row>
    <row r="82">
      <c r="A82" s="197" t="n"/>
      <c r="B82" s="198" t="n"/>
      <c r="C82" s="198" t="n"/>
      <c r="D82" s="179" t="n"/>
      <c r="E82" s="180" t="n"/>
      <c r="F82" s="181" t="n"/>
      <c r="G82" s="284">
        <f>'Jobs-Ops'!G82</f>
        <v/>
      </c>
      <c r="H82" s="114">
        <f>'Jobs-Ops'!H82</f>
        <v/>
      </c>
      <c r="I82" s="105" t="n"/>
      <c r="J82" s="183">
        <f>F82</f>
        <v/>
      </c>
      <c r="K82" s="184" t="n"/>
      <c r="L82" s="185" t="n"/>
      <c r="M82" s="8" t="n"/>
      <c r="N82" s="184">
        <f>M82</f>
        <v/>
      </c>
      <c r="O82" s="71" t="n"/>
      <c r="P82" s="101" t="n"/>
      <c r="Q82" s="9">
        <f>J82-N82</f>
        <v/>
      </c>
      <c r="R82" s="9">
        <f>IF(LEFT(B82,4)&lt;&gt;"    ",0,BI82)</f>
        <v/>
      </c>
      <c r="S82" s="9">
        <f>+Q82-R82</f>
        <v/>
      </c>
      <c r="T82" s="200">
        <f>IF('Jobs-Ops'!S82&lt;&gt; "",'Jobs-Ops'!S82,"")</f>
        <v/>
      </c>
      <c r="U82" s="10" t="n"/>
      <c r="V82" s="23">
        <f>IF(LEFT(B82,4)&lt;&gt;"    ","",IF(N82&lt;&gt;0,X82/N82,0))</f>
        <v/>
      </c>
      <c r="W82" s="11">
        <f>IF(LEFT(B82,4)&lt;&gt;"    ","",IF(V82&gt;=0.1,V82*J82,X82))</f>
        <v/>
      </c>
      <c r="X82" s="8" t="n"/>
      <c r="Y82" s="9">
        <f>IF(LEFT(B82,4)&lt;&gt;"    ",0,IF(Q82&lt;0,Q82,IF(V82&gt;0.1,W82-X82,0)))</f>
        <v/>
      </c>
      <c r="Z82" s="9">
        <f>IF(LEFT(B82,4)&lt;&gt;"    ",0,IF(V82&gt;0.1,BI82,0))</f>
        <v/>
      </c>
      <c r="AA82" s="9">
        <f>Y82-Z82</f>
        <v/>
      </c>
      <c r="AB82" s="10" t="n"/>
      <c r="AC82" s="24" t="n"/>
      <c r="AD82" s="11" t="n"/>
      <c r="AE82" s="8" t="n"/>
      <c r="AF82" s="9">
        <f>IF(LEFT(B82,4)&lt;&gt;"    ","",AD82-AE82)</f>
        <v/>
      </c>
      <c r="AG82" s="10" t="n"/>
      <c r="AH82" s="11">
        <f>IF(LEFT(B82,4)&lt;&gt;"    ","",W82-AD82)</f>
        <v/>
      </c>
      <c r="AI82" s="8">
        <f>IF(LEFT(B82,4)&lt;&gt;"    ","",X82-AE82)</f>
        <v/>
      </c>
      <c r="AJ82" s="9">
        <f>IF(LEFT(B82,4)&lt;&gt;"    ","",Y82-AF82)</f>
        <v/>
      </c>
      <c r="AK82" s="10" t="n"/>
      <c r="AL82" s="25">
        <f>IF(LEFT(B82,4)&lt;&gt;"    ","",J82-W82)</f>
        <v/>
      </c>
      <c r="AM82" s="25">
        <f>N82-X82</f>
        <v/>
      </c>
      <c r="AN82" s="25">
        <f>IF(LEFT(B82,4)&lt;&gt;"    ","",Q82-Y82)</f>
        <v/>
      </c>
      <c r="AO82" s="10" t="n"/>
      <c r="AP82" s="12" t="n"/>
      <c r="AQ82" s="12">
        <f>IF(LEFT(B82,4)&lt;&gt;"    ","",IF(W82-AP82&gt;=0,W82-AP82," "))</f>
        <v/>
      </c>
      <c r="AR82" s="12">
        <f>IF(LEFT(B82,4)&lt;&gt;"    ","",IF(AP82-W82&gt;=0,AP82-W82," "))</f>
        <v/>
      </c>
      <c r="AS82" s="186" t="n"/>
      <c r="AT82" s="187" t="n"/>
      <c r="AU82" s="186" t="n"/>
      <c r="AV82" s="186" t="n"/>
      <c r="AW82" s="188" t="n"/>
      <c r="AX82" s="187" t="n"/>
      <c r="AY82" s="187" t="n"/>
      <c r="AZ82" s="186" t="n"/>
      <c r="BA82" s="186" t="n"/>
      <c r="BB82" s="186" t="n"/>
      <c r="BC82" s="186" t="n"/>
      <c r="BD82" s="186" t="n"/>
      <c r="BE82" s="186" t="n"/>
      <c r="BF82" s="186" t="n"/>
      <c r="BG82" s="186" t="n"/>
      <c r="BH82" s="186" t="n"/>
      <c r="BI82" s="186" t="n"/>
      <c r="BJ82" s="186" t="n"/>
      <c r="BK82" s="186" t="n"/>
      <c r="BL82" s="186" t="n"/>
      <c r="BM82" s="186" t="n"/>
      <c r="BN82" s="186" t="n"/>
      <c r="BO82" s="186" t="n"/>
      <c r="BP82" s="186" t="n"/>
      <c r="BQ82" s="186" t="n"/>
      <c r="BR82" s="189" t="n"/>
      <c r="BS82" s="189" t="n"/>
      <c r="BT82" s="186" t="n"/>
      <c r="BU82" s="186" t="n"/>
      <c r="BV82" s="190" t="n"/>
      <c r="BW82" s="186" t="n"/>
      <c r="BX82" s="186" t="n"/>
      <c r="BY82" s="186" t="n"/>
      <c r="BZ82" s="186" t="n"/>
      <c r="CA82" s="186" t="n"/>
      <c r="CB82" s="187" t="n"/>
      <c r="CC82" s="192" t="n"/>
      <c r="CD82" s="192" t="n"/>
      <c r="CE82" s="192" t="n"/>
      <c r="CF82" s="192" t="n"/>
    </row>
    <row r="83">
      <c r="A83" s="197" t="n"/>
      <c r="B83" s="198" t="n"/>
      <c r="C83" s="198" t="n"/>
      <c r="D83" s="179" t="n"/>
      <c r="E83" s="180" t="n"/>
      <c r="F83" s="181" t="n"/>
      <c r="G83" s="284">
        <f>'Jobs-Ops'!G83</f>
        <v/>
      </c>
      <c r="H83" s="114">
        <f>'Jobs-Ops'!H83</f>
        <v/>
      </c>
      <c r="I83" s="105" t="n"/>
      <c r="J83" s="183">
        <f>F83</f>
        <v/>
      </c>
      <c r="K83" s="184" t="n"/>
      <c r="L83" s="185" t="n"/>
      <c r="M83" s="8" t="n"/>
      <c r="N83" s="184">
        <f>M83</f>
        <v/>
      </c>
      <c r="O83" s="71" t="n"/>
      <c r="P83" s="101" t="n"/>
      <c r="Q83" s="9">
        <f>J83-N83</f>
        <v/>
      </c>
      <c r="R83" s="9">
        <f>IF(LEFT(B83,4)&lt;&gt;"    ",0,BI83)</f>
        <v/>
      </c>
      <c r="S83" s="9">
        <f>+Q83-R83</f>
        <v/>
      </c>
      <c r="T83" s="200">
        <f>IF('Jobs-Ops'!S83&lt;&gt; "",'Jobs-Ops'!S83,"")</f>
        <v/>
      </c>
      <c r="U83" s="10" t="n"/>
      <c r="V83" s="23">
        <f>IF(LEFT(B83,4)&lt;&gt;"    ","",IF(N83&lt;&gt;0,X83/N83,0))</f>
        <v/>
      </c>
      <c r="W83" s="11">
        <f>IF(LEFT(B83,4)&lt;&gt;"    ","",IF(V83&gt;=0.1,V83*J83,X83))</f>
        <v/>
      </c>
      <c r="X83" s="8" t="n"/>
      <c r="Y83" s="9">
        <f>IF(LEFT(B83,4)&lt;&gt;"    ",0,IF(Q83&lt;0,Q83,IF(V83&gt;0.1,W83-X83,0)))</f>
        <v/>
      </c>
      <c r="Z83" s="9">
        <f>IF(LEFT(B83,4)&lt;&gt;"    ",0,IF(V83&gt;0.1,BI83,0))</f>
        <v/>
      </c>
      <c r="AA83" s="9">
        <f>Y83-Z83</f>
        <v/>
      </c>
      <c r="AB83" s="10" t="n"/>
      <c r="AC83" s="24" t="n"/>
      <c r="AD83" s="11" t="n"/>
      <c r="AE83" s="8" t="n"/>
      <c r="AF83" s="9">
        <f>IF(LEFT(B83,4)&lt;&gt;"    ","",AD83-AE83)</f>
        <v/>
      </c>
      <c r="AG83" s="10" t="n"/>
      <c r="AH83" s="11">
        <f>IF(LEFT(B83,4)&lt;&gt;"    ","",W83-AD83)</f>
        <v/>
      </c>
      <c r="AI83" s="8">
        <f>IF(LEFT(B83,4)&lt;&gt;"    ","",X83-AE83)</f>
        <v/>
      </c>
      <c r="AJ83" s="9">
        <f>IF(LEFT(B83,4)&lt;&gt;"    ","",Y83-AF83)</f>
        <v/>
      </c>
      <c r="AK83" s="10" t="n"/>
      <c r="AL83" s="25">
        <f>IF(LEFT(B83,4)&lt;&gt;"    ","",J83-W83)</f>
        <v/>
      </c>
      <c r="AM83" s="25">
        <f>N83-X83</f>
        <v/>
      </c>
      <c r="AN83" s="25">
        <f>IF(LEFT(B83,4)&lt;&gt;"    ","",Q83-Y83)</f>
        <v/>
      </c>
      <c r="AO83" s="10" t="n"/>
      <c r="AP83" s="12" t="n"/>
      <c r="AQ83" s="12">
        <f>IF(LEFT(B83,4)&lt;&gt;"    ","",IF(W83-AP83&gt;=0,W83-AP83," "))</f>
        <v/>
      </c>
      <c r="AR83" s="12">
        <f>IF(LEFT(B83,4)&lt;&gt;"    ","",IF(AP83-W83&gt;=0,AP83-W83," "))</f>
        <v/>
      </c>
      <c r="AS83" s="186" t="n"/>
      <c r="AT83" s="187" t="n"/>
      <c r="AU83" s="186" t="n"/>
      <c r="AV83" s="186" t="n"/>
      <c r="AW83" s="188" t="n"/>
      <c r="AX83" s="187" t="n"/>
      <c r="AY83" s="187" t="n"/>
      <c r="AZ83" s="186" t="n"/>
      <c r="BA83" s="186" t="n"/>
      <c r="BB83" s="186" t="n"/>
      <c r="BC83" s="186" t="n"/>
      <c r="BD83" s="186" t="n"/>
      <c r="BE83" s="186" t="n"/>
      <c r="BF83" s="186" t="n"/>
      <c r="BG83" s="186" t="n"/>
      <c r="BH83" s="186" t="n"/>
      <c r="BI83" s="186" t="n"/>
      <c r="BJ83" s="186" t="n"/>
      <c r="BK83" s="186" t="n"/>
      <c r="BL83" s="186" t="n"/>
      <c r="BM83" s="186" t="n"/>
      <c r="BN83" s="186" t="n"/>
      <c r="BO83" s="186" t="n"/>
      <c r="BP83" s="186" t="n"/>
      <c r="BQ83" s="186" t="n"/>
      <c r="BR83" s="189" t="n"/>
      <c r="BS83" s="189" t="n"/>
      <c r="BT83" s="186" t="n"/>
      <c r="BU83" s="186" t="n"/>
      <c r="BV83" s="190" t="n"/>
      <c r="BW83" s="186" t="n"/>
      <c r="BX83" s="186" t="n"/>
      <c r="BY83" s="186" t="n"/>
      <c r="BZ83" s="186" t="n"/>
      <c r="CA83" s="186" t="n"/>
      <c r="CB83" s="187" t="n"/>
      <c r="CC83" s="192" t="n"/>
      <c r="CD83" s="192" t="n"/>
      <c r="CE83" s="192" t="n"/>
      <c r="CF83" s="192" t="n"/>
    </row>
    <row r="84">
      <c r="A84" s="197" t="n"/>
      <c r="B84" s="198" t="n"/>
      <c r="C84" s="198" t="n"/>
      <c r="D84" s="179" t="n"/>
      <c r="E84" s="180" t="n"/>
      <c r="F84" s="181" t="n"/>
      <c r="G84" s="284">
        <f>'Jobs-Ops'!G84</f>
        <v/>
      </c>
      <c r="H84" s="114">
        <f>'Jobs-Ops'!H84</f>
        <v/>
      </c>
      <c r="I84" s="105" t="n"/>
      <c r="J84" s="183">
        <f>F84</f>
        <v/>
      </c>
      <c r="K84" s="184" t="n"/>
      <c r="L84" s="185" t="n"/>
      <c r="M84" s="8" t="n"/>
      <c r="N84" s="184">
        <f>M84</f>
        <v/>
      </c>
      <c r="O84" s="71" t="n"/>
      <c r="P84" s="101" t="n"/>
      <c r="Q84" s="9">
        <f>J84-N84</f>
        <v/>
      </c>
      <c r="R84" s="9">
        <f>IF(LEFT(B84,4)&lt;&gt;"    ",0,BI84)</f>
        <v/>
      </c>
      <c r="S84" s="9">
        <f>+Q84-R84</f>
        <v/>
      </c>
      <c r="T84" s="200">
        <f>IF('Jobs-Ops'!S84&lt;&gt; "",'Jobs-Ops'!S84,"")</f>
        <v/>
      </c>
      <c r="U84" s="10" t="n"/>
      <c r="V84" s="23">
        <f>IF(LEFT(B84,4)&lt;&gt;"    ","",IF(N84&lt;&gt;0,X84/N84,0))</f>
        <v/>
      </c>
      <c r="W84" s="11">
        <f>IF(LEFT(B84,4)&lt;&gt;"    ","",IF(V84&gt;=0.1,V84*J84,X84))</f>
        <v/>
      </c>
      <c r="X84" s="8" t="n"/>
      <c r="Y84" s="9">
        <f>IF(LEFT(B84,4)&lt;&gt;"    ",0,IF(Q84&lt;0,Q84,IF(V84&gt;0.1,W84-X84,0)))</f>
        <v/>
      </c>
      <c r="Z84" s="9">
        <f>IF(LEFT(B84,4)&lt;&gt;"    ",0,IF(V84&gt;0.1,BI84,0))</f>
        <v/>
      </c>
      <c r="AA84" s="9">
        <f>Y84-Z84</f>
        <v/>
      </c>
      <c r="AB84" s="10" t="n"/>
      <c r="AC84" s="24" t="n"/>
      <c r="AD84" s="11" t="n"/>
      <c r="AE84" s="8" t="n"/>
      <c r="AF84" s="9">
        <f>IF(LEFT(B84,4)&lt;&gt;"    ","",AD84-AE84)</f>
        <v/>
      </c>
      <c r="AG84" s="10" t="n"/>
      <c r="AH84" s="11">
        <f>IF(LEFT(B84,4)&lt;&gt;"    ","",W84-AD84)</f>
        <v/>
      </c>
      <c r="AI84" s="8">
        <f>IF(LEFT(B84,4)&lt;&gt;"    ","",X84-AE84)</f>
        <v/>
      </c>
      <c r="AJ84" s="9">
        <f>IF(LEFT(B84,4)&lt;&gt;"    ","",Y84-AF84)</f>
        <v/>
      </c>
      <c r="AK84" s="10" t="n"/>
      <c r="AL84" s="25">
        <f>IF(LEFT(B84,4)&lt;&gt;"    ","",J84-W84)</f>
        <v/>
      </c>
      <c r="AM84" s="25">
        <f>N84-X84</f>
        <v/>
      </c>
      <c r="AN84" s="25">
        <f>IF(LEFT(B84,4)&lt;&gt;"    ","",Q84-Y84)</f>
        <v/>
      </c>
      <c r="AO84" s="10" t="n"/>
      <c r="AP84" s="12" t="n"/>
      <c r="AQ84" s="12">
        <f>IF(LEFT(B84,4)&lt;&gt;"    ","",IF(W84-AP84&gt;=0,W84-AP84," "))</f>
        <v/>
      </c>
      <c r="AR84" s="12">
        <f>IF(LEFT(B84,4)&lt;&gt;"    ","",IF(AP84-W84&gt;=0,AP84-W84," "))</f>
        <v/>
      </c>
      <c r="AS84" s="186" t="n"/>
      <c r="AT84" s="187" t="n"/>
      <c r="AU84" s="186" t="n"/>
      <c r="AV84" s="186" t="n"/>
      <c r="AW84" s="188" t="n"/>
      <c r="AX84" s="187" t="n"/>
      <c r="AY84" s="187" t="n"/>
      <c r="AZ84" s="186" t="n"/>
      <c r="BA84" s="186" t="n"/>
      <c r="BB84" s="186" t="n"/>
      <c r="BC84" s="186" t="n"/>
      <c r="BD84" s="186" t="n"/>
      <c r="BE84" s="186" t="n"/>
      <c r="BF84" s="186" t="n"/>
      <c r="BG84" s="186" t="n"/>
      <c r="BH84" s="186" t="n"/>
      <c r="BI84" s="186" t="n"/>
      <c r="BJ84" s="186" t="n"/>
      <c r="BK84" s="186" t="n"/>
      <c r="BL84" s="186" t="n"/>
      <c r="BM84" s="186" t="n"/>
      <c r="BN84" s="186" t="n"/>
      <c r="BO84" s="186" t="n"/>
      <c r="BP84" s="186" t="n"/>
      <c r="BQ84" s="186" t="n"/>
      <c r="BR84" s="189" t="n"/>
      <c r="BS84" s="189" t="n"/>
      <c r="BT84" s="186" t="n"/>
      <c r="BU84" s="186" t="n"/>
      <c r="BV84" s="190" t="n"/>
      <c r="BW84" s="186" t="n"/>
      <c r="BX84" s="186" t="n"/>
      <c r="BY84" s="186" t="n"/>
      <c r="BZ84" s="186" t="n"/>
      <c r="CA84" s="186" t="n"/>
      <c r="CB84" s="187" t="n"/>
      <c r="CC84" s="192" t="n"/>
      <c r="CD84" s="192" t="n"/>
      <c r="CE84" s="192" t="n"/>
      <c r="CF84" s="192" t="n"/>
    </row>
    <row r="85">
      <c r="A85" s="197" t="n"/>
      <c r="B85" s="198" t="n"/>
      <c r="C85" s="198" t="n"/>
      <c r="D85" s="179" t="n"/>
      <c r="E85" s="180" t="n"/>
      <c r="F85" s="181" t="n"/>
      <c r="G85" s="284">
        <f>'Jobs-Ops'!G85</f>
        <v/>
      </c>
      <c r="H85" s="114">
        <f>'Jobs-Ops'!H85</f>
        <v/>
      </c>
      <c r="I85" s="105" t="n"/>
      <c r="J85" s="183">
        <f>F85</f>
        <v/>
      </c>
      <c r="K85" s="184" t="n"/>
      <c r="L85" s="185" t="n"/>
      <c r="M85" s="8" t="n"/>
      <c r="N85" s="184">
        <f>M85</f>
        <v/>
      </c>
      <c r="O85" s="71" t="n"/>
      <c r="P85" s="101" t="n"/>
      <c r="Q85" s="9">
        <f>J85-N85</f>
        <v/>
      </c>
      <c r="R85" s="9">
        <f>IF(LEFT(B85,4)&lt;&gt;"    ",0,BI85)</f>
        <v/>
      </c>
      <c r="S85" s="9">
        <f>+Q85-R85</f>
        <v/>
      </c>
      <c r="T85" s="200">
        <f>IF('Jobs-Ops'!S85&lt;&gt; "",'Jobs-Ops'!S85,"")</f>
        <v/>
      </c>
      <c r="U85" s="10" t="n"/>
      <c r="V85" s="23">
        <f>IF(LEFT(B85,4)&lt;&gt;"    ","",IF(N85&lt;&gt;0,X85/N85,0))</f>
        <v/>
      </c>
      <c r="W85" s="11">
        <f>IF(LEFT(B85,4)&lt;&gt;"    ","",IF(V85&gt;=0.1,V85*J85,X85))</f>
        <v/>
      </c>
      <c r="X85" s="8" t="n"/>
      <c r="Y85" s="9">
        <f>IF(LEFT(B85,4)&lt;&gt;"    ",0,IF(Q85&lt;0,Q85,IF(V85&gt;0.1,W85-X85,0)))</f>
        <v/>
      </c>
      <c r="Z85" s="9">
        <f>IF(LEFT(B85,4)&lt;&gt;"    ",0,IF(V85&gt;0.1,BI85,0))</f>
        <v/>
      </c>
      <c r="AA85" s="9">
        <f>Y85-Z85</f>
        <v/>
      </c>
      <c r="AB85" s="10" t="n"/>
      <c r="AC85" s="24" t="n"/>
      <c r="AD85" s="11" t="n"/>
      <c r="AE85" s="8" t="n"/>
      <c r="AF85" s="9">
        <f>IF(LEFT(B85,4)&lt;&gt;"    ","",AD85-AE85)</f>
        <v/>
      </c>
      <c r="AG85" s="10" t="n"/>
      <c r="AH85" s="11">
        <f>IF(LEFT(B85,4)&lt;&gt;"    ","",W85-AD85)</f>
        <v/>
      </c>
      <c r="AI85" s="8">
        <f>IF(LEFT(B85,4)&lt;&gt;"    ","",X85-AE85)</f>
        <v/>
      </c>
      <c r="AJ85" s="9">
        <f>IF(LEFT(B85,4)&lt;&gt;"    ","",Y85-AF85)</f>
        <v/>
      </c>
      <c r="AK85" s="10" t="n"/>
      <c r="AL85" s="25">
        <f>IF(LEFT(B85,4)&lt;&gt;"    ","",J85-W85)</f>
        <v/>
      </c>
      <c r="AM85" s="25">
        <f>N85-X85</f>
        <v/>
      </c>
      <c r="AN85" s="25">
        <f>IF(LEFT(B85,4)&lt;&gt;"    ","",Q85-Y85)</f>
        <v/>
      </c>
      <c r="AO85" s="10" t="n"/>
      <c r="AP85" s="12" t="n"/>
      <c r="AQ85" s="12">
        <f>IF(LEFT(B85,4)&lt;&gt;"    ","",IF(W85-AP85&gt;=0,W85-AP85," "))</f>
        <v/>
      </c>
      <c r="AR85" s="12">
        <f>IF(LEFT(B85,4)&lt;&gt;"    ","",IF(AP85-W85&gt;=0,AP85-W85," "))</f>
        <v/>
      </c>
      <c r="AS85" s="186" t="n"/>
      <c r="AT85" s="187" t="n"/>
      <c r="AU85" s="186" t="n"/>
      <c r="AV85" s="186" t="n"/>
      <c r="AW85" s="188" t="n"/>
      <c r="AX85" s="187" t="n"/>
      <c r="AY85" s="187" t="n"/>
      <c r="AZ85" s="186" t="n"/>
      <c r="BA85" s="186" t="n"/>
      <c r="BB85" s="186" t="n"/>
      <c r="BC85" s="186" t="n"/>
      <c r="BD85" s="186" t="n"/>
      <c r="BE85" s="186" t="n"/>
      <c r="BF85" s="186" t="n"/>
      <c r="BG85" s="186" t="n"/>
      <c r="BH85" s="186" t="n"/>
      <c r="BI85" s="186" t="n"/>
      <c r="BJ85" s="186" t="n"/>
      <c r="BK85" s="186" t="n"/>
      <c r="BL85" s="186" t="n"/>
      <c r="BM85" s="186" t="n"/>
      <c r="BN85" s="186" t="n"/>
      <c r="BO85" s="186" t="n"/>
      <c r="BP85" s="186" t="n"/>
      <c r="BQ85" s="186" t="n"/>
      <c r="BR85" s="189" t="n"/>
      <c r="BS85" s="189" t="n"/>
      <c r="BT85" s="186" t="n"/>
      <c r="BU85" s="186" t="n"/>
      <c r="BV85" s="190" t="n"/>
      <c r="BW85" s="186" t="n"/>
      <c r="BX85" s="186" t="n"/>
      <c r="BY85" s="186" t="n"/>
      <c r="BZ85" s="186" t="n"/>
      <c r="CA85" s="186" t="n"/>
      <c r="CB85" s="187" t="n"/>
      <c r="CC85" s="192" t="n"/>
      <c r="CD85" s="192" t="n"/>
      <c r="CE85" s="192" t="n"/>
      <c r="CF85" s="192" t="n"/>
    </row>
    <row r="86">
      <c r="A86" s="197" t="n"/>
      <c r="B86" s="198" t="n"/>
      <c r="C86" s="198" t="n"/>
      <c r="D86" s="179" t="n"/>
      <c r="E86" s="180" t="n"/>
      <c r="F86" s="181" t="n"/>
      <c r="G86" s="284">
        <f>'Jobs-Ops'!G86</f>
        <v/>
      </c>
      <c r="H86" s="114">
        <f>'Jobs-Ops'!H86</f>
        <v/>
      </c>
      <c r="I86" s="105" t="n"/>
      <c r="J86" s="183">
        <f>F86</f>
        <v/>
      </c>
      <c r="K86" s="184" t="n"/>
      <c r="L86" s="185" t="n"/>
      <c r="M86" s="8" t="n"/>
      <c r="N86" s="184">
        <f>M86</f>
        <v/>
      </c>
      <c r="O86" s="71" t="n"/>
      <c r="P86" s="101" t="n"/>
      <c r="Q86" s="9">
        <f>J86-N86</f>
        <v/>
      </c>
      <c r="R86" s="9">
        <f>IF(LEFT(B86,4)&lt;&gt;"    ",0,BI86)</f>
        <v/>
      </c>
      <c r="S86" s="9">
        <f>+Q86-R86</f>
        <v/>
      </c>
      <c r="T86" s="200">
        <f>IF('Jobs-Ops'!S86&lt;&gt; "",'Jobs-Ops'!S86,"")</f>
        <v/>
      </c>
      <c r="U86" s="10" t="n"/>
      <c r="V86" s="23">
        <f>IF(LEFT(B86,4)&lt;&gt;"    ","",IF(N86&lt;&gt;0,X86/N86,0))</f>
        <v/>
      </c>
      <c r="W86" s="11">
        <f>IF(LEFT(B86,4)&lt;&gt;"    ","",IF(V86&gt;=0.1,V86*J86,X86))</f>
        <v/>
      </c>
      <c r="X86" s="8" t="n"/>
      <c r="Y86" s="9">
        <f>IF(LEFT(B86,4)&lt;&gt;"    ",0,IF(Q86&lt;0,Q86,IF(V86&gt;0.1,W86-X86,0)))</f>
        <v/>
      </c>
      <c r="Z86" s="9">
        <f>IF(LEFT(B86,4)&lt;&gt;"    ",0,IF(V86&gt;0.1,BI86,0))</f>
        <v/>
      </c>
      <c r="AA86" s="9">
        <f>Y86-Z86</f>
        <v/>
      </c>
      <c r="AB86" s="10" t="n"/>
      <c r="AC86" s="24" t="n"/>
      <c r="AD86" s="11" t="n"/>
      <c r="AE86" s="8" t="n"/>
      <c r="AF86" s="9">
        <f>IF(LEFT(B86,4)&lt;&gt;"    ","",AD86-AE86)</f>
        <v/>
      </c>
      <c r="AG86" s="10" t="n"/>
      <c r="AH86" s="11">
        <f>IF(LEFT(B86,4)&lt;&gt;"    ","",W86-AD86)</f>
        <v/>
      </c>
      <c r="AI86" s="8">
        <f>IF(LEFT(B86,4)&lt;&gt;"    ","",X86-AE86)</f>
        <v/>
      </c>
      <c r="AJ86" s="9">
        <f>IF(LEFT(B86,4)&lt;&gt;"    ","",Y86-AF86)</f>
        <v/>
      </c>
      <c r="AK86" s="10" t="n"/>
      <c r="AL86" s="25">
        <f>IF(LEFT(B86,4)&lt;&gt;"    ","",J86-W86)</f>
        <v/>
      </c>
      <c r="AM86" s="25">
        <f>N86-X86</f>
        <v/>
      </c>
      <c r="AN86" s="25">
        <f>IF(LEFT(B86,4)&lt;&gt;"    ","",Q86-Y86)</f>
        <v/>
      </c>
      <c r="AO86" s="10" t="n"/>
      <c r="AP86" s="12" t="n"/>
      <c r="AQ86" s="12">
        <f>IF(LEFT(B86,4)&lt;&gt;"    ","",IF(W86-AP86&gt;=0,W86-AP86," "))</f>
        <v/>
      </c>
      <c r="AR86" s="12">
        <f>IF(LEFT(B86,4)&lt;&gt;"    ","",IF(AP86-W86&gt;=0,AP86-W86," "))</f>
        <v/>
      </c>
      <c r="AS86" s="186" t="n"/>
      <c r="AT86" s="187" t="n"/>
      <c r="AU86" s="186" t="n"/>
      <c r="AV86" s="186" t="n"/>
      <c r="AW86" s="188" t="n"/>
      <c r="AX86" s="187" t="n"/>
      <c r="AY86" s="187" t="n"/>
      <c r="AZ86" s="186" t="n"/>
      <c r="BA86" s="186" t="n"/>
      <c r="BB86" s="186" t="n"/>
      <c r="BC86" s="186" t="n"/>
      <c r="BD86" s="186" t="n"/>
      <c r="BE86" s="186" t="n"/>
      <c r="BF86" s="186" t="n"/>
      <c r="BG86" s="186" t="n"/>
      <c r="BH86" s="186" t="n"/>
      <c r="BI86" s="186" t="n"/>
      <c r="BJ86" s="186" t="n"/>
      <c r="BK86" s="186" t="n"/>
      <c r="BL86" s="186" t="n"/>
      <c r="BM86" s="186" t="n"/>
      <c r="BN86" s="186" t="n"/>
      <c r="BO86" s="186" t="n"/>
      <c r="BP86" s="186" t="n"/>
      <c r="BQ86" s="186" t="n"/>
      <c r="BR86" s="189" t="n"/>
      <c r="BS86" s="189" t="n"/>
      <c r="BT86" s="186" t="n"/>
      <c r="BU86" s="186" t="n"/>
      <c r="BV86" s="190" t="n"/>
      <c r="BW86" s="186" t="n"/>
      <c r="BX86" s="186" t="n"/>
      <c r="BY86" s="186" t="n"/>
      <c r="BZ86" s="186" t="n"/>
      <c r="CA86" s="186" t="n"/>
      <c r="CB86" s="187" t="n"/>
      <c r="CC86" s="192" t="n"/>
      <c r="CD86" s="192" t="n"/>
      <c r="CE86" s="192" t="n"/>
      <c r="CF86" s="192" t="n"/>
    </row>
    <row r="87">
      <c r="A87" s="197" t="n"/>
      <c r="B87" s="198" t="n"/>
      <c r="C87" s="198" t="n"/>
      <c r="D87" s="179" t="n"/>
      <c r="E87" s="180" t="n"/>
      <c r="F87" s="181" t="n"/>
      <c r="G87" s="284">
        <f>'Jobs-Ops'!G87</f>
        <v/>
      </c>
      <c r="H87" s="114">
        <f>'Jobs-Ops'!H87</f>
        <v/>
      </c>
      <c r="I87" s="105" t="n"/>
      <c r="J87" s="183">
        <f>F87</f>
        <v/>
      </c>
      <c r="K87" s="184" t="n"/>
      <c r="L87" s="185" t="n"/>
      <c r="M87" s="8" t="n"/>
      <c r="N87" s="184">
        <f>M87</f>
        <v/>
      </c>
      <c r="O87" s="71" t="n"/>
      <c r="P87" s="101" t="n"/>
      <c r="Q87" s="9">
        <f>J87-N87</f>
        <v/>
      </c>
      <c r="R87" s="9">
        <f>IF(LEFT(B87,4)&lt;&gt;"    ",0,BI87)</f>
        <v/>
      </c>
      <c r="S87" s="9">
        <f>+Q87-R87</f>
        <v/>
      </c>
      <c r="T87" s="200">
        <f>IF('Jobs-Ops'!S87&lt;&gt; "",'Jobs-Ops'!S87,"")</f>
        <v/>
      </c>
      <c r="U87" s="10" t="n"/>
      <c r="V87" s="23">
        <f>IF(LEFT(B87,4)&lt;&gt;"    ","",IF(N87&lt;&gt;0,X87/N87,0))</f>
        <v/>
      </c>
      <c r="W87" s="11">
        <f>IF(LEFT(B87,4)&lt;&gt;"    ","",IF(V87&gt;=0.1,V87*J87,X87))</f>
        <v/>
      </c>
      <c r="X87" s="8" t="n"/>
      <c r="Y87" s="9">
        <f>IF(LEFT(B87,4)&lt;&gt;"    ",0,IF(Q87&lt;0,Q87,IF(V87&gt;0.1,W87-X87,0)))</f>
        <v/>
      </c>
      <c r="Z87" s="9">
        <f>IF(LEFT(B87,4)&lt;&gt;"    ",0,IF(V87&gt;0.1,BI87,0))</f>
        <v/>
      </c>
      <c r="AA87" s="9">
        <f>Y87-Z87</f>
        <v/>
      </c>
      <c r="AB87" s="10" t="n"/>
      <c r="AC87" s="24" t="n"/>
      <c r="AD87" s="11" t="n"/>
      <c r="AE87" s="8" t="n"/>
      <c r="AF87" s="9">
        <f>IF(LEFT(B87,4)&lt;&gt;"    ","",AD87-AE87)</f>
        <v/>
      </c>
      <c r="AG87" s="10" t="n"/>
      <c r="AH87" s="11">
        <f>IF(LEFT(B87,4)&lt;&gt;"    ","",W87-AD87)</f>
        <v/>
      </c>
      <c r="AI87" s="8">
        <f>IF(LEFT(B87,4)&lt;&gt;"    ","",X87-AE87)</f>
        <v/>
      </c>
      <c r="AJ87" s="9">
        <f>IF(LEFT(B87,4)&lt;&gt;"    ","",Y87-AF87)</f>
        <v/>
      </c>
      <c r="AK87" s="10" t="n"/>
      <c r="AL87" s="25">
        <f>IF(LEFT(B87,4)&lt;&gt;"    ","",J87-W87)</f>
        <v/>
      </c>
      <c r="AM87" s="25">
        <f>N87-X87</f>
        <v/>
      </c>
      <c r="AN87" s="25">
        <f>IF(LEFT(B87,4)&lt;&gt;"    ","",Q87-Y87)</f>
        <v/>
      </c>
      <c r="AO87" s="10" t="n"/>
      <c r="AP87" s="12" t="n"/>
      <c r="AQ87" s="12">
        <f>IF(LEFT(B87,4)&lt;&gt;"    ","",IF(W87-AP87&gt;=0,W87-AP87," "))</f>
        <v/>
      </c>
      <c r="AR87" s="12">
        <f>IF(LEFT(B87,4)&lt;&gt;"    ","",IF(AP87-W87&gt;=0,AP87-W87," "))</f>
        <v/>
      </c>
      <c r="AS87" s="186" t="n"/>
      <c r="AT87" s="187" t="n"/>
      <c r="AU87" s="186" t="n"/>
      <c r="AV87" s="186" t="n"/>
      <c r="AW87" s="188" t="n"/>
      <c r="AX87" s="187" t="n"/>
      <c r="AY87" s="187" t="n"/>
      <c r="AZ87" s="186" t="n"/>
      <c r="BA87" s="186" t="n"/>
      <c r="BB87" s="186" t="n"/>
      <c r="BC87" s="186" t="n"/>
      <c r="BD87" s="186" t="n"/>
      <c r="BE87" s="186" t="n"/>
      <c r="BF87" s="186" t="n"/>
      <c r="BG87" s="186" t="n"/>
      <c r="BH87" s="186" t="n"/>
      <c r="BI87" s="186" t="n"/>
      <c r="BJ87" s="186" t="n"/>
      <c r="BK87" s="186" t="n"/>
      <c r="BL87" s="186" t="n"/>
      <c r="BM87" s="186" t="n"/>
      <c r="BN87" s="186" t="n"/>
      <c r="BO87" s="186" t="n"/>
      <c r="BP87" s="186" t="n"/>
      <c r="BQ87" s="186" t="n"/>
      <c r="BR87" s="189" t="n"/>
      <c r="BS87" s="189" t="n"/>
      <c r="BT87" s="186" t="n"/>
      <c r="BU87" s="186" t="n"/>
      <c r="BV87" s="190" t="n"/>
      <c r="BW87" s="186" t="n"/>
      <c r="BX87" s="186" t="n"/>
      <c r="BY87" s="186" t="n"/>
      <c r="BZ87" s="186" t="n"/>
      <c r="CA87" s="186" t="n"/>
      <c r="CB87" s="187" t="n"/>
      <c r="CC87" s="192" t="n"/>
      <c r="CD87" s="192" t="n"/>
      <c r="CE87" s="192" t="n"/>
      <c r="CF87" s="192" t="n"/>
    </row>
    <row r="88">
      <c r="A88" s="197" t="n"/>
      <c r="B88" s="198" t="n"/>
      <c r="C88" s="198" t="n"/>
      <c r="D88" s="179" t="n"/>
      <c r="E88" s="180" t="n"/>
      <c r="F88" s="181" t="n"/>
      <c r="G88" s="284">
        <f>'Jobs-Ops'!G88</f>
        <v/>
      </c>
      <c r="H88" s="114">
        <f>'Jobs-Ops'!H88</f>
        <v/>
      </c>
      <c r="I88" s="105" t="n"/>
      <c r="J88" s="183">
        <f>F88</f>
        <v/>
      </c>
      <c r="K88" s="184" t="n"/>
      <c r="L88" s="185" t="n"/>
      <c r="M88" s="8" t="n"/>
      <c r="N88" s="184">
        <f>M88</f>
        <v/>
      </c>
      <c r="O88" s="71" t="n"/>
      <c r="P88" s="101" t="n"/>
      <c r="Q88" s="9">
        <f>J88-N88</f>
        <v/>
      </c>
      <c r="R88" s="9">
        <f>IF(LEFT(B88,4)&lt;&gt;"    ",0,BI88)</f>
        <v/>
      </c>
      <c r="S88" s="9">
        <f>+Q88-R88</f>
        <v/>
      </c>
      <c r="T88" s="200">
        <f>IF('Jobs-Ops'!S88&lt;&gt; "",'Jobs-Ops'!S88,"")</f>
        <v/>
      </c>
      <c r="U88" s="10" t="n"/>
      <c r="V88" s="23">
        <f>IF(LEFT(B88,4)&lt;&gt;"    ","",IF(N88&lt;&gt;0,X88/N88,0))</f>
        <v/>
      </c>
      <c r="W88" s="11">
        <f>IF(LEFT(B88,4)&lt;&gt;"    ","",IF(V88&gt;=0.1,V88*J88,X88))</f>
        <v/>
      </c>
      <c r="X88" s="8" t="n"/>
      <c r="Y88" s="9">
        <f>IF(LEFT(B88,4)&lt;&gt;"    ",0,IF(Q88&lt;0,Q88,IF(V88&gt;0.1,W88-X88,0)))</f>
        <v/>
      </c>
      <c r="Z88" s="9">
        <f>IF(LEFT(B88,4)&lt;&gt;"    ",0,IF(V88&gt;0.1,BI88,0))</f>
        <v/>
      </c>
      <c r="AA88" s="9">
        <f>Y88-Z88</f>
        <v/>
      </c>
      <c r="AB88" s="10" t="n"/>
      <c r="AC88" s="24" t="n"/>
      <c r="AD88" s="11" t="n"/>
      <c r="AE88" s="8" t="n"/>
      <c r="AF88" s="9">
        <f>IF(LEFT(B88,4)&lt;&gt;"    ","",AD88-AE88)</f>
        <v/>
      </c>
      <c r="AG88" s="10" t="n"/>
      <c r="AH88" s="11">
        <f>IF(LEFT(B88,4)&lt;&gt;"    ","",W88-AD88)</f>
        <v/>
      </c>
      <c r="AI88" s="8">
        <f>IF(LEFT(B88,4)&lt;&gt;"    ","",X88-AE88)</f>
        <v/>
      </c>
      <c r="AJ88" s="9">
        <f>IF(LEFT(B88,4)&lt;&gt;"    ","",Y88-AF88)</f>
        <v/>
      </c>
      <c r="AK88" s="10" t="n"/>
      <c r="AL88" s="25">
        <f>IF(LEFT(B88,4)&lt;&gt;"    ","",J88-W88)</f>
        <v/>
      </c>
      <c r="AM88" s="25">
        <f>N88-X88</f>
        <v/>
      </c>
      <c r="AN88" s="25">
        <f>IF(LEFT(B88,4)&lt;&gt;"    ","",Q88-Y88)</f>
        <v/>
      </c>
      <c r="AO88" s="10" t="n"/>
      <c r="AP88" s="12" t="n"/>
      <c r="AQ88" s="12">
        <f>IF(LEFT(B88,4)&lt;&gt;"    ","",IF(W88-AP88&gt;=0,W88-AP88," "))</f>
        <v/>
      </c>
      <c r="AR88" s="12">
        <f>IF(LEFT(B88,4)&lt;&gt;"    ","",IF(AP88-W88&gt;=0,AP88-W88," "))</f>
        <v/>
      </c>
      <c r="AS88" s="186" t="n"/>
      <c r="AT88" s="187" t="n"/>
      <c r="AU88" s="186" t="n"/>
      <c r="AV88" s="186" t="n"/>
      <c r="AW88" s="188" t="n"/>
      <c r="AX88" s="187" t="n"/>
      <c r="AY88" s="187" t="n"/>
      <c r="AZ88" s="186" t="n"/>
      <c r="BA88" s="186" t="n"/>
      <c r="BB88" s="186" t="n"/>
      <c r="BC88" s="186" t="n"/>
      <c r="BD88" s="186" t="n"/>
      <c r="BE88" s="186" t="n"/>
      <c r="BF88" s="186" t="n"/>
      <c r="BG88" s="186" t="n"/>
      <c r="BH88" s="186" t="n"/>
      <c r="BI88" s="186" t="n"/>
      <c r="BJ88" s="186" t="n"/>
      <c r="BK88" s="186" t="n"/>
      <c r="BL88" s="186" t="n"/>
      <c r="BM88" s="186" t="n"/>
      <c r="BN88" s="186" t="n"/>
      <c r="BO88" s="186" t="n"/>
      <c r="BP88" s="186" t="n"/>
      <c r="BQ88" s="186" t="n"/>
      <c r="BR88" s="189" t="n"/>
      <c r="BS88" s="189" t="n"/>
      <c r="BT88" s="186" t="n"/>
      <c r="BU88" s="186" t="n"/>
      <c r="BV88" s="190" t="n"/>
      <c r="BW88" s="186" t="n"/>
      <c r="BX88" s="186" t="n"/>
      <c r="BY88" s="186" t="n"/>
      <c r="BZ88" s="186" t="n"/>
      <c r="CA88" s="186" t="n"/>
      <c r="CB88" s="187" t="n"/>
      <c r="CC88" s="192" t="n"/>
      <c r="CD88" s="192" t="n"/>
      <c r="CE88" s="192" t="n"/>
      <c r="CF88" s="192" t="n"/>
    </row>
    <row r="89">
      <c r="A89" s="197" t="n"/>
      <c r="B89" s="198" t="n"/>
      <c r="C89" s="198" t="n"/>
      <c r="D89" s="179" t="n"/>
      <c r="E89" s="180" t="n"/>
      <c r="F89" s="181" t="n"/>
      <c r="G89" s="284">
        <f>'Jobs-Ops'!G89</f>
        <v/>
      </c>
      <c r="H89" s="114">
        <f>'Jobs-Ops'!H89</f>
        <v/>
      </c>
      <c r="I89" s="105" t="n"/>
      <c r="J89" s="183">
        <f>F89</f>
        <v/>
      </c>
      <c r="K89" s="184" t="n"/>
      <c r="L89" s="185" t="n"/>
      <c r="M89" s="8" t="n"/>
      <c r="N89" s="184">
        <f>M89</f>
        <v/>
      </c>
      <c r="O89" s="71" t="n"/>
      <c r="P89" s="101" t="n"/>
      <c r="Q89" s="9">
        <f>J89-N89</f>
        <v/>
      </c>
      <c r="R89" s="9">
        <f>IF(LEFT(B89,4)&lt;&gt;"    ",0,BI89)</f>
        <v/>
      </c>
      <c r="S89" s="9">
        <f>+Q89-R89</f>
        <v/>
      </c>
      <c r="T89" s="200">
        <f>IF('Jobs-Ops'!S89&lt;&gt; "",'Jobs-Ops'!S89,"")</f>
        <v/>
      </c>
      <c r="U89" s="10" t="n"/>
      <c r="V89" s="23">
        <f>IF(LEFT(B89,4)&lt;&gt;"    ","",IF(N89&lt;&gt;0,X89/N89,0))</f>
        <v/>
      </c>
      <c r="W89" s="11">
        <f>IF(LEFT(B89,4)&lt;&gt;"    ","",IF(V89&gt;=0.1,V89*J89,X89))</f>
        <v/>
      </c>
      <c r="X89" s="8" t="n"/>
      <c r="Y89" s="9">
        <f>IF(LEFT(B89,4)&lt;&gt;"    ",0,IF(Q89&lt;0,Q89,IF(V89&gt;0.1,W89-X89,0)))</f>
        <v/>
      </c>
      <c r="Z89" s="9">
        <f>IF(LEFT(B89,4)&lt;&gt;"    ",0,IF(V89&gt;0.1,BI89,0))</f>
        <v/>
      </c>
      <c r="AA89" s="9">
        <f>Y89-Z89</f>
        <v/>
      </c>
      <c r="AB89" s="10" t="n"/>
      <c r="AC89" s="24" t="n"/>
      <c r="AD89" s="11" t="n"/>
      <c r="AE89" s="8" t="n"/>
      <c r="AF89" s="9">
        <f>IF(LEFT(B89,4)&lt;&gt;"    ","",AD89-AE89)</f>
        <v/>
      </c>
      <c r="AG89" s="10" t="n"/>
      <c r="AH89" s="11">
        <f>IF(LEFT(B89,4)&lt;&gt;"    ","",W89-AD89)</f>
        <v/>
      </c>
      <c r="AI89" s="8">
        <f>IF(LEFT(B89,4)&lt;&gt;"    ","",X89-AE89)</f>
        <v/>
      </c>
      <c r="AJ89" s="9">
        <f>IF(LEFT(B89,4)&lt;&gt;"    ","",Y89-AF89)</f>
        <v/>
      </c>
      <c r="AK89" s="10" t="n"/>
      <c r="AL89" s="25">
        <f>IF(LEFT(B89,4)&lt;&gt;"    ","",J89-W89)</f>
        <v/>
      </c>
      <c r="AM89" s="25">
        <f>N89-X89</f>
        <v/>
      </c>
      <c r="AN89" s="25">
        <f>IF(LEFT(B89,4)&lt;&gt;"    ","",Q89-Y89)</f>
        <v/>
      </c>
      <c r="AO89" s="10" t="n"/>
      <c r="AP89" s="12" t="n"/>
      <c r="AQ89" s="12">
        <f>IF(LEFT(B89,4)&lt;&gt;"    ","",IF(W89-AP89&gt;=0,W89-AP89," "))</f>
        <v/>
      </c>
      <c r="AR89" s="12">
        <f>IF(LEFT(B89,4)&lt;&gt;"    ","",IF(AP89-W89&gt;=0,AP89-W89," "))</f>
        <v/>
      </c>
      <c r="AS89" s="186" t="n"/>
      <c r="AT89" s="187" t="n"/>
      <c r="AU89" s="186" t="n"/>
      <c r="AV89" s="186" t="n"/>
      <c r="AW89" s="188" t="n"/>
      <c r="AX89" s="187" t="n"/>
      <c r="AY89" s="187" t="n"/>
      <c r="AZ89" s="186" t="n"/>
      <c r="BA89" s="186" t="n"/>
      <c r="BB89" s="186" t="n"/>
      <c r="BC89" s="186" t="n"/>
      <c r="BD89" s="186" t="n"/>
      <c r="BE89" s="186" t="n"/>
      <c r="BF89" s="186" t="n"/>
      <c r="BG89" s="186" t="n"/>
      <c r="BH89" s="186" t="n"/>
      <c r="BI89" s="186" t="n"/>
      <c r="BJ89" s="186" t="n"/>
      <c r="BK89" s="186" t="n"/>
      <c r="BL89" s="186" t="n"/>
      <c r="BM89" s="186" t="n"/>
      <c r="BN89" s="186" t="n"/>
      <c r="BO89" s="186" t="n"/>
      <c r="BP89" s="186" t="n"/>
      <c r="BQ89" s="186" t="n"/>
      <c r="BR89" s="189" t="n"/>
      <c r="BS89" s="189" t="n"/>
      <c r="BT89" s="186" t="n"/>
      <c r="BU89" s="186" t="n"/>
      <c r="BV89" s="190" t="n"/>
      <c r="BW89" s="186" t="n"/>
      <c r="BX89" s="186" t="n"/>
      <c r="BY89" s="186" t="n"/>
      <c r="BZ89" s="186" t="n"/>
      <c r="CA89" s="186" t="n"/>
      <c r="CB89" s="187" t="n"/>
      <c r="CC89" s="192" t="n"/>
      <c r="CD89" s="192" t="n"/>
      <c r="CE89" s="192" t="n"/>
      <c r="CF89" s="192" t="n"/>
    </row>
    <row r="90">
      <c r="A90" s="197" t="n"/>
      <c r="B90" s="198" t="n"/>
      <c r="C90" s="198" t="n"/>
      <c r="D90" s="179" t="n"/>
      <c r="E90" s="180" t="n"/>
      <c r="F90" s="181" t="n"/>
      <c r="G90" s="284">
        <f>'Jobs-Ops'!G90</f>
        <v/>
      </c>
      <c r="H90" s="114">
        <f>'Jobs-Ops'!H90</f>
        <v/>
      </c>
      <c r="I90" s="105" t="n"/>
      <c r="J90" s="183">
        <f>F90</f>
        <v/>
      </c>
      <c r="K90" s="184" t="n"/>
      <c r="L90" s="185" t="n"/>
      <c r="M90" s="8" t="n"/>
      <c r="N90" s="184">
        <f>M90</f>
        <v/>
      </c>
      <c r="O90" s="71" t="n"/>
      <c r="P90" s="101" t="n"/>
      <c r="Q90" s="9">
        <f>J90-N90</f>
        <v/>
      </c>
      <c r="R90" s="9">
        <f>IF(LEFT(B90,4)&lt;&gt;"    ",0,BI90)</f>
        <v/>
      </c>
      <c r="S90" s="9">
        <f>+Q90-R90</f>
        <v/>
      </c>
      <c r="T90" s="200">
        <f>IF('Jobs-Ops'!S90&lt;&gt; "",'Jobs-Ops'!S90,"")</f>
        <v/>
      </c>
      <c r="U90" s="10" t="n"/>
      <c r="V90" s="23">
        <f>IF(LEFT(B90,4)&lt;&gt;"    ","",IF(N90&lt;&gt;0,X90/N90,0))</f>
        <v/>
      </c>
      <c r="W90" s="11">
        <f>IF(LEFT(B90,4)&lt;&gt;"    ","",IF(V90&gt;=0.1,V90*J90,X90))</f>
        <v/>
      </c>
      <c r="X90" s="8" t="n"/>
      <c r="Y90" s="9">
        <f>IF(LEFT(B90,4)&lt;&gt;"    ",0,IF(Q90&lt;0,Q90,IF(V90&gt;0.1,W90-X90,0)))</f>
        <v/>
      </c>
      <c r="Z90" s="9">
        <f>IF(LEFT(B90,4)&lt;&gt;"    ",0,IF(V90&gt;0.1,BI90,0))</f>
        <v/>
      </c>
      <c r="AA90" s="9">
        <f>Y90-Z90</f>
        <v/>
      </c>
      <c r="AB90" s="10" t="n"/>
      <c r="AC90" s="24" t="n"/>
      <c r="AD90" s="11" t="n"/>
      <c r="AE90" s="8" t="n"/>
      <c r="AF90" s="9">
        <f>IF(LEFT(B90,4)&lt;&gt;"    ","",AD90-AE90)</f>
        <v/>
      </c>
      <c r="AG90" s="10" t="n"/>
      <c r="AH90" s="11">
        <f>IF(LEFT(B90,4)&lt;&gt;"    ","",W90-AD90)</f>
        <v/>
      </c>
      <c r="AI90" s="8">
        <f>IF(LEFT(B90,4)&lt;&gt;"    ","",X90-AE90)</f>
        <v/>
      </c>
      <c r="AJ90" s="9">
        <f>IF(LEFT(B90,4)&lt;&gt;"    ","",Y90-AF90)</f>
        <v/>
      </c>
      <c r="AK90" s="10" t="n"/>
      <c r="AL90" s="25">
        <f>IF(LEFT(B90,4)&lt;&gt;"    ","",J90-W90)</f>
        <v/>
      </c>
      <c r="AM90" s="25">
        <f>N90-X90</f>
        <v/>
      </c>
      <c r="AN90" s="25">
        <f>IF(LEFT(B90,4)&lt;&gt;"    ","",Q90-Y90)</f>
        <v/>
      </c>
      <c r="AO90" s="10" t="n"/>
      <c r="AP90" s="12" t="n"/>
      <c r="AQ90" s="12">
        <f>IF(LEFT(B90,4)&lt;&gt;"    ","",IF(W90-AP90&gt;=0,W90-AP90," "))</f>
        <v/>
      </c>
      <c r="AR90" s="12">
        <f>IF(LEFT(B90,4)&lt;&gt;"    ","",IF(AP90-W90&gt;=0,AP90-W90," "))</f>
        <v/>
      </c>
      <c r="AS90" s="186" t="n"/>
      <c r="AT90" s="187" t="n"/>
      <c r="AU90" s="186" t="n"/>
      <c r="AV90" s="186" t="n"/>
      <c r="AW90" s="188" t="n"/>
      <c r="AX90" s="187" t="n"/>
      <c r="AY90" s="187" t="n"/>
      <c r="AZ90" s="186" t="n"/>
      <c r="BA90" s="186" t="n"/>
      <c r="BB90" s="186" t="n"/>
      <c r="BC90" s="186" t="n"/>
      <c r="BD90" s="186" t="n"/>
      <c r="BE90" s="186" t="n"/>
      <c r="BF90" s="186" t="n"/>
      <c r="BG90" s="186" t="n"/>
      <c r="BH90" s="186" t="n"/>
      <c r="BI90" s="186" t="n"/>
      <c r="BJ90" s="186" t="n"/>
      <c r="BK90" s="186" t="n"/>
      <c r="BL90" s="186" t="n"/>
      <c r="BM90" s="186" t="n"/>
      <c r="BN90" s="186" t="n"/>
      <c r="BO90" s="186" t="n"/>
      <c r="BP90" s="186" t="n"/>
      <c r="BQ90" s="186" t="n"/>
      <c r="BR90" s="189" t="n"/>
      <c r="BS90" s="189" t="n"/>
      <c r="BT90" s="186" t="n"/>
      <c r="BU90" s="186" t="n"/>
      <c r="BV90" s="190" t="n"/>
      <c r="BW90" s="186" t="n"/>
      <c r="BX90" s="186" t="n"/>
      <c r="BY90" s="186" t="n"/>
      <c r="BZ90" s="186" t="n"/>
      <c r="CA90" s="186" t="n"/>
      <c r="CB90" s="187" t="n"/>
      <c r="CC90" s="192" t="n"/>
      <c r="CD90" s="192" t="n"/>
      <c r="CE90" s="192" t="n"/>
      <c r="CF90" s="192" t="n"/>
    </row>
    <row r="91">
      <c r="A91" s="197" t="n"/>
      <c r="B91" s="198" t="n"/>
      <c r="C91" s="198" t="n"/>
      <c r="D91" s="179" t="n"/>
      <c r="E91" s="180" t="n"/>
      <c r="F91" s="181" t="n"/>
      <c r="G91" s="284">
        <f>'Jobs-Ops'!G91</f>
        <v/>
      </c>
      <c r="H91" s="114">
        <f>'Jobs-Ops'!H91</f>
        <v/>
      </c>
      <c r="I91" s="105" t="n"/>
      <c r="J91" s="183">
        <f>F91</f>
        <v/>
      </c>
      <c r="K91" s="184" t="n"/>
      <c r="L91" s="185" t="n"/>
      <c r="M91" s="8" t="n"/>
      <c r="N91" s="184">
        <f>M91</f>
        <v/>
      </c>
      <c r="O91" s="71" t="n"/>
      <c r="P91" s="101" t="n"/>
      <c r="Q91" s="9">
        <f>J91-N91</f>
        <v/>
      </c>
      <c r="R91" s="9">
        <f>IF(LEFT(B91,4)&lt;&gt;"    ",0,BI91)</f>
        <v/>
      </c>
      <c r="S91" s="9">
        <f>+Q91-R91</f>
        <v/>
      </c>
      <c r="T91" s="200">
        <f>IF('Jobs-Ops'!S91&lt;&gt; "",'Jobs-Ops'!S91,"")</f>
        <v/>
      </c>
      <c r="U91" s="10" t="n"/>
      <c r="V91" s="23">
        <f>IF(LEFT(B91,4)&lt;&gt;"    ","",IF(N91&lt;&gt;0,X91/N91,0))</f>
        <v/>
      </c>
      <c r="W91" s="11">
        <f>IF(LEFT(B91,4)&lt;&gt;"    ","",IF(V91&gt;=0.1,V91*J91,X91))</f>
        <v/>
      </c>
      <c r="X91" s="8" t="n"/>
      <c r="Y91" s="9">
        <f>IF(LEFT(B91,4)&lt;&gt;"    ",0,IF(Q91&lt;0,Q91,IF(V91&gt;0.1,W91-X91,0)))</f>
        <v/>
      </c>
      <c r="Z91" s="9">
        <f>IF(LEFT(B91,4)&lt;&gt;"    ",0,IF(V91&gt;0.1,BI91,0))</f>
        <v/>
      </c>
      <c r="AA91" s="9">
        <f>Y91-Z91</f>
        <v/>
      </c>
      <c r="AB91" s="10" t="n"/>
      <c r="AC91" s="24" t="n"/>
      <c r="AD91" s="11" t="n"/>
      <c r="AE91" s="8" t="n"/>
      <c r="AF91" s="9">
        <f>IF(LEFT(B91,4)&lt;&gt;"    ","",AD91-AE91)</f>
        <v/>
      </c>
      <c r="AG91" s="10" t="n"/>
      <c r="AH91" s="11">
        <f>IF(LEFT(B91,4)&lt;&gt;"    ","",W91-AD91)</f>
        <v/>
      </c>
      <c r="AI91" s="8">
        <f>IF(LEFT(B91,4)&lt;&gt;"    ","",X91-AE91)</f>
        <v/>
      </c>
      <c r="AJ91" s="9">
        <f>IF(LEFT(B91,4)&lt;&gt;"    ","",Y91-AF91)</f>
        <v/>
      </c>
      <c r="AK91" s="10" t="n"/>
      <c r="AL91" s="25">
        <f>IF(LEFT(B91,4)&lt;&gt;"    ","",J91-W91)</f>
        <v/>
      </c>
      <c r="AM91" s="25">
        <f>N91-X91</f>
        <v/>
      </c>
      <c r="AN91" s="25">
        <f>IF(LEFT(B91,4)&lt;&gt;"    ","",Q91-Y91)</f>
        <v/>
      </c>
      <c r="AO91" s="10" t="n"/>
      <c r="AP91" s="12" t="n"/>
      <c r="AQ91" s="12">
        <f>IF(LEFT(B91,4)&lt;&gt;"    ","",IF(W91-AP91&gt;=0,W91-AP91," "))</f>
        <v/>
      </c>
      <c r="AR91" s="12">
        <f>IF(LEFT(B91,4)&lt;&gt;"    ","",IF(AP91-W91&gt;=0,AP91-W91," "))</f>
        <v/>
      </c>
      <c r="AS91" s="186" t="n"/>
      <c r="AT91" s="187" t="n"/>
      <c r="AU91" s="186" t="n"/>
      <c r="AV91" s="186" t="n"/>
      <c r="AW91" s="188" t="n"/>
      <c r="AX91" s="187" t="n"/>
      <c r="AY91" s="187" t="n"/>
      <c r="AZ91" s="186" t="n"/>
      <c r="BA91" s="186" t="n"/>
      <c r="BB91" s="186" t="n"/>
      <c r="BC91" s="186" t="n"/>
      <c r="BD91" s="186" t="n"/>
      <c r="BE91" s="186" t="n"/>
      <c r="BF91" s="186" t="n"/>
      <c r="BG91" s="186" t="n"/>
      <c r="BH91" s="186" t="n"/>
      <c r="BI91" s="186" t="n"/>
      <c r="BJ91" s="186" t="n"/>
      <c r="BK91" s="186" t="n"/>
      <c r="BL91" s="186" t="n"/>
      <c r="BM91" s="186" t="n"/>
      <c r="BN91" s="186" t="n"/>
      <c r="BO91" s="186" t="n"/>
      <c r="BP91" s="186" t="n"/>
      <c r="BQ91" s="186" t="n"/>
      <c r="BR91" s="189" t="n"/>
      <c r="BS91" s="189" t="n"/>
      <c r="BT91" s="186" t="n"/>
      <c r="BU91" s="186" t="n"/>
      <c r="BV91" s="190" t="n"/>
      <c r="BW91" s="186" t="n"/>
      <c r="BX91" s="186" t="n"/>
      <c r="BY91" s="186" t="n"/>
      <c r="BZ91" s="186" t="n"/>
      <c r="CA91" s="186" t="n"/>
      <c r="CB91" s="187" t="n"/>
      <c r="CC91" s="192" t="n"/>
      <c r="CD91" s="192" t="n"/>
      <c r="CE91" s="192" t="n"/>
      <c r="CF91" s="192" t="n"/>
    </row>
    <row r="92">
      <c r="A92" s="197" t="n"/>
      <c r="B92" s="198" t="n"/>
      <c r="C92" s="198" t="n"/>
      <c r="D92" s="179" t="n"/>
      <c r="E92" s="180" t="n"/>
      <c r="F92" s="181" t="n"/>
      <c r="G92" s="284">
        <f>'Jobs-Ops'!G92</f>
        <v/>
      </c>
      <c r="H92" s="114">
        <f>'Jobs-Ops'!H92</f>
        <v/>
      </c>
      <c r="I92" s="105" t="n"/>
      <c r="J92" s="183">
        <f>F92</f>
        <v/>
      </c>
      <c r="K92" s="184" t="n"/>
      <c r="L92" s="185" t="n"/>
      <c r="M92" s="8" t="n"/>
      <c r="N92" s="184">
        <f>M92</f>
        <v/>
      </c>
      <c r="O92" s="71" t="n"/>
      <c r="P92" s="101" t="n"/>
      <c r="Q92" s="9">
        <f>J92-N92</f>
        <v/>
      </c>
      <c r="R92" s="9">
        <f>IF(LEFT(B92,4)&lt;&gt;"    ",0,BI92)</f>
        <v/>
      </c>
      <c r="S92" s="9">
        <f>+Q92-R92</f>
        <v/>
      </c>
      <c r="T92" s="200">
        <f>IF('Jobs-Ops'!S92&lt;&gt; "",'Jobs-Ops'!S92,"")</f>
        <v/>
      </c>
      <c r="U92" s="10" t="n"/>
      <c r="V92" s="23">
        <f>IF(LEFT(B92,4)&lt;&gt;"    ","",IF(N92&lt;&gt;0,X92/N92,0))</f>
        <v/>
      </c>
      <c r="W92" s="11">
        <f>IF(LEFT(B92,4)&lt;&gt;"    ","",IF(V92&gt;=0.1,V92*J92,X92))</f>
        <v/>
      </c>
      <c r="X92" s="8" t="n"/>
      <c r="Y92" s="9">
        <f>IF(LEFT(B92,4)&lt;&gt;"    ",0,IF(Q92&lt;0,Q92,IF(V92&gt;0.1,W92-X92,0)))</f>
        <v/>
      </c>
      <c r="Z92" s="9">
        <f>IF(LEFT(B92,4)&lt;&gt;"    ",0,IF(V92&gt;0.1,BI92,0))</f>
        <v/>
      </c>
      <c r="AA92" s="9">
        <f>Y92-Z92</f>
        <v/>
      </c>
      <c r="AB92" s="10" t="n"/>
      <c r="AC92" s="24" t="n"/>
      <c r="AD92" s="11" t="n"/>
      <c r="AE92" s="8" t="n"/>
      <c r="AF92" s="9">
        <f>IF(LEFT(B92,4)&lt;&gt;"    ","",AD92-AE92)</f>
        <v/>
      </c>
      <c r="AG92" s="10" t="n"/>
      <c r="AH92" s="11">
        <f>IF(LEFT(B92,4)&lt;&gt;"    ","",W92-AD92)</f>
        <v/>
      </c>
      <c r="AI92" s="8">
        <f>IF(LEFT(B92,4)&lt;&gt;"    ","",X92-AE92)</f>
        <v/>
      </c>
      <c r="AJ92" s="9">
        <f>IF(LEFT(B92,4)&lt;&gt;"    ","",Y92-AF92)</f>
        <v/>
      </c>
      <c r="AK92" s="10" t="n"/>
      <c r="AL92" s="25">
        <f>IF(LEFT(B92,4)&lt;&gt;"    ","",J92-W92)</f>
        <v/>
      </c>
      <c r="AM92" s="25">
        <f>N92-X92</f>
        <v/>
      </c>
      <c r="AN92" s="25">
        <f>IF(LEFT(B92,4)&lt;&gt;"    ","",Q92-Y92)</f>
        <v/>
      </c>
      <c r="AO92" s="10" t="n"/>
      <c r="AP92" s="12" t="n"/>
      <c r="AQ92" s="12">
        <f>IF(LEFT(B92,4)&lt;&gt;"    ","",IF(W92-AP92&gt;=0,W92-AP92," "))</f>
        <v/>
      </c>
      <c r="AR92" s="12">
        <f>IF(LEFT(B92,4)&lt;&gt;"    ","",IF(AP92-W92&gt;=0,AP92-W92," "))</f>
        <v/>
      </c>
      <c r="AS92" s="186" t="n"/>
      <c r="AT92" s="187" t="n"/>
      <c r="AU92" s="186" t="n"/>
      <c r="AV92" s="186" t="n"/>
      <c r="AW92" s="188" t="n"/>
      <c r="AX92" s="187" t="n"/>
      <c r="AY92" s="187" t="n"/>
      <c r="AZ92" s="186" t="n"/>
      <c r="BA92" s="186" t="n"/>
      <c r="BB92" s="186" t="n"/>
      <c r="BC92" s="186" t="n"/>
      <c r="BD92" s="186" t="n"/>
      <c r="BE92" s="186" t="n"/>
      <c r="BF92" s="186" t="n"/>
      <c r="BG92" s="186" t="n"/>
      <c r="BH92" s="186" t="n"/>
      <c r="BI92" s="186" t="n"/>
      <c r="BJ92" s="186" t="n"/>
      <c r="BK92" s="186" t="n"/>
      <c r="BL92" s="186" t="n"/>
      <c r="BM92" s="186" t="n"/>
      <c r="BN92" s="186" t="n"/>
      <c r="BO92" s="186" t="n"/>
      <c r="BP92" s="186" t="n"/>
      <c r="BQ92" s="186" t="n"/>
      <c r="BR92" s="189" t="n"/>
      <c r="BS92" s="189" t="n"/>
      <c r="BT92" s="186" t="n"/>
      <c r="BU92" s="186" t="n"/>
      <c r="BV92" s="190" t="n"/>
      <c r="BW92" s="186" t="n"/>
      <c r="BX92" s="186" t="n"/>
      <c r="BY92" s="186" t="n"/>
      <c r="BZ92" s="186" t="n"/>
      <c r="CA92" s="186" t="n"/>
      <c r="CB92" s="187" t="n"/>
      <c r="CC92" s="192" t="n"/>
      <c r="CD92" s="192" t="n"/>
      <c r="CE92" s="192" t="n"/>
      <c r="CF92" s="192" t="n"/>
    </row>
    <row r="93">
      <c r="A93" s="197" t="n"/>
      <c r="B93" s="198" t="n"/>
      <c r="C93" s="198" t="n"/>
      <c r="D93" s="179" t="n"/>
      <c r="E93" s="180" t="n"/>
      <c r="F93" s="181" t="n"/>
      <c r="G93" s="284">
        <f>'Jobs-Ops'!G93</f>
        <v/>
      </c>
      <c r="H93" s="114">
        <f>'Jobs-Ops'!H93</f>
        <v/>
      </c>
      <c r="I93" s="105" t="n"/>
      <c r="J93" s="183">
        <f>F93</f>
        <v/>
      </c>
      <c r="K93" s="184" t="n"/>
      <c r="L93" s="185" t="n"/>
      <c r="M93" s="8" t="n"/>
      <c r="N93" s="184">
        <f>M93</f>
        <v/>
      </c>
      <c r="O93" s="71" t="n"/>
      <c r="P93" s="101" t="n"/>
      <c r="Q93" s="9">
        <f>J93-N93</f>
        <v/>
      </c>
      <c r="R93" s="9">
        <f>IF(LEFT(B93,4)&lt;&gt;"    ",0,BI93)</f>
        <v/>
      </c>
      <c r="S93" s="9">
        <f>+Q93-R93</f>
        <v/>
      </c>
      <c r="T93" s="200">
        <f>IF('Jobs-Ops'!S93&lt;&gt; "",'Jobs-Ops'!S93,"")</f>
        <v/>
      </c>
      <c r="U93" s="10" t="n"/>
      <c r="V93" s="23">
        <f>IF(LEFT(B93,4)&lt;&gt;"    ","",IF(N93&lt;&gt;0,X93/N93,0))</f>
        <v/>
      </c>
      <c r="W93" s="11">
        <f>IF(LEFT(B93,4)&lt;&gt;"    ","",IF(V93&gt;=0.1,V93*J93,X93))</f>
        <v/>
      </c>
      <c r="X93" s="8" t="n"/>
      <c r="Y93" s="9">
        <f>IF(LEFT(B93,4)&lt;&gt;"    ",0,IF(Q93&lt;0,Q93,IF(V93&gt;0.1,W93-X93,0)))</f>
        <v/>
      </c>
      <c r="Z93" s="9">
        <f>IF(LEFT(B93,4)&lt;&gt;"    ",0,IF(V93&gt;0.1,BI93,0))</f>
        <v/>
      </c>
      <c r="AA93" s="9">
        <f>Y93-Z93</f>
        <v/>
      </c>
      <c r="AB93" s="10" t="n"/>
      <c r="AC93" s="24" t="n"/>
      <c r="AD93" s="11" t="n"/>
      <c r="AE93" s="8" t="n"/>
      <c r="AF93" s="9">
        <f>IF(LEFT(B93,4)&lt;&gt;"    ","",AD93-AE93)</f>
        <v/>
      </c>
      <c r="AG93" s="10" t="n"/>
      <c r="AH93" s="11">
        <f>IF(LEFT(B93,4)&lt;&gt;"    ","",W93-AD93)</f>
        <v/>
      </c>
      <c r="AI93" s="8">
        <f>IF(LEFT(B93,4)&lt;&gt;"    ","",X93-AE93)</f>
        <v/>
      </c>
      <c r="AJ93" s="9">
        <f>IF(LEFT(B93,4)&lt;&gt;"    ","",Y93-AF93)</f>
        <v/>
      </c>
      <c r="AK93" s="10" t="n"/>
      <c r="AL93" s="25">
        <f>IF(LEFT(B93,4)&lt;&gt;"    ","",J93-W93)</f>
        <v/>
      </c>
      <c r="AM93" s="25">
        <f>N93-X93</f>
        <v/>
      </c>
      <c r="AN93" s="25">
        <f>IF(LEFT(B93,4)&lt;&gt;"    ","",Q93-Y93)</f>
        <v/>
      </c>
      <c r="AO93" s="10" t="n"/>
      <c r="AP93" s="12" t="n"/>
      <c r="AQ93" s="12">
        <f>IF(LEFT(B93,4)&lt;&gt;"    ","",IF(W93-AP93&gt;=0,W93-AP93," "))</f>
        <v/>
      </c>
      <c r="AR93" s="12">
        <f>IF(LEFT(B93,4)&lt;&gt;"    ","",IF(AP93-W93&gt;=0,AP93-W93," "))</f>
        <v/>
      </c>
      <c r="AS93" s="186" t="n"/>
      <c r="AT93" s="187" t="n"/>
      <c r="AU93" s="186" t="n"/>
      <c r="AV93" s="186" t="n"/>
      <c r="AW93" s="188" t="n"/>
      <c r="AX93" s="187" t="n"/>
      <c r="AY93" s="187" t="n"/>
      <c r="AZ93" s="186" t="n"/>
      <c r="BA93" s="186" t="n"/>
      <c r="BB93" s="186" t="n"/>
      <c r="BC93" s="186" t="n"/>
      <c r="BD93" s="186" t="n"/>
      <c r="BE93" s="186" t="n"/>
      <c r="BF93" s="186" t="n"/>
      <c r="BG93" s="186" t="n"/>
      <c r="BH93" s="186" t="n"/>
      <c r="BI93" s="186" t="n"/>
      <c r="BJ93" s="186" t="n"/>
      <c r="BK93" s="186" t="n"/>
      <c r="BL93" s="186" t="n"/>
      <c r="BM93" s="186" t="n"/>
      <c r="BN93" s="186" t="n"/>
      <c r="BO93" s="186" t="n"/>
      <c r="BP93" s="186" t="n"/>
      <c r="BQ93" s="186" t="n"/>
      <c r="BR93" s="189" t="n"/>
      <c r="BS93" s="189" t="n"/>
      <c r="BT93" s="186" t="n"/>
      <c r="BU93" s="186" t="n"/>
      <c r="BV93" s="190" t="n"/>
      <c r="BW93" s="186" t="n"/>
      <c r="BX93" s="186" t="n"/>
      <c r="BY93" s="186" t="n"/>
      <c r="BZ93" s="186" t="n"/>
      <c r="CA93" s="186" t="n"/>
      <c r="CB93" s="187" t="n"/>
      <c r="CC93" s="192" t="n"/>
      <c r="CD93" s="192" t="n"/>
      <c r="CE93" s="192" t="n"/>
      <c r="CF93" s="192" t="n"/>
    </row>
    <row r="94">
      <c r="A94" s="197" t="n"/>
      <c r="B94" s="198" t="n"/>
      <c r="C94" s="198" t="n"/>
      <c r="D94" s="179" t="n"/>
      <c r="E94" s="180" t="n"/>
      <c r="F94" s="181" t="n"/>
      <c r="G94" s="284">
        <f>'Jobs-Ops'!G94</f>
        <v/>
      </c>
      <c r="H94" s="114">
        <f>'Jobs-Ops'!H94</f>
        <v/>
      </c>
      <c r="I94" s="105" t="n"/>
      <c r="J94" s="183">
        <f>F94</f>
        <v/>
      </c>
      <c r="K94" s="184" t="n"/>
      <c r="L94" s="185" t="n"/>
      <c r="M94" s="8" t="n"/>
      <c r="N94" s="184">
        <f>M94</f>
        <v/>
      </c>
      <c r="O94" s="184" t="n"/>
      <c r="P94" s="185" t="n"/>
      <c r="Q94" s="9">
        <f>J94-N94</f>
        <v/>
      </c>
      <c r="R94" s="9">
        <f>IF(LEFT(B94,4)&lt;&gt;"    ",0,BI94)</f>
        <v/>
      </c>
      <c r="S94" s="9">
        <f>+Q94-R94</f>
        <v/>
      </c>
      <c r="T94" s="200">
        <f>IF('Jobs-Ops'!S94&lt;&gt; "",'Jobs-Ops'!S94,"")</f>
        <v/>
      </c>
      <c r="U94" s="10" t="n"/>
      <c r="V94" s="23">
        <f>IF(LEFT(B94,4)&lt;&gt;"    ","",IF(N94&lt;&gt;0,X94/N94,0))</f>
        <v/>
      </c>
      <c r="W94" s="11">
        <f>IF(LEFT(B94,4)&lt;&gt;"    ","",IF(V94&gt;=0.1,V94*J94,X94))</f>
        <v/>
      </c>
      <c r="X94" s="8" t="n"/>
      <c r="Y94" s="9">
        <f>IF(LEFT(B94,4)&lt;&gt;"    ",0,IF(Q94&lt;0,Q94,IF(V94&gt;0.1,W94-X94,0)))</f>
        <v/>
      </c>
      <c r="Z94" s="9">
        <f>IF(LEFT(B94,4)&lt;&gt;"    ",0,IF(V94&gt;0.1,BI94,0))</f>
        <v/>
      </c>
      <c r="AA94" s="9">
        <f>Y94-Z94</f>
        <v/>
      </c>
      <c r="AB94" s="10" t="n"/>
      <c r="AC94" s="24" t="n"/>
      <c r="AD94" s="11" t="n"/>
      <c r="AE94" s="8" t="n"/>
      <c r="AF94" s="9">
        <f>IF(LEFT(B94,4)&lt;&gt;"    ","",AD94-AE94)</f>
        <v/>
      </c>
      <c r="AG94" s="10" t="n"/>
      <c r="AH94" s="11">
        <f>IF(LEFT(B94,4)&lt;&gt;"    ","",W94-AD94)</f>
        <v/>
      </c>
      <c r="AI94" s="8">
        <f>IF(LEFT(B94,4)&lt;&gt;"    ","",X94-AE94)</f>
        <v/>
      </c>
      <c r="AJ94" s="9">
        <f>IF(LEFT(B94,4)&lt;&gt;"    ","",Y94-AF94)</f>
        <v/>
      </c>
      <c r="AK94" s="10" t="n"/>
      <c r="AL94" s="25">
        <f>IF(LEFT(B94,4)&lt;&gt;"    ","",J94-W94)</f>
        <v/>
      </c>
      <c r="AM94" s="25">
        <f>N94-X94</f>
        <v/>
      </c>
      <c r="AN94" s="25">
        <f>IF(LEFT(B94,4)&lt;&gt;"    ","",Q94-Y94)</f>
        <v/>
      </c>
      <c r="AO94" s="10" t="n"/>
      <c r="AP94" s="12" t="n"/>
      <c r="AQ94" s="12">
        <f>IF(LEFT(B94,4)&lt;&gt;"    ","",IF(W94-AP94&gt;=0,W94-AP94," "))</f>
        <v/>
      </c>
      <c r="AR94" s="12">
        <f>IF(LEFT(B94,4)&lt;&gt;"    ","",IF(AP94-W94&gt;=0,AP94-W94," "))</f>
        <v/>
      </c>
      <c r="AS94" s="186" t="n"/>
      <c r="AT94" s="187" t="n"/>
      <c r="AU94" s="186" t="n"/>
      <c r="AV94" s="186" t="n"/>
      <c r="AW94" s="188" t="n"/>
      <c r="AX94" s="187" t="n"/>
      <c r="AY94" s="187" t="n"/>
      <c r="AZ94" s="186" t="n"/>
      <c r="BA94" s="186" t="n"/>
      <c r="BB94" s="186" t="n"/>
      <c r="BC94" s="186" t="n"/>
      <c r="BD94" s="186" t="n"/>
      <c r="BE94" s="186" t="n"/>
      <c r="BF94" s="186" t="n"/>
      <c r="BG94" s="186" t="n"/>
      <c r="BH94" s="186" t="n"/>
      <c r="BI94" s="186" t="n"/>
      <c r="BJ94" s="186" t="n"/>
      <c r="BK94" s="186" t="n"/>
      <c r="BL94" s="186" t="n"/>
      <c r="BM94" s="186" t="n"/>
      <c r="BN94" s="186" t="n"/>
      <c r="BO94" s="186" t="n"/>
      <c r="BP94" s="186" t="n"/>
      <c r="BQ94" s="186" t="n"/>
      <c r="BR94" s="189" t="n"/>
      <c r="BS94" s="189" t="n"/>
      <c r="BT94" s="186" t="n"/>
      <c r="BU94" s="186" t="n"/>
      <c r="BV94" s="190" t="n"/>
      <c r="BW94" s="186" t="n"/>
      <c r="BX94" s="186" t="n"/>
      <c r="BY94" s="186" t="n"/>
      <c r="BZ94" s="186" t="n"/>
      <c r="CA94" s="186" t="n"/>
      <c r="CB94" s="187" t="n"/>
      <c r="CC94" s="192" t="n"/>
      <c r="CD94" s="192" t="n"/>
      <c r="CE94" s="192" t="n"/>
      <c r="CF94" s="192" t="n"/>
    </row>
    <row r="95">
      <c r="A95" s="197" t="n"/>
      <c r="B95" s="198" t="n"/>
      <c r="C95" s="198" t="n"/>
      <c r="D95" s="179" t="n"/>
      <c r="E95" s="180" t="n"/>
      <c r="F95" s="181" t="n"/>
      <c r="G95" s="284">
        <f>'Jobs-Ops'!G95</f>
        <v/>
      </c>
      <c r="H95" s="114">
        <f>'Jobs-Ops'!H95</f>
        <v/>
      </c>
      <c r="I95" s="105" t="n"/>
      <c r="J95" s="183">
        <f>F95</f>
        <v/>
      </c>
      <c r="K95" s="184" t="n"/>
      <c r="L95" s="185" t="n"/>
      <c r="M95" s="8" t="n"/>
      <c r="N95" s="184">
        <f>M95</f>
        <v/>
      </c>
      <c r="O95" s="71" t="n"/>
      <c r="P95" s="101" t="n"/>
      <c r="Q95" s="9">
        <f>J95-N95</f>
        <v/>
      </c>
      <c r="R95" s="9">
        <f>IF(LEFT(B95,4)&lt;&gt;"    ",0,BI95)</f>
        <v/>
      </c>
      <c r="S95" s="9">
        <f>+Q95-R95</f>
        <v/>
      </c>
      <c r="T95" s="200">
        <f>IF('Jobs-Ops'!S95&lt;&gt; "",'Jobs-Ops'!S95,"")</f>
        <v/>
      </c>
      <c r="U95" s="10" t="n"/>
      <c r="V95" s="23">
        <f>IF(LEFT(B95,4)&lt;&gt;"    ","",IF(N95&lt;&gt;0,X95/N95,0))</f>
        <v/>
      </c>
      <c r="W95" s="11">
        <f>IF(LEFT(B95,4)&lt;&gt;"    ","",IF(V95&gt;=0.1,V95*J95,X95))</f>
        <v/>
      </c>
      <c r="X95" s="8" t="n"/>
      <c r="Y95" s="9">
        <f>IF(LEFT(B95,4)&lt;&gt;"    ",0,IF(Q95&lt;0,Q95,IF(V95&gt;0.1,W95-X95,0)))</f>
        <v/>
      </c>
      <c r="Z95" s="9">
        <f>IF(LEFT(B95,4)&lt;&gt;"    ",0,IF(V95&gt;0.1,BI95,0))</f>
        <v/>
      </c>
      <c r="AA95" s="9">
        <f>Y95-Z95</f>
        <v/>
      </c>
      <c r="AB95" s="10" t="n"/>
      <c r="AC95" s="24" t="n"/>
      <c r="AD95" s="11" t="n"/>
      <c r="AE95" s="8" t="n"/>
      <c r="AF95" s="9">
        <f>IF(LEFT(B95,4)&lt;&gt;"    ","",AD95-AE95)</f>
        <v/>
      </c>
      <c r="AG95" s="10" t="n"/>
      <c r="AH95" s="11">
        <f>IF(LEFT(B95,4)&lt;&gt;"    ","",W95-AD95)</f>
        <v/>
      </c>
      <c r="AI95" s="8">
        <f>IF(LEFT(B95,4)&lt;&gt;"    ","",X95-AE95)</f>
        <v/>
      </c>
      <c r="AJ95" s="9">
        <f>IF(LEFT(B95,4)&lt;&gt;"    ","",Y95-AF95)</f>
        <v/>
      </c>
      <c r="AK95" s="10" t="n"/>
      <c r="AL95" s="25">
        <f>IF(LEFT(B95,4)&lt;&gt;"    ","",J95-W95)</f>
        <v/>
      </c>
      <c r="AM95" s="25">
        <f>N95-X95</f>
        <v/>
      </c>
      <c r="AN95" s="25">
        <f>IF(LEFT(B95,4)&lt;&gt;"    ","",Q95-Y95)</f>
        <v/>
      </c>
      <c r="AO95" s="10" t="n"/>
      <c r="AP95" s="12" t="n"/>
      <c r="AQ95" s="12">
        <f>IF(LEFT(B95,4)&lt;&gt;"    ","",IF(W95-AP95&gt;=0,W95-AP95," "))</f>
        <v/>
      </c>
      <c r="AR95" s="12">
        <f>IF(LEFT(B95,4)&lt;&gt;"    ","",IF(AP95-W95&gt;=0,AP95-W95," "))</f>
        <v/>
      </c>
      <c r="AS95" s="186" t="n"/>
      <c r="AT95" s="187" t="n"/>
      <c r="AU95" s="186" t="n"/>
      <c r="AV95" s="186" t="n"/>
      <c r="AW95" s="188" t="n"/>
      <c r="AX95" s="187" t="n"/>
      <c r="AY95" s="187" t="n"/>
      <c r="AZ95" s="186" t="n"/>
      <c r="BA95" s="186" t="n"/>
      <c r="BB95" s="186" t="n"/>
      <c r="BC95" s="186" t="n"/>
      <c r="BD95" s="186" t="n"/>
      <c r="BE95" s="186" t="n"/>
      <c r="BF95" s="186" t="n"/>
      <c r="BG95" s="186" t="n"/>
      <c r="BH95" s="186" t="n"/>
      <c r="BI95" s="186" t="n"/>
      <c r="BJ95" s="186" t="n"/>
      <c r="BK95" s="186" t="n"/>
      <c r="BL95" s="186" t="n"/>
      <c r="BM95" s="186" t="n"/>
      <c r="BN95" s="186" t="n"/>
      <c r="BO95" s="186" t="n"/>
      <c r="BP95" s="186" t="n"/>
      <c r="BQ95" s="186" t="n"/>
      <c r="BR95" s="189" t="n"/>
      <c r="BS95" s="189" t="n"/>
      <c r="BT95" s="186" t="n"/>
      <c r="BU95" s="186" t="n"/>
      <c r="BV95" s="190" t="n"/>
      <c r="BW95" s="186" t="n"/>
      <c r="BX95" s="186" t="n"/>
      <c r="BY95" s="186" t="n"/>
      <c r="BZ95" s="186" t="n"/>
      <c r="CA95" s="186" t="n"/>
      <c r="CB95" s="187" t="n"/>
      <c r="CC95" s="192" t="n"/>
      <c r="CD95" s="192" t="n"/>
      <c r="CE95" s="192" t="n"/>
      <c r="CF95" s="192" t="n"/>
    </row>
    <row r="96">
      <c r="A96" s="197" t="n"/>
      <c r="B96" s="198" t="n"/>
      <c r="C96" s="198" t="n"/>
      <c r="D96" s="179" t="n"/>
      <c r="E96" s="180" t="n"/>
      <c r="F96" s="181" t="n"/>
      <c r="G96" s="284">
        <f>'Jobs-Ops'!G96</f>
        <v/>
      </c>
      <c r="H96" s="114">
        <f>'Jobs-Ops'!H96</f>
        <v/>
      </c>
      <c r="I96" s="105" t="n"/>
      <c r="J96" s="183">
        <f>F96</f>
        <v/>
      </c>
      <c r="K96" s="184" t="n"/>
      <c r="L96" s="185" t="n"/>
      <c r="M96" s="8" t="n"/>
      <c r="N96" s="184">
        <f>M96</f>
        <v/>
      </c>
      <c r="O96" s="71" t="n"/>
      <c r="P96" s="101" t="n"/>
      <c r="Q96" s="9">
        <f>J96-N96</f>
        <v/>
      </c>
      <c r="R96" s="9">
        <f>IF(LEFT(B96,4)&lt;&gt;"    ",0,BI96)</f>
        <v/>
      </c>
      <c r="S96" s="9">
        <f>+Q96-R96</f>
        <v/>
      </c>
      <c r="T96" s="200">
        <f>IF('Jobs-Ops'!S96&lt;&gt; "",'Jobs-Ops'!S96,"")</f>
        <v/>
      </c>
      <c r="U96" s="10" t="n"/>
      <c r="V96" s="23">
        <f>IF(LEFT(B96,4)&lt;&gt;"    ","",IF(N96&lt;&gt;0,X96/N96,0))</f>
        <v/>
      </c>
      <c r="W96" s="11">
        <f>IF(LEFT(B96,4)&lt;&gt;"    ","",IF(V96&gt;=0.1,V96*J96,X96))</f>
        <v/>
      </c>
      <c r="X96" s="8" t="n"/>
      <c r="Y96" s="9">
        <f>IF(LEFT(B96,4)&lt;&gt;"    ",0,IF(Q96&lt;0,Q96,IF(V96&gt;0.1,W96-X96,0)))</f>
        <v/>
      </c>
      <c r="Z96" s="9">
        <f>IF(LEFT(B96,4)&lt;&gt;"    ",0,IF(V96&gt;0.1,BI96,0))</f>
        <v/>
      </c>
      <c r="AA96" s="9">
        <f>Y96-Z96</f>
        <v/>
      </c>
      <c r="AB96" s="10" t="n"/>
      <c r="AC96" s="24" t="n"/>
      <c r="AD96" s="11" t="n"/>
      <c r="AE96" s="8" t="n"/>
      <c r="AF96" s="9">
        <f>IF(LEFT(B96,4)&lt;&gt;"    ","",AD96-AE96)</f>
        <v/>
      </c>
      <c r="AG96" s="10" t="n"/>
      <c r="AH96" s="11">
        <f>IF(LEFT(B96,4)&lt;&gt;"    ","",W96-AD96)</f>
        <v/>
      </c>
      <c r="AI96" s="8">
        <f>IF(LEFT(B96,4)&lt;&gt;"    ","",X96-AE96)</f>
        <v/>
      </c>
      <c r="AJ96" s="9">
        <f>IF(LEFT(B96,4)&lt;&gt;"    ","",Y96-AF96)</f>
        <v/>
      </c>
      <c r="AK96" s="10" t="n"/>
      <c r="AL96" s="25">
        <f>IF(LEFT(B96,4)&lt;&gt;"    ","",J96-W96)</f>
        <v/>
      </c>
      <c r="AM96" s="25">
        <f>N96-X96</f>
        <v/>
      </c>
      <c r="AN96" s="25">
        <f>IF(LEFT(B96,4)&lt;&gt;"    ","",Q96-Y96)</f>
        <v/>
      </c>
      <c r="AO96" s="10" t="n"/>
      <c r="AP96" s="12" t="n"/>
      <c r="AQ96" s="12">
        <f>IF(LEFT(B96,4)&lt;&gt;"    ","",IF(W96-AP96&gt;=0,W96-AP96," "))</f>
        <v/>
      </c>
      <c r="AR96" s="12">
        <f>IF(LEFT(B96,4)&lt;&gt;"    ","",IF(AP96-W96&gt;=0,AP96-W96," "))</f>
        <v/>
      </c>
      <c r="AS96" s="186" t="n"/>
      <c r="AT96" s="187" t="n"/>
      <c r="AU96" s="186" t="n"/>
      <c r="AV96" s="186" t="n"/>
      <c r="AW96" s="188" t="n"/>
      <c r="AX96" s="187" t="n"/>
      <c r="AY96" s="187" t="n"/>
      <c r="AZ96" s="186" t="n"/>
      <c r="BA96" s="186" t="n"/>
      <c r="BB96" s="186" t="n"/>
      <c r="BC96" s="186" t="n"/>
      <c r="BD96" s="186" t="n"/>
      <c r="BE96" s="186" t="n"/>
      <c r="BF96" s="186" t="n"/>
      <c r="BG96" s="186" t="n"/>
      <c r="BH96" s="186" t="n"/>
      <c r="BI96" s="186" t="n"/>
      <c r="BJ96" s="186" t="n"/>
      <c r="BK96" s="186" t="n"/>
      <c r="BL96" s="186" t="n"/>
      <c r="BM96" s="186" t="n"/>
      <c r="BN96" s="186" t="n"/>
      <c r="BO96" s="186" t="n"/>
      <c r="BP96" s="186" t="n"/>
      <c r="BQ96" s="186" t="n"/>
      <c r="BR96" s="189" t="n"/>
      <c r="BS96" s="189" t="n"/>
      <c r="BT96" s="186" t="n"/>
      <c r="BU96" s="186" t="n"/>
      <c r="BV96" s="190" t="n"/>
      <c r="BW96" s="186" t="n"/>
      <c r="BX96" s="186" t="n"/>
      <c r="BY96" s="186" t="n"/>
      <c r="BZ96" s="186" t="n"/>
      <c r="CA96" s="186" t="n"/>
      <c r="CB96" s="187" t="n"/>
      <c r="CC96" s="192" t="n"/>
      <c r="CD96" s="192" t="n"/>
      <c r="CE96" s="192" t="n"/>
      <c r="CF96" s="192" t="n"/>
    </row>
    <row r="97">
      <c r="A97" s="197" t="n"/>
      <c r="B97" s="198" t="n"/>
      <c r="C97" s="198" t="n"/>
      <c r="D97" s="179" t="n"/>
      <c r="E97" s="180" t="n"/>
      <c r="F97" s="181" t="n"/>
      <c r="G97" s="284">
        <f>'Jobs-Ops'!G97</f>
        <v/>
      </c>
      <c r="H97" s="114">
        <f>'Jobs-Ops'!H97</f>
        <v/>
      </c>
      <c r="I97" s="105" t="n"/>
      <c r="J97" s="183">
        <f>F97</f>
        <v/>
      </c>
      <c r="K97" s="184" t="n"/>
      <c r="L97" s="185" t="n"/>
      <c r="M97" s="8" t="n"/>
      <c r="N97" s="184">
        <f>M97</f>
        <v/>
      </c>
      <c r="O97" s="71" t="n"/>
      <c r="P97" s="101" t="n"/>
      <c r="Q97" s="9">
        <f>J97-N97</f>
        <v/>
      </c>
      <c r="R97" s="9">
        <f>IF(LEFT(B97,4)&lt;&gt;"    ",0,BI97)</f>
        <v/>
      </c>
      <c r="S97" s="9">
        <f>+Q97-R97</f>
        <v/>
      </c>
      <c r="T97" s="200">
        <f>IF('Jobs-Ops'!S97&lt;&gt; "",'Jobs-Ops'!S97,"")</f>
        <v/>
      </c>
      <c r="U97" s="10" t="n"/>
      <c r="V97" s="23">
        <f>IF(LEFT(B97,4)&lt;&gt;"    ","",IF(N97&lt;&gt;0,X97/N97,0))</f>
        <v/>
      </c>
      <c r="W97" s="11">
        <f>IF(LEFT(B97,4)&lt;&gt;"    ","",IF(V97&gt;=0.1,V97*J97,X97))</f>
        <v/>
      </c>
      <c r="X97" s="8" t="n"/>
      <c r="Y97" s="9">
        <f>IF(LEFT(B97,4)&lt;&gt;"    ",0,IF(Q97&lt;0,Q97,IF(V97&gt;0.1,W97-X97,0)))</f>
        <v/>
      </c>
      <c r="Z97" s="9">
        <f>IF(LEFT(B97,4)&lt;&gt;"    ",0,IF(V97&gt;0.1,BI97,0))</f>
        <v/>
      </c>
      <c r="AA97" s="9">
        <f>Y97-Z97</f>
        <v/>
      </c>
      <c r="AB97" s="10" t="n"/>
      <c r="AC97" s="24" t="n"/>
      <c r="AD97" s="11" t="n"/>
      <c r="AE97" s="8" t="n"/>
      <c r="AF97" s="9">
        <f>IF(LEFT(B97,4)&lt;&gt;"    ","",AD97-AE97)</f>
        <v/>
      </c>
      <c r="AG97" s="10" t="n"/>
      <c r="AH97" s="11">
        <f>IF(LEFT(B97,4)&lt;&gt;"    ","",W97-AD97)</f>
        <v/>
      </c>
      <c r="AI97" s="8">
        <f>IF(LEFT(B97,4)&lt;&gt;"    ","",X97-AE97)</f>
        <v/>
      </c>
      <c r="AJ97" s="9">
        <f>IF(LEFT(B97,4)&lt;&gt;"    ","",Y97-AF97)</f>
        <v/>
      </c>
      <c r="AK97" s="10" t="n"/>
      <c r="AL97" s="25">
        <f>IF(LEFT(B97,4)&lt;&gt;"    ","",J97-W97)</f>
        <v/>
      </c>
      <c r="AM97" s="25">
        <f>N97-X97</f>
        <v/>
      </c>
      <c r="AN97" s="25">
        <f>IF(LEFT(B97,4)&lt;&gt;"    ","",Q97-Y97)</f>
        <v/>
      </c>
      <c r="AO97" s="10" t="n"/>
      <c r="AP97" s="12" t="n"/>
      <c r="AQ97" s="12">
        <f>IF(LEFT(B97,4)&lt;&gt;"    ","",IF(W97-AP97&gt;=0,W97-AP97," "))</f>
        <v/>
      </c>
      <c r="AR97" s="12">
        <f>IF(LEFT(B97,4)&lt;&gt;"    ","",IF(AP97-W97&gt;=0,AP97-W97," "))</f>
        <v/>
      </c>
      <c r="AS97" s="186" t="n"/>
      <c r="AT97" s="187" t="n"/>
      <c r="AU97" s="186" t="n"/>
      <c r="AV97" s="186" t="n"/>
      <c r="AW97" s="188" t="n"/>
      <c r="AX97" s="187" t="n"/>
      <c r="AY97" s="187" t="n"/>
      <c r="AZ97" s="186" t="n"/>
      <c r="BA97" s="186" t="n"/>
      <c r="BB97" s="186" t="n"/>
      <c r="BC97" s="186" t="n"/>
      <c r="BD97" s="186" t="n"/>
      <c r="BE97" s="186" t="n"/>
      <c r="BF97" s="186" t="n"/>
      <c r="BG97" s="186" t="n"/>
      <c r="BH97" s="186" t="n"/>
      <c r="BI97" s="186" t="n"/>
      <c r="BJ97" s="186" t="n"/>
      <c r="BK97" s="186" t="n"/>
      <c r="BL97" s="186" t="n"/>
      <c r="BM97" s="186" t="n"/>
      <c r="BN97" s="186" t="n"/>
      <c r="BO97" s="186" t="n"/>
      <c r="BP97" s="186" t="n"/>
      <c r="BQ97" s="186" t="n"/>
      <c r="BR97" s="189" t="n"/>
      <c r="BS97" s="189" t="n"/>
      <c r="BT97" s="186" t="n"/>
      <c r="BU97" s="186" t="n"/>
      <c r="BV97" s="190" t="n"/>
      <c r="BW97" s="186" t="n"/>
      <c r="BX97" s="186" t="n"/>
      <c r="BY97" s="186" t="n"/>
      <c r="BZ97" s="186" t="n"/>
      <c r="CA97" s="186" t="n"/>
      <c r="CB97" s="187" t="n"/>
      <c r="CC97" s="192" t="n"/>
      <c r="CD97" s="192" t="n"/>
      <c r="CE97" s="192" t="n"/>
      <c r="CF97" s="192" t="n"/>
    </row>
    <row r="98">
      <c r="A98" s="197" t="n"/>
      <c r="B98" s="198" t="n"/>
      <c r="C98" s="198" t="n"/>
      <c r="D98" s="179" t="n"/>
      <c r="E98" s="180" t="n"/>
      <c r="F98" s="181" t="n"/>
      <c r="G98" s="284">
        <f>'Jobs-Ops'!G98</f>
        <v/>
      </c>
      <c r="H98" s="114">
        <f>'Jobs-Ops'!H98</f>
        <v/>
      </c>
      <c r="I98" s="105" t="n"/>
      <c r="J98" s="183">
        <f>F98</f>
        <v/>
      </c>
      <c r="K98" s="184" t="n"/>
      <c r="L98" s="185" t="n"/>
      <c r="M98" s="8" t="n"/>
      <c r="N98" s="184">
        <f>M98</f>
        <v/>
      </c>
      <c r="O98" s="71" t="n"/>
      <c r="P98" s="101" t="n"/>
      <c r="Q98" s="9">
        <f>J98-N98</f>
        <v/>
      </c>
      <c r="R98" s="9">
        <f>IF(LEFT(B98,4)&lt;&gt;"    ",0,BI98)</f>
        <v/>
      </c>
      <c r="S98" s="9">
        <f>+Q98-R98</f>
        <v/>
      </c>
      <c r="T98" s="200">
        <f>IF('Jobs-Ops'!S98&lt;&gt; "",'Jobs-Ops'!S98,"")</f>
        <v/>
      </c>
      <c r="U98" s="10" t="n"/>
      <c r="V98" s="23">
        <f>IF(LEFT(B98,4)&lt;&gt;"    ","",IF(N98&lt;&gt;0,X98/N98,0))</f>
        <v/>
      </c>
      <c r="W98" s="11">
        <f>IF(LEFT(B98,4)&lt;&gt;"    ","",IF(V98&gt;=0.1,V98*J98,X98))</f>
        <v/>
      </c>
      <c r="X98" s="8" t="n"/>
      <c r="Y98" s="9">
        <f>IF(LEFT(B98,4)&lt;&gt;"    ",0,IF(Q98&lt;0,Q98,IF(V98&gt;0.1,W98-X98,0)))</f>
        <v/>
      </c>
      <c r="Z98" s="9">
        <f>IF(LEFT(B98,4)&lt;&gt;"    ",0,IF(V98&gt;0.1,BI98,0))</f>
        <v/>
      </c>
      <c r="AA98" s="9">
        <f>Y98-Z98</f>
        <v/>
      </c>
      <c r="AB98" s="10" t="n"/>
      <c r="AC98" s="24" t="n"/>
      <c r="AD98" s="11" t="n"/>
      <c r="AE98" s="8" t="n"/>
      <c r="AF98" s="9">
        <f>IF(LEFT(B98,4)&lt;&gt;"    ","",AD98-AE98)</f>
        <v/>
      </c>
      <c r="AG98" s="10" t="n"/>
      <c r="AH98" s="11">
        <f>IF(LEFT(B98,4)&lt;&gt;"    ","",W98-AD98)</f>
        <v/>
      </c>
      <c r="AI98" s="8">
        <f>IF(LEFT(B98,4)&lt;&gt;"    ","",X98-AE98)</f>
        <v/>
      </c>
      <c r="AJ98" s="9">
        <f>IF(LEFT(B98,4)&lt;&gt;"    ","",Y98-AF98)</f>
        <v/>
      </c>
      <c r="AK98" s="10" t="n"/>
      <c r="AL98" s="25">
        <f>IF(LEFT(B98,4)&lt;&gt;"    ","",J98-W98)</f>
        <v/>
      </c>
      <c r="AM98" s="25">
        <f>N98-X98</f>
        <v/>
      </c>
      <c r="AN98" s="25">
        <f>IF(LEFT(B98,4)&lt;&gt;"    ","",Q98-Y98)</f>
        <v/>
      </c>
      <c r="AO98" s="10" t="n"/>
      <c r="AP98" s="12" t="n"/>
      <c r="AQ98" s="12">
        <f>IF(LEFT(B98,4)&lt;&gt;"    ","",IF(W98-AP98&gt;=0,W98-AP98," "))</f>
        <v/>
      </c>
      <c r="AR98" s="12">
        <f>IF(LEFT(B98,4)&lt;&gt;"    ","",IF(AP98-W98&gt;=0,AP98-W98," "))</f>
        <v/>
      </c>
      <c r="AS98" s="186" t="n"/>
      <c r="AT98" s="187" t="n"/>
      <c r="AU98" s="186" t="n"/>
      <c r="AV98" s="186" t="n"/>
      <c r="AW98" s="188" t="n"/>
      <c r="AX98" s="187" t="n"/>
      <c r="AY98" s="187" t="n"/>
      <c r="AZ98" s="186" t="n"/>
      <c r="BA98" s="186" t="n"/>
      <c r="BB98" s="186" t="n"/>
      <c r="BC98" s="186" t="n"/>
      <c r="BD98" s="186" t="n"/>
      <c r="BE98" s="186" t="n"/>
      <c r="BF98" s="186" t="n"/>
      <c r="BG98" s="186" t="n"/>
      <c r="BH98" s="186" t="n"/>
      <c r="BI98" s="186" t="n"/>
      <c r="BJ98" s="186" t="n"/>
      <c r="BK98" s="186" t="n"/>
      <c r="BL98" s="186" t="n"/>
      <c r="BM98" s="186" t="n"/>
      <c r="BN98" s="186" t="n"/>
      <c r="BO98" s="186" t="n"/>
      <c r="BP98" s="186" t="n"/>
      <c r="BQ98" s="186" t="n"/>
      <c r="BR98" s="189" t="n"/>
      <c r="BS98" s="189" t="n"/>
      <c r="BT98" s="186" t="n"/>
      <c r="BU98" s="186" t="n"/>
      <c r="BV98" s="190" t="n"/>
      <c r="BW98" s="186" t="n"/>
      <c r="BX98" s="186" t="n"/>
      <c r="BY98" s="186" t="n"/>
      <c r="BZ98" s="186" t="n"/>
      <c r="CA98" s="186" t="n"/>
      <c r="CB98" s="187" t="n"/>
      <c r="CC98" s="192" t="n"/>
      <c r="CD98" s="192" t="n"/>
      <c r="CE98" s="192" t="n"/>
      <c r="CF98" s="192" t="n"/>
    </row>
    <row r="99">
      <c r="A99" s="197" t="n"/>
      <c r="B99" s="198" t="n"/>
      <c r="C99" s="198" t="n"/>
      <c r="D99" s="179" t="n"/>
      <c r="E99" s="180" t="n"/>
      <c r="F99" s="181" t="n"/>
      <c r="G99" s="284">
        <f>'Jobs-Ops'!G99</f>
        <v/>
      </c>
      <c r="H99" s="114">
        <f>'Jobs-Ops'!H99</f>
        <v/>
      </c>
      <c r="I99" s="105" t="n"/>
      <c r="J99" s="183">
        <f>F99</f>
        <v/>
      </c>
      <c r="K99" s="184" t="n"/>
      <c r="L99" s="185" t="n"/>
      <c r="M99" s="8" t="n"/>
      <c r="N99" s="184">
        <f>M99</f>
        <v/>
      </c>
      <c r="O99" s="71" t="n"/>
      <c r="P99" s="101" t="n"/>
      <c r="Q99" s="9">
        <f>J99-N99</f>
        <v/>
      </c>
      <c r="R99" s="9">
        <f>IF(LEFT(B99,4)&lt;&gt;"    ",0,BI99)</f>
        <v/>
      </c>
      <c r="S99" s="9">
        <f>+Q99-R99</f>
        <v/>
      </c>
      <c r="T99" s="200">
        <f>IF('Jobs-Ops'!S99&lt;&gt; "",'Jobs-Ops'!S99,"")</f>
        <v/>
      </c>
      <c r="U99" s="10" t="n"/>
      <c r="V99" s="23">
        <f>IF(LEFT(B99,4)&lt;&gt;"    ","",IF(N99&lt;&gt;0,X99/N99,0))</f>
        <v/>
      </c>
      <c r="W99" s="11">
        <f>IF(LEFT(B99,4)&lt;&gt;"    ","",IF(V99&gt;=0.1,V99*J99,X99))</f>
        <v/>
      </c>
      <c r="X99" s="8" t="n"/>
      <c r="Y99" s="9">
        <f>IF(LEFT(B99,4)&lt;&gt;"    ",0,IF(Q99&lt;0,Q99,IF(V99&gt;0.1,W99-X99,0)))</f>
        <v/>
      </c>
      <c r="Z99" s="9">
        <f>IF(LEFT(B99,4)&lt;&gt;"    ",0,IF(V99&gt;0.1,BI99,0))</f>
        <v/>
      </c>
      <c r="AA99" s="9">
        <f>Y99-Z99</f>
        <v/>
      </c>
      <c r="AB99" s="10" t="n"/>
      <c r="AC99" s="24" t="n"/>
      <c r="AD99" s="11" t="n"/>
      <c r="AE99" s="8" t="n"/>
      <c r="AF99" s="9">
        <f>IF(LEFT(B99,4)&lt;&gt;"    ","",AD99-AE99)</f>
        <v/>
      </c>
      <c r="AG99" s="10" t="n"/>
      <c r="AH99" s="11">
        <f>IF(LEFT(B99,4)&lt;&gt;"    ","",W99-AD99)</f>
        <v/>
      </c>
      <c r="AI99" s="8">
        <f>IF(LEFT(B99,4)&lt;&gt;"    ","",X99-AE99)</f>
        <v/>
      </c>
      <c r="AJ99" s="9">
        <f>IF(LEFT(B99,4)&lt;&gt;"    ","",Y99-AF99)</f>
        <v/>
      </c>
      <c r="AK99" s="10" t="n"/>
      <c r="AL99" s="25">
        <f>IF(LEFT(B99,4)&lt;&gt;"    ","",J99-W99)</f>
        <v/>
      </c>
      <c r="AM99" s="25">
        <f>N99-X99</f>
        <v/>
      </c>
      <c r="AN99" s="25">
        <f>IF(LEFT(B99,4)&lt;&gt;"    ","",Q99-Y99)</f>
        <v/>
      </c>
      <c r="AO99" s="10" t="n"/>
      <c r="AP99" s="12" t="n"/>
      <c r="AQ99" s="12">
        <f>IF(LEFT(B99,4)&lt;&gt;"    ","",IF(W99-AP99&gt;=0,W99-AP99," "))</f>
        <v/>
      </c>
      <c r="AR99" s="12">
        <f>IF(LEFT(B99,4)&lt;&gt;"    ","",IF(AP99-W99&gt;=0,AP99-W99," "))</f>
        <v/>
      </c>
      <c r="AS99" s="186" t="n"/>
      <c r="AT99" s="187" t="n"/>
      <c r="AU99" s="186" t="n"/>
      <c r="AV99" s="186" t="n"/>
      <c r="AW99" s="188" t="n"/>
      <c r="AX99" s="187" t="n"/>
      <c r="AY99" s="187" t="n"/>
      <c r="AZ99" s="186" t="n"/>
      <c r="BA99" s="186" t="n"/>
      <c r="BB99" s="186" t="n"/>
      <c r="BC99" s="186" t="n"/>
      <c r="BD99" s="186" t="n"/>
      <c r="BE99" s="186" t="n"/>
      <c r="BF99" s="186" t="n"/>
      <c r="BG99" s="186" t="n"/>
      <c r="BH99" s="186" t="n"/>
      <c r="BI99" s="186" t="n"/>
      <c r="BJ99" s="186" t="n"/>
      <c r="BK99" s="186" t="n"/>
      <c r="BL99" s="186" t="n"/>
      <c r="BM99" s="186" t="n"/>
      <c r="BN99" s="186" t="n"/>
      <c r="BO99" s="186" t="n"/>
      <c r="BP99" s="186" t="n"/>
      <c r="BQ99" s="186" t="n"/>
      <c r="BR99" s="189" t="n"/>
      <c r="BS99" s="189" t="n"/>
      <c r="BT99" s="186" t="n"/>
      <c r="BU99" s="186" t="n"/>
      <c r="BV99" s="190" t="n"/>
      <c r="BW99" s="186" t="n"/>
      <c r="BX99" s="186" t="n"/>
      <c r="BY99" s="186" t="n"/>
      <c r="BZ99" s="186" t="n"/>
      <c r="CA99" s="186" t="n"/>
      <c r="CB99" s="187" t="n"/>
      <c r="CC99" s="192" t="n"/>
      <c r="CD99" s="192" t="n"/>
      <c r="CE99" s="192" t="n"/>
      <c r="CF99" s="192" t="n"/>
    </row>
    <row r="100">
      <c r="A100" s="197" t="n"/>
      <c r="B100" s="198" t="n"/>
      <c r="C100" s="198" t="n"/>
      <c r="D100" s="179" t="n"/>
      <c r="E100" s="180" t="n"/>
      <c r="F100" s="181" t="n"/>
      <c r="G100" s="284">
        <f>'Jobs-Ops'!G100</f>
        <v/>
      </c>
      <c r="H100" s="114">
        <f>'Jobs-Ops'!H100</f>
        <v/>
      </c>
      <c r="I100" s="105" t="n"/>
      <c r="J100" s="183">
        <f>F100</f>
        <v/>
      </c>
      <c r="K100" s="184" t="n"/>
      <c r="L100" s="185" t="n"/>
      <c r="M100" s="8" t="n"/>
      <c r="N100" s="184">
        <f>M100</f>
        <v/>
      </c>
      <c r="O100" s="71" t="n"/>
      <c r="P100" s="101" t="n"/>
      <c r="Q100" s="9">
        <f>J100-N100</f>
        <v/>
      </c>
      <c r="R100" s="9">
        <f>IF(LEFT(B100,4)&lt;&gt;"    ",0,BI100)</f>
        <v/>
      </c>
      <c r="S100" s="9">
        <f>+Q100-R100</f>
        <v/>
      </c>
      <c r="T100" s="200">
        <f>IF('Jobs-Ops'!S100&lt;&gt; "",'Jobs-Ops'!S100,"")</f>
        <v/>
      </c>
      <c r="U100" s="10" t="n"/>
      <c r="V100" s="23">
        <f>IF(LEFT(B100,4)&lt;&gt;"    ","",IF(N100&lt;&gt;0,X100/N100,0))</f>
        <v/>
      </c>
      <c r="W100" s="11">
        <f>IF(LEFT(B100,4)&lt;&gt;"    ","",IF(V100&gt;=0.1,V100*J100,X100))</f>
        <v/>
      </c>
      <c r="X100" s="8" t="n"/>
      <c r="Y100" s="9">
        <f>IF(LEFT(B100,4)&lt;&gt;"    ",0,IF(Q100&lt;0,Q100,IF(V100&gt;0.1,W100-X100,0)))</f>
        <v/>
      </c>
      <c r="Z100" s="9">
        <f>IF(LEFT(B100,4)&lt;&gt;"    ",0,IF(V100&gt;0.1,BI100,0))</f>
        <v/>
      </c>
      <c r="AA100" s="9">
        <f>Y100-Z100</f>
        <v/>
      </c>
      <c r="AB100" s="10" t="n"/>
      <c r="AC100" s="24" t="n"/>
      <c r="AD100" s="11" t="n"/>
      <c r="AE100" s="8" t="n"/>
      <c r="AF100" s="9">
        <f>IF(LEFT(B100,4)&lt;&gt;"    ","",AD100-AE100)</f>
        <v/>
      </c>
      <c r="AG100" s="10" t="n"/>
      <c r="AH100" s="11">
        <f>IF(LEFT(B100,4)&lt;&gt;"    ","",W100-AD100)</f>
        <v/>
      </c>
      <c r="AI100" s="8">
        <f>IF(LEFT(B100,4)&lt;&gt;"    ","",X100-AE100)</f>
        <v/>
      </c>
      <c r="AJ100" s="9">
        <f>IF(LEFT(B100,4)&lt;&gt;"    ","",Y100-AF100)</f>
        <v/>
      </c>
      <c r="AK100" s="10" t="n"/>
      <c r="AL100" s="25">
        <f>IF(LEFT(B100,4)&lt;&gt;"    ","",J100-W100)</f>
        <v/>
      </c>
      <c r="AM100" s="25">
        <f>N100-X100</f>
        <v/>
      </c>
      <c r="AN100" s="25">
        <f>IF(LEFT(B100,4)&lt;&gt;"    ","",Q100-Y100)</f>
        <v/>
      </c>
      <c r="AO100" s="10" t="n"/>
      <c r="AP100" s="12" t="n"/>
      <c r="AQ100" s="12">
        <f>IF(LEFT(B100,4)&lt;&gt;"    ","",IF(W100-AP100&gt;=0,W100-AP100," "))</f>
        <v/>
      </c>
      <c r="AR100" s="12">
        <f>IF(LEFT(B100,4)&lt;&gt;"    ","",IF(AP100-W100&gt;=0,AP100-W100," "))</f>
        <v/>
      </c>
      <c r="AS100" s="186" t="n"/>
      <c r="AT100" s="187" t="n"/>
      <c r="AU100" s="186" t="n"/>
      <c r="AV100" s="186" t="n"/>
      <c r="AW100" s="188" t="n"/>
      <c r="AX100" s="187" t="n"/>
      <c r="AY100" s="187" t="n"/>
      <c r="AZ100" s="186" t="n"/>
      <c r="BA100" s="186" t="n"/>
      <c r="BB100" s="186" t="n"/>
      <c r="BC100" s="186" t="n"/>
      <c r="BD100" s="186" t="n"/>
      <c r="BE100" s="186" t="n"/>
      <c r="BF100" s="186" t="n"/>
      <c r="BG100" s="186" t="n"/>
      <c r="BH100" s="186" t="n"/>
      <c r="BI100" s="186" t="n"/>
      <c r="BJ100" s="186" t="n"/>
      <c r="BK100" s="186" t="n"/>
      <c r="BL100" s="186" t="n"/>
      <c r="BM100" s="186" t="n"/>
      <c r="BN100" s="186" t="n"/>
      <c r="BO100" s="186" t="n"/>
      <c r="BP100" s="186" t="n"/>
      <c r="BQ100" s="186" t="n"/>
      <c r="BR100" s="189" t="n"/>
      <c r="BS100" s="189" t="n"/>
      <c r="BT100" s="186" t="n"/>
      <c r="BU100" s="186" t="n"/>
      <c r="BV100" s="190" t="n"/>
      <c r="BW100" s="186" t="n"/>
      <c r="BX100" s="186" t="n"/>
      <c r="BY100" s="186" t="n"/>
      <c r="BZ100" s="186" t="n"/>
      <c r="CA100" s="186" t="n"/>
      <c r="CB100" s="187" t="n"/>
      <c r="CC100" s="192" t="n"/>
      <c r="CD100" s="192" t="n"/>
      <c r="CE100" s="192" t="n"/>
      <c r="CF100" s="192" t="n"/>
    </row>
    <row r="101">
      <c r="A101" s="197" t="n"/>
      <c r="B101" s="198" t="n"/>
      <c r="C101" s="198" t="n"/>
      <c r="D101" s="179" t="n"/>
      <c r="E101" s="180" t="n"/>
      <c r="F101" s="181" t="n"/>
      <c r="G101" s="284">
        <f>'Jobs-Ops'!G101</f>
        <v/>
      </c>
      <c r="H101" s="114">
        <f>'Jobs-Ops'!H101</f>
        <v/>
      </c>
      <c r="I101" s="105" t="n"/>
      <c r="J101" s="183">
        <f>F101</f>
        <v/>
      </c>
      <c r="K101" s="184" t="n"/>
      <c r="L101" s="185" t="n"/>
      <c r="M101" s="8" t="n"/>
      <c r="N101" s="184">
        <f>M101</f>
        <v/>
      </c>
      <c r="O101" s="71" t="n"/>
      <c r="P101" s="101" t="n"/>
      <c r="Q101" s="9">
        <f>J101-N101</f>
        <v/>
      </c>
      <c r="R101" s="9">
        <f>IF(LEFT(B101,4)&lt;&gt;"    ",0,BI101)</f>
        <v/>
      </c>
      <c r="S101" s="9">
        <f>+Q101-R101</f>
        <v/>
      </c>
      <c r="T101" s="200">
        <f>IF('Jobs-Ops'!S101&lt;&gt; "",'Jobs-Ops'!S101,"")</f>
        <v/>
      </c>
      <c r="U101" s="10" t="n"/>
      <c r="V101" s="23">
        <f>IF(LEFT(B101,4)&lt;&gt;"    ","",IF(N101&lt;&gt;0,X101/N101,0))</f>
        <v/>
      </c>
      <c r="W101" s="11">
        <f>IF(LEFT(B101,4)&lt;&gt;"    ","",IF(V101&gt;=0.1,V101*J101,X101))</f>
        <v/>
      </c>
      <c r="X101" s="8" t="n"/>
      <c r="Y101" s="9">
        <f>IF(LEFT(B101,4)&lt;&gt;"    ",0,IF(Q101&lt;0,Q101,IF(V101&gt;0.1,W101-X101,0)))</f>
        <v/>
      </c>
      <c r="Z101" s="9">
        <f>IF(LEFT(B101,4)&lt;&gt;"    ",0,IF(V101&gt;0.1,BI101,0))</f>
        <v/>
      </c>
      <c r="AA101" s="9">
        <f>Y101-Z101</f>
        <v/>
      </c>
      <c r="AB101" s="10" t="n"/>
      <c r="AC101" s="24" t="n"/>
      <c r="AD101" s="11" t="n"/>
      <c r="AE101" s="8" t="n"/>
      <c r="AF101" s="9">
        <f>IF(LEFT(B101,4)&lt;&gt;"    ","",AD101-AE101)</f>
        <v/>
      </c>
      <c r="AG101" s="10" t="n"/>
      <c r="AH101" s="11">
        <f>IF(LEFT(B101,4)&lt;&gt;"    ","",W101-AD101)</f>
        <v/>
      </c>
      <c r="AI101" s="8">
        <f>IF(LEFT(B101,4)&lt;&gt;"    ","",X101-AE101)</f>
        <v/>
      </c>
      <c r="AJ101" s="9">
        <f>IF(LEFT(B101,4)&lt;&gt;"    ","",Y101-AF101)</f>
        <v/>
      </c>
      <c r="AK101" s="10" t="n"/>
      <c r="AL101" s="25">
        <f>IF(LEFT(B101,4)&lt;&gt;"    ","",J101-W101)</f>
        <v/>
      </c>
      <c r="AM101" s="25">
        <f>N101-X101</f>
        <v/>
      </c>
      <c r="AN101" s="25">
        <f>IF(LEFT(B101,4)&lt;&gt;"    ","",Q101-Y101)</f>
        <v/>
      </c>
      <c r="AO101" s="10" t="n"/>
      <c r="AP101" s="12" t="n"/>
      <c r="AQ101" s="12">
        <f>IF(LEFT(B101,4)&lt;&gt;"    ","",IF(W101-AP101&gt;=0,W101-AP101," "))</f>
        <v/>
      </c>
      <c r="AR101" s="12">
        <f>IF(LEFT(B101,4)&lt;&gt;"    ","",IF(AP101-W101&gt;=0,AP101-W101," "))</f>
        <v/>
      </c>
      <c r="AS101" s="186" t="n"/>
      <c r="AT101" s="187" t="n"/>
      <c r="AU101" s="186" t="n"/>
      <c r="AV101" s="186" t="n"/>
      <c r="AW101" s="188" t="n"/>
      <c r="AX101" s="187" t="n"/>
      <c r="AY101" s="187" t="n"/>
      <c r="AZ101" s="186" t="n"/>
      <c r="BA101" s="186" t="n"/>
      <c r="BB101" s="186" t="n"/>
      <c r="BC101" s="186" t="n"/>
      <c r="BD101" s="186" t="n"/>
      <c r="BE101" s="186" t="n"/>
      <c r="BF101" s="186" t="n"/>
      <c r="BG101" s="186" t="n"/>
      <c r="BH101" s="186" t="n"/>
      <c r="BI101" s="186" t="n"/>
      <c r="BJ101" s="186" t="n"/>
      <c r="BK101" s="186" t="n"/>
      <c r="BL101" s="186" t="n"/>
      <c r="BM101" s="186" t="n"/>
      <c r="BN101" s="186" t="n"/>
      <c r="BO101" s="186" t="n"/>
      <c r="BP101" s="186" t="n"/>
      <c r="BQ101" s="186" t="n"/>
      <c r="BR101" s="189" t="n"/>
      <c r="BS101" s="189" t="n"/>
      <c r="BT101" s="186" t="n"/>
      <c r="BU101" s="186" t="n"/>
      <c r="BV101" s="190" t="n"/>
      <c r="BW101" s="186" t="n"/>
      <c r="BX101" s="186" t="n"/>
      <c r="BY101" s="186" t="n"/>
      <c r="BZ101" s="186" t="n"/>
      <c r="CA101" s="186" t="n"/>
      <c r="CB101" s="187" t="n"/>
      <c r="CC101" s="192" t="n"/>
      <c r="CD101" s="192" t="n"/>
      <c r="CE101" s="192" t="n"/>
      <c r="CF101" s="192" t="n"/>
    </row>
    <row r="102">
      <c r="A102" s="197" t="n"/>
      <c r="B102" s="198" t="n"/>
      <c r="C102" s="198" t="n"/>
      <c r="D102" s="179" t="n"/>
      <c r="E102" s="180" t="n"/>
      <c r="F102" s="181" t="n"/>
      <c r="G102" s="284">
        <f>'Jobs-Ops'!G102</f>
        <v/>
      </c>
      <c r="H102" s="114">
        <f>'Jobs-Ops'!H102</f>
        <v/>
      </c>
      <c r="I102" s="105" t="n"/>
      <c r="J102" s="183">
        <f>F102</f>
        <v/>
      </c>
      <c r="K102" s="184" t="n"/>
      <c r="L102" s="185" t="n"/>
      <c r="M102" s="8" t="n"/>
      <c r="N102" s="184">
        <f>M102</f>
        <v/>
      </c>
      <c r="O102" s="71" t="n"/>
      <c r="P102" s="101" t="n"/>
      <c r="Q102" s="9">
        <f>J102-N102</f>
        <v/>
      </c>
      <c r="R102" s="9">
        <f>IF(LEFT(B102,4)&lt;&gt;"    ",0,BI102)</f>
        <v/>
      </c>
      <c r="S102" s="9">
        <f>+Q102-R102</f>
        <v/>
      </c>
      <c r="T102" s="200">
        <f>IF('Jobs-Ops'!S102&lt;&gt; "",'Jobs-Ops'!S102,"")</f>
        <v/>
      </c>
      <c r="U102" s="10" t="n"/>
      <c r="V102" s="23">
        <f>IF(LEFT(B102,4)&lt;&gt;"    ","",IF(N102&lt;&gt;0,X102/N102,0))</f>
        <v/>
      </c>
      <c r="W102" s="11">
        <f>IF(LEFT(B102,4)&lt;&gt;"    ","",IF(V102&gt;=0.1,V102*J102,X102))</f>
        <v/>
      </c>
      <c r="X102" s="8" t="n"/>
      <c r="Y102" s="9">
        <f>IF(LEFT(B102,4)&lt;&gt;"    ",0,IF(Q102&lt;0,Q102,IF(V102&gt;0.1,W102-X102,0)))</f>
        <v/>
      </c>
      <c r="Z102" s="9">
        <f>IF(LEFT(B102,4)&lt;&gt;"    ",0,IF(V102&gt;0.1,BI102,0))</f>
        <v/>
      </c>
      <c r="AA102" s="9">
        <f>Y102-Z102</f>
        <v/>
      </c>
      <c r="AB102" s="10" t="n"/>
      <c r="AC102" s="24" t="n"/>
      <c r="AD102" s="11" t="n"/>
      <c r="AE102" s="8" t="n"/>
      <c r="AF102" s="9">
        <f>IF(LEFT(B102,4)&lt;&gt;"    ","",AD102-AE102)</f>
        <v/>
      </c>
      <c r="AG102" s="10" t="n"/>
      <c r="AH102" s="11">
        <f>IF(LEFT(B102,4)&lt;&gt;"    ","",W102-AD102)</f>
        <v/>
      </c>
      <c r="AI102" s="8">
        <f>IF(LEFT(B102,4)&lt;&gt;"    ","",X102-AE102)</f>
        <v/>
      </c>
      <c r="AJ102" s="9">
        <f>IF(LEFT(B102,4)&lt;&gt;"    ","",Y102-AF102)</f>
        <v/>
      </c>
      <c r="AK102" s="10" t="n"/>
      <c r="AL102" s="25">
        <f>IF(LEFT(B102,4)&lt;&gt;"    ","",J102-W102)</f>
        <v/>
      </c>
      <c r="AM102" s="25">
        <f>N102-X102</f>
        <v/>
      </c>
      <c r="AN102" s="25">
        <f>IF(LEFT(B102,4)&lt;&gt;"    ","",Q102-Y102)</f>
        <v/>
      </c>
      <c r="AO102" s="10" t="n"/>
      <c r="AP102" s="12" t="n"/>
      <c r="AQ102" s="12">
        <f>IF(LEFT(B102,4)&lt;&gt;"    ","",IF(W102-AP102&gt;=0,W102-AP102," "))</f>
        <v/>
      </c>
      <c r="AR102" s="12">
        <f>IF(LEFT(B102,4)&lt;&gt;"    ","",IF(AP102-W102&gt;=0,AP102-W102," "))</f>
        <v/>
      </c>
      <c r="AS102" s="186" t="n"/>
      <c r="AT102" s="187" t="n"/>
      <c r="AU102" s="186" t="n"/>
      <c r="AV102" s="186" t="n"/>
      <c r="AW102" s="188" t="n"/>
      <c r="AX102" s="187" t="n"/>
      <c r="AY102" s="187" t="n"/>
      <c r="AZ102" s="186" t="n"/>
      <c r="BA102" s="186" t="n"/>
      <c r="BB102" s="186" t="n"/>
      <c r="BC102" s="186" t="n"/>
      <c r="BD102" s="186" t="n"/>
      <c r="BE102" s="186" t="n"/>
      <c r="BF102" s="186" t="n"/>
      <c r="BG102" s="186" t="n"/>
      <c r="BH102" s="186" t="n"/>
      <c r="BI102" s="186" t="n"/>
      <c r="BJ102" s="186" t="n"/>
      <c r="BK102" s="186" t="n"/>
      <c r="BL102" s="186" t="n"/>
      <c r="BM102" s="186" t="n"/>
      <c r="BN102" s="186" t="n"/>
      <c r="BO102" s="186" t="n"/>
      <c r="BP102" s="186" t="n"/>
      <c r="BQ102" s="186" t="n"/>
      <c r="BR102" s="189" t="n"/>
      <c r="BS102" s="189" t="n"/>
      <c r="BT102" s="186" t="n"/>
      <c r="BU102" s="186" t="n"/>
      <c r="BV102" s="190" t="n"/>
      <c r="BW102" s="186" t="n"/>
      <c r="BX102" s="186" t="n"/>
      <c r="BY102" s="186" t="n"/>
      <c r="BZ102" s="186" t="n"/>
      <c r="CA102" s="186" t="n"/>
      <c r="CB102" s="187" t="n"/>
      <c r="CC102" s="192" t="n"/>
      <c r="CD102" s="192" t="n"/>
      <c r="CE102" s="192" t="n"/>
      <c r="CF102" s="192" t="n"/>
    </row>
    <row r="103">
      <c r="A103" s="197" t="n"/>
      <c r="B103" s="198" t="n"/>
      <c r="C103" s="198" t="n"/>
      <c r="D103" s="179" t="n"/>
      <c r="E103" s="180" t="n"/>
      <c r="F103" s="181" t="n"/>
      <c r="G103" s="284">
        <f>'Jobs-Ops'!G103</f>
        <v/>
      </c>
      <c r="H103" s="114">
        <f>'Jobs-Ops'!H103</f>
        <v/>
      </c>
      <c r="I103" s="105" t="n"/>
      <c r="J103" s="183">
        <f>F103</f>
        <v/>
      </c>
      <c r="K103" s="184" t="n"/>
      <c r="L103" s="185" t="n"/>
      <c r="M103" s="8" t="n"/>
      <c r="N103" s="184">
        <f>M103</f>
        <v/>
      </c>
      <c r="O103" s="71" t="n"/>
      <c r="P103" s="101" t="n"/>
      <c r="Q103" s="9">
        <f>J103-N103</f>
        <v/>
      </c>
      <c r="R103" s="9">
        <f>IF(LEFT(B103,4)&lt;&gt;"    ",0,BI103)</f>
        <v/>
      </c>
      <c r="S103" s="9">
        <f>+Q103-R103</f>
        <v/>
      </c>
      <c r="T103" s="200">
        <f>IF('Jobs-Ops'!S103&lt;&gt; "",'Jobs-Ops'!S103,"")</f>
        <v/>
      </c>
      <c r="U103" s="10" t="n"/>
      <c r="V103" s="23">
        <f>IF(LEFT(B103,4)&lt;&gt;"    ","",IF(N103&lt;&gt;0,X103/N103,0))</f>
        <v/>
      </c>
      <c r="W103" s="11">
        <f>IF(LEFT(B103,4)&lt;&gt;"    ","",IF(V103&gt;=0.1,V103*J103,X103))</f>
        <v/>
      </c>
      <c r="X103" s="8" t="n"/>
      <c r="Y103" s="9">
        <f>IF(LEFT(B103,4)&lt;&gt;"    ",0,IF(Q103&lt;0,Q103,IF(V103&gt;0.1,W103-X103,0)))</f>
        <v/>
      </c>
      <c r="Z103" s="9">
        <f>IF(LEFT(B103,4)&lt;&gt;"    ",0,IF(V103&gt;0.1,BI103,0))</f>
        <v/>
      </c>
      <c r="AA103" s="9">
        <f>Y103-Z103</f>
        <v/>
      </c>
      <c r="AB103" s="10" t="n"/>
      <c r="AC103" s="24" t="n"/>
      <c r="AD103" s="11" t="n"/>
      <c r="AE103" s="8" t="n"/>
      <c r="AF103" s="9">
        <f>IF(LEFT(B103,4)&lt;&gt;"    ","",AD103-AE103)</f>
        <v/>
      </c>
      <c r="AG103" s="10" t="n"/>
      <c r="AH103" s="11">
        <f>IF(LEFT(B103,4)&lt;&gt;"    ","",W103-AD103)</f>
        <v/>
      </c>
      <c r="AI103" s="8">
        <f>IF(LEFT(B103,4)&lt;&gt;"    ","",X103-AE103)</f>
        <v/>
      </c>
      <c r="AJ103" s="9">
        <f>IF(LEFT(B103,4)&lt;&gt;"    ","",Y103-AF103)</f>
        <v/>
      </c>
      <c r="AK103" s="10" t="n"/>
      <c r="AL103" s="25">
        <f>IF(LEFT(B103,4)&lt;&gt;"    ","",J103-W103)</f>
        <v/>
      </c>
      <c r="AM103" s="25">
        <f>N103-X103</f>
        <v/>
      </c>
      <c r="AN103" s="25">
        <f>IF(LEFT(B103,4)&lt;&gt;"    ","",Q103-Y103)</f>
        <v/>
      </c>
      <c r="AO103" s="10" t="n"/>
      <c r="AP103" s="12" t="n"/>
      <c r="AQ103" s="12">
        <f>IF(LEFT(B103,4)&lt;&gt;"    ","",IF(W103-AP103&gt;=0,W103-AP103," "))</f>
        <v/>
      </c>
      <c r="AR103" s="12">
        <f>IF(LEFT(B103,4)&lt;&gt;"    ","",IF(AP103-W103&gt;=0,AP103-W103," "))</f>
        <v/>
      </c>
      <c r="AS103" s="186" t="n"/>
      <c r="AT103" s="187" t="n"/>
      <c r="AU103" s="186" t="n"/>
      <c r="AV103" s="186" t="n"/>
      <c r="AW103" s="188" t="n"/>
      <c r="AX103" s="187" t="n"/>
      <c r="AY103" s="187" t="n"/>
      <c r="AZ103" s="186" t="n"/>
      <c r="BA103" s="186" t="n"/>
      <c r="BB103" s="186" t="n"/>
      <c r="BC103" s="186" t="n"/>
      <c r="BD103" s="186" t="n"/>
      <c r="BE103" s="186" t="n"/>
      <c r="BF103" s="186" t="n"/>
      <c r="BG103" s="186" t="n"/>
      <c r="BH103" s="186" t="n"/>
      <c r="BI103" s="186" t="n"/>
      <c r="BJ103" s="186" t="n"/>
      <c r="BK103" s="186" t="n"/>
      <c r="BL103" s="186" t="n"/>
      <c r="BM103" s="186" t="n"/>
      <c r="BN103" s="186" t="n"/>
      <c r="BO103" s="186" t="n"/>
      <c r="BP103" s="186" t="n"/>
      <c r="BQ103" s="186" t="n"/>
      <c r="BR103" s="189" t="n"/>
      <c r="BS103" s="189" t="n"/>
      <c r="BT103" s="186" t="n"/>
      <c r="BU103" s="186" t="n"/>
      <c r="BV103" s="190" t="n"/>
      <c r="BW103" s="186" t="n"/>
      <c r="BX103" s="186" t="n"/>
      <c r="BY103" s="186" t="n"/>
      <c r="BZ103" s="186" t="n"/>
      <c r="CA103" s="186" t="n"/>
      <c r="CB103" s="187" t="n"/>
      <c r="CC103" s="192" t="n"/>
      <c r="CD103" s="192" t="n"/>
      <c r="CE103" s="192" t="n"/>
      <c r="CF103" s="192" t="n"/>
    </row>
    <row r="104">
      <c r="A104" s="197" t="n"/>
      <c r="B104" s="198" t="n"/>
      <c r="C104" s="198" t="n"/>
      <c r="D104" s="179" t="n"/>
      <c r="E104" s="180" t="n"/>
      <c r="F104" s="181" t="n"/>
      <c r="G104" s="284">
        <f>'Jobs-Ops'!G104</f>
        <v/>
      </c>
      <c r="H104" s="114">
        <f>'Jobs-Ops'!H104</f>
        <v/>
      </c>
      <c r="I104" s="105" t="n"/>
      <c r="J104" s="183">
        <f>F104</f>
        <v/>
      </c>
      <c r="K104" s="184" t="n"/>
      <c r="L104" s="185" t="n"/>
      <c r="M104" s="8" t="n"/>
      <c r="N104" s="184">
        <f>M104</f>
        <v/>
      </c>
      <c r="O104" s="71" t="n"/>
      <c r="P104" s="101" t="n"/>
      <c r="Q104" s="9">
        <f>J104-N104</f>
        <v/>
      </c>
      <c r="R104" s="9">
        <f>IF(LEFT(B104,4)&lt;&gt;"    ",0,BI104)</f>
        <v/>
      </c>
      <c r="S104" s="9">
        <f>+Q104-R104</f>
        <v/>
      </c>
      <c r="T104" s="200">
        <f>IF('Jobs-Ops'!S104&lt;&gt; "",'Jobs-Ops'!S104,"")</f>
        <v/>
      </c>
      <c r="U104" s="10" t="n"/>
      <c r="V104" s="23">
        <f>IF(LEFT(B104,4)&lt;&gt;"    ","",IF(N104&lt;&gt;0,X104/N104,0))</f>
        <v/>
      </c>
      <c r="W104" s="11">
        <f>IF(LEFT(B104,4)&lt;&gt;"    ","",IF(V104&gt;=0.1,V104*J104,X104))</f>
        <v/>
      </c>
      <c r="X104" s="8" t="n"/>
      <c r="Y104" s="9">
        <f>IF(LEFT(B104,4)&lt;&gt;"    ",0,IF(Q104&lt;0,Q104,IF(V104&gt;0.1,W104-X104,0)))</f>
        <v/>
      </c>
      <c r="Z104" s="9">
        <f>IF(LEFT(B104,4)&lt;&gt;"    ",0,IF(V104&gt;0.1,BI104,0))</f>
        <v/>
      </c>
      <c r="AA104" s="9">
        <f>Y104-Z104</f>
        <v/>
      </c>
      <c r="AB104" s="10" t="n"/>
      <c r="AC104" s="24" t="n"/>
      <c r="AD104" s="11" t="n"/>
      <c r="AE104" s="8" t="n"/>
      <c r="AF104" s="9">
        <f>IF(LEFT(B104,4)&lt;&gt;"    ","",AD104-AE104)</f>
        <v/>
      </c>
      <c r="AG104" s="10" t="n"/>
      <c r="AH104" s="11">
        <f>IF(LEFT(B104,4)&lt;&gt;"    ","",W104-AD104)</f>
        <v/>
      </c>
      <c r="AI104" s="8">
        <f>IF(LEFT(B104,4)&lt;&gt;"    ","",X104-AE104)</f>
        <v/>
      </c>
      <c r="AJ104" s="9">
        <f>IF(LEFT(B104,4)&lt;&gt;"    ","",Y104-AF104)</f>
        <v/>
      </c>
      <c r="AK104" s="10" t="n"/>
      <c r="AL104" s="25">
        <f>IF(LEFT(B104,4)&lt;&gt;"    ","",J104-W104)</f>
        <v/>
      </c>
      <c r="AM104" s="25">
        <f>N104-X104</f>
        <v/>
      </c>
      <c r="AN104" s="25">
        <f>IF(LEFT(B104,4)&lt;&gt;"    ","",Q104-Y104)</f>
        <v/>
      </c>
      <c r="AO104" s="10" t="n"/>
      <c r="AP104" s="12" t="n"/>
      <c r="AQ104" s="12">
        <f>IF(LEFT(B104,4)&lt;&gt;"    ","",IF(W104-AP104&gt;=0,W104-AP104," "))</f>
        <v/>
      </c>
      <c r="AR104" s="12">
        <f>IF(LEFT(B104,4)&lt;&gt;"    ","",IF(AP104-W104&gt;=0,AP104-W104," "))</f>
        <v/>
      </c>
      <c r="AS104" s="186" t="n"/>
      <c r="AT104" s="187" t="n"/>
      <c r="AU104" s="186" t="n"/>
      <c r="AV104" s="186" t="n"/>
      <c r="AW104" s="188" t="n"/>
      <c r="AX104" s="187" t="n"/>
      <c r="AY104" s="187" t="n"/>
      <c r="AZ104" s="186" t="n"/>
      <c r="BA104" s="186" t="n"/>
      <c r="BB104" s="186" t="n"/>
      <c r="BC104" s="186" t="n"/>
      <c r="BD104" s="186" t="n"/>
      <c r="BE104" s="186" t="n"/>
      <c r="BF104" s="186" t="n"/>
      <c r="BG104" s="186" t="n"/>
      <c r="BH104" s="186" t="n"/>
      <c r="BI104" s="186" t="n"/>
      <c r="BJ104" s="186" t="n"/>
      <c r="BK104" s="186" t="n"/>
      <c r="BL104" s="186" t="n"/>
      <c r="BM104" s="186" t="n"/>
      <c r="BN104" s="186" t="n"/>
      <c r="BO104" s="186" t="n"/>
      <c r="BP104" s="186" t="n"/>
      <c r="BQ104" s="186" t="n"/>
      <c r="BR104" s="189" t="n"/>
      <c r="BS104" s="189" t="n"/>
      <c r="BT104" s="186" t="n"/>
      <c r="BU104" s="186" t="n"/>
      <c r="BV104" s="190" t="n"/>
      <c r="BW104" s="186" t="n"/>
      <c r="BX104" s="186" t="n"/>
      <c r="BY104" s="186" t="n"/>
      <c r="BZ104" s="186" t="n"/>
      <c r="CA104" s="186" t="n"/>
      <c r="CB104" s="187" t="n"/>
      <c r="CC104" s="192" t="n"/>
      <c r="CD104" s="192" t="n"/>
      <c r="CE104" s="192" t="n"/>
      <c r="CF104" s="192" t="n"/>
    </row>
    <row r="105">
      <c r="A105" s="197" t="n"/>
      <c r="B105" s="198" t="n"/>
      <c r="C105" s="198" t="n"/>
      <c r="D105" s="179" t="n"/>
      <c r="E105" s="180" t="n"/>
      <c r="F105" s="181" t="n"/>
      <c r="G105" s="284">
        <f>'Jobs-Ops'!G105</f>
        <v/>
      </c>
      <c r="H105" s="114">
        <f>'Jobs-Ops'!H105</f>
        <v/>
      </c>
      <c r="I105" s="105" t="n"/>
      <c r="J105" s="183">
        <f>F105</f>
        <v/>
      </c>
      <c r="K105" s="184" t="n"/>
      <c r="L105" s="185" t="n"/>
      <c r="M105" s="8" t="n"/>
      <c r="N105" s="184">
        <f>M105</f>
        <v/>
      </c>
      <c r="O105" s="71" t="n"/>
      <c r="P105" s="101" t="n"/>
      <c r="Q105" s="9">
        <f>J105-N105</f>
        <v/>
      </c>
      <c r="R105" s="9">
        <f>IF(LEFT(B105,4)&lt;&gt;"    ",0,BI105)</f>
        <v/>
      </c>
      <c r="S105" s="9">
        <f>+Q105-R105</f>
        <v/>
      </c>
      <c r="T105" s="200">
        <f>IF('Jobs-Ops'!S105&lt;&gt; "",'Jobs-Ops'!S105,"")</f>
        <v/>
      </c>
      <c r="U105" s="10" t="n"/>
      <c r="V105" s="23">
        <f>IF(LEFT(B105,4)&lt;&gt;"    ","",IF(N105&lt;&gt;0,X105/N105,0))</f>
        <v/>
      </c>
      <c r="W105" s="11">
        <f>IF(LEFT(B105,4)&lt;&gt;"    ","",IF(V105&gt;=0.1,V105*J105,X105))</f>
        <v/>
      </c>
      <c r="X105" s="8" t="n"/>
      <c r="Y105" s="9">
        <f>IF(LEFT(B105,4)&lt;&gt;"    ",0,IF(Q105&lt;0,Q105,IF(V105&gt;0.1,W105-X105,0)))</f>
        <v/>
      </c>
      <c r="Z105" s="9">
        <f>IF(LEFT(B105,4)&lt;&gt;"    ",0,IF(V105&gt;0.1,BI105,0))</f>
        <v/>
      </c>
      <c r="AA105" s="9">
        <f>Y105-Z105</f>
        <v/>
      </c>
      <c r="AB105" s="10" t="n"/>
      <c r="AC105" s="24" t="n"/>
      <c r="AD105" s="11" t="n"/>
      <c r="AE105" s="8" t="n"/>
      <c r="AF105" s="9">
        <f>IF(LEFT(B105,4)&lt;&gt;"    ","",AD105-AE105)</f>
        <v/>
      </c>
      <c r="AG105" s="10" t="n"/>
      <c r="AH105" s="11">
        <f>IF(LEFT(B105,4)&lt;&gt;"    ","",W105-AD105)</f>
        <v/>
      </c>
      <c r="AI105" s="8">
        <f>IF(LEFT(B105,4)&lt;&gt;"    ","",X105-AE105)</f>
        <v/>
      </c>
      <c r="AJ105" s="9">
        <f>IF(LEFT(B105,4)&lt;&gt;"    ","",Y105-AF105)</f>
        <v/>
      </c>
      <c r="AK105" s="10" t="n"/>
      <c r="AL105" s="25">
        <f>IF(LEFT(B105,4)&lt;&gt;"    ","",J105-W105)</f>
        <v/>
      </c>
      <c r="AM105" s="25">
        <f>N105-X105</f>
        <v/>
      </c>
      <c r="AN105" s="25">
        <f>IF(LEFT(B105,4)&lt;&gt;"    ","",Q105-Y105)</f>
        <v/>
      </c>
      <c r="AO105" s="10" t="n"/>
      <c r="AP105" s="12" t="n"/>
      <c r="AQ105" s="12">
        <f>IF(LEFT(B105,4)&lt;&gt;"    ","",IF(W105-AP105&gt;=0,W105-AP105," "))</f>
        <v/>
      </c>
      <c r="AR105" s="12">
        <f>IF(LEFT(B105,4)&lt;&gt;"    ","",IF(AP105-W105&gt;=0,AP105-W105," "))</f>
        <v/>
      </c>
      <c r="AS105" s="186" t="n"/>
      <c r="AT105" s="187" t="n"/>
      <c r="AU105" s="186" t="n"/>
      <c r="AV105" s="186" t="n"/>
      <c r="AW105" s="188" t="n"/>
      <c r="AX105" s="187" t="n"/>
      <c r="AY105" s="187" t="n"/>
      <c r="AZ105" s="186" t="n"/>
      <c r="BA105" s="186" t="n"/>
      <c r="BB105" s="186" t="n"/>
      <c r="BC105" s="186" t="n"/>
      <c r="BD105" s="186" t="n"/>
      <c r="BE105" s="186" t="n"/>
      <c r="BF105" s="186" t="n"/>
      <c r="BG105" s="186" t="n"/>
      <c r="BH105" s="186" t="n"/>
      <c r="BI105" s="186" t="n"/>
      <c r="BJ105" s="186" t="n"/>
      <c r="BK105" s="186" t="n"/>
      <c r="BL105" s="186" t="n"/>
      <c r="BM105" s="186" t="n"/>
      <c r="BN105" s="186" t="n"/>
      <c r="BO105" s="186" t="n"/>
      <c r="BP105" s="186" t="n"/>
      <c r="BQ105" s="186" t="n"/>
      <c r="BR105" s="189" t="n"/>
      <c r="BS105" s="189" t="n"/>
      <c r="BT105" s="186" t="n"/>
      <c r="BU105" s="186" t="n"/>
      <c r="BV105" s="190" t="n"/>
      <c r="BW105" s="186" t="n"/>
      <c r="BX105" s="186" t="n"/>
      <c r="BY105" s="186" t="n"/>
      <c r="BZ105" s="186" t="n"/>
      <c r="CA105" s="186" t="n"/>
      <c r="CB105" s="187" t="n"/>
      <c r="CC105" s="192" t="n"/>
      <c r="CD105" s="192" t="n"/>
      <c r="CE105" s="192" t="n"/>
      <c r="CF105" s="192" t="n"/>
    </row>
    <row r="106">
      <c r="A106" s="197" t="n"/>
      <c r="B106" s="198" t="n"/>
      <c r="C106" s="198" t="n"/>
      <c r="D106" s="179" t="n"/>
      <c r="E106" s="180" t="n"/>
      <c r="F106" s="181" t="n"/>
      <c r="G106" s="284">
        <f>'Jobs-Ops'!G106</f>
        <v/>
      </c>
      <c r="H106" s="114">
        <f>'Jobs-Ops'!H106</f>
        <v/>
      </c>
      <c r="I106" s="105" t="n"/>
      <c r="J106" s="183">
        <f>F106</f>
        <v/>
      </c>
      <c r="K106" s="184" t="n"/>
      <c r="L106" s="185" t="n"/>
      <c r="M106" s="8" t="n"/>
      <c r="N106" s="184">
        <f>M106</f>
        <v/>
      </c>
      <c r="O106" s="71" t="n"/>
      <c r="P106" s="101" t="n"/>
      <c r="Q106" s="9">
        <f>J106-N106</f>
        <v/>
      </c>
      <c r="R106" s="9">
        <f>IF(LEFT(B106,4)&lt;&gt;"    ",0,BI106)</f>
        <v/>
      </c>
      <c r="S106" s="9">
        <f>+Q106-R106</f>
        <v/>
      </c>
      <c r="T106" s="200">
        <f>IF('Jobs-Ops'!S106&lt;&gt; "",'Jobs-Ops'!S106,"")</f>
        <v/>
      </c>
      <c r="U106" s="10" t="n"/>
      <c r="V106" s="23">
        <f>IF(LEFT(B106,4)&lt;&gt;"    ","",IF(N106&lt;&gt;0,X106/N106,0))</f>
        <v/>
      </c>
      <c r="W106" s="11">
        <f>IF(LEFT(B106,4)&lt;&gt;"    ","",IF(V106&gt;=0.1,V106*J106,X106))</f>
        <v/>
      </c>
      <c r="X106" s="8" t="n"/>
      <c r="Y106" s="9">
        <f>IF(LEFT(B106,4)&lt;&gt;"    ",0,IF(Q106&lt;0,Q106,IF(V106&gt;0.1,W106-X106,0)))</f>
        <v/>
      </c>
      <c r="Z106" s="9">
        <f>IF(LEFT(B106,4)&lt;&gt;"    ",0,IF(V106&gt;0.1,BI106,0))</f>
        <v/>
      </c>
      <c r="AA106" s="9">
        <f>Y106-Z106</f>
        <v/>
      </c>
      <c r="AB106" s="10" t="n"/>
      <c r="AC106" s="24" t="n"/>
      <c r="AD106" s="11" t="n"/>
      <c r="AE106" s="8" t="n"/>
      <c r="AF106" s="9">
        <f>IF(LEFT(B106,4)&lt;&gt;"    ","",AD106-AE106)</f>
        <v/>
      </c>
      <c r="AG106" s="10" t="n"/>
      <c r="AH106" s="11">
        <f>IF(LEFT(B106,4)&lt;&gt;"    ","",W106-AD106)</f>
        <v/>
      </c>
      <c r="AI106" s="8">
        <f>IF(LEFT(B106,4)&lt;&gt;"    ","",X106-AE106)</f>
        <v/>
      </c>
      <c r="AJ106" s="9">
        <f>IF(LEFT(B106,4)&lt;&gt;"    ","",Y106-AF106)</f>
        <v/>
      </c>
      <c r="AK106" s="10" t="n"/>
      <c r="AL106" s="25">
        <f>IF(LEFT(B106,4)&lt;&gt;"    ","",J106-W106)</f>
        <v/>
      </c>
      <c r="AM106" s="25">
        <f>N106-X106</f>
        <v/>
      </c>
      <c r="AN106" s="25">
        <f>IF(LEFT(B106,4)&lt;&gt;"    ","",Q106-Y106)</f>
        <v/>
      </c>
      <c r="AO106" s="10" t="n"/>
      <c r="AP106" s="12" t="n"/>
      <c r="AQ106" s="12">
        <f>IF(LEFT(B106,4)&lt;&gt;"    ","",IF(W106-AP106&gt;=0,W106-AP106," "))</f>
        <v/>
      </c>
      <c r="AR106" s="12">
        <f>IF(LEFT(B106,4)&lt;&gt;"    ","",IF(AP106-W106&gt;=0,AP106-W106," "))</f>
        <v/>
      </c>
      <c r="AS106" s="186" t="n"/>
      <c r="AT106" s="187" t="n"/>
      <c r="AU106" s="186" t="n"/>
      <c r="AV106" s="186" t="n"/>
      <c r="AW106" s="188" t="n"/>
      <c r="AX106" s="187" t="n"/>
      <c r="AY106" s="187" t="n"/>
      <c r="AZ106" s="186" t="n"/>
      <c r="BA106" s="186" t="n"/>
      <c r="BB106" s="186" t="n"/>
      <c r="BC106" s="186" t="n"/>
      <c r="BD106" s="186" t="n"/>
      <c r="BE106" s="186" t="n"/>
      <c r="BF106" s="186" t="n"/>
      <c r="BG106" s="186" t="n"/>
      <c r="BH106" s="186" t="n"/>
      <c r="BI106" s="186" t="n"/>
      <c r="BJ106" s="186" t="n"/>
      <c r="BK106" s="186" t="n"/>
      <c r="BL106" s="186" t="n"/>
      <c r="BM106" s="186" t="n"/>
      <c r="BN106" s="186" t="n"/>
      <c r="BO106" s="186" t="n"/>
      <c r="BP106" s="186" t="n"/>
      <c r="BQ106" s="186" t="n"/>
      <c r="BR106" s="189" t="n"/>
      <c r="BS106" s="189" t="n"/>
      <c r="BT106" s="186" t="n"/>
      <c r="BU106" s="186" t="n"/>
      <c r="BV106" s="190" t="n"/>
      <c r="BW106" s="186" t="n"/>
      <c r="BX106" s="186" t="n"/>
      <c r="BY106" s="186" t="n"/>
      <c r="BZ106" s="186" t="n"/>
      <c r="CA106" s="186" t="n"/>
      <c r="CB106" s="187" t="n"/>
      <c r="CC106" s="192" t="n"/>
      <c r="CD106" s="192" t="n"/>
      <c r="CE106" s="192" t="n"/>
      <c r="CF106" s="192" t="n"/>
    </row>
    <row r="107">
      <c r="A107" s="197" t="n"/>
      <c r="B107" s="198" t="n"/>
      <c r="C107" s="198" t="n"/>
      <c r="D107" s="179" t="n"/>
      <c r="E107" s="180" t="n"/>
      <c r="F107" s="181" t="n"/>
      <c r="G107" s="284">
        <f>'Jobs-Ops'!G107</f>
        <v/>
      </c>
      <c r="H107" s="114">
        <f>'Jobs-Ops'!H107</f>
        <v/>
      </c>
      <c r="I107" s="105" t="n"/>
      <c r="J107" s="183">
        <f>F107</f>
        <v/>
      </c>
      <c r="K107" s="184" t="n"/>
      <c r="L107" s="185" t="n"/>
      <c r="M107" s="8" t="n"/>
      <c r="N107" s="184">
        <f>M107</f>
        <v/>
      </c>
      <c r="O107" s="71" t="n"/>
      <c r="P107" s="101" t="n"/>
      <c r="Q107" s="9">
        <f>J107-N107</f>
        <v/>
      </c>
      <c r="R107" s="9">
        <f>IF(LEFT(B107,4)&lt;&gt;"    ",0,BI107)</f>
        <v/>
      </c>
      <c r="S107" s="9">
        <f>+Q107-R107</f>
        <v/>
      </c>
      <c r="T107" s="200">
        <f>IF('Jobs-Ops'!S107&lt;&gt; "",'Jobs-Ops'!S107,"")</f>
        <v/>
      </c>
      <c r="U107" s="10" t="n"/>
      <c r="V107" s="23">
        <f>IF(LEFT(B107,4)&lt;&gt;"    ","",IF(N107&lt;&gt;0,X107/N107,0))</f>
        <v/>
      </c>
      <c r="W107" s="11">
        <f>IF(LEFT(B107,4)&lt;&gt;"    ","",IF(V107&gt;=0.1,V107*J107,X107))</f>
        <v/>
      </c>
      <c r="X107" s="8" t="n"/>
      <c r="Y107" s="9">
        <f>IF(LEFT(B107,4)&lt;&gt;"    ",0,IF(Q107&lt;0,Q107,IF(V107&gt;0.1,W107-X107,0)))</f>
        <v/>
      </c>
      <c r="Z107" s="9">
        <f>IF(LEFT(B107,4)&lt;&gt;"    ",0,IF(V107&gt;0.1,BI107,0))</f>
        <v/>
      </c>
      <c r="AA107" s="9">
        <f>Y107-Z107</f>
        <v/>
      </c>
      <c r="AB107" s="10" t="n"/>
      <c r="AC107" s="24" t="n"/>
      <c r="AD107" s="11" t="n"/>
      <c r="AE107" s="8" t="n"/>
      <c r="AF107" s="9">
        <f>IF(LEFT(B107,4)&lt;&gt;"    ","",AD107-AE107)</f>
        <v/>
      </c>
      <c r="AG107" s="10" t="n"/>
      <c r="AH107" s="11">
        <f>IF(LEFT(B107,4)&lt;&gt;"    ","",W107-AD107)</f>
        <v/>
      </c>
      <c r="AI107" s="8">
        <f>IF(LEFT(B107,4)&lt;&gt;"    ","",X107-AE107)</f>
        <v/>
      </c>
      <c r="AJ107" s="9">
        <f>IF(LEFT(B107,4)&lt;&gt;"    ","",Y107-AF107)</f>
        <v/>
      </c>
      <c r="AK107" s="10" t="n"/>
      <c r="AL107" s="25">
        <f>IF(LEFT(B107,4)&lt;&gt;"    ","",J107-W107)</f>
        <v/>
      </c>
      <c r="AM107" s="25">
        <f>N107-X107</f>
        <v/>
      </c>
      <c r="AN107" s="25">
        <f>IF(LEFT(B107,4)&lt;&gt;"    ","",Q107-Y107)</f>
        <v/>
      </c>
      <c r="AO107" s="10" t="n"/>
      <c r="AP107" s="12" t="n"/>
      <c r="AQ107" s="12">
        <f>IF(LEFT(B107,4)&lt;&gt;"    ","",IF(W107-AP107&gt;=0,W107-AP107," "))</f>
        <v/>
      </c>
      <c r="AR107" s="12">
        <f>IF(LEFT(B107,4)&lt;&gt;"    ","",IF(AP107-W107&gt;=0,AP107-W107," "))</f>
        <v/>
      </c>
      <c r="AS107" s="186" t="n"/>
      <c r="AT107" s="187" t="n"/>
      <c r="AU107" s="186" t="n"/>
      <c r="AV107" s="186" t="n"/>
      <c r="AW107" s="188" t="n"/>
      <c r="AX107" s="187" t="n"/>
      <c r="AY107" s="187" t="n"/>
      <c r="AZ107" s="186" t="n"/>
      <c r="BA107" s="186" t="n"/>
      <c r="BB107" s="186" t="n"/>
      <c r="BC107" s="186" t="n"/>
      <c r="BD107" s="186" t="n"/>
      <c r="BE107" s="186" t="n"/>
      <c r="BF107" s="186" t="n"/>
      <c r="BG107" s="186" t="n"/>
      <c r="BH107" s="186" t="n"/>
      <c r="BI107" s="186" t="n"/>
      <c r="BJ107" s="186" t="n"/>
      <c r="BK107" s="186" t="n"/>
      <c r="BL107" s="186" t="n"/>
      <c r="BM107" s="186" t="n"/>
      <c r="BN107" s="186" t="n"/>
      <c r="BO107" s="186" t="n"/>
      <c r="BP107" s="186" t="n"/>
      <c r="BQ107" s="186" t="n"/>
      <c r="BR107" s="189" t="n"/>
      <c r="BS107" s="189" t="n"/>
      <c r="BT107" s="186" t="n"/>
      <c r="BU107" s="186" t="n"/>
      <c r="BV107" s="190" t="n"/>
      <c r="BW107" s="186" t="n"/>
      <c r="BX107" s="186" t="n"/>
      <c r="BY107" s="186" t="n"/>
      <c r="BZ107" s="186" t="n"/>
      <c r="CA107" s="186" t="n"/>
      <c r="CB107" s="187" t="n"/>
      <c r="CC107" s="192" t="n"/>
      <c r="CD107" s="192" t="n"/>
      <c r="CE107" s="192" t="n"/>
      <c r="CF107" s="192" t="n"/>
    </row>
    <row r="108">
      <c r="A108" s="197" t="n"/>
      <c r="B108" s="198" t="n"/>
      <c r="C108" s="198" t="n"/>
      <c r="D108" s="179" t="n"/>
      <c r="E108" s="180" t="n"/>
      <c r="F108" s="181" t="n"/>
      <c r="G108" s="284">
        <f>'Jobs-Ops'!G108</f>
        <v/>
      </c>
      <c r="H108" s="114">
        <f>'Jobs-Ops'!H108</f>
        <v/>
      </c>
      <c r="I108" s="105" t="n"/>
      <c r="J108" s="183">
        <f>F108</f>
        <v/>
      </c>
      <c r="K108" s="184" t="n"/>
      <c r="L108" s="185" t="n"/>
      <c r="M108" s="8" t="n"/>
      <c r="N108" s="184">
        <f>M108</f>
        <v/>
      </c>
      <c r="O108" s="71" t="n"/>
      <c r="P108" s="101" t="n"/>
      <c r="Q108" s="9">
        <f>J108-N108</f>
        <v/>
      </c>
      <c r="R108" s="9">
        <f>IF(LEFT(B108,4)&lt;&gt;"    ",0,BI108)</f>
        <v/>
      </c>
      <c r="S108" s="9">
        <f>+Q108-R108</f>
        <v/>
      </c>
      <c r="T108" s="200">
        <f>IF('Jobs-Ops'!S108&lt;&gt; "",'Jobs-Ops'!S108,"")</f>
        <v/>
      </c>
      <c r="U108" s="10" t="n"/>
      <c r="V108" s="23">
        <f>IF(LEFT(B108,4)&lt;&gt;"    ","",IF(N108&lt;&gt;0,X108/N108,0))</f>
        <v/>
      </c>
      <c r="W108" s="11">
        <f>IF(LEFT(B108,4)&lt;&gt;"    ","",IF(V108&gt;=0.1,V108*J108,X108))</f>
        <v/>
      </c>
      <c r="X108" s="8" t="n"/>
      <c r="Y108" s="9">
        <f>IF(LEFT(B108,4)&lt;&gt;"    ",0,IF(Q108&lt;0,Q108,IF(V108&gt;0.1,W108-X108,0)))</f>
        <v/>
      </c>
      <c r="Z108" s="9">
        <f>IF(LEFT(B108,4)&lt;&gt;"    ",0,IF(V108&gt;0.1,BI108,0))</f>
        <v/>
      </c>
      <c r="AA108" s="9">
        <f>Y108-Z108</f>
        <v/>
      </c>
      <c r="AB108" s="10" t="n"/>
      <c r="AC108" s="24" t="n"/>
      <c r="AD108" s="11" t="n"/>
      <c r="AE108" s="8" t="n"/>
      <c r="AF108" s="9">
        <f>IF(LEFT(B108,4)&lt;&gt;"    ","",AD108-AE108)</f>
        <v/>
      </c>
      <c r="AG108" s="10" t="n"/>
      <c r="AH108" s="11">
        <f>IF(LEFT(B108,4)&lt;&gt;"    ","",W108-AD108)</f>
        <v/>
      </c>
      <c r="AI108" s="8">
        <f>IF(LEFT(B108,4)&lt;&gt;"    ","",X108-AE108)</f>
        <v/>
      </c>
      <c r="AJ108" s="9">
        <f>IF(LEFT(B108,4)&lt;&gt;"    ","",Y108-AF108)</f>
        <v/>
      </c>
      <c r="AK108" s="10" t="n"/>
      <c r="AL108" s="25">
        <f>IF(LEFT(B108,4)&lt;&gt;"    ","",J108-W108)</f>
        <v/>
      </c>
      <c r="AM108" s="25">
        <f>N108-X108</f>
        <v/>
      </c>
      <c r="AN108" s="25">
        <f>IF(LEFT(B108,4)&lt;&gt;"    ","",Q108-Y108)</f>
        <v/>
      </c>
      <c r="AO108" s="10" t="n"/>
      <c r="AP108" s="12" t="n"/>
      <c r="AQ108" s="12">
        <f>IF(LEFT(B108,4)&lt;&gt;"    ","",IF(W108-AP108&gt;=0,W108-AP108," "))</f>
        <v/>
      </c>
      <c r="AR108" s="12">
        <f>IF(LEFT(B108,4)&lt;&gt;"    ","",IF(AP108-W108&gt;=0,AP108-W108," "))</f>
        <v/>
      </c>
      <c r="AS108" s="186" t="n"/>
      <c r="AT108" s="187" t="n"/>
      <c r="AU108" s="186" t="n"/>
      <c r="AV108" s="186" t="n"/>
      <c r="AW108" s="188" t="n"/>
      <c r="AX108" s="187" t="n"/>
      <c r="AY108" s="187" t="n"/>
      <c r="AZ108" s="186" t="n"/>
      <c r="BA108" s="186" t="n"/>
      <c r="BB108" s="186" t="n"/>
      <c r="BC108" s="186" t="n"/>
      <c r="BD108" s="186" t="n"/>
      <c r="BE108" s="186" t="n"/>
      <c r="BF108" s="186" t="n"/>
      <c r="BG108" s="186" t="n"/>
      <c r="BH108" s="186" t="n"/>
      <c r="BI108" s="186" t="n"/>
      <c r="BJ108" s="186" t="n"/>
      <c r="BK108" s="186" t="n"/>
      <c r="BL108" s="186" t="n"/>
      <c r="BM108" s="186" t="n"/>
      <c r="BN108" s="186" t="n"/>
      <c r="BO108" s="186" t="n"/>
      <c r="BP108" s="186" t="n"/>
      <c r="BQ108" s="186" t="n"/>
      <c r="BR108" s="189" t="n"/>
      <c r="BS108" s="189" t="n"/>
      <c r="BT108" s="186" t="n"/>
      <c r="BU108" s="186" t="n"/>
      <c r="BV108" s="190" t="n"/>
      <c r="BW108" s="186" t="n"/>
      <c r="BX108" s="186" t="n"/>
      <c r="BY108" s="186" t="n"/>
      <c r="BZ108" s="186" t="n"/>
      <c r="CA108" s="186" t="n"/>
      <c r="CB108" s="187" t="n"/>
      <c r="CC108" s="192" t="n"/>
      <c r="CD108" s="192" t="n"/>
      <c r="CE108" s="192" t="n"/>
      <c r="CF108" s="192" t="n"/>
    </row>
    <row r="109">
      <c r="A109" s="197" t="n"/>
      <c r="B109" s="198" t="n"/>
      <c r="C109" s="198" t="n"/>
      <c r="D109" s="179" t="n"/>
      <c r="E109" s="180" t="n"/>
      <c r="F109" s="181" t="n"/>
      <c r="G109" s="284">
        <f>'Jobs-Ops'!G109</f>
        <v/>
      </c>
      <c r="H109" s="114">
        <f>'Jobs-Ops'!H109</f>
        <v/>
      </c>
      <c r="I109" s="105" t="n"/>
      <c r="J109" s="183">
        <f>F109</f>
        <v/>
      </c>
      <c r="K109" s="184" t="n"/>
      <c r="L109" s="185" t="n"/>
      <c r="M109" s="8" t="n"/>
      <c r="N109" s="184">
        <f>M109</f>
        <v/>
      </c>
      <c r="O109" s="71" t="n"/>
      <c r="P109" s="101" t="n"/>
      <c r="Q109" s="9">
        <f>J109-N109</f>
        <v/>
      </c>
      <c r="R109" s="9">
        <f>IF(LEFT(B109,4)&lt;&gt;"    ",0,BI109)</f>
        <v/>
      </c>
      <c r="S109" s="9">
        <f>+Q109-R109</f>
        <v/>
      </c>
      <c r="T109" s="200">
        <f>IF('Jobs-Ops'!S109&lt;&gt; "",'Jobs-Ops'!S109,"")</f>
        <v/>
      </c>
      <c r="U109" s="10" t="n"/>
      <c r="V109" s="23">
        <f>IF(LEFT(B109,4)&lt;&gt;"    ","",IF(N109&lt;&gt;0,X109/N109,0))</f>
        <v/>
      </c>
      <c r="W109" s="11">
        <f>IF(LEFT(B109,4)&lt;&gt;"    ","",IF(V109&gt;=0.1,V109*J109,X109))</f>
        <v/>
      </c>
      <c r="X109" s="8" t="n"/>
      <c r="Y109" s="9">
        <f>IF(LEFT(B109,4)&lt;&gt;"    ",0,IF(Q109&lt;0,Q109,IF(V109&gt;0.1,W109-X109,0)))</f>
        <v/>
      </c>
      <c r="Z109" s="9">
        <f>IF(LEFT(B109,4)&lt;&gt;"    ",0,IF(V109&gt;0.1,BI109,0))</f>
        <v/>
      </c>
      <c r="AA109" s="9">
        <f>Y109-Z109</f>
        <v/>
      </c>
      <c r="AB109" s="10" t="n"/>
      <c r="AC109" s="24" t="n"/>
      <c r="AD109" s="11" t="n"/>
      <c r="AE109" s="8" t="n"/>
      <c r="AF109" s="9">
        <f>IF(LEFT(B109,4)&lt;&gt;"    ","",AD109-AE109)</f>
        <v/>
      </c>
      <c r="AG109" s="10" t="n"/>
      <c r="AH109" s="11">
        <f>IF(LEFT(B109,4)&lt;&gt;"    ","",W109-AD109)</f>
        <v/>
      </c>
      <c r="AI109" s="8">
        <f>IF(LEFT(B109,4)&lt;&gt;"    ","",X109-AE109)</f>
        <v/>
      </c>
      <c r="AJ109" s="9">
        <f>IF(LEFT(B109,4)&lt;&gt;"    ","",Y109-AF109)</f>
        <v/>
      </c>
      <c r="AK109" s="10" t="n"/>
      <c r="AL109" s="25">
        <f>IF(LEFT(B109,4)&lt;&gt;"    ","",J109-W109)</f>
        <v/>
      </c>
      <c r="AM109" s="25">
        <f>N109-X109</f>
        <v/>
      </c>
      <c r="AN109" s="25">
        <f>IF(LEFT(B109,4)&lt;&gt;"    ","",Q109-Y109)</f>
        <v/>
      </c>
      <c r="AO109" s="10" t="n"/>
      <c r="AP109" s="12" t="n"/>
      <c r="AQ109" s="12">
        <f>IF(LEFT(B109,4)&lt;&gt;"    ","",IF(W109-AP109&gt;=0,W109-AP109," "))</f>
        <v/>
      </c>
      <c r="AR109" s="12">
        <f>IF(LEFT(B109,4)&lt;&gt;"    ","",IF(AP109-W109&gt;=0,AP109-W109," "))</f>
        <v/>
      </c>
      <c r="AS109" s="186" t="n"/>
      <c r="AT109" s="187" t="n"/>
      <c r="AU109" s="186" t="n"/>
      <c r="AV109" s="186" t="n"/>
      <c r="AW109" s="188" t="n"/>
      <c r="AX109" s="187" t="n"/>
      <c r="AY109" s="187" t="n"/>
      <c r="AZ109" s="186" t="n"/>
      <c r="BA109" s="186" t="n"/>
      <c r="BB109" s="186" t="n"/>
      <c r="BC109" s="186" t="n"/>
      <c r="BD109" s="186" t="n"/>
      <c r="BE109" s="186" t="n"/>
      <c r="BF109" s="186" t="n"/>
      <c r="BG109" s="186" t="n"/>
      <c r="BH109" s="186" t="n"/>
      <c r="BI109" s="186" t="n"/>
      <c r="BJ109" s="186" t="n"/>
      <c r="BK109" s="186" t="n"/>
      <c r="BL109" s="186" t="n"/>
      <c r="BM109" s="186" t="n"/>
      <c r="BN109" s="186" t="n"/>
      <c r="BO109" s="186" t="n"/>
      <c r="BP109" s="186" t="n"/>
      <c r="BQ109" s="186" t="n"/>
      <c r="BR109" s="189" t="n"/>
      <c r="BS109" s="189" t="n"/>
      <c r="BT109" s="186" t="n"/>
      <c r="BU109" s="186" t="n"/>
      <c r="BV109" s="190" t="n"/>
      <c r="BW109" s="186" t="n"/>
      <c r="BX109" s="186" t="n"/>
      <c r="BY109" s="186" t="n"/>
      <c r="BZ109" s="186" t="n"/>
      <c r="CA109" s="186" t="n"/>
      <c r="CB109" s="187" t="n"/>
      <c r="CC109" s="192" t="n"/>
      <c r="CD109" s="192" t="n"/>
      <c r="CE109" s="192" t="n"/>
      <c r="CF109" s="192" t="n"/>
    </row>
    <row r="110">
      <c r="A110" s="197" t="n"/>
      <c r="B110" s="198" t="n"/>
      <c r="C110" s="198" t="n"/>
      <c r="D110" s="179" t="n"/>
      <c r="E110" s="180" t="n"/>
      <c r="F110" s="181" t="n"/>
      <c r="G110" s="284">
        <f>'Jobs-Ops'!G110</f>
        <v/>
      </c>
      <c r="H110" s="114">
        <f>'Jobs-Ops'!H110</f>
        <v/>
      </c>
      <c r="I110" s="105" t="n"/>
      <c r="J110" s="183">
        <f>F110</f>
        <v/>
      </c>
      <c r="K110" s="184" t="n"/>
      <c r="L110" s="185" t="n"/>
      <c r="M110" s="8" t="n"/>
      <c r="N110" s="184">
        <f>M110</f>
        <v/>
      </c>
      <c r="O110" s="71" t="n"/>
      <c r="P110" s="101" t="n"/>
      <c r="Q110" s="9">
        <f>J110-N110</f>
        <v/>
      </c>
      <c r="R110" s="9">
        <f>IF(LEFT(B110,4)&lt;&gt;"    ",0,BI110)</f>
        <v/>
      </c>
      <c r="S110" s="9">
        <f>+Q110-R110</f>
        <v/>
      </c>
      <c r="T110" s="200">
        <f>IF('Jobs-Ops'!S110&lt;&gt; "",'Jobs-Ops'!S110,"")</f>
        <v/>
      </c>
      <c r="U110" s="10" t="n"/>
      <c r="V110" s="23">
        <f>IF(LEFT(B110,4)&lt;&gt;"    ","",IF(N110&lt;&gt;0,X110/N110,0))</f>
        <v/>
      </c>
      <c r="W110" s="11">
        <f>IF(LEFT(B110,4)&lt;&gt;"    ","",IF(V110&gt;=0.1,V110*J110,X110))</f>
        <v/>
      </c>
      <c r="X110" s="8" t="n"/>
      <c r="Y110" s="9">
        <f>IF(LEFT(B110,4)&lt;&gt;"    ",0,IF(Q110&lt;0,Q110,IF(V110&gt;0.1,W110-X110,0)))</f>
        <v/>
      </c>
      <c r="Z110" s="9">
        <f>IF(LEFT(B110,4)&lt;&gt;"    ",0,IF(V110&gt;0.1,BI110,0))</f>
        <v/>
      </c>
      <c r="AA110" s="9">
        <f>Y110-Z110</f>
        <v/>
      </c>
      <c r="AB110" s="10" t="n"/>
      <c r="AC110" s="24" t="n"/>
      <c r="AD110" s="11" t="n"/>
      <c r="AE110" s="8" t="n"/>
      <c r="AF110" s="9">
        <f>IF(LEFT(B110,4)&lt;&gt;"    ","",AD110-AE110)</f>
        <v/>
      </c>
      <c r="AG110" s="10" t="n"/>
      <c r="AH110" s="11">
        <f>IF(LEFT(B110,4)&lt;&gt;"    ","",W110-AD110)</f>
        <v/>
      </c>
      <c r="AI110" s="8">
        <f>IF(LEFT(B110,4)&lt;&gt;"    ","",X110-AE110)</f>
        <v/>
      </c>
      <c r="AJ110" s="9">
        <f>IF(LEFT(B110,4)&lt;&gt;"    ","",Y110-AF110)</f>
        <v/>
      </c>
      <c r="AK110" s="10" t="n"/>
      <c r="AL110" s="25">
        <f>IF(LEFT(B110,4)&lt;&gt;"    ","",J110-W110)</f>
        <v/>
      </c>
      <c r="AM110" s="25">
        <f>N110-X110</f>
        <v/>
      </c>
      <c r="AN110" s="25">
        <f>IF(LEFT(B110,4)&lt;&gt;"    ","",Q110-Y110)</f>
        <v/>
      </c>
      <c r="AO110" s="10" t="n"/>
      <c r="AP110" s="12" t="n"/>
      <c r="AQ110" s="12">
        <f>IF(LEFT(B110,4)&lt;&gt;"    ","",IF(W110-AP110&gt;=0,W110-AP110," "))</f>
        <v/>
      </c>
      <c r="AR110" s="12">
        <f>IF(LEFT(B110,4)&lt;&gt;"    ","",IF(AP110-W110&gt;=0,AP110-W110," "))</f>
        <v/>
      </c>
      <c r="AS110" s="186" t="n"/>
      <c r="AT110" s="187" t="n"/>
      <c r="AU110" s="186" t="n"/>
      <c r="AV110" s="186" t="n"/>
      <c r="AW110" s="188" t="n"/>
      <c r="AX110" s="187" t="n"/>
      <c r="AY110" s="187" t="n"/>
      <c r="AZ110" s="186" t="n"/>
      <c r="BA110" s="186" t="n"/>
      <c r="BB110" s="186" t="n"/>
      <c r="BC110" s="186" t="n"/>
      <c r="BD110" s="186" t="n"/>
      <c r="BE110" s="186" t="n"/>
      <c r="BF110" s="186" t="n"/>
      <c r="BG110" s="186" t="n"/>
      <c r="BH110" s="186" t="n"/>
      <c r="BI110" s="186" t="n"/>
      <c r="BJ110" s="186" t="n"/>
      <c r="BK110" s="186" t="n"/>
      <c r="BL110" s="186" t="n"/>
      <c r="BM110" s="186" t="n"/>
      <c r="BN110" s="186" t="n"/>
      <c r="BO110" s="186" t="n"/>
      <c r="BP110" s="186" t="n"/>
      <c r="BQ110" s="186" t="n"/>
      <c r="BR110" s="189" t="n"/>
      <c r="BS110" s="189" t="n"/>
      <c r="BT110" s="186" t="n"/>
      <c r="BU110" s="186" t="n"/>
      <c r="BV110" s="190" t="n"/>
      <c r="BW110" s="186" t="n"/>
      <c r="BX110" s="186" t="n"/>
      <c r="BY110" s="186" t="n"/>
      <c r="BZ110" s="186" t="n"/>
      <c r="CA110" s="186" t="n"/>
      <c r="CB110" s="187" t="n"/>
      <c r="CC110" s="192" t="n"/>
      <c r="CD110" s="192" t="n"/>
      <c r="CE110" s="192" t="n"/>
      <c r="CF110" s="192" t="n"/>
    </row>
    <row r="111">
      <c r="A111" s="197" t="n"/>
      <c r="B111" s="198" t="n"/>
      <c r="C111" s="198" t="n"/>
      <c r="D111" s="179" t="n"/>
      <c r="E111" s="180" t="n"/>
      <c r="F111" s="181" t="n"/>
      <c r="G111" s="284">
        <f>'Jobs-Ops'!G111</f>
        <v/>
      </c>
      <c r="H111" s="114">
        <f>'Jobs-Ops'!H111</f>
        <v/>
      </c>
      <c r="I111" s="105" t="n"/>
      <c r="J111" s="183">
        <f>F111</f>
        <v/>
      </c>
      <c r="K111" s="184" t="n"/>
      <c r="L111" s="185" t="n"/>
      <c r="M111" s="8" t="n"/>
      <c r="N111" s="184">
        <f>M111</f>
        <v/>
      </c>
      <c r="O111" s="71" t="n"/>
      <c r="P111" s="101" t="n"/>
      <c r="Q111" s="9">
        <f>J111-N111</f>
        <v/>
      </c>
      <c r="R111" s="9">
        <f>IF(LEFT(B111,4)&lt;&gt;"    ",0,BI111)</f>
        <v/>
      </c>
      <c r="S111" s="9">
        <f>+Q111-R111</f>
        <v/>
      </c>
      <c r="T111" s="200">
        <f>IF('Jobs-Ops'!S111&lt;&gt; "",'Jobs-Ops'!S111,"")</f>
        <v/>
      </c>
      <c r="U111" s="10" t="n"/>
      <c r="V111" s="23">
        <f>IF(LEFT(B111,4)&lt;&gt;"    ","",IF(N111&lt;&gt;0,X111/N111,0))</f>
        <v/>
      </c>
      <c r="W111" s="11">
        <f>IF(LEFT(B111,4)&lt;&gt;"    ","",IF(V111&gt;=0.1,V111*J111,X111))</f>
        <v/>
      </c>
      <c r="X111" s="8" t="n"/>
      <c r="Y111" s="9">
        <f>IF(LEFT(B111,4)&lt;&gt;"    ",0,IF(Q111&lt;0,Q111,IF(V111&gt;0.1,W111-X111,0)))</f>
        <v/>
      </c>
      <c r="Z111" s="9">
        <f>IF(LEFT(B111,4)&lt;&gt;"    ",0,IF(V111&gt;0.1,BI111,0))</f>
        <v/>
      </c>
      <c r="AA111" s="9">
        <f>Y111-Z111</f>
        <v/>
      </c>
      <c r="AB111" s="10" t="n"/>
      <c r="AC111" s="24" t="n"/>
      <c r="AD111" s="11" t="n"/>
      <c r="AE111" s="8" t="n"/>
      <c r="AF111" s="9">
        <f>IF(LEFT(B111,4)&lt;&gt;"    ","",AD111-AE111)</f>
        <v/>
      </c>
      <c r="AG111" s="10" t="n"/>
      <c r="AH111" s="11">
        <f>IF(LEFT(B111,4)&lt;&gt;"    ","",W111-AD111)</f>
        <v/>
      </c>
      <c r="AI111" s="8">
        <f>IF(LEFT(B111,4)&lt;&gt;"    ","",X111-AE111)</f>
        <v/>
      </c>
      <c r="AJ111" s="9">
        <f>IF(LEFT(B111,4)&lt;&gt;"    ","",Y111-AF111)</f>
        <v/>
      </c>
      <c r="AK111" s="10" t="n"/>
      <c r="AL111" s="25">
        <f>IF(LEFT(B111,4)&lt;&gt;"    ","",J111-W111)</f>
        <v/>
      </c>
      <c r="AM111" s="25">
        <f>N111-X111</f>
        <v/>
      </c>
      <c r="AN111" s="25">
        <f>IF(LEFT(B111,4)&lt;&gt;"    ","",Q111-Y111)</f>
        <v/>
      </c>
      <c r="AO111" s="10" t="n"/>
      <c r="AP111" s="12" t="n"/>
      <c r="AQ111" s="12">
        <f>IF(LEFT(B111,4)&lt;&gt;"    ","",IF(W111-AP111&gt;=0,W111-AP111," "))</f>
        <v/>
      </c>
      <c r="AR111" s="12">
        <f>IF(LEFT(B111,4)&lt;&gt;"    ","",IF(AP111-W111&gt;=0,AP111-W111," "))</f>
        <v/>
      </c>
      <c r="AS111" s="186" t="n"/>
      <c r="AT111" s="187" t="n"/>
      <c r="AU111" s="186" t="n"/>
      <c r="AV111" s="186" t="n"/>
      <c r="AW111" s="188" t="n"/>
      <c r="AX111" s="187" t="n"/>
      <c r="AY111" s="187" t="n"/>
      <c r="AZ111" s="186" t="n"/>
      <c r="BA111" s="186" t="n"/>
      <c r="BB111" s="186" t="n"/>
      <c r="BC111" s="186" t="n"/>
      <c r="BD111" s="186" t="n"/>
      <c r="BE111" s="186" t="n"/>
      <c r="BF111" s="186" t="n"/>
      <c r="BG111" s="186" t="n"/>
      <c r="BH111" s="186" t="n"/>
      <c r="BI111" s="186" t="n"/>
      <c r="BJ111" s="186" t="n"/>
      <c r="BK111" s="186" t="n"/>
      <c r="BL111" s="186" t="n"/>
      <c r="BM111" s="186" t="n"/>
      <c r="BN111" s="186" t="n"/>
      <c r="BO111" s="186" t="n"/>
      <c r="BP111" s="186" t="n"/>
      <c r="BQ111" s="186" t="n"/>
      <c r="BR111" s="189" t="n"/>
      <c r="BS111" s="189" t="n"/>
      <c r="BT111" s="186" t="n"/>
      <c r="BU111" s="186" t="n"/>
      <c r="BV111" s="190" t="n"/>
      <c r="BW111" s="186" t="n"/>
      <c r="BX111" s="186" t="n"/>
      <c r="BY111" s="186" t="n"/>
      <c r="BZ111" s="186" t="n"/>
      <c r="CA111" s="186" t="n"/>
      <c r="CB111" s="187" t="n"/>
      <c r="CC111" s="192" t="n"/>
      <c r="CD111" s="192" t="n"/>
      <c r="CE111" s="192" t="n"/>
      <c r="CF111" s="192" t="n"/>
    </row>
    <row r="112">
      <c r="A112" s="197" t="n"/>
      <c r="B112" s="198" t="n"/>
      <c r="C112" s="198" t="n"/>
      <c r="D112" s="179" t="n"/>
      <c r="E112" s="180" t="n"/>
      <c r="F112" s="181" t="n"/>
      <c r="G112" s="284">
        <f>'Jobs-Ops'!G112</f>
        <v/>
      </c>
      <c r="H112" s="114">
        <f>'Jobs-Ops'!H112</f>
        <v/>
      </c>
      <c r="I112" s="105" t="n"/>
      <c r="J112" s="183">
        <f>F112</f>
        <v/>
      </c>
      <c r="K112" s="184" t="n"/>
      <c r="L112" s="185" t="n"/>
      <c r="M112" s="8" t="n"/>
      <c r="N112" s="184">
        <f>M112</f>
        <v/>
      </c>
      <c r="O112" s="71" t="n"/>
      <c r="P112" s="101" t="n"/>
      <c r="Q112" s="9">
        <f>J112-N112</f>
        <v/>
      </c>
      <c r="R112" s="9">
        <f>IF(LEFT(B112,4)&lt;&gt;"    ",0,BI112)</f>
        <v/>
      </c>
      <c r="S112" s="9">
        <f>+Q112-R112</f>
        <v/>
      </c>
      <c r="T112" s="200">
        <f>IF('Jobs-Ops'!S112&lt;&gt; "",'Jobs-Ops'!S112,"")</f>
        <v/>
      </c>
      <c r="U112" s="10" t="n"/>
      <c r="V112" s="23">
        <f>IF(LEFT(B112,4)&lt;&gt;"    ","",IF(N112&lt;&gt;0,X112/N112,0))</f>
        <v/>
      </c>
      <c r="W112" s="11">
        <f>IF(LEFT(B112,4)&lt;&gt;"    ","",IF(V112&gt;=0.1,V112*J112,X112))</f>
        <v/>
      </c>
      <c r="X112" s="8" t="n"/>
      <c r="Y112" s="9">
        <f>IF(LEFT(B112,4)&lt;&gt;"    ",0,IF(Q112&lt;0,Q112,IF(V112&gt;0.1,W112-X112,0)))</f>
        <v/>
      </c>
      <c r="Z112" s="9">
        <f>IF(LEFT(B112,4)&lt;&gt;"    ",0,IF(V112&gt;0.1,BI112,0))</f>
        <v/>
      </c>
      <c r="AA112" s="9">
        <f>Y112-Z112</f>
        <v/>
      </c>
      <c r="AB112" s="10" t="n"/>
      <c r="AC112" s="24" t="n"/>
      <c r="AD112" s="11" t="n"/>
      <c r="AE112" s="8" t="n"/>
      <c r="AF112" s="9">
        <f>IF(LEFT(B112,4)&lt;&gt;"    ","",AD112-AE112)</f>
        <v/>
      </c>
      <c r="AG112" s="10" t="n"/>
      <c r="AH112" s="11">
        <f>IF(LEFT(B112,4)&lt;&gt;"    ","",W112-AD112)</f>
        <v/>
      </c>
      <c r="AI112" s="8">
        <f>IF(LEFT(B112,4)&lt;&gt;"    ","",X112-AE112)</f>
        <v/>
      </c>
      <c r="AJ112" s="9">
        <f>IF(LEFT(B112,4)&lt;&gt;"    ","",Y112-AF112)</f>
        <v/>
      </c>
      <c r="AK112" s="10" t="n"/>
      <c r="AL112" s="25">
        <f>IF(LEFT(B112,4)&lt;&gt;"    ","",J112-W112)</f>
        <v/>
      </c>
      <c r="AM112" s="25">
        <f>N112-X112</f>
        <v/>
      </c>
      <c r="AN112" s="25">
        <f>IF(LEFT(B112,4)&lt;&gt;"    ","",Q112-Y112)</f>
        <v/>
      </c>
      <c r="AO112" s="10" t="n"/>
      <c r="AP112" s="12" t="n"/>
      <c r="AQ112" s="12">
        <f>IF(LEFT(B112,4)&lt;&gt;"    ","",IF(W112-AP112&gt;=0,W112-AP112," "))</f>
        <v/>
      </c>
      <c r="AR112" s="12">
        <f>IF(LEFT(B112,4)&lt;&gt;"    ","",IF(AP112-W112&gt;=0,AP112-W112," "))</f>
        <v/>
      </c>
      <c r="AS112" s="186" t="n"/>
      <c r="AT112" s="187" t="n"/>
      <c r="AU112" s="186" t="n"/>
      <c r="AV112" s="186" t="n"/>
      <c r="AW112" s="188" t="n"/>
      <c r="AX112" s="187" t="n"/>
      <c r="AY112" s="187" t="n"/>
      <c r="AZ112" s="186" t="n"/>
      <c r="BA112" s="186" t="n"/>
      <c r="BB112" s="186" t="n"/>
      <c r="BC112" s="186" t="n"/>
      <c r="BD112" s="186" t="n"/>
      <c r="BE112" s="186" t="n"/>
      <c r="BF112" s="186" t="n"/>
      <c r="BG112" s="186" t="n"/>
      <c r="BH112" s="186" t="n"/>
      <c r="BI112" s="186" t="n"/>
      <c r="BJ112" s="186" t="n"/>
      <c r="BK112" s="186" t="n"/>
      <c r="BL112" s="186" t="n"/>
      <c r="BM112" s="186" t="n"/>
      <c r="BN112" s="186" t="n"/>
      <c r="BO112" s="186" t="n"/>
      <c r="BP112" s="186" t="n"/>
      <c r="BQ112" s="186" t="n"/>
      <c r="BR112" s="189" t="n"/>
      <c r="BS112" s="189" t="n"/>
      <c r="BT112" s="186" t="n"/>
      <c r="BU112" s="186" t="n"/>
      <c r="BV112" s="190" t="n"/>
      <c r="BW112" s="186" t="n"/>
      <c r="BX112" s="186" t="n"/>
      <c r="BY112" s="186" t="n"/>
      <c r="BZ112" s="186" t="n"/>
      <c r="CA112" s="186" t="n"/>
      <c r="CB112" s="187" t="n"/>
      <c r="CC112" s="192" t="n"/>
      <c r="CD112" s="192" t="n"/>
      <c r="CE112" s="192" t="n"/>
      <c r="CF112" s="192" t="n"/>
    </row>
    <row r="113">
      <c r="A113" s="197" t="n"/>
      <c r="B113" s="198" t="n"/>
      <c r="C113" s="198" t="n"/>
      <c r="D113" s="179" t="n"/>
      <c r="E113" s="180" t="n"/>
      <c r="F113" s="181" t="n"/>
      <c r="G113" s="284">
        <f>'Jobs-Ops'!G113</f>
        <v/>
      </c>
      <c r="H113" s="114">
        <f>'Jobs-Ops'!H113</f>
        <v/>
      </c>
      <c r="I113" s="105" t="n"/>
      <c r="J113" s="183">
        <f>F113</f>
        <v/>
      </c>
      <c r="K113" s="184" t="n"/>
      <c r="L113" s="185" t="n"/>
      <c r="M113" s="8" t="n"/>
      <c r="N113" s="184">
        <f>M113</f>
        <v/>
      </c>
      <c r="O113" s="71" t="n"/>
      <c r="P113" s="101" t="n"/>
      <c r="Q113" s="9">
        <f>J113-N113</f>
        <v/>
      </c>
      <c r="R113" s="9">
        <f>IF(LEFT(B113,4)&lt;&gt;"    ",0,BI113)</f>
        <v/>
      </c>
      <c r="S113" s="9">
        <f>+Q113-R113</f>
        <v/>
      </c>
      <c r="T113" s="200">
        <f>IF('Jobs-Ops'!S113&lt;&gt; "",'Jobs-Ops'!S113,"")</f>
        <v/>
      </c>
      <c r="U113" s="10" t="n"/>
      <c r="V113" s="23">
        <f>IF(LEFT(B113,4)&lt;&gt;"    ","",IF(N113&lt;&gt;0,X113/N113,0))</f>
        <v/>
      </c>
      <c r="W113" s="11">
        <f>IF(LEFT(B113,4)&lt;&gt;"    ","",IF(V113&gt;=0.1,V113*J113,X113))</f>
        <v/>
      </c>
      <c r="X113" s="8" t="n"/>
      <c r="Y113" s="9">
        <f>IF(LEFT(B113,4)&lt;&gt;"    ",0,IF(Q113&lt;0,Q113,IF(V113&gt;0.1,W113-X113,0)))</f>
        <v/>
      </c>
      <c r="Z113" s="9">
        <f>IF(LEFT(B113,4)&lt;&gt;"    ",0,IF(V113&gt;0.1,BI113,0))</f>
        <v/>
      </c>
      <c r="AA113" s="9">
        <f>Y113-Z113</f>
        <v/>
      </c>
      <c r="AB113" s="10" t="n"/>
      <c r="AC113" s="24" t="n"/>
      <c r="AD113" s="11" t="n"/>
      <c r="AE113" s="8" t="n"/>
      <c r="AF113" s="9">
        <f>IF(LEFT(B113,4)&lt;&gt;"    ","",AD113-AE113)</f>
        <v/>
      </c>
      <c r="AG113" s="10" t="n"/>
      <c r="AH113" s="11">
        <f>IF(LEFT(B113,4)&lt;&gt;"    ","",W113-AD113)</f>
        <v/>
      </c>
      <c r="AI113" s="8">
        <f>IF(LEFT(B113,4)&lt;&gt;"    ","",X113-AE113)</f>
        <v/>
      </c>
      <c r="AJ113" s="9">
        <f>IF(LEFT(B113,4)&lt;&gt;"    ","",Y113-AF113)</f>
        <v/>
      </c>
      <c r="AK113" s="10" t="n"/>
      <c r="AL113" s="25">
        <f>IF(LEFT(B113,4)&lt;&gt;"    ","",J113-W113)</f>
        <v/>
      </c>
      <c r="AM113" s="25">
        <f>N113-X113</f>
        <v/>
      </c>
      <c r="AN113" s="25">
        <f>IF(LEFT(B113,4)&lt;&gt;"    ","",Q113-Y113)</f>
        <v/>
      </c>
      <c r="AO113" s="10" t="n"/>
      <c r="AP113" s="12" t="n"/>
      <c r="AQ113" s="12">
        <f>IF(LEFT(B113,4)&lt;&gt;"    ","",IF(W113-AP113&gt;=0,W113-AP113," "))</f>
        <v/>
      </c>
      <c r="AR113" s="12">
        <f>IF(LEFT(B113,4)&lt;&gt;"    ","",IF(AP113-W113&gt;=0,AP113-W113," "))</f>
        <v/>
      </c>
      <c r="AS113" s="186" t="n"/>
      <c r="AT113" s="187" t="n"/>
      <c r="AU113" s="186" t="n"/>
      <c r="AV113" s="186" t="n"/>
      <c r="AW113" s="188" t="n"/>
      <c r="AX113" s="187" t="n"/>
      <c r="AY113" s="187" t="n"/>
      <c r="AZ113" s="186" t="n"/>
      <c r="BA113" s="186" t="n"/>
      <c r="BB113" s="186" t="n"/>
      <c r="BC113" s="186" t="n"/>
      <c r="BD113" s="186" t="n"/>
      <c r="BE113" s="186" t="n"/>
      <c r="BF113" s="186" t="n"/>
      <c r="BG113" s="186" t="n"/>
      <c r="BH113" s="186" t="n"/>
      <c r="BI113" s="186" t="n"/>
      <c r="BJ113" s="186" t="n"/>
      <c r="BK113" s="186" t="n"/>
      <c r="BL113" s="186" t="n"/>
      <c r="BM113" s="186" t="n"/>
      <c r="BN113" s="186" t="n"/>
      <c r="BO113" s="186" t="n"/>
      <c r="BP113" s="186" t="n"/>
      <c r="BQ113" s="186" t="n"/>
      <c r="BR113" s="189" t="n"/>
      <c r="BS113" s="189" t="n"/>
      <c r="BT113" s="186" t="n"/>
      <c r="BU113" s="186" t="n"/>
      <c r="BV113" s="190" t="n"/>
      <c r="BW113" s="186" t="n"/>
      <c r="BX113" s="186" t="n"/>
      <c r="BY113" s="186" t="n"/>
      <c r="BZ113" s="186" t="n"/>
      <c r="CA113" s="186" t="n"/>
      <c r="CB113" s="187" t="n"/>
      <c r="CC113" s="192" t="n"/>
      <c r="CD113" s="192" t="n"/>
      <c r="CE113" s="192" t="n"/>
      <c r="CF113" s="192" t="n"/>
    </row>
    <row r="114">
      <c r="A114" s="197" t="n"/>
      <c r="B114" s="198" t="n"/>
      <c r="C114" s="198" t="n"/>
      <c r="D114" s="179" t="n"/>
      <c r="E114" s="180" t="n"/>
      <c r="F114" s="181" t="n"/>
      <c r="G114" s="284">
        <f>'Jobs-Ops'!G114</f>
        <v/>
      </c>
      <c r="H114" s="114">
        <f>'Jobs-Ops'!H114</f>
        <v/>
      </c>
      <c r="I114" s="105" t="n"/>
      <c r="J114" s="183">
        <f>F114</f>
        <v/>
      </c>
      <c r="K114" s="184" t="n"/>
      <c r="L114" s="185" t="n"/>
      <c r="M114" s="8" t="n"/>
      <c r="N114" s="184">
        <f>M114</f>
        <v/>
      </c>
      <c r="O114" s="71" t="n"/>
      <c r="P114" s="101" t="n"/>
      <c r="Q114" s="9">
        <f>J114-N114</f>
        <v/>
      </c>
      <c r="R114" s="9">
        <f>IF(LEFT(B114,4)&lt;&gt;"    ",0,BI114)</f>
        <v/>
      </c>
      <c r="S114" s="9">
        <f>+Q114-R114</f>
        <v/>
      </c>
      <c r="T114" s="200">
        <f>IF('Jobs-Ops'!S114&lt;&gt; "",'Jobs-Ops'!S114,"")</f>
        <v/>
      </c>
      <c r="U114" s="10" t="n"/>
      <c r="V114" s="23">
        <f>IF(LEFT(B114,4)&lt;&gt;"    ","",IF(N114&lt;&gt;0,X114/N114,0))</f>
        <v/>
      </c>
      <c r="W114" s="11">
        <f>IF(LEFT(B114,4)&lt;&gt;"    ","",IF(V114&gt;=0.1,V114*J114,X114))</f>
        <v/>
      </c>
      <c r="X114" s="8" t="n"/>
      <c r="Y114" s="9">
        <f>IF(LEFT(B114,4)&lt;&gt;"    ",0,IF(Q114&lt;0,Q114,IF(V114&gt;0.1,W114-X114,0)))</f>
        <v/>
      </c>
      <c r="Z114" s="9">
        <f>IF(LEFT(B114,4)&lt;&gt;"    ",0,IF(V114&gt;0.1,BI114,0))</f>
        <v/>
      </c>
      <c r="AA114" s="9">
        <f>Y114-Z114</f>
        <v/>
      </c>
      <c r="AB114" s="10" t="n"/>
      <c r="AC114" s="24" t="n"/>
      <c r="AD114" s="11" t="n"/>
      <c r="AE114" s="8" t="n"/>
      <c r="AF114" s="9">
        <f>IF(LEFT(B114,4)&lt;&gt;"    ","",AD114-AE114)</f>
        <v/>
      </c>
      <c r="AG114" s="10" t="n"/>
      <c r="AH114" s="11">
        <f>IF(LEFT(B114,4)&lt;&gt;"    ","",W114-AD114)</f>
        <v/>
      </c>
      <c r="AI114" s="8">
        <f>IF(LEFT(B114,4)&lt;&gt;"    ","",X114-AE114)</f>
        <v/>
      </c>
      <c r="AJ114" s="9">
        <f>IF(LEFT(B114,4)&lt;&gt;"    ","",Y114-AF114)</f>
        <v/>
      </c>
      <c r="AK114" s="10" t="n"/>
      <c r="AL114" s="25">
        <f>IF(LEFT(B114,4)&lt;&gt;"    ","",J114-W114)</f>
        <v/>
      </c>
      <c r="AM114" s="25">
        <f>N114-X114</f>
        <v/>
      </c>
      <c r="AN114" s="25">
        <f>IF(LEFT(B114,4)&lt;&gt;"    ","",Q114-Y114)</f>
        <v/>
      </c>
      <c r="AO114" s="10" t="n"/>
      <c r="AP114" s="12" t="n"/>
      <c r="AQ114" s="12">
        <f>IF(LEFT(B114,4)&lt;&gt;"    ","",IF(W114-AP114&gt;=0,W114-AP114," "))</f>
        <v/>
      </c>
      <c r="AR114" s="12">
        <f>IF(LEFT(B114,4)&lt;&gt;"    ","",IF(AP114-W114&gt;=0,AP114-W114," "))</f>
        <v/>
      </c>
      <c r="AS114" s="186" t="n"/>
      <c r="AT114" s="187" t="n"/>
      <c r="AU114" s="186" t="n"/>
      <c r="AV114" s="186" t="n"/>
      <c r="AW114" s="188" t="n"/>
      <c r="AX114" s="187" t="n"/>
      <c r="AY114" s="187" t="n"/>
      <c r="AZ114" s="186" t="n"/>
      <c r="BA114" s="186" t="n"/>
      <c r="BB114" s="186" t="n"/>
      <c r="BC114" s="186" t="n"/>
      <c r="BD114" s="186" t="n"/>
      <c r="BE114" s="186" t="n"/>
      <c r="BF114" s="186" t="n"/>
      <c r="BG114" s="186" t="n"/>
      <c r="BH114" s="186" t="n"/>
      <c r="BI114" s="186" t="n"/>
      <c r="BJ114" s="186" t="n"/>
      <c r="BK114" s="186" t="n"/>
      <c r="BL114" s="186" t="n"/>
      <c r="BM114" s="186" t="n"/>
      <c r="BN114" s="186" t="n"/>
      <c r="BO114" s="186" t="n"/>
      <c r="BP114" s="186" t="n"/>
      <c r="BQ114" s="186" t="n"/>
      <c r="BR114" s="189" t="n"/>
      <c r="BS114" s="189" t="n"/>
      <c r="BT114" s="186" t="n"/>
      <c r="BU114" s="186" t="n"/>
      <c r="BV114" s="190" t="n"/>
      <c r="BW114" s="186" t="n"/>
      <c r="BX114" s="186" t="n"/>
      <c r="BY114" s="186" t="n"/>
      <c r="BZ114" s="186" t="n"/>
      <c r="CA114" s="186" t="n"/>
      <c r="CB114" s="187" t="n"/>
      <c r="CC114" s="192" t="n"/>
      <c r="CD114" s="192" t="n"/>
      <c r="CE114" s="192" t="n"/>
      <c r="CF114" s="192" t="n"/>
    </row>
    <row r="115">
      <c r="A115" s="197" t="n"/>
      <c r="B115" s="198" t="n"/>
      <c r="C115" s="198" t="n"/>
      <c r="D115" s="179" t="n"/>
      <c r="E115" s="180" t="n"/>
      <c r="F115" s="181" t="n"/>
      <c r="G115" s="284">
        <f>'Jobs-Ops'!G115</f>
        <v/>
      </c>
      <c r="H115" s="114">
        <f>'Jobs-Ops'!H115</f>
        <v/>
      </c>
      <c r="I115" s="105" t="n"/>
      <c r="J115" s="183">
        <f>F115</f>
        <v/>
      </c>
      <c r="K115" s="184" t="n"/>
      <c r="L115" s="185" t="n"/>
      <c r="M115" s="8" t="n"/>
      <c r="N115" s="184">
        <f>M115</f>
        <v/>
      </c>
      <c r="O115" s="71" t="n"/>
      <c r="P115" s="101" t="n"/>
      <c r="Q115" s="9">
        <f>J115-N115</f>
        <v/>
      </c>
      <c r="R115" s="9">
        <f>IF(LEFT(B115,4)&lt;&gt;"    ",0,BI115)</f>
        <v/>
      </c>
      <c r="S115" s="9">
        <f>+Q115-R115</f>
        <v/>
      </c>
      <c r="T115" s="200">
        <f>IF('Jobs-Ops'!S115&lt;&gt; "",'Jobs-Ops'!S115,"")</f>
        <v/>
      </c>
      <c r="U115" s="10" t="n"/>
      <c r="V115" s="23">
        <f>IF(LEFT(B115,4)&lt;&gt;"    ","",IF(N115&lt;&gt;0,X115/N115,0))</f>
        <v/>
      </c>
      <c r="W115" s="11">
        <f>IF(LEFT(B115,4)&lt;&gt;"    ","",IF(V115&gt;=0.1,V115*J115,X115))</f>
        <v/>
      </c>
      <c r="X115" s="8" t="n"/>
      <c r="Y115" s="9">
        <f>IF(LEFT(B115,4)&lt;&gt;"    ",0,IF(Q115&lt;0,Q115,IF(V115&gt;0.1,W115-X115,0)))</f>
        <v/>
      </c>
      <c r="Z115" s="9">
        <f>IF(LEFT(B115,4)&lt;&gt;"    ",0,IF(V115&gt;0.1,BI115,0))</f>
        <v/>
      </c>
      <c r="AA115" s="9">
        <f>Y115-Z115</f>
        <v/>
      </c>
      <c r="AB115" s="10" t="n"/>
      <c r="AC115" s="24" t="n"/>
      <c r="AD115" s="11" t="n"/>
      <c r="AE115" s="8" t="n"/>
      <c r="AF115" s="9">
        <f>IF(LEFT(B115,4)&lt;&gt;"    ","",AD115-AE115)</f>
        <v/>
      </c>
      <c r="AG115" s="10" t="n"/>
      <c r="AH115" s="11">
        <f>IF(LEFT(B115,4)&lt;&gt;"    ","",W115-AD115)</f>
        <v/>
      </c>
      <c r="AI115" s="8">
        <f>IF(LEFT(B115,4)&lt;&gt;"    ","",X115-AE115)</f>
        <v/>
      </c>
      <c r="AJ115" s="9">
        <f>IF(LEFT(B115,4)&lt;&gt;"    ","",Y115-AF115)</f>
        <v/>
      </c>
      <c r="AK115" s="10" t="n"/>
      <c r="AL115" s="25">
        <f>IF(LEFT(B115,4)&lt;&gt;"    ","",J115-W115)</f>
        <v/>
      </c>
      <c r="AM115" s="25">
        <f>N115-X115</f>
        <v/>
      </c>
      <c r="AN115" s="25">
        <f>IF(LEFT(B115,4)&lt;&gt;"    ","",Q115-Y115)</f>
        <v/>
      </c>
      <c r="AO115" s="10" t="n"/>
      <c r="AP115" s="12" t="n"/>
      <c r="AQ115" s="12">
        <f>IF(LEFT(B115,4)&lt;&gt;"    ","",IF(W115-AP115&gt;=0,W115-AP115," "))</f>
        <v/>
      </c>
      <c r="AR115" s="12">
        <f>IF(LEFT(B115,4)&lt;&gt;"    ","",IF(AP115-W115&gt;=0,AP115-W115," "))</f>
        <v/>
      </c>
      <c r="AS115" s="186" t="n"/>
      <c r="AT115" s="187" t="n"/>
      <c r="AU115" s="186" t="n"/>
      <c r="AV115" s="186" t="n"/>
      <c r="AW115" s="188" t="n"/>
      <c r="AX115" s="187" t="n"/>
      <c r="AY115" s="187" t="n"/>
      <c r="AZ115" s="186" t="n"/>
      <c r="BA115" s="186" t="n"/>
      <c r="BB115" s="186" t="n"/>
      <c r="BC115" s="186" t="n"/>
      <c r="BD115" s="186" t="n"/>
      <c r="BE115" s="186" t="n"/>
      <c r="BF115" s="186" t="n"/>
      <c r="BG115" s="186" t="n"/>
      <c r="BH115" s="186" t="n"/>
      <c r="BI115" s="186" t="n"/>
      <c r="BJ115" s="186" t="n"/>
      <c r="BK115" s="186" t="n"/>
      <c r="BL115" s="186" t="n"/>
      <c r="BM115" s="186" t="n"/>
      <c r="BN115" s="186" t="n"/>
      <c r="BO115" s="186" t="n"/>
      <c r="BP115" s="186" t="n"/>
      <c r="BQ115" s="186" t="n"/>
      <c r="BR115" s="189" t="n"/>
      <c r="BS115" s="189" t="n"/>
      <c r="BT115" s="186" t="n"/>
      <c r="BU115" s="186" t="n"/>
      <c r="BV115" s="190" t="n"/>
      <c r="BW115" s="186" t="n"/>
      <c r="BX115" s="186" t="n"/>
      <c r="BY115" s="186" t="n"/>
      <c r="BZ115" s="186" t="n"/>
      <c r="CA115" s="186" t="n"/>
      <c r="CB115" s="187" t="n"/>
      <c r="CC115" s="192" t="n"/>
      <c r="CD115" s="192" t="n"/>
      <c r="CE115" s="192" t="n"/>
      <c r="CF115" s="192" t="n"/>
    </row>
    <row r="116">
      <c r="A116" s="197" t="n"/>
      <c r="B116" s="198" t="n"/>
      <c r="C116" s="198" t="n"/>
      <c r="D116" s="179" t="n"/>
      <c r="E116" s="180" t="n"/>
      <c r="F116" s="181" t="n"/>
      <c r="G116" s="284">
        <f>'Jobs-Ops'!G116</f>
        <v/>
      </c>
      <c r="H116" s="114">
        <f>'Jobs-Ops'!H116</f>
        <v/>
      </c>
      <c r="I116" s="105" t="n"/>
      <c r="J116" s="183">
        <f>F116</f>
        <v/>
      </c>
      <c r="K116" s="184" t="n"/>
      <c r="L116" s="185" t="n"/>
      <c r="M116" s="8" t="n"/>
      <c r="N116" s="184">
        <f>M116</f>
        <v/>
      </c>
      <c r="O116" s="184" t="n"/>
      <c r="P116" s="185" t="n"/>
      <c r="Q116" s="9">
        <f>J116-N116</f>
        <v/>
      </c>
      <c r="R116" s="9">
        <f>IF(LEFT(B116,4)&lt;&gt;"    ",0,BI116)</f>
        <v/>
      </c>
      <c r="S116" s="9">
        <f>+Q116-R116</f>
        <v/>
      </c>
      <c r="T116" s="200">
        <f>IF('Jobs-Ops'!S116&lt;&gt; "",'Jobs-Ops'!S116,"")</f>
        <v/>
      </c>
      <c r="U116" s="10" t="n"/>
      <c r="V116" s="23">
        <f>IF(LEFT(B116,4)&lt;&gt;"    ","",IF(N116&lt;&gt;0,X116/N116,0))</f>
        <v/>
      </c>
      <c r="W116" s="11">
        <f>IF(LEFT(B116,4)&lt;&gt;"    ","",IF(V116&gt;=0.1,V116*J116,X116))</f>
        <v/>
      </c>
      <c r="X116" s="8" t="n"/>
      <c r="Y116" s="9">
        <f>IF(LEFT(B116,4)&lt;&gt;"    ",0,IF(Q116&lt;0,Q116,IF(V116&gt;0.1,W116-X116,0)))</f>
        <v/>
      </c>
      <c r="Z116" s="9">
        <f>IF(LEFT(B116,4)&lt;&gt;"    ",0,IF(V116&gt;0.1,BI116,0))</f>
        <v/>
      </c>
      <c r="AA116" s="9">
        <f>Y116-Z116</f>
        <v/>
      </c>
      <c r="AB116" s="10" t="n"/>
      <c r="AC116" s="24" t="n"/>
      <c r="AD116" s="11" t="n"/>
      <c r="AE116" s="8" t="n"/>
      <c r="AF116" s="9">
        <f>IF(LEFT(B116,4)&lt;&gt;"    ","",AD116-AE116)</f>
        <v/>
      </c>
      <c r="AG116" s="10" t="n"/>
      <c r="AH116" s="11">
        <f>IF(LEFT(B116,4)&lt;&gt;"    ","",W116-AD116)</f>
        <v/>
      </c>
      <c r="AI116" s="8">
        <f>IF(LEFT(B116,4)&lt;&gt;"    ","",X116-AE116)</f>
        <v/>
      </c>
      <c r="AJ116" s="9">
        <f>IF(LEFT(B116,4)&lt;&gt;"    ","",Y116-AF116)</f>
        <v/>
      </c>
      <c r="AK116" s="10" t="n"/>
      <c r="AL116" s="25">
        <f>IF(LEFT(B116,4)&lt;&gt;"    ","",J116-W116)</f>
        <v/>
      </c>
      <c r="AM116" s="25">
        <f>N116-X116</f>
        <v/>
      </c>
      <c r="AN116" s="25">
        <f>IF(LEFT(B116,4)&lt;&gt;"    ","",Q116-Y116)</f>
        <v/>
      </c>
      <c r="AO116" s="10" t="n"/>
      <c r="AP116" s="12" t="n"/>
      <c r="AQ116" s="12">
        <f>IF(LEFT(B116,4)&lt;&gt;"    ","",IF(W116-AP116&gt;=0,W116-AP116," "))</f>
        <v/>
      </c>
      <c r="AR116" s="12">
        <f>IF(LEFT(B116,4)&lt;&gt;"    ","",IF(AP116-W116&gt;=0,AP116-W116," "))</f>
        <v/>
      </c>
      <c r="AS116" s="186" t="n"/>
      <c r="AT116" s="187" t="n"/>
      <c r="AU116" s="186" t="n"/>
      <c r="AV116" s="186" t="n"/>
      <c r="AW116" s="188" t="n"/>
      <c r="AX116" s="187" t="n"/>
      <c r="AY116" s="187" t="n"/>
      <c r="AZ116" s="186" t="n"/>
      <c r="BA116" s="186" t="n"/>
      <c r="BB116" s="186" t="n"/>
      <c r="BC116" s="186" t="n"/>
      <c r="BD116" s="186" t="n"/>
      <c r="BE116" s="186" t="n"/>
      <c r="BF116" s="186" t="n"/>
      <c r="BG116" s="186" t="n"/>
      <c r="BH116" s="186" t="n"/>
      <c r="BI116" s="186" t="n"/>
      <c r="BJ116" s="186" t="n"/>
      <c r="BK116" s="186" t="n"/>
      <c r="BL116" s="186" t="n"/>
      <c r="BM116" s="186" t="n"/>
      <c r="BN116" s="186" t="n"/>
      <c r="BO116" s="186" t="n"/>
      <c r="BP116" s="186" t="n"/>
      <c r="BQ116" s="186" t="n"/>
      <c r="BR116" s="189" t="n"/>
      <c r="BS116" s="189" t="n"/>
      <c r="BT116" s="186" t="n"/>
      <c r="BU116" s="186" t="n"/>
      <c r="BV116" s="190" t="n"/>
      <c r="BW116" s="186" t="n"/>
      <c r="BX116" s="186" t="n"/>
      <c r="BY116" s="186" t="n"/>
      <c r="BZ116" s="186" t="n"/>
      <c r="CA116" s="186" t="n"/>
      <c r="CB116" s="187" t="n"/>
      <c r="CC116" s="192" t="n"/>
      <c r="CD116" s="192" t="n"/>
      <c r="CE116" s="192" t="n"/>
      <c r="CF116" s="192" t="n"/>
    </row>
    <row r="117">
      <c r="A117" s="197" t="n"/>
      <c r="B117" s="198" t="n"/>
      <c r="C117" s="198" t="n"/>
      <c r="D117" s="179" t="n"/>
      <c r="E117" s="180" t="n"/>
      <c r="F117" s="181" t="n"/>
      <c r="G117" s="284">
        <f>'Jobs-Ops'!G117</f>
        <v/>
      </c>
      <c r="H117" s="114">
        <f>'Jobs-Ops'!H117</f>
        <v/>
      </c>
      <c r="I117" s="105" t="n"/>
      <c r="J117" s="183">
        <f>F117</f>
        <v/>
      </c>
      <c r="K117" s="184" t="n"/>
      <c r="L117" s="185" t="n"/>
      <c r="M117" s="8" t="n"/>
      <c r="N117" s="184">
        <f>M117</f>
        <v/>
      </c>
      <c r="O117" s="71" t="n"/>
      <c r="P117" s="101" t="n"/>
      <c r="Q117" s="9">
        <f>J117-N117</f>
        <v/>
      </c>
      <c r="R117" s="9">
        <f>IF(LEFT(B117,4)&lt;&gt;"    ",0,BI117)</f>
        <v/>
      </c>
      <c r="S117" s="9">
        <f>+Q117-R117</f>
        <v/>
      </c>
      <c r="T117" s="200">
        <f>IF('Jobs-Ops'!S117&lt;&gt; "",'Jobs-Ops'!S117,"")</f>
        <v/>
      </c>
      <c r="U117" s="10" t="n"/>
      <c r="V117" s="23">
        <f>IF(LEFT(B117,4)&lt;&gt;"    ","",IF(N117&lt;&gt;0,X117/N117,0))</f>
        <v/>
      </c>
      <c r="W117" s="11">
        <f>IF(LEFT(B117,4)&lt;&gt;"    ","",IF(V117&gt;=0.1,V117*J117,X117))</f>
        <v/>
      </c>
      <c r="X117" s="8" t="n"/>
      <c r="Y117" s="9">
        <f>IF(LEFT(B117,4)&lt;&gt;"    ",0,IF(Q117&lt;0,Q117,IF(V117&gt;0.1,W117-X117,0)))</f>
        <v/>
      </c>
      <c r="Z117" s="9">
        <f>IF(LEFT(B117,4)&lt;&gt;"    ",0,IF(V117&gt;0.1,BI117,0))</f>
        <v/>
      </c>
      <c r="AA117" s="9">
        <f>Y117-Z117</f>
        <v/>
      </c>
      <c r="AB117" s="10" t="n"/>
      <c r="AC117" s="24" t="n"/>
      <c r="AD117" s="11" t="n"/>
      <c r="AE117" s="8" t="n"/>
      <c r="AF117" s="9">
        <f>IF(LEFT(B117,4)&lt;&gt;"    ","",AD117-AE117)</f>
        <v/>
      </c>
      <c r="AG117" s="10" t="n"/>
      <c r="AH117" s="11">
        <f>IF(LEFT(B117,4)&lt;&gt;"    ","",W117-AD117)</f>
        <v/>
      </c>
      <c r="AI117" s="8">
        <f>IF(LEFT(B117,4)&lt;&gt;"    ","",X117-AE117)</f>
        <v/>
      </c>
      <c r="AJ117" s="9">
        <f>IF(LEFT(B117,4)&lt;&gt;"    ","",Y117-AF117)</f>
        <v/>
      </c>
      <c r="AK117" s="10" t="n"/>
      <c r="AL117" s="25">
        <f>IF(LEFT(B117,4)&lt;&gt;"    ","",J117-W117)</f>
        <v/>
      </c>
      <c r="AM117" s="25">
        <f>N117-X117</f>
        <v/>
      </c>
      <c r="AN117" s="25">
        <f>IF(LEFT(B117,4)&lt;&gt;"    ","",Q117-Y117)</f>
        <v/>
      </c>
      <c r="AO117" s="10" t="n"/>
      <c r="AP117" s="12" t="n"/>
      <c r="AQ117" s="12">
        <f>IF(LEFT(B117,4)&lt;&gt;"    ","",IF(W117-AP117&gt;=0,W117-AP117," "))</f>
        <v/>
      </c>
      <c r="AR117" s="12">
        <f>IF(LEFT(B117,4)&lt;&gt;"    ","",IF(AP117-W117&gt;=0,AP117-W117," "))</f>
        <v/>
      </c>
      <c r="AS117" s="186" t="n"/>
      <c r="AT117" s="187" t="n"/>
      <c r="AU117" s="186" t="n"/>
      <c r="AV117" s="186" t="n"/>
      <c r="AW117" s="188" t="n"/>
      <c r="AX117" s="187" t="n"/>
      <c r="AY117" s="187" t="n"/>
      <c r="AZ117" s="186" t="n"/>
      <c r="BA117" s="186" t="n"/>
      <c r="BB117" s="186" t="n"/>
      <c r="BC117" s="186" t="n"/>
      <c r="BD117" s="186" t="n"/>
      <c r="BE117" s="186" t="n"/>
      <c r="BF117" s="186" t="n"/>
      <c r="BG117" s="186" t="n"/>
      <c r="BH117" s="186" t="n"/>
      <c r="BI117" s="186" t="n"/>
      <c r="BJ117" s="186" t="n"/>
      <c r="BK117" s="186" t="n"/>
      <c r="BL117" s="186" t="n"/>
      <c r="BM117" s="186" t="n"/>
      <c r="BN117" s="186" t="n"/>
      <c r="BO117" s="186" t="n"/>
      <c r="BP117" s="186" t="n"/>
      <c r="BQ117" s="186" t="n"/>
      <c r="BR117" s="189" t="n"/>
      <c r="BS117" s="189" t="n"/>
      <c r="BT117" s="186" t="n"/>
      <c r="BU117" s="186" t="n"/>
      <c r="BV117" s="190" t="n"/>
      <c r="BW117" s="186" t="n"/>
      <c r="BX117" s="186" t="n"/>
      <c r="BY117" s="186" t="n"/>
      <c r="BZ117" s="186" t="n"/>
      <c r="CA117" s="186" t="n"/>
      <c r="CB117" s="187" t="n"/>
      <c r="CC117" s="192" t="n"/>
      <c r="CD117" s="192" t="n"/>
      <c r="CE117" s="192" t="n"/>
      <c r="CF117" s="192" t="n"/>
    </row>
    <row r="118">
      <c r="A118" s="197" t="n"/>
      <c r="B118" s="198" t="n"/>
      <c r="C118" s="198" t="n"/>
      <c r="D118" s="179" t="n"/>
      <c r="E118" s="180" t="n"/>
      <c r="F118" s="181" t="n"/>
      <c r="G118" s="284">
        <f>'Jobs-Ops'!G118</f>
        <v/>
      </c>
      <c r="H118" s="114">
        <f>'Jobs-Ops'!H118</f>
        <v/>
      </c>
      <c r="I118" s="105" t="n"/>
      <c r="J118" s="183">
        <f>F118</f>
        <v/>
      </c>
      <c r="K118" s="184" t="n"/>
      <c r="L118" s="185" t="n"/>
      <c r="M118" s="8" t="n"/>
      <c r="N118" s="184">
        <f>M118</f>
        <v/>
      </c>
      <c r="O118" s="71" t="n"/>
      <c r="P118" s="101" t="n"/>
      <c r="Q118" s="9">
        <f>J118-N118</f>
        <v/>
      </c>
      <c r="R118" s="9">
        <f>IF(LEFT(B118,4)&lt;&gt;"    ",0,BI118)</f>
        <v/>
      </c>
      <c r="S118" s="9">
        <f>+Q118-R118</f>
        <v/>
      </c>
      <c r="T118" s="200">
        <f>IF('Jobs-Ops'!S118&lt;&gt; "",'Jobs-Ops'!S118,"")</f>
        <v/>
      </c>
      <c r="U118" s="10" t="n"/>
      <c r="V118" s="23">
        <f>IF(LEFT(B118,4)&lt;&gt;"    ","",IF(N118&lt;&gt;0,X118/N118,0))</f>
        <v/>
      </c>
      <c r="W118" s="11">
        <f>IF(LEFT(B118,4)&lt;&gt;"    ","",IF(V118&gt;=0.1,V118*J118,X118))</f>
        <v/>
      </c>
      <c r="X118" s="8" t="n"/>
      <c r="Y118" s="9">
        <f>IF(LEFT(B118,4)&lt;&gt;"    ",0,IF(Q118&lt;0,Q118,IF(V118&gt;0.1,W118-X118,0)))</f>
        <v/>
      </c>
      <c r="Z118" s="9">
        <f>IF(LEFT(B118,4)&lt;&gt;"    ",0,IF(V118&gt;0.1,BI118,0))</f>
        <v/>
      </c>
      <c r="AA118" s="9">
        <f>Y118-Z118</f>
        <v/>
      </c>
      <c r="AB118" s="10" t="n"/>
      <c r="AC118" s="24" t="n"/>
      <c r="AD118" s="11" t="n"/>
      <c r="AE118" s="8" t="n"/>
      <c r="AF118" s="9">
        <f>IF(LEFT(B118,4)&lt;&gt;"    ","",AD118-AE118)</f>
        <v/>
      </c>
      <c r="AG118" s="10" t="n"/>
      <c r="AH118" s="11">
        <f>IF(LEFT(B118,4)&lt;&gt;"    ","",W118-AD118)</f>
        <v/>
      </c>
      <c r="AI118" s="8">
        <f>IF(LEFT(B118,4)&lt;&gt;"    ","",X118-AE118)</f>
        <v/>
      </c>
      <c r="AJ118" s="9">
        <f>IF(LEFT(B118,4)&lt;&gt;"    ","",Y118-AF118)</f>
        <v/>
      </c>
      <c r="AK118" s="10" t="n"/>
      <c r="AL118" s="25">
        <f>IF(LEFT(B118,4)&lt;&gt;"    ","",J118-W118)</f>
        <v/>
      </c>
      <c r="AM118" s="25">
        <f>N118-X118</f>
        <v/>
      </c>
      <c r="AN118" s="25">
        <f>IF(LEFT(B118,4)&lt;&gt;"    ","",Q118-Y118)</f>
        <v/>
      </c>
      <c r="AO118" s="10" t="n"/>
      <c r="AP118" s="12" t="n"/>
      <c r="AQ118" s="12">
        <f>IF(LEFT(B118,4)&lt;&gt;"    ","",IF(W118-AP118&gt;=0,W118-AP118," "))</f>
        <v/>
      </c>
      <c r="AR118" s="12">
        <f>IF(LEFT(B118,4)&lt;&gt;"    ","",IF(AP118-W118&gt;=0,AP118-W118," "))</f>
        <v/>
      </c>
      <c r="AS118" s="186" t="n"/>
      <c r="AT118" s="187" t="n"/>
      <c r="AU118" s="186" t="n"/>
      <c r="AV118" s="186" t="n"/>
      <c r="AW118" s="188" t="n"/>
      <c r="AX118" s="187" t="n"/>
      <c r="AY118" s="187" t="n"/>
      <c r="AZ118" s="186" t="n"/>
      <c r="BA118" s="186" t="n"/>
      <c r="BB118" s="186" t="n"/>
      <c r="BC118" s="186" t="n"/>
      <c r="BD118" s="186" t="n"/>
      <c r="BE118" s="186" t="n"/>
      <c r="BF118" s="186" t="n"/>
      <c r="BG118" s="186" t="n"/>
      <c r="BH118" s="186" t="n"/>
      <c r="BI118" s="186" t="n"/>
      <c r="BJ118" s="186" t="n"/>
      <c r="BK118" s="186" t="n"/>
      <c r="BL118" s="186" t="n"/>
      <c r="BM118" s="186" t="n"/>
      <c r="BN118" s="186" t="n"/>
      <c r="BO118" s="186" t="n"/>
      <c r="BP118" s="186" t="n"/>
      <c r="BQ118" s="186" t="n"/>
      <c r="BR118" s="189" t="n"/>
      <c r="BS118" s="189" t="n"/>
      <c r="BT118" s="186" t="n"/>
      <c r="BU118" s="186" t="n"/>
      <c r="BV118" s="190" t="n"/>
      <c r="BW118" s="186" t="n"/>
      <c r="BX118" s="186" t="n"/>
      <c r="BY118" s="186" t="n"/>
      <c r="BZ118" s="186" t="n"/>
      <c r="CA118" s="186" t="n"/>
      <c r="CB118" s="187" t="n"/>
      <c r="CC118" s="192" t="n"/>
      <c r="CD118" s="192" t="n"/>
      <c r="CE118" s="192" t="n"/>
      <c r="CF118" s="192" t="n"/>
    </row>
    <row r="119">
      <c r="A119" s="197" t="n"/>
      <c r="B119" s="198" t="n"/>
      <c r="C119" s="198" t="n"/>
      <c r="D119" s="179" t="n"/>
      <c r="E119" s="180" t="n"/>
      <c r="F119" s="181" t="n"/>
      <c r="G119" s="284">
        <f>'Jobs-Ops'!G119</f>
        <v/>
      </c>
      <c r="H119" s="114">
        <f>'Jobs-Ops'!H119</f>
        <v/>
      </c>
      <c r="I119" s="105" t="n"/>
      <c r="J119" s="183">
        <f>F119</f>
        <v/>
      </c>
      <c r="K119" s="184" t="n"/>
      <c r="L119" s="185" t="n"/>
      <c r="M119" s="8" t="n"/>
      <c r="N119" s="184">
        <f>M119</f>
        <v/>
      </c>
      <c r="O119" s="71" t="n"/>
      <c r="P119" s="101" t="n"/>
      <c r="Q119" s="9">
        <f>J119-N119</f>
        <v/>
      </c>
      <c r="R119" s="9">
        <f>IF(LEFT(B119,4)&lt;&gt;"    ",0,BI119)</f>
        <v/>
      </c>
      <c r="S119" s="9">
        <f>+Q119-R119</f>
        <v/>
      </c>
      <c r="T119" s="200">
        <f>IF('Jobs-Ops'!S119&lt;&gt; "",'Jobs-Ops'!S119,"")</f>
        <v/>
      </c>
      <c r="U119" s="10" t="n"/>
      <c r="V119" s="23">
        <f>IF(LEFT(B119,4)&lt;&gt;"    ","",IF(N119&lt;&gt;0,X119/N119,0))</f>
        <v/>
      </c>
      <c r="W119" s="11">
        <f>IF(LEFT(B119,4)&lt;&gt;"    ","",IF(V119&gt;=0.1,V119*J119,X119))</f>
        <v/>
      </c>
      <c r="X119" s="8" t="n"/>
      <c r="Y119" s="9">
        <f>IF(LEFT(B119,4)&lt;&gt;"    ",0,IF(Q119&lt;0,Q119,IF(V119&gt;0.1,W119-X119,0)))</f>
        <v/>
      </c>
      <c r="Z119" s="9">
        <f>IF(LEFT(B119,4)&lt;&gt;"    ",0,IF(V119&gt;0.1,BI119,0))</f>
        <v/>
      </c>
      <c r="AA119" s="9">
        <f>Y119-Z119</f>
        <v/>
      </c>
      <c r="AB119" s="10" t="n"/>
      <c r="AC119" s="24" t="n"/>
      <c r="AD119" s="11" t="n"/>
      <c r="AE119" s="8" t="n"/>
      <c r="AF119" s="9">
        <f>IF(LEFT(B119,4)&lt;&gt;"    ","",AD119-AE119)</f>
        <v/>
      </c>
      <c r="AG119" s="10" t="n"/>
      <c r="AH119" s="11">
        <f>IF(LEFT(B119,4)&lt;&gt;"    ","",W119-AD119)</f>
        <v/>
      </c>
      <c r="AI119" s="8">
        <f>IF(LEFT(B119,4)&lt;&gt;"    ","",X119-AE119)</f>
        <v/>
      </c>
      <c r="AJ119" s="9">
        <f>IF(LEFT(B119,4)&lt;&gt;"    ","",Y119-AF119)</f>
        <v/>
      </c>
      <c r="AK119" s="10" t="n"/>
      <c r="AL119" s="25">
        <f>IF(LEFT(B119,4)&lt;&gt;"    ","",J119-W119)</f>
        <v/>
      </c>
      <c r="AM119" s="25">
        <f>N119-X119</f>
        <v/>
      </c>
      <c r="AN119" s="25">
        <f>IF(LEFT(B119,4)&lt;&gt;"    ","",Q119-Y119)</f>
        <v/>
      </c>
      <c r="AO119" s="10" t="n"/>
      <c r="AP119" s="12" t="n"/>
      <c r="AQ119" s="12">
        <f>IF(LEFT(B119,4)&lt;&gt;"    ","",IF(W119-AP119&gt;=0,W119-AP119," "))</f>
        <v/>
      </c>
      <c r="AR119" s="12">
        <f>IF(LEFT(B119,4)&lt;&gt;"    ","",IF(AP119-W119&gt;=0,AP119-W119," "))</f>
        <v/>
      </c>
      <c r="AS119" s="186" t="n"/>
      <c r="AT119" s="187" t="n"/>
      <c r="AU119" s="186" t="n"/>
      <c r="AV119" s="186" t="n"/>
      <c r="AW119" s="188" t="n"/>
      <c r="AX119" s="187" t="n"/>
      <c r="AY119" s="187" t="n"/>
      <c r="AZ119" s="186" t="n"/>
      <c r="BA119" s="186" t="n"/>
      <c r="BB119" s="186" t="n"/>
      <c r="BC119" s="186" t="n"/>
      <c r="BD119" s="186" t="n"/>
      <c r="BE119" s="186" t="n"/>
      <c r="BF119" s="186" t="n"/>
      <c r="BG119" s="186" t="n"/>
      <c r="BH119" s="186" t="n"/>
      <c r="BI119" s="186" t="n"/>
      <c r="BJ119" s="186" t="n"/>
      <c r="BK119" s="186" t="n"/>
      <c r="BL119" s="186" t="n"/>
      <c r="BM119" s="186" t="n"/>
      <c r="BN119" s="186" t="n"/>
      <c r="BO119" s="186" t="n"/>
      <c r="BP119" s="186" t="n"/>
      <c r="BQ119" s="186" t="n"/>
      <c r="BR119" s="189" t="n"/>
      <c r="BS119" s="189" t="n"/>
      <c r="BT119" s="186" t="n"/>
      <c r="BU119" s="186" t="n"/>
      <c r="BV119" s="190" t="n"/>
      <c r="BW119" s="186" t="n"/>
      <c r="BX119" s="186" t="n"/>
      <c r="BY119" s="186" t="n"/>
      <c r="BZ119" s="186" t="n"/>
      <c r="CA119" s="186" t="n"/>
      <c r="CB119" s="187" t="n"/>
      <c r="CC119" s="192" t="n"/>
      <c r="CD119" s="192" t="n"/>
      <c r="CE119" s="192" t="n"/>
      <c r="CF119" s="192" t="n"/>
    </row>
    <row r="120">
      <c r="A120" s="197" t="n"/>
      <c r="B120" s="198" t="n"/>
      <c r="C120" s="198" t="n"/>
      <c r="D120" s="179" t="n"/>
      <c r="E120" s="180" t="n"/>
      <c r="F120" s="181" t="n"/>
      <c r="G120" s="284">
        <f>'Jobs-Ops'!G120</f>
        <v/>
      </c>
      <c r="H120" s="114">
        <f>'Jobs-Ops'!H120</f>
        <v/>
      </c>
      <c r="I120" s="105" t="n"/>
      <c r="J120" s="183">
        <f>F120</f>
        <v/>
      </c>
      <c r="K120" s="184" t="n"/>
      <c r="L120" s="185" t="n"/>
      <c r="M120" s="8" t="n"/>
      <c r="N120" s="184">
        <f>M120</f>
        <v/>
      </c>
      <c r="O120" s="71" t="n"/>
      <c r="P120" s="101" t="n"/>
      <c r="Q120" s="9">
        <f>J120-N120</f>
        <v/>
      </c>
      <c r="R120" s="9">
        <f>IF(LEFT(B120,4)&lt;&gt;"    ",0,BI120)</f>
        <v/>
      </c>
      <c r="S120" s="9">
        <f>+Q120-R120</f>
        <v/>
      </c>
      <c r="T120" s="200">
        <f>IF('Jobs-Ops'!S120&lt;&gt; "",'Jobs-Ops'!S120,"")</f>
        <v/>
      </c>
      <c r="U120" s="10" t="n"/>
      <c r="V120" s="23">
        <f>IF(LEFT(B120,4)&lt;&gt;"    ","",IF(N120&lt;&gt;0,X120/N120,0))</f>
        <v/>
      </c>
      <c r="W120" s="11">
        <f>IF(LEFT(B120,4)&lt;&gt;"    ","",IF(V120&gt;=0.1,V120*J120,X120))</f>
        <v/>
      </c>
      <c r="X120" s="8" t="n"/>
      <c r="Y120" s="9">
        <f>IF(LEFT(B120,4)&lt;&gt;"    ",0,IF(Q120&lt;0,Q120,IF(V120&gt;0.1,W120-X120,0)))</f>
        <v/>
      </c>
      <c r="Z120" s="9">
        <f>IF(LEFT(B120,4)&lt;&gt;"    ",0,IF(V120&gt;0.1,BI120,0))</f>
        <v/>
      </c>
      <c r="AA120" s="9">
        <f>Y120-Z120</f>
        <v/>
      </c>
      <c r="AB120" s="10" t="n"/>
      <c r="AC120" s="24" t="n"/>
      <c r="AD120" s="11" t="n"/>
      <c r="AE120" s="8" t="n"/>
      <c r="AF120" s="9">
        <f>IF(LEFT(B120,4)&lt;&gt;"    ","",AD120-AE120)</f>
        <v/>
      </c>
      <c r="AG120" s="10" t="n"/>
      <c r="AH120" s="11">
        <f>IF(LEFT(B120,4)&lt;&gt;"    ","",W120-AD120)</f>
        <v/>
      </c>
      <c r="AI120" s="8">
        <f>IF(LEFT(B120,4)&lt;&gt;"    ","",X120-AE120)</f>
        <v/>
      </c>
      <c r="AJ120" s="9">
        <f>IF(LEFT(B120,4)&lt;&gt;"    ","",Y120-AF120)</f>
        <v/>
      </c>
      <c r="AK120" s="10" t="n"/>
      <c r="AL120" s="25">
        <f>IF(LEFT(B120,4)&lt;&gt;"    ","",J120-W120)</f>
        <v/>
      </c>
      <c r="AM120" s="25">
        <f>N120-X120</f>
        <v/>
      </c>
      <c r="AN120" s="25">
        <f>IF(LEFT(B120,4)&lt;&gt;"    ","",Q120-Y120)</f>
        <v/>
      </c>
      <c r="AO120" s="10" t="n"/>
      <c r="AP120" s="12" t="n"/>
      <c r="AQ120" s="12">
        <f>IF(LEFT(B120,4)&lt;&gt;"    ","",IF(W120-AP120&gt;=0,W120-AP120," "))</f>
        <v/>
      </c>
      <c r="AR120" s="12">
        <f>IF(LEFT(B120,4)&lt;&gt;"    ","",IF(AP120-W120&gt;=0,AP120-W120," "))</f>
        <v/>
      </c>
      <c r="AS120" s="186" t="n"/>
      <c r="AT120" s="187" t="n"/>
      <c r="AU120" s="186" t="n"/>
      <c r="AV120" s="186" t="n"/>
      <c r="AW120" s="188" t="n"/>
      <c r="AX120" s="187" t="n"/>
      <c r="AY120" s="187" t="n"/>
      <c r="AZ120" s="186" t="n"/>
      <c r="BA120" s="186" t="n"/>
      <c r="BB120" s="186" t="n"/>
      <c r="BC120" s="186" t="n"/>
      <c r="BD120" s="186" t="n"/>
      <c r="BE120" s="186" t="n"/>
      <c r="BF120" s="186" t="n"/>
      <c r="BG120" s="186" t="n"/>
      <c r="BH120" s="186" t="n"/>
      <c r="BI120" s="186" t="n"/>
      <c r="BJ120" s="186" t="n"/>
      <c r="BK120" s="186" t="n"/>
      <c r="BL120" s="186" t="n"/>
      <c r="BM120" s="186" t="n"/>
      <c r="BN120" s="186" t="n"/>
      <c r="BO120" s="186" t="n"/>
      <c r="BP120" s="186" t="n"/>
      <c r="BQ120" s="186" t="n"/>
      <c r="BR120" s="189" t="n"/>
      <c r="BS120" s="189" t="n"/>
      <c r="BT120" s="186" t="n"/>
      <c r="BU120" s="186" t="n"/>
      <c r="BV120" s="190" t="n"/>
      <c r="BW120" s="186" t="n"/>
      <c r="BX120" s="186" t="n"/>
      <c r="BY120" s="186" t="n"/>
      <c r="BZ120" s="186" t="n"/>
      <c r="CA120" s="186" t="n"/>
      <c r="CB120" s="187" t="n"/>
      <c r="CC120" s="192" t="n"/>
      <c r="CD120" s="192" t="n"/>
      <c r="CE120" s="192" t="n"/>
      <c r="CF120" s="192" t="n"/>
    </row>
    <row r="121">
      <c r="A121" s="197" t="n"/>
      <c r="B121" s="198" t="n"/>
      <c r="C121" s="198" t="n"/>
      <c r="D121" s="179" t="n"/>
      <c r="E121" s="180" t="n"/>
      <c r="F121" s="181" t="n"/>
      <c r="G121" s="284">
        <f>'Jobs-Ops'!G121</f>
        <v/>
      </c>
      <c r="H121" s="114">
        <f>'Jobs-Ops'!H121</f>
        <v/>
      </c>
      <c r="I121" s="105" t="n"/>
      <c r="J121" s="183">
        <f>F121</f>
        <v/>
      </c>
      <c r="K121" s="184" t="n"/>
      <c r="L121" s="185" t="n"/>
      <c r="M121" s="8" t="n"/>
      <c r="N121" s="184">
        <f>M121</f>
        <v/>
      </c>
      <c r="O121" s="71" t="n"/>
      <c r="P121" s="101" t="n"/>
      <c r="Q121" s="9">
        <f>J121-N121</f>
        <v/>
      </c>
      <c r="R121" s="9">
        <f>IF(LEFT(B121,4)&lt;&gt;"    ",0,BI121)</f>
        <v/>
      </c>
      <c r="S121" s="9">
        <f>+Q121-R121</f>
        <v/>
      </c>
      <c r="T121" s="200">
        <f>IF('Jobs-Ops'!S121&lt;&gt; "",'Jobs-Ops'!S121,"")</f>
        <v/>
      </c>
      <c r="U121" s="10" t="n"/>
      <c r="V121" s="23">
        <f>IF(LEFT(B121,4)&lt;&gt;"    ","",IF(N121&lt;&gt;0,X121/N121,0))</f>
        <v/>
      </c>
      <c r="W121" s="11">
        <f>IF(LEFT(B121,4)&lt;&gt;"    ","",IF(V121&gt;=0.1,V121*J121,X121))</f>
        <v/>
      </c>
      <c r="X121" s="8" t="n"/>
      <c r="Y121" s="9">
        <f>IF(LEFT(B121,4)&lt;&gt;"    ",0,IF(Q121&lt;0,Q121,IF(V121&gt;0.1,W121-X121,0)))</f>
        <v/>
      </c>
      <c r="Z121" s="9">
        <f>IF(LEFT(B121,4)&lt;&gt;"    ",0,IF(V121&gt;0.1,BI121,0))</f>
        <v/>
      </c>
      <c r="AA121" s="9">
        <f>Y121-Z121</f>
        <v/>
      </c>
      <c r="AB121" s="10" t="n"/>
      <c r="AC121" s="24" t="n"/>
      <c r="AD121" s="11" t="n"/>
      <c r="AE121" s="8" t="n"/>
      <c r="AF121" s="9">
        <f>IF(LEFT(B121,4)&lt;&gt;"    ","",AD121-AE121)</f>
        <v/>
      </c>
      <c r="AG121" s="10" t="n"/>
      <c r="AH121" s="11">
        <f>IF(LEFT(B121,4)&lt;&gt;"    ","",W121-AD121)</f>
        <v/>
      </c>
      <c r="AI121" s="8">
        <f>IF(LEFT(B121,4)&lt;&gt;"    ","",X121-AE121)</f>
        <v/>
      </c>
      <c r="AJ121" s="9">
        <f>IF(LEFT(B121,4)&lt;&gt;"    ","",Y121-AF121)</f>
        <v/>
      </c>
      <c r="AK121" s="10" t="n"/>
      <c r="AL121" s="25">
        <f>IF(LEFT(B121,4)&lt;&gt;"    ","",J121-W121)</f>
        <v/>
      </c>
      <c r="AM121" s="25">
        <f>N121-X121</f>
        <v/>
      </c>
      <c r="AN121" s="25">
        <f>IF(LEFT(B121,4)&lt;&gt;"    ","",Q121-Y121)</f>
        <v/>
      </c>
      <c r="AO121" s="10" t="n"/>
      <c r="AP121" s="12" t="n"/>
      <c r="AQ121" s="12">
        <f>IF(LEFT(B121,4)&lt;&gt;"    ","",IF(W121-AP121&gt;=0,W121-AP121," "))</f>
        <v/>
      </c>
      <c r="AR121" s="12">
        <f>IF(LEFT(B121,4)&lt;&gt;"    ","",IF(AP121-W121&gt;=0,AP121-W121," "))</f>
        <v/>
      </c>
      <c r="AS121" s="186" t="n"/>
      <c r="AT121" s="187" t="n"/>
      <c r="AU121" s="186" t="n"/>
      <c r="AV121" s="186" t="n"/>
      <c r="AW121" s="188" t="n"/>
      <c r="AX121" s="187" t="n"/>
      <c r="AY121" s="187" t="n"/>
      <c r="AZ121" s="186" t="n"/>
      <c r="BA121" s="186" t="n"/>
      <c r="BB121" s="186" t="n"/>
      <c r="BC121" s="186" t="n"/>
      <c r="BD121" s="186" t="n"/>
      <c r="BE121" s="186" t="n"/>
      <c r="BF121" s="186" t="n"/>
      <c r="BG121" s="186" t="n"/>
      <c r="BH121" s="186" t="n"/>
      <c r="BI121" s="186" t="n"/>
      <c r="BJ121" s="186" t="n"/>
      <c r="BK121" s="186" t="n"/>
      <c r="BL121" s="186" t="n"/>
      <c r="BM121" s="186" t="n"/>
      <c r="BN121" s="186" t="n"/>
      <c r="BO121" s="186" t="n"/>
      <c r="BP121" s="186" t="n"/>
      <c r="BQ121" s="186" t="n"/>
      <c r="BR121" s="189" t="n"/>
      <c r="BS121" s="189" t="n"/>
      <c r="BT121" s="186" t="n"/>
      <c r="BU121" s="186" t="n"/>
      <c r="BV121" s="190" t="n"/>
      <c r="BW121" s="186" t="n"/>
      <c r="BX121" s="186" t="n"/>
      <c r="BY121" s="186" t="n"/>
      <c r="BZ121" s="186" t="n"/>
      <c r="CA121" s="186" t="n"/>
      <c r="CB121" s="187" t="n"/>
      <c r="CC121" s="192" t="n"/>
      <c r="CD121" s="192" t="n"/>
      <c r="CE121" s="192" t="n"/>
      <c r="CF121" s="192" t="n"/>
    </row>
    <row r="122">
      <c r="A122" s="197" t="n"/>
      <c r="B122" s="198" t="n"/>
      <c r="C122" s="198" t="n"/>
      <c r="D122" s="179" t="n"/>
      <c r="E122" s="180" t="n"/>
      <c r="F122" s="181" t="n"/>
      <c r="G122" s="284">
        <f>'Jobs-Ops'!G122</f>
        <v/>
      </c>
      <c r="H122" s="114">
        <f>'Jobs-Ops'!H122</f>
        <v/>
      </c>
      <c r="I122" s="105" t="n"/>
      <c r="J122" s="183">
        <f>F122</f>
        <v/>
      </c>
      <c r="K122" s="184" t="n"/>
      <c r="L122" s="185" t="n"/>
      <c r="M122" s="8" t="n"/>
      <c r="N122" s="184">
        <f>M122</f>
        <v/>
      </c>
      <c r="O122" s="71" t="n"/>
      <c r="P122" s="101" t="n"/>
      <c r="Q122" s="9">
        <f>J122-N122</f>
        <v/>
      </c>
      <c r="R122" s="9">
        <f>IF(LEFT(B122,4)&lt;&gt;"    ",0,BI122)</f>
        <v/>
      </c>
      <c r="S122" s="9">
        <f>+Q122-R122</f>
        <v/>
      </c>
      <c r="T122" s="200">
        <f>IF('Jobs-Ops'!S122&lt;&gt; "",'Jobs-Ops'!S122,"")</f>
        <v/>
      </c>
      <c r="U122" s="10" t="n"/>
      <c r="V122" s="23">
        <f>IF(LEFT(B122,4)&lt;&gt;"    ","",IF(N122&lt;&gt;0,X122/N122,0))</f>
        <v/>
      </c>
      <c r="W122" s="11">
        <f>IF(LEFT(B122,4)&lt;&gt;"    ","",IF(V122&gt;=0.1,V122*J122,X122))</f>
        <v/>
      </c>
      <c r="X122" s="8" t="n"/>
      <c r="Y122" s="9">
        <f>IF(LEFT(B122,4)&lt;&gt;"    ",0,IF(Q122&lt;0,Q122,IF(V122&gt;0.1,W122-X122,0)))</f>
        <v/>
      </c>
      <c r="Z122" s="9">
        <f>IF(LEFT(B122,4)&lt;&gt;"    ",0,IF(V122&gt;0.1,BI122,0))</f>
        <v/>
      </c>
      <c r="AA122" s="9">
        <f>Y122-Z122</f>
        <v/>
      </c>
      <c r="AB122" s="10" t="n"/>
      <c r="AC122" s="24" t="n"/>
      <c r="AD122" s="11" t="n"/>
      <c r="AE122" s="8" t="n"/>
      <c r="AF122" s="9">
        <f>IF(LEFT(B122,4)&lt;&gt;"    ","",AD122-AE122)</f>
        <v/>
      </c>
      <c r="AG122" s="10" t="n"/>
      <c r="AH122" s="11">
        <f>IF(LEFT(B122,4)&lt;&gt;"    ","",W122-AD122)</f>
        <v/>
      </c>
      <c r="AI122" s="8">
        <f>IF(LEFT(B122,4)&lt;&gt;"    ","",X122-AE122)</f>
        <v/>
      </c>
      <c r="AJ122" s="9">
        <f>IF(LEFT(B122,4)&lt;&gt;"    ","",Y122-AF122)</f>
        <v/>
      </c>
      <c r="AK122" s="10" t="n"/>
      <c r="AL122" s="25">
        <f>IF(LEFT(B122,4)&lt;&gt;"    ","",J122-W122)</f>
        <v/>
      </c>
      <c r="AM122" s="25">
        <f>N122-X122</f>
        <v/>
      </c>
      <c r="AN122" s="25">
        <f>IF(LEFT(B122,4)&lt;&gt;"    ","",Q122-Y122)</f>
        <v/>
      </c>
      <c r="AO122" s="10" t="n"/>
      <c r="AP122" s="12" t="n"/>
      <c r="AQ122" s="12">
        <f>IF(LEFT(B122,4)&lt;&gt;"    ","",IF(W122-AP122&gt;=0,W122-AP122," "))</f>
        <v/>
      </c>
      <c r="AR122" s="12">
        <f>IF(LEFT(B122,4)&lt;&gt;"    ","",IF(AP122-W122&gt;=0,AP122-W122," "))</f>
        <v/>
      </c>
      <c r="AS122" s="186" t="n"/>
      <c r="AT122" s="187" t="n"/>
      <c r="AU122" s="186" t="n"/>
      <c r="AV122" s="186" t="n"/>
      <c r="AW122" s="188" t="n"/>
      <c r="AX122" s="187" t="n"/>
      <c r="AY122" s="187" t="n"/>
      <c r="AZ122" s="186" t="n"/>
      <c r="BA122" s="186" t="n"/>
      <c r="BB122" s="186" t="n"/>
      <c r="BC122" s="186" t="n"/>
      <c r="BD122" s="186" t="n"/>
      <c r="BE122" s="186" t="n"/>
      <c r="BF122" s="186" t="n"/>
      <c r="BG122" s="186" t="n"/>
      <c r="BH122" s="186" t="n"/>
      <c r="BI122" s="186" t="n"/>
      <c r="BJ122" s="186" t="n"/>
      <c r="BK122" s="186" t="n"/>
      <c r="BL122" s="186" t="n"/>
      <c r="BM122" s="186" t="n"/>
      <c r="BN122" s="186" t="n"/>
      <c r="BO122" s="186" t="n"/>
      <c r="BP122" s="186" t="n"/>
      <c r="BQ122" s="186" t="n"/>
      <c r="BR122" s="189" t="n"/>
      <c r="BS122" s="189" t="n"/>
      <c r="BT122" s="186" t="n"/>
      <c r="BU122" s="186" t="n"/>
      <c r="BV122" s="190" t="n"/>
      <c r="BW122" s="186" t="n"/>
      <c r="BX122" s="186" t="n"/>
      <c r="BY122" s="186" t="n"/>
      <c r="BZ122" s="186" t="n"/>
      <c r="CA122" s="186" t="n"/>
      <c r="CB122" s="187" t="n"/>
      <c r="CC122" s="192" t="n"/>
      <c r="CD122" s="192" t="n"/>
      <c r="CE122" s="192" t="n"/>
      <c r="CF122" s="192" t="n"/>
    </row>
    <row r="123">
      <c r="A123" s="197" t="n"/>
      <c r="B123" s="198" t="n"/>
      <c r="C123" s="198" t="n"/>
      <c r="D123" s="179" t="n"/>
      <c r="E123" s="180" t="n"/>
      <c r="F123" s="181" t="n"/>
      <c r="G123" s="284">
        <f>'Jobs-Ops'!G123</f>
        <v/>
      </c>
      <c r="H123" s="114">
        <f>'Jobs-Ops'!H123</f>
        <v/>
      </c>
      <c r="I123" s="105" t="n"/>
      <c r="J123" s="183">
        <f>F123</f>
        <v/>
      </c>
      <c r="K123" s="184" t="n"/>
      <c r="L123" s="185" t="n"/>
      <c r="M123" s="8" t="n"/>
      <c r="N123" s="184">
        <f>M123</f>
        <v/>
      </c>
      <c r="O123" s="71" t="n"/>
      <c r="P123" s="101" t="n"/>
      <c r="Q123" s="9">
        <f>J123-N123</f>
        <v/>
      </c>
      <c r="R123" s="9">
        <f>IF(LEFT(B123,4)&lt;&gt;"    ",0,BI123)</f>
        <v/>
      </c>
      <c r="S123" s="9">
        <f>+Q123-R123</f>
        <v/>
      </c>
      <c r="T123" s="200">
        <f>IF('Jobs-Ops'!S123&lt;&gt; "",'Jobs-Ops'!S123,"")</f>
        <v/>
      </c>
      <c r="U123" s="10" t="n"/>
      <c r="V123" s="23">
        <f>IF(LEFT(B123,4)&lt;&gt;"    ","",IF(N123&lt;&gt;0,X123/N123,0))</f>
        <v/>
      </c>
      <c r="W123" s="11">
        <f>IF(LEFT(B123,4)&lt;&gt;"    ","",IF(V123&gt;=0.1,V123*J123,X123))</f>
        <v/>
      </c>
      <c r="X123" s="8" t="n"/>
      <c r="Y123" s="9">
        <f>IF(LEFT(B123,4)&lt;&gt;"    ",0,IF(Q123&lt;0,Q123,IF(V123&gt;0.1,W123-X123,0)))</f>
        <v/>
      </c>
      <c r="Z123" s="9">
        <f>IF(LEFT(B123,4)&lt;&gt;"    ",0,IF(V123&gt;0.1,BI123,0))</f>
        <v/>
      </c>
      <c r="AA123" s="9">
        <f>Y123-Z123</f>
        <v/>
      </c>
      <c r="AB123" s="10" t="n"/>
      <c r="AC123" s="24" t="n"/>
      <c r="AD123" s="11" t="n"/>
      <c r="AE123" s="8" t="n"/>
      <c r="AF123" s="9">
        <f>IF(LEFT(B123,4)&lt;&gt;"    ","",AD123-AE123)</f>
        <v/>
      </c>
      <c r="AG123" s="10" t="n"/>
      <c r="AH123" s="11">
        <f>IF(LEFT(B123,4)&lt;&gt;"    ","",W123-AD123)</f>
        <v/>
      </c>
      <c r="AI123" s="8">
        <f>IF(LEFT(B123,4)&lt;&gt;"    ","",X123-AE123)</f>
        <v/>
      </c>
      <c r="AJ123" s="9">
        <f>IF(LEFT(B123,4)&lt;&gt;"    ","",Y123-AF123)</f>
        <v/>
      </c>
      <c r="AK123" s="10" t="n"/>
      <c r="AL123" s="25">
        <f>IF(LEFT(B123,4)&lt;&gt;"    ","",J123-W123)</f>
        <v/>
      </c>
      <c r="AM123" s="25">
        <f>N123-X123</f>
        <v/>
      </c>
      <c r="AN123" s="25">
        <f>IF(LEFT(B123,4)&lt;&gt;"    ","",Q123-Y123)</f>
        <v/>
      </c>
      <c r="AO123" s="10" t="n"/>
      <c r="AP123" s="12" t="n"/>
      <c r="AQ123" s="12">
        <f>IF(LEFT(B123,4)&lt;&gt;"    ","",IF(W123-AP123&gt;=0,W123-AP123," "))</f>
        <v/>
      </c>
      <c r="AR123" s="12">
        <f>IF(LEFT(B123,4)&lt;&gt;"    ","",IF(AP123-W123&gt;=0,AP123-W123," "))</f>
        <v/>
      </c>
      <c r="AS123" s="186" t="n"/>
      <c r="AT123" s="187" t="n"/>
      <c r="AU123" s="186" t="n"/>
      <c r="AV123" s="186" t="n"/>
      <c r="AW123" s="188" t="n"/>
      <c r="AX123" s="187" t="n"/>
      <c r="AY123" s="187" t="n"/>
      <c r="AZ123" s="186" t="n"/>
      <c r="BA123" s="186" t="n"/>
      <c r="BB123" s="186" t="n"/>
      <c r="BC123" s="186" t="n"/>
      <c r="BD123" s="186" t="n"/>
      <c r="BE123" s="186" t="n"/>
      <c r="BF123" s="186" t="n"/>
      <c r="BG123" s="186" t="n"/>
      <c r="BH123" s="186" t="n"/>
      <c r="BI123" s="186" t="n"/>
      <c r="BJ123" s="186" t="n"/>
      <c r="BK123" s="186" t="n"/>
      <c r="BL123" s="186" t="n"/>
      <c r="BM123" s="186" t="n"/>
      <c r="BN123" s="186" t="n"/>
      <c r="BO123" s="186" t="n"/>
      <c r="BP123" s="186" t="n"/>
      <c r="BQ123" s="186" t="n"/>
      <c r="BR123" s="189" t="n"/>
      <c r="BS123" s="189" t="n"/>
      <c r="BT123" s="186" t="n"/>
      <c r="BU123" s="186" t="n"/>
      <c r="BV123" s="190" t="n"/>
      <c r="BW123" s="186" t="n"/>
      <c r="BX123" s="186" t="n"/>
      <c r="BY123" s="186" t="n"/>
      <c r="BZ123" s="186" t="n"/>
      <c r="CA123" s="186" t="n"/>
      <c r="CB123" s="187" t="n"/>
      <c r="CC123" s="192" t="n"/>
      <c r="CD123" s="192" t="n"/>
      <c r="CE123" s="192" t="n"/>
      <c r="CF123" s="192" t="n"/>
    </row>
    <row r="124">
      <c r="A124" s="197" t="n"/>
      <c r="B124" s="198" t="n"/>
      <c r="C124" s="198" t="n"/>
      <c r="D124" s="179" t="n"/>
      <c r="E124" s="180" t="n"/>
      <c r="F124" s="181" t="n"/>
      <c r="G124" s="284">
        <f>'Jobs-Ops'!G124</f>
        <v/>
      </c>
      <c r="H124" s="114">
        <f>'Jobs-Ops'!H124</f>
        <v/>
      </c>
      <c r="I124" s="105" t="n"/>
      <c r="J124" s="183">
        <f>F124</f>
        <v/>
      </c>
      <c r="K124" s="184" t="n"/>
      <c r="L124" s="185" t="n"/>
      <c r="M124" s="8" t="n"/>
      <c r="N124" s="184">
        <f>M124</f>
        <v/>
      </c>
      <c r="O124" s="71" t="n"/>
      <c r="P124" s="101" t="n"/>
      <c r="Q124" s="9">
        <f>J124-N124</f>
        <v/>
      </c>
      <c r="R124" s="9">
        <f>IF(LEFT(B124,4)&lt;&gt;"    ",0,BI124)</f>
        <v/>
      </c>
      <c r="S124" s="9">
        <f>+Q124-R124</f>
        <v/>
      </c>
      <c r="T124" s="200">
        <f>IF('Jobs-Ops'!S124&lt;&gt; "",'Jobs-Ops'!S124,"")</f>
        <v/>
      </c>
      <c r="U124" s="10" t="n"/>
      <c r="V124" s="23">
        <f>IF(LEFT(B124,4)&lt;&gt;"    ","",IF(N124&lt;&gt;0,X124/N124,0))</f>
        <v/>
      </c>
      <c r="W124" s="11">
        <f>IF(LEFT(B124,4)&lt;&gt;"    ","",IF(V124&gt;=0.1,V124*J124,X124))</f>
        <v/>
      </c>
      <c r="X124" s="8" t="n"/>
      <c r="Y124" s="9">
        <f>IF(LEFT(B124,4)&lt;&gt;"    ",0,IF(Q124&lt;0,Q124,IF(V124&gt;0.1,W124-X124,0)))</f>
        <v/>
      </c>
      <c r="Z124" s="9">
        <f>IF(LEFT(B124,4)&lt;&gt;"    ",0,IF(V124&gt;0.1,BI124,0))</f>
        <v/>
      </c>
      <c r="AA124" s="9">
        <f>Y124-Z124</f>
        <v/>
      </c>
      <c r="AB124" s="10" t="n"/>
      <c r="AC124" s="24" t="n"/>
      <c r="AD124" s="11" t="n"/>
      <c r="AE124" s="8" t="n"/>
      <c r="AF124" s="9">
        <f>IF(LEFT(B124,4)&lt;&gt;"    ","",AD124-AE124)</f>
        <v/>
      </c>
      <c r="AG124" s="10" t="n"/>
      <c r="AH124" s="11">
        <f>IF(LEFT(B124,4)&lt;&gt;"    ","",W124-AD124)</f>
        <v/>
      </c>
      <c r="AI124" s="8">
        <f>IF(LEFT(B124,4)&lt;&gt;"    ","",X124-AE124)</f>
        <v/>
      </c>
      <c r="AJ124" s="9">
        <f>IF(LEFT(B124,4)&lt;&gt;"    ","",Y124-AF124)</f>
        <v/>
      </c>
      <c r="AK124" s="10" t="n"/>
      <c r="AL124" s="25">
        <f>IF(LEFT(B124,4)&lt;&gt;"    ","",J124-W124)</f>
        <v/>
      </c>
      <c r="AM124" s="25">
        <f>N124-X124</f>
        <v/>
      </c>
      <c r="AN124" s="25">
        <f>IF(LEFT(B124,4)&lt;&gt;"    ","",Q124-Y124)</f>
        <v/>
      </c>
      <c r="AO124" s="10" t="n"/>
      <c r="AP124" s="12" t="n"/>
      <c r="AQ124" s="12">
        <f>IF(LEFT(B124,4)&lt;&gt;"    ","",IF(W124-AP124&gt;=0,W124-AP124," "))</f>
        <v/>
      </c>
      <c r="AR124" s="12">
        <f>IF(LEFT(B124,4)&lt;&gt;"    ","",IF(AP124-W124&gt;=0,AP124-W124," "))</f>
        <v/>
      </c>
      <c r="AS124" s="186" t="n"/>
      <c r="AT124" s="187" t="n"/>
      <c r="AU124" s="186" t="n"/>
      <c r="AV124" s="186" t="n"/>
      <c r="AW124" s="188" t="n"/>
      <c r="AX124" s="187" t="n"/>
      <c r="AY124" s="187" t="n"/>
      <c r="AZ124" s="186" t="n"/>
      <c r="BA124" s="186" t="n"/>
      <c r="BB124" s="186" t="n"/>
      <c r="BC124" s="186" t="n"/>
      <c r="BD124" s="186" t="n"/>
      <c r="BE124" s="186" t="n"/>
      <c r="BF124" s="186" t="n"/>
      <c r="BG124" s="186" t="n"/>
      <c r="BH124" s="186" t="n"/>
      <c r="BI124" s="186" t="n"/>
      <c r="BJ124" s="186" t="n"/>
      <c r="BK124" s="186" t="n"/>
      <c r="BL124" s="186" t="n"/>
      <c r="BM124" s="186" t="n"/>
      <c r="BN124" s="186" t="n"/>
      <c r="BO124" s="186" t="n"/>
      <c r="BP124" s="186" t="n"/>
      <c r="BQ124" s="186" t="n"/>
      <c r="BR124" s="189" t="n"/>
      <c r="BS124" s="189" t="n"/>
      <c r="BT124" s="186" t="n"/>
      <c r="BU124" s="186" t="n"/>
      <c r="BV124" s="190" t="n"/>
      <c r="BW124" s="186" t="n"/>
      <c r="BX124" s="186" t="n"/>
      <c r="BY124" s="186" t="n"/>
      <c r="BZ124" s="186" t="n"/>
      <c r="CA124" s="186" t="n"/>
      <c r="CB124" s="187" t="n"/>
      <c r="CC124" s="192" t="n"/>
      <c r="CD124" s="192" t="n"/>
      <c r="CE124" s="192" t="n"/>
      <c r="CF124" s="192" t="n"/>
    </row>
    <row r="125">
      <c r="A125" s="197" t="n"/>
      <c r="B125" s="198" t="n"/>
      <c r="C125" s="198" t="n"/>
      <c r="D125" s="179" t="n"/>
      <c r="E125" s="180" t="n"/>
      <c r="F125" s="181" t="n"/>
      <c r="G125" s="284">
        <f>'Jobs-Ops'!G125</f>
        <v/>
      </c>
      <c r="H125" s="114">
        <f>'Jobs-Ops'!H125</f>
        <v/>
      </c>
      <c r="I125" s="105" t="n"/>
      <c r="J125" s="183">
        <f>F125</f>
        <v/>
      </c>
      <c r="K125" s="184" t="n"/>
      <c r="L125" s="185" t="n"/>
      <c r="M125" s="8" t="n"/>
      <c r="N125" s="184">
        <f>M125</f>
        <v/>
      </c>
      <c r="O125" s="71" t="n"/>
      <c r="P125" s="101" t="n"/>
      <c r="Q125" s="9">
        <f>J125-N125</f>
        <v/>
      </c>
      <c r="R125" s="9">
        <f>IF(LEFT(B125,4)&lt;&gt;"    ",0,BI125)</f>
        <v/>
      </c>
      <c r="S125" s="9">
        <f>+Q125-R125</f>
        <v/>
      </c>
      <c r="T125" s="200">
        <f>IF('Jobs-Ops'!S125&lt;&gt; "",'Jobs-Ops'!S125,"")</f>
        <v/>
      </c>
      <c r="U125" s="10" t="n"/>
      <c r="V125" s="23">
        <f>IF(LEFT(B125,4)&lt;&gt;"    ","",IF(N125&lt;&gt;0,X125/N125,0))</f>
        <v/>
      </c>
      <c r="W125" s="11">
        <f>IF(LEFT(B125,4)&lt;&gt;"    ","",IF(V125&gt;=0.1,V125*J125,X125))</f>
        <v/>
      </c>
      <c r="X125" s="8" t="n"/>
      <c r="Y125" s="9">
        <f>IF(LEFT(B125,4)&lt;&gt;"    ",0,IF(Q125&lt;0,Q125,IF(V125&gt;0.1,W125-X125,0)))</f>
        <v/>
      </c>
      <c r="Z125" s="9">
        <f>IF(LEFT(B125,4)&lt;&gt;"    ",0,IF(V125&gt;0.1,BI125,0))</f>
        <v/>
      </c>
      <c r="AA125" s="9">
        <f>Y125-Z125</f>
        <v/>
      </c>
      <c r="AB125" s="10" t="n"/>
      <c r="AC125" s="24" t="n"/>
      <c r="AD125" s="11" t="n"/>
      <c r="AE125" s="8" t="n"/>
      <c r="AF125" s="9">
        <f>IF(LEFT(B125,4)&lt;&gt;"    ","",AD125-AE125)</f>
        <v/>
      </c>
      <c r="AG125" s="10" t="n"/>
      <c r="AH125" s="11">
        <f>IF(LEFT(B125,4)&lt;&gt;"    ","",W125-AD125)</f>
        <v/>
      </c>
      <c r="AI125" s="8">
        <f>IF(LEFT(B125,4)&lt;&gt;"    ","",X125-AE125)</f>
        <v/>
      </c>
      <c r="AJ125" s="9">
        <f>IF(LEFT(B125,4)&lt;&gt;"    ","",Y125-AF125)</f>
        <v/>
      </c>
      <c r="AK125" s="10" t="n"/>
      <c r="AL125" s="25">
        <f>IF(LEFT(B125,4)&lt;&gt;"    ","",J125-W125)</f>
        <v/>
      </c>
      <c r="AM125" s="25">
        <f>N125-X125</f>
        <v/>
      </c>
      <c r="AN125" s="25">
        <f>IF(LEFT(B125,4)&lt;&gt;"    ","",Q125-Y125)</f>
        <v/>
      </c>
      <c r="AO125" s="10" t="n"/>
      <c r="AP125" s="12" t="n"/>
      <c r="AQ125" s="12">
        <f>IF(LEFT(B125,4)&lt;&gt;"    ","",IF(W125-AP125&gt;=0,W125-AP125," "))</f>
        <v/>
      </c>
      <c r="AR125" s="12">
        <f>IF(LEFT(B125,4)&lt;&gt;"    ","",IF(AP125-W125&gt;=0,AP125-W125," "))</f>
        <v/>
      </c>
      <c r="AS125" s="186" t="n"/>
      <c r="AT125" s="187" t="n"/>
      <c r="AU125" s="186" t="n"/>
      <c r="AV125" s="186" t="n"/>
      <c r="AW125" s="188" t="n"/>
      <c r="AX125" s="187" t="n"/>
      <c r="AY125" s="187" t="n"/>
      <c r="AZ125" s="186" t="n"/>
      <c r="BA125" s="186" t="n"/>
      <c r="BB125" s="186" t="n"/>
      <c r="BC125" s="186" t="n"/>
      <c r="BD125" s="186" t="n"/>
      <c r="BE125" s="186" t="n"/>
      <c r="BF125" s="186" t="n"/>
      <c r="BG125" s="186" t="n"/>
      <c r="BH125" s="186" t="n"/>
      <c r="BI125" s="186" t="n"/>
      <c r="BJ125" s="186" t="n"/>
      <c r="BK125" s="186" t="n"/>
      <c r="BL125" s="186" t="n"/>
      <c r="BM125" s="186" t="n"/>
      <c r="BN125" s="186" t="n"/>
      <c r="BO125" s="186" t="n"/>
      <c r="BP125" s="186" t="n"/>
      <c r="BQ125" s="186" t="n"/>
      <c r="BR125" s="189" t="n"/>
      <c r="BS125" s="189" t="n"/>
      <c r="BT125" s="186" t="n"/>
      <c r="BU125" s="186" t="n"/>
      <c r="BV125" s="190" t="n"/>
      <c r="BW125" s="186" t="n"/>
      <c r="BX125" s="186" t="n"/>
      <c r="BY125" s="186" t="n"/>
      <c r="BZ125" s="186" t="n"/>
      <c r="CA125" s="186" t="n"/>
      <c r="CB125" s="187" t="n"/>
      <c r="CC125" s="192" t="n"/>
      <c r="CD125" s="192" t="n"/>
      <c r="CE125" s="192" t="n"/>
      <c r="CF125" s="192" t="n"/>
    </row>
    <row r="126">
      <c r="A126" s="197" t="n"/>
      <c r="B126" s="198" t="n"/>
      <c r="C126" s="198" t="n"/>
      <c r="D126" s="179" t="n"/>
      <c r="E126" s="180" t="n"/>
      <c r="F126" s="181" t="n"/>
      <c r="G126" s="284">
        <f>'Jobs-Ops'!G126</f>
        <v/>
      </c>
      <c r="H126" s="114">
        <f>'Jobs-Ops'!H126</f>
        <v/>
      </c>
      <c r="I126" s="105" t="n"/>
      <c r="J126" s="183">
        <f>F126</f>
        <v/>
      </c>
      <c r="K126" s="184" t="n"/>
      <c r="L126" s="185" t="n"/>
      <c r="M126" s="8" t="n"/>
      <c r="N126" s="184">
        <f>M126</f>
        <v/>
      </c>
      <c r="O126" s="71" t="n"/>
      <c r="P126" s="101" t="n"/>
      <c r="Q126" s="9">
        <f>J126-N126</f>
        <v/>
      </c>
      <c r="R126" s="9">
        <f>IF(LEFT(B126,4)&lt;&gt;"    ",0,BI126)</f>
        <v/>
      </c>
      <c r="S126" s="9">
        <f>+Q126-R126</f>
        <v/>
      </c>
      <c r="T126" s="200">
        <f>IF('Jobs-Ops'!S126&lt;&gt; "",'Jobs-Ops'!S126,"")</f>
        <v/>
      </c>
      <c r="U126" s="10" t="n"/>
      <c r="V126" s="23">
        <f>IF(LEFT(B126,4)&lt;&gt;"    ","",IF(N126&lt;&gt;0,X126/N126,0))</f>
        <v/>
      </c>
      <c r="W126" s="11">
        <f>IF(LEFT(B126,4)&lt;&gt;"    ","",IF(V126&gt;=0.1,V126*J126,X126))</f>
        <v/>
      </c>
      <c r="X126" s="8" t="n"/>
      <c r="Y126" s="9">
        <f>IF(LEFT(B126,4)&lt;&gt;"    ",0,IF(Q126&lt;0,Q126,IF(V126&gt;0.1,W126-X126,0)))</f>
        <v/>
      </c>
      <c r="Z126" s="9">
        <f>IF(LEFT(B126,4)&lt;&gt;"    ",0,IF(V126&gt;0.1,BI126,0))</f>
        <v/>
      </c>
      <c r="AA126" s="9">
        <f>Y126-Z126</f>
        <v/>
      </c>
      <c r="AB126" s="10" t="n"/>
      <c r="AC126" s="24" t="n"/>
      <c r="AD126" s="11" t="n"/>
      <c r="AE126" s="8" t="n"/>
      <c r="AF126" s="9">
        <f>IF(LEFT(B126,4)&lt;&gt;"    ","",AD126-AE126)</f>
        <v/>
      </c>
      <c r="AG126" s="10" t="n"/>
      <c r="AH126" s="11">
        <f>IF(LEFT(B126,4)&lt;&gt;"    ","",W126-AD126)</f>
        <v/>
      </c>
      <c r="AI126" s="8">
        <f>IF(LEFT(B126,4)&lt;&gt;"    ","",X126-AE126)</f>
        <v/>
      </c>
      <c r="AJ126" s="9">
        <f>IF(LEFT(B126,4)&lt;&gt;"    ","",Y126-AF126)</f>
        <v/>
      </c>
      <c r="AK126" s="10" t="n"/>
      <c r="AL126" s="25">
        <f>IF(LEFT(B126,4)&lt;&gt;"    ","",J126-W126)</f>
        <v/>
      </c>
      <c r="AM126" s="25">
        <f>N126-X126</f>
        <v/>
      </c>
      <c r="AN126" s="25">
        <f>IF(LEFT(B126,4)&lt;&gt;"    ","",Q126-Y126)</f>
        <v/>
      </c>
      <c r="AO126" s="10" t="n"/>
      <c r="AP126" s="12" t="n"/>
      <c r="AQ126" s="12">
        <f>IF(LEFT(B126,4)&lt;&gt;"    ","",IF(W126-AP126&gt;=0,W126-AP126," "))</f>
        <v/>
      </c>
      <c r="AR126" s="12">
        <f>IF(LEFT(B126,4)&lt;&gt;"    ","",IF(AP126-W126&gt;=0,AP126-W126," "))</f>
        <v/>
      </c>
      <c r="AS126" s="186" t="n"/>
      <c r="AT126" s="187" t="n"/>
      <c r="AU126" s="186" t="n"/>
      <c r="AV126" s="186" t="n"/>
      <c r="AW126" s="188" t="n"/>
      <c r="AX126" s="187" t="n"/>
      <c r="AY126" s="187" t="n"/>
      <c r="AZ126" s="186" t="n"/>
      <c r="BA126" s="186" t="n"/>
      <c r="BB126" s="186" t="n"/>
      <c r="BC126" s="186" t="n"/>
      <c r="BD126" s="186" t="n"/>
      <c r="BE126" s="186" t="n"/>
      <c r="BF126" s="186" t="n"/>
      <c r="BG126" s="186" t="n"/>
      <c r="BH126" s="186" t="n"/>
      <c r="BI126" s="186" t="n"/>
      <c r="BJ126" s="186" t="n"/>
      <c r="BK126" s="186" t="n"/>
      <c r="BL126" s="186" t="n"/>
      <c r="BM126" s="186" t="n"/>
      <c r="BN126" s="186" t="n"/>
      <c r="BO126" s="186" t="n"/>
      <c r="BP126" s="186" t="n"/>
      <c r="BQ126" s="186" t="n"/>
      <c r="BR126" s="189" t="n"/>
      <c r="BS126" s="189" t="n"/>
      <c r="BT126" s="186" t="n"/>
      <c r="BU126" s="186" t="n"/>
      <c r="BV126" s="190" t="n"/>
      <c r="BW126" s="186" t="n"/>
      <c r="BX126" s="186" t="n"/>
      <c r="BY126" s="186" t="n"/>
      <c r="BZ126" s="186" t="n"/>
      <c r="CA126" s="186" t="n"/>
      <c r="CB126" s="187" t="n"/>
      <c r="CC126" s="192" t="n"/>
      <c r="CD126" s="192" t="n"/>
      <c r="CE126" s="192" t="n"/>
      <c r="CF126" s="192" t="n"/>
    </row>
    <row r="127">
      <c r="A127" s="197" t="n"/>
      <c r="B127" s="198" t="n"/>
      <c r="C127" s="198" t="n"/>
      <c r="D127" s="179" t="n"/>
      <c r="E127" s="180" t="n"/>
      <c r="F127" s="181" t="n"/>
      <c r="G127" s="284">
        <f>'Jobs-Ops'!G127</f>
        <v/>
      </c>
      <c r="H127" s="114">
        <f>'Jobs-Ops'!H127</f>
        <v/>
      </c>
      <c r="I127" s="105" t="n"/>
      <c r="J127" s="183">
        <f>F127</f>
        <v/>
      </c>
      <c r="K127" s="184" t="n"/>
      <c r="L127" s="185" t="n"/>
      <c r="M127" s="8" t="n"/>
      <c r="N127" s="184">
        <f>M127</f>
        <v/>
      </c>
      <c r="O127" s="71" t="n"/>
      <c r="P127" s="101" t="n"/>
      <c r="Q127" s="9">
        <f>J127-N127</f>
        <v/>
      </c>
      <c r="R127" s="9">
        <f>IF(LEFT(B127,4)&lt;&gt;"    ",0,BI127)</f>
        <v/>
      </c>
      <c r="S127" s="9">
        <f>+Q127-R127</f>
        <v/>
      </c>
      <c r="T127" s="200">
        <f>IF('Jobs-Ops'!S127&lt;&gt; "",'Jobs-Ops'!S127,"")</f>
        <v/>
      </c>
      <c r="U127" s="10" t="n"/>
      <c r="V127" s="23">
        <f>IF(LEFT(B127,4)&lt;&gt;"    ","",IF(N127&lt;&gt;0,X127/N127,0))</f>
        <v/>
      </c>
      <c r="W127" s="11">
        <f>IF(LEFT(B127,4)&lt;&gt;"    ","",IF(V127&gt;=0.1,V127*J127,X127))</f>
        <v/>
      </c>
      <c r="X127" s="8" t="n"/>
      <c r="Y127" s="9">
        <f>IF(LEFT(B127,4)&lt;&gt;"    ",0,IF(Q127&lt;0,Q127,IF(V127&gt;0.1,W127-X127,0)))</f>
        <v/>
      </c>
      <c r="Z127" s="9">
        <f>IF(LEFT(B127,4)&lt;&gt;"    ",0,IF(V127&gt;0.1,BI127,0))</f>
        <v/>
      </c>
      <c r="AA127" s="9">
        <f>Y127-Z127</f>
        <v/>
      </c>
      <c r="AB127" s="10" t="n"/>
      <c r="AC127" s="24" t="n"/>
      <c r="AD127" s="11" t="n"/>
      <c r="AE127" s="8" t="n"/>
      <c r="AF127" s="9">
        <f>IF(LEFT(B127,4)&lt;&gt;"    ","",AD127-AE127)</f>
        <v/>
      </c>
      <c r="AG127" s="10" t="n"/>
      <c r="AH127" s="11">
        <f>IF(LEFT(B127,4)&lt;&gt;"    ","",W127-AD127)</f>
        <v/>
      </c>
      <c r="AI127" s="8">
        <f>IF(LEFT(B127,4)&lt;&gt;"    ","",X127-AE127)</f>
        <v/>
      </c>
      <c r="AJ127" s="9">
        <f>IF(LEFT(B127,4)&lt;&gt;"    ","",Y127-AF127)</f>
        <v/>
      </c>
      <c r="AK127" s="10" t="n"/>
      <c r="AL127" s="25">
        <f>IF(LEFT(B127,4)&lt;&gt;"    ","",J127-W127)</f>
        <v/>
      </c>
      <c r="AM127" s="25">
        <f>N127-X127</f>
        <v/>
      </c>
      <c r="AN127" s="25">
        <f>IF(LEFT(B127,4)&lt;&gt;"    ","",Q127-Y127)</f>
        <v/>
      </c>
      <c r="AO127" s="10" t="n"/>
      <c r="AP127" s="12" t="n"/>
      <c r="AQ127" s="12">
        <f>IF(LEFT(B127,4)&lt;&gt;"    ","",IF(W127-AP127&gt;=0,W127-AP127," "))</f>
        <v/>
      </c>
      <c r="AR127" s="12">
        <f>IF(LEFT(B127,4)&lt;&gt;"    ","",IF(AP127-W127&gt;=0,AP127-W127," "))</f>
        <v/>
      </c>
      <c r="AS127" s="186" t="n"/>
      <c r="AT127" s="187" t="n"/>
      <c r="AU127" s="186" t="n"/>
      <c r="AV127" s="186" t="n"/>
      <c r="AW127" s="188" t="n"/>
      <c r="AX127" s="187" t="n"/>
      <c r="AY127" s="187" t="n"/>
      <c r="AZ127" s="186" t="n"/>
      <c r="BA127" s="186" t="n"/>
      <c r="BB127" s="186" t="n"/>
      <c r="BC127" s="186" t="n"/>
      <c r="BD127" s="186" t="n"/>
      <c r="BE127" s="186" t="n"/>
      <c r="BF127" s="186" t="n"/>
      <c r="BG127" s="186" t="n"/>
      <c r="BH127" s="186" t="n"/>
      <c r="BI127" s="186" t="n"/>
      <c r="BJ127" s="186" t="n"/>
      <c r="BK127" s="186" t="n"/>
      <c r="BL127" s="186" t="n"/>
      <c r="BM127" s="186" t="n"/>
      <c r="BN127" s="186" t="n"/>
      <c r="BO127" s="186" t="n"/>
      <c r="BP127" s="186" t="n"/>
      <c r="BQ127" s="186" t="n"/>
      <c r="BR127" s="189" t="n"/>
      <c r="BS127" s="189" t="n"/>
      <c r="BT127" s="186" t="n"/>
      <c r="BU127" s="186" t="n"/>
      <c r="BV127" s="190" t="n"/>
      <c r="BW127" s="186" t="n"/>
      <c r="BX127" s="186" t="n"/>
      <c r="BY127" s="186" t="n"/>
      <c r="BZ127" s="186" t="n"/>
      <c r="CA127" s="186" t="n"/>
      <c r="CB127" s="187" t="n"/>
      <c r="CC127" s="192" t="n"/>
      <c r="CD127" s="192" t="n"/>
      <c r="CE127" s="192" t="n"/>
      <c r="CF127" s="192" t="n"/>
    </row>
    <row r="128">
      <c r="A128" s="197" t="n"/>
      <c r="B128" s="198" t="n"/>
      <c r="C128" s="198" t="n"/>
      <c r="D128" s="179" t="n"/>
      <c r="E128" s="180" t="n"/>
      <c r="F128" s="181" t="n"/>
      <c r="G128" s="284">
        <f>'Jobs-Ops'!G128</f>
        <v/>
      </c>
      <c r="H128" s="114">
        <f>'Jobs-Ops'!H128</f>
        <v/>
      </c>
      <c r="I128" s="105" t="n"/>
      <c r="J128" s="183">
        <f>F128</f>
        <v/>
      </c>
      <c r="K128" s="184" t="n"/>
      <c r="L128" s="185" t="n"/>
      <c r="M128" s="8" t="n"/>
      <c r="N128" s="184">
        <f>M128</f>
        <v/>
      </c>
      <c r="O128" s="71" t="n"/>
      <c r="P128" s="101" t="n"/>
      <c r="Q128" s="9">
        <f>J128-N128</f>
        <v/>
      </c>
      <c r="R128" s="9">
        <f>IF(LEFT(B128,4)&lt;&gt;"    ",0,BI128)</f>
        <v/>
      </c>
      <c r="S128" s="9">
        <f>+Q128-R128</f>
        <v/>
      </c>
      <c r="T128" s="200">
        <f>IF('Jobs-Ops'!S128&lt;&gt; "",'Jobs-Ops'!S128,"")</f>
        <v/>
      </c>
      <c r="U128" s="10" t="n"/>
      <c r="V128" s="23">
        <f>IF(LEFT(B128,4)&lt;&gt;"    ","",IF(N128&lt;&gt;0,X128/N128,0))</f>
        <v/>
      </c>
      <c r="W128" s="11">
        <f>IF(LEFT(B128,4)&lt;&gt;"    ","",IF(V128&gt;=0.1,V128*J128,X128))</f>
        <v/>
      </c>
      <c r="X128" s="8" t="n"/>
      <c r="Y128" s="9">
        <f>IF(LEFT(B128,4)&lt;&gt;"    ",0,IF(Q128&lt;0,Q128,IF(V128&gt;0.1,W128-X128,0)))</f>
        <v/>
      </c>
      <c r="Z128" s="9">
        <f>IF(LEFT(B128,4)&lt;&gt;"    ",0,IF(V128&gt;0.1,BI128,0))</f>
        <v/>
      </c>
      <c r="AA128" s="9">
        <f>Y128-Z128</f>
        <v/>
      </c>
      <c r="AB128" s="10" t="n"/>
      <c r="AC128" s="24" t="n"/>
      <c r="AD128" s="11" t="n"/>
      <c r="AE128" s="8" t="n"/>
      <c r="AF128" s="9">
        <f>IF(LEFT(B128,4)&lt;&gt;"    ","",AD128-AE128)</f>
        <v/>
      </c>
      <c r="AG128" s="10" t="n"/>
      <c r="AH128" s="11">
        <f>IF(LEFT(B128,4)&lt;&gt;"    ","",W128-AD128)</f>
        <v/>
      </c>
      <c r="AI128" s="8">
        <f>IF(LEFT(B128,4)&lt;&gt;"    ","",X128-AE128)</f>
        <v/>
      </c>
      <c r="AJ128" s="9">
        <f>IF(LEFT(B128,4)&lt;&gt;"    ","",Y128-AF128)</f>
        <v/>
      </c>
      <c r="AK128" s="10" t="n"/>
      <c r="AL128" s="25">
        <f>IF(LEFT(B128,4)&lt;&gt;"    ","",J128-W128)</f>
        <v/>
      </c>
      <c r="AM128" s="25">
        <f>N128-X128</f>
        <v/>
      </c>
      <c r="AN128" s="25">
        <f>IF(LEFT(B128,4)&lt;&gt;"    ","",Q128-Y128)</f>
        <v/>
      </c>
      <c r="AO128" s="10" t="n"/>
      <c r="AP128" s="12" t="n"/>
      <c r="AQ128" s="12">
        <f>IF(LEFT(B128,4)&lt;&gt;"    ","",IF(W128-AP128&gt;=0,W128-AP128," "))</f>
        <v/>
      </c>
      <c r="AR128" s="12">
        <f>IF(LEFT(B128,4)&lt;&gt;"    ","",IF(AP128-W128&gt;=0,AP128-W128," "))</f>
        <v/>
      </c>
      <c r="AS128" s="186" t="n"/>
      <c r="AT128" s="187" t="n"/>
      <c r="AU128" s="186" t="n"/>
      <c r="AV128" s="186" t="n"/>
      <c r="AW128" s="188" t="n"/>
      <c r="AX128" s="187" t="n"/>
      <c r="AY128" s="187" t="n"/>
      <c r="AZ128" s="186" t="n"/>
      <c r="BA128" s="186" t="n"/>
      <c r="BB128" s="186" t="n"/>
      <c r="BC128" s="186" t="n"/>
      <c r="BD128" s="186" t="n"/>
      <c r="BE128" s="186" t="n"/>
      <c r="BF128" s="186" t="n"/>
      <c r="BG128" s="186" t="n"/>
      <c r="BH128" s="186" t="n"/>
      <c r="BI128" s="186" t="n"/>
      <c r="BJ128" s="186" t="n"/>
      <c r="BK128" s="186" t="n"/>
      <c r="BL128" s="186" t="n"/>
      <c r="BM128" s="186" t="n"/>
      <c r="BN128" s="186" t="n"/>
      <c r="BO128" s="186" t="n"/>
      <c r="BP128" s="186" t="n"/>
      <c r="BQ128" s="186" t="n"/>
      <c r="BR128" s="189" t="n"/>
      <c r="BS128" s="189" t="n"/>
      <c r="BT128" s="186" t="n"/>
      <c r="BU128" s="186" t="n"/>
      <c r="BV128" s="190" t="n"/>
      <c r="BW128" s="186" t="n"/>
      <c r="BX128" s="186" t="n"/>
      <c r="BY128" s="186" t="n"/>
      <c r="BZ128" s="186" t="n"/>
      <c r="CA128" s="186" t="n"/>
      <c r="CB128" s="187" t="n"/>
      <c r="CC128" s="192" t="n"/>
      <c r="CD128" s="192" t="n"/>
      <c r="CE128" s="192" t="n"/>
      <c r="CF128" s="192" t="n"/>
    </row>
    <row r="129">
      <c r="A129" s="197" t="n"/>
      <c r="B129" s="198" t="n"/>
      <c r="C129" s="198" t="n"/>
      <c r="D129" s="179" t="n"/>
      <c r="E129" s="180" t="n"/>
      <c r="F129" s="181" t="n"/>
      <c r="G129" s="284">
        <f>'Jobs-Ops'!G129</f>
        <v/>
      </c>
      <c r="H129" s="114">
        <f>'Jobs-Ops'!H129</f>
        <v/>
      </c>
      <c r="I129" s="105" t="n"/>
      <c r="J129" s="183">
        <f>F129</f>
        <v/>
      </c>
      <c r="K129" s="184" t="n"/>
      <c r="L129" s="185" t="n"/>
      <c r="M129" s="8" t="n"/>
      <c r="N129" s="184">
        <f>M129</f>
        <v/>
      </c>
      <c r="O129" s="71" t="n"/>
      <c r="P129" s="101" t="n"/>
      <c r="Q129" s="9">
        <f>J129-N129</f>
        <v/>
      </c>
      <c r="R129" s="9">
        <f>IF(LEFT(B129,4)&lt;&gt;"    ",0,BI129)</f>
        <v/>
      </c>
      <c r="S129" s="9">
        <f>+Q129-R129</f>
        <v/>
      </c>
      <c r="T129" s="200">
        <f>IF('Jobs-Ops'!S129&lt;&gt; "",'Jobs-Ops'!S129,"")</f>
        <v/>
      </c>
      <c r="U129" s="10" t="n"/>
      <c r="V129" s="23">
        <f>IF(LEFT(B129,4)&lt;&gt;"    ","",IF(N129&lt;&gt;0,X129/N129,0))</f>
        <v/>
      </c>
      <c r="W129" s="11">
        <f>IF(LEFT(B129,4)&lt;&gt;"    ","",IF(V129&gt;=0.1,V129*J129,X129))</f>
        <v/>
      </c>
      <c r="X129" s="8" t="n"/>
      <c r="Y129" s="9">
        <f>IF(LEFT(B129,4)&lt;&gt;"    ",0,IF(Q129&lt;0,Q129,IF(V129&gt;0.1,W129-X129,0)))</f>
        <v/>
      </c>
      <c r="Z129" s="9">
        <f>IF(LEFT(B129,4)&lt;&gt;"    ",0,IF(V129&gt;0.1,BI129,0))</f>
        <v/>
      </c>
      <c r="AA129" s="9">
        <f>Y129-Z129</f>
        <v/>
      </c>
      <c r="AB129" s="10" t="n"/>
      <c r="AC129" s="24" t="n"/>
      <c r="AD129" s="11" t="n"/>
      <c r="AE129" s="8" t="n"/>
      <c r="AF129" s="9">
        <f>IF(LEFT(B129,4)&lt;&gt;"    ","",AD129-AE129)</f>
        <v/>
      </c>
      <c r="AG129" s="10" t="n"/>
      <c r="AH129" s="11">
        <f>IF(LEFT(B129,4)&lt;&gt;"    ","",W129-AD129)</f>
        <v/>
      </c>
      <c r="AI129" s="8">
        <f>IF(LEFT(B129,4)&lt;&gt;"    ","",X129-AE129)</f>
        <v/>
      </c>
      <c r="AJ129" s="9">
        <f>IF(LEFT(B129,4)&lt;&gt;"    ","",Y129-AF129)</f>
        <v/>
      </c>
      <c r="AK129" s="10" t="n"/>
      <c r="AL129" s="25">
        <f>IF(LEFT(B129,4)&lt;&gt;"    ","",J129-W129)</f>
        <v/>
      </c>
      <c r="AM129" s="25">
        <f>N129-X129</f>
        <v/>
      </c>
      <c r="AN129" s="25">
        <f>IF(LEFT(B129,4)&lt;&gt;"    ","",Q129-Y129)</f>
        <v/>
      </c>
      <c r="AO129" s="10" t="n"/>
      <c r="AP129" s="12" t="n"/>
      <c r="AQ129" s="12">
        <f>IF(LEFT(B129,4)&lt;&gt;"    ","",IF(W129-AP129&gt;=0,W129-AP129," "))</f>
        <v/>
      </c>
      <c r="AR129" s="12">
        <f>IF(LEFT(B129,4)&lt;&gt;"    ","",IF(AP129-W129&gt;=0,AP129-W129," "))</f>
        <v/>
      </c>
      <c r="AS129" s="186" t="n"/>
      <c r="AT129" s="187" t="n"/>
      <c r="AU129" s="186" t="n"/>
      <c r="AV129" s="186" t="n"/>
      <c r="AW129" s="188" t="n"/>
      <c r="AX129" s="187" t="n"/>
      <c r="AY129" s="187" t="n"/>
      <c r="AZ129" s="186" t="n"/>
      <c r="BA129" s="186" t="n"/>
      <c r="BB129" s="186" t="n"/>
      <c r="BC129" s="186" t="n"/>
      <c r="BD129" s="186" t="n"/>
      <c r="BE129" s="186" t="n"/>
      <c r="BF129" s="186" t="n"/>
      <c r="BG129" s="186" t="n"/>
      <c r="BH129" s="186" t="n"/>
      <c r="BI129" s="186" t="n"/>
      <c r="BJ129" s="186" t="n"/>
      <c r="BK129" s="186" t="n"/>
      <c r="BL129" s="186" t="n"/>
      <c r="BM129" s="186" t="n"/>
      <c r="BN129" s="186" t="n"/>
      <c r="BO129" s="186" t="n"/>
      <c r="BP129" s="186" t="n"/>
      <c r="BQ129" s="186" t="n"/>
      <c r="BR129" s="189" t="n"/>
      <c r="BS129" s="189" t="n"/>
      <c r="BT129" s="186" t="n"/>
      <c r="BU129" s="186" t="n"/>
      <c r="BV129" s="190" t="n"/>
      <c r="BW129" s="186" t="n"/>
      <c r="BX129" s="186" t="n"/>
      <c r="BY129" s="186" t="n"/>
      <c r="BZ129" s="186" t="n"/>
      <c r="CA129" s="186" t="n"/>
      <c r="CB129" s="187" t="n"/>
      <c r="CC129" s="192" t="n"/>
      <c r="CD129" s="192" t="n"/>
      <c r="CE129" s="192" t="n"/>
      <c r="CF129" s="192" t="n"/>
    </row>
    <row r="130">
      <c r="A130" s="197" t="n"/>
      <c r="B130" s="198" t="n"/>
      <c r="C130" s="198" t="n"/>
      <c r="D130" s="179" t="n"/>
      <c r="E130" s="180" t="n"/>
      <c r="F130" s="181" t="n"/>
      <c r="G130" s="284">
        <f>'Jobs-Ops'!G130</f>
        <v/>
      </c>
      <c r="H130" s="114">
        <f>'Jobs-Ops'!H130</f>
        <v/>
      </c>
      <c r="I130" s="105" t="n"/>
      <c r="J130" s="183">
        <f>F130</f>
        <v/>
      </c>
      <c r="K130" s="184" t="n"/>
      <c r="L130" s="185" t="n"/>
      <c r="M130" s="8" t="n"/>
      <c r="N130" s="184">
        <f>M130</f>
        <v/>
      </c>
      <c r="O130" s="71" t="n"/>
      <c r="P130" s="101" t="n"/>
      <c r="Q130" s="9">
        <f>J130-N130</f>
        <v/>
      </c>
      <c r="R130" s="9">
        <f>IF(LEFT(B130,4)&lt;&gt;"    ",0,BI130)</f>
        <v/>
      </c>
      <c r="S130" s="9">
        <f>+Q130-R130</f>
        <v/>
      </c>
      <c r="T130" s="200">
        <f>IF('Jobs-Ops'!S130&lt;&gt; "",'Jobs-Ops'!S130,"")</f>
        <v/>
      </c>
      <c r="U130" s="10" t="n"/>
      <c r="V130" s="23">
        <f>IF(LEFT(B130,4)&lt;&gt;"    ","",IF(N130&lt;&gt;0,X130/N130,0))</f>
        <v/>
      </c>
      <c r="W130" s="11">
        <f>IF(LEFT(B130,4)&lt;&gt;"    ","",IF(V130&gt;=0.1,V130*J130,X130))</f>
        <v/>
      </c>
      <c r="X130" s="8" t="n"/>
      <c r="Y130" s="9">
        <f>IF(LEFT(B130,4)&lt;&gt;"    ",0,IF(Q130&lt;0,Q130,IF(V130&gt;0.1,W130-X130,0)))</f>
        <v/>
      </c>
      <c r="Z130" s="9">
        <f>IF(LEFT(B130,4)&lt;&gt;"    ",0,IF(V130&gt;0.1,BI130,0))</f>
        <v/>
      </c>
      <c r="AA130" s="9">
        <f>Y130-Z130</f>
        <v/>
      </c>
      <c r="AB130" s="10" t="n"/>
      <c r="AC130" s="24" t="n"/>
      <c r="AD130" s="11" t="n"/>
      <c r="AE130" s="8" t="n"/>
      <c r="AF130" s="9">
        <f>IF(LEFT(B130,4)&lt;&gt;"    ","",AD130-AE130)</f>
        <v/>
      </c>
      <c r="AG130" s="10" t="n"/>
      <c r="AH130" s="11">
        <f>IF(LEFT(B130,4)&lt;&gt;"    ","",W130-AD130)</f>
        <v/>
      </c>
      <c r="AI130" s="8">
        <f>IF(LEFT(B130,4)&lt;&gt;"    ","",X130-AE130)</f>
        <v/>
      </c>
      <c r="AJ130" s="9">
        <f>IF(LEFT(B130,4)&lt;&gt;"    ","",Y130-AF130)</f>
        <v/>
      </c>
      <c r="AK130" s="10" t="n"/>
      <c r="AL130" s="25">
        <f>IF(LEFT(B130,4)&lt;&gt;"    ","",J130-W130)</f>
        <v/>
      </c>
      <c r="AM130" s="25">
        <f>N130-X130</f>
        <v/>
      </c>
      <c r="AN130" s="25">
        <f>IF(LEFT(B130,4)&lt;&gt;"    ","",Q130-Y130)</f>
        <v/>
      </c>
      <c r="AO130" s="10" t="n"/>
      <c r="AP130" s="12" t="n"/>
      <c r="AQ130" s="12">
        <f>IF(LEFT(B130,4)&lt;&gt;"    ","",IF(W130-AP130&gt;=0,W130-AP130," "))</f>
        <v/>
      </c>
      <c r="AR130" s="12">
        <f>IF(LEFT(B130,4)&lt;&gt;"    ","",IF(AP130-W130&gt;=0,AP130-W130," "))</f>
        <v/>
      </c>
      <c r="AS130" s="186" t="n"/>
      <c r="AT130" s="187" t="n"/>
      <c r="AU130" s="186" t="n"/>
      <c r="AV130" s="186" t="n"/>
      <c r="AW130" s="188" t="n"/>
      <c r="AX130" s="187" t="n"/>
      <c r="AY130" s="187" t="n"/>
      <c r="AZ130" s="186" t="n"/>
      <c r="BA130" s="186" t="n"/>
      <c r="BB130" s="186" t="n"/>
      <c r="BC130" s="186" t="n"/>
      <c r="BD130" s="186" t="n"/>
      <c r="BE130" s="186" t="n"/>
      <c r="BF130" s="186" t="n"/>
      <c r="BG130" s="186" t="n"/>
      <c r="BH130" s="186" t="n"/>
      <c r="BI130" s="186" t="n"/>
      <c r="BJ130" s="186" t="n"/>
      <c r="BK130" s="186" t="n"/>
      <c r="BL130" s="186" t="n"/>
      <c r="BM130" s="186" t="n"/>
      <c r="BN130" s="186" t="n"/>
      <c r="BO130" s="186" t="n"/>
      <c r="BP130" s="186" t="n"/>
      <c r="BQ130" s="186" t="n"/>
      <c r="BR130" s="189" t="n"/>
      <c r="BS130" s="189" t="n"/>
      <c r="BT130" s="186" t="n"/>
      <c r="BU130" s="186" t="n"/>
      <c r="BV130" s="190" t="n"/>
      <c r="BW130" s="186" t="n"/>
      <c r="BX130" s="186" t="n"/>
      <c r="BY130" s="186" t="n"/>
      <c r="BZ130" s="186" t="n"/>
      <c r="CA130" s="186" t="n"/>
      <c r="CB130" s="187" t="n"/>
      <c r="CC130" s="192" t="n"/>
      <c r="CD130" s="192" t="n"/>
      <c r="CE130" s="192" t="n"/>
      <c r="CF130" s="192" t="n"/>
    </row>
    <row r="131">
      <c r="A131" s="197" t="n"/>
      <c r="B131" s="198" t="n"/>
      <c r="C131" s="198" t="n"/>
      <c r="D131" s="179" t="n"/>
      <c r="E131" s="180" t="n"/>
      <c r="F131" s="181" t="n"/>
      <c r="G131" s="284">
        <f>'Jobs-Ops'!G131</f>
        <v/>
      </c>
      <c r="H131" s="114">
        <f>'Jobs-Ops'!H131</f>
        <v/>
      </c>
      <c r="I131" s="105" t="n"/>
      <c r="J131" s="183">
        <f>F131</f>
        <v/>
      </c>
      <c r="K131" s="184" t="n"/>
      <c r="L131" s="185" t="n"/>
      <c r="M131" s="8" t="n"/>
      <c r="N131" s="184">
        <f>M131</f>
        <v/>
      </c>
      <c r="O131" s="71" t="n"/>
      <c r="P131" s="101" t="n"/>
      <c r="Q131" s="9">
        <f>J131-N131</f>
        <v/>
      </c>
      <c r="R131" s="9">
        <f>IF(LEFT(B131,4)&lt;&gt;"    ",0,BI131)</f>
        <v/>
      </c>
      <c r="S131" s="9">
        <f>+Q131-R131</f>
        <v/>
      </c>
      <c r="T131" s="200">
        <f>IF('Jobs-Ops'!S131&lt;&gt; "",'Jobs-Ops'!S131,"")</f>
        <v/>
      </c>
      <c r="U131" s="10" t="n"/>
      <c r="V131" s="23">
        <f>IF(LEFT(B131,4)&lt;&gt;"    ","",IF(N131&lt;&gt;0,X131/N131,0))</f>
        <v/>
      </c>
      <c r="W131" s="11">
        <f>IF(LEFT(B131,4)&lt;&gt;"    ","",IF(V131&gt;=0.1,V131*J131,X131))</f>
        <v/>
      </c>
      <c r="X131" s="8" t="n"/>
      <c r="Y131" s="9">
        <f>IF(LEFT(B131,4)&lt;&gt;"    ",0,IF(Q131&lt;0,Q131,IF(V131&gt;0.1,W131-X131,0)))</f>
        <v/>
      </c>
      <c r="Z131" s="9">
        <f>IF(LEFT(B131,4)&lt;&gt;"    ",0,IF(V131&gt;0.1,BI131,0))</f>
        <v/>
      </c>
      <c r="AA131" s="9">
        <f>Y131-Z131</f>
        <v/>
      </c>
      <c r="AB131" s="10" t="n"/>
      <c r="AC131" s="24" t="n"/>
      <c r="AD131" s="11" t="n"/>
      <c r="AE131" s="8" t="n"/>
      <c r="AF131" s="9">
        <f>IF(LEFT(B131,4)&lt;&gt;"    ","",AD131-AE131)</f>
        <v/>
      </c>
      <c r="AG131" s="10" t="n"/>
      <c r="AH131" s="11">
        <f>IF(LEFT(B131,4)&lt;&gt;"    ","",W131-AD131)</f>
        <v/>
      </c>
      <c r="AI131" s="8">
        <f>IF(LEFT(B131,4)&lt;&gt;"    ","",X131-AE131)</f>
        <v/>
      </c>
      <c r="AJ131" s="9">
        <f>IF(LEFT(B131,4)&lt;&gt;"    ","",Y131-AF131)</f>
        <v/>
      </c>
      <c r="AK131" s="10" t="n"/>
      <c r="AL131" s="25">
        <f>IF(LEFT(B131,4)&lt;&gt;"    ","",J131-W131)</f>
        <v/>
      </c>
      <c r="AM131" s="25">
        <f>N131-X131</f>
        <v/>
      </c>
      <c r="AN131" s="25">
        <f>IF(LEFT(B131,4)&lt;&gt;"    ","",Q131-Y131)</f>
        <v/>
      </c>
      <c r="AO131" s="10" t="n"/>
      <c r="AP131" s="12" t="n"/>
      <c r="AQ131" s="12">
        <f>IF(LEFT(B131,4)&lt;&gt;"    ","",IF(W131-AP131&gt;=0,W131-AP131," "))</f>
        <v/>
      </c>
      <c r="AR131" s="12">
        <f>IF(LEFT(B131,4)&lt;&gt;"    ","",IF(AP131-W131&gt;=0,AP131-W131," "))</f>
        <v/>
      </c>
      <c r="AS131" s="186" t="n"/>
      <c r="AT131" s="187" t="n"/>
      <c r="AU131" s="186" t="n"/>
      <c r="AV131" s="186" t="n"/>
      <c r="AW131" s="188" t="n"/>
      <c r="AX131" s="187" t="n"/>
      <c r="AY131" s="187" t="n"/>
      <c r="AZ131" s="186" t="n"/>
      <c r="BA131" s="186" t="n"/>
      <c r="BB131" s="186" t="n"/>
      <c r="BC131" s="186" t="n"/>
      <c r="BD131" s="186" t="n"/>
      <c r="BE131" s="186" t="n"/>
      <c r="BF131" s="186" t="n"/>
      <c r="BG131" s="186" t="n"/>
      <c r="BH131" s="186" t="n"/>
      <c r="BI131" s="186" t="n"/>
      <c r="BJ131" s="186" t="n"/>
      <c r="BK131" s="186" t="n"/>
      <c r="BL131" s="186" t="n"/>
      <c r="BM131" s="186" t="n"/>
      <c r="BN131" s="186" t="n"/>
      <c r="BO131" s="186" t="n"/>
      <c r="BP131" s="186" t="n"/>
      <c r="BQ131" s="186" t="n"/>
      <c r="BR131" s="189" t="n"/>
      <c r="BS131" s="189" t="n"/>
      <c r="BT131" s="186" t="n"/>
      <c r="BU131" s="186" t="n"/>
      <c r="BV131" s="190" t="n"/>
      <c r="BW131" s="186" t="n"/>
      <c r="BX131" s="186" t="n"/>
      <c r="BY131" s="186" t="n"/>
      <c r="BZ131" s="186" t="n"/>
      <c r="CA131" s="186" t="n"/>
      <c r="CB131" s="187" t="n"/>
      <c r="CC131" s="192" t="n"/>
      <c r="CD131" s="192" t="n"/>
      <c r="CE131" s="192" t="n"/>
      <c r="CF131" s="192" t="n"/>
    </row>
    <row r="132">
      <c r="A132" s="197" t="n"/>
      <c r="B132" s="198" t="n"/>
      <c r="C132" s="198" t="n"/>
      <c r="D132" s="179" t="n"/>
      <c r="E132" s="180" t="n"/>
      <c r="F132" s="181" t="n"/>
      <c r="G132" s="284">
        <f>'Jobs-Ops'!G132</f>
        <v/>
      </c>
      <c r="H132" s="114">
        <f>'Jobs-Ops'!H132</f>
        <v/>
      </c>
      <c r="I132" s="105" t="n"/>
      <c r="J132" s="183">
        <f>F132</f>
        <v/>
      </c>
      <c r="K132" s="184" t="n"/>
      <c r="L132" s="185" t="n"/>
      <c r="M132" s="8" t="n"/>
      <c r="N132" s="184">
        <f>M132</f>
        <v/>
      </c>
      <c r="O132" s="71" t="n"/>
      <c r="P132" s="101" t="n"/>
      <c r="Q132" s="9">
        <f>J132-N132</f>
        <v/>
      </c>
      <c r="R132" s="9">
        <f>IF(LEFT(B132,4)&lt;&gt;"    ",0,BI132)</f>
        <v/>
      </c>
      <c r="S132" s="9">
        <f>+Q132-R132</f>
        <v/>
      </c>
      <c r="T132" s="200">
        <f>IF('Jobs-Ops'!S132&lt;&gt; "",'Jobs-Ops'!S132,"")</f>
        <v/>
      </c>
      <c r="U132" s="10" t="n"/>
      <c r="V132" s="23">
        <f>IF(LEFT(B132,4)&lt;&gt;"    ","",IF(N132&lt;&gt;0,X132/N132,0))</f>
        <v/>
      </c>
      <c r="W132" s="11">
        <f>IF(LEFT(B132,4)&lt;&gt;"    ","",IF(V132&gt;=0.1,V132*J132,X132))</f>
        <v/>
      </c>
      <c r="X132" s="8" t="n"/>
      <c r="Y132" s="9">
        <f>IF(LEFT(B132,4)&lt;&gt;"    ",0,IF(Q132&lt;0,Q132,IF(V132&gt;0.1,W132-X132,0)))</f>
        <v/>
      </c>
      <c r="Z132" s="9">
        <f>IF(LEFT(B132,4)&lt;&gt;"    ",0,IF(V132&gt;0.1,BI132,0))</f>
        <v/>
      </c>
      <c r="AA132" s="9">
        <f>Y132-Z132</f>
        <v/>
      </c>
      <c r="AB132" s="10" t="n"/>
      <c r="AC132" s="24" t="n"/>
      <c r="AD132" s="11" t="n"/>
      <c r="AE132" s="8" t="n"/>
      <c r="AF132" s="9">
        <f>IF(LEFT(B132,4)&lt;&gt;"    ","",AD132-AE132)</f>
        <v/>
      </c>
      <c r="AG132" s="10" t="n"/>
      <c r="AH132" s="11">
        <f>IF(LEFT(B132,4)&lt;&gt;"    ","",W132-AD132)</f>
        <v/>
      </c>
      <c r="AI132" s="8">
        <f>IF(LEFT(B132,4)&lt;&gt;"    ","",X132-AE132)</f>
        <v/>
      </c>
      <c r="AJ132" s="9">
        <f>IF(LEFT(B132,4)&lt;&gt;"    ","",Y132-AF132)</f>
        <v/>
      </c>
      <c r="AK132" s="10" t="n"/>
      <c r="AL132" s="25">
        <f>IF(LEFT(B132,4)&lt;&gt;"    ","",J132-W132)</f>
        <v/>
      </c>
      <c r="AM132" s="25">
        <f>N132-X132</f>
        <v/>
      </c>
      <c r="AN132" s="25">
        <f>IF(LEFT(B132,4)&lt;&gt;"    ","",Q132-Y132)</f>
        <v/>
      </c>
      <c r="AO132" s="10" t="n"/>
      <c r="AP132" s="12" t="n"/>
      <c r="AQ132" s="12">
        <f>IF(LEFT(B132,4)&lt;&gt;"    ","",IF(W132-AP132&gt;=0,W132-AP132," "))</f>
        <v/>
      </c>
      <c r="AR132" s="12">
        <f>IF(LEFT(B132,4)&lt;&gt;"    ","",IF(AP132-W132&gt;=0,AP132-W132," "))</f>
        <v/>
      </c>
      <c r="AS132" s="186" t="n"/>
      <c r="AT132" s="187" t="n"/>
      <c r="AU132" s="186" t="n"/>
      <c r="AV132" s="186" t="n"/>
      <c r="AW132" s="188" t="n"/>
      <c r="AX132" s="187" t="n"/>
      <c r="AY132" s="187" t="n"/>
      <c r="AZ132" s="186" t="n"/>
      <c r="BA132" s="186" t="n"/>
      <c r="BB132" s="186" t="n"/>
      <c r="BC132" s="186" t="n"/>
      <c r="BD132" s="186" t="n"/>
      <c r="BE132" s="186" t="n"/>
      <c r="BF132" s="186" t="n"/>
      <c r="BG132" s="186" t="n"/>
      <c r="BH132" s="186" t="n"/>
      <c r="BI132" s="186" t="n"/>
      <c r="BJ132" s="186" t="n"/>
      <c r="BK132" s="186" t="n"/>
      <c r="BL132" s="186" t="n"/>
      <c r="BM132" s="186" t="n"/>
      <c r="BN132" s="186" t="n"/>
      <c r="BO132" s="186" t="n"/>
      <c r="BP132" s="186" t="n"/>
      <c r="BQ132" s="186" t="n"/>
      <c r="BR132" s="189" t="n"/>
      <c r="BS132" s="189" t="n"/>
      <c r="BT132" s="186" t="n"/>
      <c r="BU132" s="186" t="n"/>
      <c r="BV132" s="190" t="n"/>
      <c r="BW132" s="186" t="n"/>
      <c r="BX132" s="186" t="n"/>
      <c r="BY132" s="186" t="n"/>
      <c r="BZ132" s="186" t="n"/>
      <c r="CA132" s="186" t="n"/>
      <c r="CB132" s="187" t="n"/>
      <c r="CC132" s="192" t="n"/>
      <c r="CD132" s="192" t="n"/>
      <c r="CE132" s="192" t="n"/>
      <c r="CF132" s="192" t="n"/>
    </row>
    <row r="133">
      <c r="A133" s="197" t="n"/>
      <c r="B133" s="198" t="n"/>
      <c r="C133" s="198" t="n"/>
      <c r="D133" s="179" t="n"/>
      <c r="E133" s="180" t="n"/>
      <c r="F133" s="181" t="n"/>
      <c r="G133" s="284">
        <f>'Jobs-Ops'!G133</f>
        <v/>
      </c>
      <c r="H133" s="114">
        <f>'Jobs-Ops'!H133</f>
        <v/>
      </c>
      <c r="I133" s="105" t="n"/>
      <c r="J133" s="183">
        <f>F133</f>
        <v/>
      </c>
      <c r="K133" s="184" t="n"/>
      <c r="L133" s="185" t="n"/>
      <c r="M133" s="8" t="n"/>
      <c r="N133" s="184">
        <f>M133</f>
        <v/>
      </c>
      <c r="O133" s="71" t="n"/>
      <c r="P133" s="101" t="n"/>
      <c r="Q133" s="9">
        <f>J133-N133</f>
        <v/>
      </c>
      <c r="R133" s="9">
        <f>IF(LEFT(B133,4)&lt;&gt;"    ",0,BI133)</f>
        <v/>
      </c>
      <c r="S133" s="9">
        <f>+Q133-R133</f>
        <v/>
      </c>
      <c r="T133" s="200">
        <f>IF('Jobs-Ops'!S133&lt;&gt; "",'Jobs-Ops'!S133,"")</f>
        <v/>
      </c>
      <c r="U133" s="10" t="n"/>
      <c r="V133" s="23">
        <f>IF(LEFT(B133,4)&lt;&gt;"    ","",IF(N133&lt;&gt;0,X133/N133,0))</f>
        <v/>
      </c>
      <c r="W133" s="11">
        <f>IF(LEFT(B133,4)&lt;&gt;"    ","",IF(V133&gt;=0.1,V133*J133,X133))</f>
        <v/>
      </c>
      <c r="X133" s="8" t="n"/>
      <c r="Y133" s="9">
        <f>IF(LEFT(B133,4)&lt;&gt;"    ",0,IF(Q133&lt;0,Q133,IF(V133&gt;0.1,W133-X133,0)))</f>
        <v/>
      </c>
      <c r="Z133" s="9">
        <f>IF(LEFT(B133,4)&lt;&gt;"    ",0,IF(V133&gt;0.1,BI133,0))</f>
        <v/>
      </c>
      <c r="AA133" s="9">
        <f>Y133-Z133</f>
        <v/>
      </c>
      <c r="AB133" s="10" t="n"/>
      <c r="AC133" s="24" t="n"/>
      <c r="AD133" s="11" t="n"/>
      <c r="AE133" s="8" t="n"/>
      <c r="AF133" s="9">
        <f>IF(LEFT(B133,4)&lt;&gt;"    ","",AD133-AE133)</f>
        <v/>
      </c>
      <c r="AG133" s="10" t="n"/>
      <c r="AH133" s="11">
        <f>IF(LEFT(B133,4)&lt;&gt;"    ","",W133-AD133)</f>
        <v/>
      </c>
      <c r="AI133" s="8">
        <f>IF(LEFT(B133,4)&lt;&gt;"    ","",X133-AE133)</f>
        <v/>
      </c>
      <c r="AJ133" s="9">
        <f>IF(LEFT(B133,4)&lt;&gt;"    ","",Y133-AF133)</f>
        <v/>
      </c>
      <c r="AK133" s="10" t="n"/>
      <c r="AL133" s="25">
        <f>IF(LEFT(B133,4)&lt;&gt;"    ","",J133-W133)</f>
        <v/>
      </c>
      <c r="AM133" s="25">
        <f>N133-X133</f>
        <v/>
      </c>
      <c r="AN133" s="25">
        <f>IF(LEFT(B133,4)&lt;&gt;"    ","",Q133-Y133)</f>
        <v/>
      </c>
      <c r="AO133" s="10" t="n"/>
      <c r="AP133" s="12" t="n"/>
      <c r="AQ133" s="12">
        <f>IF(LEFT(B133,4)&lt;&gt;"    ","",IF(W133-AP133&gt;=0,W133-AP133," "))</f>
        <v/>
      </c>
      <c r="AR133" s="12">
        <f>IF(LEFT(B133,4)&lt;&gt;"    ","",IF(AP133-W133&gt;=0,AP133-W133," "))</f>
        <v/>
      </c>
      <c r="AS133" s="186" t="n"/>
      <c r="AT133" s="187" t="n"/>
      <c r="AU133" s="186" t="n"/>
      <c r="AV133" s="186" t="n"/>
      <c r="AW133" s="188" t="n"/>
      <c r="AX133" s="187" t="n"/>
      <c r="AY133" s="187" t="n"/>
      <c r="AZ133" s="186" t="n"/>
      <c r="BA133" s="186" t="n"/>
      <c r="BB133" s="186" t="n"/>
      <c r="BC133" s="186" t="n"/>
      <c r="BD133" s="186" t="n"/>
      <c r="BE133" s="186" t="n"/>
      <c r="BF133" s="186" t="n"/>
      <c r="BG133" s="186" t="n"/>
      <c r="BH133" s="186" t="n"/>
      <c r="BI133" s="186" t="n"/>
      <c r="BJ133" s="186" t="n"/>
      <c r="BK133" s="186" t="n"/>
      <c r="BL133" s="186" t="n"/>
      <c r="BM133" s="186" t="n"/>
      <c r="BN133" s="186" t="n"/>
      <c r="BO133" s="186" t="n"/>
      <c r="BP133" s="186" t="n"/>
      <c r="BQ133" s="186" t="n"/>
      <c r="BR133" s="189" t="n"/>
      <c r="BS133" s="189" t="n"/>
      <c r="BT133" s="186" t="n"/>
      <c r="BU133" s="186" t="n"/>
      <c r="BV133" s="190" t="n"/>
      <c r="BW133" s="186" t="n"/>
      <c r="BX133" s="186" t="n"/>
      <c r="BY133" s="186" t="n"/>
      <c r="BZ133" s="186" t="n"/>
      <c r="CA133" s="186" t="n"/>
      <c r="CB133" s="187" t="n"/>
      <c r="CC133" s="192" t="n"/>
      <c r="CD133" s="192" t="n"/>
      <c r="CE133" s="192" t="n"/>
      <c r="CF133" s="192" t="n"/>
    </row>
    <row r="134">
      <c r="A134" s="197" t="n"/>
      <c r="B134" s="198" t="n"/>
      <c r="C134" s="198" t="n"/>
      <c r="D134" s="179" t="n"/>
      <c r="E134" s="180" t="n"/>
      <c r="F134" s="181" t="n"/>
      <c r="G134" s="284">
        <f>'Jobs-Ops'!G134</f>
        <v/>
      </c>
      <c r="H134" s="114">
        <f>'Jobs-Ops'!H134</f>
        <v/>
      </c>
      <c r="I134" s="105" t="n"/>
      <c r="J134" s="183">
        <f>F134</f>
        <v/>
      </c>
      <c r="K134" s="184" t="n"/>
      <c r="L134" s="185" t="n"/>
      <c r="M134" s="8" t="n"/>
      <c r="N134" s="184">
        <f>M134</f>
        <v/>
      </c>
      <c r="O134" s="71" t="n"/>
      <c r="P134" s="101" t="n"/>
      <c r="Q134" s="9">
        <f>J134-N134</f>
        <v/>
      </c>
      <c r="R134" s="9">
        <f>IF(LEFT(B134,4)&lt;&gt;"    ",0,BI134)</f>
        <v/>
      </c>
      <c r="S134" s="9">
        <f>+Q134-R134</f>
        <v/>
      </c>
      <c r="T134" s="200">
        <f>IF('Jobs-Ops'!S134&lt;&gt; "",'Jobs-Ops'!S134,"")</f>
        <v/>
      </c>
      <c r="U134" s="10" t="n"/>
      <c r="V134" s="23">
        <f>IF(LEFT(B134,4)&lt;&gt;"    ","",IF(N134&lt;&gt;0,X134/N134,0))</f>
        <v/>
      </c>
      <c r="W134" s="11">
        <f>IF(LEFT(B134,4)&lt;&gt;"    ","",IF(V134&gt;=0.1,V134*J134,X134))</f>
        <v/>
      </c>
      <c r="X134" s="8" t="n"/>
      <c r="Y134" s="9">
        <f>IF(LEFT(B134,4)&lt;&gt;"    ",0,IF(Q134&lt;0,Q134,IF(V134&gt;0.1,W134-X134,0)))</f>
        <v/>
      </c>
      <c r="Z134" s="9">
        <f>IF(LEFT(B134,4)&lt;&gt;"    ",0,IF(V134&gt;0.1,BI134,0))</f>
        <v/>
      </c>
      <c r="AA134" s="9">
        <f>Y134-Z134</f>
        <v/>
      </c>
      <c r="AB134" s="10" t="n"/>
      <c r="AC134" s="24" t="n"/>
      <c r="AD134" s="11" t="n"/>
      <c r="AE134" s="8" t="n"/>
      <c r="AF134" s="9">
        <f>IF(LEFT(B134,4)&lt;&gt;"    ","",AD134-AE134)</f>
        <v/>
      </c>
      <c r="AG134" s="10" t="n"/>
      <c r="AH134" s="11">
        <f>IF(LEFT(B134,4)&lt;&gt;"    ","",W134-AD134)</f>
        <v/>
      </c>
      <c r="AI134" s="8">
        <f>IF(LEFT(B134,4)&lt;&gt;"    ","",X134-AE134)</f>
        <v/>
      </c>
      <c r="AJ134" s="9">
        <f>IF(LEFT(B134,4)&lt;&gt;"    ","",Y134-AF134)</f>
        <v/>
      </c>
      <c r="AK134" s="10" t="n"/>
      <c r="AL134" s="25">
        <f>IF(LEFT(B134,4)&lt;&gt;"    ","",J134-W134)</f>
        <v/>
      </c>
      <c r="AM134" s="25">
        <f>N134-X134</f>
        <v/>
      </c>
      <c r="AN134" s="25">
        <f>IF(LEFT(B134,4)&lt;&gt;"    ","",Q134-Y134)</f>
        <v/>
      </c>
      <c r="AO134" s="10" t="n"/>
      <c r="AP134" s="12" t="n"/>
      <c r="AQ134" s="12">
        <f>IF(LEFT(B134,4)&lt;&gt;"    ","",IF(W134-AP134&gt;=0,W134-AP134," "))</f>
        <v/>
      </c>
      <c r="AR134" s="12">
        <f>IF(LEFT(B134,4)&lt;&gt;"    ","",IF(AP134-W134&gt;=0,AP134-W134," "))</f>
        <v/>
      </c>
      <c r="AS134" s="186" t="n"/>
      <c r="AT134" s="187" t="n"/>
      <c r="AU134" s="186" t="n"/>
      <c r="AV134" s="186" t="n"/>
      <c r="AW134" s="188" t="n"/>
      <c r="AX134" s="187" t="n"/>
      <c r="AY134" s="187" t="n"/>
      <c r="AZ134" s="186" t="n"/>
      <c r="BA134" s="186" t="n"/>
      <c r="BB134" s="186" t="n"/>
      <c r="BC134" s="186" t="n"/>
      <c r="BD134" s="186" t="n"/>
      <c r="BE134" s="186" t="n"/>
      <c r="BF134" s="186" t="n"/>
      <c r="BG134" s="186" t="n"/>
      <c r="BH134" s="186" t="n"/>
      <c r="BI134" s="186" t="n"/>
      <c r="BJ134" s="186" t="n"/>
      <c r="BK134" s="186" t="n"/>
      <c r="BL134" s="186" t="n"/>
      <c r="BM134" s="186" t="n"/>
      <c r="BN134" s="186" t="n"/>
      <c r="BO134" s="186" t="n"/>
      <c r="BP134" s="186" t="n"/>
      <c r="BQ134" s="186" t="n"/>
      <c r="BR134" s="189" t="n"/>
      <c r="BS134" s="189" t="n"/>
      <c r="BT134" s="186" t="n"/>
      <c r="BU134" s="186" t="n"/>
      <c r="BV134" s="190" t="n"/>
      <c r="BW134" s="186" t="n"/>
      <c r="BX134" s="186" t="n"/>
      <c r="BY134" s="186" t="n"/>
      <c r="BZ134" s="186" t="n"/>
      <c r="CA134" s="186" t="n"/>
      <c r="CB134" s="187" t="n"/>
      <c r="CC134" s="192" t="n"/>
      <c r="CD134" s="192" t="n"/>
      <c r="CE134" s="192" t="n"/>
      <c r="CF134" s="192" t="n"/>
    </row>
    <row r="135">
      <c r="A135" s="197" t="n"/>
      <c r="B135" s="198" t="n"/>
      <c r="C135" s="198" t="n"/>
      <c r="D135" s="179" t="n"/>
      <c r="E135" s="180" t="n"/>
      <c r="F135" s="181" t="n"/>
      <c r="G135" s="284">
        <f>'Jobs-Ops'!G135</f>
        <v/>
      </c>
      <c r="H135" s="114">
        <f>'Jobs-Ops'!H135</f>
        <v/>
      </c>
      <c r="I135" s="105" t="n"/>
      <c r="J135" s="183">
        <f>F135</f>
        <v/>
      </c>
      <c r="K135" s="184" t="n"/>
      <c r="L135" s="185" t="n"/>
      <c r="M135" s="8" t="n"/>
      <c r="N135" s="184">
        <f>M135</f>
        <v/>
      </c>
      <c r="O135" s="71" t="n"/>
      <c r="P135" s="101" t="n"/>
      <c r="Q135" s="9">
        <f>J135-N135</f>
        <v/>
      </c>
      <c r="R135" s="9">
        <f>IF(LEFT(B135,4)&lt;&gt;"    ",0,BI135)</f>
        <v/>
      </c>
      <c r="S135" s="9">
        <f>+Q135-R135</f>
        <v/>
      </c>
      <c r="T135" s="200">
        <f>IF('Jobs-Ops'!S135&lt;&gt; "",'Jobs-Ops'!S135,"")</f>
        <v/>
      </c>
      <c r="U135" s="10" t="n"/>
      <c r="V135" s="23">
        <f>IF(LEFT(B135,4)&lt;&gt;"    ","",IF(N135&lt;&gt;0,X135/N135,0))</f>
        <v/>
      </c>
      <c r="W135" s="11">
        <f>IF(LEFT(B135,4)&lt;&gt;"    ","",IF(V135&gt;=0.1,V135*J135,X135))</f>
        <v/>
      </c>
      <c r="X135" s="8" t="n"/>
      <c r="Y135" s="9">
        <f>IF(LEFT(B135,4)&lt;&gt;"    ",0,IF(Q135&lt;0,Q135,IF(V135&gt;0.1,W135-X135,0)))</f>
        <v/>
      </c>
      <c r="Z135" s="9">
        <f>IF(LEFT(B135,4)&lt;&gt;"    ",0,IF(V135&gt;0.1,BI135,0))</f>
        <v/>
      </c>
      <c r="AA135" s="9">
        <f>Y135-Z135</f>
        <v/>
      </c>
      <c r="AB135" s="10" t="n"/>
      <c r="AC135" s="24" t="n"/>
      <c r="AD135" s="11" t="n"/>
      <c r="AE135" s="8" t="n"/>
      <c r="AF135" s="9">
        <f>IF(LEFT(B135,4)&lt;&gt;"    ","",AD135-AE135)</f>
        <v/>
      </c>
      <c r="AG135" s="10" t="n"/>
      <c r="AH135" s="11">
        <f>IF(LEFT(B135,4)&lt;&gt;"    ","",W135-AD135)</f>
        <v/>
      </c>
      <c r="AI135" s="8">
        <f>IF(LEFT(B135,4)&lt;&gt;"    ","",X135-AE135)</f>
        <v/>
      </c>
      <c r="AJ135" s="9">
        <f>IF(LEFT(B135,4)&lt;&gt;"    ","",Y135-AF135)</f>
        <v/>
      </c>
      <c r="AK135" s="10" t="n"/>
      <c r="AL135" s="25">
        <f>IF(LEFT(B135,4)&lt;&gt;"    ","",J135-W135)</f>
        <v/>
      </c>
      <c r="AM135" s="25">
        <f>N135-X135</f>
        <v/>
      </c>
      <c r="AN135" s="25">
        <f>IF(LEFT(B135,4)&lt;&gt;"    ","",Q135-Y135)</f>
        <v/>
      </c>
      <c r="AO135" s="10" t="n"/>
      <c r="AP135" s="12" t="n"/>
      <c r="AQ135" s="12">
        <f>IF(LEFT(B135,4)&lt;&gt;"    ","",IF(W135-AP135&gt;=0,W135-AP135," "))</f>
        <v/>
      </c>
      <c r="AR135" s="12">
        <f>IF(LEFT(B135,4)&lt;&gt;"    ","",IF(AP135-W135&gt;=0,AP135-W135," "))</f>
        <v/>
      </c>
      <c r="AS135" s="186" t="n"/>
      <c r="AT135" s="187" t="n"/>
      <c r="AU135" s="186" t="n"/>
      <c r="AV135" s="186" t="n"/>
      <c r="AW135" s="188" t="n"/>
      <c r="AX135" s="187" t="n"/>
      <c r="AY135" s="187" t="n"/>
      <c r="AZ135" s="186" t="n"/>
      <c r="BA135" s="186" t="n"/>
      <c r="BB135" s="186" t="n"/>
      <c r="BC135" s="186" t="n"/>
      <c r="BD135" s="186" t="n"/>
      <c r="BE135" s="186" t="n"/>
      <c r="BF135" s="186" t="n"/>
      <c r="BG135" s="186" t="n"/>
      <c r="BH135" s="186" t="n"/>
      <c r="BI135" s="186" t="n"/>
      <c r="BJ135" s="186" t="n"/>
      <c r="BK135" s="186" t="n"/>
      <c r="BL135" s="186" t="n"/>
      <c r="BM135" s="186" t="n"/>
      <c r="BN135" s="186" t="n"/>
      <c r="BO135" s="186" t="n"/>
      <c r="BP135" s="186" t="n"/>
      <c r="BQ135" s="186" t="n"/>
      <c r="BR135" s="189" t="n"/>
      <c r="BS135" s="189" t="n"/>
      <c r="BT135" s="186" t="n"/>
      <c r="BU135" s="186" t="n"/>
      <c r="BV135" s="190" t="n"/>
      <c r="BW135" s="186" t="n"/>
      <c r="BX135" s="186" t="n"/>
      <c r="BY135" s="186" t="n"/>
      <c r="BZ135" s="186" t="n"/>
      <c r="CA135" s="186" t="n"/>
      <c r="CB135" s="187" t="n"/>
      <c r="CC135" s="192" t="n"/>
      <c r="CD135" s="192" t="n"/>
      <c r="CE135" s="192" t="n"/>
      <c r="CF135" s="192" t="n"/>
    </row>
    <row r="136">
      <c r="A136" s="197" t="n"/>
      <c r="B136" s="198" t="n"/>
      <c r="C136" s="198" t="n"/>
      <c r="D136" s="179" t="n"/>
      <c r="E136" s="180" t="n"/>
      <c r="F136" s="181" t="n"/>
      <c r="G136" s="284">
        <f>'Jobs-Ops'!G136</f>
        <v/>
      </c>
      <c r="H136" s="114">
        <f>'Jobs-Ops'!H136</f>
        <v/>
      </c>
      <c r="I136" s="105" t="n"/>
      <c r="J136" s="183">
        <f>F136</f>
        <v/>
      </c>
      <c r="K136" s="184" t="n"/>
      <c r="L136" s="185" t="n"/>
      <c r="M136" s="8" t="n"/>
      <c r="N136" s="184">
        <f>M136</f>
        <v/>
      </c>
      <c r="O136" s="71" t="n"/>
      <c r="P136" s="101" t="n"/>
      <c r="Q136" s="9">
        <f>J136-N136</f>
        <v/>
      </c>
      <c r="R136" s="9">
        <f>IF(LEFT(B136,4)&lt;&gt;"    ",0,BI136)</f>
        <v/>
      </c>
      <c r="S136" s="9">
        <f>+Q136-R136</f>
        <v/>
      </c>
      <c r="T136" s="200">
        <f>IF('Jobs-Ops'!S136&lt;&gt; "",'Jobs-Ops'!S136,"")</f>
        <v/>
      </c>
      <c r="U136" s="10" t="n"/>
      <c r="V136" s="23">
        <f>IF(LEFT(B136,4)&lt;&gt;"    ","",IF(N136&lt;&gt;0,X136/N136,0))</f>
        <v/>
      </c>
      <c r="W136" s="11">
        <f>IF(LEFT(B136,4)&lt;&gt;"    ","",IF(V136&gt;=0.1,V136*J136,X136))</f>
        <v/>
      </c>
      <c r="X136" s="8" t="n"/>
      <c r="Y136" s="9">
        <f>IF(LEFT(B136,4)&lt;&gt;"    ",0,IF(Q136&lt;0,Q136,IF(V136&gt;0.1,W136-X136,0)))</f>
        <v/>
      </c>
      <c r="Z136" s="9">
        <f>IF(LEFT(B136,4)&lt;&gt;"    ",0,IF(V136&gt;0.1,BI136,0))</f>
        <v/>
      </c>
      <c r="AA136" s="9">
        <f>Y136-Z136</f>
        <v/>
      </c>
      <c r="AB136" s="10" t="n"/>
      <c r="AC136" s="24" t="n"/>
      <c r="AD136" s="11" t="n"/>
      <c r="AE136" s="8" t="n"/>
      <c r="AF136" s="9">
        <f>IF(LEFT(B136,4)&lt;&gt;"    ","",AD136-AE136)</f>
        <v/>
      </c>
      <c r="AG136" s="10" t="n"/>
      <c r="AH136" s="11">
        <f>IF(LEFT(B136,4)&lt;&gt;"    ","",W136-AD136)</f>
        <v/>
      </c>
      <c r="AI136" s="8">
        <f>IF(LEFT(B136,4)&lt;&gt;"    ","",X136-AE136)</f>
        <v/>
      </c>
      <c r="AJ136" s="9">
        <f>IF(LEFT(B136,4)&lt;&gt;"    ","",Y136-AF136)</f>
        <v/>
      </c>
      <c r="AK136" s="10" t="n"/>
      <c r="AL136" s="25">
        <f>IF(LEFT(B136,4)&lt;&gt;"    ","",J136-W136)</f>
        <v/>
      </c>
      <c r="AM136" s="25">
        <f>N136-X136</f>
        <v/>
      </c>
      <c r="AN136" s="25">
        <f>IF(LEFT(B136,4)&lt;&gt;"    ","",Q136-Y136)</f>
        <v/>
      </c>
      <c r="AO136" s="10" t="n"/>
      <c r="AP136" s="12" t="n"/>
      <c r="AQ136" s="12">
        <f>IF(LEFT(B136,4)&lt;&gt;"    ","",IF(W136-AP136&gt;=0,W136-AP136," "))</f>
        <v/>
      </c>
      <c r="AR136" s="12">
        <f>IF(LEFT(B136,4)&lt;&gt;"    ","",IF(AP136-W136&gt;=0,AP136-W136," "))</f>
        <v/>
      </c>
      <c r="AS136" s="186" t="n"/>
      <c r="AT136" s="187" t="n"/>
      <c r="AU136" s="186" t="n"/>
      <c r="AV136" s="186" t="n"/>
      <c r="AW136" s="188" t="n"/>
      <c r="AX136" s="187" t="n"/>
      <c r="AY136" s="187" t="n"/>
      <c r="AZ136" s="186" t="n"/>
      <c r="BA136" s="186" t="n"/>
      <c r="BB136" s="186" t="n"/>
      <c r="BC136" s="186" t="n"/>
      <c r="BD136" s="186" t="n"/>
      <c r="BE136" s="186" t="n"/>
      <c r="BF136" s="186" t="n"/>
      <c r="BG136" s="186" t="n"/>
      <c r="BH136" s="186" t="n"/>
      <c r="BI136" s="186" t="n"/>
      <c r="BJ136" s="186" t="n"/>
      <c r="BK136" s="186" t="n"/>
      <c r="BL136" s="186" t="n"/>
      <c r="BM136" s="186" t="n"/>
      <c r="BN136" s="186" t="n"/>
      <c r="BO136" s="186" t="n"/>
      <c r="BP136" s="186" t="n"/>
      <c r="BQ136" s="186" t="n"/>
      <c r="BR136" s="189" t="n"/>
      <c r="BS136" s="189" t="n"/>
      <c r="BT136" s="186" t="n"/>
      <c r="BU136" s="186" t="n"/>
      <c r="BV136" s="190" t="n"/>
      <c r="BW136" s="186" t="n"/>
      <c r="BX136" s="186" t="n"/>
      <c r="BY136" s="186" t="n"/>
      <c r="BZ136" s="186" t="n"/>
      <c r="CA136" s="186" t="n"/>
      <c r="CB136" s="187" t="n"/>
      <c r="CC136" s="192" t="n"/>
      <c r="CD136" s="192" t="n"/>
      <c r="CE136" s="192" t="n"/>
      <c r="CF136" s="192" t="n"/>
    </row>
    <row r="137">
      <c r="A137" s="197" t="n"/>
      <c r="B137" s="198" t="n"/>
      <c r="C137" s="198" t="n"/>
      <c r="D137" s="179" t="n"/>
      <c r="E137" s="180" t="n"/>
      <c r="F137" s="181" t="n"/>
      <c r="G137" s="284">
        <f>'Jobs-Ops'!G137</f>
        <v/>
      </c>
      <c r="H137" s="114">
        <f>'Jobs-Ops'!H137</f>
        <v/>
      </c>
      <c r="I137" s="105" t="n"/>
      <c r="J137" s="183">
        <f>F137</f>
        <v/>
      </c>
      <c r="K137" s="184" t="n"/>
      <c r="L137" s="185" t="n"/>
      <c r="M137" s="8" t="n"/>
      <c r="N137" s="184">
        <f>M137</f>
        <v/>
      </c>
      <c r="O137" s="71" t="n"/>
      <c r="P137" s="101" t="n"/>
      <c r="Q137" s="9">
        <f>J137-N137</f>
        <v/>
      </c>
      <c r="R137" s="9">
        <f>IF(LEFT(B137,4)&lt;&gt;"    ",0,BI137)</f>
        <v/>
      </c>
      <c r="S137" s="9">
        <f>+Q137-R137</f>
        <v/>
      </c>
      <c r="T137" s="200">
        <f>IF('Jobs-Ops'!S137&lt;&gt; "",'Jobs-Ops'!S137,"")</f>
        <v/>
      </c>
      <c r="U137" s="10" t="n"/>
      <c r="V137" s="23">
        <f>IF(LEFT(B137,4)&lt;&gt;"    ","",IF(N137&lt;&gt;0,X137/N137,0))</f>
        <v/>
      </c>
      <c r="W137" s="11">
        <f>IF(LEFT(B137,4)&lt;&gt;"    ","",IF(V137&gt;=0.1,V137*J137,X137))</f>
        <v/>
      </c>
      <c r="X137" s="8" t="n"/>
      <c r="Y137" s="9">
        <f>IF(LEFT(B137,4)&lt;&gt;"    ",0,IF(Q137&lt;0,Q137,IF(V137&gt;0.1,W137-X137,0)))</f>
        <v/>
      </c>
      <c r="Z137" s="9">
        <f>IF(LEFT(B137,4)&lt;&gt;"    ",0,IF(V137&gt;0.1,BI137,0))</f>
        <v/>
      </c>
      <c r="AA137" s="9">
        <f>Y137-Z137</f>
        <v/>
      </c>
      <c r="AB137" s="10" t="n"/>
      <c r="AC137" s="24" t="n"/>
      <c r="AD137" s="11" t="n"/>
      <c r="AE137" s="8" t="n"/>
      <c r="AF137" s="9">
        <f>IF(LEFT(B137,4)&lt;&gt;"    ","",AD137-AE137)</f>
        <v/>
      </c>
      <c r="AG137" s="10" t="n"/>
      <c r="AH137" s="11">
        <f>IF(LEFT(B137,4)&lt;&gt;"    ","",W137-AD137)</f>
        <v/>
      </c>
      <c r="AI137" s="8">
        <f>IF(LEFT(B137,4)&lt;&gt;"    ","",X137-AE137)</f>
        <v/>
      </c>
      <c r="AJ137" s="9">
        <f>IF(LEFT(B137,4)&lt;&gt;"    ","",Y137-AF137)</f>
        <v/>
      </c>
      <c r="AK137" s="10" t="n"/>
      <c r="AL137" s="25">
        <f>IF(LEFT(B137,4)&lt;&gt;"    ","",J137-W137)</f>
        <v/>
      </c>
      <c r="AM137" s="25">
        <f>N137-X137</f>
        <v/>
      </c>
      <c r="AN137" s="25">
        <f>IF(LEFT(B137,4)&lt;&gt;"    ","",Q137-Y137)</f>
        <v/>
      </c>
      <c r="AO137" s="10" t="n"/>
      <c r="AP137" s="12" t="n"/>
      <c r="AQ137" s="12">
        <f>IF(LEFT(B137,4)&lt;&gt;"    ","",IF(W137-AP137&gt;=0,W137-AP137," "))</f>
        <v/>
      </c>
      <c r="AR137" s="12">
        <f>IF(LEFT(B137,4)&lt;&gt;"    ","",IF(AP137-W137&gt;=0,AP137-W137," "))</f>
        <v/>
      </c>
      <c r="AS137" s="186" t="n"/>
      <c r="AT137" s="187" t="n"/>
      <c r="AU137" s="186" t="n"/>
      <c r="AV137" s="186" t="n"/>
      <c r="AW137" s="188" t="n"/>
      <c r="AX137" s="187" t="n"/>
      <c r="AY137" s="187" t="n"/>
      <c r="AZ137" s="186" t="n"/>
      <c r="BA137" s="186" t="n"/>
      <c r="BB137" s="186" t="n"/>
      <c r="BC137" s="186" t="n"/>
      <c r="BD137" s="186" t="n"/>
      <c r="BE137" s="186" t="n"/>
      <c r="BF137" s="186" t="n"/>
      <c r="BG137" s="186" t="n"/>
      <c r="BH137" s="186" t="n"/>
      <c r="BI137" s="186" t="n"/>
      <c r="BJ137" s="186" t="n"/>
      <c r="BK137" s="186" t="n"/>
      <c r="BL137" s="186" t="n"/>
      <c r="BM137" s="186" t="n"/>
      <c r="BN137" s="186" t="n"/>
      <c r="BO137" s="186" t="n"/>
      <c r="BP137" s="186" t="n"/>
      <c r="BQ137" s="186" t="n"/>
      <c r="BR137" s="189" t="n"/>
      <c r="BS137" s="189" t="n"/>
      <c r="BT137" s="186" t="n"/>
      <c r="BU137" s="186" t="n"/>
      <c r="BV137" s="190" t="n"/>
      <c r="BW137" s="186" t="n"/>
      <c r="BX137" s="186" t="n"/>
      <c r="BY137" s="186" t="n"/>
      <c r="BZ137" s="186" t="n"/>
      <c r="CA137" s="186" t="n"/>
      <c r="CB137" s="187" t="n"/>
      <c r="CC137" s="192" t="n"/>
      <c r="CD137" s="192" t="n"/>
      <c r="CE137" s="192" t="n"/>
      <c r="CF137" s="192" t="n"/>
    </row>
    <row r="138">
      <c r="A138" s="197" t="n"/>
      <c r="B138" s="198" t="n"/>
      <c r="C138" s="198" t="n"/>
      <c r="D138" s="179" t="n"/>
      <c r="E138" s="180" t="n"/>
      <c r="F138" s="181" t="n"/>
      <c r="G138" s="284">
        <f>'Jobs-Ops'!G138</f>
        <v/>
      </c>
      <c r="H138" s="114">
        <f>'Jobs-Ops'!H138</f>
        <v/>
      </c>
      <c r="I138" s="105" t="n"/>
      <c r="J138" s="183">
        <f>F138</f>
        <v/>
      </c>
      <c r="K138" s="184" t="n"/>
      <c r="L138" s="185" t="n"/>
      <c r="M138" s="8" t="n"/>
      <c r="N138" s="184">
        <f>M138</f>
        <v/>
      </c>
      <c r="O138" s="71" t="n"/>
      <c r="P138" s="101" t="n"/>
      <c r="Q138" s="9">
        <f>J138-N138</f>
        <v/>
      </c>
      <c r="R138" s="9">
        <f>IF(LEFT(B138,4)&lt;&gt;"    ",0,BI138)</f>
        <v/>
      </c>
      <c r="S138" s="9">
        <f>+Q138-R138</f>
        <v/>
      </c>
      <c r="T138" s="200">
        <f>IF('Jobs-Ops'!S138&lt;&gt; "",'Jobs-Ops'!S138,"")</f>
        <v/>
      </c>
      <c r="U138" s="10" t="n"/>
      <c r="V138" s="23">
        <f>IF(LEFT(B138,4)&lt;&gt;"    ","",IF(N138&lt;&gt;0,X138/N138,0))</f>
        <v/>
      </c>
      <c r="W138" s="11">
        <f>IF(LEFT(B138,4)&lt;&gt;"    ","",IF(V138&gt;=0.1,V138*J138,X138))</f>
        <v/>
      </c>
      <c r="X138" s="8" t="n"/>
      <c r="Y138" s="9">
        <f>IF(LEFT(B138,4)&lt;&gt;"    ",0,IF(Q138&lt;0,Q138,IF(V138&gt;0.1,W138-X138,0)))</f>
        <v/>
      </c>
      <c r="Z138" s="9">
        <f>IF(LEFT(B138,4)&lt;&gt;"    ",0,IF(V138&gt;0.1,BI138,0))</f>
        <v/>
      </c>
      <c r="AA138" s="9">
        <f>Y138-Z138</f>
        <v/>
      </c>
      <c r="AB138" s="10" t="n"/>
      <c r="AC138" s="24" t="n"/>
      <c r="AD138" s="11" t="n"/>
      <c r="AE138" s="8" t="n"/>
      <c r="AF138" s="9">
        <f>IF(LEFT(B138,4)&lt;&gt;"    ","",AD138-AE138)</f>
        <v/>
      </c>
      <c r="AG138" s="10" t="n"/>
      <c r="AH138" s="11">
        <f>IF(LEFT(B138,4)&lt;&gt;"    ","",W138-AD138)</f>
        <v/>
      </c>
      <c r="AI138" s="8">
        <f>IF(LEFT(B138,4)&lt;&gt;"    ","",X138-AE138)</f>
        <v/>
      </c>
      <c r="AJ138" s="9">
        <f>IF(LEFT(B138,4)&lt;&gt;"    ","",Y138-AF138)</f>
        <v/>
      </c>
      <c r="AK138" s="10" t="n"/>
      <c r="AL138" s="25">
        <f>IF(LEFT(B138,4)&lt;&gt;"    ","",J138-W138)</f>
        <v/>
      </c>
      <c r="AM138" s="25">
        <f>N138-X138</f>
        <v/>
      </c>
      <c r="AN138" s="25">
        <f>IF(LEFT(B138,4)&lt;&gt;"    ","",Q138-Y138)</f>
        <v/>
      </c>
      <c r="AO138" s="10" t="n"/>
      <c r="AP138" s="12" t="n"/>
      <c r="AQ138" s="12">
        <f>IF(LEFT(B138,4)&lt;&gt;"    ","",IF(W138-AP138&gt;=0,W138-AP138," "))</f>
        <v/>
      </c>
      <c r="AR138" s="12">
        <f>IF(LEFT(B138,4)&lt;&gt;"    ","",IF(AP138-W138&gt;=0,AP138-W138," "))</f>
        <v/>
      </c>
      <c r="AS138" s="186" t="n"/>
      <c r="AT138" s="187" t="n"/>
      <c r="AU138" s="186" t="n"/>
      <c r="AV138" s="186" t="n"/>
      <c r="AW138" s="188" t="n"/>
      <c r="AX138" s="187" t="n"/>
      <c r="AY138" s="187" t="n"/>
      <c r="AZ138" s="186" t="n"/>
      <c r="BA138" s="186" t="n"/>
      <c r="BB138" s="186" t="n"/>
      <c r="BC138" s="186" t="n"/>
      <c r="BD138" s="186" t="n"/>
      <c r="BE138" s="186" t="n"/>
      <c r="BF138" s="186" t="n"/>
      <c r="BG138" s="186" t="n"/>
      <c r="BH138" s="186" t="n"/>
      <c r="BI138" s="186" t="n"/>
      <c r="BJ138" s="186" t="n"/>
      <c r="BK138" s="186" t="n"/>
      <c r="BL138" s="186" t="n"/>
      <c r="BM138" s="186" t="n"/>
      <c r="BN138" s="186" t="n"/>
      <c r="BO138" s="186" t="n"/>
      <c r="BP138" s="186" t="n"/>
      <c r="BQ138" s="186" t="n"/>
      <c r="BR138" s="189" t="n"/>
      <c r="BS138" s="189" t="n"/>
      <c r="BT138" s="186" t="n"/>
      <c r="BU138" s="186" t="n"/>
      <c r="BV138" s="190" t="n"/>
      <c r="BW138" s="186" t="n"/>
      <c r="BX138" s="186" t="n"/>
      <c r="BY138" s="186" t="n"/>
      <c r="BZ138" s="186" t="n"/>
      <c r="CA138" s="186" t="n"/>
      <c r="CB138" s="187" t="n"/>
      <c r="CC138" s="192" t="n"/>
      <c r="CD138" s="192" t="n"/>
      <c r="CE138" s="192" t="n"/>
      <c r="CF138" s="192" t="n"/>
    </row>
    <row r="139">
      <c r="A139" s="197" t="n"/>
      <c r="B139" s="198" t="n"/>
      <c r="C139" s="198" t="n"/>
      <c r="D139" s="179" t="n"/>
      <c r="E139" s="180" t="n"/>
      <c r="F139" s="181" t="n"/>
      <c r="G139" s="284">
        <f>'Jobs-Ops'!G139</f>
        <v/>
      </c>
      <c r="H139" s="114">
        <f>'Jobs-Ops'!H139</f>
        <v/>
      </c>
      <c r="I139" s="105" t="n"/>
      <c r="J139" s="183">
        <f>F139</f>
        <v/>
      </c>
      <c r="K139" s="184" t="n"/>
      <c r="L139" s="185" t="n"/>
      <c r="M139" s="8" t="n"/>
      <c r="N139" s="184">
        <f>M139</f>
        <v/>
      </c>
      <c r="O139" s="71" t="n"/>
      <c r="P139" s="101" t="n"/>
      <c r="Q139" s="9">
        <f>J139-N139</f>
        <v/>
      </c>
      <c r="R139" s="9">
        <f>IF(LEFT(B139,4)&lt;&gt;"    ",0,BI139)</f>
        <v/>
      </c>
      <c r="S139" s="9">
        <f>+Q139-R139</f>
        <v/>
      </c>
      <c r="T139" s="200">
        <f>IF('Jobs-Ops'!S139&lt;&gt; "",'Jobs-Ops'!S139,"")</f>
        <v/>
      </c>
      <c r="U139" s="10" t="n"/>
      <c r="V139" s="23">
        <f>IF(LEFT(B139,4)&lt;&gt;"    ","",IF(N139&lt;&gt;0,X139/N139,0))</f>
        <v/>
      </c>
      <c r="W139" s="11">
        <f>IF(LEFT(B139,4)&lt;&gt;"    ","",IF(V139&gt;=0.1,V139*J139,X139))</f>
        <v/>
      </c>
      <c r="X139" s="8" t="n"/>
      <c r="Y139" s="9">
        <f>IF(LEFT(B139,4)&lt;&gt;"    ",0,IF(Q139&lt;0,Q139,IF(V139&gt;0.1,W139-X139,0)))</f>
        <v/>
      </c>
      <c r="Z139" s="9">
        <f>IF(LEFT(B139,4)&lt;&gt;"    ",0,IF(V139&gt;0.1,BI139,0))</f>
        <v/>
      </c>
      <c r="AA139" s="9">
        <f>Y139-Z139</f>
        <v/>
      </c>
      <c r="AB139" s="10" t="n"/>
      <c r="AC139" s="24" t="n"/>
      <c r="AD139" s="11" t="n"/>
      <c r="AE139" s="8" t="n"/>
      <c r="AF139" s="9">
        <f>IF(LEFT(B139,4)&lt;&gt;"    ","",AD139-AE139)</f>
        <v/>
      </c>
      <c r="AG139" s="10" t="n"/>
      <c r="AH139" s="11">
        <f>IF(LEFT(B139,4)&lt;&gt;"    ","",W139-AD139)</f>
        <v/>
      </c>
      <c r="AI139" s="8">
        <f>IF(LEFT(B139,4)&lt;&gt;"    ","",X139-AE139)</f>
        <v/>
      </c>
      <c r="AJ139" s="9">
        <f>IF(LEFT(B139,4)&lt;&gt;"    ","",Y139-AF139)</f>
        <v/>
      </c>
      <c r="AK139" s="10" t="n"/>
      <c r="AL139" s="25">
        <f>IF(LEFT(B139,4)&lt;&gt;"    ","",J139-W139)</f>
        <v/>
      </c>
      <c r="AM139" s="25">
        <f>N139-X139</f>
        <v/>
      </c>
      <c r="AN139" s="25">
        <f>IF(LEFT(B139,4)&lt;&gt;"    ","",Q139-Y139)</f>
        <v/>
      </c>
      <c r="AO139" s="10" t="n"/>
      <c r="AP139" s="12" t="n"/>
      <c r="AQ139" s="12">
        <f>IF(LEFT(B139,4)&lt;&gt;"    ","",IF(W139-AP139&gt;=0,W139-AP139," "))</f>
        <v/>
      </c>
      <c r="AR139" s="12">
        <f>IF(LEFT(B139,4)&lt;&gt;"    ","",IF(AP139-W139&gt;=0,AP139-W139," "))</f>
        <v/>
      </c>
      <c r="AS139" s="186" t="n"/>
      <c r="AT139" s="187" t="n"/>
      <c r="AU139" s="186" t="n"/>
      <c r="AV139" s="186" t="n"/>
      <c r="AW139" s="188" t="n"/>
      <c r="AX139" s="187" t="n"/>
      <c r="AY139" s="187" t="n"/>
      <c r="AZ139" s="186" t="n"/>
      <c r="BA139" s="186" t="n"/>
      <c r="BB139" s="186" t="n"/>
      <c r="BC139" s="186" t="n"/>
      <c r="BD139" s="186" t="n"/>
      <c r="BE139" s="186" t="n"/>
      <c r="BF139" s="186" t="n"/>
      <c r="BG139" s="186" t="n"/>
      <c r="BH139" s="186" t="n"/>
      <c r="BI139" s="186" t="n"/>
      <c r="BJ139" s="186" t="n"/>
      <c r="BK139" s="186" t="n"/>
      <c r="BL139" s="186" t="n"/>
      <c r="BM139" s="186" t="n"/>
      <c r="BN139" s="186" t="n"/>
      <c r="BO139" s="186" t="n"/>
      <c r="BP139" s="186" t="n"/>
      <c r="BQ139" s="186" t="n"/>
      <c r="BR139" s="189" t="n"/>
      <c r="BS139" s="189" t="n"/>
      <c r="BT139" s="186" t="n"/>
      <c r="BU139" s="186" t="n"/>
      <c r="BV139" s="190" t="n"/>
      <c r="BW139" s="186" t="n"/>
      <c r="BX139" s="186" t="n"/>
      <c r="BY139" s="186" t="n"/>
      <c r="BZ139" s="186" t="n"/>
      <c r="CA139" s="186" t="n"/>
      <c r="CB139" s="187" t="n"/>
      <c r="CC139" s="192" t="n"/>
      <c r="CD139" s="192" t="n"/>
      <c r="CE139" s="192" t="n"/>
      <c r="CF139" s="192" t="n"/>
    </row>
    <row r="140">
      <c r="A140" s="197" t="n"/>
      <c r="B140" s="198" t="n"/>
      <c r="C140" s="198" t="n"/>
      <c r="D140" s="179" t="n"/>
      <c r="E140" s="180" t="n"/>
      <c r="F140" s="181" t="n"/>
      <c r="G140" s="284">
        <f>'Jobs-Ops'!G140</f>
        <v/>
      </c>
      <c r="H140" s="114">
        <f>'Jobs-Ops'!H140</f>
        <v/>
      </c>
      <c r="I140" s="105" t="n"/>
      <c r="J140" s="183">
        <f>F140</f>
        <v/>
      </c>
      <c r="K140" s="184" t="n"/>
      <c r="L140" s="185" t="n"/>
      <c r="M140" s="8" t="n"/>
      <c r="N140" s="184">
        <f>M140</f>
        <v/>
      </c>
      <c r="O140" s="71" t="n"/>
      <c r="P140" s="101" t="n"/>
      <c r="Q140" s="9">
        <f>J140-N140</f>
        <v/>
      </c>
      <c r="R140" s="9">
        <f>IF(LEFT(B140,4)&lt;&gt;"    ",0,BI140)</f>
        <v/>
      </c>
      <c r="S140" s="9">
        <f>+Q140-R140</f>
        <v/>
      </c>
      <c r="T140" s="200">
        <f>IF('Jobs-Ops'!S140&lt;&gt; "",'Jobs-Ops'!S140,"")</f>
        <v/>
      </c>
      <c r="U140" s="10" t="n"/>
      <c r="V140" s="23">
        <f>IF(LEFT(B140,4)&lt;&gt;"    ","",IF(N140&lt;&gt;0,X140/N140,0))</f>
        <v/>
      </c>
      <c r="W140" s="11">
        <f>IF(LEFT(B140,4)&lt;&gt;"    ","",IF(V140&gt;=0.1,V140*J140,X140))</f>
        <v/>
      </c>
      <c r="X140" s="8" t="n"/>
      <c r="Y140" s="9">
        <f>IF(LEFT(B140,4)&lt;&gt;"    ",0,IF(Q140&lt;0,Q140,IF(V140&gt;0.1,W140-X140,0)))</f>
        <v/>
      </c>
      <c r="Z140" s="9">
        <f>IF(LEFT(B140,4)&lt;&gt;"    ",0,IF(V140&gt;0.1,BI140,0))</f>
        <v/>
      </c>
      <c r="AA140" s="9">
        <f>Y140-Z140</f>
        <v/>
      </c>
      <c r="AB140" s="10" t="n"/>
      <c r="AC140" s="24" t="n"/>
      <c r="AD140" s="11" t="n"/>
      <c r="AE140" s="8" t="n"/>
      <c r="AF140" s="9">
        <f>IF(LEFT(B140,4)&lt;&gt;"    ","",AD140-AE140)</f>
        <v/>
      </c>
      <c r="AG140" s="10" t="n"/>
      <c r="AH140" s="11">
        <f>IF(LEFT(B140,4)&lt;&gt;"    ","",W140-AD140)</f>
        <v/>
      </c>
      <c r="AI140" s="8">
        <f>IF(LEFT(B140,4)&lt;&gt;"    ","",X140-AE140)</f>
        <v/>
      </c>
      <c r="AJ140" s="9">
        <f>IF(LEFT(B140,4)&lt;&gt;"    ","",Y140-AF140)</f>
        <v/>
      </c>
      <c r="AK140" s="10" t="n"/>
      <c r="AL140" s="25">
        <f>IF(LEFT(B140,4)&lt;&gt;"    ","",J140-W140)</f>
        <v/>
      </c>
      <c r="AM140" s="25">
        <f>N140-X140</f>
        <v/>
      </c>
      <c r="AN140" s="25">
        <f>IF(LEFT(B140,4)&lt;&gt;"    ","",Q140-Y140)</f>
        <v/>
      </c>
      <c r="AO140" s="10" t="n"/>
      <c r="AP140" s="12" t="n"/>
      <c r="AQ140" s="12">
        <f>IF(LEFT(B140,4)&lt;&gt;"    ","",IF(W140-AP140&gt;=0,W140-AP140," "))</f>
        <v/>
      </c>
      <c r="AR140" s="12">
        <f>IF(LEFT(B140,4)&lt;&gt;"    ","",IF(AP140-W140&gt;=0,AP140-W140," "))</f>
        <v/>
      </c>
      <c r="AS140" s="186" t="n"/>
      <c r="AT140" s="187" t="n"/>
      <c r="AU140" s="186" t="n"/>
      <c r="AV140" s="186" t="n"/>
      <c r="AW140" s="188" t="n"/>
      <c r="AX140" s="187" t="n"/>
      <c r="AY140" s="187" t="n"/>
      <c r="AZ140" s="186" t="n"/>
      <c r="BA140" s="186" t="n"/>
      <c r="BB140" s="186" t="n"/>
      <c r="BC140" s="186" t="n"/>
      <c r="BD140" s="186" t="n"/>
      <c r="BE140" s="186" t="n"/>
      <c r="BF140" s="186" t="n"/>
      <c r="BG140" s="186" t="n"/>
      <c r="BH140" s="186" t="n"/>
      <c r="BI140" s="186" t="n"/>
      <c r="BJ140" s="186" t="n"/>
      <c r="BK140" s="186" t="n"/>
      <c r="BL140" s="186" t="n"/>
      <c r="BM140" s="186" t="n"/>
      <c r="BN140" s="186" t="n"/>
      <c r="BO140" s="186" t="n"/>
      <c r="BP140" s="186" t="n"/>
      <c r="BQ140" s="186" t="n"/>
      <c r="BR140" s="189" t="n"/>
      <c r="BS140" s="189" t="n"/>
      <c r="BT140" s="186" t="n"/>
      <c r="BU140" s="186" t="n"/>
      <c r="BV140" s="190" t="n"/>
      <c r="BW140" s="186" t="n"/>
      <c r="BX140" s="186" t="n"/>
      <c r="BY140" s="186" t="n"/>
      <c r="BZ140" s="186" t="n"/>
      <c r="CA140" s="186" t="n"/>
      <c r="CB140" s="187" t="n"/>
      <c r="CC140" s="192" t="n"/>
      <c r="CD140" s="192" t="n"/>
      <c r="CE140" s="192" t="n"/>
      <c r="CF140" s="192" t="n"/>
    </row>
    <row r="141">
      <c r="A141" s="197" t="n"/>
      <c r="B141" s="198" t="n"/>
      <c r="C141" s="198" t="n"/>
      <c r="D141" s="179" t="n"/>
      <c r="E141" s="180" t="n"/>
      <c r="F141" s="181" t="n"/>
      <c r="G141" s="284">
        <f>'Jobs-Ops'!G141</f>
        <v/>
      </c>
      <c r="H141" s="114">
        <f>'Jobs-Ops'!H141</f>
        <v/>
      </c>
      <c r="I141" s="105" t="n"/>
      <c r="J141" s="183">
        <f>F141</f>
        <v/>
      </c>
      <c r="K141" s="184" t="n"/>
      <c r="L141" s="185" t="n"/>
      <c r="M141" s="8" t="n"/>
      <c r="N141" s="184">
        <f>M141</f>
        <v/>
      </c>
      <c r="O141" s="71" t="n"/>
      <c r="P141" s="101" t="n"/>
      <c r="Q141" s="9">
        <f>J141-N141</f>
        <v/>
      </c>
      <c r="R141" s="9">
        <f>IF(LEFT(B141,4)&lt;&gt;"    ",0,BI141)</f>
        <v/>
      </c>
      <c r="S141" s="9">
        <f>+Q141-R141</f>
        <v/>
      </c>
      <c r="T141" s="200">
        <f>IF('Jobs-Ops'!S141&lt;&gt; "",'Jobs-Ops'!S141,"")</f>
        <v/>
      </c>
      <c r="U141" s="10" t="n"/>
      <c r="V141" s="23">
        <f>IF(LEFT(B141,4)&lt;&gt;"    ","",IF(N141&lt;&gt;0,X141/N141,0))</f>
        <v/>
      </c>
      <c r="W141" s="11">
        <f>IF(LEFT(B141,4)&lt;&gt;"    ","",IF(V141&gt;=0.1,V141*J141,X141))</f>
        <v/>
      </c>
      <c r="X141" s="8" t="n"/>
      <c r="Y141" s="9">
        <f>IF(LEFT(B141,4)&lt;&gt;"    ",0,IF(Q141&lt;0,Q141,IF(V141&gt;0.1,W141-X141,0)))</f>
        <v/>
      </c>
      <c r="Z141" s="9">
        <f>IF(LEFT(B141,4)&lt;&gt;"    ",0,IF(V141&gt;0.1,BI141,0))</f>
        <v/>
      </c>
      <c r="AA141" s="9">
        <f>Y141-Z141</f>
        <v/>
      </c>
      <c r="AB141" s="10" t="n"/>
      <c r="AC141" s="24" t="n"/>
      <c r="AD141" s="11" t="n"/>
      <c r="AE141" s="8" t="n"/>
      <c r="AF141" s="9">
        <f>IF(LEFT(B141,4)&lt;&gt;"    ","",AD141-AE141)</f>
        <v/>
      </c>
      <c r="AG141" s="10" t="n"/>
      <c r="AH141" s="11">
        <f>IF(LEFT(B141,4)&lt;&gt;"    ","",W141-AD141)</f>
        <v/>
      </c>
      <c r="AI141" s="8">
        <f>IF(LEFT(B141,4)&lt;&gt;"    ","",X141-AE141)</f>
        <v/>
      </c>
      <c r="AJ141" s="9">
        <f>IF(LEFT(B141,4)&lt;&gt;"    ","",Y141-AF141)</f>
        <v/>
      </c>
      <c r="AK141" s="10" t="n"/>
      <c r="AL141" s="25">
        <f>IF(LEFT(B141,4)&lt;&gt;"    ","",J141-W141)</f>
        <v/>
      </c>
      <c r="AM141" s="25">
        <f>N141-X141</f>
        <v/>
      </c>
      <c r="AN141" s="25">
        <f>IF(LEFT(B141,4)&lt;&gt;"    ","",Q141-Y141)</f>
        <v/>
      </c>
      <c r="AO141" s="10" t="n"/>
      <c r="AP141" s="12" t="n"/>
      <c r="AQ141" s="12">
        <f>IF(LEFT(B141,4)&lt;&gt;"    ","",IF(W141-AP141&gt;=0,W141-AP141," "))</f>
        <v/>
      </c>
      <c r="AR141" s="12">
        <f>IF(LEFT(B141,4)&lt;&gt;"    ","",IF(AP141-W141&gt;=0,AP141-W141," "))</f>
        <v/>
      </c>
      <c r="AS141" s="186" t="n"/>
      <c r="AT141" s="187" t="n"/>
      <c r="AU141" s="186" t="n"/>
      <c r="AV141" s="186" t="n"/>
      <c r="AW141" s="188" t="n"/>
      <c r="AX141" s="187" t="n"/>
      <c r="AY141" s="187" t="n"/>
      <c r="AZ141" s="186" t="n"/>
      <c r="BA141" s="186" t="n"/>
      <c r="BB141" s="186" t="n"/>
      <c r="BC141" s="186" t="n"/>
      <c r="BD141" s="186" t="n"/>
      <c r="BE141" s="186" t="n"/>
      <c r="BF141" s="186" t="n"/>
      <c r="BG141" s="186" t="n"/>
      <c r="BH141" s="186" t="n"/>
      <c r="BI141" s="186" t="n"/>
      <c r="BJ141" s="186" t="n"/>
      <c r="BK141" s="186" t="n"/>
      <c r="BL141" s="186" t="n"/>
      <c r="BM141" s="186" t="n"/>
      <c r="BN141" s="186" t="n"/>
      <c r="BO141" s="186" t="n"/>
      <c r="BP141" s="186" t="n"/>
      <c r="BQ141" s="186" t="n"/>
      <c r="BR141" s="189" t="n"/>
      <c r="BS141" s="189" t="n"/>
      <c r="BT141" s="186" t="n"/>
      <c r="BU141" s="186" t="n"/>
      <c r="BV141" s="190" t="n"/>
      <c r="BW141" s="186" t="n"/>
      <c r="BX141" s="186" t="n"/>
      <c r="BY141" s="186" t="n"/>
      <c r="BZ141" s="186" t="n"/>
      <c r="CA141" s="186" t="n"/>
      <c r="CB141" s="187" t="n"/>
      <c r="CC141" s="192" t="n"/>
      <c r="CD141" s="192" t="n"/>
      <c r="CE141" s="192" t="n"/>
      <c r="CF141" s="192" t="n"/>
    </row>
    <row r="142">
      <c r="A142" s="197" t="n"/>
      <c r="B142" s="198" t="n"/>
      <c r="C142" s="198" t="n"/>
      <c r="D142" s="179" t="n"/>
      <c r="E142" s="180" t="n"/>
      <c r="F142" s="181" t="n"/>
      <c r="G142" s="284">
        <f>'Jobs-Ops'!G142</f>
        <v/>
      </c>
      <c r="H142" s="114">
        <f>'Jobs-Ops'!H142</f>
        <v/>
      </c>
      <c r="I142" s="105" t="n"/>
      <c r="J142" s="183">
        <f>F142</f>
        <v/>
      </c>
      <c r="K142" s="184" t="n"/>
      <c r="L142" s="185" t="n"/>
      <c r="M142" s="8" t="n"/>
      <c r="N142" s="184">
        <f>M142</f>
        <v/>
      </c>
      <c r="O142" s="71" t="n"/>
      <c r="P142" s="101" t="n"/>
      <c r="Q142" s="9">
        <f>J142-N142</f>
        <v/>
      </c>
      <c r="R142" s="9">
        <f>IF(LEFT(B142,4)&lt;&gt;"    ",0,BI142)</f>
        <v/>
      </c>
      <c r="S142" s="9">
        <f>+Q142-R142</f>
        <v/>
      </c>
      <c r="T142" s="200">
        <f>IF('Jobs-Ops'!S142&lt;&gt; "",'Jobs-Ops'!S142,"")</f>
        <v/>
      </c>
      <c r="U142" s="10" t="n"/>
      <c r="V142" s="23">
        <f>IF(LEFT(B142,4)&lt;&gt;"    ","",IF(N142&lt;&gt;0,X142/N142,0))</f>
        <v/>
      </c>
      <c r="W142" s="11">
        <f>IF(LEFT(B142,4)&lt;&gt;"    ","",IF(V142&gt;=0.1,V142*J142,X142))</f>
        <v/>
      </c>
      <c r="X142" s="8" t="n"/>
      <c r="Y142" s="9">
        <f>IF(LEFT(B142,4)&lt;&gt;"    ",0,IF(Q142&lt;0,Q142,IF(V142&gt;0.1,W142-X142,0)))</f>
        <v/>
      </c>
      <c r="Z142" s="9">
        <f>IF(LEFT(B142,4)&lt;&gt;"    ",0,IF(V142&gt;0.1,BI142,0))</f>
        <v/>
      </c>
      <c r="AA142" s="9">
        <f>Y142-Z142</f>
        <v/>
      </c>
      <c r="AB142" s="10" t="n"/>
      <c r="AC142" s="24" t="n"/>
      <c r="AD142" s="11" t="n"/>
      <c r="AE142" s="8" t="n"/>
      <c r="AF142" s="9">
        <f>IF(LEFT(B142,4)&lt;&gt;"    ","",AD142-AE142)</f>
        <v/>
      </c>
      <c r="AG142" s="10" t="n"/>
      <c r="AH142" s="11">
        <f>IF(LEFT(B142,4)&lt;&gt;"    ","",W142-AD142)</f>
        <v/>
      </c>
      <c r="AI142" s="8">
        <f>IF(LEFT(B142,4)&lt;&gt;"    ","",X142-AE142)</f>
        <v/>
      </c>
      <c r="AJ142" s="9">
        <f>IF(LEFT(B142,4)&lt;&gt;"    ","",Y142-AF142)</f>
        <v/>
      </c>
      <c r="AK142" s="10" t="n"/>
      <c r="AL142" s="25">
        <f>IF(LEFT(B142,4)&lt;&gt;"    ","",J142-W142)</f>
        <v/>
      </c>
      <c r="AM142" s="25">
        <f>N142-X142</f>
        <v/>
      </c>
      <c r="AN142" s="25">
        <f>IF(LEFT(B142,4)&lt;&gt;"    ","",Q142-Y142)</f>
        <v/>
      </c>
      <c r="AO142" s="10" t="n"/>
      <c r="AP142" s="12" t="n"/>
      <c r="AQ142" s="12">
        <f>IF(LEFT(B142,4)&lt;&gt;"    ","",IF(W142-AP142&gt;=0,W142-AP142," "))</f>
        <v/>
      </c>
      <c r="AR142" s="12">
        <f>IF(LEFT(B142,4)&lt;&gt;"    ","",IF(AP142-W142&gt;=0,AP142-W142," "))</f>
        <v/>
      </c>
      <c r="AS142" s="186" t="n"/>
      <c r="AT142" s="187" t="n"/>
      <c r="AU142" s="186" t="n"/>
      <c r="AV142" s="186" t="n"/>
      <c r="AW142" s="188" t="n"/>
      <c r="AX142" s="187" t="n"/>
      <c r="AY142" s="187" t="n"/>
      <c r="AZ142" s="186" t="n"/>
      <c r="BA142" s="186" t="n"/>
      <c r="BB142" s="186" t="n"/>
      <c r="BC142" s="186" t="n"/>
      <c r="BD142" s="186" t="n"/>
      <c r="BE142" s="186" t="n"/>
      <c r="BF142" s="186" t="n"/>
      <c r="BG142" s="186" t="n"/>
      <c r="BH142" s="186" t="n"/>
      <c r="BI142" s="186" t="n"/>
      <c r="BJ142" s="186" t="n"/>
      <c r="BK142" s="186" t="n"/>
      <c r="BL142" s="186" t="n"/>
      <c r="BM142" s="186" t="n"/>
      <c r="BN142" s="186" t="n"/>
      <c r="BO142" s="186" t="n"/>
      <c r="BP142" s="186" t="n"/>
      <c r="BQ142" s="186" t="n"/>
      <c r="BR142" s="189" t="n"/>
      <c r="BS142" s="189" t="n"/>
      <c r="BT142" s="186" t="n"/>
      <c r="BU142" s="186" t="n"/>
      <c r="BV142" s="190" t="n"/>
      <c r="BW142" s="186" t="n"/>
      <c r="BX142" s="186" t="n"/>
      <c r="BY142" s="186" t="n"/>
      <c r="BZ142" s="186" t="n"/>
      <c r="CA142" s="186" t="n"/>
      <c r="CB142" s="187" t="n"/>
      <c r="CC142" s="192" t="n"/>
      <c r="CD142" s="192" t="n"/>
      <c r="CE142" s="192" t="n"/>
      <c r="CF142" s="192" t="n"/>
    </row>
    <row r="143">
      <c r="A143" s="197" t="n"/>
      <c r="B143" s="198" t="n"/>
      <c r="C143" s="198" t="n"/>
      <c r="D143" s="179" t="n"/>
      <c r="E143" s="180" t="n"/>
      <c r="F143" s="181" t="n"/>
      <c r="G143" s="284">
        <f>'Jobs-Ops'!G143</f>
        <v/>
      </c>
      <c r="H143" s="114">
        <f>'Jobs-Ops'!H143</f>
        <v/>
      </c>
      <c r="I143" s="105" t="n"/>
      <c r="J143" s="183">
        <f>F143</f>
        <v/>
      </c>
      <c r="K143" s="184" t="n"/>
      <c r="L143" s="185" t="n"/>
      <c r="M143" s="8" t="n"/>
      <c r="N143" s="184">
        <f>M143</f>
        <v/>
      </c>
      <c r="O143" s="71" t="n"/>
      <c r="P143" s="101" t="n"/>
      <c r="Q143" s="9">
        <f>J143-N143</f>
        <v/>
      </c>
      <c r="R143" s="9">
        <f>IF(LEFT(B143,4)&lt;&gt;"    ",0,BI143)</f>
        <v/>
      </c>
      <c r="S143" s="9">
        <f>+Q143-R143</f>
        <v/>
      </c>
      <c r="T143" s="200">
        <f>IF('Jobs-Ops'!S143&lt;&gt; "",'Jobs-Ops'!S143,"")</f>
        <v/>
      </c>
      <c r="U143" s="10" t="n"/>
      <c r="V143" s="23">
        <f>IF(LEFT(B143,4)&lt;&gt;"    ","",IF(N143&lt;&gt;0,X143/N143,0))</f>
        <v/>
      </c>
      <c r="W143" s="11">
        <f>IF(LEFT(B143,4)&lt;&gt;"    ","",IF(V143&gt;=0.1,V143*J143,X143))</f>
        <v/>
      </c>
      <c r="X143" s="8" t="n"/>
      <c r="Y143" s="9">
        <f>IF(LEFT(B143,4)&lt;&gt;"    ",0,IF(Q143&lt;0,Q143,IF(V143&gt;0.1,W143-X143,0)))</f>
        <v/>
      </c>
      <c r="Z143" s="9">
        <f>IF(LEFT(B143,4)&lt;&gt;"    ",0,IF(V143&gt;0.1,BI143,0))</f>
        <v/>
      </c>
      <c r="AA143" s="9">
        <f>Y143-Z143</f>
        <v/>
      </c>
      <c r="AB143" s="10" t="n"/>
      <c r="AC143" s="24" t="n"/>
      <c r="AD143" s="11" t="n"/>
      <c r="AE143" s="8" t="n"/>
      <c r="AF143" s="9">
        <f>IF(LEFT(B143,4)&lt;&gt;"    ","",AD143-AE143)</f>
        <v/>
      </c>
      <c r="AG143" s="10" t="n"/>
      <c r="AH143" s="11">
        <f>IF(LEFT(B143,4)&lt;&gt;"    ","",W143-AD143)</f>
        <v/>
      </c>
      <c r="AI143" s="8">
        <f>IF(LEFT(B143,4)&lt;&gt;"    ","",X143-AE143)</f>
        <v/>
      </c>
      <c r="AJ143" s="9">
        <f>IF(LEFT(B143,4)&lt;&gt;"    ","",Y143-AF143)</f>
        <v/>
      </c>
      <c r="AK143" s="10" t="n"/>
      <c r="AL143" s="25">
        <f>IF(LEFT(B143,4)&lt;&gt;"    ","",J143-W143)</f>
        <v/>
      </c>
      <c r="AM143" s="25">
        <f>N143-X143</f>
        <v/>
      </c>
      <c r="AN143" s="25">
        <f>IF(LEFT(B143,4)&lt;&gt;"    ","",Q143-Y143)</f>
        <v/>
      </c>
      <c r="AO143" s="10" t="n"/>
      <c r="AP143" s="12" t="n"/>
      <c r="AQ143" s="12">
        <f>IF(LEFT(B143,4)&lt;&gt;"    ","",IF(W143-AP143&gt;=0,W143-AP143," "))</f>
        <v/>
      </c>
      <c r="AR143" s="12">
        <f>IF(LEFT(B143,4)&lt;&gt;"    ","",IF(AP143-W143&gt;=0,AP143-W143," "))</f>
        <v/>
      </c>
      <c r="AS143" s="186" t="n"/>
      <c r="AT143" s="187" t="n"/>
      <c r="AU143" s="186" t="n"/>
      <c r="AV143" s="186" t="n"/>
      <c r="AW143" s="188" t="n"/>
      <c r="AX143" s="187" t="n"/>
      <c r="AY143" s="187" t="n"/>
      <c r="AZ143" s="186" t="n"/>
      <c r="BA143" s="186" t="n"/>
      <c r="BB143" s="186" t="n"/>
      <c r="BC143" s="186" t="n"/>
      <c r="BD143" s="186" t="n"/>
      <c r="BE143" s="186" t="n"/>
      <c r="BF143" s="186" t="n"/>
      <c r="BG143" s="186" t="n"/>
      <c r="BH143" s="186" t="n"/>
      <c r="BI143" s="186" t="n"/>
      <c r="BJ143" s="186" t="n"/>
      <c r="BK143" s="186" t="n"/>
      <c r="BL143" s="186" t="n"/>
      <c r="BM143" s="186" t="n"/>
      <c r="BN143" s="186" t="n"/>
      <c r="BO143" s="186" t="n"/>
      <c r="BP143" s="186" t="n"/>
      <c r="BQ143" s="186" t="n"/>
      <c r="BR143" s="189" t="n"/>
      <c r="BS143" s="189" t="n"/>
      <c r="BT143" s="186" t="n"/>
      <c r="BU143" s="186" t="n"/>
      <c r="BV143" s="190" t="n"/>
      <c r="BW143" s="186" t="n"/>
      <c r="BX143" s="186" t="n"/>
      <c r="BY143" s="186" t="n"/>
      <c r="BZ143" s="186" t="n"/>
      <c r="CA143" s="186" t="n"/>
      <c r="CB143" s="187" t="n"/>
      <c r="CC143" s="192" t="n"/>
      <c r="CD143" s="192" t="n"/>
      <c r="CE143" s="192" t="n"/>
      <c r="CF143" s="192" t="n"/>
    </row>
    <row r="144">
      <c r="A144" s="197" t="n"/>
      <c r="B144" s="198" t="n"/>
      <c r="C144" s="198" t="n"/>
      <c r="D144" s="179" t="n"/>
      <c r="E144" s="180" t="n"/>
      <c r="F144" s="181" t="n"/>
      <c r="G144" s="284">
        <f>'Jobs-Ops'!G144</f>
        <v/>
      </c>
      <c r="H144" s="114">
        <f>'Jobs-Ops'!H144</f>
        <v/>
      </c>
      <c r="I144" s="105" t="n"/>
      <c r="J144" s="183">
        <f>F144</f>
        <v/>
      </c>
      <c r="K144" s="184" t="n"/>
      <c r="L144" s="185" t="n"/>
      <c r="M144" s="8" t="n"/>
      <c r="N144" s="184">
        <f>M144</f>
        <v/>
      </c>
      <c r="O144" s="71" t="n"/>
      <c r="P144" s="101" t="n"/>
      <c r="Q144" s="9">
        <f>J144-N144</f>
        <v/>
      </c>
      <c r="R144" s="9">
        <f>IF(LEFT(B144,4)&lt;&gt;"    ",0,BI144)</f>
        <v/>
      </c>
      <c r="S144" s="9">
        <f>+Q144-R144</f>
        <v/>
      </c>
      <c r="T144" s="200">
        <f>IF('Jobs-Ops'!S144&lt;&gt; "",'Jobs-Ops'!S144,"")</f>
        <v/>
      </c>
      <c r="U144" s="10" t="n"/>
      <c r="V144" s="23">
        <f>IF(LEFT(B144,4)&lt;&gt;"    ","",IF(N144&lt;&gt;0,X144/N144,0))</f>
        <v/>
      </c>
      <c r="W144" s="11">
        <f>IF(LEFT(B144,4)&lt;&gt;"    ","",IF(V144&gt;=0.1,V144*J144,X144))</f>
        <v/>
      </c>
      <c r="X144" s="8" t="n"/>
      <c r="Y144" s="9">
        <f>IF(LEFT(B144,4)&lt;&gt;"    ",0,IF(Q144&lt;0,Q144,IF(V144&gt;0.1,W144-X144,0)))</f>
        <v/>
      </c>
      <c r="Z144" s="9">
        <f>IF(LEFT(B144,4)&lt;&gt;"    ",0,IF(V144&gt;0.1,BI144,0))</f>
        <v/>
      </c>
      <c r="AA144" s="9">
        <f>Y144-Z144</f>
        <v/>
      </c>
      <c r="AB144" s="10" t="n"/>
      <c r="AC144" s="24" t="n"/>
      <c r="AD144" s="11" t="n"/>
      <c r="AE144" s="8" t="n"/>
      <c r="AF144" s="9">
        <f>IF(LEFT(B144,4)&lt;&gt;"    ","",AD144-AE144)</f>
        <v/>
      </c>
      <c r="AG144" s="10" t="n"/>
      <c r="AH144" s="11">
        <f>IF(LEFT(B144,4)&lt;&gt;"    ","",W144-AD144)</f>
        <v/>
      </c>
      <c r="AI144" s="8">
        <f>IF(LEFT(B144,4)&lt;&gt;"    ","",X144-AE144)</f>
        <v/>
      </c>
      <c r="AJ144" s="9">
        <f>IF(LEFT(B144,4)&lt;&gt;"    ","",Y144-AF144)</f>
        <v/>
      </c>
      <c r="AK144" s="10" t="n"/>
      <c r="AL144" s="25">
        <f>IF(LEFT(B144,4)&lt;&gt;"    ","",J144-W144)</f>
        <v/>
      </c>
      <c r="AM144" s="25">
        <f>N144-X144</f>
        <v/>
      </c>
      <c r="AN144" s="25">
        <f>IF(LEFT(B144,4)&lt;&gt;"    ","",Q144-Y144)</f>
        <v/>
      </c>
      <c r="AO144" s="10" t="n"/>
      <c r="AP144" s="12" t="n"/>
      <c r="AQ144" s="12">
        <f>IF(LEFT(B144,4)&lt;&gt;"    ","",IF(W144-AP144&gt;=0,W144-AP144," "))</f>
        <v/>
      </c>
      <c r="AR144" s="12">
        <f>IF(LEFT(B144,4)&lt;&gt;"    ","",IF(AP144-W144&gt;=0,AP144-W144," "))</f>
        <v/>
      </c>
      <c r="AS144" s="186" t="n"/>
      <c r="AT144" s="187" t="n"/>
      <c r="AU144" s="186" t="n"/>
      <c r="AV144" s="186" t="n"/>
      <c r="AW144" s="188" t="n"/>
      <c r="AX144" s="187" t="n"/>
      <c r="AY144" s="187" t="n"/>
      <c r="AZ144" s="186" t="n"/>
      <c r="BA144" s="186" t="n"/>
      <c r="BB144" s="186" t="n"/>
      <c r="BC144" s="186" t="n"/>
      <c r="BD144" s="186" t="n"/>
      <c r="BE144" s="186" t="n"/>
      <c r="BF144" s="186" t="n"/>
      <c r="BG144" s="186" t="n"/>
      <c r="BH144" s="186" t="n"/>
      <c r="BI144" s="186" t="n"/>
      <c r="BJ144" s="186" t="n"/>
      <c r="BK144" s="186" t="n"/>
      <c r="BL144" s="186" t="n"/>
      <c r="BM144" s="186" t="n"/>
      <c r="BN144" s="186" t="n"/>
      <c r="BO144" s="186" t="n"/>
      <c r="BP144" s="186" t="n"/>
      <c r="BQ144" s="186" t="n"/>
      <c r="BR144" s="189" t="n"/>
      <c r="BS144" s="189" t="n"/>
      <c r="BT144" s="186" t="n"/>
      <c r="BU144" s="186" t="n"/>
      <c r="BV144" s="190" t="n"/>
      <c r="BW144" s="186" t="n"/>
      <c r="BX144" s="186" t="n"/>
      <c r="BY144" s="186" t="n"/>
      <c r="BZ144" s="186" t="n"/>
      <c r="CA144" s="186" t="n"/>
      <c r="CB144" s="187" t="n"/>
      <c r="CC144" s="192" t="n"/>
      <c r="CD144" s="192" t="n"/>
      <c r="CE144" s="192" t="n"/>
      <c r="CF144" s="192" t="n"/>
    </row>
    <row r="145">
      <c r="A145" s="197" t="n"/>
      <c r="B145" s="198" t="n"/>
      <c r="C145" s="198" t="n"/>
      <c r="D145" s="179" t="n"/>
      <c r="E145" s="180" t="n"/>
      <c r="F145" s="181" t="n"/>
      <c r="G145" s="284">
        <f>'Jobs-Ops'!G145</f>
        <v/>
      </c>
      <c r="H145" s="114">
        <f>'Jobs-Ops'!H145</f>
        <v/>
      </c>
      <c r="I145" s="105" t="n"/>
      <c r="J145" s="183">
        <f>F145</f>
        <v/>
      </c>
      <c r="K145" s="184" t="n"/>
      <c r="L145" s="185" t="n"/>
      <c r="M145" s="8" t="n"/>
      <c r="N145" s="184">
        <f>M145</f>
        <v/>
      </c>
      <c r="O145" s="184" t="n"/>
      <c r="P145" s="185" t="n"/>
      <c r="Q145" s="9">
        <f>J145-N145</f>
        <v/>
      </c>
      <c r="R145" s="9">
        <f>IF(LEFT(B145,4)&lt;&gt;"    ",0,BI145)</f>
        <v/>
      </c>
      <c r="S145" s="9">
        <f>+Q145-R145</f>
        <v/>
      </c>
      <c r="T145" s="200">
        <f>IF('Jobs-Ops'!S145&lt;&gt; "",'Jobs-Ops'!S145,"")</f>
        <v/>
      </c>
      <c r="U145" s="10" t="n"/>
      <c r="V145" s="23">
        <f>IF(LEFT(B145,4)&lt;&gt;"    ","",IF(N145&lt;&gt;0,X145/N145,0))</f>
        <v/>
      </c>
      <c r="W145" s="11">
        <f>IF(LEFT(B145,4)&lt;&gt;"    ","",IF(V145&gt;=0.1,V145*J145,X145))</f>
        <v/>
      </c>
      <c r="X145" s="8" t="n"/>
      <c r="Y145" s="9">
        <f>IF(LEFT(B145,4)&lt;&gt;"    ",0,IF(Q145&lt;0,Q145,IF(V145&gt;0.1,W145-X145,0)))</f>
        <v/>
      </c>
      <c r="Z145" s="9">
        <f>IF(LEFT(B145,4)&lt;&gt;"    ",0,IF(V145&gt;0.1,BI145,0))</f>
        <v/>
      </c>
      <c r="AA145" s="9">
        <f>Y145-Z145</f>
        <v/>
      </c>
      <c r="AB145" s="10" t="n"/>
      <c r="AC145" s="24" t="n"/>
      <c r="AD145" s="11" t="n"/>
      <c r="AE145" s="8" t="n"/>
      <c r="AF145" s="9">
        <f>IF(LEFT(B145,4)&lt;&gt;"    ","",AD145-AE145)</f>
        <v/>
      </c>
      <c r="AG145" s="10" t="n"/>
      <c r="AH145" s="11">
        <f>IF(LEFT(B145,4)&lt;&gt;"    ","",W145-AD145)</f>
        <v/>
      </c>
      <c r="AI145" s="8">
        <f>IF(LEFT(B145,4)&lt;&gt;"    ","",X145-AE145)</f>
        <v/>
      </c>
      <c r="AJ145" s="9">
        <f>IF(LEFT(B145,4)&lt;&gt;"    ","",Y145-AF145)</f>
        <v/>
      </c>
      <c r="AK145" s="10" t="n"/>
      <c r="AL145" s="25">
        <f>IF(LEFT(B145,4)&lt;&gt;"    ","",J145-W145)</f>
        <v/>
      </c>
      <c r="AM145" s="25">
        <f>N145-X145</f>
        <v/>
      </c>
      <c r="AN145" s="25">
        <f>IF(LEFT(B145,4)&lt;&gt;"    ","",Q145-Y145)</f>
        <v/>
      </c>
      <c r="AO145" s="10" t="n"/>
      <c r="AP145" s="12" t="n"/>
      <c r="AQ145" s="12">
        <f>IF(LEFT(B145,4)&lt;&gt;"    ","",IF(W145-AP145&gt;=0,W145-AP145," "))</f>
        <v/>
      </c>
      <c r="AR145" s="12">
        <f>IF(LEFT(B145,4)&lt;&gt;"    ","",IF(AP145-W145&gt;=0,AP145-W145," "))</f>
        <v/>
      </c>
      <c r="AS145" s="186" t="n"/>
      <c r="AT145" s="187" t="n"/>
      <c r="AU145" s="186" t="n"/>
      <c r="AV145" s="186" t="n"/>
      <c r="AW145" s="188" t="n"/>
      <c r="AX145" s="187" t="n"/>
      <c r="AY145" s="187" t="n"/>
      <c r="AZ145" s="186" t="n"/>
      <c r="BA145" s="186" t="n"/>
      <c r="BB145" s="186" t="n"/>
      <c r="BC145" s="186" t="n"/>
      <c r="BD145" s="186" t="n"/>
      <c r="BE145" s="186" t="n"/>
      <c r="BF145" s="186" t="n"/>
      <c r="BG145" s="186" t="n"/>
      <c r="BH145" s="186" t="n"/>
      <c r="BI145" s="186" t="n"/>
      <c r="BJ145" s="186" t="n"/>
      <c r="BK145" s="186" t="n"/>
      <c r="BL145" s="186" t="n"/>
      <c r="BM145" s="186" t="n"/>
      <c r="BN145" s="186" t="n"/>
      <c r="BO145" s="186" t="n"/>
      <c r="BP145" s="186" t="n"/>
      <c r="BQ145" s="186" t="n"/>
      <c r="BR145" s="189" t="n"/>
      <c r="BS145" s="189" t="n"/>
      <c r="BT145" s="186" t="n"/>
      <c r="BU145" s="186" t="n"/>
      <c r="BV145" s="190" t="n"/>
      <c r="BW145" s="186" t="n"/>
      <c r="BX145" s="186" t="n"/>
      <c r="BY145" s="186" t="n"/>
      <c r="BZ145" s="186" t="n"/>
      <c r="CA145" s="186" t="n"/>
      <c r="CB145" s="187" t="n"/>
      <c r="CC145" s="192" t="n"/>
      <c r="CD145" s="192" t="n"/>
      <c r="CE145" s="192" t="n"/>
      <c r="CF145" s="192" t="n"/>
    </row>
    <row r="146">
      <c r="A146" s="197" t="n"/>
      <c r="B146" s="198" t="n"/>
      <c r="C146" s="198" t="n"/>
      <c r="D146" s="179" t="n"/>
      <c r="E146" s="180" t="n"/>
      <c r="F146" s="181" t="n"/>
      <c r="G146" s="284">
        <f>'Jobs-Ops'!G146</f>
        <v/>
      </c>
      <c r="H146" s="114">
        <f>'Jobs-Ops'!H146</f>
        <v/>
      </c>
      <c r="I146" s="105" t="n"/>
      <c r="J146" s="183">
        <f>F146</f>
        <v/>
      </c>
      <c r="K146" s="184" t="n"/>
      <c r="L146" s="185" t="n"/>
      <c r="M146" s="8" t="n"/>
      <c r="N146" s="184">
        <f>M146</f>
        <v/>
      </c>
      <c r="O146" s="71" t="n"/>
      <c r="P146" s="101" t="n"/>
      <c r="Q146" s="9">
        <f>J146-N146</f>
        <v/>
      </c>
      <c r="R146" s="9">
        <f>IF(LEFT(B146,4)&lt;&gt;"    ",0,BI146)</f>
        <v/>
      </c>
      <c r="S146" s="9">
        <f>+Q146-R146</f>
        <v/>
      </c>
      <c r="T146" s="200">
        <f>IF('Jobs-Ops'!S146&lt;&gt; "",'Jobs-Ops'!S146,"")</f>
        <v/>
      </c>
      <c r="U146" s="10" t="n"/>
      <c r="V146" s="23">
        <f>IF(LEFT(B146,4)&lt;&gt;"    ","",IF(N146&lt;&gt;0,X146/N146,0))</f>
        <v/>
      </c>
      <c r="W146" s="11">
        <f>IF(LEFT(B146,4)&lt;&gt;"    ","",IF(V146&gt;=0.1,V146*J146,X146))</f>
        <v/>
      </c>
      <c r="X146" s="8" t="n"/>
      <c r="Y146" s="9">
        <f>IF(LEFT(B146,4)&lt;&gt;"    ",0,IF(Q146&lt;0,Q146,IF(V146&gt;0.1,W146-X146,0)))</f>
        <v/>
      </c>
      <c r="Z146" s="9">
        <f>IF(LEFT(B146,4)&lt;&gt;"    ",0,IF(V146&gt;0.1,BI146,0))</f>
        <v/>
      </c>
      <c r="AA146" s="9">
        <f>Y146-Z146</f>
        <v/>
      </c>
      <c r="AB146" s="10" t="n"/>
      <c r="AC146" s="24" t="n"/>
      <c r="AD146" s="11" t="n"/>
      <c r="AE146" s="8" t="n"/>
      <c r="AF146" s="9">
        <f>IF(LEFT(B146,4)&lt;&gt;"    ","",AD146-AE146)</f>
        <v/>
      </c>
      <c r="AG146" s="10" t="n"/>
      <c r="AH146" s="11">
        <f>IF(LEFT(B146,4)&lt;&gt;"    ","",W146-AD146)</f>
        <v/>
      </c>
      <c r="AI146" s="8">
        <f>IF(LEFT(B146,4)&lt;&gt;"    ","",X146-AE146)</f>
        <v/>
      </c>
      <c r="AJ146" s="9">
        <f>IF(LEFT(B146,4)&lt;&gt;"    ","",Y146-AF146)</f>
        <v/>
      </c>
      <c r="AK146" s="10" t="n"/>
      <c r="AL146" s="25">
        <f>IF(LEFT(B146,4)&lt;&gt;"    ","",J146-W146)</f>
        <v/>
      </c>
      <c r="AM146" s="25">
        <f>N146-X146</f>
        <v/>
      </c>
      <c r="AN146" s="25">
        <f>IF(LEFT(B146,4)&lt;&gt;"    ","",Q146-Y146)</f>
        <v/>
      </c>
      <c r="AO146" s="10" t="n"/>
      <c r="AP146" s="12" t="n"/>
      <c r="AQ146" s="12">
        <f>IF(LEFT(B146,4)&lt;&gt;"    ","",IF(W146-AP146&gt;=0,W146-AP146," "))</f>
        <v/>
      </c>
      <c r="AR146" s="12">
        <f>IF(LEFT(B146,4)&lt;&gt;"    ","",IF(AP146-W146&gt;=0,AP146-W146," "))</f>
        <v/>
      </c>
      <c r="AS146" s="186" t="n"/>
      <c r="AT146" s="187" t="n"/>
      <c r="AU146" s="186" t="n"/>
      <c r="AV146" s="186" t="n"/>
      <c r="AW146" s="188" t="n"/>
      <c r="AX146" s="187" t="n"/>
      <c r="AY146" s="187" t="n"/>
      <c r="AZ146" s="186" t="n"/>
      <c r="BA146" s="186" t="n"/>
      <c r="BB146" s="186" t="n"/>
      <c r="BC146" s="186" t="n"/>
      <c r="BD146" s="186" t="n"/>
      <c r="BE146" s="186" t="n"/>
      <c r="BF146" s="186" t="n"/>
      <c r="BG146" s="186" t="n"/>
      <c r="BH146" s="186" t="n"/>
      <c r="BI146" s="186" t="n"/>
      <c r="BJ146" s="186" t="n"/>
      <c r="BK146" s="186" t="n"/>
      <c r="BL146" s="186" t="n"/>
      <c r="BM146" s="186" t="n"/>
      <c r="BN146" s="186" t="n"/>
      <c r="BO146" s="186" t="n"/>
      <c r="BP146" s="186" t="n"/>
      <c r="BQ146" s="186" t="n"/>
      <c r="BR146" s="189" t="n"/>
      <c r="BS146" s="189" t="n"/>
      <c r="BT146" s="186" t="n"/>
      <c r="BU146" s="186" t="n"/>
      <c r="BV146" s="190" t="n"/>
      <c r="BW146" s="186" t="n"/>
      <c r="BX146" s="186" t="n"/>
      <c r="BY146" s="186" t="n"/>
      <c r="BZ146" s="186" t="n"/>
      <c r="CA146" s="186" t="n"/>
      <c r="CB146" s="187" t="n"/>
      <c r="CC146" s="192" t="n"/>
      <c r="CD146" s="192" t="n"/>
      <c r="CE146" s="192" t="n"/>
      <c r="CF146" s="192" t="n"/>
    </row>
    <row r="147">
      <c r="A147" s="197" t="n"/>
      <c r="B147" s="198" t="n"/>
      <c r="C147" s="198" t="n"/>
      <c r="D147" s="179" t="n"/>
      <c r="E147" s="180" t="n"/>
      <c r="F147" s="181" t="n"/>
      <c r="G147" s="284">
        <f>'Jobs-Ops'!G147</f>
        <v/>
      </c>
      <c r="H147" s="114">
        <f>'Jobs-Ops'!H147</f>
        <v/>
      </c>
      <c r="I147" s="105" t="n"/>
      <c r="J147" s="183">
        <f>F147</f>
        <v/>
      </c>
      <c r="K147" s="184" t="n"/>
      <c r="L147" s="185" t="n"/>
      <c r="M147" s="8" t="n"/>
      <c r="N147" s="184">
        <f>M147</f>
        <v/>
      </c>
      <c r="O147" s="71" t="n"/>
      <c r="P147" s="101" t="n"/>
      <c r="Q147" s="9">
        <f>J147-N147</f>
        <v/>
      </c>
      <c r="R147" s="9">
        <f>IF(LEFT(B147,4)&lt;&gt;"    ",0,BI147)</f>
        <v/>
      </c>
      <c r="S147" s="9">
        <f>+Q147-R147</f>
        <v/>
      </c>
      <c r="T147" s="200">
        <f>IF('Jobs-Ops'!S147&lt;&gt; "",'Jobs-Ops'!S147,"")</f>
        <v/>
      </c>
      <c r="U147" s="10" t="n"/>
      <c r="V147" s="23">
        <f>IF(LEFT(B147,4)&lt;&gt;"    ","",IF(N147&lt;&gt;0,X147/N147,0))</f>
        <v/>
      </c>
      <c r="W147" s="11">
        <f>IF(LEFT(B147,4)&lt;&gt;"    ","",IF(V147&gt;=0.1,V147*J147,X147))</f>
        <v/>
      </c>
      <c r="X147" s="8" t="n"/>
      <c r="Y147" s="9">
        <f>IF(LEFT(B147,4)&lt;&gt;"    ",0,IF(Q147&lt;0,Q147,IF(V147&gt;0.1,W147-X147,0)))</f>
        <v/>
      </c>
      <c r="Z147" s="9">
        <f>IF(LEFT(B147,4)&lt;&gt;"    ",0,IF(V147&gt;0.1,BI147,0))</f>
        <v/>
      </c>
      <c r="AA147" s="9">
        <f>Y147-Z147</f>
        <v/>
      </c>
      <c r="AB147" s="10" t="n"/>
      <c r="AC147" s="24" t="n"/>
      <c r="AD147" s="11" t="n"/>
      <c r="AE147" s="8" t="n"/>
      <c r="AF147" s="9">
        <f>IF(LEFT(B147,4)&lt;&gt;"    ","",AD147-AE147)</f>
        <v/>
      </c>
      <c r="AG147" s="10" t="n"/>
      <c r="AH147" s="11">
        <f>IF(LEFT(B147,4)&lt;&gt;"    ","",W147-AD147)</f>
        <v/>
      </c>
      <c r="AI147" s="8">
        <f>IF(LEFT(B147,4)&lt;&gt;"    ","",X147-AE147)</f>
        <v/>
      </c>
      <c r="AJ147" s="9">
        <f>IF(LEFT(B147,4)&lt;&gt;"    ","",Y147-AF147)</f>
        <v/>
      </c>
      <c r="AK147" s="10" t="n"/>
      <c r="AL147" s="25">
        <f>IF(LEFT(B147,4)&lt;&gt;"    ","",J147-W147)</f>
        <v/>
      </c>
      <c r="AM147" s="25">
        <f>N147-X147</f>
        <v/>
      </c>
      <c r="AN147" s="25">
        <f>IF(LEFT(B147,4)&lt;&gt;"    ","",Q147-Y147)</f>
        <v/>
      </c>
      <c r="AO147" s="10" t="n"/>
      <c r="AP147" s="12" t="n"/>
      <c r="AQ147" s="12">
        <f>IF(LEFT(B147,4)&lt;&gt;"    ","",IF(W147-AP147&gt;=0,W147-AP147," "))</f>
        <v/>
      </c>
      <c r="AR147" s="12">
        <f>IF(LEFT(B147,4)&lt;&gt;"    ","",IF(AP147-W147&gt;=0,AP147-W147," "))</f>
        <v/>
      </c>
      <c r="AS147" s="186" t="n"/>
      <c r="AT147" s="187" t="n"/>
      <c r="AU147" s="186" t="n"/>
      <c r="AV147" s="186" t="n"/>
      <c r="AW147" s="188" t="n"/>
      <c r="AX147" s="187" t="n"/>
      <c r="AY147" s="187" t="n"/>
      <c r="AZ147" s="186" t="n"/>
      <c r="BA147" s="186" t="n"/>
      <c r="BB147" s="186" t="n"/>
      <c r="BC147" s="186" t="n"/>
      <c r="BD147" s="186" t="n"/>
      <c r="BE147" s="186" t="n"/>
      <c r="BF147" s="186" t="n"/>
      <c r="BG147" s="186" t="n"/>
      <c r="BH147" s="186" t="n"/>
      <c r="BI147" s="186" t="n"/>
      <c r="BJ147" s="186" t="n"/>
      <c r="BK147" s="186" t="n"/>
      <c r="BL147" s="186" t="n"/>
      <c r="BM147" s="186" t="n"/>
      <c r="BN147" s="186" t="n"/>
      <c r="BO147" s="186" t="n"/>
      <c r="BP147" s="186" t="n"/>
      <c r="BQ147" s="186" t="n"/>
      <c r="BR147" s="189" t="n"/>
      <c r="BS147" s="189" t="n"/>
      <c r="BT147" s="186" t="n"/>
      <c r="BU147" s="186" t="n"/>
      <c r="BV147" s="190" t="n"/>
      <c r="BW147" s="186" t="n"/>
      <c r="BX147" s="186" t="n"/>
      <c r="BY147" s="186" t="n"/>
      <c r="BZ147" s="186" t="n"/>
      <c r="CA147" s="186" t="n"/>
      <c r="CB147" s="187" t="n"/>
      <c r="CC147" s="192" t="n"/>
      <c r="CD147" s="192" t="n"/>
      <c r="CE147" s="192" t="n"/>
      <c r="CF147" s="192" t="n"/>
    </row>
    <row r="148">
      <c r="A148" s="197" t="n"/>
      <c r="B148" s="198" t="n"/>
      <c r="C148" s="198" t="n"/>
      <c r="D148" s="179" t="n"/>
      <c r="E148" s="180" t="n"/>
      <c r="F148" s="181" t="n"/>
      <c r="G148" s="284">
        <f>'Jobs-Ops'!G148</f>
        <v/>
      </c>
      <c r="H148" s="114">
        <f>'Jobs-Ops'!H148</f>
        <v/>
      </c>
      <c r="I148" s="105" t="n"/>
      <c r="J148" s="183">
        <f>F148</f>
        <v/>
      </c>
      <c r="K148" s="184" t="n"/>
      <c r="L148" s="185" t="n"/>
      <c r="M148" s="8" t="n"/>
      <c r="N148" s="184">
        <f>M148</f>
        <v/>
      </c>
      <c r="O148" s="71" t="n"/>
      <c r="P148" s="101" t="n"/>
      <c r="Q148" s="9">
        <f>J148-N148</f>
        <v/>
      </c>
      <c r="R148" s="9">
        <f>IF(LEFT(B148,4)&lt;&gt;"    ",0,BI148)</f>
        <v/>
      </c>
      <c r="S148" s="9">
        <f>+Q148-R148</f>
        <v/>
      </c>
      <c r="T148" s="200">
        <f>IF('Jobs-Ops'!S148&lt;&gt; "",'Jobs-Ops'!S148,"")</f>
        <v/>
      </c>
      <c r="U148" s="10" t="n"/>
      <c r="V148" s="23">
        <f>IF(LEFT(B148,4)&lt;&gt;"    ","",IF(N148&lt;&gt;0,X148/N148,0))</f>
        <v/>
      </c>
      <c r="W148" s="11">
        <f>IF(LEFT(B148,4)&lt;&gt;"    ","",IF(V148&gt;=0.1,V148*J148,X148))</f>
        <v/>
      </c>
      <c r="X148" s="8" t="n"/>
      <c r="Y148" s="9">
        <f>IF(LEFT(B148,4)&lt;&gt;"    ",0,IF(Q148&lt;0,Q148,IF(V148&gt;0.1,W148-X148,0)))</f>
        <v/>
      </c>
      <c r="Z148" s="9">
        <f>IF(LEFT(B148,4)&lt;&gt;"    ",0,IF(V148&gt;0.1,BI148,0))</f>
        <v/>
      </c>
      <c r="AA148" s="9">
        <f>Y148-Z148</f>
        <v/>
      </c>
      <c r="AB148" s="10" t="n"/>
      <c r="AC148" s="24" t="n"/>
      <c r="AD148" s="11" t="n"/>
      <c r="AE148" s="8" t="n"/>
      <c r="AF148" s="9">
        <f>IF(LEFT(B148,4)&lt;&gt;"    ","",AD148-AE148)</f>
        <v/>
      </c>
      <c r="AG148" s="10" t="n"/>
      <c r="AH148" s="11">
        <f>IF(LEFT(B148,4)&lt;&gt;"    ","",W148-AD148)</f>
        <v/>
      </c>
      <c r="AI148" s="8">
        <f>IF(LEFT(B148,4)&lt;&gt;"    ","",X148-AE148)</f>
        <v/>
      </c>
      <c r="AJ148" s="9">
        <f>IF(LEFT(B148,4)&lt;&gt;"    ","",Y148-AF148)</f>
        <v/>
      </c>
      <c r="AK148" s="10" t="n"/>
      <c r="AL148" s="25">
        <f>IF(LEFT(B148,4)&lt;&gt;"    ","",J148-W148)</f>
        <v/>
      </c>
      <c r="AM148" s="25">
        <f>N148-X148</f>
        <v/>
      </c>
      <c r="AN148" s="25">
        <f>IF(LEFT(B148,4)&lt;&gt;"    ","",Q148-Y148)</f>
        <v/>
      </c>
      <c r="AO148" s="10" t="n"/>
      <c r="AP148" s="12" t="n"/>
      <c r="AQ148" s="12">
        <f>IF(LEFT(B148,4)&lt;&gt;"    ","",IF(W148-AP148&gt;=0,W148-AP148," "))</f>
        <v/>
      </c>
      <c r="AR148" s="12">
        <f>IF(LEFT(B148,4)&lt;&gt;"    ","",IF(AP148-W148&gt;=0,AP148-W148," "))</f>
        <v/>
      </c>
      <c r="AS148" s="186" t="n"/>
      <c r="AT148" s="187" t="n"/>
      <c r="AU148" s="186" t="n"/>
      <c r="AV148" s="186" t="n"/>
      <c r="AW148" s="188" t="n"/>
      <c r="AX148" s="187" t="n"/>
      <c r="AY148" s="187" t="n"/>
      <c r="AZ148" s="186" t="n"/>
      <c r="BA148" s="186" t="n"/>
      <c r="BB148" s="186" t="n"/>
      <c r="BC148" s="186" t="n"/>
      <c r="BD148" s="186" t="n"/>
      <c r="BE148" s="186" t="n"/>
      <c r="BF148" s="186" t="n"/>
      <c r="BG148" s="186" t="n"/>
      <c r="BH148" s="186" t="n"/>
      <c r="BI148" s="186" t="n"/>
      <c r="BJ148" s="186" t="n"/>
      <c r="BK148" s="186" t="n"/>
      <c r="BL148" s="186" t="n"/>
      <c r="BM148" s="186" t="n"/>
      <c r="BN148" s="186" t="n"/>
      <c r="BO148" s="186" t="n"/>
      <c r="BP148" s="186" t="n"/>
      <c r="BQ148" s="186" t="n"/>
      <c r="BR148" s="189" t="n"/>
      <c r="BS148" s="189" t="n"/>
      <c r="BT148" s="186" t="n"/>
      <c r="BU148" s="186" t="n"/>
      <c r="BV148" s="190" t="n"/>
      <c r="BW148" s="186" t="n"/>
      <c r="BX148" s="186" t="n"/>
      <c r="BY148" s="186" t="n"/>
      <c r="BZ148" s="186" t="n"/>
      <c r="CA148" s="186" t="n"/>
      <c r="CB148" s="187" t="n"/>
      <c r="CC148" s="192" t="n"/>
      <c r="CD148" s="192" t="n"/>
      <c r="CE148" s="192" t="n"/>
      <c r="CF148" s="192" t="n"/>
    </row>
    <row r="149">
      <c r="A149" s="197" t="n"/>
      <c r="B149" s="198" t="n"/>
      <c r="C149" s="198" t="n"/>
      <c r="D149" s="179" t="n"/>
      <c r="E149" s="180" t="n"/>
      <c r="F149" s="181" t="n"/>
      <c r="G149" s="284">
        <f>'Jobs-Ops'!G149</f>
        <v/>
      </c>
      <c r="H149" s="114">
        <f>'Jobs-Ops'!H149</f>
        <v/>
      </c>
      <c r="I149" s="105" t="n"/>
      <c r="J149" s="183">
        <f>F149</f>
        <v/>
      </c>
      <c r="K149" s="184" t="n"/>
      <c r="L149" s="185" t="n"/>
      <c r="M149" s="8" t="n"/>
      <c r="N149" s="184">
        <f>M149</f>
        <v/>
      </c>
      <c r="O149" s="71" t="n"/>
      <c r="P149" s="101" t="n"/>
      <c r="Q149" s="9">
        <f>J149-N149</f>
        <v/>
      </c>
      <c r="R149" s="9">
        <f>IF(LEFT(B149,4)&lt;&gt;"    ",0,BI149)</f>
        <v/>
      </c>
      <c r="S149" s="9">
        <f>+Q149-R149</f>
        <v/>
      </c>
      <c r="T149" s="200">
        <f>IF('Jobs-Ops'!S149&lt;&gt; "",'Jobs-Ops'!S149,"")</f>
        <v/>
      </c>
      <c r="U149" s="10" t="n"/>
      <c r="V149" s="23">
        <f>IF(LEFT(B149,4)&lt;&gt;"    ","",IF(N149&lt;&gt;0,X149/N149,0))</f>
        <v/>
      </c>
      <c r="W149" s="11">
        <f>IF(LEFT(B149,4)&lt;&gt;"    ","",IF(V149&gt;=0.1,V149*J149,X149))</f>
        <v/>
      </c>
      <c r="X149" s="8" t="n"/>
      <c r="Y149" s="9">
        <f>IF(LEFT(B149,4)&lt;&gt;"    ",0,IF(Q149&lt;0,Q149,IF(V149&gt;0.1,W149-X149,0)))</f>
        <v/>
      </c>
      <c r="Z149" s="9">
        <f>IF(LEFT(B149,4)&lt;&gt;"    ",0,IF(V149&gt;0.1,BI149,0))</f>
        <v/>
      </c>
      <c r="AA149" s="9">
        <f>Y149-Z149</f>
        <v/>
      </c>
      <c r="AB149" s="10" t="n"/>
      <c r="AC149" s="24" t="n"/>
      <c r="AD149" s="11" t="n"/>
      <c r="AE149" s="8" t="n"/>
      <c r="AF149" s="9">
        <f>IF(LEFT(B149,4)&lt;&gt;"    ","",AD149-AE149)</f>
        <v/>
      </c>
      <c r="AG149" s="10" t="n"/>
      <c r="AH149" s="11">
        <f>IF(LEFT(B149,4)&lt;&gt;"    ","",W149-AD149)</f>
        <v/>
      </c>
      <c r="AI149" s="8">
        <f>IF(LEFT(B149,4)&lt;&gt;"    ","",X149-AE149)</f>
        <v/>
      </c>
      <c r="AJ149" s="9">
        <f>IF(LEFT(B149,4)&lt;&gt;"    ","",Y149-AF149)</f>
        <v/>
      </c>
      <c r="AK149" s="10" t="n"/>
      <c r="AL149" s="25">
        <f>IF(LEFT(B149,4)&lt;&gt;"    ","",J149-W149)</f>
        <v/>
      </c>
      <c r="AM149" s="25">
        <f>N149-X149</f>
        <v/>
      </c>
      <c r="AN149" s="25">
        <f>IF(LEFT(B149,4)&lt;&gt;"    ","",Q149-Y149)</f>
        <v/>
      </c>
      <c r="AO149" s="10" t="n"/>
      <c r="AP149" s="12" t="n"/>
      <c r="AQ149" s="12">
        <f>IF(LEFT(B149,4)&lt;&gt;"    ","",IF(W149-AP149&gt;=0,W149-AP149," "))</f>
        <v/>
      </c>
      <c r="AR149" s="12">
        <f>IF(LEFT(B149,4)&lt;&gt;"    ","",IF(AP149-W149&gt;=0,AP149-W149," "))</f>
        <v/>
      </c>
      <c r="AS149" s="186" t="n"/>
      <c r="AT149" s="187" t="n"/>
      <c r="AU149" s="186" t="n"/>
      <c r="AV149" s="186" t="n"/>
      <c r="AW149" s="188" t="n"/>
      <c r="AX149" s="187" t="n"/>
      <c r="AY149" s="187" t="n"/>
      <c r="AZ149" s="186" t="n"/>
      <c r="BA149" s="186" t="n"/>
      <c r="BB149" s="186" t="n"/>
      <c r="BC149" s="186" t="n"/>
      <c r="BD149" s="186" t="n"/>
      <c r="BE149" s="186" t="n"/>
      <c r="BF149" s="186" t="n"/>
      <c r="BG149" s="186" t="n"/>
      <c r="BH149" s="186" t="n"/>
      <c r="BI149" s="186" t="n"/>
      <c r="BJ149" s="186" t="n"/>
      <c r="BK149" s="186" t="n"/>
      <c r="BL149" s="186" t="n"/>
      <c r="BM149" s="186" t="n"/>
      <c r="BN149" s="186" t="n"/>
      <c r="BO149" s="186" t="n"/>
      <c r="BP149" s="186" t="n"/>
      <c r="BQ149" s="186" t="n"/>
      <c r="BR149" s="189" t="n"/>
      <c r="BS149" s="189" t="n"/>
      <c r="BT149" s="186" t="n"/>
      <c r="BU149" s="186" t="n"/>
      <c r="BV149" s="190" t="n"/>
      <c r="BW149" s="186" t="n"/>
      <c r="BX149" s="186" t="n"/>
      <c r="BY149" s="186" t="n"/>
      <c r="BZ149" s="186" t="n"/>
      <c r="CA149" s="186" t="n"/>
      <c r="CB149" s="187" t="n"/>
      <c r="CC149" s="192" t="n"/>
      <c r="CD149" s="192" t="n"/>
      <c r="CE149" s="192" t="n"/>
      <c r="CF149" s="192" t="n"/>
    </row>
    <row r="150">
      <c r="A150" s="197" t="n"/>
      <c r="B150" s="198" t="n"/>
      <c r="C150" s="198" t="n"/>
      <c r="D150" s="179" t="n"/>
      <c r="E150" s="180" t="n"/>
      <c r="F150" s="181" t="n"/>
      <c r="G150" s="284">
        <f>'Jobs-Ops'!G150</f>
        <v/>
      </c>
      <c r="H150" s="114">
        <f>'Jobs-Ops'!H150</f>
        <v/>
      </c>
      <c r="I150" s="105" t="n"/>
      <c r="J150" s="183">
        <f>F150</f>
        <v/>
      </c>
      <c r="K150" s="184" t="n"/>
      <c r="L150" s="185" t="n"/>
      <c r="M150" s="8" t="n"/>
      <c r="N150" s="184">
        <f>M150</f>
        <v/>
      </c>
      <c r="O150" s="71" t="n"/>
      <c r="P150" s="101" t="n"/>
      <c r="Q150" s="9">
        <f>J150-N150</f>
        <v/>
      </c>
      <c r="R150" s="9">
        <f>IF(LEFT(B150,4)&lt;&gt;"    ",0,BI150)</f>
        <v/>
      </c>
      <c r="S150" s="9">
        <f>+Q150-R150</f>
        <v/>
      </c>
      <c r="T150" s="200">
        <f>IF('Jobs-Ops'!S150&lt;&gt; "",'Jobs-Ops'!S150,"")</f>
        <v/>
      </c>
      <c r="U150" s="10" t="n"/>
      <c r="V150" s="23">
        <f>IF(LEFT(B150,4)&lt;&gt;"    ","",IF(N150&lt;&gt;0,X150/N150,0))</f>
        <v/>
      </c>
      <c r="W150" s="11">
        <f>IF(LEFT(B150,4)&lt;&gt;"    ","",IF(V150&gt;=0.1,V150*J150,X150))</f>
        <v/>
      </c>
      <c r="X150" s="8" t="n"/>
      <c r="Y150" s="9">
        <f>IF(LEFT(B150,4)&lt;&gt;"    ",0,IF(Q150&lt;0,Q150,IF(V150&gt;0.1,W150-X150,0)))</f>
        <v/>
      </c>
      <c r="Z150" s="9">
        <f>IF(LEFT(B150,4)&lt;&gt;"    ",0,IF(V150&gt;0.1,BI150,0))</f>
        <v/>
      </c>
      <c r="AA150" s="9">
        <f>Y150-Z150</f>
        <v/>
      </c>
      <c r="AB150" s="10" t="n"/>
      <c r="AC150" s="24" t="n"/>
      <c r="AD150" s="11" t="n"/>
      <c r="AE150" s="8" t="n"/>
      <c r="AF150" s="9">
        <f>IF(LEFT(B150,4)&lt;&gt;"    ","",AD150-AE150)</f>
        <v/>
      </c>
      <c r="AG150" s="10" t="n"/>
      <c r="AH150" s="11">
        <f>IF(LEFT(B150,4)&lt;&gt;"    ","",W150-AD150)</f>
        <v/>
      </c>
      <c r="AI150" s="8">
        <f>IF(LEFT(B150,4)&lt;&gt;"    ","",X150-AE150)</f>
        <v/>
      </c>
      <c r="AJ150" s="9">
        <f>IF(LEFT(B150,4)&lt;&gt;"    ","",Y150-AF150)</f>
        <v/>
      </c>
      <c r="AK150" s="10" t="n"/>
      <c r="AL150" s="25">
        <f>IF(LEFT(B150,4)&lt;&gt;"    ","",J150-W150)</f>
        <v/>
      </c>
      <c r="AM150" s="25">
        <f>N150-X150</f>
        <v/>
      </c>
      <c r="AN150" s="25">
        <f>IF(LEFT(B150,4)&lt;&gt;"    ","",Q150-Y150)</f>
        <v/>
      </c>
      <c r="AO150" s="10" t="n"/>
      <c r="AP150" s="12" t="n"/>
      <c r="AQ150" s="12">
        <f>IF(LEFT(B150,4)&lt;&gt;"    ","",IF(W150-AP150&gt;=0,W150-AP150," "))</f>
        <v/>
      </c>
      <c r="AR150" s="12">
        <f>IF(LEFT(B150,4)&lt;&gt;"    ","",IF(AP150-W150&gt;=0,AP150-W150," "))</f>
        <v/>
      </c>
      <c r="AS150" s="186" t="n"/>
      <c r="AT150" s="187" t="n"/>
      <c r="AU150" s="186" t="n"/>
      <c r="AV150" s="186" t="n"/>
      <c r="AW150" s="188" t="n"/>
      <c r="AX150" s="187" t="n"/>
      <c r="AY150" s="187" t="n"/>
      <c r="AZ150" s="186" t="n"/>
      <c r="BA150" s="186" t="n"/>
      <c r="BB150" s="186" t="n"/>
      <c r="BC150" s="186" t="n"/>
      <c r="BD150" s="186" t="n"/>
      <c r="BE150" s="186" t="n"/>
      <c r="BF150" s="186" t="n"/>
      <c r="BG150" s="186" t="n"/>
      <c r="BH150" s="186" t="n"/>
      <c r="BI150" s="186" t="n"/>
      <c r="BJ150" s="186" t="n"/>
      <c r="BK150" s="186" t="n"/>
      <c r="BL150" s="186" t="n"/>
      <c r="BM150" s="186" t="n"/>
      <c r="BN150" s="186" t="n"/>
      <c r="BO150" s="186" t="n"/>
      <c r="BP150" s="186" t="n"/>
      <c r="BQ150" s="186" t="n"/>
      <c r="BR150" s="189" t="n"/>
      <c r="BS150" s="189" t="n"/>
      <c r="BT150" s="186" t="n"/>
      <c r="BU150" s="186" t="n"/>
      <c r="BV150" s="190" t="n"/>
      <c r="BW150" s="186" t="n"/>
      <c r="BX150" s="186" t="n"/>
      <c r="BY150" s="186" t="n"/>
      <c r="BZ150" s="186" t="n"/>
      <c r="CA150" s="186" t="n"/>
      <c r="CB150" s="187" t="n"/>
      <c r="CC150" s="192" t="n"/>
      <c r="CD150" s="192" t="n"/>
      <c r="CE150" s="192" t="n"/>
      <c r="CF150" s="192" t="n"/>
    </row>
    <row r="151">
      <c r="A151" s="197" t="n"/>
      <c r="B151" s="198" t="n"/>
      <c r="C151" s="198" t="n"/>
      <c r="D151" s="179" t="n"/>
      <c r="E151" s="180" t="n"/>
      <c r="F151" s="181" t="n"/>
      <c r="G151" s="284">
        <f>'Jobs-Ops'!G151</f>
        <v/>
      </c>
      <c r="H151" s="114">
        <f>'Jobs-Ops'!H151</f>
        <v/>
      </c>
      <c r="I151" s="105" t="n"/>
      <c r="J151" s="183">
        <f>F151</f>
        <v/>
      </c>
      <c r="K151" s="184" t="n"/>
      <c r="L151" s="185" t="n"/>
      <c r="M151" s="8" t="n"/>
      <c r="N151" s="184">
        <f>M151</f>
        <v/>
      </c>
      <c r="O151" s="71" t="n"/>
      <c r="P151" s="101" t="n"/>
      <c r="Q151" s="9">
        <f>J151-N151</f>
        <v/>
      </c>
      <c r="R151" s="9">
        <f>IF(LEFT(B151,4)&lt;&gt;"    ",0,BI151)</f>
        <v/>
      </c>
      <c r="S151" s="9">
        <f>+Q151-R151</f>
        <v/>
      </c>
      <c r="T151" s="200">
        <f>IF('Jobs-Ops'!S151&lt;&gt; "",'Jobs-Ops'!S151,"")</f>
        <v/>
      </c>
      <c r="U151" s="10" t="n"/>
      <c r="V151" s="23">
        <f>IF(LEFT(B151,4)&lt;&gt;"    ","",IF(N151&lt;&gt;0,X151/N151,0))</f>
        <v/>
      </c>
      <c r="W151" s="11">
        <f>IF(LEFT(B151,4)&lt;&gt;"    ","",IF(V151&gt;=0.1,V151*J151,X151))</f>
        <v/>
      </c>
      <c r="X151" s="8" t="n"/>
      <c r="Y151" s="9">
        <f>IF(LEFT(B151,4)&lt;&gt;"    ",0,IF(Q151&lt;0,Q151,IF(V151&gt;0.1,W151-X151,0)))</f>
        <v/>
      </c>
      <c r="Z151" s="9">
        <f>IF(LEFT(B151,4)&lt;&gt;"    ",0,IF(V151&gt;0.1,BI151,0))</f>
        <v/>
      </c>
      <c r="AA151" s="9">
        <f>Y151-Z151</f>
        <v/>
      </c>
      <c r="AB151" s="10" t="n"/>
      <c r="AC151" s="24" t="n"/>
      <c r="AD151" s="11" t="n"/>
      <c r="AE151" s="8" t="n"/>
      <c r="AF151" s="9">
        <f>IF(LEFT(B151,4)&lt;&gt;"    ","",AD151-AE151)</f>
        <v/>
      </c>
      <c r="AG151" s="10" t="n"/>
      <c r="AH151" s="11">
        <f>IF(LEFT(B151,4)&lt;&gt;"    ","",W151-AD151)</f>
        <v/>
      </c>
      <c r="AI151" s="8">
        <f>IF(LEFT(B151,4)&lt;&gt;"    ","",X151-AE151)</f>
        <v/>
      </c>
      <c r="AJ151" s="9">
        <f>IF(LEFT(B151,4)&lt;&gt;"    ","",Y151-AF151)</f>
        <v/>
      </c>
      <c r="AK151" s="10" t="n"/>
      <c r="AL151" s="25">
        <f>IF(LEFT(B151,4)&lt;&gt;"    ","",J151-W151)</f>
        <v/>
      </c>
      <c r="AM151" s="25">
        <f>N151-X151</f>
        <v/>
      </c>
      <c r="AN151" s="25">
        <f>IF(LEFT(B151,4)&lt;&gt;"    ","",Q151-Y151)</f>
        <v/>
      </c>
      <c r="AO151" s="10" t="n"/>
      <c r="AP151" s="12" t="n"/>
      <c r="AQ151" s="12">
        <f>IF(LEFT(B151,4)&lt;&gt;"    ","",IF(W151-AP151&gt;=0,W151-AP151," "))</f>
        <v/>
      </c>
      <c r="AR151" s="12">
        <f>IF(LEFT(B151,4)&lt;&gt;"    ","",IF(AP151-W151&gt;=0,AP151-W151," "))</f>
        <v/>
      </c>
      <c r="AS151" s="186" t="n"/>
      <c r="AT151" s="187" t="n"/>
      <c r="AU151" s="186" t="n"/>
      <c r="AV151" s="186" t="n"/>
      <c r="AW151" s="188" t="n"/>
      <c r="AX151" s="187" t="n"/>
      <c r="AY151" s="187" t="n"/>
      <c r="AZ151" s="186" t="n"/>
      <c r="BA151" s="186" t="n"/>
      <c r="BB151" s="186" t="n"/>
      <c r="BC151" s="186" t="n"/>
      <c r="BD151" s="186" t="n"/>
      <c r="BE151" s="186" t="n"/>
      <c r="BF151" s="186" t="n"/>
      <c r="BG151" s="186" t="n"/>
      <c r="BH151" s="186" t="n"/>
      <c r="BI151" s="186" t="n"/>
      <c r="BJ151" s="186" t="n"/>
      <c r="BK151" s="186" t="n"/>
      <c r="BL151" s="186" t="n"/>
      <c r="BM151" s="186" t="n"/>
      <c r="BN151" s="186" t="n"/>
      <c r="BO151" s="186" t="n"/>
      <c r="BP151" s="186" t="n"/>
      <c r="BQ151" s="186" t="n"/>
      <c r="BR151" s="189" t="n"/>
      <c r="BS151" s="189" t="n"/>
      <c r="BT151" s="186" t="n"/>
      <c r="BU151" s="186" t="n"/>
      <c r="BV151" s="190" t="n"/>
      <c r="BW151" s="186" t="n"/>
      <c r="BX151" s="186" t="n"/>
      <c r="BY151" s="186" t="n"/>
      <c r="BZ151" s="186" t="n"/>
      <c r="CA151" s="186" t="n"/>
      <c r="CB151" s="187" t="n"/>
      <c r="CC151" s="192" t="n"/>
      <c r="CD151" s="192" t="n"/>
      <c r="CE151" s="192" t="n"/>
      <c r="CF151" s="192" t="n"/>
    </row>
    <row r="152">
      <c r="A152" s="197" t="n"/>
      <c r="B152" s="198" t="n"/>
      <c r="C152" s="198" t="n"/>
      <c r="D152" s="179" t="n"/>
      <c r="E152" s="180" t="n"/>
      <c r="F152" s="181" t="n"/>
      <c r="G152" s="284">
        <f>'Jobs-Ops'!G152</f>
        <v/>
      </c>
      <c r="H152" s="114">
        <f>'Jobs-Ops'!H152</f>
        <v/>
      </c>
      <c r="I152" s="105" t="n"/>
      <c r="J152" s="183">
        <f>F152</f>
        <v/>
      </c>
      <c r="K152" s="184" t="n"/>
      <c r="L152" s="185" t="n"/>
      <c r="M152" s="8" t="n"/>
      <c r="N152" s="184">
        <f>M152</f>
        <v/>
      </c>
      <c r="O152" s="71" t="n"/>
      <c r="P152" s="101" t="n"/>
      <c r="Q152" s="9">
        <f>J152-N152</f>
        <v/>
      </c>
      <c r="R152" s="9">
        <f>IF(LEFT(B152,4)&lt;&gt;"    ",0,BI152)</f>
        <v/>
      </c>
      <c r="S152" s="9">
        <f>+Q152-R152</f>
        <v/>
      </c>
      <c r="T152" s="200">
        <f>IF('Jobs-Ops'!S152&lt;&gt; "",'Jobs-Ops'!S152,"")</f>
        <v/>
      </c>
      <c r="U152" s="10" t="n"/>
      <c r="V152" s="23">
        <f>IF(LEFT(B152,4)&lt;&gt;"    ","",IF(N152&lt;&gt;0,X152/N152,0))</f>
        <v/>
      </c>
      <c r="W152" s="11">
        <f>IF(LEFT(B152,4)&lt;&gt;"    ","",IF(V152&gt;=0.1,V152*J152,X152))</f>
        <v/>
      </c>
      <c r="X152" s="8" t="n"/>
      <c r="Y152" s="9">
        <f>IF(LEFT(B152,4)&lt;&gt;"    ",0,IF(Q152&lt;0,Q152,IF(V152&gt;0.1,W152-X152,0)))</f>
        <v/>
      </c>
      <c r="Z152" s="9">
        <f>IF(LEFT(B152,4)&lt;&gt;"    ",0,IF(V152&gt;0.1,BI152,0))</f>
        <v/>
      </c>
      <c r="AA152" s="9">
        <f>Y152-Z152</f>
        <v/>
      </c>
      <c r="AB152" s="10" t="n"/>
      <c r="AC152" s="24" t="n"/>
      <c r="AD152" s="11" t="n"/>
      <c r="AE152" s="8" t="n"/>
      <c r="AF152" s="9">
        <f>IF(LEFT(B152,4)&lt;&gt;"    ","",AD152-AE152)</f>
        <v/>
      </c>
      <c r="AG152" s="10" t="n"/>
      <c r="AH152" s="11">
        <f>IF(LEFT(B152,4)&lt;&gt;"    ","",W152-AD152)</f>
        <v/>
      </c>
      <c r="AI152" s="8">
        <f>IF(LEFT(B152,4)&lt;&gt;"    ","",X152-AE152)</f>
        <v/>
      </c>
      <c r="AJ152" s="9">
        <f>IF(LEFT(B152,4)&lt;&gt;"    ","",Y152-AF152)</f>
        <v/>
      </c>
      <c r="AK152" s="10" t="n"/>
      <c r="AL152" s="25">
        <f>IF(LEFT(B152,4)&lt;&gt;"    ","",J152-W152)</f>
        <v/>
      </c>
      <c r="AM152" s="25">
        <f>N152-X152</f>
        <v/>
      </c>
      <c r="AN152" s="25">
        <f>IF(LEFT(B152,4)&lt;&gt;"    ","",Q152-Y152)</f>
        <v/>
      </c>
      <c r="AO152" s="10" t="n"/>
      <c r="AP152" s="12" t="n"/>
      <c r="AQ152" s="12">
        <f>IF(LEFT(B152,4)&lt;&gt;"    ","",IF(W152-AP152&gt;=0,W152-AP152," "))</f>
        <v/>
      </c>
      <c r="AR152" s="12">
        <f>IF(LEFT(B152,4)&lt;&gt;"    ","",IF(AP152-W152&gt;=0,AP152-W152," "))</f>
        <v/>
      </c>
      <c r="AS152" s="186" t="n"/>
      <c r="AT152" s="187" t="n"/>
      <c r="AU152" s="186" t="n"/>
      <c r="AV152" s="186" t="n"/>
      <c r="AW152" s="188" t="n"/>
      <c r="AX152" s="187" t="n"/>
      <c r="AY152" s="187" t="n"/>
      <c r="AZ152" s="186" t="n"/>
      <c r="BA152" s="186" t="n"/>
      <c r="BB152" s="186" t="n"/>
      <c r="BC152" s="186" t="n"/>
      <c r="BD152" s="186" t="n"/>
      <c r="BE152" s="186" t="n"/>
      <c r="BF152" s="186" t="n"/>
      <c r="BG152" s="186" t="n"/>
      <c r="BH152" s="186" t="n"/>
      <c r="BI152" s="186" t="n"/>
      <c r="BJ152" s="186" t="n"/>
      <c r="BK152" s="186" t="n"/>
      <c r="BL152" s="186" t="n"/>
      <c r="BM152" s="186" t="n"/>
      <c r="BN152" s="186" t="n"/>
      <c r="BO152" s="186" t="n"/>
      <c r="BP152" s="186" t="n"/>
      <c r="BQ152" s="186" t="n"/>
      <c r="BR152" s="189" t="n"/>
      <c r="BS152" s="189" t="n"/>
      <c r="BT152" s="186" t="n"/>
      <c r="BU152" s="186" t="n"/>
      <c r="BV152" s="190" t="n"/>
      <c r="BW152" s="186" t="n"/>
      <c r="BX152" s="186" t="n"/>
      <c r="BY152" s="186" t="n"/>
      <c r="BZ152" s="186" t="n"/>
      <c r="CA152" s="186" t="n"/>
      <c r="CB152" s="187" t="n"/>
      <c r="CC152" s="192" t="n"/>
      <c r="CD152" s="192" t="n"/>
      <c r="CE152" s="192" t="n"/>
      <c r="CF152" s="192" t="n"/>
    </row>
    <row r="153">
      <c r="A153" s="197" t="n"/>
      <c r="B153" s="198" t="n"/>
      <c r="C153" s="198" t="n"/>
      <c r="D153" s="179" t="n"/>
      <c r="E153" s="180" t="n"/>
      <c r="F153" s="181" t="n"/>
      <c r="G153" s="284">
        <f>'Jobs-Ops'!G153</f>
        <v/>
      </c>
      <c r="H153" s="114">
        <f>'Jobs-Ops'!H153</f>
        <v/>
      </c>
      <c r="I153" s="105" t="n"/>
      <c r="J153" s="183">
        <f>F153</f>
        <v/>
      </c>
      <c r="K153" s="184" t="n"/>
      <c r="L153" s="185" t="n"/>
      <c r="M153" s="8" t="n"/>
      <c r="N153" s="184">
        <f>M153</f>
        <v/>
      </c>
      <c r="O153" s="71" t="n"/>
      <c r="P153" s="101" t="n"/>
      <c r="Q153" s="9">
        <f>J153-N153</f>
        <v/>
      </c>
      <c r="R153" s="9">
        <f>IF(LEFT(B153,4)&lt;&gt;"    ",0,BI153)</f>
        <v/>
      </c>
      <c r="S153" s="9">
        <f>+Q153-R153</f>
        <v/>
      </c>
      <c r="T153" s="200">
        <f>IF('Jobs-Ops'!S153&lt;&gt; "",'Jobs-Ops'!S153,"")</f>
        <v/>
      </c>
      <c r="U153" s="10" t="n"/>
      <c r="V153" s="23">
        <f>IF(LEFT(B153,4)&lt;&gt;"    ","",IF(N153&lt;&gt;0,X153/N153,0))</f>
        <v/>
      </c>
      <c r="W153" s="11">
        <f>IF(LEFT(B153,4)&lt;&gt;"    ","",IF(V153&gt;=0.1,V153*J153,X153))</f>
        <v/>
      </c>
      <c r="X153" s="8" t="n"/>
      <c r="Y153" s="9">
        <f>IF(LEFT(B153,4)&lt;&gt;"    ",0,IF(Q153&lt;0,Q153,IF(V153&gt;0.1,W153-X153,0)))</f>
        <v/>
      </c>
      <c r="Z153" s="9">
        <f>IF(LEFT(B153,4)&lt;&gt;"    ",0,IF(V153&gt;0.1,BI153,0))</f>
        <v/>
      </c>
      <c r="AA153" s="9">
        <f>Y153-Z153</f>
        <v/>
      </c>
      <c r="AB153" s="10" t="n"/>
      <c r="AC153" s="24" t="n"/>
      <c r="AD153" s="11" t="n"/>
      <c r="AE153" s="8" t="n"/>
      <c r="AF153" s="9">
        <f>IF(LEFT(B153,4)&lt;&gt;"    ","",AD153-AE153)</f>
        <v/>
      </c>
      <c r="AG153" s="10" t="n"/>
      <c r="AH153" s="11">
        <f>IF(LEFT(B153,4)&lt;&gt;"    ","",W153-AD153)</f>
        <v/>
      </c>
      <c r="AI153" s="8">
        <f>IF(LEFT(B153,4)&lt;&gt;"    ","",X153-AE153)</f>
        <v/>
      </c>
      <c r="AJ153" s="9">
        <f>IF(LEFT(B153,4)&lt;&gt;"    ","",Y153-AF153)</f>
        <v/>
      </c>
      <c r="AK153" s="10" t="n"/>
      <c r="AL153" s="25">
        <f>IF(LEFT(B153,4)&lt;&gt;"    ","",J153-W153)</f>
        <v/>
      </c>
      <c r="AM153" s="25">
        <f>N153-X153</f>
        <v/>
      </c>
      <c r="AN153" s="25">
        <f>IF(LEFT(B153,4)&lt;&gt;"    ","",Q153-Y153)</f>
        <v/>
      </c>
      <c r="AO153" s="10" t="n"/>
      <c r="AP153" s="12" t="n"/>
      <c r="AQ153" s="12">
        <f>IF(LEFT(B153,4)&lt;&gt;"    ","",IF(W153-AP153&gt;=0,W153-AP153," "))</f>
        <v/>
      </c>
      <c r="AR153" s="12">
        <f>IF(LEFT(B153,4)&lt;&gt;"    ","",IF(AP153-W153&gt;=0,AP153-W153," "))</f>
        <v/>
      </c>
      <c r="AS153" s="186" t="n"/>
      <c r="AT153" s="187" t="n"/>
      <c r="AU153" s="186" t="n"/>
      <c r="AV153" s="186" t="n"/>
      <c r="AW153" s="188" t="n"/>
      <c r="AX153" s="187" t="n"/>
      <c r="AY153" s="187" t="n"/>
      <c r="AZ153" s="186" t="n"/>
      <c r="BA153" s="186" t="n"/>
      <c r="BB153" s="186" t="n"/>
      <c r="BC153" s="186" t="n"/>
      <c r="BD153" s="186" t="n"/>
      <c r="BE153" s="186" t="n"/>
      <c r="BF153" s="186" t="n"/>
      <c r="BG153" s="186" t="n"/>
      <c r="BH153" s="186" t="n"/>
      <c r="BI153" s="186" t="n"/>
      <c r="BJ153" s="186" t="n"/>
      <c r="BK153" s="186" t="n"/>
      <c r="BL153" s="186" t="n"/>
      <c r="BM153" s="186" t="n"/>
      <c r="BN153" s="186" t="n"/>
      <c r="BO153" s="186" t="n"/>
      <c r="BP153" s="186" t="n"/>
      <c r="BQ153" s="186" t="n"/>
      <c r="BR153" s="189" t="n"/>
      <c r="BS153" s="189" t="n"/>
      <c r="BT153" s="186" t="n"/>
      <c r="BU153" s="186" t="n"/>
      <c r="BV153" s="190" t="n"/>
      <c r="BW153" s="186" t="n"/>
      <c r="BX153" s="186" t="n"/>
      <c r="BY153" s="186" t="n"/>
      <c r="BZ153" s="186" t="n"/>
      <c r="CA153" s="186" t="n"/>
      <c r="CB153" s="187" t="n"/>
      <c r="CC153" s="192" t="n"/>
      <c r="CD153" s="192" t="n"/>
      <c r="CE153" s="192" t="n"/>
      <c r="CF153" s="192" t="n"/>
    </row>
    <row r="154">
      <c r="A154" s="197" t="n"/>
      <c r="B154" s="198" t="n"/>
      <c r="C154" s="198" t="n"/>
      <c r="D154" s="179" t="n"/>
      <c r="E154" s="180" t="n"/>
      <c r="F154" s="181" t="n"/>
      <c r="G154" s="284">
        <f>'Jobs-Ops'!G154</f>
        <v/>
      </c>
      <c r="H154" s="114">
        <f>'Jobs-Ops'!H154</f>
        <v/>
      </c>
      <c r="I154" s="105" t="n"/>
      <c r="J154" s="183">
        <f>F154</f>
        <v/>
      </c>
      <c r="K154" s="184" t="n"/>
      <c r="L154" s="185" t="n"/>
      <c r="M154" s="8" t="n"/>
      <c r="N154" s="184">
        <f>M154</f>
        <v/>
      </c>
      <c r="O154" s="71" t="n"/>
      <c r="P154" s="101" t="n"/>
      <c r="Q154" s="9">
        <f>J154-N154</f>
        <v/>
      </c>
      <c r="R154" s="9">
        <f>IF(LEFT(B154,4)&lt;&gt;"    ",0,BI154)</f>
        <v/>
      </c>
      <c r="S154" s="9">
        <f>+Q154-R154</f>
        <v/>
      </c>
      <c r="T154" s="200">
        <f>IF('Jobs-Ops'!S154&lt;&gt; "",'Jobs-Ops'!S154,"")</f>
        <v/>
      </c>
      <c r="U154" s="10" t="n"/>
      <c r="V154" s="23">
        <f>IF(LEFT(B154,4)&lt;&gt;"    ","",IF(N154&lt;&gt;0,X154/N154,0))</f>
        <v/>
      </c>
      <c r="W154" s="11">
        <f>IF(LEFT(B154,4)&lt;&gt;"    ","",IF(V154&gt;=0.1,V154*J154,X154))</f>
        <v/>
      </c>
      <c r="X154" s="8" t="n"/>
      <c r="Y154" s="9">
        <f>IF(LEFT(B154,4)&lt;&gt;"    ",0,IF(Q154&lt;0,Q154,IF(V154&gt;0.1,W154-X154,0)))</f>
        <v/>
      </c>
      <c r="Z154" s="9">
        <f>IF(LEFT(B154,4)&lt;&gt;"    ",0,IF(V154&gt;0.1,BI154,0))</f>
        <v/>
      </c>
      <c r="AA154" s="9">
        <f>Y154-Z154</f>
        <v/>
      </c>
      <c r="AB154" s="10" t="n"/>
      <c r="AC154" s="24" t="n"/>
      <c r="AD154" s="11" t="n"/>
      <c r="AE154" s="8" t="n"/>
      <c r="AF154" s="9">
        <f>IF(LEFT(B154,4)&lt;&gt;"    ","",AD154-AE154)</f>
        <v/>
      </c>
      <c r="AG154" s="10" t="n"/>
      <c r="AH154" s="11">
        <f>IF(LEFT(B154,4)&lt;&gt;"    ","",W154-AD154)</f>
        <v/>
      </c>
      <c r="AI154" s="8">
        <f>IF(LEFT(B154,4)&lt;&gt;"    ","",X154-AE154)</f>
        <v/>
      </c>
      <c r="AJ154" s="9">
        <f>IF(LEFT(B154,4)&lt;&gt;"    ","",Y154-AF154)</f>
        <v/>
      </c>
      <c r="AK154" s="10" t="n"/>
      <c r="AL154" s="25">
        <f>IF(LEFT(B154,4)&lt;&gt;"    ","",J154-W154)</f>
        <v/>
      </c>
      <c r="AM154" s="25">
        <f>N154-X154</f>
        <v/>
      </c>
      <c r="AN154" s="25">
        <f>IF(LEFT(B154,4)&lt;&gt;"    ","",Q154-Y154)</f>
        <v/>
      </c>
      <c r="AO154" s="10" t="n"/>
      <c r="AP154" s="12" t="n"/>
      <c r="AQ154" s="12">
        <f>IF(LEFT(B154,4)&lt;&gt;"    ","",IF(W154-AP154&gt;=0,W154-AP154," "))</f>
        <v/>
      </c>
      <c r="AR154" s="12">
        <f>IF(LEFT(B154,4)&lt;&gt;"    ","",IF(AP154-W154&gt;=0,AP154-W154," "))</f>
        <v/>
      </c>
      <c r="AS154" s="186" t="n"/>
      <c r="AT154" s="187" t="n"/>
      <c r="AU154" s="186" t="n"/>
      <c r="AV154" s="186" t="n"/>
      <c r="AW154" s="188" t="n"/>
      <c r="AX154" s="187" t="n"/>
      <c r="AY154" s="187" t="n"/>
      <c r="AZ154" s="186" t="n"/>
      <c r="BA154" s="186" t="n"/>
      <c r="BB154" s="186" t="n"/>
      <c r="BC154" s="186" t="n"/>
      <c r="BD154" s="186" t="n"/>
      <c r="BE154" s="186" t="n"/>
      <c r="BF154" s="186" t="n"/>
      <c r="BG154" s="186" t="n"/>
      <c r="BH154" s="186" t="n"/>
      <c r="BI154" s="186" t="n"/>
      <c r="BJ154" s="186" t="n"/>
      <c r="BK154" s="186" t="n"/>
      <c r="BL154" s="186" t="n"/>
      <c r="BM154" s="186" t="n"/>
      <c r="BN154" s="186" t="n"/>
      <c r="BO154" s="186" t="n"/>
      <c r="BP154" s="186" t="n"/>
      <c r="BQ154" s="186" t="n"/>
      <c r="BR154" s="189" t="n"/>
      <c r="BS154" s="189" t="n"/>
      <c r="BT154" s="186" t="n"/>
      <c r="BU154" s="186" t="n"/>
      <c r="BV154" s="190" t="n"/>
      <c r="BW154" s="186" t="n"/>
      <c r="BX154" s="186" t="n"/>
      <c r="BY154" s="186" t="n"/>
      <c r="BZ154" s="186" t="n"/>
      <c r="CA154" s="186" t="n"/>
      <c r="CB154" s="187" t="n"/>
      <c r="CC154" s="192" t="n"/>
      <c r="CD154" s="192" t="n"/>
      <c r="CE154" s="192" t="n"/>
      <c r="CF154" s="192" t="n"/>
    </row>
    <row r="155">
      <c r="A155" s="197" t="n"/>
      <c r="B155" s="198" t="n"/>
      <c r="C155" s="198" t="n"/>
      <c r="D155" s="179" t="n"/>
      <c r="E155" s="180" t="n"/>
      <c r="F155" s="181" t="n"/>
      <c r="G155" s="284">
        <f>'Jobs-Ops'!G155</f>
        <v/>
      </c>
      <c r="H155" s="114">
        <f>'Jobs-Ops'!H155</f>
        <v/>
      </c>
      <c r="I155" s="105" t="n"/>
      <c r="J155" s="183">
        <f>F155</f>
        <v/>
      </c>
      <c r="K155" s="184" t="n"/>
      <c r="L155" s="185" t="n"/>
      <c r="M155" s="8" t="n"/>
      <c r="N155" s="184">
        <f>M155</f>
        <v/>
      </c>
      <c r="O155" s="71" t="n"/>
      <c r="P155" s="101" t="n"/>
      <c r="Q155" s="9">
        <f>J155-N155</f>
        <v/>
      </c>
      <c r="R155" s="9">
        <f>IF(LEFT(B155,4)&lt;&gt;"    ",0,BI155)</f>
        <v/>
      </c>
      <c r="S155" s="9">
        <f>+Q155-R155</f>
        <v/>
      </c>
      <c r="T155" s="200">
        <f>IF('Jobs-Ops'!S155&lt;&gt; "",'Jobs-Ops'!S155,"")</f>
        <v/>
      </c>
      <c r="U155" s="10" t="n"/>
      <c r="V155" s="23">
        <f>IF(LEFT(B155,4)&lt;&gt;"    ","",IF(N155&lt;&gt;0,X155/N155,0))</f>
        <v/>
      </c>
      <c r="W155" s="11">
        <f>IF(LEFT(B155,4)&lt;&gt;"    ","",IF(V155&gt;=0.1,V155*J155,X155))</f>
        <v/>
      </c>
      <c r="X155" s="8" t="n"/>
      <c r="Y155" s="9">
        <f>IF(LEFT(B155,4)&lt;&gt;"    ",0,IF(Q155&lt;0,Q155,IF(V155&gt;0.1,W155-X155,0)))</f>
        <v/>
      </c>
      <c r="Z155" s="9">
        <f>IF(LEFT(B155,4)&lt;&gt;"    ",0,IF(V155&gt;0.1,BI155,0))</f>
        <v/>
      </c>
      <c r="AA155" s="9">
        <f>Y155-Z155</f>
        <v/>
      </c>
      <c r="AB155" s="10" t="n"/>
      <c r="AC155" s="24" t="n"/>
      <c r="AD155" s="11" t="n"/>
      <c r="AE155" s="8" t="n"/>
      <c r="AF155" s="9">
        <f>IF(LEFT(B155,4)&lt;&gt;"    ","",AD155-AE155)</f>
        <v/>
      </c>
      <c r="AG155" s="10" t="n"/>
      <c r="AH155" s="11">
        <f>IF(LEFT(B155,4)&lt;&gt;"    ","",W155-AD155)</f>
        <v/>
      </c>
      <c r="AI155" s="8">
        <f>IF(LEFT(B155,4)&lt;&gt;"    ","",X155-AE155)</f>
        <v/>
      </c>
      <c r="AJ155" s="9">
        <f>IF(LEFT(B155,4)&lt;&gt;"    ","",Y155-AF155)</f>
        <v/>
      </c>
      <c r="AK155" s="10" t="n"/>
      <c r="AL155" s="25">
        <f>IF(LEFT(B155,4)&lt;&gt;"    ","",J155-W155)</f>
        <v/>
      </c>
      <c r="AM155" s="25">
        <f>N155-X155</f>
        <v/>
      </c>
      <c r="AN155" s="25">
        <f>IF(LEFT(B155,4)&lt;&gt;"    ","",Q155-Y155)</f>
        <v/>
      </c>
      <c r="AO155" s="10" t="n"/>
      <c r="AP155" s="12" t="n"/>
      <c r="AQ155" s="12">
        <f>IF(LEFT(B155,4)&lt;&gt;"    ","",IF(W155-AP155&gt;=0,W155-AP155," "))</f>
        <v/>
      </c>
      <c r="AR155" s="12">
        <f>IF(LEFT(B155,4)&lt;&gt;"    ","",IF(AP155-W155&gt;=0,AP155-W155," "))</f>
        <v/>
      </c>
      <c r="AS155" s="186" t="n"/>
      <c r="AT155" s="187" t="n"/>
      <c r="AU155" s="186" t="n"/>
      <c r="AV155" s="186" t="n"/>
      <c r="AW155" s="188" t="n"/>
      <c r="AX155" s="187" t="n"/>
      <c r="AY155" s="187" t="n"/>
      <c r="AZ155" s="186" t="n"/>
      <c r="BA155" s="186" t="n"/>
      <c r="BB155" s="186" t="n"/>
      <c r="BC155" s="186" t="n"/>
      <c r="BD155" s="186" t="n"/>
      <c r="BE155" s="186" t="n"/>
      <c r="BF155" s="186" t="n"/>
      <c r="BG155" s="186" t="n"/>
      <c r="BH155" s="186" t="n"/>
      <c r="BI155" s="186" t="n"/>
      <c r="BJ155" s="186" t="n"/>
      <c r="BK155" s="186" t="n"/>
      <c r="BL155" s="186" t="n"/>
      <c r="BM155" s="186" t="n"/>
      <c r="BN155" s="186" t="n"/>
      <c r="BO155" s="186" t="n"/>
      <c r="BP155" s="186" t="n"/>
      <c r="BQ155" s="186" t="n"/>
      <c r="BR155" s="189" t="n"/>
      <c r="BS155" s="189" t="n"/>
      <c r="BT155" s="186" t="n"/>
      <c r="BU155" s="186" t="n"/>
      <c r="BV155" s="190" t="n"/>
      <c r="BW155" s="186" t="n"/>
      <c r="BX155" s="186" t="n"/>
      <c r="BY155" s="186" t="n"/>
      <c r="BZ155" s="186" t="n"/>
      <c r="CA155" s="186" t="n"/>
      <c r="CB155" s="187" t="n"/>
      <c r="CC155" s="192" t="n"/>
      <c r="CD155" s="192" t="n"/>
      <c r="CE155" s="192" t="n"/>
      <c r="CF155" s="192" t="n"/>
    </row>
    <row r="156">
      <c r="A156" s="197" t="n"/>
      <c r="B156" s="198" t="n"/>
      <c r="C156" s="198" t="n"/>
      <c r="D156" s="179" t="n"/>
      <c r="E156" s="180" t="n"/>
      <c r="F156" s="181" t="n"/>
      <c r="G156" s="284">
        <f>'Jobs-Ops'!G156</f>
        <v/>
      </c>
      <c r="H156" s="114">
        <f>'Jobs-Ops'!H156</f>
        <v/>
      </c>
      <c r="I156" s="105" t="n"/>
      <c r="J156" s="183">
        <f>F156</f>
        <v/>
      </c>
      <c r="K156" s="184" t="n"/>
      <c r="L156" s="185" t="n"/>
      <c r="M156" s="8" t="n"/>
      <c r="N156" s="184">
        <f>M156</f>
        <v/>
      </c>
      <c r="O156" s="71" t="n"/>
      <c r="P156" s="101" t="n"/>
      <c r="Q156" s="9">
        <f>J156-N156</f>
        <v/>
      </c>
      <c r="R156" s="9">
        <f>IF(LEFT(B156,4)&lt;&gt;"    ",0,BI156)</f>
        <v/>
      </c>
      <c r="S156" s="9">
        <f>+Q156-R156</f>
        <v/>
      </c>
      <c r="T156" s="200">
        <f>IF('Jobs-Ops'!S156&lt;&gt; "",'Jobs-Ops'!S156,"")</f>
        <v/>
      </c>
      <c r="U156" s="10" t="n"/>
      <c r="V156" s="23">
        <f>IF(LEFT(B156,4)&lt;&gt;"    ","",IF(N156&lt;&gt;0,X156/N156,0))</f>
        <v/>
      </c>
      <c r="W156" s="11">
        <f>IF(LEFT(B156,4)&lt;&gt;"    ","",IF(V156&gt;=0.1,V156*J156,X156))</f>
        <v/>
      </c>
      <c r="X156" s="8" t="n"/>
      <c r="Y156" s="9">
        <f>IF(LEFT(B156,4)&lt;&gt;"    ",0,IF(Q156&lt;0,Q156,IF(V156&gt;0.1,W156-X156,0)))</f>
        <v/>
      </c>
      <c r="Z156" s="9">
        <f>IF(LEFT(B156,4)&lt;&gt;"    ",0,IF(V156&gt;0.1,BI156,0))</f>
        <v/>
      </c>
      <c r="AA156" s="9">
        <f>Y156-Z156</f>
        <v/>
      </c>
      <c r="AB156" s="10" t="n"/>
      <c r="AC156" s="24" t="n"/>
      <c r="AD156" s="11" t="n"/>
      <c r="AE156" s="8" t="n"/>
      <c r="AF156" s="9">
        <f>IF(LEFT(B156,4)&lt;&gt;"    ","",AD156-AE156)</f>
        <v/>
      </c>
      <c r="AG156" s="10" t="n"/>
      <c r="AH156" s="11">
        <f>IF(LEFT(B156,4)&lt;&gt;"    ","",W156-AD156)</f>
        <v/>
      </c>
      <c r="AI156" s="8">
        <f>IF(LEFT(B156,4)&lt;&gt;"    ","",X156-AE156)</f>
        <v/>
      </c>
      <c r="AJ156" s="9">
        <f>IF(LEFT(B156,4)&lt;&gt;"    ","",Y156-AF156)</f>
        <v/>
      </c>
      <c r="AK156" s="10" t="n"/>
      <c r="AL156" s="25">
        <f>IF(LEFT(B156,4)&lt;&gt;"    ","",J156-W156)</f>
        <v/>
      </c>
      <c r="AM156" s="25">
        <f>N156-X156</f>
        <v/>
      </c>
      <c r="AN156" s="25">
        <f>IF(LEFT(B156,4)&lt;&gt;"    ","",Q156-Y156)</f>
        <v/>
      </c>
      <c r="AO156" s="10" t="n"/>
      <c r="AP156" s="12" t="n"/>
      <c r="AQ156" s="12">
        <f>IF(LEFT(B156,4)&lt;&gt;"    ","",IF(W156-AP156&gt;=0,W156-AP156," "))</f>
        <v/>
      </c>
      <c r="AR156" s="12">
        <f>IF(LEFT(B156,4)&lt;&gt;"    ","",IF(AP156-W156&gt;=0,AP156-W156," "))</f>
        <v/>
      </c>
      <c r="AS156" s="186" t="n"/>
      <c r="AT156" s="187" t="n"/>
      <c r="AU156" s="186" t="n"/>
      <c r="AV156" s="186" t="n"/>
      <c r="AW156" s="188" t="n"/>
      <c r="AX156" s="187" t="n"/>
      <c r="AY156" s="187" t="n"/>
      <c r="AZ156" s="186" t="n"/>
      <c r="BA156" s="186" t="n"/>
      <c r="BB156" s="186" t="n"/>
      <c r="BC156" s="186" t="n"/>
      <c r="BD156" s="186" t="n"/>
      <c r="BE156" s="186" t="n"/>
      <c r="BF156" s="186" t="n"/>
      <c r="BG156" s="186" t="n"/>
      <c r="BH156" s="186" t="n"/>
      <c r="BI156" s="186" t="n"/>
      <c r="BJ156" s="186" t="n"/>
      <c r="BK156" s="186" t="n"/>
      <c r="BL156" s="186" t="n"/>
      <c r="BM156" s="186" t="n"/>
      <c r="BN156" s="186" t="n"/>
      <c r="BO156" s="186" t="n"/>
      <c r="BP156" s="186" t="n"/>
      <c r="BQ156" s="186" t="n"/>
      <c r="BR156" s="189" t="n"/>
      <c r="BS156" s="189" t="n"/>
      <c r="BT156" s="186" t="n"/>
      <c r="BU156" s="186" t="n"/>
      <c r="BV156" s="190" t="n"/>
      <c r="BW156" s="186" t="n"/>
      <c r="BX156" s="186" t="n"/>
      <c r="BY156" s="186" t="n"/>
      <c r="BZ156" s="186" t="n"/>
      <c r="CA156" s="186" t="n"/>
      <c r="CB156" s="187" t="n"/>
      <c r="CC156" s="192" t="n"/>
      <c r="CD156" s="192" t="n"/>
      <c r="CE156" s="192" t="n"/>
      <c r="CF156" s="192" t="n"/>
    </row>
    <row r="157">
      <c r="A157" s="197" t="n"/>
      <c r="B157" s="198" t="n"/>
      <c r="C157" s="198" t="n"/>
      <c r="D157" s="179" t="n"/>
      <c r="E157" s="180" t="n"/>
      <c r="F157" s="181" t="n"/>
      <c r="G157" s="284">
        <f>'Jobs-Ops'!G157</f>
        <v/>
      </c>
      <c r="H157" s="114">
        <f>'Jobs-Ops'!H157</f>
        <v/>
      </c>
      <c r="I157" s="105" t="n"/>
      <c r="J157" s="183">
        <f>F157</f>
        <v/>
      </c>
      <c r="K157" s="184" t="n"/>
      <c r="L157" s="185" t="n"/>
      <c r="M157" s="8" t="n"/>
      <c r="N157" s="184">
        <f>M157</f>
        <v/>
      </c>
      <c r="O157" s="71" t="n"/>
      <c r="P157" s="101" t="n"/>
      <c r="Q157" s="9">
        <f>J157-N157</f>
        <v/>
      </c>
      <c r="R157" s="9">
        <f>IF(LEFT(B157,4)&lt;&gt;"    ",0,BI157)</f>
        <v/>
      </c>
      <c r="S157" s="9">
        <f>+Q157-R157</f>
        <v/>
      </c>
      <c r="T157" s="200">
        <f>IF('Jobs-Ops'!S157&lt;&gt; "",'Jobs-Ops'!S157,"")</f>
        <v/>
      </c>
      <c r="U157" s="10" t="n"/>
      <c r="V157" s="23">
        <f>IF(LEFT(B157,4)&lt;&gt;"    ","",IF(N157&lt;&gt;0,X157/N157,0))</f>
        <v/>
      </c>
      <c r="W157" s="11">
        <f>IF(LEFT(B157,4)&lt;&gt;"    ","",IF(V157&gt;=0.1,V157*J157,X157))</f>
        <v/>
      </c>
      <c r="X157" s="8" t="n"/>
      <c r="Y157" s="9">
        <f>IF(LEFT(B157,4)&lt;&gt;"    ",0,IF(Q157&lt;0,Q157,IF(V157&gt;0.1,W157-X157,0)))</f>
        <v/>
      </c>
      <c r="Z157" s="9">
        <f>IF(LEFT(B157,4)&lt;&gt;"    ",0,IF(V157&gt;0.1,BI157,0))</f>
        <v/>
      </c>
      <c r="AA157" s="9">
        <f>Y157-Z157</f>
        <v/>
      </c>
      <c r="AB157" s="10" t="n"/>
      <c r="AC157" s="24" t="n"/>
      <c r="AD157" s="11" t="n"/>
      <c r="AE157" s="8" t="n"/>
      <c r="AF157" s="9">
        <f>IF(LEFT(B157,4)&lt;&gt;"    ","",AD157-AE157)</f>
        <v/>
      </c>
      <c r="AG157" s="10" t="n"/>
      <c r="AH157" s="11">
        <f>IF(LEFT(B157,4)&lt;&gt;"    ","",W157-AD157)</f>
        <v/>
      </c>
      <c r="AI157" s="8">
        <f>IF(LEFT(B157,4)&lt;&gt;"    ","",X157-AE157)</f>
        <v/>
      </c>
      <c r="AJ157" s="9">
        <f>IF(LEFT(B157,4)&lt;&gt;"    ","",Y157-AF157)</f>
        <v/>
      </c>
      <c r="AK157" s="10" t="n"/>
      <c r="AL157" s="25">
        <f>IF(LEFT(B157,4)&lt;&gt;"    ","",J157-W157)</f>
        <v/>
      </c>
      <c r="AM157" s="25">
        <f>N157-X157</f>
        <v/>
      </c>
      <c r="AN157" s="25">
        <f>IF(LEFT(B157,4)&lt;&gt;"    ","",Q157-Y157)</f>
        <v/>
      </c>
      <c r="AO157" s="10" t="n"/>
      <c r="AP157" s="12" t="n"/>
      <c r="AQ157" s="12">
        <f>IF(LEFT(B157,4)&lt;&gt;"    ","",IF(W157-AP157&gt;=0,W157-AP157," "))</f>
        <v/>
      </c>
      <c r="AR157" s="12">
        <f>IF(LEFT(B157,4)&lt;&gt;"    ","",IF(AP157-W157&gt;=0,AP157-W157," "))</f>
        <v/>
      </c>
      <c r="AS157" s="186" t="n"/>
      <c r="AT157" s="187" t="n"/>
      <c r="AU157" s="186" t="n"/>
      <c r="AV157" s="186" t="n"/>
      <c r="AW157" s="188" t="n"/>
      <c r="AX157" s="187" t="n"/>
      <c r="AY157" s="187" t="n"/>
      <c r="AZ157" s="186" t="n"/>
      <c r="BA157" s="186" t="n"/>
      <c r="BB157" s="186" t="n"/>
      <c r="BC157" s="186" t="n"/>
      <c r="BD157" s="186" t="n"/>
      <c r="BE157" s="186" t="n"/>
      <c r="BF157" s="186" t="n"/>
      <c r="BG157" s="186" t="n"/>
      <c r="BH157" s="186" t="n"/>
      <c r="BI157" s="186" t="n"/>
      <c r="BJ157" s="186" t="n"/>
      <c r="BK157" s="186" t="n"/>
      <c r="BL157" s="186" t="n"/>
      <c r="BM157" s="186" t="n"/>
      <c r="BN157" s="186" t="n"/>
      <c r="BO157" s="186" t="n"/>
      <c r="BP157" s="186" t="n"/>
      <c r="BQ157" s="186" t="n"/>
      <c r="BR157" s="189" t="n"/>
      <c r="BS157" s="189" t="n"/>
      <c r="BT157" s="186" t="n"/>
      <c r="BU157" s="186" t="n"/>
      <c r="BV157" s="190" t="n"/>
      <c r="BW157" s="186" t="n"/>
      <c r="BX157" s="186" t="n"/>
      <c r="BY157" s="186" t="n"/>
      <c r="BZ157" s="186" t="n"/>
      <c r="CA157" s="186" t="n"/>
      <c r="CB157" s="187" t="n"/>
      <c r="CC157" s="192" t="n"/>
      <c r="CD157" s="192" t="n"/>
      <c r="CE157" s="192" t="n"/>
      <c r="CF157" s="192" t="n"/>
    </row>
    <row r="158">
      <c r="A158" s="197" t="n"/>
      <c r="B158" s="198" t="n"/>
      <c r="C158" s="198" t="n"/>
      <c r="D158" s="179" t="n"/>
      <c r="E158" s="180" t="n"/>
      <c r="F158" s="181" t="n"/>
      <c r="G158" s="284">
        <f>'Jobs-Ops'!G158</f>
        <v/>
      </c>
      <c r="H158" s="114">
        <f>'Jobs-Ops'!H158</f>
        <v/>
      </c>
      <c r="I158" s="105" t="n"/>
      <c r="J158" s="183">
        <f>F158</f>
        <v/>
      </c>
      <c r="K158" s="184" t="n"/>
      <c r="L158" s="185" t="n"/>
      <c r="M158" s="8" t="n"/>
      <c r="N158" s="184">
        <f>M158</f>
        <v/>
      </c>
      <c r="O158" s="71" t="n"/>
      <c r="P158" s="101" t="n"/>
      <c r="Q158" s="9">
        <f>J158-N158</f>
        <v/>
      </c>
      <c r="R158" s="9">
        <f>IF(LEFT(B158,4)&lt;&gt;"    ",0,BI158)</f>
        <v/>
      </c>
      <c r="S158" s="9">
        <f>+Q158-R158</f>
        <v/>
      </c>
      <c r="T158" s="200">
        <f>IF('Jobs-Ops'!S158&lt;&gt; "",'Jobs-Ops'!S158,"")</f>
        <v/>
      </c>
      <c r="U158" s="10" t="n"/>
      <c r="V158" s="23">
        <f>IF(LEFT(B158,4)&lt;&gt;"    ","",IF(N158&lt;&gt;0,X158/N158,0))</f>
        <v/>
      </c>
      <c r="W158" s="11">
        <f>IF(LEFT(B158,4)&lt;&gt;"    ","",IF(V158&gt;=0.1,V158*J158,X158))</f>
        <v/>
      </c>
      <c r="X158" s="8" t="n"/>
      <c r="Y158" s="9">
        <f>IF(LEFT(B158,4)&lt;&gt;"    ",0,IF(Q158&lt;0,Q158,IF(V158&gt;0.1,W158-X158,0)))</f>
        <v/>
      </c>
      <c r="Z158" s="9">
        <f>IF(LEFT(B158,4)&lt;&gt;"    ",0,IF(V158&gt;0.1,BI158,0))</f>
        <v/>
      </c>
      <c r="AA158" s="9">
        <f>Y158-Z158</f>
        <v/>
      </c>
      <c r="AB158" s="10" t="n"/>
      <c r="AC158" s="24" t="n"/>
      <c r="AD158" s="11" t="n"/>
      <c r="AE158" s="8" t="n"/>
      <c r="AF158" s="9">
        <f>IF(LEFT(B158,4)&lt;&gt;"    ","",AD158-AE158)</f>
        <v/>
      </c>
      <c r="AG158" s="10" t="n"/>
      <c r="AH158" s="11">
        <f>IF(LEFT(B158,4)&lt;&gt;"    ","",W158-AD158)</f>
        <v/>
      </c>
      <c r="AI158" s="8">
        <f>IF(LEFT(B158,4)&lt;&gt;"    ","",X158-AE158)</f>
        <v/>
      </c>
      <c r="AJ158" s="9">
        <f>IF(LEFT(B158,4)&lt;&gt;"    ","",Y158-AF158)</f>
        <v/>
      </c>
      <c r="AK158" s="10" t="n"/>
      <c r="AL158" s="25">
        <f>IF(LEFT(B158,4)&lt;&gt;"    ","",J158-W158)</f>
        <v/>
      </c>
      <c r="AM158" s="25">
        <f>N158-X158</f>
        <v/>
      </c>
      <c r="AN158" s="25">
        <f>IF(LEFT(B158,4)&lt;&gt;"    ","",Q158-Y158)</f>
        <v/>
      </c>
      <c r="AO158" s="10" t="n"/>
      <c r="AP158" s="12" t="n"/>
      <c r="AQ158" s="12">
        <f>IF(LEFT(B158,4)&lt;&gt;"    ","",IF(W158-AP158&gt;=0,W158-AP158," "))</f>
        <v/>
      </c>
      <c r="AR158" s="12">
        <f>IF(LEFT(B158,4)&lt;&gt;"    ","",IF(AP158-W158&gt;=0,AP158-W158," "))</f>
        <v/>
      </c>
      <c r="AS158" s="186" t="n"/>
      <c r="AT158" s="187" t="n"/>
      <c r="AU158" s="186" t="n"/>
      <c r="AV158" s="186" t="n"/>
      <c r="AW158" s="188" t="n"/>
      <c r="AX158" s="187" t="n"/>
      <c r="AY158" s="187" t="n"/>
      <c r="AZ158" s="186" t="n"/>
      <c r="BA158" s="186" t="n"/>
      <c r="BB158" s="186" t="n"/>
      <c r="BC158" s="186" t="n"/>
      <c r="BD158" s="186" t="n"/>
      <c r="BE158" s="186" t="n"/>
      <c r="BF158" s="186" t="n"/>
      <c r="BG158" s="186" t="n"/>
      <c r="BH158" s="186" t="n"/>
      <c r="BI158" s="186" t="n"/>
      <c r="BJ158" s="186" t="n"/>
      <c r="BK158" s="186" t="n"/>
      <c r="BL158" s="186" t="n"/>
      <c r="BM158" s="186" t="n"/>
      <c r="BN158" s="186" t="n"/>
      <c r="BO158" s="186" t="n"/>
      <c r="BP158" s="186" t="n"/>
      <c r="BQ158" s="186" t="n"/>
      <c r="BR158" s="189" t="n"/>
      <c r="BS158" s="189" t="n"/>
      <c r="BT158" s="186" t="n"/>
      <c r="BU158" s="186" t="n"/>
      <c r="BV158" s="190" t="n"/>
      <c r="BW158" s="186" t="n"/>
      <c r="BX158" s="186" t="n"/>
      <c r="BY158" s="186" t="n"/>
      <c r="BZ158" s="186" t="n"/>
      <c r="CA158" s="186" t="n"/>
      <c r="CB158" s="187" t="n"/>
      <c r="CC158" s="192" t="n"/>
      <c r="CD158" s="192" t="n"/>
      <c r="CE158" s="192" t="n"/>
      <c r="CF158" s="192" t="n"/>
    </row>
    <row r="159">
      <c r="A159" s="197" t="n"/>
      <c r="B159" s="198" t="n"/>
      <c r="C159" s="198" t="n"/>
      <c r="D159" s="179" t="n"/>
      <c r="E159" s="180" t="n"/>
      <c r="F159" s="181" t="n"/>
      <c r="G159" s="284">
        <f>'Jobs-Ops'!G159</f>
        <v/>
      </c>
      <c r="H159" s="114">
        <f>'Jobs-Ops'!H159</f>
        <v/>
      </c>
      <c r="I159" s="105" t="n"/>
      <c r="J159" s="183">
        <f>F159</f>
        <v/>
      </c>
      <c r="K159" s="184" t="n"/>
      <c r="L159" s="185" t="n"/>
      <c r="M159" s="8" t="n"/>
      <c r="N159" s="184">
        <f>M159</f>
        <v/>
      </c>
      <c r="O159" s="71" t="n"/>
      <c r="P159" s="101" t="n"/>
      <c r="Q159" s="9">
        <f>J159-N159</f>
        <v/>
      </c>
      <c r="R159" s="9">
        <f>IF(LEFT(B159,4)&lt;&gt;"    ",0,BI159)</f>
        <v/>
      </c>
      <c r="S159" s="9">
        <f>+Q159-R159</f>
        <v/>
      </c>
      <c r="T159" s="200">
        <f>IF('Jobs-Ops'!S159&lt;&gt; "",'Jobs-Ops'!S159,"")</f>
        <v/>
      </c>
      <c r="U159" s="10" t="n"/>
      <c r="V159" s="23">
        <f>IF(LEFT(B159,4)&lt;&gt;"    ","",IF(N159&lt;&gt;0,X159/N159,0))</f>
        <v/>
      </c>
      <c r="W159" s="11">
        <f>IF(LEFT(B159,4)&lt;&gt;"    ","",IF(V159&gt;=0.1,V159*J159,X159))</f>
        <v/>
      </c>
      <c r="X159" s="8" t="n"/>
      <c r="Y159" s="9">
        <f>IF(LEFT(B159,4)&lt;&gt;"    ",0,IF(Q159&lt;0,Q159,IF(V159&gt;0.1,W159-X159,0)))</f>
        <v/>
      </c>
      <c r="Z159" s="9">
        <f>IF(LEFT(B159,4)&lt;&gt;"    ",0,IF(V159&gt;0.1,BI159,0))</f>
        <v/>
      </c>
      <c r="AA159" s="9">
        <f>Y159-Z159</f>
        <v/>
      </c>
      <c r="AB159" s="10" t="n"/>
      <c r="AC159" s="24" t="n"/>
      <c r="AD159" s="11" t="n"/>
      <c r="AE159" s="8" t="n"/>
      <c r="AF159" s="9">
        <f>IF(LEFT(B159,4)&lt;&gt;"    ","",AD159-AE159)</f>
        <v/>
      </c>
      <c r="AG159" s="10" t="n"/>
      <c r="AH159" s="11">
        <f>IF(LEFT(B159,4)&lt;&gt;"    ","",W159-AD159)</f>
        <v/>
      </c>
      <c r="AI159" s="8">
        <f>IF(LEFT(B159,4)&lt;&gt;"    ","",X159-AE159)</f>
        <v/>
      </c>
      <c r="AJ159" s="9">
        <f>IF(LEFT(B159,4)&lt;&gt;"    ","",Y159-AF159)</f>
        <v/>
      </c>
      <c r="AK159" s="10" t="n"/>
      <c r="AL159" s="25">
        <f>IF(LEFT(B159,4)&lt;&gt;"    ","",J159-W159)</f>
        <v/>
      </c>
      <c r="AM159" s="25">
        <f>N159-X159</f>
        <v/>
      </c>
      <c r="AN159" s="25">
        <f>IF(LEFT(B159,4)&lt;&gt;"    ","",Q159-Y159)</f>
        <v/>
      </c>
      <c r="AO159" s="10" t="n"/>
      <c r="AP159" s="12" t="n"/>
      <c r="AQ159" s="12">
        <f>IF(LEFT(B159,4)&lt;&gt;"    ","",IF(W159-AP159&gt;=0,W159-AP159," "))</f>
        <v/>
      </c>
      <c r="AR159" s="12">
        <f>IF(LEFT(B159,4)&lt;&gt;"    ","",IF(AP159-W159&gt;=0,AP159-W159," "))</f>
        <v/>
      </c>
      <c r="AS159" s="186" t="n"/>
      <c r="AT159" s="187" t="n"/>
      <c r="AU159" s="186" t="n"/>
      <c r="AV159" s="186" t="n"/>
      <c r="AW159" s="188" t="n"/>
      <c r="AX159" s="187" t="n"/>
      <c r="AY159" s="187" t="n"/>
      <c r="AZ159" s="186" t="n"/>
      <c r="BA159" s="186" t="n"/>
      <c r="BB159" s="186" t="n"/>
      <c r="BC159" s="186" t="n"/>
      <c r="BD159" s="186" t="n"/>
      <c r="BE159" s="186" t="n"/>
      <c r="BF159" s="186" t="n"/>
      <c r="BG159" s="186" t="n"/>
      <c r="BH159" s="186" t="n"/>
      <c r="BI159" s="186" t="n"/>
      <c r="BJ159" s="186" t="n"/>
      <c r="BK159" s="186" t="n"/>
      <c r="BL159" s="186" t="n"/>
      <c r="BM159" s="186" t="n"/>
      <c r="BN159" s="186" t="n"/>
      <c r="BO159" s="186" t="n"/>
      <c r="BP159" s="186" t="n"/>
      <c r="BQ159" s="186" t="n"/>
      <c r="BR159" s="189" t="n"/>
      <c r="BS159" s="189" t="n"/>
      <c r="BT159" s="186" t="n"/>
      <c r="BU159" s="186" t="n"/>
      <c r="BV159" s="190" t="n"/>
      <c r="BW159" s="186" t="n"/>
      <c r="BX159" s="186" t="n"/>
      <c r="BY159" s="186" t="n"/>
      <c r="BZ159" s="186" t="n"/>
      <c r="CA159" s="186" t="n"/>
      <c r="CB159" s="187" t="n"/>
      <c r="CC159" s="192" t="n"/>
      <c r="CD159" s="192" t="n"/>
      <c r="CE159" s="192" t="n"/>
      <c r="CF159" s="192" t="n"/>
    </row>
    <row r="160">
      <c r="A160" s="197" t="n"/>
      <c r="B160" s="198" t="n"/>
      <c r="C160" s="198" t="n"/>
      <c r="D160" s="179" t="n"/>
      <c r="E160" s="180" t="n"/>
      <c r="F160" s="181" t="n"/>
      <c r="G160" s="284">
        <f>'Jobs-Ops'!G160</f>
        <v/>
      </c>
      <c r="H160" s="114">
        <f>'Jobs-Ops'!H160</f>
        <v/>
      </c>
      <c r="I160" s="105" t="n"/>
      <c r="J160" s="183">
        <f>F160</f>
        <v/>
      </c>
      <c r="K160" s="184" t="n"/>
      <c r="L160" s="185" t="n"/>
      <c r="M160" s="8" t="n"/>
      <c r="N160" s="184">
        <f>M160</f>
        <v/>
      </c>
      <c r="O160" s="71" t="n"/>
      <c r="P160" s="101" t="n"/>
      <c r="Q160" s="9">
        <f>J160-N160</f>
        <v/>
      </c>
      <c r="R160" s="9">
        <f>IF(LEFT(B160,4)&lt;&gt;"    ",0,BI160)</f>
        <v/>
      </c>
      <c r="S160" s="9">
        <f>+Q160-R160</f>
        <v/>
      </c>
      <c r="T160" s="200">
        <f>IF('Jobs-Ops'!S160&lt;&gt; "",'Jobs-Ops'!S160,"")</f>
        <v/>
      </c>
      <c r="U160" s="10" t="n"/>
      <c r="V160" s="23">
        <f>IF(LEFT(B160,4)&lt;&gt;"    ","",IF(N160&lt;&gt;0,X160/N160,0))</f>
        <v/>
      </c>
      <c r="W160" s="11">
        <f>IF(LEFT(B160,4)&lt;&gt;"    ","",IF(V160&gt;=0.1,V160*J160,X160))</f>
        <v/>
      </c>
      <c r="X160" s="8" t="n"/>
      <c r="Y160" s="9">
        <f>IF(LEFT(B160,4)&lt;&gt;"    ",0,IF(Q160&lt;0,Q160,IF(V160&gt;0.1,W160-X160,0)))</f>
        <v/>
      </c>
      <c r="Z160" s="9">
        <f>IF(LEFT(B160,4)&lt;&gt;"    ",0,IF(V160&gt;0.1,BI160,0))</f>
        <v/>
      </c>
      <c r="AA160" s="9">
        <f>Y160-Z160</f>
        <v/>
      </c>
      <c r="AB160" s="10" t="n"/>
      <c r="AC160" s="24" t="n"/>
      <c r="AD160" s="11" t="n"/>
      <c r="AE160" s="8" t="n"/>
      <c r="AF160" s="9">
        <f>IF(LEFT(B160,4)&lt;&gt;"    ","",AD160-AE160)</f>
        <v/>
      </c>
      <c r="AG160" s="10" t="n"/>
      <c r="AH160" s="11">
        <f>IF(LEFT(B160,4)&lt;&gt;"    ","",W160-AD160)</f>
        <v/>
      </c>
      <c r="AI160" s="8">
        <f>IF(LEFT(B160,4)&lt;&gt;"    ","",X160-AE160)</f>
        <v/>
      </c>
      <c r="AJ160" s="9">
        <f>IF(LEFT(B160,4)&lt;&gt;"    ","",Y160-AF160)</f>
        <v/>
      </c>
      <c r="AK160" s="10" t="n"/>
      <c r="AL160" s="25">
        <f>IF(LEFT(B160,4)&lt;&gt;"    ","",J160-W160)</f>
        <v/>
      </c>
      <c r="AM160" s="25">
        <f>N160-X160</f>
        <v/>
      </c>
      <c r="AN160" s="25">
        <f>IF(LEFT(B160,4)&lt;&gt;"    ","",Q160-Y160)</f>
        <v/>
      </c>
      <c r="AO160" s="10" t="n"/>
      <c r="AP160" s="12" t="n"/>
      <c r="AQ160" s="12">
        <f>IF(LEFT(B160,4)&lt;&gt;"    ","",IF(W160-AP160&gt;=0,W160-AP160," "))</f>
        <v/>
      </c>
      <c r="AR160" s="12">
        <f>IF(LEFT(B160,4)&lt;&gt;"    ","",IF(AP160-W160&gt;=0,AP160-W160," "))</f>
        <v/>
      </c>
      <c r="AS160" s="186" t="n"/>
      <c r="AT160" s="187" t="n"/>
      <c r="AU160" s="186" t="n"/>
      <c r="AV160" s="186" t="n"/>
      <c r="AW160" s="188" t="n"/>
      <c r="AX160" s="187" t="n"/>
      <c r="AY160" s="187" t="n"/>
      <c r="AZ160" s="186" t="n"/>
      <c r="BA160" s="186" t="n"/>
      <c r="BB160" s="186" t="n"/>
      <c r="BC160" s="186" t="n"/>
      <c r="BD160" s="186" t="n"/>
      <c r="BE160" s="186" t="n"/>
      <c r="BF160" s="186" t="n"/>
      <c r="BG160" s="186" t="n"/>
      <c r="BH160" s="186" t="n"/>
      <c r="BI160" s="186" t="n"/>
      <c r="BJ160" s="186" t="n"/>
      <c r="BK160" s="186" t="n"/>
      <c r="BL160" s="186" t="n"/>
      <c r="BM160" s="186" t="n"/>
      <c r="BN160" s="186" t="n"/>
      <c r="BO160" s="186" t="n"/>
      <c r="BP160" s="186" t="n"/>
      <c r="BQ160" s="186" t="n"/>
      <c r="BR160" s="189" t="n"/>
      <c r="BS160" s="189" t="n"/>
      <c r="BT160" s="186" t="n"/>
      <c r="BU160" s="186" t="n"/>
      <c r="BV160" s="190" t="n"/>
      <c r="BW160" s="186" t="n"/>
      <c r="BX160" s="186" t="n"/>
      <c r="BY160" s="186" t="n"/>
      <c r="BZ160" s="186" t="n"/>
      <c r="CA160" s="186" t="n"/>
      <c r="CB160" s="187" t="n"/>
      <c r="CC160" s="192" t="n"/>
      <c r="CD160" s="192" t="n"/>
      <c r="CE160" s="192" t="n"/>
      <c r="CF160" s="192" t="n"/>
    </row>
    <row r="161">
      <c r="A161" s="197" t="n"/>
      <c r="B161" s="198" t="n"/>
      <c r="C161" s="198" t="n"/>
      <c r="D161" s="179" t="n"/>
      <c r="E161" s="180" t="n"/>
      <c r="F161" s="181" t="n"/>
      <c r="G161" s="284">
        <f>'Jobs-Ops'!G161</f>
        <v/>
      </c>
      <c r="H161" s="114">
        <f>'Jobs-Ops'!H161</f>
        <v/>
      </c>
      <c r="I161" s="105" t="n"/>
      <c r="J161" s="183">
        <f>F161</f>
        <v/>
      </c>
      <c r="K161" s="184" t="n"/>
      <c r="L161" s="185" t="n"/>
      <c r="M161" s="8" t="n"/>
      <c r="N161" s="184">
        <f>M161</f>
        <v/>
      </c>
      <c r="O161" s="71" t="n"/>
      <c r="P161" s="101" t="n"/>
      <c r="Q161" s="9">
        <f>J161-N161</f>
        <v/>
      </c>
      <c r="R161" s="9">
        <f>IF(LEFT(B161,4)&lt;&gt;"    ",0,BI161)</f>
        <v/>
      </c>
      <c r="S161" s="9">
        <f>+Q161-R161</f>
        <v/>
      </c>
      <c r="T161" s="200">
        <f>IF('Jobs-Ops'!S161&lt;&gt; "",'Jobs-Ops'!S161,"")</f>
        <v/>
      </c>
      <c r="U161" s="10" t="n"/>
      <c r="V161" s="23">
        <f>IF(LEFT(B161,4)&lt;&gt;"    ","",IF(N161&lt;&gt;0,X161/N161,0))</f>
        <v/>
      </c>
      <c r="W161" s="11">
        <f>IF(LEFT(B161,4)&lt;&gt;"    ","",IF(V161&gt;=0.1,V161*J161,X161))</f>
        <v/>
      </c>
      <c r="X161" s="8" t="n"/>
      <c r="Y161" s="9">
        <f>IF(LEFT(B161,4)&lt;&gt;"    ",0,IF(Q161&lt;0,Q161,IF(V161&gt;0.1,W161-X161,0)))</f>
        <v/>
      </c>
      <c r="Z161" s="9">
        <f>IF(LEFT(B161,4)&lt;&gt;"    ",0,IF(V161&gt;0.1,BI161,0))</f>
        <v/>
      </c>
      <c r="AA161" s="9">
        <f>Y161-Z161</f>
        <v/>
      </c>
      <c r="AB161" s="10" t="n"/>
      <c r="AC161" s="24" t="n"/>
      <c r="AD161" s="11" t="n"/>
      <c r="AE161" s="8" t="n"/>
      <c r="AF161" s="9">
        <f>IF(LEFT(B161,4)&lt;&gt;"    ","",AD161-AE161)</f>
        <v/>
      </c>
      <c r="AG161" s="10" t="n"/>
      <c r="AH161" s="11">
        <f>IF(LEFT(B161,4)&lt;&gt;"    ","",W161-AD161)</f>
        <v/>
      </c>
      <c r="AI161" s="8">
        <f>IF(LEFT(B161,4)&lt;&gt;"    ","",X161-AE161)</f>
        <v/>
      </c>
      <c r="AJ161" s="9">
        <f>IF(LEFT(B161,4)&lt;&gt;"    ","",Y161-AF161)</f>
        <v/>
      </c>
      <c r="AK161" s="10" t="n"/>
      <c r="AL161" s="25">
        <f>IF(LEFT(B161,4)&lt;&gt;"    ","",J161-W161)</f>
        <v/>
      </c>
      <c r="AM161" s="25">
        <f>N161-X161</f>
        <v/>
      </c>
      <c r="AN161" s="25">
        <f>IF(LEFT(B161,4)&lt;&gt;"    ","",Q161-Y161)</f>
        <v/>
      </c>
      <c r="AO161" s="10" t="n"/>
      <c r="AP161" s="12" t="n"/>
      <c r="AQ161" s="12">
        <f>IF(LEFT(B161,4)&lt;&gt;"    ","",IF(W161-AP161&gt;=0,W161-AP161," "))</f>
        <v/>
      </c>
      <c r="AR161" s="12">
        <f>IF(LEFT(B161,4)&lt;&gt;"    ","",IF(AP161-W161&gt;=0,AP161-W161," "))</f>
        <v/>
      </c>
      <c r="AS161" s="186" t="n"/>
      <c r="AT161" s="187" t="n"/>
      <c r="AU161" s="186" t="n"/>
      <c r="AV161" s="186" t="n"/>
      <c r="AW161" s="188" t="n"/>
      <c r="AX161" s="187" t="n"/>
      <c r="AY161" s="187" t="n"/>
      <c r="AZ161" s="186" t="n"/>
      <c r="BA161" s="186" t="n"/>
      <c r="BB161" s="186" t="n"/>
      <c r="BC161" s="186" t="n"/>
      <c r="BD161" s="186" t="n"/>
      <c r="BE161" s="186" t="n"/>
      <c r="BF161" s="186" t="n"/>
      <c r="BG161" s="186" t="n"/>
      <c r="BH161" s="186" t="n"/>
      <c r="BI161" s="186" t="n"/>
      <c r="BJ161" s="186" t="n"/>
      <c r="BK161" s="186" t="n"/>
      <c r="BL161" s="186" t="n"/>
      <c r="BM161" s="186" t="n"/>
      <c r="BN161" s="186" t="n"/>
      <c r="BO161" s="186" t="n"/>
      <c r="BP161" s="186" t="n"/>
      <c r="BQ161" s="186" t="n"/>
      <c r="BR161" s="189" t="n"/>
      <c r="BS161" s="189" t="n"/>
      <c r="BT161" s="186" t="n"/>
      <c r="BU161" s="186" t="n"/>
      <c r="BV161" s="190" t="n"/>
      <c r="BW161" s="186" t="n"/>
      <c r="BX161" s="186" t="n"/>
      <c r="BY161" s="186" t="n"/>
      <c r="BZ161" s="186" t="n"/>
      <c r="CA161" s="186" t="n"/>
      <c r="CB161" s="187" t="n"/>
      <c r="CC161" s="192" t="n"/>
      <c r="CD161" s="192" t="n"/>
      <c r="CE161" s="192" t="n"/>
      <c r="CF161" s="192" t="n"/>
    </row>
    <row r="162">
      <c r="A162" s="197" t="n"/>
      <c r="B162" s="198" t="n"/>
      <c r="C162" s="198" t="n"/>
      <c r="D162" s="179" t="n"/>
      <c r="E162" s="180" t="n"/>
      <c r="F162" s="181" t="n"/>
      <c r="G162" s="284">
        <f>'Jobs-Ops'!G162</f>
        <v/>
      </c>
      <c r="H162" s="114">
        <f>'Jobs-Ops'!H162</f>
        <v/>
      </c>
      <c r="I162" s="105" t="n"/>
      <c r="J162" s="183">
        <f>F162</f>
        <v/>
      </c>
      <c r="K162" s="184" t="n"/>
      <c r="L162" s="185" t="n"/>
      <c r="M162" s="8" t="n"/>
      <c r="N162" s="184">
        <f>M162</f>
        <v/>
      </c>
      <c r="O162" s="71" t="n"/>
      <c r="P162" s="101" t="n"/>
      <c r="Q162" s="9">
        <f>J162-N162</f>
        <v/>
      </c>
      <c r="R162" s="9">
        <f>IF(LEFT(B162,4)&lt;&gt;"    ",0,BI162)</f>
        <v/>
      </c>
      <c r="S162" s="9">
        <f>+Q162-R162</f>
        <v/>
      </c>
      <c r="T162" s="200">
        <f>IF('Jobs-Ops'!S162&lt;&gt; "",'Jobs-Ops'!S162,"")</f>
        <v/>
      </c>
      <c r="U162" s="10" t="n"/>
      <c r="V162" s="23">
        <f>IF(LEFT(B162,4)&lt;&gt;"    ","",IF(N162&lt;&gt;0,X162/N162,0))</f>
        <v/>
      </c>
      <c r="W162" s="11">
        <f>IF(LEFT(B162,4)&lt;&gt;"    ","",IF(V162&gt;=0.1,V162*J162,X162))</f>
        <v/>
      </c>
      <c r="X162" s="8" t="n"/>
      <c r="Y162" s="9">
        <f>IF(LEFT(B162,4)&lt;&gt;"    ",0,IF(Q162&lt;0,Q162,IF(V162&gt;0.1,W162-X162,0)))</f>
        <v/>
      </c>
      <c r="Z162" s="9">
        <f>IF(LEFT(B162,4)&lt;&gt;"    ",0,IF(V162&gt;0.1,BI162,0))</f>
        <v/>
      </c>
      <c r="AA162" s="9">
        <f>Y162-Z162</f>
        <v/>
      </c>
      <c r="AB162" s="10" t="n"/>
      <c r="AC162" s="24" t="n"/>
      <c r="AD162" s="11" t="n"/>
      <c r="AE162" s="8" t="n"/>
      <c r="AF162" s="9">
        <f>IF(LEFT(B162,4)&lt;&gt;"    ","",AD162-AE162)</f>
        <v/>
      </c>
      <c r="AG162" s="10" t="n"/>
      <c r="AH162" s="11">
        <f>IF(LEFT(B162,4)&lt;&gt;"    ","",W162-AD162)</f>
        <v/>
      </c>
      <c r="AI162" s="8">
        <f>IF(LEFT(B162,4)&lt;&gt;"    ","",X162-AE162)</f>
        <v/>
      </c>
      <c r="AJ162" s="9">
        <f>IF(LEFT(B162,4)&lt;&gt;"    ","",Y162-AF162)</f>
        <v/>
      </c>
      <c r="AK162" s="10" t="n"/>
      <c r="AL162" s="25">
        <f>IF(LEFT(B162,4)&lt;&gt;"    ","",J162-W162)</f>
        <v/>
      </c>
      <c r="AM162" s="25">
        <f>N162-X162</f>
        <v/>
      </c>
      <c r="AN162" s="25">
        <f>IF(LEFT(B162,4)&lt;&gt;"    ","",Q162-Y162)</f>
        <v/>
      </c>
      <c r="AO162" s="10" t="n"/>
      <c r="AP162" s="12" t="n"/>
      <c r="AQ162" s="12">
        <f>IF(LEFT(B162,4)&lt;&gt;"    ","",IF(W162-AP162&gt;=0,W162-AP162," "))</f>
        <v/>
      </c>
      <c r="AR162" s="12">
        <f>IF(LEFT(B162,4)&lt;&gt;"    ","",IF(AP162-W162&gt;=0,AP162-W162," "))</f>
        <v/>
      </c>
      <c r="AS162" s="186" t="n"/>
      <c r="AT162" s="187" t="n"/>
      <c r="AU162" s="186" t="n"/>
      <c r="AV162" s="186" t="n"/>
      <c r="AW162" s="188" t="n"/>
      <c r="AX162" s="187" t="n"/>
      <c r="AY162" s="187" t="n"/>
      <c r="AZ162" s="186" t="n"/>
      <c r="BA162" s="186" t="n"/>
      <c r="BB162" s="186" t="n"/>
      <c r="BC162" s="186" t="n"/>
      <c r="BD162" s="186" t="n"/>
      <c r="BE162" s="186" t="n"/>
      <c r="BF162" s="186" t="n"/>
      <c r="BG162" s="186" t="n"/>
      <c r="BH162" s="186" t="n"/>
      <c r="BI162" s="186" t="n"/>
      <c r="BJ162" s="186" t="n"/>
      <c r="BK162" s="186" t="n"/>
      <c r="BL162" s="186" t="n"/>
      <c r="BM162" s="186" t="n"/>
      <c r="BN162" s="186" t="n"/>
      <c r="BO162" s="186" t="n"/>
      <c r="BP162" s="186" t="n"/>
      <c r="BQ162" s="186" t="n"/>
      <c r="BR162" s="186" t="n"/>
      <c r="BS162" s="186" t="n"/>
      <c r="BT162" s="186" t="n"/>
      <c r="BU162" s="186" t="n"/>
      <c r="BV162" s="190" t="n"/>
      <c r="BW162" s="186" t="n"/>
      <c r="BX162" s="186" t="n"/>
      <c r="BY162" s="186" t="n"/>
      <c r="BZ162" s="186" t="n"/>
      <c r="CA162" s="186" t="n"/>
      <c r="CB162" s="187" t="n"/>
      <c r="CC162" s="192" t="n"/>
      <c r="CD162" s="192" t="n"/>
      <c r="CE162" s="192" t="n"/>
      <c r="CF162" s="192" t="n"/>
    </row>
    <row r="163">
      <c r="A163" s="197" t="n"/>
      <c r="B163" s="198" t="n"/>
      <c r="C163" s="198" t="n"/>
      <c r="D163" s="179" t="n"/>
      <c r="E163" s="180" t="n"/>
      <c r="F163" s="181" t="n"/>
      <c r="G163" s="284">
        <f>'Jobs-Ops'!G163</f>
        <v/>
      </c>
      <c r="H163" s="114">
        <f>'Jobs-Ops'!H163</f>
        <v/>
      </c>
      <c r="I163" s="105" t="n"/>
      <c r="J163" s="183">
        <f>F163</f>
        <v/>
      </c>
      <c r="K163" s="184" t="n"/>
      <c r="L163" s="185" t="n"/>
      <c r="M163" s="8" t="n"/>
      <c r="N163" s="184">
        <f>M163</f>
        <v/>
      </c>
      <c r="O163" s="71" t="n"/>
      <c r="P163" s="101" t="n"/>
      <c r="Q163" s="9">
        <f>J163-N163</f>
        <v/>
      </c>
      <c r="R163" s="9">
        <f>IF(LEFT(B163,4)&lt;&gt;"    ",0,BI163)</f>
        <v/>
      </c>
      <c r="S163" s="9">
        <f>+Q163-R163</f>
        <v/>
      </c>
      <c r="T163" s="200">
        <f>IF('Jobs-Ops'!S163&lt;&gt; "",'Jobs-Ops'!S163,"")</f>
        <v/>
      </c>
      <c r="U163" s="10" t="n"/>
      <c r="V163" s="23">
        <f>IF(LEFT(B163,4)&lt;&gt;"    ","",IF(N163&lt;&gt;0,X163/N163,0))</f>
        <v/>
      </c>
      <c r="W163" s="11">
        <f>IF(LEFT(B163,4)&lt;&gt;"    ","",IF(V163&gt;=0.1,V163*J163,X163))</f>
        <v/>
      </c>
      <c r="X163" s="8" t="n"/>
      <c r="Y163" s="9">
        <f>IF(LEFT(B163,4)&lt;&gt;"    ",0,IF(Q163&lt;0,Q163,IF(V163&gt;0.1,W163-X163,0)))</f>
        <v/>
      </c>
      <c r="Z163" s="9">
        <f>IF(LEFT(B163,4)&lt;&gt;"    ",0,IF(V163&gt;0.1,BI163,0))</f>
        <v/>
      </c>
      <c r="AA163" s="9">
        <f>Y163-Z163</f>
        <v/>
      </c>
      <c r="AB163" s="10" t="n"/>
      <c r="AC163" s="24" t="n"/>
      <c r="AD163" s="11" t="n"/>
      <c r="AE163" s="8" t="n"/>
      <c r="AF163" s="9">
        <f>IF(LEFT(B163,4)&lt;&gt;"    ","",AD163-AE163)</f>
        <v/>
      </c>
      <c r="AG163" s="10" t="n"/>
      <c r="AH163" s="11">
        <f>IF(LEFT(B163,4)&lt;&gt;"    ","",W163-AD163)</f>
        <v/>
      </c>
      <c r="AI163" s="8">
        <f>IF(LEFT(B163,4)&lt;&gt;"    ","",X163-AE163)</f>
        <v/>
      </c>
      <c r="AJ163" s="9">
        <f>IF(LEFT(B163,4)&lt;&gt;"    ","",Y163-AF163)</f>
        <v/>
      </c>
      <c r="AK163" s="10" t="n"/>
      <c r="AL163" s="25">
        <f>IF(LEFT(B163,4)&lt;&gt;"    ","",J163-W163)</f>
        <v/>
      </c>
      <c r="AM163" s="25">
        <f>N163-X163</f>
        <v/>
      </c>
      <c r="AN163" s="25">
        <f>IF(LEFT(B163,4)&lt;&gt;"    ","",Q163-Y163)</f>
        <v/>
      </c>
      <c r="AO163" s="10" t="n"/>
      <c r="AP163" s="12" t="n"/>
      <c r="AQ163" s="12">
        <f>IF(LEFT(B163,4)&lt;&gt;"    ","",IF(W163-AP163&gt;=0,W163-AP163," "))</f>
        <v/>
      </c>
      <c r="AR163" s="12">
        <f>IF(LEFT(B163,4)&lt;&gt;"    ","",IF(AP163-W163&gt;=0,AP163-W163," "))</f>
        <v/>
      </c>
      <c r="AS163" s="186" t="n"/>
      <c r="AT163" s="187" t="n"/>
      <c r="AU163" s="186" t="n"/>
      <c r="AV163" s="186" t="n"/>
      <c r="AW163" s="188" t="n"/>
      <c r="AX163" s="187" t="n"/>
      <c r="AY163" s="187" t="n"/>
      <c r="AZ163" s="186" t="n"/>
      <c r="BA163" s="186" t="n"/>
      <c r="BB163" s="186" t="n"/>
      <c r="BC163" s="186" t="n"/>
      <c r="BD163" s="186" t="n"/>
      <c r="BE163" s="186" t="n"/>
      <c r="BF163" s="186" t="n"/>
      <c r="BG163" s="186" t="n"/>
      <c r="BH163" s="186" t="n"/>
      <c r="BI163" s="186" t="n"/>
      <c r="BJ163" s="186" t="n"/>
      <c r="BK163" s="186" t="n"/>
      <c r="BL163" s="186" t="n"/>
      <c r="BM163" s="186" t="n"/>
      <c r="BN163" s="186" t="n"/>
      <c r="BO163" s="186" t="n"/>
      <c r="BP163" s="186" t="n"/>
      <c r="BQ163" s="186" t="n"/>
      <c r="BR163" s="186" t="n"/>
      <c r="BS163" s="186" t="n"/>
      <c r="BT163" s="186" t="n"/>
      <c r="BU163" s="186" t="n"/>
      <c r="BV163" s="190" t="n"/>
      <c r="BW163" s="186" t="n"/>
      <c r="BX163" s="186" t="n"/>
      <c r="BY163" s="186" t="n"/>
      <c r="BZ163" s="186" t="n"/>
      <c r="CA163" s="186" t="n"/>
      <c r="CB163" s="187" t="n"/>
      <c r="CC163" s="192" t="n"/>
      <c r="CD163" s="192" t="n"/>
      <c r="CE163" s="192" t="n"/>
      <c r="CF163" s="192" t="n"/>
    </row>
    <row r="164">
      <c r="A164" s="197" t="n"/>
      <c r="B164" s="198" t="n"/>
      <c r="C164" s="198" t="n"/>
      <c r="D164" s="179" t="n"/>
      <c r="E164" s="180" t="n"/>
      <c r="F164" s="181" t="n"/>
      <c r="G164" s="284">
        <f>'Jobs-Ops'!G164</f>
        <v/>
      </c>
      <c r="H164" s="114">
        <f>'Jobs-Ops'!H164</f>
        <v/>
      </c>
      <c r="I164" s="105" t="n"/>
      <c r="J164" s="183">
        <f>F164</f>
        <v/>
      </c>
      <c r="K164" s="184" t="n"/>
      <c r="L164" s="185" t="n"/>
      <c r="M164" s="8" t="n"/>
      <c r="N164" s="184">
        <f>M164</f>
        <v/>
      </c>
      <c r="O164" s="71" t="n"/>
      <c r="P164" s="101" t="n"/>
      <c r="Q164" s="9">
        <f>J164-N164</f>
        <v/>
      </c>
      <c r="R164" s="9">
        <f>IF(LEFT(B164,4)&lt;&gt;"    ",0,BI164)</f>
        <v/>
      </c>
      <c r="S164" s="9">
        <f>+Q164-R164</f>
        <v/>
      </c>
      <c r="T164" s="200">
        <f>IF('Jobs-Ops'!S164&lt;&gt; "",'Jobs-Ops'!S164,"")</f>
        <v/>
      </c>
      <c r="U164" s="10" t="n"/>
      <c r="V164" s="23">
        <f>IF(LEFT(B164,4)&lt;&gt;"    ","",IF(N164&lt;&gt;0,X164/N164,0))</f>
        <v/>
      </c>
      <c r="W164" s="11">
        <f>IF(LEFT(B164,4)&lt;&gt;"    ","",IF(V164&gt;=0.1,V164*J164,X164))</f>
        <v/>
      </c>
      <c r="X164" s="8" t="n"/>
      <c r="Y164" s="9">
        <f>IF(LEFT(B164,4)&lt;&gt;"    ",0,IF(Q164&lt;0,Q164,IF(V164&gt;0.1,W164-X164,0)))</f>
        <v/>
      </c>
      <c r="Z164" s="9">
        <f>IF(LEFT(B164,4)&lt;&gt;"    ",0,IF(V164&gt;0.1,BI164,0))</f>
        <v/>
      </c>
      <c r="AA164" s="9">
        <f>Y164-Z164</f>
        <v/>
      </c>
      <c r="AB164" s="10" t="n"/>
      <c r="AC164" s="24" t="n"/>
      <c r="AD164" s="11" t="n"/>
      <c r="AE164" s="8" t="n"/>
      <c r="AF164" s="9">
        <f>IF(LEFT(B164,4)&lt;&gt;"    ","",AD164-AE164)</f>
        <v/>
      </c>
      <c r="AG164" s="10" t="n"/>
      <c r="AH164" s="11">
        <f>IF(LEFT(B164,4)&lt;&gt;"    ","",W164-AD164)</f>
        <v/>
      </c>
      <c r="AI164" s="8">
        <f>IF(LEFT(B164,4)&lt;&gt;"    ","",X164-AE164)</f>
        <v/>
      </c>
      <c r="AJ164" s="9">
        <f>IF(LEFT(B164,4)&lt;&gt;"    ","",Y164-AF164)</f>
        <v/>
      </c>
      <c r="AK164" s="10" t="n"/>
      <c r="AL164" s="25">
        <f>IF(LEFT(B164,4)&lt;&gt;"    ","",J164-W164)</f>
        <v/>
      </c>
      <c r="AM164" s="25">
        <f>N164-X164</f>
        <v/>
      </c>
      <c r="AN164" s="25">
        <f>IF(LEFT(B164,4)&lt;&gt;"    ","",Q164-Y164)</f>
        <v/>
      </c>
      <c r="AO164" s="10" t="n"/>
      <c r="AP164" s="12" t="n"/>
      <c r="AQ164" s="12">
        <f>IF(LEFT(B164,4)&lt;&gt;"    ","",IF(W164-AP164&gt;=0,W164-AP164," "))</f>
        <v/>
      </c>
      <c r="AR164" s="12">
        <f>IF(LEFT(B164,4)&lt;&gt;"    ","",IF(AP164-W164&gt;=0,AP164-W164," "))</f>
        <v/>
      </c>
      <c r="AS164" s="186" t="n"/>
      <c r="AT164" s="187" t="n"/>
      <c r="AU164" s="186" t="n"/>
      <c r="AV164" s="186" t="n"/>
      <c r="AW164" s="188" t="n"/>
      <c r="AX164" s="187" t="n"/>
      <c r="AY164" s="187" t="n"/>
      <c r="AZ164" s="186" t="n"/>
      <c r="BA164" s="186" t="n"/>
      <c r="BB164" s="186" t="n"/>
      <c r="BC164" s="186" t="n"/>
      <c r="BD164" s="186" t="n"/>
      <c r="BE164" s="186" t="n"/>
      <c r="BF164" s="186" t="n"/>
      <c r="BG164" s="186" t="n"/>
      <c r="BH164" s="186" t="n"/>
      <c r="BI164" s="186" t="n"/>
      <c r="BJ164" s="186" t="n"/>
      <c r="BK164" s="186" t="n"/>
      <c r="BL164" s="186" t="n"/>
      <c r="BM164" s="186" t="n"/>
      <c r="BN164" s="186" t="n"/>
      <c r="BO164" s="186" t="n"/>
      <c r="BP164" s="186" t="n"/>
      <c r="BQ164" s="186" t="n"/>
      <c r="BR164" s="186" t="n"/>
      <c r="BS164" s="186" t="n"/>
      <c r="BT164" s="186" t="n"/>
      <c r="BU164" s="186" t="n"/>
      <c r="BV164" s="190" t="n"/>
      <c r="BW164" s="186" t="n"/>
      <c r="BX164" s="186" t="n"/>
      <c r="BY164" s="186" t="n"/>
      <c r="BZ164" s="186" t="n"/>
      <c r="CA164" s="186" t="n"/>
      <c r="CB164" s="187" t="n"/>
      <c r="CC164" s="192" t="n"/>
      <c r="CD164" s="192" t="n"/>
      <c r="CE164" s="192" t="n"/>
      <c r="CF164" s="192" t="n"/>
    </row>
    <row r="165">
      <c r="A165" s="197" t="n"/>
      <c r="B165" s="198" t="n"/>
      <c r="C165" s="198" t="n"/>
      <c r="D165" s="179" t="n"/>
      <c r="E165" s="180" t="n"/>
      <c r="F165" s="181" t="n"/>
      <c r="G165" s="284">
        <f>'Jobs-Ops'!G165</f>
        <v/>
      </c>
      <c r="H165" s="114">
        <f>'Jobs-Ops'!H165</f>
        <v/>
      </c>
      <c r="I165" s="105" t="n"/>
      <c r="J165" s="183">
        <f>F165</f>
        <v/>
      </c>
      <c r="K165" s="184" t="n"/>
      <c r="L165" s="185" t="n"/>
      <c r="M165" s="8" t="n"/>
      <c r="N165" s="184">
        <f>M165</f>
        <v/>
      </c>
      <c r="O165" s="71" t="n"/>
      <c r="P165" s="101" t="n"/>
      <c r="Q165" s="9">
        <f>J165-N165</f>
        <v/>
      </c>
      <c r="R165" s="9">
        <f>IF(LEFT(B165,4)&lt;&gt;"    ",0,BI165)</f>
        <v/>
      </c>
      <c r="S165" s="9">
        <f>+Q165-R165</f>
        <v/>
      </c>
      <c r="T165" s="200">
        <f>IF('Jobs-Ops'!S165&lt;&gt; "",'Jobs-Ops'!S165,"")</f>
        <v/>
      </c>
      <c r="U165" s="10" t="n"/>
      <c r="V165" s="23">
        <f>IF(LEFT(B165,4)&lt;&gt;"    ","",IF(N165&lt;&gt;0,X165/N165,0))</f>
        <v/>
      </c>
      <c r="W165" s="11">
        <f>IF(LEFT(B165,4)&lt;&gt;"    ","",IF(V165&gt;=0.1,V165*J165,X165))</f>
        <v/>
      </c>
      <c r="X165" s="8" t="n"/>
      <c r="Y165" s="9">
        <f>IF(LEFT(B165,4)&lt;&gt;"    ",0,IF(Q165&lt;0,Q165,IF(V165&gt;0.1,W165-X165,0)))</f>
        <v/>
      </c>
      <c r="Z165" s="9">
        <f>IF(LEFT(B165,4)&lt;&gt;"    ",0,IF(V165&gt;0.1,BI165,0))</f>
        <v/>
      </c>
      <c r="AA165" s="9">
        <f>Y165-Z165</f>
        <v/>
      </c>
      <c r="AB165" s="10" t="n"/>
      <c r="AC165" s="24" t="n"/>
      <c r="AD165" s="11" t="n"/>
      <c r="AE165" s="8" t="n"/>
      <c r="AF165" s="9">
        <f>IF(LEFT(B165,4)&lt;&gt;"    ","",AD165-AE165)</f>
        <v/>
      </c>
      <c r="AG165" s="10" t="n"/>
      <c r="AH165" s="11">
        <f>IF(LEFT(B165,4)&lt;&gt;"    ","",W165-AD165)</f>
        <v/>
      </c>
      <c r="AI165" s="8">
        <f>IF(LEFT(B165,4)&lt;&gt;"    ","",X165-AE165)</f>
        <v/>
      </c>
      <c r="AJ165" s="9">
        <f>IF(LEFT(B165,4)&lt;&gt;"    ","",Y165-AF165)</f>
        <v/>
      </c>
      <c r="AK165" s="10" t="n"/>
      <c r="AL165" s="25">
        <f>IF(LEFT(B165,4)&lt;&gt;"    ","",J165-W165)</f>
        <v/>
      </c>
      <c r="AM165" s="25">
        <f>N165-X165</f>
        <v/>
      </c>
      <c r="AN165" s="25">
        <f>IF(LEFT(B165,4)&lt;&gt;"    ","",Q165-Y165)</f>
        <v/>
      </c>
      <c r="AO165" s="10" t="n"/>
      <c r="AP165" s="12" t="n"/>
      <c r="AQ165" s="12">
        <f>IF(LEFT(B165,4)&lt;&gt;"    ","",IF(W165-AP165&gt;=0,W165-AP165," "))</f>
        <v/>
      </c>
      <c r="AR165" s="12">
        <f>IF(LEFT(B165,4)&lt;&gt;"    ","",IF(AP165-W165&gt;=0,AP165-W165," "))</f>
        <v/>
      </c>
      <c r="AS165" s="186" t="n"/>
      <c r="AT165" s="187" t="n"/>
      <c r="AU165" s="186" t="n"/>
      <c r="AV165" s="186" t="n"/>
      <c r="AW165" s="188" t="n"/>
      <c r="AX165" s="187" t="n"/>
      <c r="AY165" s="187" t="n"/>
      <c r="AZ165" s="186" t="n"/>
      <c r="BA165" s="186" t="n"/>
      <c r="BB165" s="186" t="n"/>
      <c r="BC165" s="186" t="n"/>
      <c r="BD165" s="186" t="n"/>
      <c r="BE165" s="186" t="n"/>
      <c r="BF165" s="186" t="n"/>
      <c r="BG165" s="186" t="n"/>
      <c r="BH165" s="186" t="n"/>
      <c r="BI165" s="186" t="n"/>
      <c r="BJ165" s="186" t="n"/>
      <c r="BK165" s="186" t="n"/>
      <c r="BL165" s="186" t="n"/>
      <c r="BM165" s="186" t="n"/>
      <c r="BN165" s="186" t="n"/>
      <c r="BO165" s="186" t="n"/>
      <c r="BP165" s="186" t="n"/>
      <c r="BQ165" s="186" t="n"/>
      <c r="BR165" s="186" t="n"/>
      <c r="BS165" s="186" t="n"/>
      <c r="BT165" s="186" t="n"/>
      <c r="BU165" s="186" t="n"/>
      <c r="BV165" s="190" t="n"/>
      <c r="BW165" s="186" t="n"/>
      <c r="BX165" s="186" t="n"/>
      <c r="BY165" s="186" t="n"/>
      <c r="BZ165" s="186" t="n"/>
      <c r="CA165" s="186" t="n"/>
      <c r="CB165" s="187" t="n"/>
      <c r="CC165" s="192" t="n"/>
      <c r="CD165" s="192" t="n"/>
      <c r="CE165" s="192" t="n"/>
      <c r="CF165" s="192" t="n"/>
    </row>
    <row r="166">
      <c r="A166" s="197" t="n"/>
      <c r="B166" s="198" t="n"/>
      <c r="C166" s="198" t="n"/>
      <c r="D166" s="179" t="n"/>
      <c r="E166" s="180" t="n"/>
      <c r="F166" s="181" t="n"/>
      <c r="G166" s="284">
        <f>'Jobs-Ops'!G166</f>
        <v/>
      </c>
      <c r="H166" s="114">
        <f>'Jobs-Ops'!H166</f>
        <v/>
      </c>
      <c r="I166" s="105" t="n"/>
      <c r="J166" s="183">
        <f>F166</f>
        <v/>
      </c>
      <c r="K166" s="184" t="n"/>
      <c r="L166" s="185" t="n"/>
      <c r="M166" s="8" t="n"/>
      <c r="N166" s="184">
        <f>M166</f>
        <v/>
      </c>
      <c r="O166" s="71" t="n"/>
      <c r="P166" s="101" t="n"/>
      <c r="Q166" s="9">
        <f>J166-N166</f>
        <v/>
      </c>
      <c r="R166" s="9">
        <f>IF(LEFT(B166,4)&lt;&gt;"    ",0,BI166)</f>
        <v/>
      </c>
      <c r="S166" s="9">
        <f>+Q166-R166</f>
        <v/>
      </c>
      <c r="T166" s="200">
        <f>IF('Jobs-Ops'!S166&lt;&gt; "",'Jobs-Ops'!S166,"")</f>
        <v/>
      </c>
      <c r="U166" s="10" t="n"/>
      <c r="V166" s="23">
        <f>IF(LEFT(B166,4)&lt;&gt;"    ","",IF(N166&lt;&gt;0,X166/N166,0))</f>
        <v/>
      </c>
      <c r="W166" s="11">
        <f>IF(LEFT(B166,4)&lt;&gt;"    ","",IF(V166&gt;=0.1,V166*J166,X166))</f>
        <v/>
      </c>
      <c r="X166" s="8" t="n"/>
      <c r="Y166" s="9">
        <f>IF(LEFT(B166,4)&lt;&gt;"    ",0,IF(Q166&lt;0,Q166,IF(V166&gt;0.1,W166-X166,0)))</f>
        <v/>
      </c>
      <c r="Z166" s="9">
        <f>IF(LEFT(B166,4)&lt;&gt;"    ",0,IF(V166&gt;0.1,BI166,0))</f>
        <v/>
      </c>
      <c r="AA166" s="9">
        <f>Y166-Z166</f>
        <v/>
      </c>
      <c r="AB166" s="10" t="n"/>
      <c r="AC166" s="24" t="n"/>
      <c r="AD166" s="11" t="n"/>
      <c r="AE166" s="8" t="n"/>
      <c r="AF166" s="9">
        <f>IF(LEFT(B166,4)&lt;&gt;"    ","",AD166-AE166)</f>
        <v/>
      </c>
      <c r="AG166" s="10" t="n"/>
      <c r="AH166" s="11">
        <f>IF(LEFT(B166,4)&lt;&gt;"    ","",W166-AD166)</f>
        <v/>
      </c>
      <c r="AI166" s="8">
        <f>IF(LEFT(B166,4)&lt;&gt;"    ","",X166-AE166)</f>
        <v/>
      </c>
      <c r="AJ166" s="9">
        <f>IF(LEFT(B166,4)&lt;&gt;"    ","",Y166-AF166)</f>
        <v/>
      </c>
      <c r="AK166" s="10" t="n"/>
      <c r="AL166" s="25">
        <f>IF(LEFT(B166,4)&lt;&gt;"    ","",J166-W166)</f>
        <v/>
      </c>
      <c r="AM166" s="25">
        <f>N166-X166</f>
        <v/>
      </c>
      <c r="AN166" s="25">
        <f>IF(LEFT(B166,4)&lt;&gt;"    ","",Q166-Y166)</f>
        <v/>
      </c>
      <c r="AO166" s="10" t="n"/>
      <c r="AP166" s="12" t="n"/>
      <c r="AQ166" s="12">
        <f>IF(LEFT(B166,4)&lt;&gt;"    ","",IF(W166-AP166&gt;=0,W166-AP166," "))</f>
        <v/>
      </c>
      <c r="AR166" s="12">
        <f>IF(LEFT(B166,4)&lt;&gt;"    ","",IF(AP166-W166&gt;=0,AP166-W166," "))</f>
        <v/>
      </c>
      <c r="AS166" s="186" t="n"/>
      <c r="AT166" s="187" t="n"/>
      <c r="AU166" s="186" t="n"/>
      <c r="AV166" s="186" t="n"/>
      <c r="AW166" s="188" t="n"/>
      <c r="AX166" s="187" t="n"/>
      <c r="AY166" s="187" t="n"/>
      <c r="AZ166" s="186" t="n"/>
      <c r="BA166" s="186" t="n"/>
      <c r="BB166" s="186" t="n"/>
      <c r="BC166" s="186" t="n"/>
      <c r="BD166" s="186" t="n"/>
      <c r="BE166" s="186" t="n"/>
      <c r="BF166" s="186" t="n"/>
      <c r="BG166" s="186" t="n"/>
      <c r="BH166" s="186" t="n"/>
      <c r="BI166" s="186" t="n"/>
      <c r="BJ166" s="186" t="n"/>
      <c r="BK166" s="186" t="n"/>
      <c r="BL166" s="186" t="n"/>
      <c r="BM166" s="186" t="n"/>
      <c r="BN166" s="186" t="n"/>
      <c r="BO166" s="186" t="n"/>
      <c r="BP166" s="186" t="n"/>
      <c r="BQ166" s="186" t="n"/>
      <c r="BR166" s="186" t="n"/>
      <c r="BS166" s="186" t="n"/>
      <c r="BT166" s="186" t="n"/>
      <c r="BU166" s="186" t="n"/>
      <c r="BV166" s="190" t="n"/>
      <c r="BW166" s="186" t="n"/>
      <c r="BX166" s="186" t="n"/>
      <c r="BY166" s="186" t="n"/>
      <c r="BZ166" s="186" t="n"/>
      <c r="CA166" s="186" t="n"/>
      <c r="CB166" s="187" t="n"/>
      <c r="CC166" s="192" t="n"/>
      <c r="CD166" s="192" t="n"/>
      <c r="CE166" s="192" t="n"/>
      <c r="CF166" s="192" t="n"/>
    </row>
    <row r="167">
      <c r="A167" s="197" t="n"/>
      <c r="B167" s="198" t="n"/>
      <c r="C167" s="198" t="n"/>
      <c r="D167" s="179" t="n"/>
      <c r="E167" s="180" t="n"/>
      <c r="F167" s="181" t="n"/>
      <c r="G167" s="284">
        <f>'Jobs-Ops'!G167</f>
        <v/>
      </c>
      <c r="H167" s="114">
        <f>'Jobs-Ops'!H167</f>
        <v/>
      </c>
      <c r="I167" s="105" t="n"/>
      <c r="J167" s="183">
        <f>F167</f>
        <v/>
      </c>
      <c r="K167" s="184" t="n"/>
      <c r="L167" s="185" t="n"/>
      <c r="M167" s="8" t="n"/>
      <c r="N167" s="184">
        <f>M167</f>
        <v/>
      </c>
      <c r="O167" s="184" t="n"/>
      <c r="P167" s="185" t="n"/>
      <c r="Q167" s="9">
        <f>J167-N167</f>
        <v/>
      </c>
      <c r="R167" s="9">
        <f>IF(LEFT(B167,4)&lt;&gt;"    ",0,BI167)</f>
        <v/>
      </c>
      <c r="S167" s="9">
        <f>+Q167-R167</f>
        <v/>
      </c>
      <c r="T167" s="200">
        <f>IF('Jobs-Ops'!S167&lt;&gt; "",'Jobs-Ops'!S167,"")</f>
        <v/>
      </c>
      <c r="U167" s="10" t="n"/>
      <c r="V167" s="23">
        <f>IF(LEFT(B167,4)&lt;&gt;"    ","",IF(N167&lt;&gt;0,X167/N167,0))</f>
        <v/>
      </c>
      <c r="W167" s="11">
        <f>IF(LEFT(B167,4)&lt;&gt;"    ","",IF(V167&gt;=0.1,V167*J167,X167))</f>
        <v/>
      </c>
      <c r="X167" s="8" t="n"/>
      <c r="Y167" s="9">
        <f>IF(LEFT(B167,4)&lt;&gt;"    ",0,IF(Q167&lt;0,Q167,IF(V167&gt;0.1,W167-X167,0)))</f>
        <v/>
      </c>
      <c r="Z167" s="9">
        <f>IF(LEFT(B167,4)&lt;&gt;"    ",0,IF(V167&gt;0.1,BI167,0))</f>
        <v/>
      </c>
      <c r="AA167" s="9">
        <f>Y167-Z167</f>
        <v/>
      </c>
      <c r="AB167" s="10" t="n"/>
      <c r="AC167" s="24" t="n"/>
      <c r="AD167" s="11" t="n"/>
      <c r="AE167" s="8" t="n"/>
      <c r="AF167" s="9">
        <f>IF(LEFT(B167,4)&lt;&gt;"    ","",AD167-AE167)</f>
        <v/>
      </c>
      <c r="AG167" s="10" t="n"/>
      <c r="AH167" s="11">
        <f>IF(LEFT(B167,4)&lt;&gt;"    ","",W167-AD167)</f>
        <v/>
      </c>
      <c r="AI167" s="8">
        <f>IF(LEFT(B167,4)&lt;&gt;"    ","",X167-AE167)</f>
        <v/>
      </c>
      <c r="AJ167" s="9">
        <f>IF(LEFT(B167,4)&lt;&gt;"    ","",Y167-AF167)</f>
        <v/>
      </c>
      <c r="AK167" s="10" t="n"/>
      <c r="AL167" s="25">
        <f>IF(LEFT(B167,4)&lt;&gt;"    ","",J167-W167)</f>
        <v/>
      </c>
      <c r="AM167" s="25">
        <f>N167-X167</f>
        <v/>
      </c>
      <c r="AN167" s="25">
        <f>IF(LEFT(B167,4)&lt;&gt;"    ","",Q167-Y167)</f>
        <v/>
      </c>
      <c r="AO167" s="10" t="n"/>
      <c r="AP167" s="12" t="n"/>
      <c r="AQ167" s="12">
        <f>IF(LEFT(B167,4)&lt;&gt;"    ","",IF(W167-AP167&gt;=0,W167-AP167," "))</f>
        <v/>
      </c>
      <c r="AR167" s="12">
        <f>IF(LEFT(B167,4)&lt;&gt;"    ","",IF(AP167-W167&gt;=0,AP167-W167," "))</f>
        <v/>
      </c>
      <c r="AS167" s="186" t="n"/>
      <c r="AT167" s="187" t="n"/>
      <c r="AU167" s="186" t="n"/>
      <c r="AV167" s="186" t="n"/>
      <c r="AW167" s="188" t="n"/>
      <c r="AX167" s="187" t="n"/>
      <c r="AY167" s="187" t="n"/>
      <c r="AZ167" s="186" t="n"/>
      <c r="BA167" s="186" t="n"/>
      <c r="BB167" s="186" t="n"/>
      <c r="BC167" s="186" t="n"/>
      <c r="BD167" s="186" t="n"/>
      <c r="BE167" s="186" t="n"/>
      <c r="BF167" s="186" t="n"/>
      <c r="BG167" s="186" t="n"/>
      <c r="BH167" s="186" t="n"/>
      <c r="BI167" s="186" t="n"/>
      <c r="BJ167" s="186" t="n"/>
      <c r="BK167" s="186" t="n"/>
      <c r="BL167" s="186" t="n"/>
      <c r="BM167" s="186" t="n"/>
      <c r="BN167" s="186" t="n"/>
      <c r="BO167" s="186" t="n"/>
      <c r="BP167" s="186" t="n"/>
      <c r="BQ167" s="186" t="n"/>
      <c r="BR167" s="186" t="n"/>
      <c r="BS167" s="186" t="n"/>
      <c r="BT167" s="186" t="n"/>
      <c r="BU167" s="186" t="n"/>
      <c r="BV167" s="190" t="n"/>
      <c r="BW167" s="186" t="n"/>
      <c r="BX167" s="186" t="n"/>
      <c r="BY167" s="186" t="n"/>
      <c r="BZ167" s="186" t="n"/>
      <c r="CA167" s="186" t="n"/>
      <c r="CB167" s="187" t="n"/>
      <c r="CC167" s="192" t="n"/>
      <c r="CD167" s="192" t="n"/>
      <c r="CE167" s="192" t="n"/>
      <c r="CF167" s="192" t="n"/>
    </row>
    <row r="168">
      <c r="A168" s="197" t="n"/>
      <c r="B168" s="198" t="n"/>
      <c r="C168" s="198" t="n"/>
      <c r="D168" s="179" t="n"/>
      <c r="E168" s="180" t="n"/>
      <c r="F168" s="181" t="n"/>
      <c r="G168" s="284">
        <f>'Jobs-Ops'!G168</f>
        <v/>
      </c>
      <c r="H168" s="114">
        <f>'Jobs-Ops'!H168</f>
        <v/>
      </c>
      <c r="I168" s="105" t="n"/>
      <c r="J168" s="183">
        <f>F168</f>
        <v/>
      </c>
      <c r="K168" s="184" t="n"/>
      <c r="L168" s="185" t="n"/>
      <c r="M168" s="8" t="n"/>
      <c r="N168" s="184">
        <f>M168</f>
        <v/>
      </c>
      <c r="O168" s="71" t="n"/>
      <c r="P168" s="101" t="n"/>
      <c r="Q168" s="9">
        <f>J168-N168</f>
        <v/>
      </c>
      <c r="R168" s="9">
        <f>IF(LEFT(B168,4)&lt;&gt;"    ",0,BI168)</f>
        <v/>
      </c>
      <c r="S168" s="9">
        <f>+Q168-R168</f>
        <v/>
      </c>
      <c r="T168" s="200">
        <f>IF('Jobs-Ops'!S168&lt;&gt; "",'Jobs-Ops'!S168,"")</f>
        <v/>
      </c>
      <c r="U168" s="10" t="n"/>
      <c r="V168" s="23">
        <f>IF(LEFT(B168,4)&lt;&gt;"    ","",IF(N168&lt;&gt;0,X168/N168,0))</f>
        <v/>
      </c>
      <c r="W168" s="11">
        <f>IF(LEFT(B168,4)&lt;&gt;"    ","",IF(V168&gt;=0.1,V168*J168,X168))</f>
        <v/>
      </c>
      <c r="X168" s="8" t="n"/>
      <c r="Y168" s="9">
        <f>IF(LEFT(B168,4)&lt;&gt;"    ",0,IF(Q168&lt;0,Q168,IF(V168&gt;0.1,W168-X168,0)))</f>
        <v/>
      </c>
      <c r="Z168" s="9">
        <f>IF(LEFT(B168,4)&lt;&gt;"    ",0,IF(V168&gt;0.1,BI168,0))</f>
        <v/>
      </c>
      <c r="AA168" s="9">
        <f>Y168-Z168</f>
        <v/>
      </c>
      <c r="AB168" s="10" t="n"/>
      <c r="AC168" s="24" t="n"/>
      <c r="AD168" s="11" t="n"/>
      <c r="AE168" s="8" t="n"/>
      <c r="AF168" s="9">
        <f>IF(LEFT(B168,4)&lt;&gt;"    ","",AD168-AE168)</f>
        <v/>
      </c>
      <c r="AG168" s="10" t="n"/>
      <c r="AH168" s="11">
        <f>IF(LEFT(B168,4)&lt;&gt;"    ","",W168-AD168)</f>
        <v/>
      </c>
      <c r="AI168" s="8">
        <f>IF(LEFT(B168,4)&lt;&gt;"    ","",X168-AE168)</f>
        <v/>
      </c>
      <c r="AJ168" s="9">
        <f>IF(LEFT(B168,4)&lt;&gt;"    ","",Y168-AF168)</f>
        <v/>
      </c>
      <c r="AK168" s="10" t="n"/>
      <c r="AL168" s="25">
        <f>IF(LEFT(B168,4)&lt;&gt;"    ","",J168-W168)</f>
        <v/>
      </c>
      <c r="AM168" s="25">
        <f>N168-X168</f>
        <v/>
      </c>
      <c r="AN168" s="25">
        <f>IF(LEFT(B168,4)&lt;&gt;"    ","",Q168-Y168)</f>
        <v/>
      </c>
      <c r="AO168" s="10" t="n"/>
      <c r="AP168" s="12" t="n"/>
      <c r="AQ168" s="12">
        <f>IF(LEFT(B168,4)&lt;&gt;"    ","",IF(W168-AP168&gt;=0,W168-AP168," "))</f>
        <v/>
      </c>
      <c r="AR168" s="12">
        <f>IF(LEFT(B168,4)&lt;&gt;"    ","",IF(AP168-W168&gt;=0,AP168-W168," "))</f>
        <v/>
      </c>
      <c r="AS168" s="186" t="n"/>
      <c r="AT168" s="187" t="n"/>
      <c r="AU168" s="186" t="n"/>
      <c r="AV168" s="186" t="n"/>
      <c r="AW168" s="188" t="n"/>
      <c r="AX168" s="187" t="n"/>
      <c r="AY168" s="187" t="n"/>
      <c r="AZ168" s="186" t="n"/>
      <c r="BA168" s="186" t="n"/>
      <c r="BB168" s="186" t="n"/>
      <c r="BC168" s="186" t="n"/>
      <c r="BD168" s="186" t="n"/>
      <c r="BE168" s="186" t="n"/>
      <c r="BF168" s="186" t="n"/>
      <c r="BG168" s="186" t="n"/>
      <c r="BH168" s="186" t="n"/>
      <c r="BI168" s="186" t="n"/>
      <c r="BJ168" s="186" t="n"/>
      <c r="BK168" s="186" t="n"/>
      <c r="BL168" s="186" t="n"/>
      <c r="BM168" s="186" t="n"/>
      <c r="BN168" s="186" t="n"/>
      <c r="BO168" s="186" t="n"/>
      <c r="BP168" s="186" t="n"/>
      <c r="BQ168" s="186" t="n"/>
      <c r="BR168" s="186" t="n"/>
      <c r="BS168" s="186" t="n"/>
      <c r="BT168" s="186" t="n"/>
      <c r="BU168" s="186" t="n"/>
      <c r="BV168" s="190" t="n"/>
      <c r="BW168" s="186" t="n"/>
      <c r="BX168" s="186" t="n"/>
      <c r="BY168" s="186" t="n"/>
      <c r="BZ168" s="186" t="n"/>
      <c r="CA168" s="186" t="n"/>
      <c r="CB168" s="187" t="n"/>
      <c r="CC168" s="192" t="n"/>
      <c r="CD168" s="192" t="n"/>
      <c r="CE168" s="192" t="n"/>
      <c r="CF168" s="192" t="n"/>
    </row>
    <row r="169">
      <c r="A169" s="197" t="n"/>
      <c r="B169" s="198" t="n"/>
      <c r="C169" s="198" t="n"/>
      <c r="D169" s="179" t="n"/>
      <c r="E169" s="180" t="n"/>
      <c r="F169" s="181" t="n"/>
      <c r="G169" s="284">
        <f>'Jobs-Ops'!G169</f>
        <v/>
      </c>
      <c r="H169" s="114">
        <f>'Jobs-Ops'!H169</f>
        <v/>
      </c>
      <c r="I169" s="105" t="n"/>
      <c r="J169" s="183">
        <f>F169</f>
        <v/>
      </c>
      <c r="K169" s="184" t="n"/>
      <c r="L169" s="185" t="n"/>
      <c r="M169" s="8" t="n"/>
      <c r="N169" s="184">
        <f>M169</f>
        <v/>
      </c>
      <c r="O169" s="71" t="n"/>
      <c r="P169" s="101" t="n"/>
      <c r="Q169" s="9">
        <f>J169-N169</f>
        <v/>
      </c>
      <c r="R169" s="9">
        <f>IF(LEFT(B169,4)&lt;&gt;"    ",0,BI169)</f>
        <v/>
      </c>
      <c r="S169" s="9">
        <f>+Q169-R169</f>
        <v/>
      </c>
      <c r="T169" s="200">
        <f>IF('Jobs-Ops'!S169&lt;&gt; "",'Jobs-Ops'!S169,"")</f>
        <v/>
      </c>
      <c r="U169" s="10" t="n"/>
      <c r="V169" s="23">
        <f>IF(LEFT(B169,4)&lt;&gt;"    ","",IF(N169&lt;&gt;0,X169/N169,0))</f>
        <v/>
      </c>
      <c r="W169" s="11">
        <f>IF(LEFT(B169,4)&lt;&gt;"    ","",IF(V169&gt;=0.1,V169*J169,X169))</f>
        <v/>
      </c>
      <c r="X169" s="8" t="n"/>
      <c r="Y169" s="9">
        <f>IF(LEFT(B169,4)&lt;&gt;"    ",0,IF(Q169&lt;0,Q169,IF(V169&gt;0.1,W169-X169,0)))</f>
        <v/>
      </c>
      <c r="Z169" s="9">
        <f>IF(LEFT(B169,4)&lt;&gt;"    ",0,IF(V169&gt;0.1,BI169,0))</f>
        <v/>
      </c>
      <c r="AA169" s="9">
        <f>Y169-Z169</f>
        <v/>
      </c>
      <c r="AB169" s="10" t="n"/>
      <c r="AC169" s="24" t="n"/>
      <c r="AD169" s="11" t="n"/>
      <c r="AE169" s="8" t="n"/>
      <c r="AF169" s="9">
        <f>IF(LEFT(B169,4)&lt;&gt;"    ","",AD169-AE169)</f>
        <v/>
      </c>
      <c r="AG169" s="10" t="n"/>
      <c r="AH169" s="11">
        <f>IF(LEFT(B169,4)&lt;&gt;"    ","",W169-AD169)</f>
        <v/>
      </c>
      <c r="AI169" s="8">
        <f>IF(LEFT(B169,4)&lt;&gt;"    ","",X169-AE169)</f>
        <v/>
      </c>
      <c r="AJ169" s="9">
        <f>IF(LEFT(B169,4)&lt;&gt;"    ","",Y169-AF169)</f>
        <v/>
      </c>
      <c r="AK169" s="10" t="n"/>
      <c r="AL169" s="25">
        <f>IF(LEFT(B169,4)&lt;&gt;"    ","",J169-W169)</f>
        <v/>
      </c>
      <c r="AM169" s="25">
        <f>N169-X169</f>
        <v/>
      </c>
      <c r="AN169" s="25">
        <f>IF(LEFT(B169,4)&lt;&gt;"    ","",Q169-Y169)</f>
        <v/>
      </c>
      <c r="AO169" s="10" t="n"/>
      <c r="AP169" s="12" t="n"/>
      <c r="AQ169" s="12">
        <f>IF(LEFT(B169,4)&lt;&gt;"    ","",IF(W169-AP169&gt;=0,W169-AP169," "))</f>
        <v/>
      </c>
      <c r="AR169" s="12">
        <f>IF(LEFT(B169,4)&lt;&gt;"    ","",IF(AP169-W169&gt;=0,AP169-W169," "))</f>
        <v/>
      </c>
      <c r="AS169" s="186" t="n"/>
      <c r="AT169" s="187" t="n"/>
      <c r="AU169" s="186" t="n"/>
      <c r="AV169" s="186" t="n"/>
      <c r="AW169" s="188" t="n"/>
      <c r="AX169" s="187" t="n"/>
      <c r="AY169" s="187" t="n"/>
      <c r="AZ169" s="186" t="n"/>
      <c r="BA169" s="186" t="n"/>
      <c r="BB169" s="186" t="n"/>
      <c r="BC169" s="186" t="n"/>
      <c r="BD169" s="186" t="n"/>
      <c r="BE169" s="186" t="n"/>
      <c r="BF169" s="186" t="n"/>
      <c r="BG169" s="186" t="n"/>
      <c r="BH169" s="186" t="n"/>
      <c r="BI169" s="186" t="n"/>
      <c r="BJ169" s="186" t="n"/>
      <c r="BK169" s="186" t="n"/>
      <c r="BL169" s="186" t="n"/>
      <c r="BM169" s="186" t="n"/>
      <c r="BN169" s="186" t="n"/>
      <c r="BO169" s="186" t="n"/>
      <c r="BP169" s="186" t="n"/>
      <c r="BQ169" s="186" t="n"/>
      <c r="BR169" s="186" t="n"/>
      <c r="BS169" s="186" t="n"/>
      <c r="BT169" s="186" t="n"/>
      <c r="BU169" s="186" t="n"/>
      <c r="BV169" s="190" t="n"/>
      <c r="BW169" s="186" t="n"/>
      <c r="BX169" s="186" t="n"/>
      <c r="BY169" s="186" t="n"/>
      <c r="BZ169" s="186" t="n"/>
      <c r="CA169" s="186" t="n"/>
      <c r="CB169" s="187" t="n"/>
      <c r="CC169" s="192" t="n"/>
      <c r="CD169" s="192" t="n"/>
      <c r="CE169" s="192" t="n"/>
      <c r="CF169" s="192" t="n"/>
    </row>
    <row r="170">
      <c r="A170" s="197" t="n"/>
      <c r="B170" s="198" t="n"/>
      <c r="C170" s="198" t="n"/>
      <c r="D170" s="179" t="n"/>
      <c r="E170" s="180" t="n"/>
      <c r="F170" s="181" t="n"/>
      <c r="G170" s="284">
        <f>'Jobs-Ops'!G170</f>
        <v/>
      </c>
      <c r="H170" s="114">
        <f>'Jobs-Ops'!H170</f>
        <v/>
      </c>
      <c r="I170" s="105" t="n"/>
      <c r="J170" s="183">
        <f>F170</f>
        <v/>
      </c>
      <c r="K170" s="184" t="n"/>
      <c r="L170" s="185" t="n"/>
      <c r="M170" s="8" t="n"/>
      <c r="N170" s="184">
        <f>M170</f>
        <v/>
      </c>
      <c r="O170" s="71" t="n"/>
      <c r="P170" s="101" t="n"/>
      <c r="Q170" s="9">
        <f>J170-N170</f>
        <v/>
      </c>
      <c r="R170" s="9">
        <f>IF(LEFT(B170,4)&lt;&gt;"    ",0,BI170)</f>
        <v/>
      </c>
      <c r="S170" s="9">
        <f>+Q170-R170</f>
        <v/>
      </c>
      <c r="T170" s="200">
        <f>IF('Jobs-Ops'!S170&lt;&gt; "",'Jobs-Ops'!S170,"")</f>
        <v/>
      </c>
      <c r="U170" s="10" t="n"/>
      <c r="V170" s="23">
        <f>IF(LEFT(B170,4)&lt;&gt;"    ","",IF(N170&lt;&gt;0,X170/N170,0))</f>
        <v/>
      </c>
      <c r="W170" s="11">
        <f>IF(LEFT(B170,4)&lt;&gt;"    ","",IF(V170&gt;=0.1,V170*J170,X170))</f>
        <v/>
      </c>
      <c r="X170" s="8" t="n"/>
      <c r="Y170" s="9">
        <f>IF(LEFT(B170,4)&lt;&gt;"    ",0,IF(Q170&lt;0,Q170,IF(V170&gt;0.1,W170-X170,0)))</f>
        <v/>
      </c>
      <c r="Z170" s="9">
        <f>IF(LEFT(B170,4)&lt;&gt;"    ",0,IF(V170&gt;0.1,BI170,0))</f>
        <v/>
      </c>
      <c r="AA170" s="9">
        <f>Y170-Z170</f>
        <v/>
      </c>
      <c r="AB170" s="10" t="n"/>
      <c r="AC170" s="24" t="n"/>
      <c r="AD170" s="11" t="n"/>
      <c r="AE170" s="8" t="n"/>
      <c r="AF170" s="9">
        <f>IF(LEFT(B170,4)&lt;&gt;"    ","",AD170-AE170)</f>
        <v/>
      </c>
      <c r="AG170" s="10" t="n"/>
      <c r="AH170" s="11">
        <f>IF(LEFT(B170,4)&lt;&gt;"    ","",W170-AD170)</f>
        <v/>
      </c>
      <c r="AI170" s="8">
        <f>IF(LEFT(B170,4)&lt;&gt;"    ","",X170-AE170)</f>
        <v/>
      </c>
      <c r="AJ170" s="9">
        <f>IF(LEFT(B170,4)&lt;&gt;"    ","",Y170-AF170)</f>
        <v/>
      </c>
      <c r="AK170" s="10" t="n"/>
      <c r="AL170" s="25">
        <f>IF(LEFT(B170,4)&lt;&gt;"    ","",J170-W170)</f>
        <v/>
      </c>
      <c r="AM170" s="25">
        <f>N170-X170</f>
        <v/>
      </c>
      <c r="AN170" s="25">
        <f>IF(LEFT(B170,4)&lt;&gt;"    ","",Q170-Y170)</f>
        <v/>
      </c>
      <c r="AO170" s="10" t="n"/>
      <c r="AP170" s="12" t="n"/>
      <c r="AQ170" s="12">
        <f>IF(LEFT(B170,4)&lt;&gt;"    ","",IF(W170-AP170&gt;=0,W170-AP170," "))</f>
        <v/>
      </c>
      <c r="AR170" s="12">
        <f>IF(LEFT(B170,4)&lt;&gt;"    ","",IF(AP170-W170&gt;=0,AP170-W170," "))</f>
        <v/>
      </c>
      <c r="AS170" s="186" t="n"/>
      <c r="AT170" s="187" t="n"/>
      <c r="AU170" s="186" t="n"/>
      <c r="AV170" s="186" t="n"/>
      <c r="AW170" s="188" t="n"/>
      <c r="AX170" s="187" t="n"/>
      <c r="AY170" s="187" t="n"/>
      <c r="AZ170" s="186" t="n"/>
      <c r="BA170" s="186" t="n"/>
      <c r="BB170" s="186" t="n"/>
      <c r="BC170" s="186" t="n"/>
      <c r="BD170" s="186" t="n"/>
      <c r="BE170" s="186" t="n"/>
      <c r="BF170" s="186" t="n"/>
      <c r="BG170" s="186" t="n"/>
      <c r="BH170" s="186" t="n"/>
      <c r="BI170" s="186" t="n"/>
      <c r="BJ170" s="186" t="n"/>
      <c r="BK170" s="186" t="n"/>
      <c r="BL170" s="186" t="n"/>
      <c r="BM170" s="186" t="n"/>
      <c r="BN170" s="186" t="n"/>
      <c r="BO170" s="186" t="n"/>
      <c r="BP170" s="186" t="n"/>
      <c r="BQ170" s="186" t="n"/>
      <c r="BR170" s="186" t="n"/>
      <c r="BS170" s="186" t="n"/>
      <c r="BT170" s="186" t="n"/>
      <c r="BU170" s="186" t="n"/>
      <c r="BV170" s="190" t="n"/>
      <c r="BW170" s="186" t="n"/>
      <c r="BX170" s="186" t="n"/>
      <c r="BY170" s="186" t="n"/>
      <c r="BZ170" s="186" t="n"/>
      <c r="CA170" s="186" t="n"/>
      <c r="CB170" s="187" t="n"/>
      <c r="CC170" s="192" t="n"/>
      <c r="CD170" s="192" t="n"/>
      <c r="CE170" s="192" t="n"/>
      <c r="CF170" s="192" t="n"/>
    </row>
    <row r="171">
      <c r="A171" s="197" t="n"/>
      <c r="B171" s="198" t="n"/>
      <c r="C171" s="198" t="n"/>
      <c r="D171" s="179" t="n"/>
      <c r="E171" s="180" t="n"/>
      <c r="F171" s="181" t="n"/>
      <c r="G171" s="284">
        <f>'Jobs-Ops'!G171</f>
        <v/>
      </c>
      <c r="H171" s="114">
        <f>'Jobs-Ops'!H171</f>
        <v/>
      </c>
      <c r="I171" s="105" t="n"/>
      <c r="J171" s="183">
        <f>F171</f>
        <v/>
      </c>
      <c r="K171" s="184" t="n"/>
      <c r="L171" s="185" t="n"/>
      <c r="M171" s="8" t="n"/>
      <c r="N171" s="184">
        <f>M171</f>
        <v/>
      </c>
      <c r="O171" s="71" t="n"/>
      <c r="P171" s="101" t="n"/>
      <c r="Q171" s="9">
        <f>J171-N171</f>
        <v/>
      </c>
      <c r="R171" s="9">
        <f>IF(LEFT(B171,4)&lt;&gt;"    ",0,BI171)</f>
        <v/>
      </c>
      <c r="S171" s="9">
        <f>+Q171-R171</f>
        <v/>
      </c>
      <c r="T171" s="200">
        <f>IF('Jobs-Ops'!S171&lt;&gt; "",'Jobs-Ops'!S171,"")</f>
        <v/>
      </c>
      <c r="U171" s="10" t="n"/>
      <c r="V171" s="23">
        <f>IF(LEFT(B171,4)&lt;&gt;"    ","",IF(N171&lt;&gt;0,X171/N171,0))</f>
        <v/>
      </c>
      <c r="W171" s="11">
        <f>IF(LEFT(B171,4)&lt;&gt;"    ","",IF(V171&gt;=0.1,V171*J171,X171))</f>
        <v/>
      </c>
      <c r="X171" s="8" t="n"/>
      <c r="Y171" s="9">
        <f>IF(LEFT(B171,4)&lt;&gt;"    ",0,IF(Q171&lt;0,Q171,IF(V171&gt;0.1,W171-X171,0)))</f>
        <v/>
      </c>
      <c r="Z171" s="9">
        <f>IF(LEFT(B171,4)&lt;&gt;"    ",0,IF(V171&gt;0.1,BI171,0))</f>
        <v/>
      </c>
      <c r="AA171" s="9">
        <f>Y171-Z171</f>
        <v/>
      </c>
      <c r="AB171" s="10" t="n"/>
      <c r="AC171" s="24" t="n"/>
      <c r="AD171" s="11" t="n"/>
      <c r="AE171" s="8" t="n"/>
      <c r="AF171" s="9">
        <f>IF(LEFT(B171,4)&lt;&gt;"    ","",AD171-AE171)</f>
        <v/>
      </c>
      <c r="AG171" s="10" t="n"/>
      <c r="AH171" s="11">
        <f>IF(LEFT(B171,4)&lt;&gt;"    ","",W171-AD171)</f>
        <v/>
      </c>
      <c r="AI171" s="8">
        <f>IF(LEFT(B171,4)&lt;&gt;"    ","",X171-AE171)</f>
        <v/>
      </c>
      <c r="AJ171" s="9">
        <f>IF(LEFT(B171,4)&lt;&gt;"    ","",Y171-AF171)</f>
        <v/>
      </c>
      <c r="AK171" s="10" t="n"/>
      <c r="AL171" s="25">
        <f>IF(LEFT(B171,4)&lt;&gt;"    ","",J171-W171)</f>
        <v/>
      </c>
      <c r="AM171" s="25">
        <f>N171-X171</f>
        <v/>
      </c>
      <c r="AN171" s="25">
        <f>IF(LEFT(B171,4)&lt;&gt;"    ","",Q171-Y171)</f>
        <v/>
      </c>
      <c r="AO171" s="10" t="n"/>
      <c r="AP171" s="12" t="n"/>
      <c r="AQ171" s="12">
        <f>IF(LEFT(B171,4)&lt;&gt;"    ","",IF(W171-AP171&gt;=0,W171-AP171," "))</f>
        <v/>
      </c>
      <c r="AR171" s="12">
        <f>IF(LEFT(B171,4)&lt;&gt;"    ","",IF(AP171-W171&gt;=0,AP171-W171," "))</f>
        <v/>
      </c>
      <c r="AS171" s="186" t="n"/>
      <c r="AT171" s="187" t="n"/>
      <c r="AU171" s="186" t="n"/>
      <c r="AV171" s="186" t="n"/>
      <c r="AW171" s="188" t="n"/>
      <c r="AX171" s="187" t="n"/>
      <c r="AY171" s="187" t="n"/>
      <c r="AZ171" s="186" t="n"/>
      <c r="BA171" s="186" t="n"/>
      <c r="BB171" s="186" t="n"/>
      <c r="BC171" s="186" t="n"/>
      <c r="BD171" s="186" t="n"/>
      <c r="BE171" s="186" t="n"/>
      <c r="BF171" s="186" t="n"/>
      <c r="BG171" s="186" t="n"/>
      <c r="BH171" s="186" t="n"/>
      <c r="BI171" s="186" t="n"/>
      <c r="BJ171" s="186" t="n"/>
      <c r="BK171" s="186" t="n"/>
      <c r="BL171" s="186" t="n"/>
      <c r="BM171" s="186" t="n"/>
      <c r="BN171" s="186" t="n"/>
      <c r="BO171" s="186" t="n"/>
      <c r="BP171" s="186" t="n"/>
      <c r="BQ171" s="186" t="n"/>
      <c r="BR171" s="186" t="n"/>
      <c r="BS171" s="186" t="n"/>
      <c r="BT171" s="186" t="n"/>
      <c r="BU171" s="186" t="n"/>
      <c r="BV171" s="190" t="n"/>
      <c r="BW171" s="186" t="n"/>
      <c r="BX171" s="186" t="n"/>
      <c r="BY171" s="186" t="n"/>
      <c r="BZ171" s="186" t="n"/>
      <c r="CA171" s="186" t="n"/>
      <c r="CB171" s="187" t="n"/>
      <c r="CC171" s="192" t="n"/>
      <c r="CD171" s="192" t="n"/>
      <c r="CE171" s="192" t="n"/>
      <c r="CF171" s="192" t="n"/>
    </row>
    <row r="172">
      <c r="A172" s="197" t="n"/>
      <c r="B172" s="198" t="n"/>
      <c r="C172" s="198" t="n"/>
      <c r="D172" s="179" t="n"/>
      <c r="E172" s="180" t="n"/>
      <c r="F172" s="181" t="n"/>
      <c r="G172" s="284">
        <f>'Jobs-Ops'!G172</f>
        <v/>
      </c>
      <c r="H172" s="114">
        <f>'Jobs-Ops'!H172</f>
        <v/>
      </c>
      <c r="I172" s="105" t="n"/>
      <c r="J172" s="183">
        <f>F172</f>
        <v/>
      </c>
      <c r="K172" s="184" t="n"/>
      <c r="L172" s="185" t="n"/>
      <c r="M172" s="8" t="n"/>
      <c r="N172" s="184">
        <f>M172</f>
        <v/>
      </c>
      <c r="O172" s="71" t="n"/>
      <c r="P172" s="101" t="n"/>
      <c r="Q172" s="9">
        <f>J172-N172</f>
        <v/>
      </c>
      <c r="R172" s="9">
        <f>IF(LEFT(B172,4)&lt;&gt;"    ",0,BI172)</f>
        <v/>
      </c>
      <c r="S172" s="9">
        <f>+Q172-R172</f>
        <v/>
      </c>
      <c r="T172" s="200">
        <f>IF('Jobs-Ops'!S172&lt;&gt; "",'Jobs-Ops'!S172,"")</f>
        <v/>
      </c>
      <c r="U172" s="10" t="n"/>
      <c r="V172" s="23">
        <f>IF(LEFT(B172,4)&lt;&gt;"    ","",IF(N172&lt;&gt;0,X172/N172,0))</f>
        <v/>
      </c>
      <c r="W172" s="11">
        <f>IF(LEFT(B172,4)&lt;&gt;"    ","",IF(V172&gt;=0.1,V172*J172,X172))</f>
        <v/>
      </c>
      <c r="X172" s="8" t="n"/>
      <c r="Y172" s="9">
        <f>IF(LEFT(B172,4)&lt;&gt;"    ",0,IF(Q172&lt;0,Q172,IF(V172&gt;0.1,W172-X172,0)))</f>
        <v/>
      </c>
      <c r="Z172" s="9">
        <f>IF(LEFT(B172,4)&lt;&gt;"    ",0,IF(V172&gt;0.1,BI172,0))</f>
        <v/>
      </c>
      <c r="AA172" s="9">
        <f>Y172-Z172</f>
        <v/>
      </c>
      <c r="AB172" s="10" t="n"/>
      <c r="AC172" s="24" t="n"/>
      <c r="AD172" s="11" t="n"/>
      <c r="AE172" s="8" t="n"/>
      <c r="AF172" s="9">
        <f>IF(LEFT(B172,4)&lt;&gt;"    ","",AD172-AE172)</f>
        <v/>
      </c>
      <c r="AG172" s="10" t="n"/>
      <c r="AH172" s="11">
        <f>IF(LEFT(B172,4)&lt;&gt;"    ","",W172-AD172)</f>
        <v/>
      </c>
      <c r="AI172" s="8">
        <f>IF(LEFT(B172,4)&lt;&gt;"    ","",X172-AE172)</f>
        <v/>
      </c>
      <c r="AJ172" s="9">
        <f>IF(LEFT(B172,4)&lt;&gt;"    ","",Y172-AF172)</f>
        <v/>
      </c>
      <c r="AK172" s="10" t="n"/>
      <c r="AL172" s="25">
        <f>IF(LEFT(B172,4)&lt;&gt;"    ","",J172-W172)</f>
        <v/>
      </c>
      <c r="AM172" s="25">
        <f>N172-X172</f>
        <v/>
      </c>
      <c r="AN172" s="25">
        <f>IF(LEFT(B172,4)&lt;&gt;"    ","",Q172-Y172)</f>
        <v/>
      </c>
      <c r="AO172" s="10" t="n"/>
      <c r="AP172" s="12" t="n"/>
      <c r="AQ172" s="12">
        <f>IF(LEFT(B172,4)&lt;&gt;"    ","",IF(W172-AP172&gt;=0,W172-AP172," "))</f>
        <v/>
      </c>
      <c r="AR172" s="12">
        <f>IF(LEFT(B172,4)&lt;&gt;"    ","",IF(AP172-W172&gt;=0,AP172-W172," "))</f>
        <v/>
      </c>
      <c r="AS172" s="186" t="n"/>
      <c r="AT172" s="187" t="n"/>
      <c r="AU172" s="186" t="n"/>
      <c r="AV172" s="186" t="n"/>
      <c r="AW172" s="188" t="n"/>
      <c r="AX172" s="187" t="n"/>
      <c r="AY172" s="187" t="n"/>
      <c r="AZ172" s="186" t="n"/>
      <c r="BA172" s="186" t="n"/>
      <c r="BB172" s="186" t="n"/>
      <c r="BC172" s="186" t="n"/>
      <c r="BD172" s="186" t="n"/>
      <c r="BE172" s="186" t="n"/>
      <c r="BF172" s="186" t="n"/>
      <c r="BG172" s="186" t="n"/>
      <c r="BH172" s="186" t="n"/>
      <c r="BI172" s="186" t="n"/>
      <c r="BJ172" s="186" t="n"/>
      <c r="BK172" s="186" t="n"/>
      <c r="BL172" s="186" t="n"/>
      <c r="BM172" s="186" t="n"/>
      <c r="BN172" s="186" t="n"/>
      <c r="BO172" s="186" t="n"/>
      <c r="BP172" s="186" t="n"/>
      <c r="BQ172" s="186" t="n"/>
      <c r="BR172" s="186" t="n"/>
      <c r="BS172" s="186" t="n"/>
      <c r="BT172" s="186" t="n"/>
      <c r="BU172" s="186" t="n"/>
      <c r="BV172" s="190" t="n"/>
      <c r="BW172" s="186" t="n"/>
      <c r="BX172" s="186" t="n"/>
      <c r="BY172" s="186" t="n"/>
      <c r="BZ172" s="186" t="n"/>
      <c r="CA172" s="186" t="n"/>
      <c r="CB172" s="187" t="n"/>
      <c r="CC172" s="192" t="n"/>
      <c r="CD172" s="192" t="n"/>
      <c r="CE172" s="192" t="n"/>
      <c r="CF172" s="192" t="n"/>
    </row>
    <row r="173">
      <c r="A173" s="197" t="n"/>
      <c r="B173" s="198" t="n"/>
      <c r="C173" s="198" t="n"/>
      <c r="D173" s="179" t="n"/>
      <c r="E173" s="180" t="n"/>
      <c r="F173" s="181" t="n"/>
      <c r="G173" s="284">
        <f>'Jobs-Ops'!G173</f>
        <v/>
      </c>
      <c r="H173" s="114">
        <f>'Jobs-Ops'!H173</f>
        <v/>
      </c>
      <c r="I173" s="105" t="n"/>
      <c r="J173" s="183">
        <f>F173</f>
        <v/>
      </c>
      <c r="K173" s="184" t="n"/>
      <c r="L173" s="185" t="n"/>
      <c r="M173" s="8" t="n"/>
      <c r="N173" s="184">
        <f>M173</f>
        <v/>
      </c>
      <c r="O173" s="71" t="n"/>
      <c r="P173" s="101" t="n"/>
      <c r="Q173" s="9">
        <f>J173-N173</f>
        <v/>
      </c>
      <c r="R173" s="9">
        <f>IF(LEFT(B173,4)&lt;&gt;"    ",0,BI173)</f>
        <v/>
      </c>
      <c r="S173" s="9">
        <f>+Q173-R173</f>
        <v/>
      </c>
      <c r="T173" s="200">
        <f>IF('Jobs-Ops'!S173&lt;&gt; "",'Jobs-Ops'!S173,"")</f>
        <v/>
      </c>
      <c r="U173" s="10" t="n"/>
      <c r="V173" s="23">
        <f>IF(LEFT(B173,4)&lt;&gt;"    ","",IF(N173&lt;&gt;0,X173/N173,0))</f>
        <v/>
      </c>
      <c r="W173" s="11">
        <f>IF(LEFT(B173,4)&lt;&gt;"    ","",IF(V173&gt;=0.1,V173*J173,X173))</f>
        <v/>
      </c>
      <c r="X173" s="8" t="n"/>
      <c r="Y173" s="9">
        <f>IF(LEFT(B173,4)&lt;&gt;"    ",0,IF(Q173&lt;0,Q173,IF(V173&gt;0.1,W173-X173,0)))</f>
        <v/>
      </c>
      <c r="Z173" s="9">
        <f>IF(LEFT(B173,4)&lt;&gt;"    ",0,IF(V173&gt;0.1,BI173,0))</f>
        <v/>
      </c>
      <c r="AA173" s="9">
        <f>Y173-Z173</f>
        <v/>
      </c>
      <c r="AB173" s="10" t="n"/>
      <c r="AC173" s="24" t="n"/>
      <c r="AD173" s="11" t="n"/>
      <c r="AE173" s="8" t="n"/>
      <c r="AF173" s="9">
        <f>IF(LEFT(B173,4)&lt;&gt;"    ","",AD173-AE173)</f>
        <v/>
      </c>
      <c r="AG173" s="10" t="n"/>
      <c r="AH173" s="11">
        <f>IF(LEFT(B173,4)&lt;&gt;"    ","",W173-AD173)</f>
        <v/>
      </c>
      <c r="AI173" s="8">
        <f>IF(LEFT(B173,4)&lt;&gt;"    ","",X173-AE173)</f>
        <v/>
      </c>
      <c r="AJ173" s="9">
        <f>IF(LEFT(B173,4)&lt;&gt;"    ","",Y173-AF173)</f>
        <v/>
      </c>
      <c r="AK173" s="10" t="n"/>
      <c r="AL173" s="25">
        <f>IF(LEFT(B173,4)&lt;&gt;"    ","",J173-W173)</f>
        <v/>
      </c>
      <c r="AM173" s="25">
        <f>N173-X173</f>
        <v/>
      </c>
      <c r="AN173" s="25">
        <f>IF(LEFT(B173,4)&lt;&gt;"    ","",Q173-Y173)</f>
        <v/>
      </c>
      <c r="AO173" s="10" t="n"/>
      <c r="AP173" s="12" t="n"/>
      <c r="AQ173" s="12">
        <f>IF(LEFT(B173,4)&lt;&gt;"    ","",IF(W173-AP173&gt;=0,W173-AP173," "))</f>
        <v/>
      </c>
      <c r="AR173" s="12">
        <f>IF(LEFT(B173,4)&lt;&gt;"    ","",IF(AP173-W173&gt;=0,AP173-W173," "))</f>
        <v/>
      </c>
      <c r="AS173" s="186" t="n"/>
      <c r="AT173" s="187" t="n"/>
      <c r="AU173" s="186" t="n"/>
      <c r="AV173" s="186" t="n"/>
      <c r="AW173" s="188" t="n"/>
      <c r="AX173" s="187" t="n"/>
      <c r="AY173" s="187" t="n"/>
      <c r="AZ173" s="186" t="n"/>
      <c r="BA173" s="186" t="n"/>
      <c r="BB173" s="186" t="n"/>
      <c r="BC173" s="186" t="n"/>
      <c r="BD173" s="186" t="n"/>
      <c r="BE173" s="186" t="n"/>
      <c r="BF173" s="186" t="n"/>
      <c r="BG173" s="186" t="n"/>
      <c r="BH173" s="186" t="n"/>
      <c r="BI173" s="186" t="n"/>
      <c r="BJ173" s="186" t="n"/>
      <c r="BK173" s="186" t="n"/>
      <c r="BL173" s="186" t="n"/>
      <c r="BM173" s="186" t="n"/>
      <c r="BN173" s="186" t="n"/>
      <c r="BO173" s="186" t="n"/>
      <c r="BP173" s="186" t="n"/>
      <c r="BQ173" s="186" t="n"/>
      <c r="BR173" s="186" t="n"/>
      <c r="BS173" s="186" t="n"/>
      <c r="BT173" s="186" t="n"/>
      <c r="BU173" s="186" t="n"/>
      <c r="BV173" s="190" t="n"/>
      <c r="BW173" s="186" t="n"/>
      <c r="BX173" s="186" t="n"/>
      <c r="BY173" s="186" t="n"/>
      <c r="BZ173" s="186" t="n"/>
      <c r="CA173" s="186" t="n"/>
      <c r="CB173" s="187" t="n"/>
      <c r="CC173" s="192" t="n"/>
      <c r="CD173" s="192" t="n"/>
      <c r="CE173" s="192" t="n"/>
      <c r="CF173" s="192" t="n"/>
    </row>
    <row r="174">
      <c r="A174" s="197" t="n"/>
      <c r="B174" s="198" t="n"/>
      <c r="C174" s="198" t="n"/>
      <c r="D174" s="179" t="n"/>
      <c r="E174" s="180" t="n"/>
      <c r="F174" s="181" t="n"/>
      <c r="G174" s="284">
        <f>'Jobs-Ops'!G174</f>
        <v/>
      </c>
      <c r="H174" s="114">
        <f>'Jobs-Ops'!H174</f>
        <v/>
      </c>
      <c r="I174" s="105" t="n"/>
      <c r="J174" s="183">
        <f>F174</f>
        <v/>
      </c>
      <c r="K174" s="184" t="n"/>
      <c r="L174" s="185" t="n"/>
      <c r="M174" s="8" t="n"/>
      <c r="N174" s="184">
        <f>M174</f>
        <v/>
      </c>
      <c r="O174" s="71" t="n"/>
      <c r="P174" s="101" t="n"/>
      <c r="Q174" s="9">
        <f>J174-N174</f>
        <v/>
      </c>
      <c r="R174" s="9">
        <f>IF(LEFT(B174,4)&lt;&gt;"    ",0,BI174)</f>
        <v/>
      </c>
      <c r="S174" s="9">
        <f>+Q174-R174</f>
        <v/>
      </c>
      <c r="T174" s="200">
        <f>IF('Jobs-Ops'!S174&lt;&gt; "",'Jobs-Ops'!S174,"")</f>
        <v/>
      </c>
      <c r="U174" s="10" t="n"/>
      <c r="V174" s="23">
        <f>IF(LEFT(B174,4)&lt;&gt;"    ","",IF(N174&lt;&gt;0,X174/N174,0))</f>
        <v/>
      </c>
      <c r="W174" s="11">
        <f>IF(LEFT(B174,4)&lt;&gt;"    ","",IF(V174&gt;=0.1,V174*J174,X174))</f>
        <v/>
      </c>
      <c r="X174" s="8" t="n"/>
      <c r="Y174" s="9">
        <f>IF(LEFT(B174,4)&lt;&gt;"    ",0,IF(Q174&lt;0,Q174,IF(V174&gt;0.1,W174-X174,0)))</f>
        <v/>
      </c>
      <c r="Z174" s="9">
        <f>IF(LEFT(B174,4)&lt;&gt;"    ",0,IF(V174&gt;0.1,BI174,0))</f>
        <v/>
      </c>
      <c r="AA174" s="9">
        <f>Y174-Z174</f>
        <v/>
      </c>
      <c r="AB174" s="10" t="n"/>
      <c r="AC174" s="24" t="n"/>
      <c r="AD174" s="11" t="n"/>
      <c r="AE174" s="8" t="n"/>
      <c r="AF174" s="9">
        <f>IF(LEFT(B174,4)&lt;&gt;"    ","",AD174-AE174)</f>
        <v/>
      </c>
      <c r="AG174" s="10" t="n"/>
      <c r="AH174" s="11">
        <f>IF(LEFT(B174,4)&lt;&gt;"    ","",W174-AD174)</f>
        <v/>
      </c>
      <c r="AI174" s="8">
        <f>IF(LEFT(B174,4)&lt;&gt;"    ","",X174-AE174)</f>
        <v/>
      </c>
      <c r="AJ174" s="9">
        <f>IF(LEFT(B174,4)&lt;&gt;"    ","",Y174-AF174)</f>
        <v/>
      </c>
      <c r="AK174" s="10" t="n"/>
      <c r="AL174" s="25">
        <f>IF(LEFT(B174,4)&lt;&gt;"    ","",J174-W174)</f>
        <v/>
      </c>
      <c r="AM174" s="25">
        <f>N174-X174</f>
        <v/>
      </c>
      <c r="AN174" s="25">
        <f>IF(LEFT(B174,4)&lt;&gt;"    ","",Q174-Y174)</f>
        <v/>
      </c>
      <c r="AO174" s="10" t="n"/>
      <c r="AP174" s="12" t="n"/>
      <c r="AQ174" s="12">
        <f>IF(LEFT(B174,4)&lt;&gt;"    ","",IF(W174-AP174&gt;=0,W174-AP174," "))</f>
        <v/>
      </c>
      <c r="AR174" s="12">
        <f>IF(LEFT(B174,4)&lt;&gt;"    ","",IF(AP174-W174&gt;=0,AP174-W174," "))</f>
        <v/>
      </c>
      <c r="AS174" s="186" t="n"/>
      <c r="AT174" s="187" t="n"/>
      <c r="AU174" s="186" t="n"/>
      <c r="AV174" s="186" t="n"/>
      <c r="AW174" s="188" t="n"/>
      <c r="AX174" s="187" t="n"/>
      <c r="AY174" s="187" t="n"/>
      <c r="AZ174" s="186" t="n"/>
      <c r="BA174" s="186" t="n"/>
      <c r="BB174" s="186" t="n"/>
      <c r="BC174" s="186" t="n"/>
      <c r="BD174" s="186" t="n"/>
      <c r="BE174" s="186" t="n"/>
      <c r="BF174" s="186" t="n"/>
      <c r="BG174" s="186" t="n"/>
      <c r="BH174" s="186" t="n"/>
      <c r="BI174" s="186" t="n"/>
      <c r="BJ174" s="186" t="n"/>
      <c r="BK174" s="186" t="n"/>
      <c r="BL174" s="186" t="n"/>
      <c r="BM174" s="186" t="n"/>
      <c r="BN174" s="186" t="n"/>
      <c r="BO174" s="186" t="n"/>
      <c r="BP174" s="186" t="n"/>
      <c r="BQ174" s="186" t="n"/>
      <c r="BR174" s="186" t="n"/>
      <c r="BS174" s="186" t="n"/>
      <c r="BT174" s="186" t="n"/>
      <c r="BU174" s="186" t="n"/>
      <c r="BV174" s="190" t="n"/>
      <c r="BW174" s="186" t="n"/>
      <c r="BX174" s="186" t="n"/>
      <c r="BY174" s="186" t="n"/>
      <c r="BZ174" s="186" t="n"/>
      <c r="CA174" s="186" t="n"/>
      <c r="CB174" s="187" t="n"/>
      <c r="CC174" s="192" t="n"/>
      <c r="CD174" s="192" t="n"/>
      <c r="CE174" s="192" t="n"/>
      <c r="CF174" s="192" t="n"/>
    </row>
    <row r="175">
      <c r="A175" s="197" t="n"/>
      <c r="B175" s="198" t="n"/>
      <c r="C175" s="198" t="n"/>
      <c r="D175" s="179" t="n"/>
      <c r="E175" s="180" t="n"/>
      <c r="F175" s="181" t="n"/>
      <c r="G175" s="284">
        <f>'Jobs-Ops'!G175</f>
        <v/>
      </c>
      <c r="H175" s="114">
        <f>'Jobs-Ops'!H175</f>
        <v/>
      </c>
      <c r="I175" s="105" t="n"/>
      <c r="J175" s="183">
        <f>F175</f>
        <v/>
      </c>
      <c r="K175" s="184" t="n"/>
      <c r="L175" s="185" t="n"/>
      <c r="M175" s="8" t="n"/>
      <c r="N175" s="184">
        <f>M175</f>
        <v/>
      </c>
      <c r="O175" s="71" t="n"/>
      <c r="P175" s="101" t="n"/>
      <c r="Q175" s="9">
        <f>J175-N175</f>
        <v/>
      </c>
      <c r="R175" s="9">
        <f>IF(LEFT(B175,4)&lt;&gt;"    ",0,BI175)</f>
        <v/>
      </c>
      <c r="S175" s="9">
        <f>+Q175-R175</f>
        <v/>
      </c>
      <c r="T175" s="200">
        <f>IF('Jobs-Ops'!S175&lt;&gt; "",'Jobs-Ops'!S175,"")</f>
        <v/>
      </c>
      <c r="U175" s="10" t="n"/>
      <c r="V175" s="23">
        <f>IF(LEFT(B175,4)&lt;&gt;"    ","",IF(N175&lt;&gt;0,X175/N175,0))</f>
        <v/>
      </c>
      <c r="W175" s="11">
        <f>IF(LEFT(B175,4)&lt;&gt;"    ","",IF(V175&gt;=0.1,V175*J175,X175))</f>
        <v/>
      </c>
      <c r="X175" s="8" t="n"/>
      <c r="Y175" s="9">
        <f>IF(LEFT(B175,4)&lt;&gt;"    ",0,IF(Q175&lt;0,Q175,IF(V175&gt;0.1,W175-X175,0)))</f>
        <v/>
      </c>
      <c r="Z175" s="9">
        <f>IF(LEFT(B175,4)&lt;&gt;"    ",0,IF(V175&gt;0.1,BI175,0))</f>
        <v/>
      </c>
      <c r="AA175" s="9">
        <f>Y175-Z175</f>
        <v/>
      </c>
      <c r="AB175" s="10" t="n"/>
      <c r="AC175" s="24" t="n"/>
      <c r="AD175" s="11" t="n"/>
      <c r="AE175" s="8" t="n"/>
      <c r="AF175" s="9">
        <f>IF(LEFT(B175,4)&lt;&gt;"    ","",AD175-AE175)</f>
        <v/>
      </c>
      <c r="AG175" s="10" t="n"/>
      <c r="AH175" s="11">
        <f>IF(LEFT(B175,4)&lt;&gt;"    ","",W175-AD175)</f>
        <v/>
      </c>
      <c r="AI175" s="8">
        <f>IF(LEFT(B175,4)&lt;&gt;"    ","",X175-AE175)</f>
        <v/>
      </c>
      <c r="AJ175" s="9">
        <f>IF(LEFT(B175,4)&lt;&gt;"    ","",Y175-AF175)</f>
        <v/>
      </c>
      <c r="AK175" s="10" t="n"/>
      <c r="AL175" s="25">
        <f>IF(LEFT(B175,4)&lt;&gt;"    ","",J175-W175)</f>
        <v/>
      </c>
      <c r="AM175" s="25">
        <f>N175-X175</f>
        <v/>
      </c>
      <c r="AN175" s="25">
        <f>IF(LEFT(B175,4)&lt;&gt;"    ","",Q175-Y175)</f>
        <v/>
      </c>
      <c r="AO175" s="10" t="n"/>
      <c r="AP175" s="12" t="n"/>
      <c r="AQ175" s="12">
        <f>IF(LEFT(B175,4)&lt;&gt;"    ","",IF(W175-AP175&gt;=0,W175-AP175," "))</f>
        <v/>
      </c>
      <c r="AR175" s="12">
        <f>IF(LEFT(B175,4)&lt;&gt;"    ","",IF(AP175-W175&gt;=0,AP175-W175," "))</f>
        <v/>
      </c>
      <c r="AS175" s="186" t="n"/>
      <c r="AT175" s="187" t="n"/>
      <c r="AU175" s="186" t="n"/>
      <c r="AV175" s="186" t="n"/>
      <c r="AW175" s="188" t="n"/>
      <c r="AX175" s="187" t="n"/>
      <c r="AY175" s="187" t="n"/>
      <c r="AZ175" s="186" t="n"/>
      <c r="BA175" s="186" t="n"/>
      <c r="BB175" s="186" t="n"/>
      <c r="BC175" s="186" t="n"/>
      <c r="BD175" s="186" t="n"/>
      <c r="BE175" s="186" t="n"/>
      <c r="BF175" s="186" t="n"/>
      <c r="BG175" s="186" t="n"/>
      <c r="BH175" s="186" t="n"/>
      <c r="BI175" s="186" t="n"/>
      <c r="BJ175" s="186" t="n"/>
      <c r="BK175" s="186" t="n"/>
      <c r="BL175" s="186" t="n"/>
      <c r="BM175" s="186" t="n"/>
      <c r="BN175" s="186" t="n"/>
      <c r="BO175" s="186" t="n"/>
      <c r="BP175" s="186" t="n"/>
      <c r="BQ175" s="186" t="n"/>
      <c r="BR175" s="186" t="n"/>
      <c r="BS175" s="186" t="n"/>
      <c r="BT175" s="186" t="n"/>
      <c r="BU175" s="186" t="n"/>
      <c r="BV175" s="190" t="n"/>
      <c r="BW175" s="186" t="n"/>
      <c r="BX175" s="186" t="n"/>
      <c r="BY175" s="186" t="n"/>
      <c r="BZ175" s="186" t="n"/>
      <c r="CA175" s="186" t="n"/>
      <c r="CB175" s="187" t="n"/>
      <c r="CC175" s="192" t="n"/>
      <c r="CD175" s="192" t="n"/>
      <c r="CE175" s="192" t="n"/>
      <c r="CF175" s="192" t="n"/>
    </row>
    <row r="176">
      <c r="A176" s="197" t="n"/>
      <c r="B176" s="198" t="n"/>
      <c r="C176" s="198" t="n"/>
      <c r="D176" s="179" t="n"/>
      <c r="E176" s="180" t="n"/>
      <c r="F176" s="181" t="n"/>
      <c r="G176" s="284">
        <f>'Jobs-Ops'!G176</f>
        <v/>
      </c>
      <c r="H176" s="114">
        <f>'Jobs-Ops'!H176</f>
        <v/>
      </c>
      <c r="I176" s="105" t="n"/>
      <c r="J176" s="183">
        <f>F176</f>
        <v/>
      </c>
      <c r="K176" s="184" t="n"/>
      <c r="L176" s="185" t="n"/>
      <c r="M176" s="8" t="n"/>
      <c r="N176" s="184">
        <f>M176</f>
        <v/>
      </c>
      <c r="O176" s="71" t="n"/>
      <c r="P176" s="101" t="n"/>
      <c r="Q176" s="9">
        <f>J176-N176</f>
        <v/>
      </c>
      <c r="R176" s="9">
        <f>IF(LEFT(B176,4)&lt;&gt;"    ",0,BI176)</f>
        <v/>
      </c>
      <c r="S176" s="9">
        <f>+Q176-R176</f>
        <v/>
      </c>
      <c r="T176" s="200">
        <f>IF('Jobs-Ops'!S176&lt;&gt; "",'Jobs-Ops'!S176,"")</f>
        <v/>
      </c>
      <c r="U176" s="10" t="n"/>
      <c r="V176" s="23">
        <f>IF(LEFT(B176,4)&lt;&gt;"    ","",IF(N176&lt;&gt;0,X176/N176,0))</f>
        <v/>
      </c>
      <c r="W176" s="11">
        <f>IF(LEFT(B176,4)&lt;&gt;"    ","",IF(V176&gt;=0.1,V176*J176,X176))</f>
        <v/>
      </c>
      <c r="X176" s="8" t="n"/>
      <c r="Y176" s="9">
        <f>IF(LEFT(B176,4)&lt;&gt;"    ",0,IF(Q176&lt;0,Q176,IF(V176&gt;0.1,W176-X176,0)))</f>
        <v/>
      </c>
      <c r="Z176" s="9">
        <f>IF(LEFT(B176,4)&lt;&gt;"    ",0,IF(V176&gt;0.1,BI176,0))</f>
        <v/>
      </c>
      <c r="AA176" s="9">
        <f>Y176-Z176</f>
        <v/>
      </c>
      <c r="AB176" s="10" t="n"/>
      <c r="AC176" s="24" t="n"/>
      <c r="AD176" s="11" t="n"/>
      <c r="AE176" s="8" t="n"/>
      <c r="AF176" s="9">
        <f>IF(LEFT(B176,4)&lt;&gt;"    ","",AD176-AE176)</f>
        <v/>
      </c>
      <c r="AG176" s="10" t="n"/>
      <c r="AH176" s="11">
        <f>IF(LEFT(B176,4)&lt;&gt;"    ","",W176-AD176)</f>
        <v/>
      </c>
      <c r="AI176" s="8">
        <f>IF(LEFT(B176,4)&lt;&gt;"    ","",X176-AE176)</f>
        <v/>
      </c>
      <c r="AJ176" s="9">
        <f>IF(LEFT(B176,4)&lt;&gt;"    ","",Y176-AF176)</f>
        <v/>
      </c>
      <c r="AK176" s="10" t="n"/>
      <c r="AL176" s="25">
        <f>IF(LEFT(B176,4)&lt;&gt;"    ","",J176-W176)</f>
        <v/>
      </c>
      <c r="AM176" s="25">
        <f>N176-X176</f>
        <v/>
      </c>
      <c r="AN176" s="25">
        <f>IF(LEFT(B176,4)&lt;&gt;"    ","",Q176-Y176)</f>
        <v/>
      </c>
      <c r="AO176" s="10" t="n"/>
      <c r="AP176" s="12" t="n"/>
      <c r="AQ176" s="12">
        <f>IF(LEFT(B176,4)&lt;&gt;"    ","",IF(W176-AP176&gt;=0,W176-AP176," "))</f>
        <v/>
      </c>
      <c r="AR176" s="12">
        <f>IF(LEFT(B176,4)&lt;&gt;"    ","",IF(AP176-W176&gt;=0,AP176-W176," "))</f>
        <v/>
      </c>
      <c r="AS176" s="186" t="n"/>
      <c r="AT176" s="187" t="n"/>
      <c r="AU176" s="186" t="n"/>
      <c r="AV176" s="186" t="n"/>
      <c r="AW176" s="188" t="n"/>
      <c r="AX176" s="187" t="n"/>
      <c r="AY176" s="187" t="n"/>
      <c r="AZ176" s="186" t="n"/>
      <c r="BA176" s="186" t="n"/>
      <c r="BB176" s="186" t="n"/>
      <c r="BC176" s="186" t="n"/>
      <c r="BD176" s="186" t="n"/>
      <c r="BE176" s="186" t="n"/>
      <c r="BF176" s="186" t="n"/>
      <c r="BG176" s="186" t="n"/>
      <c r="BH176" s="186" t="n"/>
      <c r="BI176" s="186" t="n"/>
      <c r="BJ176" s="186" t="n"/>
      <c r="BK176" s="186" t="n"/>
      <c r="BL176" s="186" t="n"/>
      <c r="BM176" s="186" t="n"/>
      <c r="BN176" s="186" t="n"/>
      <c r="BO176" s="186" t="n"/>
      <c r="BP176" s="186" t="n"/>
      <c r="BQ176" s="186" t="n"/>
      <c r="BR176" s="186" t="n"/>
      <c r="BS176" s="186" t="n"/>
      <c r="BT176" s="186" t="n"/>
      <c r="BU176" s="186" t="n"/>
      <c r="BV176" s="190" t="n"/>
      <c r="BW176" s="186" t="n"/>
      <c r="BX176" s="186" t="n"/>
      <c r="BY176" s="186" t="n"/>
      <c r="BZ176" s="186" t="n"/>
      <c r="CA176" s="186" t="n"/>
      <c r="CB176" s="187" t="n"/>
      <c r="CC176" s="192" t="n"/>
      <c r="CD176" s="192" t="n"/>
      <c r="CE176" s="192" t="n"/>
      <c r="CF176" s="192" t="n"/>
    </row>
    <row r="177">
      <c r="A177" s="197" t="n"/>
      <c r="B177" s="198" t="n"/>
      <c r="C177" s="198" t="n"/>
      <c r="D177" s="179" t="n"/>
      <c r="E177" s="180" t="n"/>
      <c r="F177" s="181" t="n"/>
      <c r="G177" s="284">
        <f>'Jobs-Ops'!G177</f>
        <v/>
      </c>
      <c r="H177" s="114">
        <f>'Jobs-Ops'!H177</f>
        <v/>
      </c>
      <c r="I177" s="105" t="n"/>
      <c r="J177" s="183">
        <f>F177</f>
        <v/>
      </c>
      <c r="K177" s="184" t="n"/>
      <c r="L177" s="185" t="n"/>
      <c r="M177" s="8" t="n"/>
      <c r="N177" s="184">
        <f>M177</f>
        <v/>
      </c>
      <c r="O177" s="71" t="n"/>
      <c r="P177" s="101" t="n"/>
      <c r="Q177" s="9">
        <f>J177-N177</f>
        <v/>
      </c>
      <c r="R177" s="9">
        <f>IF(LEFT(B177,4)&lt;&gt;"    ",0,BI177)</f>
        <v/>
      </c>
      <c r="S177" s="9">
        <f>+Q177-R177</f>
        <v/>
      </c>
      <c r="T177" s="200">
        <f>IF('Jobs-Ops'!S177&lt;&gt; "",'Jobs-Ops'!S177,"")</f>
        <v/>
      </c>
      <c r="U177" s="10" t="n"/>
      <c r="V177" s="23">
        <f>IF(LEFT(B177,4)&lt;&gt;"    ","",IF(N177&lt;&gt;0,X177/N177,0))</f>
        <v/>
      </c>
      <c r="W177" s="11">
        <f>IF(LEFT(B177,4)&lt;&gt;"    ","",IF(V177&gt;=0.1,V177*J177,X177))</f>
        <v/>
      </c>
      <c r="X177" s="8" t="n"/>
      <c r="Y177" s="9">
        <f>IF(LEFT(B177,4)&lt;&gt;"    ",0,IF(Q177&lt;0,Q177,IF(V177&gt;0.1,W177-X177,0)))</f>
        <v/>
      </c>
      <c r="Z177" s="9">
        <f>IF(LEFT(B177,4)&lt;&gt;"    ",0,IF(V177&gt;0.1,BI177,0))</f>
        <v/>
      </c>
      <c r="AA177" s="9">
        <f>Y177-Z177</f>
        <v/>
      </c>
      <c r="AB177" s="10" t="n"/>
      <c r="AC177" s="24" t="n"/>
      <c r="AD177" s="11" t="n"/>
      <c r="AE177" s="8" t="n"/>
      <c r="AF177" s="9">
        <f>IF(LEFT(B177,4)&lt;&gt;"    ","",AD177-AE177)</f>
        <v/>
      </c>
      <c r="AG177" s="10" t="n"/>
      <c r="AH177" s="11">
        <f>IF(LEFT(B177,4)&lt;&gt;"    ","",W177-AD177)</f>
        <v/>
      </c>
      <c r="AI177" s="8">
        <f>IF(LEFT(B177,4)&lt;&gt;"    ","",X177-AE177)</f>
        <v/>
      </c>
      <c r="AJ177" s="9">
        <f>IF(LEFT(B177,4)&lt;&gt;"    ","",Y177-AF177)</f>
        <v/>
      </c>
      <c r="AK177" s="10" t="n"/>
      <c r="AL177" s="25">
        <f>IF(LEFT(B177,4)&lt;&gt;"    ","",J177-W177)</f>
        <v/>
      </c>
      <c r="AM177" s="25">
        <f>N177-X177</f>
        <v/>
      </c>
      <c r="AN177" s="25">
        <f>IF(LEFT(B177,4)&lt;&gt;"    ","",Q177-Y177)</f>
        <v/>
      </c>
      <c r="AO177" s="10" t="n"/>
      <c r="AP177" s="12" t="n"/>
      <c r="AQ177" s="12">
        <f>IF(LEFT(B177,4)&lt;&gt;"    ","",IF(W177-AP177&gt;=0,W177-AP177," "))</f>
        <v/>
      </c>
      <c r="AR177" s="12">
        <f>IF(LEFT(B177,4)&lt;&gt;"    ","",IF(AP177-W177&gt;=0,AP177-W177," "))</f>
        <v/>
      </c>
      <c r="AS177" s="186" t="n"/>
      <c r="AT177" s="187" t="n"/>
      <c r="AU177" s="186" t="n"/>
      <c r="AV177" s="186" t="n"/>
      <c r="AW177" s="188" t="n"/>
      <c r="AX177" s="187" t="n"/>
      <c r="AY177" s="187" t="n"/>
      <c r="AZ177" s="186" t="n"/>
      <c r="BA177" s="186" t="n"/>
      <c r="BB177" s="186" t="n"/>
      <c r="BC177" s="186" t="n"/>
      <c r="BD177" s="186" t="n"/>
      <c r="BE177" s="186" t="n"/>
      <c r="BF177" s="186" t="n"/>
      <c r="BG177" s="186" t="n"/>
      <c r="BH177" s="186" t="n"/>
      <c r="BI177" s="186" t="n"/>
      <c r="BJ177" s="186" t="n"/>
      <c r="BK177" s="186" t="n"/>
      <c r="BL177" s="186" t="n"/>
      <c r="BM177" s="186" t="n"/>
      <c r="BN177" s="186" t="n"/>
      <c r="BO177" s="186" t="n"/>
      <c r="BP177" s="186" t="n"/>
      <c r="BQ177" s="186" t="n"/>
      <c r="BR177" s="186" t="n"/>
      <c r="BS177" s="186" t="n"/>
      <c r="BT177" s="186" t="n"/>
      <c r="BU177" s="186" t="n"/>
      <c r="BV177" s="190" t="n"/>
      <c r="BW177" s="186" t="n"/>
      <c r="BX177" s="186" t="n"/>
      <c r="BY177" s="186" t="n"/>
      <c r="BZ177" s="186" t="n"/>
      <c r="CA177" s="186" t="n"/>
      <c r="CB177" s="187" t="n"/>
      <c r="CC177" s="192" t="n"/>
      <c r="CD177" s="192" t="n"/>
      <c r="CE177" s="192" t="n"/>
      <c r="CF177" s="192" t="n"/>
    </row>
    <row r="178">
      <c r="A178" s="197" t="n"/>
      <c r="B178" s="198" t="n"/>
      <c r="C178" s="198" t="n"/>
      <c r="D178" s="179" t="n"/>
      <c r="E178" s="180" t="n"/>
      <c r="F178" s="181" t="n"/>
      <c r="G178" s="284">
        <f>'Jobs-Ops'!G178</f>
        <v/>
      </c>
      <c r="H178" s="114">
        <f>'Jobs-Ops'!H178</f>
        <v/>
      </c>
      <c r="I178" s="105" t="n"/>
      <c r="J178" s="183">
        <f>F178</f>
        <v/>
      </c>
      <c r="K178" s="184" t="n"/>
      <c r="L178" s="185" t="n"/>
      <c r="M178" s="8" t="n"/>
      <c r="N178" s="184">
        <f>M178</f>
        <v/>
      </c>
      <c r="O178" s="71" t="n"/>
      <c r="P178" s="101" t="n"/>
      <c r="Q178" s="9">
        <f>J178-N178</f>
        <v/>
      </c>
      <c r="R178" s="9">
        <f>IF(LEFT(B178,4)&lt;&gt;"    ",0,BI178)</f>
        <v/>
      </c>
      <c r="S178" s="9">
        <f>+Q178-R178</f>
        <v/>
      </c>
      <c r="T178" s="200">
        <f>IF('Jobs-Ops'!S178&lt;&gt; "",'Jobs-Ops'!S178,"")</f>
        <v/>
      </c>
      <c r="U178" s="10" t="n"/>
      <c r="V178" s="23">
        <f>IF(LEFT(B178,4)&lt;&gt;"    ","",IF(N178&lt;&gt;0,X178/N178,0))</f>
        <v/>
      </c>
      <c r="W178" s="11">
        <f>IF(LEFT(B178,4)&lt;&gt;"    ","",IF(V178&gt;=0.1,V178*J178,X178))</f>
        <v/>
      </c>
      <c r="X178" s="8" t="n"/>
      <c r="Y178" s="9">
        <f>IF(LEFT(B178,4)&lt;&gt;"    ",0,IF(Q178&lt;0,Q178,IF(V178&gt;0.1,W178-X178,0)))</f>
        <v/>
      </c>
      <c r="Z178" s="9">
        <f>IF(LEFT(B178,4)&lt;&gt;"    ",0,IF(V178&gt;0.1,BI178,0))</f>
        <v/>
      </c>
      <c r="AA178" s="9">
        <f>Y178-Z178</f>
        <v/>
      </c>
      <c r="AB178" s="10" t="n"/>
      <c r="AC178" s="24" t="n"/>
      <c r="AD178" s="11" t="n"/>
      <c r="AE178" s="8" t="n"/>
      <c r="AF178" s="9">
        <f>IF(LEFT(B178,4)&lt;&gt;"    ","",AD178-AE178)</f>
        <v/>
      </c>
      <c r="AG178" s="10" t="n"/>
      <c r="AH178" s="11">
        <f>IF(LEFT(B178,4)&lt;&gt;"    ","",W178-AD178)</f>
        <v/>
      </c>
      <c r="AI178" s="8">
        <f>IF(LEFT(B178,4)&lt;&gt;"    ","",X178-AE178)</f>
        <v/>
      </c>
      <c r="AJ178" s="9">
        <f>IF(LEFT(B178,4)&lt;&gt;"    ","",Y178-AF178)</f>
        <v/>
      </c>
      <c r="AK178" s="10" t="n"/>
      <c r="AL178" s="25">
        <f>IF(LEFT(B178,4)&lt;&gt;"    ","",J178-W178)</f>
        <v/>
      </c>
      <c r="AM178" s="25">
        <f>N178-X178</f>
        <v/>
      </c>
      <c r="AN178" s="25">
        <f>IF(LEFT(B178,4)&lt;&gt;"    ","",Q178-Y178)</f>
        <v/>
      </c>
      <c r="AO178" s="10" t="n"/>
      <c r="AP178" s="12" t="n"/>
      <c r="AQ178" s="12">
        <f>IF(LEFT(B178,4)&lt;&gt;"    ","",IF(W178-AP178&gt;=0,W178-AP178," "))</f>
        <v/>
      </c>
      <c r="AR178" s="12">
        <f>IF(LEFT(B178,4)&lt;&gt;"    ","",IF(AP178-W178&gt;=0,AP178-W178," "))</f>
        <v/>
      </c>
      <c r="AS178" s="186" t="n"/>
      <c r="AT178" s="187" t="n"/>
      <c r="AU178" s="186" t="n"/>
      <c r="AV178" s="186" t="n"/>
      <c r="AW178" s="188" t="n"/>
      <c r="AX178" s="187" t="n"/>
      <c r="AY178" s="187" t="n"/>
      <c r="AZ178" s="186" t="n"/>
      <c r="BA178" s="186" t="n"/>
      <c r="BB178" s="186" t="n"/>
      <c r="BC178" s="186" t="n"/>
      <c r="BD178" s="186" t="n"/>
      <c r="BE178" s="186" t="n"/>
      <c r="BF178" s="186" t="n"/>
      <c r="BG178" s="186" t="n"/>
      <c r="BH178" s="186" t="n"/>
      <c r="BI178" s="186" t="n"/>
      <c r="BJ178" s="186" t="n"/>
      <c r="BK178" s="186" t="n"/>
      <c r="BL178" s="186" t="n"/>
      <c r="BM178" s="186" t="n"/>
      <c r="BN178" s="186" t="n"/>
      <c r="BO178" s="186" t="n"/>
      <c r="BP178" s="186" t="n"/>
      <c r="BQ178" s="186" t="n"/>
      <c r="BR178" s="186" t="n"/>
      <c r="BS178" s="186" t="n"/>
      <c r="BT178" s="186" t="n"/>
      <c r="BU178" s="186" t="n"/>
      <c r="BV178" s="190" t="n"/>
      <c r="BW178" s="186" t="n"/>
      <c r="BX178" s="186" t="n"/>
      <c r="BY178" s="186" t="n"/>
      <c r="BZ178" s="186" t="n"/>
      <c r="CA178" s="186" t="n"/>
      <c r="CB178" s="187" t="n"/>
      <c r="CC178" s="192" t="n"/>
      <c r="CD178" s="192" t="n"/>
      <c r="CE178" s="192" t="n"/>
      <c r="CF178" s="192" t="n"/>
    </row>
    <row r="179">
      <c r="A179" s="197" t="n"/>
      <c r="B179" s="198" t="n"/>
      <c r="C179" s="198" t="n"/>
      <c r="D179" s="179" t="n"/>
      <c r="E179" s="180" t="n"/>
      <c r="F179" s="181" t="n"/>
      <c r="G179" s="284">
        <f>'Jobs-Ops'!G179</f>
        <v/>
      </c>
      <c r="H179" s="114">
        <f>'Jobs-Ops'!H179</f>
        <v/>
      </c>
      <c r="I179" s="105" t="n"/>
      <c r="J179" s="183">
        <f>F179</f>
        <v/>
      </c>
      <c r="K179" s="184" t="n"/>
      <c r="L179" s="185" t="n"/>
      <c r="M179" s="8" t="n"/>
      <c r="N179" s="184">
        <f>M179</f>
        <v/>
      </c>
      <c r="O179" s="71" t="n"/>
      <c r="P179" s="101" t="n"/>
      <c r="Q179" s="9">
        <f>J179-N179</f>
        <v/>
      </c>
      <c r="R179" s="9">
        <f>IF(LEFT(B179,4)&lt;&gt;"    ",0,BI179)</f>
        <v/>
      </c>
      <c r="S179" s="9">
        <f>+Q179-R179</f>
        <v/>
      </c>
      <c r="T179" s="200">
        <f>IF('Jobs-Ops'!S179&lt;&gt; "",'Jobs-Ops'!S179,"")</f>
        <v/>
      </c>
      <c r="U179" s="10" t="n"/>
      <c r="V179" s="23">
        <f>IF(LEFT(B179,4)&lt;&gt;"    ","",IF(N179&lt;&gt;0,X179/N179,0))</f>
        <v/>
      </c>
      <c r="W179" s="11">
        <f>IF(LEFT(B179,4)&lt;&gt;"    ","",IF(V179&gt;=0.1,V179*J179,X179))</f>
        <v/>
      </c>
      <c r="X179" s="8" t="n"/>
      <c r="Y179" s="9">
        <f>IF(LEFT(B179,4)&lt;&gt;"    ",0,IF(Q179&lt;0,Q179,IF(V179&gt;0.1,W179-X179,0)))</f>
        <v/>
      </c>
      <c r="Z179" s="9">
        <f>IF(LEFT(B179,4)&lt;&gt;"    ",0,IF(V179&gt;0.1,BI179,0))</f>
        <v/>
      </c>
      <c r="AA179" s="9">
        <f>Y179-Z179</f>
        <v/>
      </c>
      <c r="AB179" s="10" t="n"/>
      <c r="AC179" s="24" t="n"/>
      <c r="AD179" s="11" t="n"/>
      <c r="AE179" s="8" t="n"/>
      <c r="AF179" s="9">
        <f>IF(LEFT(B179,4)&lt;&gt;"    ","",AD179-AE179)</f>
        <v/>
      </c>
      <c r="AG179" s="10" t="n"/>
      <c r="AH179" s="11">
        <f>IF(LEFT(B179,4)&lt;&gt;"    ","",W179-AD179)</f>
        <v/>
      </c>
      <c r="AI179" s="8">
        <f>IF(LEFT(B179,4)&lt;&gt;"    ","",X179-AE179)</f>
        <v/>
      </c>
      <c r="AJ179" s="9">
        <f>IF(LEFT(B179,4)&lt;&gt;"    ","",Y179-AF179)</f>
        <v/>
      </c>
      <c r="AK179" s="10" t="n"/>
      <c r="AL179" s="25">
        <f>IF(LEFT(B179,4)&lt;&gt;"    ","",J179-W179)</f>
        <v/>
      </c>
      <c r="AM179" s="25">
        <f>N179-X179</f>
        <v/>
      </c>
      <c r="AN179" s="25">
        <f>IF(LEFT(B179,4)&lt;&gt;"    ","",Q179-Y179)</f>
        <v/>
      </c>
      <c r="AO179" s="10" t="n"/>
      <c r="AP179" s="12" t="n"/>
      <c r="AQ179" s="12">
        <f>IF(LEFT(B179,4)&lt;&gt;"    ","",IF(W179-AP179&gt;=0,W179-AP179," "))</f>
        <v/>
      </c>
      <c r="AR179" s="12">
        <f>IF(LEFT(B179,4)&lt;&gt;"    ","",IF(AP179-W179&gt;=0,AP179-W179," "))</f>
        <v/>
      </c>
      <c r="AS179" s="186" t="n"/>
      <c r="AT179" s="187" t="n"/>
      <c r="AU179" s="186" t="n"/>
      <c r="AV179" s="186" t="n"/>
      <c r="AW179" s="188" t="n"/>
      <c r="AX179" s="187" t="n"/>
      <c r="AY179" s="187" t="n"/>
      <c r="AZ179" s="186" t="n"/>
      <c r="BA179" s="186" t="n"/>
      <c r="BB179" s="186" t="n"/>
      <c r="BC179" s="186" t="n"/>
      <c r="BD179" s="186" t="n"/>
      <c r="BE179" s="186" t="n"/>
      <c r="BF179" s="186" t="n"/>
      <c r="BG179" s="186" t="n"/>
      <c r="BH179" s="186" t="n"/>
      <c r="BI179" s="186" t="n"/>
      <c r="BJ179" s="186" t="n"/>
      <c r="BK179" s="186" t="n"/>
      <c r="BL179" s="186" t="n"/>
      <c r="BM179" s="186" t="n"/>
      <c r="BN179" s="186" t="n"/>
      <c r="BO179" s="186" t="n"/>
      <c r="BP179" s="186" t="n"/>
      <c r="BQ179" s="186" t="n"/>
      <c r="BR179" s="186" t="n"/>
      <c r="BS179" s="186" t="n"/>
      <c r="BT179" s="186" t="n"/>
      <c r="BU179" s="186" t="n"/>
      <c r="BV179" s="190" t="n"/>
      <c r="BW179" s="186" t="n"/>
      <c r="BX179" s="186" t="n"/>
      <c r="BY179" s="186" t="n"/>
      <c r="BZ179" s="186" t="n"/>
      <c r="CA179" s="186" t="n"/>
      <c r="CB179" s="187" t="n"/>
      <c r="CC179" s="192" t="n"/>
      <c r="CD179" s="192" t="n"/>
      <c r="CE179" s="192" t="n"/>
      <c r="CF179" s="192" t="n"/>
    </row>
    <row r="180">
      <c r="A180" s="197" t="n"/>
      <c r="B180" s="198" t="n"/>
      <c r="C180" s="198" t="n"/>
      <c r="D180" s="179" t="n"/>
      <c r="E180" s="180" t="n"/>
      <c r="F180" s="181" t="n"/>
      <c r="G180" s="284">
        <f>'Jobs-Ops'!G180</f>
        <v/>
      </c>
      <c r="H180" s="114">
        <f>'Jobs-Ops'!H180</f>
        <v/>
      </c>
      <c r="I180" s="105" t="n"/>
      <c r="J180" s="183">
        <f>F180</f>
        <v/>
      </c>
      <c r="K180" s="184" t="n"/>
      <c r="L180" s="185" t="n"/>
      <c r="M180" s="8" t="n"/>
      <c r="N180" s="184">
        <f>M180</f>
        <v/>
      </c>
      <c r="O180" s="71" t="n"/>
      <c r="P180" s="101" t="n"/>
      <c r="Q180" s="9">
        <f>J180-N180</f>
        <v/>
      </c>
      <c r="R180" s="9">
        <f>IF(LEFT(B180,4)&lt;&gt;"    ",0,BI180)</f>
        <v/>
      </c>
      <c r="S180" s="9">
        <f>+Q180-R180</f>
        <v/>
      </c>
      <c r="T180" s="200">
        <f>IF('Jobs-Ops'!S180&lt;&gt; "",'Jobs-Ops'!S180,"")</f>
        <v/>
      </c>
      <c r="U180" s="10" t="n"/>
      <c r="V180" s="23">
        <f>IF(LEFT(B180,4)&lt;&gt;"    ","",IF(N180&lt;&gt;0,X180/N180,0))</f>
        <v/>
      </c>
      <c r="W180" s="11">
        <f>IF(LEFT(B180,4)&lt;&gt;"    ","",IF(V180&gt;=0.1,V180*J180,X180))</f>
        <v/>
      </c>
      <c r="X180" s="8" t="n"/>
      <c r="Y180" s="9">
        <f>IF(LEFT(B180,4)&lt;&gt;"    ",0,IF(Q180&lt;0,Q180,IF(V180&gt;0.1,W180-X180,0)))</f>
        <v/>
      </c>
      <c r="Z180" s="9">
        <f>IF(LEFT(B180,4)&lt;&gt;"    ",0,IF(V180&gt;0.1,BI180,0))</f>
        <v/>
      </c>
      <c r="AA180" s="9">
        <f>Y180-Z180</f>
        <v/>
      </c>
      <c r="AB180" s="10" t="n"/>
      <c r="AC180" s="24" t="n"/>
      <c r="AD180" s="11" t="n"/>
      <c r="AE180" s="8" t="n"/>
      <c r="AF180" s="9">
        <f>IF(LEFT(B180,4)&lt;&gt;"    ","",AD180-AE180)</f>
        <v/>
      </c>
      <c r="AG180" s="10" t="n"/>
      <c r="AH180" s="11">
        <f>IF(LEFT(B180,4)&lt;&gt;"    ","",W180-AD180)</f>
        <v/>
      </c>
      <c r="AI180" s="8">
        <f>IF(LEFT(B180,4)&lt;&gt;"    ","",X180-AE180)</f>
        <v/>
      </c>
      <c r="AJ180" s="9">
        <f>IF(LEFT(B180,4)&lt;&gt;"    ","",Y180-AF180)</f>
        <v/>
      </c>
      <c r="AK180" s="10" t="n"/>
      <c r="AL180" s="25">
        <f>IF(LEFT(B180,4)&lt;&gt;"    ","",J180-W180)</f>
        <v/>
      </c>
      <c r="AM180" s="25">
        <f>N180-X180</f>
        <v/>
      </c>
      <c r="AN180" s="25">
        <f>IF(LEFT(B180,4)&lt;&gt;"    ","",Q180-Y180)</f>
        <v/>
      </c>
      <c r="AO180" s="10" t="n"/>
      <c r="AP180" s="12" t="n"/>
      <c r="AQ180" s="12">
        <f>IF(LEFT(B180,4)&lt;&gt;"    ","",IF(W180-AP180&gt;=0,W180-AP180," "))</f>
        <v/>
      </c>
      <c r="AR180" s="12">
        <f>IF(LEFT(B180,4)&lt;&gt;"    ","",IF(AP180-W180&gt;=0,AP180-W180," "))</f>
        <v/>
      </c>
      <c r="AS180" s="186" t="n"/>
      <c r="AT180" s="187" t="n"/>
      <c r="AU180" s="186" t="n"/>
      <c r="AV180" s="186" t="n"/>
      <c r="AW180" s="188" t="n"/>
      <c r="AX180" s="187" t="n"/>
      <c r="AY180" s="187" t="n"/>
      <c r="AZ180" s="186" t="n"/>
      <c r="BA180" s="186" t="n"/>
      <c r="BB180" s="186" t="n"/>
      <c r="BC180" s="186" t="n"/>
      <c r="BD180" s="186" t="n"/>
      <c r="BE180" s="186" t="n"/>
      <c r="BF180" s="186" t="n"/>
      <c r="BG180" s="186" t="n"/>
      <c r="BH180" s="186" t="n"/>
      <c r="BI180" s="186" t="n"/>
      <c r="BJ180" s="186" t="n"/>
      <c r="BK180" s="186" t="n"/>
      <c r="BL180" s="186" t="n"/>
      <c r="BM180" s="186" t="n"/>
      <c r="BN180" s="186" t="n"/>
      <c r="BO180" s="186" t="n"/>
      <c r="BP180" s="186" t="n"/>
      <c r="BQ180" s="186" t="n"/>
      <c r="BR180" s="186" t="n"/>
      <c r="BS180" s="186" t="n"/>
      <c r="BT180" s="186" t="n"/>
      <c r="BU180" s="186" t="n"/>
      <c r="BV180" s="190" t="n"/>
      <c r="BW180" s="186" t="n"/>
      <c r="BX180" s="186" t="n"/>
      <c r="BY180" s="186" t="n"/>
      <c r="BZ180" s="186" t="n"/>
      <c r="CA180" s="186" t="n"/>
      <c r="CB180" s="187" t="n"/>
      <c r="CC180" s="192" t="n"/>
      <c r="CD180" s="192" t="n"/>
      <c r="CE180" s="192" t="n"/>
      <c r="CF180" s="192" t="n"/>
    </row>
    <row r="181">
      <c r="A181" s="197" t="n"/>
      <c r="B181" s="198" t="n"/>
      <c r="C181" s="198" t="n"/>
      <c r="D181" s="179" t="n"/>
      <c r="E181" s="180" t="n"/>
      <c r="F181" s="181" t="n"/>
      <c r="G181" s="284">
        <f>'Jobs-Ops'!G181</f>
        <v/>
      </c>
      <c r="H181" s="114">
        <f>'Jobs-Ops'!H181</f>
        <v/>
      </c>
      <c r="I181" s="105" t="n"/>
      <c r="J181" s="183">
        <f>F181</f>
        <v/>
      </c>
      <c r="K181" s="184" t="n"/>
      <c r="L181" s="185" t="n"/>
      <c r="M181" s="8" t="n"/>
      <c r="N181" s="184">
        <f>M181</f>
        <v/>
      </c>
      <c r="O181" s="71" t="n"/>
      <c r="P181" s="101" t="n"/>
      <c r="Q181" s="9">
        <f>J181-N181</f>
        <v/>
      </c>
      <c r="R181" s="9">
        <f>IF(LEFT(B181,4)&lt;&gt;"    ",0,BI181)</f>
        <v/>
      </c>
      <c r="S181" s="9">
        <f>+Q181-R181</f>
        <v/>
      </c>
      <c r="T181" s="200">
        <f>IF('Jobs-Ops'!S181&lt;&gt; "",'Jobs-Ops'!S181,"")</f>
        <v/>
      </c>
      <c r="U181" s="10" t="n"/>
      <c r="V181" s="23">
        <f>IF(LEFT(B181,4)&lt;&gt;"    ","",IF(N181&lt;&gt;0,X181/N181,0))</f>
        <v/>
      </c>
      <c r="W181" s="11">
        <f>IF(LEFT(B181,4)&lt;&gt;"    ","",IF(V181&gt;=0.1,V181*J181,X181))</f>
        <v/>
      </c>
      <c r="X181" s="8" t="n"/>
      <c r="Y181" s="9">
        <f>IF(LEFT(B181,4)&lt;&gt;"    ",0,IF(Q181&lt;0,Q181,IF(V181&gt;0.1,W181-X181,0)))</f>
        <v/>
      </c>
      <c r="Z181" s="9">
        <f>IF(LEFT(B181,4)&lt;&gt;"    ",0,IF(V181&gt;0.1,BI181,0))</f>
        <v/>
      </c>
      <c r="AA181" s="9">
        <f>Y181-Z181</f>
        <v/>
      </c>
      <c r="AB181" s="10" t="n"/>
      <c r="AC181" s="24" t="n"/>
      <c r="AD181" s="11" t="n"/>
      <c r="AE181" s="8" t="n"/>
      <c r="AF181" s="9">
        <f>IF(LEFT(B181,4)&lt;&gt;"    ","",AD181-AE181)</f>
        <v/>
      </c>
      <c r="AG181" s="10" t="n"/>
      <c r="AH181" s="11">
        <f>IF(LEFT(B181,4)&lt;&gt;"    ","",W181-AD181)</f>
        <v/>
      </c>
      <c r="AI181" s="8">
        <f>IF(LEFT(B181,4)&lt;&gt;"    ","",X181-AE181)</f>
        <v/>
      </c>
      <c r="AJ181" s="9">
        <f>IF(LEFT(B181,4)&lt;&gt;"    ","",Y181-AF181)</f>
        <v/>
      </c>
      <c r="AK181" s="10" t="n"/>
      <c r="AL181" s="25">
        <f>IF(LEFT(B181,4)&lt;&gt;"    ","",J181-W181)</f>
        <v/>
      </c>
      <c r="AM181" s="25">
        <f>N181-X181</f>
        <v/>
      </c>
      <c r="AN181" s="25">
        <f>IF(LEFT(B181,4)&lt;&gt;"    ","",Q181-Y181)</f>
        <v/>
      </c>
      <c r="AO181" s="10" t="n"/>
      <c r="AP181" s="12" t="n"/>
      <c r="AQ181" s="12">
        <f>IF(LEFT(B181,4)&lt;&gt;"    ","",IF(W181-AP181&gt;=0,W181-AP181," "))</f>
        <v/>
      </c>
      <c r="AR181" s="12">
        <f>IF(LEFT(B181,4)&lt;&gt;"    ","",IF(AP181-W181&gt;=0,AP181-W181," "))</f>
        <v/>
      </c>
      <c r="AS181" s="186" t="n"/>
      <c r="AT181" s="187" t="n"/>
      <c r="AU181" s="186" t="n"/>
      <c r="AV181" s="186" t="n"/>
      <c r="AW181" s="188" t="n"/>
      <c r="AX181" s="187" t="n"/>
      <c r="AY181" s="187" t="n"/>
      <c r="AZ181" s="186" t="n"/>
      <c r="BA181" s="186" t="n"/>
      <c r="BB181" s="186" t="n"/>
      <c r="BC181" s="186" t="n"/>
      <c r="BD181" s="186" t="n"/>
      <c r="BE181" s="186" t="n"/>
      <c r="BF181" s="186" t="n"/>
      <c r="BG181" s="186" t="n"/>
      <c r="BH181" s="186" t="n"/>
      <c r="BI181" s="186" t="n"/>
      <c r="BJ181" s="186" t="n"/>
      <c r="BK181" s="186" t="n"/>
      <c r="BL181" s="186" t="n"/>
      <c r="BM181" s="186" t="n"/>
      <c r="BN181" s="186" t="n"/>
      <c r="BO181" s="186" t="n"/>
      <c r="BP181" s="186" t="n"/>
      <c r="BQ181" s="186" t="n"/>
      <c r="BR181" s="186" t="n"/>
      <c r="BS181" s="186" t="n"/>
      <c r="BT181" s="186" t="n"/>
      <c r="BU181" s="186" t="n"/>
      <c r="BV181" s="190" t="n"/>
      <c r="BW181" s="186" t="n"/>
      <c r="BX181" s="186" t="n"/>
      <c r="BY181" s="186" t="n"/>
      <c r="BZ181" s="186" t="n"/>
      <c r="CA181" s="186" t="n"/>
      <c r="CB181" s="187" t="n"/>
      <c r="CC181" s="192" t="n"/>
      <c r="CD181" s="192" t="n"/>
      <c r="CE181" s="192" t="n"/>
      <c r="CF181" s="192" t="n"/>
    </row>
    <row r="182">
      <c r="A182" s="197" t="n"/>
      <c r="B182" s="198" t="n"/>
      <c r="C182" s="198" t="n"/>
      <c r="D182" s="179" t="n"/>
      <c r="E182" s="180" t="n"/>
      <c r="F182" s="181" t="n"/>
      <c r="G182" s="284">
        <f>'Jobs-Ops'!G182</f>
        <v/>
      </c>
      <c r="H182" s="114">
        <f>'Jobs-Ops'!H182</f>
        <v/>
      </c>
      <c r="I182" s="105" t="n"/>
      <c r="J182" s="183">
        <f>F182</f>
        <v/>
      </c>
      <c r="K182" s="184" t="n"/>
      <c r="L182" s="185" t="n"/>
      <c r="M182" s="8" t="n"/>
      <c r="N182" s="184">
        <f>M182</f>
        <v/>
      </c>
      <c r="O182" s="71" t="n"/>
      <c r="P182" s="101" t="n"/>
      <c r="Q182" s="9">
        <f>J182-N182</f>
        <v/>
      </c>
      <c r="R182" s="9">
        <f>IF(LEFT(B182,4)&lt;&gt;"    ",0,BI182)</f>
        <v/>
      </c>
      <c r="S182" s="9">
        <f>+Q182-R182</f>
        <v/>
      </c>
      <c r="T182" s="200">
        <f>IF('Jobs-Ops'!S182&lt;&gt; "",'Jobs-Ops'!S182,"")</f>
        <v/>
      </c>
      <c r="U182" s="10" t="n"/>
      <c r="V182" s="23">
        <f>IF(LEFT(B182,4)&lt;&gt;"    ","",IF(N182&lt;&gt;0,X182/N182,0))</f>
        <v/>
      </c>
      <c r="W182" s="11">
        <f>IF(LEFT(B182,4)&lt;&gt;"    ","",IF(V182&gt;=0.1,V182*J182,X182))</f>
        <v/>
      </c>
      <c r="X182" s="8" t="n"/>
      <c r="Y182" s="9">
        <f>IF(LEFT(B182,4)&lt;&gt;"    ",0,IF(Q182&lt;0,Q182,IF(V182&gt;0.1,W182-X182,0)))</f>
        <v/>
      </c>
      <c r="Z182" s="9">
        <f>IF(LEFT(B182,4)&lt;&gt;"    ",0,IF(V182&gt;0.1,BI182,0))</f>
        <v/>
      </c>
      <c r="AA182" s="9">
        <f>Y182-Z182</f>
        <v/>
      </c>
      <c r="AB182" s="10" t="n"/>
      <c r="AC182" s="24" t="n"/>
      <c r="AD182" s="11" t="n"/>
      <c r="AE182" s="8" t="n"/>
      <c r="AF182" s="9">
        <f>IF(LEFT(B182,4)&lt;&gt;"    ","",AD182-AE182)</f>
        <v/>
      </c>
      <c r="AG182" s="10" t="n"/>
      <c r="AH182" s="11">
        <f>IF(LEFT(B182,4)&lt;&gt;"    ","",W182-AD182)</f>
        <v/>
      </c>
      <c r="AI182" s="8">
        <f>IF(LEFT(B182,4)&lt;&gt;"    ","",X182-AE182)</f>
        <v/>
      </c>
      <c r="AJ182" s="9">
        <f>IF(LEFT(B182,4)&lt;&gt;"    ","",Y182-AF182)</f>
        <v/>
      </c>
      <c r="AK182" s="10" t="n"/>
      <c r="AL182" s="25">
        <f>IF(LEFT(B182,4)&lt;&gt;"    ","",J182-W182)</f>
        <v/>
      </c>
      <c r="AM182" s="25">
        <f>N182-X182</f>
        <v/>
      </c>
      <c r="AN182" s="25">
        <f>IF(LEFT(B182,4)&lt;&gt;"    ","",Q182-Y182)</f>
        <v/>
      </c>
      <c r="AO182" s="10" t="n"/>
      <c r="AP182" s="12" t="n"/>
      <c r="AQ182" s="12">
        <f>IF(LEFT(B182,4)&lt;&gt;"    ","",IF(W182-AP182&gt;=0,W182-AP182," "))</f>
        <v/>
      </c>
      <c r="AR182" s="12">
        <f>IF(LEFT(B182,4)&lt;&gt;"    ","",IF(AP182-W182&gt;=0,AP182-W182," "))</f>
        <v/>
      </c>
      <c r="AS182" s="186" t="n"/>
      <c r="AT182" s="187" t="n"/>
      <c r="AU182" s="186" t="n"/>
      <c r="AV182" s="186" t="n"/>
      <c r="AW182" s="188" t="n"/>
      <c r="AX182" s="187" t="n"/>
      <c r="AY182" s="187" t="n"/>
      <c r="AZ182" s="186" t="n"/>
      <c r="BA182" s="186" t="n"/>
      <c r="BB182" s="186" t="n"/>
      <c r="BC182" s="186" t="n"/>
      <c r="BD182" s="186" t="n"/>
      <c r="BE182" s="186" t="n"/>
      <c r="BF182" s="186" t="n"/>
      <c r="BG182" s="186" t="n"/>
      <c r="BH182" s="186" t="n"/>
      <c r="BI182" s="186" t="n"/>
      <c r="BJ182" s="186" t="n"/>
      <c r="BK182" s="186" t="n"/>
      <c r="BL182" s="186" t="n"/>
      <c r="BM182" s="186" t="n"/>
      <c r="BN182" s="186" t="n"/>
      <c r="BO182" s="186" t="n"/>
      <c r="BP182" s="186" t="n"/>
      <c r="BQ182" s="186" t="n"/>
      <c r="BR182" s="186" t="n"/>
      <c r="BS182" s="186" t="n"/>
      <c r="BT182" s="186" t="n"/>
      <c r="BU182" s="186" t="n"/>
      <c r="BV182" s="190" t="n"/>
      <c r="BW182" s="186" t="n"/>
      <c r="BX182" s="186" t="n"/>
      <c r="BY182" s="186" t="n"/>
      <c r="BZ182" s="186" t="n"/>
      <c r="CA182" s="186" t="n"/>
      <c r="CB182" s="187" t="n"/>
      <c r="CC182" s="192" t="n"/>
      <c r="CD182" s="192" t="n"/>
      <c r="CE182" s="192" t="n"/>
      <c r="CF182" s="192" t="n"/>
    </row>
    <row r="183">
      <c r="A183" s="197" t="n"/>
      <c r="B183" s="198" t="n"/>
      <c r="C183" s="198" t="n"/>
      <c r="D183" s="179" t="n"/>
      <c r="E183" s="180" t="n"/>
      <c r="F183" s="181" t="n"/>
      <c r="G183" s="284">
        <f>'Jobs-Ops'!G183</f>
        <v/>
      </c>
      <c r="H183" s="114">
        <f>'Jobs-Ops'!H183</f>
        <v/>
      </c>
      <c r="I183" s="105" t="n"/>
      <c r="J183" s="183">
        <f>F183</f>
        <v/>
      </c>
      <c r="K183" s="184" t="n"/>
      <c r="L183" s="185" t="n"/>
      <c r="M183" s="8" t="n"/>
      <c r="N183" s="184">
        <f>M183</f>
        <v/>
      </c>
      <c r="O183" s="71" t="n"/>
      <c r="P183" s="101" t="n"/>
      <c r="Q183" s="9">
        <f>J183-N183</f>
        <v/>
      </c>
      <c r="R183" s="9">
        <f>IF(LEFT(B183,4)&lt;&gt;"    ",0,BI183)</f>
        <v/>
      </c>
      <c r="S183" s="9">
        <f>+Q183-R183</f>
        <v/>
      </c>
      <c r="T183" s="200">
        <f>IF('Jobs-Ops'!S183&lt;&gt; "",'Jobs-Ops'!S183,"")</f>
        <v/>
      </c>
      <c r="U183" s="10" t="n"/>
      <c r="V183" s="23">
        <f>IF(LEFT(B183,4)&lt;&gt;"    ","",IF(N183&lt;&gt;0,X183/N183,0))</f>
        <v/>
      </c>
      <c r="W183" s="11">
        <f>IF(LEFT(B183,4)&lt;&gt;"    ","",IF(V183&gt;=0.1,V183*J183,X183))</f>
        <v/>
      </c>
      <c r="X183" s="8" t="n"/>
      <c r="Y183" s="9">
        <f>IF(LEFT(B183,4)&lt;&gt;"    ",0,IF(Q183&lt;0,Q183,IF(V183&gt;0.1,W183-X183,0)))</f>
        <v/>
      </c>
      <c r="Z183" s="9">
        <f>IF(LEFT(B183,4)&lt;&gt;"    ",0,IF(V183&gt;0.1,BI183,0))</f>
        <v/>
      </c>
      <c r="AA183" s="9">
        <f>Y183-Z183</f>
        <v/>
      </c>
      <c r="AB183" s="10" t="n"/>
      <c r="AC183" s="24" t="n"/>
      <c r="AD183" s="11" t="n"/>
      <c r="AE183" s="8" t="n"/>
      <c r="AF183" s="9">
        <f>IF(LEFT(B183,4)&lt;&gt;"    ","",AD183-AE183)</f>
        <v/>
      </c>
      <c r="AG183" s="10" t="n"/>
      <c r="AH183" s="11">
        <f>IF(LEFT(B183,4)&lt;&gt;"    ","",W183-AD183)</f>
        <v/>
      </c>
      <c r="AI183" s="8">
        <f>IF(LEFT(B183,4)&lt;&gt;"    ","",X183-AE183)</f>
        <v/>
      </c>
      <c r="AJ183" s="9">
        <f>IF(LEFT(B183,4)&lt;&gt;"    ","",Y183-AF183)</f>
        <v/>
      </c>
      <c r="AK183" s="10" t="n"/>
      <c r="AL183" s="25">
        <f>IF(LEFT(B183,4)&lt;&gt;"    ","",J183-W183)</f>
        <v/>
      </c>
      <c r="AM183" s="25">
        <f>N183-X183</f>
        <v/>
      </c>
      <c r="AN183" s="25">
        <f>IF(LEFT(B183,4)&lt;&gt;"    ","",Q183-Y183)</f>
        <v/>
      </c>
      <c r="AO183" s="10" t="n"/>
      <c r="AP183" s="12" t="n"/>
      <c r="AQ183" s="12">
        <f>IF(LEFT(B183,4)&lt;&gt;"    ","",IF(W183-AP183&gt;=0,W183-AP183," "))</f>
        <v/>
      </c>
      <c r="AR183" s="12">
        <f>IF(LEFT(B183,4)&lt;&gt;"    ","",IF(AP183-W183&gt;=0,AP183-W183," "))</f>
        <v/>
      </c>
      <c r="AS183" s="186" t="n"/>
      <c r="AT183" s="187" t="n"/>
      <c r="AU183" s="186" t="n"/>
      <c r="AV183" s="186" t="n"/>
      <c r="AW183" s="188" t="n"/>
      <c r="AX183" s="187" t="n"/>
      <c r="AY183" s="187" t="n"/>
      <c r="AZ183" s="186" t="n"/>
      <c r="BA183" s="186" t="n"/>
      <c r="BB183" s="186" t="n"/>
      <c r="BC183" s="186" t="n"/>
      <c r="BD183" s="186" t="n"/>
      <c r="BE183" s="186" t="n"/>
      <c r="BF183" s="186" t="n"/>
      <c r="BG183" s="186" t="n"/>
      <c r="BH183" s="186" t="n"/>
      <c r="BI183" s="186" t="n"/>
      <c r="BJ183" s="186" t="n"/>
      <c r="BK183" s="186" t="n"/>
      <c r="BL183" s="186" t="n"/>
      <c r="BM183" s="186" t="n"/>
      <c r="BN183" s="186" t="n"/>
      <c r="BO183" s="186" t="n"/>
      <c r="BP183" s="186" t="n"/>
      <c r="BQ183" s="186" t="n"/>
      <c r="BR183" s="186" t="n"/>
      <c r="BS183" s="186" t="n"/>
      <c r="BT183" s="186" t="n"/>
      <c r="BU183" s="186" t="n"/>
      <c r="BV183" s="190" t="n"/>
      <c r="BW183" s="186" t="n"/>
      <c r="BX183" s="186" t="n"/>
      <c r="BY183" s="186" t="n"/>
      <c r="BZ183" s="186" t="n"/>
      <c r="CA183" s="186" t="n"/>
      <c r="CB183" s="187" t="n"/>
      <c r="CC183" s="192" t="n"/>
      <c r="CD183" s="192" t="n"/>
      <c r="CE183" s="192" t="n"/>
      <c r="CF183" s="192" t="n"/>
    </row>
    <row r="184">
      <c r="A184" s="197" t="n"/>
      <c r="B184" s="198" t="n"/>
      <c r="C184" s="198" t="n"/>
      <c r="D184" s="179" t="n"/>
      <c r="E184" s="180" t="n"/>
      <c r="F184" s="181" t="n"/>
      <c r="G184" s="284">
        <f>'Jobs-Ops'!G184</f>
        <v/>
      </c>
      <c r="H184" s="114">
        <f>'Jobs-Ops'!H184</f>
        <v/>
      </c>
      <c r="I184" s="105" t="n"/>
      <c r="J184" s="183">
        <f>F184</f>
        <v/>
      </c>
      <c r="K184" s="184" t="n"/>
      <c r="L184" s="185" t="n"/>
      <c r="M184" s="8" t="n"/>
      <c r="N184" s="184">
        <f>M184</f>
        <v/>
      </c>
      <c r="O184" s="71" t="n"/>
      <c r="P184" s="101" t="n"/>
      <c r="Q184" s="9">
        <f>J184-N184</f>
        <v/>
      </c>
      <c r="R184" s="9">
        <f>IF(LEFT(B184,4)&lt;&gt;"    ",0,BI184)</f>
        <v/>
      </c>
      <c r="S184" s="9">
        <f>+Q184-R184</f>
        <v/>
      </c>
      <c r="T184" s="200">
        <f>IF('Jobs-Ops'!S184&lt;&gt; "",'Jobs-Ops'!S184,"")</f>
        <v/>
      </c>
      <c r="U184" s="10" t="n"/>
      <c r="V184" s="23">
        <f>IF(LEFT(B184,4)&lt;&gt;"    ","",IF(N184&lt;&gt;0,X184/N184,0))</f>
        <v/>
      </c>
      <c r="W184" s="11">
        <f>IF(LEFT(B184,4)&lt;&gt;"    ","",IF(V184&gt;=0.1,V184*J184,X184))</f>
        <v/>
      </c>
      <c r="X184" s="8" t="n"/>
      <c r="Y184" s="9">
        <f>IF(LEFT(B184,4)&lt;&gt;"    ",0,IF(Q184&lt;0,Q184,IF(V184&gt;0.1,W184-X184,0)))</f>
        <v/>
      </c>
      <c r="Z184" s="9">
        <f>IF(LEFT(B184,4)&lt;&gt;"    ",0,IF(V184&gt;0.1,BI184,0))</f>
        <v/>
      </c>
      <c r="AA184" s="9">
        <f>Y184-Z184</f>
        <v/>
      </c>
      <c r="AB184" s="10" t="n"/>
      <c r="AC184" s="24" t="n"/>
      <c r="AD184" s="11" t="n"/>
      <c r="AE184" s="8" t="n"/>
      <c r="AF184" s="9">
        <f>IF(LEFT(B184,4)&lt;&gt;"    ","",AD184-AE184)</f>
        <v/>
      </c>
      <c r="AG184" s="10" t="n"/>
      <c r="AH184" s="11">
        <f>IF(LEFT(B184,4)&lt;&gt;"    ","",W184-AD184)</f>
        <v/>
      </c>
      <c r="AI184" s="8">
        <f>IF(LEFT(B184,4)&lt;&gt;"    ","",X184-AE184)</f>
        <v/>
      </c>
      <c r="AJ184" s="9">
        <f>IF(LEFT(B184,4)&lt;&gt;"    ","",Y184-AF184)</f>
        <v/>
      </c>
      <c r="AK184" s="10" t="n"/>
      <c r="AL184" s="25">
        <f>IF(LEFT(B184,4)&lt;&gt;"    ","",J184-W184)</f>
        <v/>
      </c>
      <c r="AM184" s="25">
        <f>N184-X184</f>
        <v/>
      </c>
      <c r="AN184" s="25">
        <f>IF(LEFT(B184,4)&lt;&gt;"    ","",Q184-Y184)</f>
        <v/>
      </c>
      <c r="AO184" s="10" t="n"/>
      <c r="AP184" s="12" t="n"/>
      <c r="AQ184" s="12">
        <f>IF(LEFT(B184,4)&lt;&gt;"    ","",IF(W184-AP184&gt;=0,W184-AP184," "))</f>
        <v/>
      </c>
      <c r="AR184" s="12">
        <f>IF(LEFT(B184,4)&lt;&gt;"    ","",IF(AP184-W184&gt;=0,AP184-W184," "))</f>
        <v/>
      </c>
      <c r="AS184" s="186" t="n"/>
      <c r="AT184" s="187" t="n"/>
      <c r="AU184" s="186" t="n"/>
      <c r="AV184" s="186" t="n"/>
      <c r="AW184" s="188" t="n"/>
      <c r="AX184" s="187" t="n"/>
      <c r="AY184" s="187" t="n"/>
      <c r="AZ184" s="186" t="n"/>
      <c r="BA184" s="186" t="n"/>
      <c r="BB184" s="186" t="n"/>
      <c r="BC184" s="186" t="n"/>
      <c r="BD184" s="186" t="n"/>
      <c r="BE184" s="186" t="n"/>
      <c r="BF184" s="186" t="n"/>
      <c r="BG184" s="186" t="n"/>
      <c r="BH184" s="186" t="n"/>
      <c r="BI184" s="186" t="n"/>
      <c r="BJ184" s="186" t="n"/>
      <c r="BK184" s="186" t="n"/>
      <c r="BL184" s="186" t="n"/>
      <c r="BM184" s="186" t="n"/>
      <c r="BN184" s="186" t="n"/>
      <c r="BO184" s="186" t="n"/>
      <c r="BP184" s="186" t="n"/>
      <c r="BQ184" s="186" t="n"/>
      <c r="BR184" s="186" t="n"/>
      <c r="BS184" s="186" t="n"/>
      <c r="BT184" s="186" t="n"/>
      <c r="BU184" s="186" t="n"/>
      <c r="BV184" s="190" t="n"/>
      <c r="BW184" s="186" t="n"/>
      <c r="BX184" s="186" t="n"/>
      <c r="BY184" s="186" t="n"/>
      <c r="BZ184" s="186" t="n"/>
      <c r="CA184" s="186" t="n"/>
      <c r="CB184" s="187" t="n"/>
      <c r="CC184" s="192" t="n"/>
      <c r="CD184" s="192" t="n"/>
      <c r="CE184" s="192" t="n"/>
      <c r="CF184" s="192" t="n"/>
    </row>
    <row r="185">
      <c r="A185" s="197" t="n"/>
      <c r="B185" s="198" t="n"/>
      <c r="C185" s="198" t="n"/>
      <c r="D185" s="179" t="n"/>
      <c r="E185" s="180" t="n"/>
      <c r="F185" s="181" t="n"/>
      <c r="G185" s="284">
        <f>'Jobs-Ops'!G185</f>
        <v/>
      </c>
      <c r="H185" s="114">
        <f>'Jobs-Ops'!H185</f>
        <v/>
      </c>
      <c r="I185" s="105" t="n"/>
      <c r="J185" s="183">
        <f>F185</f>
        <v/>
      </c>
      <c r="K185" s="184" t="n"/>
      <c r="L185" s="185" t="n"/>
      <c r="M185" s="8" t="n"/>
      <c r="N185" s="184">
        <f>M185</f>
        <v/>
      </c>
      <c r="O185" s="71" t="n"/>
      <c r="P185" s="101" t="n"/>
      <c r="Q185" s="9">
        <f>J185-N185</f>
        <v/>
      </c>
      <c r="R185" s="9">
        <f>IF(LEFT(B185,4)&lt;&gt;"    ",0,BI185)</f>
        <v/>
      </c>
      <c r="S185" s="9">
        <f>+Q185-R185</f>
        <v/>
      </c>
      <c r="T185" s="200">
        <f>IF('Jobs-Ops'!S185&lt;&gt; "",'Jobs-Ops'!S185,"")</f>
        <v/>
      </c>
      <c r="U185" s="10" t="n"/>
      <c r="V185" s="23">
        <f>IF(LEFT(B185,4)&lt;&gt;"    ","",IF(N185&lt;&gt;0,X185/N185,0))</f>
        <v/>
      </c>
      <c r="W185" s="11">
        <f>IF(LEFT(B185,4)&lt;&gt;"    ","",IF(V185&gt;=0.1,V185*J185,X185))</f>
        <v/>
      </c>
      <c r="X185" s="8" t="n"/>
      <c r="Y185" s="9">
        <f>IF(LEFT(B185,4)&lt;&gt;"    ",0,IF(Q185&lt;0,Q185,IF(V185&gt;0.1,W185-X185,0)))</f>
        <v/>
      </c>
      <c r="Z185" s="9">
        <f>IF(LEFT(B185,4)&lt;&gt;"    ",0,IF(V185&gt;0.1,BI185,0))</f>
        <v/>
      </c>
      <c r="AA185" s="9">
        <f>Y185-Z185</f>
        <v/>
      </c>
      <c r="AB185" s="10" t="n"/>
      <c r="AC185" s="24" t="n"/>
      <c r="AD185" s="11" t="n"/>
      <c r="AE185" s="8" t="n"/>
      <c r="AF185" s="9">
        <f>IF(LEFT(B185,4)&lt;&gt;"    ","",AD185-AE185)</f>
        <v/>
      </c>
      <c r="AG185" s="10" t="n"/>
      <c r="AH185" s="11">
        <f>IF(LEFT(B185,4)&lt;&gt;"    ","",W185-AD185)</f>
        <v/>
      </c>
      <c r="AI185" s="8">
        <f>IF(LEFT(B185,4)&lt;&gt;"    ","",X185-AE185)</f>
        <v/>
      </c>
      <c r="AJ185" s="9">
        <f>IF(LEFT(B185,4)&lt;&gt;"    ","",Y185-AF185)</f>
        <v/>
      </c>
      <c r="AK185" s="10" t="n"/>
      <c r="AL185" s="25">
        <f>IF(LEFT(B185,4)&lt;&gt;"    ","",J185-W185)</f>
        <v/>
      </c>
      <c r="AM185" s="25">
        <f>N185-X185</f>
        <v/>
      </c>
      <c r="AN185" s="25">
        <f>IF(LEFT(B185,4)&lt;&gt;"    ","",Q185-Y185)</f>
        <v/>
      </c>
      <c r="AO185" s="10" t="n"/>
      <c r="AP185" s="12" t="n"/>
      <c r="AQ185" s="12">
        <f>IF(LEFT(B185,4)&lt;&gt;"    ","",IF(W185-AP185&gt;=0,W185-AP185," "))</f>
        <v/>
      </c>
      <c r="AR185" s="12">
        <f>IF(LEFT(B185,4)&lt;&gt;"    ","",IF(AP185-W185&gt;=0,AP185-W185," "))</f>
        <v/>
      </c>
      <c r="AS185" s="186" t="n"/>
      <c r="AT185" s="187" t="n"/>
      <c r="AU185" s="186" t="n"/>
      <c r="AV185" s="186" t="n"/>
      <c r="AW185" s="188" t="n"/>
      <c r="AX185" s="187" t="n"/>
      <c r="AY185" s="187" t="n"/>
      <c r="AZ185" s="186" t="n"/>
      <c r="BA185" s="186" t="n"/>
      <c r="BB185" s="186" t="n"/>
      <c r="BC185" s="186" t="n"/>
      <c r="BD185" s="186" t="n"/>
      <c r="BE185" s="186" t="n"/>
      <c r="BF185" s="186" t="n"/>
      <c r="BG185" s="186" t="n"/>
      <c r="BH185" s="186" t="n"/>
      <c r="BI185" s="186" t="n"/>
      <c r="BJ185" s="186" t="n"/>
      <c r="BK185" s="186" t="n"/>
      <c r="BL185" s="186" t="n"/>
      <c r="BM185" s="186" t="n"/>
      <c r="BN185" s="186" t="n"/>
      <c r="BO185" s="186" t="n"/>
      <c r="BP185" s="186" t="n"/>
      <c r="BQ185" s="186" t="n"/>
      <c r="BR185" s="186" t="n"/>
      <c r="BS185" s="186" t="n"/>
      <c r="BT185" s="186" t="n"/>
      <c r="BU185" s="186" t="n"/>
      <c r="BV185" s="190" t="n"/>
      <c r="BW185" s="186" t="n"/>
      <c r="BX185" s="186" t="n"/>
      <c r="BY185" s="186" t="n"/>
      <c r="BZ185" s="186" t="n"/>
      <c r="CA185" s="186" t="n"/>
      <c r="CB185" s="187" t="n"/>
      <c r="CC185" s="192" t="n"/>
      <c r="CD185" s="192" t="n"/>
      <c r="CE185" s="192" t="n"/>
      <c r="CF185" s="192" t="n"/>
    </row>
    <row r="186">
      <c r="A186" s="197" t="n"/>
      <c r="B186" s="198" t="n"/>
      <c r="C186" s="198" t="n"/>
      <c r="D186" s="179" t="n"/>
      <c r="E186" s="180" t="n"/>
      <c r="F186" s="181" t="n"/>
      <c r="G186" s="284">
        <f>'Jobs-Ops'!G186</f>
        <v/>
      </c>
      <c r="H186" s="114">
        <f>'Jobs-Ops'!H186</f>
        <v/>
      </c>
      <c r="I186" s="105" t="n"/>
      <c r="J186" s="183">
        <f>F186</f>
        <v/>
      </c>
      <c r="K186" s="184" t="n"/>
      <c r="L186" s="185" t="n"/>
      <c r="M186" s="8" t="n"/>
      <c r="N186" s="184">
        <f>M186</f>
        <v/>
      </c>
      <c r="O186" s="71" t="n"/>
      <c r="P186" s="101" t="n"/>
      <c r="Q186" s="9">
        <f>J186-N186</f>
        <v/>
      </c>
      <c r="R186" s="9">
        <f>IF(LEFT(B186,4)&lt;&gt;"    ",0,BI186)</f>
        <v/>
      </c>
      <c r="S186" s="9">
        <f>+Q186-R186</f>
        <v/>
      </c>
      <c r="T186" s="200">
        <f>IF('Jobs-Ops'!S186&lt;&gt; "",'Jobs-Ops'!S186,"")</f>
        <v/>
      </c>
      <c r="U186" s="10" t="n"/>
      <c r="V186" s="23">
        <f>IF(LEFT(B186,4)&lt;&gt;"    ","",IF(N186&lt;&gt;0,X186/N186,0))</f>
        <v/>
      </c>
      <c r="W186" s="11">
        <f>IF(LEFT(B186,4)&lt;&gt;"    ","",IF(V186&gt;=0.1,V186*J186,X186))</f>
        <v/>
      </c>
      <c r="X186" s="8" t="n"/>
      <c r="Y186" s="9">
        <f>IF(LEFT(B186,4)&lt;&gt;"    ",0,IF(Q186&lt;0,Q186,IF(V186&gt;0.1,W186-X186,0)))</f>
        <v/>
      </c>
      <c r="Z186" s="9">
        <f>IF(LEFT(B186,4)&lt;&gt;"    ",0,IF(V186&gt;0.1,BI186,0))</f>
        <v/>
      </c>
      <c r="AA186" s="9">
        <f>Y186-Z186</f>
        <v/>
      </c>
      <c r="AB186" s="10" t="n"/>
      <c r="AC186" s="24" t="n"/>
      <c r="AD186" s="11" t="n"/>
      <c r="AE186" s="8" t="n"/>
      <c r="AF186" s="9">
        <f>IF(LEFT(B186,4)&lt;&gt;"    ","",AD186-AE186)</f>
        <v/>
      </c>
      <c r="AG186" s="10" t="n"/>
      <c r="AH186" s="11">
        <f>IF(LEFT(B186,4)&lt;&gt;"    ","",W186-AD186)</f>
        <v/>
      </c>
      <c r="AI186" s="8">
        <f>IF(LEFT(B186,4)&lt;&gt;"    ","",X186-AE186)</f>
        <v/>
      </c>
      <c r="AJ186" s="9">
        <f>IF(LEFT(B186,4)&lt;&gt;"    ","",Y186-AF186)</f>
        <v/>
      </c>
      <c r="AK186" s="10" t="n"/>
      <c r="AL186" s="25">
        <f>IF(LEFT(B186,4)&lt;&gt;"    ","",J186-W186)</f>
        <v/>
      </c>
      <c r="AM186" s="25">
        <f>N186-X186</f>
        <v/>
      </c>
      <c r="AN186" s="25">
        <f>IF(LEFT(B186,4)&lt;&gt;"    ","",Q186-Y186)</f>
        <v/>
      </c>
      <c r="AO186" s="10" t="n"/>
      <c r="AP186" s="12" t="n"/>
      <c r="AQ186" s="12">
        <f>IF(LEFT(B186,4)&lt;&gt;"    ","",IF(W186-AP186&gt;=0,W186-AP186," "))</f>
        <v/>
      </c>
      <c r="AR186" s="12">
        <f>IF(LEFT(B186,4)&lt;&gt;"    ","",IF(AP186-W186&gt;=0,AP186-W186," "))</f>
        <v/>
      </c>
      <c r="AS186" s="186" t="n"/>
      <c r="AT186" s="187" t="n"/>
      <c r="AU186" s="186" t="n"/>
      <c r="AV186" s="186" t="n"/>
      <c r="AW186" s="188" t="n"/>
      <c r="AX186" s="187" t="n"/>
      <c r="AY186" s="187" t="n"/>
      <c r="AZ186" s="186" t="n"/>
      <c r="BA186" s="186" t="n"/>
      <c r="BB186" s="186" t="n"/>
      <c r="BC186" s="186" t="n"/>
      <c r="BD186" s="186" t="n"/>
      <c r="BE186" s="186" t="n"/>
      <c r="BF186" s="186" t="n"/>
      <c r="BG186" s="186" t="n"/>
      <c r="BH186" s="186" t="n"/>
      <c r="BI186" s="186" t="n"/>
      <c r="BJ186" s="186" t="n"/>
      <c r="BK186" s="186" t="n"/>
      <c r="BL186" s="186" t="n"/>
      <c r="BM186" s="186" t="n"/>
      <c r="BN186" s="186" t="n"/>
      <c r="BO186" s="186" t="n"/>
      <c r="BP186" s="186" t="n"/>
      <c r="BQ186" s="186" t="n"/>
      <c r="BR186" s="186" t="n"/>
      <c r="BS186" s="186" t="n"/>
      <c r="BT186" s="186" t="n"/>
      <c r="BU186" s="186" t="n"/>
      <c r="BV186" s="190" t="n"/>
      <c r="BW186" s="186" t="n"/>
      <c r="BX186" s="186" t="n"/>
      <c r="BY186" s="186" t="n"/>
      <c r="BZ186" s="186" t="n"/>
      <c r="CA186" s="186" t="n"/>
      <c r="CB186" s="187" t="n"/>
      <c r="CC186" s="192" t="n"/>
      <c r="CD186" s="192" t="n"/>
      <c r="CE186" s="192" t="n"/>
      <c r="CF186" s="192" t="n"/>
    </row>
    <row r="187">
      <c r="A187" s="197" t="n"/>
      <c r="B187" s="198" t="n"/>
      <c r="C187" s="198" t="n"/>
      <c r="D187" s="179" t="n"/>
      <c r="E187" s="180" t="n"/>
      <c r="F187" s="181" t="n"/>
      <c r="G187" s="284">
        <f>'Jobs-Ops'!G187</f>
        <v/>
      </c>
      <c r="H187" s="114">
        <f>'Jobs-Ops'!H187</f>
        <v/>
      </c>
      <c r="I187" s="105" t="n"/>
      <c r="J187" s="183">
        <f>F187</f>
        <v/>
      </c>
      <c r="K187" s="184" t="n"/>
      <c r="L187" s="185" t="n"/>
      <c r="M187" s="8" t="n"/>
      <c r="N187" s="184">
        <f>M187</f>
        <v/>
      </c>
      <c r="O187" s="71" t="n"/>
      <c r="P187" s="101" t="n"/>
      <c r="Q187" s="9">
        <f>J187-N187</f>
        <v/>
      </c>
      <c r="R187" s="9">
        <f>IF(LEFT(B187,4)&lt;&gt;"    ",0,BI187)</f>
        <v/>
      </c>
      <c r="S187" s="9">
        <f>+Q187-R187</f>
        <v/>
      </c>
      <c r="T187" s="200">
        <f>IF('Jobs-Ops'!S187&lt;&gt; "",'Jobs-Ops'!S187,"")</f>
        <v/>
      </c>
      <c r="U187" s="10" t="n"/>
      <c r="V187" s="23">
        <f>IF(LEFT(B187,4)&lt;&gt;"    ","",IF(N187&lt;&gt;0,X187/N187,0))</f>
        <v/>
      </c>
      <c r="W187" s="11">
        <f>IF(LEFT(B187,4)&lt;&gt;"    ","",IF(V187&gt;=0.1,V187*J187,X187))</f>
        <v/>
      </c>
      <c r="X187" s="8" t="n"/>
      <c r="Y187" s="9">
        <f>IF(LEFT(B187,4)&lt;&gt;"    ",0,IF(Q187&lt;0,Q187,IF(V187&gt;0.1,W187-X187,0)))</f>
        <v/>
      </c>
      <c r="Z187" s="9">
        <f>IF(LEFT(B187,4)&lt;&gt;"    ",0,IF(V187&gt;0.1,BI187,0))</f>
        <v/>
      </c>
      <c r="AA187" s="9">
        <f>Y187-Z187</f>
        <v/>
      </c>
      <c r="AB187" s="10" t="n"/>
      <c r="AC187" s="24" t="n"/>
      <c r="AD187" s="11" t="n"/>
      <c r="AE187" s="8" t="n"/>
      <c r="AF187" s="9">
        <f>IF(LEFT(B187,4)&lt;&gt;"    ","",AD187-AE187)</f>
        <v/>
      </c>
      <c r="AG187" s="10" t="n"/>
      <c r="AH187" s="11">
        <f>IF(LEFT(B187,4)&lt;&gt;"    ","",W187-AD187)</f>
        <v/>
      </c>
      <c r="AI187" s="8">
        <f>IF(LEFT(B187,4)&lt;&gt;"    ","",X187-AE187)</f>
        <v/>
      </c>
      <c r="AJ187" s="9">
        <f>IF(LEFT(B187,4)&lt;&gt;"    ","",Y187-AF187)</f>
        <v/>
      </c>
      <c r="AK187" s="10" t="n"/>
      <c r="AL187" s="25">
        <f>IF(LEFT(B187,4)&lt;&gt;"    ","",J187-W187)</f>
        <v/>
      </c>
      <c r="AM187" s="25">
        <f>N187-X187</f>
        <v/>
      </c>
      <c r="AN187" s="25">
        <f>IF(LEFT(B187,4)&lt;&gt;"    ","",Q187-Y187)</f>
        <v/>
      </c>
      <c r="AO187" s="10" t="n"/>
      <c r="AP187" s="12" t="n"/>
      <c r="AQ187" s="12">
        <f>IF(LEFT(B187,4)&lt;&gt;"    ","",IF(W187-AP187&gt;=0,W187-AP187," "))</f>
        <v/>
      </c>
      <c r="AR187" s="12">
        <f>IF(LEFT(B187,4)&lt;&gt;"    ","",IF(AP187-W187&gt;=0,AP187-W187," "))</f>
        <v/>
      </c>
      <c r="AS187" s="186" t="n"/>
      <c r="AT187" s="187" t="n"/>
      <c r="AU187" s="186" t="n"/>
      <c r="AV187" s="186" t="n"/>
      <c r="AW187" s="188" t="n"/>
      <c r="AX187" s="187" t="n"/>
      <c r="AY187" s="187" t="n"/>
      <c r="AZ187" s="186" t="n"/>
      <c r="BA187" s="186" t="n"/>
      <c r="BB187" s="186" t="n"/>
      <c r="BC187" s="186" t="n"/>
      <c r="BD187" s="186" t="n"/>
      <c r="BE187" s="186" t="n"/>
      <c r="BF187" s="186" t="n"/>
      <c r="BG187" s="186" t="n"/>
      <c r="BH187" s="186" t="n"/>
      <c r="BI187" s="186" t="n"/>
      <c r="BJ187" s="186" t="n"/>
      <c r="BK187" s="186" t="n"/>
      <c r="BL187" s="186" t="n"/>
      <c r="BM187" s="186" t="n"/>
      <c r="BN187" s="186" t="n"/>
      <c r="BO187" s="186" t="n"/>
      <c r="BP187" s="186" t="n"/>
      <c r="BQ187" s="186" t="n"/>
      <c r="BR187" s="186" t="n"/>
      <c r="BS187" s="186" t="n"/>
      <c r="BT187" s="186" t="n"/>
      <c r="BU187" s="186" t="n"/>
      <c r="BV187" s="190" t="n"/>
      <c r="BW187" s="186" t="n"/>
      <c r="BX187" s="186" t="n"/>
      <c r="BY187" s="186" t="n"/>
      <c r="BZ187" s="186" t="n"/>
      <c r="CA187" s="186" t="n"/>
      <c r="CB187" s="187" t="n"/>
      <c r="CC187" s="192" t="n"/>
      <c r="CD187" s="192" t="n"/>
      <c r="CE187" s="192" t="n"/>
      <c r="CF187" s="192" t="n"/>
    </row>
    <row r="188">
      <c r="A188" s="197" t="n"/>
      <c r="B188" s="198" t="n"/>
      <c r="C188" s="198" t="n"/>
      <c r="D188" s="179" t="n"/>
      <c r="E188" s="180" t="n"/>
      <c r="F188" s="181" t="n"/>
      <c r="G188" s="284">
        <f>'Jobs-Ops'!G188</f>
        <v/>
      </c>
      <c r="H188" s="114">
        <f>'Jobs-Ops'!H188</f>
        <v/>
      </c>
      <c r="I188" s="105" t="n"/>
      <c r="J188" s="183">
        <f>F188</f>
        <v/>
      </c>
      <c r="K188" s="184" t="n"/>
      <c r="L188" s="185" t="n"/>
      <c r="M188" s="8" t="n"/>
      <c r="N188" s="184">
        <f>M188</f>
        <v/>
      </c>
      <c r="O188" s="71" t="n"/>
      <c r="P188" s="101" t="n"/>
      <c r="Q188" s="9">
        <f>J188-N188</f>
        <v/>
      </c>
      <c r="R188" s="9">
        <f>IF(LEFT(B188,4)&lt;&gt;"    ",0,BI188)</f>
        <v/>
      </c>
      <c r="S188" s="9">
        <f>+Q188-R188</f>
        <v/>
      </c>
      <c r="T188" s="200">
        <f>IF('Jobs-Ops'!S188&lt;&gt; "",'Jobs-Ops'!S188,"")</f>
        <v/>
      </c>
      <c r="U188" s="10" t="n"/>
      <c r="V188" s="23">
        <f>IF(LEFT(B188,4)&lt;&gt;"    ","",IF(N188&lt;&gt;0,X188/N188,0))</f>
        <v/>
      </c>
      <c r="W188" s="11">
        <f>IF(LEFT(B188,4)&lt;&gt;"    ","",IF(V188&gt;=0.1,V188*J188,X188))</f>
        <v/>
      </c>
      <c r="X188" s="8" t="n"/>
      <c r="Y188" s="9">
        <f>IF(LEFT(B188,4)&lt;&gt;"    ",0,IF(Q188&lt;0,Q188,IF(V188&gt;0.1,W188-X188,0)))</f>
        <v/>
      </c>
      <c r="Z188" s="9">
        <f>IF(LEFT(B188,4)&lt;&gt;"    ",0,IF(V188&gt;0.1,BI188,0))</f>
        <v/>
      </c>
      <c r="AA188" s="9">
        <f>Y188-Z188</f>
        <v/>
      </c>
      <c r="AB188" s="10" t="n"/>
      <c r="AC188" s="24" t="n"/>
      <c r="AD188" s="11" t="n"/>
      <c r="AE188" s="8" t="n"/>
      <c r="AF188" s="9">
        <f>IF(LEFT(B188,4)&lt;&gt;"    ","",AD188-AE188)</f>
        <v/>
      </c>
      <c r="AG188" s="10" t="n"/>
      <c r="AH188" s="11">
        <f>IF(LEFT(B188,4)&lt;&gt;"    ","",W188-AD188)</f>
        <v/>
      </c>
      <c r="AI188" s="8">
        <f>IF(LEFT(B188,4)&lt;&gt;"    ","",X188-AE188)</f>
        <v/>
      </c>
      <c r="AJ188" s="9">
        <f>IF(LEFT(B188,4)&lt;&gt;"    ","",Y188-AF188)</f>
        <v/>
      </c>
      <c r="AK188" s="10" t="n"/>
      <c r="AL188" s="25">
        <f>IF(LEFT(B188,4)&lt;&gt;"    ","",J188-W188)</f>
        <v/>
      </c>
      <c r="AM188" s="25">
        <f>N188-X188</f>
        <v/>
      </c>
      <c r="AN188" s="25">
        <f>IF(LEFT(B188,4)&lt;&gt;"    ","",Q188-Y188)</f>
        <v/>
      </c>
      <c r="AO188" s="10" t="n"/>
      <c r="AP188" s="12" t="n"/>
      <c r="AQ188" s="12">
        <f>IF(LEFT(B188,4)&lt;&gt;"    ","",IF(W188-AP188&gt;=0,W188-AP188," "))</f>
        <v/>
      </c>
      <c r="AR188" s="12">
        <f>IF(LEFT(B188,4)&lt;&gt;"    ","",IF(AP188-W188&gt;=0,AP188-W188," "))</f>
        <v/>
      </c>
      <c r="AS188" s="186" t="n"/>
      <c r="AT188" s="187" t="n"/>
      <c r="AU188" s="186" t="n"/>
      <c r="AV188" s="186" t="n"/>
      <c r="AW188" s="188" t="n"/>
      <c r="AX188" s="187" t="n"/>
      <c r="AY188" s="187" t="n"/>
      <c r="AZ188" s="186" t="n"/>
      <c r="BA188" s="186" t="n"/>
      <c r="BB188" s="186" t="n"/>
      <c r="BC188" s="186" t="n"/>
      <c r="BD188" s="186" t="n"/>
      <c r="BE188" s="186" t="n"/>
      <c r="BF188" s="186" t="n"/>
      <c r="BG188" s="186" t="n"/>
      <c r="BH188" s="186" t="n"/>
      <c r="BI188" s="186" t="n"/>
      <c r="BJ188" s="186" t="n"/>
      <c r="BK188" s="186" t="n"/>
      <c r="BL188" s="186" t="n"/>
      <c r="BM188" s="186" t="n"/>
      <c r="BN188" s="186" t="n"/>
      <c r="BO188" s="186" t="n"/>
      <c r="BP188" s="186" t="n"/>
      <c r="BQ188" s="186" t="n"/>
      <c r="BR188" s="186" t="n"/>
      <c r="BS188" s="186" t="n"/>
      <c r="BT188" s="186" t="n"/>
      <c r="BU188" s="186" t="n"/>
      <c r="BV188" s="190" t="n"/>
      <c r="BW188" s="186" t="n"/>
      <c r="BX188" s="186" t="n"/>
      <c r="BY188" s="186" t="n"/>
      <c r="BZ188" s="186" t="n"/>
      <c r="CA188" s="186" t="n"/>
      <c r="CB188" s="187" t="n"/>
      <c r="CC188" s="192" t="n"/>
      <c r="CD188" s="192" t="n"/>
      <c r="CE188" s="192" t="n"/>
      <c r="CF188" s="192" t="n"/>
    </row>
    <row r="189">
      <c r="A189" s="197" t="n"/>
      <c r="B189" s="198" t="n"/>
      <c r="C189" s="198" t="n"/>
      <c r="D189" s="179" t="n"/>
      <c r="E189" s="180" t="n"/>
      <c r="F189" s="181" t="n"/>
      <c r="G189" s="284">
        <f>'Jobs-Ops'!G189</f>
        <v/>
      </c>
      <c r="H189" s="114">
        <f>'Jobs-Ops'!H189</f>
        <v/>
      </c>
      <c r="I189" s="105" t="n"/>
      <c r="J189" s="183">
        <f>F189</f>
        <v/>
      </c>
      <c r="K189" s="184" t="n"/>
      <c r="L189" s="185" t="n"/>
      <c r="M189" s="8" t="n"/>
      <c r="N189" s="184">
        <f>M189</f>
        <v/>
      </c>
      <c r="O189" s="71" t="n"/>
      <c r="P189" s="101" t="n"/>
      <c r="Q189" s="9">
        <f>J189-N189</f>
        <v/>
      </c>
      <c r="R189" s="9">
        <f>IF(LEFT(B189,4)&lt;&gt;"    ",0,BI189)</f>
        <v/>
      </c>
      <c r="S189" s="9">
        <f>+Q189-R189</f>
        <v/>
      </c>
      <c r="T189" s="200">
        <f>IF('Jobs-Ops'!S189&lt;&gt; "",'Jobs-Ops'!S189,"")</f>
        <v/>
      </c>
      <c r="U189" s="10" t="n"/>
      <c r="V189" s="23">
        <f>IF(LEFT(B189,4)&lt;&gt;"    ","",IF(N189&lt;&gt;0,X189/N189,0))</f>
        <v/>
      </c>
      <c r="W189" s="11">
        <f>IF(LEFT(B189,4)&lt;&gt;"    ","",IF(V189&gt;=0.1,V189*J189,X189))</f>
        <v/>
      </c>
      <c r="X189" s="8" t="n"/>
      <c r="Y189" s="9">
        <f>IF(LEFT(B189,4)&lt;&gt;"    ",0,IF(Q189&lt;0,Q189,IF(V189&gt;0.1,W189-X189,0)))</f>
        <v/>
      </c>
      <c r="Z189" s="9">
        <f>IF(LEFT(B189,4)&lt;&gt;"    ",0,IF(V189&gt;0.1,BI189,0))</f>
        <v/>
      </c>
      <c r="AA189" s="9">
        <f>Y189-Z189</f>
        <v/>
      </c>
      <c r="AB189" s="10" t="n"/>
      <c r="AC189" s="24" t="n"/>
      <c r="AD189" s="11" t="n"/>
      <c r="AE189" s="8" t="n"/>
      <c r="AF189" s="9">
        <f>IF(LEFT(B189,4)&lt;&gt;"    ","",AD189-AE189)</f>
        <v/>
      </c>
      <c r="AG189" s="10" t="n"/>
      <c r="AH189" s="11">
        <f>IF(LEFT(B189,4)&lt;&gt;"    ","",W189-AD189)</f>
        <v/>
      </c>
      <c r="AI189" s="8">
        <f>IF(LEFT(B189,4)&lt;&gt;"    ","",X189-AE189)</f>
        <v/>
      </c>
      <c r="AJ189" s="9">
        <f>IF(LEFT(B189,4)&lt;&gt;"    ","",Y189-AF189)</f>
        <v/>
      </c>
      <c r="AK189" s="10" t="n"/>
      <c r="AL189" s="25">
        <f>IF(LEFT(B189,4)&lt;&gt;"    ","",J189-W189)</f>
        <v/>
      </c>
      <c r="AM189" s="25">
        <f>N189-X189</f>
        <v/>
      </c>
      <c r="AN189" s="25">
        <f>IF(LEFT(B189,4)&lt;&gt;"    ","",Q189-Y189)</f>
        <v/>
      </c>
      <c r="AO189" s="10" t="n"/>
      <c r="AP189" s="12" t="n"/>
      <c r="AQ189" s="12">
        <f>IF(LEFT(B189,4)&lt;&gt;"    ","",IF(W189-AP189&gt;=0,W189-AP189," "))</f>
        <v/>
      </c>
      <c r="AR189" s="12">
        <f>IF(LEFT(B189,4)&lt;&gt;"    ","",IF(AP189-W189&gt;=0,AP189-W189," "))</f>
        <v/>
      </c>
      <c r="AS189" s="186" t="n"/>
      <c r="AT189" s="187" t="n"/>
      <c r="AU189" s="186" t="n"/>
      <c r="AV189" s="186" t="n"/>
      <c r="AW189" s="188" t="n"/>
      <c r="AX189" s="187" t="n"/>
      <c r="AY189" s="187" t="n"/>
      <c r="AZ189" s="186" t="n"/>
      <c r="BA189" s="186" t="n"/>
      <c r="BB189" s="186" t="n"/>
      <c r="BC189" s="186" t="n"/>
      <c r="BD189" s="186" t="n"/>
      <c r="BE189" s="186" t="n"/>
      <c r="BF189" s="186" t="n"/>
      <c r="BG189" s="186" t="n"/>
      <c r="BH189" s="186" t="n"/>
      <c r="BI189" s="186" t="n"/>
      <c r="BJ189" s="186" t="n"/>
      <c r="BK189" s="186" t="n"/>
      <c r="BL189" s="186" t="n"/>
      <c r="BM189" s="186" t="n"/>
      <c r="BN189" s="186" t="n"/>
      <c r="BO189" s="186" t="n"/>
      <c r="BP189" s="186" t="n"/>
      <c r="BQ189" s="186" t="n"/>
      <c r="BR189" s="186" t="n"/>
      <c r="BS189" s="186" t="n"/>
      <c r="BT189" s="186" t="n"/>
      <c r="BU189" s="186" t="n"/>
      <c r="BV189" s="190" t="n"/>
      <c r="BW189" s="186" t="n"/>
      <c r="BX189" s="186" t="n"/>
      <c r="BY189" s="186" t="n"/>
      <c r="BZ189" s="186" t="n"/>
      <c r="CA189" s="186" t="n"/>
      <c r="CB189" s="187" t="n"/>
      <c r="CC189" s="192" t="n"/>
      <c r="CD189" s="192" t="n"/>
      <c r="CE189" s="192" t="n"/>
      <c r="CF189" s="192" t="n"/>
    </row>
    <row r="190">
      <c r="A190" s="197" t="n"/>
      <c r="B190" s="198" t="n"/>
      <c r="C190" s="198" t="n"/>
      <c r="D190" s="179" t="n"/>
      <c r="E190" s="180" t="n"/>
      <c r="F190" s="181" t="n"/>
      <c r="G190" s="284">
        <f>'Jobs-Ops'!G190</f>
        <v/>
      </c>
      <c r="H190" s="114">
        <f>'Jobs-Ops'!H190</f>
        <v/>
      </c>
      <c r="I190" s="105" t="n"/>
      <c r="J190" s="183">
        <f>F190</f>
        <v/>
      </c>
      <c r="K190" s="184" t="n"/>
      <c r="L190" s="185" t="n"/>
      <c r="M190" s="8" t="n"/>
      <c r="N190" s="184">
        <f>M190</f>
        <v/>
      </c>
      <c r="O190" s="71" t="n"/>
      <c r="P190" s="101" t="n"/>
      <c r="Q190" s="9">
        <f>J190-N190</f>
        <v/>
      </c>
      <c r="R190" s="9">
        <f>IF(LEFT(B190,4)&lt;&gt;"    ",0,BI190)</f>
        <v/>
      </c>
      <c r="S190" s="9">
        <f>+Q190-R190</f>
        <v/>
      </c>
      <c r="T190" s="200">
        <f>IF('Jobs-Ops'!S190&lt;&gt; "",'Jobs-Ops'!S190,"")</f>
        <v/>
      </c>
      <c r="U190" s="10" t="n"/>
      <c r="V190" s="23">
        <f>IF(LEFT(B190,4)&lt;&gt;"    ","",IF(N190&lt;&gt;0,X190/N190,0))</f>
        <v/>
      </c>
      <c r="W190" s="11">
        <f>IF(LEFT(B190,4)&lt;&gt;"    ","",IF(V190&gt;=0.1,V190*J190,X190))</f>
        <v/>
      </c>
      <c r="X190" s="8" t="n"/>
      <c r="Y190" s="9">
        <f>IF(LEFT(B190,4)&lt;&gt;"    ",0,IF(Q190&lt;0,Q190,IF(V190&gt;0.1,W190-X190,0)))</f>
        <v/>
      </c>
      <c r="Z190" s="9">
        <f>IF(LEFT(B190,4)&lt;&gt;"    ",0,IF(V190&gt;0.1,BI190,0))</f>
        <v/>
      </c>
      <c r="AA190" s="9">
        <f>Y190-Z190</f>
        <v/>
      </c>
      <c r="AB190" s="10" t="n"/>
      <c r="AC190" s="24" t="n"/>
      <c r="AD190" s="11" t="n"/>
      <c r="AE190" s="8" t="n"/>
      <c r="AF190" s="9">
        <f>IF(LEFT(B190,4)&lt;&gt;"    ","",AD190-AE190)</f>
        <v/>
      </c>
      <c r="AG190" s="10" t="n"/>
      <c r="AH190" s="11">
        <f>IF(LEFT(B190,4)&lt;&gt;"    ","",W190-AD190)</f>
        <v/>
      </c>
      <c r="AI190" s="8">
        <f>IF(LEFT(B190,4)&lt;&gt;"    ","",X190-AE190)</f>
        <v/>
      </c>
      <c r="AJ190" s="9">
        <f>IF(LEFT(B190,4)&lt;&gt;"    ","",Y190-AF190)</f>
        <v/>
      </c>
      <c r="AK190" s="10" t="n"/>
      <c r="AL190" s="25">
        <f>IF(LEFT(B190,4)&lt;&gt;"    ","",J190-W190)</f>
        <v/>
      </c>
      <c r="AM190" s="25">
        <f>N190-X190</f>
        <v/>
      </c>
      <c r="AN190" s="25">
        <f>IF(LEFT(B190,4)&lt;&gt;"    ","",Q190-Y190)</f>
        <v/>
      </c>
      <c r="AO190" s="10" t="n"/>
      <c r="AP190" s="12" t="n"/>
      <c r="AQ190" s="12">
        <f>IF(LEFT(B190,4)&lt;&gt;"    ","",IF(W190-AP190&gt;=0,W190-AP190," "))</f>
        <v/>
      </c>
      <c r="AR190" s="12">
        <f>IF(LEFT(B190,4)&lt;&gt;"    ","",IF(AP190-W190&gt;=0,AP190-W190," "))</f>
        <v/>
      </c>
      <c r="AS190" s="186" t="n"/>
      <c r="AT190" s="187" t="n"/>
      <c r="AU190" s="186" t="n"/>
      <c r="AV190" s="186" t="n"/>
      <c r="AW190" s="188" t="n"/>
      <c r="AX190" s="187" t="n"/>
      <c r="AY190" s="187" t="n"/>
      <c r="AZ190" s="186" t="n"/>
      <c r="BA190" s="186" t="n"/>
      <c r="BB190" s="186" t="n"/>
      <c r="BC190" s="186" t="n"/>
      <c r="BD190" s="186" t="n"/>
      <c r="BE190" s="186" t="n"/>
      <c r="BF190" s="186" t="n"/>
      <c r="BG190" s="186" t="n"/>
      <c r="BH190" s="186" t="n"/>
      <c r="BI190" s="186" t="n"/>
      <c r="BJ190" s="186" t="n"/>
      <c r="BK190" s="186" t="n"/>
      <c r="BL190" s="186" t="n"/>
      <c r="BM190" s="186" t="n"/>
      <c r="BN190" s="186" t="n"/>
      <c r="BO190" s="186" t="n"/>
      <c r="BP190" s="186" t="n"/>
      <c r="BQ190" s="186" t="n"/>
      <c r="BR190" s="186" t="n"/>
      <c r="BS190" s="186" t="n"/>
      <c r="BT190" s="186" t="n"/>
      <c r="BU190" s="186" t="n"/>
      <c r="BV190" s="190" t="n"/>
      <c r="BW190" s="186" t="n"/>
      <c r="BX190" s="186" t="n"/>
      <c r="BY190" s="186" t="n"/>
      <c r="BZ190" s="186" t="n"/>
      <c r="CA190" s="186" t="n"/>
      <c r="CB190" s="187" t="n"/>
      <c r="CC190" s="192" t="n"/>
      <c r="CD190" s="192" t="n"/>
      <c r="CE190" s="192" t="n"/>
      <c r="CF190" s="192" t="n"/>
    </row>
    <row r="191">
      <c r="A191" s="197" t="n"/>
      <c r="B191" s="198" t="n"/>
      <c r="C191" s="198" t="n"/>
      <c r="D191" s="179" t="n"/>
      <c r="E191" s="180" t="n"/>
      <c r="F191" s="181" t="n"/>
      <c r="G191" s="284">
        <f>'Jobs-Ops'!G191</f>
        <v/>
      </c>
      <c r="H191" s="114">
        <f>'Jobs-Ops'!H191</f>
        <v/>
      </c>
      <c r="I191" s="105" t="n"/>
      <c r="J191" s="183">
        <f>F191</f>
        <v/>
      </c>
      <c r="K191" s="184" t="n"/>
      <c r="L191" s="185" t="n"/>
      <c r="M191" s="8" t="n"/>
      <c r="N191" s="184">
        <f>M191</f>
        <v/>
      </c>
      <c r="O191" s="71" t="n"/>
      <c r="P191" s="101" t="n"/>
      <c r="Q191" s="9">
        <f>J191-N191</f>
        <v/>
      </c>
      <c r="R191" s="9">
        <f>IF(LEFT(B191,4)&lt;&gt;"    ",0,BI191)</f>
        <v/>
      </c>
      <c r="S191" s="9">
        <f>+Q191-R191</f>
        <v/>
      </c>
      <c r="T191" s="200">
        <f>IF('Jobs-Ops'!S191&lt;&gt; "",'Jobs-Ops'!S191,"")</f>
        <v/>
      </c>
      <c r="U191" s="10" t="n"/>
      <c r="V191" s="23">
        <f>IF(LEFT(B191,4)&lt;&gt;"    ","",IF(N191&lt;&gt;0,X191/N191,0))</f>
        <v/>
      </c>
      <c r="W191" s="11">
        <f>IF(LEFT(B191,4)&lt;&gt;"    ","",IF(V191&gt;=0.1,V191*J191,X191))</f>
        <v/>
      </c>
      <c r="X191" s="8" t="n"/>
      <c r="Y191" s="9">
        <f>IF(LEFT(B191,4)&lt;&gt;"    ",0,IF(Q191&lt;0,Q191,IF(V191&gt;0.1,W191-X191,0)))</f>
        <v/>
      </c>
      <c r="Z191" s="9">
        <f>IF(LEFT(B191,4)&lt;&gt;"    ",0,IF(V191&gt;0.1,BI191,0))</f>
        <v/>
      </c>
      <c r="AA191" s="9">
        <f>Y191-Z191</f>
        <v/>
      </c>
      <c r="AB191" s="10" t="n"/>
      <c r="AC191" s="24" t="n"/>
      <c r="AD191" s="11" t="n"/>
      <c r="AE191" s="8" t="n"/>
      <c r="AF191" s="9">
        <f>IF(LEFT(B191,4)&lt;&gt;"    ","",AD191-AE191)</f>
        <v/>
      </c>
      <c r="AG191" s="10" t="n"/>
      <c r="AH191" s="11">
        <f>IF(LEFT(B191,4)&lt;&gt;"    ","",W191-AD191)</f>
        <v/>
      </c>
      <c r="AI191" s="8">
        <f>IF(LEFT(B191,4)&lt;&gt;"    ","",X191-AE191)</f>
        <v/>
      </c>
      <c r="AJ191" s="9">
        <f>IF(LEFT(B191,4)&lt;&gt;"    ","",Y191-AF191)</f>
        <v/>
      </c>
      <c r="AK191" s="10" t="n"/>
      <c r="AL191" s="25">
        <f>IF(LEFT(B191,4)&lt;&gt;"    ","",J191-W191)</f>
        <v/>
      </c>
      <c r="AM191" s="25">
        <f>N191-X191</f>
        <v/>
      </c>
      <c r="AN191" s="25">
        <f>IF(LEFT(B191,4)&lt;&gt;"    ","",Q191-Y191)</f>
        <v/>
      </c>
      <c r="AO191" s="10" t="n"/>
      <c r="AP191" s="12" t="n"/>
      <c r="AQ191" s="12">
        <f>IF(LEFT(B191,4)&lt;&gt;"    ","",IF(W191-AP191&gt;=0,W191-AP191," "))</f>
        <v/>
      </c>
      <c r="AR191" s="12">
        <f>IF(LEFT(B191,4)&lt;&gt;"    ","",IF(AP191-W191&gt;=0,AP191-W191," "))</f>
        <v/>
      </c>
      <c r="AS191" s="186" t="n"/>
      <c r="AT191" s="187" t="n"/>
      <c r="AU191" s="186" t="n"/>
      <c r="AV191" s="186" t="n"/>
      <c r="AW191" s="188" t="n"/>
      <c r="AX191" s="187" t="n"/>
      <c r="AY191" s="187" t="n"/>
      <c r="AZ191" s="186" t="n"/>
      <c r="BA191" s="186" t="n"/>
      <c r="BB191" s="186" t="n"/>
      <c r="BC191" s="186" t="n"/>
      <c r="BD191" s="186" t="n"/>
      <c r="BE191" s="186" t="n"/>
      <c r="BF191" s="186" t="n"/>
      <c r="BG191" s="186" t="n"/>
      <c r="BH191" s="186" t="n"/>
      <c r="BI191" s="186" t="n"/>
      <c r="BJ191" s="186" t="n"/>
      <c r="BK191" s="186" t="n"/>
      <c r="BL191" s="186" t="n"/>
      <c r="BM191" s="186" t="n"/>
      <c r="BN191" s="186" t="n"/>
      <c r="BO191" s="186" t="n"/>
      <c r="BP191" s="186" t="n"/>
      <c r="BQ191" s="186" t="n"/>
      <c r="BR191" s="186" t="n"/>
      <c r="BS191" s="186" t="n"/>
      <c r="BT191" s="186" t="n"/>
      <c r="BU191" s="186" t="n"/>
      <c r="BV191" s="190" t="n"/>
      <c r="BW191" s="186" t="n"/>
      <c r="BX191" s="186" t="n"/>
      <c r="BY191" s="186" t="n"/>
      <c r="BZ191" s="186" t="n"/>
      <c r="CA191" s="186" t="n"/>
      <c r="CB191" s="187" t="n"/>
      <c r="CC191" s="192" t="n"/>
      <c r="CD191" s="192" t="n"/>
      <c r="CE191" s="192" t="n"/>
      <c r="CF191" s="192" t="n"/>
    </row>
    <row r="192">
      <c r="A192" s="197" t="n"/>
      <c r="B192" s="198" t="n"/>
      <c r="C192" s="198" t="n"/>
      <c r="D192" s="179" t="n"/>
      <c r="E192" s="180" t="n"/>
      <c r="F192" s="181" t="n"/>
      <c r="G192" s="284">
        <f>'Jobs-Ops'!G192</f>
        <v/>
      </c>
      <c r="H192" s="114">
        <f>'Jobs-Ops'!H192</f>
        <v/>
      </c>
      <c r="I192" s="105" t="n"/>
      <c r="J192" s="183">
        <f>F192</f>
        <v/>
      </c>
      <c r="K192" s="184" t="n"/>
      <c r="L192" s="185" t="n"/>
      <c r="M192" s="8" t="n"/>
      <c r="N192" s="184">
        <f>M192</f>
        <v/>
      </c>
      <c r="O192" s="71" t="n"/>
      <c r="P192" s="101" t="n"/>
      <c r="Q192" s="9">
        <f>J192-N192</f>
        <v/>
      </c>
      <c r="R192" s="9">
        <f>IF(LEFT(B192,4)&lt;&gt;"    ",0,BI192)</f>
        <v/>
      </c>
      <c r="S192" s="9">
        <f>+Q192-R192</f>
        <v/>
      </c>
      <c r="T192" s="200">
        <f>IF('Jobs-Ops'!S192&lt;&gt; "",'Jobs-Ops'!S192,"")</f>
        <v/>
      </c>
      <c r="U192" s="10" t="n"/>
      <c r="V192" s="23">
        <f>IF(LEFT(B192,4)&lt;&gt;"    ","",IF(N192&lt;&gt;0,X192/N192,0))</f>
        <v/>
      </c>
      <c r="W192" s="11">
        <f>IF(LEFT(B192,4)&lt;&gt;"    ","",IF(V192&gt;=0.1,V192*J192,X192))</f>
        <v/>
      </c>
      <c r="X192" s="8" t="n"/>
      <c r="Y192" s="9">
        <f>IF(LEFT(B192,4)&lt;&gt;"    ",0,IF(Q192&lt;0,Q192,IF(V192&gt;0.1,W192-X192,0)))</f>
        <v/>
      </c>
      <c r="Z192" s="9">
        <f>IF(LEFT(B192,4)&lt;&gt;"    ",0,IF(V192&gt;0.1,BI192,0))</f>
        <v/>
      </c>
      <c r="AA192" s="9">
        <f>Y192-Z192</f>
        <v/>
      </c>
      <c r="AB192" s="10" t="n"/>
      <c r="AC192" s="24" t="n"/>
      <c r="AD192" s="11" t="n"/>
      <c r="AE192" s="8" t="n"/>
      <c r="AF192" s="9">
        <f>IF(LEFT(B192,4)&lt;&gt;"    ","",AD192-AE192)</f>
        <v/>
      </c>
      <c r="AG192" s="10" t="n"/>
      <c r="AH192" s="11">
        <f>IF(LEFT(B192,4)&lt;&gt;"    ","",W192-AD192)</f>
        <v/>
      </c>
      <c r="AI192" s="8">
        <f>IF(LEFT(B192,4)&lt;&gt;"    ","",X192-AE192)</f>
        <v/>
      </c>
      <c r="AJ192" s="9">
        <f>IF(LEFT(B192,4)&lt;&gt;"    ","",Y192-AF192)</f>
        <v/>
      </c>
      <c r="AK192" s="10" t="n"/>
      <c r="AL192" s="25">
        <f>IF(LEFT(B192,4)&lt;&gt;"    ","",J192-W192)</f>
        <v/>
      </c>
      <c r="AM192" s="25">
        <f>N192-X192</f>
        <v/>
      </c>
      <c r="AN192" s="25">
        <f>IF(LEFT(B192,4)&lt;&gt;"    ","",Q192-Y192)</f>
        <v/>
      </c>
      <c r="AO192" s="10" t="n"/>
      <c r="AP192" s="12" t="n"/>
      <c r="AQ192" s="12">
        <f>IF(LEFT(B192,4)&lt;&gt;"    ","",IF(W192-AP192&gt;=0,W192-AP192," "))</f>
        <v/>
      </c>
      <c r="AR192" s="12">
        <f>IF(LEFT(B192,4)&lt;&gt;"    ","",IF(AP192-W192&gt;=0,AP192-W192," "))</f>
        <v/>
      </c>
      <c r="AS192" s="186" t="n"/>
      <c r="AT192" s="187" t="n"/>
      <c r="AU192" s="186" t="n"/>
      <c r="AV192" s="186" t="n"/>
      <c r="AW192" s="188" t="n"/>
      <c r="AX192" s="187" t="n"/>
      <c r="AY192" s="187" t="n"/>
      <c r="AZ192" s="186" t="n"/>
      <c r="BA192" s="186" t="n"/>
      <c r="BB192" s="186" t="n"/>
      <c r="BC192" s="186" t="n"/>
      <c r="BD192" s="186" t="n"/>
      <c r="BE192" s="186" t="n"/>
      <c r="BF192" s="186" t="n"/>
      <c r="BG192" s="186" t="n"/>
      <c r="BH192" s="186" t="n"/>
      <c r="BI192" s="186" t="n"/>
      <c r="BJ192" s="186" t="n"/>
      <c r="BK192" s="186" t="n"/>
      <c r="BL192" s="186" t="n"/>
      <c r="BM192" s="186" t="n"/>
      <c r="BN192" s="186" t="n"/>
      <c r="BO192" s="186" t="n"/>
      <c r="BP192" s="186" t="n"/>
      <c r="BQ192" s="186" t="n"/>
      <c r="BR192" s="186" t="n"/>
      <c r="BS192" s="186" t="n"/>
      <c r="BT192" s="186" t="n"/>
      <c r="BU192" s="186" t="n"/>
      <c r="BV192" s="190" t="n"/>
      <c r="BW192" s="186" t="n"/>
      <c r="BX192" s="186" t="n"/>
      <c r="BY192" s="186" t="n"/>
      <c r="BZ192" s="186" t="n"/>
      <c r="CA192" s="186" t="n"/>
      <c r="CB192" s="187" t="n"/>
      <c r="CC192" s="192" t="n"/>
      <c r="CD192" s="192" t="n"/>
      <c r="CE192" s="192" t="n"/>
      <c r="CF192" s="192" t="n"/>
    </row>
    <row r="193">
      <c r="A193" s="197" t="n"/>
      <c r="B193" s="198" t="n"/>
      <c r="C193" s="198" t="n"/>
      <c r="D193" s="179" t="n"/>
      <c r="E193" s="180" t="n"/>
      <c r="F193" s="181" t="n"/>
      <c r="G193" s="284">
        <f>'Jobs-Ops'!G193</f>
        <v/>
      </c>
      <c r="H193" s="114">
        <f>'Jobs-Ops'!H193</f>
        <v/>
      </c>
      <c r="I193" s="105" t="n"/>
      <c r="J193" s="183">
        <f>F193</f>
        <v/>
      </c>
      <c r="K193" s="184" t="n"/>
      <c r="L193" s="185" t="n"/>
      <c r="M193" s="8" t="n"/>
      <c r="N193" s="184">
        <f>M193</f>
        <v/>
      </c>
      <c r="O193" s="71" t="n"/>
      <c r="P193" s="101" t="n"/>
      <c r="Q193" s="9">
        <f>J193-N193</f>
        <v/>
      </c>
      <c r="R193" s="9">
        <f>IF(LEFT(B193,4)&lt;&gt;"    ",0,BI193)</f>
        <v/>
      </c>
      <c r="S193" s="9">
        <f>+Q193-R193</f>
        <v/>
      </c>
      <c r="T193" s="200">
        <f>IF('Jobs-Ops'!S193&lt;&gt; "",'Jobs-Ops'!S193,"")</f>
        <v/>
      </c>
      <c r="U193" s="10" t="n"/>
      <c r="V193" s="23">
        <f>IF(LEFT(B193,4)&lt;&gt;"    ","",IF(N193&lt;&gt;0,X193/N193,0))</f>
        <v/>
      </c>
      <c r="W193" s="11">
        <f>IF(LEFT(B193,4)&lt;&gt;"    ","",IF(V193&gt;=0.1,V193*J193,X193))</f>
        <v/>
      </c>
      <c r="X193" s="8" t="n"/>
      <c r="Y193" s="9">
        <f>IF(LEFT(B193,4)&lt;&gt;"    ",0,IF(Q193&lt;0,Q193,IF(V193&gt;0.1,W193-X193,0)))</f>
        <v/>
      </c>
      <c r="Z193" s="9">
        <f>IF(LEFT(B193,4)&lt;&gt;"    ",0,IF(V193&gt;0.1,BI193,0))</f>
        <v/>
      </c>
      <c r="AA193" s="9">
        <f>Y193-Z193</f>
        <v/>
      </c>
      <c r="AB193" s="10" t="n"/>
      <c r="AC193" s="24" t="n"/>
      <c r="AD193" s="11" t="n"/>
      <c r="AE193" s="8" t="n"/>
      <c r="AF193" s="9">
        <f>IF(LEFT(B193,4)&lt;&gt;"    ","",AD193-AE193)</f>
        <v/>
      </c>
      <c r="AG193" s="10" t="n"/>
      <c r="AH193" s="11">
        <f>IF(LEFT(B193,4)&lt;&gt;"    ","",W193-AD193)</f>
        <v/>
      </c>
      <c r="AI193" s="8">
        <f>IF(LEFT(B193,4)&lt;&gt;"    ","",X193-AE193)</f>
        <v/>
      </c>
      <c r="AJ193" s="9">
        <f>IF(LEFT(B193,4)&lt;&gt;"    ","",Y193-AF193)</f>
        <v/>
      </c>
      <c r="AK193" s="10" t="n"/>
      <c r="AL193" s="25">
        <f>IF(LEFT(B193,4)&lt;&gt;"    ","",J193-W193)</f>
        <v/>
      </c>
      <c r="AM193" s="25">
        <f>N193-X193</f>
        <v/>
      </c>
      <c r="AN193" s="25">
        <f>IF(LEFT(B193,4)&lt;&gt;"    ","",Q193-Y193)</f>
        <v/>
      </c>
      <c r="AO193" s="10" t="n"/>
      <c r="AP193" s="12" t="n"/>
      <c r="AQ193" s="12">
        <f>IF(LEFT(B193,4)&lt;&gt;"    ","",IF(W193-AP193&gt;=0,W193-AP193," "))</f>
        <v/>
      </c>
      <c r="AR193" s="12">
        <f>IF(LEFT(B193,4)&lt;&gt;"    ","",IF(AP193-W193&gt;=0,AP193-W193," "))</f>
        <v/>
      </c>
      <c r="AS193" s="186" t="n"/>
      <c r="AT193" s="187" t="n"/>
      <c r="AU193" s="186" t="n"/>
      <c r="AV193" s="186" t="n"/>
      <c r="AW193" s="188" t="n"/>
      <c r="AX193" s="187" t="n"/>
      <c r="AY193" s="187" t="n"/>
      <c r="AZ193" s="186" t="n"/>
      <c r="BA193" s="186" t="n"/>
      <c r="BB193" s="186" t="n"/>
      <c r="BC193" s="186" t="n"/>
      <c r="BD193" s="186" t="n"/>
      <c r="BE193" s="186" t="n"/>
      <c r="BF193" s="186" t="n"/>
      <c r="BG193" s="186" t="n"/>
      <c r="BH193" s="186" t="n"/>
      <c r="BI193" s="186" t="n"/>
      <c r="BJ193" s="186" t="n"/>
      <c r="BK193" s="186" t="n"/>
      <c r="BL193" s="186" t="n"/>
      <c r="BM193" s="186" t="n"/>
      <c r="BN193" s="186" t="n"/>
      <c r="BO193" s="186" t="n"/>
      <c r="BP193" s="186" t="n"/>
      <c r="BQ193" s="186" t="n"/>
      <c r="BR193" s="186" t="n"/>
      <c r="BS193" s="186" t="n"/>
      <c r="BT193" s="186" t="n"/>
      <c r="BU193" s="186" t="n"/>
      <c r="BV193" s="190" t="n"/>
      <c r="BW193" s="186" t="n"/>
      <c r="BX193" s="186" t="n"/>
      <c r="BY193" s="186" t="n"/>
      <c r="BZ193" s="186" t="n"/>
      <c r="CA193" s="186" t="n"/>
      <c r="CB193" s="187" t="n"/>
      <c r="CC193" s="192" t="n"/>
      <c r="CD193" s="192" t="n"/>
      <c r="CE193" s="192" t="n"/>
      <c r="CF193" s="192" t="n"/>
    </row>
    <row r="194">
      <c r="A194" s="197" t="n"/>
      <c r="B194" s="198" t="n"/>
      <c r="C194" s="198" t="n"/>
      <c r="D194" s="179" t="n"/>
      <c r="E194" s="180" t="n"/>
      <c r="F194" s="181" t="n"/>
      <c r="G194" s="284">
        <f>'Jobs-Ops'!G194</f>
        <v/>
      </c>
      <c r="H194" s="114">
        <f>'Jobs-Ops'!H194</f>
        <v/>
      </c>
      <c r="I194" s="105" t="n"/>
      <c r="J194" s="183">
        <f>F194</f>
        <v/>
      </c>
      <c r="K194" s="184" t="n"/>
      <c r="L194" s="185" t="n"/>
      <c r="M194" s="8" t="n"/>
      <c r="N194" s="184">
        <f>M194</f>
        <v/>
      </c>
      <c r="O194" s="71" t="n"/>
      <c r="P194" s="101" t="n"/>
      <c r="Q194" s="9">
        <f>J194-N194</f>
        <v/>
      </c>
      <c r="R194" s="9">
        <f>IF(LEFT(B194,4)&lt;&gt;"    ",0,BI194)</f>
        <v/>
      </c>
      <c r="S194" s="9">
        <f>+Q194-R194</f>
        <v/>
      </c>
      <c r="T194" s="200">
        <f>IF('Jobs-Ops'!S194&lt;&gt; "",'Jobs-Ops'!S194,"")</f>
        <v/>
      </c>
      <c r="U194" s="10" t="n"/>
      <c r="V194" s="23">
        <f>IF(LEFT(B194,4)&lt;&gt;"    ","",IF(N194&lt;&gt;0,X194/N194,0))</f>
        <v/>
      </c>
      <c r="W194" s="11">
        <f>IF(LEFT(B194,4)&lt;&gt;"    ","",IF(V194&gt;=0.1,V194*J194,X194))</f>
        <v/>
      </c>
      <c r="X194" s="8" t="n"/>
      <c r="Y194" s="9">
        <f>IF(LEFT(B194,4)&lt;&gt;"    ",0,IF(Q194&lt;0,Q194,IF(V194&gt;0.1,W194-X194,0)))</f>
        <v/>
      </c>
      <c r="Z194" s="9">
        <f>IF(LEFT(B194,4)&lt;&gt;"    ",0,IF(V194&gt;0.1,BI194,0))</f>
        <v/>
      </c>
      <c r="AA194" s="9">
        <f>Y194-Z194</f>
        <v/>
      </c>
      <c r="AB194" s="10" t="n"/>
      <c r="AC194" s="24" t="n"/>
      <c r="AD194" s="11" t="n"/>
      <c r="AE194" s="8" t="n"/>
      <c r="AF194" s="9">
        <f>IF(LEFT(B194,4)&lt;&gt;"    ","",AD194-AE194)</f>
        <v/>
      </c>
      <c r="AG194" s="10" t="n"/>
      <c r="AH194" s="11">
        <f>IF(LEFT(B194,4)&lt;&gt;"    ","",W194-AD194)</f>
        <v/>
      </c>
      <c r="AI194" s="8">
        <f>IF(LEFT(B194,4)&lt;&gt;"    ","",X194-AE194)</f>
        <v/>
      </c>
      <c r="AJ194" s="9">
        <f>IF(LEFT(B194,4)&lt;&gt;"    ","",Y194-AF194)</f>
        <v/>
      </c>
      <c r="AK194" s="10" t="n"/>
      <c r="AL194" s="25">
        <f>IF(LEFT(B194,4)&lt;&gt;"    ","",J194-W194)</f>
        <v/>
      </c>
      <c r="AM194" s="25">
        <f>N194-X194</f>
        <v/>
      </c>
      <c r="AN194" s="25">
        <f>IF(LEFT(B194,4)&lt;&gt;"    ","",Q194-Y194)</f>
        <v/>
      </c>
      <c r="AO194" s="10" t="n"/>
      <c r="AP194" s="12" t="n"/>
      <c r="AQ194" s="12">
        <f>IF(LEFT(B194,4)&lt;&gt;"    ","",IF(W194-AP194&gt;=0,W194-AP194," "))</f>
        <v/>
      </c>
      <c r="AR194" s="12">
        <f>IF(LEFT(B194,4)&lt;&gt;"    ","",IF(AP194-W194&gt;=0,AP194-W194," "))</f>
        <v/>
      </c>
      <c r="AS194" s="186" t="n"/>
      <c r="AT194" s="187" t="n"/>
      <c r="AU194" s="186" t="n"/>
      <c r="AV194" s="186" t="n"/>
      <c r="AW194" s="188" t="n"/>
      <c r="AX194" s="187" t="n"/>
      <c r="AY194" s="187" t="n"/>
      <c r="AZ194" s="186" t="n"/>
      <c r="BA194" s="186" t="n"/>
      <c r="BB194" s="186" t="n"/>
      <c r="BC194" s="186" t="n"/>
      <c r="BD194" s="186" t="n"/>
      <c r="BE194" s="186" t="n"/>
      <c r="BF194" s="186" t="n"/>
      <c r="BG194" s="186" t="n"/>
      <c r="BH194" s="186" t="n"/>
      <c r="BI194" s="186" t="n"/>
      <c r="BJ194" s="186" t="n"/>
      <c r="BK194" s="186" t="n"/>
      <c r="BL194" s="186" t="n"/>
      <c r="BM194" s="186" t="n"/>
      <c r="BN194" s="186" t="n"/>
      <c r="BO194" s="186" t="n"/>
      <c r="BP194" s="186" t="n"/>
      <c r="BQ194" s="186" t="n"/>
      <c r="BR194" s="186" t="n"/>
      <c r="BS194" s="186" t="n"/>
      <c r="BT194" s="186" t="n"/>
      <c r="BU194" s="186" t="n"/>
      <c r="BV194" s="190" t="n"/>
      <c r="BW194" s="186" t="n"/>
      <c r="BX194" s="186" t="n"/>
      <c r="BY194" s="186" t="n"/>
      <c r="BZ194" s="186" t="n"/>
      <c r="CA194" s="186" t="n"/>
      <c r="CB194" s="187" t="n"/>
      <c r="CC194" s="192" t="n"/>
      <c r="CD194" s="192" t="n"/>
      <c r="CE194" s="192" t="n"/>
      <c r="CF194" s="192" t="n"/>
    </row>
    <row r="195">
      <c r="A195" s="197" t="n"/>
      <c r="B195" s="198" t="n"/>
      <c r="C195" s="198" t="n"/>
      <c r="D195" s="179" t="n"/>
      <c r="E195" s="180" t="n"/>
      <c r="F195" s="181" t="n"/>
      <c r="G195" s="284">
        <f>'Jobs-Ops'!G195</f>
        <v/>
      </c>
      <c r="H195" s="114">
        <f>'Jobs-Ops'!H195</f>
        <v/>
      </c>
      <c r="I195" s="105" t="n"/>
      <c r="J195" s="183">
        <f>F195</f>
        <v/>
      </c>
      <c r="K195" s="184" t="n"/>
      <c r="L195" s="185" t="n"/>
      <c r="M195" s="8" t="n"/>
      <c r="N195" s="184">
        <f>M195</f>
        <v/>
      </c>
      <c r="O195" s="71" t="n"/>
      <c r="P195" s="101" t="n"/>
      <c r="Q195" s="9">
        <f>J195-N195</f>
        <v/>
      </c>
      <c r="R195" s="9">
        <f>IF(LEFT(B195,4)&lt;&gt;"    ",0,BI195)</f>
        <v/>
      </c>
      <c r="S195" s="9">
        <f>+Q195-R195</f>
        <v/>
      </c>
      <c r="T195" s="200">
        <f>IF('Jobs-Ops'!S195&lt;&gt; "",'Jobs-Ops'!S195,"")</f>
        <v/>
      </c>
      <c r="U195" s="10" t="n"/>
      <c r="V195" s="23">
        <f>IF(LEFT(B195,4)&lt;&gt;"    ","",IF(N195&lt;&gt;0,X195/N195,0))</f>
        <v/>
      </c>
      <c r="W195" s="11">
        <f>IF(LEFT(B195,4)&lt;&gt;"    ","",IF(V195&gt;=0.1,V195*J195,X195))</f>
        <v/>
      </c>
      <c r="X195" s="8" t="n"/>
      <c r="Y195" s="9">
        <f>IF(LEFT(B195,4)&lt;&gt;"    ",0,IF(Q195&lt;0,Q195,IF(V195&gt;0.1,W195-X195,0)))</f>
        <v/>
      </c>
      <c r="Z195" s="9">
        <f>IF(LEFT(B195,4)&lt;&gt;"    ",0,IF(V195&gt;0.1,BI195,0))</f>
        <v/>
      </c>
      <c r="AA195" s="9">
        <f>Y195-Z195</f>
        <v/>
      </c>
      <c r="AB195" s="10" t="n"/>
      <c r="AC195" s="24" t="n"/>
      <c r="AD195" s="11" t="n"/>
      <c r="AE195" s="8" t="n"/>
      <c r="AF195" s="9">
        <f>IF(LEFT(B195,4)&lt;&gt;"    ","",AD195-AE195)</f>
        <v/>
      </c>
      <c r="AG195" s="10" t="n"/>
      <c r="AH195" s="11">
        <f>IF(LEFT(B195,4)&lt;&gt;"    ","",W195-AD195)</f>
        <v/>
      </c>
      <c r="AI195" s="8">
        <f>IF(LEFT(B195,4)&lt;&gt;"    ","",X195-AE195)</f>
        <v/>
      </c>
      <c r="AJ195" s="9">
        <f>IF(LEFT(B195,4)&lt;&gt;"    ","",Y195-AF195)</f>
        <v/>
      </c>
      <c r="AK195" s="10" t="n"/>
      <c r="AL195" s="25">
        <f>IF(LEFT(B195,4)&lt;&gt;"    ","",J195-W195)</f>
        <v/>
      </c>
      <c r="AM195" s="25">
        <f>N195-X195</f>
        <v/>
      </c>
      <c r="AN195" s="25">
        <f>IF(LEFT(B195,4)&lt;&gt;"    ","",Q195-Y195)</f>
        <v/>
      </c>
      <c r="AO195" s="10" t="n"/>
      <c r="AP195" s="12" t="n"/>
      <c r="AQ195" s="12">
        <f>IF(LEFT(B195,4)&lt;&gt;"    ","",IF(W195-AP195&gt;=0,W195-AP195," "))</f>
        <v/>
      </c>
      <c r="AR195" s="12">
        <f>IF(LEFT(B195,4)&lt;&gt;"    ","",IF(AP195-W195&gt;=0,AP195-W195," "))</f>
        <v/>
      </c>
      <c r="AS195" s="186" t="n"/>
      <c r="AT195" s="187" t="n"/>
      <c r="AU195" s="186" t="n"/>
      <c r="AV195" s="186" t="n"/>
      <c r="AW195" s="188" t="n"/>
      <c r="AX195" s="187" t="n"/>
      <c r="AY195" s="187" t="n"/>
      <c r="AZ195" s="186" t="n"/>
      <c r="BA195" s="186" t="n"/>
      <c r="BB195" s="186" t="n"/>
      <c r="BC195" s="186" t="n"/>
      <c r="BD195" s="186" t="n"/>
      <c r="BE195" s="186" t="n"/>
      <c r="BF195" s="186" t="n"/>
      <c r="BG195" s="186" t="n"/>
      <c r="BH195" s="186" t="n"/>
      <c r="BI195" s="186" t="n"/>
      <c r="BJ195" s="186" t="n"/>
      <c r="BK195" s="186" t="n"/>
      <c r="BL195" s="186" t="n"/>
      <c r="BM195" s="186" t="n"/>
      <c r="BN195" s="186" t="n"/>
      <c r="BO195" s="186" t="n"/>
      <c r="BP195" s="186" t="n"/>
      <c r="BQ195" s="186" t="n"/>
      <c r="BR195" s="186" t="n"/>
      <c r="BS195" s="186" t="n"/>
      <c r="BT195" s="186" t="n"/>
      <c r="BU195" s="186" t="n"/>
      <c r="BV195" s="190" t="n"/>
      <c r="BW195" s="186" t="n"/>
      <c r="BX195" s="186" t="n"/>
      <c r="BY195" s="186" t="n"/>
      <c r="BZ195" s="186" t="n"/>
      <c r="CA195" s="186" t="n"/>
      <c r="CB195" s="187" t="n"/>
      <c r="CC195" s="192" t="n"/>
      <c r="CD195" s="192" t="n"/>
      <c r="CE195" s="192" t="n"/>
      <c r="CF195" s="192" t="n"/>
    </row>
    <row r="196">
      <c r="A196" s="197" t="n"/>
      <c r="B196" s="198" t="n"/>
      <c r="C196" s="198" t="n"/>
      <c r="D196" s="179" t="n"/>
      <c r="E196" s="180" t="n"/>
      <c r="F196" s="181" t="n"/>
      <c r="G196" s="284">
        <f>'Jobs-Ops'!G196</f>
        <v/>
      </c>
      <c r="H196" s="114">
        <f>'Jobs-Ops'!H196</f>
        <v/>
      </c>
      <c r="I196" s="105" t="n"/>
      <c r="J196" s="183">
        <f>F196</f>
        <v/>
      </c>
      <c r="K196" s="184" t="n"/>
      <c r="L196" s="185" t="n"/>
      <c r="M196" s="8" t="n"/>
      <c r="N196" s="184">
        <f>M196</f>
        <v/>
      </c>
      <c r="O196" s="184" t="n"/>
      <c r="P196" s="185" t="n"/>
      <c r="Q196" s="9">
        <f>J196-N196</f>
        <v/>
      </c>
      <c r="R196" s="9">
        <f>IF(LEFT(B196,4)&lt;&gt;"    ",0,BI196)</f>
        <v/>
      </c>
      <c r="S196" s="9">
        <f>+Q196-R196</f>
        <v/>
      </c>
      <c r="T196" s="200">
        <f>IF('Jobs-Ops'!S196&lt;&gt; "",'Jobs-Ops'!S196,"")</f>
        <v/>
      </c>
      <c r="U196" s="10" t="n"/>
      <c r="V196" s="23">
        <f>IF(LEFT(B196,4)&lt;&gt;"    ","",IF(N196&lt;&gt;0,X196/N196,0))</f>
        <v/>
      </c>
      <c r="W196" s="11">
        <f>IF(LEFT(B196,4)&lt;&gt;"    ","",IF(V196&gt;=0.1,V196*J196,X196))</f>
        <v/>
      </c>
      <c r="X196" s="8" t="n"/>
      <c r="Y196" s="9">
        <f>IF(LEFT(B196,4)&lt;&gt;"    ",0,IF(Q196&lt;0,Q196,IF(V196&gt;0.1,W196-X196,0)))</f>
        <v/>
      </c>
      <c r="Z196" s="9">
        <f>IF(LEFT(B196,4)&lt;&gt;"    ",0,IF(V196&gt;0.1,BI196,0))</f>
        <v/>
      </c>
      <c r="AA196" s="9">
        <f>Y196-Z196</f>
        <v/>
      </c>
      <c r="AB196" s="10" t="n"/>
      <c r="AC196" s="24" t="n"/>
      <c r="AD196" s="11" t="n"/>
      <c r="AE196" s="8" t="n"/>
      <c r="AF196" s="9">
        <f>IF(LEFT(B196,4)&lt;&gt;"    ","",AD196-AE196)</f>
        <v/>
      </c>
      <c r="AG196" s="10" t="n"/>
      <c r="AH196" s="11">
        <f>IF(LEFT(B196,4)&lt;&gt;"    ","",W196-AD196)</f>
        <v/>
      </c>
      <c r="AI196" s="8">
        <f>IF(LEFT(B196,4)&lt;&gt;"    ","",X196-AE196)</f>
        <v/>
      </c>
      <c r="AJ196" s="9">
        <f>IF(LEFT(B196,4)&lt;&gt;"    ","",Y196-AF196)</f>
        <v/>
      </c>
      <c r="AK196" s="10" t="n"/>
      <c r="AL196" s="25">
        <f>IF(LEFT(B196,4)&lt;&gt;"    ","",J196-W196)</f>
        <v/>
      </c>
      <c r="AM196" s="25">
        <f>N196-X196</f>
        <v/>
      </c>
      <c r="AN196" s="25">
        <f>IF(LEFT(B196,4)&lt;&gt;"    ","",Q196-Y196)</f>
        <v/>
      </c>
      <c r="AO196" s="10" t="n"/>
      <c r="AP196" s="12" t="n"/>
      <c r="AQ196" s="12">
        <f>IF(LEFT(B196,4)&lt;&gt;"    ","",IF(W196-AP196&gt;=0,W196-AP196," "))</f>
        <v/>
      </c>
      <c r="AR196" s="12">
        <f>IF(LEFT(B196,4)&lt;&gt;"    ","",IF(AP196-W196&gt;=0,AP196-W196," "))</f>
        <v/>
      </c>
      <c r="AS196" s="186" t="n"/>
      <c r="AT196" s="187" t="n"/>
      <c r="AU196" s="186" t="n"/>
      <c r="AV196" s="186" t="n"/>
      <c r="AW196" s="188" t="n"/>
      <c r="AX196" s="187" t="n"/>
      <c r="AY196" s="187" t="n"/>
      <c r="AZ196" s="186" t="n"/>
      <c r="BA196" s="186" t="n"/>
      <c r="BB196" s="186" t="n"/>
      <c r="BC196" s="186" t="n"/>
      <c r="BD196" s="186" t="n"/>
      <c r="BE196" s="186" t="n"/>
      <c r="BF196" s="186" t="n"/>
      <c r="BG196" s="186" t="n"/>
      <c r="BH196" s="186" t="n"/>
      <c r="BI196" s="186" t="n"/>
      <c r="BJ196" s="186" t="n"/>
      <c r="BK196" s="186" t="n"/>
      <c r="BL196" s="186" t="n"/>
      <c r="BM196" s="186" t="n"/>
      <c r="BN196" s="186" t="n"/>
      <c r="BO196" s="186" t="n"/>
      <c r="BP196" s="186" t="n"/>
      <c r="BQ196" s="186" t="n"/>
      <c r="BR196" s="186" t="n"/>
      <c r="BS196" s="186" t="n"/>
      <c r="BT196" s="186" t="n"/>
      <c r="BU196" s="186" t="n"/>
      <c r="BV196" s="190" t="n"/>
      <c r="BW196" s="186" t="n"/>
      <c r="BX196" s="186" t="n"/>
      <c r="BY196" s="186" t="n"/>
      <c r="BZ196" s="186" t="n"/>
      <c r="CA196" s="186" t="n"/>
      <c r="CB196" s="187" t="n"/>
      <c r="CC196" s="192" t="n"/>
      <c r="CD196" s="192" t="n"/>
      <c r="CE196" s="192" t="n"/>
      <c r="CF196" s="192" t="n"/>
    </row>
    <row r="197">
      <c r="A197" s="197" t="n"/>
      <c r="B197" s="198" t="n"/>
      <c r="C197" s="198" t="n"/>
      <c r="D197" s="179" t="n"/>
      <c r="E197" s="180" t="n"/>
      <c r="F197" s="181" t="n"/>
      <c r="G197" s="284">
        <f>'Jobs-Ops'!G197</f>
        <v/>
      </c>
      <c r="H197" s="114">
        <f>'Jobs-Ops'!H197</f>
        <v/>
      </c>
      <c r="I197" s="105" t="n"/>
      <c r="J197" s="183">
        <f>F197</f>
        <v/>
      </c>
      <c r="K197" s="184" t="n"/>
      <c r="L197" s="185" t="n"/>
      <c r="M197" s="8" t="n"/>
      <c r="N197" s="184">
        <f>M197</f>
        <v/>
      </c>
      <c r="O197" s="71" t="n"/>
      <c r="P197" s="101" t="n"/>
      <c r="Q197" s="9">
        <f>J197-N197</f>
        <v/>
      </c>
      <c r="R197" s="9">
        <f>IF(LEFT(B197,4)&lt;&gt;"    ",0,BI197)</f>
        <v/>
      </c>
      <c r="S197" s="9">
        <f>+Q197-R197</f>
        <v/>
      </c>
      <c r="T197" s="200">
        <f>IF('Jobs-Ops'!S197&lt;&gt; "",'Jobs-Ops'!S197,"")</f>
        <v/>
      </c>
      <c r="U197" s="10" t="n"/>
      <c r="V197" s="23">
        <f>IF(LEFT(B197,4)&lt;&gt;"    ","",IF(N197&lt;&gt;0,X197/N197,0))</f>
        <v/>
      </c>
      <c r="W197" s="11">
        <f>IF(LEFT(B197,4)&lt;&gt;"    ","",IF(V197&gt;=0.1,V197*J197,X197))</f>
        <v/>
      </c>
      <c r="X197" s="8" t="n"/>
      <c r="Y197" s="9">
        <f>IF(LEFT(B197,4)&lt;&gt;"    ",0,IF(Q197&lt;0,Q197,IF(V197&gt;0.1,W197-X197,0)))</f>
        <v/>
      </c>
      <c r="Z197" s="9">
        <f>IF(LEFT(B197,4)&lt;&gt;"    ",0,IF(V197&gt;0.1,BI197,0))</f>
        <v/>
      </c>
      <c r="AA197" s="9">
        <f>Y197-Z197</f>
        <v/>
      </c>
      <c r="AB197" s="10" t="n"/>
      <c r="AC197" s="24" t="n"/>
      <c r="AD197" s="11" t="n"/>
      <c r="AE197" s="8" t="n"/>
      <c r="AF197" s="9">
        <f>IF(LEFT(B197,4)&lt;&gt;"    ","",AD197-AE197)</f>
        <v/>
      </c>
      <c r="AG197" s="10" t="n"/>
      <c r="AH197" s="11">
        <f>IF(LEFT(B197,4)&lt;&gt;"    ","",W197-AD197)</f>
        <v/>
      </c>
      <c r="AI197" s="8">
        <f>IF(LEFT(B197,4)&lt;&gt;"    ","",X197-AE197)</f>
        <v/>
      </c>
      <c r="AJ197" s="9">
        <f>IF(LEFT(B197,4)&lt;&gt;"    ","",Y197-AF197)</f>
        <v/>
      </c>
      <c r="AK197" s="10" t="n"/>
      <c r="AL197" s="25">
        <f>IF(LEFT(B197,4)&lt;&gt;"    ","",J197-W197)</f>
        <v/>
      </c>
      <c r="AM197" s="25">
        <f>N197-X197</f>
        <v/>
      </c>
      <c r="AN197" s="25">
        <f>IF(LEFT(B197,4)&lt;&gt;"    ","",Q197-Y197)</f>
        <v/>
      </c>
      <c r="AO197" s="10" t="n"/>
      <c r="AP197" s="12" t="n"/>
      <c r="AQ197" s="12">
        <f>IF(LEFT(B197,4)&lt;&gt;"    ","",IF(W197-AP197&gt;=0,W197-AP197," "))</f>
        <v/>
      </c>
      <c r="AR197" s="12">
        <f>IF(LEFT(B197,4)&lt;&gt;"    ","",IF(AP197-W197&gt;=0,AP197-W197," "))</f>
        <v/>
      </c>
      <c r="AS197" s="186" t="n"/>
      <c r="AT197" s="187" t="n"/>
      <c r="AU197" s="186" t="n"/>
      <c r="AV197" s="186" t="n"/>
      <c r="AW197" s="188" t="n"/>
      <c r="AX197" s="187" t="n"/>
      <c r="AY197" s="187" t="n"/>
      <c r="AZ197" s="186" t="n"/>
      <c r="BA197" s="186" t="n"/>
      <c r="BB197" s="186" t="n"/>
      <c r="BC197" s="186" t="n"/>
      <c r="BD197" s="186" t="n"/>
      <c r="BE197" s="186" t="n"/>
      <c r="BF197" s="186" t="n"/>
      <c r="BG197" s="186" t="n"/>
      <c r="BH197" s="186" t="n"/>
      <c r="BI197" s="186" t="n"/>
      <c r="BJ197" s="186" t="n"/>
      <c r="BK197" s="186" t="n"/>
      <c r="BL197" s="186" t="n"/>
      <c r="BM197" s="186" t="n"/>
      <c r="BN197" s="186" t="n"/>
      <c r="BO197" s="186" t="n"/>
      <c r="BP197" s="186" t="n"/>
      <c r="BQ197" s="186" t="n"/>
      <c r="BR197" s="186" t="n"/>
      <c r="BS197" s="186" t="n"/>
      <c r="BT197" s="186" t="n"/>
      <c r="BU197" s="186" t="n"/>
      <c r="BV197" s="190" t="n"/>
      <c r="BW197" s="186" t="n"/>
      <c r="BX197" s="186" t="n"/>
      <c r="BY197" s="186" t="n"/>
      <c r="BZ197" s="186" t="n"/>
      <c r="CA197" s="186" t="n"/>
      <c r="CB197" s="187" t="n"/>
      <c r="CC197" s="192" t="n"/>
      <c r="CD197" s="192" t="n"/>
      <c r="CE197" s="192" t="n"/>
      <c r="CF197" s="192" t="n"/>
    </row>
    <row r="198">
      <c r="A198" s="197" t="n"/>
      <c r="B198" s="198" t="n"/>
      <c r="C198" s="198" t="n"/>
      <c r="D198" s="179" t="n"/>
      <c r="E198" s="180" t="n"/>
      <c r="F198" s="181" t="n"/>
      <c r="G198" s="284">
        <f>'Jobs-Ops'!G198</f>
        <v/>
      </c>
      <c r="H198" s="114">
        <f>'Jobs-Ops'!H198</f>
        <v/>
      </c>
      <c r="I198" s="105" t="n"/>
      <c r="J198" s="183">
        <f>F198</f>
        <v/>
      </c>
      <c r="K198" s="184" t="n"/>
      <c r="L198" s="185" t="n"/>
      <c r="M198" s="8" t="n"/>
      <c r="N198" s="184">
        <f>M198</f>
        <v/>
      </c>
      <c r="O198" s="71" t="n"/>
      <c r="P198" s="101" t="n"/>
      <c r="Q198" s="9">
        <f>J198-N198</f>
        <v/>
      </c>
      <c r="R198" s="9">
        <f>IF(LEFT(B198,4)&lt;&gt;"    ",0,BI198)</f>
        <v/>
      </c>
      <c r="S198" s="9">
        <f>+Q198-R198</f>
        <v/>
      </c>
      <c r="T198" s="200">
        <f>IF('Jobs-Ops'!S198&lt;&gt; "",'Jobs-Ops'!S198,"")</f>
        <v/>
      </c>
      <c r="U198" s="10" t="n"/>
      <c r="V198" s="23">
        <f>IF(LEFT(B198,4)&lt;&gt;"    ","",IF(N198&lt;&gt;0,X198/N198,0))</f>
        <v/>
      </c>
      <c r="W198" s="11">
        <f>IF(LEFT(B198,4)&lt;&gt;"    ","",IF(V198&gt;=0.1,V198*J198,X198))</f>
        <v/>
      </c>
      <c r="X198" s="8" t="n"/>
      <c r="Y198" s="9">
        <f>IF(LEFT(B198,4)&lt;&gt;"    ",0,IF(Q198&lt;0,Q198,IF(V198&gt;0.1,W198-X198,0)))</f>
        <v/>
      </c>
      <c r="Z198" s="9">
        <f>IF(LEFT(B198,4)&lt;&gt;"    ",0,IF(V198&gt;0.1,BI198,0))</f>
        <v/>
      </c>
      <c r="AA198" s="9">
        <f>Y198-Z198</f>
        <v/>
      </c>
      <c r="AB198" s="10" t="n"/>
      <c r="AC198" s="24" t="n"/>
      <c r="AD198" s="11" t="n"/>
      <c r="AE198" s="8" t="n"/>
      <c r="AF198" s="9">
        <f>IF(LEFT(B198,4)&lt;&gt;"    ","",AD198-AE198)</f>
        <v/>
      </c>
      <c r="AG198" s="10" t="n"/>
      <c r="AH198" s="11">
        <f>IF(LEFT(B198,4)&lt;&gt;"    ","",W198-AD198)</f>
        <v/>
      </c>
      <c r="AI198" s="8">
        <f>IF(LEFT(B198,4)&lt;&gt;"    ","",X198-AE198)</f>
        <v/>
      </c>
      <c r="AJ198" s="9">
        <f>IF(LEFT(B198,4)&lt;&gt;"    ","",Y198-AF198)</f>
        <v/>
      </c>
      <c r="AK198" s="10" t="n"/>
      <c r="AL198" s="25">
        <f>IF(LEFT(B198,4)&lt;&gt;"    ","",J198-W198)</f>
        <v/>
      </c>
      <c r="AM198" s="25">
        <f>N198-X198</f>
        <v/>
      </c>
      <c r="AN198" s="25">
        <f>IF(LEFT(B198,4)&lt;&gt;"    ","",Q198-Y198)</f>
        <v/>
      </c>
      <c r="AO198" s="10" t="n"/>
      <c r="AP198" s="12" t="n"/>
      <c r="AQ198" s="12">
        <f>IF(LEFT(B198,4)&lt;&gt;"    ","",IF(W198-AP198&gt;=0,W198-AP198," "))</f>
        <v/>
      </c>
      <c r="AR198" s="12">
        <f>IF(LEFT(B198,4)&lt;&gt;"    ","",IF(AP198-W198&gt;=0,AP198-W198," "))</f>
        <v/>
      </c>
      <c r="AS198" s="186" t="n"/>
      <c r="AT198" s="187" t="n"/>
      <c r="AU198" s="186" t="n"/>
      <c r="AV198" s="186" t="n"/>
      <c r="AW198" s="188" t="n"/>
      <c r="AX198" s="187" t="n"/>
      <c r="AY198" s="187" t="n"/>
      <c r="AZ198" s="186" t="n"/>
      <c r="BA198" s="186" t="n"/>
      <c r="BB198" s="186" t="n"/>
      <c r="BC198" s="186" t="n"/>
      <c r="BD198" s="186" t="n"/>
      <c r="BE198" s="186" t="n"/>
      <c r="BF198" s="186" t="n"/>
      <c r="BG198" s="186" t="n"/>
      <c r="BH198" s="186" t="n"/>
      <c r="BI198" s="186" t="n"/>
      <c r="BJ198" s="186" t="n"/>
      <c r="BK198" s="186" t="n"/>
      <c r="BL198" s="186" t="n"/>
      <c r="BM198" s="186" t="n"/>
      <c r="BN198" s="186" t="n"/>
      <c r="BO198" s="186" t="n"/>
      <c r="BP198" s="186" t="n"/>
      <c r="BQ198" s="186" t="n"/>
      <c r="BR198" s="186" t="n"/>
      <c r="BS198" s="186" t="n"/>
      <c r="BT198" s="186" t="n"/>
      <c r="BU198" s="186" t="n"/>
      <c r="BV198" s="190" t="n"/>
      <c r="BW198" s="186" t="n"/>
      <c r="BX198" s="186" t="n"/>
      <c r="BY198" s="186" t="n"/>
      <c r="BZ198" s="186" t="n"/>
      <c r="CA198" s="186" t="n"/>
      <c r="CB198" s="187" t="n"/>
      <c r="CC198" s="192" t="n"/>
      <c r="CD198" s="192" t="n"/>
      <c r="CE198" s="192" t="n"/>
      <c r="CF198" s="192" t="n"/>
    </row>
    <row r="199">
      <c r="A199" s="197" t="n"/>
      <c r="B199" s="198" t="n"/>
      <c r="C199" s="198" t="n"/>
      <c r="D199" s="179" t="n"/>
      <c r="E199" s="180" t="n"/>
      <c r="F199" s="181" t="n"/>
      <c r="G199" s="284">
        <f>'Jobs-Ops'!G199</f>
        <v/>
      </c>
      <c r="H199" s="114">
        <f>'Jobs-Ops'!H199</f>
        <v/>
      </c>
      <c r="I199" s="105" t="n"/>
      <c r="J199" s="183">
        <f>F199</f>
        <v/>
      </c>
      <c r="K199" s="184" t="n"/>
      <c r="L199" s="185" t="n"/>
      <c r="M199" s="8" t="n"/>
      <c r="N199" s="184">
        <f>M199</f>
        <v/>
      </c>
      <c r="O199" s="71" t="n"/>
      <c r="P199" s="101" t="n"/>
      <c r="Q199" s="9">
        <f>J199-N199</f>
        <v/>
      </c>
      <c r="R199" s="9">
        <f>IF(LEFT(B199,4)&lt;&gt;"    ",0,BI199)</f>
        <v/>
      </c>
      <c r="S199" s="9">
        <f>+Q199-R199</f>
        <v/>
      </c>
      <c r="T199" s="200">
        <f>IF('Jobs-Ops'!S199&lt;&gt; "",'Jobs-Ops'!S199,"")</f>
        <v/>
      </c>
      <c r="U199" s="10" t="n"/>
      <c r="V199" s="23">
        <f>IF(LEFT(B199,4)&lt;&gt;"    ","",IF(N199&lt;&gt;0,X199/N199,0))</f>
        <v/>
      </c>
      <c r="W199" s="11">
        <f>IF(LEFT(B199,4)&lt;&gt;"    ","",IF(V199&gt;=0.1,V199*J199,X199))</f>
        <v/>
      </c>
      <c r="X199" s="8" t="n"/>
      <c r="Y199" s="9">
        <f>IF(LEFT(B199,4)&lt;&gt;"    ",0,IF(Q199&lt;0,Q199,IF(V199&gt;0.1,W199-X199,0)))</f>
        <v/>
      </c>
      <c r="Z199" s="9">
        <f>IF(LEFT(B199,4)&lt;&gt;"    ",0,IF(V199&gt;0.1,BI199,0))</f>
        <v/>
      </c>
      <c r="AA199" s="9">
        <f>Y199-Z199</f>
        <v/>
      </c>
      <c r="AB199" s="10" t="n"/>
      <c r="AC199" s="24" t="n"/>
      <c r="AD199" s="11" t="n"/>
      <c r="AE199" s="8" t="n"/>
      <c r="AF199" s="9">
        <f>IF(LEFT(B199,4)&lt;&gt;"    ","",AD199-AE199)</f>
        <v/>
      </c>
      <c r="AG199" s="10" t="n"/>
      <c r="AH199" s="11">
        <f>IF(LEFT(B199,4)&lt;&gt;"    ","",W199-AD199)</f>
        <v/>
      </c>
      <c r="AI199" s="8">
        <f>IF(LEFT(B199,4)&lt;&gt;"    ","",X199-AE199)</f>
        <v/>
      </c>
      <c r="AJ199" s="9">
        <f>IF(LEFT(B199,4)&lt;&gt;"    ","",Y199-AF199)</f>
        <v/>
      </c>
      <c r="AK199" s="10" t="n"/>
      <c r="AL199" s="25">
        <f>IF(LEFT(B199,4)&lt;&gt;"    ","",J199-W199)</f>
        <v/>
      </c>
      <c r="AM199" s="25">
        <f>N199-X199</f>
        <v/>
      </c>
      <c r="AN199" s="25">
        <f>IF(LEFT(B199,4)&lt;&gt;"    ","",Q199-Y199)</f>
        <v/>
      </c>
      <c r="AO199" s="10" t="n"/>
      <c r="AP199" s="12" t="n"/>
      <c r="AQ199" s="12">
        <f>IF(LEFT(B199,4)&lt;&gt;"    ","",IF(W199-AP199&gt;=0,W199-AP199," "))</f>
        <v/>
      </c>
      <c r="AR199" s="12">
        <f>IF(LEFT(B199,4)&lt;&gt;"    ","",IF(AP199-W199&gt;=0,AP199-W199," "))</f>
        <v/>
      </c>
      <c r="AS199" s="186" t="n"/>
      <c r="AT199" s="187" t="n"/>
      <c r="AU199" s="186" t="n"/>
      <c r="AV199" s="186" t="n"/>
      <c r="AW199" s="188" t="n"/>
      <c r="AX199" s="187" t="n"/>
      <c r="AY199" s="187" t="n"/>
      <c r="AZ199" s="186" t="n"/>
      <c r="BA199" s="186" t="n"/>
      <c r="BB199" s="186" t="n"/>
      <c r="BC199" s="186" t="n"/>
      <c r="BD199" s="186" t="n"/>
      <c r="BE199" s="186" t="n"/>
      <c r="BF199" s="186" t="n"/>
      <c r="BG199" s="186" t="n"/>
      <c r="BH199" s="186" t="n"/>
      <c r="BI199" s="186" t="n"/>
      <c r="BJ199" s="186" t="n"/>
      <c r="BK199" s="186" t="n"/>
      <c r="BL199" s="186" t="n"/>
      <c r="BM199" s="186" t="n"/>
      <c r="BN199" s="186" t="n"/>
      <c r="BO199" s="186" t="n"/>
      <c r="BP199" s="186" t="n"/>
      <c r="BQ199" s="186" t="n"/>
      <c r="BR199" s="186" t="n"/>
      <c r="BS199" s="186" t="n"/>
      <c r="BT199" s="186" t="n"/>
      <c r="BU199" s="186" t="n"/>
      <c r="BV199" s="190" t="n"/>
      <c r="BW199" s="186" t="n"/>
      <c r="BX199" s="186" t="n"/>
      <c r="BY199" s="186" t="n"/>
      <c r="BZ199" s="186" t="n"/>
      <c r="CA199" s="186" t="n"/>
      <c r="CB199" s="187" t="n"/>
      <c r="CC199" s="192" t="n"/>
      <c r="CD199" s="192" t="n"/>
      <c r="CE199" s="192" t="n"/>
      <c r="CF199" s="192" t="n"/>
    </row>
    <row r="200">
      <c r="A200" s="197" t="n"/>
      <c r="B200" s="198" t="n"/>
      <c r="C200" s="198" t="n"/>
      <c r="D200" s="179" t="n"/>
      <c r="E200" s="180" t="n"/>
      <c r="F200" s="181" t="n"/>
      <c r="G200" s="284">
        <f>'Jobs-Ops'!G200</f>
        <v/>
      </c>
      <c r="H200" s="114">
        <f>'Jobs-Ops'!H200</f>
        <v/>
      </c>
      <c r="I200" s="105" t="n"/>
      <c r="J200" s="183">
        <f>F200</f>
        <v/>
      </c>
      <c r="K200" s="184" t="n"/>
      <c r="L200" s="185" t="n"/>
      <c r="M200" s="8" t="n"/>
      <c r="N200" s="184">
        <f>M200</f>
        <v/>
      </c>
      <c r="O200" s="71" t="n"/>
      <c r="P200" s="101" t="n"/>
      <c r="Q200" s="9">
        <f>J200-N200</f>
        <v/>
      </c>
      <c r="R200" s="9">
        <f>IF(LEFT(B200,4)&lt;&gt;"    ",0,BI200)</f>
        <v/>
      </c>
      <c r="S200" s="9">
        <f>+Q200-R200</f>
        <v/>
      </c>
      <c r="T200" s="200">
        <f>IF('Jobs-Ops'!S200&lt;&gt; "",'Jobs-Ops'!S200,"")</f>
        <v/>
      </c>
      <c r="U200" s="10" t="n"/>
      <c r="V200" s="23">
        <f>IF(LEFT(B200,4)&lt;&gt;"    ","",IF(N200&lt;&gt;0,X200/N200,0))</f>
        <v/>
      </c>
      <c r="W200" s="11">
        <f>IF(LEFT(B200,4)&lt;&gt;"    ","",IF(V200&gt;=0.1,V200*J200,X200))</f>
        <v/>
      </c>
      <c r="X200" s="8" t="n"/>
      <c r="Y200" s="9">
        <f>IF(LEFT(B200,4)&lt;&gt;"    ",0,IF(Q200&lt;0,Q200,IF(V200&gt;0.1,W200-X200,0)))</f>
        <v/>
      </c>
      <c r="Z200" s="9">
        <f>IF(LEFT(B200,4)&lt;&gt;"    ",0,IF(V200&gt;0.1,BI200,0))</f>
        <v/>
      </c>
      <c r="AA200" s="9">
        <f>Y200-Z200</f>
        <v/>
      </c>
      <c r="AB200" s="10" t="n"/>
      <c r="AC200" s="24" t="n"/>
      <c r="AD200" s="11" t="n"/>
      <c r="AE200" s="8" t="n"/>
      <c r="AF200" s="9">
        <f>IF(LEFT(B200,4)&lt;&gt;"    ","",AD200-AE200)</f>
        <v/>
      </c>
      <c r="AG200" s="10" t="n"/>
      <c r="AH200" s="11">
        <f>IF(LEFT(B200,4)&lt;&gt;"    ","",W200-AD200)</f>
        <v/>
      </c>
      <c r="AI200" s="8">
        <f>IF(LEFT(B200,4)&lt;&gt;"    ","",X200-AE200)</f>
        <v/>
      </c>
      <c r="AJ200" s="9">
        <f>IF(LEFT(B200,4)&lt;&gt;"    ","",Y200-AF200)</f>
        <v/>
      </c>
      <c r="AK200" s="10" t="n"/>
      <c r="AL200" s="25">
        <f>IF(LEFT(B200,4)&lt;&gt;"    ","",J200-W200)</f>
        <v/>
      </c>
      <c r="AM200" s="25">
        <f>N200-X200</f>
        <v/>
      </c>
      <c r="AN200" s="25">
        <f>IF(LEFT(B200,4)&lt;&gt;"    ","",Q200-Y200)</f>
        <v/>
      </c>
      <c r="AO200" s="10" t="n"/>
      <c r="AP200" s="12" t="n"/>
      <c r="AQ200" s="12">
        <f>IF(LEFT(B200,4)&lt;&gt;"    ","",IF(W200-AP200&gt;=0,W200-AP200," "))</f>
        <v/>
      </c>
      <c r="AR200" s="12">
        <f>IF(LEFT(B200,4)&lt;&gt;"    ","",IF(AP200-W200&gt;=0,AP200-W200," "))</f>
        <v/>
      </c>
      <c r="AS200" s="186" t="n"/>
      <c r="AT200" s="187" t="n"/>
      <c r="AU200" s="186" t="n"/>
      <c r="AV200" s="186" t="n"/>
      <c r="AW200" s="188" t="n"/>
      <c r="AX200" s="187" t="n"/>
      <c r="AY200" s="187" t="n"/>
      <c r="AZ200" s="186" t="n"/>
      <c r="BA200" s="186" t="n"/>
      <c r="BB200" s="186" t="n"/>
      <c r="BC200" s="186" t="n"/>
      <c r="BD200" s="186" t="n"/>
      <c r="BE200" s="186" t="n"/>
      <c r="BF200" s="186" t="n"/>
      <c r="BG200" s="186" t="n"/>
      <c r="BH200" s="186" t="n"/>
      <c r="BI200" s="186" t="n"/>
      <c r="BJ200" s="186" t="n"/>
      <c r="BK200" s="186" t="n"/>
      <c r="BL200" s="186" t="n"/>
      <c r="BM200" s="186" t="n"/>
      <c r="BN200" s="186" t="n"/>
      <c r="BO200" s="186" t="n"/>
      <c r="BP200" s="186" t="n"/>
      <c r="BQ200" s="186" t="n"/>
      <c r="BR200" s="186" t="n"/>
      <c r="BS200" s="186" t="n"/>
      <c r="BT200" s="186" t="n"/>
      <c r="BU200" s="186" t="n"/>
      <c r="BV200" s="190" t="n"/>
      <c r="BW200" s="186" t="n"/>
      <c r="BX200" s="186" t="n"/>
      <c r="BY200" s="186" t="n"/>
      <c r="BZ200" s="186" t="n"/>
      <c r="CA200" s="186" t="n"/>
      <c r="CB200" s="187" t="n"/>
      <c r="CC200" s="192" t="n"/>
      <c r="CD200" s="192" t="n"/>
      <c r="CE200" s="192" t="n"/>
      <c r="CF200" s="192" t="n"/>
    </row>
    <row r="201">
      <c r="A201" s="197" t="n"/>
      <c r="B201" s="198" t="n"/>
      <c r="C201" s="198" t="n"/>
      <c r="D201" s="179" t="n"/>
      <c r="E201" s="180" t="n"/>
      <c r="F201" s="181" t="n"/>
      <c r="G201" s="284">
        <f>'Jobs-Ops'!G201</f>
        <v/>
      </c>
      <c r="H201" s="114">
        <f>'Jobs-Ops'!H201</f>
        <v/>
      </c>
      <c r="I201" s="105" t="n"/>
      <c r="J201" s="183">
        <f>F201</f>
        <v/>
      </c>
      <c r="K201" s="184" t="n"/>
      <c r="L201" s="185" t="n"/>
      <c r="M201" s="8" t="n"/>
      <c r="N201" s="184">
        <f>M201</f>
        <v/>
      </c>
      <c r="O201" s="71" t="n"/>
      <c r="P201" s="101" t="n"/>
      <c r="Q201" s="9">
        <f>J201-N201</f>
        <v/>
      </c>
      <c r="R201" s="9">
        <f>IF(LEFT(B201,4)&lt;&gt;"    ",0,BI201)</f>
        <v/>
      </c>
      <c r="S201" s="9">
        <f>+Q201-R201</f>
        <v/>
      </c>
      <c r="T201" s="200">
        <f>IF('Jobs-Ops'!S201&lt;&gt; "",'Jobs-Ops'!S201,"")</f>
        <v/>
      </c>
      <c r="U201" s="10" t="n"/>
      <c r="V201" s="23">
        <f>IF(LEFT(B201,4)&lt;&gt;"    ","",IF(N201&lt;&gt;0,X201/N201,0))</f>
        <v/>
      </c>
      <c r="W201" s="11">
        <f>IF(LEFT(B201,4)&lt;&gt;"    ","",IF(V201&gt;=0.1,V201*J201,X201))</f>
        <v/>
      </c>
      <c r="X201" s="8" t="n"/>
      <c r="Y201" s="9">
        <f>IF(LEFT(B201,4)&lt;&gt;"    ",0,IF(Q201&lt;0,Q201,IF(V201&gt;0.1,W201-X201,0)))</f>
        <v/>
      </c>
      <c r="Z201" s="9">
        <f>IF(LEFT(B201,4)&lt;&gt;"    ",0,IF(V201&gt;0.1,BI201,0))</f>
        <v/>
      </c>
      <c r="AA201" s="9">
        <f>Y201-Z201</f>
        <v/>
      </c>
      <c r="AB201" s="10" t="n"/>
      <c r="AC201" s="24" t="n"/>
      <c r="AD201" s="11" t="n"/>
      <c r="AE201" s="8" t="n"/>
      <c r="AF201" s="9">
        <f>IF(LEFT(B201,4)&lt;&gt;"    ","",AD201-AE201)</f>
        <v/>
      </c>
      <c r="AG201" s="10" t="n"/>
      <c r="AH201" s="11">
        <f>IF(LEFT(B201,4)&lt;&gt;"    ","",W201-AD201)</f>
        <v/>
      </c>
      <c r="AI201" s="8">
        <f>IF(LEFT(B201,4)&lt;&gt;"    ","",X201-AE201)</f>
        <v/>
      </c>
      <c r="AJ201" s="9">
        <f>IF(LEFT(B201,4)&lt;&gt;"    ","",Y201-AF201)</f>
        <v/>
      </c>
      <c r="AK201" s="10" t="n"/>
      <c r="AL201" s="25">
        <f>IF(LEFT(B201,4)&lt;&gt;"    ","",J201-W201)</f>
        <v/>
      </c>
      <c r="AM201" s="25">
        <f>N201-X201</f>
        <v/>
      </c>
      <c r="AN201" s="25">
        <f>IF(LEFT(B201,4)&lt;&gt;"    ","",Q201-Y201)</f>
        <v/>
      </c>
      <c r="AO201" s="10" t="n"/>
      <c r="AP201" s="12" t="n"/>
      <c r="AQ201" s="12">
        <f>IF(LEFT(B201,4)&lt;&gt;"    ","",IF(W201-AP201&gt;=0,W201-AP201," "))</f>
        <v/>
      </c>
      <c r="AR201" s="12">
        <f>IF(LEFT(B201,4)&lt;&gt;"    ","",IF(AP201-W201&gt;=0,AP201-W201," "))</f>
        <v/>
      </c>
      <c r="AS201" s="186" t="n"/>
      <c r="AT201" s="187" t="n"/>
      <c r="AU201" s="186" t="n"/>
      <c r="AV201" s="186" t="n"/>
      <c r="AW201" s="188" t="n"/>
      <c r="AX201" s="187" t="n"/>
      <c r="AY201" s="187" t="n"/>
      <c r="AZ201" s="186" t="n"/>
      <c r="BA201" s="186" t="n"/>
      <c r="BB201" s="186" t="n"/>
      <c r="BC201" s="186" t="n"/>
      <c r="BD201" s="186" t="n"/>
      <c r="BE201" s="186" t="n"/>
      <c r="BF201" s="186" t="n"/>
      <c r="BG201" s="186" t="n"/>
      <c r="BH201" s="186" t="n"/>
      <c r="BI201" s="186" t="n"/>
      <c r="BJ201" s="186" t="n"/>
      <c r="BK201" s="186" t="n"/>
      <c r="BL201" s="186" t="n"/>
      <c r="BM201" s="186" t="n"/>
      <c r="BN201" s="186" t="n"/>
      <c r="BO201" s="186" t="n"/>
      <c r="BP201" s="186" t="n"/>
      <c r="BQ201" s="186" t="n"/>
      <c r="BR201" s="186" t="n"/>
      <c r="BS201" s="186" t="n"/>
      <c r="BT201" s="186" t="n"/>
      <c r="BU201" s="186" t="n"/>
      <c r="BV201" s="190" t="n"/>
      <c r="BW201" s="186" t="n"/>
      <c r="BX201" s="186" t="n"/>
      <c r="BY201" s="186" t="n"/>
      <c r="BZ201" s="186" t="n"/>
      <c r="CA201" s="186" t="n"/>
      <c r="CB201" s="187" t="n"/>
      <c r="CC201" s="192" t="n"/>
      <c r="CD201" s="192" t="n"/>
      <c r="CE201" s="192" t="n"/>
      <c r="CF201" s="192" t="n"/>
    </row>
    <row r="202">
      <c r="A202" s="197" t="n"/>
      <c r="B202" s="198" t="n"/>
      <c r="C202" s="198" t="n"/>
      <c r="D202" s="179" t="n"/>
      <c r="E202" s="180" t="n"/>
      <c r="F202" s="181" t="n"/>
      <c r="G202" s="284">
        <f>'Jobs-Ops'!G202</f>
        <v/>
      </c>
      <c r="H202" s="114">
        <f>'Jobs-Ops'!H202</f>
        <v/>
      </c>
      <c r="I202" s="105" t="n"/>
      <c r="J202" s="183">
        <f>F202</f>
        <v/>
      </c>
      <c r="K202" s="184" t="n"/>
      <c r="L202" s="185" t="n"/>
      <c r="M202" s="8" t="n"/>
      <c r="N202" s="184">
        <f>M202</f>
        <v/>
      </c>
      <c r="O202" s="71" t="n"/>
      <c r="P202" s="101" t="n"/>
      <c r="Q202" s="9">
        <f>J202-N202</f>
        <v/>
      </c>
      <c r="R202" s="9">
        <f>IF(LEFT(B202,4)&lt;&gt;"    ",0,BI202)</f>
        <v/>
      </c>
      <c r="S202" s="9">
        <f>+Q202-R202</f>
        <v/>
      </c>
      <c r="T202" s="200">
        <f>IF('Jobs-Ops'!S202&lt;&gt; "",'Jobs-Ops'!S202,"")</f>
        <v/>
      </c>
      <c r="U202" s="10" t="n"/>
      <c r="V202" s="23">
        <f>IF(LEFT(B202,4)&lt;&gt;"    ","",IF(N202&lt;&gt;0,X202/N202,0))</f>
        <v/>
      </c>
      <c r="W202" s="11">
        <f>IF(LEFT(B202,4)&lt;&gt;"    ","",IF(V202&gt;=0.1,V202*J202,X202))</f>
        <v/>
      </c>
      <c r="X202" s="8" t="n"/>
      <c r="Y202" s="9">
        <f>IF(LEFT(B202,4)&lt;&gt;"    ",0,IF(Q202&lt;0,Q202,IF(V202&gt;0.1,W202-X202,0)))</f>
        <v/>
      </c>
      <c r="Z202" s="9">
        <f>IF(LEFT(B202,4)&lt;&gt;"    ",0,IF(V202&gt;0.1,BI202,0))</f>
        <v/>
      </c>
      <c r="AA202" s="9">
        <f>Y202-Z202</f>
        <v/>
      </c>
      <c r="AB202" s="10" t="n"/>
      <c r="AC202" s="24" t="n"/>
      <c r="AD202" s="11" t="n"/>
      <c r="AE202" s="8" t="n"/>
      <c r="AF202" s="9">
        <f>IF(LEFT(B202,4)&lt;&gt;"    ","",AD202-AE202)</f>
        <v/>
      </c>
      <c r="AG202" s="10" t="n"/>
      <c r="AH202" s="11">
        <f>IF(LEFT(B202,4)&lt;&gt;"    ","",W202-AD202)</f>
        <v/>
      </c>
      <c r="AI202" s="8">
        <f>IF(LEFT(B202,4)&lt;&gt;"    ","",X202-AE202)</f>
        <v/>
      </c>
      <c r="AJ202" s="9">
        <f>IF(LEFT(B202,4)&lt;&gt;"    ","",Y202-AF202)</f>
        <v/>
      </c>
      <c r="AK202" s="10" t="n"/>
      <c r="AL202" s="25">
        <f>IF(LEFT(B202,4)&lt;&gt;"    ","",J202-W202)</f>
        <v/>
      </c>
      <c r="AM202" s="25">
        <f>N202-X202</f>
        <v/>
      </c>
      <c r="AN202" s="25">
        <f>IF(LEFT(B202,4)&lt;&gt;"    ","",Q202-Y202)</f>
        <v/>
      </c>
      <c r="AO202" s="10" t="n"/>
      <c r="AP202" s="12" t="n"/>
      <c r="AQ202" s="12">
        <f>IF(LEFT(B202,4)&lt;&gt;"    ","",IF(W202-AP202&gt;=0,W202-AP202," "))</f>
        <v/>
      </c>
      <c r="AR202" s="12">
        <f>IF(LEFT(B202,4)&lt;&gt;"    ","",IF(AP202-W202&gt;=0,AP202-W202," "))</f>
        <v/>
      </c>
      <c r="AS202" s="186" t="n"/>
      <c r="AT202" s="187" t="n"/>
      <c r="AU202" s="186" t="n"/>
      <c r="AV202" s="186" t="n"/>
      <c r="AW202" s="188" t="n"/>
      <c r="AX202" s="187" t="n"/>
      <c r="AY202" s="187" t="n"/>
      <c r="AZ202" s="186" t="n"/>
      <c r="BA202" s="186" t="n"/>
      <c r="BB202" s="186" t="n"/>
      <c r="BC202" s="186" t="n"/>
      <c r="BD202" s="186" t="n"/>
      <c r="BE202" s="186" t="n"/>
      <c r="BF202" s="186" t="n"/>
      <c r="BG202" s="186" t="n"/>
      <c r="BH202" s="186" t="n"/>
      <c r="BI202" s="186" t="n"/>
      <c r="BJ202" s="186" t="n"/>
      <c r="BK202" s="186" t="n"/>
      <c r="BL202" s="186" t="n"/>
      <c r="BM202" s="186" t="n"/>
      <c r="BN202" s="186" t="n"/>
      <c r="BO202" s="186" t="n"/>
      <c r="BP202" s="186" t="n"/>
      <c r="BQ202" s="186" t="n"/>
      <c r="BR202" s="186" t="n"/>
      <c r="BS202" s="186" t="n"/>
      <c r="BT202" s="186" t="n"/>
      <c r="BU202" s="186" t="n"/>
      <c r="BV202" s="190" t="n"/>
      <c r="BW202" s="186" t="n"/>
      <c r="BX202" s="186" t="n"/>
      <c r="BY202" s="186" t="n"/>
      <c r="BZ202" s="186" t="n"/>
      <c r="CA202" s="186" t="n"/>
      <c r="CB202" s="187" t="n"/>
      <c r="CC202" s="192" t="n"/>
      <c r="CD202" s="192" t="n"/>
      <c r="CE202" s="192" t="n"/>
      <c r="CF202" s="192" t="n"/>
    </row>
    <row r="203">
      <c r="A203" s="197" t="n"/>
      <c r="B203" s="198" t="n"/>
      <c r="C203" s="198" t="n"/>
      <c r="D203" s="179" t="n"/>
      <c r="E203" s="180" t="n"/>
      <c r="F203" s="181" t="n"/>
      <c r="G203" s="284">
        <f>'Jobs-Ops'!G203</f>
        <v/>
      </c>
      <c r="H203" s="114">
        <f>'Jobs-Ops'!H203</f>
        <v/>
      </c>
      <c r="I203" s="105" t="n"/>
      <c r="J203" s="183">
        <f>F203</f>
        <v/>
      </c>
      <c r="K203" s="184" t="n"/>
      <c r="L203" s="185" t="n"/>
      <c r="M203" s="8" t="n"/>
      <c r="N203" s="184">
        <f>M203</f>
        <v/>
      </c>
      <c r="O203" s="71" t="n"/>
      <c r="P203" s="101" t="n"/>
      <c r="Q203" s="9">
        <f>J203-N203</f>
        <v/>
      </c>
      <c r="R203" s="9">
        <f>IF(LEFT(B203,4)&lt;&gt;"    ",0,BI203)</f>
        <v/>
      </c>
      <c r="S203" s="9">
        <f>+Q203-R203</f>
        <v/>
      </c>
      <c r="T203" s="200">
        <f>IF('Jobs-Ops'!S203&lt;&gt; "",'Jobs-Ops'!S203,"")</f>
        <v/>
      </c>
      <c r="U203" s="10" t="n"/>
      <c r="V203" s="23">
        <f>IF(LEFT(B203,4)&lt;&gt;"    ","",IF(N203&lt;&gt;0,X203/N203,0))</f>
        <v/>
      </c>
      <c r="W203" s="11">
        <f>IF(LEFT(B203,4)&lt;&gt;"    ","",IF(V203&gt;=0.1,V203*J203,X203))</f>
        <v/>
      </c>
      <c r="X203" s="8" t="n"/>
      <c r="Y203" s="9">
        <f>IF(LEFT(B203,4)&lt;&gt;"    ",0,IF(Q203&lt;0,Q203,IF(V203&gt;0.1,W203-X203,0)))</f>
        <v/>
      </c>
      <c r="Z203" s="9">
        <f>IF(LEFT(B203,4)&lt;&gt;"    ",0,IF(V203&gt;0.1,BI203,0))</f>
        <v/>
      </c>
      <c r="AA203" s="9">
        <f>Y203-Z203</f>
        <v/>
      </c>
      <c r="AB203" s="10" t="n"/>
      <c r="AC203" s="24" t="n"/>
      <c r="AD203" s="11" t="n"/>
      <c r="AE203" s="8" t="n"/>
      <c r="AF203" s="9">
        <f>IF(LEFT(B203,4)&lt;&gt;"    ","",AD203-AE203)</f>
        <v/>
      </c>
      <c r="AG203" s="10" t="n"/>
      <c r="AH203" s="11">
        <f>IF(LEFT(B203,4)&lt;&gt;"    ","",W203-AD203)</f>
        <v/>
      </c>
      <c r="AI203" s="8">
        <f>IF(LEFT(B203,4)&lt;&gt;"    ","",X203-AE203)</f>
        <v/>
      </c>
      <c r="AJ203" s="9">
        <f>IF(LEFT(B203,4)&lt;&gt;"    ","",Y203-AF203)</f>
        <v/>
      </c>
      <c r="AK203" s="10" t="n"/>
      <c r="AL203" s="25">
        <f>IF(LEFT(B203,4)&lt;&gt;"    ","",J203-W203)</f>
        <v/>
      </c>
      <c r="AM203" s="25">
        <f>N203-X203</f>
        <v/>
      </c>
      <c r="AN203" s="25">
        <f>IF(LEFT(B203,4)&lt;&gt;"    ","",Q203-Y203)</f>
        <v/>
      </c>
      <c r="AO203" s="10" t="n"/>
      <c r="AP203" s="12" t="n"/>
      <c r="AQ203" s="12">
        <f>IF(LEFT(B203,4)&lt;&gt;"    ","",IF(W203-AP203&gt;=0,W203-AP203," "))</f>
        <v/>
      </c>
      <c r="AR203" s="12">
        <f>IF(LEFT(B203,4)&lt;&gt;"    ","",IF(AP203-W203&gt;=0,AP203-W203," "))</f>
        <v/>
      </c>
      <c r="AS203" s="186" t="n"/>
      <c r="AT203" s="187" t="n"/>
      <c r="AU203" s="186" t="n"/>
      <c r="AV203" s="186" t="n"/>
      <c r="AW203" s="188" t="n"/>
      <c r="AX203" s="187" t="n"/>
      <c r="AY203" s="187" t="n"/>
      <c r="AZ203" s="186" t="n"/>
      <c r="BA203" s="186" t="n"/>
      <c r="BB203" s="186" t="n"/>
      <c r="BC203" s="186" t="n"/>
      <c r="BD203" s="186" t="n"/>
      <c r="BE203" s="186" t="n"/>
      <c r="BF203" s="186" t="n"/>
      <c r="BG203" s="186" t="n"/>
      <c r="BH203" s="186" t="n"/>
      <c r="BI203" s="186" t="n"/>
      <c r="BJ203" s="186" t="n"/>
      <c r="BK203" s="186" t="n"/>
      <c r="BL203" s="186" t="n"/>
      <c r="BM203" s="186" t="n"/>
      <c r="BN203" s="186" t="n"/>
      <c r="BO203" s="186" t="n"/>
      <c r="BP203" s="186" t="n"/>
      <c r="BQ203" s="186" t="n"/>
      <c r="BR203" s="186" t="n"/>
      <c r="BS203" s="186" t="n"/>
      <c r="BT203" s="186" t="n"/>
      <c r="BU203" s="186" t="n"/>
      <c r="BV203" s="190" t="n"/>
      <c r="BW203" s="186" t="n"/>
      <c r="BX203" s="186" t="n"/>
      <c r="BY203" s="186" t="n"/>
      <c r="BZ203" s="186" t="n"/>
      <c r="CA203" s="186" t="n"/>
      <c r="CB203" s="187" t="n"/>
      <c r="CC203" s="192" t="n"/>
      <c r="CD203" s="192" t="n"/>
      <c r="CE203" s="192" t="n"/>
      <c r="CF203" s="192" t="n"/>
    </row>
    <row r="204">
      <c r="A204" s="197" t="n"/>
      <c r="B204" s="198" t="n"/>
      <c r="C204" s="198" t="n"/>
      <c r="D204" s="179" t="n"/>
      <c r="E204" s="180" t="n"/>
      <c r="F204" s="181" t="n"/>
      <c r="G204" s="284">
        <f>'Jobs-Ops'!G204</f>
        <v/>
      </c>
      <c r="H204" s="114">
        <f>'Jobs-Ops'!H204</f>
        <v/>
      </c>
      <c r="I204" s="105" t="n"/>
      <c r="J204" s="183">
        <f>F204</f>
        <v/>
      </c>
      <c r="K204" s="184" t="n"/>
      <c r="L204" s="185" t="n"/>
      <c r="M204" s="8" t="n"/>
      <c r="N204" s="184">
        <f>M204</f>
        <v/>
      </c>
      <c r="O204" s="71" t="n"/>
      <c r="P204" s="101" t="n"/>
      <c r="Q204" s="9">
        <f>J204-N204</f>
        <v/>
      </c>
      <c r="R204" s="9">
        <f>IF(LEFT(B204,4)&lt;&gt;"    ",0,BI204)</f>
        <v/>
      </c>
      <c r="S204" s="9">
        <f>+Q204-R204</f>
        <v/>
      </c>
      <c r="T204" s="200">
        <f>IF('Jobs-Ops'!S204&lt;&gt; "",'Jobs-Ops'!S204,"")</f>
        <v/>
      </c>
      <c r="U204" s="10" t="n"/>
      <c r="V204" s="23">
        <f>IF(LEFT(B204,4)&lt;&gt;"    ","",IF(N204&lt;&gt;0,X204/N204,0))</f>
        <v/>
      </c>
      <c r="W204" s="11">
        <f>IF(LEFT(B204,4)&lt;&gt;"    ","",IF(V204&gt;=0.1,V204*J204,X204))</f>
        <v/>
      </c>
      <c r="X204" s="8" t="n"/>
      <c r="Y204" s="9">
        <f>IF(LEFT(B204,4)&lt;&gt;"    ",0,IF(Q204&lt;0,Q204,IF(V204&gt;0.1,W204-X204,0)))</f>
        <v/>
      </c>
      <c r="Z204" s="9">
        <f>IF(LEFT(B204,4)&lt;&gt;"    ",0,IF(V204&gt;0.1,BI204,0))</f>
        <v/>
      </c>
      <c r="AA204" s="9">
        <f>Y204-Z204</f>
        <v/>
      </c>
      <c r="AB204" s="10" t="n"/>
      <c r="AC204" s="24" t="n"/>
      <c r="AD204" s="11" t="n"/>
      <c r="AE204" s="8" t="n"/>
      <c r="AF204" s="9">
        <f>IF(LEFT(B204,4)&lt;&gt;"    ","",AD204-AE204)</f>
        <v/>
      </c>
      <c r="AG204" s="10" t="n"/>
      <c r="AH204" s="11">
        <f>IF(LEFT(B204,4)&lt;&gt;"    ","",W204-AD204)</f>
        <v/>
      </c>
      <c r="AI204" s="8">
        <f>IF(LEFT(B204,4)&lt;&gt;"    ","",X204-AE204)</f>
        <v/>
      </c>
      <c r="AJ204" s="9">
        <f>IF(LEFT(B204,4)&lt;&gt;"    ","",Y204-AF204)</f>
        <v/>
      </c>
      <c r="AK204" s="10" t="n"/>
      <c r="AL204" s="25">
        <f>IF(LEFT(B204,4)&lt;&gt;"    ","",J204-W204)</f>
        <v/>
      </c>
      <c r="AM204" s="25">
        <f>N204-X204</f>
        <v/>
      </c>
      <c r="AN204" s="25">
        <f>IF(LEFT(B204,4)&lt;&gt;"    ","",Q204-Y204)</f>
        <v/>
      </c>
      <c r="AO204" s="10" t="n"/>
      <c r="AP204" s="12" t="n"/>
      <c r="AQ204" s="12">
        <f>IF(LEFT(B204,4)&lt;&gt;"    ","",IF(W204-AP204&gt;=0,W204-AP204," "))</f>
        <v/>
      </c>
      <c r="AR204" s="12">
        <f>IF(LEFT(B204,4)&lt;&gt;"    ","",IF(AP204-W204&gt;=0,AP204-W204," "))</f>
        <v/>
      </c>
      <c r="AS204" s="186" t="n"/>
      <c r="AT204" s="187" t="n"/>
      <c r="AU204" s="186" t="n"/>
      <c r="AV204" s="186" t="n"/>
      <c r="AW204" s="188" t="n"/>
      <c r="AX204" s="187" t="n"/>
      <c r="AY204" s="187" t="n"/>
      <c r="AZ204" s="186" t="n"/>
      <c r="BA204" s="186" t="n"/>
      <c r="BB204" s="186" t="n"/>
      <c r="BC204" s="186" t="n"/>
      <c r="BD204" s="186" t="n"/>
      <c r="BE204" s="186" t="n"/>
      <c r="BF204" s="186" t="n"/>
      <c r="BG204" s="186" t="n"/>
      <c r="BH204" s="186" t="n"/>
      <c r="BI204" s="186" t="n"/>
      <c r="BJ204" s="186" t="n"/>
      <c r="BK204" s="186" t="n"/>
      <c r="BL204" s="186" t="n"/>
      <c r="BM204" s="186" t="n"/>
      <c r="BN204" s="186" t="n"/>
      <c r="BO204" s="186" t="n"/>
      <c r="BP204" s="186" t="n"/>
      <c r="BQ204" s="186" t="n"/>
      <c r="BR204" s="186" t="n"/>
      <c r="BS204" s="186" t="n"/>
      <c r="BT204" s="186" t="n"/>
      <c r="BU204" s="186" t="n"/>
      <c r="BV204" s="190" t="n"/>
      <c r="BW204" s="186" t="n"/>
      <c r="BX204" s="186" t="n"/>
      <c r="BY204" s="186" t="n"/>
      <c r="BZ204" s="186" t="n"/>
      <c r="CA204" s="186" t="n"/>
      <c r="CB204" s="187" t="n"/>
      <c r="CC204" s="192" t="n"/>
      <c r="CD204" s="192" t="n"/>
      <c r="CE204" s="192" t="n"/>
      <c r="CF204" s="192" t="n"/>
    </row>
    <row r="205">
      <c r="A205" s="197" t="n"/>
      <c r="B205" s="198" t="n"/>
      <c r="C205" s="198" t="n"/>
      <c r="D205" s="179" t="n"/>
      <c r="E205" s="180" t="n"/>
      <c r="F205" s="181" t="n"/>
      <c r="G205" s="284">
        <f>'Jobs-Ops'!G205</f>
        <v/>
      </c>
      <c r="H205" s="114">
        <f>'Jobs-Ops'!H205</f>
        <v/>
      </c>
      <c r="I205" s="105" t="n"/>
      <c r="J205" s="183">
        <f>F205</f>
        <v/>
      </c>
      <c r="K205" s="184" t="n"/>
      <c r="L205" s="185" t="n"/>
      <c r="M205" s="8" t="n"/>
      <c r="N205" s="184">
        <f>M205</f>
        <v/>
      </c>
      <c r="O205" s="71" t="n"/>
      <c r="P205" s="101" t="n"/>
      <c r="Q205" s="9">
        <f>J205-N205</f>
        <v/>
      </c>
      <c r="R205" s="9">
        <f>IF(LEFT(B205,4)&lt;&gt;"    ",0,BI205)</f>
        <v/>
      </c>
      <c r="S205" s="9">
        <f>+Q205-R205</f>
        <v/>
      </c>
      <c r="T205" s="200">
        <f>IF('Jobs-Ops'!S205&lt;&gt; "",'Jobs-Ops'!S205,"")</f>
        <v/>
      </c>
      <c r="U205" s="10" t="n"/>
      <c r="V205" s="23">
        <f>IF(LEFT(B205,4)&lt;&gt;"    ","",IF(N205&lt;&gt;0,X205/N205,0))</f>
        <v/>
      </c>
      <c r="W205" s="11">
        <f>IF(LEFT(B205,4)&lt;&gt;"    ","",IF(V205&gt;=0.1,V205*J205,X205))</f>
        <v/>
      </c>
      <c r="X205" s="8" t="n"/>
      <c r="Y205" s="9">
        <f>IF(LEFT(B205,4)&lt;&gt;"    ",0,IF(Q205&lt;0,Q205,IF(V205&gt;0.1,W205-X205,0)))</f>
        <v/>
      </c>
      <c r="Z205" s="9">
        <f>IF(LEFT(B205,4)&lt;&gt;"    ",0,IF(V205&gt;0.1,BI205,0))</f>
        <v/>
      </c>
      <c r="AA205" s="9">
        <f>Y205-Z205</f>
        <v/>
      </c>
      <c r="AB205" s="10" t="n"/>
      <c r="AC205" s="24" t="n"/>
      <c r="AD205" s="11" t="n"/>
      <c r="AE205" s="8" t="n"/>
      <c r="AF205" s="9">
        <f>IF(LEFT(B205,4)&lt;&gt;"    ","",AD205-AE205)</f>
        <v/>
      </c>
      <c r="AG205" s="10" t="n"/>
      <c r="AH205" s="11">
        <f>IF(LEFT(B205,4)&lt;&gt;"    ","",W205-AD205)</f>
        <v/>
      </c>
      <c r="AI205" s="8">
        <f>IF(LEFT(B205,4)&lt;&gt;"    ","",X205-AE205)</f>
        <v/>
      </c>
      <c r="AJ205" s="9">
        <f>IF(LEFT(B205,4)&lt;&gt;"    ","",Y205-AF205)</f>
        <v/>
      </c>
      <c r="AK205" s="10" t="n"/>
      <c r="AL205" s="25">
        <f>IF(LEFT(B205,4)&lt;&gt;"    ","",J205-W205)</f>
        <v/>
      </c>
      <c r="AM205" s="25">
        <f>N205-X205</f>
        <v/>
      </c>
      <c r="AN205" s="25">
        <f>IF(LEFT(B205,4)&lt;&gt;"    ","",Q205-Y205)</f>
        <v/>
      </c>
      <c r="AO205" s="10" t="n"/>
      <c r="AP205" s="12" t="n"/>
      <c r="AQ205" s="12">
        <f>IF(LEFT(B205,4)&lt;&gt;"    ","",IF(W205-AP205&gt;=0,W205-AP205," "))</f>
        <v/>
      </c>
      <c r="AR205" s="12">
        <f>IF(LEFT(B205,4)&lt;&gt;"    ","",IF(AP205-W205&gt;=0,AP205-W205," "))</f>
        <v/>
      </c>
      <c r="AS205" s="186" t="n"/>
      <c r="AT205" s="187" t="n"/>
      <c r="AU205" s="186" t="n"/>
      <c r="AV205" s="186" t="n"/>
      <c r="AW205" s="188" t="n"/>
      <c r="AX205" s="187" t="n"/>
      <c r="AY205" s="187" t="n"/>
      <c r="AZ205" s="186" t="n"/>
      <c r="BA205" s="186" t="n"/>
      <c r="BB205" s="186" t="n"/>
      <c r="BC205" s="186" t="n"/>
      <c r="BD205" s="186" t="n"/>
      <c r="BE205" s="186" t="n"/>
      <c r="BF205" s="186" t="n"/>
      <c r="BG205" s="186" t="n"/>
      <c r="BH205" s="186" t="n"/>
      <c r="BI205" s="186" t="n"/>
      <c r="BJ205" s="186" t="n"/>
      <c r="BK205" s="186" t="n"/>
      <c r="BL205" s="186" t="n"/>
      <c r="BM205" s="186" t="n"/>
      <c r="BN205" s="186" t="n"/>
      <c r="BO205" s="186" t="n"/>
      <c r="BP205" s="186" t="n"/>
      <c r="BQ205" s="186" t="n"/>
      <c r="BR205" s="186" t="n"/>
      <c r="BS205" s="186" t="n"/>
      <c r="BT205" s="186" t="n"/>
      <c r="BU205" s="186" t="n"/>
      <c r="BV205" s="190" t="n"/>
      <c r="BW205" s="186" t="n"/>
      <c r="BX205" s="186" t="n"/>
      <c r="BY205" s="186" t="n"/>
      <c r="BZ205" s="186" t="n"/>
      <c r="CA205" s="186" t="n"/>
      <c r="CB205" s="187" t="n"/>
      <c r="CC205" s="192" t="n"/>
      <c r="CD205" s="192" t="n"/>
      <c r="CE205" s="192" t="n"/>
      <c r="CF205" s="192" t="n"/>
    </row>
    <row r="206">
      <c r="A206" s="197" t="n"/>
      <c r="B206" s="198" t="n"/>
      <c r="C206" s="198" t="n"/>
      <c r="D206" s="179" t="n"/>
      <c r="E206" s="180" t="n"/>
      <c r="F206" s="181" t="n"/>
      <c r="G206" s="284">
        <f>'Jobs-Ops'!G206</f>
        <v/>
      </c>
      <c r="H206" s="114">
        <f>'Jobs-Ops'!H206</f>
        <v/>
      </c>
      <c r="I206" s="105" t="n"/>
      <c r="J206" s="183">
        <f>F206</f>
        <v/>
      </c>
      <c r="K206" s="184" t="n"/>
      <c r="L206" s="185" t="n"/>
      <c r="M206" s="8" t="n"/>
      <c r="N206" s="184">
        <f>M206</f>
        <v/>
      </c>
      <c r="O206" s="71" t="n"/>
      <c r="P206" s="101" t="n"/>
      <c r="Q206" s="9">
        <f>J206-N206</f>
        <v/>
      </c>
      <c r="R206" s="9">
        <f>IF(LEFT(B206,4)&lt;&gt;"    ",0,BI206)</f>
        <v/>
      </c>
      <c r="S206" s="9">
        <f>+Q206-R206</f>
        <v/>
      </c>
      <c r="T206" s="200">
        <f>IF('Jobs-Ops'!S206&lt;&gt; "",'Jobs-Ops'!S206,"")</f>
        <v/>
      </c>
      <c r="U206" s="10" t="n"/>
      <c r="V206" s="23">
        <f>IF(LEFT(B206,4)&lt;&gt;"    ","",IF(N206&lt;&gt;0,X206/N206,0))</f>
        <v/>
      </c>
      <c r="W206" s="11">
        <f>IF(LEFT(B206,4)&lt;&gt;"    ","",IF(V206&gt;=0.1,V206*J206,X206))</f>
        <v/>
      </c>
      <c r="X206" s="8" t="n"/>
      <c r="Y206" s="9">
        <f>IF(LEFT(B206,4)&lt;&gt;"    ",0,IF(Q206&lt;0,Q206,IF(V206&gt;0.1,W206-X206,0)))</f>
        <v/>
      </c>
      <c r="Z206" s="9">
        <f>IF(LEFT(B206,4)&lt;&gt;"    ",0,IF(V206&gt;0.1,BI206,0))</f>
        <v/>
      </c>
      <c r="AA206" s="9">
        <f>Y206-Z206</f>
        <v/>
      </c>
      <c r="AB206" s="10" t="n"/>
      <c r="AC206" s="24" t="n"/>
      <c r="AD206" s="11" t="n"/>
      <c r="AE206" s="8" t="n"/>
      <c r="AF206" s="9">
        <f>IF(LEFT(B206,4)&lt;&gt;"    ","",AD206-AE206)</f>
        <v/>
      </c>
      <c r="AG206" s="10" t="n"/>
      <c r="AH206" s="11">
        <f>IF(LEFT(B206,4)&lt;&gt;"    ","",W206-AD206)</f>
        <v/>
      </c>
      <c r="AI206" s="8">
        <f>IF(LEFT(B206,4)&lt;&gt;"    ","",X206-AE206)</f>
        <v/>
      </c>
      <c r="AJ206" s="9">
        <f>IF(LEFT(B206,4)&lt;&gt;"    ","",Y206-AF206)</f>
        <v/>
      </c>
      <c r="AK206" s="10" t="n"/>
      <c r="AL206" s="25">
        <f>IF(LEFT(B206,4)&lt;&gt;"    ","",J206-W206)</f>
        <v/>
      </c>
      <c r="AM206" s="25">
        <f>N206-X206</f>
        <v/>
      </c>
      <c r="AN206" s="25">
        <f>IF(LEFT(B206,4)&lt;&gt;"    ","",Q206-Y206)</f>
        <v/>
      </c>
      <c r="AO206" s="10" t="n"/>
      <c r="AP206" s="12" t="n"/>
      <c r="AQ206" s="12">
        <f>IF(LEFT(B206,4)&lt;&gt;"    ","",IF(W206-AP206&gt;=0,W206-AP206," "))</f>
        <v/>
      </c>
      <c r="AR206" s="12">
        <f>IF(LEFT(B206,4)&lt;&gt;"    ","",IF(AP206-W206&gt;=0,AP206-W206," "))</f>
        <v/>
      </c>
      <c r="AS206" s="186" t="n"/>
      <c r="AT206" s="187" t="n"/>
      <c r="AU206" s="186" t="n"/>
      <c r="AV206" s="186" t="n"/>
      <c r="AW206" s="188" t="n"/>
      <c r="AX206" s="187" t="n"/>
      <c r="AY206" s="187" t="n"/>
      <c r="AZ206" s="186" t="n"/>
      <c r="BA206" s="186" t="n"/>
      <c r="BB206" s="186" t="n"/>
      <c r="BC206" s="186" t="n"/>
      <c r="BD206" s="186" t="n"/>
      <c r="BE206" s="186" t="n"/>
      <c r="BF206" s="186" t="n"/>
      <c r="BG206" s="186" t="n"/>
      <c r="BH206" s="186" t="n"/>
      <c r="BI206" s="186" t="n"/>
      <c r="BJ206" s="186" t="n"/>
      <c r="BK206" s="186" t="n"/>
      <c r="BL206" s="186" t="n"/>
      <c r="BM206" s="186" t="n"/>
      <c r="BN206" s="186" t="n"/>
      <c r="BO206" s="186" t="n"/>
      <c r="BP206" s="186" t="n"/>
      <c r="BQ206" s="186" t="n"/>
      <c r="BR206" s="186" t="n"/>
      <c r="BS206" s="186" t="n"/>
      <c r="BT206" s="186" t="n"/>
      <c r="BU206" s="186" t="n"/>
      <c r="BV206" s="190" t="n"/>
      <c r="BW206" s="186" t="n"/>
      <c r="BX206" s="186" t="n"/>
      <c r="BY206" s="186" t="n"/>
      <c r="BZ206" s="186" t="n"/>
      <c r="CA206" s="186" t="n"/>
      <c r="CB206" s="187" t="n"/>
      <c r="CC206" s="192" t="n"/>
      <c r="CD206" s="192" t="n"/>
      <c r="CE206" s="192" t="n"/>
      <c r="CF206" s="192" t="n"/>
    </row>
    <row r="207">
      <c r="A207" s="197" t="n"/>
      <c r="B207" s="198" t="n"/>
      <c r="C207" s="198" t="n"/>
      <c r="D207" s="179" t="n"/>
      <c r="E207" s="180" t="n"/>
      <c r="F207" s="181" t="n"/>
      <c r="G207" s="284">
        <f>'Jobs-Ops'!G207</f>
        <v/>
      </c>
      <c r="H207" s="114">
        <f>'Jobs-Ops'!H207</f>
        <v/>
      </c>
      <c r="I207" s="105" t="n"/>
      <c r="J207" s="183">
        <f>F207</f>
        <v/>
      </c>
      <c r="K207" s="184" t="n"/>
      <c r="L207" s="185" t="n"/>
      <c r="M207" s="8" t="n"/>
      <c r="N207" s="184">
        <f>M207</f>
        <v/>
      </c>
      <c r="O207" s="71" t="n"/>
      <c r="P207" s="101" t="n"/>
      <c r="Q207" s="9">
        <f>J207-N207</f>
        <v/>
      </c>
      <c r="R207" s="9">
        <f>IF(LEFT(B207,4)&lt;&gt;"    ",0,BI207)</f>
        <v/>
      </c>
      <c r="S207" s="9">
        <f>+Q207-R207</f>
        <v/>
      </c>
      <c r="T207" s="200">
        <f>IF('Jobs-Ops'!S207&lt;&gt; "",'Jobs-Ops'!S207,"")</f>
        <v/>
      </c>
      <c r="U207" s="10" t="n"/>
      <c r="V207" s="23">
        <f>IF(LEFT(B207,4)&lt;&gt;"    ","",IF(N207&lt;&gt;0,X207/N207,0))</f>
        <v/>
      </c>
      <c r="W207" s="11">
        <f>IF(LEFT(B207,4)&lt;&gt;"    ","",IF(V207&gt;=0.1,V207*J207,X207))</f>
        <v/>
      </c>
      <c r="X207" s="8" t="n"/>
      <c r="Y207" s="9">
        <f>IF(LEFT(B207,4)&lt;&gt;"    ",0,IF(Q207&lt;0,Q207,IF(V207&gt;0.1,W207-X207,0)))</f>
        <v/>
      </c>
      <c r="Z207" s="9">
        <f>IF(LEFT(B207,4)&lt;&gt;"    ",0,IF(V207&gt;0.1,BI207,0))</f>
        <v/>
      </c>
      <c r="AA207" s="9">
        <f>Y207-Z207</f>
        <v/>
      </c>
      <c r="AB207" s="10" t="n"/>
      <c r="AC207" s="24" t="n"/>
      <c r="AD207" s="11" t="n"/>
      <c r="AE207" s="8" t="n"/>
      <c r="AF207" s="9">
        <f>IF(LEFT(B207,4)&lt;&gt;"    ","",AD207-AE207)</f>
        <v/>
      </c>
      <c r="AG207" s="10" t="n"/>
      <c r="AH207" s="11">
        <f>IF(LEFT(B207,4)&lt;&gt;"    ","",W207-AD207)</f>
        <v/>
      </c>
      <c r="AI207" s="8">
        <f>IF(LEFT(B207,4)&lt;&gt;"    ","",X207-AE207)</f>
        <v/>
      </c>
      <c r="AJ207" s="9">
        <f>IF(LEFT(B207,4)&lt;&gt;"    ","",Y207-AF207)</f>
        <v/>
      </c>
      <c r="AK207" s="10" t="n"/>
      <c r="AL207" s="25">
        <f>IF(LEFT(B207,4)&lt;&gt;"    ","",J207-W207)</f>
        <v/>
      </c>
      <c r="AM207" s="25">
        <f>N207-X207</f>
        <v/>
      </c>
      <c r="AN207" s="25">
        <f>IF(LEFT(B207,4)&lt;&gt;"    ","",Q207-Y207)</f>
        <v/>
      </c>
      <c r="AO207" s="10" t="n"/>
      <c r="AP207" s="12" t="n"/>
      <c r="AQ207" s="12">
        <f>IF(LEFT(B207,4)&lt;&gt;"    ","",IF(W207-AP207&gt;=0,W207-AP207," "))</f>
        <v/>
      </c>
      <c r="AR207" s="12">
        <f>IF(LEFT(B207,4)&lt;&gt;"    ","",IF(AP207-W207&gt;=0,AP207-W207," "))</f>
        <v/>
      </c>
      <c r="AS207" s="186" t="n"/>
      <c r="AT207" s="187" t="n"/>
      <c r="AU207" s="186" t="n"/>
      <c r="AV207" s="186" t="n"/>
      <c r="AW207" s="188" t="n"/>
      <c r="AX207" s="187" t="n"/>
      <c r="AY207" s="187" t="n"/>
      <c r="AZ207" s="186" t="n"/>
      <c r="BA207" s="186" t="n"/>
      <c r="BB207" s="186" t="n"/>
      <c r="BC207" s="186" t="n"/>
      <c r="BD207" s="186" t="n"/>
      <c r="BE207" s="186" t="n"/>
      <c r="BF207" s="186" t="n"/>
      <c r="BG207" s="186" t="n"/>
      <c r="BH207" s="186" t="n"/>
      <c r="BI207" s="186" t="n"/>
      <c r="BJ207" s="186" t="n"/>
      <c r="BK207" s="186" t="n"/>
      <c r="BL207" s="186" t="n"/>
      <c r="BM207" s="186" t="n"/>
      <c r="BN207" s="186" t="n"/>
      <c r="BO207" s="186" t="n"/>
      <c r="BP207" s="186" t="n"/>
      <c r="BQ207" s="186" t="n"/>
      <c r="BR207" s="186" t="n"/>
      <c r="BS207" s="186" t="n"/>
      <c r="BT207" s="186" t="n"/>
      <c r="BU207" s="186" t="n"/>
      <c r="BV207" s="190" t="n"/>
      <c r="BW207" s="186" t="n"/>
      <c r="BX207" s="186" t="n"/>
      <c r="BY207" s="186" t="n"/>
      <c r="BZ207" s="186" t="n"/>
      <c r="CA207" s="186" t="n"/>
      <c r="CB207" s="187" t="n"/>
      <c r="CC207" s="192" t="n"/>
      <c r="CD207" s="192" t="n"/>
      <c r="CE207" s="192" t="n"/>
      <c r="CF207" s="192" t="n"/>
    </row>
    <row r="208">
      <c r="A208" s="197" t="n"/>
      <c r="B208" s="198" t="n"/>
      <c r="C208" s="198" t="n"/>
      <c r="D208" s="179" t="n"/>
      <c r="E208" s="180" t="n"/>
      <c r="F208" s="181" t="n"/>
      <c r="G208" s="284">
        <f>'Jobs-Ops'!G208</f>
        <v/>
      </c>
      <c r="H208" s="114">
        <f>'Jobs-Ops'!H208</f>
        <v/>
      </c>
      <c r="I208" s="105" t="n"/>
      <c r="J208" s="183">
        <f>F208</f>
        <v/>
      </c>
      <c r="K208" s="184" t="n"/>
      <c r="L208" s="185" t="n"/>
      <c r="M208" s="8" t="n"/>
      <c r="N208" s="184">
        <f>M208</f>
        <v/>
      </c>
      <c r="O208" s="71" t="n"/>
      <c r="P208" s="101" t="n"/>
      <c r="Q208" s="9">
        <f>J208-N208</f>
        <v/>
      </c>
      <c r="R208" s="9">
        <f>IF(LEFT(B208,4)&lt;&gt;"    ",0,BI208)</f>
        <v/>
      </c>
      <c r="S208" s="9">
        <f>+Q208-R208</f>
        <v/>
      </c>
      <c r="T208" s="200">
        <f>IF('Jobs-Ops'!S208&lt;&gt; "",'Jobs-Ops'!S208,"")</f>
        <v/>
      </c>
      <c r="U208" s="10" t="n"/>
      <c r="V208" s="23">
        <f>IF(LEFT(B208,4)&lt;&gt;"    ","",IF(N208&lt;&gt;0,X208/N208,0))</f>
        <v/>
      </c>
      <c r="W208" s="11">
        <f>IF(LEFT(B208,4)&lt;&gt;"    ","",IF(V208&gt;=0.1,V208*J208,X208))</f>
        <v/>
      </c>
      <c r="X208" s="8" t="n"/>
      <c r="Y208" s="9">
        <f>IF(LEFT(B208,4)&lt;&gt;"    ",0,IF(Q208&lt;0,Q208,IF(V208&gt;0.1,W208-X208,0)))</f>
        <v/>
      </c>
      <c r="Z208" s="9">
        <f>IF(LEFT(B208,4)&lt;&gt;"    ",0,IF(V208&gt;0.1,BI208,0))</f>
        <v/>
      </c>
      <c r="AA208" s="9">
        <f>Y208-Z208</f>
        <v/>
      </c>
      <c r="AB208" s="10" t="n"/>
      <c r="AC208" s="24" t="n"/>
      <c r="AD208" s="11" t="n"/>
      <c r="AE208" s="8" t="n"/>
      <c r="AF208" s="9">
        <f>IF(LEFT(B208,4)&lt;&gt;"    ","",AD208-AE208)</f>
        <v/>
      </c>
      <c r="AG208" s="10" t="n"/>
      <c r="AH208" s="11">
        <f>IF(LEFT(B208,4)&lt;&gt;"    ","",W208-AD208)</f>
        <v/>
      </c>
      <c r="AI208" s="8">
        <f>IF(LEFT(B208,4)&lt;&gt;"    ","",X208-AE208)</f>
        <v/>
      </c>
      <c r="AJ208" s="9">
        <f>IF(LEFT(B208,4)&lt;&gt;"    ","",Y208-AF208)</f>
        <v/>
      </c>
      <c r="AK208" s="10" t="n"/>
      <c r="AL208" s="25">
        <f>IF(LEFT(B208,4)&lt;&gt;"    ","",J208-W208)</f>
        <v/>
      </c>
      <c r="AM208" s="25">
        <f>N208-X208</f>
        <v/>
      </c>
      <c r="AN208" s="25">
        <f>IF(LEFT(B208,4)&lt;&gt;"    ","",Q208-Y208)</f>
        <v/>
      </c>
      <c r="AO208" s="10" t="n"/>
      <c r="AP208" s="12" t="n"/>
      <c r="AQ208" s="12">
        <f>IF(LEFT(B208,4)&lt;&gt;"    ","",IF(W208-AP208&gt;=0,W208-AP208," "))</f>
        <v/>
      </c>
      <c r="AR208" s="12">
        <f>IF(LEFT(B208,4)&lt;&gt;"    ","",IF(AP208-W208&gt;=0,AP208-W208," "))</f>
        <v/>
      </c>
      <c r="AS208" s="186" t="n"/>
      <c r="AT208" s="187" t="n"/>
      <c r="AU208" s="186" t="n"/>
      <c r="AV208" s="186" t="n"/>
      <c r="AW208" s="188" t="n"/>
      <c r="AX208" s="187" t="n"/>
      <c r="AY208" s="187" t="n"/>
      <c r="AZ208" s="186" t="n"/>
      <c r="BA208" s="186" t="n"/>
      <c r="BB208" s="186" t="n"/>
      <c r="BC208" s="186" t="n"/>
      <c r="BD208" s="186" t="n"/>
      <c r="BE208" s="186" t="n"/>
      <c r="BF208" s="186" t="n"/>
      <c r="BG208" s="186" t="n"/>
      <c r="BH208" s="186" t="n"/>
      <c r="BI208" s="186" t="n"/>
      <c r="BJ208" s="186" t="n"/>
      <c r="BK208" s="186" t="n"/>
      <c r="BL208" s="186" t="n"/>
      <c r="BM208" s="186" t="n"/>
      <c r="BN208" s="186" t="n"/>
      <c r="BO208" s="186" t="n"/>
      <c r="BP208" s="186" t="n"/>
      <c r="BQ208" s="186" t="n"/>
      <c r="BR208" s="186" t="n"/>
      <c r="BS208" s="186" t="n"/>
      <c r="BT208" s="186" t="n"/>
      <c r="BU208" s="186" t="n"/>
      <c r="BV208" s="190" t="n"/>
      <c r="BW208" s="186" t="n"/>
      <c r="BX208" s="186" t="n"/>
      <c r="BY208" s="186" t="n"/>
      <c r="BZ208" s="186" t="n"/>
      <c r="CA208" s="186" t="n"/>
      <c r="CB208" s="187" t="n"/>
      <c r="CC208" s="192" t="n"/>
      <c r="CD208" s="192" t="n"/>
      <c r="CE208" s="192" t="n"/>
      <c r="CF208" s="192" t="n"/>
    </row>
    <row r="209">
      <c r="A209" s="197" t="n"/>
      <c r="B209" s="198" t="n"/>
      <c r="C209" s="198" t="n"/>
      <c r="D209" s="179" t="n"/>
      <c r="E209" s="180" t="n"/>
      <c r="F209" s="181" t="n"/>
      <c r="G209" s="284">
        <f>'Jobs-Ops'!G209</f>
        <v/>
      </c>
      <c r="H209" s="114">
        <f>'Jobs-Ops'!H209</f>
        <v/>
      </c>
      <c r="I209" s="105" t="n"/>
      <c r="J209" s="183">
        <f>F209</f>
        <v/>
      </c>
      <c r="K209" s="184" t="n"/>
      <c r="L209" s="185" t="n"/>
      <c r="M209" s="8" t="n"/>
      <c r="N209" s="184">
        <f>M209</f>
        <v/>
      </c>
      <c r="O209" s="71" t="n"/>
      <c r="P209" s="101" t="n"/>
      <c r="Q209" s="9">
        <f>J209-N209</f>
        <v/>
      </c>
      <c r="R209" s="9">
        <f>IF(LEFT(B209,4)&lt;&gt;"    ",0,BI209)</f>
        <v/>
      </c>
      <c r="S209" s="9">
        <f>+Q209-R209</f>
        <v/>
      </c>
      <c r="T209" s="200">
        <f>IF('Jobs-Ops'!S209&lt;&gt; "",'Jobs-Ops'!S209,"")</f>
        <v/>
      </c>
      <c r="U209" s="10" t="n"/>
      <c r="V209" s="23">
        <f>IF(LEFT(B209,4)&lt;&gt;"    ","",IF(N209&lt;&gt;0,X209/N209,0))</f>
        <v/>
      </c>
      <c r="W209" s="11">
        <f>IF(LEFT(B209,4)&lt;&gt;"    ","",IF(V209&gt;=0.1,V209*J209,X209))</f>
        <v/>
      </c>
      <c r="X209" s="8" t="n"/>
      <c r="Y209" s="9">
        <f>IF(LEFT(B209,4)&lt;&gt;"    ",0,IF(Q209&lt;0,Q209,IF(V209&gt;0.1,W209-X209,0)))</f>
        <v/>
      </c>
      <c r="Z209" s="9">
        <f>IF(LEFT(B209,4)&lt;&gt;"    ",0,IF(V209&gt;0.1,BI209,0))</f>
        <v/>
      </c>
      <c r="AA209" s="9">
        <f>Y209-Z209</f>
        <v/>
      </c>
      <c r="AB209" s="10" t="n"/>
      <c r="AC209" s="24" t="n"/>
      <c r="AD209" s="11" t="n"/>
      <c r="AE209" s="8" t="n"/>
      <c r="AF209" s="9">
        <f>IF(LEFT(B209,4)&lt;&gt;"    ","",AD209-AE209)</f>
        <v/>
      </c>
      <c r="AG209" s="10" t="n"/>
      <c r="AH209" s="11">
        <f>IF(LEFT(B209,4)&lt;&gt;"    ","",W209-AD209)</f>
        <v/>
      </c>
      <c r="AI209" s="8">
        <f>IF(LEFT(B209,4)&lt;&gt;"    ","",X209-AE209)</f>
        <v/>
      </c>
      <c r="AJ209" s="9">
        <f>IF(LEFT(B209,4)&lt;&gt;"    ","",Y209-AF209)</f>
        <v/>
      </c>
      <c r="AK209" s="10" t="n"/>
      <c r="AL209" s="25">
        <f>IF(LEFT(B209,4)&lt;&gt;"    ","",J209-W209)</f>
        <v/>
      </c>
      <c r="AM209" s="25">
        <f>N209-X209</f>
        <v/>
      </c>
      <c r="AN209" s="25">
        <f>IF(LEFT(B209,4)&lt;&gt;"    ","",Q209-Y209)</f>
        <v/>
      </c>
      <c r="AO209" s="10" t="n"/>
      <c r="AP209" s="12" t="n"/>
      <c r="AQ209" s="12">
        <f>IF(LEFT(B209,4)&lt;&gt;"    ","",IF(W209-AP209&gt;=0,W209-AP209," "))</f>
        <v/>
      </c>
      <c r="AR209" s="12">
        <f>IF(LEFT(B209,4)&lt;&gt;"    ","",IF(AP209-W209&gt;=0,AP209-W209," "))</f>
        <v/>
      </c>
      <c r="AS209" s="186" t="n"/>
      <c r="AT209" s="187" t="n"/>
      <c r="AU209" s="186" t="n"/>
      <c r="AV209" s="186" t="n"/>
      <c r="AW209" s="188" t="n"/>
      <c r="AX209" s="187" t="n"/>
      <c r="AY209" s="187" t="n"/>
      <c r="AZ209" s="186" t="n"/>
      <c r="BA209" s="186" t="n"/>
      <c r="BB209" s="186" t="n"/>
      <c r="BC209" s="186" t="n"/>
      <c r="BD209" s="186" t="n"/>
      <c r="BE209" s="186" t="n"/>
      <c r="BF209" s="186" t="n"/>
      <c r="BG209" s="186" t="n"/>
      <c r="BH209" s="186" t="n"/>
      <c r="BI209" s="186" t="n"/>
      <c r="BJ209" s="186" t="n"/>
      <c r="BK209" s="186" t="n"/>
      <c r="BL209" s="186" t="n"/>
      <c r="BM209" s="186" t="n"/>
      <c r="BN209" s="186" t="n"/>
      <c r="BO209" s="186" t="n"/>
      <c r="BP209" s="186" t="n"/>
      <c r="BQ209" s="186" t="n"/>
      <c r="BR209" s="186" t="n"/>
      <c r="BS209" s="186" t="n"/>
      <c r="BT209" s="186" t="n"/>
      <c r="BU209" s="186" t="n"/>
      <c r="BV209" s="190" t="n"/>
      <c r="BW209" s="186" t="n"/>
      <c r="BX209" s="186" t="n"/>
      <c r="BY209" s="186" t="n"/>
      <c r="BZ209" s="186" t="n"/>
      <c r="CA209" s="186" t="n"/>
      <c r="CB209" s="187" t="n"/>
      <c r="CC209" s="192" t="n"/>
      <c r="CD209" s="192" t="n"/>
      <c r="CE209" s="192" t="n"/>
      <c r="CF209" s="192" t="n"/>
    </row>
    <row r="210">
      <c r="A210" s="197" t="n"/>
      <c r="B210" s="198" t="n"/>
      <c r="C210" s="198" t="n"/>
      <c r="D210" s="179" t="n"/>
      <c r="E210" s="180" t="n"/>
      <c r="F210" s="181" t="n"/>
      <c r="G210" s="284">
        <f>'Jobs-Ops'!G210</f>
        <v/>
      </c>
      <c r="H210" s="114">
        <f>'Jobs-Ops'!H210</f>
        <v/>
      </c>
      <c r="I210" s="105" t="n"/>
      <c r="J210" s="183">
        <f>F210</f>
        <v/>
      </c>
      <c r="K210" s="184" t="n"/>
      <c r="L210" s="185" t="n"/>
      <c r="M210" s="8" t="n"/>
      <c r="N210" s="184">
        <f>M210</f>
        <v/>
      </c>
      <c r="O210" s="71" t="n"/>
      <c r="P210" s="101" t="n"/>
      <c r="Q210" s="9">
        <f>J210-N210</f>
        <v/>
      </c>
      <c r="R210" s="9">
        <f>IF(LEFT(B210,4)&lt;&gt;"    ",0,BI210)</f>
        <v/>
      </c>
      <c r="S210" s="9">
        <f>+Q210-R210</f>
        <v/>
      </c>
      <c r="T210" s="200">
        <f>IF('Jobs-Ops'!S210&lt;&gt; "",'Jobs-Ops'!S210,"")</f>
        <v/>
      </c>
      <c r="U210" s="10" t="n"/>
      <c r="V210" s="23">
        <f>IF(LEFT(B210,4)&lt;&gt;"    ","",IF(N210&lt;&gt;0,X210/N210,0))</f>
        <v/>
      </c>
      <c r="W210" s="11">
        <f>IF(LEFT(B210,4)&lt;&gt;"    ","",IF(V210&gt;=0.1,V210*J210,X210))</f>
        <v/>
      </c>
      <c r="X210" s="8" t="n"/>
      <c r="Y210" s="9">
        <f>IF(LEFT(B210,4)&lt;&gt;"    ",0,IF(Q210&lt;0,Q210,IF(V210&gt;0.1,W210-X210,0)))</f>
        <v/>
      </c>
      <c r="Z210" s="9">
        <f>IF(LEFT(B210,4)&lt;&gt;"    ",0,IF(V210&gt;0.1,BI210,0))</f>
        <v/>
      </c>
      <c r="AA210" s="9">
        <f>Y210-Z210</f>
        <v/>
      </c>
      <c r="AB210" s="10" t="n"/>
      <c r="AC210" s="24" t="n"/>
      <c r="AD210" s="11" t="n"/>
      <c r="AE210" s="8" t="n"/>
      <c r="AF210" s="9">
        <f>IF(LEFT(B210,4)&lt;&gt;"    ","",AD210-AE210)</f>
        <v/>
      </c>
      <c r="AG210" s="10" t="n"/>
      <c r="AH210" s="11">
        <f>IF(LEFT(B210,4)&lt;&gt;"    ","",W210-AD210)</f>
        <v/>
      </c>
      <c r="AI210" s="8">
        <f>IF(LEFT(B210,4)&lt;&gt;"    ","",X210-AE210)</f>
        <v/>
      </c>
      <c r="AJ210" s="9">
        <f>IF(LEFT(B210,4)&lt;&gt;"    ","",Y210-AF210)</f>
        <v/>
      </c>
      <c r="AK210" s="10" t="n"/>
      <c r="AL210" s="25">
        <f>IF(LEFT(B210,4)&lt;&gt;"    ","",J210-W210)</f>
        <v/>
      </c>
      <c r="AM210" s="25">
        <f>N210-X210</f>
        <v/>
      </c>
      <c r="AN210" s="25">
        <f>IF(LEFT(B210,4)&lt;&gt;"    ","",Q210-Y210)</f>
        <v/>
      </c>
      <c r="AO210" s="10" t="n"/>
      <c r="AP210" s="12" t="n"/>
      <c r="AQ210" s="12">
        <f>IF(LEFT(B210,4)&lt;&gt;"    ","",IF(W210-AP210&gt;=0,W210-AP210," "))</f>
        <v/>
      </c>
      <c r="AR210" s="12">
        <f>IF(LEFT(B210,4)&lt;&gt;"    ","",IF(AP210-W210&gt;=0,AP210-W210," "))</f>
        <v/>
      </c>
      <c r="AS210" s="186" t="n"/>
      <c r="AT210" s="187" t="n"/>
      <c r="AU210" s="186" t="n"/>
      <c r="AV210" s="186" t="n"/>
      <c r="AW210" s="188" t="n"/>
      <c r="AX210" s="187" t="n"/>
      <c r="AY210" s="187" t="n"/>
      <c r="AZ210" s="186" t="n"/>
      <c r="BA210" s="186" t="n"/>
      <c r="BB210" s="186" t="n"/>
      <c r="BC210" s="186" t="n"/>
      <c r="BD210" s="186" t="n"/>
      <c r="BE210" s="186" t="n"/>
      <c r="BF210" s="186" t="n"/>
      <c r="BG210" s="186" t="n"/>
      <c r="BH210" s="186" t="n"/>
      <c r="BI210" s="186" t="n"/>
      <c r="BJ210" s="186" t="n"/>
      <c r="BK210" s="186" t="n"/>
      <c r="BL210" s="186" t="n"/>
      <c r="BM210" s="186" t="n"/>
      <c r="BN210" s="186" t="n"/>
      <c r="BO210" s="186" t="n"/>
      <c r="BP210" s="186" t="n"/>
      <c r="BQ210" s="186" t="n"/>
      <c r="BR210" s="186" t="n"/>
      <c r="BS210" s="186" t="n"/>
      <c r="BT210" s="186" t="n"/>
      <c r="BU210" s="186" t="n"/>
      <c r="BV210" s="190" t="n"/>
      <c r="BW210" s="186" t="n"/>
      <c r="BX210" s="186" t="n"/>
      <c r="BY210" s="186" t="n"/>
      <c r="BZ210" s="186" t="n"/>
      <c r="CA210" s="186" t="n"/>
      <c r="CB210" s="187" t="n"/>
      <c r="CC210" s="192" t="n"/>
      <c r="CD210" s="192" t="n"/>
      <c r="CE210" s="192" t="n"/>
      <c r="CF210" s="192" t="n"/>
    </row>
    <row r="211">
      <c r="A211" s="197" t="n"/>
      <c r="B211" s="198" t="n"/>
      <c r="C211" s="198" t="n"/>
      <c r="D211" s="179" t="n"/>
      <c r="E211" s="180" t="n"/>
      <c r="F211" s="181" t="n"/>
      <c r="G211" s="284">
        <f>'Jobs-Ops'!G211</f>
        <v/>
      </c>
      <c r="H211" s="114">
        <f>'Jobs-Ops'!H211</f>
        <v/>
      </c>
      <c r="I211" s="105" t="n"/>
      <c r="J211" s="183">
        <f>F211</f>
        <v/>
      </c>
      <c r="K211" s="184" t="n"/>
      <c r="L211" s="185" t="n"/>
      <c r="M211" s="8" t="n"/>
      <c r="N211" s="184">
        <f>M211</f>
        <v/>
      </c>
      <c r="O211" s="71" t="n"/>
      <c r="P211" s="101" t="n"/>
      <c r="Q211" s="9">
        <f>J211-N211</f>
        <v/>
      </c>
      <c r="R211" s="9">
        <f>IF(LEFT(B211,4)&lt;&gt;"    ",0,BI211)</f>
        <v/>
      </c>
      <c r="S211" s="9">
        <f>+Q211-R211</f>
        <v/>
      </c>
      <c r="T211" s="200">
        <f>IF('Jobs-Ops'!S211&lt;&gt; "",'Jobs-Ops'!S211,"")</f>
        <v/>
      </c>
      <c r="U211" s="10" t="n"/>
      <c r="V211" s="23">
        <f>IF(LEFT(B211,4)&lt;&gt;"    ","",IF(N211&lt;&gt;0,X211/N211,0))</f>
        <v/>
      </c>
      <c r="W211" s="11">
        <f>IF(LEFT(B211,4)&lt;&gt;"    ","",IF(V211&gt;=0.1,V211*J211,X211))</f>
        <v/>
      </c>
      <c r="X211" s="8" t="n"/>
      <c r="Y211" s="9">
        <f>IF(LEFT(B211,4)&lt;&gt;"    ",0,IF(Q211&lt;0,Q211,IF(V211&gt;0.1,W211-X211,0)))</f>
        <v/>
      </c>
      <c r="Z211" s="9">
        <f>IF(LEFT(B211,4)&lt;&gt;"    ",0,IF(V211&gt;0.1,BI211,0))</f>
        <v/>
      </c>
      <c r="AA211" s="9">
        <f>Y211-Z211</f>
        <v/>
      </c>
      <c r="AB211" s="10" t="n"/>
      <c r="AC211" s="24" t="n"/>
      <c r="AD211" s="11" t="n"/>
      <c r="AE211" s="8" t="n"/>
      <c r="AF211" s="9">
        <f>IF(LEFT(B211,4)&lt;&gt;"    ","",AD211-AE211)</f>
        <v/>
      </c>
      <c r="AG211" s="10" t="n"/>
      <c r="AH211" s="11">
        <f>IF(LEFT(B211,4)&lt;&gt;"    ","",W211-AD211)</f>
        <v/>
      </c>
      <c r="AI211" s="8">
        <f>IF(LEFT(B211,4)&lt;&gt;"    ","",X211-AE211)</f>
        <v/>
      </c>
      <c r="AJ211" s="9">
        <f>IF(LEFT(B211,4)&lt;&gt;"    ","",Y211-AF211)</f>
        <v/>
      </c>
      <c r="AK211" s="10" t="n"/>
      <c r="AL211" s="25">
        <f>IF(LEFT(B211,4)&lt;&gt;"    ","",J211-W211)</f>
        <v/>
      </c>
      <c r="AM211" s="25">
        <f>N211-X211</f>
        <v/>
      </c>
      <c r="AN211" s="25">
        <f>IF(LEFT(B211,4)&lt;&gt;"    ","",Q211-Y211)</f>
        <v/>
      </c>
      <c r="AO211" s="10" t="n"/>
      <c r="AP211" s="12" t="n"/>
      <c r="AQ211" s="12">
        <f>IF(LEFT(B211,4)&lt;&gt;"    ","",IF(W211-AP211&gt;=0,W211-AP211," "))</f>
        <v/>
      </c>
      <c r="AR211" s="12">
        <f>IF(LEFT(B211,4)&lt;&gt;"    ","",IF(AP211-W211&gt;=0,AP211-W211," "))</f>
        <v/>
      </c>
      <c r="AS211" s="186" t="n"/>
      <c r="AT211" s="187" t="n"/>
      <c r="AU211" s="186" t="n"/>
      <c r="AV211" s="186" t="n"/>
      <c r="AW211" s="188" t="n"/>
      <c r="AX211" s="187" t="n"/>
      <c r="AY211" s="187" t="n"/>
      <c r="AZ211" s="186" t="n"/>
      <c r="BA211" s="186" t="n"/>
      <c r="BB211" s="186" t="n"/>
      <c r="BC211" s="186" t="n"/>
      <c r="BD211" s="186" t="n"/>
      <c r="BE211" s="186" t="n"/>
      <c r="BF211" s="186" t="n"/>
      <c r="BG211" s="186" t="n"/>
      <c r="BH211" s="186" t="n"/>
      <c r="BI211" s="186" t="n"/>
      <c r="BJ211" s="186" t="n"/>
      <c r="BK211" s="186" t="n"/>
      <c r="BL211" s="186" t="n"/>
      <c r="BM211" s="186" t="n"/>
      <c r="BN211" s="186" t="n"/>
      <c r="BO211" s="186" t="n"/>
      <c r="BP211" s="186" t="n"/>
      <c r="BQ211" s="186" t="n"/>
      <c r="BR211" s="186" t="n"/>
      <c r="BS211" s="186" t="n"/>
      <c r="BT211" s="186" t="n"/>
      <c r="BU211" s="186" t="n"/>
      <c r="BV211" s="190" t="n"/>
      <c r="BW211" s="186" t="n"/>
      <c r="BX211" s="186" t="n"/>
      <c r="BY211" s="186" t="n"/>
      <c r="BZ211" s="186" t="n"/>
      <c r="CA211" s="186" t="n"/>
      <c r="CB211" s="187" t="n"/>
      <c r="CC211" s="192" t="n"/>
      <c r="CD211" s="192" t="n"/>
      <c r="CE211" s="192" t="n"/>
      <c r="CF211" s="192" t="n"/>
    </row>
    <row r="212">
      <c r="A212" s="197" t="n"/>
      <c r="B212" s="198" t="n"/>
      <c r="C212" s="198" t="n"/>
      <c r="D212" s="179" t="n"/>
      <c r="E212" s="180" t="n"/>
      <c r="F212" s="181" t="n"/>
      <c r="G212" s="284">
        <f>'Jobs-Ops'!G212</f>
        <v/>
      </c>
      <c r="H212" s="114">
        <f>'Jobs-Ops'!H212</f>
        <v/>
      </c>
      <c r="I212" s="105" t="n"/>
      <c r="J212" s="183">
        <f>F212</f>
        <v/>
      </c>
      <c r="K212" s="184" t="n"/>
      <c r="L212" s="185" t="n"/>
      <c r="M212" s="8" t="n"/>
      <c r="N212" s="184">
        <f>M212</f>
        <v/>
      </c>
      <c r="O212" s="71" t="n"/>
      <c r="P212" s="101" t="n"/>
      <c r="Q212" s="9">
        <f>J212-N212</f>
        <v/>
      </c>
      <c r="R212" s="9">
        <f>IF(LEFT(B212,4)&lt;&gt;"    ",0,BI212)</f>
        <v/>
      </c>
      <c r="S212" s="9">
        <f>+Q212-R212</f>
        <v/>
      </c>
      <c r="T212" s="200">
        <f>IF('Jobs-Ops'!S212&lt;&gt; "",'Jobs-Ops'!S212,"")</f>
        <v/>
      </c>
      <c r="U212" s="10" t="n"/>
      <c r="V212" s="23">
        <f>IF(LEFT(B212,4)&lt;&gt;"    ","",IF(N212&lt;&gt;0,X212/N212,0))</f>
        <v/>
      </c>
      <c r="W212" s="11">
        <f>IF(LEFT(B212,4)&lt;&gt;"    ","",IF(V212&gt;=0.1,V212*J212,X212))</f>
        <v/>
      </c>
      <c r="X212" s="8" t="n"/>
      <c r="Y212" s="9">
        <f>IF(LEFT(B212,4)&lt;&gt;"    ",0,IF(Q212&lt;0,Q212,IF(V212&gt;0.1,W212-X212,0)))</f>
        <v/>
      </c>
      <c r="Z212" s="9">
        <f>IF(LEFT(B212,4)&lt;&gt;"    ",0,IF(V212&gt;0.1,BI212,0))</f>
        <v/>
      </c>
      <c r="AA212" s="9">
        <f>Y212-Z212</f>
        <v/>
      </c>
      <c r="AB212" s="10" t="n"/>
      <c r="AC212" s="24" t="n"/>
      <c r="AD212" s="11" t="n"/>
      <c r="AE212" s="8" t="n"/>
      <c r="AF212" s="9">
        <f>IF(LEFT(B212,4)&lt;&gt;"    ","",AD212-AE212)</f>
        <v/>
      </c>
      <c r="AG212" s="10" t="n"/>
      <c r="AH212" s="11">
        <f>IF(LEFT(B212,4)&lt;&gt;"    ","",W212-AD212)</f>
        <v/>
      </c>
      <c r="AI212" s="8">
        <f>IF(LEFT(B212,4)&lt;&gt;"    ","",X212-AE212)</f>
        <v/>
      </c>
      <c r="AJ212" s="9">
        <f>IF(LEFT(B212,4)&lt;&gt;"    ","",Y212-AF212)</f>
        <v/>
      </c>
      <c r="AK212" s="10" t="n"/>
      <c r="AL212" s="25">
        <f>IF(LEFT(B212,4)&lt;&gt;"    ","",J212-W212)</f>
        <v/>
      </c>
      <c r="AM212" s="25">
        <f>N212-X212</f>
        <v/>
      </c>
      <c r="AN212" s="25">
        <f>IF(LEFT(B212,4)&lt;&gt;"    ","",Q212-Y212)</f>
        <v/>
      </c>
      <c r="AO212" s="10" t="n"/>
      <c r="AP212" s="12" t="n"/>
      <c r="AQ212" s="12">
        <f>IF(LEFT(B212,4)&lt;&gt;"    ","",IF(W212-AP212&gt;=0,W212-AP212," "))</f>
        <v/>
      </c>
      <c r="AR212" s="12">
        <f>IF(LEFT(B212,4)&lt;&gt;"    ","",IF(AP212-W212&gt;=0,AP212-W212," "))</f>
        <v/>
      </c>
      <c r="AS212" s="186" t="n"/>
      <c r="AT212" s="187" t="n"/>
      <c r="AU212" s="186" t="n"/>
      <c r="AV212" s="186" t="n"/>
      <c r="AW212" s="188" t="n"/>
      <c r="AX212" s="187" t="n"/>
      <c r="AY212" s="187" t="n"/>
      <c r="AZ212" s="186" t="n"/>
      <c r="BA212" s="186" t="n"/>
      <c r="BB212" s="186" t="n"/>
      <c r="BC212" s="186" t="n"/>
      <c r="BD212" s="186" t="n"/>
      <c r="BE212" s="186" t="n"/>
      <c r="BF212" s="186" t="n"/>
      <c r="BG212" s="186" t="n"/>
      <c r="BH212" s="186" t="n"/>
      <c r="BI212" s="186" t="n"/>
      <c r="BJ212" s="186" t="n"/>
      <c r="BK212" s="186" t="n"/>
      <c r="BL212" s="186" t="n"/>
      <c r="BM212" s="186" t="n"/>
      <c r="BN212" s="186" t="n"/>
      <c r="BO212" s="186" t="n"/>
      <c r="BP212" s="186" t="n"/>
      <c r="BQ212" s="186" t="n"/>
      <c r="BR212" s="186" t="n"/>
      <c r="BS212" s="186" t="n"/>
      <c r="BT212" s="186" t="n"/>
      <c r="BU212" s="186" t="n"/>
      <c r="BV212" s="190" t="n"/>
      <c r="BW212" s="186" t="n"/>
      <c r="BX212" s="186" t="n"/>
      <c r="BY212" s="186" t="n"/>
      <c r="BZ212" s="186" t="n"/>
      <c r="CA212" s="186" t="n"/>
      <c r="CB212" s="187" t="n"/>
      <c r="CC212" s="192" t="n"/>
      <c r="CD212" s="192" t="n"/>
      <c r="CE212" s="192" t="n"/>
      <c r="CF212" s="192" t="n"/>
    </row>
    <row r="213">
      <c r="A213" s="197" t="n"/>
      <c r="B213" s="198" t="n"/>
      <c r="C213" s="198" t="n"/>
      <c r="D213" s="179" t="n"/>
      <c r="E213" s="180" t="n"/>
      <c r="F213" s="181" t="n"/>
      <c r="G213" s="284">
        <f>'Jobs-Ops'!G213</f>
        <v/>
      </c>
      <c r="H213" s="114">
        <f>'Jobs-Ops'!H213</f>
        <v/>
      </c>
      <c r="I213" s="105" t="n"/>
      <c r="J213" s="183">
        <f>F213</f>
        <v/>
      </c>
      <c r="K213" s="184" t="n"/>
      <c r="L213" s="185" t="n"/>
      <c r="M213" s="8" t="n"/>
      <c r="N213" s="184">
        <f>M213</f>
        <v/>
      </c>
      <c r="O213" s="71" t="n"/>
      <c r="P213" s="101" t="n"/>
      <c r="Q213" s="9">
        <f>J213-N213</f>
        <v/>
      </c>
      <c r="R213" s="9">
        <f>IF(LEFT(B213,4)&lt;&gt;"    ",0,BI213)</f>
        <v/>
      </c>
      <c r="S213" s="9">
        <f>+Q213-R213</f>
        <v/>
      </c>
      <c r="T213" s="200">
        <f>IF('Jobs-Ops'!S213&lt;&gt; "",'Jobs-Ops'!S213,"")</f>
        <v/>
      </c>
      <c r="U213" s="10" t="n"/>
      <c r="V213" s="23">
        <f>IF(LEFT(B213,4)&lt;&gt;"    ","",IF(N213&lt;&gt;0,X213/N213,0))</f>
        <v/>
      </c>
      <c r="W213" s="11">
        <f>IF(LEFT(B213,4)&lt;&gt;"    ","",IF(V213&gt;=0.1,V213*J213,X213))</f>
        <v/>
      </c>
      <c r="X213" s="8" t="n"/>
      <c r="Y213" s="9">
        <f>IF(LEFT(B213,4)&lt;&gt;"    ",0,IF(Q213&lt;0,Q213,IF(V213&gt;0.1,W213-X213,0)))</f>
        <v/>
      </c>
      <c r="Z213" s="9">
        <f>IF(LEFT(B213,4)&lt;&gt;"    ",0,IF(V213&gt;0.1,BI213,0))</f>
        <v/>
      </c>
      <c r="AA213" s="9">
        <f>Y213-Z213</f>
        <v/>
      </c>
      <c r="AB213" s="10" t="n"/>
      <c r="AC213" s="24" t="n"/>
      <c r="AD213" s="11" t="n"/>
      <c r="AE213" s="8" t="n"/>
      <c r="AF213" s="9">
        <f>IF(LEFT(B213,4)&lt;&gt;"    ","",AD213-AE213)</f>
        <v/>
      </c>
      <c r="AG213" s="10" t="n"/>
      <c r="AH213" s="11">
        <f>IF(LEFT(B213,4)&lt;&gt;"    ","",W213-AD213)</f>
        <v/>
      </c>
      <c r="AI213" s="8">
        <f>IF(LEFT(B213,4)&lt;&gt;"    ","",X213-AE213)</f>
        <v/>
      </c>
      <c r="AJ213" s="9">
        <f>IF(LEFT(B213,4)&lt;&gt;"    ","",Y213-AF213)</f>
        <v/>
      </c>
      <c r="AK213" s="10" t="n"/>
      <c r="AL213" s="25">
        <f>IF(LEFT(B213,4)&lt;&gt;"    ","",J213-W213)</f>
        <v/>
      </c>
      <c r="AM213" s="25">
        <f>N213-X213</f>
        <v/>
      </c>
      <c r="AN213" s="25">
        <f>IF(LEFT(B213,4)&lt;&gt;"    ","",Q213-Y213)</f>
        <v/>
      </c>
      <c r="AO213" s="10" t="n"/>
      <c r="AP213" s="12" t="n"/>
      <c r="AQ213" s="12">
        <f>IF(LEFT(B213,4)&lt;&gt;"    ","",IF(W213-AP213&gt;=0,W213-AP213," "))</f>
        <v/>
      </c>
      <c r="AR213" s="12">
        <f>IF(LEFT(B213,4)&lt;&gt;"    ","",IF(AP213-W213&gt;=0,AP213-W213," "))</f>
        <v/>
      </c>
      <c r="AS213" s="186" t="n"/>
      <c r="AT213" s="187" t="n"/>
      <c r="AU213" s="186" t="n"/>
      <c r="AV213" s="186" t="n"/>
      <c r="AW213" s="188" t="n"/>
      <c r="AX213" s="187" t="n"/>
      <c r="AY213" s="187" t="n"/>
      <c r="AZ213" s="186" t="n"/>
      <c r="BA213" s="186" t="n"/>
      <c r="BB213" s="186" t="n"/>
      <c r="BC213" s="186" t="n"/>
      <c r="BD213" s="186" t="n"/>
      <c r="BE213" s="186" t="n"/>
      <c r="BF213" s="186" t="n"/>
      <c r="BG213" s="186" t="n"/>
      <c r="BH213" s="186" t="n"/>
      <c r="BI213" s="186" t="n"/>
      <c r="BJ213" s="186" t="n"/>
      <c r="BK213" s="186" t="n"/>
      <c r="BL213" s="186" t="n"/>
      <c r="BM213" s="186" t="n"/>
      <c r="BN213" s="186" t="n"/>
      <c r="BO213" s="186" t="n"/>
      <c r="BP213" s="186" t="n"/>
      <c r="BQ213" s="186" t="n"/>
      <c r="BR213" s="186" t="n"/>
      <c r="BS213" s="186" t="n"/>
      <c r="BT213" s="186" t="n"/>
      <c r="BU213" s="186" t="n"/>
      <c r="BV213" s="190" t="n"/>
      <c r="BW213" s="186" t="n"/>
      <c r="BX213" s="186" t="n"/>
      <c r="BY213" s="186" t="n"/>
      <c r="BZ213" s="186" t="n"/>
      <c r="CA213" s="186" t="n"/>
      <c r="CB213" s="187" t="n"/>
      <c r="CC213" s="192" t="n"/>
      <c r="CD213" s="192" t="n"/>
      <c r="CE213" s="192" t="n"/>
      <c r="CF213" s="192" t="n"/>
    </row>
    <row r="214">
      <c r="A214" s="197" t="n"/>
      <c r="B214" s="198" t="n"/>
      <c r="C214" s="198" t="n"/>
      <c r="D214" s="179" t="n"/>
      <c r="E214" s="180" t="n"/>
      <c r="F214" s="181" t="n"/>
      <c r="G214" s="284">
        <f>'Jobs-Ops'!G214</f>
        <v/>
      </c>
      <c r="H214" s="114">
        <f>'Jobs-Ops'!H214</f>
        <v/>
      </c>
      <c r="I214" s="105" t="n"/>
      <c r="J214" s="183">
        <f>F214</f>
        <v/>
      </c>
      <c r="K214" s="184" t="n"/>
      <c r="L214" s="185" t="n"/>
      <c r="M214" s="8" t="n"/>
      <c r="N214" s="184">
        <f>M214</f>
        <v/>
      </c>
      <c r="O214" s="71" t="n"/>
      <c r="P214" s="101" t="n"/>
      <c r="Q214" s="9">
        <f>J214-N214</f>
        <v/>
      </c>
      <c r="R214" s="9">
        <f>IF(LEFT(B214,4)&lt;&gt;"    ",0,BI214)</f>
        <v/>
      </c>
      <c r="S214" s="9">
        <f>+Q214-R214</f>
        <v/>
      </c>
      <c r="T214" s="200">
        <f>IF('Jobs-Ops'!S214&lt;&gt; "",'Jobs-Ops'!S214,"")</f>
        <v/>
      </c>
      <c r="U214" s="10" t="n"/>
      <c r="V214" s="23">
        <f>IF(LEFT(B214,4)&lt;&gt;"    ","",IF(N214&lt;&gt;0,X214/N214,0))</f>
        <v/>
      </c>
      <c r="W214" s="11">
        <f>IF(LEFT(B214,4)&lt;&gt;"    ","",IF(V214&gt;=0.1,V214*J214,X214))</f>
        <v/>
      </c>
      <c r="X214" s="8" t="n"/>
      <c r="Y214" s="9">
        <f>IF(LEFT(B214,4)&lt;&gt;"    ",0,IF(Q214&lt;0,Q214,IF(V214&gt;0.1,W214-X214,0)))</f>
        <v/>
      </c>
      <c r="Z214" s="9">
        <f>IF(LEFT(B214,4)&lt;&gt;"    ",0,IF(V214&gt;0.1,BI214,0))</f>
        <v/>
      </c>
      <c r="AA214" s="9">
        <f>Y214-Z214</f>
        <v/>
      </c>
      <c r="AB214" s="10" t="n"/>
      <c r="AC214" s="24" t="n"/>
      <c r="AD214" s="11" t="n"/>
      <c r="AE214" s="8" t="n"/>
      <c r="AF214" s="9">
        <f>IF(LEFT(B214,4)&lt;&gt;"    ","",AD214-AE214)</f>
        <v/>
      </c>
      <c r="AG214" s="10" t="n"/>
      <c r="AH214" s="11">
        <f>IF(LEFT(B214,4)&lt;&gt;"    ","",W214-AD214)</f>
        <v/>
      </c>
      <c r="AI214" s="8">
        <f>IF(LEFT(B214,4)&lt;&gt;"    ","",X214-AE214)</f>
        <v/>
      </c>
      <c r="AJ214" s="9">
        <f>IF(LEFT(B214,4)&lt;&gt;"    ","",Y214-AF214)</f>
        <v/>
      </c>
      <c r="AK214" s="10" t="n"/>
      <c r="AL214" s="25">
        <f>IF(LEFT(B214,4)&lt;&gt;"    ","",J214-W214)</f>
        <v/>
      </c>
      <c r="AM214" s="25">
        <f>N214-X214</f>
        <v/>
      </c>
      <c r="AN214" s="25">
        <f>IF(LEFT(B214,4)&lt;&gt;"    ","",Q214-Y214)</f>
        <v/>
      </c>
      <c r="AO214" s="10" t="n"/>
      <c r="AP214" s="12" t="n"/>
      <c r="AQ214" s="12">
        <f>IF(LEFT(B214,4)&lt;&gt;"    ","",IF(W214-AP214&gt;=0,W214-AP214," "))</f>
        <v/>
      </c>
      <c r="AR214" s="12">
        <f>IF(LEFT(B214,4)&lt;&gt;"    ","",IF(AP214-W214&gt;=0,AP214-W214," "))</f>
        <v/>
      </c>
      <c r="AS214" s="186" t="n"/>
      <c r="AT214" s="187" t="n"/>
      <c r="AU214" s="186" t="n"/>
      <c r="AV214" s="186" t="n"/>
      <c r="AW214" s="188" t="n"/>
      <c r="AX214" s="187" t="n"/>
      <c r="AY214" s="187" t="n"/>
      <c r="AZ214" s="186" t="n"/>
      <c r="BA214" s="186" t="n"/>
      <c r="BB214" s="186" t="n"/>
      <c r="BC214" s="186" t="n"/>
      <c r="BD214" s="186" t="n"/>
      <c r="BE214" s="186" t="n"/>
      <c r="BF214" s="186" t="n"/>
      <c r="BG214" s="186" t="n"/>
      <c r="BH214" s="186" t="n"/>
      <c r="BI214" s="186" t="n"/>
      <c r="BJ214" s="186" t="n"/>
      <c r="BK214" s="186" t="n"/>
      <c r="BL214" s="186" t="n"/>
      <c r="BM214" s="186" t="n"/>
      <c r="BN214" s="186" t="n"/>
      <c r="BO214" s="186" t="n"/>
      <c r="BP214" s="186" t="n"/>
      <c r="BQ214" s="186" t="n"/>
      <c r="BR214" s="186" t="n"/>
      <c r="BS214" s="186" t="n"/>
      <c r="BT214" s="186" t="n"/>
      <c r="BU214" s="186" t="n"/>
      <c r="BV214" s="190" t="n"/>
      <c r="BW214" s="186" t="n"/>
      <c r="BX214" s="186" t="n"/>
      <c r="BY214" s="186" t="n"/>
      <c r="BZ214" s="186" t="n"/>
      <c r="CA214" s="186" t="n"/>
      <c r="CB214" s="187" t="n"/>
      <c r="CC214" s="192" t="n"/>
      <c r="CD214" s="192" t="n"/>
      <c r="CE214" s="192" t="n"/>
      <c r="CF214" s="192" t="n"/>
    </row>
    <row r="215">
      <c r="A215" s="197" t="n"/>
      <c r="B215" s="198" t="n"/>
      <c r="C215" s="198" t="n"/>
      <c r="D215" s="179" t="n"/>
      <c r="E215" s="180" t="n"/>
      <c r="F215" s="181" t="n"/>
      <c r="G215" s="284">
        <f>'Jobs-Ops'!G215</f>
        <v/>
      </c>
      <c r="H215" s="114">
        <f>'Jobs-Ops'!H215</f>
        <v/>
      </c>
      <c r="I215" s="105" t="n"/>
      <c r="J215" s="183">
        <f>F215</f>
        <v/>
      </c>
      <c r="K215" s="184" t="n"/>
      <c r="L215" s="185" t="n"/>
      <c r="M215" s="8" t="n"/>
      <c r="N215" s="184">
        <f>M215</f>
        <v/>
      </c>
      <c r="O215" s="71" t="n"/>
      <c r="P215" s="101" t="n"/>
      <c r="Q215" s="9">
        <f>J215-N215</f>
        <v/>
      </c>
      <c r="R215" s="9">
        <f>IF(LEFT(B215,4)&lt;&gt;"    ",0,BI215)</f>
        <v/>
      </c>
      <c r="S215" s="9">
        <f>+Q215-R215</f>
        <v/>
      </c>
      <c r="T215" s="200">
        <f>IF('Jobs-Ops'!S215&lt;&gt; "",'Jobs-Ops'!S215,"")</f>
        <v/>
      </c>
      <c r="U215" s="10" t="n"/>
      <c r="V215" s="23">
        <f>IF(LEFT(B215,4)&lt;&gt;"    ","",IF(N215&lt;&gt;0,X215/N215,0))</f>
        <v/>
      </c>
      <c r="W215" s="11">
        <f>IF(LEFT(B215,4)&lt;&gt;"    ","",IF(V215&gt;=0.1,V215*J215,X215))</f>
        <v/>
      </c>
      <c r="X215" s="8" t="n"/>
      <c r="Y215" s="9">
        <f>IF(LEFT(B215,4)&lt;&gt;"    ",0,IF(Q215&lt;0,Q215,IF(V215&gt;0.1,W215-X215,0)))</f>
        <v/>
      </c>
      <c r="Z215" s="9">
        <f>IF(LEFT(B215,4)&lt;&gt;"    ",0,IF(V215&gt;0.1,BI215,0))</f>
        <v/>
      </c>
      <c r="AA215" s="9">
        <f>Y215-Z215</f>
        <v/>
      </c>
      <c r="AB215" s="10" t="n"/>
      <c r="AC215" s="24" t="n"/>
      <c r="AD215" s="11" t="n"/>
      <c r="AE215" s="8" t="n"/>
      <c r="AF215" s="9">
        <f>IF(LEFT(B215,4)&lt;&gt;"    ","",AD215-AE215)</f>
        <v/>
      </c>
      <c r="AG215" s="10" t="n"/>
      <c r="AH215" s="11">
        <f>IF(LEFT(B215,4)&lt;&gt;"    ","",W215-AD215)</f>
        <v/>
      </c>
      <c r="AI215" s="8">
        <f>IF(LEFT(B215,4)&lt;&gt;"    ","",X215-AE215)</f>
        <v/>
      </c>
      <c r="AJ215" s="9">
        <f>IF(LEFT(B215,4)&lt;&gt;"    ","",Y215-AF215)</f>
        <v/>
      </c>
      <c r="AK215" s="10" t="n"/>
      <c r="AL215" s="25">
        <f>IF(LEFT(B215,4)&lt;&gt;"    ","",J215-W215)</f>
        <v/>
      </c>
      <c r="AM215" s="25">
        <f>N215-X215</f>
        <v/>
      </c>
      <c r="AN215" s="25">
        <f>IF(LEFT(B215,4)&lt;&gt;"    ","",Q215-Y215)</f>
        <v/>
      </c>
      <c r="AO215" s="10" t="n"/>
      <c r="AP215" s="12" t="n"/>
      <c r="AQ215" s="12">
        <f>IF(LEFT(B215,4)&lt;&gt;"    ","",IF(W215-AP215&gt;=0,W215-AP215," "))</f>
        <v/>
      </c>
      <c r="AR215" s="12">
        <f>IF(LEFT(B215,4)&lt;&gt;"    ","",IF(AP215-W215&gt;=0,AP215-W215," "))</f>
        <v/>
      </c>
      <c r="AS215" s="186" t="n"/>
      <c r="AT215" s="187" t="n"/>
      <c r="AU215" s="186" t="n"/>
      <c r="AV215" s="186" t="n"/>
      <c r="AW215" s="188" t="n"/>
      <c r="AX215" s="187" t="n"/>
      <c r="AY215" s="187" t="n"/>
      <c r="AZ215" s="186" t="n"/>
      <c r="BA215" s="186" t="n"/>
      <c r="BB215" s="186" t="n"/>
      <c r="BC215" s="186" t="n"/>
      <c r="BD215" s="186" t="n"/>
      <c r="BE215" s="186" t="n"/>
      <c r="BF215" s="186" t="n"/>
      <c r="BG215" s="186" t="n"/>
      <c r="BH215" s="186" t="n"/>
      <c r="BI215" s="186" t="n"/>
      <c r="BJ215" s="186" t="n"/>
      <c r="BK215" s="186" t="n"/>
      <c r="BL215" s="186" t="n"/>
      <c r="BM215" s="186" t="n"/>
      <c r="BN215" s="186" t="n"/>
      <c r="BO215" s="186" t="n"/>
      <c r="BP215" s="186" t="n"/>
      <c r="BQ215" s="186" t="n"/>
      <c r="BR215" s="186" t="n"/>
      <c r="BS215" s="186" t="n"/>
      <c r="BT215" s="186" t="n"/>
      <c r="BU215" s="186" t="n"/>
      <c r="BV215" s="190" t="n"/>
      <c r="BW215" s="186" t="n"/>
      <c r="BX215" s="186" t="n"/>
      <c r="BY215" s="186" t="n"/>
      <c r="BZ215" s="186" t="n"/>
      <c r="CA215" s="186" t="n"/>
      <c r="CB215" s="187" t="n"/>
      <c r="CC215" s="192" t="n"/>
      <c r="CD215" s="192" t="n"/>
      <c r="CE215" s="192" t="n"/>
      <c r="CF215" s="192" t="n"/>
    </row>
    <row r="216">
      <c r="A216" s="197" t="n"/>
      <c r="B216" s="198" t="n"/>
      <c r="C216" s="198" t="n"/>
      <c r="D216" s="179" t="n"/>
      <c r="E216" s="180" t="n"/>
      <c r="F216" s="181" t="n"/>
      <c r="G216" s="284">
        <f>'Jobs-Ops'!G216</f>
        <v/>
      </c>
      <c r="H216" s="114">
        <f>'Jobs-Ops'!H216</f>
        <v/>
      </c>
      <c r="I216" s="105" t="n"/>
      <c r="J216" s="183">
        <f>F216</f>
        <v/>
      </c>
      <c r="K216" s="184" t="n"/>
      <c r="L216" s="185" t="n"/>
      <c r="M216" s="8" t="n"/>
      <c r="N216" s="184">
        <f>M216</f>
        <v/>
      </c>
      <c r="O216" s="71" t="n"/>
      <c r="P216" s="101" t="n"/>
      <c r="Q216" s="9">
        <f>J216-N216</f>
        <v/>
      </c>
      <c r="R216" s="9">
        <f>IF(LEFT(B216,4)&lt;&gt;"    ",0,BI216)</f>
        <v/>
      </c>
      <c r="S216" s="9">
        <f>+Q216-R216</f>
        <v/>
      </c>
      <c r="T216" s="200">
        <f>IF('Jobs-Ops'!S216&lt;&gt; "",'Jobs-Ops'!S216,"")</f>
        <v/>
      </c>
      <c r="U216" s="10" t="n"/>
      <c r="V216" s="23">
        <f>IF(LEFT(B216,4)&lt;&gt;"    ","",IF(N216&lt;&gt;0,X216/N216,0))</f>
        <v/>
      </c>
      <c r="W216" s="11">
        <f>IF(LEFT(B216,4)&lt;&gt;"    ","",IF(V216&gt;=0.1,V216*J216,X216))</f>
        <v/>
      </c>
      <c r="X216" s="8" t="n"/>
      <c r="Y216" s="9">
        <f>IF(LEFT(B216,4)&lt;&gt;"    ",0,IF(Q216&lt;0,Q216,IF(V216&gt;0.1,W216-X216,0)))</f>
        <v/>
      </c>
      <c r="Z216" s="9">
        <f>IF(LEFT(B216,4)&lt;&gt;"    ",0,IF(V216&gt;0.1,BI216,0))</f>
        <v/>
      </c>
      <c r="AA216" s="9">
        <f>Y216-Z216</f>
        <v/>
      </c>
      <c r="AB216" s="10" t="n"/>
      <c r="AC216" s="24" t="n"/>
      <c r="AD216" s="11" t="n"/>
      <c r="AE216" s="8" t="n"/>
      <c r="AF216" s="9">
        <f>IF(LEFT(B216,4)&lt;&gt;"    ","",AD216-AE216)</f>
        <v/>
      </c>
      <c r="AG216" s="10" t="n"/>
      <c r="AH216" s="11">
        <f>IF(LEFT(B216,4)&lt;&gt;"    ","",W216-AD216)</f>
        <v/>
      </c>
      <c r="AI216" s="8">
        <f>IF(LEFT(B216,4)&lt;&gt;"    ","",X216-AE216)</f>
        <v/>
      </c>
      <c r="AJ216" s="9">
        <f>IF(LEFT(B216,4)&lt;&gt;"    ","",Y216-AF216)</f>
        <v/>
      </c>
      <c r="AK216" s="10" t="n"/>
      <c r="AL216" s="25">
        <f>IF(LEFT(B216,4)&lt;&gt;"    ","",J216-W216)</f>
        <v/>
      </c>
      <c r="AM216" s="25">
        <f>N216-X216</f>
        <v/>
      </c>
      <c r="AN216" s="25">
        <f>IF(LEFT(B216,4)&lt;&gt;"    ","",Q216-Y216)</f>
        <v/>
      </c>
      <c r="AO216" s="10" t="n"/>
      <c r="AP216" s="12" t="n"/>
      <c r="AQ216" s="12">
        <f>IF(LEFT(B216,4)&lt;&gt;"    ","",IF(W216-AP216&gt;=0,W216-AP216," "))</f>
        <v/>
      </c>
      <c r="AR216" s="12">
        <f>IF(LEFT(B216,4)&lt;&gt;"    ","",IF(AP216-W216&gt;=0,AP216-W216," "))</f>
        <v/>
      </c>
      <c r="AS216" s="186" t="n"/>
      <c r="AT216" s="187" t="n"/>
      <c r="AU216" s="186" t="n"/>
      <c r="AV216" s="186" t="n"/>
      <c r="AW216" s="188" t="n"/>
      <c r="AX216" s="187" t="n"/>
      <c r="AY216" s="187" t="n"/>
      <c r="AZ216" s="186" t="n"/>
      <c r="BA216" s="186" t="n"/>
      <c r="BB216" s="186" t="n"/>
      <c r="BC216" s="186" t="n"/>
      <c r="BD216" s="186" t="n"/>
      <c r="BE216" s="186" t="n"/>
      <c r="BF216" s="186" t="n"/>
      <c r="BG216" s="186" t="n"/>
      <c r="BH216" s="186" t="n"/>
      <c r="BI216" s="186" t="n"/>
      <c r="BJ216" s="186" t="n"/>
      <c r="BK216" s="186" t="n"/>
      <c r="BL216" s="186" t="n"/>
      <c r="BM216" s="186" t="n"/>
      <c r="BN216" s="186" t="n"/>
      <c r="BO216" s="186" t="n"/>
      <c r="BP216" s="186" t="n"/>
      <c r="BQ216" s="186" t="n"/>
      <c r="BR216" s="186" t="n"/>
      <c r="BS216" s="186" t="n"/>
      <c r="BT216" s="186" t="n"/>
      <c r="BU216" s="186" t="n"/>
      <c r="BV216" s="190" t="n"/>
      <c r="BW216" s="186" t="n"/>
      <c r="BX216" s="186" t="n"/>
      <c r="BY216" s="186" t="n"/>
      <c r="BZ216" s="186" t="n"/>
      <c r="CA216" s="186" t="n"/>
      <c r="CB216" s="187" t="n"/>
      <c r="CC216" s="192" t="n"/>
      <c r="CD216" s="192" t="n"/>
      <c r="CE216" s="192" t="n"/>
      <c r="CF216" s="192" t="n"/>
    </row>
    <row r="217">
      <c r="A217" s="197" t="n"/>
      <c r="B217" s="198" t="n"/>
      <c r="C217" s="198" t="n"/>
      <c r="D217" s="179" t="n"/>
      <c r="E217" s="180" t="n"/>
      <c r="F217" s="181" t="n"/>
      <c r="G217" s="284">
        <f>'Jobs-Ops'!G217</f>
        <v/>
      </c>
      <c r="H217" s="114">
        <f>'Jobs-Ops'!H217</f>
        <v/>
      </c>
      <c r="I217" s="105" t="n"/>
      <c r="J217" s="183">
        <f>F217</f>
        <v/>
      </c>
      <c r="K217" s="184" t="n"/>
      <c r="L217" s="185" t="n"/>
      <c r="M217" s="8" t="n"/>
      <c r="N217" s="184">
        <f>M217</f>
        <v/>
      </c>
      <c r="O217" s="71" t="n"/>
      <c r="P217" s="101" t="n"/>
      <c r="Q217" s="9">
        <f>J217-N217</f>
        <v/>
      </c>
      <c r="R217" s="9">
        <f>IF(LEFT(B217,4)&lt;&gt;"    ",0,BI217)</f>
        <v/>
      </c>
      <c r="S217" s="9">
        <f>+Q217-R217</f>
        <v/>
      </c>
      <c r="T217" s="200">
        <f>IF('Jobs-Ops'!S217&lt;&gt; "",'Jobs-Ops'!S217,"")</f>
        <v/>
      </c>
      <c r="U217" s="10" t="n"/>
      <c r="V217" s="23">
        <f>IF(LEFT(B217,4)&lt;&gt;"    ","",IF(N217&lt;&gt;0,X217/N217,0))</f>
        <v/>
      </c>
      <c r="W217" s="11">
        <f>IF(LEFT(B217,4)&lt;&gt;"    ","",IF(V217&gt;=0.1,V217*J217,X217))</f>
        <v/>
      </c>
      <c r="X217" s="8" t="n"/>
      <c r="Y217" s="9">
        <f>IF(LEFT(B217,4)&lt;&gt;"    ",0,IF(Q217&lt;0,Q217,IF(V217&gt;0.1,W217-X217,0)))</f>
        <v/>
      </c>
      <c r="Z217" s="9">
        <f>IF(LEFT(B217,4)&lt;&gt;"    ",0,IF(V217&gt;0.1,BI217,0))</f>
        <v/>
      </c>
      <c r="AA217" s="9">
        <f>Y217-Z217</f>
        <v/>
      </c>
      <c r="AB217" s="10" t="n"/>
      <c r="AC217" s="24" t="n"/>
      <c r="AD217" s="11" t="n"/>
      <c r="AE217" s="8" t="n"/>
      <c r="AF217" s="9">
        <f>IF(LEFT(B217,4)&lt;&gt;"    ","",AD217-AE217)</f>
        <v/>
      </c>
      <c r="AG217" s="10" t="n"/>
      <c r="AH217" s="11">
        <f>IF(LEFT(B217,4)&lt;&gt;"    ","",W217-AD217)</f>
        <v/>
      </c>
      <c r="AI217" s="8">
        <f>IF(LEFT(B217,4)&lt;&gt;"    ","",X217-AE217)</f>
        <v/>
      </c>
      <c r="AJ217" s="9">
        <f>IF(LEFT(B217,4)&lt;&gt;"    ","",Y217-AF217)</f>
        <v/>
      </c>
      <c r="AK217" s="10" t="n"/>
      <c r="AL217" s="25">
        <f>IF(LEFT(B217,4)&lt;&gt;"    ","",J217-W217)</f>
        <v/>
      </c>
      <c r="AM217" s="25">
        <f>N217-X217</f>
        <v/>
      </c>
      <c r="AN217" s="25">
        <f>IF(LEFT(B217,4)&lt;&gt;"    ","",Q217-Y217)</f>
        <v/>
      </c>
      <c r="AO217" s="10" t="n"/>
      <c r="AP217" s="12" t="n"/>
      <c r="AQ217" s="12">
        <f>IF(LEFT(B217,4)&lt;&gt;"    ","",IF(W217-AP217&gt;=0,W217-AP217," "))</f>
        <v/>
      </c>
      <c r="AR217" s="12">
        <f>IF(LEFT(B217,4)&lt;&gt;"    ","",IF(AP217-W217&gt;=0,AP217-W217," "))</f>
        <v/>
      </c>
      <c r="AS217" s="186" t="n"/>
      <c r="AT217" s="187" t="n"/>
      <c r="AU217" s="186" t="n"/>
      <c r="AV217" s="186" t="n"/>
      <c r="AW217" s="188" t="n"/>
      <c r="AX217" s="187" t="n"/>
      <c r="AY217" s="187" t="n"/>
      <c r="AZ217" s="186" t="n"/>
      <c r="BA217" s="186" t="n"/>
      <c r="BB217" s="186" t="n"/>
      <c r="BC217" s="186" t="n"/>
      <c r="BD217" s="186" t="n"/>
      <c r="BE217" s="186" t="n"/>
      <c r="BF217" s="186" t="n"/>
      <c r="BG217" s="186" t="n"/>
      <c r="BH217" s="186" t="n"/>
      <c r="BI217" s="186" t="n"/>
      <c r="BJ217" s="186" t="n"/>
      <c r="BK217" s="186" t="n"/>
      <c r="BL217" s="186" t="n"/>
      <c r="BM217" s="186" t="n"/>
      <c r="BN217" s="186" t="n"/>
      <c r="BO217" s="186" t="n"/>
      <c r="BP217" s="186" t="n"/>
      <c r="BQ217" s="186" t="n"/>
      <c r="BR217" s="186" t="n"/>
      <c r="BS217" s="186" t="n"/>
      <c r="BT217" s="186" t="n"/>
      <c r="BU217" s="186" t="n"/>
      <c r="BV217" s="190" t="n"/>
      <c r="BW217" s="186" t="n"/>
      <c r="BX217" s="186" t="n"/>
      <c r="BY217" s="186" t="n"/>
      <c r="BZ217" s="186" t="n"/>
      <c r="CA217" s="186" t="n"/>
      <c r="CB217" s="187" t="n"/>
      <c r="CC217" s="192" t="n"/>
      <c r="CD217" s="192" t="n"/>
      <c r="CE217" s="192" t="n"/>
      <c r="CF217" s="192" t="n"/>
    </row>
    <row r="218">
      <c r="A218" s="197" t="n"/>
      <c r="B218" s="198" t="n"/>
      <c r="C218" s="198" t="n"/>
      <c r="D218" s="179" t="n"/>
      <c r="E218" s="180" t="n"/>
      <c r="F218" s="181" t="n"/>
      <c r="G218" s="284">
        <f>'Jobs-Ops'!G218</f>
        <v/>
      </c>
      <c r="H218" s="114">
        <f>'Jobs-Ops'!H218</f>
        <v/>
      </c>
      <c r="I218" s="105" t="n"/>
      <c r="J218" s="183">
        <f>F218</f>
        <v/>
      </c>
      <c r="K218" s="184" t="n"/>
      <c r="L218" s="185" t="n"/>
      <c r="M218" s="8" t="n"/>
      <c r="N218" s="184">
        <f>M218</f>
        <v/>
      </c>
      <c r="O218" s="184" t="n"/>
      <c r="P218" s="185" t="n"/>
      <c r="Q218" s="9">
        <f>J218-N218</f>
        <v/>
      </c>
      <c r="R218" s="9">
        <f>IF(LEFT(B218,4)&lt;&gt;"    ",0,BI218)</f>
        <v/>
      </c>
      <c r="S218" s="9">
        <f>+Q218-R218</f>
        <v/>
      </c>
      <c r="T218" s="200">
        <f>IF('Jobs-Ops'!S218&lt;&gt; "",'Jobs-Ops'!S218,"")</f>
        <v/>
      </c>
      <c r="U218" s="10" t="n"/>
      <c r="V218" s="23">
        <f>IF(LEFT(B218,4)&lt;&gt;"    ","",IF(N218&lt;&gt;0,X218/N218,0))</f>
        <v/>
      </c>
      <c r="W218" s="11">
        <f>IF(LEFT(B218,4)&lt;&gt;"    ","",IF(V218&gt;=0.1,V218*J218,X218))</f>
        <v/>
      </c>
      <c r="X218" s="8" t="n"/>
      <c r="Y218" s="9">
        <f>IF(LEFT(B218,4)&lt;&gt;"    ",0,IF(Q218&lt;0,Q218,IF(V218&gt;0.1,W218-X218,0)))</f>
        <v/>
      </c>
      <c r="Z218" s="9">
        <f>IF(LEFT(B218,4)&lt;&gt;"    ",0,IF(V218&gt;0.1,BI218,0))</f>
        <v/>
      </c>
      <c r="AA218" s="9">
        <f>Y218-Z218</f>
        <v/>
      </c>
      <c r="AB218" s="10" t="n"/>
      <c r="AC218" s="24" t="n"/>
      <c r="AD218" s="11" t="n"/>
      <c r="AE218" s="8" t="n"/>
      <c r="AF218" s="9">
        <f>IF(LEFT(B218,4)&lt;&gt;"    ","",AD218-AE218)</f>
        <v/>
      </c>
      <c r="AG218" s="10" t="n"/>
      <c r="AH218" s="11">
        <f>IF(LEFT(B218,4)&lt;&gt;"    ","",W218-AD218)</f>
        <v/>
      </c>
      <c r="AI218" s="8">
        <f>IF(LEFT(B218,4)&lt;&gt;"    ","",X218-AE218)</f>
        <v/>
      </c>
      <c r="AJ218" s="9">
        <f>IF(LEFT(B218,4)&lt;&gt;"    ","",Y218-AF218)</f>
        <v/>
      </c>
      <c r="AK218" s="10" t="n"/>
      <c r="AL218" s="25">
        <f>IF(LEFT(B218,4)&lt;&gt;"    ","",J218-W218)</f>
        <v/>
      </c>
      <c r="AM218" s="25">
        <f>N218-X218</f>
        <v/>
      </c>
      <c r="AN218" s="25">
        <f>IF(LEFT(B218,4)&lt;&gt;"    ","",Q218-Y218)</f>
        <v/>
      </c>
      <c r="AO218" s="10" t="n"/>
      <c r="AP218" s="12" t="n"/>
      <c r="AQ218" s="12">
        <f>IF(LEFT(B218,4)&lt;&gt;"    ","",IF(W218-AP218&gt;=0,W218-AP218," "))</f>
        <v/>
      </c>
      <c r="AR218" s="12">
        <f>IF(LEFT(B218,4)&lt;&gt;"    ","",IF(AP218-W218&gt;=0,AP218-W218," "))</f>
        <v/>
      </c>
      <c r="AS218" s="186" t="n"/>
      <c r="AT218" s="187" t="n"/>
      <c r="AU218" s="186" t="n"/>
      <c r="AV218" s="186" t="n"/>
      <c r="AW218" s="188" t="n"/>
      <c r="AX218" s="187" t="n"/>
      <c r="AY218" s="187" t="n"/>
      <c r="AZ218" s="186" t="n"/>
      <c r="BA218" s="186" t="n"/>
      <c r="BB218" s="186" t="n"/>
      <c r="BC218" s="186" t="n"/>
      <c r="BD218" s="186" t="n"/>
      <c r="BE218" s="186" t="n"/>
      <c r="BF218" s="186" t="n"/>
      <c r="BG218" s="186" t="n"/>
      <c r="BH218" s="186" t="n"/>
      <c r="BI218" s="186" t="n"/>
      <c r="BJ218" s="186" t="n"/>
      <c r="BK218" s="186" t="n"/>
      <c r="BL218" s="186" t="n"/>
      <c r="BM218" s="186" t="n"/>
      <c r="BN218" s="186" t="n"/>
      <c r="BO218" s="186" t="n"/>
      <c r="BP218" s="186" t="n"/>
      <c r="BQ218" s="186" t="n"/>
      <c r="BR218" s="186" t="n"/>
      <c r="BS218" s="186" t="n"/>
      <c r="BT218" s="186" t="n"/>
      <c r="BU218" s="186" t="n"/>
      <c r="BV218" s="190" t="n"/>
      <c r="BW218" s="186" t="n"/>
      <c r="BX218" s="186" t="n"/>
      <c r="BY218" s="186" t="n"/>
      <c r="BZ218" s="186" t="n"/>
      <c r="CA218" s="186" t="n"/>
      <c r="CB218" s="187" t="n"/>
      <c r="CC218" s="192" t="n"/>
      <c r="CD218" s="192" t="n"/>
      <c r="CE218" s="192" t="n"/>
      <c r="CF218" s="192" t="n"/>
    </row>
    <row r="219">
      <c r="A219" s="197" t="n"/>
      <c r="B219" s="198" t="n"/>
      <c r="C219" s="198" t="n"/>
      <c r="D219" s="179" t="n"/>
      <c r="E219" s="180" t="n"/>
      <c r="F219" s="181" t="n"/>
      <c r="G219" s="284">
        <f>'Jobs-Ops'!G219</f>
        <v/>
      </c>
      <c r="H219" s="114">
        <f>'Jobs-Ops'!H219</f>
        <v/>
      </c>
      <c r="I219" s="105" t="n"/>
      <c r="J219" s="183">
        <f>F219</f>
        <v/>
      </c>
      <c r="K219" s="184" t="n"/>
      <c r="L219" s="185" t="n"/>
      <c r="M219" s="8" t="n"/>
      <c r="N219" s="184">
        <f>M219</f>
        <v/>
      </c>
      <c r="O219" s="71" t="n"/>
      <c r="P219" s="101" t="n"/>
      <c r="Q219" s="9">
        <f>J219-N219</f>
        <v/>
      </c>
      <c r="R219" s="9">
        <f>IF(LEFT(B219,4)&lt;&gt;"    ",0,BI219)</f>
        <v/>
      </c>
      <c r="S219" s="9">
        <f>+Q219-R219</f>
        <v/>
      </c>
      <c r="T219" s="200">
        <f>IF('Jobs-Ops'!S219&lt;&gt; "",'Jobs-Ops'!S219,"")</f>
        <v/>
      </c>
      <c r="U219" s="10" t="n"/>
      <c r="V219" s="23">
        <f>IF(LEFT(B219,4)&lt;&gt;"    ","",IF(N219&lt;&gt;0,X219/N219,0))</f>
        <v/>
      </c>
      <c r="W219" s="11">
        <f>IF(LEFT(B219,4)&lt;&gt;"    ","",IF(V219&gt;=0.1,V219*J219,X219))</f>
        <v/>
      </c>
      <c r="X219" s="8" t="n"/>
      <c r="Y219" s="9">
        <f>IF(LEFT(B219,4)&lt;&gt;"    ",0,IF(Q219&lt;0,Q219,IF(V219&gt;0.1,W219-X219,0)))</f>
        <v/>
      </c>
      <c r="Z219" s="9">
        <f>IF(LEFT(B219,4)&lt;&gt;"    ",0,IF(V219&gt;0.1,BI219,0))</f>
        <v/>
      </c>
      <c r="AA219" s="9">
        <f>Y219-Z219</f>
        <v/>
      </c>
      <c r="AB219" s="10" t="n"/>
      <c r="AC219" s="24" t="n"/>
      <c r="AD219" s="11" t="n"/>
      <c r="AE219" s="8" t="n"/>
      <c r="AF219" s="9">
        <f>IF(LEFT(B219,4)&lt;&gt;"    ","",AD219-AE219)</f>
        <v/>
      </c>
      <c r="AG219" s="10" t="n"/>
      <c r="AH219" s="11">
        <f>IF(LEFT(B219,4)&lt;&gt;"    ","",W219-AD219)</f>
        <v/>
      </c>
      <c r="AI219" s="8">
        <f>IF(LEFT(B219,4)&lt;&gt;"    ","",X219-AE219)</f>
        <v/>
      </c>
      <c r="AJ219" s="9">
        <f>IF(LEFT(B219,4)&lt;&gt;"    ","",Y219-AF219)</f>
        <v/>
      </c>
      <c r="AK219" s="10" t="n"/>
      <c r="AL219" s="25">
        <f>IF(LEFT(B219,4)&lt;&gt;"    ","",J219-W219)</f>
        <v/>
      </c>
      <c r="AM219" s="25">
        <f>N219-X219</f>
        <v/>
      </c>
      <c r="AN219" s="25">
        <f>IF(LEFT(B219,4)&lt;&gt;"    ","",Q219-Y219)</f>
        <v/>
      </c>
      <c r="AO219" s="10" t="n"/>
      <c r="AP219" s="12" t="n"/>
      <c r="AQ219" s="12">
        <f>IF(LEFT(B219,4)&lt;&gt;"    ","",IF(W219-AP219&gt;=0,W219-AP219," "))</f>
        <v/>
      </c>
      <c r="AR219" s="12">
        <f>IF(LEFT(B219,4)&lt;&gt;"    ","",IF(AP219-W219&gt;=0,AP219-W219," "))</f>
        <v/>
      </c>
      <c r="AS219" s="186" t="n"/>
      <c r="AT219" s="187" t="n"/>
      <c r="AU219" s="186" t="n"/>
      <c r="AV219" s="186" t="n"/>
      <c r="AW219" s="188" t="n"/>
      <c r="AX219" s="187" t="n"/>
      <c r="AY219" s="187" t="n"/>
      <c r="AZ219" s="186" t="n"/>
      <c r="BA219" s="186" t="n"/>
      <c r="BB219" s="186" t="n"/>
      <c r="BC219" s="186" t="n"/>
      <c r="BD219" s="186" t="n"/>
      <c r="BE219" s="186" t="n"/>
      <c r="BF219" s="186" t="n"/>
      <c r="BG219" s="186" t="n"/>
      <c r="BH219" s="186" t="n"/>
      <c r="BI219" s="186" t="n"/>
      <c r="BJ219" s="186" t="n"/>
      <c r="BK219" s="186" t="n"/>
      <c r="BL219" s="186" t="n"/>
      <c r="BM219" s="186" t="n"/>
      <c r="BN219" s="186" t="n"/>
      <c r="BO219" s="186" t="n"/>
      <c r="BP219" s="186" t="n"/>
      <c r="BQ219" s="186" t="n"/>
      <c r="BR219" s="186" t="n"/>
      <c r="BS219" s="186" t="n"/>
      <c r="BT219" s="186" t="n"/>
      <c r="BU219" s="186" t="n"/>
      <c r="BV219" s="190" t="n"/>
      <c r="BW219" s="186" t="n"/>
      <c r="BX219" s="186" t="n"/>
      <c r="BY219" s="186" t="n"/>
      <c r="BZ219" s="186" t="n"/>
      <c r="CA219" s="186" t="n"/>
      <c r="CB219" s="187" t="n"/>
      <c r="CC219" s="192" t="n"/>
      <c r="CD219" s="192" t="n"/>
      <c r="CE219" s="192" t="n"/>
      <c r="CF219" s="192" t="n"/>
    </row>
    <row r="220">
      <c r="A220" s="197" t="n"/>
      <c r="B220" s="198" t="n"/>
      <c r="C220" s="198" t="n"/>
      <c r="D220" s="179" t="n"/>
      <c r="E220" s="180" t="n"/>
      <c r="F220" s="181" t="n"/>
      <c r="G220" s="284">
        <f>'Jobs-Ops'!G220</f>
        <v/>
      </c>
      <c r="H220" s="114">
        <f>'Jobs-Ops'!H220</f>
        <v/>
      </c>
      <c r="I220" s="105" t="n"/>
      <c r="J220" s="183">
        <f>F220</f>
        <v/>
      </c>
      <c r="K220" s="184" t="n"/>
      <c r="L220" s="185" t="n"/>
      <c r="M220" s="8" t="n"/>
      <c r="N220" s="184">
        <f>M220</f>
        <v/>
      </c>
      <c r="O220" s="71" t="n"/>
      <c r="P220" s="101" t="n"/>
      <c r="Q220" s="9">
        <f>J220-N220</f>
        <v/>
      </c>
      <c r="R220" s="9">
        <f>IF(LEFT(B220,4)&lt;&gt;"    ",0,BI220)</f>
        <v/>
      </c>
      <c r="S220" s="9">
        <f>+Q220-R220</f>
        <v/>
      </c>
      <c r="T220" s="200">
        <f>IF('Jobs-Ops'!S220&lt;&gt; "",'Jobs-Ops'!S220,"")</f>
        <v/>
      </c>
      <c r="U220" s="10" t="n"/>
      <c r="V220" s="23">
        <f>IF(LEFT(B220,4)&lt;&gt;"    ","",IF(N220&lt;&gt;0,X220/N220,0))</f>
        <v/>
      </c>
      <c r="W220" s="11">
        <f>IF(LEFT(B220,4)&lt;&gt;"    ","",IF(V220&gt;=0.1,V220*J220,X220))</f>
        <v/>
      </c>
      <c r="X220" s="8" t="n"/>
      <c r="Y220" s="9">
        <f>IF(LEFT(B220,4)&lt;&gt;"    ",0,IF(Q220&lt;0,Q220,IF(V220&gt;0.1,W220-X220,0)))</f>
        <v/>
      </c>
      <c r="Z220" s="9">
        <f>IF(LEFT(B220,4)&lt;&gt;"    ",0,IF(V220&gt;0.1,BI220,0))</f>
        <v/>
      </c>
      <c r="AA220" s="9">
        <f>Y220-Z220</f>
        <v/>
      </c>
      <c r="AB220" s="10" t="n"/>
      <c r="AC220" s="24" t="n"/>
      <c r="AD220" s="11" t="n"/>
      <c r="AE220" s="8" t="n"/>
      <c r="AF220" s="9">
        <f>IF(LEFT(B220,4)&lt;&gt;"    ","",AD220-AE220)</f>
        <v/>
      </c>
      <c r="AG220" s="10" t="n"/>
      <c r="AH220" s="11">
        <f>IF(LEFT(B220,4)&lt;&gt;"    ","",W220-AD220)</f>
        <v/>
      </c>
      <c r="AI220" s="8">
        <f>IF(LEFT(B220,4)&lt;&gt;"    ","",X220-AE220)</f>
        <v/>
      </c>
      <c r="AJ220" s="9">
        <f>IF(LEFT(B220,4)&lt;&gt;"    ","",Y220-AF220)</f>
        <v/>
      </c>
      <c r="AK220" s="10" t="n"/>
      <c r="AL220" s="25">
        <f>IF(LEFT(B220,4)&lt;&gt;"    ","",J220-W220)</f>
        <v/>
      </c>
      <c r="AM220" s="25">
        <f>N220-X220</f>
        <v/>
      </c>
      <c r="AN220" s="25">
        <f>IF(LEFT(B220,4)&lt;&gt;"    ","",Q220-Y220)</f>
        <v/>
      </c>
      <c r="AO220" s="10" t="n"/>
      <c r="AP220" s="12" t="n"/>
      <c r="AQ220" s="12">
        <f>IF(LEFT(B220,4)&lt;&gt;"    ","",IF(W220-AP220&gt;=0,W220-AP220," "))</f>
        <v/>
      </c>
      <c r="AR220" s="12">
        <f>IF(LEFT(B220,4)&lt;&gt;"    ","",IF(AP220-W220&gt;=0,AP220-W220," "))</f>
        <v/>
      </c>
      <c r="AS220" s="186" t="n"/>
      <c r="AT220" s="187" t="n"/>
      <c r="AU220" s="186" t="n"/>
      <c r="AV220" s="186" t="n"/>
      <c r="AW220" s="188" t="n"/>
      <c r="AX220" s="187" t="n"/>
      <c r="AY220" s="187" t="n"/>
      <c r="AZ220" s="186" t="n"/>
      <c r="BA220" s="186" t="n"/>
      <c r="BB220" s="186" t="n"/>
      <c r="BC220" s="186" t="n"/>
      <c r="BD220" s="186" t="n"/>
      <c r="BE220" s="186" t="n"/>
      <c r="BF220" s="186" t="n"/>
      <c r="BG220" s="186" t="n"/>
      <c r="BH220" s="186" t="n"/>
      <c r="BI220" s="186" t="n"/>
      <c r="BJ220" s="186" t="n"/>
      <c r="BK220" s="186" t="n"/>
      <c r="BL220" s="186" t="n"/>
      <c r="BM220" s="186" t="n"/>
      <c r="BN220" s="186" t="n"/>
      <c r="BO220" s="186" t="n"/>
      <c r="BP220" s="186" t="n"/>
      <c r="BQ220" s="186" t="n"/>
      <c r="BR220" s="186" t="n"/>
      <c r="BS220" s="186" t="n"/>
      <c r="BT220" s="186" t="n"/>
      <c r="BU220" s="186" t="n"/>
      <c r="BV220" s="190" t="n"/>
      <c r="BW220" s="186" t="n"/>
      <c r="BX220" s="186" t="n"/>
      <c r="BY220" s="186" t="n"/>
      <c r="BZ220" s="186" t="n"/>
      <c r="CA220" s="186" t="n"/>
      <c r="CB220" s="187" t="n"/>
      <c r="CC220" s="192" t="n"/>
      <c r="CD220" s="192" t="n"/>
      <c r="CE220" s="192" t="n"/>
      <c r="CF220" s="192" t="n"/>
    </row>
    <row r="221">
      <c r="A221" s="197" t="n"/>
      <c r="B221" s="198" t="n"/>
      <c r="C221" s="198" t="n"/>
      <c r="D221" s="179" t="n"/>
      <c r="E221" s="180" t="n"/>
      <c r="F221" s="181" t="n"/>
      <c r="G221" s="284">
        <f>'Jobs-Ops'!G221</f>
        <v/>
      </c>
      <c r="H221" s="114">
        <f>'Jobs-Ops'!H221</f>
        <v/>
      </c>
      <c r="I221" s="105" t="n"/>
      <c r="J221" s="183">
        <f>F221</f>
        <v/>
      </c>
      <c r="K221" s="184" t="n"/>
      <c r="L221" s="185" t="n"/>
      <c r="M221" s="8" t="n"/>
      <c r="N221" s="184">
        <f>M221</f>
        <v/>
      </c>
      <c r="O221" s="71" t="n"/>
      <c r="P221" s="101" t="n"/>
      <c r="Q221" s="9">
        <f>J221-N221</f>
        <v/>
      </c>
      <c r="R221" s="9">
        <f>IF(LEFT(B221,4)&lt;&gt;"    ",0,BI221)</f>
        <v/>
      </c>
      <c r="S221" s="9">
        <f>+Q221-R221</f>
        <v/>
      </c>
      <c r="T221" s="200">
        <f>IF('Jobs-Ops'!S221&lt;&gt; "",'Jobs-Ops'!S221,"")</f>
        <v/>
      </c>
      <c r="U221" s="10" t="n"/>
      <c r="V221" s="23">
        <f>IF(LEFT(B221,4)&lt;&gt;"    ","",IF(N221&lt;&gt;0,X221/N221,0))</f>
        <v/>
      </c>
      <c r="W221" s="11">
        <f>IF(LEFT(B221,4)&lt;&gt;"    ","",IF(V221&gt;=0.1,V221*J221,X221))</f>
        <v/>
      </c>
      <c r="X221" s="8" t="n"/>
      <c r="Y221" s="9">
        <f>IF(LEFT(B221,4)&lt;&gt;"    ",0,IF(Q221&lt;0,Q221,IF(V221&gt;0.1,W221-X221,0)))</f>
        <v/>
      </c>
      <c r="Z221" s="9">
        <f>IF(LEFT(B221,4)&lt;&gt;"    ",0,IF(V221&gt;0.1,BI221,0))</f>
        <v/>
      </c>
      <c r="AA221" s="9">
        <f>Y221-Z221</f>
        <v/>
      </c>
      <c r="AB221" s="10" t="n"/>
      <c r="AC221" s="24" t="n"/>
      <c r="AD221" s="11" t="n"/>
      <c r="AE221" s="8" t="n"/>
      <c r="AF221" s="9">
        <f>IF(LEFT(B221,4)&lt;&gt;"    ","",AD221-AE221)</f>
        <v/>
      </c>
      <c r="AG221" s="10" t="n"/>
      <c r="AH221" s="11">
        <f>IF(LEFT(B221,4)&lt;&gt;"    ","",W221-AD221)</f>
        <v/>
      </c>
      <c r="AI221" s="8">
        <f>IF(LEFT(B221,4)&lt;&gt;"    ","",X221-AE221)</f>
        <v/>
      </c>
      <c r="AJ221" s="9">
        <f>IF(LEFT(B221,4)&lt;&gt;"    ","",Y221-AF221)</f>
        <v/>
      </c>
      <c r="AK221" s="10" t="n"/>
      <c r="AL221" s="25">
        <f>IF(LEFT(B221,4)&lt;&gt;"    ","",J221-W221)</f>
        <v/>
      </c>
      <c r="AM221" s="25">
        <f>N221-X221</f>
        <v/>
      </c>
      <c r="AN221" s="25">
        <f>IF(LEFT(B221,4)&lt;&gt;"    ","",Q221-Y221)</f>
        <v/>
      </c>
      <c r="AO221" s="10" t="n"/>
      <c r="AP221" s="12" t="n"/>
      <c r="AQ221" s="12">
        <f>IF(LEFT(B221,4)&lt;&gt;"    ","",IF(W221-AP221&gt;=0,W221-AP221," "))</f>
        <v/>
      </c>
      <c r="AR221" s="12">
        <f>IF(LEFT(B221,4)&lt;&gt;"    ","",IF(AP221-W221&gt;=0,AP221-W221," "))</f>
        <v/>
      </c>
      <c r="AS221" s="186" t="n"/>
      <c r="AT221" s="187" t="n"/>
      <c r="AU221" s="186" t="n"/>
      <c r="AV221" s="186" t="n"/>
      <c r="AW221" s="188" t="n"/>
      <c r="AX221" s="187" t="n"/>
      <c r="AY221" s="187" t="n"/>
      <c r="AZ221" s="186" t="n"/>
      <c r="BA221" s="186" t="n"/>
      <c r="BB221" s="186" t="n"/>
      <c r="BC221" s="186" t="n"/>
      <c r="BD221" s="186" t="n"/>
      <c r="BE221" s="186" t="n"/>
      <c r="BF221" s="186" t="n"/>
      <c r="BG221" s="186" t="n"/>
      <c r="BH221" s="186" t="n"/>
      <c r="BI221" s="186" t="n"/>
      <c r="BJ221" s="186" t="n"/>
      <c r="BK221" s="186" t="n"/>
      <c r="BL221" s="186" t="n"/>
      <c r="BM221" s="186" t="n"/>
      <c r="BN221" s="186" t="n"/>
      <c r="BO221" s="186" t="n"/>
      <c r="BP221" s="186" t="n"/>
      <c r="BQ221" s="186" t="n"/>
      <c r="BR221" s="186" t="n"/>
      <c r="BS221" s="186" t="n"/>
      <c r="BT221" s="186" t="n"/>
      <c r="BU221" s="186" t="n"/>
      <c r="BV221" s="190" t="n"/>
      <c r="BW221" s="186" t="n"/>
      <c r="BX221" s="186" t="n"/>
      <c r="BY221" s="186" t="n"/>
      <c r="BZ221" s="186" t="n"/>
      <c r="CA221" s="186" t="n"/>
      <c r="CB221" s="187" t="n"/>
      <c r="CC221" s="192" t="n"/>
      <c r="CD221" s="192" t="n"/>
      <c r="CE221" s="192" t="n"/>
      <c r="CF221" s="192" t="n"/>
    </row>
    <row r="222">
      <c r="A222" s="197" t="n"/>
      <c r="B222" s="198" t="n"/>
      <c r="C222" s="198" t="n"/>
      <c r="D222" s="179" t="n"/>
      <c r="E222" s="180" t="n"/>
      <c r="F222" s="181" t="n"/>
      <c r="G222" s="284">
        <f>'Jobs-Ops'!G222</f>
        <v/>
      </c>
      <c r="H222" s="114">
        <f>'Jobs-Ops'!H222</f>
        <v/>
      </c>
      <c r="I222" s="105" t="n"/>
      <c r="J222" s="183">
        <f>F222</f>
        <v/>
      </c>
      <c r="K222" s="184" t="n"/>
      <c r="L222" s="185" t="n"/>
      <c r="M222" s="8" t="n"/>
      <c r="N222" s="184">
        <f>M222</f>
        <v/>
      </c>
      <c r="O222" s="71" t="n"/>
      <c r="P222" s="101" t="n"/>
      <c r="Q222" s="9">
        <f>J222-N222</f>
        <v/>
      </c>
      <c r="R222" s="9">
        <f>IF(LEFT(B222,4)&lt;&gt;"    ",0,BI222)</f>
        <v/>
      </c>
      <c r="S222" s="9">
        <f>+Q222-R222</f>
        <v/>
      </c>
      <c r="T222" s="200">
        <f>IF('Jobs-Ops'!S222&lt;&gt; "",'Jobs-Ops'!S222,"")</f>
        <v/>
      </c>
      <c r="U222" s="10" t="n"/>
      <c r="V222" s="23">
        <f>IF(LEFT(B222,4)&lt;&gt;"    ","",IF(N222&lt;&gt;0,X222/N222,0))</f>
        <v/>
      </c>
      <c r="W222" s="11">
        <f>IF(LEFT(B222,4)&lt;&gt;"    ","",IF(V222&gt;=0.1,V222*J222,X222))</f>
        <v/>
      </c>
      <c r="X222" s="8" t="n"/>
      <c r="Y222" s="9">
        <f>IF(LEFT(B222,4)&lt;&gt;"    ",0,IF(Q222&lt;0,Q222,IF(V222&gt;0.1,W222-X222,0)))</f>
        <v/>
      </c>
      <c r="Z222" s="9">
        <f>IF(LEFT(B222,4)&lt;&gt;"    ",0,IF(V222&gt;0.1,BI222,0))</f>
        <v/>
      </c>
      <c r="AA222" s="9">
        <f>Y222-Z222</f>
        <v/>
      </c>
      <c r="AB222" s="10" t="n"/>
      <c r="AC222" s="24" t="n"/>
      <c r="AD222" s="11" t="n"/>
      <c r="AE222" s="8" t="n"/>
      <c r="AF222" s="9">
        <f>IF(LEFT(B222,4)&lt;&gt;"    ","",AD222-AE222)</f>
        <v/>
      </c>
      <c r="AG222" s="10" t="n"/>
      <c r="AH222" s="11">
        <f>IF(LEFT(B222,4)&lt;&gt;"    ","",W222-AD222)</f>
        <v/>
      </c>
      <c r="AI222" s="8">
        <f>IF(LEFT(B222,4)&lt;&gt;"    ","",X222-AE222)</f>
        <v/>
      </c>
      <c r="AJ222" s="9">
        <f>IF(LEFT(B222,4)&lt;&gt;"    ","",Y222-AF222)</f>
        <v/>
      </c>
      <c r="AK222" s="10" t="n"/>
      <c r="AL222" s="25">
        <f>IF(LEFT(B222,4)&lt;&gt;"    ","",J222-W222)</f>
        <v/>
      </c>
      <c r="AM222" s="25">
        <f>N222-X222</f>
        <v/>
      </c>
      <c r="AN222" s="25">
        <f>IF(LEFT(B222,4)&lt;&gt;"    ","",Q222-Y222)</f>
        <v/>
      </c>
      <c r="AO222" s="10" t="n"/>
      <c r="AP222" s="12" t="n"/>
      <c r="AQ222" s="12">
        <f>IF(LEFT(B222,4)&lt;&gt;"    ","",IF(W222-AP222&gt;=0,W222-AP222," "))</f>
        <v/>
      </c>
      <c r="AR222" s="12">
        <f>IF(LEFT(B222,4)&lt;&gt;"    ","",IF(AP222-W222&gt;=0,AP222-W222," "))</f>
        <v/>
      </c>
      <c r="AS222" s="186" t="n"/>
      <c r="AT222" s="187" t="n"/>
      <c r="AU222" s="186" t="n"/>
      <c r="AV222" s="186" t="n"/>
      <c r="AW222" s="188" t="n"/>
      <c r="AX222" s="187" t="n"/>
      <c r="AY222" s="187" t="n"/>
      <c r="AZ222" s="186" t="n"/>
      <c r="BA222" s="186" t="n"/>
      <c r="BB222" s="186" t="n"/>
      <c r="BC222" s="186" t="n"/>
      <c r="BD222" s="186" t="n"/>
      <c r="BE222" s="186" t="n"/>
      <c r="BF222" s="186" t="n"/>
      <c r="BG222" s="186" t="n"/>
      <c r="BH222" s="186" t="n"/>
      <c r="BI222" s="186" t="n"/>
      <c r="BJ222" s="186" t="n"/>
      <c r="BK222" s="186" t="n"/>
      <c r="BL222" s="186" t="n"/>
      <c r="BM222" s="186" t="n"/>
      <c r="BN222" s="186" t="n"/>
      <c r="BO222" s="186" t="n"/>
      <c r="BP222" s="186" t="n"/>
      <c r="BQ222" s="186" t="n"/>
      <c r="BR222" s="186" t="n"/>
      <c r="BS222" s="186" t="n"/>
      <c r="BT222" s="186" t="n"/>
      <c r="BU222" s="186" t="n"/>
      <c r="BV222" s="190" t="n"/>
      <c r="BW222" s="186" t="n"/>
      <c r="BX222" s="186" t="n"/>
      <c r="BY222" s="186" t="n"/>
      <c r="BZ222" s="186" t="n"/>
      <c r="CA222" s="186" t="n"/>
      <c r="CB222" s="187" t="n"/>
      <c r="CC222" s="192" t="n"/>
      <c r="CD222" s="192" t="n"/>
      <c r="CE222" s="192" t="n"/>
      <c r="CF222" s="192" t="n"/>
    </row>
    <row r="223">
      <c r="A223" s="197" t="n"/>
      <c r="B223" s="198" t="n"/>
      <c r="C223" s="198" t="n"/>
      <c r="D223" s="179" t="n"/>
      <c r="E223" s="180" t="n"/>
      <c r="F223" s="181" t="n"/>
      <c r="G223" s="284">
        <f>'Jobs-Ops'!G223</f>
        <v/>
      </c>
      <c r="H223" s="114">
        <f>'Jobs-Ops'!H223</f>
        <v/>
      </c>
      <c r="I223" s="105" t="n"/>
      <c r="J223" s="183">
        <f>F223</f>
        <v/>
      </c>
      <c r="K223" s="184" t="n"/>
      <c r="L223" s="185" t="n"/>
      <c r="M223" s="8" t="n"/>
      <c r="N223" s="184">
        <f>M223</f>
        <v/>
      </c>
      <c r="O223" s="71" t="n"/>
      <c r="P223" s="101" t="n"/>
      <c r="Q223" s="9">
        <f>J223-N223</f>
        <v/>
      </c>
      <c r="R223" s="9">
        <f>IF(LEFT(B223,4)&lt;&gt;"    ",0,BI223)</f>
        <v/>
      </c>
      <c r="S223" s="9">
        <f>+Q223-R223</f>
        <v/>
      </c>
      <c r="T223" s="200">
        <f>IF('Jobs-Ops'!S223&lt;&gt; "",'Jobs-Ops'!S223,"")</f>
        <v/>
      </c>
      <c r="U223" s="10" t="n"/>
      <c r="V223" s="23">
        <f>IF(LEFT(B223,4)&lt;&gt;"    ","",IF(N223&lt;&gt;0,X223/N223,0))</f>
        <v/>
      </c>
      <c r="W223" s="11">
        <f>IF(LEFT(B223,4)&lt;&gt;"    ","",IF(V223&gt;=0.1,V223*J223,X223))</f>
        <v/>
      </c>
      <c r="X223" s="8" t="n"/>
      <c r="Y223" s="9">
        <f>IF(LEFT(B223,4)&lt;&gt;"    ",0,IF(Q223&lt;0,Q223,IF(V223&gt;0.1,W223-X223,0)))</f>
        <v/>
      </c>
      <c r="Z223" s="9">
        <f>IF(LEFT(B223,4)&lt;&gt;"    ",0,IF(V223&gt;0.1,BI223,0))</f>
        <v/>
      </c>
      <c r="AA223" s="9">
        <f>Y223-Z223</f>
        <v/>
      </c>
      <c r="AB223" s="10" t="n"/>
      <c r="AC223" s="24" t="n"/>
      <c r="AD223" s="11" t="n"/>
      <c r="AE223" s="8" t="n"/>
      <c r="AF223" s="9">
        <f>IF(LEFT(B223,4)&lt;&gt;"    ","",AD223-AE223)</f>
        <v/>
      </c>
      <c r="AG223" s="10" t="n"/>
      <c r="AH223" s="11">
        <f>IF(LEFT(B223,4)&lt;&gt;"    ","",W223-AD223)</f>
        <v/>
      </c>
      <c r="AI223" s="8">
        <f>IF(LEFT(B223,4)&lt;&gt;"    ","",X223-AE223)</f>
        <v/>
      </c>
      <c r="AJ223" s="9">
        <f>IF(LEFT(B223,4)&lt;&gt;"    ","",Y223-AF223)</f>
        <v/>
      </c>
      <c r="AK223" s="10" t="n"/>
      <c r="AL223" s="25">
        <f>IF(LEFT(B223,4)&lt;&gt;"    ","",J223-W223)</f>
        <v/>
      </c>
      <c r="AM223" s="25">
        <f>N223-X223</f>
        <v/>
      </c>
      <c r="AN223" s="25">
        <f>IF(LEFT(B223,4)&lt;&gt;"    ","",Q223-Y223)</f>
        <v/>
      </c>
      <c r="AO223" s="10" t="n"/>
      <c r="AP223" s="12" t="n"/>
      <c r="AQ223" s="12">
        <f>IF(LEFT(B223,4)&lt;&gt;"    ","",IF(W223-AP223&gt;=0,W223-AP223," "))</f>
        <v/>
      </c>
      <c r="AR223" s="12">
        <f>IF(LEFT(B223,4)&lt;&gt;"    ","",IF(AP223-W223&gt;=0,AP223-W223," "))</f>
        <v/>
      </c>
      <c r="AS223" s="186" t="n"/>
      <c r="AT223" s="187" t="n"/>
      <c r="AU223" s="186" t="n"/>
      <c r="AV223" s="186" t="n"/>
      <c r="AW223" s="188" t="n"/>
      <c r="AX223" s="187" t="n"/>
      <c r="AY223" s="187" t="n"/>
      <c r="AZ223" s="186" t="n"/>
      <c r="BA223" s="186" t="n"/>
      <c r="BB223" s="186" t="n"/>
      <c r="BC223" s="186" t="n"/>
      <c r="BD223" s="186" t="n"/>
      <c r="BE223" s="186" t="n"/>
      <c r="BF223" s="186" t="n"/>
      <c r="BG223" s="186" t="n"/>
      <c r="BH223" s="186" t="n"/>
      <c r="BI223" s="186" t="n"/>
      <c r="BJ223" s="186" t="n"/>
      <c r="BK223" s="186" t="n"/>
      <c r="BL223" s="186" t="n"/>
      <c r="BM223" s="186" t="n"/>
      <c r="BN223" s="186" t="n"/>
      <c r="BO223" s="186" t="n"/>
      <c r="BP223" s="186" t="n"/>
      <c r="BQ223" s="186" t="n"/>
      <c r="BR223" s="186" t="n"/>
      <c r="BS223" s="186" t="n"/>
      <c r="BT223" s="186" t="n"/>
      <c r="BU223" s="186" t="n"/>
      <c r="BV223" s="190" t="n"/>
      <c r="BW223" s="186" t="n"/>
      <c r="BX223" s="186" t="n"/>
      <c r="BY223" s="186" t="n"/>
      <c r="BZ223" s="186" t="n"/>
      <c r="CA223" s="186" t="n"/>
      <c r="CB223" s="187" t="n"/>
      <c r="CC223" s="192" t="n"/>
      <c r="CD223" s="192" t="n"/>
      <c r="CE223" s="192" t="n"/>
      <c r="CF223" s="192" t="n"/>
    </row>
    <row r="224">
      <c r="A224" s="197" t="n"/>
      <c r="B224" s="198" t="n"/>
      <c r="C224" s="198" t="n"/>
      <c r="D224" s="179" t="n"/>
      <c r="E224" s="180" t="n"/>
      <c r="F224" s="181" t="n"/>
      <c r="G224" s="284">
        <f>'Jobs-Ops'!G224</f>
        <v/>
      </c>
      <c r="H224" s="114">
        <f>'Jobs-Ops'!H224</f>
        <v/>
      </c>
      <c r="I224" s="105" t="n"/>
      <c r="J224" s="183">
        <f>F224</f>
        <v/>
      </c>
      <c r="K224" s="184" t="n"/>
      <c r="L224" s="185" t="n"/>
      <c r="M224" s="8" t="n"/>
      <c r="N224" s="184">
        <f>M224</f>
        <v/>
      </c>
      <c r="O224" s="71" t="n"/>
      <c r="P224" s="101" t="n"/>
      <c r="Q224" s="9">
        <f>J224-N224</f>
        <v/>
      </c>
      <c r="R224" s="9">
        <f>IF(LEFT(B224,4)&lt;&gt;"    ",0,BI224)</f>
        <v/>
      </c>
      <c r="S224" s="9">
        <f>+Q224-R224</f>
        <v/>
      </c>
      <c r="T224" s="200">
        <f>IF('Jobs-Ops'!S224&lt;&gt; "",'Jobs-Ops'!S224,"")</f>
        <v/>
      </c>
      <c r="U224" s="10" t="n"/>
      <c r="V224" s="23">
        <f>IF(LEFT(B224,4)&lt;&gt;"    ","",IF(N224&lt;&gt;0,X224/N224,0))</f>
        <v/>
      </c>
      <c r="W224" s="11">
        <f>IF(LEFT(B224,4)&lt;&gt;"    ","",IF(V224&gt;=0.1,V224*J224,X224))</f>
        <v/>
      </c>
      <c r="X224" s="8" t="n"/>
      <c r="Y224" s="9">
        <f>IF(LEFT(B224,4)&lt;&gt;"    ",0,IF(Q224&lt;0,Q224,IF(V224&gt;0.1,W224-X224,0)))</f>
        <v/>
      </c>
      <c r="Z224" s="9">
        <f>IF(LEFT(B224,4)&lt;&gt;"    ",0,IF(V224&gt;0.1,BI224,0))</f>
        <v/>
      </c>
      <c r="AA224" s="9">
        <f>Y224-Z224</f>
        <v/>
      </c>
      <c r="AB224" s="10" t="n"/>
      <c r="AC224" s="24" t="n"/>
      <c r="AD224" s="11" t="n"/>
      <c r="AE224" s="8" t="n"/>
      <c r="AF224" s="9">
        <f>IF(LEFT(B224,4)&lt;&gt;"    ","",AD224-AE224)</f>
        <v/>
      </c>
      <c r="AG224" s="10" t="n"/>
      <c r="AH224" s="11">
        <f>IF(LEFT(B224,4)&lt;&gt;"    ","",W224-AD224)</f>
        <v/>
      </c>
      <c r="AI224" s="8">
        <f>IF(LEFT(B224,4)&lt;&gt;"    ","",X224-AE224)</f>
        <v/>
      </c>
      <c r="AJ224" s="9">
        <f>IF(LEFT(B224,4)&lt;&gt;"    ","",Y224-AF224)</f>
        <v/>
      </c>
      <c r="AK224" s="10" t="n"/>
      <c r="AL224" s="25">
        <f>IF(LEFT(B224,4)&lt;&gt;"    ","",J224-W224)</f>
        <v/>
      </c>
      <c r="AM224" s="25">
        <f>N224-X224</f>
        <v/>
      </c>
      <c r="AN224" s="25">
        <f>IF(LEFT(B224,4)&lt;&gt;"    ","",Q224-Y224)</f>
        <v/>
      </c>
      <c r="AO224" s="10" t="n"/>
      <c r="AP224" s="12" t="n"/>
      <c r="AQ224" s="12">
        <f>IF(LEFT(B224,4)&lt;&gt;"    ","",IF(W224-AP224&gt;=0,W224-AP224," "))</f>
        <v/>
      </c>
      <c r="AR224" s="12">
        <f>IF(LEFT(B224,4)&lt;&gt;"    ","",IF(AP224-W224&gt;=0,AP224-W224," "))</f>
        <v/>
      </c>
      <c r="AS224" s="186" t="n"/>
      <c r="AT224" s="187" t="n"/>
      <c r="AU224" s="186" t="n"/>
      <c r="AV224" s="186" t="n"/>
      <c r="AW224" s="188" t="n"/>
      <c r="AX224" s="187" t="n"/>
      <c r="AY224" s="187" t="n"/>
      <c r="AZ224" s="186" t="n"/>
      <c r="BA224" s="186" t="n"/>
      <c r="BB224" s="186" t="n"/>
      <c r="BC224" s="186" t="n"/>
      <c r="BD224" s="186" t="n"/>
      <c r="BE224" s="186" t="n"/>
      <c r="BF224" s="186" t="n"/>
      <c r="BG224" s="186" t="n"/>
      <c r="BH224" s="186" t="n"/>
      <c r="BI224" s="186" t="n"/>
      <c r="BJ224" s="186" t="n"/>
      <c r="BK224" s="186" t="n"/>
      <c r="BL224" s="186" t="n"/>
      <c r="BM224" s="186" t="n"/>
      <c r="BN224" s="186" t="n"/>
      <c r="BO224" s="186" t="n"/>
      <c r="BP224" s="186" t="n"/>
      <c r="BQ224" s="186" t="n"/>
      <c r="BR224" s="186" t="n"/>
      <c r="BS224" s="186" t="n"/>
      <c r="BT224" s="186" t="n"/>
      <c r="BU224" s="186" t="n"/>
      <c r="BV224" s="190" t="n"/>
      <c r="BW224" s="186" t="n"/>
      <c r="BX224" s="186" t="n"/>
      <c r="BY224" s="186" t="n"/>
      <c r="BZ224" s="186" t="n"/>
      <c r="CA224" s="186" t="n"/>
      <c r="CB224" s="187" t="n"/>
      <c r="CC224" s="192" t="n"/>
      <c r="CD224" s="192" t="n"/>
      <c r="CE224" s="192" t="n"/>
      <c r="CF224" s="192" t="n"/>
    </row>
    <row r="225">
      <c r="A225" s="197" t="n"/>
      <c r="B225" s="198" t="n"/>
      <c r="C225" s="198" t="n"/>
      <c r="D225" s="179" t="n"/>
      <c r="E225" s="180" t="n"/>
      <c r="F225" s="181" t="n"/>
      <c r="G225" s="284">
        <f>'Jobs-Ops'!G225</f>
        <v/>
      </c>
      <c r="H225" s="114">
        <f>'Jobs-Ops'!H225</f>
        <v/>
      </c>
      <c r="I225" s="105" t="n"/>
      <c r="J225" s="183">
        <f>F225</f>
        <v/>
      </c>
      <c r="K225" s="184" t="n"/>
      <c r="L225" s="185" t="n"/>
      <c r="M225" s="8" t="n"/>
      <c r="N225" s="184">
        <f>M225</f>
        <v/>
      </c>
      <c r="O225" s="71" t="n"/>
      <c r="P225" s="101" t="n"/>
      <c r="Q225" s="9">
        <f>J225-N225</f>
        <v/>
      </c>
      <c r="R225" s="9">
        <f>IF(LEFT(B225,4)&lt;&gt;"    ",0,BI225)</f>
        <v/>
      </c>
      <c r="S225" s="9">
        <f>+Q225-R225</f>
        <v/>
      </c>
      <c r="T225" s="200">
        <f>IF('Jobs-Ops'!S225&lt;&gt; "",'Jobs-Ops'!S225,"")</f>
        <v/>
      </c>
      <c r="U225" s="10" t="n"/>
      <c r="V225" s="23">
        <f>IF(LEFT(B225,4)&lt;&gt;"    ","",IF(N225&lt;&gt;0,X225/N225,0))</f>
        <v/>
      </c>
      <c r="W225" s="11">
        <f>IF(LEFT(B225,4)&lt;&gt;"    ","",IF(V225&gt;=0.1,V225*J225,X225))</f>
        <v/>
      </c>
      <c r="X225" s="8" t="n"/>
      <c r="Y225" s="9">
        <f>IF(LEFT(B225,4)&lt;&gt;"    ",0,IF(Q225&lt;0,Q225,IF(V225&gt;0.1,W225-X225,0)))</f>
        <v/>
      </c>
      <c r="Z225" s="9">
        <f>IF(LEFT(B225,4)&lt;&gt;"    ",0,IF(V225&gt;0.1,BI225,0))</f>
        <v/>
      </c>
      <c r="AA225" s="9">
        <f>Y225-Z225</f>
        <v/>
      </c>
      <c r="AB225" s="10" t="n"/>
      <c r="AC225" s="24" t="n"/>
      <c r="AD225" s="11" t="n"/>
      <c r="AE225" s="8" t="n"/>
      <c r="AF225" s="9">
        <f>IF(LEFT(B225,4)&lt;&gt;"    ","",AD225-AE225)</f>
        <v/>
      </c>
      <c r="AG225" s="10" t="n"/>
      <c r="AH225" s="11">
        <f>IF(LEFT(B225,4)&lt;&gt;"    ","",W225-AD225)</f>
        <v/>
      </c>
      <c r="AI225" s="8">
        <f>IF(LEFT(B225,4)&lt;&gt;"    ","",X225-AE225)</f>
        <v/>
      </c>
      <c r="AJ225" s="9">
        <f>IF(LEFT(B225,4)&lt;&gt;"    ","",Y225-AF225)</f>
        <v/>
      </c>
      <c r="AK225" s="10" t="n"/>
      <c r="AL225" s="25">
        <f>IF(LEFT(B225,4)&lt;&gt;"    ","",J225-W225)</f>
        <v/>
      </c>
      <c r="AM225" s="25">
        <f>N225-X225</f>
        <v/>
      </c>
      <c r="AN225" s="25">
        <f>IF(LEFT(B225,4)&lt;&gt;"    ","",Q225-Y225)</f>
        <v/>
      </c>
      <c r="AO225" s="10" t="n"/>
      <c r="AP225" s="12" t="n"/>
      <c r="AQ225" s="12">
        <f>IF(LEFT(B225,4)&lt;&gt;"    ","",IF(W225-AP225&gt;=0,W225-AP225," "))</f>
        <v/>
      </c>
      <c r="AR225" s="12">
        <f>IF(LEFT(B225,4)&lt;&gt;"    ","",IF(AP225-W225&gt;=0,AP225-W225," "))</f>
        <v/>
      </c>
      <c r="AS225" s="186" t="n"/>
      <c r="AT225" s="187" t="n"/>
      <c r="AU225" s="186" t="n"/>
      <c r="AV225" s="186" t="n"/>
      <c r="AW225" s="188" t="n"/>
      <c r="AX225" s="187" t="n"/>
      <c r="AY225" s="187" t="n"/>
      <c r="AZ225" s="186" t="n"/>
      <c r="BA225" s="186" t="n"/>
      <c r="BB225" s="186" t="n"/>
      <c r="BC225" s="186" t="n"/>
      <c r="BD225" s="186" t="n"/>
      <c r="BE225" s="186" t="n"/>
      <c r="BF225" s="186" t="n"/>
      <c r="BG225" s="186" t="n"/>
      <c r="BH225" s="186" t="n"/>
      <c r="BI225" s="186" t="n"/>
      <c r="BJ225" s="186" t="n"/>
      <c r="BK225" s="186" t="n"/>
      <c r="BL225" s="186" t="n"/>
      <c r="BM225" s="186" t="n"/>
      <c r="BN225" s="186" t="n"/>
      <c r="BO225" s="186" t="n"/>
      <c r="BP225" s="186" t="n"/>
      <c r="BQ225" s="186" t="n"/>
      <c r="BR225" s="186" t="n"/>
      <c r="BS225" s="186" t="n"/>
      <c r="BT225" s="186" t="n"/>
      <c r="BU225" s="186" t="n"/>
      <c r="BV225" s="190" t="n"/>
      <c r="BW225" s="186" t="n"/>
      <c r="BX225" s="186" t="n"/>
      <c r="BY225" s="186" t="n"/>
      <c r="BZ225" s="186" t="n"/>
      <c r="CA225" s="186" t="n"/>
      <c r="CB225" s="187" t="n"/>
      <c r="CC225" s="192" t="n"/>
      <c r="CD225" s="192" t="n"/>
      <c r="CE225" s="192" t="n"/>
      <c r="CF225" s="192" t="n"/>
    </row>
    <row r="226">
      <c r="A226" s="197" t="n"/>
      <c r="B226" s="198" t="n"/>
      <c r="C226" s="198" t="n"/>
      <c r="D226" s="179" t="n"/>
      <c r="E226" s="180" t="n"/>
      <c r="F226" s="181" t="n"/>
      <c r="G226" s="284">
        <f>'Jobs-Ops'!G226</f>
        <v/>
      </c>
      <c r="H226" s="114">
        <f>'Jobs-Ops'!H226</f>
        <v/>
      </c>
      <c r="I226" s="105" t="n"/>
      <c r="J226" s="183">
        <f>F226</f>
        <v/>
      </c>
      <c r="K226" s="184" t="n"/>
      <c r="L226" s="185" t="n"/>
      <c r="M226" s="8" t="n"/>
      <c r="N226" s="184">
        <f>M226</f>
        <v/>
      </c>
      <c r="O226" s="71" t="n"/>
      <c r="P226" s="101" t="n"/>
      <c r="Q226" s="9">
        <f>J226-N226</f>
        <v/>
      </c>
      <c r="R226" s="9">
        <f>IF(LEFT(B226,4)&lt;&gt;"    ",0,BI226)</f>
        <v/>
      </c>
      <c r="S226" s="9">
        <f>+Q226-R226</f>
        <v/>
      </c>
      <c r="T226" s="200">
        <f>IF('Jobs-Ops'!S226&lt;&gt; "",'Jobs-Ops'!S226,"")</f>
        <v/>
      </c>
      <c r="U226" s="10" t="n"/>
      <c r="V226" s="23">
        <f>IF(LEFT(B226,4)&lt;&gt;"    ","",IF(N226&lt;&gt;0,X226/N226,0))</f>
        <v/>
      </c>
      <c r="W226" s="11">
        <f>IF(LEFT(B226,4)&lt;&gt;"    ","",IF(V226&gt;=0.1,V226*J226,X226))</f>
        <v/>
      </c>
      <c r="X226" s="8" t="n"/>
      <c r="Y226" s="9">
        <f>IF(LEFT(B226,4)&lt;&gt;"    ",0,IF(Q226&lt;0,Q226,IF(V226&gt;0.1,W226-X226,0)))</f>
        <v/>
      </c>
      <c r="Z226" s="9">
        <f>IF(LEFT(B226,4)&lt;&gt;"    ",0,IF(V226&gt;0.1,BI226,0))</f>
        <v/>
      </c>
      <c r="AA226" s="9">
        <f>Y226-Z226</f>
        <v/>
      </c>
      <c r="AB226" s="10" t="n"/>
      <c r="AC226" s="24" t="n"/>
      <c r="AD226" s="11" t="n"/>
      <c r="AE226" s="8" t="n"/>
      <c r="AF226" s="9">
        <f>IF(LEFT(B226,4)&lt;&gt;"    ","",AD226-AE226)</f>
        <v/>
      </c>
      <c r="AG226" s="10" t="n"/>
      <c r="AH226" s="11">
        <f>IF(LEFT(B226,4)&lt;&gt;"    ","",W226-AD226)</f>
        <v/>
      </c>
      <c r="AI226" s="8">
        <f>IF(LEFT(B226,4)&lt;&gt;"    ","",X226-AE226)</f>
        <v/>
      </c>
      <c r="AJ226" s="9">
        <f>IF(LEFT(B226,4)&lt;&gt;"    ","",Y226-AF226)</f>
        <v/>
      </c>
      <c r="AK226" s="10" t="n"/>
      <c r="AL226" s="25">
        <f>IF(LEFT(B226,4)&lt;&gt;"    ","",J226-W226)</f>
        <v/>
      </c>
      <c r="AM226" s="25">
        <f>N226-X226</f>
        <v/>
      </c>
      <c r="AN226" s="25">
        <f>IF(LEFT(B226,4)&lt;&gt;"    ","",Q226-Y226)</f>
        <v/>
      </c>
      <c r="AO226" s="10" t="n"/>
      <c r="AP226" s="12" t="n"/>
      <c r="AQ226" s="12">
        <f>IF(LEFT(B226,4)&lt;&gt;"    ","",IF(W226-AP226&gt;=0,W226-AP226," "))</f>
        <v/>
      </c>
      <c r="AR226" s="12">
        <f>IF(LEFT(B226,4)&lt;&gt;"    ","",IF(AP226-W226&gt;=0,AP226-W226," "))</f>
        <v/>
      </c>
      <c r="AS226" s="186" t="n"/>
      <c r="AT226" s="187" t="n"/>
      <c r="AU226" s="186" t="n"/>
      <c r="AV226" s="186" t="n"/>
      <c r="AW226" s="188" t="n"/>
      <c r="AX226" s="187" t="n"/>
      <c r="AY226" s="187" t="n"/>
      <c r="AZ226" s="186" t="n"/>
      <c r="BA226" s="186" t="n"/>
      <c r="BB226" s="186" t="n"/>
      <c r="BC226" s="186" t="n"/>
      <c r="BD226" s="186" t="n"/>
      <c r="BE226" s="186" t="n"/>
      <c r="BF226" s="186" t="n"/>
      <c r="BG226" s="186" t="n"/>
      <c r="BH226" s="186" t="n"/>
      <c r="BI226" s="186" t="n"/>
      <c r="BJ226" s="186" t="n"/>
      <c r="BK226" s="186" t="n"/>
      <c r="BL226" s="186" t="n"/>
      <c r="BM226" s="186" t="n"/>
      <c r="BN226" s="186" t="n"/>
      <c r="BO226" s="186" t="n"/>
      <c r="BP226" s="186" t="n"/>
      <c r="BQ226" s="186" t="n"/>
      <c r="BR226" s="186" t="n"/>
      <c r="BS226" s="186" t="n"/>
      <c r="BT226" s="186" t="n"/>
      <c r="BU226" s="186" t="n"/>
      <c r="BV226" s="190" t="n"/>
      <c r="BW226" s="186" t="n"/>
      <c r="BX226" s="186" t="n"/>
      <c r="BY226" s="186" t="n"/>
      <c r="BZ226" s="186" t="n"/>
      <c r="CA226" s="186" t="n"/>
      <c r="CB226" s="187" t="n"/>
      <c r="CC226" s="192" t="n"/>
      <c r="CD226" s="192" t="n"/>
      <c r="CE226" s="192" t="n"/>
      <c r="CF226" s="192" t="n"/>
    </row>
    <row r="227">
      <c r="A227" s="197" t="n"/>
      <c r="B227" s="198" t="n"/>
      <c r="C227" s="198" t="n"/>
      <c r="D227" s="179" t="n"/>
      <c r="E227" s="180" t="n"/>
      <c r="F227" s="181" t="n"/>
      <c r="G227" s="284">
        <f>'Jobs-Ops'!G227</f>
        <v/>
      </c>
      <c r="H227" s="114">
        <f>'Jobs-Ops'!H227</f>
        <v/>
      </c>
      <c r="I227" s="105" t="n"/>
      <c r="J227" s="183">
        <f>F227</f>
        <v/>
      </c>
      <c r="K227" s="184" t="n"/>
      <c r="L227" s="185" t="n"/>
      <c r="M227" s="8" t="n"/>
      <c r="N227" s="184">
        <f>M227</f>
        <v/>
      </c>
      <c r="O227" s="71" t="n"/>
      <c r="P227" s="101" t="n"/>
      <c r="Q227" s="9">
        <f>J227-N227</f>
        <v/>
      </c>
      <c r="R227" s="9">
        <f>IF(LEFT(B227,4)&lt;&gt;"    ",0,BI227)</f>
        <v/>
      </c>
      <c r="S227" s="9">
        <f>+Q227-R227</f>
        <v/>
      </c>
      <c r="T227" s="200">
        <f>IF('Jobs-Ops'!S227&lt;&gt; "",'Jobs-Ops'!S227,"")</f>
        <v/>
      </c>
      <c r="U227" s="10" t="n"/>
      <c r="V227" s="23">
        <f>IF(LEFT(B227,4)&lt;&gt;"    ","",IF(N227&lt;&gt;0,X227/N227,0))</f>
        <v/>
      </c>
      <c r="W227" s="11">
        <f>IF(LEFT(B227,4)&lt;&gt;"    ","",IF(V227&gt;=0.1,V227*J227,X227))</f>
        <v/>
      </c>
      <c r="X227" s="8" t="n"/>
      <c r="Y227" s="9">
        <f>IF(LEFT(B227,4)&lt;&gt;"    ",0,IF(Q227&lt;0,Q227,IF(V227&gt;0.1,W227-X227,0)))</f>
        <v/>
      </c>
      <c r="Z227" s="9">
        <f>IF(LEFT(B227,4)&lt;&gt;"    ",0,IF(V227&gt;0.1,BI227,0))</f>
        <v/>
      </c>
      <c r="AA227" s="9">
        <f>Y227-Z227</f>
        <v/>
      </c>
      <c r="AB227" s="10" t="n"/>
      <c r="AC227" s="24" t="n"/>
      <c r="AD227" s="11" t="n"/>
      <c r="AE227" s="8" t="n"/>
      <c r="AF227" s="9">
        <f>IF(LEFT(B227,4)&lt;&gt;"    ","",AD227-AE227)</f>
        <v/>
      </c>
      <c r="AG227" s="10" t="n"/>
      <c r="AH227" s="11">
        <f>IF(LEFT(B227,4)&lt;&gt;"    ","",W227-AD227)</f>
        <v/>
      </c>
      <c r="AI227" s="8">
        <f>IF(LEFT(B227,4)&lt;&gt;"    ","",X227-AE227)</f>
        <v/>
      </c>
      <c r="AJ227" s="9">
        <f>IF(LEFT(B227,4)&lt;&gt;"    ","",Y227-AF227)</f>
        <v/>
      </c>
      <c r="AK227" s="10" t="n"/>
      <c r="AL227" s="25">
        <f>IF(LEFT(B227,4)&lt;&gt;"    ","",J227-W227)</f>
        <v/>
      </c>
      <c r="AM227" s="25">
        <f>N227-X227</f>
        <v/>
      </c>
      <c r="AN227" s="25">
        <f>IF(LEFT(B227,4)&lt;&gt;"    ","",Q227-Y227)</f>
        <v/>
      </c>
      <c r="AO227" s="10" t="n"/>
      <c r="AP227" s="12" t="n"/>
      <c r="AQ227" s="12">
        <f>IF(LEFT(B227,4)&lt;&gt;"    ","",IF(W227-AP227&gt;=0,W227-AP227," "))</f>
        <v/>
      </c>
      <c r="AR227" s="12">
        <f>IF(LEFT(B227,4)&lt;&gt;"    ","",IF(AP227-W227&gt;=0,AP227-W227," "))</f>
        <v/>
      </c>
      <c r="AS227" s="186" t="n"/>
      <c r="AT227" s="187" t="n"/>
      <c r="AU227" s="186" t="n"/>
      <c r="AV227" s="186" t="n"/>
      <c r="AW227" s="188" t="n"/>
      <c r="AX227" s="187" t="n"/>
      <c r="AY227" s="187" t="n"/>
      <c r="AZ227" s="186" t="n"/>
      <c r="BA227" s="186" t="n"/>
      <c r="BB227" s="186" t="n"/>
      <c r="BC227" s="186" t="n"/>
      <c r="BD227" s="186" t="n"/>
      <c r="BE227" s="186" t="n"/>
      <c r="BF227" s="186" t="n"/>
      <c r="BG227" s="186" t="n"/>
      <c r="BH227" s="186" t="n"/>
      <c r="BI227" s="186" t="n"/>
      <c r="BJ227" s="186" t="n"/>
      <c r="BK227" s="186" t="n"/>
      <c r="BL227" s="186" t="n"/>
      <c r="BM227" s="186" t="n"/>
      <c r="BN227" s="186" t="n"/>
      <c r="BO227" s="186" t="n"/>
      <c r="BP227" s="186" t="n"/>
      <c r="BQ227" s="186" t="n"/>
      <c r="BR227" s="186" t="n"/>
      <c r="BS227" s="186" t="n"/>
      <c r="BT227" s="186" t="n"/>
      <c r="BU227" s="186" t="n"/>
      <c r="BV227" s="190" t="n"/>
      <c r="BW227" s="186" t="n"/>
      <c r="BX227" s="186" t="n"/>
      <c r="BY227" s="186" t="n"/>
      <c r="BZ227" s="186" t="n"/>
      <c r="CA227" s="186" t="n"/>
      <c r="CB227" s="187" t="n"/>
      <c r="CC227" s="192" t="n"/>
      <c r="CD227" s="192" t="n"/>
      <c r="CE227" s="192" t="n"/>
      <c r="CF227" s="192" t="n"/>
    </row>
    <row r="228">
      <c r="A228" s="197" t="n"/>
      <c r="B228" s="198" t="n"/>
      <c r="C228" s="198" t="n"/>
      <c r="D228" s="179" t="n"/>
      <c r="E228" s="180" t="n"/>
      <c r="F228" s="181" t="n"/>
      <c r="G228" s="284">
        <f>'Jobs-Ops'!G228</f>
        <v/>
      </c>
      <c r="H228" s="114">
        <f>'Jobs-Ops'!H228</f>
        <v/>
      </c>
      <c r="I228" s="105" t="n"/>
      <c r="J228" s="183">
        <f>F228</f>
        <v/>
      </c>
      <c r="K228" s="184" t="n"/>
      <c r="L228" s="185" t="n"/>
      <c r="M228" s="8" t="n"/>
      <c r="N228" s="184">
        <f>M228</f>
        <v/>
      </c>
      <c r="O228" s="71" t="n"/>
      <c r="P228" s="101" t="n"/>
      <c r="Q228" s="9">
        <f>J228-N228</f>
        <v/>
      </c>
      <c r="R228" s="9">
        <f>IF(LEFT(B228,4)&lt;&gt;"    ",0,BI228)</f>
        <v/>
      </c>
      <c r="S228" s="9">
        <f>+Q228-R228</f>
        <v/>
      </c>
      <c r="T228" s="200">
        <f>IF('Jobs-Ops'!S228&lt;&gt; "",'Jobs-Ops'!S228,"")</f>
        <v/>
      </c>
      <c r="U228" s="10" t="n"/>
      <c r="V228" s="23">
        <f>IF(LEFT(B228,4)&lt;&gt;"    ","",IF(N228&lt;&gt;0,X228/N228,0))</f>
        <v/>
      </c>
      <c r="W228" s="11">
        <f>IF(LEFT(B228,4)&lt;&gt;"    ","",IF(V228&gt;=0.1,V228*J228,X228))</f>
        <v/>
      </c>
      <c r="X228" s="8" t="n"/>
      <c r="Y228" s="9">
        <f>IF(LEFT(B228,4)&lt;&gt;"    ",0,IF(Q228&lt;0,Q228,IF(V228&gt;0.1,W228-X228,0)))</f>
        <v/>
      </c>
      <c r="Z228" s="9">
        <f>IF(LEFT(B228,4)&lt;&gt;"    ",0,IF(V228&gt;0.1,BI228,0))</f>
        <v/>
      </c>
      <c r="AA228" s="9">
        <f>Y228-Z228</f>
        <v/>
      </c>
      <c r="AB228" s="10" t="n"/>
      <c r="AC228" s="24" t="n"/>
      <c r="AD228" s="11" t="n"/>
      <c r="AE228" s="8" t="n"/>
      <c r="AF228" s="9">
        <f>IF(LEFT(B228,4)&lt;&gt;"    ","",AD228-AE228)</f>
        <v/>
      </c>
      <c r="AG228" s="10" t="n"/>
      <c r="AH228" s="11">
        <f>IF(LEFT(B228,4)&lt;&gt;"    ","",W228-AD228)</f>
        <v/>
      </c>
      <c r="AI228" s="8">
        <f>IF(LEFT(B228,4)&lt;&gt;"    ","",X228-AE228)</f>
        <v/>
      </c>
      <c r="AJ228" s="9">
        <f>IF(LEFT(B228,4)&lt;&gt;"    ","",Y228-AF228)</f>
        <v/>
      </c>
      <c r="AK228" s="10" t="n"/>
      <c r="AL228" s="25">
        <f>IF(LEFT(B228,4)&lt;&gt;"    ","",J228-W228)</f>
        <v/>
      </c>
      <c r="AM228" s="25">
        <f>N228-X228</f>
        <v/>
      </c>
      <c r="AN228" s="25">
        <f>IF(LEFT(B228,4)&lt;&gt;"    ","",Q228-Y228)</f>
        <v/>
      </c>
      <c r="AO228" s="10" t="n"/>
      <c r="AP228" s="12" t="n"/>
      <c r="AQ228" s="12">
        <f>IF(LEFT(B228,4)&lt;&gt;"    ","",IF(W228-AP228&gt;=0,W228-AP228," "))</f>
        <v/>
      </c>
      <c r="AR228" s="12">
        <f>IF(LEFT(B228,4)&lt;&gt;"    ","",IF(AP228-W228&gt;=0,AP228-W228," "))</f>
        <v/>
      </c>
      <c r="AS228" s="186" t="n"/>
      <c r="AT228" s="187" t="n"/>
      <c r="AU228" s="186" t="n"/>
      <c r="AV228" s="186" t="n"/>
      <c r="AW228" s="188" t="n"/>
      <c r="AX228" s="187" t="n"/>
      <c r="AY228" s="187" t="n"/>
      <c r="AZ228" s="186" t="n"/>
      <c r="BA228" s="186" t="n"/>
      <c r="BB228" s="186" t="n"/>
      <c r="BC228" s="186" t="n"/>
      <c r="BD228" s="186" t="n"/>
      <c r="BE228" s="186" t="n"/>
      <c r="BF228" s="186" t="n"/>
      <c r="BG228" s="186" t="n"/>
      <c r="BH228" s="186" t="n"/>
      <c r="BI228" s="186" t="n"/>
      <c r="BJ228" s="186" t="n"/>
      <c r="BK228" s="186" t="n"/>
      <c r="BL228" s="186" t="n"/>
      <c r="BM228" s="186" t="n"/>
      <c r="BN228" s="186" t="n"/>
      <c r="BO228" s="186" t="n"/>
      <c r="BP228" s="186" t="n"/>
      <c r="BQ228" s="186" t="n"/>
      <c r="BR228" s="186" t="n"/>
      <c r="BS228" s="186" t="n"/>
      <c r="BT228" s="186" t="n"/>
      <c r="BU228" s="186" t="n"/>
      <c r="BV228" s="190" t="n"/>
      <c r="BW228" s="186" t="n"/>
      <c r="BX228" s="186" t="n"/>
      <c r="BY228" s="186" t="n"/>
      <c r="BZ228" s="186" t="n"/>
      <c r="CA228" s="186" t="n"/>
      <c r="CB228" s="187" t="n"/>
      <c r="CC228" s="192" t="n"/>
      <c r="CD228" s="192" t="n"/>
      <c r="CE228" s="192" t="n"/>
      <c r="CF228" s="192" t="n"/>
    </row>
    <row r="229">
      <c r="A229" s="197" t="n"/>
      <c r="B229" s="198" t="n"/>
      <c r="C229" s="198" t="n"/>
      <c r="D229" s="179" t="n"/>
      <c r="E229" s="180" t="n"/>
      <c r="F229" s="181" t="n"/>
      <c r="G229" s="284">
        <f>'Jobs-Ops'!G229</f>
        <v/>
      </c>
      <c r="H229" s="114">
        <f>'Jobs-Ops'!H229</f>
        <v/>
      </c>
      <c r="I229" s="105" t="n"/>
      <c r="J229" s="183">
        <f>F229</f>
        <v/>
      </c>
      <c r="K229" s="184" t="n"/>
      <c r="L229" s="185" t="n"/>
      <c r="M229" s="8" t="n"/>
      <c r="N229" s="184">
        <f>M229</f>
        <v/>
      </c>
      <c r="O229" s="71" t="n"/>
      <c r="P229" s="101" t="n"/>
      <c r="Q229" s="9">
        <f>J229-N229</f>
        <v/>
      </c>
      <c r="R229" s="9">
        <f>IF(LEFT(B229,4)&lt;&gt;"    ",0,BI229)</f>
        <v/>
      </c>
      <c r="S229" s="9">
        <f>+Q229-R229</f>
        <v/>
      </c>
      <c r="T229" s="200">
        <f>IF('Jobs-Ops'!S229&lt;&gt; "",'Jobs-Ops'!S229,"")</f>
        <v/>
      </c>
      <c r="U229" s="10" t="n"/>
      <c r="V229" s="23">
        <f>IF(LEFT(B229,4)&lt;&gt;"    ","",IF(N229&lt;&gt;0,X229/N229,0))</f>
        <v/>
      </c>
      <c r="W229" s="11">
        <f>IF(LEFT(B229,4)&lt;&gt;"    ","",IF(V229&gt;=0.1,V229*J229,X229))</f>
        <v/>
      </c>
      <c r="X229" s="8" t="n"/>
      <c r="Y229" s="9">
        <f>IF(LEFT(B229,4)&lt;&gt;"    ",0,IF(Q229&lt;0,Q229,IF(V229&gt;0.1,W229-X229,0)))</f>
        <v/>
      </c>
      <c r="Z229" s="9">
        <f>IF(LEFT(B229,4)&lt;&gt;"    ",0,IF(V229&gt;0.1,BI229,0))</f>
        <v/>
      </c>
      <c r="AA229" s="9">
        <f>Y229-Z229</f>
        <v/>
      </c>
      <c r="AB229" s="10" t="n"/>
      <c r="AC229" s="24" t="n"/>
      <c r="AD229" s="11" t="n"/>
      <c r="AE229" s="8" t="n"/>
      <c r="AF229" s="9">
        <f>IF(LEFT(B229,4)&lt;&gt;"    ","",AD229-AE229)</f>
        <v/>
      </c>
      <c r="AG229" s="10" t="n"/>
      <c r="AH229" s="11">
        <f>IF(LEFT(B229,4)&lt;&gt;"    ","",W229-AD229)</f>
        <v/>
      </c>
      <c r="AI229" s="8">
        <f>IF(LEFT(B229,4)&lt;&gt;"    ","",X229-AE229)</f>
        <v/>
      </c>
      <c r="AJ229" s="9">
        <f>IF(LEFT(B229,4)&lt;&gt;"    ","",Y229-AF229)</f>
        <v/>
      </c>
      <c r="AK229" s="10" t="n"/>
      <c r="AL229" s="25">
        <f>IF(LEFT(B229,4)&lt;&gt;"    ","",J229-W229)</f>
        <v/>
      </c>
      <c r="AM229" s="25">
        <f>N229-X229</f>
        <v/>
      </c>
      <c r="AN229" s="25">
        <f>IF(LEFT(B229,4)&lt;&gt;"    ","",Q229-Y229)</f>
        <v/>
      </c>
      <c r="AO229" s="10" t="n"/>
      <c r="AP229" s="12" t="n"/>
      <c r="AQ229" s="12">
        <f>IF(LEFT(B229,4)&lt;&gt;"    ","",IF(W229-AP229&gt;=0,W229-AP229," "))</f>
        <v/>
      </c>
      <c r="AR229" s="12">
        <f>IF(LEFT(B229,4)&lt;&gt;"    ","",IF(AP229-W229&gt;=0,AP229-W229," "))</f>
        <v/>
      </c>
      <c r="AS229" s="186" t="n"/>
      <c r="AT229" s="187" t="n"/>
      <c r="AU229" s="186" t="n"/>
      <c r="AV229" s="186" t="n"/>
      <c r="AW229" s="188" t="n"/>
      <c r="AX229" s="187" t="n"/>
      <c r="AY229" s="187" t="n"/>
      <c r="AZ229" s="186" t="n"/>
      <c r="BA229" s="186" t="n"/>
      <c r="BB229" s="186" t="n"/>
      <c r="BC229" s="186" t="n"/>
      <c r="BD229" s="186" t="n"/>
      <c r="BE229" s="186" t="n"/>
      <c r="BF229" s="186" t="n"/>
      <c r="BG229" s="186" t="n"/>
      <c r="BH229" s="186" t="n"/>
      <c r="BI229" s="186" t="n"/>
      <c r="BJ229" s="186" t="n"/>
      <c r="BK229" s="186" t="n"/>
      <c r="BL229" s="186" t="n"/>
      <c r="BM229" s="186" t="n"/>
      <c r="BN229" s="186" t="n"/>
      <c r="BO229" s="186" t="n"/>
      <c r="BP229" s="186" t="n"/>
      <c r="BQ229" s="186" t="n"/>
      <c r="BR229" s="186" t="n"/>
      <c r="BS229" s="186" t="n"/>
      <c r="BT229" s="186" t="n"/>
      <c r="BU229" s="186" t="n"/>
      <c r="BV229" s="190" t="n"/>
      <c r="BW229" s="186" t="n"/>
      <c r="BX229" s="186" t="n"/>
      <c r="BY229" s="186" t="n"/>
      <c r="BZ229" s="186" t="n"/>
      <c r="CA229" s="186" t="n"/>
      <c r="CB229" s="187" t="n"/>
      <c r="CC229" s="192" t="n"/>
      <c r="CD229" s="192" t="n"/>
      <c r="CE229" s="192" t="n"/>
      <c r="CF229" s="192" t="n"/>
    </row>
    <row r="230">
      <c r="A230" s="197" t="n"/>
      <c r="B230" s="198" t="n"/>
      <c r="C230" s="198" t="n"/>
      <c r="D230" s="179" t="n"/>
      <c r="E230" s="180" t="n"/>
      <c r="F230" s="181" t="n"/>
      <c r="G230" s="284">
        <f>'Jobs-Ops'!G230</f>
        <v/>
      </c>
      <c r="H230" s="114">
        <f>'Jobs-Ops'!H230</f>
        <v/>
      </c>
      <c r="I230" s="105" t="n"/>
      <c r="J230" s="183">
        <f>F230</f>
        <v/>
      </c>
      <c r="K230" s="184" t="n"/>
      <c r="L230" s="185" t="n"/>
      <c r="M230" s="8" t="n"/>
      <c r="N230" s="184">
        <f>M230</f>
        <v/>
      </c>
      <c r="O230" s="71" t="n"/>
      <c r="P230" s="101" t="n"/>
      <c r="Q230" s="9">
        <f>J230-N230</f>
        <v/>
      </c>
      <c r="R230" s="9">
        <f>IF(LEFT(B230,4)&lt;&gt;"    ",0,BI230)</f>
        <v/>
      </c>
      <c r="S230" s="9">
        <f>+Q230-R230</f>
        <v/>
      </c>
      <c r="T230" s="200">
        <f>IF('Jobs-Ops'!S230&lt;&gt; "",'Jobs-Ops'!S230,"")</f>
        <v/>
      </c>
      <c r="U230" s="10" t="n"/>
      <c r="V230" s="23">
        <f>IF(LEFT(B230,4)&lt;&gt;"    ","",IF(N230&lt;&gt;0,X230/N230,0))</f>
        <v/>
      </c>
      <c r="W230" s="11">
        <f>IF(LEFT(B230,4)&lt;&gt;"    ","",IF(V230&gt;=0.1,V230*J230,X230))</f>
        <v/>
      </c>
      <c r="X230" s="8" t="n"/>
      <c r="Y230" s="9">
        <f>IF(LEFT(B230,4)&lt;&gt;"    ",0,IF(Q230&lt;0,Q230,IF(V230&gt;0.1,W230-X230,0)))</f>
        <v/>
      </c>
      <c r="Z230" s="9">
        <f>IF(LEFT(B230,4)&lt;&gt;"    ",0,IF(V230&gt;0.1,BI230,0))</f>
        <v/>
      </c>
      <c r="AA230" s="9">
        <f>Y230-Z230</f>
        <v/>
      </c>
      <c r="AB230" s="10" t="n"/>
      <c r="AC230" s="24" t="n"/>
      <c r="AD230" s="11" t="n"/>
      <c r="AE230" s="8" t="n"/>
      <c r="AF230" s="9">
        <f>IF(LEFT(B230,4)&lt;&gt;"    ","",AD230-AE230)</f>
        <v/>
      </c>
      <c r="AG230" s="10" t="n"/>
      <c r="AH230" s="11">
        <f>IF(LEFT(B230,4)&lt;&gt;"    ","",W230-AD230)</f>
        <v/>
      </c>
      <c r="AI230" s="8">
        <f>IF(LEFT(B230,4)&lt;&gt;"    ","",X230-AE230)</f>
        <v/>
      </c>
      <c r="AJ230" s="9">
        <f>IF(LEFT(B230,4)&lt;&gt;"    ","",Y230-AF230)</f>
        <v/>
      </c>
      <c r="AK230" s="10" t="n"/>
      <c r="AL230" s="25">
        <f>IF(LEFT(B230,4)&lt;&gt;"    ","",J230-W230)</f>
        <v/>
      </c>
      <c r="AM230" s="25">
        <f>N230-X230</f>
        <v/>
      </c>
      <c r="AN230" s="25">
        <f>IF(LEFT(B230,4)&lt;&gt;"    ","",Q230-Y230)</f>
        <v/>
      </c>
      <c r="AO230" s="10" t="n"/>
      <c r="AP230" s="12" t="n"/>
      <c r="AQ230" s="12">
        <f>IF(LEFT(B230,4)&lt;&gt;"    ","",IF(W230-AP230&gt;=0,W230-AP230," "))</f>
        <v/>
      </c>
      <c r="AR230" s="12">
        <f>IF(LEFT(B230,4)&lt;&gt;"    ","",IF(AP230-W230&gt;=0,AP230-W230," "))</f>
        <v/>
      </c>
      <c r="AS230" s="186" t="n"/>
      <c r="AT230" s="187" t="n"/>
      <c r="AU230" s="186" t="n"/>
      <c r="AV230" s="186" t="n"/>
      <c r="AW230" s="188" t="n"/>
      <c r="AX230" s="187" t="n"/>
      <c r="AY230" s="187" t="n"/>
      <c r="AZ230" s="186" t="n"/>
      <c r="BA230" s="186" t="n"/>
      <c r="BB230" s="186" t="n"/>
      <c r="BC230" s="186" t="n"/>
      <c r="BD230" s="186" t="n"/>
      <c r="BE230" s="186" t="n"/>
      <c r="BF230" s="186" t="n"/>
      <c r="BG230" s="186" t="n"/>
      <c r="BH230" s="186" t="n"/>
      <c r="BI230" s="186" t="n"/>
      <c r="BJ230" s="186" t="n"/>
      <c r="BK230" s="186" t="n"/>
      <c r="BL230" s="186" t="n"/>
      <c r="BM230" s="186" t="n"/>
      <c r="BN230" s="186" t="n"/>
      <c r="BO230" s="186" t="n"/>
      <c r="BP230" s="186" t="n"/>
      <c r="BQ230" s="186" t="n"/>
      <c r="BR230" s="186" t="n"/>
      <c r="BS230" s="186" t="n"/>
      <c r="BT230" s="186" t="n"/>
      <c r="BU230" s="186" t="n"/>
      <c r="BV230" s="190" t="n"/>
      <c r="BW230" s="186" t="n"/>
      <c r="BX230" s="186" t="n"/>
      <c r="BY230" s="186" t="n"/>
      <c r="BZ230" s="186" t="n"/>
      <c r="CA230" s="186" t="n"/>
      <c r="CB230" s="187" t="n"/>
      <c r="CC230" s="192" t="n"/>
      <c r="CD230" s="192" t="n"/>
      <c r="CE230" s="192" t="n"/>
      <c r="CF230" s="192" t="n"/>
    </row>
    <row r="231">
      <c r="A231" s="197" t="n"/>
      <c r="B231" s="198" t="n"/>
      <c r="C231" s="198" t="n"/>
      <c r="D231" s="179" t="n"/>
      <c r="E231" s="180" t="n"/>
      <c r="F231" s="181" t="n"/>
      <c r="G231" s="284">
        <f>'Jobs-Ops'!G231</f>
        <v/>
      </c>
      <c r="H231" s="114">
        <f>'Jobs-Ops'!H231</f>
        <v/>
      </c>
      <c r="I231" s="105" t="n"/>
      <c r="J231" s="183">
        <f>F231</f>
        <v/>
      </c>
      <c r="K231" s="184" t="n"/>
      <c r="L231" s="185" t="n"/>
      <c r="M231" s="8" t="n"/>
      <c r="N231" s="184">
        <f>M231</f>
        <v/>
      </c>
      <c r="O231" s="71" t="n"/>
      <c r="P231" s="101" t="n"/>
      <c r="Q231" s="9">
        <f>J231-N231</f>
        <v/>
      </c>
      <c r="R231" s="9">
        <f>IF(LEFT(B231,4)&lt;&gt;"    ",0,BI231)</f>
        <v/>
      </c>
      <c r="S231" s="9">
        <f>+Q231-R231</f>
        <v/>
      </c>
      <c r="T231" s="200">
        <f>IF('Jobs-Ops'!S231&lt;&gt; "",'Jobs-Ops'!S231,"")</f>
        <v/>
      </c>
      <c r="U231" s="10" t="n"/>
      <c r="V231" s="23">
        <f>IF(LEFT(B231,4)&lt;&gt;"    ","",IF(N231&lt;&gt;0,X231/N231,0))</f>
        <v/>
      </c>
      <c r="W231" s="11">
        <f>IF(LEFT(B231,4)&lt;&gt;"    ","",IF(V231&gt;=0.1,V231*J231,X231))</f>
        <v/>
      </c>
      <c r="X231" s="8" t="n"/>
      <c r="Y231" s="9">
        <f>IF(LEFT(B231,4)&lt;&gt;"    ",0,IF(Q231&lt;0,Q231,IF(V231&gt;0.1,W231-X231,0)))</f>
        <v/>
      </c>
      <c r="Z231" s="9">
        <f>IF(LEFT(B231,4)&lt;&gt;"    ",0,IF(V231&gt;0.1,BI231,0))</f>
        <v/>
      </c>
      <c r="AA231" s="9">
        <f>Y231-Z231</f>
        <v/>
      </c>
      <c r="AB231" s="10" t="n"/>
      <c r="AC231" s="24" t="n"/>
      <c r="AD231" s="11" t="n"/>
      <c r="AE231" s="8" t="n"/>
      <c r="AF231" s="9">
        <f>IF(LEFT(B231,4)&lt;&gt;"    ","",AD231-AE231)</f>
        <v/>
      </c>
      <c r="AG231" s="10" t="n"/>
      <c r="AH231" s="11">
        <f>IF(LEFT(B231,4)&lt;&gt;"    ","",W231-AD231)</f>
        <v/>
      </c>
      <c r="AI231" s="8">
        <f>IF(LEFT(B231,4)&lt;&gt;"    ","",X231-AE231)</f>
        <v/>
      </c>
      <c r="AJ231" s="9">
        <f>IF(LEFT(B231,4)&lt;&gt;"    ","",Y231-AF231)</f>
        <v/>
      </c>
      <c r="AK231" s="10" t="n"/>
      <c r="AL231" s="25">
        <f>IF(LEFT(B231,4)&lt;&gt;"    ","",J231-W231)</f>
        <v/>
      </c>
      <c r="AM231" s="25">
        <f>N231-X231</f>
        <v/>
      </c>
      <c r="AN231" s="25">
        <f>IF(LEFT(B231,4)&lt;&gt;"    ","",Q231-Y231)</f>
        <v/>
      </c>
      <c r="AO231" s="10" t="n"/>
      <c r="AP231" s="12" t="n"/>
      <c r="AQ231" s="12">
        <f>IF(LEFT(B231,4)&lt;&gt;"    ","",IF(W231-AP231&gt;=0,W231-AP231," "))</f>
        <v/>
      </c>
      <c r="AR231" s="12">
        <f>IF(LEFT(B231,4)&lt;&gt;"    ","",IF(AP231-W231&gt;=0,AP231-W231," "))</f>
        <v/>
      </c>
      <c r="AS231" s="186" t="n"/>
      <c r="AT231" s="187" t="n"/>
      <c r="AU231" s="186" t="n"/>
      <c r="AV231" s="186" t="n"/>
      <c r="AW231" s="188" t="n"/>
      <c r="AX231" s="187" t="n"/>
      <c r="AY231" s="187" t="n"/>
      <c r="AZ231" s="186" t="n"/>
      <c r="BA231" s="186" t="n"/>
      <c r="BB231" s="186" t="n"/>
      <c r="BC231" s="186" t="n"/>
      <c r="BD231" s="186" t="n"/>
      <c r="BE231" s="186" t="n"/>
      <c r="BF231" s="186" t="n"/>
      <c r="BG231" s="186" t="n"/>
      <c r="BH231" s="186" t="n"/>
      <c r="BI231" s="186" t="n"/>
      <c r="BJ231" s="186" t="n"/>
      <c r="BK231" s="186" t="n"/>
      <c r="BL231" s="186" t="n"/>
      <c r="BM231" s="186" t="n"/>
      <c r="BN231" s="186" t="n"/>
      <c r="BO231" s="186" t="n"/>
      <c r="BP231" s="186" t="n"/>
      <c r="BQ231" s="186" t="n"/>
      <c r="BR231" s="186" t="n"/>
      <c r="BS231" s="186" t="n"/>
      <c r="BT231" s="186" t="n"/>
      <c r="BU231" s="186" t="n"/>
      <c r="BV231" s="190" t="n"/>
      <c r="BW231" s="186" t="n"/>
      <c r="BX231" s="186" t="n"/>
      <c r="BY231" s="186" t="n"/>
      <c r="BZ231" s="186" t="n"/>
      <c r="CA231" s="186" t="n"/>
      <c r="CB231" s="187" t="n"/>
      <c r="CC231" s="192" t="n"/>
      <c r="CD231" s="192" t="n"/>
      <c r="CE231" s="192" t="n"/>
      <c r="CF231" s="192" t="n"/>
    </row>
    <row r="232">
      <c r="A232" s="197" t="n"/>
      <c r="B232" s="198" t="n"/>
      <c r="C232" s="198" t="n"/>
      <c r="D232" s="179" t="n"/>
      <c r="E232" s="180" t="n"/>
      <c r="F232" s="181" t="n"/>
      <c r="G232" s="284">
        <f>'Jobs-Ops'!G232</f>
        <v/>
      </c>
      <c r="H232" s="114">
        <f>'Jobs-Ops'!H232</f>
        <v/>
      </c>
      <c r="I232" s="105" t="n"/>
      <c r="J232" s="183">
        <f>F232</f>
        <v/>
      </c>
      <c r="K232" s="184" t="n"/>
      <c r="L232" s="185" t="n"/>
      <c r="M232" s="8" t="n"/>
      <c r="N232" s="184">
        <f>M232</f>
        <v/>
      </c>
      <c r="O232" s="71" t="n"/>
      <c r="P232" s="101" t="n"/>
      <c r="Q232" s="9">
        <f>J232-N232</f>
        <v/>
      </c>
      <c r="R232" s="9">
        <f>IF(LEFT(B232,4)&lt;&gt;"    ",0,BI232)</f>
        <v/>
      </c>
      <c r="S232" s="9">
        <f>+Q232-R232</f>
        <v/>
      </c>
      <c r="T232" s="200">
        <f>IF('Jobs-Ops'!S232&lt;&gt; "",'Jobs-Ops'!S232,"")</f>
        <v/>
      </c>
      <c r="U232" s="10" t="n"/>
      <c r="V232" s="23">
        <f>IF(LEFT(B232,4)&lt;&gt;"    ","",IF(N232&lt;&gt;0,X232/N232,0))</f>
        <v/>
      </c>
      <c r="W232" s="11">
        <f>IF(LEFT(B232,4)&lt;&gt;"    ","",IF(V232&gt;=0.1,V232*J232,X232))</f>
        <v/>
      </c>
      <c r="X232" s="8" t="n"/>
      <c r="Y232" s="9">
        <f>IF(LEFT(B232,4)&lt;&gt;"    ",0,IF(Q232&lt;0,Q232,IF(V232&gt;0.1,W232-X232,0)))</f>
        <v/>
      </c>
      <c r="Z232" s="9">
        <f>IF(LEFT(B232,4)&lt;&gt;"    ",0,IF(V232&gt;0.1,BI232,0))</f>
        <v/>
      </c>
      <c r="AA232" s="9">
        <f>Y232-Z232</f>
        <v/>
      </c>
      <c r="AB232" s="10" t="n"/>
      <c r="AC232" s="24" t="n"/>
      <c r="AD232" s="11" t="n"/>
      <c r="AE232" s="8" t="n"/>
      <c r="AF232" s="9">
        <f>IF(LEFT(B232,4)&lt;&gt;"    ","",AD232-AE232)</f>
        <v/>
      </c>
      <c r="AG232" s="10" t="n"/>
      <c r="AH232" s="11">
        <f>IF(LEFT(B232,4)&lt;&gt;"    ","",W232-AD232)</f>
        <v/>
      </c>
      <c r="AI232" s="8">
        <f>IF(LEFT(B232,4)&lt;&gt;"    ","",X232-AE232)</f>
        <v/>
      </c>
      <c r="AJ232" s="9">
        <f>IF(LEFT(B232,4)&lt;&gt;"    ","",Y232-AF232)</f>
        <v/>
      </c>
      <c r="AK232" s="10" t="n"/>
      <c r="AL232" s="25">
        <f>IF(LEFT(B232,4)&lt;&gt;"    ","",J232-W232)</f>
        <v/>
      </c>
      <c r="AM232" s="25">
        <f>N232-X232</f>
        <v/>
      </c>
      <c r="AN232" s="25">
        <f>IF(LEFT(B232,4)&lt;&gt;"    ","",Q232-Y232)</f>
        <v/>
      </c>
      <c r="AO232" s="10" t="n"/>
      <c r="AP232" s="12" t="n"/>
      <c r="AQ232" s="12">
        <f>IF(LEFT(B232,4)&lt;&gt;"    ","",IF(W232-AP232&gt;=0,W232-AP232," "))</f>
        <v/>
      </c>
      <c r="AR232" s="12">
        <f>IF(LEFT(B232,4)&lt;&gt;"    ","",IF(AP232-W232&gt;=0,AP232-W232," "))</f>
        <v/>
      </c>
      <c r="AS232" s="186" t="n"/>
      <c r="AT232" s="187" t="n"/>
      <c r="AU232" s="186" t="n"/>
      <c r="AV232" s="186" t="n"/>
      <c r="AW232" s="188" t="n"/>
      <c r="AX232" s="187" t="n"/>
      <c r="AY232" s="187" t="n"/>
      <c r="AZ232" s="186" t="n"/>
      <c r="BA232" s="186" t="n"/>
      <c r="BB232" s="186" t="n"/>
      <c r="BC232" s="186" t="n"/>
      <c r="BD232" s="186" t="n"/>
      <c r="BE232" s="186" t="n"/>
      <c r="BF232" s="186" t="n"/>
      <c r="BG232" s="186" t="n"/>
      <c r="BH232" s="186" t="n"/>
      <c r="BI232" s="186" t="n"/>
      <c r="BJ232" s="186" t="n"/>
      <c r="BK232" s="186" t="n"/>
      <c r="BL232" s="186" t="n"/>
      <c r="BM232" s="186" t="n"/>
      <c r="BN232" s="186" t="n"/>
      <c r="BO232" s="186" t="n"/>
      <c r="BP232" s="186" t="n"/>
      <c r="BQ232" s="186" t="n"/>
      <c r="BR232" s="186" t="n"/>
      <c r="BS232" s="186" t="n"/>
      <c r="BT232" s="186" t="n"/>
      <c r="BU232" s="186" t="n"/>
      <c r="BV232" s="190" t="n"/>
      <c r="BW232" s="186" t="n"/>
      <c r="BX232" s="186" t="n"/>
      <c r="BY232" s="186" t="n"/>
      <c r="BZ232" s="186" t="n"/>
      <c r="CA232" s="186" t="n"/>
      <c r="CB232" s="187" t="n"/>
      <c r="CC232" s="192" t="n"/>
      <c r="CD232" s="192" t="n"/>
      <c r="CE232" s="192" t="n"/>
      <c r="CF232" s="192" t="n"/>
    </row>
    <row r="233">
      <c r="A233" s="197" t="n"/>
      <c r="B233" s="198" t="n"/>
      <c r="C233" s="198" t="n"/>
      <c r="D233" s="179" t="n"/>
      <c r="E233" s="180" t="n"/>
      <c r="F233" s="181" t="n"/>
      <c r="G233" s="284">
        <f>'Jobs-Ops'!G233</f>
        <v/>
      </c>
      <c r="H233" s="114">
        <f>'Jobs-Ops'!H233</f>
        <v/>
      </c>
      <c r="I233" s="105" t="n"/>
      <c r="J233" s="183">
        <f>F233</f>
        <v/>
      </c>
      <c r="K233" s="184" t="n"/>
      <c r="L233" s="185" t="n"/>
      <c r="M233" s="8" t="n"/>
      <c r="N233" s="184">
        <f>M233</f>
        <v/>
      </c>
      <c r="O233" s="71" t="n"/>
      <c r="P233" s="101" t="n"/>
      <c r="Q233" s="9">
        <f>J233-N233</f>
        <v/>
      </c>
      <c r="R233" s="9">
        <f>IF(LEFT(B233,4)&lt;&gt;"    ",0,BI233)</f>
        <v/>
      </c>
      <c r="S233" s="9">
        <f>+Q233-R233</f>
        <v/>
      </c>
      <c r="T233" s="200">
        <f>IF('Jobs-Ops'!S233&lt;&gt; "",'Jobs-Ops'!S233,"")</f>
        <v/>
      </c>
      <c r="U233" s="10" t="n"/>
      <c r="V233" s="23">
        <f>IF(LEFT(B233,4)&lt;&gt;"    ","",IF(N233&lt;&gt;0,X233/N233,0))</f>
        <v/>
      </c>
      <c r="W233" s="11">
        <f>IF(LEFT(B233,4)&lt;&gt;"    ","",IF(V233&gt;=0.1,V233*J233,X233))</f>
        <v/>
      </c>
      <c r="X233" s="8" t="n"/>
      <c r="Y233" s="9">
        <f>IF(LEFT(B233,4)&lt;&gt;"    ",0,IF(Q233&lt;0,Q233,IF(V233&gt;0.1,W233-X233,0)))</f>
        <v/>
      </c>
      <c r="Z233" s="9">
        <f>IF(LEFT(B233,4)&lt;&gt;"    ",0,IF(V233&gt;0.1,BI233,0))</f>
        <v/>
      </c>
      <c r="AA233" s="9">
        <f>Y233-Z233</f>
        <v/>
      </c>
      <c r="AB233" s="10" t="n"/>
      <c r="AC233" s="24" t="n"/>
      <c r="AD233" s="11" t="n"/>
      <c r="AE233" s="8" t="n"/>
      <c r="AF233" s="9">
        <f>IF(LEFT(B233,4)&lt;&gt;"    ","",AD233-AE233)</f>
        <v/>
      </c>
      <c r="AG233" s="10" t="n"/>
      <c r="AH233" s="11">
        <f>IF(LEFT(B233,4)&lt;&gt;"    ","",W233-AD233)</f>
        <v/>
      </c>
      <c r="AI233" s="8">
        <f>IF(LEFT(B233,4)&lt;&gt;"    ","",X233-AE233)</f>
        <v/>
      </c>
      <c r="AJ233" s="9">
        <f>IF(LEFT(B233,4)&lt;&gt;"    ","",Y233-AF233)</f>
        <v/>
      </c>
      <c r="AK233" s="10" t="n"/>
      <c r="AL233" s="25">
        <f>IF(LEFT(B233,4)&lt;&gt;"    ","",J233-W233)</f>
        <v/>
      </c>
      <c r="AM233" s="25">
        <f>N233-X233</f>
        <v/>
      </c>
      <c r="AN233" s="25">
        <f>IF(LEFT(B233,4)&lt;&gt;"    ","",Q233-Y233)</f>
        <v/>
      </c>
      <c r="AO233" s="10" t="n"/>
      <c r="AP233" s="12" t="n"/>
      <c r="AQ233" s="12">
        <f>IF(LEFT(B233,4)&lt;&gt;"    ","",IF(W233-AP233&gt;=0,W233-AP233," "))</f>
        <v/>
      </c>
      <c r="AR233" s="12">
        <f>IF(LEFT(B233,4)&lt;&gt;"    ","",IF(AP233-W233&gt;=0,AP233-W233," "))</f>
        <v/>
      </c>
      <c r="AS233" s="186" t="n"/>
      <c r="AT233" s="187" t="n"/>
      <c r="AU233" s="186" t="n"/>
      <c r="AV233" s="186" t="n"/>
      <c r="AW233" s="188" t="n"/>
      <c r="AX233" s="187" t="n"/>
      <c r="AY233" s="187" t="n"/>
      <c r="AZ233" s="186" t="n"/>
      <c r="BA233" s="186" t="n"/>
      <c r="BB233" s="186" t="n"/>
      <c r="BC233" s="186" t="n"/>
      <c r="BD233" s="186" t="n"/>
      <c r="BE233" s="186" t="n"/>
      <c r="BF233" s="186" t="n"/>
      <c r="BG233" s="186" t="n"/>
      <c r="BH233" s="186" t="n"/>
      <c r="BI233" s="186" t="n"/>
      <c r="BJ233" s="186" t="n"/>
      <c r="BK233" s="186" t="n"/>
      <c r="BL233" s="186" t="n"/>
      <c r="BM233" s="186" t="n"/>
      <c r="BN233" s="186" t="n"/>
      <c r="BO233" s="186" t="n"/>
      <c r="BP233" s="186" t="n"/>
      <c r="BQ233" s="186" t="n"/>
      <c r="BR233" s="186" t="n"/>
      <c r="BS233" s="186" t="n"/>
      <c r="BT233" s="186" t="n"/>
      <c r="BU233" s="186" t="n"/>
      <c r="BV233" s="190" t="n"/>
      <c r="BW233" s="186" t="n"/>
      <c r="BX233" s="186" t="n"/>
      <c r="BY233" s="186" t="n"/>
      <c r="BZ233" s="186" t="n"/>
      <c r="CA233" s="186" t="n"/>
      <c r="CB233" s="187" t="n"/>
      <c r="CC233" s="192" t="n"/>
      <c r="CD233" s="192" t="n"/>
      <c r="CE233" s="192" t="n"/>
      <c r="CF233" s="192" t="n"/>
    </row>
    <row r="234">
      <c r="A234" s="197" t="n"/>
      <c r="B234" s="198" t="n"/>
      <c r="C234" s="198" t="n"/>
      <c r="D234" s="179" t="n"/>
      <c r="E234" s="180" t="n"/>
      <c r="F234" s="181" t="n"/>
      <c r="G234" s="284">
        <f>'Jobs-Ops'!G234</f>
        <v/>
      </c>
      <c r="H234" s="114">
        <f>'Jobs-Ops'!H234</f>
        <v/>
      </c>
      <c r="I234" s="105" t="n"/>
      <c r="J234" s="183">
        <f>F234</f>
        <v/>
      </c>
      <c r="K234" s="184" t="n"/>
      <c r="L234" s="185" t="n"/>
      <c r="M234" s="8" t="n"/>
      <c r="N234" s="184">
        <f>M234</f>
        <v/>
      </c>
      <c r="O234" s="71" t="n"/>
      <c r="P234" s="101" t="n"/>
      <c r="Q234" s="9">
        <f>J234-N234</f>
        <v/>
      </c>
      <c r="R234" s="9">
        <f>IF(LEFT(B234,4)&lt;&gt;"    ",0,BI234)</f>
        <v/>
      </c>
      <c r="S234" s="9">
        <f>+Q234-R234</f>
        <v/>
      </c>
      <c r="T234" s="200">
        <f>IF('Jobs-Ops'!S234&lt;&gt; "",'Jobs-Ops'!S234,"")</f>
        <v/>
      </c>
      <c r="U234" s="10" t="n"/>
      <c r="V234" s="23">
        <f>IF(LEFT(B234,4)&lt;&gt;"    ","",IF(N234&lt;&gt;0,X234/N234,0))</f>
        <v/>
      </c>
      <c r="W234" s="11">
        <f>IF(LEFT(B234,4)&lt;&gt;"    ","",IF(V234&gt;=0.1,V234*J234,X234))</f>
        <v/>
      </c>
      <c r="X234" s="8" t="n"/>
      <c r="Y234" s="9">
        <f>IF(LEFT(B234,4)&lt;&gt;"    ",0,IF(Q234&lt;0,Q234,IF(V234&gt;0.1,W234-X234,0)))</f>
        <v/>
      </c>
      <c r="Z234" s="9">
        <f>IF(LEFT(B234,4)&lt;&gt;"    ",0,IF(V234&gt;0.1,BI234,0))</f>
        <v/>
      </c>
      <c r="AA234" s="9">
        <f>Y234-Z234</f>
        <v/>
      </c>
      <c r="AB234" s="10" t="n"/>
      <c r="AC234" s="24" t="n"/>
      <c r="AD234" s="11" t="n"/>
      <c r="AE234" s="8" t="n"/>
      <c r="AF234" s="9">
        <f>IF(LEFT(B234,4)&lt;&gt;"    ","",AD234-AE234)</f>
        <v/>
      </c>
      <c r="AG234" s="10" t="n"/>
      <c r="AH234" s="11">
        <f>IF(LEFT(B234,4)&lt;&gt;"    ","",W234-AD234)</f>
        <v/>
      </c>
      <c r="AI234" s="8">
        <f>IF(LEFT(B234,4)&lt;&gt;"    ","",X234-AE234)</f>
        <v/>
      </c>
      <c r="AJ234" s="9">
        <f>IF(LEFT(B234,4)&lt;&gt;"    ","",Y234-AF234)</f>
        <v/>
      </c>
      <c r="AK234" s="10" t="n"/>
      <c r="AL234" s="25">
        <f>IF(LEFT(B234,4)&lt;&gt;"    ","",J234-W234)</f>
        <v/>
      </c>
      <c r="AM234" s="25">
        <f>N234-X234</f>
        <v/>
      </c>
      <c r="AN234" s="25">
        <f>IF(LEFT(B234,4)&lt;&gt;"    ","",Q234-Y234)</f>
        <v/>
      </c>
      <c r="AO234" s="10" t="n"/>
      <c r="AP234" s="12" t="n"/>
      <c r="AQ234" s="12">
        <f>IF(LEFT(B234,4)&lt;&gt;"    ","",IF(W234-AP234&gt;=0,W234-AP234," "))</f>
        <v/>
      </c>
      <c r="AR234" s="12">
        <f>IF(LEFT(B234,4)&lt;&gt;"    ","",IF(AP234-W234&gt;=0,AP234-W234," "))</f>
        <v/>
      </c>
      <c r="AS234" s="186" t="n"/>
      <c r="AT234" s="187" t="n"/>
      <c r="AU234" s="186" t="n"/>
      <c r="AV234" s="186" t="n"/>
      <c r="AW234" s="188" t="n"/>
      <c r="AX234" s="187" t="n"/>
      <c r="AY234" s="187" t="n"/>
      <c r="AZ234" s="186" t="n"/>
      <c r="BA234" s="186" t="n"/>
      <c r="BB234" s="186" t="n"/>
      <c r="BC234" s="186" t="n"/>
      <c r="BD234" s="186" t="n"/>
      <c r="BE234" s="186" t="n"/>
      <c r="BF234" s="186" t="n"/>
      <c r="BG234" s="186" t="n"/>
      <c r="BH234" s="186" t="n"/>
      <c r="BI234" s="186" t="n"/>
      <c r="BJ234" s="186" t="n"/>
      <c r="BK234" s="186" t="n"/>
      <c r="BL234" s="186" t="n"/>
      <c r="BM234" s="186" t="n"/>
      <c r="BN234" s="186" t="n"/>
      <c r="BO234" s="186" t="n"/>
      <c r="BP234" s="186" t="n"/>
      <c r="BQ234" s="186" t="n"/>
      <c r="BR234" s="186" t="n"/>
      <c r="BS234" s="186" t="n"/>
      <c r="BT234" s="186" t="n"/>
      <c r="BU234" s="186" t="n"/>
      <c r="BV234" s="190" t="n"/>
      <c r="BW234" s="186" t="n"/>
      <c r="BX234" s="186" t="n"/>
      <c r="BY234" s="186" t="n"/>
      <c r="BZ234" s="186" t="n"/>
      <c r="CA234" s="186" t="n"/>
      <c r="CB234" s="187" t="n"/>
      <c r="CC234" s="192" t="n"/>
      <c r="CD234" s="192" t="n"/>
      <c r="CE234" s="192" t="n"/>
      <c r="CF234" s="192" t="n"/>
    </row>
    <row r="235">
      <c r="A235" s="197" t="n"/>
      <c r="B235" s="198" t="n"/>
      <c r="C235" s="198" t="n"/>
      <c r="D235" s="179" t="n"/>
      <c r="E235" s="180" t="n"/>
      <c r="F235" s="181" t="n"/>
      <c r="G235" s="284">
        <f>'Jobs-Ops'!G235</f>
        <v/>
      </c>
      <c r="H235" s="114">
        <f>'Jobs-Ops'!H235</f>
        <v/>
      </c>
      <c r="I235" s="105" t="n"/>
      <c r="J235" s="183">
        <f>F235</f>
        <v/>
      </c>
      <c r="K235" s="184" t="n"/>
      <c r="L235" s="185" t="n"/>
      <c r="M235" s="8" t="n"/>
      <c r="N235" s="184">
        <f>M235</f>
        <v/>
      </c>
      <c r="O235" s="71" t="n"/>
      <c r="P235" s="101" t="n"/>
      <c r="Q235" s="9">
        <f>J235-N235</f>
        <v/>
      </c>
      <c r="R235" s="9">
        <f>IF(LEFT(B235,4)&lt;&gt;"    ",0,BI235)</f>
        <v/>
      </c>
      <c r="S235" s="9">
        <f>+Q235-R235</f>
        <v/>
      </c>
      <c r="T235" s="200">
        <f>IF('Jobs-Ops'!S235&lt;&gt; "",'Jobs-Ops'!S235,"")</f>
        <v/>
      </c>
      <c r="U235" s="10" t="n"/>
      <c r="V235" s="23">
        <f>IF(LEFT(B235,4)&lt;&gt;"    ","",IF(N235&lt;&gt;0,X235/N235,0))</f>
        <v/>
      </c>
      <c r="W235" s="11">
        <f>IF(LEFT(B235,4)&lt;&gt;"    ","",IF(V235&gt;=0.1,V235*J235,X235))</f>
        <v/>
      </c>
      <c r="X235" s="8" t="n"/>
      <c r="Y235" s="9">
        <f>IF(LEFT(B235,4)&lt;&gt;"    ",0,IF(Q235&lt;0,Q235,IF(V235&gt;0.1,W235-X235,0)))</f>
        <v/>
      </c>
      <c r="Z235" s="9">
        <f>IF(LEFT(B235,4)&lt;&gt;"    ",0,IF(V235&gt;0.1,BI235,0))</f>
        <v/>
      </c>
      <c r="AA235" s="9">
        <f>Y235-Z235</f>
        <v/>
      </c>
      <c r="AB235" s="10" t="n"/>
      <c r="AC235" s="24" t="n"/>
      <c r="AD235" s="11" t="n"/>
      <c r="AE235" s="8" t="n"/>
      <c r="AF235" s="9">
        <f>IF(LEFT(B235,4)&lt;&gt;"    ","",AD235-AE235)</f>
        <v/>
      </c>
      <c r="AG235" s="10" t="n"/>
      <c r="AH235" s="11">
        <f>IF(LEFT(B235,4)&lt;&gt;"    ","",W235-AD235)</f>
        <v/>
      </c>
      <c r="AI235" s="8">
        <f>IF(LEFT(B235,4)&lt;&gt;"    ","",X235-AE235)</f>
        <v/>
      </c>
      <c r="AJ235" s="9">
        <f>IF(LEFT(B235,4)&lt;&gt;"    ","",Y235-AF235)</f>
        <v/>
      </c>
      <c r="AK235" s="10" t="n"/>
      <c r="AL235" s="25">
        <f>IF(LEFT(B235,4)&lt;&gt;"    ","",J235-W235)</f>
        <v/>
      </c>
      <c r="AM235" s="25">
        <f>N235-X235</f>
        <v/>
      </c>
      <c r="AN235" s="25">
        <f>IF(LEFT(B235,4)&lt;&gt;"    ","",Q235-Y235)</f>
        <v/>
      </c>
      <c r="AO235" s="10" t="n"/>
      <c r="AP235" s="12" t="n"/>
      <c r="AQ235" s="12">
        <f>IF(LEFT(B235,4)&lt;&gt;"    ","",IF(W235-AP235&gt;=0,W235-AP235," "))</f>
        <v/>
      </c>
      <c r="AR235" s="12">
        <f>IF(LEFT(B235,4)&lt;&gt;"    ","",IF(AP235-W235&gt;=0,AP235-W235," "))</f>
        <v/>
      </c>
      <c r="AS235" s="186" t="n"/>
      <c r="AT235" s="187" t="n"/>
      <c r="AU235" s="186" t="n"/>
      <c r="AV235" s="186" t="n"/>
      <c r="AW235" s="188" t="n"/>
      <c r="AX235" s="187" t="n"/>
      <c r="AY235" s="187" t="n"/>
      <c r="AZ235" s="186" t="n"/>
      <c r="BA235" s="186" t="n"/>
      <c r="BB235" s="186" t="n"/>
      <c r="BC235" s="186" t="n"/>
      <c r="BD235" s="186" t="n"/>
      <c r="BE235" s="186" t="n"/>
      <c r="BF235" s="186" t="n"/>
      <c r="BG235" s="186" t="n"/>
      <c r="BH235" s="186" t="n"/>
      <c r="BI235" s="186" t="n"/>
      <c r="BJ235" s="186" t="n"/>
      <c r="BK235" s="186" t="n"/>
      <c r="BL235" s="186" t="n"/>
      <c r="BM235" s="186" t="n"/>
      <c r="BN235" s="186" t="n"/>
      <c r="BO235" s="186" t="n"/>
      <c r="BP235" s="186" t="n"/>
      <c r="BQ235" s="186" t="n"/>
      <c r="BR235" s="186" t="n"/>
      <c r="BS235" s="186" t="n"/>
      <c r="BT235" s="186" t="n"/>
      <c r="BU235" s="186" t="n"/>
      <c r="BV235" s="190" t="n"/>
      <c r="BW235" s="186" t="n"/>
      <c r="BX235" s="186" t="n"/>
      <c r="BY235" s="186" t="n"/>
      <c r="BZ235" s="186" t="n"/>
      <c r="CA235" s="186" t="n"/>
      <c r="CB235" s="187" t="n"/>
      <c r="CC235" s="192" t="n"/>
      <c r="CD235" s="192" t="n"/>
      <c r="CE235" s="192" t="n"/>
      <c r="CF235" s="192" t="n"/>
    </row>
    <row r="236">
      <c r="A236" s="197" t="n"/>
      <c r="B236" s="198" t="n"/>
      <c r="C236" s="198" t="n"/>
      <c r="D236" s="179" t="n"/>
      <c r="E236" s="180" t="n"/>
      <c r="F236" s="181" t="n"/>
      <c r="G236" s="284">
        <f>'Jobs-Ops'!G236</f>
        <v/>
      </c>
      <c r="H236" s="114">
        <f>'Jobs-Ops'!H236</f>
        <v/>
      </c>
      <c r="I236" s="105" t="n"/>
      <c r="J236" s="183">
        <f>F236</f>
        <v/>
      </c>
      <c r="K236" s="184" t="n"/>
      <c r="L236" s="185" t="n"/>
      <c r="M236" s="8" t="n"/>
      <c r="N236" s="184">
        <f>M236</f>
        <v/>
      </c>
      <c r="O236" s="71" t="n"/>
      <c r="P236" s="101" t="n"/>
      <c r="Q236" s="9">
        <f>J236-N236</f>
        <v/>
      </c>
      <c r="R236" s="9">
        <f>IF(LEFT(B236,4)&lt;&gt;"    ",0,BI236)</f>
        <v/>
      </c>
      <c r="S236" s="9">
        <f>+Q236-R236</f>
        <v/>
      </c>
      <c r="T236" s="200">
        <f>IF('Jobs-Ops'!S236&lt;&gt; "",'Jobs-Ops'!S236,"")</f>
        <v/>
      </c>
      <c r="U236" s="10" t="n"/>
      <c r="V236" s="23">
        <f>IF(LEFT(B236,4)&lt;&gt;"    ","",IF(N236&lt;&gt;0,X236/N236,0))</f>
        <v/>
      </c>
      <c r="W236" s="11">
        <f>IF(LEFT(B236,4)&lt;&gt;"    ","",IF(V236&gt;=0.1,V236*J236,X236))</f>
        <v/>
      </c>
      <c r="X236" s="8" t="n"/>
      <c r="Y236" s="9">
        <f>IF(LEFT(B236,4)&lt;&gt;"    ",0,IF(Q236&lt;0,Q236,IF(V236&gt;0.1,W236-X236,0)))</f>
        <v/>
      </c>
      <c r="Z236" s="9">
        <f>IF(LEFT(B236,4)&lt;&gt;"    ",0,IF(V236&gt;0.1,BI236,0))</f>
        <v/>
      </c>
      <c r="AA236" s="9">
        <f>Y236-Z236</f>
        <v/>
      </c>
      <c r="AB236" s="10" t="n"/>
      <c r="AC236" s="24" t="n"/>
      <c r="AD236" s="11" t="n"/>
      <c r="AE236" s="8" t="n"/>
      <c r="AF236" s="9">
        <f>IF(LEFT(B236,4)&lt;&gt;"    ","",AD236-AE236)</f>
        <v/>
      </c>
      <c r="AG236" s="10" t="n"/>
      <c r="AH236" s="11">
        <f>IF(LEFT(B236,4)&lt;&gt;"    ","",W236-AD236)</f>
        <v/>
      </c>
      <c r="AI236" s="8">
        <f>IF(LEFT(B236,4)&lt;&gt;"    ","",X236-AE236)</f>
        <v/>
      </c>
      <c r="AJ236" s="9">
        <f>IF(LEFT(B236,4)&lt;&gt;"    ","",Y236-AF236)</f>
        <v/>
      </c>
      <c r="AK236" s="10" t="n"/>
      <c r="AL236" s="25">
        <f>IF(LEFT(B236,4)&lt;&gt;"    ","",J236-W236)</f>
        <v/>
      </c>
      <c r="AM236" s="25">
        <f>N236-X236</f>
        <v/>
      </c>
      <c r="AN236" s="25">
        <f>IF(LEFT(B236,4)&lt;&gt;"    ","",Q236-Y236)</f>
        <v/>
      </c>
      <c r="AO236" s="10" t="n"/>
      <c r="AP236" s="12" t="n"/>
      <c r="AQ236" s="12">
        <f>IF(LEFT(B236,4)&lt;&gt;"    ","",IF(W236-AP236&gt;=0,W236-AP236," "))</f>
        <v/>
      </c>
      <c r="AR236" s="12">
        <f>IF(LEFT(B236,4)&lt;&gt;"    ","",IF(AP236-W236&gt;=0,AP236-W236," "))</f>
        <v/>
      </c>
      <c r="AS236" s="186" t="n"/>
      <c r="AT236" s="187" t="n"/>
      <c r="AU236" s="186" t="n"/>
      <c r="AV236" s="186" t="n"/>
      <c r="AW236" s="188" t="n"/>
      <c r="AX236" s="187" t="n"/>
      <c r="AY236" s="187" t="n"/>
      <c r="AZ236" s="186" t="n"/>
      <c r="BA236" s="186" t="n"/>
      <c r="BB236" s="186" t="n"/>
      <c r="BC236" s="186" t="n"/>
      <c r="BD236" s="186" t="n"/>
      <c r="BE236" s="186" t="n"/>
      <c r="BF236" s="186" t="n"/>
      <c r="BG236" s="186" t="n"/>
      <c r="BH236" s="186" t="n"/>
      <c r="BI236" s="186" t="n"/>
      <c r="BJ236" s="186" t="n"/>
      <c r="BK236" s="186" t="n"/>
      <c r="BL236" s="186" t="n"/>
      <c r="BM236" s="186" t="n"/>
      <c r="BN236" s="186" t="n"/>
      <c r="BO236" s="186" t="n"/>
      <c r="BP236" s="186" t="n"/>
      <c r="BQ236" s="186" t="n"/>
      <c r="BR236" s="186" t="n"/>
      <c r="BS236" s="186" t="n"/>
      <c r="BT236" s="186" t="n"/>
      <c r="BU236" s="186" t="n"/>
      <c r="BV236" s="190" t="n"/>
      <c r="BW236" s="186" t="n"/>
      <c r="BX236" s="186" t="n"/>
      <c r="BY236" s="186" t="n"/>
      <c r="BZ236" s="186" t="n"/>
      <c r="CA236" s="186" t="n"/>
      <c r="CB236" s="187" t="n"/>
      <c r="CC236" s="192" t="n"/>
      <c r="CD236" s="192" t="n"/>
      <c r="CE236" s="192" t="n"/>
      <c r="CF236" s="192" t="n"/>
    </row>
    <row r="237">
      <c r="A237" s="197" t="n"/>
      <c r="B237" s="198" t="n"/>
      <c r="C237" s="198" t="n"/>
      <c r="D237" s="179" t="n"/>
      <c r="E237" s="180" t="n"/>
      <c r="F237" s="181" t="n"/>
      <c r="G237" s="284">
        <f>'Jobs-Ops'!G237</f>
        <v/>
      </c>
      <c r="H237" s="114">
        <f>'Jobs-Ops'!H237</f>
        <v/>
      </c>
      <c r="I237" s="105" t="n"/>
      <c r="J237" s="183">
        <f>F237</f>
        <v/>
      </c>
      <c r="K237" s="184" t="n"/>
      <c r="L237" s="185" t="n"/>
      <c r="M237" s="8" t="n"/>
      <c r="N237" s="184">
        <f>M237</f>
        <v/>
      </c>
      <c r="O237" s="71" t="n"/>
      <c r="P237" s="101" t="n"/>
      <c r="Q237" s="9">
        <f>J237-N237</f>
        <v/>
      </c>
      <c r="R237" s="9">
        <f>IF(LEFT(B237,4)&lt;&gt;"    ",0,BI237)</f>
        <v/>
      </c>
      <c r="S237" s="9">
        <f>+Q237-R237</f>
        <v/>
      </c>
      <c r="T237" s="200">
        <f>IF('Jobs-Ops'!S237&lt;&gt; "",'Jobs-Ops'!S237,"")</f>
        <v/>
      </c>
      <c r="U237" s="10" t="n"/>
      <c r="V237" s="23">
        <f>IF(LEFT(B237,4)&lt;&gt;"    ","",IF(N237&lt;&gt;0,X237/N237,0))</f>
        <v/>
      </c>
      <c r="W237" s="11">
        <f>IF(LEFT(B237,4)&lt;&gt;"    ","",IF(V237&gt;=0.1,V237*J237,X237))</f>
        <v/>
      </c>
      <c r="X237" s="8" t="n"/>
      <c r="Y237" s="9">
        <f>IF(LEFT(B237,4)&lt;&gt;"    ",0,IF(Q237&lt;0,Q237,IF(V237&gt;0.1,W237-X237,0)))</f>
        <v/>
      </c>
      <c r="Z237" s="9">
        <f>IF(LEFT(B237,4)&lt;&gt;"    ",0,IF(V237&gt;0.1,BI237,0))</f>
        <v/>
      </c>
      <c r="AA237" s="9">
        <f>Y237-Z237</f>
        <v/>
      </c>
      <c r="AB237" s="10" t="n"/>
      <c r="AC237" s="24" t="n"/>
      <c r="AD237" s="11" t="n"/>
      <c r="AE237" s="8" t="n"/>
      <c r="AF237" s="9">
        <f>IF(LEFT(B237,4)&lt;&gt;"    ","",AD237-AE237)</f>
        <v/>
      </c>
      <c r="AG237" s="10" t="n"/>
      <c r="AH237" s="11">
        <f>IF(LEFT(B237,4)&lt;&gt;"    ","",W237-AD237)</f>
        <v/>
      </c>
      <c r="AI237" s="8">
        <f>IF(LEFT(B237,4)&lt;&gt;"    ","",X237-AE237)</f>
        <v/>
      </c>
      <c r="AJ237" s="9">
        <f>IF(LEFT(B237,4)&lt;&gt;"    ","",Y237-AF237)</f>
        <v/>
      </c>
      <c r="AK237" s="10" t="n"/>
      <c r="AL237" s="25">
        <f>IF(LEFT(B237,4)&lt;&gt;"    ","",J237-W237)</f>
        <v/>
      </c>
      <c r="AM237" s="25">
        <f>N237-X237</f>
        <v/>
      </c>
      <c r="AN237" s="25">
        <f>IF(LEFT(B237,4)&lt;&gt;"    ","",Q237-Y237)</f>
        <v/>
      </c>
      <c r="AO237" s="10" t="n"/>
      <c r="AP237" s="12" t="n"/>
      <c r="AQ237" s="12">
        <f>IF(LEFT(B237,4)&lt;&gt;"    ","",IF(W237-AP237&gt;=0,W237-AP237," "))</f>
        <v/>
      </c>
      <c r="AR237" s="12">
        <f>IF(LEFT(B237,4)&lt;&gt;"    ","",IF(AP237-W237&gt;=0,AP237-W237," "))</f>
        <v/>
      </c>
      <c r="AS237" s="186" t="n"/>
      <c r="AT237" s="187" t="n"/>
      <c r="AU237" s="186" t="n"/>
      <c r="AV237" s="186" t="n"/>
      <c r="AW237" s="188" t="n"/>
      <c r="AX237" s="187" t="n"/>
      <c r="AY237" s="187" t="n"/>
      <c r="AZ237" s="186" t="n"/>
      <c r="BA237" s="186" t="n"/>
      <c r="BB237" s="186" t="n"/>
      <c r="BC237" s="186" t="n"/>
      <c r="BD237" s="186" t="n"/>
      <c r="BE237" s="186" t="n"/>
      <c r="BF237" s="186" t="n"/>
      <c r="BG237" s="186" t="n"/>
      <c r="BH237" s="186" t="n"/>
      <c r="BI237" s="186" t="n"/>
      <c r="BJ237" s="186" t="n"/>
      <c r="BK237" s="186" t="n"/>
      <c r="BL237" s="186" t="n"/>
      <c r="BM237" s="186" t="n"/>
      <c r="BN237" s="186" t="n"/>
      <c r="BO237" s="186" t="n"/>
      <c r="BP237" s="186" t="n"/>
      <c r="BQ237" s="186" t="n"/>
      <c r="BR237" s="186" t="n"/>
      <c r="BS237" s="186" t="n"/>
      <c r="BT237" s="186" t="n"/>
      <c r="BU237" s="186" t="n"/>
      <c r="BV237" s="190" t="n"/>
      <c r="BW237" s="186" t="n"/>
      <c r="BX237" s="186" t="n"/>
      <c r="BY237" s="186" t="n"/>
      <c r="BZ237" s="186" t="n"/>
      <c r="CA237" s="186" t="n"/>
      <c r="CB237" s="187" t="n"/>
      <c r="CC237" s="192" t="n"/>
      <c r="CD237" s="192" t="n"/>
      <c r="CE237" s="192" t="n"/>
      <c r="CF237" s="192" t="n"/>
    </row>
    <row r="238">
      <c r="A238" s="197" t="n"/>
      <c r="B238" s="198" t="n"/>
      <c r="C238" s="198" t="n"/>
      <c r="D238" s="179" t="n"/>
      <c r="E238" s="180" t="n"/>
      <c r="F238" s="181" t="n"/>
      <c r="G238" s="284">
        <f>'Jobs-Ops'!G238</f>
        <v/>
      </c>
      <c r="H238" s="114">
        <f>'Jobs-Ops'!H238</f>
        <v/>
      </c>
      <c r="I238" s="105" t="n"/>
      <c r="J238" s="183">
        <f>F238</f>
        <v/>
      </c>
      <c r="K238" s="184" t="n"/>
      <c r="L238" s="185" t="n"/>
      <c r="M238" s="8" t="n"/>
      <c r="N238" s="184">
        <f>M238</f>
        <v/>
      </c>
      <c r="O238" s="71" t="n"/>
      <c r="P238" s="101" t="n"/>
      <c r="Q238" s="9">
        <f>J238-N238</f>
        <v/>
      </c>
      <c r="R238" s="9">
        <f>IF(LEFT(B238,4)&lt;&gt;"    ",0,BI238)</f>
        <v/>
      </c>
      <c r="S238" s="9">
        <f>+Q238-R238</f>
        <v/>
      </c>
      <c r="T238" s="200">
        <f>IF('Jobs-Ops'!S238&lt;&gt; "",'Jobs-Ops'!S238,"")</f>
        <v/>
      </c>
      <c r="U238" s="10" t="n"/>
      <c r="V238" s="23">
        <f>IF(LEFT(B238,4)&lt;&gt;"    ","",IF(N238&lt;&gt;0,X238/N238,0))</f>
        <v/>
      </c>
      <c r="W238" s="11">
        <f>IF(LEFT(B238,4)&lt;&gt;"    ","",IF(V238&gt;=0.1,V238*J238,X238))</f>
        <v/>
      </c>
      <c r="X238" s="8" t="n"/>
      <c r="Y238" s="9">
        <f>IF(LEFT(B238,4)&lt;&gt;"    ",0,IF(Q238&lt;0,Q238,IF(V238&gt;0.1,W238-X238,0)))</f>
        <v/>
      </c>
      <c r="Z238" s="9">
        <f>IF(LEFT(B238,4)&lt;&gt;"    ",0,IF(V238&gt;0.1,BI238,0))</f>
        <v/>
      </c>
      <c r="AA238" s="9">
        <f>Y238-Z238</f>
        <v/>
      </c>
      <c r="AB238" s="10" t="n"/>
      <c r="AC238" s="24" t="n"/>
      <c r="AD238" s="11" t="n"/>
      <c r="AE238" s="8" t="n"/>
      <c r="AF238" s="9">
        <f>IF(LEFT(B238,4)&lt;&gt;"    ","",AD238-AE238)</f>
        <v/>
      </c>
      <c r="AG238" s="10" t="n"/>
      <c r="AH238" s="11">
        <f>IF(LEFT(B238,4)&lt;&gt;"    ","",W238-AD238)</f>
        <v/>
      </c>
      <c r="AI238" s="8">
        <f>IF(LEFT(B238,4)&lt;&gt;"    ","",X238-AE238)</f>
        <v/>
      </c>
      <c r="AJ238" s="9">
        <f>IF(LEFT(B238,4)&lt;&gt;"    ","",Y238-AF238)</f>
        <v/>
      </c>
      <c r="AK238" s="10" t="n"/>
      <c r="AL238" s="25">
        <f>IF(LEFT(B238,4)&lt;&gt;"    ","",J238-W238)</f>
        <v/>
      </c>
      <c r="AM238" s="25">
        <f>N238-X238</f>
        <v/>
      </c>
      <c r="AN238" s="25">
        <f>IF(LEFT(B238,4)&lt;&gt;"    ","",Q238-Y238)</f>
        <v/>
      </c>
      <c r="AO238" s="10" t="n"/>
      <c r="AP238" s="12" t="n"/>
      <c r="AQ238" s="12">
        <f>IF(LEFT(B238,4)&lt;&gt;"    ","",IF(W238-AP238&gt;=0,W238-AP238," "))</f>
        <v/>
      </c>
      <c r="AR238" s="12">
        <f>IF(LEFT(B238,4)&lt;&gt;"    ","",IF(AP238-W238&gt;=0,AP238-W238," "))</f>
        <v/>
      </c>
      <c r="AS238" s="186" t="n"/>
      <c r="AT238" s="187" t="n"/>
      <c r="AU238" s="186" t="n"/>
      <c r="AV238" s="186" t="n"/>
      <c r="AW238" s="188" t="n"/>
      <c r="AX238" s="187" t="n"/>
      <c r="AY238" s="187" t="n"/>
      <c r="AZ238" s="186" t="n"/>
      <c r="BA238" s="186" t="n"/>
      <c r="BB238" s="186" t="n"/>
      <c r="BC238" s="186" t="n"/>
      <c r="BD238" s="186" t="n"/>
      <c r="BE238" s="186" t="n"/>
      <c r="BF238" s="186" t="n"/>
      <c r="BG238" s="186" t="n"/>
      <c r="BH238" s="186" t="n"/>
      <c r="BI238" s="186" t="n"/>
      <c r="BJ238" s="186" t="n"/>
      <c r="BK238" s="186" t="n"/>
      <c r="BL238" s="186" t="n"/>
      <c r="BM238" s="186" t="n"/>
      <c r="BN238" s="186" t="n"/>
      <c r="BO238" s="186" t="n"/>
      <c r="BP238" s="186" t="n"/>
      <c r="BQ238" s="186" t="n"/>
      <c r="BR238" s="186" t="n"/>
      <c r="BS238" s="186" t="n"/>
      <c r="BT238" s="186" t="n"/>
      <c r="BU238" s="186" t="n"/>
      <c r="BV238" s="190" t="n"/>
      <c r="BW238" s="186" t="n"/>
      <c r="BX238" s="186" t="n"/>
      <c r="BY238" s="186" t="n"/>
      <c r="BZ238" s="186" t="n"/>
      <c r="CA238" s="186" t="n"/>
      <c r="CB238" s="187" t="n"/>
      <c r="CC238" s="192" t="n"/>
      <c r="CD238" s="192" t="n"/>
      <c r="CE238" s="192" t="n"/>
      <c r="CF238" s="192" t="n"/>
    </row>
    <row r="239">
      <c r="A239" s="197" t="n"/>
      <c r="B239" s="198" t="n"/>
      <c r="C239" s="198" t="n"/>
      <c r="D239" s="179" t="n"/>
      <c r="E239" s="180" t="n"/>
      <c r="F239" s="181" t="n"/>
      <c r="G239" s="284">
        <f>'Jobs-Ops'!G239</f>
        <v/>
      </c>
      <c r="H239" s="114">
        <f>'Jobs-Ops'!H239</f>
        <v/>
      </c>
      <c r="I239" s="105" t="n"/>
      <c r="J239" s="183">
        <f>F239</f>
        <v/>
      </c>
      <c r="K239" s="184" t="n"/>
      <c r="L239" s="185" t="n"/>
      <c r="M239" s="8" t="n"/>
      <c r="N239" s="184">
        <f>M239</f>
        <v/>
      </c>
      <c r="O239" s="71" t="n"/>
      <c r="P239" s="101" t="n"/>
      <c r="Q239" s="9">
        <f>J239-N239</f>
        <v/>
      </c>
      <c r="R239" s="9">
        <f>IF(LEFT(B239,4)&lt;&gt;"    ",0,BI239)</f>
        <v/>
      </c>
      <c r="S239" s="9">
        <f>+Q239-R239</f>
        <v/>
      </c>
      <c r="T239" s="200">
        <f>IF('Jobs-Ops'!S239&lt;&gt; "",'Jobs-Ops'!S239,"")</f>
        <v/>
      </c>
      <c r="U239" s="10" t="n"/>
      <c r="V239" s="23">
        <f>IF(LEFT(B239,4)&lt;&gt;"    ","",IF(N239&lt;&gt;0,X239/N239,0))</f>
        <v/>
      </c>
      <c r="W239" s="11">
        <f>IF(LEFT(B239,4)&lt;&gt;"    ","",IF(V239&gt;=0.1,V239*J239,X239))</f>
        <v/>
      </c>
      <c r="X239" s="8" t="n"/>
      <c r="Y239" s="9">
        <f>IF(LEFT(B239,4)&lt;&gt;"    ",0,IF(Q239&lt;0,Q239,IF(V239&gt;0.1,W239-X239,0)))</f>
        <v/>
      </c>
      <c r="Z239" s="9">
        <f>IF(LEFT(B239,4)&lt;&gt;"    ",0,IF(V239&gt;0.1,BI239,0))</f>
        <v/>
      </c>
      <c r="AA239" s="9">
        <f>Y239-Z239</f>
        <v/>
      </c>
      <c r="AB239" s="10" t="n"/>
      <c r="AC239" s="24" t="n"/>
      <c r="AD239" s="11" t="n"/>
      <c r="AE239" s="8" t="n"/>
      <c r="AF239" s="9">
        <f>IF(LEFT(B239,4)&lt;&gt;"    ","",AD239-AE239)</f>
        <v/>
      </c>
      <c r="AG239" s="10" t="n"/>
      <c r="AH239" s="11">
        <f>IF(LEFT(B239,4)&lt;&gt;"    ","",W239-AD239)</f>
        <v/>
      </c>
      <c r="AI239" s="8">
        <f>IF(LEFT(B239,4)&lt;&gt;"    ","",X239-AE239)</f>
        <v/>
      </c>
      <c r="AJ239" s="9">
        <f>IF(LEFT(B239,4)&lt;&gt;"    ","",Y239-AF239)</f>
        <v/>
      </c>
      <c r="AK239" s="10" t="n"/>
      <c r="AL239" s="25">
        <f>IF(LEFT(B239,4)&lt;&gt;"    ","",J239-W239)</f>
        <v/>
      </c>
      <c r="AM239" s="25">
        <f>N239-X239</f>
        <v/>
      </c>
      <c r="AN239" s="25">
        <f>IF(LEFT(B239,4)&lt;&gt;"    ","",Q239-Y239)</f>
        <v/>
      </c>
      <c r="AO239" s="10" t="n"/>
      <c r="AP239" s="12" t="n"/>
      <c r="AQ239" s="12">
        <f>IF(LEFT(B239,4)&lt;&gt;"    ","",IF(W239-AP239&gt;=0,W239-AP239," "))</f>
        <v/>
      </c>
      <c r="AR239" s="12">
        <f>IF(LEFT(B239,4)&lt;&gt;"    ","",IF(AP239-W239&gt;=0,AP239-W239," "))</f>
        <v/>
      </c>
      <c r="AS239" s="186" t="n"/>
      <c r="AT239" s="187" t="n"/>
      <c r="AU239" s="186" t="n"/>
      <c r="AV239" s="186" t="n"/>
      <c r="AW239" s="188" t="n"/>
      <c r="AX239" s="187" t="n"/>
      <c r="AY239" s="187" t="n"/>
      <c r="AZ239" s="186" t="n"/>
      <c r="BA239" s="186" t="n"/>
      <c r="BB239" s="186" t="n"/>
      <c r="BC239" s="186" t="n"/>
      <c r="BD239" s="186" t="n"/>
      <c r="BE239" s="186" t="n"/>
      <c r="BF239" s="186" t="n"/>
      <c r="BG239" s="186" t="n"/>
      <c r="BH239" s="186" t="n"/>
      <c r="BI239" s="186" t="n"/>
      <c r="BJ239" s="186" t="n"/>
      <c r="BK239" s="186" t="n"/>
      <c r="BL239" s="186" t="n"/>
      <c r="BM239" s="186" t="n"/>
      <c r="BN239" s="186" t="n"/>
      <c r="BO239" s="186" t="n"/>
      <c r="BP239" s="186" t="n"/>
      <c r="BQ239" s="186" t="n"/>
      <c r="BR239" s="186" t="n"/>
      <c r="BS239" s="186" t="n"/>
      <c r="BT239" s="186" t="n"/>
      <c r="BU239" s="186" t="n"/>
      <c r="BV239" s="190" t="n"/>
      <c r="BW239" s="186" t="n"/>
      <c r="BX239" s="186" t="n"/>
      <c r="BY239" s="186" t="n"/>
      <c r="BZ239" s="186" t="n"/>
      <c r="CA239" s="186" t="n"/>
      <c r="CB239" s="187" t="n"/>
      <c r="CC239" s="192" t="n"/>
      <c r="CD239" s="192" t="n"/>
      <c r="CE239" s="192" t="n"/>
      <c r="CF239" s="192" t="n"/>
    </row>
    <row r="240">
      <c r="A240" s="197" t="n"/>
      <c r="B240" s="198" t="n"/>
      <c r="C240" s="198" t="n"/>
      <c r="D240" s="179" t="n"/>
      <c r="E240" s="180" t="n"/>
      <c r="F240" s="181" t="n"/>
      <c r="G240" s="284">
        <f>'Jobs-Ops'!G240</f>
        <v/>
      </c>
      <c r="H240" s="114">
        <f>'Jobs-Ops'!H240</f>
        <v/>
      </c>
      <c r="I240" s="105" t="n"/>
      <c r="J240" s="183">
        <f>F240</f>
        <v/>
      </c>
      <c r="K240" s="184" t="n"/>
      <c r="L240" s="185" t="n"/>
      <c r="M240" s="8" t="n"/>
      <c r="N240" s="184">
        <f>M240</f>
        <v/>
      </c>
      <c r="O240" s="71" t="n"/>
      <c r="P240" s="101" t="n"/>
      <c r="Q240" s="9">
        <f>J240-N240</f>
        <v/>
      </c>
      <c r="R240" s="9">
        <f>IF(LEFT(B240,4)&lt;&gt;"    ",0,BI240)</f>
        <v/>
      </c>
      <c r="S240" s="9">
        <f>+Q240-R240</f>
        <v/>
      </c>
      <c r="T240" s="200">
        <f>IF('Jobs-Ops'!S240&lt;&gt; "",'Jobs-Ops'!S240,"")</f>
        <v/>
      </c>
      <c r="U240" s="10" t="n"/>
      <c r="V240" s="23">
        <f>IF(LEFT(B240,4)&lt;&gt;"    ","",IF(N240&lt;&gt;0,X240/N240,0))</f>
        <v/>
      </c>
      <c r="W240" s="11">
        <f>IF(LEFT(B240,4)&lt;&gt;"    ","",IF(V240&gt;=0.1,V240*J240,X240))</f>
        <v/>
      </c>
      <c r="X240" s="8" t="n"/>
      <c r="Y240" s="9">
        <f>IF(LEFT(B240,4)&lt;&gt;"    ",0,IF(Q240&lt;0,Q240,IF(V240&gt;0.1,W240-X240,0)))</f>
        <v/>
      </c>
      <c r="Z240" s="9">
        <f>IF(LEFT(B240,4)&lt;&gt;"    ",0,IF(V240&gt;0.1,BI240,0))</f>
        <v/>
      </c>
      <c r="AA240" s="9">
        <f>Y240-Z240</f>
        <v/>
      </c>
      <c r="AB240" s="10" t="n"/>
      <c r="AC240" s="24" t="n"/>
      <c r="AD240" s="11" t="n"/>
      <c r="AE240" s="8" t="n"/>
      <c r="AF240" s="9">
        <f>IF(LEFT(B240,4)&lt;&gt;"    ","",AD240-AE240)</f>
        <v/>
      </c>
      <c r="AG240" s="10" t="n"/>
      <c r="AH240" s="11">
        <f>IF(LEFT(B240,4)&lt;&gt;"    ","",W240-AD240)</f>
        <v/>
      </c>
      <c r="AI240" s="8">
        <f>IF(LEFT(B240,4)&lt;&gt;"    ","",X240-AE240)</f>
        <v/>
      </c>
      <c r="AJ240" s="9">
        <f>IF(LEFT(B240,4)&lt;&gt;"    ","",Y240-AF240)</f>
        <v/>
      </c>
      <c r="AK240" s="10" t="n"/>
      <c r="AL240" s="25">
        <f>IF(LEFT(B240,4)&lt;&gt;"    ","",J240-W240)</f>
        <v/>
      </c>
      <c r="AM240" s="25">
        <f>N240-X240</f>
        <v/>
      </c>
      <c r="AN240" s="25">
        <f>IF(LEFT(B240,4)&lt;&gt;"    ","",Q240-Y240)</f>
        <v/>
      </c>
      <c r="AO240" s="10" t="n"/>
      <c r="AP240" s="12" t="n"/>
      <c r="AQ240" s="12">
        <f>IF(LEFT(B240,4)&lt;&gt;"    ","",IF(W240-AP240&gt;=0,W240-AP240," "))</f>
        <v/>
      </c>
      <c r="AR240" s="12">
        <f>IF(LEFT(B240,4)&lt;&gt;"    ","",IF(AP240-W240&gt;=0,AP240-W240," "))</f>
        <v/>
      </c>
      <c r="AS240" s="186" t="n"/>
      <c r="AT240" s="187" t="n"/>
      <c r="AU240" s="186" t="n"/>
      <c r="AV240" s="186" t="n"/>
      <c r="AW240" s="188" t="n"/>
      <c r="AX240" s="187" t="n"/>
      <c r="AY240" s="187" t="n"/>
      <c r="AZ240" s="186" t="n"/>
      <c r="BA240" s="186" t="n"/>
      <c r="BB240" s="186" t="n"/>
      <c r="BC240" s="186" t="n"/>
      <c r="BD240" s="186" t="n"/>
      <c r="BE240" s="186" t="n"/>
      <c r="BF240" s="186" t="n"/>
      <c r="BG240" s="186" t="n"/>
      <c r="BH240" s="186" t="n"/>
      <c r="BI240" s="186" t="n"/>
      <c r="BJ240" s="186" t="n"/>
      <c r="BK240" s="186" t="n"/>
      <c r="BL240" s="186" t="n"/>
      <c r="BM240" s="186" t="n"/>
      <c r="BN240" s="186" t="n"/>
      <c r="BO240" s="186" t="n"/>
      <c r="BP240" s="186" t="n"/>
      <c r="BQ240" s="186" t="n"/>
      <c r="BR240" s="186" t="n"/>
      <c r="BS240" s="186" t="n"/>
      <c r="BT240" s="186" t="n"/>
      <c r="BU240" s="186" t="n"/>
      <c r="BV240" s="190" t="n"/>
      <c r="BW240" s="186" t="n"/>
      <c r="BX240" s="186" t="n"/>
      <c r="BY240" s="186" t="n"/>
      <c r="BZ240" s="186" t="n"/>
      <c r="CA240" s="186" t="n"/>
      <c r="CB240" s="187" t="n"/>
      <c r="CC240" s="192" t="n"/>
      <c r="CD240" s="192" t="n"/>
      <c r="CE240" s="192" t="n"/>
      <c r="CF240" s="192" t="n"/>
    </row>
    <row r="241">
      <c r="A241" s="197" t="n"/>
      <c r="B241" s="198" t="n"/>
      <c r="C241" s="198" t="n"/>
      <c r="D241" s="179" t="n"/>
      <c r="E241" s="180" t="n"/>
      <c r="F241" s="181" t="n"/>
      <c r="G241" s="284">
        <f>'Jobs-Ops'!G241</f>
        <v/>
      </c>
      <c r="H241" s="114">
        <f>'Jobs-Ops'!H241</f>
        <v/>
      </c>
      <c r="I241" s="105" t="n"/>
      <c r="J241" s="183">
        <f>F241</f>
        <v/>
      </c>
      <c r="K241" s="184" t="n"/>
      <c r="L241" s="185" t="n"/>
      <c r="M241" s="8" t="n"/>
      <c r="N241" s="184">
        <f>M241</f>
        <v/>
      </c>
      <c r="O241" s="71" t="n"/>
      <c r="P241" s="101" t="n"/>
      <c r="Q241" s="9">
        <f>J241-N241</f>
        <v/>
      </c>
      <c r="R241" s="9">
        <f>IF(LEFT(B241,4)&lt;&gt;"    ",0,BI241)</f>
        <v/>
      </c>
      <c r="S241" s="9">
        <f>+Q241-R241</f>
        <v/>
      </c>
      <c r="T241" s="200">
        <f>IF('Jobs-Ops'!S241&lt;&gt; "",'Jobs-Ops'!S241,"")</f>
        <v/>
      </c>
      <c r="U241" s="10" t="n"/>
      <c r="V241" s="23">
        <f>IF(LEFT(B241,4)&lt;&gt;"    ","",IF(N241&lt;&gt;0,X241/N241,0))</f>
        <v/>
      </c>
      <c r="W241" s="11">
        <f>IF(LEFT(B241,4)&lt;&gt;"    ","",IF(V241&gt;=0.1,V241*J241,X241))</f>
        <v/>
      </c>
      <c r="X241" s="8" t="n"/>
      <c r="Y241" s="9">
        <f>IF(LEFT(B241,4)&lt;&gt;"    ",0,IF(Q241&lt;0,Q241,IF(V241&gt;0.1,W241-X241,0)))</f>
        <v/>
      </c>
      <c r="Z241" s="9">
        <f>IF(LEFT(B241,4)&lt;&gt;"    ",0,IF(V241&gt;0.1,BI241,0))</f>
        <v/>
      </c>
      <c r="AA241" s="9">
        <f>Y241-Z241</f>
        <v/>
      </c>
      <c r="AB241" s="10" t="n"/>
      <c r="AC241" s="24" t="n"/>
      <c r="AD241" s="11" t="n"/>
      <c r="AE241" s="8" t="n"/>
      <c r="AF241" s="9">
        <f>IF(LEFT(B241,4)&lt;&gt;"    ","",AD241-AE241)</f>
        <v/>
      </c>
      <c r="AG241" s="10" t="n"/>
      <c r="AH241" s="11">
        <f>IF(LEFT(B241,4)&lt;&gt;"    ","",W241-AD241)</f>
        <v/>
      </c>
      <c r="AI241" s="8">
        <f>IF(LEFT(B241,4)&lt;&gt;"    ","",X241-AE241)</f>
        <v/>
      </c>
      <c r="AJ241" s="9">
        <f>IF(LEFT(B241,4)&lt;&gt;"    ","",Y241-AF241)</f>
        <v/>
      </c>
      <c r="AK241" s="10" t="n"/>
      <c r="AL241" s="25">
        <f>IF(LEFT(B241,4)&lt;&gt;"    ","",J241-W241)</f>
        <v/>
      </c>
      <c r="AM241" s="25">
        <f>N241-X241</f>
        <v/>
      </c>
      <c r="AN241" s="25">
        <f>IF(LEFT(B241,4)&lt;&gt;"    ","",Q241-Y241)</f>
        <v/>
      </c>
      <c r="AO241" s="10" t="n"/>
      <c r="AP241" s="12" t="n"/>
      <c r="AQ241" s="12">
        <f>IF(LEFT(B241,4)&lt;&gt;"    ","",IF(W241-AP241&gt;=0,W241-AP241," "))</f>
        <v/>
      </c>
      <c r="AR241" s="12">
        <f>IF(LEFT(B241,4)&lt;&gt;"    ","",IF(AP241-W241&gt;=0,AP241-W241," "))</f>
        <v/>
      </c>
      <c r="AS241" s="186" t="n"/>
      <c r="AT241" s="187" t="n"/>
      <c r="AU241" s="186" t="n"/>
      <c r="AV241" s="186" t="n"/>
      <c r="AW241" s="188" t="n"/>
      <c r="AX241" s="187" t="n"/>
      <c r="AY241" s="187" t="n"/>
      <c r="AZ241" s="186" t="n"/>
      <c r="BA241" s="186" t="n"/>
      <c r="BB241" s="186" t="n"/>
      <c r="BC241" s="186" t="n"/>
      <c r="BD241" s="186" t="n"/>
      <c r="BE241" s="186" t="n"/>
      <c r="BF241" s="186" t="n"/>
      <c r="BG241" s="186" t="n"/>
      <c r="BH241" s="186" t="n"/>
      <c r="BI241" s="186" t="n"/>
      <c r="BJ241" s="186" t="n"/>
      <c r="BK241" s="186" t="n"/>
      <c r="BL241" s="186" t="n"/>
      <c r="BM241" s="186" t="n"/>
      <c r="BN241" s="186" t="n"/>
      <c r="BO241" s="186" t="n"/>
      <c r="BP241" s="186" t="n"/>
      <c r="BQ241" s="186" t="n"/>
      <c r="BR241" s="186" t="n"/>
      <c r="BS241" s="186" t="n"/>
      <c r="BT241" s="186" t="n"/>
      <c r="BU241" s="186" t="n"/>
      <c r="BV241" s="190" t="n"/>
      <c r="BW241" s="186" t="n"/>
      <c r="BX241" s="186" t="n"/>
      <c r="BY241" s="186" t="n"/>
      <c r="BZ241" s="186" t="n"/>
      <c r="CA241" s="186" t="n"/>
      <c r="CB241" s="187" t="n"/>
      <c r="CC241" s="192" t="n"/>
      <c r="CD241" s="192" t="n"/>
      <c r="CE241" s="192" t="n"/>
      <c r="CF241" s="192" t="n"/>
    </row>
    <row r="242">
      <c r="A242" s="197" t="n"/>
      <c r="B242" s="198" t="n"/>
      <c r="C242" s="198" t="n"/>
      <c r="D242" s="179" t="n"/>
      <c r="E242" s="180" t="n"/>
      <c r="F242" s="181" t="n"/>
      <c r="G242" s="284">
        <f>'Jobs-Ops'!G242</f>
        <v/>
      </c>
      <c r="H242" s="114">
        <f>'Jobs-Ops'!H242</f>
        <v/>
      </c>
      <c r="I242" s="105" t="n"/>
      <c r="J242" s="183">
        <f>F242</f>
        <v/>
      </c>
      <c r="K242" s="184" t="n"/>
      <c r="L242" s="185" t="n"/>
      <c r="M242" s="8" t="n"/>
      <c r="N242" s="184">
        <f>M242</f>
        <v/>
      </c>
      <c r="O242" s="71" t="n"/>
      <c r="P242" s="101" t="n"/>
      <c r="Q242" s="9">
        <f>J242-N242</f>
        <v/>
      </c>
      <c r="R242" s="9">
        <f>IF(LEFT(B242,4)&lt;&gt;"    ",0,BI242)</f>
        <v/>
      </c>
      <c r="S242" s="9">
        <f>+Q242-R242</f>
        <v/>
      </c>
      <c r="T242" s="200">
        <f>IF('Jobs-Ops'!S242&lt;&gt; "",'Jobs-Ops'!S242,"")</f>
        <v/>
      </c>
      <c r="U242" s="10" t="n"/>
      <c r="V242" s="23">
        <f>IF(LEFT(B242,4)&lt;&gt;"    ","",IF(N242&lt;&gt;0,X242/N242,0))</f>
        <v/>
      </c>
      <c r="W242" s="11">
        <f>IF(LEFT(B242,4)&lt;&gt;"    ","",IF(V242&gt;=0.1,V242*J242,X242))</f>
        <v/>
      </c>
      <c r="X242" s="8" t="n"/>
      <c r="Y242" s="9">
        <f>IF(LEFT(B242,4)&lt;&gt;"    ",0,IF(Q242&lt;0,Q242,IF(V242&gt;0.1,W242-X242,0)))</f>
        <v/>
      </c>
      <c r="Z242" s="9">
        <f>IF(LEFT(B242,4)&lt;&gt;"    ",0,IF(V242&gt;0.1,BI242,0))</f>
        <v/>
      </c>
      <c r="AA242" s="9">
        <f>Y242-Z242</f>
        <v/>
      </c>
      <c r="AB242" s="10" t="n"/>
      <c r="AC242" s="24" t="n"/>
      <c r="AD242" s="11" t="n"/>
      <c r="AE242" s="8" t="n"/>
      <c r="AF242" s="9">
        <f>IF(LEFT(B242,4)&lt;&gt;"    ","",AD242-AE242)</f>
        <v/>
      </c>
      <c r="AG242" s="10" t="n"/>
      <c r="AH242" s="11">
        <f>IF(LEFT(B242,4)&lt;&gt;"    ","",W242-AD242)</f>
        <v/>
      </c>
      <c r="AI242" s="8">
        <f>IF(LEFT(B242,4)&lt;&gt;"    ","",X242-AE242)</f>
        <v/>
      </c>
      <c r="AJ242" s="9">
        <f>IF(LEFT(B242,4)&lt;&gt;"    ","",Y242-AF242)</f>
        <v/>
      </c>
      <c r="AK242" s="10" t="n"/>
      <c r="AL242" s="25">
        <f>IF(LEFT(B242,4)&lt;&gt;"    ","",J242-W242)</f>
        <v/>
      </c>
      <c r="AM242" s="25">
        <f>N242-X242</f>
        <v/>
      </c>
      <c r="AN242" s="25">
        <f>IF(LEFT(B242,4)&lt;&gt;"    ","",Q242-Y242)</f>
        <v/>
      </c>
      <c r="AO242" s="10" t="n"/>
      <c r="AP242" s="12" t="n"/>
      <c r="AQ242" s="12">
        <f>IF(LEFT(B242,4)&lt;&gt;"    ","",IF(W242-AP242&gt;=0,W242-AP242," "))</f>
        <v/>
      </c>
      <c r="AR242" s="12">
        <f>IF(LEFT(B242,4)&lt;&gt;"    ","",IF(AP242-W242&gt;=0,AP242-W242," "))</f>
        <v/>
      </c>
      <c r="AS242" s="186" t="n"/>
      <c r="AT242" s="187" t="n"/>
      <c r="AU242" s="186" t="n"/>
      <c r="AV242" s="186" t="n"/>
      <c r="AW242" s="188" t="n"/>
      <c r="AX242" s="187" t="n"/>
      <c r="AY242" s="187" t="n"/>
      <c r="AZ242" s="186" t="n"/>
      <c r="BA242" s="186" t="n"/>
      <c r="BB242" s="186" t="n"/>
      <c r="BC242" s="186" t="n"/>
      <c r="BD242" s="186" t="n"/>
      <c r="BE242" s="186" t="n"/>
      <c r="BF242" s="186" t="n"/>
      <c r="BG242" s="186" t="n"/>
      <c r="BH242" s="186" t="n"/>
      <c r="BI242" s="186" t="n"/>
      <c r="BJ242" s="186" t="n"/>
      <c r="BK242" s="186" t="n"/>
      <c r="BL242" s="186" t="n"/>
      <c r="BM242" s="186" t="n"/>
      <c r="BN242" s="186" t="n"/>
      <c r="BO242" s="186" t="n"/>
      <c r="BP242" s="186" t="n"/>
      <c r="BQ242" s="186" t="n"/>
      <c r="BR242" s="186" t="n"/>
      <c r="BS242" s="186" t="n"/>
      <c r="BT242" s="186" t="n"/>
      <c r="BU242" s="186" t="n"/>
      <c r="BV242" s="190" t="n"/>
      <c r="BW242" s="186" t="n"/>
      <c r="BX242" s="186" t="n"/>
      <c r="BY242" s="186" t="n"/>
      <c r="BZ242" s="186" t="n"/>
      <c r="CA242" s="186" t="n"/>
      <c r="CB242" s="187" t="n"/>
      <c r="CC242" s="192" t="n"/>
      <c r="CD242" s="192" t="n"/>
      <c r="CE242" s="192" t="n"/>
      <c r="CF242" s="192" t="n"/>
    </row>
    <row r="243">
      <c r="A243" s="197" t="n"/>
      <c r="B243" s="198" t="n"/>
      <c r="C243" s="198" t="n"/>
      <c r="D243" s="179" t="n"/>
      <c r="E243" s="180" t="n"/>
      <c r="F243" s="181" t="n"/>
      <c r="G243" s="284">
        <f>'Jobs-Ops'!G243</f>
        <v/>
      </c>
      <c r="H243" s="114">
        <f>'Jobs-Ops'!H243</f>
        <v/>
      </c>
      <c r="I243" s="105" t="n"/>
      <c r="J243" s="183">
        <f>F243</f>
        <v/>
      </c>
      <c r="K243" s="184" t="n"/>
      <c r="L243" s="185" t="n"/>
      <c r="M243" s="8" t="n"/>
      <c r="N243" s="184">
        <f>M243</f>
        <v/>
      </c>
      <c r="O243" s="71" t="n"/>
      <c r="P243" s="101" t="n"/>
      <c r="Q243" s="9">
        <f>J243-N243</f>
        <v/>
      </c>
      <c r="R243" s="9">
        <f>IF(LEFT(B243,4)&lt;&gt;"    ",0,BI243)</f>
        <v/>
      </c>
      <c r="S243" s="9">
        <f>+Q243-R243</f>
        <v/>
      </c>
      <c r="T243" s="200">
        <f>IF('Jobs-Ops'!S243&lt;&gt; "",'Jobs-Ops'!S243,"")</f>
        <v/>
      </c>
      <c r="U243" s="10" t="n"/>
      <c r="V243" s="23">
        <f>IF(LEFT(B243,4)&lt;&gt;"    ","",IF(N243&lt;&gt;0,X243/N243,0))</f>
        <v/>
      </c>
      <c r="W243" s="11">
        <f>IF(LEFT(B243,4)&lt;&gt;"    ","",IF(V243&gt;=0.1,V243*J243,X243))</f>
        <v/>
      </c>
      <c r="X243" s="8" t="n"/>
      <c r="Y243" s="9">
        <f>IF(LEFT(B243,4)&lt;&gt;"    ",0,IF(Q243&lt;0,Q243,IF(V243&gt;0.1,W243-X243,0)))</f>
        <v/>
      </c>
      <c r="Z243" s="9">
        <f>IF(LEFT(B243,4)&lt;&gt;"    ",0,IF(V243&gt;0.1,BI243,0))</f>
        <v/>
      </c>
      <c r="AA243" s="9">
        <f>Y243-Z243</f>
        <v/>
      </c>
      <c r="AB243" s="10" t="n"/>
      <c r="AC243" s="24" t="n"/>
      <c r="AD243" s="11" t="n"/>
      <c r="AE243" s="8" t="n"/>
      <c r="AF243" s="9">
        <f>IF(LEFT(B243,4)&lt;&gt;"    ","",AD243-AE243)</f>
        <v/>
      </c>
      <c r="AG243" s="10" t="n"/>
      <c r="AH243" s="11">
        <f>IF(LEFT(B243,4)&lt;&gt;"    ","",W243-AD243)</f>
        <v/>
      </c>
      <c r="AI243" s="8">
        <f>IF(LEFT(B243,4)&lt;&gt;"    ","",X243-AE243)</f>
        <v/>
      </c>
      <c r="AJ243" s="9">
        <f>IF(LEFT(B243,4)&lt;&gt;"    ","",Y243-AF243)</f>
        <v/>
      </c>
      <c r="AK243" s="10" t="n"/>
      <c r="AL243" s="25">
        <f>IF(LEFT(B243,4)&lt;&gt;"    ","",J243-W243)</f>
        <v/>
      </c>
      <c r="AM243" s="25">
        <f>N243-X243</f>
        <v/>
      </c>
      <c r="AN243" s="25">
        <f>IF(LEFT(B243,4)&lt;&gt;"    ","",Q243-Y243)</f>
        <v/>
      </c>
      <c r="AO243" s="10" t="n"/>
      <c r="AP243" s="12" t="n"/>
      <c r="AQ243" s="12">
        <f>IF(LEFT(B243,4)&lt;&gt;"    ","",IF(W243-AP243&gt;=0,W243-AP243," "))</f>
        <v/>
      </c>
      <c r="AR243" s="12">
        <f>IF(LEFT(B243,4)&lt;&gt;"    ","",IF(AP243-W243&gt;=0,AP243-W243," "))</f>
        <v/>
      </c>
      <c r="AS243" s="186" t="n"/>
      <c r="AT243" s="187" t="n"/>
      <c r="AU243" s="186" t="n"/>
      <c r="AV243" s="186" t="n"/>
      <c r="AW243" s="188" t="n"/>
      <c r="AX243" s="187" t="n"/>
      <c r="AY243" s="187" t="n"/>
      <c r="AZ243" s="186" t="n"/>
      <c r="BA243" s="186" t="n"/>
      <c r="BB243" s="186" t="n"/>
      <c r="BC243" s="186" t="n"/>
      <c r="BD243" s="186" t="n"/>
      <c r="BE243" s="186" t="n"/>
      <c r="BF243" s="186" t="n"/>
      <c r="BG243" s="186" t="n"/>
      <c r="BH243" s="186" t="n"/>
      <c r="BI243" s="186" t="n"/>
      <c r="BJ243" s="186" t="n"/>
      <c r="BK243" s="186" t="n"/>
      <c r="BL243" s="186" t="n"/>
      <c r="BM243" s="186" t="n"/>
      <c r="BN243" s="186" t="n"/>
      <c r="BO243" s="186" t="n"/>
      <c r="BP243" s="186" t="n"/>
      <c r="BQ243" s="186" t="n"/>
      <c r="BR243" s="186" t="n"/>
      <c r="BS243" s="186" t="n"/>
      <c r="BT243" s="186" t="n"/>
      <c r="BU243" s="186" t="n"/>
      <c r="BV243" s="190" t="n"/>
      <c r="BW243" s="186" t="n"/>
      <c r="BX243" s="186" t="n"/>
      <c r="BY243" s="186" t="n"/>
      <c r="BZ243" s="186" t="n"/>
      <c r="CA243" s="186" t="n"/>
      <c r="CB243" s="187" t="n"/>
      <c r="CC243" s="192" t="n"/>
      <c r="CD243" s="192" t="n"/>
      <c r="CE243" s="192" t="n"/>
      <c r="CF243" s="192" t="n"/>
    </row>
    <row r="244">
      <c r="A244" s="197" t="n"/>
      <c r="B244" s="198" t="n"/>
      <c r="C244" s="198" t="n"/>
      <c r="D244" s="179" t="n"/>
      <c r="E244" s="180" t="n"/>
      <c r="F244" s="181" t="n"/>
      <c r="G244" s="284">
        <f>'Jobs-Ops'!G244</f>
        <v/>
      </c>
      <c r="H244" s="114">
        <f>'Jobs-Ops'!H244</f>
        <v/>
      </c>
      <c r="I244" s="105" t="n"/>
      <c r="J244" s="183">
        <f>F244</f>
        <v/>
      </c>
      <c r="K244" s="184" t="n"/>
      <c r="L244" s="185" t="n"/>
      <c r="M244" s="8" t="n"/>
      <c r="N244" s="184">
        <f>M244</f>
        <v/>
      </c>
      <c r="O244" s="71" t="n"/>
      <c r="P244" s="101" t="n"/>
      <c r="Q244" s="9">
        <f>J244-N244</f>
        <v/>
      </c>
      <c r="R244" s="9">
        <f>IF(LEFT(B244,4)&lt;&gt;"    ",0,BI244)</f>
        <v/>
      </c>
      <c r="S244" s="9">
        <f>+Q244-R244</f>
        <v/>
      </c>
      <c r="T244" s="200">
        <f>IF('Jobs-Ops'!S244&lt;&gt; "",'Jobs-Ops'!S244,"")</f>
        <v/>
      </c>
      <c r="U244" s="10" t="n"/>
      <c r="V244" s="23">
        <f>IF(LEFT(B244,4)&lt;&gt;"    ","",IF(N244&lt;&gt;0,X244/N244,0))</f>
        <v/>
      </c>
      <c r="W244" s="11">
        <f>IF(LEFT(B244,4)&lt;&gt;"    ","",IF(V244&gt;=0.1,V244*J244,X244))</f>
        <v/>
      </c>
      <c r="X244" s="8" t="n"/>
      <c r="Y244" s="9">
        <f>IF(LEFT(B244,4)&lt;&gt;"    ",0,IF(Q244&lt;0,Q244,IF(V244&gt;0.1,W244-X244,0)))</f>
        <v/>
      </c>
      <c r="Z244" s="9">
        <f>IF(LEFT(B244,4)&lt;&gt;"    ",0,IF(V244&gt;0.1,BI244,0))</f>
        <v/>
      </c>
      <c r="AA244" s="9">
        <f>Y244-Z244</f>
        <v/>
      </c>
      <c r="AB244" s="10" t="n"/>
      <c r="AC244" s="24" t="n"/>
      <c r="AD244" s="11" t="n"/>
      <c r="AE244" s="8" t="n"/>
      <c r="AF244" s="9">
        <f>IF(LEFT(B244,4)&lt;&gt;"    ","",AD244-AE244)</f>
        <v/>
      </c>
      <c r="AG244" s="10" t="n"/>
      <c r="AH244" s="11">
        <f>IF(LEFT(B244,4)&lt;&gt;"    ","",W244-AD244)</f>
        <v/>
      </c>
      <c r="AI244" s="8">
        <f>IF(LEFT(B244,4)&lt;&gt;"    ","",X244-AE244)</f>
        <v/>
      </c>
      <c r="AJ244" s="9">
        <f>IF(LEFT(B244,4)&lt;&gt;"    ","",Y244-AF244)</f>
        <v/>
      </c>
      <c r="AK244" s="10" t="n"/>
      <c r="AL244" s="25">
        <f>IF(LEFT(B244,4)&lt;&gt;"    ","",J244-W244)</f>
        <v/>
      </c>
      <c r="AM244" s="25">
        <f>N244-X244</f>
        <v/>
      </c>
      <c r="AN244" s="25">
        <f>IF(LEFT(B244,4)&lt;&gt;"    ","",Q244-Y244)</f>
        <v/>
      </c>
      <c r="AO244" s="10" t="n"/>
      <c r="AP244" s="12" t="n"/>
      <c r="AQ244" s="12">
        <f>IF(LEFT(B244,4)&lt;&gt;"    ","",IF(W244-AP244&gt;=0,W244-AP244," "))</f>
        <v/>
      </c>
      <c r="AR244" s="12">
        <f>IF(LEFT(B244,4)&lt;&gt;"    ","",IF(AP244-W244&gt;=0,AP244-W244," "))</f>
        <v/>
      </c>
      <c r="AS244" s="186" t="n"/>
      <c r="AT244" s="187" t="n"/>
      <c r="AU244" s="186" t="n"/>
      <c r="AV244" s="186" t="n"/>
      <c r="AW244" s="188" t="n"/>
      <c r="AX244" s="187" t="n"/>
      <c r="AY244" s="187" t="n"/>
      <c r="AZ244" s="186" t="n"/>
      <c r="BA244" s="186" t="n"/>
      <c r="BB244" s="186" t="n"/>
      <c r="BC244" s="186" t="n"/>
      <c r="BD244" s="186" t="n"/>
      <c r="BE244" s="186" t="n"/>
      <c r="BF244" s="186" t="n"/>
      <c r="BG244" s="186" t="n"/>
      <c r="BH244" s="186" t="n"/>
      <c r="BI244" s="186" t="n"/>
      <c r="BJ244" s="186" t="n"/>
      <c r="BK244" s="186" t="n"/>
      <c r="BL244" s="186" t="n"/>
      <c r="BM244" s="186" t="n"/>
      <c r="BN244" s="186" t="n"/>
      <c r="BO244" s="186" t="n"/>
      <c r="BP244" s="186" t="n"/>
      <c r="BQ244" s="186" t="n"/>
      <c r="BR244" s="186" t="n"/>
      <c r="BS244" s="186" t="n"/>
      <c r="BT244" s="186" t="n"/>
      <c r="BU244" s="186" t="n"/>
      <c r="BV244" s="190" t="n"/>
      <c r="BW244" s="186" t="n"/>
      <c r="BX244" s="186" t="n"/>
      <c r="BY244" s="186" t="n"/>
      <c r="BZ244" s="186" t="n"/>
      <c r="CA244" s="186" t="n"/>
      <c r="CB244" s="187" t="n"/>
      <c r="CC244" s="192" t="n"/>
      <c r="CD244" s="192" t="n"/>
      <c r="CE244" s="192" t="n"/>
      <c r="CF244" s="192" t="n"/>
    </row>
    <row r="245">
      <c r="A245" s="197" t="n"/>
      <c r="B245" s="198" t="n"/>
      <c r="C245" s="198" t="n"/>
      <c r="D245" s="179" t="n"/>
      <c r="E245" s="180" t="n"/>
      <c r="F245" s="181" t="n"/>
      <c r="G245" s="284">
        <f>'Jobs-Ops'!G245</f>
        <v/>
      </c>
      <c r="H245" s="114">
        <f>'Jobs-Ops'!H245</f>
        <v/>
      </c>
      <c r="I245" s="105" t="n"/>
      <c r="J245" s="183">
        <f>F245</f>
        <v/>
      </c>
      <c r="K245" s="184" t="n"/>
      <c r="L245" s="185" t="n"/>
      <c r="M245" s="8" t="n"/>
      <c r="N245" s="184">
        <f>M245</f>
        <v/>
      </c>
      <c r="O245" s="71" t="n"/>
      <c r="P245" s="101" t="n"/>
      <c r="Q245" s="9">
        <f>J245-N245</f>
        <v/>
      </c>
      <c r="R245" s="9">
        <f>IF(LEFT(B245,4)&lt;&gt;"    ",0,BI245)</f>
        <v/>
      </c>
      <c r="S245" s="9">
        <f>+Q245-R245</f>
        <v/>
      </c>
      <c r="T245" s="200">
        <f>IF('Jobs-Ops'!S245&lt;&gt; "",'Jobs-Ops'!S245,"")</f>
        <v/>
      </c>
      <c r="U245" s="10" t="n"/>
      <c r="V245" s="23">
        <f>IF(LEFT(B245,4)&lt;&gt;"    ","",IF(N245&lt;&gt;0,X245/N245,0))</f>
        <v/>
      </c>
      <c r="W245" s="11">
        <f>IF(LEFT(B245,4)&lt;&gt;"    ","",IF(V245&gt;=0.1,V245*J245,X245))</f>
        <v/>
      </c>
      <c r="X245" s="8" t="n"/>
      <c r="Y245" s="9">
        <f>IF(LEFT(B245,4)&lt;&gt;"    ",0,IF(Q245&lt;0,Q245,IF(V245&gt;0.1,W245-X245,0)))</f>
        <v/>
      </c>
      <c r="Z245" s="9">
        <f>IF(LEFT(B245,4)&lt;&gt;"    ",0,IF(V245&gt;0.1,BI245,0))</f>
        <v/>
      </c>
      <c r="AA245" s="9">
        <f>Y245-Z245</f>
        <v/>
      </c>
      <c r="AB245" s="10" t="n"/>
      <c r="AC245" s="24" t="n"/>
      <c r="AD245" s="11" t="n"/>
      <c r="AE245" s="8" t="n"/>
      <c r="AF245" s="9">
        <f>IF(LEFT(B245,4)&lt;&gt;"    ","",AD245-AE245)</f>
        <v/>
      </c>
      <c r="AG245" s="10" t="n"/>
      <c r="AH245" s="11">
        <f>IF(LEFT(B245,4)&lt;&gt;"    ","",W245-AD245)</f>
        <v/>
      </c>
      <c r="AI245" s="8">
        <f>IF(LEFT(B245,4)&lt;&gt;"    ","",X245-AE245)</f>
        <v/>
      </c>
      <c r="AJ245" s="9">
        <f>IF(LEFT(B245,4)&lt;&gt;"    ","",Y245-AF245)</f>
        <v/>
      </c>
      <c r="AK245" s="10" t="n"/>
      <c r="AL245" s="25">
        <f>IF(LEFT(B245,4)&lt;&gt;"    ","",J245-W245)</f>
        <v/>
      </c>
      <c r="AM245" s="25">
        <f>N245-X245</f>
        <v/>
      </c>
      <c r="AN245" s="25">
        <f>IF(LEFT(B245,4)&lt;&gt;"    ","",Q245-Y245)</f>
        <v/>
      </c>
      <c r="AO245" s="10" t="n"/>
      <c r="AP245" s="12" t="n"/>
      <c r="AQ245" s="12">
        <f>IF(LEFT(B245,4)&lt;&gt;"    ","",IF(W245-AP245&gt;=0,W245-AP245," "))</f>
        <v/>
      </c>
      <c r="AR245" s="12">
        <f>IF(LEFT(B245,4)&lt;&gt;"    ","",IF(AP245-W245&gt;=0,AP245-W245," "))</f>
        <v/>
      </c>
      <c r="AS245" s="186" t="n"/>
      <c r="AT245" s="187" t="n"/>
      <c r="AU245" s="186" t="n"/>
      <c r="AV245" s="186" t="n"/>
      <c r="AW245" s="188" t="n"/>
      <c r="AX245" s="187" t="n"/>
      <c r="AY245" s="187" t="n"/>
      <c r="AZ245" s="186" t="n"/>
      <c r="BA245" s="186" t="n"/>
      <c r="BB245" s="186" t="n"/>
      <c r="BC245" s="186" t="n"/>
      <c r="BD245" s="186" t="n"/>
      <c r="BE245" s="186" t="n"/>
      <c r="BF245" s="186" t="n"/>
      <c r="BG245" s="186" t="n"/>
      <c r="BH245" s="186" t="n"/>
      <c r="BI245" s="186" t="n"/>
      <c r="BJ245" s="186" t="n"/>
      <c r="BK245" s="186" t="n"/>
      <c r="BL245" s="186" t="n"/>
      <c r="BM245" s="186" t="n"/>
      <c r="BN245" s="186" t="n"/>
      <c r="BO245" s="186" t="n"/>
      <c r="BP245" s="186" t="n"/>
      <c r="BQ245" s="186" t="n"/>
      <c r="BR245" s="186" t="n"/>
      <c r="BS245" s="186" t="n"/>
      <c r="BT245" s="186" t="n"/>
      <c r="BU245" s="186" t="n"/>
      <c r="BV245" s="190" t="n"/>
      <c r="BW245" s="186" t="n"/>
      <c r="BX245" s="186" t="n"/>
      <c r="BY245" s="186" t="n"/>
      <c r="BZ245" s="186" t="n"/>
      <c r="CA245" s="186" t="n"/>
      <c r="CB245" s="187" t="n"/>
      <c r="CC245" s="192" t="n"/>
      <c r="CD245" s="192" t="n"/>
      <c r="CE245" s="192" t="n"/>
      <c r="CF245" s="192" t="n"/>
    </row>
    <row r="246">
      <c r="A246" s="197" t="n"/>
      <c r="B246" s="198" t="n"/>
      <c r="C246" s="198" t="n"/>
      <c r="D246" s="179" t="n"/>
      <c r="E246" s="180" t="n"/>
      <c r="F246" s="181" t="n"/>
      <c r="G246" s="284">
        <f>'Jobs-Ops'!G246</f>
        <v/>
      </c>
      <c r="H246" s="114">
        <f>'Jobs-Ops'!H246</f>
        <v/>
      </c>
      <c r="I246" s="105" t="n"/>
      <c r="J246" s="183">
        <f>F246</f>
        <v/>
      </c>
      <c r="K246" s="184" t="n"/>
      <c r="L246" s="185" t="n"/>
      <c r="M246" s="8" t="n"/>
      <c r="N246" s="184">
        <f>M246</f>
        <v/>
      </c>
      <c r="O246" s="71" t="n"/>
      <c r="P246" s="101" t="n"/>
      <c r="Q246" s="9">
        <f>J246-N246</f>
        <v/>
      </c>
      <c r="R246" s="9">
        <f>IF(LEFT(B246,4)&lt;&gt;"    ",0,BI246)</f>
        <v/>
      </c>
      <c r="S246" s="9">
        <f>+Q246-R246</f>
        <v/>
      </c>
      <c r="T246" s="200">
        <f>IF('Jobs-Ops'!S246&lt;&gt; "",'Jobs-Ops'!S246,"")</f>
        <v/>
      </c>
      <c r="U246" s="10" t="n"/>
      <c r="V246" s="23">
        <f>IF(LEFT(B246,4)&lt;&gt;"    ","",IF(N246&lt;&gt;0,X246/N246,0))</f>
        <v/>
      </c>
      <c r="W246" s="11">
        <f>IF(LEFT(B246,4)&lt;&gt;"    ","",IF(V246&gt;=0.1,V246*J246,X246))</f>
        <v/>
      </c>
      <c r="X246" s="8" t="n"/>
      <c r="Y246" s="9">
        <f>IF(LEFT(B246,4)&lt;&gt;"    ",0,IF(Q246&lt;0,Q246,IF(V246&gt;0.1,W246-X246,0)))</f>
        <v/>
      </c>
      <c r="Z246" s="9">
        <f>IF(LEFT(B246,4)&lt;&gt;"    ",0,IF(V246&gt;0.1,BI246,0))</f>
        <v/>
      </c>
      <c r="AA246" s="9">
        <f>Y246-Z246</f>
        <v/>
      </c>
      <c r="AB246" s="10" t="n"/>
      <c r="AC246" s="24" t="n"/>
      <c r="AD246" s="11" t="n"/>
      <c r="AE246" s="8" t="n"/>
      <c r="AF246" s="9">
        <f>IF(LEFT(B246,4)&lt;&gt;"    ","",AD246-AE246)</f>
        <v/>
      </c>
      <c r="AG246" s="10" t="n"/>
      <c r="AH246" s="11">
        <f>IF(LEFT(B246,4)&lt;&gt;"    ","",W246-AD246)</f>
        <v/>
      </c>
      <c r="AI246" s="8">
        <f>IF(LEFT(B246,4)&lt;&gt;"    ","",X246-AE246)</f>
        <v/>
      </c>
      <c r="AJ246" s="9">
        <f>IF(LEFT(B246,4)&lt;&gt;"    ","",Y246-AF246)</f>
        <v/>
      </c>
      <c r="AK246" s="10" t="n"/>
      <c r="AL246" s="25">
        <f>IF(LEFT(B246,4)&lt;&gt;"    ","",J246-W246)</f>
        <v/>
      </c>
      <c r="AM246" s="25">
        <f>N246-X246</f>
        <v/>
      </c>
      <c r="AN246" s="25">
        <f>IF(LEFT(B246,4)&lt;&gt;"    ","",Q246-Y246)</f>
        <v/>
      </c>
      <c r="AO246" s="10" t="n"/>
      <c r="AP246" s="12" t="n"/>
      <c r="AQ246" s="12">
        <f>IF(LEFT(B246,4)&lt;&gt;"    ","",IF(W246-AP246&gt;=0,W246-AP246," "))</f>
        <v/>
      </c>
      <c r="AR246" s="12">
        <f>IF(LEFT(B246,4)&lt;&gt;"    ","",IF(AP246-W246&gt;=0,AP246-W246," "))</f>
        <v/>
      </c>
      <c r="AS246" s="186" t="n"/>
      <c r="AT246" s="187" t="n"/>
      <c r="AU246" s="186" t="n"/>
      <c r="AV246" s="186" t="n"/>
      <c r="AW246" s="188" t="n"/>
      <c r="AX246" s="187" t="n"/>
      <c r="AY246" s="187" t="n"/>
      <c r="AZ246" s="186" t="n"/>
      <c r="BA246" s="186" t="n"/>
      <c r="BB246" s="186" t="n"/>
      <c r="BC246" s="186" t="n"/>
      <c r="BD246" s="186" t="n"/>
      <c r="BE246" s="186" t="n"/>
      <c r="BF246" s="186" t="n"/>
      <c r="BG246" s="186" t="n"/>
      <c r="BH246" s="186" t="n"/>
      <c r="BI246" s="186" t="n"/>
      <c r="BJ246" s="186" t="n"/>
      <c r="BK246" s="186" t="n"/>
      <c r="BL246" s="186" t="n"/>
      <c r="BM246" s="186" t="n"/>
      <c r="BN246" s="186" t="n"/>
      <c r="BO246" s="186" t="n"/>
      <c r="BP246" s="186" t="n"/>
      <c r="BQ246" s="186" t="n"/>
      <c r="BR246" s="186" t="n"/>
      <c r="BS246" s="186" t="n"/>
      <c r="BT246" s="186" t="n"/>
      <c r="BU246" s="186" t="n"/>
      <c r="BV246" s="190" t="n"/>
      <c r="BW246" s="186" t="n"/>
      <c r="BX246" s="186" t="n"/>
      <c r="BY246" s="186" t="n"/>
      <c r="BZ246" s="186" t="n"/>
      <c r="CA246" s="186" t="n"/>
      <c r="CB246" s="187" t="n"/>
      <c r="CC246" s="192" t="n"/>
      <c r="CD246" s="192" t="n"/>
      <c r="CE246" s="192" t="n"/>
      <c r="CF246" s="192" t="n"/>
    </row>
    <row r="247">
      <c r="A247" s="197" t="n"/>
      <c r="B247" s="198" t="n"/>
      <c r="C247" s="198" t="n"/>
      <c r="D247" s="179" t="n"/>
      <c r="E247" s="180" t="n"/>
      <c r="F247" s="181" t="n"/>
      <c r="G247" s="284">
        <f>'Jobs-Ops'!G247</f>
        <v/>
      </c>
      <c r="H247" s="114">
        <f>'Jobs-Ops'!H247</f>
        <v/>
      </c>
      <c r="I247" s="105" t="n"/>
      <c r="J247" s="183">
        <f>F247</f>
        <v/>
      </c>
      <c r="K247" s="184" t="n"/>
      <c r="L247" s="185" t="n"/>
      <c r="M247" s="8" t="n"/>
      <c r="N247" s="184">
        <f>M247</f>
        <v/>
      </c>
      <c r="O247" s="71" t="n"/>
      <c r="P247" s="101" t="n"/>
      <c r="Q247" s="9">
        <f>J247-N247</f>
        <v/>
      </c>
      <c r="R247" s="9">
        <f>IF(LEFT(B247,4)&lt;&gt;"    ",0,BI247)</f>
        <v/>
      </c>
      <c r="S247" s="9">
        <f>+Q247-R247</f>
        <v/>
      </c>
      <c r="T247" s="200">
        <f>IF('Jobs-Ops'!S247&lt;&gt; "",'Jobs-Ops'!S247,"")</f>
        <v/>
      </c>
      <c r="U247" s="10" t="n"/>
      <c r="V247" s="23">
        <f>IF(LEFT(B247,4)&lt;&gt;"    ","",IF(N247&lt;&gt;0,X247/N247,0))</f>
        <v/>
      </c>
      <c r="W247" s="11">
        <f>IF(LEFT(B247,4)&lt;&gt;"    ","",IF(V247&gt;=0.1,V247*J247,X247))</f>
        <v/>
      </c>
      <c r="X247" s="8" t="n"/>
      <c r="Y247" s="9">
        <f>IF(LEFT(B247,4)&lt;&gt;"    ",0,IF(Q247&lt;0,Q247,IF(V247&gt;0.1,W247-X247,0)))</f>
        <v/>
      </c>
      <c r="Z247" s="9">
        <f>IF(LEFT(B247,4)&lt;&gt;"    ",0,IF(V247&gt;0.1,BI247,0))</f>
        <v/>
      </c>
      <c r="AA247" s="9">
        <f>Y247-Z247</f>
        <v/>
      </c>
      <c r="AB247" s="10" t="n"/>
      <c r="AC247" s="24" t="n"/>
      <c r="AD247" s="11" t="n"/>
      <c r="AE247" s="8" t="n"/>
      <c r="AF247" s="9">
        <f>IF(LEFT(B247,4)&lt;&gt;"    ","",AD247-AE247)</f>
        <v/>
      </c>
      <c r="AG247" s="10" t="n"/>
      <c r="AH247" s="11">
        <f>IF(LEFT(B247,4)&lt;&gt;"    ","",W247-AD247)</f>
        <v/>
      </c>
      <c r="AI247" s="8">
        <f>IF(LEFT(B247,4)&lt;&gt;"    ","",X247-AE247)</f>
        <v/>
      </c>
      <c r="AJ247" s="9">
        <f>IF(LEFT(B247,4)&lt;&gt;"    ","",Y247-AF247)</f>
        <v/>
      </c>
      <c r="AK247" s="10" t="n"/>
      <c r="AL247" s="25">
        <f>IF(LEFT(B247,4)&lt;&gt;"    ","",J247-W247)</f>
        <v/>
      </c>
      <c r="AM247" s="25">
        <f>N247-X247</f>
        <v/>
      </c>
      <c r="AN247" s="25">
        <f>IF(LEFT(B247,4)&lt;&gt;"    ","",Q247-Y247)</f>
        <v/>
      </c>
      <c r="AO247" s="10" t="n"/>
      <c r="AP247" s="12" t="n"/>
      <c r="AQ247" s="12">
        <f>IF(LEFT(B247,4)&lt;&gt;"    ","",IF(W247-AP247&gt;=0,W247-AP247," "))</f>
        <v/>
      </c>
      <c r="AR247" s="12">
        <f>IF(LEFT(B247,4)&lt;&gt;"    ","",IF(AP247-W247&gt;=0,AP247-W247," "))</f>
        <v/>
      </c>
      <c r="AS247" s="186" t="n"/>
      <c r="AT247" s="187" t="n"/>
      <c r="AU247" s="186" t="n"/>
      <c r="AV247" s="186" t="n"/>
      <c r="AW247" s="188" t="n"/>
      <c r="AX247" s="187" t="n"/>
      <c r="AY247" s="187" t="n"/>
      <c r="AZ247" s="186" t="n"/>
      <c r="BA247" s="186" t="n"/>
      <c r="BB247" s="186" t="n"/>
      <c r="BC247" s="186" t="n"/>
      <c r="BD247" s="186" t="n"/>
      <c r="BE247" s="186" t="n"/>
      <c r="BF247" s="186" t="n"/>
      <c r="BG247" s="186" t="n"/>
      <c r="BH247" s="186" t="n"/>
      <c r="BI247" s="186" t="n"/>
      <c r="BJ247" s="186" t="n"/>
      <c r="BK247" s="186" t="n"/>
      <c r="BL247" s="186" t="n"/>
      <c r="BM247" s="186" t="n"/>
      <c r="BN247" s="186" t="n"/>
      <c r="BO247" s="186" t="n"/>
      <c r="BP247" s="186" t="n"/>
      <c r="BQ247" s="186" t="n"/>
      <c r="BR247" s="186" t="n"/>
      <c r="BS247" s="186" t="n"/>
      <c r="BT247" s="186" t="n"/>
      <c r="BU247" s="186" t="n"/>
      <c r="BV247" s="190" t="n"/>
      <c r="BW247" s="186" t="n"/>
      <c r="BX247" s="186" t="n"/>
      <c r="BY247" s="186" t="n"/>
      <c r="BZ247" s="186" t="n"/>
      <c r="CA247" s="186" t="n"/>
      <c r="CB247" s="187" t="n"/>
      <c r="CC247" s="192" t="n"/>
      <c r="CD247" s="192" t="n"/>
      <c r="CE247" s="192" t="n"/>
      <c r="CF247" s="192" t="n"/>
    </row>
    <row r="248">
      <c r="A248" s="197" t="n"/>
      <c r="B248" s="198" t="n"/>
      <c r="C248" s="198" t="n"/>
      <c r="D248" s="179" t="n"/>
      <c r="E248" s="180" t="n"/>
      <c r="F248" s="181" t="n"/>
      <c r="G248" s="284">
        <f>'Jobs-Ops'!G248</f>
        <v/>
      </c>
      <c r="H248" s="114">
        <f>'Jobs-Ops'!H248</f>
        <v/>
      </c>
      <c r="I248" s="105" t="n"/>
      <c r="J248" s="183">
        <f>F248</f>
        <v/>
      </c>
      <c r="K248" s="184" t="n"/>
      <c r="L248" s="185" t="n"/>
      <c r="M248" s="8" t="n"/>
      <c r="N248" s="184">
        <f>M248</f>
        <v/>
      </c>
      <c r="O248" s="184" t="n"/>
      <c r="P248" s="185" t="n"/>
      <c r="Q248" s="9">
        <f>J248-N248</f>
        <v/>
      </c>
      <c r="R248" s="9">
        <f>IF(LEFT(B248,4)&lt;&gt;"    ",0,BI248)</f>
        <v/>
      </c>
      <c r="S248" s="9">
        <f>+Q248-R248</f>
        <v/>
      </c>
      <c r="T248" s="200">
        <f>IF('Jobs-Ops'!S248&lt;&gt; "",'Jobs-Ops'!S248,"")</f>
        <v/>
      </c>
      <c r="U248" s="10" t="n"/>
      <c r="V248" s="23">
        <f>IF(LEFT(B248,4)&lt;&gt;"    ","",IF(N248&lt;&gt;0,X248/N248,0))</f>
        <v/>
      </c>
      <c r="W248" s="11">
        <f>IF(LEFT(B248,4)&lt;&gt;"    ","",IF(V248&gt;=0.1,V248*J248,X248))</f>
        <v/>
      </c>
      <c r="X248" s="8" t="n"/>
      <c r="Y248" s="9">
        <f>IF(LEFT(B248,4)&lt;&gt;"    ",0,IF(Q248&lt;0,Q248,IF(V248&gt;0.1,W248-X248,0)))</f>
        <v/>
      </c>
      <c r="Z248" s="9">
        <f>IF(LEFT(B248,4)&lt;&gt;"    ",0,IF(V248&gt;0.1,BI248,0))</f>
        <v/>
      </c>
      <c r="AA248" s="9">
        <f>Y248-Z248</f>
        <v/>
      </c>
      <c r="AB248" s="10" t="n"/>
      <c r="AC248" s="24" t="n"/>
      <c r="AD248" s="11" t="n"/>
      <c r="AE248" s="8" t="n"/>
      <c r="AF248" s="9">
        <f>IF(LEFT(B248,4)&lt;&gt;"    ","",AD248-AE248)</f>
        <v/>
      </c>
      <c r="AG248" s="10" t="n"/>
      <c r="AH248" s="11">
        <f>IF(LEFT(B248,4)&lt;&gt;"    ","",W248-AD248)</f>
        <v/>
      </c>
      <c r="AI248" s="8">
        <f>IF(LEFT(B248,4)&lt;&gt;"    ","",X248-AE248)</f>
        <v/>
      </c>
      <c r="AJ248" s="9">
        <f>IF(LEFT(B248,4)&lt;&gt;"    ","",Y248-AF248)</f>
        <v/>
      </c>
      <c r="AK248" s="10" t="n"/>
      <c r="AL248" s="25">
        <f>IF(LEFT(B248,4)&lt;&gt;"    ","",J248-W248)</f>
        <v/>
      </c>
      <c r="AM248" s="25">
        <f>N248-X248</f>
        <v/>
      </c>
      <c r="AN248" s="25">
        <f>IF(LEFT(B248,4)&lt;&gt;"    ","",Q248-Y248)</f>
        <v/>
      </c>
      <c r="AO248" s="10" t="n"/>
      <c r="AP248" s="12" t="n"/>
      <c r="AQ248" s="12">
        <f>IF(LEFT(B248,4)&lt;&gt;"    ","",IF(W248-AP248&gt;=0,W248-AP248," "))</f>
        <v/>
      </c>
      <c r="AR248" s="12">
        <f>IF(LEFT(B248,4)&lt;&gt;"    ","",IF(AP248-W248&gt;=0,AP248-W248," "))</f>
        <v/>
      </c>
      <c r="AS248" s="186" t="n"/>
      <c r="AT248" s="187" t="n"/>
      <c r="AU248" s="186" t="n"/>
      <c r="AV248" s="186" t="n"/>
      <c r="AW248" s="188" t="n"/>
      <c r="AX248" s="187" t="n"/>
      <c r="AY248" s="187" t="n"/>
      <c r="AZ248" s="186" t="n"/>
      <c r="BA248" s="186" t="n"/>
      <c r="BB248" s="186" t="n"/>
      <c r="BC248" s="186" t="n"/>
      <c r="BD248" s="186" t="n"/>
      <c r="BE248" s="186" t="n"/>
      <c r="BF248" s="186" t="n"/>
      <c r="BG248" s="186" t="n"/>
      <c r="BH248" s="186" t="n"/>
      <c r="BI248" s="186" t="n"/>
      <c r="BJ248" s="186" t="n"/>
      <c r="BK248" s="186" t="n"/>
      <c r="BL248" s="186" t="n"/>
      <c r="BM248" s="186" t="n"/>
      <c r="BN248" s="186" t="n"/>
      <c r="BO248" s="186" t="n"/>
      <c r="BP248" s="186" t="n"/>
      <c r="BQ248" s="186" t="n"/>
      <c r="BR248" s="186" t="n"/>
      <c r="BS248" s="186" t="n"/>
      <c r="BT248" s="186" t="n"/>
      <c r="BU248" s="186" t="n"/>
      <c r="BV248" s="190" t="n"/>
      <c r="BW248" s="186" t="n"/>
      <c r="BX248" s="186" t="n"/>
      <c r="BY248" s="186" t="n"/>
      <c r="BZ248" s="186" t="n"/>
      <c r="CA248" s="186" t="n"/>
      <c r="CB248" s="187" t="n"/>
      <c r="CC248" s="192" t="n"/>
      <c r="CD248" s="192" t="n"/>
      <c r="CE248" s="192" t="n"/>
      <c r="CF248" s="192" t="n"/>
    </row>
    <row r="249">
      <c r="A249" s="197" t="n"/>
      <c r="B249" s="198" t="n"/>
      <c r="C249" s="198" t="n"/>
      <c r="D249" s="179" t="n"/>
      <c r="E249" s="180" t="n"/>
      <c r="F249" s="181" t="n"/>
      <c r="G249" s="284">
        <f>'Jobs-Ops'!G249</f>
        <v/>
      </c>
      <c r="H249" s="114">
        <f>'Jobs-Ops'!H249</f>
        <v/>
      </c>
      <c r="I249" s="105" t="n"/>
      <c r="J249" s="183">
        <f>F249</f>
        <v/>
      </c>
      <c r="K249" s="184" t="n"/>
      <c r="L249" s="185" t="n"/>
      <c r="M249" s="8" t="n"/>
      <c r="N249" s="184">
        <f>M249</f>
        <v/>
      </c>
      <c r="O249" s="71" t="n"/>
      <c r="P249" s="101" t="n"/>
      <c r="Q249" s="9">
        <f>J249-N249</f>
        <v/>
      </c>
      <c r="R249" s="9">
        <f>IF(LEFT(B249,4)&lt;&gt;"    ",0,BI249)</f>
        <v/>
      </c>
      <c r="S249" s="9">
        <f>+Q249-R249</f>
        <v/>
      </c>
      <c r="T249" s="200">
        <f>IF('Jobs-Ops'!S249&lt;&gt; "",'Jobs-Ops'!S249,"")</f>
        <v/>
      </c>
      <c r="U249" s="10" t="n"/>
      <c r="V249" s="23">
        <f>IF(LEFT(B249,4)&lt;&gt;"    ","",IF(N249&lt;&gt;0,X249/N249,0))</f>
        <v/>
      </c>
      <c r="W249" s="11">
        <f>IF(LEFT(B249,4)&lt;&gt;"    ","",IF(V249&gt;=0.1,V249*J249,X249))</f>
        <v/>
      </c>
      <c r="X249" s="8" t="n"/>
      <c r="Y249" s="9">
        <f>IF(LEFT(B249,4)&lt;&gt;"    ",0,IF(Q249&lt;0,Q249,IF(V249&gt;0.1,W249-X249,0)))</f>
        <v/>
      </c>
      <c r="Z249" s="9">
        <f>IF(LEFT(B249,4)&lt;&gt;"    ",0,IF(V249&gt;0.1,BI249,0))</f>
        <v/>
      </c>
      <c r="AA249" s="9">
        <f>Y249-Z249</f>
        <v/>
      </c>
      <c r="AB249" s="10" t="n"/>
      <c r="AC249" s="24" t="n"/>
      <c r="AD249" s="11" t="n"/>
      <c r="AE249" s="8" t="n"/>
      <c r="AF249" s="9">
        <f>IF(LEFT(B249,4)&lt;&gt;"    ","",AD249-AE249)</f>
        <v/>
      </c>
      <c r="AG249" s="10" t="n"/>
      <c r="AH249" s="11">
        <f>IF(LEFT(B249,4)&lt;&gt;"    ","",W249-AD249)</f>
        <v/>
      </c>
      <c r="AI249" s="8">
        <f>IF(LEFT(B249,4)&lt;&gt;"    ","",X249-AE249)</f>
        <v/>
      </c>
      <c r="AJ249" s="9">
        <f>IF(LEFT(B249,4)&lt;&gt;"    ","",Y249-AF249)</f>
        <v/>
      </c>
      <c r="AK249" s="10" t="n"/>
      <c r="AL249" s="25">
        <f>IF(LEFT(B249,4)&lt;&gt;"    ","",J249-W249)</f>
        <v/>
      </c>
      <c r="AM249" s="25">
        <f>N249-X249</f>
        <v/>
      </c>
      <c r="AN249" s="25">
        <f>IF(LEFT(B249,4)&lt;&gt;"    ","",Q249-Y249)</f>
        <v/>
      </c>
      <c r="AO249" s="10" t="n"/>
      <c r="AP249" s="12" t="n"/>
      <c r="AQ249" s="12">
        <f>IF(LEFT(B249,4)&lt;&gt;"    ","",IF(W249-AP249&gt;=0,W249-AP249," "))</f>
        <v/>
      </c>
      <c r="AR249" s="12">
        <f>IF(LEFT(B249,4)&lt;&gt;"    ","",IF(AP249-W249&gt;=0,AP249-W249," "))</f>
        <v/>
      </c>
      <c r="AS249" s="186" t="n"/>
      <c r="AT249" s="187" t="n"/>
      <c r="AU249" s="186" t="n"/>
      <c r="AV249" s="186" t="n"/>
      <c r="AW249" s="188" t="n"/>
      <c r="AX249" s="187" t="n"/>
      <c r="AY249" s="187" t="n"/>
      <c r="AZ249" s="186" t="n"/>
      <c r="BA249" s="186" t="n"/>
      <c r="BB249" s="186" t="n"/>
      <c r="BC249" s="186" t="n"/>
      <c r="BD249" s="186" t="n"/>
      <c r="BE249" s="186" t="n"/>
      <c r="BF249" s="186" t="n"/>
      <c r="BG249" s="186" t="n"/>
      <c r="BH249" s="186" t="n"/>
      <c r="BI249" s="186" t="n"/>
      <c r="BJ249" s="186" t="n"/>
      <c r="BK249" s="186" t="n"/>
      <c r="BL249" s="186" t="n"/>
      <c r="BM249" s="186" t="n"/>
      <c r="BN249" s="186" t="n"/>
      <c r="BO249" s="186" t="n"/>
      <c r="BP249" s="186" t="n"/>
      <c r="BQ249" s="186" t="n"/>
      <c r="BR249" s="186" t="n"/>
      <c r="BS249" s="186" t="n"/>
      <c r="BT249" s="186" t="n"/>
      <c r="BU249" s="186" t="n"/>
      <c r="BV249" s="190" t="n"/>
      <c r="BW249" s="186" t="n"/>
      <c r="BX249" s="186" t="n"/>
      <c r="BY249" s="186" t="n"/>
      <c r="BZ249" s="186" t="n"/>
      <c r="CA249" s="186" t="n"/>
      <c r="CB249" s="187" t="n"/>
      <c r="CC249" s="192" t="n"/>
      <c r="CD249" s="192" t="n"/>
      <c r="CE249" s="192" t="n"/>
      <c r="CF249" s="192" t="n"/>
    </row>
    <row r="250">
      <c r="A250" s="197" t="n"/>
      <c r="B250" s="198" t="n"/>
      <c r="C250" s="198" t="n"/>
      <c r="D250" s="179" t="n"/>
      <c r="E250" s="180" t="n"/>
      <c r="F250" s="181" t="n"/>
      <c r="G250" s="284">
        <f>'Jobs-Ops'!G250</f>
        <v/>
      </c>
      <c r="H250" s="114">
        <f>'Jobs-Ops'!H250</f>
        <v/>
      </c>
      <c r="I250" s="105" t="n"/>
      <c r="J250" s="183">
        <f>F250</f>
        <v/>
      </c>
      <c r="K250" s="184" t="n"/>
      <c r="L250" s="185" t="n"/>
      <c r="M250" s="8" t="n"/>
      <c r="N250" s="184">
        <f>M250</f>
        <v/>
      </c>
      <c r="O250" s="71" t="n"/>
      <c r="P250" s="101" t="n"/>
      <c r="Q250" s="9">
        <f>J250-N250</f>
        <v/>
      </c>
      <c r="R250" s="9">
        <f>IF(LEFT(B250,4)&lt;&gt;"    ",0,BI250)</f>
        <v/>
      </c>
      <c r="S250" s="9">
        <f>+Q250-R250</f>
        <v/>
      </c>
      <c r="T250" s="200">
        <f>IF('Jobs-Ops'!S250&lt;&gt; "",'Jobs-Ops'!S250,"")</f>
        <v/>
      </c>
      <c r="U250" s="10" t="n"/>
      <c r="V250" s="23">
        <f>IF(LEFT(B250,4)&lt;&gt;"    ","",IF(N250&lt;&gt;0,X250/N250,0))</f>
        <v/>
      </c>
      <c r="W250" s="11">
        <f>IF(LEFT(B250,4)&lt;&gt;"    ","",IF(V250&gt;=0.1,V250*J250,X250))</f>
        <v/>
      </c>
      <c r="X250" s="8" t="n"/>
      <c r="Y250" s="9">
        <f>IF(LEFT(B250,4)&lt;&gt;"    ",0,IF(Q250&lt;0,Q250,IF(V250&gt;0.1,W250-X250,0)))</f>
        <v/>
      </c>
      <c r="Z250" s="9">
        <f>IF(LEFT(B250,4)&lt;&gt;"    ",0,IF(V250&gt;0.1,BI250,0))</f>
        <v/>
      </c>
      <c r="AA250" s="9">
        <f>Y250-Z250</f>
        <v/>
      </c>
      <c r="AB250" s="10" t="n"/>
      <c r="AC250" s="24" t="n"/>
      <c r="AD250" s="11" t="n"/>
      <c r="AE250" s="8" t="n"/>
      <c r="AF250" s="9">
        <f>IF(LEFT(B250,4)&lt;&gt;"    ","",AD250-AE250)</f>
        <v/>
      </c>
      <c r="AG250" s="10" t="n"/>
      <c r="AH250" s="11">
        <f>IF(LEFT(B250,4)&lt;&gt;"    ","",W250-AD250)</f>
        <v/>
      </c>
      <c r="AI250" s="8">
        <f>IF(LEFT(B250,4)&lt;&gt;"    ","",X250-AE250)</f>
        <v/>
      </c>
      <c r="AJ250" s="9">
        <f>IF(LEFT(B250,4)&lt;&gt;"    ","",Y250-AF250)</f>
        <v/>
      </c>
      <c r="AK250" s="10" t="n"/>
      <c r="AL250" s="25">
        <f>IF(LEFT(B250,4)&lt;&gt;"    ","",J250-W250)</f>
        <v/>
      </c>
      <c r="AM250" s="25">
        <f>N250-X250</f>
        <v/>
      </c>
      <c r="AN250" s="25">
        <f>IF(LEFT(B250,4)&lt;&gt;"    ","",Q250-Y250)</f>
        <v/>
      </c>
      <c r="AO250" s="10" t="n"/>
      <c r="AP250" s="12" t="n"/>
      <c r="AQ250" s="12">
        <f>IF(LEFT(B250,4)&lt;&gt;"    ","",IF(W250-AP250&gt;=0,W250-AP250," "))</f>
        <v/>
      </c>
      <c r="AR250" s="12">
        <f>IF(LEFT(B250,4)&lt;&gt;"    ","",IF(AP250-W250&gt;=0,AP250-W250," "))</f>
        <v/>
      </c>
      <c r="AS250" s="186" t="n"/>
      <c r="AT250" s="187" t="n"/>
      <c r="AU250" s="186" t="n"/>
      <c r="AV250" s="186" t="n"/>
      <c r="AW250" s="188" t="n"/>
      <c r="AX250" s="187" t="n"/>
      <c r="AY250" s="187" t="n"/>
      <c r="AZ250" s="186" t="n"/>
      <c r="BA250" s="186" t="n"/>
      <c r="BB250" s="186" t="n"/>
      <c r="BC250" s="186" t="n"/>
      <c r="BD250" s="186" t="n"/>
      <c r="BE250" s="186" t="n"/>
      <c r="BF250" s="186" t="n"/>
      <c r="BG250" s="186" t="n"/>
      <c r="BH250" s="186" t="n"/>
      <c r="BI250" s="186" t="n"/>
      <c r="BJ250" s="186" t="n"/>
      <c r="BK250" s="186" t="n"/>
      <c r="BL250" s="186" t="n"/>
      <c r="BM250" s="186" t="n"/>
      <c r="BN250" s="186" t="n"/>
      <c r="BO250" s="186" t="n"/>
      <c r="BP250" s="186" t="n"/>
      <c r="BQ250" s="186" t="n"/>
      <c r="BR250" s="186" t="n"/>
      <c r="BS250" s="186" t="n"/>
      <c r="BT250" s="186" t="n"/>
      <c r="BU250" s="186" t="n"/>
      <c r="BV250" s="190" t="n"/>
      <c r="BW250" s="186" t="n"/>
      <c r="BX250" s="186" t="n"/>
      <c r="BY250" s="186" t="n"/>
      <c r="BZ250" s="186" t="n"/>
      <c r="CA250" s="186" t="n"/>
      <c r="CB250" s="187" t="n"/>
      <c r="CC250" s="192" t="n"/>
      <c r="CD250" s="192" t="n"/>
      <c r="CE250" s="192" t="n"/>
      <c r="CF250" s="192" t="n"/>
    </row>
    <row r="251">
      <c r="A251" s="197" t="n"/>
      <c r="B251" s="198" t="n"/>
      <c r="C251" s="198" t="n"/>
      <c r="D251" s="179" t="n"/>
      <c r="E251" s="180" t="n"/>
      <c r="F251" s="181" t="n"/>
      <c r="G251" s="284">
        <f>'Jobs-Ops'!G251</f>
        <v/>
      </c>
      <c r="H251" s="114">
        <f>'Jobs-Ops'!H251</f>
        <v/>
      </c>
      <c r="I251" s="105" t="n"/>
      <c r="J251" s="183">
        <f>F251</f>
        <v/>
      </c>
      <c r="K251" s="184" t="n"/>
      <c r="L251" s="185" t="n"/>
      <c r="M251" s="8" t="n"/>
      <c r="N251" s="184">
        <f>M251</f>
        <v/>
      </c>
      <c r="O251" s="71" t="n"/>
      <c r="P251" s="101" t="n"/>
      <c r="Q251" s="9">
        <f>J251-N251</f>
        <v/>
      </c>
      <c r="R251" s="9">
        <f>IF(LEFT(B251,4)&lt;&gt;"    ",0,BI251)</f>
        <v/>
      </c>
      <c r="S251" s="9">
        <f>+Q251-R251</f>
        <v/>
      </c>
      <c r="T251" s="200">
        <f>IF('Jobs-Ops'!S251&lt;&gt; "",'Jobs-Ops'!S251,"")</f>
        <v/>
      </c>
      <c r="U251" s="10" t="n"/>
      <c r="V251" s="23">
        <f>IF(LEFT(B251,4)&lt;&gt;"    ","",IF(N251&lt;&gt;0,X251/N251,0))</f>
        <v/>
      </c>
      <c r="W251" s="11">
        <f>IF(LEFT(B251,4)&lt;&gt;"    ","",IF(V251&gt;=0.1,V251*J251,X251))</f>
        <v/>
      </c>
      <c r="X251" s="8" t="n"/>
      <c r="Y251" s="9">
        <f>IF(LEFT(B251,4)&lt;&gt;"    ",0,IF(Q251&lt;0,Q251,IF(V251&gt;0.1,W251-X251,0)))</f>
        <v/>
      </c>
      <c r="Z251" s="9">
        <f>IF(LEFT(B251,4)&lt;&gt;"    ",0,IF(V251&gt;0.1,BI251,0))</f>
        <v/>
      </c>
      <c r="AA251" s="9">
        <f>Y251-Z251</f>
        <v/>
      </c>
      <c r="AB251" s="10" t="n"/>
      <c r="AC251" s="24" t="n"/>
      <c r="AD251" s="11" t="n"/>
      <c r="AE251" s="8" t="n"/>
      <c r="AF251" s="9">
        <f>IF(LEFT(B251,4)&lt;&gt;"    ","",AD251-AE251)</f>
        <v/>
      </c>
      <c r="AG251" s="10" t="n"/>
      <c r="AH251" s="11">
        <f>IF(LEFT(B251,4)&lt;&gt;"    ","",W251-AD251)</f>
        <v/>
      </c>
      <c r="AI251" s="8">
        <f>IF(LEFT(B251,4)&lt;&gt;"    ","",X251-AE251)</f>
        <v/>
      </c>
      <c r="AJ251" s="9">
        <f>IF(LEFT(B251,4)&lt;&gt;"    ","",Y251-AF251)</f>
        <v/>
      </c>
      <c r="AK251" s="10" t="n"/>
      <c r="AL251" s="25">
        <f>IF(LEFT(B251,4)&lt;&gt;"    ","",J251-W251)</f>
        <v/>
      </c>
      <c r="AM251" s="25">
        <f>N251-X251</f>
        <v/>
      </c>
      <c r="AN251" s="25">
        <f>IF(LEFT(B251,4)&lt;&gt;"    ","",Q251-Y251)</f>
        <v/>
      </c>
      <c r="AO251" s="10" t="n"/>
      <c r="AP251" s="12" t="n"/>
      <c r="AQ251" s="12">
        <f>IF(LEFT(B251,4)&lt;&gt;"    ","",IF(W251-AP251&gt;=0,W251-AP251," "))</f>
        <v/>
      </c>
      <c r="AR251" s="12">
        <f>IF(LEFT(B251,4)&lt;&gt;"    ","",IF(AP251-W251&gt;=0,AP251-W251," "))</f>
        <v/>
      </c>
      <c r="AS251" s="186" t="n"/>
      <c r="AT251" s="187" t="n"/>
      <c r="AU251" s="186" t="n"/>
      <c r="AV251" s="186" t="n"/>
      <c r="AW251" s="188" t="n"/>
      <c r="AX251" s="187" t="n"/>
      <c r="AY251" s="187" t="n"/>
      <c r="AZ251" s="186" t="n"/>
      <c r="BA251" s="186" t="n"/>
      <c r="BB251" s="186" t="n"/>
      <c r="BC251" s="186" t="n"/>
      <c r="BD251" s="186" t="n"/>
      <c r="BE251" s="186" t="n"/>
      <c r="BF251" s="186" t="n"/>
      <c r="BG251" s="186" t="n"/>
      <c r="BH251" s="186" t="n"/>
      <c r="BI251" s="186" t="n"/>
      <c r="BJ251" s="186" t="n"/>
      <c r="BK251" s="186" t="n"/>
      <c r="BL251" s="186" t="n"/>
      <c r="BM251" s="186" t="n"/>
      <c r="BN251" s="186" t="n"/>
      <c r="BO251" s="186" t="n"/>
      <c r="BP251" s="186" t="n"/>
      <c r="BQ251" s="186" t="n"/>
      <c r="BR251" s="186" t="n"/>
      <c r="BS251" s="186" t="n"/>
      <c r="BT251" s="186" t="n"/>
      <c r="BU251" s="186" t="n"/>
      <c r="BV251" s="190" t="n"/>
      <c r="BW251" s="186" t="n"/>
      <c r="BX251" s="186" t="n"/>
      <c r="BY251" s="186" t="n"/>
      <c r="BZ251" s="186" t="n"/>
      <c r="CA251" s="186" t="n"/>
      <c r="CB251" s="187" t="n"/>
      <c r="CC251" s="192" t="n"/>
      <c r="CD251" s="192" t="n"/>
      <c r="CE251" s="192" t="n"/>
      <c r="CF251" s="192" t="n"/>
    </row>
    <row r="252">
      <c r="A252" s="197" t="n"/>
      <c r="B252" s="198" t="n"/>
      <c r="C252" s="198" t="n"/>
      <c r="D252" s="179" t="n"/>
      <c r="E252" s="180" t="n"/>
      <c r="F252" s="181" t="n"/>
      <c r="G252" s="284">
        <f>'Jobs-Ops'!G252</f>
        <v/>
      </c>
      <c r="H252" s="114">
        <f>'Jobs-Ops'!H252</f>
        <v/>
      </c>
      <c r="I252" s="105" t="n"/>
      <c r="J252" s="183">
        <f>F252</f>
        <v/>
      </c>
      <c r="K252" s="184" t="n"/>
      <c r="L252" s="185" t="n"/>
      <c r="M252" s="8" t="n"/>
      <c r="N252" s="184">
        <f>M252</f>
        <v/>
      </c>
      <c r="O252" s="71" t="n"/>
      <c r="P252" s="101" t="n"/>
      <c r="Q252" s="9">
        <f>J252-N252</f>
        <v/>
      </c>
      <c r="R252" s="9">
        <f>IF(LEFT(B252,4)&lt;&gt;"    ",0,BI252)</f>
        <v/>
      </c>
      <c r="S252" s="9">
        <f>+Q252-R252</f>
        <v/>
      </c>
      <c r="T252" s="200">
        <f>IF('Jobs-Ops'!S252&lt;&gt; "",'Jobs-Ops'!S252,"")</f>
        <v/>
      </c>
      <c r="U252" s="10" t="n"/>
      <c r="V252" s="23">
        <f>IF(LEFT(B252,4)&lt;&gt;"    ","",IF(N252&lt;&gt;0,X252/N252,0))</f>
        <v/>
      </c>
      <c r="W252" s="11">
        <f>IF(LEFT(B252,4)&lt;&gt;"    ","",IF(V252&gt;=0.1,V252*J252,X252))</f>
        <v/>
      </c>
      <c r="X252" s="8" t="n"/>
      <c r="Y252" s="9">
        <f>IF(LEFT(B252,4)&lt;&gt;"    ",0,IF(Q252&lt;0,Q252,IF(V252&gt;0.1,W252-X252,0)))</f>
        <v/>
      </c>
      <c r="Z252" s="9">
        <f>IF(LEFT(B252,4)&lt;&gt;"    ",0,IF(V252&gt;0.1,BI252,0))</f>
        <v/>
      </c>
      <c r="AA252" s="9">
        <f>Y252-Z252</f>
        <v/>
      </c>
      <c r="AB252" s="10" t="n"/>
      <c r="AC252" s="24" t="n"/>
      <c r="AD252" s="11" t="n"/>
      <c r="AE252" s="8" t="n"/>
      <c r="AF252" s="9">
        <f>IF(LEFT(B252,4)&lt;&gt;"    ","",AD252-AE252)</f>
        <v/>
      </c>
      <c r="AG252" s="10" t="n"/>
      <c r="AH252" s="11">
        <f>IF(LEFT(B252,4)&lt;&gt;"    ","",W252-AD252)</f>
        <v/>
      </c>
      <c r="AI252" s="8">
        <f>IF(LEFT(B252,4)&lt;&gt;"    ","",X252-AE252)</f>
        <v/>
      </c>
      <c r="AJ252" s="9">
        <f>IF(LEFT(B252,4)&lt;&gt;"    ","",Y252-AF252)</f>
        <v/>
      </c>
      <c r="AK252" s="10" t="n"/>
      <c r="AL252" s="25">
        <f>IF(LEFT(B252,4)&lt;&gt;"    ","",J252-W252)</f>
        <v/>
      </c>
      <c r="AM252" s="25">
        <f>N252-X252</f>
        <v/>
      </c>
      <c r="AN252" s="25">
        <f>IF(LEFT(B252,4)&lt;&gt;"    ","",Q252-Y252)</f>
        <v/>
      </c>
      <c r="AO252" s="10" t="n"/>
      <c r="AP252" s="12" t="n"/>
      <c r="AQ252" s="12">
        <f>IF(LEFT(B252,4)&lt;&gt;"    ","",IF(W252-AP252&gt;=0,W252-AP252," "))</f>
        <v/>
      </c>
      <c r="AR252" s="12">
        <f>IF(LEFT(B252,4)&lt;&gt;"    ","",IF(AP252-W252&gt;=0,AP252-W252," "))</f>
        <v/>
      </c>
      <c r="AS252" s="186" t="n"/>
      <c r="AT252" s="187" t="n"/>
      <c r="AU252" s="186" t="n"/>
      <c r="AV252" s="186" t="n"/>
      <c r="AW252" s="188" t="n"/>
      <c r="AX252" s="187" t="n"/>
      <c r="AY252" s="187" t="n"/>
      <c r="AZ252" s="186" t="n"/>
      <c r="BA252" s="186" t="n"/>
      <c r="BB252" s="186" t="n"/>
      <c r="BC252" s="186" t="n"/>
      <c r="BD252" s="186" t="n"/>
      <c r="BE252" s="186" t="n"/>
      <c r="BF252" s="186" t="n"/>
      <c r="BG252" s="186" t="n"/>
      <c r="BH252" s="186" t="n"/>
      <c r="BI252" s="186" t="n"/>
      <c r="BJ252" s="186" t="n"/>
      <c r="BK252" s="186" t="n"/>
      <c r="BL252" s="186" t="n"/>
      <c r="BM252" s="186" t="n"/>
      <c r="BN252" s="186" t="n"/>
      <c r="BO252" s="186" t="n"/>
      <c r="BP252" s="186" t="n"/>
      <c r="BQ252" s="186" t="n"/>
      <c r="BR252" s="186" t="n"/>
      <c r="BS252" s="186" t="n"/>
      <c r="BT252" s="186" t="n"/>
      <c r="BU252" s="186" t="n"/>
      <c r="BV252" s="190" t="n"/>
      <c r="BW252" s="186" t="n"/>
      <c r="BX252" s="186" t="n"/>
      <c r="BY252" s="186" t="n"/>
      <c r="BZ252" s="186" t="n"/>
      <c r="CA252" s="186" t="n"/>
      <c r="CB252" s="187" t="n"/>
      <c r="CC252" s="192" t="n"/>
      <c r="CD252" s="192" t="n"/>
      <c r="CE252" s="192" t="n"/>
      <c r="CF252" s="192" t="n"/>
    </row>
    <row r="253">
      <c r="A253" s="197" t="n"/>
      <c r="B253" s="198" t="n"/>
      <c r="C253" s="198" t="n"/>
      <c r="D253" s="179" t="n"/>
      <c r="E253" s="180" t="n"/>
      <c r="F253" s="181" t="n"/>
      <c r="G253" s="284">
        <f>'Jobs-Ops'!G253</f>
        <v/>
      </c>
      <c r="H253" s="114">
        <f>'Jobs-Ops'!H253</f>
        <v/>
      </c>
      <c r="I253" s="105" t="n"/>
      <c r="J253" s="183">
        <f>F253</f>
        <v/>
      </c>
      <c r="K253" s="184" t="n"/>
      <c r="L253" s="185" t="n"/>
      <c r="M253" s="8" t="n"/>
      <c r="N253" s="184">
        <f>M253</f>
        <v/>
      </c>
      <c r="O253" s="71" t="n"/>
      <c r="P253" s="101" t="n"/>
      <c r="Q253" s="9">
        <f>J253-N253</f>
        <v/>
      </c>
      <c r="R253" s="9">
        <f>IF(LEFT(B253,4)&lt;&gt;"    ",0,BI253)</f>
        <v/>
      </c>
      <c r="S253" s="9">
        <f>+Q253-R253</f>
        <v/>
      </c>
      <c r="T253" s="200">
        <f>IF('Jobs-Ops'!S253&lt;&gt; "",'Jobs-Ops'!S253,"")</f>
        <v/>
      </c>
      <c r="U253" s="10" t="n"/>
      <c r="V253" s="23">
        <f>IF(LEFT(B253,4)&lt;&gt;"    ","",IF(N253&lt;&gt;0,X253/N253,0))</f>
        <v/>
      </c>
      <c r="W253" s="11">
        <f>IF(LEFT(B253,4)&lt;&gt;"    ","",IF(V253&gt;=0.1,V253*J253,X253))</f>
        <v/>
      </c>
      <c r="X253" s="8" t="n"/>
      <c r="Y253" s="9">
        <f>IF(LEFT(B253,4)&lt;&gt;"    ",0,IF(Q253&lt;0,Q253,IF(V253&gt;0.1,W253-X253,0)))</f>
        <v/>
      </c>
      <c r="Z253" s="9">
        <f>IF(LEFT(B253,4)&lt;&gt;"    ",0,IF(V253&gt;0.1,BI253,0))</f>
        <v/>
      </c>
      <c r="AA253" s="9">
        <f>Y253-Z253</f>
        <v/>
      </c>
      <c r="AB253" s="10" t="n"/>
      <c r="AC253" s="24" t="n"/>
      <c r="AD253" s="11" t="n"/>
      <c r="AE253" s="8" t="n"/>
      <c r="AF253" s="9">
        <f>IF(LEFT(B253,4)&lt;&gt;"    ","",AD253-AE253)</f>
        <v/>
      </c>
      <c r="AG253" s="10" t="n"/>
      <c r="AH253" s="11">
        <f>IF(LEFT(B253,4)&lt;&gt;"    ","",W253-AD253)</f>
        <v/>
      </c>
      <c r="AI253" s="8">
        <f>IF(LEFT(B253,4)&lt;&gt;"    ","",X253-AE253)</f>
        <v/>
      </c>
      <c r="AJ253" s="9">
        <f>IF(LEFT(B253,4)&lt;&gt;"    ","",Y253-AF253)</f>
        <v/>
      </c>
      <c r="AK253" s="10" t="n"/>
      <c r="AL253" s="25">
        <f>IF(LEFT(B253,4)&lt;&gt;"    ","",J253-W253)</f>
        <v/>
      </c>
      <c r="AM253" s="25">
        <f>N253-X253</f>
        <v/>
      </c>
      <c r="AN253" s="25">
        <f>IF(LEFT(B253,4)&lt;&gt;"    ","",Q253-Y253)</f>
        <v/>
      </c>
      <c r="AO253" s="10" t="n"/>
      <c r="AP253" s="12" t="n"/>
      <c r="AQ253" s="12">
        <f>IF(LEFT(B253,4)&lt;&gt;"    ","",IF(W253-AP253&gt;=0,W253-AP253," "))</f>
        <v/>
      </c>
      <c r="AR253" s="12">
        <f>IF(LEFT(B253,4)&lt;&gt;"    ","",IF(AP253-W253&gt;=0,AP253-W253," "))</f>
        <v/>
      </c>
      <c r="AS253" s="186" t="n"/>
      <c r="AT253" s="187" t="n"/>
      <c r="AU253" s="186" t="n"/>
      <c r="AV253" s="186" t="n"/>
      <c r="AW253" s="188" t="n"/>
      <c r="AX253" s="187" t="n"/>
      <c r="AY253" s="187" t="n"/>
      <c r="AZ253" s="186" t="n"/>
      <c r="BA253" s="186" t="n"/>
      <c r="BB253" s="186" t="n"/>
      <c r="BC253" s="186" t="n"/>
      <c r="BD253" s="186" t="n"/>
      <c r="BE253" s="186" t="n"/>
      <c r="BF253" s="186" t="n"/>
      <c r="BG253" s="186" t="n"/>
      <c r="BH253" s="186" t="n"/>
      <c r="BI253" s="186" t="n"/>
      <c r="BJ253" s="186" t="n"/>
      <c r="BK253" s="186" t="n"/>
      <c r="BL253" s="186" t="n"/>
      <c r="BM253" s="186" t="n"/>
      <c r="BN253" s="186" t="n"/>
      <c r="BO253" s="186" t="n"/>
      <c r="BP253" s="186" t="n"/>
      <c r="BQ253" s="186" t="n"/>
      <c r="BR253" s="186" t="n"/>
      <c r="BS253" s="186" t="n"/>
      <c r="BT253" s="186" t="n"/>
      <c r="BU253" s="186" t="n"/>
      <c r="BV253" s="190" t="n"/>
      <c r="BW253" s="186" t="n"/>
      <c r="BX253" s="186" t="n"/>
      <c r="BY253" s="186" t="n"/>
      <c r="BZ253" s="186" t="n"/>
      <c r="CA253" s="186" t="n"/>
      <c r="CB253" s="187" t="n"/>
      <c r="CC253" s="192" t="n"/>
      <c r="CD253" s="192" t="n"/>
      <c r="CE253" s="192" t="n"/>
      <c r="CF253" s="192" t="n"/>
    </row>
    <row r="254">
      <c r="A254" s="197" t="n"/>
      <c r="B254" s="198" t="n"/>
      <c r="C254" s="198" t="n"/>
      <c r="D254" s="179" t="n"/>
      <c r="E254" s="180" t="n"/>
      <c r="F254" s="181" t="n"/>
      <c r="G254" s="284">
        <f>'Jobs-Ops'!G254</f>
        <v/>
      </c>
      <c r="H254" s="114">
        <f>'Jobs-Ops'!H254</f>
        <v/>
      </c>
      <c r="I254" s="105" t="n"/>
      <c r="J254" s="183">
        <f>F254</f>
        <v/>
      </c>
      <c r="K254" s="184" t="n"/>
      <c r="L254" s="185" t="n"/>
      <c r="M254" s="8" t="n"/>
      <c r="N254" s="184">
        <f>M254</f>
        <v/>
      </c>
      <c r="O254" s="71" t="n"/>
      <c r="P254" s="101" t="n"/>
      <c r="Q254" s="9">
        <f>J254-N254</f>
        <v/>
      </c>
      <c r="R254" s="9">
        <f>IF(LEFT(B254,4)&lt;&gt;"    ",0,BI254)</f>
        <v/>
      </c>
      <c r="S254" s="9">
        <f>+Q254-R254</f>
        <v/>
      </c>
      <c r="T254" s="200">
        <f>IF('Jobs-Ops'!S254&lt;&gt; "",'Jobs-Ops'!S254,"")</f>
        <v/>
      </c>
      <c r="U254" s="10" t="n"/>
      <c r="V254" s="23">
        <f>IF(LEFT(B254,4)&lt;&gt;"    ","",IF(N254&lt;&gt;0,X254/N254,0))</f>
        <v/>
      </c>
      <c r="W254" s="11">
        <f>IF(LEFT(B254,4)&lt;&gt;"    ","",IF(V254&gt;=0.1,V254*J254,X254))</f>
        <v/>
      </c>
      <c r="X254" s="8" t="n"/>
      <c r="Y254" s="9">
        <f>IF(LEFT(B254,4)&lt;&gt;"    ",0,IF(Q254&lt;0,Q254,IF(V254&gt;0.1,W254-X254,0)))</f>
        <v/>
      </c>
      <c r="Z254" s="9">
        <f>IF(LEFT(B254,4)&lt;&gt;"    ",0,IF(V254&gt;0.1,BI254,0))</f>
        <v/>
      </c>
      <c r="AA254" s="9">
        <f>Y254-Z254</f>
        <v/>
      </c>
      <c r="AB254" s="10" t="n"/>
      <c r="AC254" s="24" t="n"/>
      <c r="AD254" s="11" t="n"/>
      <c r="AE254" s="8" t="n"/>
      <c r="AF254" s="9">
        <f>IF(LEFT(B254,4)&lt;&gt;"    ","",AD254-AE254)</f>
        <v/>
      </c>
      <c r="AG254" s="10" t="n"/>
      <c r="AH254" s="11">
        <f>IF(LEFT(B254,4)&lt;&gt;"    ","",W254-AD254)</f>
        <v/>
      </c>
      <c r="AI254" s="8">
        <f>IF(LEFT(B254,4)&lt;&gt;"    ","",X254-AE254)</f>
        <v/>
      </c>
      <c r="AJ254" s="9">
        <f>IF(LEFT(B254,4)&lt;&gt;"    ","",Y254-AF254)</f>
        <v/>
      </c>
      <c r="AK254" s="10" t="n"/>
      <c r="AL254" s="25">
        <f>IF(LEFT(B254,4)&lt;&gt;"    ","",J254-W254)</f>
        <v/>
      </c>
      <c r="AM254" s="25">
        <f>N254-X254</f>
        <v/>
      </c>
      <c r="AN254" s="25">
        <f>IF(LEFT(B254,4)&lt;&gt;"    ","",Q254-Y254)</f>
        <v/>
      </c>
      <c r="AO254" s="10" t="n"/>
      <c r="AP254" s="12" t="n"/>
      <c r="AQ254" s="12">
        <f>IF(LEFT(B254,4)&lt;&gt;"    ","",IF(W254-AP254&gt;=0,W254-AP254," "))</f>
        <v/>
      </c>
      <c r="AR254" s="12">
        <f>IF(LEFT(B254,4)&lt;&gt;"    ","",IF(AP254-W254&gt;=0,AP254-W254," "))</f>
        <v/>
      </c>
      <c r="AS254" s="186" t="n"/>
      <c r="AT254" s="187" t="n"/>
      <c r="AU254" s="186" t="n"/>
      <c r="AV254" s="186" t="n"/>
      <c r="AW254" s="188" t="n"/>
      <c r="AX254" s="187" t="n"/>
      <c r="AY254" s="187" t="n"/>
      <c r="AZ254" s="186" t="n"/>
      <c r="BA254" s="186" t="n"/>
      <c r="BB254" s="186" t="n"/>
      <c r="BC254" s="186" t="n"/>
      <c r="BD254" s="186" t="n"/>
      <c r="BE254" s="186" t="n"/>
      <c r="BF254" s="186" t="n"/>
      <c r="BG254" s="186" t="n"/>
      <c r="BH254" s="186" t="n"/>
      <c r="BI254" s="186" t="n"/>
      <c r="BJ254" s="186" t="n"/>
      <c r="BK254" s="186" t="n"/>
      <c r="BL254" s="186" t="n"/>
      <c r="BM254" s="186" t="n"/>
      <c r="BN254" s="186" t="n"/>
      <c r="BO254" s="186" t="n"/>
      <c r="BP254" s="186" t="n"/>
      <c r="BQ254" s="186" t="n"/>
      <c r="BR254" s="186" t="n"/>
      <c r="BS254" s="186" t="n"/>
      <c r="BT254" s="186" t="n"/>
      <c r="BU254" s="186" t="n"/>
      <c r="BV254" s="190" t="n"/>
      <c r="BW254" s="186" t="n"/>
      <c r="BX254" s="186" t="n"/>
      <c r="BY254" s="186" t="n"/>
      <c r="BZ254" s="186" t="n"/>
      <c r="CA254" s="186" t="n"/>
      <c r="CB254" s="187" t="n"/>
      <c r="CC254" s="192" t="n"/>
      <c r="CD254" s="192" t="n"/>
      <c r="CE254" s="192" t="n"/>
      <c r="CF254" s="192" t="n"/>
    </row>
    <row r="255">
      <c r="A255" s="197" t="n"/>
      <c r="B255" s="198" t="n"/>
      <c r="C255" s="198" t="n"/>
      <c r="D255" s="179" t="n"/>
      <c r="E255" s="180" t="n"/>
      <c r="F255" s="181" t="n"/>
      <c r="G255" s="284">
        <f>'Jobs-Ops'!G255</f>
        <v/>
      </c>
      <c r="H255" s="114">
        <f>'Jobs-Ops'!H255</f>
        <v/>
      </c>
      <c r="I255" s="105" t="n"/>
      <c r="J255" s="183">
        <f>F255</f>
        <v/>
      </c>
      <c r="K255" s="184" t="n"/>
      <c r="L255" s="185" t="n"/>
      <c r="M255" s="8" t="n"/>
      <c r="N255" s="184">
        <f>M255</f>
        <v/>
      </c>
      <c r="O255" s="71" t="n"/>
      <c r="P255" s="101" t="n"/>
      <c r="Q255" s="9">
        <f>J255-N255</f>
        <v/>
      </c>
      <c r="R255" s="9">
        <f>IF(LEFT(B255,4)&lt;&gt;"    ",0,BI255)</f>
        <v/>
      </c>
      <c r="S255" s="9">
        <f>+Q255-R255</f>
        <v/>
      </c>
      <c r="T255" s="200">
        <f>IF('Jobs-Ops'!S255&lt;&gt; "",'Jobs-Ops'!S255,"")</f>
        <v/>
      </c>
      <c r="U255" s="10" t="n"/>
      <c r="V255" s="23">
        <f>IF(LEFT(B255,4)&lt;&gt;"    ","",IF(N255&lt;&gt;0,X255/N255,0))</f>
        <v/>
      </c>
      <c r="W255" s="11">
        <f>IF(LEFT(B255,4)&lt;&gt;"    ","",IF(V255&gt;=0.1,V255*J255,X255))</f>
        <v/>
      </c>
      <c r="X255" s="8" t="n"/>
      <c r="Y255" s="9">
        <f>IF(LEFT(B255,4)&lt;&gt;"    ",0,IF(Q255&lt;0,Q255,IF(V255&gt;0.1,W255-X255,0)))</f>
        <v/>
      </c>
      <c r="Z255" s="9">
        <f>IF(LEFT(B255,4)&lt;&gt;"    ",0,IF(V255&gt;0.1,BI255,0))</f>
        <v/>
      </c>
      <c r="AA255" s="9">
        <f>Y255-Z255</f>
        <v/>
      </c>
      <c r="AB255" s="10" t="n"/>
      <c r="AC255" s="24" t="n"/>
      <c r="AD255" s="11" t="n"/>
      <c r="AE255" s="8" t="n"/>
      <c r="AF255" s="9">
        <f>IF(LEFT(B255,4)&lt;&gt;"    ","",AD255-AE255)</f>
        <v/>
      </c>
      <c r="AG255" s="10" t="n"/>
      <c r="AH255" s="11">
        <f>IF(LEFT(B255,4)&lt;&gt;"    ","",W255-AD255)</f>
        <v/>
      </c>
      <c r="AI255" s="8">
        <f>IF(LEFT(B255,4)&lt;&gt;"    ","",X255-AE255)</f>
        <v/>
      </c>
      <c r="AJ255" s="9">
        <f>IF(LEFT(B255,4)&lt;&gt;"    ","",Y255-AF255)</f>
        <v/>
      </c>
      <c r="AK255" s="10" t="n"/>
      <c r="AL255" s="25">
        <f>IF(LEFT(B255,4)&lt;&gt;"    ","",J255-W255)</f>
        <v/>
      </c>
      <c r="AM255" s="25">
        <f>N255-X255</f>
        <v/>
      </c>
      <c r="AN255" s="25">
        <f>IF(LEFT(B255,4)&lt;&gt;"    ","",Q255-Y255)</f>
        <v/>
      </c>
      <c r="AO255" s="10" t="n"/>
      <c r="AP255" s="12" t="n"/>
      <c r="AQ255" s="12">
        <f>IF(LEFT(B255,4)&lt;&gt;"    ","",IF(W255-AP255&gt;=0,W255-AP255," "))</f>
        <v/>
      </c>
      <c r="AR255" s="12">
        <f>IF(LEFT(B255,4)&lt;&gt;"    ","",IF(AP255-W255&gt;=0,AP255-W255," "))</f>
        <v/>
      </c>
      <c r="AS255" s="186" t="n"/>
      <c r="AT255" s="187" t="n"/>
      <c r="AU255" s="186" t="n"/>
      <c r="AV255" s="186" t="n"/>
      <c r="AW255" s="188" t="n"/>
      <c r="AX255" s="187" t="n"/>
      <c r="AY255" s="187" t="n"/>
      <c r="AZ255" s="186" t="n"/>
      <c r="BA255" s="186" t="n"/>
      <c r="BB255" s="186" t="n"/>
      <c r="BC255" s="186" t="n"/>
      <c r="BD255" s="186" t="n"/>
      <c r="BE255" s="186" t="n"/>
      <c r="BF255" s="186" t="n"/>
      <c r="BG255" s="186" t="n"/>
      <c r="BH255" s="186" t="n"/>
      <c r="BI255" s="186" t="n"/>
      <c r="BJ255" s="186" t="n"/>
      <c r="BK255" s="186" t="n"/>
      <c r="BL255" s="186" t="n"/>
      <c r="BM255" s="186" t="n"/>
      <c r="BN255" s="186" t="n"/>
      <c r="BO255" s="186" t="n"/>
      <c r="BP255" s="186" t="n"/>
      <c r="BQ255" s="186" t="n"/>
      <c r="BR255" s="186" t="n"/>
      <c r="BS255" s="186" t="n"/>
      <c r="BT255" s="186" t="n"/>
      <c r="BU255" s="186" t="n"/>
      <c r="BV255" s="190" t="n"/>
      <c r="BW255" s="186" t="n"/>
      <c r="BX255" s="186" t="n"/>
      <c r="BY255" s="186" t="n"/>
      <c r="BZ255" s="186" t="n"/>
      <c r="CA255" s="186" t="n"/>
      <c r="CB255" s="187" t="n"/>
      <c r="CC255" s="192" t="n"/>
      <c r="CD255" s="192" t="n"/>
      <c r="CE255" s="192" t="n"/>
      <c r="CF255" s="192" t="n"/>
    </row>
    <row r="256">
      <c r="A256" s="197" t="n"/>
      <c r="B256" s="198" t="n"/>
      <c r="C256" s="198" t="n"/>
      <c r="D256" s="179" t="n"/>
      <c r="E256" s="180" t="n"/>
      <c r="F256" s="181" t="n"/>
      <c r="G256" s="284">
        <f>'Jobs-Ops'!G256</f>
        <v/>
      </c>
      <c r="H256" s="114">
        <f>'Jobs-Ops'!H256</f>
        <v/>
      </c>
      <c r="I256" s="105" t="n"/>
      <c r="J256" s="183">
        <f>F256</f>
        <v/>
      </c>
      <c r="K256" s="184" t="n"/>
      <c r="L256" s="185" t="n"/>
      <c r="M256" s="8" t="n"/>
      <c r="N256" s="184">
        <f>M256</f>
        <v/>
      </c>
      <c r="O256" s="71" t="n"/>
      <c r="P256" s="101" t="n"/>
      <c r="Q256" s="9">
        <f>J256-N256</f>
        <v/>
      </c>
      <c r="R256" s="9">
        <f>IF(LEFT(B256,4)&lt;&gt;"    ",0,BI256)</f>
        <v/>
      </c>
      <c r="S256" s="9">
        <f>+Q256-R256</f>
        <v/>
      </c>
      <c r="T256" s="200">
        <f>IF('Jobs-Ops'!S256&lt;&gt; "",'Jobs-Ops'!S256,"")</f>
        <v/>
      </c>
      <c r="U256" s="10" t="n"/>
      <c r="V256" s="23">
        <f>IF(LEFT(B256,4)&lt;&gt;"    ","",IF(N256&lt;&gt;0,X256/N256,0))</f>
        <v/>
      </c>
      <c r="W256" s="11">
        <f>IF(LEFT(B256,4)&lt;&gt;"    ","",IF(V256&gt;=0.1,V256*J256,X256))</f>
        <v/>
      </c>
      <c r="X256" s="8" t="n"/>
      <c r="Y256" s="9">
        <f>IF(LEFT(B256,4)&lt;&gt;"    ",0,IF(Q256&lt;0,Q256,IF(V256&gt;0.1,W256-X256,0)))</f>
        <v/>
      </c>
      <c r="Z256" s="9">
        <f>IF(LEFT(B256,4)&lt;&gt;"    ",0,IF(V256&gt;0.1,BI256,0))</f>
        <v/>
      </c>
      <c r="AA256" s="9">
        <f>Y256-Z256</f>
        <v/>
      </c>
      <c r="AB256" s="10" t="n"/>
      <c r="AC256" s="24" t="n"/>
      <c r="AD256" s="11" t="n"/>
      <c r="AE256" s="8" t="n"/>
      <c r="AF256" s="9">
        <f>IF(LEFT(B256,4)&lt;&gt;"    ","",AD256-AE256)</f>
        <v/>
      </c>
      <c r="AG256" s="10" t="n"/>
      <c r="AH256" s="11">
        <f>IF(LEFT(B256,4)&lt;&gt;"    ","",W256-AD256)</f>
        <v/>
      </c>
      <c r="AI256" s="8">
        <f>IF(LEFT(B256,4)&lt;&gt;"    ","",X256-AE256)</f>
        <v/>
      </c>
      <c r="AJ256" s="9">
        <f>IF(LEFT(B256,4)&lt;&gt;"    ","",Y256-AF256)</f>
        <v/>
      </c>
      <c r="AK256" s="10" t="n"/>
      <c r="AL256" s="25">
        <f>IF(LEFT(B256,4)&lt;&gt;"    ","",J256-W256)</f>
        <v/>
      </c>
      <c r="AM256" s="25">
        <f>N256-X256</f>
        <v/>
      </c>
      <c r="AN256" s="25">
        <f>IF(LEFT(B256,4)&lt;&gt;"    ","",Q256-Y256)</f>
        <v/>
      </c>
      <c r="AO256" s="10" t="n"/>
      <c r="AP256" s="12" t="n"/>
      <c r="AQ256" s="12">
        <f>IF(LEFT(B256,4)&lt;&gt;"    ","",IF(W256-AP256&gt;=0,W256-AP256," "))</f>
        <v/>
      </c>
      <c r="AR256" s="12">
        <f>IF(LEFT(B256,4)&lt;&gt;"    ","",IF(AP256-W256&gt;=0,AP256-W256," "))</f>
        <v/>
      </c>
      <c r="AS256" s="186" t="n"/>
      <c r="AT256" s="187" t="n"/>
      <c r="AU256" s="186" t="n"/>
      <c r="AV256" s="186" t="n"/>
      <c r="AW256" s="188" t="n"/>
      <c r="AX256" s="187" t="n"/>
      <c r="AY256" s="187" t="n"/>
      <c r="AZ256" s="186" t="n"/>
      <c r="BA256" s="186" t="n"/>
      <c r="BB256" s="186" t="n"/>
      <c r="BC256" s="186" t="n"/>
      <c r="BD256" s="186" t="n"/>
      <c r="BE256" s="186" t="n"/>
      <c r="BF256" s="186" t="n"/>
      <c r="BG256" s="186" t="n"/>
      <c r="BH256" s="186" t="n"/>
      <c r="BI256" s="186" t="n"/>
      <c r="BJ256" s="186" t="n"/>
      <c r="BK256" s="186" t="n"/>
      <c r="BL256" s="186" t="n"/>
      <c r="BM256" s="186" t="n"/>
      <c r="BN256" s="186" t="n"/>
      <c r="BO256" s="186" t="n"/>
      <c r="BP256" s="186" t="n"/>
      <c r="BQ256" s="186" t="n"/>
      <c r="BR256" s="186" t="n"/>
      <c r="BS256" s="186" t="n"/>
      <c r="BT256" s="186" t="n"/>
      <c r="BU256" s="186" t="n"/>
      <c r="BV256" s="190" t="n"/>
      <c r="BW256" s="186" t="n"/>
      <c r="BX256" s="186" t="n"/>
      <c r="BY256" s="186" t="n"/>
      <c r="BZ256" s="186" t="n"/>
      <c r="CA256" s="186" t="n"/>
      <c r="CB256" s="187" t="n"/>
      <c r="CC256" s="192" t="n"/>
      <c r="CD256" s="192" t="n"/>
      <c r="CE256" s="192" t="n"/>
      <c r="CF256" s="192" t="n"/>
    </row>
    <row r="257">
      <c r="A257" s="197" t="n"/>
      <c r="B257" s="198" t="n"/>
      <c r="C257" s="198" t="n"/>
      <c r="D257" s="179" t="n"/>
      <c r="E257" s="180" t="n"/>
      <c r="F257" s="181" t="n"/>
      <c r="G257" s="284">
        <f>'Jobs-Ops'!G257</f>
        <v/>
      </c>
      <c r="H257" s="114">
        <f>'Jobs-Ops'!H257</f>
        <v/>
      </c>
      <c r="I257" s="105" t="n"/>
      <c r="J257" s="183">
        <f>F257</f>
        <v/>
      </c>
      <c r="K257" s="184" t="n"/>
      <c r="L257" s="185" t="n"/>
      <c r="M257" s="8" t="n"/>
      <c r="N257" s="184">
        <f>M257</f>
        <v/>
      </c>
      <c r="O257" s="71" t="n"/>
      <c r="P257" s="101" t="n"/>
      <c r="Q257" s="9">
        <f>J257-N257</f>
        <v/>
      </c>
      <c r="R257" s="9">
        <f>IF(LEFT(B257,4)&lt;&gt;"    ",0,BI257)</f>
        <v/>
      </c>
      <c r="S257" s="9">
        <f>+Q257-R257</f>
        <v/>
      </c>
      <c r="T257" s="200">
        <f>IF('Jobs-Ops'!S257&lt;&gt; "",'Jobs-Ops'!S257,"")</f>
        <v/>
      </c>
      <c r="U257" s="10" t="n"/>
      <c r="V257" s="23">
        <f>IF(LEFT(B257,4)&lt;&gt;"    ","",IF(N257&lt;&gt;0,X257/N257,0))</f>
        <v/>
      </c>
      <c r="W257" s="11">
        <f>IF(LEFT(B257,4)&lt;&gt;"    ","",IF(V257&gt;=0.1,V257*J257,X257))</f>
        <v/>
      </c>
      <c r="X257" s="8" t="n"/>
      <c r="Y257" s="9">
        <f>IF(LEFT(B257,4)&lt;&gt;"    ",0,IF(Q257&lt;0,Q257,IF(V257&gt;0.1,W257-X257,0)))</f>
        <v/>
      </c>
      <c r="Z257" s="9">
        <f>IF(LEFT(B257,4)&lt;&gt;"    ",0,IF(V257&gt;0.1,BI257,0))</f>
        <v/>
      </c>
      <c r="AA257" s="9">
        <f>Y257-Z257</f>
        <v/>
      </c>
      <c r="AB257" s="10" t="n"/>
      <c r="AC257" s="24" t="n"/>
      <c r="AD257" s="11" t="n"/>
      <c r="AE257" s="8" t="n"/>
      <c r="AF257" s="9">
        <f>IF(LEFT(B257,4)&lt;&gt;"    ","",AD257-AE257)</f>
        <v/>
      </c>
      <c r="AG257" s="10" t="n"/>
      <c r="AH257" s="11">
        <f>IF(LEFT(B257,4)&lt;&gt;"    ","",W257-AD257)</f>
        <v/>
      </c>
      <c r="AI257" s="8">
        <f>IF(LEFT(B257,4)&lt;&gt;"    ","",X257-AE257)</f>
        <v/>
      </c>
      <c r="AJ257" s="9">
        <f>IF(LEFT(B257,4)&lt;&gt;"    ","",Y257-AF257)</f>
        <v/>
      </c>
      <c r="AK257" s="10" t="n"/>
      <c r="AL257" s="25">
        <f>IF(LEFT(B257,4)&lt;&gt;"    ","",J257-W257)</f>
        <v/>
      </c>
      <c r="AM257" s="25">
        <f>N257-X257</f>
        <v/>
      </c>
      <c r="AN257" s="25">
        <f>IF(LEFT(B257,4)&lt;&gt;"    ","",Q257-Y257)</f>
        <v/>
      </c>
      <c r="AO257" s="10" t="n"/>
      <c r="AP257" s="12" t="n"/>
      <c r="AQ257" s="12">
        <f>IF(LEFT(B257,4)&lt;&gt;"    ","",IF(W257-AP257&gt;=0,W257-AP257," "))</f>
        <v/>
      </c>
      <c r="AR257" s="12">
        <f>IF(LEFT(B257,4)&lt;&gt;"    ","",IF(AP257-W257&gt;=0,AP257-W257," "))</f>
        <v/>
      </c>
      <c r="AS257" s="186" t="n"/>
      <c r="AT257" s="187" t="n"/>
      <c r="AU257" s="186" t="n"/>
      <c r="AV257" s="186" t="n"/>
      <c r="AW257" s="188" t="n"/>
      <c r="AX257" s="187" t="n"/>
      <c r="AY257" s="187" t="n"/>
      <c r="AZ257" s="186" t="n"/>
      <c r="BA257" s="186" t="n"/>
      <c r="BB257" s="186" t="n"/>
      <c r="BC257" s="186" t="n"/>
      <c r="BD257" s="186" t="n"/>
      <c r="BE257" s="186" t="n"/>
      <c r="BF257" s="186" t="n"/>
      <c r="BG257" s="186" t="n"/>
      <c r="BH257" s="186" t="n"/>
      <c r="BI257" s="186" t="n"/>
      <c r="BJ257" s="186" t="n"/>
      <c r="BK257" s="186" t="n"/>
      <c r="BL257" s="186" t="n"/>
      <c r="BM257" s="186" t="n"/>
      <c r="BN257" s="186" t="n"/>
      <c r="BO257" s="186" t="n"/>
      <c r="BP257" s="186" t="n"/>
      <c r="BQ257" s="186" t="n"/>
      <c r="BR257" s="186" t="n"/>
      <c r="BS257" s="186" t="n"/>
      <c r="BT257" s="186" t="n"/>
      <c r="BU257" s="186" t="n"/>
      <c r="BV257" s="190" t="n"/>
      <c r="BW257" s="186" t="n"/>
      <c r="BX257" s="186" t="n"/>
      <c r="BY257" s="186" t="n"/>
      <c r="BZ257" s="186" t="n"/>
      <c r="CA257" s="186" t="n"/>
      <c r="CB257" s="187" t="n"/>
      <c r="CC257" s="192" t="n"/>
      <c r="CD257" s="192" t="n"/>
      <c r="CE257" s="192" t="n"/>
      <c r="CF257" s="192" t="n"/>
    </row>
    <row r="258">
      <c r="A258" s="197" t="n"/>
      <c r="B258" s="198" t="n"/>
      <c r="C258" s="198" t="n"/>
      <c r="D258" s="179" t="n"/>
      <c r="E258" s="180" t="n"/>
      <c r="F258" s="181" t="n"/>
      <c r="G258" s="284">
        <f>'Jobs-Ops'!G258</f>
        <v/>
      </c>
      <c r="H258" s="114">
        <f>'Jobs-Ops'!H258</f>
        <v/>
      </c>
      <c r="I258" s="105" t="n"/>
      <c r="J258" s="183">
        <f>F258</f>
        <v/>
      </c>
      <c r="K258" s="184" t="n"/>
      <c r="L258" s="185" t="n"/>
      <c r="M258" s="8" t="n"/>
      <c r="N258" s="184">
        <f>M258</f>
        <v/>
      </c>
      <c r="O258" s="71" t="n"/>
      <c r="P258" s="101" t="n"/>
      <c r="Q258" s="9">
        <f>J258-N258</f>
        <v/>
      </c>
      <c r="R258" s="9">
        <f>IF(LEFT(B258,4)&lt;&gt;"    ",0,BI258)</f>
        <v/>
      </c>
      <c r="S258" s="9">
        <f>+Q258-R258</f>
        <v/>
      </c>
      <c r="T258" s="200">
        <f>IF('Jobs-Ops'!S258&lt;&gt; "",'Jobs-Ops'!S258,"")</f>
        <v/>
      </c>
      <c r="U258" s="10" t="n"/>
      <c r="V258" s="23">
        <f>IF(LEFT(B258,4)&lt;&gt;"    ","",IF(N258&lt;&gt;0,X258/N258,0))</f>
        <v/>
      </c>
      <c r="W258" s="11">
        <f>IF(LEFT(B258,4)&lt;&gt;"    ","",IF(V258&gt;=0.1,V258*J258,X258))</f>
        <v/>
      </c>
      <c r="X258" s="8" t="n"/>
      <c r="Y258" s="9">
        <f>IF(LEFT(B258,4)&lt;&gt;"    ",0,IF(Q258&lt;0,Q258,IF(V258&gt;0.1,W258-X258,0)))</f>
        <v/>
      </c>
      <c r="Z258" s="9">
        <f>IF(LEFT(B258,4)&lt;&gt;"    ",0,IF(V258&gt;0.1,BI258,0))</f>
        <v/>
      </c>
      <c r="AA258" s="9">
        <f>Y258-Z258</f>
        <v/>
      </c>
      <c r="AB258" s="10" t="n"/>
      <c r="AC258" s="24" t="n"/>
      <c r="AD258" s="11" t="n"/>
      <c r="AE258" s="8" t="n"/>
      <c r="AF258" s="9">
        <f>IF(LEFT(B258,4)&lt;&gt;"    ","",AD258-AE258)</f>
        <v/>
      </c>
      <c r="AG258" s="10" t="n"/>
      <c r="AH258" s="11">
        <f>IF(LEFT(B258,4)&lt;&gt;"    ","",W258-AD258)</f>
        <v/>
      </c>
      <c r="AI258" s="8">
        <f>IF(LEFT(B258,4)&lt;&gt;"    ","",X258-AE258)</f>
        <v/>
      </c>
      <c r="AJ258" s="9">
        <f>IF(LEFT(B258,4)&lt;&gt;"    ","",Y258-AF258)</f>
        <v/>
      </c>
      <c r="AK258" s="10" t="n"/>
      <c r="AL258" s="25">
        <f>IF(LEFT(B258,4)&lt;&gt;"    ","",J258-W258)</f>
        <v/>
      </c>
      <c r="AM258" s="25">
        <f>N258-X258</f>
        <v/>
      </c>
      <c r="AN258" s="25">
        <f>IF(LEFT(B258,4)&lt;&gt;"    ","",Q258-Y258)</f>
        <v/>
      </c>
      <c r="AO258" s="10" t="n"/>
      <c r="AP258" s="12" t="n"/>
      <c r="AQ258" s="12">
        <f>IF(LEFT(B258,4)&lt;&gt;"    ","",IF(W258-AP258&gt;=0,W258-AP258," "))</f>
        <v/>
      </c>
      <c r="AR258" s="12">
        <f>IF(LEFT(B258,4)&lt;&gt;"    ","",IF(AP258-W258&gt;=0,AP258-W258," "))</f>
        <v/>
      </c>
      <c r="AS258" s="186" t="n"/>
      <c r="AT258" s="187" t="n"/>
      <c r="AU258" s="186" t="n"/>
      <c r="AV258" s="186" t="n"/>
      <c r="AW258" s="188" t="n"/>
      <c r="AX258" s="187" t="n"/>
      <c r="AY258" s="187" t="n"/>
      <c r="AZ258" s="186" t="n"/>
      <c r="BA258" s="186" t="n"/>
      <c r="BB258" s="186" t="n"/>
      <c r="BC258" s="186" t="n"/>
      <c r="BD258" s="186" t="n"/>
      <c r="BE258" s="186" t="n"/>
      <c r="BF258" s="186" t="n"/>
      <c r="BG258" s="186" t="n"/>
      <c r="BH258" s="186" t="n"/>
      <c r="BI258" s="186" t="n"/>
      <c r="BJ258" s="186" t="n"/>
      <c r="BK258" s="186" t="n"/>
      <c r="BL258" s="186" t="n"/>
      <c r="BM258" s="186" t="n"/>
      <c r="BN258" s="186" t="n"/>
      <c r="BO258" s="186" t="n"/>
      <c r="BP258" s="186" t="n"/>
      <c r="BQ258" s="186" t="n"/>
      <c r="BR258" s="186" t="n"/>
      <c r="BS258" s="186" t="n"/>
      <c r="BT258" s="186" t="n"/>
      <c r="BU258" s="186" t="n"/>
      <c r="BV258" s="190" t="n"/>
      <c r="BW258" s="186" t="n"/>
      <c r="BX258" s="186" t="n"/>
      <c r="BY258" s="186" t="n"/>
      <c r="BZ258" s="186" t="n"/>
      <c r="CA258" s="186" t="n"/>
      <c r="CB258" s="187" t="n"/>
      <c r="CC258" s="192" t="n"/>
      <c r="CD258" s="192" t="n"/>
      <c r="CE258" s="192" t="n"/>
      <c r="CF258" s="192" t="n"/>
    </row>
    <row r="259">
      <c r="A259" s="197" t="n"/>
      <c r="B259" s="198" t="n"/>
      <c r="C259" s="198" t="n"/>
      <c r="D259" s="179" t="n"/>
      <c r="E259" s="180" t="n"/>
      <c r="F259" s="181" t="n"/>
      <c r="G259" s="284">
        <f>'Jobs-Ops'!G259</f>
        <v/>
      </c>
      <c r="H259" s="114">
        <f>'Jobs-Ops'!H259</f>
        <v/>
      </c>
      <c r="I259" s="105" t="n"/>
      <c r="J259" s="183">
        <f>F259</f>
        <v/>
      </c>
      <c r="K259" s="184" t="n"/>
      <c r="L259" s="185" t="n"/>
      <c r="M259" s="8" t="n"/>
      <c r="N259" s="184">
        <f>M259</f>
        <v/>
      </c>
      <c r="O259" s="71" t="n"/>
      <c r="P259" s="101" t="n"/>
      <c r="Q259" s="9">
        <f>J259-N259</f>
        <v/>
      </c>
      <c r="R259" s="9">
        <f>IF(LEFT(B259,4)&lt;&gt;"    ",0,BI259)</f>
        <v/>
      </c>
      <c r="S259" s="9">
        <f>+Q259-R259</f>
        <v/>
      </c>
      <c r="T259" s="200">
        <f>IF('Jobs-Ops'!S259&lt;&gt; "",'Jobs-Ops'!S259,"")</f>
        <v/>
      </c>
      <c r="U259" s="10" t="n"/>
      <c r="V259" s="23">
        <f>IF(LEFT(B259,4)&lt;&gt;"    ","",IF(N259&lt;&gt;0,X259/N259,0))</f>
        <v/>
      </c>
      <c r="W259" s="11">
        <f>IF(LEFT(B259,4)&lt;&gt;"    ","",IF(V259&gt;=0.1,V259*J259,X259))</f>
        <v/>
      </c>
      <c r="X259" s="8" t="n"/>
      <c r="Y259" s="9">
        <f>IF(LEFT(B259,4)&lt;&gt;"    ",0,IF(Q259&lt;0,Q259,IF(V259&gt;0.1,W259-X259,0)))</f>
        <v/>
      </c>
      <c r="Z259" s="9">
        <f>IF(LEFT(B259,4)&lt;&gt;"    ",0,IF(V259&gt;0.1,BI259,0))</f>
        <v/>
      </c>
      <c r="AA259" s="9">
        <f>Y259-Z259</f>
        <v/>
      </c>
      <c r="AB259" s="10" t="n"/>
      <c r="AC259" s="24" t="n"/>
      <c r="AD259" s="11" t="n"/>
      <c r="AE259" s="8" t="n"/>
      <c r="AF259" s="9">
        <f>IF(LEFT(B259,4)&lt;&gt;"    ","",AD259-AE259)</f>
        <v/>
      </c>
      <c r="AG259" s="10" t="n"/>
      <c r="AH259" s="11">
        <f>IF(LEFT(B259,4)&lt;&gt;"    ","",W259-AD259)</f>
        <v/>
      </c>
      <c r="AI259" s="8">
        <f>IF(LEFT(B259,4)&lt;&gt;"    ","",X259-AE259)</f>
        <v/>
      </c>
      <c r="AJ259" s="9">
        <f>IF(LEFT(B259,4)&lt;&gt;"    ","",Y259-AF259)</f>
        <v/>
      </c>
      <c r="AK259" s="10" t="n"/>
      <c r="AL259" s="25">
        <f>IF(LEFT(B259,4)&lt;&gt;"    ","",J259-W259)</f>
        <v/>
      </c>
      <c r="AM259" s="25">
        <f>N259-X259</f>
        <v/>
      </c>
      <c r="AN259" s="25">
        <f>IF(LEFT(B259,4)&lt;&gt;"    ","",Q259-Y259)</f>
        <v/>
      </c>
      <c r="AO259" s="10" t="n"/>
      <c r="AP259" s="12" t="n"/>
      <c r="AQ259" s="12">
        <f>IF(LEFT(B259,4)&lt;&gt;"    ","",IF(W259-AP259&gt;=0,W259-AP259," "))</f>
        <v/>
      </c>
      <c r="AR259" s="12">
        <f>IF(LEFT(B259,4)&lt;&gt;"    ","",IF(AP259-W259&gt;=0,AP259-W259," "))</f>
        <v/>
      </c>
      <c r="AS259" s="186" t="n"/>
      <c r="AT259" s="187" t="n"/>
      <c r="AU259" s="186" t="n"/>
      <c r="AV259" s="186" t="n"/>
      <c r="AW259" s="188" t="n"/>
      <c r="AX259" s="187" t="n"/>
      <c r="AY259" s="187" t="n"/>
      <c r="AZ259" s="186" t="n"/>
      <c r="BA259" s="186" t="n"/>
      <c r="BB259" s="186" t="n"/>
      <c r="BC259" s="186" t="n"/>
      <c r="BD259" s="186" t="n"/>
      <c r="BE259" s="186" t="n"/>
      <c r="BF259" s="186" t="n"/>
      <c r="BG259" s="186" t="n"/>
      <c r="BH259" s="186" t="n"/>
      <c r="BI259" s="186" t="n"/>
      <c r="BJ259" s="186" t="n"/>
      <c r="BK259" s="186" t="n"/>
      <c r="BL259" s="186" t="n"/>
      <c r="BM259" s="186" t="n"/>
      <c r="BN259" s="186" t="n"/>
      <c r="BO259" s="186" t="n"/>
      <c r="BP259" s="186" t="n"/>
      <c r="BQ259" s="186" t="n"/>
      <c r="BR259" s="186" t="n"/>
      <c r="BS259" s="186" t="n"/>
      <c r="BT259" s="186" t="n"/>
      <c r="BU259" s="186" t="n"/>
      <c r="BV259" s="190" t="n"/>
      <c r="BW259" s="186" t="n"/>
      <c r="BX259" s="186" t="n"/>
      <c r="BY259" s="186" t="n"/>
      <c r="BZ259" s="186" t="n"/>
      <c r="CA259" s="186" t="n"/>
      <c r="CB259" s="187" t="n"/>
      <c r="CC259" s="192" t="n"/>
      <c r="CD259" s="192" t="n"/>
      <c r="CE259" s="192" t="n"/>
      <c r="CF259" s="192" t="n"/>
    </row>
    <row r="260">
      <c r="A260" s="197" t="n"/>
      <c r="B260" s="198" t="n"/>
      <c r="C260" s="198" t="n"/>
      <c r="D260" s="179" t="n"/>
      <c r="E260" s="180" t="n"/>
      <c r="F260" s="181" t="n"/>
      <c r="G260" s="284">
        <f>'Jobs-Ops'!G260</f>
        <v/>
      </c>
      <c r="H260" s="114">
        <f>'Jobs-Ops'!H260</f>
        <v/>
      </c>
      <c r="I260" s="105" t="n"/>
      <c r="J260" s="183">
        <f>F260</f>
        <v/>
      </c>
      <c r="K260" s="184" t="n"/>
      <c r="L260" s="185" t="n"/>
      <c r="M260" s="8" t="n"/>
      <c r="N260" s="184">
        <f>M260</f>
        <v/>
      </c>
      <c r="O260" s="71" t="n"/>
      <c r="P260" s="101" t="n"/>
      <c r="Q260" s="9">
        <f>J260-N260</f>
        <v/>
      </c>
      <c r="R260" s="9">
        <f>IF(LEFT(B260,4)&lt;&gt;"    ",0,BI260)</f>
        <v/>
      </c>
      <c r="S260" s="9">
        <f>+Q260-R260</f>
        <v/>
      </c>
      <c r="T260" s="200">
        <f>IF('Jobs-Ops'!S260&lt;&gt; "",'Jobs-Ops'!S260,"")</f>
        <v/>
      </c>
      <c r="U260" s="10" t="n"/>
      <c r="V260" s="23">
        <f>IF(LEFT(B260,4)&lt;&gt;"    ","",IF(N260&lt;&gt;0,X260/N260,0))</f>
        <v/>
      </c>
      <c r="W260" s="11">
        <f>IF(LEFT(B260,4)&lt;&gt;"    ","",IF(V260&gt;=0.1,V260*J260,X260))</f>
        <v/>
      </c>
      <c r="X260" s="8" t="n"/>
      <c r="Y260" s="9">
        <f>IF(LEFT(B260,4)&lt;&gt;"    ",0,IF(Q260&lt;0,Q260,IF(V260&gt;0.1,W260-X260,0)))</f>
        <v/>
      </c>
      <c r="Z260" s="9">
        <f>IF(LEFT(B260,4)&lt;&gt;"    ",0,IF(V260&gt;0.1,BI260,0))</f>
        <v/>
      </c>
      <c r="AA260" s="9">
        <f>Y260-Z260</f>
        <v/>
      </c>
      <c r="AB260" s="10" t="n"/>
      <c r="AC260" s="24" t="n"/>
      <c r="AD260" s="11" t="n"/>
      <c r="AE260" s="8" t="n"/>
      <c r="AF260" s="9">
        <f>IF(LEFT(B260,4)&lt;&gt;"    ","",AD260-AE260)</f>
        <v/>
      </c>
      <c r="AG260" s="10" t="n"/>
      <c r="AH260" s="11">
        <f>IF(LEFT(B260,4)&lt;&gt;"    ","",W260-AD260)</f>
        <v/>
      </c>
      <c r="AI260" s="8">
        <f>IF(LEFT(B260,4)&lt;&gt;"    ","",X260-AE260)</f>
        <v/>
      </c>
      <c r="AJ260" s="9">
        <f>IF(LEFT(B260,4)&lt;&gt;"    ","",Y260-AF260)</f>
        <v/>
      </c>
      <c r="AK260" s="10" t="n"/>
      <c r="AL260" s="25">
        <f>IF(LEFT(B260,4)&lt;&gt;"    ","",J260-W260)</f>
        <v/>
      </c>
      <c r="AM260" s="25">
        <f>N260-X260</f>
        <v/>
      </c>
      <c r="AN260" s="25">
        <f>IF(LEFT(B260,4)&lt;&gt;"    ","",Q260-Y260)</f>
        <v/>
      </c>
      <c r="AO260" s="10" t="n"/>
      <c r="AP260" s="12" t="n"/>
      <c r="AQ260" s="12">
        <f>IF(LEFT(B260,4)&lt;&gt;"    ","",IF(W260-AP260&gt;=0,W260-AP260," "))</f>
        <v/>
      </c>
      <c r="AR260" s="12">
        <f>IF(LEFT(B260,4)&lt;&gt;"    ","",IF(AP260-W260&gt;=0,AP260-W260," "))</f>
        <v/>
      </c>
      <c r="AS260" s="186" t="n"/>
      <c r="AT260" s="187" t="n"/>
      <c r="AU260" s="186" t="n"/>
      <c r="AV260" s="186" t="n"/>
      <c r="AW260" s="188" t="n"/>
      <c r="AX260" s="187" t="n"/>
      <c r="AY260" s="187" t="n"/>
      <c r="AZ260" s="186" t="n"/>
      <c r="BA260" s="186" t="n"/>
      <c r="BB260" s="186" t="n"/>
      <c r="BC260" s="186" t="n"/>
      <c r="BD260" s="186" t="n"/>
      <c r="BE260" s="186" t="n"/>
      <c r="BF260" s="186" t="n"/>
      <c r="BG260" s="186" t="n"/>
      <c r="BH260" s="186" t="n"/>
      <c r="BI260" s="186" t="n"/>
      <c r="BJ260" s="186" t="n"/>
      <c r="BK260" s="186" t="n"/>
      <c r="BL260" s="186" t="n"/>
      <c r="BM260" s="186" t="n"/>
      <c r="BN260" s="186" t="n"/>
      <c r="BO260" s="186" t="n"/>
      <c r="BP260" s="186" t="n"/>
      <c r="BQ260" s="186" t="n"/>
      <c r="BR260" s="186" t="n"/>
      <c r="BS260" s="186" t="n"/>
      <c r="BT260" s="186" t="n"/>
      <c r="BU260" s="186" t="n"/>
      <c r="BV260" s="190" t="n"/>
      <c r="BW260" s="186" t="n"/>
      <c r="BX260" s="186" t="n"/>
      <c r="BY260" s="186" t="n"/>
      <c r="BZ260" s="186" t="n"/>
      <c r="CA260" s="186" t="n"/>
      <c r="CB260" s="187" t="n"/>
      <c r="CC260" s="192" t="n"/>
      <c r="CD260" s="192" t="n"/>
      <c r="CE260" s="192" t="n"/>
      <c r="CF260" s="192" t="n"/>
    </row>
    <row r="261">
      <c r="A261" s="197" t="n"/>
      <c r="B261" s="198" t="n"/>
      <c r="C261" s="198" t="n"/>
      <c r="D261" s="179" t="n"/>
      <c r="E261" s="180" t="n"/>
      <c r="F261" s="181" t="n"/>
      <c r="G261" s="284">
        <f>'Jobs-Ops'!G261</f>
        <v/>
      </c>
      <c r="H261" s="114">
        <f>'Jobs-Ops'!H261</f>
        <v/>
      </c>
      <c r="I261" s="105" t="n"/>
      <c r="J261" s="183">
        <f>F261</f>
        <v/>
      </c>
      <c r="K261" s="184" t="n"/>
      <c r="L261" s="185" t="n"/>
      <c r="M261" s="8" t="n"/>
      <c r="N261" s="184">
        <f>M261</f>
        <v/>
      </c>
      <c r="O261" s="71" t="n"/>
      <c r="P261" s="101" t="n"/>
      <c r="Q261" s="9">
        <f>J261-N261</f>
        <v/>
      </c>
      <c r="R261" s="9">
        <f>IF(LEFT(B261,4)&lt;&gt;"    ",0,BI261)</f>
        <v/>
      </c>
      <c r="S261" s="9">
        <f>+Q261-R261</f>
        <v/>
      </c>
      <c r="T261" s="200">
        <f>IF('Jobs-Ops'!S261&lt;&gt; "",'Jobs-Ops'!S261,"")</f>
        <v/>
      </c>
      <c r="U261" s="10" t="n"/>
      <c r="V261" s="23">
        <f>IF(LEFT(B261,4)&lt;&gt;"    ","",IF(N261&lt;&gt;0,X261/N261,0))</f>
        <v/>
      </c>
      <c r="W261" s="11">
        <f>IF(LEFT(B261,4)&lt;&gt;"    ","",IF(V261&gt;=0.1,V261*J261,X261))</f>
        <v/>
      </c>
      <c r="X261" s="8" t="n"/>
      <c r="Y261" s="9">
        <f>IF(LEFT(B261,4)&lt;&gt;"    ",0,IF(Q261&lt;0,Q261,IF(V261&gt;0.1,W261-X261,0)))</f>
        <v/>
      </c>
      <c r="Z261" s="9">
        <f>IF(LEFT(B261,4)&lt;&gt;"    ",0,IF(V261&gt;0.1,BI261,0))</f>
        <v/>
      </c>
      <c r="AA261" s="9">
        <f>Y261-Z261</f>
        <v/>
      </c>
      <c r="AB261" s="10" t="n"/>
      <c r="AC261" s="24" t="n"/>
      <c r="AD261" s="11" t="n"/>
      <c r="AE261" s="8" t="n"/>
      <c r="AF261" s="9">
        <f>IF(LEFT(B261,4)&lt;&gt;"    ","",AD261-AE261)</f>
        <v/>
      </c>
      <c r="AG261" s="10" t="n"/>
      <c r="AH261" s="11">
        <f>IF(LEFT(B261,4)&lt;&gt;"    ","",W261-AD261)</f>
        <v/>
      </c>
      <c r="AI261" s="8">
        <f>IF(LEFT(B261,4)&lt;&gt;"    ","",X261-AE261)</f>
        <v/>
      </c>
      <c r="AJ261" s="9">
        <f>IF(LEFT(B261,4)&lt;&gt;"    ","",Y261-AF261)</f>
        <v/>
      </c>
      <c r="AK261" s="10" t="n"/>
      <c r="AL261" s="25">
        <f>IF(LEFT(B261,4)&lt;&gt;"    ","",J261-W261)</f>
        <v/>
      </c>
      <c r="AM261" s="25">
        <f>N261-X261</f>
        <v/>
      </c>
      <c r="AN261" s="25">
        <f>IF(LEFT(B261,4)&lt;&gt;"    ","",Q261-Y261)</f>
        <v/>
      </c>
      <c r="AO261" s="10" t="n"/>
      <c r="AP261" s="12" t="n"/>
      <c r="AQ261" s="12">
        <f>IF(LEFT(B261,4)&lt;&gt;"    ","",IF(W261-AP261&gt;=0,W261-AP261," "))</f>
        <v/>
      </c>
      <c r="AR261" s="12">
        <f>IF(LEFT(B261,4)&lt;&gt;"    ","",IF(AP261-W261&gt;=0,AP261-W261," "))</f>
        <v/>
      </c>
      <c r="AS261" s="186" t="n"/>
      <c r="AT261" s="187" t="n"/>
      <c r="AU261" s="186" t="n"/>
      <c r="AV261" s="186" t="n"/>
      <c r="AW261" s="188" t="n"/>
      <c r="AX261" s="187" t="n"/>
      <c r="AY261" s="187" t="n"/>
      <c r="AZ261" s="186" t="n"/>
      <c r="BA261" s="186" t="n"/>
      <c r="BB261" s="186" t="n"/>
      <c r="BC261" s="186" t="n"/>
      <c r="BD261" s="186" t="n"/>
      <c r="BE261" s="186" t="n"/>
      <c r="BF261" s="186" t="n"/>
      <c r="BG261" s="186" t="n"/>
      <c r="BH261" s="186" t="n"/>
      <c r="BI261" s="186" t="n"/>
      <c r="BJ261" s="186" t="n"/>
      <c r="BK261" s="186" t="n"/>
      <c r="BL261" s="186" t="n"/>
      <c r="BM261" s="186" t="n"/>
      <c r="BN261" s="186" t="n"/>
      <c r="BO261" s="186" t="n"/>
      <c r="BP261" s="186" t="n"/>
      <c r="BQ261" s="186" t="n"/>
      <c r="BR261" s="186" t="n"/>
      <c r="BS261" s="186" t="n"/>
      <c r="BT261" s="186" t="n"/>
      <c r="BU261" s="186" t="n"/>
      <c r="BV261" s="190" t="n"/>
      <c r="BW261" s="186" t="n"/>
      <c r="BX261" s="186" t="n"/>
      <c r="BY261" s="186" t="n"/>
      <c r="BZ261" s="186" t="n"/>
      <c r="CA261" s="186" t="n"/>
      <c r="CB261" s="187" t="n"/>
      <c r="CC261" s="192" t="n"/>
      <c r="CD261" s="192" t="n"/>
      <c r="CE261" s="192" t="n"/>
      <c r="CF261" s="192" t="n"/>
    </row>
    <row r="262">
      <c r="A262" s="197" t="n"/>
      <c r="B262" s="198" t="n"/>
      <c r="C262" s="198" t="n"/>
      <c r="D262" s="179" t="n"/>
      <c r="E262" s="180" t="n"/>
      <c r="F262" s="181" t="n"/>
      <c r="G262" s="284">
        <f>'Jobs-Ops'!G262</f>
        <v/>
      </c>
      <c r="H262" s="114">
        <f>'Jobs-Ops'!H262</f>
        <v/>
      </c>
      <c r="I262" s="105" t="n"/>
      <c r="J262" s="183">
        <f>F262</f>
        <v/>
      </c>
      <c r="K262" s="184" t="n"/>
      <c r="L262" s="185" t="n"/>
      <c r="M262" s="8" t="n"/>
      <c r="N262" s="184">
        <f>M262</f>
        <v/>
      </c>
      <c r="O262" s="71" t="n"/>
      <c r="P262" s="101" t="n"/>
      <c r="Q262" s="9">
        <f>J262-N262</f>
        <v/>
      </c>
      <c r="R262" s="9">
        <f>IF(LEFT(B262,4)&lt;&gt;"    ",0,BI262)</f>
        <v/>
      </c>
      <c r="S262" s="9">
        <f>+Q262-R262</f>
        <v/>
      </c>
      <c r="T262" s="200">
        <f>IF('Jobs-Ops'!S262&lt;&gt; "",'Jobs-Ops'!S262,"")</f>
        <v/>
      </c>
      <c r="U262" s="10" t="n"/>
      <c r="V262" s="23">
        <f>IF(LEFT(B262,4)&lt;&gt;"    ","",IF(N262&lt;&gt;0,X262/N262,0))</f>
        <v/>
      </c>
      <c r="W262" s="11">
        <f>IF(LEFT(B262,4)&lt;&gt;"    ","",IF(V262&gt;=0.1,V262*J262,X262))</f>
        <v/>
      </c>
      <c r="X262" s="8" t="n"/>
      <c r="Y262" s="9">
        <f>IF(LEFT(B262,4)&lt;&gt;"    ",0,IF(Q262&lt;0,Q262,IF(V262&gt;0.1,W262-X262,0)))</f>
        <v/>
      </c>
      <c r="Z262" s="9">
        <f>IF(LEFT(B262,4)&lt;&gt;"    ",0,IF(V262&gt;0.1,BI262,0))</f>
        <v/>
      </c>
      <c r="AA262" s="9">
        <f>Y262-Z262</f>
        <v/>
      </c>
      <c r="AB262" s="10" t="n"/>
      <c r="AC262" s="24" t="n"/>
      <c r="AD262" s="11" t="n"/>
      <c r="AE262" s="8" t="n"/>
      <c r="AF262" s="9">
        <f>IF(LEFT(B262,4)&lt;&gt;"    ","",AD262-AE262)</f>
        <v/>
      </c>
      <c r="AG262" s="10" t="n"/>
      <c r="AH262" s="11">
        <f>IF(LEFT(B262,4)&lt;&gt;"    ","",W262-AD262)</f>
        <v/>
      </c>
      <c r="AI262" s="8">
        <f>IF(LEFT(B262,4)&lt;&gt;"    ","",X262-AE262)</f>
        <v/>
      </c>
      <c r="AJ262" s="9">
        <f>IF(LEFT(B262,4)&lt;&gt;"    ","",Y262-AF262)</f>
        <v/>
      </c>
      <c r="AK262" s="10" t="n"/>
      <c r="AL262" s="25">
        <f>IF(LEFT(B262,4)&lt;&gt;"    ","",J262-W262)</f>
        <v/>
      </c>
      <c r="AM262" s="25">
        <f>N262-X262</f>
        <v/>
      </c>
      <c r="AN262" s="25">
        <f>IF(LEFT(B262,4)&lt;&gt;"    ","",Q262-Y262)</f>
        <v/>
      </c>
      <c r="AO262" s="10" t="n"/>
      <c r="AP262" s="12" t="n"/>
      <c r="AQ262" s="12">
        <f>IF(LEFT(B262,4)&lt;&gt;"    ","",IF(W262-AP262&gt;=0,W262-AP262," "))</f>
        <v/>
      </c>
      <c r="AR262" s="12">
        <f>IF(LEFT(B262,4)&lt;&gt;"    ","",IF(AP262-W262&gt;=0,AP262-W262," "))</f>
        <v/>
      </c>
      <c r="AS262" s="186" t="n"/>
      <c r="AT262" s="187" t="n"/>
      <c r="AU262" s="186" t="n"/>
      <c r="AV262" s="186" t="n"/>
      <c r="AW262" s="188" t="n"/>
      <c r="AX262" s="187" t="n"/>
      <c r="AY262" s="187" t="n"/>
      <c r="AZ262" s="186" t="n"/>
      <c r="BA262" s="186" t="n"/>
      <c r="BB262" s="186" t="n"/>
      <c r="BC262" s="186" t="n"/>
      <c r="BD262" s="186" t="n"/>
      <c r="BE262" s="186" t="n"/>
      <c r="BF262" s="186" t="n"/>
      <c r="BG262" s="186" t="n"/>
      <c r="BH262" s="186" t="n"/>
      <c r="BI262" s="186" t="n"/>
      <c r="BJ262" s="186" t="n"/>
      <c r="BK262" s="186" t="n"/>
      <c r="BL262" s="186" t="n"/>
      <c r="BM262" s="186" t="n"/>
      <c r="BN262" s="186" t="n"/>
      <c r="BO262" s="186" t="n"/>
      <c r="BP262" s="186" t="n"/>
      <c r="BQ262" s="186" t="n"/>
      <c r="BR262" s="186" t="n"/>
      <c r="BS262" s="186" t="n"/>
      <c r="BT262" s="186" t="n"/>
      <c r="BU262" s="186" t="n"/>
      <c r="BV262" s="190" t="n"/>
      <c r="BW262" s="186" t="n"/>
      <c r="BX262" s="186" t="n"/>
      <c r="BY262" s="186" t="n"/>
      <c r="BZ262" s="186" t="n"/>
      <c r="CA262" s="186" t="n"/>
      <c r="CB262" s="187" t="n"/>
      <c r="CC262" s="192" t="n"/>
      <c r="CD262" s="192" t="n"/>
      <c r="CE262" s="192" t="n"/>
      <c r="CF262" s="192" t="n"/>
    </row>
    <row r="263">
      <c r="A263" s="197" t="n"/>
      <c r="B263" s="198" t="n"/>
      <c r="C263" s="198" t="n"/>
      <c r="D263" s="179" t="n"/>
      <c r="E263" s="180" t="n"/>
      <c r="F263" s="181" t="n"/>
      <c r="G263" s="284">
        <f>'Jobs-Ops'!G263</f>
        <v/>
      </c>
      <c r="H263" s="114">
        <f>'Jobs-Ops'!H263</f>
        <v/>
      </c>
      <c r="I263" s="105" t="n"/>
      <c r="J263" s="183">
        <f>F263</f>
        <v/>
      </c>
      <c r="K263" s="184" t="n"/>
      <c r="L263" s="185" t="n"/>
      <c r="M263" s="8" t="n"/>
      <c r="N263" s="184">
        <f>M263</f>
        <v/>
      </c>
      <c r="O263" s="71" t="n"/>
      <c r="P263" s="101" t="n"/>
      <c r="Q263" s="9">
        <f>J263-N263</f>
        <v/>
      </c>
      <c r="R263" s="9">
        <f>IF(LEFT(B263,4)&lt;&gt;"    ",0,BI263)</f>
        <v/>
      </c>
      <c r="S263" s="9">
        <f>+Q263-R263</f>
        <v/>
      </c>
      <c r="T263" s="200">
        <f>IF('Jobs-Ops'!S263&lt;&gt; "",'Jobs-Ops'!S263,"")</f>
        <v/>
      </c>
      <c r="U263" s="10" t="n"/>
      <c r="V263" s="23">
        <f>IF(LEFT(B263,4)&lt;&gt;"    ","",IF(N263&lt;&gt;0,X263/N263,0))</f>
        <v/>
      </c>
      <c r="W263" s="11">
        <f>IF(LEFT(B263,4)&lt;&gt;"    ","",IF(V263&gt;=0.1,V263*J263,X263))</f>
        <v/>
      </c>
      <c r="X263" s="8" t="n"/>
      <c r="Y263" s="9">
        <f>IF(LEFT(B263,4)&lt;&gt;"    ",0,IF(Q263&lt;0,Q263,IF(V263&gt;0.1,W263-X263,0)))</f>
        <v/>
      </c>
      <c r="Z263" s="9">
        <f>IF(LEFT(B263,4)&lt;&gt;"    ",0,IF(V263&gt;0.1,BI263,0))</f>
        <v/>
      </c>
      <c r="AA263" s="9">
        <f>Y263-Z263</f>
        <v/>
      </c>
      <c r="AB263" s="10" t="n"/>
      <c r="AC263" s="24" t="n"/>
      <c r="AD263" s="11" t="n"/>
      <c r="AE263" s="8" t="n"/>
      <c r="AF263" s="9">
        <f>IF(LEFT(B263,4)&lt;&gt;"    ","",AD263-AE263)</f>
        <v/>
      </c>
      <c r="AG263" s="10" t="n"/>
      <c r="AH263" s="11">
        <f>IF(LEFT(B263,4)&lt;&gt;"    ","",W263-AD263)</f>
        <v/>
      </c>
      <c r="AI263" s="8">
        <f>IF(LEFT(B263,4)&lt;&gt;"    ","",X263-AE263)</f>
        <v/>
      </c>
      <c r="AJ263" s="9">
        <f>IF(LEFT(B263,4)&lt;&gt;"    ","",Y263-AF263)</f>
        <v/>
      </c>
      <c r="AK263" s="10" t="n"/>
      <c r="AL263" s="25">
        <f>IF(LEFT(B263,4)&lt;&gt;"    ","",J263-W263)</f>
        <v/>
      </c>
      <c r="AM263" s="25">
        <f>N263-X263</f>
        <v/>
      </c>
      <c r="AN263" s="25">
        <f>IF(LEFT(B263,4)&lt;&gt;"    ","",Q263-Y263)</f>
        <v/>
      </c>
      <c r="AO263" s="10" t="n"/>
      <c r="AP263" s="12" t="n"/>
      <c r="AQ263" s="12">
        <f>IF(LEFT(B263,4)&lt;&gt;"    ","",IF(W263-AP263&gt;=0,W263-AP263," "))</f>
        <v/>
      </c>
      <c r="AR263" s="12">
        <f>IF(LEFT(B263,4)&lt;&gt;"    ","",IF(AP263-W263&gt;=0,AP263-W263," "))</f>
        <v/>
      </c>
      <c r="AS263" s="186" t="n"/>
      <c r="AT263" s="187" t="n"/>
      <c r="AU263" s="186" t="n"/>
      <c r="AV263" s="186" t="n"/>
      <c r="AW263" s="188" t="n"/>
      <c r="AX263" s="187" t="n"/>
      <c r="AY263" s="187" t="n"/>
      <c r="AZ263" s="186" t="n"/>
      <c r="BA263" s="186" t="n"/>
      <c r="BB263" s="186" t="n"/>
      <c r="BC263" s="186" t="n"/>
      <c r="BD263" s="186" t="n"/>
      <c r="BE263" s="186" t="n"/>
      <c r="BF263" s="186" t="n"/>
      <c r="BG263" s="186" t="n"/>
      <c r="BH263" s="186" t="n"/>
      <c r="BI263" s="186" t="n"/>
      <c r="BJ263" s="186" t="n"/>
      <c r="BK263" s="186" t="n"/>
      <c r="BL263" s="186" t="n"/>
      <c r="BM263" s="186" t="n"/>
      <c r="BN263" s="186" t="n"/>
      <c r="BO263" s="186" t="n"/>
      <c r="BP263" s="186" t="n"/>
      <c r="BQ263" s="186" t="n"/>
      <c r="BR263" s="186" t="n"/>
      <c r="BS263" s="186" t="n"/>
      <c r="BT263" s="186" t="n"/>
      <c r="BU263" s="186" t="n"/>
      <c r="BV263" s="190" t="n"/>
      <c r="BW263" s="186" t="n"/>
      <c r="BX263" s="186" t="n"/>
      <c r="BY263" s="186" t="n"/>
      <c r="BZ263" s="186" t="n"/>
      <c r="CA263" s="186" t="n"/>
      <c r="CB263" s="187" t="n"/>
      <c r="CC263" s="192" t="n"/>
      <c r="CD263" s="192" t="n"/>
      <c r="CE263" s="192" t="n"/>
      <c r="CF263" s="192" t="n"/>
    </row>
    <row r="264">
      <c r="A264" s="197" t="n"/>
      <c r="B264" s="198" t="n"/>
      <c r="C264" s="198" t="n"/>
      <c r="D264" s="179" t="n"/>
      <c r="E264" s="180" t="n"/>
      <c r="F264" s="181" t="n"/>
      <c r="G264" s="284">
        <f>'Jobs-Ops'!G264</f>
        <v/>
      </c>
      <c r="H264" s="114">
        <f>'Jobs-Ops'!H264</f>
        <v/>
      </c>
      <c r="I264" s="105" t="n"/>
      <c r="J264" s="183">
        <f>F264</f>
        <v/>
      </c>
      <c r="K264" s="184" t="n"/>
      <c r="L264" s="185" t="n"/>
      <c r="M264" s="8" t="n"/>
      <c r="N264" s="184">
        <f>M264</f>
        <v/>
      </c>
      <c r="O264" s="71" t="n"/>
      <c r="P264" s="101" t="n"/>
      <c r="Q264" s="9">
        <f>J264-N264</f>
        <v/>
      </c>
      <c r="R264" s="9">
        <f>IF(LEFT(B264,4)&lt;&gt;"    ",0,BI264)</f>
        <v/>
      </c>
      <c r="S264" s="9">
        <f>+Q264-R264</f>
        <v/>
      </c>
      <c r="T264" s="200">
        <f>IF('Jobs-Ops'!S264&lt;&gt; "",'Jobs-Ops'!S264,"")</f>
        <v/>
      </c>
      <c r="U264" s="10" t="n"/>
      <c r="V264" s="23">
        <f>IF(LEFT(B264,4)&lt;&gt;"    ","",IF(N264&lt;&gt;0,X264/N264,0))</f>
        <v/>
      </c>
      <c r="W264" s="11">
        <f>IF(LEFT(B264,4)&lt;&gt;"    ","",IF(V264&gt;=0.1,V264*J264,X264))</f>
        <v/>
      </c>
      <c r="X264" s="8" t="n"/>
      <c r="Y264" s="9">
        <f>IF(LEFT(B264,4)&lt;&gt;"    ",0,IF(Q264&lt;0,Q264,IF(V264&gt;0.1,W264-X264,0)))</f>
        <v/>
      </c>
      <c r="Z264" s="9">
        <f>IF(LEFT(B264,4)&lt;&gt;"    ",0,IF(V264&gt;0.1,BI264,0))</f>
        <v/>
      </c>
      <c r="AA264" s="9">
        <f>Y264-Z264</f>
        <v/>
      </c>
      <c r="AB264" s="10" t="n"/>
      <c r="AC264" s="24" t="n"/>
      <c r="AD264" s="11" t="n"/>
      <c r="AE264" s="8" t="n"/>
      <c r="AF264" s="9">
        <f>IF(LEFT(B264,4)&lt;&gt;"    ","",AD264-AE264)</f>
        <v/>
      </c>
      <c r="AG264" s="10" t="n"/>
      <c r="AH264" s="11">
        <f>IF(LEFT(B264,4)&lt;&gt;"    ","",W264-AD264)</f>
        <v/>
      </c>
      <c r="AI264" s="8">
        <f>IF(LEFT(B264,4)&lt;&gt;"    ","",X264-AE264)</f>
        <v/>
      </c>
      <c r="AJ264" s="9">
        <f>IF(LEFT(B264,4)&lt;&gt;"    ","",Y264-AF264)</f>
        <v/>
      </c>
      <c r="AK264" s="10" t="n"/>
      <c r="AL264" s="25">
        <f>IF(LEFT(B264,4)&lt;&gt;"    ","",J264-W264)</f>
        <v/>
      </c>
      <c r="AM264" s="25">
        <f>N264-X264</f>
        <v/>
      </c>
      <c r="AN264" s="25">
        <f>IF(LEFT(B264,4)&lt;&gt;"    ","",Q264-Y264)</f>
        <v/>
      </c>
      <c r="AO264" s="10" t="n"/>
      <c r="AP264" s="12" t="n"/>
      <c r="AQ264" s="12">
        <f>IF(LEFT(B264,4)&lt;&gt;"    ","",IF(W264-AP264&gt;=0,W264-AP264," "))</f>
        <v/>
      </c>
      <c r="AR264" s="12">
        <f>IF(LEFT(B264,4)&lt;&gt;"    ","",IF(AP264-W264&gt;=0,AP264-W264," "))</f>
        <v/>
      </c>
      <c r="AS264" s="186" t="n"/>
      <c r="AT264" s="187" t="n"/>
      <c r="AU264" s="186" t="n"/>
      <c r="AV264" s="186" t="n"/>
      <c r="AW264" s="188" t="n"/>
      <c r="AX264" s="187" t="n"/>
      <c r="AY264" s="187" t="n"/>
      <c r="AZ264" s="186" t="n"/>
      <c r="BA264" s="186" t="n"/>
      <c r="BB264" s="186" t="n"/>
      <c r="BC264" s="186" t="n"/>
      <c r="BD264" s="186" t="n"/>
      <c r="BE264" s="186" t="n"/>
      <c r="BF264" s="186" t="n"/>
      <c r="BG264" s="186" t="n"/>
      <c r="BH264" s="186" t="n"/>
      <c r="BI264" s="186" t="n"/>
      <c r="BJ264" s="186" t="n"/>
      <c r="BK264" s="186" t="n"/>
      <c r="BL264" s="186" t="n"/>
      <c r="BM264" s="186" t="n"/>
      <c r="BN264" s="186" t="n"/>
      <c r="BO264" s="186" t="n"/>
      <c r="BP264" s="186" t="n"/>
      <c r="BQ264" s="186" t="n"/>
      <c r="BR264" s="186" t="n"/>
      <c r="BS264" s="186" t="n"/>
      <c r="BT264" s="186" t="n"/>
      <c r="BU264" s="186" t="n"/>
      <c r="BV264" s="190" t="n"/>
      <c r="BW264" s="186" t="n"/>
      <c r="BX264" s="186" t="n"/>
      <c r="BY264" s="186" t="n"/>
      <c r="BZ264" s="186" t="n"/>
      <c r="CA264" s="186" t="n"/>
      <c r="CB264" s="187" t="n"/>
      <c r="CC264" s="192" t="n"/>
      <c r="CD264" s="192" t="n"/>
      <c r="CE264" s="192" t="n"/>
      <c r="CF264" s="192" t="n"/>
    </row>
    <row r="265">
      <c r="A265" s="197" t="n"/>
      <c r="B265" s="198" t="n"/>
      <c r="C265" s="198" t="n"/>
      <c r="D265" s="179" t="n"/>
      <c r="E265" s="180" t="n"/>
      <c r="F265" s="181" t="n"/>
      <c r="G265" s="284">
        <f>'Jobs-Ops'!G265</f>
        <v/>
      </c>
      <c r="H265" s="114">
        <f>'Jobs-Ops'!H265</f>
        <v/>
      </c>
      <c r="I265" s="105" t="n"/>
      <c r="J265" s="183">
        <f>F265</f>
        <v/>
      </c>
      <c r="K265" s="184" t="n"/>
      <c r="L265" s="185" t="n"/>
      <c r="M265" s="8" t="n"/>
      <c r="N265" s="184">
        <f>M265</f>
        <v/>
      </c>
      <c r="O265" s="71" t="n"/>
      <c r="P265" s="101" t="n"/>
      <c r="Q265" s="9">
        <f>J265-N265</f>
        <v/>
      </c>
      <c r="R265" s="9">
        <f>IF(LEFT(B265,4)&lt;&gt;"    ",0,BI265)</f>
        <v/>
      </c>
      <c r="S265" s="9">
        <f>+Q265-R265</f>
        <v/>
      </c>
      <c r="T265" s="200">
        <f>IF('Jobs-Ops'!S265&lt;&gt; "",'Jobs-Ops'!S265,"")</f>
        <v/>
      </c>
      <c r="U265" s="10" t="n"/>
      <c r="V265" s="23">
        <f>IF(LEFT(B265,4)&lt;&gt;"    ","",IF(N265&lt;&gt;0,X265/N265,0))</f>
        <v/>
      </c>
      <c r="W265" s="11">
        <f>IF(LEFT(B265,4)&lt;&gt;"    ","",IF(V265&gt;=0.1,V265*J265,X265))</f>
        <v/>
      </c>
      <c r="X265" s="8" t="n"/>
      <c r="Y265" s="9">
        <f>IF(LEFT(B265,4)&lt;&gt;"    ",0,IF(Q265&lt;0,Q265,IF(V265&gt;0.1,W265-X265,0)))</f>
        <v/>
      </c>
      <c r="Z265" s="9">
        <f>IF(LEFT(B265,4)&lt;&gt;"    ",0,IF(V265&gt;0.1,BI265,0))</f>
        <v/>
      </c>
      <c r="AA265" s="9">
        <f>Y265-Z265</f>
        <v/>
      </c>
      <c r="AB265" s="10" t="n"/>
      <c r="AC265" s="24" t="n"/>
      <c r="AD265" s="11" t="n"/>
      <c r="AE265" s="8" t="n"/>
      <c r="AF265" s="9">
        <f>IF(LEFT(B265,4)&lt;&gt;"    ","",AD265-AE265)</f>
        <v/>
      </c>
      <c r="AG265" s="10" t="n"/>
      <c r="AH265" s="11">
        <f>IF(LEFT(B265,4)&lt;&gt;"    ","",W265-AD265)</f>
        <v/>
      </c>
      <c r="AI265" s="8">
        <f>IF(LEFT(B265,4)&lt;&gt;"    ","",X265-AE265)</f>
        <v/>
      </c>
      <c r="AJ265" s="9">
        <f>IF(LEFT(B265,4)&lt;&gt;"    ","",Y265-AF265)</f>
        <v/>
      </c>
      <c r="AK265" s="10" t="n"/>
      <c r="AL265" s="25">
        <f>IF(LEFT(B265,4)&lt;&gt;"    ","",J265-W265)</f>
        <v/>
      </c>
      <c r="AM265" s="25">
        <f>N265-X265</f>
        <v/>
      </c>
      <c r="AN265" s="25">
        <f>IF(LEFT(B265,4)&lt;&gt;"    ","",Q265-Y265)</f>
        <v/>
      </c>
      <c r="AO265" s="10" t="n"/>
      <c r="AP265" s="12" t="n"/>
      <c r="AQ265" s="12">
        <f>IF(LEFT(B265,4)&lt;&gt;"    ","",IF(W265-AP265&gt;=0,W265-AP265," "))</f>
        <v/>
      </c>
      <c r="AR265" s="12">
        <f>IF(LEFT(B265,4)&lt;&gt;"    ","",IF(AP265-W265&gt;=0,AP265-W265," "))</f>
        <v/>
      </c>
      <c r="AS265" s="186" t="n"/>
      <c r="AT265" s="187" t="n"/>
      <c r="AU265" s="186" t="n"/>
      <c r="AV265" s="186" t="n"/>
      <c r="AW265" s="188" t="n"/>
      <c r="AX265" s="187" t="n"/>
      <c r="AY265" s="187" t="n"/>
      <c r="AZ265" s="186" t="n"/>
      <c r="BA265" s="186" t="n"/>
      <c r="BB265" s="186" t="n"/>
      <c r="BC265" s="186" t="n"/>
      <c r="BD265" s="186" t="n"/>
      <c r="BE265" s="186" t="n"/>
      <c r="BF265" s="186" t="n"/>
      <c r="BG265" s="186" t="n"/>
      <c r="BH265" s="186" t="n"/>
      <c r="BI265" s="186" t="n"/>
      <c r="BJ265" s="186" t="n"/>
      <c r="BK265" s="186" t="n"/>
      <c r="BL265" s="186" t="n"/>
      <c r="BM265" s="186" t="n"/>
      <c r="BN265" s="186" t="n"/>
      <c r="BO265" s="186" t="n"/>
      <c r="BP265" s="186" t="n"/>
      <c r="BQ265" s="186" t="n"/>
      <c r="BR265" s="186" t="n"/>
      <c r="BS265" s="186" t="n"/>
      <c r="BT265" s="186" t="n"/>
      <c r="BU265" s="186" t="n"/>
      <c r="BV265" s="190" t="n"/>
      <c r="BW265" s="186" t="n"/>
      <c r="BX265" s="186" t="n"/>
      <c r="BY265" s="186" t="n"/>
      <c r="BZ265" s="186" t="n"/>
      <c r="CA265" s="186" t="n"/>
      <c r="CB265" s="187" t="n"/>
      <c r="CC265" s="192" t="n"/>
      <c r="CD265" s="192" t="n"/>
      <c r="CE265" s="192" t="n"/>
      <c r="CF265" s="192" t="n"/>
    </row>
    <row r="266">
      <c r="A266" s="197" t="n"/>
      <c r="B266" s="198" t="n"/>
      <c r="C266" s="198" t="n"/>
      <c r="D266" s="179" t="n"/>
      <c r="E266" s="180" t="n"/>
      <c r="F266" s="181" t="n"/>
      <c r="G266" s="284">
        <f>'Jobs-Ops'!G266</f>
        <v/>
      </c>
      <c r="H266" s="114">
        <f>'Jobs-Ops'!H266</f>
        <v/>
      </c>
      <c r="I266" s="105" t="n"/>
      <c r="J266" s="183">
        <f>F266</f>
        <v/>
      </c>
      <c r="K266" s="184" t="n"/>
      <c r="L266" s="185" t="n"/>
      <c r="M266" s="8" t="n"/>
      <c r="N266" s="184">
        <f>M266</f>
        <v/>
      </c>
      <c r="O266" s="71" t="n"/>
      <c r="P266" s="101" t="n"/>
      <c r="Q266" s="9">
        <f>J266-N266</f>
        <v/>
      </c>
      <c r="R266" s="9">
        <f>IF(LEFT(B266,4)&lt;&gt;"    ",0,BI266)</f>
        <v/>
      </c>
      <c r="S266" s="9">
        <f>+Q266-R266</f>
        <v/>
      </c>
      <c r="T266" s="200">
        <f>IF('Jobs-Ops'!S266&lt;&gt; "",'Jobs-Ops'!S266,"")</f>
        <v/>
      </c>
      <c r="U266" s="10" t="n"/>
      <c r="V266" s="23">
        <f>IF(LEFT(B266,4)&lt;&gt;"    ","",IF(N266&lt;&gt;0,X266/N266,0))</f>
        <v/>
      </c>
      <c r="W266" s="11">
        <f>IF(LEFT(B266,4)&lt;&gt;"    ","",IF(V266&gt;=0.1,V266*J266,X266))</f>
        <v/>
      </c>
      <c r="X266" s="8" t="n"/>
      <c r="Y266" s="9">
        <f>IF(LEFT(B266,4)&lt;&gt;"    ",0,IF(Q266&lt;0,Q266,IF(V266&gt;0.1,W266-X266,0)))</f>
        <v/>
      </c>
      <c r="Z266" s="9">
        <f>IF(LEFT(B266,4)&lt;&gt;"    ",0,IF(V266&gt;0.1,BI266,0))</f>
        <v/>
      </c>
      <c r="AA266" s="9">
        <f>Y266-Z266</f>
        <v/>
      </c>
      <c r="AB266" s="10" t="n"/>
      <c r="AC266" s="24" t="n"/>
      <c r="AD266" s="11" t="n"/>
      <c r="AE266" s="8" t="n"/>
      <c r="AF266" s="9">
        <f>IF(LEFT(B266,4)&lt;&gt;"    ","",AD266-AE266)</f>
        <v/>
      </c>
      <c r="AG266" s="10" t="n"/>
      <c r="AH266" s="11">
        <f>IF(LEFT(B266,4)&lt;&gt;"    ","",W266-AD266)</f>
        <v/>
      </c>
      <c r="AI266" s="8">
        <f>IF(LEFT(B266,4)&lt;&gt;"    ","",X266-AE266)</f>
        <v/>
      </c>
      <c r="AJ266" s="9">
        <f>IF(LEFT(B266,4)&lt;&gt;"    ","",Y266-AF266)</f>
        <v/>
      </c>
      <c r="AK266" s="10" t="n"/>
      <c r="AL266" s="25">
        <f>IF(LEFT(B266,4)&lt;&gt;"    ","",J266-W266)</f>
        <v/>
      </c>
      <c r="AM266" s="25">
        <f>N266-X266</f>
        <v/>
      </c>
      <c r="AN266" s="25">
        <f>IF(LEFT(B266,4)&lt;&gt;"    ","",Q266-Y266)</f>
        <v/>
      </c>
      <c r="AO266" s="10" t="n"/>
      <c r="AP266" s="12" t="n"/>
      <c r="AQ266" s="12">
        <f>IF(LEFT(B266,4)&lt;&gt;"    ","",IF(W266-AP266&gt;=0,W266-AP266," "))</f>
        <v/>
      </c>
      <c r="AR266" s="12">
        <f>IF(LEFT(B266,4)&lt;&gt;"    ","",IF(AP266-W266&gt;=0,AP266-W266," "))</f>
        <v/>
      </c>
      <c r="AS266" s="186" t="n"/>
      <c r="AT266" s="187" t="n"/>
      <c r="AU266" s="186" t="n"/>
      <c r="AV266" s="186" t="n"/>
      <c r="AW266" s="188" t="n"/>
      <c r="AX266" s="187" t="n"/>
      <c r="AY266" s="187" t="n"/>
      <c r="AZ266" s="186" t="n"/>
      <c r="BA266" s="186" t="n"/>
      <c r="BB266" s="186" t="n"/>
      <c r="BC266" s="186" t="n"/>
      <c r="BD266" s="186" t="n"/>
      <c r="BE266" s="186" t="n"/>
      <c r="BF266" s="186" t="n"/>
      <c r="BG266" s="186" t="n"/>
      <c r="BH266" s="186" t="n"/>
      <c r="BI266" s="186" t="n"/>
      <c r="BJ266" s="186" t="n"/>
      <c r="BK266" s="186" t="n"/>
      <c r="BL266" s="186" t="n"/>
      <c r="BM266" s="186" t="n"/>
      <c r="BN266" s="186" t="n"/>
      <c r="BO266" s="186" t="n"/>
      <c r="BP266" s="186" t="n"/>
      <c r="BQ266" s="186" t="n"/>
      <c r="BR266" s="186" t="n"/>
      <c r="BS266" s="186" t="n"/>
      <c r="BT266" s="186" t="n"/>
      <c r="BU266" s="186" t="n"/>
      <c r="BV266" s="190" t="n"/>
      <c r="BW266" s="186" t="n"/>
      <c r="BX266" s="186" t="n"/>
      <c r="BY266" s="186" t="n"/>
      <c r="BZ266" s="186" t="n"/>
      <c r="CA266" s="186" t="n"/>
      <c r="CB266" s="187" t="n"/>
      <c r="CC266" s="192" t="n"/>
      <c r="CD266" s="192" t="n"/>
      <c r="CE266" s="192" t="n"/>
      <c r="CF266" s="192" t="n"/>
    </row>
    <row r="267">
      <c r="A267" s="197" t="n"/>
      <c r="B267" s="198" t="n"/>
      <c r="C267" s="198" t="n"/>
      <c r="D267" s="179" t="n"/>
      <c r="E267" s="180" t="n"/>
      <c r="F267" s="181" t="n"/>
      <c r="G267" s="284">
        <f>'Jobs-Ops'!G267</f>
        <v/>
      </c>
      <c r="H267" s="114">
        <f>'Jobs-Ops'!H267</f>
        <v/>
      </c>
      <c r="I267" s="105" t="n"/>
      <c r="J267" s="183">
        <f>F267</f>
        <v/>
      </c>
      <c r="K267" s="184" t="n"/>
      <c r="L267" s="185" t="n"/>
      <c r="M267" s="8" t="n"/>
      <c r="N267" s="184">
        <f>M267</f>
        <v/>
      </c>
      <c r="O267" s="71" t="n"/>
      <c r="P267" s="101" t="n"/>
      <c r="Q267" s="9">
        <f>J267-N267</f>
        <v/>
      </c>
      <c r="R267" s="9">
        <f>IF(LEFT(B267,4)&lt;&gt;"    ",0,BI267)</f>
        <v/>
      </c>
      <c r="S267" s="9">
        <f>+Q267-R267</f>
        <v/>
      </c>
      <c r="T267" s="200">
        <f>IF('Jobs-Ops'!S267&lt;&gt; "",'Jobs-Ops'!S267,"")</f>
        <v/>
      </c>
      <c r="U267" s="10" t="n"/>
      <c r="V267" s="23">
        <f>IF(LEFT(B267,4)&lt;&gt;"    ","",IF(N267&lt;&gt;0,X267/N267,0))</f>
        <v/>
      </c>
      <c r="W267" s="11">
        <f>IF(LEFT(B267,4)&lt;&gt;"    ","",IF(V267&gt;=0.1,V267*J267,X267))</f>
        <v/>
      </c>
      <c r="X267" s="8" t="n"/>
      <c r="Y267" s="9">
        <f>IF(LEFT(B267,4)&lt;&gt;"    ",0,IF(Q267&lt;0,Q267,IF(V267&gt;0.1,W267-X267,0)))</f>
        <v/>
      </c>
      <c r="Z267" s="9">
        <f>IF(LEFT(B267,4)&lt;&gt;"    ",0,IF(V267&gt;0.1,BI267,0))</f>
        <v/>
      </c>
      <c r="AA267" s="9">
        <f>Y267-Z267</f>
        <v/>
      </c>
      <c r="AB267" s="10" t="n"/>
      <c r="AC267" s="24" t="n"/>
      <c r="AD267" s="11" t="n"/>
      <c r="AE267" s="8" t="n"/>
      <c r="AF267" s="9">
        <f>IF(LEFT(B267,4)&lt;&gt;"    ","",AD267-AE267)</f>
        <v/>
      </c>
      <c r="AG267" s="10" t="n"/>
      <c r="AH267" s="11">
        <f>IF(LEFT(B267,4)&lt;&gt;"    ","",W267-AD267)</f>
        <v/>
      </c>
      <c r="AI267" s="8">
        <f>IF(LEFT(B267,4)&lt;&gt;"    ","",X267-AE267)</f>
        <v/>
      </c>
      <c r="AJ267" s="9">
        <f>IF(LEFT(B267,4)&lt;&gt;"    ","",Y267-AF267)</f>
        <v/>
      </c>
      <c r="AK267" s="10" t="n"/>
      <c r="AL267" s="25">
        <f>IF(LEFT(B267,4)&lt;&gt;"    ","",J267-W267)</f>
        <v/>
      </c>
      <c r="AM267" s="25">
        <f>N267-X267</f>
        <v/>
      </c>
      <c r="AN267" s="25">
        <f>IF(LEFT(B267,4)&lt;&gt;"    ","",Q267-Y267)</f>
        <v/>
      </c>
      <c r="AO267" s="10" t="n"/>
      <c r="AP267" s="12" t="n"/>
      <c r="AQ267" s="12">
        <f>IF(LEFT(B267,4)&lt;&gt;"    ","",IF(W267-AP267&gt;=0,W267-AP267," "))</f>
        <v/>
      </c>
      <c r="AR267" s="12">
        <f>IF(LEFT(B267,4)&lt;&gt;"    ","",IF(AP267-W267&gt;=0,AP267-W267," "))</f>
        <v/>
      </c>
      <c r="AS267" s="186" t="n"/>
      <c r="AT267" s="187" t="n"/>
      <c r="AU267" s="186" t="n"/>
      <c r="AV267" s="186" t="n"/>
      <c r="AW267" s="188" t="n"/>
      <c r="AX267" s="187" t="n"/>
      <c r="AY267" s="187" t="n"/>
      <c r="AZ267" s="186" t="n"/>
      <c r="BA267" s="186" t="n"/>
      <c r="BB267" s="186" t="n"/>
      <c r="BC267" s="186" t="n"/>
      <c r="BD267" s="186" t="n"/>
      <c r="BE267" s="186" t="n"/>
      <c r="BF267" s="186" t="n"/>
      <c r="BG267" s="186" t="n"/>
      <c r="BH267" s="186" t="n"/>
      <c r="BI267" s="186" t="n"/>
      <c r="BJ267" s="186" t="n"/>
      <c r="BK267" s="186" t="n"/>
      <c r="BL267" s="186" t="n"/>
      <c r="BM267" s="186" t="n"/>
      <c r="BN267" s="186" t="n"/>
      <c r="BO267" s="186" t="n"/>
      <c r="BP267" s="186" t="n"/>
      <c r="BQ267" s="186" t="n"/>
      <c r="BR267" s="186" t="n"/>
      <c r="BS267" s="186" t="n"/>
      <c r="BT267" s="186" t="n"/>
      <c r="BU267" s="186" t="n"/>
      <c r="BV267" s="190" t="n"/>
      <c r="BW267" s="186" t="n"/>
      <c r="BX267" s="186" t="n"/>
      <c r="BY267" s="186" t="n"/>
      <c r="BZ267" s="186" t="n"/>
      <c r="CA267" s="186" t="n"/>
      <c r="CB267" s="187" t="n"/>
      <c r="CC267" s="192" t="n"/>
      <c r="CD267" s="192" t="n"/>
      <c r="CE267" s="192" t="n"/>
      <c r="CF267" s="192" t="n"/>
    </row>
    <row r="268">
      <c r="A268" s="197" t="n"/>
      <c r="B268" s="198" t="n"/>
      <c r="C268" s="198" t="n"/>
      <c r="D268" s="179" t="n"/>
      <c r="E268" s="180" t="n"/>
      <c r="F268" s="181" t="n"/>
      <c r="G268" s="284">
        <f>'Jobs-Ops'!G268</f>
        <v/>
      </c>
      <c r="H268" s="114">
        <f>'Jobs-Ops'!H268</f>
        <v/>
      </c>
      <c r="I268" s="105" t="n"/>
      <c r="J268" s="183">
        <f>F268</f>
        <v/>
      </c>
      <c r="K268" s="184" t="n"/>
      <c r="L268" s="185" t="n"/>
      <c r="M268" s="8" t="n"/>
      <c r="N268" s="184">
        <f>M268</f>
        <v/>
      </c>
      <c r="O268" s="71" t="n"/>
      <c r="P268" s="101" t="n"/>
      <c r="Q268" s="9">
        <f>J268-N268</f>
        <v/>
      </c>
      <c r="R268" s="9">
        <f>IF(LEFT(B268,4)&lt;&gt;"    ",0,BI268)</f>
        <v/>
      </c>
      <c r="S268" s="9">
        <f>+Q268-R268</f>
        <v/>
      </c>
      <c r="T268" s="200">
        <f>IF('Jobs-Ops'!S268&lt;&gt; "",'Jobs-Ops'!S268,"")</f>
        <v/>
      </c>
      <c r="U268" s="10" t="n"/>
      <c r="V268" s="23">
        <f>IF(LEFT(B268,4)&lt;&gt;"    ","",IF(N268&lt;&gt;0,X268/N268,0))</f>
        <v/>
      </c>
      <c r="W268" s="11">
        <f>IF(LEFT(B268,4)&lt;&gt;"    ","",IF(V268&gt;=0.1,V268*J268,X268))</f>
        <v/>
      </c>
      <c r="X268" s="8" t="n"/>
      <c r="Y268" s="9">
        <f>IF(LEFT(B268,4)&lt;&gt;"    ",0,IF(Q268&lt;0,Q268,IF(V268&gt;0.1,W268-X268,0)))</f>
        <v/>
      </c>
      <c r="Z268" s="9">
        <f>IF(LEFT(B268,4)&lt;&gt;"    ",0,IF(V268&gt;0.1,BI268,0))</f>
        <v/>
      </c>
      <c r="AA268" s="9">
        <f>Y268-Z268</f>
        <v/>
      </c>
      <c r="AB268" s="10" t="n"/>
      <c r="AC268" s="24" t="n"/>
      <c r="AD268" s="11" t="n"/>
      <c r="AE268" s="8" t="n"/>
      <c r="AF268" s="9">
        <f>IF(LEFT(B268,4)&lt;&gt;"    ","",AD268-AE268)</f>
        <v/>
      </c>
      <c r="AG268" s="10" t="n"/>
      <c r="AH268" s="11">
        <f>IF(LEFT(B268,4)&lt;&gt;"    ","",W268-AD268)</f>
        <v/>
      </c>
      <c r="AI268" s="8">
        <f>IF(LEFT(B268,4)&lt;&gt;"    ","",X268-AE268)</f>
        <v/>
      </c>
      <c r="AJ268" s="9">
        <f>IF(LEFT(B268,4)&lt;&gt;"    ","",Y268-AF268)</f>
        <v/>
      </c>
      <c r="AK268" s="10" t="n"/>
      <c r="AL268" s="25">
        <f>IF(LEFT(B268,4)&lt;&gt;"    ","",J268-W268)</f>
        <v/>
      </c>
      <c r="AM268" s="25">
        <f>N268-X268</f>
        <v/>
      </c>
      <c r="AN268" s="25">
        <f>IF(LEFT(B268,4)&lt;&gt;"    ","",Q268-Y268)</f>
        <v/>
      </c>
      <c r="AO268" s="10" t="n"/>
      <c r="AP268" s="12" t="n"/>
      <c r="AQ268" s="12">
        <f>IF(LEFT(B268,4)&lt;&gt;"    ","",IF(W268-AP268&gt;=0,W268-AP268," "))</f>
        <v/>
      </c>
      <c r="AR268" s="12">
        <f>IF(LEFT(B268,4)&lt;&gt;"    ","",IF(AP268-W268&gt;=0,AP268-W268," "))</f>
        <v/>
      </c>
      <c r="AS268" s="186" t="n"/>
      <c r="AT268" s="187" t="n"/>
      <c r="AU268" s="186" t="n"/>
      <c r="AV268" s="186" t="n"/>
      <c r="AW268" s="188" t="n"/>
      <c r="AX268" s="187" t="n"/>
      <c r="AY268" s="187" t="n"/>
      <c r="AZ268" s="186" t="n"/>
      <c r="BA268" s="186" t="n"/>
      <c r="BB268" s="186" t="n"/>
      <c r="BC268" s="186" t="n"/>
      <c r="BD268" s="186" t="n"/>
      <c r="BE268" s="186" t="n"/>
      <c r="BF268" s="186" t="n"/>
      <c r="BG268" s="186" t="n"/>
      <c r="BH268" s="186" t="n"/>
      <c r="BI268" s="186" t="n"/>
      <c r="BJ268" s="186" t="n"/>
      <c r="BK268" s="186" t="n"/>
      <c r="BL268" s="186" t="n"/>
      <c r="BM268" s="186" t="n"/>
      <c r="BN268" s="186" t="n"/>
      <c r="BO268" s="186" t="n"/>
      <c r="BP268" s="186" t="n"/>
      <c r="BQ268" s="186" t="n"/>
      <c r="BR268" s="186" t="n"/>
      <c r="BS268" s="186" t="n"/>
      <c r="BT268" s="186" t="n"/>
      <c r="BU268" s="186" t="n"/>
      <c r="BV268" s="190" t="n"/>
      <c r="BW268" s="186" t="n"/>
      <c r="BX268" s="186" t="n"/>
      <c r="BY268" s="186" t="n"/>
      <c r="BZ268" s="186" t="n"/>
      <c r="CA268" s="186" t="n"/>
      <c r="CB268" s="187" t="n"/>
      <c r="CC268" s="192" t="n"/>
      <c r="CD268" s="192" t="n"/>
      <c r="CE268" s="192" t="n"/>
      <c r="CF268" s="192" t="n"/>
    </row>
    <row r="269">
      <c r="A269" s="197" t="n"/>
      <c r="B269" s="198" t="n"/>
      <c r="C269" s="198" t="n"/>
      <c r="D269" s="179" t="n"/>
      <c r="E269" s="180" t="n"/>
      <c r="F269" s="181" t="n"/>
      <c r="G269" s="284">
        <f>'Jobs-Ops'!G269</f>
        <v/>
      </c>
      <c r="H269" s="114">
        <f>'Jobs-Ops'!H269</f>
        <v/>
      </c>
      <c r="I269" s="105" t="n"/>
      <c r="J269" s="183">
        <f>F269</f>
        <v/>
      </c>
      <c r="K269" s="184" t="n"/>
      <c r="L269" s="185" t="n"/>
      <c r="M269" s="8" t="n"/>
      <c r="N269" s="184">
        <f>M269</f>
        <v/>
      </c>
      <c r="O269" s="71" t="n"/>
      <c r="P269" s="101" t="n"/>
      <c r="Q269" s="9">
        <f>J269-N269</f>
        <v/>
      </c>
      <c r="R269" s="9">
        <f>IF(LEFT(B269,4)&lt;&gt;"    ",0,BI269)</f>
        <v/>
      </c>
      <c r="S269" s="9">
        <f>+Q269-R269</f>
        <v/>
      </c>
      <c r="T269" s="200">
        <f>IF('Jobs-Ops'!S269&lt;&gt; "",'Jobs-Ops'!S269,"")</f>
        <v/>
      </c>
      <c r="U269" s="10" t="n"/>
      <c r="V269" s="23">
        <f>IF(LEFT(B269,4)&lt;&gt;"    ","",IF(N269&lt;&gt;0,X269/N269,0))</f>
        <v/>
      </c>
      <c r="W269" s="11">
        <f>IF(LEFT(B269,4)&lt;&gt;"    ","",IF(V269&gt;=0.1,V269*J269,X269))</f>
        <v/>
      </c>
      <c r="X269" s="8" t="n"/>
      <c r="Y269" s="9">
        <f>IF(LEFT(B269,4)&lt;&gt;"    ",0,IF(Q269&lt;0,Q269,IF(V269&gt;0.1,W269-X269,0)))</f>
        <v/>
      </c>
      <c r="Z269" s="9">
        <f>IF(LEFT(B269,4)&lt;&gt;"    ",0,IF(V269&gt;0.1,BI269,0))</f>
        <v/>
      </c>
      <c r="AA269" s="9">
        <f>Y269-Z269</f>
        <v/>
      </c>
      <c r="AB269" s="10" t="n"/>
      <c r="AC269" s="24" t="n"/>
      <c r="AD269" s="11" t="n"/>
      <c r="AE269" s="8" t="n"/>
      <c r="AF269" s="9">
        <f>IF(LEFT(B269,4)&lt;&gt;"    ","",AD269-AE269)</f>
        <v/>
      </c>
      <c r="AG269" s="10" t="n"/>
      <c r="AH269" s="11">
        <f>IF(LEFT(B269,4)&lt;&gt;"    ","",W269-AD269)</f>
        <v/>
      </c>
      <c r="AI269" s="8">
        <f>IF(LEFT(B269,4)&lt;&gt;"    ","",X269-AE269)</f>
        <v/>
      </c>
      <c r="AJ269" s="9">
        <f>IF(LEFT(B269,4)&lt;&gt;"    ","",Y269-AF269)</f>
        <v/>
      </c>
      <c r="AK269" s="10" t="n"/>
      <c r="AL269" s="25">
        <f>IF(LEFT(B269,4)&lt;&gt;"    ","",J269-W269)</f>
        <v/>
      </c>
      <c r="AM269" s="25">
        <f>N269-X269</f>
        <v/>
      </c>
      <c r="AN269" s="25">
        <f>IF(LEFT(B269,4)&lt;&gt;"    ","",Q269-Y269)</f>
        <v/>
      </c>
      <c r="AO269" s="10" t="n"/>
      <c r="AP269" s="12" t="n"/>
      <c r="AQ269" s="12">
        <f>IF(LEFT(B269,4)&lt;&gt;"    ","",IF(W269-AP269&gt;=0,W269-AP269," "))</f>
        <v/>
      </c>
      <c r="AR269" s="12">
        <f>IF(LEFT(B269,4)&lt;&gt;"    ","",IF(AP269-W269&gt;=0,AP269-W269," "))</f>
        <v/>
      </c>
      <c r="AS269" s="186" t="n"/>
      <c r="AT269" s="187" t="n"/>
      <c r="AU269" s="186" t="n"/>
      <c r="AV269" s="186" t="n"/>
      <c r="AW269" s="188" t="n"/>
      <c r="AX269" s="187" t="n"/>
      <c r="AY269" s="187" t="n"/>
      <c r="AZ269" s="186" t="n"/>
      <c r="BA269" s="186" t="n"/>
      <c r="BB269" s="186" t="n"/>
      <c r="BC269" s="186" t="n"/>
      <c r="BD269" s="186" t="n"/>
      <c r="BE269" s="186" t="n"/>
      <c r="BF269" s="186" t="n"/>
      <c r="BG269" s="186" t="n"/>
      <c r="BH269" s="186" t="n"/>
      <c r="BI269" s="186" t="n"/>
      <c r="BJ269" s="186" t="n"/>
      <c r="BK269" s="186" t="n"/>
      <c r="BL269" s="186" t="n"/>
      <c r="BM269" s="186" t="n"/>
      <c r="BN269" s="186" t="n"/>
      <c r="BO269" s="186" t="n"/>
      <c r="BP269" s="186" t="n"/>
      <c r="BQ269" s="186" t="n"/>
      <c r="BR269" s="186" t="n"/>
      <c r="BS269" s="186" t="n"/>
      <c r="BT269" s="186" t="n"/>
      <c r="BU269" s="186" t="n"/>
      <c r="BV269" s="190" t="n"/>
      <c r="BW269" s="186" t="n"/>
      <c r="BX269" s="186" t="n"/>
      <c r="BY269" s="186" t="n"/>
      <c r="BZ269" s="186" t="n"/>
      <c r="CA269" s="186" t="n"/>
      <c r="CB269" s="187" t="n"/>
      <c r="CC269" s="192" t="n"/>
      <c r="CD269" s="192" t="n"/>
      <c r="CE269" s="192" t="n"/>
      <c r="CF269" s="192" t="n"/>
    </row>
    <row r="270">
      <c r="A270" s="197" t="n"/>
      <c r="B270" s="198" t="n"/>
      <c r="C270" s="198" t="n"/>
      <c r="D270" s="179" t="n"/>
      <c r="E270" s="180" t="n"/>
      <c r="F270" s="181" t="n"/>
      <c r="G270" s="284">
        <f>'Jobs-Ops'!G270</f>
        <v/>
      </c>
      <c r="H270" s="114">
        <f>'Jobs-Ops'!H270</f>
        <v/>
      </c>
      <c r="I270" s="105" t="n"/>
      <c r="J270" s="183">
        <f>F270</f>
        <v/>
      </c>
      <c r="K270" s="184" t="n"/>
      <c r="L270" s="185" t="n"/>
      <c r="M270" s="8" t="n"/>
      <c r="N270" s="184">
        <f>M270</f>
        <v/>
      </c>
      <c r="O270" s="184" t="n"/>
      <c r="P270" s="185" t="n"/>
      <c r="Q270" s="9">
        <f>J270-N270</f>
        <v/>
      </c>
      <c r="R270" s="9">
        <f>IF(LEFT(B270,4)&lt;&gt;"    ",0,BI270)</f>
        <v/>
      </c>
      <c r="S270" s="9">
        <f>+Q270-R270</f>
        <v/>
      </c>
      <c r="T270" s="200">
        <f>IF('Jobs-Ops'!S270&lt;&gt; "",'Jobs-Ops'!S270,"")</f>
        <v/>
      </c>
      <c r="U270" s="10" t="n"/>
      <c r="V270" s="23">
        <f>IF(LEFT(B270,4)&lt;&gt;"    ","",IF(N270&lt;&gt;0,X270/N270,0))</f>
        <v/>
      </c>
      <c r="W270" s="11">
        <f>IF(LEFT(B270,4)&lt;&gt;"    ","",IF(V270&gt;=0.1,V270*J270,X270))</f>
        <v/>
      </c>
      <c r="X270" s="8" t="n"/>
      <c r="Y270" s="9">
        <f>IF(LEFT(B270,4)&lt;&gt;"    ",0,IF(Q270&lt;0,Q270,IF(V270&gt;0.1,W270-X270,0)))</f>
        <v/>
      </c>
      <c r="Z270" s="9">
        <f>IF(LEFT(B270,4)&lt;&gt;"    ",0,IF(V270&gt;0.1,BI270,0))</f>
        <v/>
      </c>
      <c r="AA270" s="9">
        <f>Y270-Z270</f>
        <v/>
      </c>
      <c r="AB270" s="10" t="n"/>
      <c r="AC270" s="24" t="n"/>
      <c r="AD270" s="11" t="n"/>
      <c r="AE270" s="8" t="n"/>
      <c r="AF270" s="9">
        <f>IF(LEFT(B270,4)&lt;&gt;"    ","",AD270-AE270)</f>
        <v/>
      </c>
      <c r="AG270" s="10" t="n"/>
      <c r="AH270" s="11">
        <f>IF(LEFT(B270,4)&lt;&gt;"    ","",W270-AD270)</f>
        <v/>
      </c>
      <c r="AI270" s="8">
        <f>IF(LEFT(B270,4)&lt;&gt;"    ","",X270-AE270)</f>
        <v/>
      </c>
      <c r="AJ270" s="9">
        <f>IF(LEFT(B270,4)&lt;&gt;"    ","",Y270-AF270)</f>
        <v/>
      </c>
      <c r="AK270" s="10" t="n"/>
      <c r="AL270" s="25">
        <f>IF(LEFT(B270,4)&lt;&gt;"    ","",J270-W270)</f>
        <v/>
      </c>
      <c r="AM270" s="25">
        <f>N270-X270</f>
        <v/>
      </c>
      <c r="AN270" s="25">
        <f>IF(LEFT(B270,4)&lt;&gt;"    ","",Q270-Y270)</f>
        <v/>
      </c>
      <c r="AO270" s="10" t="n"/>
      <c r="AP270" s="12" t="n"/>
      <c r="AQ270" s="12">
        <f>IF(LEFT(B270,4)&lt;&gt;"    ","",IF(W270-AP270&gt;=0,W270-AP270," "))</f>
        <v/>
      </c>
      <c r="AR270" s="12">
        <f>IF(LEFT(B270,4)&lt;&gt;"    ","",IF(AP270-W270&gt;=0,AP270-W270," "))</f>
        <v/>
      </c>
      <c r="AS270" s="186" t="n"/>
      <c r="AT270" s="187" t="n"/>
      <c r="AU270" s="186" t="n"/>
      <c r="AV270" s="186" t="n"/>
      <c r="AW270" s="188" t="n"/>
      <c r="AX270" s="187" t="n"/>
      <c r="AY270" s="187" t="n"/>
      <c r="AZ270" s="186" t="n"/>
      <c r="BA270" s="186" t="n"/>
      <c r="BB270" s="186" t="n"/>
      <c r="BC270" s="186" t="n"/>
      <c r="BD270" s="186" t="n"/>
      <c r="BE270" s="186" t="n"/>
      <c r="BF270" s="186" t="n"/>
      <c r="BG270" s="186" t="n"/>
      <c r="BH270" s="186" t="n"/>
      <c r="BI270" s="186" t="n"/>
      <c r="BJ270" s="186" t="n"/>
      <c r="BK270" s="186" t="n"/>
      <c r="BL270" s="186" t="n"/>
      <c r="BM270" s="186" t="n"/>
      <c r="BN270" s="186" t="n"/>
      <c r="BO270" s="186" t="n"/>
      <c r="BP270" s="186" t="n"/>
      <c r="BQ270" s="186" t="n"/>
      <c r="BR270" s="186" t="n"/>
      <c r="BS270" s="186" t="n"/>
      <c r="BT270" s="186" t="n"/>
      <c r="BU270" s="186" t="n"/>
      <c r="BV270" s="190" t="n"/>
      <c r="BW270" s="186" t="n"/>
      <c r="BX270" s="186" t="n"/>
      <c r="BY270" s="186" t="n"/>
      <c r="BZ270" s="186" t="n"/>
      <c r="CA270" s="186" t="n"/>
      <c r="CB270" s="187" t="n"/>
      <c r="CC270" s="192" t="n"/>
      <c r="CD270" s="192" t="n"/>
      <c r="CE270" s="192" t="n"/>
      <c r="CF270" s="192" t="n"/>
    </row>
    <row r="271">
      <c r="A271" s="197" t="n"/>
      <c r="B271" s="198" t="n"/>
      <c r="C271" s="198" t="n"/>
      <c r="D271" s="179" t="n"/>
      <c r="E271" s="180" t="n"/>
      <c r="F271" s="181" t="n"/>
      <c r="G271" s="284">
        <f>'Jobs-Ops'!G271</f>
        <v/>
      </c>
      <c r="H271" s="114">
        <f>'Jobs-Ops'!H271</f>
        <v/>
      </c>
      <c r="I271" s="105" t="n"/>
      <c r="J271" s="183">
        <f>F271</f>
        <v/>
      </c>
      <c r="K271" s="184" t="n"/>
      <c r="L271" s="185" t="n"/>
      <c r="M271" s="8" t="n"/>
      <c r="N271" s="71">
        <f>M271</f>
        <v/>
      </c>
      <c r="O271" s="71" t="n"/>
      <c r="P271" s="101" t="n"/>
      <c r="Q271" s="9">
        <f>J271-N271</f>
        <v/>
      </c>
      <c r="R271" s="9">
        <f>IF(LEFT(B271,4)&lt;&gt;"    ",0,BI271)</f>
        <v/>
      </c>
      <c r="S271" s="9">
        <f>+Q271-R271</f>
        <v/>
      </c>
      <c r="T271" s="200">
        <f>IF('Jobs-Ops'!S271&lt;&gt; "",'Jobs-Ops'!S271,"")</f>
        <v/>
      </c>
      <c r="U271" s="10" t="n"/>
      <c r="V271" s="23">
        <f>IF(LEFT(B271,4)&lt;&gt;"    ","",IF(N271&lt;&gt;0,X271/N271,0))</f>
        <v/>
      </c>
      <c r="W271" s="11">
        <f>IF(LEFT(B271,4)&lt;&gt;"    ","",IF(V271&gt;=0.1,V271*J271,X271))</f>
        <v/>
      </c>
      <c r="X271" s="8" t="n"/>
      <c r="Y271" s="9">
        <f>IF(LEFT(B271,4)&lt;&gt;"    ",0,IF(Q271&lt;0,Q271,IF(V271&gt;0.1,W271-X271,0)))</f>
        <v/>
      </c>
      <c r="Z271" s="9">
        <f>IF(LEFT(B271,4)&lt;&gt;"    ",0,IF(V271&gt;0.1,BI271,0))</f>
        <v/>
      </c>
      <c r="AA271" s="9">
        <f>Y271-Z271</f>
        <v/>
      </c>
      <c r="AB271" s="10" t="n"/>
      <c r="AC271" s="24" t="n"/>
      <c r="AD271" s="11" t="n"/>
      <c r="AE271" s="8" t="n"/>
      <c r="AF271" s="9">
        <f>IF(LEFT(B271,4)&lt;&gt;"    ","",AD271-AE271)</f>
        <v/>
      </c>
      <c r="AG271" s="10" t="n"/>
      <c r="AH271" s="11">
        <f>IF(LEFT(B271,4)&lt;&gt;"    ","",W271-AD271)</f>
        <v/>
      </c>
      <c r="AI271" s="8">
        <f>IF(LEFT(B271,4)&lt;&gt;"    ","",X271-AE271)</f>
        <v/>
      </c>
      <c r="AJ271" s="9">
        <f>IF(LEFT(B271,4)&lt;&gt;"    ","",Y271-AF271)</f>
        <v/>
      </c>
      <c r="AK271" s="10" t="n"/>
      <c r="AL271" s="25">
        <f>IF(LEFT(B271,4)&lt;&gt;"    ","",J271-W271)</f>
        <v/>
      </c>
      <c r="AM271" s="25">
        <f>N271-X271</f>
        <v/>
      </c>
      <c r="AN271" s="25">
        <f>IF(LEFT(B271,4)&lt;&gt;"    ","",Q271-Y271)</f>
        <v/>
      </c>
      <c r="AO271" s="10" t="n"/>
      <c r="AP271" s="12" t="n"/>
      <c r="AQ271" s="12">
        <f>IF(LEFT(B271,4)&lt;&gt;"    ","",IF(W271-AP271&gt;=0,W271-AP271," "))</f>
        <v/>
      </c>
      <c r="AR271" s="12">
        <f>IF(LEFT(B271,4)&lt;&gt;"    ","",IF(AP271-W271&gt;=0,AP271-W271," "))</f>
        <v/>
      </c>
      <c r="AS271" s="186" t="n"/>
      <c r="AT271" s="187" t="n"/>
      <c r="AU271" s="186" t="n"/>
      <c r="AV271" s="186" t="n"/>
      <c r="AW271" s="188" t="n"/>
      <c r="AX271" s="187" t="n"/>
      <c r="AY271" s="187" t="n"/>
      <c r="AZ271" s="186" t="n"/>
      <c r="BA271" s="186" t="n"/>
      <c r="BB271" s="186" t="n"/>
      <c r="BC271" s="186" t="n"/>
      <c r="BD271" s="186" t="n"/>
      <c r="BE271" s="186" t="n"/>
      <c r="BF271" s="186" t="n"/>
      <c r="BG271" s="186" t="n"/>
      <c r="BH271" s="186" t="n"/>
      <c r="BI271" s="186" t="n"/>
      <c r="BJ271" s="186" t="n"/>
      <c r="BK271" s="186" t="n"/>
      <c r="BL271" s="186" t="n"/>
      <c r="BM271" s="186" t="n"/>
      <c r="BN271" s="186" t="n"/>
      <c r="BO271" s="186" t="n"/>
      <c r="BP271" s="186" t="n"/>
      <c r="BQ271" s="186" t="n"/>
      <c r="BR271" s="186" t="n"/>
      <c r="BS271" s="186" t="n"/>
      <c r="BT271" s="186" t="n"/>
      <c r="BU271" s="186" t="n"/>
      <c r="BV271" s="190" t="n"/>
      <c r="BW271" s="186" t="n"/>
      <c r="BX271" s="186" t="n"/>
      <c r="BY271" s="186" t="n"/>
      <c r="BZ271" s="186" t="n"/>
      <c r="CA271" s="186" t="n"/>
      <c r="CB271" s="187" t="n"/>
      <c r="CC271" s="192" t="n"/>
      <c r="CD271" s="192" t="n"/>
      <c r="CE271" s="192" t="n"/>
      <c r="CF271" s="192" t="n"/>
    </row>
    <row r="272">
      <c r="A272" s="197" t="n"/>
      <c r="B272" s="198" t="n"/>
      <c r="C272" s="198" t="n"/>
      <c r="D272" s="179" t="n"/>
      <c r="E272" s="180" t="n"/>
      <c r="F272" s="181" t="n"/>
      <c r="G272" s="284">
        <f>'Jobs-Ops'!G272</f>
        <v/>
      </c>
      <c r="H272" s="114">
        <f>'Jobs-Ops'!H272</f>
        <v/>
      </c>
      <c r="I272" s="105" t="n"/>
      <c r="J272" s="183">
        <f>F272</f>
        <v/>
      </c>
      <c r="K272" s="184" t="n"/>
      <c r="L272" s="185" t="n"/>
      <c r="M272" s="8" t="n"/>
      <c r="N272" s="71">
        <f>M272</f>
        <v/>
      </c>
      <c r="O272" s="71" t="n"/>
      <c r="P272" s="101" t="n"/>
      <c r="Q272" s="9">
        <f>J272-N272</f>
        <v/>
      </c>
      <c r="R272" s="9">
        <f>IF(LEFT(B272,4)&lt;&gt;"    ",0,BI272)</f>
        <v/>
      </c>
      <c r="S272" s="9">
        <f>+Q272-R272</f>
        <v/>
      </c>
      <c r="T272" s="200">
        <f>IF('Jobs-Ops'!S272&lt;&gt; "",'Jobs-Ops'!S272,"")</f>
        <v/>
      </c>
      <c r="U272" s="10" t="n"/>
      <c r="V272" s="23">
        <f>IF(LEFT(B272,4)&lt;&gt;"    ","",IF(N272&lt;&gt;0,X272/N272,0))</f>
        <v/>
      </c>
      <c r="W272" s="11">
        <f>IF(LEFT(B272,4)&lt;&gt;"    ","",IF(V272&gt;=0.1,V272*J272,X272))</f>
        <v/>
      </c>
      <c r="X272" s="8" t="n"/>
      <c r="Y272" s="9">
        <f>IF(LEFT(B272,4)&lt;&gt;"    ",0,IF(Q272&lt;0,Q272,IF(V272&gt;0.1,W272-X272,0)))</f>
        <v/>
      </c>
      <c r="Z272" s="9">
        <f>IF(LEFT(B272,4)&lt;&gt;"    ",0,IF(V272&gt;0.1,BI272,0))</f>
        <v/>
      </c>
      <c r="AA272" s="9">
        <f>Y272-Z272</f>
        <v/>
      </c>
      <c r="AB272" s="10" t="n"/>
      <c r="AC272" s="24" t="n"/>
      <c r="AD272" s="11" t="n"/>
      <c r="AE272" s="8" t="n"/>
      <c r="AF272" s="9">
        <f>IF(LEFT(B272,4)&lt;&gt;"    ","",AD272-AE272)</f>
        <v/>
      </c>
      <c r="AG272" s="10" t="n"/>
      <c r="AH272" s="11">
        <f>IF(LEFT(B272,4)&lt;&gt;"    ","",W272-AD272)</f>
        <v/>
      </c>
      <c r="AI272" s="8">
        <f>IF(LEFT(B272,4)&lt;&gt;"    ","",X272-AE272)</f>
        <v/>
      </c>
      <c r="AJ272" s="9">
        <f>IF(LEFT(B272,4)&lt;&gt;"    ","",Y272-AF272)</f>
        <v/>
      </c>
      <c r="AK272" s="10" t="n"/>
      <c r="AL272" s="25">
        <f>IF(LEFT(B272,4)&lt;&gt;"    ","",J272-W272)</f>
        <v/>
      </c>
      <c r="AM272" s="25">
        <f>N272-X272</f>
        <v/>
      </c>
      <c r="AN272" s="25">
        <f>IF(LEFT(B272,4)&lt;&gt;"    ","",Q272-Y272)</f>
        <v/>
      </c>
      <c r="AO272" s="10" t="n"/>
      <c r="AP272" s="12" t="n"/>
      <c r="AQ272" s="12">
        <f>IF(LEFT(B272,4)&lt;&gt;"    ","",IF(W272-AP272&gt;=0,W272-AP272," "))</f>
        <v/>
      </c>
      <c r="AR272" s="12">
        <f>IF(LEFT(B272,4)&lt;&gt;"    ","",IF(AP272-W272&gt;=0,AP272-W272," "))</f>
        <v/>
      </c>
      <c r="AS272" s="186" t="n"/>
      <c r="AT272" s="187" t="n"/>
      <c r="AU272" s="186" t="n"/>
      <c r="AV272" s="186" t="n"/>
      <c r="AW272" s="188" t="n"/>
      <c r="AX272" s="187" t="n"/>
      <c r="AY272" s="187" t="n"/>
      <c r="AZ272" s="186" t="n"/>
      <c r="BA272" s="186" t="n"/>
      <c r="BB272" s="186" t="n"/>
      <c r="BC272" s="186" t="n"/>
      <c r="BD272" s="186" t="n"/>
      <c r="BE272" s="186" t="n"/>
      <c r="BF272" s="186" t="n"/>
      <c r="BG272" s="186" t="n"/>
      <c r="BH272" s="186" t="n"/>
      <c r="BI272" s="186" t="n"/>
      <c r="BJ272" s="186" t="n"/>
      <c r="BK272" s="186" t="n"/>
      <c r="BL272" s="186" t="n"/>
      <c r="BM272" s="186" t="n"/>
      <c r="BN272" s="186" t="n"/>
      <c r="BO272" s="186" t="n"/>
      <c r="BP272" s="186" t="n"/>
      <c r="BQ272" s="186" t="n"/>
      <c r="BR272" s="186" t="n"/>
      <c r="BS272" s="186" t="n"/>
      <c r="BT272" s="186" t="n"/>
      <c r="BU272" s="186" t="n"/>
      <c r="BV272" s="190" t="n"/>
      <c r="BW272" s="186" t="n"/>
      <c r="BX272" s="186" t="n"/>
      <c r="BY272" s="186" t="n"/>
      <c r="BZ272" s="186" t="n"/>
      <c r="CA272" s="186" t="n"/>
      <c r="CB272" s="187" t="n"/>
      <c r="CC272" s="192" t="n"/>
      <c r="CD272" s="192" t="n"/>
      <c r="CE272" s="192" t="n"/>
      <c r="CF272" s="192" t="n"/>
    </row>
    <row r="273">
      <c r="A273" s="197" t="n"/>
      <c r="B273" s="198" t="n"/>
      <c r="C273" s="198" t="n"/>
      <c r="D273" s="179" t="n"/>
      <c r="E273" s="180" t="n"/>
      <c r="F273" s="181" t="n"/>
      <c r="G273" s="284">
        <f>'Jobs-Ops'!G273</f>
        <v/>
      </c>
      <c r="H273" s="114">
        <f>'Jobs-Ops'!H273</f>
        <v/>
      </c>
      <c r="I273" s="105" t="n"/>
      <c r="J273" s="183">
        <f>F273</f>
        <v/>
      </c>
      <c r="K273" s="184" t="n"/>
      <c r="L273" s="185" t="n"/>
      <c r="M273" s="8" t="n"/>
      <c r="N273" s="71">
        <f>M273</f>
        <v/>
      </c>
      <c r="O273" s="71" t="n"/>
      <c r="P273" s="101" t="n"/>
      <c r="Q273" s="9">
        <f>J273-N273</f>
        <v/>
      </c>
      <c r="R273" s="9">
        <f>IF(LEFT(B273,4)&lt;&gt;"    ",0,BI273)</f>
        <v/>
      </c>
      <c r="S273" s="9">
        <f>+Q273-R273</f>
        <v/>
      </c>
      <c r="T273" s="200">
        <f>IF('Jobs-Ops'!S273&lt;&gt; "",'Jobs-Ops'!S273,"")</f>
        <v/>
      </c>
      <c r="U273" s="10" t="n"/>
      <c r="V273" s="23">
        <f>IF(LEFT(B273,4)&lt;&gt;"    ","",IF(N273&lt;&gt;0,X273/N273,0))</f>
        <v/>
      </c>
      <c r="W273" s="11">
        <f>IF(LEFT(B273,4)&lt;&gt;"    ","",IF(V273&gt;=0.1,V273*J273,X273))</f>
        <v/>
      </c>
      <c r="X273" s="8" t="n"/>
      <c r="Y273" s="9">
        <f>IF(LEFT(B273,4)&lt;&gt;"    ",0,IF(Q273&lt;0,Q273,IF(V273&gt;0.1,W273-X273,0)))</f>
        <v/>
      </c>
      <c r="Z273" s="9">
        <f>IF(LEFT(B273,4)&lt;&gt;"    ",0,IF(V273&gt;0.1,BI273,0))</f>
        <v/>
      </c>
      <c r="AA273" s="9">
        <f>Y273-Z273</f>
        <v/>
      </c>
      <c r="AB273" s="10" t="n"/>
      <c r="AC273" s="24" t="n"/>
      <c r="AD273" s="11" t="n"/>
      <c r="AE273" s="8" t="n"/>
      <c r="AF273" s="9">
        <f>IF(LEFT(B273,4)&lt;&gt;"    ","",AD273-AE273)</f>
        <v/>
      </c>
      <c r="AG273" s="10" t="n"/>
      <c r="AH273" s="11">
        <f>IF(LEFT(B273,4)&lt;&gt;"    ","",W273-AD273)</f>
        <v/>
      </c>
      <c r="AI273" s="8">
        <f>IF(LEFT(B273,4)&lt;&gt;"    ","",X273-AE273)</f>
        <v/>
      </c>
      <c r="AJ273" s="9">
        <f>IF(LEFT(B273,4)&lt;&gt;"    ","",Y273-AF273)</f>
        <v/>
      </c>
      <c r="AK273" s="10" t="n"/>
      <c r="AL273" s="25">
        <f>IF(LEFT(B273,4)&lt;&gt;"    ","",J273-W273)</f>
        <v/>
      </c>
      <c r="AM273" s="25">
        <f>N273-X273</f>
        <v/>
      </c>
      <c r="AN273" s="25">
        <f>IF(LEFT(B273,4)&lt;&gt;"    ","",Q273-Y273)</f>
        <v/>
      </c>
      <c r="AO273" s="10" t="n"/>
      <c r="AP273" s="12" t="n"/>
      <c r="AQ273" s="12">
        <f>IF(LEFT(B273,4)&lt;&gt;"    ","",IF(W273-AP273&gt;=0,W273-AP273," "))</f>
        <v/>
      </c>
      <c r="AR273" s="12">
        <f>IF(LEFT(B273,4)&lt;&gt;"    ","",IF(AP273-W273&gt;=0,AP273-W273," "))</f>
        <v/>
      </c>
      <c r="AS273" s="186" t="n"/>
      <c r="AT273" s="187" t="n"/>
      <c r="AU273" s="186" t="n"/>
      <c r="AV273" s="186" t="n"/>
      <c r="AW273" s="188" t="n"/>
      <c r="AX273" s="187" t="n"/>
      <c r="AY273" s="187" t="n"/>
      <c r="AZ273" s="186" t="n"/>
      <c r="BA273" s="186" t="n"/>
      <c r="BB273" s="186" t="n"/>
      <c r="BC273" s="186" t="n"/>
      <c r="BD273" s="186" t="n"/>
      <c r="BE273" s="186" t="n"/>
      <c r="BF273" s="186" t="n"/>
      <c r="BG273" s="186" t="n"/>
      <c r="BH273" s="186" t="n"/>
      <c r="BI273" s="186" t="n"/>
      <c r="BJ273" s="186" t="n"/>
      <c r="BK273" s="186" t="n"/>
      <c r="BL273" s="186" t="n"/>
      <c r="BM273" s="186" t="n"/>
      <c r="BN273" s="186" t="n"/>
      <c r="BO273" s="186" t="n"/>
      <c r="BP273" s="186" t="n"/>
      <c r="BQ273" s="186" t="n"/>
      <c r="BR273" s="186" t="n"/>
      <c r="BS273" s="186" t="n"/>
      <c r="BT273" s="186" t="n"/>
      <c r="BU273" s="186" t="n"/>
      <c r="BV273" s="190" t="n"/>
      <c r="BW273" s="186" t="n"/>
      <c r="BX273" s="186" t="n"/>
      <c r="BY273" s="186" t="n"/>
      <c r="BZ273" s="186" t="n"/>
      <c r="CA273" s="186" t="n"/>
      <c r="CB273" s="187" t="n"/>
      <c r="CC273" s="192" t="n"/>
      <c r="CD273" s="192" t="n"/>
      <c r="CE273" s="192" t="n"/>
      <c r="CF273" s="192" t="n"/>
    </row>
    <row r="274">
      <c r="A274" s="197" t="n"/>
      <c r="B274" s="198" t="n"/>
      <c r="C274" s="198" t="n"/>
      <c r="D274" s="179" t="n"/>
      <c r="E274" s="180" t="n"/>
      <c r="F274" s="181" t="n"/>
      <c r="G274" s="284">
        <f>'Jobs-Ops'!G274</f>
        <v/>
      </c>
      <c r="H274" s="114">
        <f>'Jobs-Ops'!H274</f>
        <v/>
      </c>
      <c r="I274" s="105" t="n"/>
      <c r="J274" s="183">
        <f>F274</f>
        <v/>
      </c>
      <c r="K274" s="184" t="n"/>
      <c r="L274" s="185" t="n"/>
      <c r="M274" s="8" t="n"/>
      <c r="N274" s="71">
        <f>M274</f>
        <v/>
      </c>
      <c r="O274" s="71" t="n"/>
      <c r="P274" s="101" t="n"/>
      <c r="Q274" s="9">
        <f>J274-N274</f>
        <v/>
      </c>
      <c r="R274" s="9">
        <f>IF(LEFT(B274,4)&lt;&gt;"    ",0,BI274)</f>
        <v/>
      </c>
      <c r="S274" s="9">
        <f>+Q274-R274</f>
        <v/>
      </c>
      <c r="T274" s="200">
        <f>IF('Jobs-Ops'!S274&lt;&gt; "",'Jobs-Ops'!S274,"")</f>
        <v/>
      </c>
      <c r="U274" s="10" t="n"/>
      <c r="V274" s="23">
        <f>IF(LEFT(B274,4)&lt;&gt;"    ","",IF(N274&lt;&gt;0,X274/N274,0))</f>
        <v/>
      </c>
      <c r="W274" s="11">
        <f>IF(LEFT(B274,4)&lt;&gt;"    ","",IF(V274&gt;=0.1,V274*J274,X274))</f>
        <v/>
      </c>
      <c r="X274" s="8" t="n"/>
      <c r="Y274" s="9">
        <f>IF(LEFT(B274,4)&lt;&gt;"    ",0,IF(Q274&lt;0,Q274,IF(V274&gt;0.1,W274-X274,0)))</f>
        <v/>
      </c>
      <c r="Z274" s="9">
        <f>IF(LEFT(B274,4)&lt;&gt;"    ",0,IF(V274&gt;0.1,BI274,0))</f>
        <v/>
      </c>
      <c r="AA274" s="9">
        <f>Y274-Z274</f>
        <v/>
      </c>
      <c r="AB274" s="10" t="n"/>
      <c r="AC274" s="24" t="n"/>
      <c r="AD274" s="11" t="n"/>
      <c r="AE274" s="8" t="n"/>
      <c r="AF274" s="9">
        <f>IF(LEFT(B274,4)&lt;&gt;"    ","",AD274-AE274)</f>
        <v/>
      </c>
      <c r="AG274" s="10" t="n"/>
      <c r="AH274" s="11">
        <f>IF(LEFT(B274,4)&lt;&gt;"    ","",W274-AD274)</f>
        <v/>
      </c>
      <c r="AI274" s="8">
        <f>IF(LEFT(B274,4)&lt;&gt;"    ","",X274-AE274)</f>
        <v/>
      </c>
      <c r="AJ274" s="9">
        <f>IF(LEFT(B274,4)&lt;&gt;"    ","",Y274-AF274)</f>
        <v/>
      </c>
      <c r="AK274" s="10" t="n"/>
      <c r="AL274" s="25">
        <f>IF(LEFT(B274,4)&lt;&gt;"    ","",J274-W274)</f>
        <v/>
      </c>
      <c r="AM274" s="25">
        <f>N274-X274</f>
        <v/>
      </c>
      <c r="AN274" s="25">
        <f>IF(LEFT(B274,4)&lt;&gt;"    ","",Q274-Y274)</f>
        <v/>
      </c>
      <c r="AO274" s="10" t="n"/>
      <c r="AP274" s="12" t="n"/>
      <c r="AQ274" s="12">
        <f>IF(LEFT(B274,4)&lt;&gt;"    ","",IF(W274-AP274&gt;=0,W274-AP274," "))</f>
        <v/>
      </c>
      <c r="AR274" s="12">
        <f>IF(LEFT(B274,4)&lt;&gt;"    ","",IF(AP274-W274&gt;=0,AP274-W274," "))</f>
        <v/>
      </c>
      <c r="AS274" s="186" t="n"/>
      <c r="AT274" s="187" t="n"/>
      <c r="AU274" s="186" t="n"/>
      <c r="AV274" s="186" t="n"/>
      <c r="AW274" s="188" t="n"/>
      <c r="AX274" s="187" t="n"/>
      <c r="AY274" s="187" t="n"/>
      <c r="AZ274" s="186" t="n"/>
      <c r="BA274" s="186" t="n"/>
      <c r="BB274" s="186" t="n"/>
      <c r="BC274" s="186" t="n"/>
      <c r="BD274" s="186" t="n"/>
      <c r="BE274" s="186" t="n"/>
      <c r="BF274" s="186" t="n"/>
      <c r="BG274" s="186" t="n"/>
      <c r="BH274" s="186" t="n"/>
      <c r="BI274" s="186" t="n"/>
      <c r="BJ274" s="186" t="n"/>
      <c r="BK274" s="186" t="n"/>
      <c r="BL274" s="186" t="n"/>
      <c r="BM274" s="186" t="n"/>
      <c r="BN274" s="186" t="n"/>
      <c r="BO274" s="186" t="n"/>
      <c r="BP274" s="186" t="n"/>
      <c r="BQ274" s="186" t="n"/>
      <c r="BR274" s="186" t="n"/>
      <c r="BS274" s="186" t="n"/>
      <c r="BT274" s="186" t="n"/>
      <c r="BU274" s="186" t="n"/>
      <c r="BV274" s="190" t="n"/>
      <c r="BW274" s="186" t="n"/>
      <c r="BX274" s="186" t="n"/>
      <c r="BY274" s="186" t="n"/>
      <c r="BZ274" s="186" t="n"/>
      <c r="CA274" s="186" t="n"/>
      <c r="CB274" s="187" t="n"/>
      <c r="CC274" s="192" t="n"/>
      <c r="CD274" s="192" t="n"/>
      <c r="CE274" s="192" t="n"/>
      <c r="CF274" s="192" t="n"/>
    </row>
    <row r="275">
      <c r="A275" s="197" t="n"/>
      <c r="B275" s="198" t="n"/>
      <c r="C275" s="198" t="n"/>
      <c r="D275" s="179" t="n"/>
      <c r="E275" s="180" t="n"/>
      <c r="F275" s="181" t="n"/>
      <c r="G275" s="284">
        <f>'Jobs-Ops'!G275</f>
        <v/>
      </c>
      <c r="H275" s="114">
        <f>'Jobs-Ops'!H275</f>
        <v/>
      </c>
      <c r="I275" s="105" t="n"/>
      <c r="J275" s="183">
        <f>F275</f>
        <v/>
      </c>
      <c r="K275" s="184" t="n"/>
      <c r="L275" s="185" t="n"/>
      <c r="M275" s="8" t="n"/>
      <c r="N275" s="71">
        <f>M275</f>
        <v/>
      </c>
      <c r="O275" s="71" t="n"/>
      <c r="P275" s="101" t="n"/>
      <c r="Q275" s="9">
        <f>J275-N275</f>
        <v/>
      </c>
      <c r="R275" s="9">
        <f>IF(LEFT(B275,4)&lt;&gt;"    ",0,BI275)</f>
        <v/>
      </c>
      <c r="S275" s="9">
        <f>+Q275-R275</f>
        <v/>
      </c>
      <c r="T275" s="200">
        <f>IF('Jobs-Ops'!S275&lt;&gt; "",'Jobs-Ops'!S275,"")</f>
        <v/>
      </c>
      <c r="U275" s="10" t="n"/>
      <c r="V275" s="23">
        <f>IF(LEFT(B275,4)&lt;&gt;"    ","",IF(N275&lt;&gt;0,X275/N275,0))</f>
        <v/>
      </c>
      <c r="W275" s="11">
        <f>IF(LEFT(B275,4)&lt;&gt;"    ","",IF(V275&gt;=0.1,V275*J275,X275))</f>
        <v/>
      </c>
      <c r="X275" s="8" t="n"/>
      <c r="Y275" s="9">
        <f>IF(LEFT(B275,4)&lt;&gt;"    ",0,IF(Q275&lt;0,Q275,IF(V275&gt;0.1,W275-X275,0)))</f>
        <v/>
      </c>
      <c r="Z275" s="9">
        <f>IF(LEFT(B275,4)&lt;&gt;"    ",0,IF(V275&gt;0.1,BI275,0))</f>
        <v/>
      </c>
      <c r="AA275" s="9">
        <f>Y275-Z275</f>
        <v/>
      </c>
      <c r="AB275" s="10" t="n"/>
      <c r="AC275" s="24" t="n"/>
      <c r="AD275" s="11" t="n"/>
      <c r="AE275" s="8" t="n"/>
      <c r="AF275" s="9">
        <f>IF(LEFT(B275,4)&lt;&gt;"    ","",AD275-AE275)</f>
        <v/>
      </c>
      <c r="AG275" s="10" t="n"/>
      <c r="AH275" s="11">
        <f>IF(LEFT(B275,4)&lt;&gt;"    ","",W275-AD275)</f>
        <v/>
      </c>
      <c r="AI275" s="8">
        <f>IF(LEFT(B275,4)&lt;&gt;"    ","",X275-AE275)</f>
        <v/>
      </c>
      <c r="AJ275" s="9">
        <f>IF(LEFT(B275,4)&lt;&gt;"    ","",Y275-AF275)</f>
        <v/>
      </c>
      <c r="AK275" s="10" t="n"/>
      <c r="AL275" s="25">
        <f>IF(LEFT(B275,4)&lt;&gt;"    ","",J275-W275)</f>
        <v/>
      </c>
      <c r="AM275" s="25">
        <f>N275-X275</f>
        <v/>
      </c>
      <c r="AN275" s="25">
        <f>IF(LEFT(B275,4)&lt;&gt;"    ","",Q275-Y275)</f>
        <v/>
      </c>
      <c r="AO275" s="10" t="n"/>
      <c r="AP275" s="12" t="n"/>
      <c r="AQ275" s="12">
        <f>IF(LEFT(B275,4)&lt;&gt;"    ","",IF(W275-AP275&gt;=0,W275-AP275," "))</f>
        <v/>
      </c>
      <c r="AR275" s="12">
        <f>IF(LEFT(B275,4)&lt;&gt;"    ","",IF(AP275-W275&gt;=0,AP275-W275," "))</f>
        <v/>
      </c>
      <c r="AS275" s="186" t="n"/>
      <c r="AT275" s="187" t="n"/>
      <c r="AU275" s="186" t="n"/>
      <c r="AV275" s="186" t="n"/>
      <c r="AW275" s="188" t="n"/>
      <c r="AX275" s="187" t="n"/>
      <c r="AY275" s="187" t="n"/>
      <c r="AZ275" s="186" t="n"/>
      <c r="BA275" s="186" t="n"/>
      <c r="BB275" s="186" t="n"/>
      <c r="BC275" s="186" t="n"/>
      <c r="BD275" s="186" t="n"/>
      <c r="BE275" s="186" t="n"/>
      <c r="BF275" s="186" t="n"/>
      <c r="BG275" s="186" t="n"/>
      <c r="BH275" s="186" t="n"/>
      <c r="BI275" s="186" t="n"/>
      <c r="BJ275" s="186" t="n"/>
      <c r="BK275" s="186" t="n"/>
      <c r="BL275" s="186" t="n"/>
      <c r="BM275" s="186" t="n"/>
      <c r="BN275" s="186" t="n"/>
      <c r="BO275" s="186" t="n"/>
      <c r="BP275" s="186" t="n"/>
      <c r="BQ275" s="186" t="n"/>
      <c r="BR275" s="186" t="n"/>
      <c r="BS275" s="186" t="n"/>
      <c r="BT275" s="186" t="n"/>
      <c r="BU275" s="186" t="n"/>
      <c r="BV275" s="190" t="n"/>
      <c r="BW275" s="186" t="n"/>
      <c r="BX275" s="186" t="n"/>
      <c r="BY275" s="186" t="n"/>
      <c r="BZ275" s="186" t="n"/>
      <c r="CA275" s="186" t="n"/>
      <c r="CB275" s="187" t="n"/>
      <c r="CC275" s="192" t="n"/>
      <c r="CD275" s="192" t="n"/>
      <c r="CE275" s="192" t="n"/>
      <c r="CF275" s="192" t="n"/>
    </row>
    <row r="276">
      <c r="A276" s="197" t="n"/>
      <c r="B276" s="198" t="n"/>
      <c r="C276" s="198" t="n"/>
      <c r="D276" s="179" t="n"/>
      <c r="E276" s="180" t="n"/>
      <c r="F276" s="181" t="n"/>
      <c r="G276" s="284">
        <f>'Jobs-Ops'!G276</f>
        <v/>
      </c>
      <c r="H276" s="114">
        <f>'Jobs-Ops'!H276</f>
        <v/>
      </c>
      <c r="I276" s="105" t="n"/>
      <c r="J276" s="183">
        <f>F276</f>
        <v/>
      </c>
      <c r="K276" s="184" t="n"/>
      <c r="L276" s="185" t="n"/>
      <c r="M276" s="8" t="n"/>
      <c r="N276" s="71">
        <f>M276</f>
        <v/>
      </c>
      <c r="O276" s="71" t="n"/>
      <c r="P276" s="101" t="n"/>
      <c r="Q276" s="9">
        <f>J276-N276</f>
        <v/>
      </c>
      <c r="R276" s="9">
        <f>IF(LEFT(B276,4)&lt;&gt;"    ",0,BI276)</f>
        <v/>
      </c>
      <c r="S276" s="9">
        <f>+Q276-R276</f>
        <v/>
      </c>
      <c r="T276" s="200">
        <f>IF('Jobs-Ops'!S276&lt;&gt; "",'Jobs-Ops'!S276,"")</f>
        <v/>
      </c>
      <c r="U276" s="10" t="n"/>
      <c r="V276" s="23">
        <f>IF(LEFT(B276,4)&lt;&gt;"    ","",IF(N276&lt;&gt;0,X276/N276,0))</f>
        <v/>
      </c>
      <c r="W276" s="11">
        <f>IF(LEFT(B276,4)&lt;&gt;"    ","",IF(V276&gt;=0.1,V276*J276,X276))</f>
        <v/>
      </c>
      <c r="X276" s="8" t="n"/>
      <c r="Y276" s="9">
        <f>IF(LEFT(B276,4)&lt;&gt;"    ",0,IF(Q276&lt;0,Q276,IF(V276&gt;0.1,W276-X276,0)))</f>
        <v/>
      </c>
      <c r="Z276" s="9">
        <f>IF(LEFT(B276,4)&lt;&gt;"    ",0,IF(V276&gt;0.1,BI276,0))</f>
        <v/>
      </c>
      <c r="AA276" s="9">
        <f>Y276-Z276</f>
        <v/>
      </c>
      <c r="AB276" s="10" t="n"/>
      <c r="AC276" s="24" t="n"/>
      <c r="AD276" s="11" t="n"/>
      <c r="AE276" s="8" t="n"/>
      <c r="AF276" s="9">
        <f>IF(LEFT(B276,4)&lt;&gt;"    ","",AD276-AE276)</f>
        <v/>
      </c>
      <c r="AG276" s="10" t="n"/>
      <c r="AH276" s="11">
        <f>IF(LEFT(B276,4)&lt;&gt;"    ","",W276-AD276)</f>
        <v/>
      </c>
      <c r="AI276" s="8">
        <f>IF(LEFT(B276,4)&lt;&gt;"    ","",X276-AE276)</f>
        <v/>
      </c>
      <c r="AJ276" s="9">
        <f>IF(LEFT(B276,4)&lt;&gt;"    ","",Y276-AF276)</f>
        <v/>
      </c>
      <c r="AK276" s="10" t="n"/>
      <c r="AL276" s="25">
        <f>IF(LEFT(B276,4)&lt;&gt;"    ","",J276-W276)</f>
        <v/>
      </c>
      <c r="AM276" s="25">
        <f>N276-X276</f>
        <v/>
      </c>
      <c r="AN276" s="25">
        <f>IF(LEFT(B276,4)&lt;&gt;"    ","",Q276-Y276)</f>
        <v/>
      </c>
      <c r="AO276" s="10" t="n"/>
      <c r="AP276" s="12" t="n"/>
      <c r="AQ276" s="12">
        <f>IF(LEFT(B276,4)&lt;&gt;"    ","",IF(W276-AP276&gt;=0,W276-AP276," "))</f>
        <v/>
      </c>
      <c r="AR276" s="12">
        <f>IF(LEFT(B276,4)&lt;&gt;"    ","",IF(AP276-W276&gt;=0,AP276-W276," "))</f>
        <v/>
      </c>
      <c r="AS276" s="186" t="n"/>
      <c r="AT276" s="187" t="n"/>
      <c r="AU276" s="186" t="n"/>
      <c r="AV276" s="186" t="n"/>
      <c r="AW276" s="188" t="n"/>
      <c r="AX276" s="187" t="n"/>
      <c r="AY276" s="187" t="n"/>
      <c r="AZ276" s="186" t="n"/>
      <c r="BA276" s="186" t="n"/>
      <c r="BB276" s="186" t="n"/>
      <c r="BC276" s="186" t="n"/>
      <c r="BD276" s="186" t="n"/>
      <c r="BE276" s="186" t="n"/>
      <c r="BF276" s="186" t="n"/>
      <c r="BG276" s="186" t="n"/>
      <c r="BH276" s="186" t="n"/>
      <c r="BI276" s="186" t="n"/>
      <c r="BJ276" s="186" t="n"/>
      <c r="BK276" s="186" t="n"/>
      <c r="BL276" s="186" t="n"/>
      <c r="BM276" s="186" t="n"/>
      <c r="BN276" s="186" t="n"/>
      <c r="BO276" s="186" t="n"/>
      <c r="BP276" s="186" t="n"/>
      <c r="BQ276" s="186" t="n"/>
      <c r="BR276" s="186" t="n"/>
      <c r="BS276" s="186" t="n"/>
      <c r="BT276" s="186" t="n"/>
      <c r="BU276" s="186" t="n"/>
      <c r="BV276" s="190" t="n"/>
      <c r="BW276" s="186" t="n"/>
      <c r="BX276" s="186" t="n"/>
      <c r="BY276" s="186" t="n"/>
      <c r="BZ276" s="186" t="n"/>
      <c r="CA276" s="186" t="n"/>
      <c r="CB276" s="187" t="n"/>
      <c r="CC276" s="192" t="n"/>
      <c r="CD276" s="192" t="n"/>
      <c r="CE276" s="192" t="n"/>
      <c r="CF276" s="192" t="n"/>
    </row>
    <row r="277">
      <c r="A277" s="197" t="n"/>
      <c r="B277" s="198" t="n"/>
      <c r="C277" s="198" t="n"/>
      <c r="D277" s="179" t="n"/>
      <c r="E277" s="180" t="n"/>
      <c r="F277" s="181" t="n"/>
      <c r="G277" s="284">
        <f>'Jobs-Ops'!G277</f>
        <v/>
      </c>
      <c r="H277" s="114">
        <f>'Jobs-Ops'!H277</f>
        <v/>
      </c>
      <c r="I277" s="105" t="n"/>
      <c r="J277" s="183">
        <f>F277</f>
        <v/>
      </c>
      <c r="K277" s="184" t="n"/>
      <c r="L277" s="185" t="n"/>
      <c r="M277" s="8" t="n"/>
      <c r="N277" s="71">
        <f>M277</f>
        <v/>
      </c>
      <c r="O277" s="71" t="n"/>
      <c r="P277" s="101" t="n"/>
      <c r="Q277" s="9">
        <f>J277-N277</f>
        <v/>
      </c>
      <c r="R277" s="9">
        <f>IF(LEFT(B277,4)&lt;&gt;"    ",0,BI277)</f>
        <v/>
      </c>
      <c r="S277" s="9">
        <f>+Q277-R277</f>
        <v/>
      </c>
      <c r="T277" s="200">
        <f>IF('Jobs-Ops'!S277&lt;&gt; "",'Jobs-Ops'!S277,"")</f>
        <v/>
      </c>
      <c r="U277" s="10" t="n"/>
      <c r="V277" s="23">
        <f>IF(LEFT(B277,4)&lt;&gt;"    ","",IF(N277&lt;&gt;0,X277/N277,0))</f>
        <v/>
      </c>
      <c r="W277" s="11">
        <f>IF(LEFT(B277,4)&lt;&gt;"    ","",IF(V277&gt;=0.1,V277*J277,X277))</f>
        <v/>
      </c>
      <c r="X277" s="8" t="n"/>
      <c r="Y277" s="9">
        <f>IF(LEFT(B277,4)&lt;&gt;"    ",0,IF(Q277&lt;0,Q277,IF(V277&gt;0.1,W277-X277,0)))</f>
        <v/>
      </c>
      <c r="Z277" s="9">
        <f>IF(LEFT(B277,4)&lt;&gt;"    ",0,IF(V277&gt;0.1,BI277,0))</f>
        <v/>
      </c>
      <c r="AA277" s="9">
        <f>Y277-Z277</f>
        <v/>
      </c>
      <c r="AB277" s="10" t="n"/>
      <c r="AC277" s="24" t="n"/>
      <c r="AD277" s="11" t="n"/>
      <c r="AE277" s="8" t="n"/>
      <c r="AF277" s="9">
        <f>IF(LEFT(B277,4)&lt;&gt;"    ","",AD277-AE277)</f>
        <v/>
      </c>
      <c r="AG277" s="10" t="n"/>
      <c r="AH277" s="11">
        <f>IF(LEFT(B277,4)&lt;&gt;"    ","",W277-AD277)</f>
        <v/>
      </c>
      <c r="AI277" s="8">
        <f>IF(LEFT(B277,4)&lt;&gt;"    ","",X277-AE277)</f>
        <v/>
      </c>
      <c r="AJ277" s="9">
        <f>IF(LEFT(B277,4)&lt;&gt;"    ","",Y277-AF277)</f>
        <v/>
      </c>
      <c r="AK277" s="10" t="n"/>
      <c r="AL277" s="25">
        <f>IF(LEFT(B277,4)&lt;&gt;"    ","",J277-W277)</f>
        <v/>
      </c>
      <c r="AM277" s="25">
        <f>N277-X277</f>
        <v/>
      </c>
      <c r="AN277" s="25">
        <f>IF(LEFT(B277,4)&lt;&gt;"    ","",Q277-Y277)</f>
        <v/>
      </c>
      <c r="AO277" s="10" t="n"/>
      <c r="AP277" s="12" t="n"/>
      <c r="AQ277" s="12">
        <f>IF(LEFT(B277,4)&lt;&gt;"    ","",IF(W277-AP277&gt;=0,W277-AP277," "))</f>
        <v/>
      </c>
      <c r="AR277" s="12">
        <f>IF(LEFT(B277,4)&lt;&gt;"    ","",IF(AP277-W277&gt;=0,AP277-W277," "))</f>
        <v/>
      </c>
      <c r="AS277" s="186" t="n"/>
      <c r="AT277" s="187" t="n"/>
      <c r="AU277" s="186" t="n"/>
      <c r="AV277" s="186" t="n"/>
      <c r="AW277" s="188" t="n"/>
      <c r="AX277" s="187" t="n"/>
      <c r="AY277" s="187" t="n"/>
      <c r="AZ277" s="186" t="n"/>
      <c r="BA277" s="186" t="n"/>
      <c r="BB277" s="186" t="n"/>
      <c r="BC277" s="186" t="n"/>
      <c r="BD277" s="186" t="n"/>
      <c r="BE277" s="186" t="n"/>
      <c r="BF277" s="186" t="n"/>
      <c r="BG277" s="186" t="n"/>
      <c r="BH277" s="186" t="n"/>
      <c r="BI277" s="186" t="n"/>
      <c r="BJ277" s="186" t="n"/>
      <c r="BK277" s="186" t="n"/>
      <c r="BL277" s="186" t="n"/>
      <c r="BM277" s="186" t="n"/>
      <c r="BN277" s="186" t="n"/>
      <c r="BO277" s="186" t="n"/>
      <c r="BP277" s="186" t="n"/>
      <c r="BQ277" s="186" t="n"/>
      <c r="BR277" s="186" t="n"/>
      <c r="BS277" s="186" t="n"/>
      <c r="BT277" s="186" t="n"/>
      <c r="BU277" s="186" t="n"/>
      <c r="BV277" s="190" t="n"/>
      <c r="BW277" s="186" t="n"/>
      <c r="BX277" s="186" t="n"/>
      <c r="BY277" s="186" t="n"/>
      <c r="BZ277" s="186" t="n"/>
      <c r="CA277" s="186" t="n"/>
      <c r="CB277" s="187" t="n"/>
      <c r="CC277" s="192" t="n"/>
      <c r="CD277" s="192" t="n"/>
      <c r="CE277" s="192" t="n"/>
      <c r="CF277" s="192" t="n"/>
    </row>
    <row r="278">
      <c r="A278" s="197" t="n"/>
      <c r="B278" s="198" t="n"/>
      <c r="C278" s="198" t="n"/>
      <c r="D278" s="179" t="n"/>
      <c r="E278" s="180" t="n"/>
      <c r="F278" s="181" t="n"/>
      <c r="G278" s="284">
        <f>'Jobs-Ops'!G278</f>
        <v/>
      </c>
      <c r="H278" s="114">
        <f>'Jobs-Ops'!H278</f>
        <v/>
      </c>
      <c r="I278" s="105" t="n"/>
      <c r="J278" s="183">
        <f>F278</f>
        <v/>
      </c>
      <c r="K278" s="184" t="n"/>
      <c r="L278" s="185" t="n"/>
      <c r="M278" s="8" t="n"/>
      <c r="N278" s="71">
        <f>M278</f>
        <v/>
      </c>
      <c r="O278" s="71" t="n"/>
      <c r="P278" s="101" t="n"/>
      <c r="Q278" s="9">
        <f>J278-N278</f>
        <v/>
      </c>
      <c r="R278" s="9">
        <f>IF(LEFT(B278,4)&lt;&gt;"    ",0,BI278)</f>
        <v/>
      </c>
      <c r="S278" s="9">
        <f>+Q278-R278</f>
        <v/>
      </c>
      <c r="T278" s="200">
        <f>IF('Jobs-Ops'!S278&lt;&gt; "",'Jobs-Ops'!S278,"")</f>
        <v/>
      </c>
      <c r="U278" s="10" t="n"/>
      <c r="V278" s="23">
        <f>IF(LEFT(B278,4)&lt;&gt;"    ","",IF(N278&lt;&gt;0,X278/N278,0))</f>
        <v/>
      </c>
      <c r="W278" s="11">
        <f>IF(LEFT(B278,4)&lt;&gt;"    ","",IF(V278&gt;=0.1,V278*J278,X278))</f>
        <v/>
      </c>
      <c r="X278" s="8" t="n"/>
      <c r="Y278" s="9">
        <f>IF(LEFT(B278,4)&lt;&gt;"    ",0,IF(Q278&lt;0,Q278,IF(V278&gt;0.1,W278-X278,0)))</f>
        <v/>
      </c>
      <c r="Z278" s="9">
        <f>IF(LEFT(B278,4)&lt;&gt;"    ",0,IF(V278&gt;0.1,BI278,0))</f>
        <v/>
      </c>
      <c r="AA278" s="9">
        <f>Y278-Z278</f>
        <v/>
      </c>
      <c r="AB278" s="10" t="n"/>
      <c r="AC278" s="24" t="n"/>
      <c r="AD278" s="11" t="n"/>
      <c r="AE278" s="8" t="n"/>
      <c r="AF278" s="9">
        <f>IF(LEFT(B278,4)&lt;&gt;"    ","",AD278-AE278)</f>
        <v/>
      </c>
      <c r="AG278" s="10" t="n"/>
      <c r="AH278" s="11">
        <f>IF(LEFT(B278,4)&lt;&gt;"    ","",W278-AD278)</f>
        <v/>
      </c>
      <c r="AI278" s="8">
        <f>IF(LEFT(B278,4)&lt;&gt;"    ","",X278-AE278)</f>
        <v/>
      </c>
      <c r="AJ278" s="9">
        <f>IF(LEFT(B278,4)&lt;&gt;"    ","",Y278-AF278)</f>
        <v/>
      </c>
      <c r="AK278" s="10" t="n"/>
      <c r="AL278" s="25">
        <f>IF(LEFT(B278,4)&lt;&gt;"    ","",J278-W278)</f>
        <v/>
      </c>
      <c r="AM278" s="25">
        <f>N278-X278</f>
        <v/>
      </c>
      <c r="AN278" s="25">
        <f>IF(LEFT(B278,4)&lt;&gt;"    ","",Q278-Y278)</f>
        <v/>
      </c>
      <c r="AO278" s="10" t="n"/>
      <c r="AP278" s="12" t="n"/>
      <c r="AQ278" s="12">
        <f>IF(LEFT(B278,4)&lt;&gt;"    ","",IF(W278-AP278&gt;=0,W278-AP278," "))</f>
        <v/>
      </c>
      <c r="AR278" s="12">
        <f>IF(LEFT(B278,4)&lt;&gt;"    ","",IF(AP278-W278&gt;=0,AP278-W278," "))</f>
        <v/>
      </c>
      <c r="AS278" s="186" t="n"/>
      <c r="AT278" s="187" t="n"/>
      <c r="AU278" s="186" t="n"/>
      <c r="AV278" s="186" t="n"/>
      <c r="AW278" s="188" t="n"/>
      <c r="AX278" s="187" t="n"/>
      <c r="AY278" s="187" t="n"/>
      <c r="AZ278" s="186" t="n"/>
      <c r="BA278" s="186" t="n"/>
      <c r="BB278" s="186" t="n"/>
      <c r="BC278" s="186" t="n"/>
      <c r="BD278" s="186" t="n"/>
      <c r="BE278" s="186" t="n"/>
      <c r="BF278" s="186" t="n"/>
      <c r="BG278" s="186" t="n"/>
      <c r="BH278" s="186" t="n"/>
      <c r="BI278" s="186" t="n"/>
      <c r="BJ278" s="186" t="n"/>
      <c r="BK278" s="186" t="n"/>
      <c r="BL278" s="186" t="n"/>
      <c r="BM278" s="186" t="n"/>
      <c r="BN278" s="186" t="n"/>
      <c r="BO278" s="186" t="n"/>
      <c r="BP278" s="186" t="n"/>
      <c r="BQ278" s="186" t="n"/>
      <c r="BR278" s="186" t="n"/>
      <c r="BS278" s="186" t="n"/>
      <c r="BT278" s="186" t="n"/>
      <c r="BU278" s="186" t="n"/>
      <c r="BV278" s="190" t="n"/>
      <c r="BW278" s="186" t="n"/>
      <c r="BX278" s="186" t="n"/>
      <c r="BY278" s="186" t="n"/>
      <c r="BZ278" s="186" t="n"/>
      <c r="CA278" s="186" t="n"/>
      <c r="CB278" s="187" t="n"/>
      <c r="CC278" s="192" t="n"/>
      <c r="CD278" s="192" t="n"/>
      <c r="CE278" s="192" t="n"/>
      <c r="CF278" s="192" t="n"/>
    </row>
    <row r="279">
      <c r="A279" s="197" t="n"/>
      <c r="B279" s="198" t="n"/>
      <c r="C279" s="198" t="n"/>
      <c r="D279" s="179" t="n"/>
      <c r="E279" s="180" t="n"/>
      <c r="F279" s="181" t="n"/>
      <c r="G279" s="284">
        <f>'Jobs-Ops'!G279</f>
        <v/>
      </c>
      <c r="H279" s="114">
        <f>'Jobs-Ops'!H279</f>
        <v/>
      </c>
      <c r="I279" s="105" t="n"/>
      <c r="J279" s="183">
        <f>F279</f>
        <v/>
      </c>
      <c r="K279" s="184" t="n"/>
      <c r="L279" s="185" t="n"/>
      <c r="M279" s="8" t="n"/>
      <c r="N279" s="71">
        <f>M279</f>
        <v/>
      </c>
      <c r="O279" s="71" t="n"/>
      <c r="P279" s="101" t="n"/>
      <c r="Q279" s="9">
        <f>J279-N279</f>
        <v/>
      </c>
      <c r="R279" s="9">
        <f>IF(LEFT(B279,4)&lt;&gt;"    ",0,BI279)</f>
        <v/>
      </c>
      <c r="S279" s="9">
        <f>+Q279-R279</f>
        <v/>
      </c>
      <c r="T279" s="200">
        <f>IF('Jobs-Ops'!S279&lt;&gt; "",'Jobs-Ops'!S279,"")</f>
        <v/>
      </c>
      <c r="U279" s="10" t="n"/>
      <c r="V279" s="23">
        <f>IF(LEFT(B279,4)&lt;&gt;"    ","",IF(N279&lt;&gt;0,X279/N279,0))</f>
        <v/>
      </c>
      <c r="W279" s="11">
        <f>IF(LEFT(B279,4)&lt;&gt;"    ","",IF(V279&gt;=0.1,V279*J279,X279))</f>
        <v/>
      </c>
      <c r="X279" s="8" t="n"/>
      <c r="Y279" s="9">
        <f>IF(LEFT(B279,4)&lt;&gt;"    ",0,IF(Q279&lt;0,Q279,IF(V279&gt;0.1,W279-X279,0)))</f>
        <v/>
      </c>
      <c r="Z279" s="9">
        <f>IF(LEFT(B279,4)&lt;&gt;"    ",0,IF(V279&gt;0.1,BI279,0))</f>
        <v/>
      </c>
      <c r="AA279" s="9">
        <f>Y279-Z279</f>
        <v/>
      </c>
      <c r="AB279" s="10" t="n"/>
      <c r="AC279" s="24" t="n"/>
      <c r="AD279" s="11" t="n"/>
      <c r="AE279" s="8" t="n"/>
      <c r="AF279" s="9">
        <f>IF(LEFT(B279,4)&lt;&gt;"    ","",AD279-AE279)</f>
        <v/>
      </c>
      <c r="AG279" s="10" t="n"/>
      <c r="AH279" s="11">
        <f>IF(LEFT(B279,4)&lt;&gt;"    ","",W279-AD279)</f>
        <v/>
      </c>
      <c r="AI279" s="8">
        <f>IF(LEFT(B279,4)&lt;&gt;"    ","",X279-AE279)</f>
        <v/>
      </c>
      <c r="AJ279" s="9">
        <f>IF(LEFT(B279,4)&lt;&gt;"    ","",Y279-AF279)</f>
        <v/>
      </c>
      <c r="AK279" s="10" t="n"/>
      <c r="AL279" s="25">
        <f>IF(LEFT(B279,4)&lt;&gt;"    ","",J279-W279)</f>
        <v/>
      </c>
      <c r="AM279" s="25">
        <f>N279-X279</f>
        <v/>
      </c>
      <c r="AN279" s="25">
        <f>IF(LEFT(B279,4)&lt;&gt;"    ","",Q279-Y279)</f>
        <v/>
      </c>
      <c r="AO279" s="10" t="n"/>
      <c r="AP279" s="12" t="n"/>
      <c r="AQ279" s="12">
        <f>IF(LEFT(B279,4)&lt;&gt;"    ","",IF(W279-AP279&gt;=0,W279-AP279," "))</f>
        <v/>
      </c>
      <c r="AR279" s="12">
        <f>IF(LEFT(B279,4)&lt;&gt;"    ","",IF(AP279-W279&gt;=0,AP279-W279," "))</f>
        <v/>
      </c>
      <c r="AS279" s="186" t="n"/>
      <c r="AT279" s="187" t="n"/>
      <c r="AU279" s="186" t="n"/>
      <c r="AV279" s="186" t="n"/>
      <c r="AW279" s="188" t="n"/>
      <c r="AX279" s="187" t="n"/>
      <c r="AY279" s="187" t="n"/>
      <c r="AZ279" s="186" t="n"/>
      <c r="BA279" s="186" t="n"/>
      <c r="BB279" s="186" t="n"/>
      <c r="BC279" s="186" t="n"/>
      <c r="BD279" s="186" t="n"/>
      <c r="BE279" s="186" t="n"/>
      <c r="BF279" s="186" t="n"/>
      <c r="BG279" s="186" t="n"/>
      <c r="BH279" s="186" t="n"/>
      <c r="BI279" s="186" t="n"/>
      <c r="BJ279" s="186" t="n"/>
      <c r="BK279" s="186" t="n"/>
      <c r="BL279" s="186" t="n"/>
      <c r="BM279" s="186" t="n"/>
      <c r="BN279" s="186" t="n"/>
      <c r="BO279" s="186" t="n"/>
      <c r="BP279" s="186" t="n"/>
      <c r="BQ279" s="186" t="n"/>
      <c r="BR279" s="186" t="n"/>
      <c r="BS279" s="186" t="n"/>
      <c r="BT279" s="186" t="n"/>
      <c r="BU279" s="186" t="n"/>
      <c r="BV279" s="190" t="n"/>
      <c r="BW279" s="186" t="n"/>
      <c r="BX279" s="186" t="n"/>
      <c r="BY279" s="186" t="n"/>
      <c r="BZ279" s="186" t="n"/>
      <c r="CA279" s="186" t="n"/>
      <c r="CB279" s="187" t="n"/>
      <c r="CC279" s="192" t="n"/>
      <c r="CD279" s="192" t="n"/>
      <c r="CE279" s="192" t="n"/>
      <c r="CF279" s="192" t="n"/>
    </row>
    <row r="280">
      <c r="A280" s="197" t="n"/>
      <c r="B280" s="198" t="n"/>
      <c r="C280" s="198" t="n"/>
      <c r="D280" s="179" t="n"/>
      <c r="E280" s="180" t="n"/>
      <c r="F280" s="181" t="n"/>
      <c r="G280" s="284">
        <f>'Jobs-Ops'!G280</f>
        <v/>
      </c>
      <c r="H280" s="114">
        <f>'Jobs-Ops'!H280</f>
        <v/>
      </c>
      <c r="I280" s="105" t="n"/>
      <c r="J280" s="183">
        <f>F280</f>
        <v/>
      </c>
      <c r="K280" s="184" t="n"/>
      <c r="L280" s="185" t="n"/>
      <c r="M280" s="8" t="n"/>
      <c r="N280" s="71">
        <f>M280</f>
        <v/>
      </c>
      <c r="O280" s="71" t="n"/>
      <c r="P280" s="101" t="n"/>
      <c r="Q280" s="9">
        <f>J280-N280</f>
        <v/>
      </c>
      <c r="R280" s="9">
        <f>IF(LEFT(B280,4)&lt;&gt;"    ",0,BI280)</f>
        <v/>
      </c>
      <c r="S280" s="9">
        <f>+Q280-R280</f>
        <v/>
      </c>
      <c r="T280" s="200">
        <f>IF('Jobs-Ops'!S280&lt;&gt; "",'Jobs-Ops'!S280,"")</f>
        <v/>
      </c>
      <c r="U280" s="10" t="n"/>
      <c r="V280" s="23">
        <f>IF(LEFT(B280,4)&lt;&gt;"    ","",IF(N280&lt;&gt;0,X280/N280,0))</f>
        <v/>
      </c>
      <c r="W280" s="11">
        <f>IF(LEFT(B280,4)&lt;&gt;"    ","",IF(V280&gt;=0.1,V280*J280,X280))</f>
        <v/>
      </c>
      <c r="X280" s="8" t="n"/>
      <c r="Y280" s="9">
        <f>IF(LEFT(B280,4)&lt;&gt;"    ",0,IF(Q280&lt;0,Q280,IF(V280&gt;0.1,W280-X280,0)))</f>
        <v/>
      </c>
      <c r="Z280" s="9">
        <f>IF(LEFT(B280,4)&lt;&gt;"    ",0,IF(V280&gt;0.1,BI280,0))</f>
        <v/>
      </c>
      <c r="AA280" s="9">
        <f>Y280-Z280</f>
        <v/>
      </c>
      <c r="AB280" s="10" t="n"/>
      <c r="AC280" s="24" t="n"/>
      <c r="AD280" s="11" t="n"/>
      <c r="AE280" s="8" t="n"/>
      <c r="AF280" s="9">
        <f>IF(LEFT(B280,4)&lt;&gt;"    ","",AD280-AE280)</f>
        <v/>
      </c>
      <c r="AG280" s="10" t="n"/>
      <c r="AH280" s="11">
        <f>IF(LEFT(B280,4)&lt;&gt;"    ","",W280-AD280)</f>
        <v/>
      </c>
      <c r="AI280" s="8">
        <f>IF(LEFT(B280,4)&lt;&gt;"    ","",X280-AE280)</f>
        <v/>
      </c>
      <c r="AJ280" s="9">
        <f>IF(LEFT(B280,4)&lt;&gt;"    ","",Y280-AF280)</f>
        <v/>
      </c>
      <c r="AK280" s="10" t="n"/>
      <c r="AL280" s="25">
        <f>IF(LEFT(B280,4)&lt;&gt;"    ","",J280-W280)</f>
        <v/>
      </c>
      <c r="AM280" s="25">
        <f>N280-X280</f>
        <v/>
      </c>
      <c r="AN280" s="25">
        <f>IF(LEFT(B280,4)&lt;&gt;"    ","",Q280-Y280)</f>
        <v/>
      </c>
      <c r="AO280" s="10" t="n"/>
      <c r="AP280" s="12" t="n"/>
      <c r="AQ280" s="12">
        <f>IF(LEFT(B280,4)&lt;&gt;"    ","",IF(W280-AP280&gt;=0,W280-AP280," "))</f>
        <v/>
      </c>
      <c r="AR280" s="12">
        <f>IF(LEFT(B280,4)&lt;&gt;"    ","",IF(AP280-W280&gt;=0,AP280-W280," "))</f>
        <v/>
      </c>
      <c r="AS280" s="186" t="n"/>
      <c r="AT280" s="187" t="n"/>
      <c r="AU280" s="186" t="n"/>
      <c r="AV280" s="186" t="n"/>
      <c r="AW280" s="188" t="n"/>
      <c r="AX280" s="187" t="n"/>
      <c r="AY280" s="187" t="n"/>
      <c r="AZ280" s="186" t="n"/>
      <c r="BA280" s="186" t="n"/>
      <c r="BB280" s="186" t="n"/>
      <c r="BC280" s="186" t="n"/>
      <c r="BD280" s="186" t="n"/>
      <c r="BE280" s="186" t="n"/>
      <c r="BF280" s="186" t="n"/>
      <c r="BG280" s="186" t="n"/>
      <c r="BH280" s="186" t="n"/>
      <c r="BI280" s="186" t="n"/>
      <c r="BJ280" s="186" t="n"/>
      <c r="BK280" s="186" t="n"/>
      <c r="BL280" s="186" t="n"/>
      <c r="BM280" s="186" t="n"/>
      <c r="BN280" s="186" t="n"/>
      <c r="BO280" s="186" t="n"/>
      <c r="BP280" s="186" t="n"/>
      <c r="BQ280" s="186" t="n"/>
      <c r="BR280" s="186" t="n"/>
      <c r="BS280" s="186" t="n"/>
      <c r="BT280" s="186" t="n"/>
      <c r="BU280" s="186" t="n"/>
      <c r="BV280" s="190" t="n"/>
      <c r="BW280" s="186" t="n"/>
      <c r="BX280" s="186" t="n"/>
      <c r="BY280" s="186" t="n"/>
      <c r="BZ280" s="186" t="n"/>
      <c r="CA280" s="186" t="n"/>
      <c r="CB280" s="187" t="n"/>
      <c r="CC280" s="192" t="n"/>
      <c r="CD280" s="192" t="n"/>
      <c r="CE280" s="192" t="n"/>
      <c r="CF280" s="192" t="n"/>
    </row>
    <row r="281">
      <c r="A281" s="197" t="n"/>
      <c r="B281" s="198" t="n"/>
      <c r="C281" s="198" t="n"/>
      <c r="D281" s="179" t="n"/>
      <c r="E281" s="180" t="n"/>
      <c r="F281" s="181" t="n"/>
      <c r="G281" s="284">
        <f>'Jobs-Ops'!G281</f>
        <v/>
      </c>
      <c r="H281" s="114">
        <f>'Jobs-Ops'!H281</f>
        <v/>
      </c>
      <c r="I281" s="105" t="n"/>
      <c r="J281" s="183">
        <f>F281</f>
        <v/>
      </c>
      <c r="K281" s="184" t="n"/>
      <c r="L281" s="185" t="n"/>
      <c r="M281" s="8" t="n"/>
      <c r="N281" s="71">
        <f>M281</f>
        <v/>
      </c>
      <c r="O281" s="71" t="n"/>
      <c r="P281" s="101" t="n"/>
      <c r="Q281" s="9">
        <f>J281-N281</f>
        <v/>
      </c>
      <c r="R281" s="9">
        <f>IF(LEFT(B281,4)&lt;&gt;"    ",0,BI281)</f>
        <v/>
      </c>
      <c r="S281" s="9">
        <f>+Q281-R281</f>
        <v/>
      </c>
      <c r="T281" s="200">
        <f>IF('Jobs-Ops'!S281&lt;&gt; "",'Jobs-Ops'!S281,"")</f>
        <v/>
      </c>
      <c r="U281" s="10" t="n"/>
      <c r="V281" s="23">
        <f>IF(LEFT(B281,4)&lt;&gt;"    ","",IF(N281&lt;&gt;0,X281/N281,0))</f>
        <v/>
      </c>
      <c r="W281" s="11">
        <f>IF(LEFT(B281,4)&lt;&gt;"    ","",IF(V281&gt;=0.1,V281*J281,X281))</f>
        <v/>
      </c>
      <c r="X281" s="8" t="n"/>
      <c r="Y281" s="9">
        <f>IF(LEFT(B281,4)&lt;&gt;"    ",0,IF(Q281&lt;0,Q281,IF(V281&gt;0.1,W281-X281,0)))</f>
        <v/>
      </c>
      <c r="Z281" s="9">
        <f>IF(LEFT(B281,4)&lt;&gt;"    ",0,IF(V281&gt;0.1,BI281,0))</f>
        <v/>
      </c>
      <c r="AA281" s="9">
        <f>Y281-Z281</f>
        <v/>
      </c>
      <c r="AB281" s="10" t="n"/>
      <c r="AC281" s="24" t="n"/>
      <c r="AD281" s="11" t="n"/>
      <c r="AE281" s="8" t="n"/>
      <c r="AF281" s="9">
        <f>IF(LEFT(B281,4)&lt;&gt;"    ","",AD281-AE281)</f>
        <v/>
      </c>
      <c r="AG281" s="10" t="n"/>
      <c r="AH281" s="11">
        <f>IF(LEFT(B281,4)&lt;&gt;"    ","",W281-AD281)</f>
        <v/>
      </c>
      <c r="AI281" s="8">
        <f>IF(LEFT(B281,4)&lt;&gt;"    ","",X281-AE281)</f>
        <v/>
      </c>
      <c r="AJ281" s="9">
        <f>IF(LEFT(B281,4)&lt;&gt;"    ","",Y281-AF281)</f>
        <v/>
      </c>
      <c r="AK281" s="10" t="n"/>
      <c r="AL281" s="25">
        <f>IF(LEFT(B281,4)&lt;&gt;"    ","",J281-W281)</f>
        <v/>
      </c>
      <c r="AM281" s="25">
        <f>N281-X281</f>
        <v/>
      </c>
      <c r="AN281" s="25">
        <f>IF(LEFT(B281,4)&lt;&gt;"    ","",Q281-Y281)</f>
        <v/>
      </c>
      <c r="AO281" s="10" t="n"/>
      <c r="AP281" s="12" t="n"/>
      <c r="AQ281" s="12">
        <f>IF(LEFT(B281,4)&lt;&gt;"    ","",IF(W281-AP281&gt;=0,W281-AP281," "))</f>
        <v/>
      </c>
      <c r="AR281" s="12">
        <f>IF(LEFT(B281,4)&lt;&gt;"    ","",IF(AP281-W281&gt;=0,AP281-W281," "))</f>
        <v/>
      </c>
      <c r="AS281" s="186" t="n"/>
      <c r="AT281" s="187" t="n"/>
      <c r="AU281" s="186" t="n"/>
      <c r="AV281" s="186" t="n"/>
      <c r="AW281" s="188" t="n"/>
      <c r="AX281" s="187" t="n"/>
      <c r="AY281" s="187" t="n"/>
      <c r="AZ281" s="186" t="n"/>
      <c r="BA281" s="186" t="n"/>
      <c r="BB281" s="186" t="n"/>
      <c r="BC281" s="186" t="n"/>
      <c r="BD281" s="186" t="n"/>
      <c r="BE281" s="186" t="n"/>
      <c r="BF281" s="186" t="n"/>
      <c r="BG281" s="186" t="n"/>
      <c r="BH281" s="186" t="n"/>
      <c r="BI281" s="186" t="n"/>
      <c r="BJ281" s="186" t="n"/>
      <c r="BK281" s="186" t="n"/>
      <c r="BL281" s="186" t="n"/>
      <c r="BM281" s="186" t="n"/>
      <c r="BN281" s="186" t="n"/>
      <c r="BO281" s="186" t="n"/>
      <c r="BP281" s="186" t="n"/>
      <c r="BQ281" s="186" t="n"/>
      <c r="BR281" s="186" t="n"/>
      <c r="BS281" s="186" t="n"/>
      <c r="BT281" s="186" t="n"/>
      <c r="BU281" s="186" t="n"/>
      <c r="BV281" s="190" t="n"/>
      <c r="BW281" s="186" t="n"/>
      <c r="BX281" s="186" t="n"/>
      <c r="BY281" s="186" t="n"/>
      <c r="BZ281" s="186" t="n"/>
      <c r="CA281" s="186" t="n"/>
      <c r="CB281" s="187" t="n"/>
      <c r="CC281" s="192" t="n"/>
      <c r="CD281" s="192" t="n"/>
      <c r="CE281" s="192" t="n"/>
      <c r="CF281" s="192" t="n"/>
    </row>
    <row r="282">
      <c r="A282" s="197" t="n"/>
      <c r="B282" s="198" t="n"/>
      <c r="C282" s="198" t="n"/>
      <c r="D282" s="179" t="n"/>
      <c r="E282" s="180" t="n"/>
      <c r="F282" s="181" t="n"/>
      <c r="G282" s="284">
        <f>'Jobs-Ops'!G282</f>
        <v/>
      </c>
      <c r="H282" s="114">
        <f>'Jobs-Ops'!H282</f>
        <v/>
      </c>
      <c r="I282" s="105" t="n"/>
      <c r="J282" s="183">
        <f>F282</f>
        <v/>
      </c>
      <c r="K282" s="184" t="n"/>
      <c r="L282" s="185" t="n"/>
      <c r="M282" s="8" t="n"/>
      <c r="N282" s="71">
        <f>M282</f>
        <v/>
      </c>
      <c r="O282" s="71" t="n"/>
      <c r="P282" s="101" t="n"/>
      <c r="Q282" s="9">
        <f>J282-N282</f>
        <v/>
      </c>
      <c r="R282" s="9">
        <f>IF(LEFT(B282,4)&lt;&gt;"    ",0,BI282)</f>
        <v/>
      </c>
      <c r="S282" s="9">
        <f>+Q282-R282</f>
        <v/>
      </c>
      <c r="T282" s="200">
        <f>IF('Jobs-Ops'!S282&lt;&gt; "",'Jobs-Ops'!S282,"")</f>
        <v/>
      </c>
      <c r="U282" s="10" t="n"/>
      <c r="V282" s="23">
        <f>IF(LEFT(B282,4)&lt;&gt;"    ","",IF(N282&lt;&gt;0,X282/N282,0))</f>
        <v/>
      </c>
      <c r="W282" s="11">
        <f>IF(LEFT(B282,4)&lt;&gt;"    ","",IF(V282&gt;=0.1,V282*J282,X282))</f>
        <v/>
      </c>
      <c r="X282" s="8" t="n"/>
      <c r="Y282" s="9">
        <f>IF(LEFT(B282,4)&lt;&gt;"    ",0,IF(Q282&lt;0,Q282,IF(V282&gt;0.1,W282-X282,0)))</f>
        <v/>
      </c>
      <c r="Z282" s="9">
        <f>IF(LEFT(B282,4)&lt;&gt;"    ",0,IF(V282&gt;0.1,BI282,0))</f>
        <v/>
      </c>
      <c r="AA282" s="9">
        <f>Y282-Z282</f>
        <v/>
      </c>
      <c r="AB282" s="10" t="n"/>
      <c r="AC282" s="24" t="n"/>
      <c r="AD282" s="11" t="n"/>
      <c r="AE282" s="8" t="n"/>
      <c r="AF282" s="9">
        <f>IF(LEFT(B282,4)&lt;&gt;"    ","",AD282-AE282)</f>
        <v/>
      </c>
      <c r="AG282" s="10" t="n"/>
      <c r="AH282" s="11">
        <f>IF(LEFT(B282,4)&lt;&gt;"    ","",W282-AD282)</f>
        <v/>
      </c>
      <c r="AI282" s="8">
        <f>IF(LEFT(B282,4)&lt;&gt;"    ","",X282-AE282)</f>
        <v/>
      </c>
      <c r="AJ282" s="9">
        <f>IF(LEFT(B282,4)&lt;&gt;"    ","",Y282-AF282)</f>
        <v/>
      </c>
      <c r="AK282" s="10" t="n"/>
      <c r="AL282" s="25">
        <f>IF(LEFT(B282,4)&lt;&gt;"    ","",J282-W282)</f>
        <v/>
      </c>
      <c r="AM282" s="25">
        <f>N282-X282</f>
        <v/>
      </c>
      <c r="AN282" s="25">
        <f>IF(LEFT(B282,4)&lt;&gt;"    ","",Q282-Y282)</f>
        <v/>
      </c>
      <c r="AO282" s="10" t="n"/>
      <c r="AP282" s="12" t="n"/>
      <c r="AQ282" s="12">
        <f>IF(LEFT(B282,4)&lt;&gt;"    ","",IF(W282-AP282&gt;=0,W282-AP282," "))</f>
        <v/>
      </c>
      <c r="AR282" s="12">
        <f>IF(LEFT(B282,4)&lt;&gt;"    ","",IF(AP282-W282&gt;=0,AP282-W282," "))</f>
        <v/>
      </c>
      <c r="AS282" s="186" t="n"/>
      <c r="AT282" s="187" t="n"/>
      <c r="AU282" s="186" t="n"/>
      <c r="AV282" s="186" t="n"/>
      <c r="AW282" s="188" t="n"/>
      <c r="AX282" s="187" t="n"/>
      <c r="AY282" s="187" t="n"/>
      <c r="AZ282" s="186" t="n"/>
      <c r="BA282" s="186" t="n"/>
      <c r="BB282" s="186" t="n"/>
      <c r="BC282" s="186" t="n"/>
      <c r="BD282" s="186" t="n"/>
      <c r="BE282" s="186" t="n"/>
      <c r="BF282" s="186" t="n"/>
      <c r="BG282" s="186" t="n"/>
      <c r="BH282" s="186" t="n"/>
      <c r="BI282" s="186" t="n"/>
      <c r="BJ282" s="186" t="n"/>
      <c r="BK282" s="186" t="n"/>
      <c r="BL282" s="186" t="n"/>
      <c r="BM282" s="186" t="n"/>
      <c r="BN282" s="186" t="n"/>
      <c r="BO282" s="186" t="n"/>
      <c r="BP282" s="186" t="n"/>
      <c r="BQ282" s="186" t="n"/>
      <c r="BR282" s="186" t="n"/>
      <c r="BS282" s="186" t="n"/>
      <c r="BT282" s="186" t="n"/>
      <c r="BU282" s="186" t="n"/>
      <c r="BV282" s="190" t="n"/>
      <c r="BW282" s="186" t="n"/>
      <c r="BX282" s="186" t="n"/>
      <c r="BY282" s="186" t="n"/>
      <c r="BZ282" s="186" t="n"/>
      <c r="CA282" s="186" t="n"/>
      <c r="CB282" s="187" t="n"/>
      <c r="CC282" s="192" t="n"/>
      <c r="CD282" s="192" t="n"/>
      <c r="CE282" s="192" t="n"/>
      <c r="CF282" s="192" t="n"/>
    </row>
    <row r="283">
      <c r="A283" s="197" t="n"/>
      <c r="B283" s="198" t="n"/>
      <c r="C283" s="198" t="n"/>
      <c r="D283" s="179" t="n"/>
      <c r="E283" s="180" t="n"/>
      <c r="F283" s="181" t="n"/>
      <c r="G283" s="284">
        <f>'Jobs-Ops'!G283</f>
        <v/>
      </c>
      <c r="H283" s="114">
        <f>'Jobs-Ops'!H283</f>
        <v/>
      </c>
      <c r="I283" s="105" t="n"/>
      <c r="J283" s="183">
        <f>F283</f>
        <v/>
      </c>
      <c r="K283" s="184" t="n"/>
      <c r="L283" s="185" t="n"/>
      <c r="M283" s="8" t="n"/>
      <c r="N283" s="71">
        <f>M283</f>
        <v/>
      </c>
      <c r="O283" s="71" t="n"/>
      <c r="P283" s="101" t="n"/>
      <c r="Q283" s="9">
        <f>J283-N283</f>
        <v/>
      </c>
      <c r="R283" s="9">
        <f>IF(LEFT(B283,4)&lt;&gt;"    ",0,BI283)</f>
        <v/>
      </c>
      <c r="S283" s="9">
        <f>+Q283-R283</f>
        <v/>
      </c>
      <c r="T283" s="200">
        <f>IF('Jobs-Ops'!S283&lt;&gt; "",'Jobs-Ops'!S283,"")</f>
        <v/>
      </c>
      <c r="U283" s="10" t="n"/>
      <c r="V283" s="23">
        <f>IF(LEFT(B283,4)&lt;&gt;"    ","",IF(N283&lt;&gt;0,X283/N283,0))</f>
        <v/>
      </c>
      <c r="W283" s="11">
        <f>IF(LEFT(B283,4)&lt;&gt;"    ","",IF(V283&gt;=0.1,V283*J283,X283))</f>
        <v/>
      </c>
      <c r="X283" s="8" t="n"/>
      <c r="Y283" s="9">
        <f>IF(LEFT(B283,4)&lt;&gt;"    ",0,IF(Q283&lt;0,Q283,IF(V283&gt;0.1,W283-X283,0)))</f>
        <v/>
      </c>
      <c r="Z283" s="9">
        <f>IF(LEFT(B283,4)&lt;&gt;"    ",0,IF(V283&gt;0.1,BI283,0))</f>
        <v/>
      </c>
      <c r="AA283" s="9">
        <f>Y283-Z283</f>
        <v/>
      </c>
      <c r="AB283" s="10" t="n"/>
      <c r="AC283" s="24" t="n"/>
      <c r="AD283" s="11" t="n"/>
      <c r="AE283" s="8" t="n"/>
      <c r="AF283" s="9">
        <f>IF(LEFT(B283,4)&lt;&gt;"    ","",AD283-AE283)</f>
        <v/>
      </c>
      <c r="AG283" s="10" t="n"/>
      <c r="AH283" s="11">
        <f>IF(LEFT(B283,4)&lt;&gt;"    ","",W283-AD283)</f>
        <v/>
      </c>
      <c r="AI283" s="8">
        <f>IF(LEFT(B283,4)&lt;&gt;"    ","",X283-AE283)</f>
        <v/>
      </c>
      <c r="AJ283" s="9">
        <f>IF(LEFT(B283,4)&lt;&gt;"    ","",Y283-AF283)</f>
        <v/>
      </c>
      <c r="AK283" s="10" t="n"/>
      <c r="AL283" s="25">
        <f>IF(LEFT(B283,4)&lt;&gt;"    ","",J283-W283)</f>
        <v/>
      </c>
      <c r="AM283" s="25">
        <f>N283-X283</f>
        <v/>
      </c>
      <c r="AN283" s="25">
        <f>IF(LEFT(B283,4)&lt;&gt;"    ","",Q283-Y283)</f>
        <v/>
      </c>
      <c r="AO283" s="10" t="n"/>
      <c r="AP283" s="12" t="n"/>
      <c r="AQ283" s="12">
        <f>IF(LEFT(B283,4)&lt;&gt;"    ","",IF(W283-AP283&gt;=0,W283-AP283," "))</f>
        <v/>
      </c>
      <c r="AR283" s="12">
        <f>IF(LEFT(B283,4)&lt;&gt;"    ","",IF(AP283-W283&gt;=0,AP283-W283," "))</f>
        <v/>
      </c>
      <c r="AS283" s="186" t="n"/>
      <c r="AT283" s="187" t="n"/>
      <c r="AU283" s="186" t="n"/>
      <c r="AV283" s="186" t="n"/>
      <c r="AW283" s="188" t="n"/>
      <c r="AX283" s="187" t="n"/>
      <c r="AY283" s="187" t="n"/>
      <c r="AZ283" s="186" t="n"/>
      <c r="BA283" s="186" t="n"/>
      <c r="BB283" s="186" t="n"/>
      <c r="BC283" s="186" t="n"/>
      <c r="BD283" s="186" t="n"/>
      <c r="BE283" s="186" t="n"/>
      <c r="BF283" s="186" t="n"/>
      <c r="BG283" s="186" t="n"/>
      <c r="BH283" s="186" t="n"/>
      <c r="BI283" s="186" t="n"/>
      <c r="BJ283" s="186" t="n"/>
      <c r="BK283" s="186" t="n"/>
      <c r="BL283" s="186" t="n"/>
      <c r="BM283" s="186" t="n"/>
      <c r="BN283" s="186" t="n"/>
      <c r="BO283" s="186" t="n"/>
      <c r="BP283" s="186" t="n"/>
      <c r="BQ283" s="186" t="n"/>
      <c r="BR283" s="186" t="n"/>
      <c r="BS283" s="186" t="n"/>
      <c r="BT283" s="186" t="n"/>
      <c r="BU283" s="186" t="n"/>
      <c r="BV283" s="190" t="n"/>
      <c r="BW283" s="186" t="n"/>
      <c r="BX283" s="186" t="n"/>
      <c r="BY283" s="186" t="n"/>
      <c r="BZ283" s="186" t="n"/>
      <c r="CA283" s="186" t="n"/>
      <c r="CB283" s="187" t="n"/>
      <c r="CC283" s="192" t="n"/>
      <c r="CD283" s="192" t="n"/>
      <c r="CE283" s="192" t="n"/>
      <c r="CF283" s="192" t="n"/>
    </row>
    <row r="284">
      <c r="A284" s="197" t="n"/>
      <c r="B284" s="198" t="n"/>
      <c r="C284" s="198" t="n"/>
      <c r="D284" s="179" t="n"/>
      <c r="E284" s="180" t="n"/>
      <c r="F284" s="181" t="n"/>
      <c r="G284" s="284">
        <f>'Jobs-Ops'!G284</f>
        <v/>
      </c>
      <c r="H284" s="114">
        <f>'Jobs-Ops'!H284</f>
        <v/>
      </c>
      <c r="I284" s="105" t="n"/>
      <c r="J284" s="183">
        <f>F284</f>
        <v/>
      </c>
      <c r="K284" s="184" t="n"/>
      <c r="L284" s="185" t="n"/>
      <c r="M284" s="8" t="n"/>
      <c r="N284" s="71">
        <f>M284</f>
        <v/>
      </c>
      <c r="O284" s="71" t="n"/>
      <c r="P284" s="101" t="n"/>
      <c r="Q284" s="9">
        <f>J284-N284</f>
        <v/>
      </c>
      <c r="R284" s="9">
        <f>IF(LEFT(B284,4)&lt;&gt;"    ",0,BI284)</f>
        <v/>
      </c>
      <c r="S284" s="9">
        <f>+Q284-R284</f>
        <v/>
      </c>
      <c r="T284" s="200">
        <f>IF('Jobs-Ops'!S284&lt;&gt; "",'Jobs-Ops'!S284,"")</f>
        <v/>
      </c>
      <c r="U284" s="10" t="n"/>
      <c r="V284" s="23">
        <f>IF(LEFT(B284,4)&lt;&gt;"    ","",IF(N284&lt;&gt;0,X284/N284,0))</f>
        <v/>
      </c>
      <c r="W284" s="11">
        <f>IF(LEFT(B284,4)&lt;&gt;"    ","",IF(V284&gt;=0.1,V284*J284,X284))</f>
        <v/>
      </c>
      <c r="X284" s="8" t="n"/>
      <c r="Y284" s="9">
        <f>IF(LEFT(B284,4)&lt;&gt;"    ",0,IF(Q284&lt;0,Q284,IF(V284&gt;0.1,W284-X284,0)))</f>
        <v/>
      </c>
      <c r="Z284" s="9">
        <f>IF(LEFT(B284,4)&lt;&gt;"    ",0,IF(V284&gt;0.1,BI284,0))</f>
        <v/>
      </c>
      <c r="AA284" s="9">
        <f>Y284-Z284</f>
        <v/>
      </c>
      <c r="AB284" s="10" t="n"/>
      <c r="AC284" s="24" t="n"/>
      <c r="AD284" s="11" t="n"/>
      <c r="AE284" s="8" t="n"/>
      <c r="AF284" s="9">
        <f>IF(LEFT(B284,4)&lt;&gt;"    ","",AD284-AE284)</f>
        <v/>
      </c>
      <c r="AG284" s="10" t="n"/>
      <c r="AH284" s="11">
        <f>IF(LEFT(B284,4)&lt;&gt;"    ","",W284-AD284)</f>
        <v/>
      </c>
      <c r="AI284" s="8">
        <f>IF(LEFT(B284,4)&lt;&gt;"    ","",X284-AE284)</f>
        <v/>
      </c>
      <c r="AJ284" s="9">
        <f>IF(LEFT(B284,4)&lt;&gt;"    ","",Y284-AF284)</f>
        <v/>
      </c>
      <c r="AK284" s="10" t="n"/>
      <c r="AL284" s="25">
        <f>IF(LEFT(B284,4)&lt;&gt;"    ","",J284-W284)</f>
        <v/>
      </c>
      <c r="AM284" s="25">
        <f>N284-X284</f>
        <v/>
      </c>
      <c r="AN284" s="25">
        <f>IF(LEFT(B284,4)&lt;&gt;"    ","",Q284-Y284)</f>
        <v/>
      </c>
      <c r="AO284" s="10" t="n"/>
      <c r="AP284" s="12" t="n"/>
      <c r="AQ284" s="12">
        <f>IF(LEFT(B284,4)&lt;&gt;"    ","",IF(W284-AP284&gt;=0,W284-AP284," "))</f>
        <v/>
      </c>
      <c r="AR284" s="12">
        <f>IF(LEFT(B284,4)&lt;&gt;"    ","",IF(AP284-W284&gt;=0,AP284-W284," "))</f>
        <v/>
      </c>
      <c r="AS284" s="186" t="n"/>
      <c r="AT284" s="187" t="n"/>
      <c r="AU284" s="186" t="n"/>
      <c r="AV284" s="186" t="n"/>
      <c r="AW284" s="188" t="n"/>
      <c r="AX284" s="187" t="n"/>
      <c r="AY284" s="187" t="n"/>
      <c r="AZ284" s="186" t="n"/>
      <c r="BA284" s="186" t="n"/>
      <c r="BB284" s="186" t="n"/>
      <c r="BC284" s="186" t="n"/>
      <c r="BD284" s="186" t="n"/>
      <c r="BE284" s="186" t="n"/>
      <c r="BF284" s="186" t="n"/>
      <c r="BG284" s="186" t="n"/>
      <c r="BH284" s="186" t="n"/>
      <c r="BI284" s="186" t="n"/>
      <c r="BJ284" s="186" t="n"/>
      <c r="BK284" s="186" t="n"/>
      <c r="BL284" s="186" t="n"/>
      <c r="BM284" s="186" t="n"/>
      <c r="BN284" s="186" t="n"/>
      <c r="BO284" s="186" t="n"/>
      <c r="BP284" s="186" t="n"/>
      <c r="BQ284" s="186" t="n"/>
      <c r="BR284" s="186" t="n"/>
      <c r="BS284" s="186" t="n"/>
      <c r="BT284" s="186" t="n"/>
      <c r="BU284" s="186" t="n"/>
      <c r="BV284" s="190" t="n"/>
      <c r="BW284" s="186" t="n"/>
      <c r="BX284" s="186" t="n"/>
      <c r="BY284" s="186" t="n"/>
      <c r="BZ284" s="186" t="n"/>
      <c r="CA284" s="186" t="n"/>
      <c r="CB284" s="187" t="n"/>
      <c r="CC284" s="192" t="n"/>
      <c r="CD284" s="192" t="n"/>
      <c r="CE284" s="192" t="n"/>
      <c r="CF284" s="192" t="n"/>
    </row>
    <row r="285">
      <c r="A285" s="197" t="n"/>
      <c r="B285" s="198" t="n"/>
      <c r="C285" s="198" t="n"/>
      <c r="D285" s="179" t="n"/>
      <c r="E285" s="180" t="n"/>
      <c r="F285" s="181" t="n"/>
      <c r="G285" s="284">
        <f>'Jobs-Ops'!G285</f>
        <v/>
      </c>
      <c r="H285" s="114">
        <f>'Jobs-Ops'!H285</f>
        <v/>
      </c>
      <c r="I285" s="105" t="n"/>
      <c r="J285" s="183">
        <f>F285</f>
        <v/>
      </c>
      <c r="K285" s="184" t="n"/>
      <c r="L285" s="185" t="n"/>
      <c r="M285" s="8" t="n"/>
      <c r="N285" s="71">
        <f>M285</f>
        <v/>
      </c>
      <c r="O285" s="71" t="n"/>
      <c r="P285" s="101" t="n"/>
      <c r="Q285" s="9">
        <f>J285-N285</f>
        <v/>
      </c>
      <c r="R285" s="9">
        <f>IF(LEFT(B285,4)&lt;&gt;"    ",0,BI285)</f>
        <v/>
      </c>
      <c r="S285" s="9">
        <f>+Q285-R285</f>
        <v/>
      </c>
      <c r="T285" s="200">
        <f>IF('Jobs-Ops'!S285&lt;&gt; "",'Jobs-Ops'!S285,"")</f>
        <v/>
      </c>
      <c r="U285" s="10" t="n"/>
      <c r="V285" s="23">
        <f>IF(LEFT(B285,4)&lt;&gt;"    ","",IF(N285&lt;&gt;0,X285/N285,0))</f>
        <v/>
      </c>
      <c r="W285" s="11">
        <f>IF(LEFT(B285,4)&lt;&gt;"    ","",IF(V285&gt;=0.1,V285*J285,X285))</f>
        <v/>
      </c>
      <c r="X285" s="8" t="n"/>
      <c r="Y285" s="9">
        <f>IF(LEFT(B285,4)&lt;&gt;"    ",0,IF(Q285&lt;0,Q285,IF(V285&gt;0.1,W285-X285,0)))</f>
        <v/>
      </c>
      <c r="Z285" s="9">
        <f>IF(LEFT(B285,4)&lt;&gt;"    ",0,IF(V285&gt;0.1,BI285,0))</f>
        <v/>
      </c>
      <c r="AA285" s="9">
        <f>Y285-Z285</f>
        <v/>
      </c>
      <c r="AB285" s="10" t="n"/>
      <c r="AC285" s="24" t="n"/>
      <c r="AD285" s="11" t="n"/>
      <c r="AE285" s="8" t="n"/>
      <c r="AF285" s="9">
        <f>IF(LEFT(B285,4)&lt;&gt;"    ","",AD285-AE285)</f>
        <v/>
      </c>
      <c r="AG285" s="10" t="n"/>
      <c r="AH285" s="11">
        <f>IF(LEFT(B285,4)&lt;&gt;"    ","",W285-AD285)</f>
        <v/>
      </c>
      <c r="AI285" s="8">
        <f>IF(LEFT(B285,4)&lt;&gt;"    ","",X285-AE285)</f>
        <v/>
      </c>
      <c r="AJ285" s="9">
        <f>IF(LEFT(B285,4)&lt;&gt;"    ","",Y285-AF285)</f>
        <v/>
      </c>
      <c r="AK285" s="10" t="n"/>
      <c r="AL285" s="25">
        <f>IF(LEFT(B285,4)&lt;&gt;"    ","",J285-W285)</f>
        <v/>
      </c>
      <c r="AM285" s="25">
        <f>N285-X285</f>
        <v/>
      </c>
      <c r="AN285" s="25">
        <f>IF(LEFT(B285,4)&lt;&gt;"    ","",Q285-Y285)</f>
        <v/>
      </c>
      <c r="AO285" s="10" t="n"/>
      <c r="AP285" s="12" t="n"/>
      <c r="AQ285" s="12">
        <f>IF(LEFT(B285,4)&lt;&gt;"    ","",IF(W285-AP285&gt;=0,W285-AP285," "))</f>
        <v/>
      </c>
      <c r="AR285" s="12">
        <f>IF(LEFT(B285,4)&lt;&gt;"    ","",IF(AP285-W285&gt;=0,AP285-W285," "))</f>
        <v/>
      </c>
      <c r="AS285" s="186" t="n"/>
      <c r="AT285" s="187" t="n"/>
      <c r="AU285" s="186" t="n"/>
      <c r="AV285" s="186" t="n"/>
      <c r="AW285" s="188" t="n"/>
      <c r="AX285" s="187" t="n"/>
      <c r="AY285" s="187" t="n"/>
      <c r="AZ285" s="186" t="n"/>
      <c r="BA285" s="186" t="n"/>
      <c r="BB285" s="186" t="n"/>
      <c r="BC285" s="186" t="n"/>
      <c r="BD285" s="186" t="n"/>
      <c r="BE285" s="186" t="n"/>
      <c r="BF285" s="186" t="n"/>
      <c r="BG285" s="186" t="n"/>
      <c r="BH285" s="186" t="n"/>
      <c r="BI285" s="186" t="n"/>
      <c r="BJ285" s="186" t="n"/>
      <c r="BK285" s="186" t="n"/>
      <c r="BL285" s="186" t="n"/>
      <c r="BM285" s="186" t="n"/>
      <c r="BN285" s="186" t="n"/>
      <c r="BO285" s="186" t="n"/>
      <c r="BP285" s="186" t="n"/>
      <c r="BQ285" s="186" t="n"/>
      <c r="BR285" s="186" t="n"/>
      <c r="BS285" s="186" t="n"/>
      <c r="BT285" s="186" t="n"/>
      <c r="BU285" s="186" t="n"/>
      <c r="BV285" s="190" t="n"/>
      <c r="BW285" s="186" t="n"/>
      <c r="BX285" s="186" t="n"/>
      <c r="BY285" s="186" t="n"/>
      <c r="BZ285" s="186" t="n"/>
      <c r="CA285" s="186" t="n"/>
      <c r="CB285" s="187" t="n"/>
      <c r="CC285" s="192" t="n"/>
      <c r="CD285" s="192" t="n"/>
      <c r="CE285" s="192" t="n"/>
      <c r="CF285" s="192" t="n"/>
    </row>
    <row r="286">
      <c r="A286" s="197" t="n"/>
      <c r="B286" s="198" t="n"/>
      <c r="C286" s="198" t="n"/>
      <c r="D286" s="179" t="n"/>
      <c r="E286" s="180" t="n"/>
      <c r="F286" s="181" t="n"/>
      <c r="G286" s="284">
        <f>'Jobs-Ops'!G286</f>
        <v/>
      </c>
      <c r="H286" s="114">
        <f>'Jobs-Ops'!H286</f>
        <v/>
      </c>
      <c r="I286" s="105" t="n"/>
      <c r="J286" s="183">
        <f>F286</f>
        <v/>
      </c>
      <c r="K286" s="184" t="n"/>
      <c r="L286" s="185" t="n"/>
      <c r="M286" s="8" t="n"/>
      <c r="N286" s="71">
        <f>M286</f>
        <v/>
      </c>
      <c r="O286" s="71" t="n"/>
      <c r="P286" s="101" t="n"/>
      <c r="Q286" s="9">
        <f>J286-N286</f>
        <v/>
      </c>
      <c r="R286" s="9">
        <f>IF(LEFT(B286,4)&lt;&gt;"    ",0,BI286)</f>
        <v/>
      </c>
      <c r="S286" s="9">
        <f>+Q286-R286</f>
        <v/>
      </c>
      <c r="T286" s="200">
        <f>IF('Jobs-Ops'!S286&lt;&gt; "",'Jobs-Ops'!S286,"")</f>
        <v/>
      </c>
      <c r="U286" s="10" t="n"/>
      <c r="V286" s="23">
        <f>IF(LEFT(B286,4)&lt;&gt;"    ","",IF(N286&lt;&gt;0,X286/N286,0))</f>
        <v/>
      </c>
      <c r="W286" s="11">
        <f>IF(LEFT(B286,4)&lt;&gt;"    ","",IF(V286&gt;=0.1,V286*J286,X286))</f>
        <v/>
      </c>
      <c r="X286" s="8" t="n"/>
      <c r="Y286" s="9">
        <f>IF(LEFT(B286,4)&lt;&gt;"    ",0,IF(Q286&lt;0,Q286,IF(V286&gt;0.1,W286-X286,0)))</f>
        <v/>
      </c>
      <c r="Z286" s="9">
        <f>IF(LEFT(B286,4)&lt;&gt;"    ",0,IF(V286&gt;0.1,BI286,0))</f>
        <v/>
      </c>
      <c r="AA286" s="9">
        <f>Y286-Z286</f>
        <v/>
      </c>
      <c r="AB286" s="10" t="n"/>
      <c r="AC286" s="24" t="n"/>
      <c r="AD286" s="11" t="n"/>
      <c r="AE286" s="8" t="n"/>
      <c r="AF286" s="9">
        <f>IF(LEFT(B286,4)&lt;&gt;"    ","",AD286-AE286)</f>
        <v/>
      </c>
      <c r="AG286" s="10" t="n"/>
      <c r="AH286" s="11">
        <f>IF(LEFT(B286,4)&lt;&gt;"    ","",W286-AD286)</f>
        <v/>
      </c>
      <c r="AI286" s="8">
        <f>IF(LEFT(B286,4)&lt;&gt;"    ","",X286-AE286)</f>
        <v/>
      </c>
      <c r="AJ286" s="9">
        <f>IF(LEFT(B286,4)&lt;&gt;"    ","",Y286-AF286)</f>
        <v/>
      </c>
      <c r="AK286" s="10" t="n"/>
      <c r="AL286" s="25">
        <f>IF(LEFT(B286,4)&lt;&gt;"    ","",J286-W286)</f>
        <v/>
      </c>
      <c r="AM286" s="25">
        <f>N286-X286</f>
        <v/>
      </c>
      <c r="AN286" s="25">
        <f>IF(LEFT(B286,4)&lt;&gt;"    ","",Q286-Y286)</f>
        <v/>
      </c>
      <c r="AO286" s="10" t="n"/>
      <c r="AP286" s="12" t="n"/>
      <c r="AQ286" s="12">
        <f>IF(LEFT(B286,4)&lt;&gt;"    ","",IF(W286-AP286&gt;=0,W286-AP286," "))</f>
        <v/>
      </c>
      <c r="AR286" s="12">
        <f>IF(LEFT(B286,4)&lt;&gt;"    ","",IF(AP286-W286&gt;=0,AP286-W286," "))</f>
        <v/>
      </c>
      <c r="AS286" s="186" t="n"/>
      <c r="AT286" s="187" t="n"/>
      <c r="AU286" s="186" t="n"/>
      <c r="AV286" s="186" t="n"/>
      <c r="AW286" s="188" t="n"/>
      <c r="AX286" s="187" t="n"/>
      <c r="AY286" s="187" t="n"/>
      <c r="AZ286" s="186" t="n"/>
      <c r="BA286" s="186" t="n"/>
      <c r="BB286" s="186" t="n"/>
      <c r="BC286" s="186" t="n"/>
      <c r="BD286" s="186" t="n"/>
      <c r="BE286" s="186" t="n"/>
      <c r="BF286" s="186" t="n"/>
      <c r="BG286" s="186" t="n"/>
      <c r="BH286" s="186" t="n"/>
      <c r="BI286" s="186" t="n"/>
      <c r="BJ286" s="186" t="n"/>
      <c r="BK286" s="186" t="n"/>
      <c r="BL286" s="186" t="n"/>
      <c r="BM286" s="186" t="n"/>
      <c r="BN286" s="186" t="n"/>
      <c r="BO286" s="186" t="n"/>
      <c r="BP286" s="186" t="n"/>
      <c r="BQ286" s="186" t="n"/>
      <c r="BR286" s="186" t="n"/>
      <c r="BS286" s="186" t="n"/>
      <c r="BT286" s="186" t="n"/>
      <c r="BU286" s="186" t="n"/>
      <c r="BV286" s="190" t="n"/>
      <c r="BW286" s="186" t="n"/>
      <c r="BX286" s="186" t="n"/>
      <c r="BY286" s="186" t="n"/>
      <c r="BZ286" s="186" t="n"/>
      <c r="CA286" s="186" t="n"/>
      <c r="CB286" s="187" t="n"/>
      <c r="CC286" s="192" t="n"/>
      <c r="CD286" s="192" t="n"/>
      <c r="CE286" s="192" t="n"/>
      <c r="CF286" s="192" t="n"/>
    </row>
    <row r="287">
      <c r="A287" s="197" t="n"/>
      <c r="B287" s="198" t="n"/>
      <c r="C287" s="198" t="n"/>
      <c r="D287" s="179" t="n"/>
      <c r="E287" s="180" t="n"/>
      <c r="F287" s="181" t="n"/>
      <c r="G287" s="284">
        <f>'Jobs-Ops'!G287</f>
        <v/>
      </c>
      <c r="H287" s="114">
        <f>'Jobs-Ops'!H287</f>
        <v/>
      </c>
      <c r="I287" s="105" t="n"/>
      <c r="J287" s="183">
        <f>F287</f>
        <v/>
      </c>
      <c r="K287" s="184" t="n"/>
      <c r="L287" s="185" t="n"/>
      <c r="M287" s="8" t="n"/>
      <c r="N287" s="71">
        <f>M287</f>
        <v/>
      </c>
      <c r="O287" s="71" t="n"/>
      <c r="P287" s="101" t="n"/>
      <c r="Q287" s="9">
        <f>J287-N287</f>
        <v/>
      </c>
      <c r="R287" s="9">
        <f>IF(LEFT(B287,4)&lt;&gt;"    ",0,BI287)</f>
        <v/>
      </c>
      <c r="S287" s="9">
        <f>+Q287-R287</f>
        <v/>
      </c>
      <c r="T287" s="200">
        <f>IF('Jobs-Ops'!S287&lt;&gt; "",'Jobs-Ops'!S287,"")</f>
        <v/>
      </c>
      <c r="U287" s="10" t="n"/>
      <c r="V287" s="23">
        <f>IF(LEFT(B287,4)&lt;&gt;"    ","",IF(N287&lt;&gt;0,X287/N287,0))</f>
        <v/>
      </c>
      <c r="W287" s="11">
        <f>IF(LEFT(B287,4)&lt;&gt;"    ","",IF(V287&gt;=0.1,V287*J287,X287))</f>
        <v/>
      </c>
      <c r="X287" s="8" t="n"/>
      <c r="Y287" s="9">
        <f>IF(LEFT(B287,4)&lt;&gt;"    ",0,IF(Q287&lt;0,Q287,IF(V287&gt;0.1,W287-X287,0)))</f>
        <v/>
      </c>
      <c r="Z287" s="9">
        <f>IF(LEFT(B287,4)&lt;&gt;"    ",0,IF(V287&gt;0.1,BI287,0))</f>
        <v/>
      </c>
      <c r="AA287" s="9">
        <f>Y287-Z287</f>
        <v/>
      </c>
      <c r="AB287" s="10" t="n"/>
      <c r="AC287" s="24" t="n"/>
      <c r="AD287" s="11" t="n"/>
      <c r="AE287" s="8" t="n"/>
      <c r="AF287" s="9">
        <f>IF(LEFT(B287,4)&lt;&gt;"    ","",AD287-AE287)</f>
        <v/>
      </c>
      <c r="AG287" s="10" t="n"/>
      <c r="AH287" s="11">
        <f>IF(LEFT(B287,4)&lt;&gt;"    ","",W287-AD287)</f>
        <v/>
      </c>
      <c r="AI287" s="8">
        <f>IF(LEFT(B287,4)&lt;&gt;"    ","",X287-AE287)</f>
        <v/>
      </c>
      <c r="AJ287" s="9">
        <f>IF(LEFT(B287,4)&lt;&gt;"    ","",Y287-AF287)</f>
        <v/>
      </c>
      <c r="AK287" s="10" t="n"/>
      <c r="AL287" s="25">
        <f>IF(LEFT(B287,4)&lt;&gt;"    ","",J287-W287)</f>
        <v/>
      </c>
      <c r="AM287" s="25">
        <f>N287-X287</f>
        <v/>
      </c>
      <c r="AN287" s="25">
        <f>IF(LEFT(B287,4)&lt;&gt;"    ","",Q287-Y287)</f>
        <v/>
      </c>
      <c r="AO287" s="10" t="n"/>
      <c r="AP287" s="12" t="n"/>
      <c r="AQ287" s="12">
        <f>IF(LEFT(B287,4)&lt;&gt;"    ","",IF(W287-AP287&gt;=0,W287-AP287," "))</f>
        <v/>
      </c>
      <c r="AR287" s="12">
        <f>IF(LEFT(B287,4)&lt;&gt;"    ","",IF(AP287-W287&gt;=0,AP287-W287," "))</f>
        <v/>
      </c>
      <c r="AS287" s="186" t="n"/>
      <c r="AT287" s="187" t="n"/>
      <c r="AU287" s="186" t="n"/>
      <c r="AV287" s="186" t="n"/>
      <c r="AW287" s="188" t="n"/>
      <c r="AX287" s="187" t="n"/>
      <c r="AY287" s="187" t="n"/>
      <c r="AZ287" s="186" t="n"/>
      <c r="BA287" s="186" t="n"/>
      <c r="BB287" s="186" t="n"/>
      <c r="BC287" s="186" t="n"/>
      <c r="BD287" s="186" t="n"/>
      <c r="BE287" s="186" t="n"/>
      <c r="BF287" s="186" t="n"/>
      <c r="BG287" s="186" t="n"/>
      <c r="BH287" s="186" t="n"/>
      <c r="BI287" s="186" t="n"/>
      <c r="BJ287" s="186" t="n"/>
      <c r="BK287" s="186" t="n"/>
      <c r="BL287" s="186" t="n"/>
      <c r="BM287" s="186" t="n"/>
      <c r="BN287" s="186" t="n"/>
      <c r="BO287" s="186" t="n"/>
      <c r="BP287" s="186" t="n"/>
      <c r="BQ287" s="186" t="n"/>
      <c r="BR287" s="186" t="n"/>
      <c r="BS287" s="186" t="n"/>
      <c r="BT287" s="186" t="n"/>
      <c r="BU287" s="186" t="n"/>
      <c r="BV287" s="190" t="n"/>
      <c r="BW287" s="186" t="n"/>
      <c r="BX287" s="186" t="n"/>
      <c r="BY287" s="186" t="n"/>
      <c r="BZ287" s="186" t="n"/>
      <c r="CA287" s="186" t="n"/>
      <c r="CB287" s="187" t="n"/>
      <c r="CC287" s="192" t="n"/>
      <c r="CD287" s="192" t="n"/>
      <c r="CE287" s="192" t="n"/>
      <c r="CF287" s="192" t="n"/>
    </row>
    <row r="288">
      <c r="A288" s="197" t="n"/>
      <c r="B288" s="198" t="n"/>
      <c r="C288" s="198" t="n"/>
      <c r="D288" s="179" t="n"/>
      <c r="E288" s="180" t="n"/>
      <c r="F288" s="181" t="n"/>
      <c r="G288" s="284">
        <f>'Jobs-Ops'!G288</f>
        <v/>
      </c>
      <c r="H288" s="114">
        <f>'Jobs-Ops'!H288</f>
        <v/>
      </c>
      <c r="I288" s="105" t="n"/>
      <c r="J288" s="183">
        <f>F288</f>
        <v/>
      </c>
      <c r="K288" s="184" t="n"/>
      <c r="L288" s="185" t="n"/>
      <c r="M288" s="8" t="n"/>
      <c r="N288" s="71">
        <f>M288</f>
        <v/>
      </c>
      <c r="O288" s="71" t="n"/>
      <c r="P288" s="101" t="n"/>
      <c r="Q288" s="9">
        <f>J288-N288</f>
        <v/>
      </c>
      <c r="R288" s="9">
        <f>IF(LEFT(B288,4)&lt;&gt;"    ",0,BI288)</f>
        <v/>
      </c>
      <c r="S288" s="9">
        <f>+Q288-R288</f>
        <v/>
      </c>
      <c r="T288" s="200">
        <f>IF('Jobs-Ops'!S288&lt;&gt; "",'Jobs-Ops'!S288,"")</f>
        <v/>
      </c>
      <c r="U288" s="10" t="n"/>
      <c r="V288" s="23">
        <f>IF(LEFT(B288,4)&lt;&gt;"    ","",IF(N288&lt;&gt;0,X288/N288,0))</f>
        <v/>
      </c>
      <c r="W288" s="11">
        <f>IF(LEFT(B288,4)&lt;&gt;"    ","",IF(V288&gt;=0.1,V288*J288,X288))</f>
        <v/>
      </c>
      <c r="X288" s="8" t="n"/>
      <c r="Y288" s="9">
        <f>IF(LEFT(B288,4)&lt;&gt;"    ",0,IF(Q288&lt;0,Q288,IF(V288&gt;0.1,W288-X288,0)))</f>
        <v/>
      </c>
      <c r="Z288" s="9">
        <f>IF(LEFT(B288,4)&lt;&gt;"    ",0,IF(V288&gt;0.1,BI288,0))</f>
        <v/>
      </c>
      <c r="AA288" s="9">
        <f>Y288-Z288</f>
        <v/>
      </c>
      <c r="AB288" s="10" t="n"/>
      <c r="AC288" s="24" t="n"/>
      <c r="AD288" s="11" t="n"/>
      <c r="AE288" s="8" t="n"/>
      <c r="AF288" s="9">
        <f>IF(LEFT(B288,4)&lt;&gt;"    ","",AD288-AE288)</f>
        <v/>
      </c>
      <c r="AG288" s="10" t="n"/>
      <c r="AH288" s="11">
        <f>IF(LEFT(B288,4)&lt;&gt;"    ","",W288-AD288)</f>
        <v/>
      </c>
      <c r="AI288" s="8">
        <f>IF(LEFT(B288,4)&lt;&gt;"    ","",X288-AE288)</f>
        <v/>
      </c>
      <c r="AJ288" s="9">
        <f>IF(LEFT(B288,4)&lt;&gt;"    ","",Y288-AF288)</f>
        <v/>
      </c>
      <c r="AK288" s="10" t="n"/>
      <c r="AL288" s="25">
        <f>IF(LEFT(B288,4)&lt;&gt;"    ","",J288-W288)</f>
        <v/>
      </c>
      <c r="AM288" s="25">
        <f>N288-X288</f>
        <v/>
      </c>
      <c r="AN288" s="25">
        <f>IF(LEFT(B288,4)&lt;&gt;"    ","",Q288-Y288)</f>
        <v/>
      </c>
      <c r="AO288" s="10" t="n"/>
      <c r="AP288" s="12" t="n"/>
      <c r="AQ288" s="12">
        <f>IF(LEFT(B288,4)&lt;&gt;"    ","",IF(W288-AP288&gt;=0,W288-AP288," "))</f>
        <v/>
      </c>
      <c r="AR288" s="12">
        <f>IF(LEFT(B288,4)&lt;&gt;"    ","",IF(AP288-W288&gt;=0,AP288-W288," "))</f>
        <v/>
      </c>
      <c r="AS288" s="186" t="n"/>
      <c r="AT288" s="187" t="n"/>
      <c r="AU288" s="186" t="n"/>
      <c r="AV288" s="186" t="n"/>
      <c r="AW288" s="188" t="n"/>
      <c r="AX288" s="187" t="n"/>
      <c r="AY288" s="187" t="n"/>
      <c r="AZ288" s="186" t="n"/>
      <c r="BA288" s="186" t="n"/>
      <c r="BB288" s="186" t="n"/>
      <c r="BC288" s="186" t="n"/>
      <c r="BD288" s="186" t="n"/>
      <c r="BE288" s="186" t="n"/>
      <c r="BF288" s="186" t="n"/>
      <c r="BG288" s="186" t="n"/>
      <c r="BH288" s="186" t="n"/>
      <c r="BI288" s="186" t="n"/>
      <c r="BJ288" s="186" t="n"/>
      <c r="BK288" s="186" t="n"/>
      <c r="BL288" s="186" t="n"/>
      <c r="BM288" s="186" t="n"/>
      <c r="BN288" s="186" t="n"/>
      <c r="BO288" s="186" t="n"/>
      <c r="BP288" s="186" t="n"/>
      <c r="BQ288" s="186" t="n"/>
      <c r="BR288" s="186" t="n"/>
      <c r="BS288" s="186" t="n"/>
      <c r="BT288" s="186" t="n"/>
      <c r="BU288" s="186" t="n"/>
      <c r="BV288" s="190" t="n"/>
      <c r="BW288" s="186" t="n"/>
      <c r="BX288" s="186" t="n"/>
      <c r="BY288" s="186" t="n"/>
      <c r="BZ288" s="186" t="n"/>
      <c r="CA288" s="186" t="n"/>
      <c r="CB288" s="187" t="n"/>
      <c r="CC288" s="192" t="n"/>
      <c r="CD288" s="192" t="n"/>
      <c r="CE288" s="192" t="n"/>
      <c r="CF288" s="192" t="n"/>
    </row>
    <row r="289">
      <c r="A289" s="197" t="n"/>
      <c r="B289" s="198" t="n"/>
      <c r="C289" s="198" t="n"/>
      <c r="D289" s="179" t="n"/>
      <c r="E289" s="180" t="n"/>
      <c r="F289" s="181" t="n"/>
      <c r="G289" s="284">
        <f>'Jobs-Ops'!G289</f>
        <v/>
      </c>
      <c r="H289" s="114">
        <f>'Jobs-Ops'!H289</f>
        <v/>
      </c>
      <c r="I289" s="105" t="n"/>
      <c r="J289" s="183">
        <f>F289</f>
        <v/>
      </c>
      <c r="K289" s="184" t="n"/>
      <c r="L289" s="185" t="n"/>
      <c r="M289" s="8" t="n"/>
      <c r="N289" s="71">
        <f>M289</f>
        <v/>
      </c>
      <c r="O289" s="71" t="n"/>
      <c r="P289" s="101" t="n"/>
      <c r="Q289" s="9">
        <f>J289-N289</f>
        <v/>
      </c>
      <c r="R289" s="9">
        <f>IF(LEFT(B289,4)&lt;&gt;"    ",0,BI289)</f>
        <v/>
      </c>
      <c r="S289" s="9">
        <f>+Q289-R289</f>
        <v/>
      </c>
      <c r="T289" s="200">
        <f>IF('Jobs-Ops'!S289&lt;&gt; "",'Jobs-Ops'!S289,"")</f>
        <v/>
      </c>
      <c r="U289" s="10" t="n"/>
      <c r="V289" s="23">
        <f>IF(LEFT(B289,4)&lt;&gt;"    ","",IF(N289&lt;&gt;0,X289/N289,0))</f>
        <v/>
      </c>
      <c r="W289" s="11">
        <f>IF(LEFT(B289,4)&lt;&gt;"    ","",IF(V289&gt;=0.1,V289*J289,X289))</f>
        <v/>
      </c>
      <c r="X289" s="8" t="n"/>
      <c r="Y289" s="9">
        <f>IF(LEFT(B289,4)&lt;&gt;"    ",0,IF(Q289&lt;0,Q289,IF(V289&gt;0.1,W289-X289,0)))</f>
        <v/>
      </c>
      <c r="Z289" s="9">
        <f>IF(LEFT(B289,4)&lt;&gt;"    ",0,IF(V289&gt;0.1,BI289,0))</f>
        <v/>
      </c>
      <c r="AA289" s="9">
        <f>Y289-Z289</f>
        <v/>
      </c>
      <c r="AB289" s="10" t="n"/>
      <c r="AC289" s="24" t="n"/>
      <c r="AD289" s="11" t="n"/>
      <c r="AE289" s="8" t="n"/>
      <c r="AF289" s="9">
        <f>IF(LEFT(B289,4)&lt;&gt;"    ","",AD289-AE289)</f>
        <v/>
      </c>
      <c r="AG289" s="10" t="n"/>
      <c r="AH289" s="11">
        <f>IF(LEFT(B289,4)&lt;&gt;"    ","",W289-AD289)</f>
        <v/>
      </c>
      <c r="AI289" s="8">
        <f>IF(LEFT(B289,4)&lt;&gt;"    ","",X289-AE289)</f>
        <v/>
      </c>
      <c r="AJ289" s="9">
        <f>IF(LEFT(B289,4)&lt;&gt;"    ","",Y289-AF289)</f>
        <v/>
      </c>
      <c r="AK289" s="10" t="n"/>
      <c r="AL289" s="25">
        <f>IF(LEFT(B289,4)&lt;&gt;"    ","",J289-W289)</f>
        <v/>
      </c>
      <c r="AM289" s="25">
        <f>N289-X289</f>
        <v/>
      </c>
      <c r="AN289" s="25">
        <f>IF(LEFT(B289,4)&lt;&gt;"    ","",Q289-Y289)</f>
        <v/>
      </c>
      <c r="AO289" s="10" t="n"/>
      <c r="AP289" s="12" t="n"/>
      <c r="AQ289" s="12">
        <f>IF(LEFT(B289,4)&lt;&gt;"    ","",IF(W289-AP289&gt;=0,W289-AP289," "))</f>
        <v/>
      </c>
      <c r="AR289" s="12">
        <f>IF(LEFT(B289,4)&lt;&gt;"    ","",IF(AP289-W289&gt;=0,AP289-W289," "))</f>
        <v/>
      </c>
      <c r="AS289" s="186" t="n"/>
      <c r="AT289" s="187" t="n"/>
      <c r="AU289" s="186" t="n"/>
      <c r="AV289" s="186" t="n"/>
      <c r="AW289" s="188" t="n"/>
      <c r="AX289" s="187" t="n"/>
      <c r="AY289" s="187" t="n"/>
      <c r="AZ289" s="186" t="n"/>
      <c r="BA289" s="186" t="n"/>
      <c r="BB289" s="186" t="n"/>
      <c r="BC289" s="186" t="n"/>
      <c r="BD289" s="186" t="n"/>
      <c r="BE289" s="186" t="n"/>
      <c r="BF289" s="186" t="n"/>
      <c r="BG289" s="186" t="n"/>
      <c r="BH289" s="186" t="n"/>
      <c r="BI289" s="186" t="n"/>
      <c r="BJ289" s="186" t="n"/>
      <c r="BK289" s="186" t="n"/>
      <c r="BL289" s="186" t="n"/>
      <c r="BM289" s="186" t="n"/>
      <c r="BN289" s="186" t="n"/>
      <c r="BO289" s="186" t="n"/>
      <c r="BP289" s="186" t="n"/>
      <c r="BQ289" s="186" t="n"/>
      <c r="BR289" s="186" t="n"/>
      <c r="BS289" s="186" t="n"/>
      <c r="BT289" s="186" t="n"/>
      <c r="BU289" s="186" t="n"/>
      <c r="BV289" s="190" t="n"/>
      <c r="BW289" s="186" t="n"/>
      <c r="BX289" s="186" t="n"/>
      <c r="BY289" s="186" t="n"/>
      <c r="BZ289" s="186" t="n"/>
      <c r="CA289" s="186" t="n"/>
      <c r="CB289" s="187" t="n"/>
      <c r="CC289" s="192" t="n"/>
      <c r="CD289" s="192" t="n"/>
      <c r="CE289" s="192" t="n"/>
      <c r="CF289" s="192" t="n"/>
    </row>
    <row r="290">
      <c r="A290" s="197" t="n"/>
      <c r="B290" s="198" t="n"/>
      <c r="C290" s="198" t="n"/>
      <c r="D290" s="179" t="n"/>
      <c r="E290" s="180" t="n"/>
      <c r="F290" s="181" t="n"/>
      <c r="G290" s="284">
        <f>'Jobs-Ops'!G290</f>
        <v/>
      </c>
      <c r="H290" s="114">
        <f>'Jobs-Ops'!H290</f>
        <v/>
      </c>
      <c r="I290" s="105" t="n"/>
      <c r="J290" s="183">
        <f>F290</f>
        <v/>
      </c>
      <c r="K290" s="184" t="n"/>
      <c r="L290" s="185" t="n"/>
      <c r="M290" s="8" t="n"/>
      <c r="N290" s="71">
        <f>M290</f>
        <v/>
      </c>
      <c r="O290" s="71" t="n"/>
      <c r="P290" s="101" t="n"/>
      <c r="Q290" s="9">
        <f>J290-N290</f>
        <v/>
      </c>
      <c r="R290" s="9">
        <f>IF(LEFT(B290,4)&lt;&gt;"    ",0,BI290)</f>
        <v/>
      </c>
      <c r="S290" s="9">
        <f>+Q290-R290</f>
        <v/>
      </c>
      <c r="T290" s="200">
        <f>IF('Jobs-Ops'!S290&lt;&gt; "",'Jobs-Ops'!S290,"")</f>
        <v/>
      </c>
      <c r="U290" s="10" t="n"/>
      <c r="V290" s="23">
        <f>IF(LEFT(B290,4)&lt;&gt;"    ","",IF(N290&lt;&gt;0,X290/N290,0))</f>
        <v/>
      </c>
      <c r="W290" s="11">
        <f>IF(LEFT(B290,4)&lt;&gt;"    ","",IF(V290&gt;=0.1,V290*J290,X290))</f>
        <v/>
      </c>
      <c r="X290" s="8" t="n"/>
      <c r="Y290" s="9">
        <f>IF(LEFT(B290,4)&lt;&gt;"    ",0,IF(Q290&lt;0,Q290,IF(V290&gt;0.1,W290-X290,0)))</f>
        <v/>
      </c>
      <c r="Z290" s="9">
        <f>IF(LEFT(B290,4)&lt;&gt;"    ",0,IF(V290&gt;0.1,BI290,0))</f>
        <v/>
      </c>
      <c r="AA290" s="9">
        <f>Y290-Z290</f>
        <v/>
      </c>
      <c r="AB290" s="10" t="n"/>
      <c r="AC290" s="24" t="n"/>
      <c r="AD290" s="11" t="n"/>
      <c r="AE290" s="8" t="n"/>
      <c r="AF290" s="9">
        <f>IF(LEFT(B290,4)&lt;&gt;"    ","",AD290-AE290)</f>
        <v/>
      </c>
      <c r="AG290" s="10" t="n"/>
      <c r="AH290" s="11">
        <f>IF(LEFT(B290,4)&lt;&gt;"    ","",W290-AD290)</f>
        <v/>
      </c>
      <c r="AI290" s="8">
        <f>IF(LEFT(B290,4)&lt;&gt;"    ","",X290-AE290)</f>
        <v/>
      </c>
      <c r="AJ290" s="9">
        <f>IF(LEFT(B290,4)&lt;&gt;"    ","",Y290-AF290)</f>
        <v/>
      </c>
      <c r="AK290" s="10" t="n"/>
      <c r="AL290" s="25">
        <f>IF(LEFT(B290,4)&lt;&gt;"    ","",J290-W290)</f>
        <v/>
      </c>
      <c r="AM290" s="25">
        <f>N290-X290</f>
        <v/>
      </c>
      <c r="AN290" s="25">
        <f>IF(LEFT(B290,4)&lt;&gt;"    ","",Q290-Y290)</f>
        <v/>
      </c>
      <c r="AO290" s="10" t="n"/>
      <c r="AP290" s="12" t="n"/>
      <c r="AQ290" s="12">
        <f>IF(LEFT(B290,4)&lt;&gt;"    ","",IF(W290-AP290&gt;=0,W290-AP290," "))</f>
        <v/>
      </c>
      <c r="AR290" s="12">
        <f>IF(LEFT(B290,4)&lt;&gt;"    ","",IF(AP290-W290&gt;=0,AP290-W290," "))</f>
        <v/>
      </c>
      <c r="AS290" s="186" t="n"/>
      <c r="AT290" s="187" t="n"/>
      <c r="AU290" s="186" t="n"/>
      <c r="AV290" s="186" t="n"/>
      <c r="AW290" s="188" t="n"/>
      <c r="AX290" s="187" t="n"/>
      <c r="AY290" s="187" t="n"/>
      <c r="AZ290" s="186" t="n"/>
      <c r="BA290" s="186" t="n"/>
      <c r="BB290" s="186" t="n"/>
      <c r="BC290" s="186" t="n"/>
      <c r="BD290" s="186" t="n"/>
      <c r="BE290" s="186" t="n"/>
      <c r="BF290" s="186" t="n"/>
      <c r="BG290" s="186" t="n"/>
      <c r="BH290" s="186" t="n"/>
      <c r="BI290" s="186" t="n"/>
      <c r="BJ290" s="186" t="n"/>
      <c r="BK290" s="186" t="n"/>
      <c r="BL290" s="186" t="n"/>
      <c r="BM290" s="186" t="n"/>
      <c r="BN290" s="186" t="n"/>
      <c r="BO290" s="186" t="n"/>
      <c r="BP290" s="186" t="n"/>
      <c r="BQ290" s="186" t="n"/>
      <c r="BR290" s="186" t="n"/>
      <c r="BS290" s="186" t="n"/>
      <c r="BT290" s="186" t="n"/>
      <c r="BU290" s="186" t="n"/>
      <c r="BV290" s="190" t="n"/>
      <c r="BW290" s="186" t="n"/>
      <c r="BX290" s="186" t="n"/>
      <c r="BY290" s="186" t="n"/>
      <c r="BZ290" s="186" t="n"/>
      <c r="CA290" s="186" t="n"/>
      <c r="CB290" s="187" t="n"/>
      <c r="CC290" s="192" t="n"/>
      <c r="CD290" s="192" t="n"/>
      <c r="CE290" s="192" t="n"/>
      <c r="CF290" s="192" t="n"/>
    </row>
    <row r="291">
      <c r="A291" s="197" t="n"/>
      <c r="B291" s="198" t="n"/>
      <c r="C291" s="198" t="n"/>
      <c r="D291" s="179" t="n"/>
      <c r="E291" s="180" t="n"/>
      <c r="F291" s="181" t="n"/>
      <c r="G291" s="284">
        <f>'Jobs-Ops'!G291</f>
        <v/>
      </c>
      <c r="H291" s="114">
        <f>'Jobs-Ops'!H291</f>
        <v/>
      </c>
      <c r="I291" s="105" t="n"/>
      <c r="J291" s="183">
        <f>F291</f>
        <v/>
      </c>
      <c r="K291" s="184" t="n"/>
      <c r="L291" s="185" t="n"/>
      <c r="M291" s="8" t="n"/>
      <c r="N291" s="71">
        <f>M291</f>
        <v/>
      </c>
      <c r="O291" s="71" t="n"/>
      <c r="P291" s="101" t="n"/>
      <c r="Q291" s="9">
        <f>J291-N291</f>
        <v/>
      </c>
      <c r="R291" s="9">
        <f>IF(LEFT(B291,4)&lt;&gt;"    ",0,BI291)</f>
        <v/>
      </c>
      <c r="S291" s="9">
        <f>+Q291-R291</f>
        <v/>
      </c>
      <c r="T291" s="200">
        <f>IF('Jobs-Ops'!S291&lt;&gt; "",'Jobs-Ops'!S291,"")</f>
        <v/>
      </c>
      <c r="U291" s="10" t="n"/>
      <c r="V291" s="23">
        <f>IF(LEFT(B291,4)&lt;&gt;"    ","",IF(N291&lt;&gt;0,X291/N291,0))</f>
        <v/>
      </c>
      <c r="W291" s="11">
        <f>IF(LEFT(B291,4)&lt;&gt;"    ","",IF(V291&gt;=0.1,V291*J291,X291))</f>
        <v/>
      </c>
      <c r="X291" s="8" t="n"/>
      <c r="Y291" s="9">
        <f>IF(LEFT(B291,4)&lt;&gt;"    ",0,IF(Q291&lt;0,Q291,IF(V291&gt;0.1,W291-X291,0)))</f>
        <v/>
      </c>
      <c r="Z291" s="9">
        <f>IF(LEFT(B291,4)&lt;&gt;"    ",0,IF(V291&gt;0.1,BI291,0))</f>
        <v/>
      </c>
      <c r="AA291" s="9">
        <f>Y291-Z291</f>
        <v/>
      </c>
      <c r="AB291" s="10" t="n"/>
      <c r="AC291" s="24" t="n"/>
      <c r="AD291" s="11" t="n"/>
      <c r="AE291" s="8" t="n"/>
      <c r="AF291" s="9">
        <f>IF(LEFT(B291,4)&lt;&gt;"    ","",AD291-AE291)</f>
        <v/>
      </c>
      <c r="AG291" s="10" t="n"/>
      <c r="AH291" s="11">
        <f>IF(LEFT(B291,4)&lt;&gt;"    ","",W291-AD291)</f>
        <v/>
      </c>
      <c r="AI291" s="8">
        <f>IF(LEFT(B291,4)&lt;&gt;"    ","",X291-AE291)</f>
        <v/>
      </c>
      <c r="AJ291" s="9">
        <f>IF(LEFT(B291,4)&lt;&gt;"    ","",Y291-AF291)</f>
        <v/>
      </c>
      <c r="AK291" s="10" t="n"/>
      <c r="AL291" s="25">
        <f>IF(LEFT(B291,4)&lt;&gt;"    ","",J291-W291)</f>
        <v/>
      </c>
      <c r="AM291" s="25">
        <f>N291-X291</f>
        <v/>
      </c>
      <c r="AN291" s="25">
        <f>IF(LEFT(B291,4)&lt;&gt;"    ","",Q291-Y291)</f>
        <v/>
      </c>
      <c r="AO291" s="10" t="n"/>
      <c r="AP291" s="12" t="n"/>
      <c r="AQ291" s="12">
        <f>IF(LEFT(B291,4)&lt;&gt;"    ","",IF(W291-AP291&gt;=0,W291-AP291," "))</f>
        <v/>
      </c>
      <c r="AR291" s="12">
        <f>IF(LEFT(B291,4)&lt;&gt;"    ","",IF(AP291-W291&gt;=0,AP291-W291," "))</f>
        <v/>
      </c>
      <c r="AS291" s="186" t="n"/>
      <c r="AT291" s="187" t="n"/>
      <c r="AU291" s="186" t="n"/>
      <c r="AV291" s="186" t="n"/>
      <c r="AW291" s="188" t="n"/>
      <c r="AX291" s="187" t="n"/>
      <c r="AY291" s="187" t="n"/>
      <c r="AZ291" s="186" t="n"/>
      <c r="BA291" s="186" t="n"/>
      <c r="BB291" s="186" t="n"/>
      <c r="BC291" s="186" t="n"/>
      <c r="BD291" s="186" t="n"/>
      <c r="BE291" s="186" t="n"/>
      <c r="BF291" s="186" t="n"/>
      <c r="BG291" s="186" t="n"/>
      <c r="BH291" s="186" t="n"/>
      <c r="BI291" s="186" t="n"/>
      <c r="BJ291" s="186" t="n"/>
      <c r="BK291" s="186" t="n"/>
      <c r="BL291" s="186" t="n"/>
      <c r="BM291" s="186" t="n"/>
      <c r="BN291" s="186" t="n"/>
      <c r="BO291" s="186" t="n"/>
      <c r="BP291" s="186" t="n"/>
      <c r="BQ291" s="186" t="n"/>
      <c r="BR291" s="186" t="n"/>
      <c r="BS291" s="186" t="n"/>
      <c r="BT291" s="186" t="n"/>
      <c r="BU291" s="186" t="n"/>
      <c r="BV291" s="190" t="n"/>
      <c r="BW291" s="186" t="n"/>
      <c r="BX291" s="186" t="n"/>
      <c r="BY291" s="186" t="n"/>
      <c r="BZ291" s="186" t="n"/>
      <c r="CA291" s="186" t="n"/>
      <c r="CB291" s="187" t="n"/>
      <c r="CC291" s="192" t="n"/>
      <c r="CD291" s="192" t="n"/>
      <c r="CE291" s="192" t="n"/>
      <c r="CF291" s="192" t="n"/>
    </row>
    <row r="292">
      <c r="A292" s="197" t="n"/>
      <c r="B292" s="198" t="n"/>
      <c r="C292" s="198" t="n"/>
      <c r="D292" s="179" t="n"/>
      <c r="E292" s="180" t="n"/>
      <c r="F292" s="181" t="n"/>
      <c r="G292" s="284">
        <f>'Jobs-Ops'!G292</f>
        <v/>
      </c>
      <c r="H292" s="114">
        <f>'Jobs-Ops'!H292</f>
        <v/>
      </c>
      <c r="I292" s="105" t="n"/>
      <c r="J292" s="183">
        <f>F292</f>
        <v/>
      </c>
      <c r="K292" s="184" t="n"/>
      <c r="L292" s="185" t="n"/>
      <c r="M292" s="8" t="n"/>
      <c r="N292" s="71">
        <f>M292</f>
        <v/>
      </c>
      <c r="O292" s="71" t="n"/>
      <c r="P292" s="101" t="n"/>
      <c r="Q292" s="9">
        <f>J292-N292</f>
        <v/>
      </c>
      <c r="R292" s="9">
        <f>IF(LEFT(B292,4)&lt;&gt;"    ",0,BI292)</f>
        <v/>
      </c>
      <c r="S292" s="9">
        <f>+Q292-R292</f>
        <v/>
      </c>
      <c r="T292" s="200">
        <f>IF('Jobs-Ops'!S292&lt;&gt; "",'Jobs-Ops'!S292,"")</f>
        <v/>
      </c>
      <c r="U292" s="10" t="n"/>
      <c r="V292" s="23">
        <f>IF(LEFT(B292,4)&lt;&gt;"    ","",IF(N292&lt;&gt;0,X292/N292,0))</f>
        <v/>
      </c>
      <c r="W292" s="11">
        <f>IF(LEFT(B292,4)&lt;&gt;"    ","",IF(V292&gt;=0.1,V292*J292,X292))</f>
        <v/>
      </c>
      <c r="X292" s="8" t="n"/>
      <c r="Y292" s="9">
        <f>IF(LEFT(B292,4)&lt;&gt;"    ",0,IF(Q292&lt;0,Q292,IF(V292&gt;0.1,W292-X292,0)))</f>
        <v/>
      </c>
      <c r="Z292" s="9">
        <f>IF(LEFT(B292,4)&lt;&gt;"    ",0,IF(V292&gt;0.1,BI292,0))</f>
        <v/>
      </c>
      <c r="AA292" s="9">
        <f>Y292-Z292</f>
        <v/>
      </c>
      <c r="AB292" s="10" t="n"/>
      <c r="AC292" s="24" t="n"/>
      <c r="AD292" s="11" t="n"/>
      <c r="AE292" s="8" t="n"/>
      <c r="AF292" s="9">
        <f>IF(LEFT(B292,4)&lt;&gt;"    ","",AD292-AE292)</f>
        <v/>
      </c>
      <c r="AG292" s="10" t="n"/>
      <c r="AH292" s="11">
        <f>IF(LEFT(B292,4)&lt;&gt;"    ","",W292-AD292)</f>
        <v/>
      </c>
      <c r="AI292" s="8">
        <f>IF(LEFT(B292,4)&lt;&gt;"    ","",X292-AE292)</f>
        <v/>
      </c>
      <c r="AJ292" s="9">
        <f>IF(LEFT(B292,4)&lt;&gt;"    ","",Y292-AF292)</f>
        <v/>
      </c>
      <c r="AK292" s="10" t="n"/>
      <c r="AL292" s="25">
        <f>IF(LEFT(B292,4)&lt;&gt;"    ","",J292-W292)</f>
        <v/>
      </c>
      <c r="AM292" s="25">
        <f>N292-X292</f>
        <v/>
      </c>
      <c r="AN292" s="25">
        <f>IF(LEFT(B292,4)&lt;&gt;"    ","",Q292-Y292)</f>
        <v/>
      </c>
      <c r="AO292" s="10" t="n"/>
      <c r="AP292" s="12" t="n"/>
      <c r="AQ292" s="12">
        <f>IF(LEFT(B292,4)&lt;&gt;"    ","",IF(W292-AP292&gt;=0,W292-AP292," "))</f>
        <v/>
      </c>
      <c r="AR292" s="12">
        <f>IF(LEFT(B292,4)&lt;&gt;"    ","",IF(AP292-W292&gt;=0,AP292-W292," "))</f>
        <v/>
      </c>
      <c r="AS292" s="186" t="n"/>
      <c r="AT292" s="187" t="n"/>
      <c r="AU292" s="186" t="n"/>
      <c r="AV292" s="186" t="n"/>
      <c r="AW292" s="188" t="n"/>
      <c r="AX292" s="187" t="n"/>
      <c r="AY292" s="187" t="n"/>
      <c r="AZ292" s="186" t="n"/>
      <c r="BA292" s="186" t="n"/>
      <c r="BB292" s="186" t="n"/>
      <c r="BC292" s="186" t="n"/>
      <c r="BD292" s="186" t="n"/>
      <c r="BE292" s="186" t="n"/>
      <c r="BF292" s="186" t="n"/>
      <c r="BG292" s="186" t="n"/>
      <c r="BH292" s="186" t="n"/>
      <c r="BI292" s="186" t="n"/>
      <c r="BJ292" s="186" t="n"/>
      <c r="BK292" s="186" t="n"/>
      <c r="BL292" s="186" t="n"/>
      <c r="BM292" s="186" t="n"/>
      <c r="BN292" s="186" t="n"/>
      <c r="BO292" s="186" t="n"/>
      <c r="BP292" s="186" t="n"/>
      <c r="BQ292" s="186" t="n"/>
      <c r="BR292" s="186" t="n"/>
      <c r="BS292" s="186" t="n"/>
      <c r="BT292" s="186" t="n"/>
      <c r="BU292" s="186" t="n"/>
      <c r="BV292" s="190" t="n"/>
      <c r="BW292" s="186" t="n"/>
      <c r="BX292" s="186" t="n"/>
      <c r="BY292" s="186" t="n"/>
      <c r="BZ292" s="186" t="n"/>
      <c r="CA292" s="186" t="n"/>
      <c r="CB292" s="187" t="n"/>
      <c r="CC292" s="192" t="n"/>
      <c r="CD292" s="192" t="n"/>
      <c r="CE292" s="192" t="n"/>
      <c r="CF292" s="192" t="n"/>
    </row>
    <row r="293">
      <c r="A293" s="197" t="n"/>
      <c r="B293" s="198" t="n"/>
      <c r="C293" s="198" t="n"/>
      <c r="D293" s="179" t="n"/>
      <c r="E293" s="180" t="n"/>
      <c r="F293" s="181" t="n"/>
      <c r="G293" s="284">
        <f>'Jobs-Ops'!G293</f>
        <v/>
      </c>
      <c r="H293" s="114">
        <f>'Jobs-Ops'!H293</f>
        <v/>
      </c>
      <c r="I293" s="105" t="n"/>
      <c r="J293" s="183">
        <f>F293</f>
        <v/>
      </c>
      <c r="K293" s="184" t="n"/>
      <c r="L293" s="185" t="n"/>
      <c r="M293" s="8" t="n"/>
      <c r="N293" s="71">
        <f>M293</f>
        <v/>
      </c>
      <c r="O293" s="71" t="n"/>
      <c r="P293" s="101" t="n"/>
      <c r="Q293" s="9">
        <f>J293-N293</f>
        <v/>
      </c>
      <c r="R293" s="9">
        <f>IF(LEFT(B293,4)&lt;&gt;"    ",0,BI293)</f>
        <v/>
      </c>
      <c r="S293" s="9">
        <f>+Q293-R293</f>
        <v/>
      </c>
      <c r="T293" s="200">
        <f>IF('Jobs-Ops'!S293&lt;&gt; "",'Jobs-Ops'!S293,"")</f>
        <v/>
      </c>
      <c r="U293" s="10" t="n"/>
      <c r="V293" s="23">
        <f>IF(LEFT(B293,4)&lt;&gt;"    ","",IF(N293&lt;&gt;0,X293/N293,0))</f>
        <v/>
      </c>
      <c r="W293" s="11">
        <f>IF(LEFT(B293,4)&lt;&gt;"    ","",IF(V293&gt;=0.1,V293*J293,X293))</f>
        <v/>
      </c>
      <c r="X293" s="8" t="n"/>
      <c r="Y293" s="9">
        <f>IF(LEFT(B293,4)&lt;&gt;"    ",0,IF(Q293&lt;0,Q293,IF(V293&gt;0.1,W293-X293,0)))</f>
        <v/>
      </c>
      <c r="Z293" s="9">
        <f>IF(LEFT(B293,4)&lt;&gt;"    ",0,IF(V293&gt;0.1,BI293,0))</f>
        <v/>
      </c>
      <c r="AA293" s="9">
        <f>Y293-Z293</f>
        <v/>
      </c>
      <c r="AB293" s="10" t="n"/>
      <c r="AC293" s="24" t="n"/>
      <c r="AD293" s="11" t="n"/>
      <c r="AE293" s="8" t="n"/>
      <c r="AF293" s="9">
        <f>IF(LEFT(B293,4)&lt;&gt;"    ","",AD293-AE293)</f>
        <v/>
      </c>
      <c r="AG293" s="10" t="n"/>
      <c r="AH293" s="11">
        <f>IF(LEFT(B293,4)&lt;&gt;"    ","",W293-AD293)</f>
        <v/>
      </c>
      <c r="AI293" s="8">
        <f>IF(LEFT(B293,4)&lt;&gt;"    ","",X293-AE293)</f>
        <v/>
      </c>
      <c r="AJ293" s="9">
        <f>IF(LEFT(B293,4)&lt;&gt;"    ","",Y293-AF293)</f>
        <v/>
      </c>
      <c r="AK293" s="10" t="n"/>
      <c r="AL293" s="25">
        <f>IF(LEFT(B293,4)&lt;&gt;"    ","",J293-W293)</f>
        <v/>
      </c>
      <c r="AM293" s="25">
        <f>N293-X293</f>
        <v/>
      </c>
      <c r="AN293" s="25">
        <f>IF(LEFT(B293,4)&lt;&gt;"    ","",Q293-Y293)</f>
        <v/>
      </c>
      <c r="AO293" s="10" t="n"/>
      <c r="AP293" s="12" t="n"/>
      <c r="AQ293" s="12">
        <f>IF(LEFT(B293,4)&lt;&gt;"    ","",IF(W293-AP293&gt;=0,W293-AP293," "))</f>
        <v/>
      </c>
      <c r="AR293" s="12">
        <f>IF(LEFT(B293,4)&lt;&gt;"    ","",IF(AP293-W293&gt;=0,AP293-W293," "))</f>
        <v/>
      </c>
      <c r="AS293" s="186" t="n"/>
      <c r="AT293" s="187" t="n"/>
      <c r="AU293" s="186" t="n"/>
      <c r="AV293" s="186" t="n"/>
      <c r="AW293" s="188" t="n"/>
      <c r="AX293" s="187" t="n"/>
      <c r="AY293" s="187" t="n"/>
      <c r="AZ293" s="186" t="n"/>
      <c r="BA293" s="186" t="n"/>
      <c r="BB293" s="186" t="n"/>
      <c r="BC293" s="186" t="n"/>
      <c r="BD293" s="186" t="n"/>
      <c r="BE293" s="186" t="n"/>
      <c r="BF293" s="186" t="n"/>
      <c r="BG293" s="186" t="n"/>
      <c r="BH293" s="186" t="n"/>
      <c r="BI293" s="186" t="n"/>
      <c r="BJ293" s="186" t="n"/>
      <c r="BK293" s="186" t="n"/>
      <c r="BL293" s="186" t="n"/>
      <c r="BM293" s="186" t="n"/>
      <c r="BN293" s="186" t="n"/>
      <c r="BO293" s="186" t="n"/>
      <c r="BP293" s="186" t="n"/>
      <c r="BQ293" s="186" t="n"/>
      <c r="BR293" s="186" t="n"/>
      <c r="BS293" s="186" t="n"/>
      <c r="BT293" s="186" t="n"/>
      <c r="BU293" s="186" t="n"/>
      <c r="BV293" s="190" t="n"/>
      <c r="BW293" s="186" t="n"/>
      <c r="BX293" s="186" t="n"/>
      <c r="BY293" s="186" t="n"/>
      <c r="BZ293" s="186" t="n"/>
      <c r="CA293" s="186" t="n"/>
      <c r="CB293" s="187" t="n"/>
      <c r="CC293" s="192" t="n"/>
      <c r="CD293" s="192" t="n"/>
      <c r="CE293" s="192" t="n"/>
      <c r="CF293" s="192" t="n"/>
    </row>
    <row r="294">
      <c r="A294" s="197" t="n"/>
      <c r="B294" s="198" t="n"/>
      <c r="C294" s="198" t="n"/>
      <c r="D294" s="179" t="n"/>
      <c r="E294" s="180" t="n"/>
      <c r="F294" s="181" t="n"/>
      <c r="G294" s="284">
        <f>'Jobs-Ops'!G294</f>
        <v/>
      </c>
      <c r="H294" s="114">
        <f>'Jobs-Ops'!H294</f>
        <v/>
      </c>
      <c r="I294" s="105" t="n"/>
      <c r="J294" s="183">
        <f>F294</f>
        <v/>
      </c>
      <c r="K294" s="184" t="n"/>
      <c r="L294" s="185" t="n"/>
      <c r="M294" s="8" t="n"/>
      <c r="N294" s="71">
        <f>M294</f>
        <v/>
      </c>
      <c r="O294" s="71" t="n"/>
      <c r="P294" s="101" t="n"/>
      <c r="Q294" s="9">
        <f>J294-N294</f>
        <v/>
      </c>
      <c r="R294" s="9">
        <f>IF(LEFT(B294,4)&lt;&gt;"    ",0,BI294)</f>
        <v/>
      </c>
      <c r="S294" s="9">
        <f>+Q294-R294</f>
        <v/>
      </c>
      <c r="T294" s="200">
        <f>IF('Jobs-Ops'!S294&lt;&gt; "",'Jobs-Ops'!S294,"")</f>
        <v/>
      </c>
      <c r="U294" s="10" t="n"/>
      <c r="V294" s="23">
        <f>IF(LEFT(B294,4)&lt;&gt;"    ","",IF(N294&lt;&gt;0,X294/N294,0))</f>
        <v/>
      </c>
      <c r="W294" s="11">
        <f>IF(LEFT(B294,4)&lt;&gt;"    ","",IF(V294&gt;=0.1,V294*J294,X294))</f>
        <v/>
      </c>
      <c r="X294" s="8" t="n"/>
      <c r="Y294" s="9">
        <f>IF(LEFT(B294,4)&lt;&gt;"    ",0,IF(Q294&lt;0,Q294,IF(V294&gt;0.1,W294-X294,0)))</f>
        <v/>
      </c>
      <c r="Z294" s="9">
        <f>IF(LEFT(B294,4)&lt;&gt;"    ",0,IF(V294&gt;0.1,BI294,0))</f>
        <v/>
      </c>
      <c r="AA294" s="9">
        <f>Y294-Z294</f>
        <v/>
      </c>
      <c r="AB294" s="10" t="n"/>
      <c r="AC294" s="24" t="n"/>
      <c r="AD294" s="11" t="n"/>
      <c r="AE294" s="8" t="n"/>
      <c r="AF294" s="9">
        <f>IF(LEFT(B294,4)&lt;&gt;"    ","",AD294-AE294)</f>
        <v/>
      </c>
      <c r="AG294" s="10" t="n"/>
      <c r="AH294" s="11">
        <f>IF(LEFT(B294,4)&lt;&gt;"    ","",W294-AD294)</f>
        <v/>
      </c>
      <c r="AI294" s="8">
        <f>IF(LEFT(B294,4)&lt;&gt;"    ","",X294-AE294)</f>
        <v/>
      </c>
      <c r="AJ294" s="9">
        <f>IF(LEFT(B294,4)&lt;&gt;"    ","",Y294-AF294)</f>
        <v/>
      </c>
      <c r="AK294" s="10" t="n"/>
      <c r="AL294" s="25">
        <f>IF(LEFT(B294,4)&lt;&gt;"    ","",J294-W294)</f>
        <v/>
      </c>
      <c r="AM294" s="25">
        <f>N294-X294</f>
        <v/>
      </c>
      <c r="AN294" s="25">
        <f>IF(LEFT(B294,4)&lt;&gt;"    ","",Q294-Y294)</f>
        <v/>
      </c>
      <c r="AO294" s="10" t="n"/>
      <c r="AP294" s="12" t="n"/>
      <c r="AQ294" s="12">
        <f>IF(LEFT(B294,4)&lt;&gt;"    ","",IF(W294-AP294&gt;=0,W294-AP294," "))</f>
        <v/>
      </c>
      <c r="AR294" s="12">
        <f>IF(LEFT(B294,4)&lt;&gt;"    ","",IF(AP294-W294&gt;=0,AP294-W294," "))</f>
        <v/>
      </c>
      <c r="AS294" s="186" t="n"/>
      <c r="AT294" s="187" t="n"/>
      <c r="AU294" s="186" t="n"/>
      <c r="AV294" s="186" t="n"/>
      <c r="AW294" s="188" t="n"/>
      <c r="AX294" s="187" t="n"/>
      <c r="AY294" s="187" t="n"/>
      <c r="AZ294" s="186" t="n"/>
      <c r="BA294" s="186" t="n"/>
      <c r="BB294" s="186" t="n"/>
      <c r="BC294" s="186" t="n"/>
      <c r="BD294" s="186" t="n"/>
      <c r="BE294" s="186" t="n"/>
      <c r="BF294" s="186" t="n"/>
      <c r="BG294" s="186" t="n"/>
      <c r="BH294" s="186" t="n"/>
      <c r="BI294" s="186" t="n"/>
      <c r="BJ294" s="186" t="n"/>
      <c r="BK294" s="186" t="n"/>
      <c r="BL294" s="186" t="n"/>
      <c r="BM294" s="186" t="n"/>
      <c r="BN294" s="186" t="n"/>
      <c r="BO294" s="186" t="n"/>
      <c r="BP294" s="186" t="n"/>
      <c r="BQ294" s="186" t="n"/>
      <c r="BR294" s="186" t="n"/>
      <c r="BS294" s="186" t="n"/>
      <c r="BT294" s="186" t="n"/>
      <c r="BU294" s="186" t="n"/>
      <c r="BV294" s="190" t="n"/>
      <c r="BW294" s="186" t="n"/>
      <c r="BX294" s="186" t="n"/>
      <c r="BY294" s="186" t="n"/>
      <c r="BZ294" s="186" t="n"/>
      <c r="CA294" s="186" t="n"/>
      <c r="CB294" s="187" t="n"/>
      <c r="CC294" s="192" t="n"/>
      <c r="CD294" s="192" t="n"/>
      <c r="CE294" s="192" t="n"/>
      <c r="CF294" s="192" t="n"/>
    </row>
    <row r="295">
      <c r="A295" s="197" t="n"/>
      <c r="B295" s="198" t="n"/>
      <c r="C295" s="198" t="n"/>
      <c r="D295" s="179" t="n"/>
      <c r="E295" s="180" t="n"/>
      <c r="F295" s="181" t="n"/>
      <c r="G295" s="284">
        <f>'Jobs-Ops'!G295</f>
        <v/>
      </c>
      <c r="H295" s="114">
        <f>'Jobs-Ops'!H295</f>
        <v/>
      </c>
      <c r="I295" s="105" t="n"/>
      <c r="J295" s="183">
        <f>F295</f>
        <v/>
      </c>
      <c r="K295" s="184" t="n"/>
      <c r="L295" s="185" t="n"/>
      <c r="M295" s="8" t="n"/>
      <c r="N295" s="71">
        <f>M295</f>
        <v/>
      </c>
      <c r="O295" s="71" t="n"/>
      <c r="P295" s="101" t="n"/>
      <c r="Q295" s="9">
        <f>J295-N295</f>
        <v/>
      </c>
      <c r="R295" s="9">
        <f>IF(LEFT(B295,4)&lt;&gt;"    ",0,BI295)</f>
        <v/>
      </c>
      <c r="S295" s="9">
        <f>+Q295-R295</f>
        <v/>
      </c>
      <c r="T295" s="200">
        <f>IF('Jobs-Ops'!S295&lt;&gt; "",'Jobs-Ops'!S295,"")</f>
        <v/>
      </c>
      <c r="U295" s="10" t="n"/>
      <c r="V295" s="23">
        <f>IF(LEFT(B295,4)&lt;&gt;"    ","",IF(N295&lt;&gt;0,X295/N295,0))</f>
        <v/>
      </c>
      <c r="W295" s="11">
        <f>IF(LEFT(B295,4)&lt;&gt;"    ","",IF(V295&gt;=0.1,V295*J295,X295))</f>
        <v/>
      </c>
      <c r="X295" s="8" t="n"/>
      <c r="Y295" s="9">
        <f>IF(LEFT(B295,4)&lt;&gt;"    ",0,IF(Q295&lt;0,Q295,IF(V295&gt;0.1,W295-X295,0)))</f>
        <v/>
      </c>
      <c r="Z295" s="9">
        <f>IF(LEFT(B295,4)&lt;&gt;"    ",0,IF(V295&gt;0.1,BI295,0))</f>
        <v/>
      </c>
      <c r="AA295" s="9">
        <f>Y295-Z295</f>
        <v/>
      </c>
      <c r="AB295" s="10" t="n"/>
      <c r="AC295" s="24" t="n"/>
      <c r="AD295" s="11" t="n"/>
      <c r="AE295" s="8" t="n"/>
      <c r="AF295" s="9">
        <f>IF(LEFT(B295,4)&lt;&gt;"    ","",AD295-AE295)</f>
        <v/>
      </c>
      <c r="AG295" s="10" t="n"/>
      <c r="AH295" s="11">
        <f>IF(LEFT(B295,4)&lt;&gt;"    ","",W295-AD295)</f>
        <v/>
      </c>
      <c r="AI295" s="8">
        <f>IF(LEFT(B295,4)&lt;&gt;"    ","",X295-AE295)</f>
        <v/>
      </c>
      <c r="AJ295" s="9">
        <f>IF(LEFT(B295,4)&lt;&gt;"    ","",Y295-AF295)</f>
        <v/>
      </c>
      <c r="AK295" s="10" t="n"/>
      <c r="AL295" s="25">
        <f>IF(LEFT(B295,4)&lt;&gt;"    ","",J295-W295)</f>
        <v/>
      </c>
      <c r="AM295" s="25">
        <f>N295-X295</f>
        <v/>
      </c>
      <c r="AN295" s="25">
        <f>IF(LEFT(B295,4)&lt;&gt;"    ","",Q295-Y295)</f>
        <v/>
      </c>
      <c r="AO295" s="10" t="n"/>
      <c r="AP295" s="12" t="n"/>
      <c r="AQ295" s="12">
        <f>IF(LEFT(B295,4)&lt;&gt;"    ","",IF(W295-AP295&gt;=0,W295-AP295," "))</f>
        <v/>
      </c>
      <c r="AR295" s="12">
        <f>IF(LEFT(B295,4)&lt;&gt;"    ","",IF(AP295-W295&gt;=0,AP295-W295," "))</f>
        <v/>
      </c>
      <c r="AS295" s="186" t="n"/>
      <c r="AT295" s="187" t="n"/>
      <c r="AU295" s="186" t="n"/>
      <c r="AV295" s="186" t="n"/>
      <c r="AW295" s="188" t="n"/>
      <c r="AX295" s="187" t="n"/>
      <c r="AY295" s="187" t="n"/>
      <c r="AZ295" s="186" t="n"/>
      <c r="BA295" s="186" t="n"/>
      <c r="BB295" s="186" t="n"/>
      <c r="BC295" s="186" t="n"/>
      <c r="BD295" s="186" t="n"/>
      <c r="BE295" s="186" t="n"/>
      <c r="BF295" s="186" t="n"/>
      <c r="BG295" s="186" t="n"/>
      <c r="BH295" s="186" t="n"/>
      <c r="BI295" s="186" t="n"/>
      <c r="BJ295" s="186" t="n"/>
      <c r="BK295" s="186" t="n"/>
      <c r="BL295" s="186" t="n"/>
      <c r="BM295" s="186" t="n"/>
      <c r="BN295" s="186" t="n"/>
      <c r="BO295" s="186" t="n"/>
      <c r="BP295" s="186" t="n"/>
      <c r="BQ295" s="186" t="n"/>
      <c r="BR295" s="186" t="n"/>
      <c r="BS295" s="186" t="n"/>
      <c r="BT295" s="186" t="n"/>
      <c r="BU295" s="186" t="n"/>
      <c r="BV295" s="190" t="n"/>
      <c r="BW295" s="186" t="n"/>
      <c r="BX295" s="186" t="n"/>
      <c r="BY295" s="186" t="n"/>
      <c r="BZ295" s="186" t="n"/>
      <c r="CA295" s="186" t="n"/>
      <c r="CB295" s="187" t="n"/>
      <c r="CC295" s="192" t="n"/>
      <c r="CD295" s="192" t="n"/>
      <c r="CE295" s="192" t="n"/>
      <c r="CF295" s="192" t="n"/>
    </row>
    <row r="296">
      <c r="A296" s="197" t="n"/>
      <c r="B296" s="198" t="n"/>
      <c r="C296" s="198" t="n"/>
      <c r="D296" s="179" t="n"/>
      <c r="E296" s="180" t="n"/>
      <c r="F296" s="181" t="n"/>
      <c r="G296" s="284">
        <f>'Jobs-Ops'!G296</f>
        <v/>
      </c>
      <c r="H296" s="114">
        <f>'Jobs-Ops'!H296</f>
        <v/>
      </c>
      <c r="I296" s="105" t="n"/>
      <c r="J296" s="183">
        <f>F296</f>
        <v/>
      </c>
      <c r="K296" s="184" t="n"/>
      <c r="L296" s="185" t="n"/>
      <c r="M296" s="8" t="n"/>
      <c r="N296" s="184">
        <f>M296</f>
        <v/>
      </c>
      <c r="O296" s="184" t="n"/>
      <c r="P296" s="185" t="n"/>
      <c r="Q296" s="9">
        <f>J296-N296</f>
        <v/>
      </c>
      <c r="R296" s="9">
        <f>IF(LEFT(B296,4)&lt;&gt;"    ",0,BI296)</f>
        <v/>
      </c>
      <c r="S296" s="9">
        <f>+Q296-R296</f>
        <v/>
      </c>
      <c r="T296" s="200">
        <f>IF('Jobs-Ops'!S296&lt;&gt; "",'Jobs-Ops'!S296,"")</f>
        <v/>
      </c>
      <c r="U296" s="10" t="n"/>
      <c r="V296" s="23">
        <f>IF(LEFT(B296,4)&lt;&gt;"    ","",IF(N296&lt;&gt;0,X296/N296,0))</f>
        <v/>
      </c>
      <c r="W296" s="11">
        <f>IF(LEFT(B296,4)&lt;&gt;"    ","",IF(V296&gt;=0.1,V296*J296,X296))</f>
        <v/>
      </c>
      <c r="X296" s="8" t="n"/>
      <c r="Y296" s="9">
        <f>IF(LEFT(B296,4)&lt;&gt;"    ",0,IF(Q296&lt;0,Q296,IF(V296&gt;0.1,W296-X296,0)))</f>
        <v/>
      </c>
      <c r="Z296" s="9">
        <f>IF(LEFT(B296,4)&lt;&gt;"    ",0,IF(V296&gt;0.1,BI296,0))</f>
        <v/>
      </c>
      <c r="AA296" s="9">
        <f>Y296-Z296</f>
        <v/>
      </c>
      <c r="AB296" s="10" t="n"/>
      <c r="AC296" s="24" t="n"/>
      <c r="AD296" s="11" t="n"/>
      <c r="AE296" s="8" t="n"/>
      <c r="AF296" s="9">
        <f>IF(LEFT(B296,4)&lt;&gt;"    ","",AD296-AE296)</f>
        <v/>
      </c>
      <c r="AG296" s="10" t="n"/>
      <c r="AH296" s="11">
        <f>IF(LEFT(B296,4)&lt;&gt;"    ","",W296-AD296)</f>
        <v/>
      </c>
      <c r="AI296" s="8">
        <f>IF(LEFT(B296,4)&lt;&gt;"    ","",X296-AE296)</f>
        <v/>
      </c>
      <c r="AJ296" s="9">
        <f>IF(LEFT(B296,4)&lt;&gt;"    ","",Y296-AF296)</f>
        <v/>
      </c>
      <c r="AK296" s="10" t="n"/>
      <c r="AL296" s="25">
        <f>IF(LEFT(B296,4)&lt;&gt;"    ","",J296-W296)</f>
        <v/>
      </c>
      <c r="AM296" s="25">
        <f>N296-X296</f>
        <v/>
      </c>
      <c r="AN296" s="25">
        <f>IF(LEFT(B296,4)&lt;&gt;"    ","",Q296-Y296)</f>
        <v/>
      </c>
      <c r="AO296" s="10" t="n"/>
      <c r="AP296" s="12" t="n"/>
      <c r="AQ296" s="12">
        <f>IF(LEFT(B296,4)&lt;&gt;"    ","",IF(W296-AP296&gt;=0,W296-AP296," "))</f>
        <v/>
      </c>
      <c r="AR296" s="12">
        <f>IF(LEFT(B296,4)&lt;&gt;"    ","",IF(AP296-W296&gt;=0,AP296-W296," "))</f>
        <v/>
      </c>
      <c r="AS296" s="186" t="n"/>
      <c r="AT296" s="187" t="n"/>
      <c r="AU296" s="186" t="n"/>
      <c r="AV296" s="186" t="n"/>
      <c r="AW296" s="188" t="n"/>
      <c r="AX296" s="187" t="n"/>
      <c r="AY296" s="187" t="n"/>
      <c r="AZ296" s="186" t="n"/>
      <c r="BA296" s="186" t="n"/>
      <c r="BB296" s="186" t="n"/>
      <c r="BC296" s="186" t="n"/>
      <c r="BD296" s="186" t="n"/>
      <c r="BE296" s="186" t="n"/>
      <c r="BF296" s="186" t="n"/>
      <c r="BG296" s="186" t="n"/>
      <c r="BH296" s="186" t="n"/>
      <c r="BI296" s="186" t="n"/>
      <c r="BJ296" s="186" t="n"/>
      <c r="BK296" s="186" t="n"/>
      <c r="BL296" s="186" t="n"/>
      <c r="BM296" s="186" t="n"/>
      <c r="BN296" s="186" t="n"/>
      <c r="BO296" s="186" t="n"/>
      <c r="BP296" s="186" t="n"/>
      <c r="BQ296" s="186" t="n"/>
      <c r="BR296" s="186" t="n"/>
      <c r="BS296" s="186" t="n"/>
      <c r="BT296" s="186" t="n"/>
      <c r="BU296" s="186" t="n"/>
      <c r="BV296" s="190" t="n"/>
      <c r="BW296" s="186" t="n"/>
      <c r="BX296" s="186" t="n"/>
      <c r="BY296" s="186" t="n"/>
      <c r="BZ296" s="186" t="n"/>
      <c r="CA296" s="186" t="n"/>
      <c r="CB296" s="187" t="n"/>
      <c r="CC296" s="192" t="n"/>
      <c r="CD296" s="192" t="n"/>
      <c r="CE296" s="192" t="n"/>
      <c r="CF296" s="192" t="n"/>
    </row>
    <row r="297">
      <c r="A297" s="197" t="n"/>
      <c r="B297" s="198" t="n"/>
      <c r="C297" s="198" t="n"/>
      <c r="D297" s="179" t="n"/>
      <c r="E297" s="180" t="n"/>
      <c r="F297" s="181" t="n"/>
      <c r="G297" s="284">
        <f>'Jobs-Ops'!G297</f>
        <v/>
      </c>
      <c r="H297" s="114">
        <f>'Jobs-Ops'!H297</f>
        <v/>
      </c>
      <c r="I297" s="105" t="n"/>
      <c r="J297" s="183">
        <f>F297</f>
        <v/>
      </c>
      <c r="K297" s="184" t="n"/>
      <c r="L297" s="185" t="n"/>
      <c r="M297" s="8" t="n"/>
      <c r="N297" s="71">
        <f>M297</f>
        <v/>
      </c>
      <c r="O297" s="71" t="n"/>
      <c r="P297" s="101" t="n"/>
      <c r="Q297" s="9">
        <f>J297-N297</f>
        <v/>
      </c>
      <c r="R297" s="9">
        <f>IF(LEFT(B297,4)&lt;&gt;"    ",0,BI297)</f>
        <v/>
      </c>
      <c r="S297" s="9">
        <f>+Q297-R297</f>
        <v/>
      </c>
      <c r="T297" s="200">
        <f>IF('Jobs-Ops'!S297&lt;&gt; "",'Jobs-Ops'!S297,"")</f>
        <v/>
      </c>
      <c r="U297" s="10" t="n"/>
      <c r="V297" s="23">
        <f>IF(LEFT(B297,4)&lt;&gt;"    ","",IF(N297&lt;&gt;0,X297/N297,0))</f>
        <v/>
      </c>
      <c r="W297" s="11">
        <f>IF(LEFT(B297,4)&lt;&gt;"    ","",IF(V297&gt;=0.1,V297*J297,X297))</f>
        <v/>
      </c>
      <c r="X297" s="8" t="n"/>
      <c r="Y297" s="9">
        <f>IF(LEFT(B297,4)&lt;&gt;"    ",0,IF(Q297&lt;0,Q297,IF(V297&gt;0.1,W297-X297,0)))</f>
        <v/>
      </c>
      <c r="Z297" s="9">
        <f>IF(LEFT(B297,4)&lt;&gt;"    ",0,IF(V297&gt;0.1,BI297,0))</f>
        <v/>
      </c>
      <c r="AA297" s="9">
        <f>Y297-Z297</f>
        <v/>
      </c>
      <c r="AB297" s="10" t="n"/>
      <c r="AC297" s="24" t="n"/>
      <c r="AD297" s="11" t="n"/>
      <c r="AE297" s="8" t="n"/>
      <c r="AF297" s="9">
        <f>IF(LEFT(B297,4)&lt;&gt;"    ","",AD297-AE297)</f>
        <v/>
      </c>
      <c r="AG297" s="10" t="n"/>
      <c r="AH297" s="11">
        <f>IF(LEFT(B297,4)&lt;&gt;"    ","",W297-AD297)</f>
        <v/>
      </c>
      <c r="AI297" s="8">
        <f>IF(LEFT(B297,4)&lt;&gt;"    ","",X297-AE297)</f>
        <v/>
      </c>
      <c r="AJ297" s="9">
        <f>IF(LEFT(B297,4)&lt;&gt;"    ","",Y297-AF297)</f>
        <v/>
      </c>
      <c r="AK297" s="10" t="n"/>
      <c r="AL297" s="25">
        <f>IF(LEFT(B297,4)&lt;&gt;"    ","",J297-W297)</f>
        <v/>
      </c>
      <c r="AM297" s="25">
        <f>N297-X297</f>
        <v/>
      </c>
      <c r="AN297" s="25">
        <f>IF(LEFT(B297,4)&lt;&gt;"    ","",Q297-Y297)</f>
        <v/>
      </c>
      <c r="AO297" s="10" t="n"/>
      <c r="AP297" s="12" t="n"/>
      <c r="AQ297" s="12">
        <f>IF(LEFT(B297,4)&lt;&gt;"    ","",IF(W297-AP297&gt;=0,W297-AP297," "))</f>
        <v/>
      </c>
      <c r="AR297" s="12">
        <f>IF(LEFT(B297,4)&lt;&gt;"    ","",IF(AP297-W297&gt;=0,AP297-W297," "))</f>
        <v/>
      </c>
      <c r="AS297" s="186" t="n"/>
      <c r="AT297" s="187" t="n"/>
      <c r="AU297" s="186" t="n"/>
      <c r="AV297" s="186" t="n"/>
      <c r="AW297" s="188" t="n"/>
      <c r="AX297" s="187" t="n"/>
      <c r="AY297" s="187" t="n"/>
      <c r="AZ297" s="186" t="n"/>
      <c r="BA297" s="186" t="n"/>
      <c r="BB297" s="186" t="n"/>
      <c r="BC297" s="186" t="n"/>
      <c r="BD297" s="186" t="n"/>
      <c r="BE297" s="186" t="n"/>
      <c r="BF297" s="186" t="n"/>
      <c r="BG297" s="186" t="n"/>
      <c r="BH297" s="186" t="n"/>
      <c r="BI297" s="186" t="n"/>
      <c r="BJ297" s="186" t="n"/>
      <c r="BK297" s="186" t="n"/>
      <c r="BL297" s="186" t="n"/>
      <c r="BM297" s="186" t="n"/>
      <c r="BN297" s="186" t="n"/>
      <c r="BO297" s="186" t="n"/>
      <c r="BP297" s="186" t="n"/>
      <c r="BQ297" s="186" t="n"/>
      <c r="BR297" s="186" t="n"/>
      <c r="BS297" s="186" t="n"/>
      <c r="BT297" s="186" t="n"/>
      <c r="BU297" s="186" t="n"/>
      <c r="BV297" s="190" t="n"/>
      <c r="BW297" s="186" t="n"/>
      <c r="BX297" s="186" t="n"/>
      <c r="BY297" s="186" t="n"/>
      <c r="BZ297" s="186" t="n"/>
      <c r="CA297" s="186" t="n"/>
      <c r="CB297" s="187" t="n"/>
      <c r="CC297" s="192" t="n"/>
      <c r="CD297" s="192" t="n"/>
      <c r="CE297" s="192" t="n"/>
      <c r="CF297" s="192" t="n"/>
    </row>
    <row r="298">
      <c r="A298" s="197" t="n"/>
      <c r="B298" s="198" t="n"/>
      <c r="C298" s="198" t="n"/>
      <c r="D298" s="179" t="n"/>
      <c r="E298" s="180" t="n"/>
      <c r="F298" s="181" t="n"/>
      <c r="G298" s="284">
        <f>'Jobs-Ops'!G298</f>
        <v/>
      </c>
      <c r="H298" s="114">
        <f>'Jobs-Ops'!H298</f>
        <v/>
      </c>
      <c r="I298" s="105" t="n"/>
      <c r="J298" s="183">
        <f>F298</f>
        <v/>
      </c>
      <c r="K298" s="184" t="n"/>
      <c r="L298" s="185" t="n"/>
      <c r="M298" s="8" t="n"/>
      <c r="N298" s="71">
        <f>M298</f>
        <v/>
      </c>
      <c r="O298" s="71" t="n"/>
      <c r="P298" s="101" t="n"/>
      <c r="Q298" s="9">
        <f>J298-N298</f>
        <v/>
      </c>
      <c r="R298" s="9">
        <f>IF(LEFT(B298,4)&lt;&gt;"    ",0,BI298)</f>
        <v/>
      </c>
      <c r="S298" s="9">
        <f>+Q298-R298</f>
        <v/>
      </c>
      <c r="T298" s="200">
        <f>IF('Jobs-Ops'!S298&lt;&gt; "",'Jobs-Ops'!S298,"")</f>
        <v/>
      </c>
      <c r="U298" s="10" t="n"/>
      <c r="V298" s="23">
        <f>IF(LEFT(B298,4)&lt;&gt;"    ","",IF(N298&lt;&gt;0,X298/N298,0))</f>
        <v/>
      </c>
      <c r="W298" s="11">
        <f>IF(LEFT(B298,4)&lt;&gt;"    ","",IF(V298&gt;=0.1,V298*J298,X298))</f>
        <v/>
      </c>
      <c r="X298" s="8" t="n"/>
      <c r="Y298" s="9">
        <f>IF(LEFT(B298,4)&lt;&gt;"    ",0,IF(Q298&lt;0,Q298,IF(V298&gt;0.1,W298-X298,0)))</f>
        <v/>
      </c>
      <c r="Z298" s="9">
        <f>IF(LEFT(B298,4)&lt;&gt;"    ",0,IF(V298&gt;0.1,BI298,0))</f>
        <v/>
      </c>
      <c r="AA298" s="9">
        <f>Y298-Z298</f>
        <v/>
      </c>
      <c r="AB298" s="10" t="n"/>
      <c r="AC298" s="24" t="n"/>
      <c r="AD298" s="11" t="n"/>
      <c r="AE298" s="8" t="n"/>
      <c r="AF298" s="9">
        <f>IF(LEFT(B298,4)&lt;&gt;"    ","",AD298-AE298)</f>
        <v/>
      </c>
      <c r="AG298" s="10" t="n"/>
      <c r="AH298" s="11">
        <f>IF(LEFT(B298,4)&lt;&gt;"    ","",W298-AD298)</f>
        <v/>
      </c>
      <c r="AI298" s="8">
        <f>IF(LEFT(B298,4)&lt;&gt;"    ","",X298-AE298)</f>
        <v/>
      </c>
      <c r="AJ298" s="9">
        <f>IF(LEFT(B298,4)&lt;&gt;"    ","",Y298-AF298)</f>
        <v/>
      </c>
      <c r="AK298" s="10" t="n"/>
      <c r="AL298" s="25">
        <f>IF(LEFT(B298,4)&lt;&gt;"    ","",J298-W298)</f>
        <v/>
      </c>
      <c r="AM298" s="25">
        <f>N298-X298</f>
        <v/>
      </c>
      <c r="AN298" s="25">
        <f>IF(LEFT(B298,4)&lt;&gt;"    ","",Q298-Y298)</f>
        <v/>
      </c>
      <c r="AO298" s="10" t="n"/>
      <c r="AP298" s="12" t="n"/>
      <c r="AQ298" s="12">
        <f>IF(LEFT(B298,4)&lt;&gt;"    ","",IF(W298-AP298&gt;=0,W298-AP298," "))</f>
        <v/>
      </c>
      <c r="AR298" s="12">
        <f>IF(LEFT(B298,4)&lt;&gt;"    ","",IF(AP298-W298&gt;=0,AP298-W298," "))</f>
        <v/>
      </c>
      <c r="AS298" s="186" t="n"/>
      <c r="AT298" s="187" t="n"/>
      <c r="AU298" s="186" t="n"/>
      <c r="AV298" s="186" t="n"/>
      <c r="AW298" s="188" t="n"/>
      <c r="AX298" s="187" t="n"/>
      <c r="AY298" s="187" t="n"/>
      <c r="AZ298" s="186" t="n"/>
      <c r="BA298" s="186" t="n"/>
      <c r="BB298" s="186" t="n"/>
      <c r="BC298" s="186" t="n"/>
      <c r="BD298" s="186" t="n"/>
      <c r="BE298" s="186" t="n"/>
      <c r="BF298" s="186" t="n"/>
      <c r="BG298" s="186" t="n"/>
      <c r="BH298" s="186" t="n"/>
      <c r="BI298" s="186" t="n"/>
      <c r="BJ298" s="186" t="n"/>
      <c r="BK298" s="186" t="n"/>
      <c r="BL298" s="186" t="n"/>
      <c r="BM298" s="186" t="n"/>
      <c r="BN298" s="186" t="n"/>
      <c r="BO298" s="186" t="n"/>
      <c r="BP298" s="186" t="n"/>
      <c r="BQ298" s="186" t="n"/>
      <c r="BR298" s="186" t="n"/>
      <c r="BS298" s="186" t="n"/>
      <c r="BT298" s="186" t="n"/>
      <c r="BU298" s="186" t="n"/>
      <c r="BV298" s="190" t="n"/>
      <c r="BW298" s="186" t="n"/>
      <c r="BX298" s="186" t="n"/>
      <c r="BY298" s="186" t="n"/>
      <c r="BZ298" s="186" t="n"/>
      <c r="CA298" s="186" t="n"/>
      <c r="CB298" s="187" t="n"/>
      <c r="CC298" s="192" t="n"/>
      <c r="CD298" s="192" t="n"/>
      <c r="CE298" s="192" t="n"/>
      <c r="CF298" s="192" t="n"/>
    </row>
    <row r="299">
      <c r="A299" s="197" t="n"/>
      <c r="B299" s="198" t="n"/>
      <c r="C299" s="198" t="n"/>
      <c r="D299" s="179" t="n"/>
      <c r="E299" s="180" t="n"/>
      <c r="F299" s="181" t="n"/>
      <c r="G299" s="284">
        <f>'Jobs-Ops'!G299</f>
        <v/>
      </c>
      <c r="H299" s="114">
        <f>'Jobs-Ops'!H299</f>
        <v/>
      </c>
      <c r="I299" s="105" t="n"/>
      <c r="J299" s="183">
        <f>F299</f>
        <v/>
      </c>
      <c r="K299" s="184" t="n"/>
      <c r="L299" s="185" t="n"/>
      <c r="M299" s="8" t="n"/>
      <c r="N299" s="71">
        <f>M299</f>
        <v/>
      </c>
      <c r="O299" s="71" t="n"/>
      <c r="P299" s="101" t="n"/>
      <c r="Q299" s="9">
        <f>J299-N299</f>
        <v/>
      </c>
      <c r="R299" s="9">
        <f>IF(LEFT(B299,4)&lt;&gt;"    ",0,BI299)</f>
        <v/>
      </c>
      <c r="S299" s="9">
        <f>+Q299-R299</f>
        <v/>
      </c>
      <c r="T299" s="200">
        <f>IF('Jobs-Ops'!S299&lt;&gt; "",'Jobs-Ops'!S299,"")</f>
        <v/>
      </c>
      <c r="U299" s="10" t="n"/>
      <c r="V299" s="23">
        <f>IF(LEFT(B299,4)&lt;&gt;"    ","",IF(N299&lt;&gt;0,X299/N299,0))</f>
        <v/>
      </c>
      <c r="W299" s="11">
        <f>IF(LEFT(B299,4)&lt;&gt;"    ","",IF(V299&gt;=0.1,V299*J299,X299))</f>
        <v/>
      </c>
      <c r="X299" s="8" t="n"/>
      <c r="Y299" s="9">
        <f>IF(LEFT(B299,4)&lt;&gt;"    ",0,IF(Q299&lt;0,Q299,IF(V299&gt;0.1,W299-X299,0)))</f>
        <v/>
      </c>
      <c r="Z299" s="9">
        <f>IF(LEFT(B299,4)&lt;&gt;"    ",0,IF(V299&gt;0.1,BI299,0))</f>
        <v/>
      </c>
      <c r="AA299" s="9">
        <f>Y299-Z299</f>
        <v/>
      </c>
      <c r="AB299" s="10" t="n"/>
      <c r="AC299" s="24" t="n"/>
      <c r="AD299" s="11" t="n"/>
      <c r="AE299" s="8" t="n"/>
      <c r="AF299" s="9">
        <f>IF(LEFT(B299,4)&lt;&gt;"    ","",AD299-AE299)</f>
        <v/>
      </c>
      <c r="AG299" s="10" t="n"/>
      <c r="AH299" s="11">
        <f>IF(LEFT(B299,4)&lt;&gt;"    ","",W299-AD299)</f>
        <v/>
      </c>
      <c r="AI299" s="8">
        <f>IF(LEFT(B299,4)&lt;&gt;"    ","",X299-AE299)</f>
        <v/>
      </c>
      <c r="AJ299" s="9">
        <f>IF(LEFT(B299,4)&lt;&gt;"    ","",Y299-AF299)</f>
        <v/>
      </c>
      <c r="AK299" s="10" t="n"/>
      <c r="AL299" s="25">
        <f>IF(LEFT(B299,4)&lt;&gt;"    ","",J299-W299)</f>
        <v/>
      </c>
      <c r="AM299" s="25">
        <f>N299-X299</f>
        <v/>
      </c>
      <c r="AN299" s="25">
        <f>IF(LEFT(B299,4)&lt;&gt;"    ","",Q299-Y299)</f>
        <v/>
      </c>
      <c r="AO299" s="10" t="n"/>
      <c r="AP299" s="12" t="n"/>
      <c r="AQ299" s="12">
        <f>IF(LEFT(B299,4)&lt;&gt;"    ","",IF(W299-AP299&gt;=0,W299-AP299," "))</f>
        <v/>
      </c>
      <c r="AR299" s="12">
        <f>IF(LEFT(B299,4)&lt;&gt;"    ","",IF(AP299-W299&gt;=0,AP299-W299," "))</f>
        <v/>
      </c>
      <c r="AS299" s="186" t="n"/>
      <c r="AT299" s="187" t="n"/>
      <c r="AU299" s="186" t="n"/>
      <c r="AV299" s="186" t="n"/>
      <c r="AW299" s="188" t="n"/>
      <c r="AX299" s="187" t="n"/>
      <c r="AY299" s="187" t="n"/>
      <c r="AZ299" s="186" t="n"/>
      <c r="BA299" s="186" t="n"/>
      <c r="BB299" s="186" t="n"/>
      <c r="BC299" s="186" t="n"/>
      <c r="BD299" s="186" t="n"/>
      <c r="BE299" s="186" t="n"/>
      <c r="BF299" s="186" t="n"/>
      <c r="BG299" s="186" t="n"/>
      <c r="BH299" s="186" t="n"/>
      <c r="BI299" s="186" t="n"/>
      <c r="BJ299" s="186" t="n"/>
      <c r="BK299" s="186" t="n"/>
      <c r="BL299" s="186" t="n"/>
      <c r="BM299" s="186" t="n"/>
      <c r="BN299" s="186" t="n"/>
      <c r="BO299" s="186" t="n"/>
      <c r="BP299" s="186" t="n"/>
      <c r="BQ299" s="186" t="n"/>
      <c r="BR299" s="186" t="n"/>
      <c r="BS299" s="186" t="n"/>
      <c r="BT299" s="186" t="n"/>
      <c r="BU299" s="186" t="n"/>
      <c r="BV299" s="190" t="n"/>
      <c r="BW299" s="186" t="n"/>
      <c r="BX299" s="186" t="n"/>
      <c r="BY299" s="186" t="n"/>
      <c r="BZ299" s="186" t="n"/>
      <c r="CA299" s="186" t="n"/>
      <c r="CB299" s="187" t="n"/>
      <c r="CC299" s="192" t="n"/>
      <c r="CD299" s="192" t="n"/>
      <c r="CE299" s="192" t="n"/>
      <c r="CF299" s="192" t="n"/>
    </row>
    <row r="300">
      <c r="A300" s="197" t="n"/>
      <c r="B300" s="198" t="n"/>
      <c r="C300" s="198" t="n"/>
      <c r="D300" s="179" t="n"/>
      <c r="E300" s="180" t="n"/>
      <c r="F300" s="181" t="n"/>
      <c r="G300" s="284">
        <f>'Jobs-Ops'!G300</f>
        <v/>
      </c>
      <c r="H300" s="114">
        <f>'Jobs-Ops'!H300</f>
        <v/>
      </c>
      <c r="I300" s="105" t="n"/>
      <c r="J300" s="183">
        <f>F300</f>
        <v/>
      </c>
      <c r="K300" s="184" t="n"/>
      <c r="L300" s="185" t="n"/>
      <c r="M300" s="8" t="n"/>
      <c r="N300" s="71">
        <f>M300</f>
        <v/>
      </c>
      <c r="O300" s="71" t="n"/>
      <c r="P300" s="101" t="n"/>
      <c r="Q300" s="9">
        <f>J300-N300</f>
        <v/>
      </c>
      <c r="R300" s="9">
        <f>IF(LEFT(B300,4)&lt;&gt;"    ",0,BI300)</f>
        <v/>
      </c>
      <c r="S300" s="9">
        <f>+Q300-R300</f>
        <v/>
      </c>
      <c r="T300" s="200">
        <f>IF('Jobs-Ops'!S300&lt;&gt; "",'Jobs-Ops'!S300,"")</f>
        <v/>
      </c>
      <c r="U300" s="10" t="n"/>
      <c r="V300" s="23">
        <f>IF(LEFT(B300,4)&lt;&gt;"    ","",IF(N300&lt;&gt;0,X300/N300,0))</f>
        <v/>
      </c>
      <c r="W300" s="11">
        <f>IF(LEFT(B300,4)&lt;&gt;"    ","",IF(V300&gt;=0.1,V300*J300,X300))</f>
        <v/>
      </c>
      <c r="X300" s="8" t="n"/>
      <c r="Y300" s="9">
        <f>IF(LEFT(B300,4)&lt;&gt;"    ",0,IF(Q300&lt;0,Q300,IF(V300&gt;0.1,W300-X300,0)))</f>
        <v/>
      </c>
      <c r="Z300" s="9">
        <f>IF(LEFT(B300,4)&lt;&gt;"    ",0,IF(V300&gt;0.1,BI300,0))</f>
        <v/>
      </c>
      <c r="AA300" s="9">
        <f>Y300-Z300</f>
        <v/>
      </c>
      <c r="AB300" s="10" t="n"/>
      <c r="AC300" s="24" t="n"/>
      <c r="AD300" s="11" t="n"/>
      <c r="AE300" s="8" t="n"/>
      <c r="AF300" s="9">
        <f>IF(LEFT(B300,4)&lt;&gt;"    ","",AD300-AE300)</f>
        <v/>
      </c>
      <c r="AG300" s="10" t="n"/>
      <c r="AH300" s="11">
        <f>IF(LEFT(B300,4)&lt;&gt;"    ","",W300-AD300)</f>
        <v/>
      </c>
      <c r="AI300" s="8">
        <f>IF(LEFT(B300,4)&lt;&gt;"    ","",X300-AE300)</f>
        <v/>
      </c>
      <c r="AJ300" s="9">
        <f>IF(LEFT(B300,4)&lt;&gt;"    ","",Y300-AF300)</f>
        <v/>
      </c>
      <c r="AK300" s="10" t="n"/>
      <c r="AL300" s="25">
        <f>IF(LEFT(B300,4)&lt;&gt;"    ","",J300-W300)</f>
        <v/>
      </c>
      <c r="AM300" s="25">
        <f>N300-X300</f>
        <v/>
      </c>
      <c r="AN300" s="25">
        <f>IF(LEFT(B300,4)&lt;&gt;"    ","",Q300-Y300)</f>
        <v/>
      </c>
      <c r="AO300" s="10" t="n"/>
      <c r="AP300" s="12" t="n"/>
      <c r="AQ300" s="12">
        <f>IF(LEFT(B300,4)&lt;&gt;"    ","",IF(W300-AP300&gt;=0,W300-AP300," "))</f>
        <v/>
      </c>
      <c r="AR300" s="12">
        <f>IF(LEFT(B300,4)&lt;&gt;"    ","",IF(AP300-W300&gt;=0,AP300-W300," "))</f>
        <v/>
      </c>
      <c r="AS300" s="186" t="n"/>
      <c r="AT300" s="187" t="n"/>
      <c r="AU300" s="186" t="n"/>
      <c r="AV300" s="186" t="n"/>
      <c r="AW300" s="188" t="n"/>
      <c r="AX300" s="187" t="n"/>
      <c r="AY300" s="187" t="n"/>
      <c r="AZ300" s="186" t="n"/>
      <c r="BA300" s="186" t="n"/>
      <c r="BB300" s="186" t="n"/>
      <c r="BC300" s="186" t="n"/>
      <c r="BD300" s="186" t="n"/>
      <c r="BE300" s="186" t="n"/>
      <c r="BF300" s="186" t="n"/>
      <c r="BG300" s="186" t="n"/>
      <c r="BH300" s="186" t="n"/>
      <c r="BI300" s="186" t="n"/>
      <c r="BJ300" s="186" t="n"/>
      <c r="BK300" s="186" t="n"/>
      <c r="BL300" s="186" t="n"/>
      <c r="BM300" s="186" t="n"/>
      <c r="BN300" s="186" t="n"/>
      <c r="BO300" s="186" t="n"/>
      <c r="BP300" s="186" t="n"/>
      <c r="BQ300" s="186" t="n"/>
      <c r="BR300" s="186" t="n"/>
      <c r="BS300" s="186" t="n"/>
      <c r="BT300" s="186" t="n"/>
      <c r="BU300" s="186" t="n"/>
      <c r="BV300" s="190" t="n"/>
      <c r="BW300" s="186" t="n"/>
      <c r="BX300" s="186" t="n"/>
      <c r="BY300" s="186" t="n"/>
      <c r="BZ300" s="186" t="n"/>
      <c r="CA300" s="186" t="n"/>
      <c r="CB300" s="187" t="n"/>
      <c r="CC300" s="192" t="n"/>
      <c r="CD300" s="192" t="n"/>
      <c r="CE300" s="192" t="n"/>
      <c r="CF300" s="192" t="n"/>
    </row>
    <row r="301">
      <c r="A301" s="197" t="n"/>
      <c r="B301" s="198" t="n"/>
      <c r="C301" s="198" t="n"/>
      <c r="D301" s="179" t="n"/>
      <c r="E301" s="180" t="n"/>
      <c r="F301" s="181" t="n"/>
      <c r="G301" s="284">
        <f>'Jobs-Ops'!G301</f>
        <v/>
      </c>
      <c r="H301" s="114">
        <f>'Jobs-Ops'!H301</f>
        <v/>
      </c>
      <c r="I301" s="105" t="n"/>
      <c r="J301" s="183">
        <f>F301</f>
        <v/>
      </c>
      <c r="K301" s="184" t="n"/>
      <c r="L301" s="185" t="n"/>
      <c r="M301" s="8" t="n"/>
      <c r="N301" s="71">
        <f>M301</f>
        <v/>
      </c>
      <c r="O301" s="71" t="n"/>
      <c r="P301" s="101" t="n"/>
      <c r="Q301" s="9">
        <f>J301-N301</f>
        <v/>
      </c>
      <c r="R301" s="9">
        <f>IF(LEFT(B301,4)&lt;&gt;"    ",0,BI301)</f>
        <v/>
      </c>
      <c r="S301" s="9">
        <f>+Q301-R301</f>
        <v/>
      </c>
      <c r="T301" s="200">
        <f>IF('Jobs-Ops'!S301&lt;&gt; "",'Jobs-Ops'!S301,"")</f>
        <v/>
      </c>
      <c r="U301" s="10" t="n"/>
      <c r="V301" s="23">
        <f>IF(LEFT(B301,4)&lt;&gt;"    ","",IF(N301&lt;&gt;0,X301/N301,0))</f>
        <v/>
      </c>
      <c r="W301" s="11">
        <f>IF(LEFT(B301,4)&lt;&gt;"    ","",IF(V301&gt;=0.1,V301*J301,X301))</f>
        <v/>
      </c>
      <c r="X301" s="8" t="n"/>
      <c r="Y301" s="9">
        <f>IF(LEFT(B301,4)&lt;&gt;"    ",0,IF(Q301&lt;0,Q301,IF(V301&gt;0.1,W301-X301,0)))</f>
        <v/>
      </c>
      <c r="Z301" s="9">
        <f>IF(LEFT(B301,4)&lt;&gt;"    ",0,IF(V301&gt;0.1,BI301,0))</f>
        <v/>
      </c>
      <c r="AA301" s="9">
        <f>Y301-Z301</f>
        <v/>
      </c>
      <c r="AB301" s="10" t="n"/>
      <c r="AC301" s="24" t="n"/>
      <c r="AD301" s="11" t="n"/>
      <c r="AE301" s="8" t="n"/>
      <c r="AF301" s="9">
        <f>IF(LEFT(B301,4)&lt;&gt;"    ","",AD301-AE301)</f>
        <v/>
      </c>
      <c r="AG301" s="10" t="n"/>
      <c r="AH301" s="11">
        <f>IF(LEFT(B301,4)&lt;&gt;"    ","",W301-AD301)</f>
        <v/>
      </c>
      <c r="AI301" s="8">
        <f>IF(LEFT(B301,4)&lt;&gt;"    ","",X301-AE301)</f>
        <v/>
      </c>
      <c r="AJ301" s="9">
        <f>IF(LEFT(B301,4)&lt;&gt;"    ","",Y301-AF301)</f>
        <v/>
      </c>
      <c r="AK301" s="10" t="n"/>
      <c r="AL301" s="25">
        <f>IF(LEFT(B301,4)&lt;&gt;"    ","",J301-W301)</f>
        <v/>
      </c>
      <c r="AM301" s="25">
        <f>N301-X301</f>
        <v/>
      </c>
      <c r="AN301" s="25">
        <f>IF(LEFT(B301,4)&lt;&gt;"    ","",Q301-Y301)</f>
        <v/>
      </c>
      <c r="AO301" s="10" t="n"/>
      <c r="AP301" s="12" t="n"/>
      <c r="AQ301" s="12">
        <f>IF(LEFT(B301,4)&lt;&gt;"    ","",IF(W301-AP301&gt;=0,W301-AP301," "))</f>
        <v/>
      </c>
      <c r="AR301" s="12">
        <f>IF(LEFT(B301,4)&lt;&gt;"    ","",IF(AP301-W301&gt;=0,AP301-W301," "))</f>
        <v/>
      </c>
      <c r="AS301" s="186" t="n"/>
      <c r="AT301" s="187" t="n"/>
      <c r="AU301" s="186" t="n"/>
      <c r="AV301" s="186" t="n"/>
      <c r="AW301" s="188" t="n"/>
      <c r="AX301" s="187" t="n"/>
      <c r="AY301" s="187" t="n"/>
      <c r="AZ301" s="186" t="n"/>
      <c r="BA301" s="186" t="n"/>
      <c r="BB301" s="186" t="n"/>
      <c r="BC301" s="186" t="n"/>
      <c r="BD301" s="186" t="n"/>
      <c r="BE301" s="186" t="n"/>
      <c r="BF301" s="186" t="n"/>
      <c r="BG301" s="186" t="n"/>
      <c r="BH301" s="186" t="n"/>
      <c r="BI301" s="186" t="n"/>
      <c r="BJ301" s="186" t="n"/>
      <c r="BK301" s="186" t="n"/>
      <c r="BL301" s="186" t="n"/>
      <c r="BM301" s="186" t="n"/>
      <c r="BN301" s="186" t="n"/>
      <c r="BO301" s="186" t="n"/>
      <c r="BP301" s="186" t="n"/>
      <c r="BQ301" s="186" t="n"/>
      <c r="BR301" s="186" t="n"/>
      <c r="BS301" s="186" t="n"/>
      <c r="BT301" s="186" t="n"/>
      <c r="BU301" s="186" t="n"/>
      <c r="BV301" s="190" t="n"/>
      <c r="BW301" s="186" t="n"/>
      <c r="BX301" s="186" t="n"/>
      <c r="BY301" s="186" t="n"/>
      <c r="BZ301" s="186" t="n"/>
      <c r="CA301" s="186" t="n"/>
      <c r="CB301" s="187" t="n"/>
      <c r="CC301" s="192" t="n"/>
      <c r="CD301" s="192" t="n"/>
      <c r="CE301" s="192" t="n"/>
      <c r="CF301" s="192" t="n"/>
    </row>
    <row r="302">
      <c r="A302" s="197" t="n"/>
      <c r="B302" s="198" t="n"/>
      <c r="C302" s="198" t="n"/>
      <c r="D302" s="179" t="n"/>
      <c r="E302" s="180" t="n"/>
      <c r="F302" s="181" t="n"/>
      <c r="G302" s="284">
        <f>'Jobs-Ops'!G302</f>
        <v/>
      </c>
      <c r="H302" s="114">
        <f>'Jobs-Ops'!H302</f>
        <v/>
      </c>
      <c r="I302" s="105" t="n"/>
      <c r="J302" s="183">
        <f>F302</f>
        <v/>
      </c>
      <c r="K302" s="184" t="n"/>
      <c r="L302" s="185" t="n"/>
      <c r="M302" s="8" t="n"/>
      <c r="N302" s="71">
        <f>M302</f>
        <v/>
      </c>
      <c r="O302" s="71" t="n"/>
      <c r="P302" s="101" t="n"/>
      <c r="Q302" s="9">
        <f>J302-N302</f>
        <v/>
      </c>
      <c r="R302" s="9">
        <f>IF(LEFT(B302,4)&lt;&gt;"    ",0,BI302)</f>
        <v/>
      </c>
      <c r="S302" s="9">
        <f>+Q302-R302</f>
        <v/>
      </c>
      <c r="T302" s="200">
        <f>IF('Jobs-Ops'!S302&lt;&gt; "",'Jobs-Ops'!S302,"")</f>
        <v/>
      </c>
      <c r="U302" s="10" t="n"/>
      <c r="V302" s="23">
        <f>IF(LEFT(B302,4)&lt;&gt;"    ","",IF(N302&lt;&gt;0,X302/N302,0))</f>
        <v/>
      </c>
      <c r="W302" s="11">
        <f>IF(LEFT(B302,4)&lt;&gt;"    ","",IF(V302&gt;=0.1,V302*J302,X302))</f>
        <v/>
      </c>
      <c r="X302" s="8" t="n"/>
      <c r="Y302" s="9">
        <f>IF(LEFT(B302,4)&lt;&gt;"    ",0,IF(Q302&lt;0,Q302,IF(V302&gt;0.1,W302-X302,0)))</f>
        <v/>
      </c>
      <c r="Z302" s="9">
        <f>IF(LEFT(B302,4)&lt;&gt;"    ",0,IF(V302&gt;0.1,BI302,0))</f>
        <v/>
      </c>
      <c r="AA302" s="9">
        <f>Y302-Z302</f>
        <v/>
      </c>
      <c r="AB302" s="10" t="n"/>
      <c r="AC302" s="24" t="n"/>
      <c r="AD302" s="11" t="n"/>
      <c r="AE302" s="8" t="n"/>
      <c r="AF302" s="9">
        <f>IF(LEFT(B302,4)&lt;&gt;"    ","",AD302-AE302)</f>
        <v/>
      </c>
      <c r="AG302" s="10" t="n"/>
      <c r="AH302" s="11">
        <f>IF(LEFT(B302,4)&lt;&gt;"    ","",W302-AD302)</f>
        <v/>
      </c>
      <c r="AI302" s="8">
        <f>IF(LEFT(B302,4)&lt;&gt;"    ","",X302-AE302)</f>
        <v/>
      </c>
      <c r="AJ302" s="9">
        <f>IF(LEFT(B302,4)&lt;&gt;"    ","",Y302-AF302)</f>
        <v/>
      </c>
      <c r="AK302" s="10" t="n"/>
      <c r="AL302" s="25">
        <f>IF(LEFT(B302,4)&lt;&gt;"    ","",J302-W302)</f>
        <v/>
      </c>
      <c r="AM302" s="25">
        <f>N302-X302</f>
        <v/>
      </c>
      <c r="AN302" s="25">
        <f>IF(LEFT(B302,4)&lt;&gt;"    ","",Q302-Y302)</f>
        <v/>
      </c>
      <c r="AO302" s="10" t="n"/>
      <c r="AP302" s="12" t="n"/>
      <c r="AQ302" s="12">
        <f>IF(LEFT(B302,4)&lt;&gt;"    ","",IF(W302-AP302&gt;=0,W302-AP302," "))</f>
        <v/>
      </c>
      <c r="AR302" s="12">
        <f>IF(LEFT(B302,4)&lt;&gt;"    ","",IF(AP302-W302&gt;=0,AP302-W302," "))</f>
        <v/>
      </c>
      <c r="AS302" s="186" t="n"/>
      <c r="AT302" s="187" t="n"/>
      <c r="AU302" s="186" t="n"/>
      <c r="AV302" s="186" t="n"/>
      <c r="AW302" s="188" t="n"/>
      <c r="AX302" s="187" t="n"/>
      <c r="AY302" s="187" t="n"/>
      <c r="AZ302" s="186" t="n"/>
      <c r="BA302" s="186" t="n"/>
      <c r="BB302" s="186" t="n"/>
      <c r="BC302" s="186" t="n"/>
      <c r="BD302" s="186" t="n"/>
      <c r="BE302" s="186" t="n"/>
      <c r="BF302" s="186" t="n"/>
      <c r="BG302" s="186" t="n"/>
      <c r="BH302" s="186" t="n"/>
      <c r="BI302" s="186" t="n"/>
      <c r="BJ302" s="186" t="n"/>
      <c r="BK302" s="186" t="n"/>
      <c r="BL302" s="186" t="n"/>
      <c r="BM302" s="186" t="n"/>
      <c r="BN302" s="186" t="n"/>
      <c r="BO302" s="186" t="n"/>
      <c r="BP302" s="186" t="n"/>
      <c r="BQ302" s="186" t="n"/>
      <c r="BR302" s="186" t="n"/>
      <c r="BS302" s="186" t="n"/>
      <c r="BT302" s="186" t="n"/>
      <c r="BU302" s="186" t="n"/>
      <c r="BV302" s="190" t="n"/>
      <c r="BW302" s="186" t="n"/>
      <c r="BX302" s="186" t="n"/>
      <c r="BY302" s="186" t="n"/>
      <c r="BZ302" s="186" t="n"/>
      <c r="CA302" s="186" t="n"/>
      <c r="CB302" s="187" t="n"/>
      <c r="CC302" s="192" t="n"/>
      <c r="CD302" s="192" t="n"/>
      <c r="CE302" s="192" t="n"/>
      <c r="CF302" s="192" t="n"/>
    </row>
    <row r="303">
      <c r="A303" s="197" t="n"/>
      <c r="B303" s="198" t="n"/>
      <c r="C303" s="198" t="n"/>
      <c r="D303" s="179" t="n"/>
      <c r="E303" s="180" t="n"/>
      <c r="F303" s="181" t="n"/>
      <c r="G303" s="284">
        <f>'Jobs-Ops'!G303</f>
        <v/>
      </c>
      <c r="H303" s="114">
        <f>'Jobs-Ops'!H303</f>
        <v/>
      </c>
      <c r="I303" s="105" t="n"/>
      <c r="J303" s="196">
        <f>F303</f>
        <v/>
      </c>
      <c r="K303" s="184" t="n"/>
      <c r="L303" s="185" t="n"/>
      <c r="M303" s="8" t="n"/>
      <c r="N303" s="71">
        <f>M303</f>
        <v/>
      </c>
      <c r="O303" s="71" t="n"/>
      <c r="P303" s="101" t="n"/>
      <c r="Q303" s="9">
        <f>J303-N303</f>
        <v/>
      </c>
      <c r="R303" s="9">
        <f>IF(LEFT(B303,4)&lt;&gt;"    ",0,BI303)</f>
        <v/>
      </c>
      <c r="S303" s="9">
        <f>+Q303-R303</f>
        <v/>
      </c>
      <c r="T303" s="200">
        <f>IF('Jobs-Ops'!S303&lt;&gt; "",'Jobs-Ops'!S303,"")</f>
        <v/>
      </c>
      <c r="U303" s="10" t="n"/>
      <c r="V303" s="23">
        <f>IF(LEFT(B303,4)&lt;&gt;"    ","",IF(N303&lt;&gt;0,X303/N303,0))</f>
        <v/>
      </c>
      <c r="W303" s="11">
        <f>IF(LEFT(B303,4)&lt;&gt;"    ","",IF(V303&gt;=0.1,V303*J303,X303))</f>
        <v/>
      </c>
      <c r="X303" s="8" t="n"/>
      <c r="Y303" s="9">
        <f>IF(LEFT(B303,4)&lt;&gt;"    ",0,IF(Q303&lt;0,Q303,IF(V303&gt;0.1,W303-X303,0)))</f>
        <v/>
      </c>
      <c r="Z303" s="9">
        <f>IF(LEFT(B303,4)&lt;&gt;"    ",0,IF(V303&gt;0.1,BI303,0))</f>
        <v/>
      </c>
      <c r="AA303" s="9">
        <f>Y303-Z303</f>
        <v/>
      </c>
      <c r="AB303" s="10" t="n"/>
      <c r="AC303" s="24" t="n"/>
      <c r="AD303" s="11" t="n"/>
      <c r="AE303" s="8" t="n"/>
      <c r="AF303" s="9">
        <f>IF(LEFT(B303,4)&lt;&gt;"    ","",AD303-AE303)</f>
        <v/>
      </c>
      <c r="AG303" s="10" t="n"/>
      <c r="AH303" s="11">
        <f>IF(LEFT(B303,4)&lt;&gt;"    ","",W303-AD303)</f>
        <v/>
      </c>
      <c r="AI303" s="8">
        <f>IF(LEFT(B303,4)&lt;&gt;"    ","",X303-AE303)</f>
        <v/>
      </c>
      <c r="AJ303" s="9">
        <f>IF(LEFT(B303,4)&lt;&gt;"    ","",Y303-AF303)</f>
        <v/>
      </c>
      <c r="AK303" s="10" t="n"/>
      <c r="AL303" s="25">
        <f>IF(LEFT(B303,4)&lt;&gt;"    ","",J303-W303)</f>
        <v/>
      </c>
      <c r="AM303" s="25">
        <f>N303-X303</f>
        <v/>
      </c>
      <c r="AN303" s="25">
        <f>IF(LEFT(B303,4)&lt;&gt;"    ","",Q303-Y303)</f>
        <v/>
      </c>
      <c r="AO303" s="10" t="n"/>
      <c r="AP303" s="12" t="n"/>
      <c r="AQ303" s="12">
        <f>IF(LEFT(B303,4)&lt;&gt;"    ","",IF(W303-AP303&gt;=0,W303-AP303," "))</f>
        <v/>
      </c>
      <c r="AR303" s="12">
        <f>IF(LEFT(B303,4)&lt;&gt;"    ","",IF(AP303-W303&gt;=0,AP303-W303," "))</f>
        <v/>
      </c>
      <c r="AS303" s="186" t="n"/>
      <c r="AT303" s="187" t="n"/>
      <c r="AU303" s="186" t="n"/>
      <c r="AV303" s="186" t="n"/>
      <c r="AW303" s="188" t="n"/>
      <c r="AX303" s="187" t="n"/>
      <c r="AY303" s="187" t="n"/>
      <c r="AZ303" s="186" t="n"/>
      <c r="BA303" s="186" t="n"/>
      <c r="BB303" s="186" t="n"/>
      <c r="BC303" s="186" t="n"/>
      <c r="BD303" s="186" t="n"/>
      <c r="BE303" s="186" t="n"/>
      <c r="BF303" s="186" t="n"/>
      <c r="BG303" s="186" t="n"/>
      <c r="BH303" s="186" t="n"/>
      <c r="BI303" s="186" t="n"/>
      <c r="BJ303" s="186" t="n"/>
      <c r="BK303" s="186" t="n"/>
      <c r="BL303" s="186" t="n"/>
      <c r="BM303" s="186" t="n"/>
      <c r="BN303" s="186" t="n"/>
      <c r="BO303" s="186" t="n"/>
      <c r="BP303" s="186" t="n"/>
      <c r="BQ303" s="186" t="n"/>
      <c r="BR303" s="186" t="n"/>
      <c r="BS303" s="186" t="n"/>
      <c r="BT303" s="186" t="n"/>
      <c r="BU303" s="186" t="n"/>
      <c r="BV303" s="190" t="n"/>
      <c r="BW303" s="186" t="n"/>
      <c r="BX303" s="186" t="n"/>
      <c r="BY303" s="186" t="n"/>
      <c r="BZ303" s="186" t="n"/>
      <c r="CA303" s="186" t="n"/>
      <c r="CB303" s="187" t="n"/>
      <c r="CC303" s="192" t="n"/>
      <c r="CD303" s="192" t="n"/>
      <c r="CE303" s="192" t="n"/>
      <c r="CF303" s="192" t="n"/>
    </row>
    <row r="304">
      <c r="A304" s="197" t="n"/>
      <c r="B304" s="198" t="n"/>
      <c r="C304" s="198" t="n"/>
      <c r="D304" s="179" t="n"/>
      <c r="E304" s="180" t="n"/>
      <c r="F304" s="181" t="n"/>
      <c r="G304" s="284">
        <f>'Jobs-Ops'!G304</f>
        <v/>
      </c>
      <c r="H304" s="114">
        <f>'Jobs-Ops'!H304</f>
        <v/>
      </c>
      <c r="I304" s="105" t="n"/>
      <c r="J304" s="196">
        <f>F304</f>
        <v/>
      </c>
      <c r="K304" s="184" t="n"/>
      <c r="L304" s="185" t="n"/>
      <c r="M304" s="8" t="n"/>
      <c r="N304" s="71">
        <f>M304</f>
        <v/>
      </c>
      <c r="O304" s="71" t="n"/>
      <c r="P304" s="101" t="n"/>
      <c r="Q304" s="9">
        <f>J304-N304</f>
        <v/>
      </c>
      <c r="R304" s="9">
        <f>IF(LEFT(B304,4)&lt;&gt;"    ",0,BI304)</f>
        <v/>
      </c>
      <c r="S304" s="9">
        <f>+Q304-R304</f>
        <v/>
      </c>
      <c r="T304" s="200">
        <f>IF('Jobs-Ops'!S304&lt;&gt; "",'Jobs-Ops'!S304,"")</f>
        <v/>
      </c>
      <c r="U304" s="10" t="n"/>
      <c r="V304" s="23">
        <f>IF(LEFT(B304,4)&lt;&gt;"    ","",IF(N304&lt;&gt;0,X304/N304,0))</f>
        <v/>
      </c>
      <c r="W304" s="11">
        <f>IF(LEFT(B304,4)&lt;&gt;"    ","",IF(V304&gt;=0.1,V304*J304,X304))</f>
        <v/>
      </c>
      <c r="X304" s="8" t="n"/>
      <c r="Y304" s="9">
        <f>IF(LEFT(B304,4)&lt;&gt;"    ",0,IF(Q304&lt;0,Q304,IF(V304&gt;0.1,W304-X304,0)))</f>
        <v/>
      </c>
      <c r="Z304" s="9">
        <f>IF(LEFT(B304,4)&lt;&gt;"    ",0,IF(V304&gt;0.1,BI304,0))</f>
        <v/>
      </c>
      <c r="AA304" s="9">
        <f>Y304-Z304</f>
        <v/>
      </c>
      <c r="AB304" s="10" t="n"/>
      <c r="AC304" s="24" t="n"/>
      <c r="AD304" s="11" t="n"/>
      <c r="AE304" s="8" t="n"/>
      <c r="AF304" s="9">
        <f>IF(LEFT(B304,4)&lt;&gt;"    ","",AD304-AE304)</f>
        <v/>
      </c>
      <c r="AG304" s="10" t="n"/>
      <c r="AH304" s="11">
        <f>IF(LEFT(B304,4)&lt;&gt;"    ","",W304-AD304)</f>
        <v/>
      </c>
      <c r="AI304" s="8">
        <f>IF(LEFT(B304,4)&lt;&gt;"    ","",X304-AE304)</f>
        <v/>
      </c>
      <c r="AJ304" s="9">
        <f>IF(LEFT(B304,4)&lt;&gt;"    ","",Y304-AF304)</f>
        <v/>
      </c>
      <c r="AK304" s="10" t="n"/>
      <c r="AL304" s="25">
        <f>IF(LEFT(B304,4)&lt;&gt;"    ","",J304-W304)</f>
        <v/>
      </c>
      <c r="AM304" s="25">
        <f>N304-X304</f>
        <v/>
      </c>
      <c r="AN304" s="25">
        <f>IF(LEFT(B304,4)&lt;&gt;"    ","",Q304-Y304)</f>
        <v/>
      </c>
      <c r="AO304" s="10" t="n"/>
      <c r="AP304" s="12" t="n"/>
      <c r="AQ304" s="12">
        <f>IF(LEFT(B304,4)&lt;&gt;"    ","",IF(W304-AP304&gt;=0,W304-AP304," "))</f>
        <v/>
      </c>
      <c r="AR304" s="12">
        <f>IF(LEFT(B304,4)&lt;&gt;"    ","",IF(AP304-W304&gt;=0,AP304-W304," "))</f>
        <v/>
      </c>
      <c r="AS304" s="186" t="n"/>
      <c r="AT304" s="187" t="n"/>
      <c r="AU304" s="186" t="n"/>
      <c r="AV304" s="186" t="n"/>
      <c r="AW304" s="188" t="n"/>
      <c r="AX304" s="187" t="n"/>
      <c r="AY304" s="187" t="n"/>
      <c r="AZ304" s="186" t="n"/>
      <c r="BA304" s="186" t="n"/>
      <c r="BB304" s="186" t="n"/>
      <c r="BC304" s="186" t="n"/>
      <c r="BD304" s="186" t="n"/>
      <c r="BE304" s="186" t="n"/>
      <c r="BF304" s="186" t="n"/>
      <c r="BG304" s="186" t="n"/>
      <c r="BH304" s="186" t="n"/>
      <c r="BI304" s="186" t="n"/>
      <c r="BJ304" s="186" t="n"/>
      <c r="BK304" s="186" t="n"/>
      <c r="BL304" s="186" t="n"/>
      <c r="BM304" s="186" t="n"/>
      <c r="BN304" s="186" t="n"/>
      <c r="BO304" s="186" t="n"/>
      <c r="BP304" s="186" t="n"/>
      <c r="BQ304" s="186" t="n"/>
      <c r="BR304" s="186" t="n"/>
      <c r="BS304" s="186" t="n"/>
      <c r="BT304" s="186" t="n"/>
      <c r="BU304" s="186" t="n"/>
      <c r="BV304" s="190" t="n"/>
      <c r="BW304" s="186" t="n"/>
      <c r="BX304" s="186" t="n"/>
      <c r="BY304" s="186" t="n"/>
      <c r="BZ304" s="186" t="n"/>
      <c r="CA304" s="186" t="n"/>
      <c r="CB304" s="187" t="n"/>
      <c r="CC304" s="192" t="n"/>
      <c r="CD304" s="192" t="n"/>
      <c r="CE304" s="192" t="n"/>
      <c r="CF304" s="192" t="n"/>
    </row>
    <row r="305">
      <c r="A305" s="197" t="n"/>
      <c r="B305" s="198" t="n"/>
      <c r="C305" s="198" t="n"/>
      <c r="D305" s="179" t="n"/>
      <c r="E305" s="180" t="n"/>
      <c r="F305" s="181" t="n"/>
      <c r="G305" s="284">
        <f>'Jobs-Ops'!G305</f>
        <v/>
      </c>
      <c r="H305" s="114">
        <f>'Jobs-Ops'!H305</f>
        <v/>
      </c>
      <c r="I305" s="105" t="n"/>
      <c r="J305" s="196">
        <f>F305</f>
        <v/>
      </c>
      <c r="K305" s="184" t="n"/>
      <c r="L305" s="185" t="n"/>
      <c r="M305" s="8" t="n"/>
      <c r="N305" s="71">
        <f>M305</f>
        <v/>
      </c>
      <c r="O305" s="71" t="n"/>
      <c r="P305" s="101" t="n"/>
      <c r="Q305" s="9">
        <f>J305-N305</f>
        <v/>
      </c>
      <c r="R305" s="9">
        <f>IF(LEFT(B305,4)&lt;&gt;"    ",0,BI305)</f>
        <v/>
      </c>
      <c r="S305" s="9">
        <f>+Q305-R305</f>
        <v/>
      </c>
      <c r="T305" s="200">
        <f>IF('Jobs-Ops'!S305&lt;&gt; "",'Jobs-Ops'!S305,"")</f>
        <v/>
      </c>
      <c r="U305" s="10" t="n"/>
      <c r="V305" s="23">
        <f>IF(LEFT(B305,4)&lt;&gt;"    ","",IF(N305&lt;&gt;0,X305/N305,0))</f>
        <v/>
      </c>
      <c r="W305" s="11">
        <f>IF(LEFT(B305,4)&lt;&gt;"    ","",IF(V305&gt;=0.1,V305*J305,X305))</f>
        <v/>
      </c>
      <c r="X305" s="8" t="n"/>
      <c r="Y305" s="9">
        <f>IF(LEFT(B305,4)&lt;&gt;"    ",0,IF(Q305&lt;0,Q305,IF(V305&gt;0.1,W305-X305,0)))</f>
        <v/>
      </c>
      <c r="Z305" s="9">
        <f>IF(LEFT(B305,4)&lt;&gt;"    ",0,IF(V305&gt;0.1,BI305,0))</f>
        <v/>
      </c>
      <c r="AA305" s="9">
        <f>Y305-Z305</f>
        <v/>
      </c>
      <c r="AB305" s="10" t="n"/>
      <c r="AC305" s="24" t="n"/>
      <c r="AD305" s="11" t="n"/>
      <c r="AE305" s="8" t="n"/>
      <c r="AF305" s="9">
        <f>IF(LEFT(B305,4)&lt;&gt;"    ","",AD305-AE305)</f>
        <v/>
      </c>
      <c r="AG305" s="10" t="n"/>
      <c r="AH305" s="11">
        <f>IF(LEFT(B305,4)&lt;&gt;"    ","",W305-AD305)</f>
        <v/>
      </c>
      <c r="AI305" s="8">
        <f>IF(LEFT(B305,4)&lt;&gt;"    ","",X305-AE305)</f>
        <v/>
      </c>
      <c r="AJ305" s="9">
        <f>IF(LEFT(B305,4)&lt;&gt;"    ","",Y305-AF305)</f>
        <v/>
      </c>
      <c r="AK305" s="10" t="n"/>
      <c r="AL305" s="25">
        <f>IF(LEFT(B305,4)&lt;&gt;"    ","",J305-W305)</f>
        <v/>
      </c>
      <c r="AM305" s="25">
        <f>N305-X305</f>
        <v/>
      </c>
      <c r="AN305" s="25">
        <f>IF(LEFT(B305,4)&lt;&gt;"    ","",Q305-Y305)</f>
        <v/>
      </c>
      <c r="AO305" s="10" t="n"/>
      <c r="AP305" s="12" t="n"/>
      <c r="AQ305" s="12">
        <f>IF(LEFT(B305,4)&lt;&gt;"    ","",IF(W305-AP305&gt;=0,W305-AP305," "))</f>
        <v/>
      </c>
      <c r="AR305" s="12">
        <f>IF(LEFT(B305,4)&lt;&gt;"    ","",IF(AP305-W305&gt;=0,AP305-W305," "))</f>
        <v/>
      </c>
      <c r="AS305" s="186" t="n"/>
      <c r="AT305" s="187" t="n"/>
      <c r="AU305" s="186" t="n"/>
      <c r="AV305" s="186" t="n"/>
      <c r="AW305" s="188" t="n"/>
      <c r="AX305" s="187" t="n"/>
      <c r="AY305" s="187" t="n"/>
      <c r="AZ305" s="186" t="n"/>
      <c r="BA305" s="186" t="n"/>
      <c r="BB305" s="186" t="n"/>
      <c r="BC305" s="186" t="n"/>
      <c r="BD305" s="186" t="n"/>
      <c r="BE305" s="186" t="n"/>
      <c r="BF305" s="186" t="n"/>
      <c r="BG305" s="186" t="n"/>
      <c r="BH305" s="186" t="n"/>
      <c r="BI305" s="186" t="n"/>
      <c r="BJ305" s="186" t="n"/>
      <c r="BK305" s="186" t="n"/>
      <c r="BL305" s="186" t="n"/>
      <c r="BM305" s="186" t="n"/>
      <c r="BN305" s="186" t="n"/>
      <c r="BO305" s="186" t="n"/>
      <c r="BP305" s="186" t="n"/>
      <c r="BQ305" s="186" t="n"/>
      <c r="BR305" s="186" t="n"/>
      <c r="BS305" s="186" t="n"/>
      <c r="BT305" s="186" t="n"/>
      <c r="BU305" s="186" t="n"/>
      <c r="BV305" s="190" t="n"/>
      <c r="BW305" s="186" t="n"/>
      <c r="BX305" s="186" t="n"/>
      <c r="BY305" s="186" t="n"/>
      <c r="BZ305" s="186" t="n"/>
      <c r="CA305" s="186" t="n"/>
      <c r="CB305" s="187" t="n"/>
      <c r="CC305" s="192" t="n"/>
      <c r="CD305" s="192" t="n"/>
      <c r="CE305" s="192" t="n"/>
      <c r="CF305" s="192" t="n"/>
    </row>
    <row r="306">
      <c r="A306" s="197" t="n"/>
      <c r="B306" s="198" t="n"/>
      <c r="C306" s="198" t="n"/>
      <c r="D306" s="179" t="n"/>
      <c r="E306" s="180" t="n"/>
      <c r="F306" s="181" t="n"/>
      <c r="G306" s="284">
        <f>'Jobs-Ops'!G306</f>
        <v/>
      </c>
      <c r="H306" s="114">
        <f>'Jobs-Ops'!H306</f>
        <v/>
      </c>
      <c r="I306" s="105" t="n"/>
      <c r="J306" s="196">
        <f>F306</f>
        <v/>
      </c>
      <c r="K306" s="184" t="n"/>
      <c r="L306" s="185" t="n"/>
      <c r="M306" s="8" t="n"/>
      <c r="N306" s="71">
        <f>M306</f>
        <v/>
      </c>
      <c r="O306" s="71" t="n"/>
      <c r="P306" s="101" t="n"/>
      <c r="Q306" s="9">
        <f>J306-N306</f>
        <v/>
      </c>
      <c r="R306" s="9">
        <f>IF(LEFT(B306,4)&lt;&gt;"    ",0,BI306)</f>
        <v/>
      </c>
      <c r="S306" s="9">
        <f>+Q306-R306</f>
        <v/>
      </c>
      <c r="T306" s="200">
        <f>IF('Jobs-Ops'!S306&lt;&gt; "",'Jobs-Ops'!S306,"")</f>
        <v/>
      </c>
      <c r="U306" s="10" t="n"/>
      <c r="V306" s="23">
        <f>IF(LEFT(B306,4)&lt;&gt;"    ","",IF(N306&lt;&gt;0,X306/N306,0))</f>
        <v/>
      </c>
      <c r="W306" s="11">
        <f>IF(LEFT(B306,4)&lt;&gt;"    ","",IF(V306&gt;=0.1,V306*J306,X306))</f>
        <v/>
      </c>
      <c r="X306" s="8" t="n"/>
      <c r="Y306" s="9">
        <f>IF(LEFT(B306,4)&lt;&gt;"    ",0,IF(Q306&lt;0,Q306,IF(V306&gt;0.1,W306-X306,0)))</f>
        <v/>
      </c>
      <c r="Z306" s="9">
        <f>IF(LEFT(B306,4)&lt;&gt;"    ",0,IF(V306&gt;0.1,BI306,0))</f>
        <v/>
      </c>
      <c r="AA306" s="9">
        <f>Y306-Z306</f>
        <v/>
      </c>
      <c r="AB306" s="10" t="n"/>
      <c r="AC306" s="24" t="n"/>
      <c r="AD306" s="11" t="n"/>
      <c r="AE306" s="8" t="n"/>
      <c r="AF306" s="9">
        <f>IF(LEFT(B306,4)&lt;&gt;"    ","",AD306-AE306)</f>
        <v/>
      </c>
      <c r="AG306" s="10" t="n"/>
      <c r="AH306" s="11">
        <f>IF(LEFT(B306,4)&lt;&gt;"    ","",W306-AD306)</f>
        <v/>
      </c>
      <c r="AI306" s="8">
        <f>IF(LEFT(B306,4)&lt;&gt;"    ","",X306-AE306)</f>
        <v/>
      </c>
      <c r="AJ306" s="9">
        <f>IF(LEFT(B306,4)&lt;&gt;"    ","",Y306-AF306)</f>
        <v/>
      </c>
      <c r="AK306" s="10" t="n"/>
      <c r="AL306" s="25">
        <f>IF(LEFT(B306,4)&lt;&gt;"    ","",J306-W306)</f>
        <v/>
      </c>
      <c r="AM306" s="25">
        <f>N306-X306</f>
        <v/>
      </c>
      <c r="AN306" s="25">
        <f>IF(LEFT(B306,4)&lt;&gt;"    ","",Q306-Y306)</f>
        <v/>
      </c>
      <c r="AO306" s="10" t="n"/>
      <c r="AP306" s="12" t="n"/>
      <c r="AQ306" s="12">
        <f>IF(LEFT(B306,4)&lt;&gt;"    ","",IF(W306-AP306&gt;=0,W306-AP306," "))</f>
        <v/>
      </c>
      <c r="AR306" s="12">
        <f>IF(LEFT(B306,4)&lt;&gt;"    ","",IF(AP306-W306&gt;=0,AP306-W306," "))</f>
        <v/>
      </c>
      <c r="AS306" s="186" t="n"/>
      <c r="AT306" s="187" t="n"/>
      <c r="AU306" s="186" t="n"/>
      <c r="AV306" s="186" t="n"/>
      <c r="AW306" s="188" t="n"/>
      <c r="AX306" s="187" t="n"/>
      <c r="AY306" s="187" t="n"/>
      <c r="AZ306" s="186" t="n"/>
      <c r="BA306" s="186" t="n"/>
      <c r="BB306" s="186" t="n"/>
      <c r="BC306" s="186" t="n"/>
      <c r="BD306" s="186" t="n"/>
      <c r="BE306" s="186" t="n"/>
      <c r="BF306" s="186" t="n"/>
      <c r="BG306" s="186" t="n"/>
      <c r="BH306" s="186" t="n"/>
      <c r="BI306" s="186" t="n"/>
      <c r="BJ306" s="186" t="n"/>
      <c r="BK306" s="186" t="n"/>
      <c r="BL306" s="186" t="n"/>
      <c r="BM306" s="186" t="n"/>
      <c r="BN306" s="186" t="n"/>
      <c r="BO306" s="186" t="n"/>
      <c r="BP306" s="186" t="n"/>
      <c r="BQ306" s="186" t="n"/>
      <c r="BR306" s="186" t="n"/>
      <c r="BS306" s="186" t="n"/>
      <c r="BT306" s="186" t="n"/>
      <c r="BU306" s="186" t="n"/>
      <c r="BV306" s="190" t="n"/>
      <c r="BW306" s="186" t="n"/>
      <c r="BX306" s="186" t="n"/>
      <c r="BY306" s="186" t="n"/>
      <c r="BZ306" s="186" t="n"/>
      <c r="CA306" s="186" t="n"/>
      <c r="CB306" s="187" t="n"/>
      <c r="CC306" s="192" t="n"/>
      <c r="CD306" s="192" t="n"/>
      <c r="CE306" s="192" t="n"/>
      <c r="CF306" s="192" t="n"/>
    </row>
    <row r="307">
      <c r="A307" s="197" t="n"/>
      <c r="B307" s="198" t="n"/>
      <c r="C307" s="198" t="n"/>
      <c r="D307" s="179" t="n"/>
      <c r="E307" s="180" t="n"/>
      <c r="F307" s="181" t="n"/>
      <c r="G307" s="284">
        <f>'Jobs-Ops'!G307</f>
        <v/>
      </c>
      <c r="H307" s="114">
        <f>'Jobs-Ops'!H307</f>
        <v/>
      </c>
      <c r="I307" s="105" t="n"/>
      <c r="J307" s="196">
        <f>F307</f>
        <v/>
      </c>
      <c r="K307" s="184" t="n"/>
      <c r="L307" s="185" t="n"/>
      <c r="M307" s="8" t="n"/>
      <c r="N307" s="71">
        <f>M307</f>
        <v/>
      </c>
      <c r="O307" s="71" t="n"/>
      <c r="P307" s="101" t="n"/>
      <c r="Q307" s="9">
        <f>J307-N307</f>
        <v/>
      </c>
      <c r="R307" s="9">
        <f>IF(LEFT(B307,4)&lt;&gt;"    ",0,BI307)</f>
        <v/>
      </c>
      <c r="S307" s="9">
        <f>+Q307-R307</f>
        <v/>
      </c>
      <c r="T307" s="200">
        <f>IF('Jobs-Ops'!S307&lt;&gt; "",'Jobs-Ops'!S307,"")</f>
        <v/>
      </c>
      <c r="U307" s="10" t="n"/>
      <c r="V307" s="23">
        <f>IF(LEFT(B307,4)&lt;&gt;"    ","",IF(N307&lt;&gt;0,X307/N307,0))</f>
        <v/>
      </c>
      <c r="W307" s="11">
        <f>IF(LEFT(B307,4)&lt;&gt;"    ","",IF(V307&gt;=0.1,V307*J307,X307))</f>
        <v/>
      </c>
      <c r="X307" s="8" t="n"/>
      <c r="Y307" s="9">
        <f>IF(LEFT(B307,4)&lt;&gt;"    ",0,IF(Q307&lt;0,Q307,IF(V307&gt;0.1,W307-X307,0)))</f>
        <v/>
      </c>
      <c r="Z307" s="9">
        <f>IF(LEFT(B307,4)&lt;&gt;"    ",0,IF(V307&gt;0.1,BI307,0))</f>
        <v/>
      </c>
      <c r="AA307" s="9">
        <f>Y307-Z307</f>
        <v/>
      </c>
      <c r="AB307" s="10" t="n"/>
      <c r="AC307" s="24" t="n"/>
      <c r="AD307" s="11" t="n"/>
      <c r="AE307" s="8" t="n"/>
      <c r="AF307" s="9">
        <f>IF(LEFT(B307,4)&lt;&gt;"    ","",AD307-AE307)</f>
        <v/>
      </c>
      <c r="AG307" s="10" t="n"/>
      <c r="AH307" s="11">
        <f>IF(LEFT(B307,4)&lt;&gt;"    ","",W307-AD307)</f>
        <v/>
      </c>
      <c r="AI307" s="8">
        <f>IF(LEFT(B307,4)&lt;&gt;"    ","",X307-AE307)</f>
        <v/>
      </c>
      <c r="AJ307" s="9">
        <f>IF(LEFT(B307,4)&lt;&gt;"    ","",Y307-AF307)</f>
        <v/>
      </c>
      <c r="AK307" s="10" t="n"/>
      <c r="AL307" s="25">
        <f>IF(LEFT(B307,4)&lt;&gt;"    ","",J307-W307)</f>
        <v/>
      </c>
      <c r="AM307" s="25">
        <f>N307-X307</f>
        <v/>
      </c>
      <c r="AN307" s="25">
        <f>IF(LEFT(B307,4)&lt;&gt;"    ","",Q307-Y307)</f>
        <v/>
      </c>
      <c r="AO307" s="10" t="n"/>
      <c r="AP307" s="12" t="n"/>
      <c r="AQ307" s="12">
        <f>IF(LEFT(B307,4)&lt;&gt;"    ","",IF(W307-AP307&gt;=0,W307-AP307," "))</f>
        <v/>
      </c>
      <c r="AR307" s="12">
        <f>IF(LEFT(B307,4)&lt;&gt;"    ","",IF(AP307-W307&gt;=0,AP307-W307," "))</f>
        <v/>
      </c>
      <c r="AS307" s="186" t="n"/>
      <c r="AT307" s="187" t="n"/>
      <c r="AU307" s="186" t="n"/>
      <c r="AV307" s="186" t="n"/>
      <c r="AW307" s="188" t="n"/>
      <c r="AX307" s="187" t="n"/>
      <c r="AY307" s="187" t="n"/>
      <c r="AZ307" s="186" t="n"/>
      <c r="BA307" s="186" t="n"/>
      <c r="BB307" s="186" t="n"/>
      <c r="BC307" s="186" t="n"/>
      <c r="BD307" s="186" t="n"/>
      <c r="BE307" s="186" t="n"/>
      <c r="BF307" s="186" t="n"/>
      <c r="BG307" s="186" t="n"/>
      <c r="BH307" s="186" t="n"/>
      <c r="BI307" s="186" t="n"/>
      <c r="BJ307" s="186" t="n"/>
      <c r="BK307" s="186" t="n"/>
      <c r="BL307" s="186" t="n"/>
      <c r="BM307" s="186" t="n"/>
      <c r="BN307" s="186" t="n"/>
      <c r="BO307" s="186" t="n"/>
      <c r="BP307" s="186" t="n"/>
      <c r="BQ307" s="186" t="n"/>
      <c r="BR307" s="186" t="n"/>
      <c r="BS307" s="186" t="n"/>
      <c r="BT307" s="186" t="n"/>
      <c r="BU307" s="186" t="n"/>
      <c r="BV307" s="190" t="n"/>
      <c r="BW307" s="186" t="n"/>
      <c r="BX307" s="186" t="n"/>
      <c r="BY307" s="186" t="n"/>
      <c r="BZ307" s="186" t="n"/>
      <c r="CA307" s="186" t="n"/>
      <c r="CB307" s="187" t="n"/>
      <c r="CC307" s="192" t="n"/>
      <c r="CD307" s="192" t="n"/>
      <c r="CE307" s="192" t="n"/>
      <c r="CF307" s="192" t="n"/>
    </row>
    <row r="308">
      <c r="A308" s="197" t="n"/>
      <c r="B308" s="198" t="n"/>
      <c r="C308" s="198" t="n"/>
      <c r="D308" s="179" t="n"/>
      <c r="E308" s="180" t="n"/>
      <c r="F308" s="181" t="n"/>
      <c r="G308" s="284">
        <f>'Jobs-Ops'!G308</f>
        <v/>
      </c>
      <c r="H308" s="114">
        <f>'Jobs-Ops'!H308</f>
        <v/>
      </c>
      <c r="I308" s="105" t="n"/>
      <c r="J308" s="196">
        <f>F308</f>
        <v/>
      </c>
      <c r="K308" s="184" t="n"/>
      <c r="L308" s="185" t="n"/>
      <c r="M308" s="8" t="n"/>
      <c r="N308" s="71">
        <f>M308</f>
        <v/>
      </c>
      <c r="O308" s="71" t="n"/>
      <c r="P308" s="101" t="n"/>
      <c r="Q308" s="9">
        <f>J308-N308</f>
        <v/>
      </c>
      <c r="R308" s="9">
        <f>IF(LEFT(B308,4)&lt;&gt;"    ",0,BI308)</f>
        <v/>
      </c>
      <c r="S308" s="9">
        <f>+Q308-R308</f>
        <v/>
      </c>
      <c r="T308" s="200">
        <f>IF('Jobs-Ops'!S308&lt;&gt; "",'Jobs-Ops'!S308,"")</f>
        <v/>
      </c>
      <c r="U308" s="10" t="n"/>
      <c r="V308" s="23">
        <f>IF(LEFT(B308,4)&lt;&gt;"    ","",IF(N308&lt;&gt;0,X308/N308,0))</f>
        <v/>
      </c>
      <c r="W308" s="11">
        <f>IF(LEFT(B308,4)&lt;&gt;"    ","",IF(V308&gt;=0.1,V308*J308,X308))</f>
        <v/>
      </c>
      <c r="X308" s="8" t="n"/>
      <c r="Y308" s="9">
        <f>IF(LEFT(B308,4)&lt;&gt;"    ",0,IF(Q308&lt;0,Q308,IF(V308&gt;0.1,W308-X308,0)))</f>
        <v/>
      </c>
      <c r="Z308" s="9">
        <f>IF(LEFT(B308,4)&lt;&gt;"    ",0,IF(V308&gt;0.1,BI308,0))</f>
        <v/>
      </c>
      <c r="AA308" s="9">
        <f>Y308-Z308</f>
        <v/>
      </c>
      <c r="AB308" s="10" t="n"/>
      <c r="AC308" s="24" t="n"/>
      <c r="AD308" s="11" t="n"/>
      <c r="AE308" s="8" t="n"/>
      <c r="AF308" s="9">
        <f>IF(LEFT(B308,4)&lt;&gt;"    ","",AD308-AE308)</f>
        <v/>
      </c>
      <c r="AG308" s="10" t="n"/>
      <c r="AH308" s="11">
        <f>IF(LEFT(B308,4)&lt;&gt;"    ","",W308-AD308)</f>
        <v/>
      </c>
      <c r="AI308" s="8">
        <f>IF(LEFT(B308,4)&lt;&gt;"    ","",X308-AE308)</f>
        <v/>
      </c>
      <c r="AJ308" s="9">
        <f>IF(LEFT(B308,4)&lt;&gt;"    ","",Y308-AF308)</f>
        <v/>
      </c>
      <c r="AK308" s="10" t="n"/>
      <c r="AL308" s="25">
        <f>IF(LEFT(B308,4)&lt;&gt;"    ","",J308-W308)</f>
        <v/>
      </c>
      <c r="AM308" s="25">
        <f>N308-X308</f>
        <v/>
      </c>
      <c r="AN308" s="25">
        <f>IF(LEFT(B308,4)&lt;&gt;"    ","",Q308-Y308)</f>
        <v/>
      </c>
      <c r="AO308" s="10" t="n"/>
      <c r="AP308" s="12" t="n"/>
      <c r="AQ308" s="12">
        <f>IF(LEFT(B308,4)&lt;&gt;"    ","",IF(W308-AP308&gt;=0,W308-AP308," "))</f>
        <v/>
      </c>
      <c r="AR308" s="12">
        <f>IF(LEFT(B308,4)&lt;&gt;"    ","",IF(AP308-W308&gt;=0,AP308-W308," "))</f>
        <v/>
      </c>
      <c r="AS308" s="186" t="n"/>
      <c r="AT308" s="187" t="n"/>
      <c r="AU308" s="186" t="n"/>
      <c r="AV308" s="186" t="n"/>
      <c r="AW308" s="188" t="n"/>
      <c r="AX308" s="187" t="n"/>
      <c r="AY308" s="187" t="n"/>
      <c r="AZ308" s="186" t="n"/>
      <c r="BA308" s="186" t="n"/>
      <c r="BB308" s="186" t="n"/>
      <c r="BC308" s="186" t="n"/>
      <c r="BD308" s="186" t="n"/>
      <c r="BE308" s="186" t="n"/>
      <c r="BF308" s="186" t="n"/>
      <c r="BG308" s="186" t="n"/>
      <c r="BH308" s="186" t="n"/>
      <c r="BI308" s="186" t="n"/>
      <c r="BJ308" s="186" t="n"/>
      <c r="BK308" s="186" t="n"/>
      <c r="BL308" s="186" t="n"/>
      <c r="BM308" s="186" t="n"/>
      <c r="BN308" s="186" t="n"/>
      <c r="BO308" s="186" t="n"/>
      <c r="BP308" s="186" t="n"/>
      <c r="BQ308" s="186" t="n"/>
      <c r="BR308" s="186" t="n"/>
      <c r="BS308" s="186" t="n"/>
      <c r="BT308" s="186" t="n"/>
      <c r="BU308" s="186" t="n"/>
      <c r="BV308" s="190" t="n"/>
      <c r="BW308" s="186" t="n"/>
      <c r="BX308" s="186" t="n"/>
      <c r="BY308" s="186" t="n"/>
      <c r="BZ308" s="186" t="n"/>
      <c r="CA308" s="186" t="n"/>
      <c r="CB308" s="187" t="n"/>
      <c r="CC308" s="192" t="n"/>
      <c r="CD308" s="192" t="n"/>
      <c r="CE308" s="192" t="n"/>
      <c r="CF308" s="192" t="n"/>
    </row>
    <row r="309">
      <c r="A309" s="197" t="n"/>
      <c r="B309" s="198" t="n"/>
      <c r="C309" s="198" t="n"/>
      <c r="D309" s="179" t="n"/>
      <c r="E309" s="180" t="n"/>
      <c r="F309" s="181" t="n"/>
      <c r="G309" s="284">
        <f>'Jobs-Ops'!G309</f>
        <v/>
      </c>
      <c r="H309" s="114">
        <f>'Jobs-Ops'!H309</f>
        <v/>
      </c>
      <c r="I309" s="105" t="n"/>
      <c r="J309" s="196">
        <f>F309</f>
        <v/>
      </c>
      <c r="K309" s="184" t="n"/>
      <c r="L309" s="185" t="n"/>
      <c r="M309" s="8" t="n"/>
      <c r="N309" s="71">
        <f>M309</f>
        <v/>
      </c>
      <c r="O309" s="71" t="n"/>
      <c r="P309" s="101" t="n"/>
      <c r="Q309" s="9">
        <f>J309-N309</f>
        <v/>
      </c>
      <c r="R309" s="9">
        <f>IF(LEFT(B309,4)&lt;&gt;"    ",0,BI309)</f>
        <v/>
      </c>
      <c r="S309" s="9">
        <f>+Q309-R309</f>
        <v/>
      </c>
      <c r="T309" s="200">
        <f>IF('Jobs-Ops'!S309&lt;&gt; "",'Jobs-Ops'!S309,"")</f>
        <v/>
      </c>
      <c r="U309" s="10" t="n"/>
      <c r="V309" s="23">
        <f>IF(LEFT(B309,4)&lt;&gt;"    ","",IF(N309&lt;&gt;0,X309/N309,0))</f>
        <v/>
      </c>
      <c r="W309" s="11">
        <f>IF(LEFT(B309,4)&lt;&gt;"    ","",IF(V309&gt;=0.1,V309*J309,X309))</f>
        <v/>
      </c>
      <c r="X309" s="8" t="n"/>
      <c r="Y309" s="9">
        <f>IF(LEFT(B309,4)&lt;&gt;"    ",0,IF(Q309&lt;0,Q309,IF(V309&gt;0.1,W309-X309,0)))</f>
        <v/>
      </c>
      <c r="Z309" s="9">
        <f>IF(LEFT(B309,4)&lt;&gt;"    ",0,IF(V309&gt;0.1,BI309,0))</f>
        <v/>
      </c>
      <c r="AA309" s="9">
        <f>Y309-Z309</f>
        <v/>
      </c>
      <c r="AB309" s="10" t="n"/>
      <c r="AC309" s="24" t="n"/>
      <c r="AD309" s="11" t="n"/>
      <c r="AE309" s="8" t="n"/>
      <c r="AF309" s="9">
        <f>IF(LEFT(B309,4)&lt;&gt;"    ","",AD309-AE309)</f>
        <v/>
      </c>
      <c r="AG309" s="10" t="n"/>
      <c r="AH309" s="11">
        <f>IF(LEFT(B309,4)&lt;&gt;"    ","",W309-AD309)</f>
        <v/>
      </c>
      <c r="AI309" s="8">
        <f>IF(LEFT(B309,4)&lt;&gt;"    ","",X309-AE309)</f>
        <v/>
      </c>
      <c r="AJ309" s="9">
        <f>IF(LEFT(B309,4)&lt;&gt;"    ","",Y309-AF309)</f>
        <v/>
      </c>
      <c r="AK309" s="10" t="n"/>
      <c r="AL309" s="25">
        <f>IF(LEFT(B309,4)&lt;&gt;"    ","",J309-W309)</f>
        <v/>
      </c>
      <c r="AM309" s="25">
        <f>N309-X309</f>
        <v/>
      </c>
      <c r="AN309" s="25">
        <f>IF(LEFT(B309,4)&lt;&gt;"    ","",Q309-Y309)</f>
        <v/>
      </c>
      <c r="AO309" s="10" t="n"/>
      <c r="AP309" s="12" t="n"/>
      <c r="AQ309" s="12">
        <f>IF(LEFT(B309,4)&lt;&gt;"    ","",IF(W309-AP309&gt;=0,W309-AP309," "))</f>
        <v/>
      </c>
      <c r="AR309" s="12">
        <f>IF(LEFT(B309,4)&lt;&gt;"    ","",IF(AP309-W309&gt;=0,AP309-W309," "))</f>
        <v/>
      </c>
      <c r="AS309" s="186" t="n"/>
      <c r="AT309" s="187" t="n"/>
      <c r="AU309" s="186" t="n"/>
      <c r="AV309" s="186" t="n"/>
      <c r="AW309" s="188" t="n"/>
      <c r="AX309" s="187" t="n"/>
      <c r="AY309" s="187" t="n"/>
      <c r="AZ309" s="186" t="n"/>
      <c r="BA309" s="186" t="n"/>
      <c r="BB309" s="186" t="n"/>
      <c r="BC309" s="186" t="n"/>
      <c r="BD309" s="186" t="n"/>
      <c r="BE309" s="186" t="n"/>
      <c r="BF309" s="186" t="n"/>
      <c r="BG309" s="186" t="n"/>
      <c r="BH309" s="186" t="n"/>
      <c r="BI309" s="186" t="n"/>
      <c r="BJ309" s="186" t="n"/>
      <c r="BK309" s="186" t="n"/>
      <c r="BL309" s="186" t="n"/>
      <c r="BM309" s="186" t="n"/>
      <c r="BN309" s="186" t="n"/>
      <c r="BO309" s="186" t="n"/>
      <c r="BP309" s="186" t="n"/>
      <c r="BQ309" s="186" t="n"/>
      <c r="BR309" s="186" t="n"/>
      <c r="BS309" s="186" t="n"/>
      <c r="BT309" s="186" t="n"/>
      <c r="BU309" s="186" t="n"/>
      <c r="BV309" s="190" t="n"/>
      <c r="BW309" s="186" t="n"/>
      <c r="BX309" s="186" t="n"/>
      <c r="BY309" s="186" t="n"/>
      <c r="BZ309" s="186" t="n"/>
      <c r="CA309" s="186" t="n"/>
      <c r="CB309" s="187" t="n"/>
      <c r="CC309" s="192" t="n"/>
      <c r="CD309" s="192" t="n"/>
      <c r="CE309" s="192" t="n"/>
      <c r="CF309" s="192" t="n"/>
    </row>
    <row r="310">
      <c r="A310" s="197" t="n"/>
      <c r="B310" s="198" t="n"/>
      <c r="C310" s="198" t="n"/>
      <c r="D310" s="179" t="n"/>
      <c r="E310" s="180" t="n"/>
      <c r="F310" s="181" t="n"/>
      <c r="G310" s="284">
        <f>'Jobs-Ops'!G310</f>
        <v/>
      </c>
      <c r="H310" s="114">
        <f>'Jobs-Ops'!H310</f>
        <v/>
      </c>
      <c r="I310" s="105" t="n"/>
      <c r="J310" s="196">
        <f>F310</f>
        <v/>
      </c>
      <c r="K310" s="184" t="n"/>
      <c r="L310" s="185" t="n"/>
      <c r="M310" s="8" t="n"/>
      <c r="N310" s="71">
        <f>M310</f>
        <v/>
      </c>
      <c r="O310" s="71" t="n"/>
      <c r="P310" s="101" t="n"/>
      <c r="Q310" s="9">
        <f>J310-N310</f>
        <v/>
      </c>
      <c r="R310" s="9">
        <f>IF(LEFT(B310,4)&lt;&gt;"    ",0,BI310)</f>
        <v/>
      </c>
      <c r="S310" s="9">
        <f>+Q310-R310</f>
        <v/>
      </c>
      <c r="T310" s="200">
        <f>IF('Jobs-Ops'!S310&lt;&gt; "",'Jobs-Ops'!S310,"")</f>
        <v/>
      </c>
      <c r="U310" s="10" t="n"/>
      <c r="V310" s="23">
        <f>IF(LEFT(B310,4)&lt;&gt;"    ","",IF(N310&lt;&gt;0,X310/N310,0))</f>
        <v/>
      </c>
      <c r="W310" s="11">
        <f>IF(LEFT(B310,4)&lt;&gt;"    ","",IF(V310&gt;=0.1,V310*J310,X310))</f>
        <v/>
      </c>
      <c r="X310" s="8" t="n"/>
      <c r="Y310" s="9">
        <f>IF(LEFT(B310,4)&lt;&gt;"    ",0,IF(Q310&lt;0,Q310,IF(V310&gt;0.1,W310-X310,0)))</f>
        <v/>
      </c>
      <c r="Z310" s="9">
        <f>IF(LEFT(B310,4)&lt;&gt;"    ",0,IF(V310&gt;0.1,BI310,0))</f>
        <v/>
      </c>
      <c r="AA310" s="9">
        <f>Y310-Z310</f>
        <v/>
      </c>
      <c r="AB310" s="10" t="n"/>
      <c r="AC310" s="24" t="n"/>
      <c r="AD310" s="11" t="n"/>
      <c r="AE310" s="8" t="n"/>
      <c r="AF310" s="9">
        <f>IF(LEFT(B310,4)&lt;&gt;"    ","",AD310-AE310)</f>
        <v/>
      </c>
      <c r="AG310" s="10" t="n"/>
      <c r="AH310" s="11">
        <f>IF(LEFT(B310,4)&lt;&gt;"    ","",W310-AD310)</f>
        <v/>
      </c>
      <c r="AI310" s="8">
        <f>IF(LEFT(B310,4)&lt;&gt;"    ","",X310-AE310)</f>
        <v/>
      </c>
      <c r="AJ310" s="9">
        <f>IF(LEFT(B310,4)&lt;&gt;"    ","",Y310-AF310)</f>
        <v/>
      </c>
      <c r="AK310" s="10" t="n"/>
      <c r="AL310" s="25">
        <f>IF(LEFT(B310,4)&lt;&gt;"    ","",J310-W310)</f>
        <v/>
      </c>
      <c r="AM310" s="25">
        <f>N310-X310</f>
        <v/>
      </c>
      <c r="AN310" s="25">
        <f>IF(LEFT(B310,4)&lt;&gt;"    ","",Q310-Y310)</f>
        <v/>
      </c>
      <c r="AO310" s="10" t="n"/>
      <c r="AP310" s="12" t="n"/>
      <c r="AQ310" s="12">
        <f>IF(LEFT(B310,4)&lt;&gt;"    ","",IF(W310-AP310&gt;=0,W310-AP310," "))</f>
        <v/>
      </c>
      <c r="AR310" s="12">
        <f>IF(LEFT(B310,4)&lt;&gt;"    ","",IF(AP310-W310&gt;=0,AP310-W310," "))</f>
        <v/>
      </c>
      <c r="AS310" s="186" t="n"/>
      <c r="AT310" s="187" t="n"/>
      <c r="AU310" s="186" t="n"/>
      <c r="AV310" s="186" t="n"/>
      <c r="AW310" s="188" t="n"/>
      <c r="AX310" s="187" t="n"/>
      <c r="AY310" s="187" t="n"/>
      <c r="AZ310" s="186" t="n"/>
      <c r="BA310" s="186" t="n"/>
      <c r="BB310" s="186" t="n"/>
      <c r="BC310" s="186" t="n"/>
      <c r="BD310" s="186" t="n"/>
      <c r="BE310" s="186" t="n"/>
      <c r="BF310" s="186" t="n"/>
      <c r="BG310" s="186" t="n"/>
      <c r="BH310" s="186" t="n"/>
      <c r="BI310" s="186" t="n"/>
      <c r="BJ310" s="186" t="n"/>
      <c r="BK310" s="186" t="n"/>
      <c r="BL310" s="186" t="n"/>
      <c r="BM310" s="186" t="n"/>
      <c r="BN310" s="186" t="n"/>
      <c r="BO310" s="186" t="n"/>
      <c r="BP310" s="186" t="n"/>
      <c r="BQ310" s="186" t="n"/>
      <c r="BR310" s="186" t="n"/>
      <c r="BS310" s="186" t="n"/>
      <c r="BT310" s="186" t="n"/>
      <c r="BU310" s="186" t="n"/>
      <c r="BV310" s="190" t="n"/>
      <c r="BW310" s="186" t="n"/>
      <c r="BX310" s="186" t="n"/>
      <c r="BY310" s="186" t="n"/>
      <c r="BZ310" s="186" t="n"/>
      <c r="CA310" s="186" t="n"/>
      <c r="CB310" s="187" t="n"/>
      <c r="CC310" s="192" t="n"/>
      <c r="CD310" s="192" t="n"/>
      <c r="CE310" s="192" t="n"/>
      <c r="CF310" s="192" t="n"/>
    </row>
    <row r="311">
      <c r="A311" s="197" t="n"/>
      <c r="B311" s="198" t="n"/>
      <c r="C311" s="198" t="n"/>
      <c r="D311" s="179" t="n"/>
      <c r="E311" s="180" t="n"/>
      <c r="F311" s="181" t="n"/>
      <c r="G311" s="284">
        <f>'Jobs-Ops'!G311</f>
        <v/>
      </c>
      <c r="H311" s="114">
        <f>'Jobs-Ops'!H311</f>
        <v/>
      </c>
      <c r="I311" s="105" t="n"/>
      <c r="J311" s="196">
        <f>F311</f>
        <v/>
      </c>
      <c r="K311" s="184" t="n"/>
      <c r="L311" s="185" t="n"/>
      <c r="M311" s="8" t="n"/>
      <c r="N311" s="71">
        <f>M311</f>
        <v/>
      </c>
      <c r="O311" s="71" t="n"/>
      <c r="P311" s="101" t="n"/>
      <c r="Q311" s="9">
        <f>J311-N311</f>
        <v/>
      </c>
      <c r="R311" s="9">
        <f>IF(LEFT(B311,4)&lt;&gt;"    ",0,BI311)</f>
        <v/>
      </c>
      <c r="S311" s="9">
        <f>+Q311-R311</f>
        <v/>
      </c>
      <c r="T311" s="200">
        <f>IF('Jobs-Ops'!S311&lt;&gt; "",'Jobs-Ops'!S311,"")</f>
        <v/>
      </c>
      <c r="U311" s="10" t="n"/>
      <c r="V311" s="23">
        <f>IF(LEFT(B311,4)&lt;&gt;"    ","",IF(N311&lt;&gt;0,X311/N311,0))</f>
        <v/>
      </c>
      <c r="W311" s="11">
        <f>IF(LEFT(B311,4)&lt;&gt;"    ","",IF(V311&gt;=0.1,V311*J311,X311))</f>
        <v/>
      </c>
      <c r="X311" s="8" t="n"/>
      <c r="Y311" s="9">
        <f>IF(LEFT(B311,4)&lt;&gt;"    ",0,IF(Q311&lt;0,Q311,IF(V311&gt;0.1,W311-X311,0)))</f>
        <v/>
      </c>
      <c r="Z311" s="9">
        <f>IF(LEFT(B311,4)&lt;&gt;"    ",0,IF(V311&gt;0.1,BI311,0))</f>
        <v/>
      </c>
      <c r="AA311" s="9">
        <f>Y311-Z311</f>
        <v/>
      </c>
      <c r="AB311" s="10" t="n"/>
      <c r="AC311" s="24" t="n"/>
      <c r="AD311" s="11" t="n"/>
      <c r="AE311" s="8" t="n"/>
      <c r="AF311" s="9">
        <f>IF(LEFT(B311,4)&lt;&gt;"    ","",AD311-AE311)</f>
        <v/>
      </c>
      <c r="AG311" s="10" t="n"/>
      <c r="AH311" s="11">
        <f>IF(LEFT(B311,4)&lt;&gt;"    ","",W311-AD311)</f>
        <v/>
      </c>
      <c r="AI311" s="8">
        <f>IF(LEFT(B311,4)&lt;&gt;"    ","",X311-AE311)</f>
        <v/>
      </c>
      <c r="AJ311" s="9">
        <f>IF(LEFT(B311,4)&lt;&gt;"    ","",Y311-AF311)</f>
        <v/>
      </c>
      <c r="AK311" s="10" t="n"/>
      <c r="AL311" s="25">
        <f>IF(LEFT(B311,4)&lt;&gt;"    ","",J311-W311)</f>
        <v/>
      </c>
      <c r="AM311" s="25">
        <f>N311-X311</f>
        <v/>
      </c>
      <c r="AN311" s="25">
        <f>IF(LEFT(B311,4)&lt;&gt;"    ","",Q311-Y311)</f>
        <v/>
      </c>
      <c r="AO311" s="10" t="n"/>
      <c r="AP311" s="12" t="n"/>
      <c r="AQ311" s="12">
        <f>IF(LEFT(B311,4)&lt;&gt;"    ","",IF(W311-AP311&gt;=0,W311-AP311," "))</f>
        <v/>
      </c>
      <c r="AR311" s="12">
        <f>IF(LEFT(B311,4)&lt;&gt;"    ","",IF(AP311-W311&gt;=0,AP311-W311," "))</f>
        <v/>
      </c>
      <c r="AS311" s="186" t="n"/>
      <c r="AT311" s="187" t="n"/>
      <c r="AU311" s="186" t="n"/>
      <c r="AV311" s="186" t="n"/>
      <c r="AW311" s="188" t="n"/>
      <c r="AX311" s="187" t="n"/>
      <c r="AY311" s="187" t="n"/>
      <c r="AZ311" s="186" t="n"/>
      <c r="BA311" s="186" t="n"/>
      <c r="BB311" s="186" t="n"/>
      <c r="BC311" s="186" t="n"/>
      <c r="BD311" s="186" t="n"/>
      <c r="BE311" s="186" t="n"/>
      <c r="BF311" s="186" t="n"/>
      <c r="BG311" s="186" t="n"/>
      <c r="BH311" s="186" t="n"/>
      <c r="BI311" s="186" t="n"/>
      <c r="BJ311" s="186" t="n"/>
      <c r="BK311" s="186" t="n"/>
      <c r="BL311" s="186" t="n"/>
      <c r="BM311" s="186" t="n"/>
      <c r="BN311" s="186" t="n"/>
      <c r="BO311" s="186" t="n"/>
      <c r="BP311" s="186" t="n"/>
      <c r="BQ311" s="186" t="n"/>
      <c r="BR311" s="186" t="n"/>
      <c r="BS311" s="186" t="n"/>
      <c r="BT311" s="186" t="n"/>
      <c r="BU311" s="186" t="n"/>
      <c r="BV311" s="190" t="n"/>
      <c r="BW311" s="186" t="n"/>
      <c r="BX311" s="186" t="n"/>
      <c r="BY311" s="186" t="n"/>
      <c r="BZ311" s="186" t="n"/>
      <c r="CA311" s="186" t="n"/>
      <c r="CB311" s="187" t="n"/>
      <c r="CC311" s="192" t="n"/>
      <c r="CD311" s="192" t="n"/>
      <c r="CE311" s="192" t="n"/>
      <c r="CF311" s="192" t="n"/>
    </row>
    <row r="312">
      <c r="A312" s="197" t="n"/>
      <c r="B312" s="198" t="n"/>
      <c r="C312" s="198" t="n"/>
      <c r="D312" s="179" t="n"/>
      <c r="E312" s="180" t="n"/>
      <c r="F312" s="181" t="n"/>
      <c r="G312" s="284">
        <f>'Jobs-Ops'!G312</f>
        <v/>
      </c>
      <c r="H312" s="114">
        <f>'Jobs-Ops'!H312</f>
        <v/>
      </c>
      <c r="I312" s="105" t="n"/>
      <c r="J312" s="196">
        <f>F312</f>
        <v/>
      </c>
      <c r="K312" s="184" t="n"/>
      <c r="L312" s="185" t="n"/>
      <c r="M312" s="8" t="n"/>
      <c r="N312" s="71">
        <f>M312</f>
        <v/>
      </c>
      <c r="O312" s="71" t="n"/>
      <c r="P312" s="101" t="n"/>
      <c r="Q312" s="9">
        <f>J312-N312</f>
        <v/>
      </c>
      <c r="R312" s="9">
        <f>IF(LEFT(B312,4)&lt;&gt;"    ",0,BI312)</f>
        <v/>
      </c>
      <c r="S312" s="9">
        <f>+Q312-R312</f>
        <v/>
      </c>
      <c r="T312" s="200">
        <f>IF('Jobs-Ops'!S312&lt;&gt; "",'Jobs-Ops'!S312,"")</f>
        <v/>
      </c>
      <c r="U312" s="10" t="n"/>
      <c r="V312" s="23">
        <f>IF(LEFT(B312,4)&lt;&gt;"    ","",IF(N312&lt;&gt;0,X312/N312,0))</f>
        <v/>
      </c>
      <c r="W312" s="11">
        <f>IF(LEFT(B312,4)&lt;&gt;"    ","",IF(V312&gt;=0.1,V312*J312,X312))</f>
        <v/>
      </c>
      <c r="X312" s="8" t="n"/>
      <c r="Y312" s="9">
        <f>IF(LEFT(B312,4)&lt;&gt;"    ",0,IF(Q312&lt;0,Q312,IF(V312&gt;0.1,W312-X312,0)))</f>
        <v/>
      </c>
      <c r="Z312" s="9">
        <f>IF(LEFT(B312,4)&lt;&gt;"    ",0,IF(V312&gt;0.1,BI312,0))</f>
        <v/>
      </c>
      <c r="AA312" s="9">
        <f>Y312-Z312</f>
        <v/>
      </c>
      <c r="AB312" s="10" t="n"/>
      <c r="AC312" s="24" t="n"/>
      <c r="AD312" s="11" t="n"/>
      <c r="AE312" s="8" t="n"/>
      <c r="AF312" s="9">
        <f>IF(LEFT(B312,4)&lt;&gt;"    ","",AD312-AE312)</f>
        <v/>
      </c>
      <c r="AG312" s="10" t="n"/>
      <c r="AH312" s="11">
        <f>IF(LEFT(B312,4)&lt;&gt;"    ","",W312-AD312)</f>
        <v/>
      </c>
      <c r="AI312" s="8">
        <f>IF(LEFT(B312,4)&lt;&gt;"    ","",X312-AE312)</f>
        <v/>
      </c>
      <c r="AJ312" s="9">
        <f>IF(LEFT(B312,4)&lt;&gt;"    ","",Y312-AF312)</f>
        <v/>
      </c>
      <c r="AK312" s="10" t="n"/>
      <c r="AL312" s="25">
        <f>IF(LEFT(B312,4)&lt;&gt;"    ","",J312-W312)</f>
        <v/>
      </c>
      <c r="AM312" s="25">
        <f>N312-X312</f>
        <v/>
      </c>
      <c r="AN312" s="25">
        <f>IF(LEFT(B312,4)&lt;&gt;"    ","",Q312-Y312)</f>
        <v/>
      </c>
      <c r="AO312" s="10" t="n"/>
      <c r="AP312" s="12" t="n"/>
      <c r="AQ312" s="12">
        <f>IF(LEFT(B312,4)&lt;&gt;"    ","",IF(W312-AP312&gt;=0,W312-AP312," "))</f>
        <v/>
      </c>
      <c r="AR312" s="12">
        <f>IF(LEFT(B312,4)&lt;&gt;"    ","",IF(AP312-W312&gt;=0,AP312-W312," "))</f>
        <v/>
      </c>
      <c r="AS312" s="186" t="n"/>
      <c r="AT312" s="187" t="n"/>
      <c r="AU312" s="186" t="n"/>
      <c r="AV312" s="186" t="n"/>
      <c r="AW312" s="188" t="n"/>
      <c r="AX312" s="187" t="n"/>
      <c r="AY312" s="187" t="n"/>
      <c r="AZ312" s="186" t="n"/>
      <c r="BA312" s="186" t="n"/>
      <c r="BB312" s="186" t="n"/>
      <c r="BC312" s="186" t="n"/>
      <c r="BD312" s="186" t="n"/>
      <c r="BE312" s="186" t="n"/>
      <c r="BF312" s="186" t="n"/>
      <c r="BG312" s="186" t="n"/>
      <c r="BH312" s="186" t="n"/>
      <c r="BI312" s="186" t="n"/>
      <c r="BJ312" s="186" t="n"/>
      <c r="BK312" s="186" t="n"/>
      <c r="BL312" s="186" t="n"/>
      <c r="BM312" s="186" t="n"/>
      <c r="BN312" s="186" t="n"/>
      <c r="BO312" s="186" t="n"/>
      <c r="BP312" s="186" t="n"/>
      <c r="BQ312" s="186" t="n"/>
      <c r="BR312" s="186" t="n"/>
      <c r="BS312" s="186" t="n"/>
      <c r="BT312" s="186" t="n"/>
      <c r="BU312" s="186" t="n"/>
      <c r="BV312" s="190" t="n"/>
      <c r="BW312" s="186" t="n"/>
      <c r="BX312" s="186" t="n"/>
      <c r="BY312" s="186" t="n"/>
      <c r="BZ312" s="186" t="n"/>
      <c r="CA312" s="186" t="n"/>
      <c r="CB312" s="187" t="n"/>
      <c r="CC312" s="192" t="n"/>
      <c r="CD312" s="192" t="n"/>
      <c r="CE312" s="192" t="n"/>
      <c r="CF312" s="192" t="n"/>
    </row>
    <row r="313">
      <c r="A313" s="197" t="n"/>
      <c r="B313" s="198" t="n"/>
      <c r="C313" s="198" t="n"/>
      <c r="D313" s="179" t="n"/>
      <c r="E313" s="180" t="n"/>
      <c r="F313" s="181" t="n"/>
      <c r="G313" s="284">
        <f>'Jobs-Ops'!G313</f>
        <v/>
      </c>
      <c r="H313" s="114">
        <f>'Jobs-Ops'!H313</f>
        <v/>
      </c>
      <c r="I313" s="105" t="n"/>
      <c r="J313" s="196">
        <f>F313</f>
        <v/>
      </c>
      <c r="K313" s="184" t="n"/>
      <c r="L313" s="185" t="n"/>
      <c r="M313" s="8" t="n"/>
      <c r="N313" s="71">
        <f>M313</f>
        <v/>
      </c>
      <c r="O313" s="71" t="n"/>
      <c r="P313" s="101" t="n"/>
      <c r="Q313" s="9">
        <f>J313-N313</f>
        <v/>
      </c>
      <c r="R313" s="9">
        <f>IF(LEFT(B313,4)&lt;&gt;"    ",0,BI313)</f>
        <v/>
      </c>
      <c r="S313" s="9">
        <f>+Q313-R313</f>
        <v/>
      </c>
      <c r="T313" s="200">
        <f>IF('Jobs-Ops'!S313&lt;&gt; "",'Jobs-Ops'!S313,"")</f>
        <v/>
      </c>
      <c r="U313" s="10" t="n"/>
      <c r="V313" s="23">
        <f>IF(LEFT(B313,4)&lt;&gt;"    ","",IF(N313&lt;&gt;0,X313/N313,0))</f>
        <v/>
      </c>
      <c r="W313" s="11">
        <f>IF(LEFT(B313,4)&lt;&gt;"    ","",IF(V313&gt;=0.1,V313*J313,X313))</f>
        <v/>
      </c>
      <c r="X313" s="8" t="n"/>
      <c r="Y313" s="9">
        <f>IF(LEFT(B313,4)&lt;&gt;"    ",0,IF(Q313&lt;0,Q313,IF(V313&gt;0.1,W313-X313,0)))</f>
        <v/>
      </c>
      <c r="Z313" s="9">
        <f>IF(LEFT(B313,4)&lt;&gt;"    ",0,IF(V313&gt;0.1,BI313,0))</f>
        <v/>
      </c>
      <c r="AA313" s="9">
        <f>Y313-Z313</f>
        <v/>
      </c>
      <c r="AB313" s="10" t="n"/>
      <c r="AC313" s="24" t="n"/>
      <c r="AD313" s="11" t="n"/>
      <c r="AE313" s="8" t="n"/>
      <c r="AF313" s="9">
        <f>IF(LEFT(B313,4)&lt;&gt;"    ","",AD313-AE313)</f>
        <v/>
      </c>
      <c r="AG313" s="10" t="n"/>
      <c r="AH313" s="11">
        <f>IF(LEFT(B313,4)&lt;&gt;"    ","",W313-AD313)</f>
        <v/>
      </c>
      <c r="AI313" s="8">
        <f>IF(LEFT(B313,4)&lt;&gt;"    ","",X313-AE313)</f>
        <v/>
      </c>
      <c r="AJ313" s="9">
        <f>IF(LEFT(B313,4)&lt;&gt;"    ","",Y313-AF313)</f>
        <v/>
      </c>
      <c r="AK313" s="10" t="n"/>
      <c r="AL313" s="25">
        <f>IF(LEFT(B313,4)&lt;&gt;"    ","",J313-W313)</f>
        <v/>
      </c>
      <c r="AM313" s="25">
        <f>N313-X313</f>
        <v/>
      </c>
      <c r="AN313" s="25">
        <f>IF(LEFT(B313,4)&lt;&gt;"    ","",Q313-Y313)</f>
        <v/>
      </c>
      <c r="AO313" s="10" t="n"/>
      <c r="AP313" s="12" t="n"/>
      <c r="AQ313" s="12">
        <f>IF(LEFT(B313,4)&lt;&gt;"    ","",IF(W313-AP313&gt;=0,W313-AP313," "))</f>
        <v/>
      </c>
      <c r="AR313" s="12">
        <f>IF(LEFT(B313,4)&lt;&gt;"    ","",IF(AP313-W313&gt;=0,AP313-W313," "))</f>
        <v/>
      </c>
      <c r="AS313" s="186" t="n"/>
      <c r="AT313" s="187" t="n"/>
      <c r="AU313" s="186" t="n"/>
      <c r="AV313" s="186" t="n"/>
      <c r="AW313" s="188" t="n"/>
      <c r="AX313" s="187" t="n"/>
      <c r="AY313" s="187" t="n"/>
      <c r="AZ313" s="186" t="n"/>
      <c r="BA313" s="186" t="n"/>
      <c r="BB313" s="186" t="n"/>
      <c r="BC313" s="186" t="n"/>
      <c r="BD313" s="186" t="n"/>
      <c r="BE313" s="186" t="n"/>
      <c r="BF313" s="186" t="n"/>
      <c r="BG313" s="186" t="n"/>
      <c r="BH313" s="186" t="n"/>
      <c r="BI313" s="186" t="n"/>
      <c r="BJ313" s="186" t="n"/>
      <c r="BK313" s="186" t="n"/>
      <c r="BL313" s="186" t="n"/>
      <c r="BM313" s="186" t="n"/>
      <c r="BN313" s="186" t="n"/>
      <c r="BO313" s="186" t="n"/>
      <c r="BP313" s="186" t="n"/>
      <c r="BQ313" s="186" t="n"/>
      <c r="BR313" s="186" t="n"/>
      <c r="BS313" s="186" t="n"/>
      <c r="BT313" s="186" t="n"/>
      <c r="BU313" s="186" t="n"/>
      <c r="BV313" s="190" t="n"/>
      <c r="BW313" s="186" t="n"/>
      <c r="BX313" s="186" t="n"/>
      <c r="BY313" s="186" t="n"/>
      <c r="BZ313" s="186" t="n"/>
      <c r="CA313" s="186" t="n"/>
      <c r="CB313" s="187" t="n"/>
      <c r="CC313" s="192" t="n"/>
      <c r="CD313" s="192" t="n"/>
      <c r="CE313" s="192" t="n"/>
      <c r="CF313" s="192" t="n"/>
    </row>
    <row r="314">
      <c r="A314" s="197" t="n"/>
      <c r="B314" s="198" t="n"/>
      <c r="C314" s="198" t="n"/>
      <c r="D314" s="179" t="n"/>
      <c r="E314" s="180" t="n"/>
      <c r="F314" s="181" t="n"/>
      <c r="G314" s="284">
        <f>'Jobs-Ops'!G314</f>
        <v/>
      </c>
      <c r="H314" s="114">
        <f>'Jobs-Ops'!H314</f>
        <v/>
      </c>
      <c r="I314" s="105" t="n"/>
      <c r="J314" s="196">
        <f>F314</f>
        <v/>
      </c>
      <c r="K314" s="184" t="n"/>
      <c r="L314" s="185" t="n"/>
      <c r="M314" s="8" t="n"/>
      <c r="N314" s="71">
        <f>M314</f>
        <v/>
      </c>
      <c r="O314" s="71" t="n"/>
      <c r="P314" s="101" t="n"/>
      <c r="Q314" s="9">
        <f>J314-N314</f>
        <v/>
      </c>
      <c r="R314" s="9">
        <f>IF(LEFT(B314,4)&lt;&gt;"    ",0,BI314)</f>
        <v/>
      </c>
      <c r="S314" s="9">
        <f>+Q314-R314</f>
        <v/>
      </c>
      <c r="T314" s="200">
        <f>IF('Jobs-Ops'!S314&lt;&gt; "",'Jobs-Ops'!S314,"")</f>
        <v/>
      </c>
      <c r="U314" s="10" t="n"/>
      <c r="V314" s="23">
        <f>IF(LEFT(B314,4)&lt;&gt;"    ","",IF(N314&lt;&gt;0,X314/N314,0))</f>
        <v/>
      </c>
      <c r="W314" s="11">
        <f>IF(LEFT(B314,4)&lt;&gt;"    ","",IF(V314&gt;=0.1,V314*J314,X314))</f>
        <v/>
      </c>
      <c r="X314" s="8" t="n"/>
      <c r="Y314" s="9">
        <f>IF(LEFT(B314,4)&lt;&gt;"    ",0,IF(Q314&lt;0,Q314,IF(V314&gt;0.1,W314-X314,0)))</f>
        <v/>
      </c>
      <c r="Z314" s="9">
        <f>IF(LEFT(B314,4)&lt;&gt;"    ",0,IF(V314&gt;0.1,BI314,0))</f>
        <v/>
      </c>
      <c r="AA314" s="9">
        <f>Y314-Z314</f>
        <v/>
      </c>
      <c r="AB314" s="10" t="n"/>
      <c r="AC314" s="24" t="n"/>
      <c r="AD314" s="11" t="n"/>
      <c r="AE314" s="8" t="n"/>
      <c r="AF314" s="9">
        <f>IF(LEFT(B314,4)&lt;&gt;"    ","",AD314-AE314)</f>
        <v/>
      </c>
      <c r="AG314" s="10" t="n"/>
      <c r="AH314" s="11">
        <f>IF(LEFT(B314,4)&lt;&gt;"    ","",W314-AD314)</f>
        <v/>
      </c>
      <c r="AI314" s="8">
        <f>IF(LEFT(B314,4)&lt;&gt;"    ","",X314-AE314)</f>
        <v/>
      </c>
      <c r="AJ314" s="9">
        <f>IF(LEFT(B314,4)&lt;&gt;"    ","",Y314-AF314)</f>
        <v/>
      </c>
      <c r="AK314" s="10" t="n"/>
      <c r="AL314" s="25">
        <f>IF(LEFT(B314,4)&lt;&gt;"    ","",J314-W314)</f>
        <v/>
      </c>
      <c r="AM314" s="25">
        <f>N314-X314</f>
        <v/>
      </c>
      <c r="AN314" s="25">
        <f>IF(LEFT(B314,4)&lt;&gt;"    ","",Q314-Y314)</f>
        <v/>
      </c>
      <c r="AO314" s="10" t="n"/>
      <c r="AP314" s="12" t="n"/>
      <c r="AQ314" s="12">
        <f>IF(LEFT(B314,4)&lt;&gt;"    ","",IF(W314-AP314&gt;=0,W314-AP314," "))</f>
        <v/>
      </c>
      <c r="AR314" s="12">
        <f>IF(LEFT(B314,4)&lt;&gt;"    ","",IF(AP314-W314&gt;=0,AP314-W314," "))</f>
        <v/>
      </c>
      <c r="AS314" s="186" t="n"/>
      <c r="AT314" s="187" t="n"/>
      <c r="AU314" s="186" t="n"/>
      <c r="AV314" s="186" t="n"/>
      <c r="AW314" s="188" t="n"/>
      <c r="AX314" s="187" t="n"/>
      <c r="AY314" s="187" t="n"/>
      <c r="AZ314" s="186" t="n"/>
      <c r="BA314" s="186" t="n"/>
      <c r="BB314" s="186" t="n"/>
      <c r="BC314" s="186" t="n"/>
      <c r="BD314" s="186" t="n"/>
      <c r="BE314" s="186" t="n"/>
      <c r="BF314" s="186" t="n"/>
      <c r="BG314" s="186" t="n"/>
      <c r="BH314" s="186" t="n"/>
      <c r="BI314" s="186" t="n"/>
      <c r="BJ314" s="186" t="n"/>
      <c r="BK314" s="186" t="n"/>
      <c r="BL314" s="186" t="n"/>
      <c r="BM314" s="186" t="n"/>
      <c r="BN314" s="186" t="n"/>
      <c r="BO314" s="186" t="n"/>
      <c r="BP314" s="186" t="n"/>
      <c r="BQ314" s="186" t="n"/>
      <c r="BR314" s="186" t="n"/>
      <c r="BS314" s="186" t="n"/>
      <c r="BT314" s="186" t="n"/>
      <c r="BU314" s="186" t="n"/>
      <c r="BV314" s="190" t="n"/>
      <c r="BW314" s="186" t="n"/>
      <c r="BX314" s="186" t="n"/>
      <c r="BY314" s="186" t="n"/>
      <c r="BZ314" s="186" t="n"/>
      <c r="CA314" s="186" t="n"/>
      <c r="CB314" s="187" t="n"/>
      <c r="CC314" s="192" t="n"/>
      <c r="CD314" s="192" t="n"/>
      <c r="CE314" s="192" t="n"/>
      <c r="CF314" s="192" t="n"/>
    </row>
    <row r="315">
      <c r="A315" s="197" t="n"/>
      <c r="B315" s="198" t="n"/>
      <c r="C315" s="198" t="n"/>
      <c r="D315" s="179" t="n"/>
      <c r="E315" s="180" t="n"/>
      <c r="F315" s="181" t="n"/>
      <c r="G315" s="284">
        <f>'Jobs-Ops'!G315</f>
        <v/>
      </c>
      <c r="H315" s="114">
        <f>'Jobs-Ops'!H315</f>
        <v/>
      </c>
      <c r="I315" s="105" t="n"/>
      <c r="J315" s="196">
        <f>F315</f>
        <v/>
      </c>
      <c r="K315" s="184" t="n"/>
      <c r="L315" s="185" t="n"/>
      <c r="M315" s="8" t="n"/>
      <c r="N315" s="71">
        <f>M315</f>
        <v/>
      </c>
      <c r="O315" s="71" t="n"/>
      <c r="P315" s="101" t="n"/>
      <c r="Q315" s="9">
        <f>J315-N315</f>
        <v/>
      </c>
      <c r="R315" s="9">
        <f>IF(LEFT(B315,4)&lt;&gt;"    ",0,BI315)</f>
        <v/>
      </c>
      <c r="S315" s="9">
        <f>+Q315-R315</f>
        <v/>
      </c>
      <c r="T315" s="200">
        <f>IF('Jobs-Ops'!S315&lt;&gt; "",'Jobs-Ops'!S315,"")</f>
        <v/>
      </c>
      <c r="U315" s="10" t="n"/>
      <c r="V315" s="23">
        <f>IF(LEFT(B315,4)&lt;&gt;"    ","",IF(N315&lt;&gt;0,X315/N315,0))</f>
        <v/>
      </c>
      <c r="W315" s="11">
        <f>IF(LEFT(B315,4)&lt;&gt;"    ","",IF(V315&gt;=0.1,V315*J315,X315))</f>
        <v/>
      </c>
      <c r="X315" s="8" t="n"/>
      <c r="Y315" s="9">
        <f>IF(LEFT(B315,4)&lt;&gt;"    ",0,IF(Q315&lt;0,Q315,IF(V315&gt;0.1,W315-X315,0)))</f>
        <v/>
      </c>
      <c r="Z315" s="9">
        <f>IF(LEFT(B315,4)&lt;&gt;"    ",0,IF(V315&gt;0.1,BI315,0))</f>
        <v/>
      </c>
      <c r="AA315" s="9">
        <f>Y315-Z315</f>
        <v/>
      </c>
      <c r="AB315" s="10" t="n"/>
      <c r="AC315" s="24" t="n"/>
      <c r="AD315" s="11" t="n"/>
      <c r="AE315" s="8" t="n"/>
      <c r="AF315" s="9">
        <f>IF(LEFT(B315,4)&lt;&gt;"    ","",AD315-AE315)</f>
        <v/>
      </c>
      <c r="AG315" s="10" t="n"/>
      <c r="AH315" s="11">
        <f>IF(LEFT(B315,4)&lt;&gt;"    ","",W315-AD315)</f>
        <v/>
      </c>
      <c r="AI315" s="8">
        <f>IF(LEFT(B315,4)&lt;&gt;"    ","",X315-AE315)</f>
        <v/>
      </c>
      <c r="AJ315" s="9">
        <f>IF(LEFT(B315,4)&lt;&gt;"    ","",Y315-AF315)</f>
        <v/>
      </c>
      <c r="AK315" s="10" t="n"/>
      <c r="AL315" s="25">
        <f>IF(LEFT(B315,4)&lt;&gt;"    ","",J315-W315)</f>
        <v/>
      </c>
      <c r="AM315" s="25">
        <f>N315-X315</f>
        <v/>
      </c>
      <c r="AN315" s="25">
        <f>IF(LEFT(B315,4)&lt;&gt;"    ","",Q315-Y315)</f>
        <v/>
      </c>
      <c r="AO315" s="10" t="n"/>
      <c r="AP315" s="12" t="n"/>
      <c r="AQ315" s="12">
        <f>IF(LEFT(B315,4)&lt;&gt;"    ","",IF(W315-AP315&gt;=0,W315-AP315," "))</f>
        <v/>
      </c>
      <c r="AR315" s="12">
        <f>IF(LEFT(B315,4)&lt;&gt;"    ","",IF(AP315-W315&gt;=0,AP315-W315," "))</f>
        <v/>
      </c>
      <c r="AS315" s="186" t="n"/>
      <c r="AT315" s="187" t="n"/>
      <c r="AU315" s="186" t="n"/>
      <c r="AV315" s="186" t="n"/>
      <c r="AW315" s="188" t="n"/>
      <c r="AX315" s="187" t="n"/>
      <c r="AY315" s="187" t="n"/>
      <c r="AZ315" s="186" t="n"/>
      <c r="BA315" s="186" t="n"/>
      <c r="BB315" s="186" t="n"/>
      <c r="BC315" s="186" t="n"/>
      <c r="BD315" s="186" t="n"/>
      <c r="BE315" s="186" t="n"/>
      <c r="BF315" s="186" t="n"/>
      <c r="BG315" s="186" t="n"/>
      <c r="BH315" s="186" t="n"/>
      <c r="BI315" s="186" t="n"/>
      <c r="BJ315" s="186" t="n"/>
      <c r="BK315" s="186" t="n"/>
      <c r="BL315" s="186" t="n"/>
      <c r="BM315" s="186" t="n"/>
      <c r="BN315" s="186" t="n"/>
      <c r="BO315" s="186" t="n"/>
      <c r="BP315" s="186" t="n"/>
      <c r="BQ315" s="186" t="n"/>
      <c r="BR315" s="186" t="n"/>
      <c r="BS315" s="186" t="n"/>
      <c r="BT315" s="186" t="n"/>
      <c r="BU315" s="186" t="n"/>
      <c r="BV315" s="190" t="n"/>
      <c r="BW315" s="186" t="n"/>
      <c r="BX315" s="186" t="n"/>
      <c r="BY315" s="186" t="n"/>
      <c r="BZ315" s="186" t="n"/>
      <c r="CA315" s="186" t="n"/>
      <c r="CB315" s="187" t="n"/>
      <c r="CC315" s="192" t="n"/>
      <c r="CD315" s="192" t="n"/>
      <c r="CE315" s="192" t="n"/>
      <c r="CF315" s="192" t="n"/>
    </row>
    <row r="316">
      <c r="A316" s="197" t="n"/>
      <c r="B316" s="198" t="n"/>
      <c r="C316" s="198" t="n"/>
      <c r="D316" s="179" t="n"/>
      <c r="E316" s="180" t="n"/>
      <c r="F316" s="181" t="n"/>
      <c r="G316" s="284">
        <f>'Jobs-Ops'!G316</f>
        <v/>
      </c>
      <c r="H316" s="114">
        <f>'Jobs-Ops'!H316</f>
        <v/>
      </c>
      <c r="I316" s="105" t="n"/>
      <c r="J316" s="196">
        <f>F316</f>
        <v/>
      </c>
      <c r="K316" s="184" t="n"/>
      <c r="L316" s="185" t="n"/>
      <c r="M316" s="8" t="n"/>
      <c r="N316" s="71">
        <f>M316</f>
        <v/>
      </c>
      <c r="O316" s="71" t="n"/>
      <c r="P316" s="101" t="n"/>
      <c r="Q316" s="9">
        <f>J316-N316</f>
        <v/>
      </c>
      <c r="R316" s="9">
        <f>IF(LEFT(B316,4)&lt;&gt;"    ",0,BI316)</f>
        <v/>
      </c>
      <c r="S316" s="9">
        <f>+Q316-R316</f>
        <v/>
      </c>
      <c r="T316" s="200">
        <f>IF('Jobs-Ops'!S316&lt;&gt; "",'Jobs-Ops'!S316,"")</f>
        <v/>
      </c>
      <c r="U316" s="10" t="n"/>
      <c r="V316" s="23">
        <f>IF(LEFT(B316,4)&lt;&gt;"    ","",IF(N316&lt;&gt;0,X316/N316,0))</f>
        <v/>
      </c>
      <c r="W316" s="11">
        <f>IF(LEFT(B316,4)&lt;&gt;"    ","",IF(V316&gt;=0.1,V316*J316,X316))</f>
        <v/>
      </c>
      <c r="X316" s="8" t="n"/>
      <c r="Y316" s="9">
        <f>IF(LEFT(B316,4)&lt;&gt;"    ",0,IF(Q316&lt;0,Q316,IF(V316&gt;0.1,W316-X316,0)))</f>
        <v/>
      </c>
      <c r="Z316" s="9">
        <f>IF(LEFT(B316,4)&lt;&gt;"    ",0,IF(V316&gt;0.1,BI316,0))</f>
        <v/>
      </c>
      <c r="AA316" s="9">
        <f>Y316-Z316</f>
        <v/>
      </c>
      <c r="AB316" s="10" t="n"/>
      <c r="AC316" s="24" t="n"/>
      <c r="AD316" s="11" t="n"/>
      <c r="AE316" s="8" t="n"/>
      <c r="AF316" s="9">
        <f>IF(LEFT(B316,4)&lt;&gt;"    ","",AD316-AE316)</f>
        <v/>
      </c>
      <c r="AG316" s="10" t="n"/>
      <c r="AH316" s="11">
        <f>IF(LEFT(B316,4)&lt;&gt;"    ","",W316-AD316)</f>
        <v/>
      </c>
      <c r="AI316" s="8">
        <f>IF(LEFT(B316,4)&lt;&gt;"    ","",X316-AE316)</f>
        <v/>
      </c>
      <c r="AJ316" s="9">
        <f>IF(LEFT(B316,4)&lt;&gt;"    ","",Y316-AF316)</f>
        <v/>
      </c>
      <c r="AK316" s="10" t="n"/>
      <c r="AL316" s="25">
        <f>IF(LEFT(B316,4)&lt;&gt;"    ","",J316-W316)</f>
        <v/>
      </c>
      <c r="AM316" s="25">
        <f>N316-X316</f>
        <v/>
      </c>
      <c r="AN316" s="25">
        <f>IF(LEFT(B316,4)&lt;&gt;"    ","",Q316-Y316)</f>
        <v/>
      </c>
      <c r="AO316" s="10" t="n"/>
      <c r="AP316" s="12" t="n"/>
      <c r="AQ316" s="12">
        <f>IF(LEFT(B316,4)&lt;&gt;"    ","",IF(W316-AP316&gt;=0,W316-AP316," "))</f>
        <v/>
      </c>
      <c r="AR316" s="12">
        <f>IF(LEFT(B316,4)&lt;&gt;"    ","",IF(AP316-W316&gt;=0,AP316-W316," "))</f>
        <v/>
      </c>
      <c r="AS316" s="186" t="n"/>
      <c r="AT316" s="187" t="n"/>
      <c r="AU316" s="186" t="n"/>
      <c r="AV316" s="186" t="n"/>
      <c r="AW316" s="188" t="n"/>
      <c r="AX316" s="187" t="n"/>
      <c r="AY316" s="187" t="n"/>
      <c r="AZ316" s="186" t="n"/>
      <c r="BA316" s="186" t="n"/>
      <c r="BB316" s="186" t="n"/>
      <c r="BC316" s="186" t="n"/>
      <c r="BD316" s="186" t="n"/>
      <c r="BE316" s="186" t="n"/>
      <c r="BF316" s="186" t="n"/>
      <c r="BG316" s="186" t="n"/>
      <c r="BH316" s="186" t="n"/>
      <c r="BI316" s="186" t="n"/>
      <c r="BJ316" s="186" t="n"/>
      <c r="BK316" s="186" t="n"/>
      <c r="BL316" s="186" t="n"/>
      <c r="BM316" s="186" t="n"/>
      <c r="BN316" s="186" t="n"/>
      <c r="BO316" s="186" t="n"/>
      <c r="BP316" s="186" t="n"/>
      <c r="BQ316" s="186" t="n"/>
      <c r="BR316" s="186" t="n"/>
      <c r="BS316" s="186" t="n"/>
      <c r="BT316" s="186" t="n"/>
      <c r="BU316" s="186" t="n"/>
      <c r="BV316" s="190" t="n"/>
      <c r="BW316" s="186" t="n"/>
      <c r="BX316" s="186" t="n"/>
      <c r="BY316" s="186" t="n"/>
      <c r="BZ316" s="186" t="n"/>
      <c r="CA316" s="186" t="n"/>
      <c r="CB316" s="187" t="n"/>
      <c r="CC316" s="192" t="n"/>
      <c r="CD316" s="192" t="n"/>
      <c r="CE316" s="192" t="n"/>
      <c r="CF316" s="192" t="n"/>
    </row>
    <row r="317">
      <c r="A317" s="197" t="n"/>
      <c r="B317" s="198" t="n"/>
      <c r="C317" s="198" t="n"/>
      <c r="D317" s="179" t="n"/>
      <c r="E317" s="180" t="n"/>
      <c r="F317" s="181" t="n"/>
      <c r="G317" s="284">
        <f>'Jobs-Ops'!G317</f>
        <v/>
      </c>
      <c r="H317" s="114">
        <f>'Jobs-Ops'!H317</f>
        <v/>
      </c>
      <c r="I317" s="105" t="n"/>
      <c r="J317" s="196">
        <f>F317</f>
        <v/>
      </c>
      <c r="K317" s="184" t="n"/>
      <c r="L317" s="185" t="n"/>
      <c r="M317" s="8" t="n"/>
      <c r="N317" s="71">
        <f>M317</f>
        <v/>
      </c>
      <c r="O317" s="71" t="n"/>
      <c r="P317" s="101" t="n"/>
      <c r="Q317" s="9">
        <f>J317-N317</f>
        <v/>
      </c>
      <c r="R317" s="9">
        <f>IF(LEFT(B317,4)&lt;&gt;"    ",0,BI317)</f>
        <v/>
      </c>
      <c r="S317" s="9">
        <f>+Q317-R317</f>
        <v/>
      </c>
      <c r="T317" s="200">
        <f>IF('Jobs-Ops'!S317&lt;&gt; "",'Jobs-Ops'!S317,"")</f>
        <v/>
      </c>
      <c r="U317" s="10" t="n"/>
      <c r="V317" s="23">
        <f>IF(LEFT(B317,4)&lt;&gt;"    ","",IF(N317&lt;&gt;0,X317/N317,0))</f>
        <v/>
      </c>
      <c r="W317" s="11">
        <f>IF(LEFT(B317,4)&lt;&gt;"    ","",IF(V317&gt;=0.1,V317*J317,X317))</f>
        <v/>
      </c>
      <c r="X317" s="8" t="n"/>
      <c r="Y317" s="9">
        <f>IF(LEFT(B317,4)&lt;&gt;"    ",0,IF(Q317&lt;0,Q317,IF(V317&gt;0.1,W317-X317,0)))</f>
        <v/>
      </c>
      <c r="Z317" s="9">
        <f>IF(LEFT(B317,4)&lt;&gt;"    ",0,IF(V317&gt;0.1,BI317,0))</f>
        <v/>
      </c>
      <c r="AA317" s="9">
        <f>Y317-Z317</f>
        <v/>
      </c>
      <c r="AB317" s="10" t="n"/>
      <c r="AC317" s="24" t="n"/>
      <c r="AD317" s="11" t="n"/>
      <c r="AE317" s="8" t="n"/>
      <c r="AF317" s="9">
        <f>IF(LEFT(B317,4)&lt;&gt;"    ","",AD317-AE317)</f>
        <v/>
      </c>
      <c r="AG317" s="10" t="n"/>
      <c r="AH317" s="11">
        <f>IF(LEFT(B317,4)&lt;&gt;"    ","",W317-AD317)</f>
        <v/>
      </c>
      <c r="AI317" s="8">
        <f>IF(LEFT(B317,4)&lt;&gt;"    ","",X317-AE317)</f>
        <v/>
      </c>
      <c r="AJ317" s="9">
        <f>IF(LEFT(B317,4)&lt;&gt;"    ","",Y317-AF317)</f>
        <v/>
      </c>
      <c r="AK317" s="10" t="n"/>
      <c r="AL317" s="25">
        <f>IF(LEFT(B317,4)&lt;&gt;"    ","",J317-W317)</f>
        <v/>
      </c>
      <c r="AM317" s="25">
        <f>N317-X317</f>
        <v/>
      </c>
      <c r="AN317" s="25">
        <f>IF(LEFT(B317,4)&lt;&gt;"    ","",Q317-Y317)</f>
        <v/>
      </c>
      <c r="AO317" s="10" t="n"/>
      <c r="AP317" s="12" t="n"/>
      <c r="AQ317" s="12">
        <f>IF(LEFT(B317,4)&lt;&gt;"    ","",IF(W317-AP317&gt;=0,W317-AP317," "))</f>
        <v/>
      </c>
      <c r="AR317" s="12">
        <f>IF(LEFT(B317,4)&lt;&gt;"    ","",IF(AP317-W317&gt;=0,AP317-W317," "))</f>
        <v/>
      </c>
      <c r="AS317" s="186" t="n"/>
      <c r="AT317" s="187" t="n"/>
      <c r="AU317" s="186" t="n"/>
      <c r="AV317" s="186" t="n"/>
      <c r="AW317" s="188" t="n"/>
      <c r="AX317" s="187" t="n"/>
      <c r="AY317" s="187" t="n"/>
      <c r="AZ317" s="186" t="n"/>
      <c r="BA317" s="186" t="n"/>
      <c r="BB317" s="186" t="n"/>
      <c r="BC317" s="186" t="n"/>
      <c r="BD317" s="186" t="n"/>
      <c r="BE317" s="186" t="n"/>
      <c r="BF317" s="186" t="n"/>
      <c r="BG317" s="186" t="n"/>
      <c r="BH317" s="186" t="n"/>
      <c r="BI317" s="186" t="n"/>
      <c r="BJ317" s="186" t="n"/>
      <c r="BK317" s="186" t="n"/>
      <c r="BL317" s="186" t="n"/>
      <c r="BM317" s="186" t="n"/>
      <c r="BN317" s="186" t="n"/>
      <c r="BO317" s="186" t="n"/>
      <c r="BP317" s="186" t="n"/>
      <c r="BQ317" s="186" t="n"/>
      <c r="BR317" s="186" t="n"/>
      <c r="BS317" s="186" t="n"/>
      <c r="BT317" s="186" t="n"/>
      <c r="BU317" s="186" t="n"/>
      <c r="BV317" s="190" t="n"/>
      <c r="BW317" s="186" t="n"/>
      <c r="BX317" s="186" t="n"/>
      <c r="BY317" s="186" t="n"/>
      <c r="BZ317" s="186" t="n"/>
      <c r="CA317" s="186" t="n"/>
      <c r="CB317" s="187" t="n"/>
      <c r="CC317" s="192" t="n"/>
      <c r="CD317" s="192" t="n"/>
      <c r="CE317" s="192" t="n"/>
      <c r="CF317" s="192" t="n"/>
    </row>
    <row r="318">
      <c r="A318" s="197" t="n"/>
      <c r="B318" s="198" t="n"/>
      <c r="C318" s="198" t="n"/>
      <c r="D318" s="179" t="n"/>
      <c r="E318" s="180" t="n"/>
      <c r="F318" s="181" t="n"/>
      <c r="G318" s="284">
        <f>'Jobs-Ops'!G318</f>
        <v/>
      </c>
      <c r="H318" s="114">
        <f>'Jobs-Ops'!H318</f>
        <v/>
      </c>
      <c r="I318" s="105" t="n"/>
      <c r="J318" s="196">
        <f>F318</f>
        <v/>
      </c>
      <c r="K318" s="184" t="n"/>
      <c r="L318" s="185" t="n"/>
      <c r="M318" s="8" t="n"/>
      <c r="N318" s="184">
        <f>M318</f>
        <v/>
      </c>
      <c r="O318" s="184" t="n"/>
      <c r="P318" s="185" t="n"/>
      <c r="Q318" s="9">
        <f>J318-N318</f>
        <v/>
      </c>
      <c r="R318" s="9">
        <f>IF(LEFT(B318,4)&lt;&gt;"    ",0,BI318)</f>
        <v/>
      </c>
      <c r="S318" s="9">
        <f>+Q318-R318</f>
        <v/>
      </c>
      <c r="T318" s="200">
        <f>IF('Jobs-Ops'!S318&lt;&gt; "",'Jobs-Ops'!S318,"")</f>
        <v/>
      </c>
      <c r="U318" s="10" t="n"/>
      <c r="V318" s="23">
        <f>IF(LEFT(B318,4)&lt;&gt;"    ","",IF(N318&lt;&gt;0,X318/N318,0))</f>
        <v/>
      </c>
      <c r="W318" s="11">
        <f>IF(LEFT(B318,4)&lt;&gt;"    ","",IF(V318&gt;=0.1,V318*J318,X318))</f>
        <v/>
      </c>
      <c r="X318" s="8" t="n"/>
      <c r="Y318" s="9">
        <f>IF(LEFT(B318,4)&lt;&gt;"    ",0,IF(Q318&lt;0,Q318,IF(V318&gt;0.1,W318-X318,0)))</f>
        <v/>
      </c>
      <c r="Z318" s="9">
        <f>IF(LEFT(B318,4)&lt;&gt;"    ",0,IF(V318&gt;0.1,BI318,0))</f>
        <v/>
      </c>
      <c r="AA318" s="9">
        <f>Y318-Z318</f>
        <v/>
      </c>
      <c r="AB318" s="10" t="n"/>
      <c r="AC318" s="24" t="n"/>
      <c r="AD318" s="11" t="n"/>
      <c r="AE318" s="8" t="n"/>
      <c r="AF318" s="9">
        <f>IF(LEFT(B318,4)&lt;&gt;"    ","",AD318-AE318)</f>
        <v/>
      </c>
      <c r="AG318" s="10" t="n"/>
      <c r="AH318" s="11">
        <f>IF(LEFT(B318,4)&lt;&gt;"    ","",W318-AD318)</f>
        <v/>
      </c>
      <c r="AI318" s="8">
        <f>IF(LEFT(B318,4)&lt;&gt;"    ","",X318-AE318)</f>
        <v/>
      </c>
      <c r="AJ318" s="9">
        <f>IF(LEFT(B318,4)&lt;&gt;"    ","",Y318-AF318)</f>
        <v/>
      </c>
      <c r="AK318" s="10" t="n"/>
      <c r="AL318" s="25">
        <f>IF(LEFT(B318,4)&lt;&gt;"    ","",J318-W318)</f>
        <v/>
      </c>
      <c r="AM318" s="25">
        <f>N318-X318</f>
        <v/>
      </c>
      <c r="AN318" s="25">
        <f>IF(LEFT(B318,4)&lt;&gt;"    ","",Q318-Y318)</f>
        <v/>
      </c>
      <c r="AO318" s="10" t="n"/>
      <c r="AP318" s="12" t="n"/>
      <c r="AQ318" s="12">
        <f>IF(LEFT(B318,4)&lt;&gt;"    ","",IF(W318-AP318&gt;=0,W318-AP318," "))</f>
        <v/>
      </c>
      <c r="AR318" s="12">
        <f>IF(LEFT(B318,4)&lt;&gt;"    ","",IF(AP318-W318&gt;=0,AP318-W318," "))</f>
        <v/>
      </c>
      <c r="AS318" s="186" t="n"/>
      <c r="AT318" s="187" t="n"/>
      <c r="AU318" s="186" t="n"/>
      <c r="AV318" s="186" t="n"/>
      <c r="AW318" s="188" t="n"/>
      <c r="AX318" s="187" t="n"/>
      <c r="AY318" s="187" t="n"/>
      <c r="AZ318" s="186" t="n"/>
      <c r="BA318" s="186" t="n"/>
      <c r="BB318" s="186" t="n"/>
      <c r="BC318" s="186" t="n"/>
      <c r="BD318" s="186" t="n"/>
      <c r="BE318" s="186" t="n"/>
      <c r="BF318" s="186" t="n"/>
      <c r="BG318" s="186" t="n"/>
      <c r="BH318" s="186" t="n"/>
      <c r="BI318" s="186" t="n"/>
      <c r="BJ318" s="186" t="n"/>
      <c r="BK318" s="186" t="n"/>
      <c r="BL318" s="186" t="n"/>
      <c r="BM318" s="186" t="n"/>
      <c r="BN318" s="186" t="n"/>
      <c r="BO318" s="186" t="n"/>
      <c r="BP318" s="186" t="n"/>
      <c r="BQ318" s="186" t="n"/>
      <c r="BR318" s="186" t="n"/>
      <c r="BS318" s="186" t="n"/>
      <c r="BT318" s="186" t="n"/>
      <c r="BU318" s="186" t="n"/>
      <c r="BV318" s="190" t="n"/>
      <c r="BW318" s="186" t="n"/>
      <c r="BX318" s="186" t="n"/>
      <c r="BY318" s="186" t="n"/>
      <c r="BZ318" s="186" t="n"/>
      <c r="CA318" s="186" t="n"/>
      <c r="CB318" s="187" t="n"/>
      <c r="CC318" s="192" t="n"/>
      <c r="CD318" s="192" t="n"/>
      <c r="CE318" s="192" t="n"/>
      <c r="CF318" s="192" t="n"/>
    </row>
    <row r="319">
      <c r="A319" s="197" t="n"/>
      <c r="B319" s="198" t="n"/>
      <c r="C319" s="198" t="n"/>
      <c r="D319" s="179" t="n"/>
      <c r="E319" s="180" t="n"/>
      <c r="F319" s="181" t="n"/>
      <c r="G319" s="284">
        <f>'Jobs-Ops'!G319</f>
        <v/>
      </c>
      <c r="H319" s="114">
        <f>'Jobs-Ops'!H319</f>
        <v/>
      </c>
      <c r="I319" s="105" t="n"/>
      <c r="J319" s="196">
        <f>F319</f>
        <v/>
      </c>
      <c r="K319" s="184" t="n"/>
      <c r="L319" s="185" t="n"/>
      <c r="M319" s="8" t="n"/>
      <c r="N319" s="71">
        <f>M319</f>
        <v/>
      </c>
      <c r="O319" s="71" t="n"/>
      <c r="P319" s="101" t="n"/>
      <c r="Q319" s="9">
        <f>J319-N319</f>
        <v/>
      </c>
      <c r="R319" s="9">
        <f>IF(LEFT(B319,4)&lt;&gt;"    ",0,BI319)</f>
        <v/>
      </c>
      <c r="S319" s="9">
        <f>+Q319-R319</f>
        <v/>
      </c>
      <c r="T319" s="200">
        <f>IF('Jobs-Ops'!S319&lt;&gt; "",'Jobs-Ops'!S319,"")</f>
        <v/>
      </c>
      <c r="U319" s="10" t="n"/>
      <c r="V319" s="23">
        <f>IF(LEFT(B319,4)&lt;&gt;"    ","",IF(N319&lt;&gt;0,X319/N319,0))</f>
        <v/>
      </c>
      <c r="W319" s="11">
        <f>IF(LEFT(B319,4)&lt;&gt;"    ","",IF(V319&gt;=0.1,V319*J319,X319))</f>
        <v/>
      </c>
      <c r="X319" s="8" t="n"/>
      <c r="Y319" s="9">
        <f>IF(LEFT(B319,4)&lt;&gt;"    ",0,IF(Q319&lt;0,Q319,IF(V319&gt;0.1,W319-X319,0)))</f>
        <v/>
      </c>
      <c r="Z319" s="9">
        <f>IF(LEFT(B319,4)&lt;&gt;"    ",0,IF(V319&gt;0.1,BI319,0))</f>
        <v/>
      </c>
      <c r="AA319" s="9">
        <f>Y319-Z319</f>
        <v/>
      </c>
      <c r="AB319" s="10" t="n"/>
      <c r="AC319" s="24" t="n"/>
      <c r="AD319" s="11" t="n"/>
      <c r="AE319" s="8" t="n"/>
      <c r="AF319" s="9">
        <f>IF(LEFT(B319,4)&lt;&gt;"    ","",AD319-AE319)</f>
        <v/>
      </c>
      <c r="AG319" s="10" t="n"/>
      <c r="AH319" s="11">
        <f>IF(LEFT(B319,4)&lt;&gt;"    ","",W319-AD319)</f>
        <v/>
      </c>
      <c r="AI319" s="8">
        <f>IF(LEFT(B319,4)&lt;&gt;"    ","",X319-AE319)</f>
        <v/>
      </c>
      <c r="AJ319" s="9">
        <f>IF(LEFT(B319,4)&lt;&gt;"    ","",Y319-AF319)</f>
        <v/>
      </c>
      <c r="AK319" s="10" t="n"/>
      <c r="AL319" s="25">
        <f>IF(LEFT(B319,4)&lt;&gt;"    ","",J319-W319)</f>
        <v/>
      </c>
      <c r="AM319" s="25">
        <f>N319-X319</f>
        <v/>
      </c>
      <c r="AN319" s="25">
        <f>IF(LEFT(B319,4)&lt;&gt;"    ","",Q319-Y319)</f>
        <v/>
      </c>
      <c r="AO319" s="10" t="n"/>
      <c r="AP319" s="12" t="n"/>
      <c r="AQ319" s="12">
        <f>IF(LEFT(B319,4)&lt;&gt;"    ","",IF(W319-AP319&gt;=0,W319-AP319," "))</f>
        <v/>
      </c>
      <c r="AR319" s="12">
        <f>IF(LEFT(B319,4)&lt;&gt;"    ","",IF(AP319-W319&gt;=0,AP319-W319," "))</f>
        <v/>
      </c>
      <c r="AS319" s="186" t="n"/>
      <c r="AT319" s="187" t="n"/>
      <c r="AU319" s="186" t="n"/>
      <c r="AV319" s="186" t="n"/>
      <c r="AW319" s="188" t="n"/>
      <c r="AX319" s="187" t="n"/>
      <c r="AY319" s="187" t="n"/>
      <c r="AZ319" s="186" t="n"/>
      <c r="BA319" s="186" t="n"/>
      <c r="BB319" s="186" t="n"/>
      <c r="BC319" s="186" t="n"/>
      <c r="BD319" s="186" t="n"/>
      <c r="BE319" s="186" t="n"/>
      <c r="BF319" s="186" t="n"/>
      <c r="BG319" s="186" t="n"/>
      <c r="BH319" s="186" t="n"/>
      <c r="BI319" s="186" t="n"/>
      <c r="BJ319" s="186" t="n"/>
      <c r="BK319" s="186" t="n"/>
      <c r="BL319" s="186" t="n"/>
      <c r="BM319" s="186" t="n"/>
      <c r="BN319" s="186" t="n"/>
      <c r="BO319" s="186" t="n"/>
      <c r="BP319" s="186" t="n"/>
      <c r="BQ319" s="186" t="n"/>
      <c r="BR319" s="186" t="n"/>
      <c r="BS319" s="186" t="n"/>
      <c r="BT319" s="186" t="n"/>
      <c r="BU319" s="186" t="n"/>
      <c r="BV319" s="190" t="n"/>
      <c r="BW319" s="186" t="n"/>
      <c r="BX319" s="186" t="n"/>
      <c r="BY319" s="186" t="n"/>
      <c r="BZ319" s="186" t="n"/>
      <c r="CA319" s="186" t="n"/>
      <c r="CB319" s="187" t="n"/>
      <c r="CC319" s="192" t="n"/>
      <c r="CD319" s="192" t="n"/>
      <c r="CE319" s="192" t="n"/>
      <c r="CF319" s="192" t="n"/>
    </row>
    <row r="320">
      <c r="A320" s="197" t="n"/>
      <c r="B320" s="198" t="n"/>
      <c r="C320" s="198" t="n"/>
      <c r="D320" s="179" t="n"/>
      <c r="E320" s="180" t="n"/>
      <c r="F320" s="181" t="n"/>
      <c r="G320" s="284">
        <f>'Jobs-Ops'!G320</f>
        <v/>
      </c>
      <c r="H320" s="114">
        <f>'Jobs-Ops'!H320</f>
        <v/>
      </c>
      <c r="I320" s="105" t="n"/>
      <c r="J320" s="196">
        <f>F320</f>
        <v/>
      </c>
      <c r="K320" s="184" t="n"/>
      <c r="L320" s="185" t="n"/>
      <c r="M320" s="8" t="n"/>
      <c r="N320" s="71">
        <f>M320</f>
        <v/>
      </c>
      <c r="O320" s="71" t="n"/>
      <c r="P320" s="101" t="n"/>
      <c r="Q320" s="9">
        <f>J320-N320</f>
        <v/>
      </c>
      <c r="R320" s="9">
        <f>IF(LEFT(B320,4)&lt;&gt;"    ",0,BI320)</f>
        <v/>
      </c>
      <c r="S320" s="9">
        <f>+Q320-R320</f>
        <v/>
      </c>
      <c r="T320" s="200">
        <f>IF('Jobs-Ops'!S320&lt;&gt; "",'Jobs-Ops'!S320,"")</f>
        <v/>
      </c>
      <c r="U320" s="10" t="n"/>
      <c r="V320" s="23">
        <f>IF(LEFT(B320,4)&lt;&gt;"    ","",IF(N320&lt;&gt;0,X320/N320,0))</f>
        <v/>
      </c>
      <c r="W320" s="11">
        <f>IF(LEFT(B320,4)&lt;&gt;"    ","",IF(V320&gt;=0.1,V320*J320,X320))</f>
        <v/>
      </c>
      <c r="X320" s="8" t="n"/>
      <c r="Y320" s="9">
        <f>IF(LEFT(B320,4)&lt;&gt;"    ",0,IF(Q320&lt;0,Q320,IF(V320&gt;0.1,W320-X320,0)))</f>
        <v/>
      </c>
      <c r="Z320" s="9">
        <f>IF(LEFT(B320,4)&lt;&gt;"    ",0,IF(V320&gt;0.1,BI320,0))</f>
        <v/>
      </c>
      <c r="AA320" s="9">
        <f>Y320-Z320</f>
        <v/>
      </c>
      <c r="AB320" s="10" t="n"/>
      <c r="AC320" s="24" t="n"/>
      <c r="AD320" s="11" t="n"/>
      <c r="AE320" s="8" t="n"/>
      <c r="AF320" s="9">
        <f>IF(LEFT(B320,4)&lt;&gt;"    ","",AD320-AE320)</f>
        <v/>
      </c>
      <c r="AG320" s="10" t="n"/>
      <c r="AH320" s="11">
        <f>IF(LEFT(B320,4)&lt;&gt;"    ","",W320-AD320)</f>
        <v/>
      </c>
      <c r="AI320" s="8">
        <f>IF(LEFT(B320,4)&lt;&gt;"    ","",X320-AE320)</f>
        <v/>
      </c>
      <c r="AJ320" s="9">
        <f>IF(LEFT(B320,4)&lt;&gt;"    ","",Y320-AF320)</f>
        <v/>
      </c>
      <c r="AK320" s="10" t="n"/>
      <c r="AL320" s="25">
        <f>IF(LEFT(B320,4)&lt;&gt;"    ","",J320-W320)</f>
        <v/>
      </c>
      <c r="AM320" s="25">
        <f>N320-X320</f>
        <v/>
      </c>
      <c r="AN320" s="25">
        <f>IF(LEFT(B320,4)&lt;&gt;"    ","",Q320-Y320)</f>
        <v/>
      </c>
      <c r="AO320" s="10" t="n"/>
      <c r="AP320" s="12" t="n"/>
      <c r="AQ320" s="12">
        <f>IF(LEFT(B320,4)&lt;&gt;"    ","",IF(W320-AP320&gt;=0,W320-AP320," "))</f>
        <v/>
      </c>
      <c r="AR320" s="12">
        <f>IF(LEFT(B320,4)&lt;&gt;"    ","",IF(AP320-W320&gt;=0,AP320-W320," "))</f>
        <v/>
      </c>
      <c r="AS320" s="186" t="n"/>
      <c r="AT320" s="187" t="n"/>
      <c r="AU320" s="186" t="n"/>
      <c r="AV320" s="186" t="n"/>
      <c r="AW320" s="188" t="n"/>
      <c r="AX320" s="187" t="n"/>
      <c r="AY320" s="187" t="n"/>
      <c r="AZ320" s="186" t="n"/>
      <c r="BA320" s="186" t="n"/>
      <c r="BB320" s="186" t="n"/>
      <c r="BC320" s="186" t="n"/>
      <c r="BD320" s="186" t="n"/>
      <c r="BE320" s="186" t="n"/>
      <c r="BF320" s="186" t="n"/>
      <c r="BG320" s="186" t="n"/>
      <c r="BH320" s="186" t="n"/>
      <c r="BI320" s="186" t="n"/>
      <c r="BJ320" s="186" t="n"/>
      <c r="BK320" s="186" t="n"/>
      <c r="BL320" s="186" t="n"/>
      <c r="BM320" s="186" t="n"/>
      <c r="BN320" s="186" t="n"/>
      <c r="BO320" s="186" t="n"/>
      <c r="BP320" s="186" t="n"/>
      <c r="BQ320" s="186" t="n"/>
      <c r="BR320" s="186" t="n"/>
      <c r="BS320" s="186" t="n"/>
      <c r="BT320" s="186" t="n"/>
      <c r="BU320" s="186" t="n"/>
      <c r="BV320" s="190" t="n"/>
      <c r="BW320" s="186" t="n"/>
      <c r="BX320" s="186" t="n"/>
      <c r="BY320" s="186" t="n"/>
      <c r="BZ320" s="186" t="n"/>
      <c r="CA320" s="186" t="n"/>
      <c r="CB320" s="187" t="n"/>
      <c r="CC320" s="192" t="n"/>
      <c r="CD320" s="192" t="n"/>
      <c r="CE320" s="192" t="n"/>
      <c r="CF320" s="192" t="n"/>
    </row>
    <row r="321">
      <c r="A321" s="197" t="n"/>
      <c r="B321" s="198" t="n"/>
      <c r="C321" s="198" t="n"/>
      <c r="D321" s="179" t="n"/>
      <c r="E321" s="180" t="n"/>
      <c r="F321" s="181" t="n"/>
      <c r="G321" s="284">
        <f>'Jobs-Ops'!G321</f>
        <v/>
      </c>
      <c r="H321" s="114">
        <f>'Jobs-Ops'!H321</f>
        <v/>
      </c>
      <c r="I321" s="105" t="n"/>
      <c r="J321" s="196">
        <f>F321</f>
        <v/>
      </c>
      <c r="K321" s="184" t="n"/>
      <c r="L321" s="185" t="n"/>
      <c r="M321" s="8" t="n"/>
      <c r="N321" s="71">
        <f>M321</f>
        <v/>
      </c>
      <c r="O321" s="71" t="n"/>
      <c r="P321" s="101" t="n"/>
      <c r="Q321" s="9">
        <f>J321-N321</f>
        <v/>
      </c>
      <c r="R321" s="9">
        <f>IF(LEFT(B321,4)&lt;&gt;"    ",0,BI321)</f>
        <v/>
      </c>
      <c r="S321" s="9">
        <f>+Q321-R321</f>
        <v/>
      </c>
      <c r="T321" s="200">
        <f>IF('Jobs-Ops'!S321&lt;&gt; "",'Jobs-Ops'!S321,"")</f>
        <v/>
      </c>
      <c r="U321" s="10" t="n"/>
      <c r="V321" s="23">
        <f>IF(LEFT(B321,4)&lt;&gt;"    ","",IF(N321&lt;&gt;0,X321/N321,0))</f>
        <v/>
      </c>
      <c r="W321" s="11">
        <f>IF(LEFT(B321,4)&lt;&gt;"    ","",IF(V321&gt;=0.1,V321*J321,X321))</f>
        <v/>
      </c>
      <c r="X321" s="8" t="n"/>
      <c r="Y321" s="9">
        <f>IF(LEFT(B321,4)&lt;&gt;"    ",0,IF(Q321&lt;0,Q321,IF(V321&gt;0.1,W321-X321,0)))</f>
        <v/>
      </c>
      <c r="Z321" s="9">
        <f>IF(LEFT(B321,4)&lt;&gt;"    ",0,IF(V321&gt;0.1,BI321,0))</f>
        <v/>
      </c>
      <c r="AA321" s="9">
        <f>Y321-Z321</f>
        <v/>
      </c>
      <c r="AB321" s="10" t="n"/>
      <c r="AC321" s="24" t="n"/>
      <c r="AD321" s="11" t="n"/>
      <c r="AE321" s="8" t="n"/>
      <c r="AF321" s="9">
        <f>IF(LEFT(B321,4)&lt;&gt;"    ","",AD321-AE321)</f>
        <v/>
      </c>
      <c r="AG321" s="10" t="n"/>
      <c r="AH321" s="11">
        <f>IF(LEFT(B321,4)&lt;&gt;"    ","",W321-AD321)</f>
        <v/>
      </c>
      <c r="AI321" s="8">
        <f>IF(LEFT(B321,4)&lt;&gt;"    ","",X321-AE321)</f>
        <v/>
      </c>
      <c r="AJ321" s="9">
        <f>IF(LEFT(B321,4)&lt;&gt;"    ","",Y321-AF321)</f>
        <v/>
      </c>
      <c r="AK321" s="10" t="n"/>
      <c r="AL321" s="25">
        <f>IF(LEFT(B321,4)&lt;&gt;"    ","",J321-W321)</f>
        <v/>
      </c>
      <c r="AM321" s="25">
        <f>N321-X321</f>
        <v/>
      </c>
      <c r="AN321" s="25">
        <f>IF(LEFT(B321,4)&lt;&gt;"    ","",Q321-Y321)</f>
        <v/>
      </c>
      <c r="AO321" s="10" t="n"/>
      <c r="AP321" s="12" t="n"/>
      <c r="AQ321" s="12">
        <f>IF(LEFT(B321,4)&lt;&gt;"    ","",IF(W321-AP321&gt;=0,W321-AP321," "))</f>
        <v/>
      </c>
      <c r="AR321" s="12">
        <f>IF(LEFT(B321,4)&lt;&gt;"    ","",IF(AP321-W321&gt;=0,AP321-W321," "))</f>
        <v/>
      </c>
      <c r="AS321" s="186" t="n"/>
      <c r="AT321" s="187" t="n"/>
      <c r="AU321" s="186" t="n"/>
      <c r="AV321" s="186" t="n"/>
      <c r="AW321" s="188" t="n"/>
      <c r="AX321" s="187" t="n"/>
      <c r="AY321" s="187" t="n"/>
      <c r="AZ321" s="186" t="n"/>
      <c r="BA321" s="186" t="n"/>
      <c r="BB321" s="186" t="n"/>
      <c r="BC321" s="186" t="n"/>
      <c r="BD321" s="186" t="n"/>
      <c r="BE321" s="186" t="n"/>
      <c r="BF321" s="186" t="n"/>
      <c r="BG321" s="186" t="n"/>
      <c r="BH321" s="186" t="n"/>
      <c r="BI321" s="186" t="n"/>
      <c r="BJ321" s="186" t="n"/>
      <c r="BK321" s="186" t="n"/>
      <c r="BL321" s="186" t="n"/>
      <c r="BM321" s="186" t="n"/>
      <c r="BN321" s="186" t="n"/>
      <c r="BO321" s="186" t="n"/>
      <c r="BP321" s="186" t="n"/>
      <c r="BQ321" s="186" t="n"/>
      <c r="BR321" s="186" t="n"/>
      <c r="BS321" s="186" t="n"/>
      <c r="BT321" s="186" t="n"/>
      <c r="BU321" s="186" t="n"/>
      <c r="BV321" s="190" t="n"/>
      <c r="BW321" s="186" t="n"/>
      <c r="BX321" s="186" t="n"/>
      <c r="BY321" s="186" t="n"/>
      <c r="BZ321" s="186" t="n"/>
      <c r="CA321" s="186" t="n"/>
      <c r="CB321" s="187" t="n"/>
      <c r="CC321" s="192" t="n"/>
      <c r="CD321" s="192" t="n"/>
      <c r="CE321" s="192" t="n"/>
      <c r="CF321" s="192" t="n"/>
    </row>
    <row r="322">
      <c r="A322" s="197" t="n"/>
      <c r="B322" s="198" t="n"/>
      <c r="C322" s="198" t="n"/>
      <c r="D322" s="179" t="n"/>
      <c r="E322" s="180" t="n"/>
      <c r="F322" s="181" t="n"/>
      <c r="G322" s="284">
        <f>'Jobs-Ops'!G322</f>
        <v/>
      </c>
      <c r="H322" s="114">
        <f>'Jobs-Ops'!H322</f>
        <v/>
      </c>
      <c r="I322" s="105" t="n"/>
      <c r="J322" s="196">
        <f>F322</f>
        <v/>
      </c>
      <c r="K322" s="184" t="n"/>
      <c r="L322" s="185" t="n"/>
      <c r="M322" s="8" t="n"/>
      <c r="N322" s="71">
        <f>M322</f>
        <v/>
      </c>
      <c r="O322" s="71" t="n"/>
      <c r="P322" s="101" t="n"/>
      <c r="Q322" s="9">
        <f>J322-N322</f>
        <v/>
      </c>
      <c r="R322" s="9">
        <f>IF(LEFT(B322,4)&lt;&gt;"    ",0,BI322)</f>
        <v/>
      </c>
      <c r="S322" s="9">
        <f>+Q322-R322</f>
        <v/>
      </c>
      <c r="T322" s="200">
        <f>IF('Jobs-Ops'!S322&lt;&gt; "",'Jobs-Ops'!S322,"")</f>
        <v/>
      </c>
      <c r="U322" s="10" t="n"/>
      <c r="V322" s="23">
        <f>IF(LEFT(B322,4)&lt;&gt;"    ","",IF(N322&lt;&gt;0,X322/N322,0))</f>
        <v/>
      </c>
      <c r="W322" s="11">
        <f>IF(LEFT(B322,4)&lt;&gt;"    ","",IF(V322&gt;=0.1,V322*J322,X322))</f>
        <v/>
      </c>
      <c r="X322" s="8" t="n"/>
      <c r="Y322" s="9">
        <f>IF(LEFT(B322,4)&lt;&gt;"    ",0,IF(Q322&lt;0,Q322,IF(V322&gt;0.1,W322-X322,0)))</f>
        <v/>
      </c>
      <c r="Z322" s="9">
        <f>IF(LEFT(B322,4)&lt;&gt;"    ",0,IF(V322&gt;0.1,BI322,0))</f>
        <v/>
      </c>
      <c r="AA322" s="9">
        <f>Y322-Z322</f>
        <v/>
      </c>
      <c r="AB322" s="10" t="n"/>
      <c r="AC322" s="24" t="n"/>
      <c r="AD322" s="11" t="n"/>
      <c r="AE322" s="8" t="n"/>
      <c r="AF322" s="9">
        <f>IF(LEFT(B322,4)&lt;&gt;"    ","",AD322-AE322)</f>
        <v/>
      </c>
      <c r="AG322" s="10" t="n"/>
      <c r="AH322" s="11">
        <f>IF(LEFT(B322,4)&lt;&gt;"    ","",W322-AD322)</f>
        <v/>
      </c>
      <c r="AI322" s="8">
        <f>IF(LEFT(B322,4)&lt;&gt;"    ","",X322-AE322)</f>
        <v/>
      </c>
      <c r="AJ322" s="9">
        <f>IF(LEFT(B322,4)&lt;&gt;"    ","",Y322-AF322)</f>
        <v/>
      </c>
      <c r="AK322" s="10" t="n"/>
      <c r="AL322" s="25">
        <f>IF(LEFT(B322,4)&lt;&gt;"    ","",J322-W322)</f>
        <v/>
      </c>
      <c r="AM322" s="25">
        <f>N322-X322</f>
        <v/>
      </c>
      <c r="AN322" s="25">
        <f>IF(LEFT(B322,4)&lt;&gt;"    ","",Q322-Y322)</f>
        <v/>
      </c>
      <c r="AO322" s="10" t="n"/>
      <c r="AP322" s="12" t="n"/>
      <c r="AQ322" s="12">
        <f>IF(LEFT(B322,4)&lt;&gt;"    ","",IF(W322-AP322&gt;=0,W322-AP322," "))</f>
        <v/>
      </c>
      <c r="AR322" s="12">
        <f>IF(LEFT(B322,4)&lt;&gt;"    ","",IF(AP322-W322&gt;=0,AP322-W322," "))</f>
        <v/>
      </c>
      <c r="AS322" s="186" t="n"/>
      <c r="AT322" s="187" t="n"/>
      <c r="AU322" s="186" t="n"/>
      <c r="AV322" s="186" t="n"/>
      <c r="AW322" s="188" t="n"/>
      <c r="AX322" s="187" t="n"/>
      <c r="AY322" s="187" t="n"/>
      <c r="AZ322" s="186" t="n"/>
      <c r="BA322" s="186" t="n"/>
      <c r="BB322" s="186" t="n"/>
      <c r="BC322" s="186" t="n"/>
      <c r="BD322" s="186" t="n"/>
      <c r="BE322" s="186" t="n"/>
      <c r="BF322" s="186" t="n"/>
      <c r="BG322" s="186" t="n"/>
      <c r="BH322" s="186" t="n"/>
      <c r="BI322" s="186" t="n"/>
      <c r="BJ322" s="186" t="n"/>
      <c r="BK322" s="186" t="n"/>
      <c r="BL322" s="186" t="n"/>
      <c r="BM322" s="186" t="n"/>
      <c r="BN322" s="186" t="n"/>
      <c r="BO322" s="186" t="n"/>
      <c r="BP322" s="186" t="n"/>
      <c r="BQ322" s="186" t="n"/>
      <c r="BR322" s="186" t="n"/>
      <c r="BS322" s="186" t="n"/>
      <c r="BT322" s="186" t="n"/>
      <c r="BU322" s="186" t="n"/>
      <c r="BV322" s="190" t="n"/>
      <c r="BW322" s="186" t="n"/>
      <c r="BX322" s="186" t="n"/>
      <c r="BY322" s="186" t="n"/>
      <c r="BZ322" s="186" t="n"/>
      <c r="CA322" s="186" t="n"/>
      <c r="CB322" s="187" t="n"/>
      <c r="CC322" s="192" t="n"/>
      <c r="CD322" s="192" t="n"/>
      <c r="CE322" s="192" t="n"/>
      <c r="CF322" s="192" t="n"/>
    </row>
    <row r="323">
      <c r="A323" s="197" t="n"/>
      <c r="B323" s="198" t="n"/>
      <c r="C323" s="198" t="n"/>
      <c r="D323" s="179" t="n"/>
      <c r="E323" s="180" t="n"/>
      <c r="F323" s="181" t="n"/>
      <c r="G323" s="284">
        <f>'Jobs-Ops'!G323</f>
        <v/>
      </c>
      <c r="H323" s="114">
        <f>'Jobs-Ops'!H323</f>
        <v/>
      </c>
      <c r="I323" s="105" t="n"/>
      <c r="J323" s="196">
        <f>F323</f>
        <v/>
      </c>
      <c r="K323" s="184" t="n"/>
      <c r="L323" s="185" t="n"/>
      <c r="M323" s="8" t="n"/>
      <c r="N323" s="71">
        <f>M323</f>
        <v/>
      </c>
      <c r="O323" s="71" t="n"/>
      <c r="P323" s="101" t="n"/>
      <c r="Q323" s="9">
        <f>J323-N323</f>
        <v/>
      </c>
      <c r="R323" s="9">
        <f>IF(LEFT(B323,4)&lt;&gt;"    ",0,BI323)</f>
        <v/>
      </c>
      <c r="S323" s="9">
        <f>+Q323-R323</f>
        <v/>
      </c>
      <c r="T323" s="200">
        <f>IF('Jobs-Ops'!S323&lt;&gt; "",'Jobs-Ops'!S323,"")</f>
        <v/>
      </c>
      <c r="U323" s="10" t="n"/>
      <c r="V323" s="23">
        <f>IF(LEFT(B323,4)&lt;&gt;"    ","",IF(N323&lt;&gt;0,X323/N323,0))</f>
        <v/>
      </c>
      <c r="W323" s="11">
        <f>IF(LEFT(B323,4)&lt;&gt;"    ","",IF(V323&gt;=0.1,V323*J323,X323))</f>
        <v/>
      </c>
      <c r="X323" s="8" t="n"/>
      <c r="Y323" s="9">
        <f>IF(LEFT(B323,4)&lt;&gt;"    ",0,IF(Q323&lt;0,Q323,IF(V323&gt;0.1,W323-X323,0)))</f>
        <v/>
      </c>
      <c r="Z323" s="9">
        <f>IF(LEFT(B323,4)&lt;&gt;"    ",0,IF(V323&gt;0.1,BI323,0))</f>
        <v/>
      </c>
      <c r="AA323" s="9">
        <f>Y323-Z323</f>
        <v/>
      </c>
      <c r="AB323" s="10" t="n"/>
      <c r="AC323" s="24" t="n"/>
      <c r="AD323" s="11" t="n"/>
      <c r="AE323" s="8" t="n"/>
      <c r="AF323" s="9">
        <f>IF(LEFT(B323,4)&lt;&gt;"    ","",AD323-AE323)</f>
        <v/>
      </c>
      <c r="AG323" s="10" t="n"/>
      <c r="AH323" s="11">
        <f>IF(LEFT(B323,4)&lt;&gt;"    ","",W323-AD323)</f>
        <v/>
      </c>
      <c r="AI323" s="8">
        <f>IF(LEFT(B323,4)&lt;&gt;"    ","",X323-AE323)</f>
        <v/>
      </c>
      <c r="AJ323" s="9">
        <f>IF(LEFT(B323,4)&lt;&gt;"    ","",Y323-AF323)</f>
        <v/>
      </c>
      <c r="AK323" s="10" t="n"/>
      <c r="AL323" s="25">
        <f>IF(LEFT(B323,4)&lt;&gt;"    ","",J323-W323)</f>
        <v/>
      </c>
      <c r="AM323" s="25">
        <f>N323-X323</f>
        <v/>
      </c>
      <c r="AN323" s="25">
        <f>IF(LEFT(B323,4)&lt;&gt;"    ","",Q323-Y323)</f>
        <v/>
      </c>
      <c r="AO323" s="10" t="n"/>
      <c r="AP323" s="12" t="n"/>
      <c r="AQ323" s="12">
        <f>IF(LEFT(B323,4)&lt;&gt;"    ","",IF(W323-AP323&gt;=0,W323-AP323," "))</f>
        <v/>
      </c>
      <c r="AR323" s="12">
        <f>IF(LEFT(B323,4)&lt;&gt;"    ","",IF(AP323-W323&gt;=0,AP323-W323," "))</f>
        <v/>
      </c>
      <c r="AS323" s="186" t="n"/>
      <c r="AT323" s="187" t="n"/>
      <c r="AU323" s="186" t="n"/>
      <c r="AV323" s="186" t="n"/>
      <c r="AW323" s="188" t="n"/>
      <c r="AX323" s="187" t="n"/>
      <c r="AY323" s="187" t="n"/>
      <c r="AZ323" s="186" t="n"/>
      <c r="BA323" s="186" t="n"/>
      <c r="BB323" s="186" t="n"/>
      <c r="BC323" s="186" t="n"/>
      <c r="BD323" s="186" t="n"/>
      <c r="BE323" s="186" t="n"/>
      <c r="BF323" s="186" t="n"/>
      <c r="BG323" s="186" t="n"/>
      <c r="BH323" s="186" t="n"/>
      <c r="BI323" s="186" t="n"/>
      <c r="BJ323" s="186" t="n"/>
      <c r="BK323" s="186" t="n"/>
      <c r="BL323" s="186" t="n"/>
      <c r="BM323" s="186" t="n"/>
      <c r="BN323" s="186" t="n"/>
      <c r="BO323" s="186" t="n"/>
      <c r="BP323" s="186" t="n"/>
      <c r="BQ323" s="186" t="n"/>
      <c r="BR323" s="186" t="n"/>
      <c r="BS323" s="186" t="n"/>
      <c r="BT323" s="186" t="n"/>
      <c r="BU323" s="186" t="n"/>
      <c r="BV323" s="190" t="n"/>
      <c r="BW323" s="186" t="n"/>
      <c r="BX323" s="186" t="n"/>
      <c r="BY323" s="186" t="n"/>
      <c r="BZ323" s="186" t="n"/>
      <c r="CA323" s="186" t="n"/>
      <c r="CB323" s="187" t="n"/>
      <c r="CC323" s="192" t="n"/>
      <c r="CD323" s="192" t="n"/>
      <c r="CE323" s="192" t="n"/>
      <c r="CF323" s="192" t="n"/>
    </row>
    <row r="324">
      <c r="A324" s="197" t="n"/>
      <c r="B324" s="198" t="n"/>
      <c r="C324" s="198" t="n"/>
      <c r="D324" s="179" t="n"/>
      <c r="E324" s="180" t="n"/>
      <c r="F324" s="181" t="n"/>
      <c r="G324" s="284">
        <f>'Jobs-Ops'!G324</f>
        <v/>
      </c>
      <c r="H324" s="114">
        <f>'Jobs-Ops'!H324</f>
        <v/>
      </c>
      <c r="I324" s="105" t="n"/>
      <c r="J324" s="196">
        <f>F324</f>
        <v/>
      </c>
      <c r="K324" s="184" t="n"/>
      <c r="L324" s="185" t="n"/>
      <c r="M324" s="8" t="n"/>
      <c r="N324" s="71">
        <f>M324</f>
        <v/>
      </c>
      <c r="O324" s="71" t="n"/>
      <c r="P324" s="101" t="n"/>
      <c r="Q324" s="9">
        <f>J324-N324</f>
        <v/>
      </c>
      <c r="R324" s="9">
        <f>IF(LEFT(B324,4)&lt;&gt;"    ",0,BI324)</f>
        <v/>
      </c>
      <c r="S324" s="9">
        <f>+Q324-R324</f>
        <v/>
      </c>
      <c r="T324" s="200">
        <f>IF('Jobs-Ops'!S324&lt;&gt; "",'Jobs-Ops'!S324,"")</f>
        <v/>
      </c>
      <c r="U324" s="10" t="n"/>
      <c r="V324" s="23">
        <f>IF(LEFT(B324,4)&lt;&gt;"    ","",IF(N324&lt;&gt;0,X324/N324,0))</f>
        <v/>
      </c>
      <c r="W324" s="11">
        <f>IF(LEFT(B324,4)&lt;&gt;"    ","",IF(V324&gt;=0.1,V324*J324,X324))</f>
        <v/>
      </c>
      <c r="X324" s="8" t="n"/>
      <c r="Y324" s="9">
        <f>IF(LEFT(B324,4)&lt;&gt;"    ",0,IF(Q324&lt;0,Q324,IF(V324&gt;0.1,W324-X324,0)))</f>
        <v/>
      </c>
      <c r="Z324" s="9">
        <f>IF(LEFT(B324,4)&lt;&gt;"    ",0,IF(V324&gt;0.1,BI324,0))</f>
        <v/>
      </c>
      <c r="AA324" s="9">
        <f>Y324-Z324</f>
        <v/>
      </c>
      <c r="AB324" s="10" t="n"/>
      <c r="AC324" s="24" t="n"/>
      <c r="AD324" s="11" t="n"/>
      <c r="AE324" s="8" t="n"/>
      <c r="AF324" s="9">
        <f>IF(LEFT(B324,4)&lt;&gt;"    ","",AD324-AE324)</f>
        <v/>
      </c>
      <c r="AG324" s="10" t="n"/>
      <c r="AH324" s="11">
        <f>IF(LEFT(B324,4)&lt;&gt;"    ","",W324-AD324)</f>
        <v/>
      </c>
      <c r="AI324" s="8">
        <f>IF(LEFT(B324,4)&lt;&gt;"    ","",X324-AE324)</f>
        <v/>
      </c>
      <c r="AJ324" s="9">
        <f>IF(LEFT(B324,4)&lt;&gt;"    ","",Y324-AF324)</f>
        <v/>
      </c>
      <c r="AK324" s="10" t="n"/>
      <c r="AL324" s="25">
        <f>IF(LEFT(B324,4)&lt;&gt;"    ","",J324-W324)</f>
        <v/>
      </c>
      <c r="AM324" s="25">
        <f>N324-X324</f>
        <v/>
      </c>
      <c r="AN324" s="25">
        <f>IF(LEFT(B324,4)&lt;&gt;"    ","",Q324-Y324)</f>
        <v/>
      </c>
      <c r="AO324" s="10" t="n"/>
      <c r="AP324" s="12" t="n"/>
      <c r="AQ324" s="12">
        <f>IF(LEFT(B324,4)&lt;&gt;"    ","",IF(W324-AP324&gt;=0,W324-AP324," "))</f>
        <v/>
      </c>
      <c r="AR324" s="12">
        <f>IF(LEFT(B324,4)&lt;&gt;"    ","",IF(AP324-W324&gt;=0,AP324-W324," "))</f>
        <v/>
      </c>
      <c r="AS324" s="186" t="n"/>
      <c r="AT324" s="187" t="n"/>
      <c r="AU324" s="186" t="n"/>
      <c r="AV324" s="186" t="n"/>
      <c r="AW324" s="188" t="n"/>
      <c r="AX324" s="187" t="n"/>
      <c r="AY324" s="187" t="n"/>
      <c r="AZ324" s="186" t="n"/>
      <c r="BA324" s="186" t="n"/>
      <c r="BB324" s="186" t="n"/>
      <c r="BC324" s="186" t="n"/>
      <c r="BD324" s="186" t="n"/>
      <c r="BE324" s="186" t="n"/>
      <c r="BF324" s="186" t="n"/>
      <c r="BG324" s="186" t="n"/>
      <c r="BH324" s="186" t="n"/>
      <c r="BI324" s="186" t="n"/>
      <c r="BJ324" s="186" t="n"/>
      <c r="BK324" s="186" t="n"/>
      <c r="BL324" s="186" t="n"/>
      <c r="BM324" s="186" t="n"/>
      <c r="BN324" s="186" t="n"/>
      <c r="BO324" s="186" t="n"/>
      <c r="BP324" s="186" t="n"/>
      <c r="BQ324" s="186" t="n"/>
      <c r="BR324" s="186" t="n"/>
      <c r="BS324" s="186" t="n"/>
      <c r="BT324" s="186" t="n"/>
      <c r="BU324" s="186" t="n"/>
      <c r="BV324" s="190" t="n"/>
      <c r="BW324" s="186" t="n"/>
      <c r="BX324" s="186" t="n"/>
      <c r="BY324" s="186" t="n"/>
      <c r="BZ324" s="186" t="n"/>
      <c r="CA324" s="186" t="n"/>
      <c r="CB324" s="187" t="n"/>
      <c r="CC324" s="192" t="n"/>
      <c r="CD324" s="192" t="n"/>
      <c r="CE324" s="192" t="n"/>
      <c r="CF324" s="192" t="n"/>
    </row>
    <row r="325">
      <c r="A325" s="197" t="n"/>
      <c r="B325" s="198" t="n"/>
      <c r="C325" s="198" t="n"/>
      <c r="D325" s="179" t="n"/>
      <c r="E325" s="180" t="n"/>
      <c r="F325" s="181" t="n"/>
      <c r="G325" s="284">
        <f>'Jobs-Ops'!G325</f>
        <v/>
      </c>
      <c r="H325" s="114">
        <f>'Jobs-Ops'!H325</f>
        <v/>
      </c>
      <c r="I325" s="105" t="n"/>
      <c r="J325" s="196">
        <f>F325</f>
        <v/>
      </c>
      <c r="K325" s="184" t="n"/>
      <c r="L325" s="185" t="n"/>
      <c r="M325" s="8" t="n"/>
      <c r="N325" s="71">
        <f>M325</f>
        <v/>
      </c>
      <c r="O325" s="71" t="n"/>
      <c r="P325" s="101" t="n"/>
      <c r="Q325" s="9">
        <f>J325-N325</f>
        <v/>
      </c>
      <c r="R325" s="9">
        <f>IF(LEFT(B325,4)&lt;&gt;"    ",0,BI325)</f>
        <v/>
      </c>
      <c r="S325" s="9">
        <f>+Q325-R325</f>
        <v/>
      </c>
      <c r="T325" s="200">
        <f>IF('Jobs-Ops'!S325&lt;&gt; "",'Jobs-Ops'!S325,"")</f>
        <v/>
      </c>
      <c r="U325" s="10" t="n"/>
      <c r="V325" s="23">
        <f>IF(LEFT(B325,4)&lt;&gt;"    ","",IF(N325&lt;&gt;0,X325/N325,0))</f>
        <v/>
      </c>
      <c r="W325" s="11">
        <f>IF(LEFT(B325,4)&lt;&gt;"    ","",IF(V325&gt;=0.1,V325*J325,X325))</f>
        <v/>
      </c>
      <c r="X325" s="8" t="n"/>
      <c r="Y325" s="9">
        <f>IF(LEFT(B325,4)&lt;&gt;"    ",0,IF(Q325&lt;0,Q325,IF(V325&gt;0.1,W325-X325,0)))</f>
        <v/>
      </c>
      <c r="Z325" s="9">
        <f>IF(LEFT(B325,4)&lt;&gt;"    ",0,IF(V325&gt;0.1,BI325,0))</f>
        <v/>
      </c>
      <c r="AA325" s="9">
        <f>Y325-Z325</f>
        <v/>
      </c>
      <c r="AB325" s="10" t="n"/>
      <c r="AC325" s="24" t="n"/>
      <c r="AD325" s="11" t="n"/>
      <c r="AE325" s="8" t="n"/>
      <c r="AF325" s="9">
        <f>IF(LEFT(B325,4)&lt;&gt;"    ","",AD325-AE325)</f>
        <v/>
      </c>
      <c r="AG325" s="10" t="n"/>
      <c r="AH325" s="11">
        <f>IF(LEFT(B325,4)&lt;&gt;"    ","",W325-AD325)</f>
        <v/>
      </c>
      <c r="AI325" s="8">
        <f>IF(LEFT(B325,4)&lt;&gt;"    ","",X325-AE325)</f>
        <v/>
      </c>
      <c r="AJ325" s="9">
        <f>IF(LEFT(B325,4)&lt;&gt;"    ","",Y325-AF325)</f>
        <v/>
      </c>
      <c r="AK325" s="10" t="n"/>
      <c r="AL325" s="25">
        <f>IF(LEFT(B325,4)&lt;&gt;"    ","",J325-W325)</f>
        <v/>
      </c>
      <c r="AM325" s="25">
        <f>N325-X325</f>
        <v/>
      </c>
      <c r="AN325" s="25">
        <f>IF(LEFT(B325,4)&lt;&gt;"    ","",Q325-Y325)</f>
        <v/>
      </c>
      <c r="AO325" s="10" t="n"/>
      <c r="AP325" s="12" t="n"/>
      <c r="AQ325" s="12">
        <f>IF(LEFT(B325,4)&lt;&gt;"    ","",IF(W325-AP325&gt;=0,W325-AP325," "))</f>
        <v/>
      </c>
      <c r="AR325" s="12">
        <f>IF(LEFT(B325,4)&lt;&gt;"    ","",IF(AP325-W325&gt;=0,AP325-W325," "))</f>
        <v/>
      </c>
      <c r="AS325" s="186" t="n"/>
      <c r="AT325" s="187" t="n"/>
      <c r="AU325" s="186" t="n"/>
      <c r="AV325" s="186" t="n"/>
      <c r="AW325" s="188" t="n"/>
      <c r="AX325" s="187" t="n"/>
      <c r="AY325" s="187" t="n"/>
      <c r="AZ325" s="186" t="n"/>
      <c r="BA325" s="186" t="n"/>
      <c r="BB325" s="186" t="n"/>
      <c r="BC325" s="186" t="n"/>
      <c r="BD325" s="186" t="n"/>
      <c r="BE325" s="186" t="n"/>
      <c r="BF325" s="186" t="n"/>
      <c r="BG325" s="186" t="n"/>
      <c r="BH325" s="186" t="n"/>
      <c r="BI325" s="186" t="n"/>
      <c r="BJ325" s="186" t="n"/>
      <c r="BK325" s="186" t="n"/>
      <c r="BL325" s="186" t="n"/>
      <c r="BM325" s="186" t="n"/>
      <c r="BN325" s="186" t="n"/>
      <c r="BO325" s="186" t="n"/>
      <c r="BP325" s="186" t="n"/>
      <c r="BQ325" s="186" t="n"/>
      <c r="BR325" s="186" t="n"/>
      <c r="BS325" s="186" t="n"/>
      <c r="BT325" s="186" t="n"/>
      <c r="BU325" s="186" t="n"/>
      <c r="BV325" s="190" t="n"/>
      <c r="BW325" s="186" t="n"/>
      <c r="BX325" s="186" t="n"/>
      <c r="BY325" s="186" t="n"/>
      <c r="BZ325" s="186" t="n"/>
      <c r="CA325" s="186" t="n"/>
      <c r="CB325" s="187" t="n"/>
      <c r="CC325" s="192" t="n"/>
      <c r="CD325" s="192" t="n"/>
      <c r="CE325" s="192" t="n"/>
      <c r="CF325" s="192" t="n"/>
    </row>
    <row r="326">
      <c r="A326" s="197" t="n"/>
      <c r="B326" s="198" t="n"/>
      <c r="C326" s="198" t="n"/>
      <c r="D326" s="179" t="n"/>
      <c r="E326" s="180" t="n"/>
      <c r="F326" s="181" t="n"/>
      <c r="G326" s="284">
        <f>'Jobs-Ops'!G326</f>
        <v/>
      </c>
      <c r="H326" s="114">
        <f>'Jobs-Ops'!H326</f>
        <v/>
      </c>
      <c r="I326" s="105" t="n"/>
      <c r="J326" s="196">
        <f>F326</f>
        <v/>
      </c>
      <c r="K326" s="184" t="n"/>
      <c r="L326" s="185" t="n"/>
      <c r="M326" s="8" t="n"/>
      <c r="N326" s="71">
        <f>M326</f>
        <v/>
      </c>
      <c r="O326" s="71" t="n"/>
      <c r="P326" s="101" t="n"/>
      <c r="Q326" s="9">
        <f>J326-N326</f>
        <v/>
      </c>
      <c r="R326" s="9">
        <f>IF(LEFT(B326,4)&lt;&gt;"    ",0,BI326)</f>
        <v/>
      </c>
      <c r="S326" s="9">
        <f>+Q326-R326</f>
        <v/>
      </c>
      <c r="T326" s="200">
        <f>IF('Jobs-Ops'!S326&lt;&gt; "",'Jobs-Ops'!S326,"")</f>
        <v/>
      </c>
      <c r="U326" s="10" t="n"/>
      <c r="V326" s="23">
        <f>IF(LEFT(B326,4)&lt;&gt;"    ","",IF(N326&lt;&gt;0,X326/N326,0))</f>
        <v/>
      </c>
      <c r="W326" s="11">
        <f>IF(LEFT(B326,4)&lt;&gt;"    ","",IF(V326&gt;=0.1,V326*J326,X326))</f>
        <v/>
      </c>
      <c r="X326" s="8" t="n"/>
      <c r="Y326" s="9">
        <f>IF(LEFT(B326,4)&lt;&gt;"    ",0,IF(Q326&lt;0,Q326,IF(V326&gt;0.1,W326-X326,0)))</f>
        <v/>
      </c>
      <c r="Z326" s="9">
        <f>IF(LEFT(B326,4)&lt;&gt;"    ",0,IF(V326&gt;0.1,BI326,0))</f>
        <v/>
      </c>
      <c r="AA326" s="9">
        <f>Y326-Z326</f>
        <v/>
      </c>
      <c r="AB326" s="10" t="n"/>
      <c r="AC326" s="24" t="n"/>
      <c r="AD326" s="11" t="n"/>
      <c r="AE326" s="8" t="n"/>
      <c r="AF326" s="9">
        <f>IF(LEFT(B326,4)&lt;&gt;"    ","",AD326-AE326)</f>
        <v/>
      </c>
      <c r="AG326" s="10" t="n"/>
      <c r="AH326" s="11">
        <f>IF(LEFT(B326,4)&lt;&gt;"    ","",W326-AD326)</f>
        <v/>
      </c>
      <c r="AI326" s="8">
        <f>IF(LEFT(B326,4)&lt;&gt;"    ","",X326-AE326)</f>
        <v/>
      </c>
      <c r="AJ326" s="9">
        <f>IF(LEFT(B326,4)&lt;&gt;"    ","",Y326-AF326)</f>
        <v/>
      </c>
      <c r="AK326" s="10" t="n"/>
      <c r="AL326" s="25">
        <f>IF(LEFT(B326,4)&lt;&gt;"    ","",J326-W326)</f>
        <v/>
      </c>
      <c r="AM326" s="25">
        <f>N326-X326</f>
        <v/>
      </c>
      <c r="AN326" s="25">
        <f>IF(LEFT(B326,4)&lt;&gt;"    ","",Q326-Y326)</f>
        <v/>
      </c>
      <c r="AO326" s="10" t="n"/>
      <c r="AP326" s="12" t="n"/>
      <c r="AQ326" s="12">
        <f>IF(LEFT(B326,4)&lt;&gt;"    ","",IF(W326-AP326&gt;=0,W326-AP326," "))</f>
        <v/>
      </c>
      <c r="AR326" s="12">
        <f>IF(LEFT(B326,4)&lt;&gt;"    ","",IF(AP326-W326&gt;=0,AP326-W326," "))</f>
        <v/>
      </c>
      <c r="AS326" s="186" t="n"/>
      <c r="AT326" s="187" t="n"/>
      <c r="AU326" s="186" t="n"/>
      <c r="AV326" s="186" t="n"/>
      <c r="AW326" s="188" t="n"/>
      <c r="AX326" s="187" t="n"/>
      <c r="AY326" s="187" t="n"/>
      <c r="AZ326" s="186" t="n"/>
      <c r="BA326" s="186" t="n"/>
      <c r="BB326" s="186" t="n"/>
      <c r="BC326" s="186" t="n"/>
      <c r="BD326" s="186" t="n"/>
      <c r="BE326" s="186" t="n"/>
      <c r="BF326" s="186" t="n"/>
      <c r="BG326" s="186" t="n"/>
      <c r="BH326" s="186" t="n"/>
      <c r="BI326" s="186" t="n"/>
      <c r="BJ326" s="186" t="n"/>
      <c r="BK326" s="186" t="n"/>
      <c r="BL326" s="186" t="n"/>
      <c r="BM326" s="186" t="n"/>
      <c r="BN326" s="186" t="n"/>
      <c r="BO326" s="186" t="n"/>
      <c r="BP326" s="186" t="n"/>
      <c r="BQ326" s="186" t="n"/>
      <c r="BR326" s="186" t="n"/>
      <c r="BS326" s="186" t="n"/>
      <c r="BT326" s="186" t="n"/>
      <c r="BU326" s="186" t="n"/>
      <c r="BV326" s="190" t="n"/>
      <c r="BW326" s="186" t="n"/>
      <c r="BX326" s="186" t="n"/>
      <c r="BY326" s="186" t="n"/>
      <c r="BZ326" s="186" t="n"/>
      <c r="CA326" s="186" t="n"/>
      <c r="CB326" s="187" t="n"/>
      <c r="CC326" s="192" t="n"/>
      <c r="CD326" s="192" t="n"/>
      <c r="CE326" s="192" t="n"/>
      <c r="CF326" s="192" t="n"/>
    </row>
    <row r="327">
      <c r="A327" s="197" t="n"/>
      <c r="B327" s="198" t="n"/>
      <c r="C327" s="198" t="n"/>
      <c r="D327" s="179" t="n"/>
      <c r="E327" s="180" t="n"/>
      <c r="F327" s="181" t="n"/>
      <c r="G327" s="284">
        <f>'Jobs-Ops'!G327</f>
        <v/>
      </c>
      <c r="H327" s="114">
        <f>'Jobs-Ops'!H327</f>
        <v/>
      </c>
      <c r="I327" s="105" t="n"/>
      <c r="J327" s="196">
        <f>F327</f>
        <v/>
      </c>
      <c r="K327" s="184" t="n"/>
      <c r="L327" s="185" t="n"/>
      <c r="M327" s="8" t="n"/>
      <c r="N327" s="71">
        <f>M327</f>
        <v/>
      </c>
      <c r="O327" s="71" t="n"/>
      <c r="P327" s="101" t="n"/>
      <c r="Q327" s="9">
        <f>J327-N327</f>
        <v/>
      </c>
      <c r="R327" s="9">
        <f>IF(LEFT(B327,4)&lt;&gt;"    ",0,BI327)</f>
        <v/>
      </c>
      <c r="S327" s="9">
        <f>+Q327-R327</f>
        <v/>
      </c>
      <c r="T327" s="200">
        <f>IF('Jobs-Ops'!S327&lt;&gt; "",'Jobs-Ops'!S327,"")</f>
        <v/>
      </c>
      <c r="U327" s="10" t="n"/>
      <c r="V327" s="23">
        <f>IF(LEFT(B327,4)&lt;&gt;"    ","",IF(N327&lt;&gt;0,X327/N327,0))</f>
        <v/>
      </c>
      <c r="W327" s="11">
        <f>IF(LEFT(B327,4)&lt;&gt;"    ","",IF(V327&gt;=0.1,V327*J327,X327))</f>
        <v/>
      </c>
      <c r="X327" s="8" t="n"/>
      <c r="Y327" s="9">
        <f>IF(LEFT(B327,4)&lt;&gt;"    ",0,IF(Q327&lt;0,Q327,IF(V327&gt;0.1,W327-X327,0)))</f>
        <v/>
      </c>
      <c r="Z327" s="9">
        <f>IF(LEFT(B327,4)&lt;&gt;"    ",0,IF(V327&gt;0.1,BI327,0))</f>
        <v/>
      </c>
      <c r="AA327" s="9">
        <f>Y327-Z327</f>
        <v/>
      </c>
      <c r="AB327" s="10" t="n"/>
      <c r="AC327" s="24" t="n"/>
      <c r="AD327" s="11" t="n"/>
      <c r="AE327" s="8" t="n"/>
      <c r="AF327" s="9">
        <f>IF(LEFT(B327,4)&lt;&gt;"    ","",AD327-AE327)</f>
        <v/>
      </c>
      <c r="AG327" s="10" t="n"/>
      <c r="AH327" s="11">
        <f>IF(LEFT(B327,4)&lt;&gt;"    ","",W327-AD327)</f>
        <v/>
      </c>
      <c r="AI327" s="8">
        <f>IF(LEFT(B327,4)&lt;&gt;"    ","",X327-AE327)</f>
        <v/>
      </c>
      <c r="AJ327" s="9">
        <f>IF(LEFT(B327,4)&lt;&gt;"    ","",Y327-AF327)</f>
        <v/>
      </c>
      <c r="AK327" s="10" t="n"/>
      <c r="AL327" s="25">
        <f>IF(LEFT(B327,4)&lt;&gt;"    ","",J327-W327)</f>
        <v/>
      </c>
      <c r="AM327" s="25">
        <f>N327-X327</f>
        <v/>
      </c>
      <c r="AN327" s="25">
        <f>IF(LEFT(B327,4)&lt;&gt;"    ","",Q327-Y327)</f>
        <v/>
      </c>
      <c r="AO327" s="10" t="n"/>
      <c r="AP327" s="12" t="n"/>
      <c r="AQ327" s="12">
        <f>IF(LEFT(B327,4)&lt;&gt;"    ","",IF(W327-AP327&gt;=0,W327-AP327," "))</f>
        <v/>
      </c>
      <c r="AR327" s="12">
        <f>IF(LEFT(B327,4)&lt;&gt;"    ","",IF(AP327-W327&gt;=0,AP327-W327," "))</f>
        <v/>
      </c>
      <c r="AS327" s="186" t="n"/>
      <c r="AT327" s="187" t="n"/>
      <c r="AU327" s="186" t="n"/>
      <c r="AV327" s="186" t="n"/>
      <c r="AW327" s="188" t="n"/>
      <c r="AX327" s="187" t="n"/>
      <c r="AY327" s="187" t="n"/>
      <c r="AZ327" s="186" t="n"/>
      <c r="BA327" s="186" t="n"/>
      <c r="BB327" s="186" t="n"/>
      <c r="BC327" s="186" t="n"/>
      <c r="BD327" s="186" t="n"/>
      <c r="BE327" s="186" t="n"/>
      <c r="BF327" s="186" t="n"/>
      <c r="BG327" s="186" t="n"/>
      <c r="BH327" s="186" t="n"/>
      <c r="BI327" s="186" t="n"/>
      <c r="BJ327" s="186" t="n"/>
      <c r="BK327" s="186" t="n"/>
      <c r="BL327" s="186" t="n"/>
      <c r="BM327" s="186" t="n"/>
      <c r="BN327" s="186" t="n"/>
      <c r="BO327" s="186" t="n"/>
      <c r="BP327" s="186" t="n"/>
      <c r="BQ327" s="186" t="n"/>
      <c r="BR327" s="186" t="n"/>
      <c r="BS327" s="186" t="n"/>
      <c r="BT327" s="186" t="n"/>
      <c r="BU327" s="186" t="n"/>
      <c r="BV327" s="190" t="n"/>
      <c r="BW327" s="186" t="n"/>
      <c r="BX327" s="186" t="n"/>
      <c r="BY327" s="186" t="n"/>
      <c r="BZ327" s="186" t="n"/>
      <c r="CA327" s="186" t="n"/>
      <c r="CB327" s="187" t="n"/>
      <c r="CC327" s="192" t="n"/>
      <c r="CD327" s="192" t="n"/>
      <c r="CE327" s="192" t="n"/>
      <c r="CF327" s="192" t="n"/>
    </row>
    <row r="328">
      <c r="A328" s="197" t="n"/>
      <c r="B328" s="198" t="n"/>
      <c r="C328" s="198" t="n"/>
      <c r="D328" s="179" t="n"/>
      <c r="E328" s="180" t="n"/>
      <c r="F328" s="181" t="n"/>
      <c r="G328" s="284">
        <f>'Jobs-Ops'!G328</f>
        <v/>
      </c>
      <c r="H328" s="114">
        <f>'Jobs-Ops'!H328</f>
        <v/>
      </c>
      <c r="I328" s="105" t="n"/>
      <c r="J328" s="196">
        <f>F328</f>
        <v/>
      </c>
      <c r="K328" s="184" t="n"/>
      <c r="L328" s="185" t="n"/>
      <c r="M328" s="8" t="n"/>
      <c r="N328" s="71">
        <f>M328</f>
        <v/>
      </c>
      <c r="O328" s="71" t="n"/>
      <c r="P328" s="101" t="n"/>
      <c r="Q328" s="9">
        <f>J328-N328</f>
        <v/>
      </c>
      <c r="R328" s="9">
        <f>IF(LEFT(B328,4)&lt;&gt;"    ",0,BI328)</f>
        <v/>
      </c>
      <c r="S328" s="9">
        <f>+Q328-R328</f>
        <v/>
      </c>
      <c r="T328" s="200">
        <f>IF('Jobs-Ops'!S328&lt;&gt; "",'Jobs-Ops'!S328,"")</f>
        <v/>
      </c>
      <c r="U328" s="10" t="n"/>
      <c r="V328" s="23">
        <f>IF(LEFT(B328,4)&lt;&gt;"    ","",IF(N328&lt;&gt;0,X328/N328,0))</f>
        <v/>
      </c>
      <c r="W328" s="11">
        <f>IF(LEFT(B328,4)&lt;&gt;"    ","",IF(V328&gt;=0.1,V328*J328,X328))</f>
        <v/>
      </c>
      <c r="X328" s="8" t="n"/>
      <c r="Y328" s="9">
        <f>IF(LEFT(B328,4)&lt;&gt;"    ",0,IF(Q328&lt;0,Q328,IF(V328&gt;0.1,W328-X328,0)))</f>
        <v/>
      </c>
      <c r="Z328" s="9">
        <f>IF(LEFT(B328,4)&lt;&gt;"    ",0,IF(V328&gt;0.1,BI328,0))</f>
        <v/>
      </c>
      <c r="AA328" s="9">
        <f>Y328-Z328</f>
        <v/>
      </c>
      <c r="AB328" s="10" t="n"/>
      <c r="AC328" s="24" t="n"/>
      <c r="AD328" s="11" t="n"/>
      <c r="AE328" s="8" t="n"/>
      <c r="AF328" s="9">
        <f>IF(LEFT(B328,4)&lt;&gt;"    ","",AD328-AE328)</f>
        <v/>
      </c>
      <c r="AG328" s="10" t="n"/>
      <c r="AH328" s="11">
        <f>IF(LEFT(B328,4)&lt;&gt;"    ","",W328-AD328)</f>
        <v/>
      </c>
      <c r="AI328" s="8">
        <f>IF(LEFT(B328,4)&lt;&gt;"    ","",X328-AE328)</f>
        <v/>
      </c>
      <c r="AJ328" s="9">
        <f>IF(LEFT(B328,4)&lt;&gt;"    ","",Y328-AF328)</f>
        <v/>
      </c>
      <c r="AK328" s="10" t="n"/>
      <c r="AL328" s="25">
        <f>IF(LEFT(B328,4)&lt;&gt;"    ","",J328-W328)</f>
        <v/>
      </c>
      <c r="AM328" s="25">
        <f>N328-X328</f>
        <v/>
      </c>
      <c r="AN328" s="25">
        <f>IF(LEFT(B328,4)&lt;&gt;"    ","",Q328-Y328)</f>
        <v/>
      </c>
      <c r="AO328" s="10" t="n"/>
      <c r="AP328" s="12" t="n"/>
      <c r="AQ328" s="12">
        <f>IF(LEFT(B328,4)&lt;&gt;"    ","",IF(W328-AP328&gt;=0,W328-AP328," "))</f>
        <v/>
      </c>
      <c r="AR328" s="12">
        <f>IF(LEFT(B328,4)&lt;&gt;"    ","",IF(AP328-W328&gt;=0,AP328-W328," "))</f>
        <v/>
      </c>
      <c r="AS328" s="186" t="n"/>
      <c r="AT328" s="187" t="n"/>
      <c r="AU328" s="186" t="n"/>
      <c r="AV328" s="186" t="n"/>
      <c r="AW328" s="188" t="n"/>
      <c r="AX328" s="187" t="n"/>
      <c r="AY328" s="187" t="n"/>
      <c r="AZ328" s="186" t="n"/>
      <c r="BA328" s="186" t="n"/>
      <c r="BB328" s="186" t="n"/>
      <c r="BC328" s="186" t="n"/>
      <c r="BD328" s="186" t="n"/>
      <c r="BE328" s="186" t="n"/>
      <c r="BF328" s="186" t="n"/>
      <c r="BG328" s="186" t="n"/>
      <c r="BH328" s="186" t="n"/>
      <c r="BI328" s="186" t="n"/>
      <c r="BJ328" s="186" t="n"/>
      <c r="BK328" s="186" t="n"/>
      <c r="BL328" s="186" t="n"/>
      <c r="BM328" s="186" t="n"/>
      <c r="BN328" s="186" t="n"/>
      <c r="BO328" s="186" t="n"/>
      <c r="BP328" s="186" t="n"/>
      <c r="BQ328" s="186" t="n"/>
      <c r="BR328" s="186" t="n"/>
      <c r="BS328" s="186" t="n"/>
      <c r="BT328" s="186" t="n"/>
      <c r="BU328" s="186" t="n"/>
      <c r="BV328" s="190" t="n"/>
      <c r="BW328" s="186" t="n"/>
      <c r="BX328" s="186" t="n"/>
      <c r="BY328" s="186" t="n"/>
      <c r="BZ328" s="186" t="n"/>
      <c r="CA328" s="186" t="n"/>
      <c r="CB328" s="187" t="n"/>
      <c r="CC328" s="192" t="n"/>
      <c r="CD328" s="192" t="n"/>
      <c r="CE328" s="192" t="n"/>
      <c r="CF328" s="192" t="n"/>
    </row>
    <row r="329">
      <c r="A329" s="197" t="n"/>
      <c r="B329" s="198" t="n"/>
      <c r="C329" s="198" t="n"/>
      <c r="D329" s="179" t="n"/>
      <c r="E329" s="180" t="n"/>
      <c r="F329" s="181" t="n"/>
      <c r="G329" s="284">
        <f>'Jobs-Ops'!G329</f>
        <v/>
      </c>
      <c r="H329" s="114">
        <f>'Jobs-Ops'!H329</f>
        <v/>
      </c>
      <c r="I329" s="105" t="n"/>
      <c r="J329" s="196">
        <f>F329</f>
        <v/>
      </c>
      <c r="K329" s="184" t="n"/>
      <c r="L329" s="185" t="n"/>
      <c r="M329" s="8" t="n"/>
      <c r="N329" s="71">
        <f>M329</f>
        <v/>
      </c>
      <c r="O329" s="71" t="n"/>
      <c r="P329" s="101" t="n"/>
      <c r="Q329" s="9">
        <f>J329-N329</f>
        <v/>
      </c>
      <c r="R329" s="9">
        <f>IF(LEFT(B329,4)&lt;&gt;"    ",0,BI329)</f>
        <v/>
      </c>
      <c r="S329" s="9">
        <f>+Q329-R329</f>
        <v/>
      </c>
      <c r="T329" s="200">
        <f>IF('Jobs-Ops'!S329&lt;&gt; "",'Jobs-Ops'!S329,"")</f>
        <v/>
      </c>
      <c r="U329" s="10" t="n"/>
      <c r="V329" s="23">
        <f>IF(LEFT(B329,4)&lt;&gt;"    ","",IF(N329&lt;&gt;0,X329/N329,0))</f>
        <v/>
      </c>
      <c r="W329" s="11">
        <f>IF(LEFT(B329,4)&lt;&gt;"    ","",IF(V329&gt;=0.1,V329*J329,X329))</f>
        <v/>
      </c>
      <c r="X329" s="8" t="n"/>
      <c r="Y329" s="9">
        <f>IF(LEFT(B329,4)&lt;&gt;"    ",0,IF(Q329&lt;0,Q329,IF(V329&gt;0.1,W329-X329,0)))</f>
        <v/>
      </c>
      <c r="Z329" s="9">
        <f>IF(LEFT(B329,4)&lt;&gt;"    ",0,IF(V329&gt;0.1,BI329,0))</f>
        <v/>
      </c>
      <c r="AA329" s="9">
        <f>Y329-Z329</f>
        <v/>
      </c>
      <c r="AB329" s="10" t="n"/>
      <c r="AC329" s="24" t="n"/>
      <c r="AD329" s="11" t="n"/>
      <c r="AE329" s="8" t="n"/>
      <c r="AF329" s="9">
        <f>IF(LEFT(B329,4)&lt;&gt;"    ","",AD329-AE329)</f>
        <v/>
      </c>
      <c r="AG329" s="10" t="n"/>
      <c r="AH329" s="11">
        <f>IF(LEFT(B329,4)&lt;&gt;"    ","",W329-AD329)</f>
        <v/>
      </c>
      <c r="AI329" s="8">
        <f>IF(LEFT(B329,4)&lt;&gt;"    ","",X329-AE329)</f>
        <v/>
      </c>
      <c r="AJ329" s="9">
        <f>IF(LEFT(B329,4)&lt;&gt;"    ","",Y329-AF329)</f>
        <v/>
      </c>
      <c r="AK329" s="10" t="n"/>
      <c r="AL329" s="25">
        <f>IF(LEFT(B329,4)&lt;&gt;"    ","",J329-W329)</f>
        <v/>
      </c>
      <c r="AM329" s="25">
        <f>N329-X329</f>
        <v/>
      </c>
      <c r="AN329" s="25">
        <f>IF(LEFT(B329,4)&lt;&gt;"    ","",Q329-Y329)</f>
        <v/>
      </c>
      <c r="AO329" s="10" t="n"/>
      <c r="AP329" s="12" t="n"/>
      <c r="AQ329" s="12">
        <f>IF(LEFT(B329,4)&lt;&gt;"    ","",IF(W329-AP329&gt;=0,W329-AP329," "))</f>
        <v/>
      </c>
      <c r="AR329" s="12">
        <f>IF(LEFT(B329,4)&lt;&gt;"    ","",IF(AP329-W329&gt;=0,AP329-W329," "))</f>
        <v/>
      </c>
      <c r="AS329" s="186" t="n"/>
      <c r="AT329" s="187" t="n"/>
      <c r="AU329" s="186" t="n"/>
      <c r="AV329" s="186" t="n"/>
      <c r="AW329" s="188" t="n"/>
      <c r="AX329" s="187" t="n"/>
      <c r="AY329" s="187" t="n"/>
      <c r="AZ329" s="186" t="n"/>
      <c r="BA329" s="186" t="n"/>
      <c r="BB329" s="186" t="n"/>
      <c r="BC329" s="186" t="n"/>
      <c r="BD329" s="186" t="n"/>
      <c r="BE329" s="186" t="n"/>
      <c r="BF329" s="186" t="n"/>
      <c r="BG329" s="186" t="n"/>
      <c r="BH329" s="186" t="n"/>
      <c r="BI329" s="186" t="n"/>
      <c r="BJ329" s="186" t="n"/>
      <c r="BK329" s="186" t="n"/>
      <c r="BL329" s="186" t="n"/>
      <c r="BM329" s="186" t="n"/>
      <c r="BN329" s="186" t="n"/>
      <c r="BO329" s="186" t="n"/>
      <c r="BP329" s="186" t="n"/>
      <c r="BQ329" s="186" t="n"/>
      <c r="BR329" s="186" t="n"/>
      <c r="BS329" s="186" t="n"/>
      <c r="BT329" s="186" t="n"/>
      <c r="BU329" s="186" t="n"/>
      <c r="BV329" s="190" t="n"/>
      <c r="BW329" s="186" t="n"/>
      <c r="BX329" s="186" t="n"/>
      <c r="BY329" s="186" t="n"/>
      <c r="BZ329" s="186" t="n"/>
      <c r="CA329" s="186" t="n"/>
      <c r="CB329" s="187" t="n"/>
      <c r="CC329" s="192" t="n"/>
      <c r="CD329" s="192" t="n"/>
      <c r="CE329" s="192" t="n"/>
      <c r="CF329" s="192" t="n"/>
    </row>
    <row r="330">
      <c r="A330" s="197" t="n"/>
      <c r="B330" s="198" t="n"/>
      <c r="C330" s="198" t="n"/>
      <c r="D330" s="179" t="n"/>
      <c r="E330" s="180" t="n"/>
      <c r="F330" s="181" t="n"/>
      <c r="G330" s="284">
        <f>'Jobs-Ops'!G330</f>
        <v/>
      </c>
      <c r="H330" s="114">
        <f>'Jobs-Ops'!H330</f>
        <v/>
      </c>
      <c r="I330" s="105" t="n"/>
      <c r="J330" s="196">
        <f>F330</f>
        <v/>
      </c>
      <c r="K330" s="184" t="n"/>
      <c r="L330" s="185" t="n"/>
      <c r="M330" s="8" t="n"/>
      <c r="N330" s="71">
        <f>M330</f>
        <v/>
      </c>
      <c r="O330" s="71" t="n"/>
      <c r="P330" s="101" t="n"/>
      <c r="Q330" s="9">
        <f>J330-N330</f>
        <v/>
      </c>
      <c r="R330" s="9">
        <f>IF(LEFT(B330,4)&lt;&gt;"    ",0,BI330)</f>
        <v/>
      </c>
      <c r="S330" s="9">
        <f>+Q330-R330</f>
        <v/>
      </c>
      <c r="T330" s="200">
        <f>IF('Jobs-Ops'!S330&lt;&gt; "",'Jobs-Ops'!S330,"")</f>
        <v/>
      </c>
      <c r="U330" s="10" t="n"/>
      <c r="V330" s="23">
        <f>IF(LEFT(B330,4)&lt;&gt;"    ","",IF(N330&lt;&gt;0,X330/N330,0))</f>
        <v/>
      </c>
      <c r="W330" s="11">
        <f>IF(LEFT(B330,4)&lt;&gt;"    ","",IF(V330&gt;=0.1,V330*J330,X330))</f>
        <v/>
      </c>
      <c r="X330" s="8" t="n"/>
      <c r="Y330" s="9">
        <f>IF(LEFT(B330,4)&lt;&gt;"    ",0,IF(Q330&lt;0,Q330,IF(V330&gt;0.1,W330-X330,0)))</f>
        <v/>
      </c>
      <c r="Z330" s="9">
        <f>IF(LEFT(B330,4)&lt;&gt;"    ",0,IF(V330&gt;0.1,BI330,0))</f>
        <v/>
      </c>
      <c r="AA330" s="9">
        <f>Y330-Z330</f>
        <v/>
      </c>
      <c r="AB330" s="10" t="n"/>
      <c r="AC330" s="24" t="n"/>
      <c r="AD330" s="11" t="n"/>
      <c r="AE330" s="8" t="n"/>
      <c r="AF330" s="9">
        <f>IF(LEFT(B330,4)&lt;&gt;"    ","",AD330-AE330)</f>
        <v/>
      </c>
      <c r="AG330" s="10" t="n"/>
      <c r="AH330" s="11">
        <f>IF(LEFT(B330,4)&lt;&gt;"    ","",W330-AD330)</f>
        <v/>
      </c>
      <c r="AI330" s="8">
        <f>IF(LEFT(B330,4)&lt;&gt;"    ","",X330-AE330)</f>
        <v/>
      </c>
      <c r="AJ330" s="9">
        <f>IF(LEFT(B330,4)&lt;&gt;"    ","",Y330-AF330)</f>
        <v/>
      </c>
      <c r="AK330" s="10" t="n"/>
      <c r="AL330" s="25">
        <f>IF(LEFT(B330,4)&lt;&gt;"    ","",J330-W330)</f>
        <v/>
      </c>
      <c r="AM330" s="25">
        <f>N330-X330</f>
        <v/>
      </c>
      <c r="AN330" s="25">
        <f>IF(LEFT(B330,4)&lt;&gt;"    ","",Q330-Y330)</f>
        <v/>
      </c>
      <c r="AO330" s="10" t="n"/>
      <c r="AP330" s="12" t="n"/>
      <c r="AQ330" s="12">
        <f>IF(LEFT(B330,4)&lt;&gt;"    ","",IF(W330-AP330&gt;=0,W330-AP330," "))</f>
        <v/>
      </c>
      <c r="AR330" s="12">
        <f>IF(LEFT(B330,4)&lt;&gt;"    ","",IF(AP330-W330&gt;=0,AP330-W330," "))</f>
        <v/>
      </c>
      <c r="AS330" s="186" t="n"/>
      <c r="AT330" s="187" t="n"/>
      <c r="AU330" s="186" t="n"/>
      <c r="AV330" s="186" t="n"/>
      <c r="AW330" s="188" t="n"/>
      <c r="AX330" s="187" t="n"/>
      <c r="AY330" s="187" t="n"/>
      <c r="AZ330" s="186" t="n"/>
      <c r="BA330" s="186" t="n"/>
      <c r="BB330" s="186" t="n"/>
      <c r="BC330" s="186" t="n"/>
      <c r="BD330" s="186" t="n"/>
      <c r="BE330" s="186" t="n"/>
      <c r="BF330" s="186" t="n"/>
      <c r="BG330" s="186" t="n"/>
      <c r="BH330" s="186" t="n"/>
      <c r="BI330" s="186" t="n"/>
      <c r="BJ330" s="186" t="n"/>
      <c r="BK330" s="186" t="n"/>
      <c r="BL330" s="186" t="n"/>
      <c r="BM330" s="186" t="n"/>
      <c r="BN330" s="186" t="n"/>
      <c r="BO330" s="186" t="n"/>
      <c r="BP330" s="186" t="n"/>
      <c r="BQ330" s="186" t="n"/>
      <c r="BR330" s="186" t="n"/>
      <c r="BS330" s="186" t="n"/>
      <c r="BT330" s="186" t="n"/>
      <c r="BU330" s="186" t="n"/>
      <c r="BV330" s="190" t="n"/>
      <c r="BW330" s="186" t="n"/>
      <c r="BX330" s="186" t="n"/>
      <c r="BY330" s="186" t="n"/>
      <c r="BZ330" s="186" t="n"/>
      <c r="CA330" s="186" t="n"/>
      <c r="CB330" s="187" t="n"/>
      <c r="CC330" s="192" t="n"/>
      <c r="CD330" s="192" t="n"/>
      <c r="CE330" s="192" t="n"/>
      <c r="CF330" s="192" t="n"/>
    </row>
    <row r="331">
      <c r="A331" s="197" t="n"/>
      <c r="B331" s="198" t="n"/>
      <c r="C331" s="198" t="n"/>
      <c r="D331" s="179" t="n"/>
      <c r="E331" s="180" t="n"/>
      <c r="F331" s="181" t="n"/>
      <c r="G331" s="284">
        <f>'Jobs-Ops'!G331</f>
        <v/>
      </c>
      <c r="H331" s="114">
        <f>'Jobs-Ops'!H331</f>
        <v/>
      </c>
      <c r="I331" s="105" t="n"/>
      <c r="J331" s="196">
        <f>F331</f>
        <v/>
      </c>
      <c r="K331" s="184" t="n"/>
      <c r="L331" s="185" t="n"/>
      <c r="M331" s="8" t="n"/>
      <c r="N331" s="71">
        <f>M331</f>
        <v/>
      </c>
      <c r="O331" s="71" t="n"/>
      <c r="P331" s="101" t="n"/>
      <c r="Q331" s="9">
        <f>J331-N331</f>
        <v/>
      </c>
      <c r="R331" s="9">
        <f>IF(LEFT(B331,4)&lt;&gt;"    ",0,BI331)</f>
        <v/>
      </c>
      <c r="S331" s="9">
        <f>+Q331-R331</f>
        <v/>
      </c>
      <c r="T331" s="200">
        <f>IF('Jobs-Ops'!S331&lt;&gt; "",'Jobs-Ops'!S331,"")</f>
        <v/>
      </c>
      <c r="U331" s="10" t="n"/>
      <c r="V331" s="23">
        <f>IF(LEFT(B331,4)&lt;&gt;"    ","",IF(N331&lt;&gt;0,X331/N331,0))</f>
        <v/>
      </c>
      <c r="W331" s="11">
        <f>IF(LEFT(B331,4)&lt;&gt;"    ","",IF(V331&gt;=0.1,V331*J331,X331))</f>
        <v/>
      </c>
      <c r="X331" s="8" t="n"/>
      <c r="Y331" s="9">
        <f>IF(LEFT(B331,4)&lt;&gt;"    ",0,IF(Q331&lt;0,Q331,IF(V331&gt;0.1,W331-X331,0)))</f>
        <v/>
      </c>
      <c r="Z331" s="9">
        <f>IF(LEFT(B331,4)&lt;&gt;"    ",0,IF(V331&gt;0.1,BI331,0))</f>
        <v/>
      </c>
      <c r="AA331" s="9">
        <f>Y331-Z331</f>
        <v/>
      </c>
      <c r="AB331" s="10" t="n"/>
      <c r="AC331" s="24" t="n"/>
      <c r="AD331" s="11" t="n"/>
      <c r="AE331" s="8" t="n"/>
      <c r="AF331" s="9">
        <f>IF(LEFT(B331,4)&lt;&gt;"    ","",AD331-AE331)</f>
        <v/>
      </c>
      <c r="AG331" s="10" t="n"/>
      <c r="AH331" s="11">
        <f>IF(LEFT(B331,4)&lt;&gt;"    ","",W331-AD331)</f>
        <v/>
      </c>
      <c r="AI331" s="8">
        <f>IF(LEFT(B331,4)&lt;&gt;"    ","",X331-AE331)</f>
        <v/>
      </c>
      <c r="AJ331" s="9">
        <f>IF(LEFT(B331,4)&lt;&gt;"    ","",Y331-AF331)</f>
        <v/>
      </c>
      <c r="AK331" s="10" t="n"/>
      <c r="AL331" s="25">
        <f>IF(LEFT(B331,4)&lt;&gt;"    ","",J331-W331)</f>
        <v/>
      </c>
      <c r="AM331" s="25">
        <f>N331-X331</f>
        <v/>
      </c>
      <c r="AN331" s="25">
        <f>IF(LEFT(B331,4)&lt;&gt;"    ","",Q331-Y331)</f>
        <v/>
      </c>
      <c r="AO331" s="10" t="n"/>
      <c r="AP331" s="12" t="n"/>
      <c r="AQ331" s="12">
        <f>IF(LEFT(B331,4)&lt;&gt;"    ","",IF(W331-AP331&gt;=0,W331-AP331," "))</f>
        <v/>
      </c>
      <c r="AR331" s="12">
        <f>IF(LEFT(B331,4)&lt;&gt;"    ","",IF(AP331-W331&gt;=0,AP331-W331," "))</f>
        <v/>
      </c>
      <c r="AS331" s="186" t="n"/>
      <c r="AT331" s="187" t="n"/>
      <c r="AU331" s="186" t="n"/>
      <c r="AV331" s="186" t="n"/>
      <c r="AW331" s="188" t="n"/>
      <c r="AX331" s="187" t="n"/>
      <c r="AY331" s="187" t="n"/>
      <c r="AZ331" s="186" t="n"/>
      <c r="BA331" s="186" t="n"/>
      <c r="BB331" s="186" t="n"/>
      <c r="BC331" s="186" t="n"/>
      <c r="BD331" s="186" t="n"/>
      <c r="BE331" s="186" t="n"/>
      <c r="BF331" s="186" t="n"/>
      <c r="BG331" s="186" t="n"/>
      <c r="BH331" s="186" t="n"/>
      <c r="BI331" s="186" t="n"/>
      <c r="BJ331" s="186" t="n"/>
      <c r="BK331" s="186" t="n"/>
      <c r="BL331" s="186" t="n"/>
      <c r="BM331" s="186" t="n"/>
      <c r="BN331" s="186" t="n"/>
      <c r="BO331" s="186" t="n"/>
      <c r="BP331" s="186" t="n"/>
      <c r="BQ331" s="186" t="n"/>
      <c r="BR331" s="186" t="n"/>
      <c r="BS331" s="186" t="n"/>
      <c r="BT331" s="186" t="n"/>
      <c r="BU331" s="186" t="n"/>
      <c r="BV331" s="190" t="n"/>
      <c r="BW331" s="186" t="n"/>
      <c r="BX331" s="186" t="n"/>
      <c r="BY331" s="186" t="n"/>
      <c r="BZ331" s="186" t="n"/>
      <c r="CA331" s="186" t="n"/>
      <c r="CB331" s="187" t="n"/>
      <c r="CC331" s="192" t="n"/>
      <c r="CD331" s="192" t="n"/>
      <c r="CE331" s="192" t="n"/>
      <c r="CF331" s="192" t="n"/>
    </row>
    <row r="332">
      <c r="A332" s="197" t="n"/>
      <c r="B332" s="198" t="n"/>
      <c r="C332" s="198" t="n"/>
      <c r="D332" s="179" t="n"/>
      <c r="E332" s="180" t="n"/>
      <c r="F332" s="181" t="n"/>
      <c r="G332" s="284">
        <f>'Jobs-Ops'!G332</f>
        <v/>
      </c>
      <c r="H332" s="114">
        <f>'Jobs-Ops'!H332</f>
        <v/>
      </c>
      <c r="I332" s="105" t="n"/>
      <c r="J332" s="196">
        <f>F332</f>
        <v/>
      </c>
      <c r="K332" s="184" t="n"/>
      <c r="L332" s="185" t="n"/>
      <c r="M332" s="8" t="n"/>
      <c r="N332" s="71">
        <f>M332</f>
        <v/>
      </c>
      <c r="O332" s="71" t="n"/>
      <c r="P332" s="101" t="n"/>
      <c r="Q332" s="9">
        <f>J332-N332</f>
        <v/>
      </c>
      <c r="R332" s="9">
        <f>IF(LEFT(B332,4)&lt;&gt;"    ",0,BI332)</f>
        <v/>
      </c>
      <c r="S332" s="9">
        <f>+Q332-R332</f>
        <v/>
      </c>
      <c r="T332" s="200">
        <f>IF('Jobs-Ops'!S332&lt;&gt; "",'Jobs-Ops'!S332,"")</f>
        <v/>
      </c>
      <c r="U332" s="10" t="n"/>
      <c r="V332" s="23">
        <f>IF(LEFT(B332,4)&lt;&gt;"    ","",IF(N332&lt;&gt;0,X332/N332,0))</f>
        <v/>
      </c>
      <c r="W332" s="11">
        <f>IF(LEFT(B332,4)&lt;&gt;"    ","",IF(V332&gt;=0.1,V332*J332,X332))</f>
        <v/>
      </c>
      <c r="X332" s="8" t="n"/>
      <c r="Y332" s="9">
        <f>IF(LEFT(B332,4)&lt;&gt;"    ",0,IF(Q332&lt;0,Q332,IF(V332&gt;0.1,W332-X332,0)))</f>
        <v/>
      </c>
      <c r="Z332" s="9">
        <f>IF(LEFT(B332,4)&lt;&gt;"    ",0,IF(V332&gt;0.1,BI332,0))</f>
        <v/>
      </c>
      <c r="AA332" s="9">
        <f>Y332-Z332</f>
        <v/>
      </c>
      <c r="AB332" s="10" t="n"/>
      <c r="AC332" s="24" t="n"/>
      <c r="AD332" s="11" t="n"/>
      <c r="AE332" s="8" t="n"/>
      <c r="AF332" s="9">
        <f>IF(LEFT(B332,4)&lt;&gt;"    ","",AD332-AE332)</f>
        <v/>
      </c>
      <c r="AG332" s="10" t="n"/>
      <c r="AH332" s="11">
        <f>IF(LEFT(B332,4)&lt;&gt;"    ","",W332-AD332)</f>
        <v/>
      </c>
      <c r="AI332" s="8">
        <f>IF(LEFT(B332,4)&lt;&gt;"    ","",X332-AE332)</f>
        <v/>
      </c>
      <c r="AJ332" s="9">
        <f>IF(LEFT(B332,4)&lt;&gt;"    ","",Y332-AF332)</f>
        <v/>
      </c>
      <c r="AK332" s="10" t="n"/>
      <c r="AL332" s="25">
        <f>IF(LEFT(B332,4)&lt;&gt;"    ","",J332-W332)</f>
        <v/>
      </c>
      <c r="AM332" s="25">
        <f>N332-X332</f>
        <v/>
      </c>
      <c r="AN332" s="25">
        <f>IF(LEFT(B332,4)&lt;&gt;"    ","",Q332-Y332)</f>
        <v/>
      </c>
      <c r="AO332" s="10" t="n"/>
      <c r="AP332" s="12" t="n"/>
      <c r="AQ332" s="12">
        <f>IF(LEFT(B332,4)&lt;&gt;"    ","",IF(W332-AP332&gt;=0,W332-AP332," "))</f>
        <v/>
      </c>
      <c r="AR332" s="12">
        <f>IF(LEFT(B332,4)&lt;&gt;"    ","",IF(AP332-W332&gt;=0,AP332-W332," "))</f>
        <v/>
      </c>
      <c r="AS332" s="186" t="n"/>
      <c r="AT332" s="187" t="n"/>
      <c r="AU332" s="186" t="n"/>
      <c r="AV332" s="186" t="n"/>
      <c r="AW332" s="188" t="n"/>
      <c r="AX332" s="187" t="n"/>
      <c r="AY332" s="187" t="n"/>
      <c r="AZ332" s="186" t="n"/>
      <c r="BA332" s="186" t="n"/>
      <c r="BB332" s="186" t="n"/>
      <c r="BC332" s="186" t="n"/>
      <c r="BD332" s="186" t="n"/>
      <c r="BE332" s="186" t="n"/>
      <c r="BF332" s="186" t="n"/>
      <c r="BG332" s="186" t="n"/>
      <c r="BH332" s="186" t="n"/>
      <c r="BI332" s="186" t="n"/>
      <c r="BJ332" s="186" t="n"/>
      <c r="BK332" s="186" t="n"/>
      <c r="BL332" s="186" t="n"/>
      <c r="BM332" s="186" t="n"/>
      <c r="BN332" s="186" t="n"/>
      <c r="BO332" s="186" t="n"/>
      <c r="BP332" s="186" t="n"/>
      <c r="BQ332" s="186" t="n"/>
      <c r="BR332" s="186" t="n"/>
      <c r="BS332" s="186" t="n"/>
      <c r="BT332" s="186" t="n"/>
      <c r="BU332" s="186" t="n"/>
      <c r="BV332" s="190" t="n"/>
      <c r="BW332" s="186" t="n"/>
      <c r="BX332" s="186" t="n"/>
      <c r="BY332" s="186" t="n"/>
      <c r="BZ332" s="186" t="n"/>
      <c r="CA332" s="186" t="n"/>
      <c r="CB332" s="187" t="n"/>
      <c r="CC332" s="192" t="n"/>
      <c r="CD332" s="192" t="n"/>
      <c r="CE332" s="192" t="n"/>
      <c r="CF332" s="192" t="n"/>
    </row>
    <row r="333">
      <c r="A333" s="197" t="n"/>
      <c r="B333" s="198" t="n"/>
      <c r="C333" s="198" t="n"/>
      <c r="D333" s="179" t="n"/>
      <c r="E333" s="180" t="n"/>
      <c r="F333" s="181" t="n"/>
      <c r="G333" s="284">
        <f>'Jobs-Ops'!G333</f>
        <v/>
      </c>
      <c r="H333" s="114">
        <f>'Jobs-Ops'!H333</f>
        <v/>
      </c>
      <c r="I333" s="105" t="n"/>
      <c r="J333" s="196">
        <f>F333</f>
        <v/>
      </c>
      <c r="K333" s="184" t="n"/>
      <c r="L333" s="185" t="n"/>
      <c r="M333" s="8" t="n"/>
      <c r="N333" s="71">
        <f>M333</f>
        <v/>
      </c>
      <c r="O333" s="71" t="n"/>
      <c r="P333" s="101" t="n"/>
      <c r="Q333" s="9">
        <f>J333-N333</f>
        <v/>
      </c>
      <c r="R333" s="9">
        <f>IF(LEFT(B333,4)&lt;&gt;"    ",0,BI333)</f>
        <v/>
      </c>
      <c r="S333" s="9">
        <f>+Q333-R333</f>
        <v/>
      </c>
      <c r="T333" s="200">
        <f>IF('Jobs-Ops'!S333&lt;&gt; "",'Jobs-Ops'!S333,"")</f>
        <v/>
      </c>
      <c r="U333" s="10" t="n"/>
      <c r="V333" s="23">
        <f>IF(LEFT(B333,4)&lt;&gt;"    ","",IF(N333&lt;&gt;0,X333/N333,0))</f>
        <v/>
      </c>
      <c r="W333" s="11">
        <f>IF(LEFT(B333,4)&lt;&gt;"    ","",IF(V333&gt;=0.1,V333*J333,X333))</f>
        <v/>
      </c>
      <c r="X333" s="8" t="n"/>
      <c r="Y333" s="9">
        <f>IF(LEFT(B333,4)&lt;&gt;"    ",0,IF(Q333&lt;0,Q333,IF(V333&gt;0.1,W333-X333,0)))</f>
        <v/>
      </c>
      <c r="Z333" s="9">
        <f>IF(LEFT(B333,4)&lt;&gt;"    ",0,IF(V333&gt;0.1,BI333,0))</f>
        <v/>
      </c>
      <c r="AA333" s="9">
        <f>Y333-Z333</f>
        <v/>
      </c>
      <c r="AB333" s="10" t="n"/>
      <c r="AC333" s="24" t="n"/>
      <c r="AD333" s="11" t="n"/>
      <c r="AE333" s="8" t="n"/>
      <c r="AF333" s="9">
        <f>IF(LEFT(B333,4)&lt;&gt;"    ","",AD333-AE333)</f>
        <v/>
      </c>
      <c r="AG333" s="10" t="n"/>
      <c r="AH333" s="11">
        <f>IF(LEFT(B333,4)&lt;&gt;"    ","",W333-AD333)</f>
        <v/>
      </c>
      <c r="AI333" s="8">
        <f>IF(LEFT(B333,4)&lt;&gt;"    ","",X333-AE333)</f>
        <v/>
      </c>
      <c r="AJ333" s="9">
        <f>IF(LEFT(B333,4)&lt;&gt;"    ","",Y333-AF333)</f>
        <v/>
      </c>
      <c r="AK333" s="10" t="n"/>
      <c r="AL333" s="25">
        <f>IF(LEFT(B333,4)&lt;&gt;"    ","",J333-W333)</f>
        <v/>
      </c>
      <c r="AM333" s="25">
        <f>N333-X333</f>
        <v/>
      </c>
      <c r="AN333" s="25">
        <f>IF(LEFT(B333,4)&lt;&gt;"    ","",Q333-Y333)</f>
        <v/>
      </c>
      <c r="AO333" s="10" t="n"/>
      <c r="AP333" s="12" t="n"/>
      <c r="AQ333" s="12">
        <f>IF(LEFT(B333,4)&lt;&gt;"    ","",IF(W333-AP333&gt;=0,W333-AP333," "))</f>
        <v/>
      </c>
      <c r="AR333" s="12">
        <f>IF(LEFT(B333,4)&lt;&gt;"    ","",IF(AP333-W333&gt;=0,AP333-W333," "))</f>
        <v/>
      </c>
      <c r="AS333" s="186" t="n"/>
      <c r="AT333" s="187" t="n"/>
      <c r="AU333" s="186" t="n"/>
      <c r="AV333" s="186" t="n"/>
      <c r="AW333" s="188" t="n"/>
      <c r="AX333" s="187" t="n"/>
      <c r="AY333" s="187" t="n"/>
      <c r="AZ333" s="186" t="n"/>
      <c r="BA333" s="186" t="n"/>
      <c r="BB333" s="186" t="n"/>
      <c r="BC333" s="186" t="n"/>
      <c r="BD333" s="186" t="n"/>
      <c r="BE333" s="186" t="n"/>
      <c r="BF333" s="186" t="n"/>
      <c r="BG333" s="186" t="n"/>
      <c r="BH333" s="186" t="n"/>
      <c r="BI333" s="186" t="n"/>
      <c r="BJ333" s="186" t="n"/>
      <c r="BK333" s="186" t="n"/>
      <c r="BL333" s="186" t="n"/>
      <c r="BM333" s="186" t="n"/>
      <c r="BN333" s="186" t="n"/>
      <c r="BO333" s="186" t="n"/>
      <c r="BP333" s="186" t="n"/>
      <c r="BQ333" s="186" t="n"/>
      <c r="BR333" s="186" t="n"/>
      <c r="BS333" s="186" t="n"/>
      <c r="BT333" s="186" t="n"/>
      <c r="BU333" s="186" t="n"/>
      <c r="BV333" s="190" t="n"/>
      <c r="BW333" s="186" t="n"/>
      <c r="BX333" s="186" t="n"/>
      <c r="BY333" s="186" t="n"/>
      <c r="BZ333" s="186" t="n"/>
      <c r="CA333" s="186" t="n"/>
      <c r="CB333" s="187" t="n"/>
      <c r="CC333" s="192" t="n"/>
      <c r="CD333" s="192" t="n"/>
      <c r="CE333" s="192" t="n"/>
      <c r="CF333" s="192" t="n"/>
    </row>
    <row r="334">
      <c r="A334" s="197" t="n"/>
      <c r="B334" s="198" t="n"/>
      <c r="C334" s="198" t="n"/>
      <c r="D334" s="179" t="n"/>
      <c r="E334" s="180" t="n"/>
      <c r="F334" s="181" t="n"/>
      <c r="G334" s="284">
        <f>'Jobs-Ops'!G334</f>
        <v/>
      </c>
      <c r="H334" s="114">
        <f>'Jobs-Ops'!H334</f>
        <v/>
      </c>
      <c r="I334" s="105" t="n"/>
      <c r="J334" s="196">
        <f>F334</f>
        <v/>
      </c>
      <c r="K334" s="184" t="n"/>
      <c r="L334" s="185" t="n"/>
      <c r="M334" s="8" t="n"/>
      <c r="N334" s="71">
        <f>M334</f>
        <v/>
      </c>
      <c r="O334" s="71" t="n"/>
      <c r="P334" s="101" t="n"/>
      <c r="Q334" s="9">
        <f>J334-N334</f>
        <v/>
      </c>
      <c r="R334" s="9">
        <f>IF(LEFT(B334,4)&lt;&gt;"    ",0,BI334)</f>
        <v/>
      </c>
      <c r="S334" s="9">
        <f>+Q334-R334</f>
        <v/>
      </c>
      <c r="T334" s="200">
        <f>IF('Jobs-Ops'!S334&lt;&gt; "",'Jobs-Ops'!S334,"")</f>
        <v/>
      </c>
      <c r="U334" s="10" t="n"/>
      <c r="V334" s="23">
        <f>IF(LEFT(B334,4)&lt;&gt;"    ","",IF(N334&lt;&gt;0,X334/N334,0))</f>
        <v/>
      </c>
      <c r="W334" s="11">
        <f>IF(LEFT(B334,4)&lt;&gt;"    ","",IF(V334&gt;=0.1,V334*J334,X334))</f>
        <v/>
      </c>
      <c r="X334" s="8" t="n"/>
      <c r="Y334" s="9">
        <f>IF(LEFT(B334,4)&lt;&gt;"    ",0,IF(Q334&lt;0,Q334,IF(V334&gt;0.1,W334-X334,0)))</f>
        <v/>
      </c>
      <c r="Z334" s="9">
        <f>IF(LEFT(B334,4)&lt;&gt;"    ",0,IF(V334&gt;0.1,BI334,0))</f>
        <v/>
      </c>
      <c r="AA334" s="9">
        <f>Y334-Z334</f>
        <v/>
      </c>
      <c r="AB334" s="10" t="n"/>
      <c r="AC334" s="24" t="n"/>
      <c r="AD334" s="11" t="n"/>
      <c r="AE334" s="8" t="n"/>
      <c r="AF334" s="9">
        <f>IF(LEFT(B334,4)&lt;&gt;"    ","",AD334-AE334)</f>
        <v/>
      </c>
      <c r="AG334" s="10" t="n"/>
      <c r="AH334" s="11">
        <f>IF(LEFT(B334,4)&lt;&gt;"    ","",W334-AD334)</f>
        <v/>
      </c>
      <c r="AI334" s="8">
        <f>IF(LEFT(B334,4)&lt;&gt;"    ","",X334-AE334)</f>
        <v/>
      </c>
      <c r="AJ334" s="9">
        <f>IF(LEFT(B334,4)&lt;&gt;"    ","",Y334-AF334)</f>
        <v/>
      </c>
      <c r="AK334" s="10" t="n"/>
      <c r="AL334" s="25">
        <f>IF(LEFT(B334,4)&lt;&gt;"    ","",J334-W334)</f>
        <v/>
      </c>
      <c r="AM334" s="25">
        <f>N334-X334</f>
        <v/>
      </c>
      <c r="AN334" s="25">
        <f>IF(LEFT(B334,4)&lt;&gt;"    ","",Q334-Y334)</f>
        <v/>
      </c>
      <c r="AO334" s="10" t="n"/>
      <c r="AP334" s="12" t="n"/>
      <c r="AQ334" s="12">
        <f>IF(LEFT(B334,4)&lt;&gt;"    ","",IF(W334-AP334&gt;=0,W334-AP334," "))</f>
        <v/>
      </c>
      <c r="AR334" s="12">
        <f>IF(LEFT(B334,4)&lt;&gt;"    ","",IF(AP334-W334&gt;=0,AP334-W334," "))</f>
        <v/>
      </c>
      <c r="AS334" s="186" t="n"/>
      <c r="AT334" s="187" t="n"/>
      <c r="AU334" s="186" t="n"/>
      <c r="AV334" s="186" t="n"/>
      <c r="AW334" s="188" t="n"/>
      <c r="AX334" s="187" t="n"/>
      <c r="AY334" s="187" t="n"/>
      <c r="AZ334" s="186" t="n"/>
      <c r="BA334" s="186" t="n"/>
      <c r="BB334" s="186" t="n"/>
      <c r="BC334" s="186" t="n"/>
      <c r="BD334" s="186" t="n"/>
      <c r="BE334" s="186" t="n"/>
      <c r="BF334" s="186" t="n"/>
      <c r="BG334" s="186" t="n"/>
      <c r="BH334" s="186" t="n"/>
      <c r="BI334" s="186" t="n"/>
      <c r="BJ334" s="186" t="n"/>
      <c r="BK334" s="186" t="n"/>
      <c r="BL334" s="186" t="n"/>
      <c r="BM334" s="186" t="n"/>
      <c r="BN334" s="186" t="n"/>
      <c r="BO334" s="186" t="n"/>
      <c r="BP334" s="186" t="n"/>
      <c r="BQ334" s="186" t="n"/>
      <c r="BR334" s="186" t="n"/>
      <c r="BS334" s="186" t="n"/>
      <c r="BT334" s="186" t="n"/>
      <c r="BU334" s="186" t="n"/>
      <c r="BV334" s="190" t="n"/>
      <c r="BW334" s="186" t="n"/>
      <c r="BX334" s="186" t="n"/>
      <c r="BY334" s="186" t="n"/>
      <c r="BZ334" s="186" t="n"/>
      <c r="CA334" s="186" t="n"/>
      <c r="CB334" s="187" t="n"/>
      <c r="CC334" s="192" t="n"/>
      <c r="CD334" s="192" t="n"/>
      <c r="CE334" s="192" t="n"/>
      <c r="CF334" s="192" t="n"/>
    </row>
    <row r="335">
      <c r="A335" s="197" t="n"/>
      <c r="B335" s="198" t="n"/>
      <c r="C335" s="198" t="n"/>
      <c r="D335" s="179" t="n"/>
      <c r="E335" s="180" t="n"/>
      <c r="F335" s="181" t="n"/>
      <c r="G335" s="284">
        <f>'Jobs-Ops'!G335</f>
        <v/>
      </c>
      <c r="H335" s="114">
        <f>'Jobs-Ops'!H335</f>
        <v/>
      </c>
      <c r="I335" s="105" t="n"/>
      <c r="J335" s="196">
        <f>F335</f>
        <v/>
      </c>
      <c r="K335" s="184" t="n"/>
      <c r="L335" s="185" t="n"/>
      <c r="M335" s="8" t="n"/>
      <c r="N335" s="71">
        <f>M335</f>
        <v/>
      </c>
      <c r="O335" s="71" t="n"/>
      <c r="P335" s="101" t="n"/>
      <c r="Q335" s="9">
        <f>J335-N335</f>
        <v/>
      </c>
      <c r="R335" s="9">
        <f>IF(LEFT(B335,4)&lt;&gt;"    ",0,BI335)</f>
        <v/>
      </c>
      <c r="S335" s="9">
        <f>+Q335-R335</f>
        <v/>
      </c>
      <c r="T335" s="200">
        <f>IF('Jobs-Ops'!S335&lt;&gt; "",'Jobs-Ops'!S335,"")</f>
        <v/>
      </c>
      <c r="U335" s="10" t="n"/>
      <c r="V335" s="23">
        <f>IF(LEFT(B335,4)&lt;&gt;"    ","",IF(N335&lt;&gt;0,X335/N335,0))</f>
        <v/>
      </c>
      <c r="W335" s="11">
        <f>IF(LEFT(B335,4)&lt;&gt;"    ","",IF(V335&gt;=0.1,V335*J335,X335))</f>
        <v/>
      </c>
      <c r="X335" s="8" t="n"/>
      <c r="Y335" s="9">
        <f>IF(LEFT(B335,4)&lt;&gt;"    ",0,IF(Q335&lt;0,Q335,IF(V335&gt;0.1,W335-X335,0)))</f>
        <v/>
      </c>
      <c r="Z335" s="9">
        <f>IF(LEFT(B335,4)&lt;&gt;"    ",0,IF(V335&gt;0.1,BI335,0))</f>
        <v/>
      </c>
      <c r="AA335" s="9">
        <f>Y335-Z335</f>
        <v/>
      </c>
      <c r="AB335" s="10" t="n"/>
      <c r="AC335" s="24" t="n"/>
      <c r="AD335" s="11" t="n"/>
      <c r="AE335" s="8" t="n"/>
      <c r="AF335" s="9">
        <f>IF(LEFT(B335,4)&lt;&gt;"    ","",AD335-AE335)</f>
        <v/>
      </c>
      <c r="AG335" s="10" t="n"/>
      <c r="AH335" s="11">
        <f>IF(LEFT(B335,4)&lt;&gt;"    ","",W335-AD335)</f>
        <v/>
      </c>
      <c r="AI335" s="8">
        <f>IF(LEFT(B335,4)&lt;&gt;"    ","",X335-AE335)</f>
        <v/>
      </c>
      <c r="AJ335" s="9">
        <f>IF(LEFT(B335,4)&lt;&gt;"    ","",Y335-AF335)</f>
        <v/>
      </c>
      <c r="AK335" s="10" t="n"/>
      <c r="AL335" s="25">
        <f>IF(LEFT(B335,4)&lt;&gt;"    ","",J335-W335)</f>
        <v/>
      </c>
      <c r="AM335" s="25">
        <f>N335-X335</f>
        <v/>
      </c>
      <c r="AN335" s="25">
        <f>IF(LEFT(B335,4)&lt;&gt;"    ","",Q335-Y335)</f>
        <v/>
      </c>
      <c r="AO335" s="10" t="n"/>
      <c r="AP335" s="12" t="n"/>
      <c r="AQ335" s="12">
        <f>IF(LEFT(B335,4)&lt;&gt;"    ","",IF(W335-AP335&gt;=0,W335-AP335," "))</f>
        <v/>
      </c>
      <c r="AR335" s="12">
        <f>IF(LEFT(B335,4)&lt;&gt;"    ","",IF(AP335-W335&gt;=0,AP335-W335," "))</f>
        <v/>
      </c>
      <c r="AS335" s="186" t="n"/>
      <c r="AT335" s="187" t="n"/>
      <c r="AU335" s="186" t="n"/>
      <c r="AV335" s="186" t="n"/>
      <c r="AW335" s="188" t="n"/>
      <c r="AX335" s="187" t="n"/>
      <c r="AY335" s="187" t="n"/>
      <c r="AZ335" s="186" t="n"/>
      <c r="BA335" s="186" t="n"/>
      <c r="BB335" s="186" t="n"/>
      <c r="BC335" s="186" t="n"/>
      <c r="BD335" s="186" t="n"/>
      <c r="BE335" s="186" t="n"/>
      <c r="BF335" s="186" t="n"/>
      <c r="BG335" s="186" t="n"/>
      <c r="BH335" s="186" t="n"/>
      <c r="BI335" s="186" t="n"/>
      <c r="BJ335" s="186" t="n"/>
      <c r="BK335" s="186" t="n"/>
      <c r="BL335" s="186" t="n"/>
      <c r="BM335" s="186" t="n"/>
      <c r="BN335" s="186" t="n"/>
      <c r="BO335" s="186" t="n"/>
      <c r="BP335" s="186" t="n"/>
      <c r="BQ335" s="186" t="n"/>
      <c r="BR335" s="186" t="n"/>
      <c r="BS335" s="186" t="n"/>
      <c r="BT335" s="186" t="n"/>
      <c r="BU335" s="186" t="n"/>
      <c r="BV335" s="190" t="n"/>
      <c r="BW335" s="186" t="n"/>
      <c r="BX335" s="186" t="n"/>
      <c r="BY335" s="186" t="n"/>
      <c r="BZ335" s="186" t="n"/>
      <c r="CA335" s="186" t="n"/>
      <c r="CB335" s="187" t="n"/>
      <c r="CC335" s="192" t="n"/>
      <c r="CD335" s="192" t="n"/>
      <c r="CE335" s="192" t="n"/>
      <c r="CF335" s="192" t="n"/>
    </row>
    <row r="336">
      <c r="A336" s="197" t="n"/>
      <c r="B336" s="198" t="n"/>
      <c r="C336" s="198" t="n"/>
      <c r="D336" s="179" t="n"/>
      <c r="E336" s="180" t="n"/>
      <c r="F336" s="181" t="n"/>
      <c r="G336" s="284">
        <f>'Jobs-Ops'!G336</f>
        <v/>
      </c>
      <c r="H336" s="114">
        <f>'Jobs-Ops'!H336</f>
        <v/>
      </c>
      <c r="I336" s="105" t="n"/>
      <c r="J336" s="196">
        <f>F336</f>
        <v/>
      </c>
      <c r="K336" s="184" t="n"/>
      <c r="L336" s="185" t="n"/>
      <c r="M336" s="8" t="n"/>
      <c r="N336" s="71">
        <f>M336</f>
        <v/>
      </c>
      <c r="O336" s="71" t="n"/>
      <c r="P336" s="101" t="n"/>
      <c r="Q336" s="9">
        <f>J336-N336</f>
        <v/>
      </c>
      <c r="R336" s="9">
        <f>IF(LEFT(B336,4)&lt;&gt;"    ",0,BI336)</f>
        <v/>
      </c>
      <c r="S336" s="9">
        <f>+Q336-R336</f>
        <v/>
      </c>
      <c r="T336" s="200">
        <f>IF('Jobs-Ops'!S336&lt;&gt; "",'Jobs-Ops'!S336,"")</f>
        <v/>
      </c>
      <c r="U336" s="10" t="n"/>
      <c r="V336" s="23">
        <f>IF(LEFT(B336,4)&lt;&gt;"    ","",IF(N336&lt;&gt;0,X336/N336,0))</f>
        <v/>
      </c>
      <c r="W336" s="11">
        <f>IF(LEFT(B336,4)&lt;&gt;"    ","",IF(V336&gt;=0.1,V336*J336,X336))</f>
        <v/>
      </c>
      <c r="X336" s="8" t="n"/>
      <c r="Y336" s="9">
        <f>IF(LEFT(B336,4)&lt;&gt;"    ",0,IF(Q336&lt;0,Q336,IF(V336&gt;0.1,W336-X336,0)))</f>
        <v/>
      </c>
      <c r="Z336" s="9">
        <f>IF(LEFT(B336,4)&lt;&gt;"    ",0,IF(V336&gt;0.1,BI336,0))</f>
        <v/>
      </c>
      <c r="AA336" s="9">
        <f>Y336-Z336</f>
        <v/>
      </c>
      <c r="AB336" s="10" t="n"/>
      <c r="AC336" s="24" t="n"/>
      <c r="AD336" s="11" t="n"/>
      <c r="AE336" s="8" t="n"/>
      <c r="AF336" s="9">
        <f>IF(LEFT(B336,4)&lt;&gt;"    ","",AD336-AE336)</f>
        <v/>
      </c>
      <c r="AG336" s="10" t="n"/>
      <c r="AH336" s="11">
        <f>IF(LEFT(B336,4)&lt;&gt;"    ","",W336-AD336)</f>
        <v/>
      </c>
      <c r="AI336" s="8">
        <f>IF(LEFT(B336,4)&lt;&gt;"    ","",X336-AE336)</f>
        <v/>
      </c>
      <c r="AJ336" s="9">
        <f>IF(LEFT(B336,4)&lt;&gt;"    ","",Y336-AF336)</f>
        <v/>
      </c>
      <c r="AK336" s="10" t="n"/>
      <c r="AL336" s="25">
        <f>IF(LEFT(B336,4)&lt;&gt;"    ","",J336-W336)</f>
        <v/>
      </c>
      <c r="AM336" s="25">
        <f>N336-X336</f>
        <v/>
      </c>
      <c r="AN336" s="25">
        <f>IF(LEFT(B336,4)&lt;&gt;"    ","",Q336-Y336)</f>
        <v/>
      </c>
      <c r="AO336" s="10" t="n"/>
      <c r="AP336" s="12" t="n"/>
      <c r="AQ336" s="12">
        <f>IF(LEFT(B336,4)&lt;&gt;"    ","",IF(W336-AP336&gt;=0,W336-AP336," "))</f>
        <v/>
      </c>
      <c r="AR336" s="12">
        <f>IF(LEFT(B336,4)&lt;&gt;"    ","",IF(AP336-W336&gt;=0,AP336-W336," "))</f>
        <v/>
      </c>
      <c r="AS336" s="186" t="n"/>
      <c r="AT336" s="187" t="n"/>
      <c r="AU336" s="186" t="n"/>
      <c r="AV336" s="186" t="n"/>
      <c r="AW336" s="188" t="n"/>
      <c r="AX336" s="187" t="n"/>
      <c r="AY336" s="187" t="n"/>
      <c r="AZ336" s="186" t="n"/>
      <c r="BA336" s="186" t="n"/>
      <c r="BB336" s="186" t="n"/>
      <c r="BC336" s="186" t="n"/>
      <c r="BD336" s="186" t="n"/>
      <c r="BE336" s="186" t="n"/>
      <c r="BF336" s="186" t="n"/>
      <c r="BG336" s="186" t="n"/>
      <c r="BH336" s="186" t="n"/>
      <c r="BI336" s="186" t="n"/>
      <c r="BJ336" s="186" t="n"/>
      <c r="BK336" s="186" t="n"/>
      <c r="BL336" s="186" t="n"/>
      <c r="BM336" s="186" t="n"/>
      <c r="BN336" s="186" t="n"/>
      <c r="BO336" s="186" t="n"/>
      <c r="BP336" s="186" t="n"/>
      <c r="BQ336" s="186" t="n"/>
      <c r="BR336" s="186" t="n"/>
      <c r="BS336" s="186" t="n"/>
      <c r="BT336" s="186" t="n"/>
      <c r="BU336" s="186" t="n"/>
      <c r="BV336" s="190" t="n"/>
      <c r="BW336" s="186" t="n"/>
      <c r="BX336" s="186" t="n"/>
      <c r="BY336" s="186" t="n"/>
      <c r="BZ336" s="186" t="n"/>
      <c r="CA336" s="186" t="n"/>
      <c r="CB336" s="187" t="n"/>
      <c r="CC336" s="192" t="n"/>
      <c r="CD336" s="192" t="n"/>
      <c r="CE336" s="192" t="n"/>
      <c r="CF336" s="192" t="n"/>
    </row>
    <row r="337">
      <c r="A337" s="197" t="n"/>
      <c r="B337" s="198" t="n"/>
      <c r="C337" s="198" t="n"/>
      <c r="D337" s="179" t="n"/>
      <c r="E337" s="180" t="n"/>
      <c r="F337" s="181" t="n"/>
      <c r="G337" s="284">
        <f>'Jobs-Ops'!G337</f>
        <v/>
      </c>
      <c r="H337" s="114">
        <f>'Jobs-Ops'!H337</f>
        <v/>
      </c>
      <c r="I337" s="105" t="n"/>
      <c r="J337" s="196">
        <f>F337</f>
        <v/>
      </c>
      <c r="K337" s="184" t="n"/>
      <c r="L337" s="185" t="n"/>
      <c r="M337" s="8" t="n"/>
      <c r="N337" s="71">
        <f>M337</f>
        <v/>
      </c>
      <c r="O337" s="71" t="n"/>
      <c r="P337" s="101" t="n"/>
      <c r="Q337" s="9">
        <f>J337-N337</f>
        <v/>
      </c>
      <c r="R337" s="9">
        <f>IF(LEFT(B337,4)&lt;&gt;"    ",0,BI337)</f>
        <v/>
      </c>
      <c r="S337" s="9">
        <f>+Q337-R337</f>
        <v/>
      </c>
      <c r="T337" s="200">
        <f>IF('Jobs-Ops'!S337&lt;&gt; "",'Jobs-Ops'!S337,"")</f>
        <v/>
      </c>
      <c r="U337" s="10" t="n"/>
      <c r="V337" s="23">
        <f>IF(LEFT(B337,4)&lt;&gt;"    ","",IF(N337&lt;&gt;0,X337/N337,0))</f>
        <v/>
      </c>
      <c r="W337" s="11">
        <f>IF(LEFT(B337,4)&lt;&gt;"    ","",IF(V337&gt;=0.1,V337*J337,X337))</f>
        <v/>
      </c>
      <c r="X337" s="8" t="n"/>
      <c r="Y337" s="9">
        <f>IF(LEFT(B337,4)&lt;&gt;"    ",0,IF(Q337&lt;0,Q337,IF(V337&gt;0.1,W337-X337,0)))</f>
        <v/>
      </c>
      <c r="Z337" s="9">
        <f>IF(LEFT(B337,4)&lt;&gt;"    ",0,IF(V337&gt;0.1,BI337,0))</f>
        <v/>
      </c>
      <c r="AA337" s="9">
        <f>Y337-Z337</f>
        <v/>
      </c>
      <c r="AB337" s="10" t="n"/>
      <c r="AC337" s="24" t="n"/>
      <c r="AD337" s="11" t="n"/>
      <c r="AE337" s="8" t="n"/>
      <c r="AF337" s="9">
        <f>IF(LEFT(B337,4)&lt;&gt;"    ","",AD337-AE337)</f>
        <v/>
      </c>
      <c r="AG337" s="10" t="n"/>
      <c r="AH337" s="11">
        <f>IF(LEFT(B337,4)&lt;&gt;"    ","",W337-AD337)</f>
        <v/>
      </c>
      <c r="AI337" s="8">
        <f>IF(LEFT(B337,4)&lt;&gt;"    ","",X337-AE337)</f>
        <v/>
      </c>
      <c r="AJ337" s="9">
        <f>IF(LEFT(B337,4)&lt;&gt;"    ","",Y337-AF337)</f>
        <v/>
      </c>
      <c r="AK337" s="10" t="n"/>
      <c r="AL337" s="25">
        <f>IF(LEFT(B337,4)&lt;&gt;"    ","",J337-W337)</f>
        <v/>
      </c>
      <c r="AM337" s="25">
        <f>N337-X337</f>
        <v/>
      </c>
      <c r="AN337" s="25">
        <f>IF(LEFT(B337,4)&lt;&gt;"    ","",Q337-Y337)</f>
        <v/>
      </c>
      <c r="AO337" s="10" t="n"/>
      <c r="AP337" s="12" t="n"/>
      <c r="AQ337" s="12">
        <f>IF(LEFT(B337,4)&lt;&gt;"    ","",IF(W337-AP337&gt;=0,W337-AP337," "))</f>
        <v/>
      </c>
      <c r="AR337" s="12">
        <f>IF(LEFT(B337,4)&lt;&gt;"    ","",IF(AP337-W337&gt;=0,AP337-W337," "))</f>
        <v/>
      </c>
      <c r="AS337" s="186" t="n"/>
      <c r="AT337" s="187" t="n"/>
      <c r="AU337" s="186" t="n"/>
      <c r="AV337" s="186" t="n"/>
      <c r="AW337" s="188" t="n"/>
      <c r="AX337" s="187" t="n"/>
      <c r="AY337" s="187" t="n"/>
      <c r="AZ337" s="186" t="n"/>
      <c r="BA337" s="186" t="n"/>
      <c r="BB337" s="186" t="n"/>
      <c r="BC337" s="186" t="n"/>
      <c r="BD337" s="186" t="n"/>
      <c r="BE337" s="186" t="n"/>
      <c r="BF337" s="186" t="n"/>
      <c r="BG337" s="186" t="n"/>
      <c r="BH337" s="186" t="n"/>
      <c r="BI337" s="186" t="n"/>
      <c r="BJ337" s="186" t="n"/>
      <c r="BK337" s="186" t="n"/>
      <c r="BL337" s="186" t="n"/>
      <c r="BM337" s="186" t="n"/>
      <c r="BN337" s="186" t="n"/>
      <c r="BO337" s="186" t="n"/>
      <c r="BP337" s="186" t="n"/>
      <c r="BQ337" s="186" t="n"/>
      <c r="BR337" s="186" t="n"/>
      <c r="BS337" s="186" t="n"/>
      <c r="BT337" s="186" t="n"/>
      <c r="BU337" s="186" t="n"/>
      <c r="BV337" s="190" t="n"/>
      <c r="BW337" s="186" t="n"/>
      <c r="BX337" s="186" t="n"/>
      <c r="BY337" s="186" t="n"/>
      <c r="BZ337" s="186" t="n"/>
      <c r="CA337" s="186" t="n"/>
      <c r="CB337" s="187" t="n"/>
      <c r="CC337" s="192" t="n"/>
      <c r="CD337" s="192" t="n"/>
      <c r="CE337" s="192" t="n"/>
      <c r="CF337" s="192" t="n"/>
    </row>
    <row r="338">
      <c r="A338" s="197" t="n"/>
      <c r="B338" s="198" t="n"/>
      <c r="C338" s="198" t="n"/>
      <c r="D338" s="179" t="n"/>
      <c r="E338" s="180" t="n"/>
      <c r="F338" s="181" t="n"/>
      <c r="G338" s="284">
        <f>'Jobs-Ops'!G338</f>
        <v/>
      </c>
      <c r="H338" s="114">
        <f>'Jobs-Ops'!H338</f>
        <v/>
      </c>
      <c r="I338" s="105" t="n"/>
      <c r="J338" s="196">
        <f>F338</f>
        <v/>
      </c>
      <c r="K338" s="184" t="n"/>
      <c r="L338" s="185" t="n"/>
      <c r="M338" s="8" t="n"/>
      <c r="N338" s="71">
        <f>M338</f>
        <v/>
      </c>
      <c r="O338" s="71" t="n"/>
      <c r="P338" s="101" t="n"/>
      <c r="Q338" s="9">
        <f>J338-N338</f>
        <v/>
      </c>
      <c r="R338" s="9">
        <f>IF(LEFT(B338,4)&lt;&gt;"    ",0,BI338)</f>
        <v/>
      </c>
      <c r="S338" s="9">
        <f>+Q338-R338</f>
        <v/>
      </c>
      <c r="T338" s="200">
        <f>IF('Jobs-Ops'!S338&lt;&gt; "",'Jobs-Ops'!S338,"")</f>
        <v/>
      </c>
      <c r="U338" s="10" t="n"/>
      <c r="V338" s="23">
        <f>IF(LEFT(B338,4)&lt;&gt;"    ","",IF(N338&lt;&gt;0,X338/N338,0))</f>
        <v/>
      </c>
      <c r="W338" s="11">
        <f>IF(LEFT(B338,4)&lt;&gt;"    ","",IF(V338&gt;=0.1,V338*J338,X338))</f>
        <v/>
      </c>
      <c r="X338" s="8" t="n"/>
      <c r="Y338" s="9">
        <f>IF(LEFT(B338,4)&lt;&gt;"    ",0,IF(Q338&lt;0,Q338,IF(V338&gt;0.1,W338-X338,0)))</f>
        <v/>
      </c>
      <c r="Z338" s="9">
        <f>IF(LEFT(B338,4)&lt;&gt;"    ",0,IF(V338&gt;0.1,BI338,0))</f>
        <v/>
      </c>
      <c r="AA338" s="9">
        <f>Y338-Z338</f>
        <v/>
      </c>
      <c r="AB338" s="10" t="n"/>
      <c r="AC338" s="24" t="n"/>
      <c r="AD338" s="11" t="n"/>
      <c r="AE338" s="8" t="n"/>
      <c r="AF338" s="9">
        <f>IF(LEFT(B338,4)&lt;&gt;"    ","",AD338-AE338)</f>
        <v/>
      </c>
      <c r="AG338" s="10" t="n"/>
      <c r="AH338" s="11">
        <f>IF(LEFT(B338,4)&lt;&gt;"    ","",W338-AD338)</f>
        <v/>
      </c>
      <c r="AI338" s="8">
        <f>IF(LEFT(B338,4)&lt;&gt;"    ","",X338-AE338)</f>
        <v/>
      </c>
      <c r="AJ338" s="9">
        <f>IF(LEFT(B338,4)&lt;&gt;"    ","",Y338-AF338)</f>
        <v/>
      </c>
      <c r="AK338" s="10" t="n"/>
      <c r="AL338" s="25">
        <f>IF(LEFT(B338,4)&lt;&gt;"    ","",J338-W338)</f>
        <v/>
      </c>
      <c r="AM338" s="25">
        <f>N338-X338</f>
        <v/>
      </c>
      <c r="AN338" s="25">
        <f>IF(LEFT(B338,4)&lt;&gt;"    ","",Q338-Y338)</f>
        <v/>
      </c>
      <c r="AO338" s="10" t="n"/>
      <c r="AP338" s="12" t="n"/>
      <c r="AQ338" s="12">
        <f>IF(LEFT(B338,4)&lt;&gt;"    ","",IF(W338-AP338&gt;=0,W338-AP338," "))</f>
        <v/>
      </c>
      <c r="AR338" s="12">
        <f>IF(LEFT(B338,4)&lt;&gt;"    ","",IF(AP338-W338&gt;=0,AP338-W338," "))</f>
        <v/>
      </c>
      <c r="AS338" s="186" t="n"/>
      <c r="AT338" s="187" t="n"/>
      <c r="AU338" s="186" t="n"/>
      <c r="AV338" s="186" t="n"/>
      <c r="AW338" s="188" t="n"/>
      <c r="AX338" s="187" t="n"/>
      <c r="AY338" s="187" t="n"/>
      <c r="AZ338" s="186" t="n"/>
      <c r="BA338" s="186" t="n"/>
      <c r="BB338" s="186" t="n"/>
      <c r="BC338" s="186" t="n"/>
      <c r="BD338" s="186" t="n"/>
      <c r="BE338" s="186" t="n"/>
      <c r="BF338" s="186" t="n"/>
      <c r="BG338" s="186" t="n"/>
      <c r="BH338" s="186" t="n"/>
      <c r="BI338" s="186" t="n"/>
      <c r="BJ338" s="186" t="n"/>
      <c r="BK338" s="186" t="n"/>
      <c r="BL338" s="186" t="n"/>
      <c r="BM338" s="186" t="n"/>
      <c r="BN338" s="186" t="n"/>
      <c r="BO338" s="186" t="n"/>
      <c r="BP338" s="186" t="n"/>
      <c r="BQ338" s="186" t="n"/>
      <c r="BR338" s="186" t="n"/>
      <c r="BS338" s="186" t="n"/>
      <c r="BT338" s="186" t="n"/>
      <c r="BU338" s="186" t="n"/>
      <c r="BV338" s="190" t="n"/>
      <c r="BW338" s="186" t="n"/>
      <c r="BX338" s="186" t="n"/>
      <c r="BY338" s="186" t="n"/>
      <c r="BZ338" s="186" t="n"/>
      <c r="CA338" s="186" t="n"/>
      <c r="CB338" s="187" t="n"/>
      <c r="CC338" s="192" t="n"/>
      <c r="CD338" s="192" t="n"/>
      <c r="CE338" s="192" t="n"/>
      <c r="CF338" s="192" t="n"/>
    </row>
    <row r="339">
      <c r="A339" s="197" t="n"/>
      <c r="B339" s="198" t="n"/>
      <c r="C339" s="198" t="n"/>
      <c r="D339" s="179" t="n"/>
      <c r="E339" s="180" t="n"/>
      <c r="F339" s="181" t="n"/>
      <c r="G339" s="284">
        <f>'Jobs-Ops'!G339</f>
        <v/>
      </c>
      <c r="H339" s="114">
        <f>'Jobs-Ops'!H339</f>
        <v/>
      </c>
      <c r="I339" s="105" t="n"/>
      <c r="J339" s="196">
        <f>F339</f>
        <v/>
      </c>
      <c r="K339" s="184" t="n"/>
      <c r="L339" s="185" t="n"/>
      <c r="M339" s="8" t="n"/>
      <c r="N339" s="71">
        <f>M339</f>
        <v/>
      </c>
      <c r="O339" s="71" t="n"/>
      <c r="P339" s="101" t="n"/>
      <c r="Q339" s="9">
        <f>J339-N339</f>
        <v/>
      </c>
      <c r="R339" s="9">
        <f>IF(LEFT(B339,4)&lt;&gt;"    ",0,BI339)</f>
        <v/>
      </c>
      <c r="S339" s="9">
        <f>+Q339-R339</f>
        <v/>
      </c>
      <c r="T339" s="200">
        <f>IF('Jobs-Ops'!S339&lt;&gt; "",'Jobs-Ops'!S339,"")</f>
        <v/>
      </c>
      <c r="U339" s="10" t="n"/>
      <c r="V339" s="23">
        <f>IF(LEFT(B339,4)&lt;&gt;"    ","",IF(N339&lt;&gt;0,X339/N339,0))</f>
        <v/>
      </c>
      <c r="W339" s="11">
        <f>IF(LEFT(B339,4)&lt;&gt;"    ","",IF(V339&gt;=0.1,V339*J339,X339))</f>
        <v/>
      </c>
      <c r="X339" s="8" t="n"/>
      <c r="Y339" s="9">
        <f>IF(LEFT(B339,4)&lt;&gt;"    ",0,IF(Q339&lt;0,Q339,IF(V339&gt;0.1,W339-X339,0)))</f>
        <v/>
      </c>
      <c r="Z339" s="9">
        <f>IF(LEFT(B339,4)&lt;&gt;"    ",0,IF(V339&gt;0.1,BI339,0))</f>
        <v/>
      </c>
      <c r="AA339" s="9">
        <f>Y339-Z339</f>
        <v/>
      </c>
      <c r="AB339" s="10" t="n"/>
      <c r="AC339" s="24" t="n"/>
      <c r="AD339" s="11" t="n"/>
      <c r="AE339" s="8" t="n"/>
      <c r="AF339" s="9">
        <f>IF(LEFT(B339,4)&lt;&gt;"    ","",AD339-AE339)</f>
        <v/>
      </c>
      <c r="AG339" s="10" t="n"/>
      <c r="AH339" s="11">
        <f>IF(LEFT(B339,4)&lt;&gt;"    ","",W339-AD339)</f>
        <v/>
      </c>
      <c r="AI339" s="8">
        <f>IF(LEFT(B339,4)&lt;&gt;"    ","",X339-AE339)</f>
        <v/>
      </c>
      <c r="AJ339" s="9">
        <f>IF(LEFT(B339,4)&lt;&gt;"    ","",Y339-AF339)</f>
        <v/>
      </c>
      <c r="AK339" s="10" t="n"/>
      <c r="AL339" s="25">
        <f>IF(LEFT(B339,4)&lt;&gt;"    ","",J339-W339)</f>
        <v/>
      </c>
      <c r="AM339" s="25">
        <f>N339-X339</f>
        <v/>
      </c>
      <c r="AN339" s="25">
        <f>IF(LEFT(B339,4)&lt;&gt;"    ","",Q339-Y339)</f>
        <v/>
      </c>
      <c r="AO339" s="10" t="n"/>
      <c r="AP339" s="12" t="n"/>
      <c r="AQ339" s="12">
        <f>IF(LEFT(B339,4)&lt;&gt;"    ","",IF(W339-AP339&gt;=0,W339-AP339," "))</f>
        <v/>
      </c>
      <c r="AR339" s="12">
        <f>IF(LEFT(B339,4)&lt;&gt;"    ","",IF(AP339-W339&gt;=0,AP339-W339," "))</f>
        <v/>
      </c>
      <c r="AS339" s="186" t="n"/>
      <c r="AT339" s="187" t="n"/>
      <c r="AU339" s="186" t="n"/>
      <c r="AV339" s="186" t="n"/>
      <c r="AW339" s="188" t="n"/>
      <c r="AX339" s="187" t="n"/>
      <c r="AY339" s="187" t="n"/>
      <c r="AZ339" s="186" t="n"/>
      <c r="BA339" s="186" t="n"/>
      <c r="BB339" s="186" t="n"/>
      <c r="BC339" s="186" t="n"/>
      <c r="BD339" s="186" t="n"/>
      <c r="BE339" s="186" t="n"/>
      <c r="BF339" s="186" t="n"/>
      <c r="BG339" s="186" t="n"/>
      <c r="BH339" s="186" t="n"/>
      <c r="BI339" s="186" t="n"/>
      <c r="BJ339" s="186" t="n"/>
      <c r="BK339" s="186" t="n"/>
      <c r="BL339" s="186" t="n"/>
      <c r="BM339" s="186" t="n"/>
      <c r="BN339" s="186" t="n"/>
      <c r="BO339" s="186" t="n"/>
      <c r="BP339" s="186" t="n"/>
      <c r="BQ339" s="186" t="n"/>
      <c r="BR339" s="186" t="n"/>
      <c r="BS339" s="186" t="n"/>
      <c r="BT339" s="186" t="n"/>
      <c r="BU339" s="186" t="n"/>
      <c r="BV339" s="190" t="n"/>
      <c r="BW339" s="186" t="n"/>
      <c r="BX339" s="186" t="n"/>
      <c r="BY339" s="186" t="n"/>
      <c r="BZ339" s="186" t="n"/>
      <c r="CA339" s="186" t="n"/>
      <c r="CB339" s="187" t="n"/>
      <c r="CC339" s="192" t="n"/>
      <c r="CD339" s="192" t="n"/>
      <c r="CE339" s="192" t="n"/>
      <c r="CF339" s="192" t="n"/>
    </row>
    <row r="340">
      <c r="A340" s="197" t="n"/>
      <c r="B340" s="201" t="n"/>
      <c r="C340" s="198" t="n"/>
      <c r="D340" s="179" t="n"/>
      <c r="E340" s="180" t="n"/>
      <c r="F340" s="181" t="n"/>
      <c r="G340" s="284">
        <f>'Jobs-Ops'!G340</f>
        <v/>
      </c>
      <c r="H340" s="114">
        <f>'Jobs-Ops'!H340</f>
        <v/>
      </c>
      <c r="I340" s="105" t="n"/>
      <c r="J340" s="196">
        <f>F340</f>
        <v/>
      </c>
      <c r="K340" s="184" t="n"/>
      <c r="L340" s="185" t="n"/>
      <c r="M340" s="8" t="n"/>
      <c r="N340" s="71">
        <f>M340</f>
        <v/>
      </c>
      <c r="O340" s="71" t="n"/>
      <c r="P340" s="101" t="n"/>
      <c r="Q340" s="9">
        <f>J340-N340</f>
        <v/>
      </c>
      <c r="R340" s="9">
        <f>IF(LEFT(B340,4)&lt;&gt;"    ",0,BI340)</f>
        <v/>
      </c>
      <c r="S340" s="9">
        <f>+Q340-R340</f>
        <v/>
      </c>
      <c r="T340" s="200">
        <f>IF('Jobs-Ops'!S340&lt;&gt; "",'Jobs-Ops'!S340,"")</f>
        <v/>
      </c>
      <c r="U340" s="10" t="n"/>
      <c r="V340" s="23">
        <f>IF(LEFT(B340,4)&lt;&gt;"    ","",IF(N340&lt;&gt;0,X340/N340,0))</f>
        <v/>
      </c>
      <c r="W340" s="11">
        <f>IF(LEFT(B340,4)&lt;&gt;"    ","",IF(V340&gt;=0.1,V340*J340,X340))</f>
        <v/>
      </c>
      <c r="X340" s="8" t="n"/>
      <c r="Y340" s="9">
        <f>IF(LEFT(B340,4)&lt;&gt;"    ",0,IF(Q340&lt;0,Q340,IF(V340&gt;0.1,W340-X340,0)))</f>
        <v/>
      </c>
      <c r="Z340" s="9">
        <f>IF(LEFT(B340,4)&lt;&gt;"    ",0,IF(V340&gt;0.1,BI340,0))</f>
        <v/>
      </c>
      <c r="AA340" s="9">
        <f>Y340-Z340</f>
        <v/>
      </c>
      <c r="AB340" s="10" t="n"/>
      <c r="AC340" s="24" t="n"/>
      <c r="AD340" s="11" t="n"/>
      <c r="AE340" s="8" t="n"/>
      <c r="AF340" s="9">
        <f>IF(LEFT(B340,4)&lt;&gt;"    ","",AD340-AE340)</f>
        <v/>
      </c>
      <c r="AG340" s="10" t="n"/>
      <c r="AH340" s="11">
        <f>IF(LEFT(B340,4)&lt;&gt;"    ","",W340-AD340)</f>
        <v/>
      </c>
      <c r="AI340" s="8">
        <f>IF(LEFT(B340,4)&lt;&gt;"    ","",X340-AE340)</f>
        <v/>
      </c>
      <c r="AJ340" s="9">
        <f>IF(LEFT(B340,4)&lt;&gt;"    ","",Y340-AF340)</f>
        <v/>
      </c>
      <c r="AK340" s="10" t="n"/>
      <c r="AL340" s="25">
        <f>IF(LEFT(B340,4)&lt;&gt;"    ","",J340-W340)</f>
        <v/>
      </c>
      <c r="AM340" s="25">
        <f>N340-X340</f>
        <v/>
      </c>
      <c r="AN340" s="25">
        <f>IF(LEFT(B340,4)&lt;&gt;"    ","",Q340-Y340)</f>
        <v/>
      </c>
      <c r="AO340" s="10" t="n"/>
      <c r="AP340" s="12" t="n"/>
      <c r="AQ340" s="12">
        <f>IF(LEFT(B340,4)&lt;&gt;"    ","",IF(W340-AP340&gt;=0,W340-AP340," "))</f>
        <v/>
      </c>
      <c r="AR340" s="12">
        <f>IF(LEFT(B340,4)&lt;&gt;"    ","",IF(AP340-W340&gt;=0,AP340-W340," "))</f>
        <v/>
      </c>
      <c r="AS340" s="186" t="n"/>
      <c r="AT340" s="187" t="n"/>
      <c r="AU340" s="186" t="n"/>
      <c r="AV340" s="186" t="n"/>
      <c r="AW340" s="188" t="n"/>
      <c r="AX340" s="187" t="n"/>
      <c r="AY340" s="187" t="n"/>
      <c r="AZ340" s="186" t="n"/>
      <c r="BA340" s="186" t="n"/>
      <c r="BB340" s="186" t="n"/>
      <c r="BC340" s="186" t="n"/>
      <c r="BD340" s="186" t="n"/>
      <c r="BE340" s="186" t="n"/>
      <c r="BF340" s="186" t="n"/>
      <c r="BG340" s="186" t="n"/>
      <c r="BH340" s="186" t="n"/>
      <c r="BI340" s="186" t="n"/>
      <c r="BJ340" s="186" t="n"/>
      <c r="BK340" s="186" t="n"/>
      <c r="BL340" s="186" t="n"/>
      <c r="BM340" s="186" t="n"/>
      <c r="BN340" s="186" t="n"/>
      <c r="BO340" s="186" t="n"/>
      <c r="BP340" s="186" t="n"/>
      <c r="BQ340" s="186" t="n"/>
      <c r="BR340" s="186" t="n"/>
      <c r="BS340" s="186" t="n"/>
      <c r="BT340" s="186" t="n"/>
      <c r="BU340" s="186" t="n"/>
      <c r="BV340" s="190" t="n"/>
      <c r="BW340" s="186" t="n"/>
      <c r="BX340" s="186" t="n"/>
      <c r="BY340" s="186" t="n"/>
      <c r="BZ340" s="186" t="n"/>
      <c r="CA340" s="186" t="n"/>
      <c r="CB340" s="187" t="n"/>
      <c r="CC340" s="192" t="n"/>
      <c r="CD340" s="192" t="n"/>
      <c r="CE340" s="192" t="n"/>
      <c r="CF340" s="192" t="n"/>
    </row>
    <row r="341">
      <c r="A341" s="197" t="n"/>
      <c r="B341" s="201" t="n"/>
      <c r="C341" s="198" t="n"/>
      <c r="D341" s="179" t="n"/>
      <c r="E341" s="180" t="n"/>
      <c r="F341" s="181" t="n"/>
      <c r="G341" s="284">
        <f>'Jobs-Ops'!G341</f>
        <v/>
      </c>
      <c r="H341" s="114">
        <f>'Jobs-Ops'!H341</f>
        <v/>
      </c>
      <c r="I341" s="105" t="n"/>
      <c r="J341" s="196">
        <f>F341</f>
        <v/>
      </c>
      <c r="K341" s="184" t="n"/>
      <c r="L341" s="185" t="n"/>
      <c r="M341" s="8" t="n"/>
      <c r="N341" s="71">
        <f>M341</f>
        <v/>
      </c>
      <c r="O341" s="71" t="n"/>
      <c r="P341" s="101" t="n"/>
      <c r="Q341" s="9">
        <f>J341-N341</f>
        <v/>
      </c>
      <c r="R341" s="9">
        <f>IF(LEFT(B341,4)&lt;&gt;"    ",0,BI341)</f>
        <v/>
      </c>
      <c r="S341" s="9">
        <f>+Q341-R341</f>
        <v/>
      </c>
      <c r="T341" s="200">
        <f>IF('Jobs-Ops'!S341&lt;&gt; "",'Jobs-Ops'!S341,"")</f>
        <v/>
      </c>
      <c r="U341" s="10" t="n"/>
      <c r="V341" s="23">
        <f>IF(LEFT(B341,4)&lt;&gt;"    ","",IF(N341&lt;&gt;0,X341/N341,0))</f>
        <v/>
      </c>
      <c r="W341" s="11">
        <f>IF(LEFT(B341,4)&lt;&gt;"    ","",IF(V341&gt;=0.1,V341*J341,X341))</f>
        <v/>
      </c>
      <c r="X341" s="8" t="n"/>
      <c r="Y341" s="9">
        <f>IF(LEFT(B341,4)&lt;&gt;"    ",0,IF(Q341&lt;0,Q341,IF(V341&gt;0.1,W341-X341,0)))</f>
        <v/>
      </c>
      <c r="Z341" s="9">
        <f>IF(LEFT(B341,4)&lt;&gt;"    ",0,IF(V341&gt;0.1,BI341,0))</f>
        <v/>
      </c>
      <c r="AA341" s="9">
        <f>Y341-Z341</f>
        <v/>
      </c>
      <c r="AB341" s="10" t="n"/>
      <c r="AC341" s="24" t="n"/>
      <c r="AD341" s="11" t="n"/>
      <c r="AE341" s="8" t="n"/>
      <c r="AF341" s="9">
        <f>IF(LEFT(B341,4)&lt;&gt;"    ","",AD341-AE341)</f>
        <v/>
      </c>
      <c r="AG341" s="10" t="n"/>
      <c r="AH341" s="11">
        <f>IF(LEFT(B341,4)&lt;&gt;"    ","",W341-AD341)</f>
        <v/>
      </c>
      <c r="AI341" s="8">
        <f>IF(LEFT(B341,4)&lt;&gt;"    ","",X341-AE341)</f>
        <v/>
      </c>
      <c r="AJ341" s="9">
        <f>IF(LEFT(B341,4)&lt;&gt;"    ","",Y341-AF341)</f>
        <v/>
      </c>
      <c r="AK341" s="10" t="n"/>
      <c r="AL341" s="25">
        <f>IF(LEFT(B341,4)&lt;&gt;"    ","",J341-W341)</f>
        <v/>
      </c>
      <c r="AM341" s="25">
        <f>N341-X341</f>
        <v/>
      </c>
      <c r="AN341" s="25">
        <f>IF(LEFT(B341,4)&lt;&gt;"    ","",Q341-Y341)</f>
        <v/>
      </c>
      <c r="AO341" s="10" t="n"/>
      <c r="AP341" s="12" t="n"/>
      <c r="AQ341" s="12">
        <f>IF(LEFT(B341,4)&lt;&gt;"    ","",IF(W341-AP341&gt;=0,W341-AP341," "))</f>
        <v/>
      </c>
      <c r="AR341" s="12">
        <f>IF(LEFT(B341,4)&lt;&gt;"    ","",IF(AP341-W341&gt;=0,AP341-W341," "))</f>
        <v/>
      </c>
      <c r="AS341" s="186" t="n"/>
      <c r="AT341" s="187" t="n"/>
      <c r="AU341" s="186" t="n"/>
      <c r="AV341" s="186" t="n"/>
      <c r="AW341" s="188" t="n"/>
      <c r="AX341" s="187" t="n"/>
      <c r="AY341" s="187" t="n"/>
      <c r="AZ341" s="186" t="n"/>
      <c r="BA341" s="186" t="n"/>
      <c r="BB341" s="186" t="n"/>
      <c r="BC341" s="186" t="n"/>
      <c r="BD341" s="186" t="n"/>
      <c r="BE341" s="186" t="n"/>
      <c r="BF341" s="186" t="n"/>
      <c r="BG341" s="186" t="n"/>
      <c r="BH341" s="186" t="n"/>
      <c r="BI341" s="186" t="n"/>
      <c r="BJ341" s="186" t="n"/>
      <c r="BK341" s="186" t="n"/>
      <c r="BL341" s="186" t="n"/>
      <c r="BM341" s="186" t="n"/>
      <c r="BN341" s="186" t="n"/>
      <c r="BO341" s="186" t="n"/>
      <c r="BP341" s="186" t="n"/>
      <c r="BQ341" s="186" t="n"/>
      <c r="BR341" s="186" t="n"/>
      <c r="BS341" s="186" t="n"/>
      <c r="BT341" s="186" t="n"/>
      <c r="BU341" s="186" t="n"/>
      <c r="BV341" s="190" t="n"/>
      <c r="BW341" s="186" t="n"/>
      <c r="BX341" s="186" t="n"/>
      <c r="BY341" s="186" t="n"/>
      <c r="BZ341" s="186" t="n"/>
      <c r="CA341" s="186" t="n"/>
      <c r="CB341" s="187" t="n"/>
      <c r="CC341" s="192" t="n"/>
      <c r="CD341" s="192" t="n"/>
      <c r="CE341" s="192" t="n"/>
      <c r="CF341" s="192" t="n"/>
    </row>
    <row r="342">
      <c r="A342" s="197" t="n"/>
      <c r="B342" s="201" t="n"/>
      <c r="C342" s="198" t="n"/>
      <c r="D342" s="179" t="n"/>
      <c r="E342" s="180" t="n"/>
      <c r="F342" s="181" t="n"/>
      <c r="G342" s="284">
        <f>'Jobs-Ops'!G342</f>
        <v/>
      </c>
      <c r="H342" s="114">
        <f>'Jobs-Ops'!H342</f>
        <v/>
      </c>
      <c r="I342" s="105" t="n"/>
      <c r="J342" s="196">
        <f>F342</f>
        <v/>
      </c>
      <c r="K342" s="184" t="n"/>
      <c r="L342" s="185" t="n"/>
      <c r="M342" s="8" t="n"/>
      <c r="N342" s="71">
        <f>M342</f>
        <v/>
      </c>
      <c r="O342" s="71" t="n"/>
      <c r="P342" s="101" t="n"/>
      <c r="Q342" s="9">
        <f>J342-N342</f>
        <v/>
      </c>
      <c r="R342" s="9">
        <f>IF(LEFT(B342,4)&lt;&gt;"    ",0,BI342)</f>
        <v/>
      </c>
      <c r="S342" s="9">
        <f>+Q342-R342</f>
        <v/>
      </c>
      <c r="T342" s="200">
        <f>IF('Jobs-Ops'!S342&lt;&gt; "",'Jobs-Ops'!S342,"")</f>
        <v/>
      </c>
      <c r="U342" s="10" t="n"/>
      <c r="V342" s="23">
        <f>IF(LEFT(B342,4)&lt;&gt;"    ","",IF(N342&lt;&gt;0,X342/N342,0))</f>
        <v/>
      </c>
      <c r="W342" s="11">
        <f>IF(LEFT(B342,4)&lt;&gt;"    ","",IF(V342&gt;=0.1,V342*J342,X342))</f>
        <v/>
      </c>
      <c r="X342" s="8" t="n"/>
      <c r="Y342" s="9">
        <f>IF(LEFT(B342,4)&lt;&gt;"    ",0,IF(Q342&lt;0,Q342,IF(V342&gt;0.1,W342-X342,0)))</f>
        <v/>
      </c>
      <c r="Z342" s="9">
        <f>IF(LEFT(B342,4)&lt;&gt;"    ",0,IF(V342&gt;0.1,BI342,0))</f>
        <v/>
      </c>
      <c r="AA342" s="9">
        <f>Y342-Z342</f>
        <v/>
      </c>
      <c r="AB342" s="10" t="n"/>
      <c r="AC342" s="24" t="n"/>
      <c r="AD342" s="11" t="n"/>
      <c r="AE342" s="8" t="n"/>
      <c r="AF342" s="9">
        <f>IF(LEFT(B342,4)&lt;&gt;"    ","",AD342-AE342)</f>
        <v/>
      </c>
      <c r="AG342" s="10" t="n"/>
      <c r="AH342" s="11">
        <f>IF(LEFT(B342,4)&lt;&gt;"    ","",W342-AD342)</f>
        <v/>
      </c>
      <c r="AI342" s="8">
        <f>IF(LEFT(B342,4)&lt;&gt;"    ","",X342-AE342)</f>
        <v/>
      </c>
      <c r="AJ342" s="9">
        <f>IF(LEFT(B342,4)&lt;&gt;"    ","",Y342-AF342)</f>
        <v/>
      </c>
      <c r="AK342" s="10" t="n"/>
      <c r="AL342" s="25">
        <f>IF(LEFT(B342,4)&lt;&gt;"    ","",J342-W342)</f>
        <v/>
      </c>
      <c r="AM342" s="25">
        <f>N342-X342</f>
        <v/>
      </c>
      <c r="AN342" s="25">
        <f>IF(LEFT(B342,4)&lt;&gt;"    ","",Q342-Y342)</f>
        <v/>
      </c>
      <c r="AO342" s="10" t="n"/>
      <c r="AP342" s="12" t="n"/>
      <c r="AQ342" s="12">
        <f>IF(LEFT(B342,4)&lt;&gt;"    ","",IF(W342-AP342&gt;=0,W342-AP342," "))</f>
        <v/>
      </c>
      <c r="AR342" s="12">
        <f>IF(LEFT(B342,4)&lt;&gt;"    ","",IF(AP342-W342&gt;=0,AP342-W342," "))</f>
        <v/>
      </c>
      <c r="AS342" s="186" t="n"/>
      <c r="AT342" s="187" t="n"/>
      <c r="AU342" s="186" t="n"/>
      <c r="AV342" s="186" t="n"/>
      <c r="AW342" s="188" t="n"/>
      <c r="AX342" s="187" t="n"/>
      <c r="AY342" s="187" t="n"/>
      <c r="AZ342" s="186" t="n"/>
      <c r="BA342" s="186" t="n"/>
      <c r="BB342" s="186" t="n"/>
      <c r="BC342" s="186" t="n"/>
      <c r="BD342" s="186" t="n"/>
      <c r="BE342" s="186" t="n"/>
      <c r="BF342" s="186" t="n"/>
      <c r="BG342" s="186" t="n"/>
      <c r="BH342" s="186" t="n"/>
      <c r="BI342" s="186" t="n"/>
      <c r="BJ342" s="186" t="n"/>
      <c r="BK342" s="186" t="n"/>
      <c r="BL342" s="186" t="n"/>
      <c r="BM342" s="186" t="n"/>
      <c r="BN342" s="186" t="n"/>
      <c r="BO342" s="186" t="n"/>
      <c r="BP342" s="186" t="n"/>
      <c r="BQ342" s="186" t="n"/>
      <c r="BR342" s="186" t="n"/>
      <c r="BS342" s="186" t="n"/>
      <c r="BT342" s="186" t="n"/>
      <c r="BU342" s="186" t="n"/>
      <c r="BV342" s="190" t="n"/>
      <c r="BW342" s="186" t="n"/>
      <c r="BX342" s="186" t="n"/>
      <c r="BY342" s="186" t="n"/>
      <c r="BZ342" s="186" t="n"/>
      <c r="CA342" s="186" t="n"/>
      <c r="CB342" s="187" t="n"/>
      <c r="CC342" s="192" t="n"/>
      <c r="CD342" s="192" t="n"/>
      <c r="CE342" s="192" t="n"/>
      <c r="CF342" s="192" t="n"/>
    </row>
    <row r="343">
      <c r="A343" s="197" t="n"/>
      <c r="B343" s="198" t="n"/>
      <c r="C343" s="198" t="n"/>
      <c r="D343" s="179" t="n"/>
      <c r="E343" s="180" t="n"/>
      <c r="F343" s="181" t="n"/>
      <c r="G343" s="284">
        <f>'Jobs-Ops'!G343</f>
        <v/>
      </c>
      <c r="H343" s="114">
        <f>'Jobs-Ops'!H343</f>
        <v/>
      </c>
      <c r="I343" s="105" t="n"/>
      <c r="J343" s="196">
        <f>F343</f>
        <v/>
      </c>
      <c r="K343" s="184" t="n"/>
      <c r="L343" s="185" t="n"/>
      <c r="M343" s="8" t="n"/>
      <c r="N343" s="71">
        <f>M343</f>
        <v/>
      </c>
      <c r="O343" s="71" t="n"/>
      <c r="P343" s="101" t="n"/>
      <c r="Q343" s="9">
        <f>J343-N343</f>
        <v/>
      </c>
      <c r="R343" s="9">
        <f>IF(LEFT(B343,4)&lt;&gt;"    ",0,BI343)</f>
        <v/>
      </c>
      <c r="S343" s="9">
        <f>+Q343-R343</f>
        <v/>
      </c>
      <c r="T343" s="200">
        <f>IF('Jobs-Ops'!S343&lt;&gt; "",'Jobs-Ops'!S343,"")</f>
        <v/>
      </c>
      <c r="U343" s="10" t="n"/>
      <c r="V343" s="23">
        <f>IF(LEFT(B343,4)&lt;&gt;"    ","",IF(N343&lt;&gt;0,X343/N343,0))</f>
        <v/>
      </c>
      <c r="W343" s="11">
        <f>IF(LEFT(B343,4)&lt;&gt;"    ","",IF(V343&gt;=0.1,V343*J343,X343))</f>
        <v/>
      </c>
      <c r="X343" s="8" t="n"/>
      <c r="Y343" s="9">
        <f>IF(LEFT(B343,4)&lt;&gt;"    ",0,IF(Q343&lt;0,Q343,IF(V343&gt;0.1,W343-X343,0)))</f>
        <v/>
      </c>
      <c r="Z343" s="9">
        <f>IF(LEFT(B343,4)&lt;&gt;"    ",0,IF(V343&gt;0.1,BI343,0))</f>
        <v/>
      </c>
      <c r="AA343" s="9">
        <f>Y343-Z343</f>
        <v/>
      </c>
      <c r="AB343" s="10" t="n"/>
      <c r="AC343" s="24" t="n"/>
      <c r="AD343" s="11" t="n"/>
      <c r="AE343" s="8" t="n"/>
      <c r="AF343" s="9">
        <f>IF(LEFT(B343,4)&lt;&gt;"    ","",AD343-AE343)</f>
        <v/>
      </c>
      <c r="AG343" s="10" t="n"/>
      <c r="AH343" s="11">
        <f>IF(LEFT(B343,4)&lt;&gt;"    ","",W343-AD343)</f>
        <v/>
      </c>
      <c r="AI343" s="8">
        <f>IF(LEFT(B343,4)&lt;&gt;"    ","",X343-AE343)</f>
        <v/>
      </c>
      <c r="AJ343" s="9">
        <f>IF(LEFT(B343,4)&lt;&gt;"    ","",Y343-AF343)</f>
        <v/>
      </c>
      <c r="AK343" s="10" t="n"/>
      <c r="AL343" s="25">
        <f>IF(LEFT(B343,4)&lt;&gt;"    ","",J343-W343)</f>
        <v/>
      </c>
      <c r="AM343" s="25">
        <f>N343-X343</f>
        <v/>
      </c>
      <c r="AN343" s="25">
        <f>IF(LEFT(B343,4)&lt;&gt;"    ","",Q343-Y343)</f>
        <v/>
      </c>
      <c r="AO343" s="10" t="n"/>
      <c r="AP343" s="12" t="n"/>
      <c r="AQ343" s="12">
        <f>IF(LEFT(B343,4)&lt;&gt;"    ","",IF(W343-AP343&gt;=0,W343-AP343," "))</f>
        <v/>
      </c>
      <c r="AR343" s="12">
        <f>IF(LEFT(B343,4)&lt;&gt;"    ","",IF(AP343-W343&gt;=0,AP343-W343," "))</f>
        <v/>
      </c>
      <c r="AS343" s="186" t="n"/>
      <c r="AT343" s="187" t="n"/>
      <c r="AU343" s="186" t="n"/>
      <c r="AV343" s="186" t="n"/>
      <c r="AW343" s="188" t="n"/>
      <c r="AX343" s="187" t="n"/>
      <c r="AY343" s="187" t="n"/>
      <c r="AZ343" s="186" t="n"/>
      <c r="BA343" s="186" t="n"/>
      <c r="BB343" s="186" t="n"/>
      <c r="BC343" s="186" t="n"/>
      <c r="BD343" s="186" t="n"/>
      <c r="BE343" s="186" t="n"/>
      <c r="BF343" s="186" t="n"/>
      <c r="BG343" s="186" t="n"/>
      <c r="BH343" s="186" t="n"/>
      <c r="BI343" s="186" t="n"/>
      <c r="BJ343" s="186" t="n"/>
      <c r="BK343" s="186" t="n"/>
      <c r="BL343" s="186" t="n"/>
      <c r="BM343" s="186" t="n"/>
      <c r="BN343" s="186" t="n"/>
      <c r="BO343" s="186" t="n"/>
      <c r="BP343" s="186" t="n"/>
      <c r="BQ343" s="186" t="n"/>
      <c r="BR343" s="186" t="n"/>
      <c r="BS343" s="186" t="n"/>
      <c r="BT343" s="186" t="n"/>
      <c r="BU343" s="186" t="n"/>
      <c r="BV343" s="190" t="n"/>
      <c r="BW343" s="186" t="n"/>
      <c r="BX343" s="186" t="n"/>
      <c r="BY343" s="186" t="n"/>
      <c r="BZ343" s="186" t="n"/>
      <c r="CA343" s="186" t="n"/>
      <c r="CB343" s="187" t="n"/>
      <c r="CC343" s="192" t="n"/>
      <c r="CD343" s="192" t="n"/>
      <c r="CE343" s="192" t="n"/>
      <c r="CF343" s="192" t="n"/>
    </row>
    <row r="344">
      <c r="A344" s="197" t="n"/>
      <c r="B344" s="198" t="n"/>
      <c r="C344" s="198" t="n"/>
      <c r="D344" s="179" t="n"/>
      <c r="E344" s="180" t="n"/>
      <c r="F344" s="181" t="n"/>
      <c r="G344" s="284">
        <f>'Jobs-Ops'!G344</f>
        <v/>
      </c>
      <c r="H344" s="114">
        <f>'Jobs-Ops'!H344</f>
        <v/>
      </c>
      <c r="I344" s="105" t="n"/>
      <c r="J344" s="196">
        <f>F344</f>
        <v/>
      </c>
      <c r="K344" s="184" t="n"/>
      <c r="L344" s="185" t="n"/>
      <c r="M344" s="8" t="n"/>
      <c r="N344" s="71">
        <f>M344</f>
        <v/>
      </c>
      <c r="O344" s="71" t="n"/>
      <c r="P344" s="101" t="n"/>
      <c r="Q344" s="9">
        <f>J344-N344</f>
        <v/>
      </c>
      <c r="R344" s="9">
        <f>IF(LEFT(B344,4)&lt;&gt;"    ",0,BI344)</f>
        <v/>
      </c>
      <c r="S344" s="9">
        <f>+Q344-R344</f>
        <v/>
      </c>
      <c r="T344" s="200">
        <f>IF('Jobs-Ops'!S344&lt;&gt; "",'Jobs-Ops'!S344,"")</f>
        <v/>
      </c>
      <c r="U344" s="10" t="n"/>
      <c r="V344" s="23">
        <f>IF(LEFT(B344,4)&lt;&gt;"    ","",IF(N344&lt;&gt;0,X344/N344,0))</f>
        <v/>
      </c>
      <c r="W344" s="11">
        <f>IF(LEFT(B344,4)&lt;&gt;"    ","",IF(V344&gt;=0.1,V344*J344,X344))</f>
        <v/>
      </c>
      <c r="X344" s="8" t="n"/>
      <c r="Y344" s="9">
        <f>IF(LEFT(B344,4)&lt;&gt;"    ",0,IF(Q344&lt;0,Q344,IF(V344&gt;0.1,W344-X344,0)))</f>
        <v/>
      </c>
      <c r="Z344" s="9">
        <f>IF(LEFT(B344,4)&lt;&gt;"    ",0,IF(V344&gt;0.1,BI344,0))</f>
        <v/>
      </c>
      <c r="AA344" s="9">
        <f>Y344-Z344</f>
        <v/>
      </c>
      <c r="AB344" s="10" t="n"/>
      <c r="AC344" s="24" t="n"/>
      <c r="AD344" s="11" t="n"/>
      <c r="AE344" s="8" t="n"/>
      <c r="AF344" s="9">
        <f>IF(LEFT(B344,4)&lt;&gt;"    ","",AD344-AE344)</f>
        <v/>
      </c>
      <c r="AG344" s="10" t="n"/>
      <c r="AH344" s="11">
        <f>IF(LEFT(B344,4)&lt;&gt;"    ","",W344-AD344)</f>
        <v/>
      </c>
      <c r="AI344" s="8">
        <f>IF(LEFT(B344,4)&lt;&gt;"    ","",X344-AE344)</f>
        <v/>
      </c>
      <c r="AJ344" s="9">
        <f>IF(LEFT(B344,4)&lt;&gt;"    ","",Y344-AF344)</f>
        <v/>
      </c>
      <c r="AK344" s="10" t="n"/>
      <c r="AL344" s="25">
        <f>IF(LEFT(B344,4)&lt;&gt;"    ","",J344-W344)</f>
        <v/>
      </c>
      <c r="AM344" s="25">
        <f>N344-X344</f>
        <v/>
      </c>
      <c r="AN344" s="25">
        <f>IF(LEFT(B344,4)&lt;&gt;"    ","",Q344-Y344)</f>
        <v/>
      </c>
      <c r="AO344" s="10" t="n"/>
      <c r="AP344" s="12" t="n"/>
      <c r="AQ344" s="12">
        <f>IF(LEFT(B344,4)&lt;&gt;"    ","",IF(W344-AP344&gt;=0,W344-AP344," "))</f>
        <v/>
      </c>
      <c r="AR344" s="12">
        <f>IF(LEFT(B344,4)&lt;&gt;"    ","",IF(AP344-W344&gt;=0,AP344-W344," "))</f>
        <v/>
      </c>
      <c r="AS344" s="186" t="n"/>
      <c r="AT344" s="187" t="n"/>
      <c r="AU344" s="186" t="n"/>
      <c r="AV344" s="186" t="n"/>
      <c r="AW344" s="188" t="n"/>
      <c r="AX344" s="187" t="n"/>
      <c r="AY344" s="187" t="n"/>
      <c r="AZ344" s="186" t="n"/>
      <c r="BA344" s="186" t="n"/>
      <c r="BB344" s="186" t="n"/>
      <c r="BC344" s="186" t="n"/>
      <c r="BD344" s="186" t="n"/>
      <c r="BE344" s="186" t="n"/>
      <c r="BF344" s="186" t="n"/>
      <c r="BG344" s="186" t="n"/>
      <c r="BH344" s="186" t="n"/>
      <c r="BI344" s="186" t="n"/>
      <c r="BJ344" s="186" t="n"/>
      <c r="BK344" s="186" t="n"/>
      <c r="BL344" s="186" t="n"/>
      <c r="BM344" s="186" t="n"/>
      <c r="BN344" s="186" t="n"/>
      <c r="BO344" s="186" t="n"/>
      <c r="BP344" s="186" t="n"/>
      <c r="BQ344" s="186" t="n"/>
      <c r="BR344" s="186" t="n"/>
      <c r="BS344" s="186" t="n"/>
      <c r="BT344" s="186" t="n"/>
      <c r="BU344" s="186" t="n"/>
      <c r="BV344" s="190" t="n"/>
      <c r="BW344" s="186" t="n"/>
      <c r="BX344" s="186" t="n"/>
      <c r="BY344" s="186" t="n"/>
      <c r="BZ344" s="186" t="n"/>
      <c r="CA344" s="186" t="n"/>
      <c r="CB344" s="187" t="n"/>
      <c r="CC344" s="192" t="n"/>
      <c r="CD344" s="192" t="n"/>
      <c r="CE344" s="192" t="n"/>
      <c r="CF344" s="192" t="n"/>
    </row>
    <row r="345">
      <c r="A345" s="197" t="n"/>
      <c r="B345" s="198" t="n"/>
      <c r="C345" s="198" t="n"/>
      <c r="D345" s="179" t="n"/>
      <c r="E345" s="180" t="n"/>
      <c r="F345" s="181" t="n"/>
      <c r="G345" s="284">
        <f>'Jobs-Ops'!G345</f>
        <v/>
      </c>
      <c r="H345" s="114">
        <f>'Jobs-Ops'!H345</f>
        <v/>
      </c>
      <c r="I345" s="105" t="n"/>
      <c r="J345" s="196">
        <f>F345</f>
        <v/>
      </c>
      <c r="K345" s="184" t="n"/>
      <c r="L345" s="185" t="n"/>
      <c r="M345" s="8" t="n"/>
      <c r="N345" s="71">
        <f>M345</f>
        <v/>
      </c>
      <c r="O345" s="71" t="n"/>
      <c r="P345" s="101" t="n"/>
      <c r="Q345" s="9">
        <f>J345-N345</f>
        <v/>
      </c>
      <c r="R345" s="9">
        <f>IF(LEFT(B345,4)&lt;&gt;"    ",0,BI345)</f>
        <v/>
      </c>
      <c r="S345" s="9">
        <f>+Q345-R345</f>
        <v/>
      </c>
      <c r="T345" s="200">
        <f>IF('Jobs-Ops'!S345&lt;&gt; "",'Jobs-Ops'!S345,"")</f>
        <v/>
      </c>
      <c r="U345" s="10" t="n"/>
      <c r="V345" s="23">
        <f>IF(LEFT(B345,4)&lt;&gt;"    ","",IF(N345&lt;&gt;0,X345/N345,0))</f>
        <v/>
      </c>
      <c r="W345" s="11">
        <f>IF(LEFT(B345,4)&lt;&gt;"    ","",IF(V345&gt;=0.1,V345*J345,X345))</f>
        <v/>
      </c>
      <c r="X345" s="8" t="n"/>
      <c r="Y345" s="9">
        <f>IF(LEFT(B345,4)&lt;&gt;"    ",0,IF(Q345&lt;0,Q345,IF(V345&gt;0.1,W345-X345,0)))</f>
        <v/>
      </c>
      <c r="Z345" s="9">
        <f>IF(LEFT(B345,4)&lt;&gt;"    ",0,IF(V345&gt;0.1,BI345,0))</f>
        <v/>
      </c>
      <c r="AA345" s="9">
        <f>Y345-Z345</f>
        <v/>
      </c>
      <c r="AB345" s="10" t="n"/>
      <c r="AC345" s="24" t="n"/>
      <c r="AD345" s="11" t="n"/>
      <c r="AE345" s="8" t="n"/>
      <c r="AF345" s="9">
        <f>IF(LEFT(B345,4)&lt;&gt;"    ","",AD345-AE345)</f>
        <v/>
      </c>
      <c r="AG345" s="10" t="n"/>
      <c r="AH345" s="11">
        <f>IF(LEFT(B345,4)&lt;&gt;"    ","",W345-AD345)</f>
        <v/>
      </c>
      <c r="AI345" s="8">
        <f>IF(LEFT(B345,4)&lt;&gt;"    ","",X345-AE345)</f>
        <v/>
      </c>
      <c r="AJ345" s="9">
        <f>IF(LEFT(B345,4)&lt;&gt;"    ","",Y345-AF345)</f>
        <v/>
      </c>
      <c r="AK345" s="10" t="n"/>
      <c r="AL345" s="25">
        <f>IF(LEFT(B345,4)&lt;&gt;"    ","",J345-W345)</f>
        <v/>
      </c>
      <c r="AM345" s="25">
        <f>N345-X345</f>
        <v/>
      </c>
      <c r="AN345" s="25">
        <f>IF(LEFT(B345,4)&lt;&gt;"    ","",Q345-Y345)</f>
        <v/>
      </c>
      <c r="AO345" s="10" t="n"/>
      <c r="AP345" s="12" t="n"/>
      <c r="AQ345" s="12">
        <f>IF(LEFT(B345,4)&lt;&gt;"    ","",IF(W345-AP345&gt;=0,W345-AP345," "))</f>
        <v/>
      </c>
      <c r="AR345" s="12">
        <f>IF(LEFT(B345,4)&lt;&gt;"    ","",IF(AP345-W345&gt;=0,AP345-W345," "))</f>
        <v/>
      </c>
      <c r="AS345" s="186" t="n"/>
      <c r="AT345" s="187" t="n"/>
      <c r="AU345" s="186" t="n"/>
      <c r="AV345" s="186" t="n"/>
      <c r="AW345" s="188" t="n"/>
      <c r="AX345" s="187" t="n"/>
      <c r="AY345" s="187" t="n"/>
      <c r="AZ345" s="186" t="n"/>
      <c r="BA345" s="186" t="n"/>
      <c r="BB345" s="186" t="n"/>
      <c r="BC345" s="186" t="n"/>
      <c r="BD345" s="186" t="n"/>
      <c r="BE345" s="186" t="n"/>
      <c r="BF345" s="186" t="n"/>
      <c r="BG345" s="186" t="n"/>
      <c r="BH345" s="186" t="n"/>
      <c r="BI345" s="186" t="n"/>
      <c r="BJ345" s="186" t="n"/>
      <c r="BK345" s="186" t="n"/>
      <c r="BL345" s="186" t="n"/>
      <c r="BM345" s="186" t="n"/>
      <c r="BN345" s="186" t="n"/>
      <c r="BO345" s="186" t="n"/>
      <c r="BP345" s="186" t="n"/>
      <c r="BQ345" s="186" t="n"/>
      <c r="BR345" s="186" t="n"/>
      <c r="BS345" s="186" t="n"/>
      <c r="BT345" s="186" t="n"/>
      <c r="BU345" s="186" t="n"/>
      <c r="BV345" s="190" t="n"/>
      <c r="BW345" s="186" t="n"/>
      <c r="BX345" s="186" t="n"/>
      <c r="BY345" s="186" t="n"/>
      <c r="BZ345" s="186" t="n"/>
      <c r="CA345" s="186" t="n"/>
      <c r="CB345" s="187" t="n"/>
      <c r="CC345" s="192" t="n"/>
      <c r="CD345" s="192" t="n"/>
      <c r="CE345" s="192" t="n"/>
      <c r="CF345" s="192" t="n"/>
    </row>
    <row r="346">
      <c r="A346" s="197" t="n"/>
      <c r="B346" s="198" t="n"/>
      <c r="C346" s="198" t="n"/>
      <c r="D346" s="179" t="n"/>
      <c r="E346" s="180" t="n"/>
      <c r="F346" s="181" t="n"/>
      <c r="G346" s="284">
        <f>'Jobs-Ops'!G346</f>
        <v/>
      </c>
      <c r="H346" s="114">
        <f>'Jobs-Ops'!H346</f>
        <v/>
      </c>
      <c r="I346" s="105" t="n"/>
      <c r="J346" s="196">
        <f>F346</f>
        <v/>
      </c>
      <c r="K346" s="184" t="n"/>
      <c r="L346" s="185" t="n"/>
      <c r="M346" s="8" t="n"/>
      <c r="N346" s="71">
        <f>M346</f>
        <v/>
      </c>
      <c r="O346" s="71" t="n"/>
      <c r="P346" s="101" t="n"/>
      <c r="Q346" s="9">
        <f>J346-N346</f>
        <v/>
      </c>
      <c r="R346" s="9">
        <f>IF(LEFT(B346,4)&lt;&gt;"    ",0,BI346)</f>
        <v/>
      </c>
      <c r="S346" s="9">
        <f>+Q346-R346</f>
        <v/>
      </c>
      <c r="T346" s="200">
        <f>IF('Jobs-Ops'!S346&lt;&gt; "",'Jobs-Ops'!S346,"")</f>
        <v/>
      </c>
      <c r="U346" s="10" t="n"/>
      <c r="V346" s="23">
        <f>IF(LEFT(B346,4)&lt;&gt;"    ","",IF(N346&lt;&gt;0,X346/N346,0))</f>
        <v/>
      </c>
      <c r="W346" s="11">
        <f>IF(LEFT(B346,4)&lt;&gt;"    ","",IF(V346&gt;=0.1,V346*J346,X346))</f>
        <v/>
      </c>
      <c r="X346" s="8" t="n"/>
      <c r="Y346" s="9">
        <f>IF(LEFT(B346,4)&lt;&gt;"    ",0,IF(Q346&lt;0,Q346,IF(V346&gt;0.1,W346-X346,0)))</f>
        <v/>
      </c>
      <c r="Z346" s="9">
        <f>IF(LEFT(B346,4)&lt;&gt;"    ",0,IF(V346&gt;0.1,BI346,0))</f>
        <v/>
      </c>
      <c r="AA346" s="9">
        <f>Y346-Z346</f>
        <v/>
      </c>
      <c r="AB346" s="10" t="n"/>
      <c r="AC346" s="24" t="n"/>
      <c r="AD346" s="11" t="n"/>
      <c r="AE346" s="8" t="n"/>
      <c r="AF346" s="9">
        <f>IF(LEFT(B346,4)&lt;&gt;"    ","",AD346-AE346)</f>
        <v/>
      </c>
      <c r="AG346" s="10" t="n"/>
      <c r="AH346" s="11">
        <f>IF(LEFT(B346,4)&lt;&gt;"    ","",W346-AD346)</f>
        <v/>
      </c>
      <c r="AI346" s="8">
        <f>IF(LEFT(B346,4)&lt;&gt;"    ","",X346-AE346)</f>
        <v/>
      </c>
      <c r="AJ346" s="9">
        <f>IF(LEFT(B346,4)&lt;&gt;"    ","",Y346-AF346)</f>
        <v/>
      </c>
      <c r="AK346" s="10" t="n"/>
      <c r="AL346" s="25">
        <f>IF(LEFT(B346,4)&lt;&gt;"    ","",J346-W346)</f>
        <v/>
      </c>
      <c r="AM346" s="25">
        <f>N346-X346</f>
        <v/>
      </c>
      <c r="AN346" s="25">
        <f>IF(LEFT(B346,4)&lt;&gt;"    ","",Q346-Y346)</f>
        <v/>
      </c>
      <c r="AO346" s="10" t="n"/>
      <c r="AP346" s="12" t="n"/>
      <c r="AQ346" s="12">
        <f>IF(LEFT(B346,4)&lt;&gt;"    ","",IF(W346-AP346&gt;=0,W346-AP346," "))</f>
        <v/>
      </c>
      <c r="AR346" s="12">
        <f>IF(LEFT(B346,4)&lt;&gt;"    ","",IF(AP346-W346&gt;=0,AP346-W346," "))</f>
        <v/>
      </c>
      <c r="AS346" s="186" t="n"/>
      <c r="AT346" s="187" t="n"/>
      <c r="AU346" s="186" t="n"/>
      <c r="AV346" s="186" t="n"/>
      <c r="AW346" s="188" t="n"/>
      <c r="AX346" s="187" t="n"/>
      <c r="AY346" s="187" t="n"/>
      <c r="AZ346" s="186" t="n"/>
      <c r="BA346" s="186" t="n"/>
      <c r="BB346" s="186" t="n"/>
      <c r="BC346" s="186" t="n"/>
      <c r="BD346" s="186" t="n"/>
      <c r="BE346" s="186" t="n"/>
      <c r="BF346" s="186" t="n"/>
      <c r="BG346" s="186" t="n"/>
      <c r="BH346" s="186" t="n"/>
      <c r="BI346" s="186" t="n"/>
      <c r="BJ346" s="186" t="n"/>
      <c r="BK346" s="186" t="n"/>
      <c r="BL346" s="186" t="n"/>
      <c r="BM346" s="186" t="n"/>
      <c r="BN346" s="186" t="n"/>
      <c r="BO346" s="186" t="n"/>
      <c r="BP346" s="186" t="n"/>
      <c r="BQ346" s="186" t="n"/>
      <c r="BR346" s="186" t="n"/>
      <c r="BS346" s="186" t="n"/>
      <c r="BT346" s="186" t="n"/>
      <c r="BU346" s="186" t="n"/>
      <c r="BV346" s="190" t="n"/>
      <c r="BW346" s="186" t="n"/>
      <c r="BX346" s="186" t="n"/>
      <c r="BY346" s="186" t="n"/>
      <c r="BZ346" s="186" t="n"/>
      <c r="CA346" s="186" t="n"/>
      <c r="CB346" s="187" t="n"/>
      <c r="CC346" s="192" t="n"/>
      <c r="CD346" s="192" t="n"/>
      <c r="CE346" s="192" t="n"/>
      <c r="CF346" s="192" t="n"/>
    </row>
    <row r="347">
      <c r="A347" s="197" t="n"/>
      <c r="B347" s="198" t="n"/>
      <c r="C347" s="198" t="n"/>
      <c r="D347" s="179" t="n"/>
      <c r="E347" s="180" t="n"/>
      <c r="F347" s="181" t="n"/>
      <c r="G347" s="284">
        <f>'Jobs-Ops'!G347</f>
        <v/>
      </c>
      <c r="H347" s="114">
        <f>'Jobs-Ops'!H347</f>
        <v/>
      </c>
      <c r="I347" s="105" t="n"/>
      <c r="J347" s="196">
        <f>F347</f>
        <v/>
      </c>
      <c r="K347" s="184" t="n"/>
      <c r="L347" s="185" t="n"/>
      <c r="M347" s="8" t="n"/>
      <c r="N347" s="184">
        <f>M347</f>
        <v/>
      </c>
      <c r="O347" s="184" t="n"/>
      <c r="P347" s="185" t="n"/>
      <c r="Q347" s="9">
        <f>J347-N347</f>
        <v/>
      </c>
      <c r="R347" s="9">
        <f>IF(LEFT(B347,4)&lt;&gt;"    ",0,BI347)</f>
        <v/>
      </c>
      <c r="S347" s="9">
        <f>+Q347-R347</f>
        <v/>
      </c>
      <c r="T347" s="200">
        <f>IF('Jobs-Ops'!S347&lt;&gt; "",'Jobs-Ops'!S347,"")</f>
        <v/>
      </c>
      <c r="U347" s="10" t="n"/>
      <c r="V347" s="23">
        <f>IF(LEFT(B347,4)&lt;&gt;"    ","",IF(N347&lt;&gt;0,X347/N347,0))</f>
        <v/>
      </c>
      <c r="W347" s="11">
        <f>IF(LEFT(B347,4)&lt;&gt;"    ","",IF(V347&gt;=0.1,V347*J347,X347))</f>
        <v/>
      </c>
      <c r="X347" s="8" t="n"/>
      <c r="Y347" s="9">
        <f>IF(LEFT(B347,4)&lt;&gt;"    ",0,IF(Q347&lt;0,Q347,IF(V347&gt;0.1,W347-X347,0)))</f>
        <v/>
      </c>
      <c r="Z347" s="9">
        <f>IF(LEFT(B347,4)&lt;&gt;"    ",0,IF(V347&gt;0.1,BI347,0))</f>
        <v/>
      </c>
      <c r="AA347" s="9">
        <f>Y347-Z347</f>
        <v/>
      </c>
      <c r="AB347" s="10" t="n"/>
      <c r="AC347" s="24" t="n"/>
      <c r="AD347" s="11" t="n"/>
      <c r="AE347" s="8" t="n"/>
      <c r="AF347" s="9">
        <f>IF(LEFT(B347,4)&lt;&gt;"    ","",AD347-AE347)</f>
        <v/>
      </c>
      <c r="AG347" s="10" t="n"/>
      <c r="AH347" s="11">
        <f>IF(LEFT(B347,4)&lt;&gt;"    ","",W347-AD347)</f>
        <v/>
      </c>
      <c r="AI347" s="8">
        <f>IF(LEFT(B347,4)&lt;&gt;"    ","",X347-AE347)</f>
        <v/>
      </c>
      <c r="AJ347" s="9">
        <f>IF(LEFT(B347,4)&lt;&gt;"    ","",Y347-AF347)</f>
        <v/>
      </c>
      <c r="AK347" s="10" t="n"/>
      <c r="AL347" s="25">
        <f>IF(LEFT(B347,4)&lt;&gt;"    ","",J347-W347)</f>
        <v/>
      </c>
      <c r="AM347" s="25">
        <f>N347-X347</f>
        <v/>
      </c>
      <c r="AN347" s="25">
        <f>IF(LEFT(B347,4)&lt;&gt;"    ","",Q347-Y347)</f>
        <v/>
      </c>
      <c r="AO347" s="10" t="n"/>
      <c r="AP347" s="12" t="n"/>
      <c r="AQ347" s="12">
        <f>IF(LEFT(B347,4)&lt;&gt;"    ","",IF(W347-AP347&gt;=0,W347-AP347," "))</f>
        <v/>
      </c>
      <c r="AR347" s="12">
        <f>IF(LEFT(B347,4)&lt;&gt;"    ","",IF(AP347-W347&gt;=0,AP347-W347," "))</f>
        <v/>
      </c>
      <c r="AS347" s="186" t="n"/>
      <c r="AT347" s="187" t="n"/>
      <c r="AU347" s="186" t="n"/>
      <c r="AV347" s="186" t="n"/>
      <c r="AW347" s="188" t="n"/>
      <c r="AX347" s="187" t="n"/>
      <c r="AY347" s="187" t="n"/>
      <c r="AZ347" s="186" t="n"/>
      <c r="BA347" s="186" t="n"/>
      <c r="BB347" s="186" t="n"/>
      <c r="BC347" s="186" t="n"/>
      <c r="BD347" s="186" t="n"/>
      <c r="BE347" s="186" t="n"/>
      <c r="BF347" s="186" t="n"/>
      <c r="BG347" s="186" t="n"/>
      <c r="BH347" s="186" t="n"/>
      <c r="BI347" s="186" t="n"/>
      <c r="BJ347" s="186" t="n"/>
      <c r="BK347" s="186" t="n"/>
      <c r="BL347" s="186" t="n"/>
      <c r="BM347" s="186" t="n"/>
      <c r="BN347" s="186" t="n"/>
      <c r="BO347" s="186" t="n"/>
      <c r="BP347" s="186" t="n"/>
      <c r="BQ347" s="186" t="n"/>
      <c r="BR347" s="186" t="n"/>
      <c r="BS347" s="186" t="n"/>
      <c r="BT347" s="186" t="n"/>
      <c r="BU347" s="186" t="n"/>
      <c r="BV347" s="190" t="n"/>
      <c r="BW347" s="186" t="n"/>
      <c r="BX347" s="186" t="n"/>
      <c r="BY347" s="186" t="n"/>
      <c r="BZ347" s="186" t="n"/>
      <c r="CA347" s="186" t="n"/>
      <c r="CB347" s="187" t="n"/>
      <c r="CC347" s="192" t="n"/>
      <c r="CD347" s="192" t="n"/>
      <c r="CE347" s="192" t="n"/>
      <c r="CF347" s="192" t="n"/>
    </row>
    <row r="348">
      <c r="A348" s="197" t="n"/>
      <c r="B348" s="198" t="n"/>
      <c r="C348" s="198" t="n"/>
      <c r="D348" s="179" t="n"/>
      <c r="E348" s="180" t="n"/>
      <c r="F348" s="181" t="n"/>
      <c r="G348" s="284">
        <f>'Jobs-Ops'!G348</f>
        <v/>
      </c>
      <c r="H348" s="114">
        <f>'Jobs-Ops'!H348</f>
        <v/>
      </c>
      <c r="I348" s="105" t="n"/>
      <c r="J348" s="196">
        <f>F348</f>
        <v/>
      </c>
      <c r="K348" s="184" t="n"/>
      <c r="L348" s="185" t="n"/>
      <c r="M348" s="8" t="n"/>
      <c r="N348" s="71">
        <f>M348</f>
        <v/>
      </c>
      <c r="O348" s="71" t="n"/>
      <c r="P348" s="101" t="n"/>
      <c r="Q348" s="9">
        <f>J348-N348</f>
        <v/>
      </c>
      <c r="R348" s="9">
        <f>IF(LEFT(B348,4)&lt;&gt;"    ",0,BI348)</f>
        <v/>
      </c>
      <c r="S348" s="9">
        <f>+Q348-R348</f>
        <v/>
      </c>
      <c r="T348" s="200">
        <f>IF('Jobs-Ops'!S348&lt;&gt; "",'Jobs-Ops'!S348,"")</f>
        <v/>
      </c>
      <c r="U348" s="10" t="n"/>
      <c r="V348" s="23">
        <f>IF(LEFT(B348,4)&lt;&gt;"    ","",IF(N348&lt;&gt;0,X348/N348,0))</f>
        <v/>
      </c>
      <c r="W348" s="11">
        <f>IF(LEFT(B348,4)&lt;&gt;"    ","",IF(V348&gt;=0.1,V348*J348,X348))</f>
        <v/>
      </c>
      <c r="X348" s="8" t="n"/>
      <c r="Y348" s="9">
        <f>IF(LEFT(B348,4)&lt;&gt;"    ",0,IF(Q348&lt;0,Q348,IF(V348&gt;0.1,W348-X348,0)))</f>
        <v/>
      </c>
      <c r="Z348" s="9">
        <f>IF(LEFT(B348,4)&lt;&gt;"    ",0,IF(V348&gt;0.1,BI348,0))</f>
        <v/>
      </c>
      <c r="AA348" s="9">
        <f>Y348-Z348</f>
        <v/>
      </c>
      <c r="AB348" s="10" t="n"/>
      <c r="AC348" s="24" t="n"/>
      <c r="AD348" s="11" t="n"/>
      <c r="AE348" s="8" t="n"/>
      <c r="AF348" s="9">
        <f>IF(LEFT(B348,4)&lt;&gt;"    ","",AD348-AE348)</f>
        <v/>
      </c>
      <c r="AG348" s="10" t="n"/>
      <c r="AH348" s="11">
        <f>IF(LEFT(B348,4)&lt;&gt;"    ","",W348-AD348)</f>
        <v/>
      </c>
      <c r="AI348" s="8">
        <f>IF(LEFT(B348,4)&lt;&gt;"    ","",X348-AE348)</f>
        <v/>
      </c>
      <c r="AJ348" s="9">
        <f>IF(LEFT(B348,4)&lt;&gt;"    ","",Y348-AF348)</f>
        <v/>
      </c>
      <c r="AK348" s="10" t="n"/>
      <c r="AL348" s="25">
        <f>IF(LEFT(B348,4)&lt;&gt;"    ","",J348-W348)</f>
        <v/>
      </c>
      <c r="AM348" s="25">
        <f>N348-X348</f>
        <v/>
      </c>
      <c r="AN348" s="25">
        <f>IF(LEFT(B348,4)&lt;&gt;"    ","",Q348-Y348)</f>
        <v/>
      </c>
      <c r="AO348" s="10" t="n"/>
      <c r="AP348" s="12" t="n"/>
      <c r="AQ348" s="12">
        <f>IF(LEFT(B348,4)&lt;&gt;"    ","",IF(W348-AP348&gt;=0,W348-AP348," "))</f>
        <v/>
      </c>
      <c r="AR348" s="12">
        <f>IF(LEFT(B348,4)&lt;&gt;"    ","",IF(AP348-W348&gt;=0,AP348-W348," "))</f>
        <v/>
      </c>
      <c r="AS348" s="186" t="n"/>
      <c r="AT348" s="187" t="n"/>
      <c r="AU348" s="186" t="n"/>
      <c r="AV348" s="186" t="n"/>
      <c r="AW348" s="188" t="n"/>
      <c r="AX348" s="187" t="n"/>
      <c r="AY348" s="187" t="n"/>
      <c r="AZ348" s="186" t="n"/>
      <c r="BA348" s="186" t="n"/>
      <c r="BB348" s="186" t="n"/>
      <c r="BC348" s="186" t="n"/>
      <c r="BD348" s="186" t="n"/>
      <c r="BE348" s="186" t="n"/>
      <c r="BF348" s="186" t="n"/>
      <c r="BG348" s="186" t="n"/>
      <c r="BH348" s="186" t="n"/>
      <c r="BI348" s="186" t="n"/>
      <c r="BJ348" s="186" t="n"/>
      <c r="BK348" s="186" t="n"/>
      <c r="BL348" s="186" t="n"/>
      <c r="BM348" s="186" t="n"/>
      <c r="BN348" s="186" t="n"/>
      <c r="BO348" s="186" t="n"/>
      <c r="BP348" s="186" t="n"/>
      <c r="BQ348" s="186" t="n"/>
      <c r="BR348" s="186" t="n"/>
      <c r="BS348" s="186" t="n"/>
      <c r="BT348" s="186" t="n"/>
      <c r="BU348" s="186" t="n"/>
      <c r="BV348" s="190" t="n"/>
      <c r="BW348" s="186" t="n"/>
      <c r="BX348" s="186" t="n"/>
      <c r="BY348" s="186" t="n"/>
      <c r="BZ348" s="186" t="n"/>
      <c r="CA348" s="186" t="n"/>
      <c r="CB348" s="187" t="n"/>
      <c r="CC348" s="192" t="n"/>
      <c r="CD348" s="192" t="n"/>
      <c r="CE348" s="192" t="n"/>
      <c r="CF348" s="192" t="n"/>
    </row>
    <row r="349">
      <c r="A349" s="197" t="n"/>
      <c r="B349" s="198" t="n"/>
      <c r="C349" s="198" t="n"/>
      <c r="D349" s="179" t="n"/>
      <c r="E349" s="180" t="n"/>
      <c r="F349" s="181" t="n"/>
      <c r="G349" s="284">
        <f>'Jobs-Ops'!G349</f>
        <v/>
      </c>
      <c r="H349" s="114">
        <f>'Jobs-Ops'!H349</f>
        <v/>
      </c>
      <c r="I349" s="105" t="n"/>
      <c r="J349" s="196">
        <f>F349</f>
        <v/>
      </c>
      <c r="K349" s="184" t="n"/>
      <c r="L349" s="185" t="n"/>
      <c r="M349" s="8" t="n"/>
      <c r="N349" s="71">
        <f>M349</f>
        <v/>
      </c>
      <c r="O349" s="71" t="n"/>
      <c r="P349" s="101" t="n"/>
      <c r="Q349" s="9">
        <f>J349-N349</f>
        <v/>
      </c>
      <c r="R349" s="9">
        <f>IF(LEFT(B349,4)&lt;&gt;"    ",0,BI349)</f>
        <v/>
      </c>
      <c r="S349" s="9">
        <f>+Q349-R349</f>
        <v/>
      </c>
      <c r="T349" s="200">
        <f>IF('Jobs-Ops'!S349&lt;&gt; "",'Jobs-Ops'!S349,"")</f>
        <v/>
      </c>
      <c r="U349" s="10" t="n"/>
      <c r="V349" s="23">
        <f>IF(LEFT(B349,4)&lt;&gt;"    ","",IF(N349&lt;&gt;0,X349/N349,0))</f>
        <v/>
      </c>
      <c r="W349" s="11">
        <f>IF(LEFT(B349,4)&lt;&gt;"    ","",IF(V349&gt;=0.1,V349*J349,X349))</f>
        <v/>
      </c>
      <c r="X349" s="8" t="n"/>
      <c r="Y349" s="9">
        <f>IF(LEFT(B349,4)&lt;&gt;"    ",0,IF(Q349&lt;0,Q349,IF(V349&gt;0.1,W349-X349,0)))</f>
        <v/>
      </c>
      <c r="Z349" s="9">
        <f>IF(LEFT(B349,4)&lt;&gt;"    ",0,IF(V349&gt;0.1,BI349,0))</f>
        <v/>
      </c>
      <c r="AA349" s="9">
        <f>Y349-Z349</f>
        <v/>
      </c>
      <c r="AB349" s="10" t="n"/>
      <c r="AC349" s="24" t="n"/>
      <c r="AD349" s="11" t="n"/>
      <c r="AE349" s="8" t="n"/>
      <c r="AF349" s="9">
        <f>IF(LEFT(B349,4)&lt;&gt;"    ","",AD349-AE349)</f>
        <v/>
      </c>
      <c r="AG349" s="10" t="n"/>
      <c r="AH349" s="11">
        <f>IF(LEFT(B349,4)&lt;&gt;"    ","",W349-AD349)</f>
        <v/>
      </c>
      <c r="AI349" s="8">
        <f>IF(LEFT(B349,4)&lt;&gt;"    ","",X349-AE349)</f>
        <v/>
      </c>
      <c r="AJ349" s="9">
        <f>IF(LEFT(B349,4)&lt;&gt;"    ","",Y349-AF349)</f>
        <v/>
      </c>
      <c r="AK349" s="10" t="n"/>
      <c r="AL349" s="25">
        <f>IF(LEFT(B349,4)&lt;&gt;"    ","",J349-W349)</f>
        <v/>
      </c>
      <c r="AM349" s="25">
        <f>N349-X349</f>
        <v/>
      </c>
      <c r="AN349" s="25">
        <f>IF(LEFT(B349,4)&lt;&gt;"    ","",Q349-Y349)</f>
        <v/>
      </c>
      <c r="AO349" s="10" t="n"/>
      <c r="AP349" s="12" t="n"/>
      <c r="AQ349" s="12">
        <f>IF(LEFT(B349,4)&lt;&gt;"    ","",IF(W349-AP349&gt;=0,W349-AP349," "))</f>
        <v/>
      </c>
      <c r="AR349" s="12">
        <f>IF(LEFT(B349,4)&lt;&gt;"    ","",IF(AP349-W349&gt;=0,AP349-W349," "))</f>
        <v/>
      </c>
      <c r="AS349" s="186" t="n"/>
      <c r="AT349" s="187" t="n"/>
      <c r="AU349" s="186" t="n"/>
      <c r="AV349" s="186" t="n"/>
      <c r="AW349" s="188" t="n"/>
      <c r="AX349" s="187" t="n"/>
      <c r="AY349" s="187" t="n"/>
      <c r="AZ349" s="186" t="n"/>
      <c r="BA349" s="186" t="n"/>
      <c r="BB349" s="186" t="n"/>
      <c r="BC349" s="186" t="n"/>
      <c r="BD349" s="186" t="n"/>
      <c r="BE349" s="186" t="n"/>
      <c r="BF349" s="186" t="n"/>
      <c r="BG349" s="186" t="n"/>
      <c r="BH349" s="186" t="n"/>
      <c r="BI349" s="186" t="n"/>
      <c r="BJ349" s="186" t="n"/>
      <c r="BK349" s="186" t="n"/>
      <c r="BL349" s="186" t="n"/>
      <c r="BM349" s="186" t="n"/>
      <c r="BN349" s="186" t="n"/>
      <c r="BO349" s="186" t="n"/>
      <c r="BP349" s="186" t="n"/>
      <c r="BQ349" s="186" t="n"/>
      <c r="BR349" s="186" t="n"/>
      <c r="BS349" s="186" t="n"/>
      <c r="BT349" s="186" t="n"/>
      <c r="BU349" s="186" t="n"/>
      <c r="BV349" s="190" t="n"/>
      <c r="BW349" s="186" t="n"/>
      <c r="BX349" s="186" t="n"/>
      <c r="BY349" s="186" t="n"/>
      <c r="BZ349" s="186" t="n"/>
      <c r="CA349" s="186" t="n"/>
      <c r="CB349" s="187" t="n"/>
      <c r="CC349" s="192" t="n"/>
      <c r="CD349" s="192" t="n"/>
      <c r="CE349" s="192" t="n"/>
      <c r="CF349" s="192" t="n"/>
    </row>
    <row r="350">
      <c r="A350" s="197" t="n"/>
      <c r="B350" s="198" t="n"/>
      <c r="C350" s="198" t="n"/>
      <c r="D350" s="179" t="n"/>
      <c r="E350" s="180" t="n"/>
      <c r="F350" s="181" t="n"/>
      <c r="G350" s="284">
        <f>'Jobs-Ops'!G350</f>
        <v/>
      </c>
      <c r="H350" s="114">
        <f>'Jobs-Ops'!H350</f>
        <v/>
      </c>
      <c r="I350" s="105" t="n"/>
      <c r="J350" s="196">
        <f>F350</f>
        <v/>
      </c>
      <c r="K350" s="184" t="n"/>
      <c r="L350" s="185" t="n"/>
      <c r="M350" s="8" t="n"/>
      <c r="N350" s="71">
        <f>M350</f>
        <v/>
      </c>
      <c r="O350" s="71" t="n"/>
      <c r="P350" s="101" t="n"/>
      <c r="Q350" s="9">
        <f>J350-N350</f>
        <v/>
      </c>
      <c r="R350" s="9">
        <f>IF(LEFT(B350,4)&lt;&gt;"    ",0,BI350)</f>
        <v/>
      </c>
      <c r="S350" s="9">
        <f>+Q350-R350</f>
        <v/>
      </c>
      <c r="T350" s="200">
        <f>IF('Jobs-Ops'!S350&lt;&gt; "",'Jobs-Ops'!S350,"")</f>
        <v/>
      </c>
      <c r="U350" s="10" t="n"/>
      <c r="V350" s="23">
        <f>IF(LEFT(B350,4)&lt;&gt;"    ","",IF(N350&lt;&gt;0,X350/N350,0))</f>
        <v/>
      </c>
      <c r="W350" s="11">
        <f>IF(LEFT(B350,4)&lt;&gt;"    ","",IF(V350&gt;=0.1,V350*J350,X350))</f>
        <v/>
      </c>
      <c r="X350" s="8" t="n"/>
      <c r="Y350" s="9">
        <f>IF(LEFT(B350,4)&lt;&gt;"    ",0,IF(Q350&lt;0,Q350,IF(V350&gt;0.1,W350-X350,0)))</f>
        <v/>
      </c>
      <c r="Z350" s="9">
        <f>IF(LEFT(B350,4)&lt;&gt;"    ",0,IF(V350&gt;0.1,BI350,0))</f>
        <v/>
      </c>
      <c r="AA350" s="9">
        <f>Y350-Z350</f>
        <v/>
      </c>
      <c r="AB350" s="10" t="n"/>
      <c r="AC350" s="24" t="n"/>
      <c r="AD350" s="11" t="n"/>
      <c r="AE350" s="8" t="n"/>
      <c r="AF350" s="9">
        <f>IF(LEFT(B350,4)&lt;&gt;"    ","",AD350-AE350)</f>
        <v/>
      </c>
      <c r="AG350" s="10" t="n"/>
      <c r="AH350" s="11">
        <f>IF(LEFT(B350,4)&lt;&gt;"    ","",W350-AD350)</f>
        <v/>
      </c>
      <c r="AI350" s="8">
        <f>IF(LEFT(B350,4)&lt;&gt;"    ","",X350-AE350)</f>
        <v/>
      </c>
      <c r="AJ350" s="9">
        <f>IF(LEFT(B350,4)&lt;&gt;"    ","",Y350-AF350)</f>
        <v/>
      </c>
      <c r="AK350" s="10" t="n"/>
      <c r="AL350" s="25">
        <f>IF(LEFT(B350,4)&lt;&gt;"    ","",J350-W350)</f>
        <v/>
      </c>
      <c r="AM350" s="25">
        <f>N350-X350</f>
        <v/>
      </c>
      <c r="AN350" s="25">
        <f>IF(LEFT(B350,4)&lt;&gt;"    ","",Q350-Y350)</f>
        <v/>
      </c>
      <c r="AO350" s="10" t="n"/>
      <c r="AP350" s="12" t="n"/>
      <c r="AQ350" s="12">
        <f>IF(LEFT(B350,4)&lt;&gt;"    ","",IF(W350-AP350&gt;=0,W350-AP350," "))</f>
        <v/>
      </c>
      <c r="AR350" s="12">
        <f>IF(LEFT(B350,4)&lt;&gt;"    ","",IF(AP350-W350&gt;=0,AP350-W350," "))</f>
        <v/>
      </c>
      <c r="AS350" s="186" t="n"/>
      <c r="AT350" s="187" t="n"/>
      <c r="AU350" s="186" t="n"/>
      <c r="AV350" s="186" t="n"/>
      <c r="AW350" s="188" t="n"/>
      <c r="AX350" s="187" t="n"/>
      <c r="AY350" s="187" t="n"/>
      <c r="AZ350" s="186" t="n"/>
      <c r="BA350" s="186" t="n"/>
      <c r="BB350" s="186" t="n"/>
      <c r="BC350" s="186" t="n"/>
      <c r="BD350" s="186" t="n"/>
      <c r="BE350" s="186" t="n"/>
      <c r="BF350" s="186" t="n"/>
      <c r="BG350" s="186" t="n"/>
      <c r="BH350" s="186" t="n"/>
      <c r="BI350" s="186" t="n"/>
      <c r="BJ350" s="186" t="n"/>
      <c r="BK350" s="186" t="n"/>
      <c r="BL350" s="186" t="n"/>
      <c r="BM350" s="186" t="n"/>
      <c r="BN350" s="186" t="n"/>
      <c r="BO350" s="186" t="n"/>
      <c r="BP350" s="186" t="n"/>
      <c r="BQ350" s="186" t="n"/>
      <c r="BR350" s="186" t="n"/>
      <c r="BS350" s="186" t="n"/>
      <c r="BT350" s="186" t="n"/>
      <c r="BU350" s="186" t="n"/>
      <c r="BV350" s="190" t="n"/>
      <c r="BW350" s="186" t="n"/>
      <c r="BX350" s="186" t="n"/>
      <c r="BY350" s="186" t="n"/>
      <c r="BZ350" s="186" t="n"/>
      <c r="CA350" s="186" t="n"/>
      <c r="CB350" s="187" t="n"/>
      <c r="CC350" s="192" t="n"/>
      <c r="CD350" s="192" t="n"/>
      <c r="CE350" s="192" t="n"/>
      <c r="CF350" s="192" t="n"/>
    </row>
    <row r="351">
      <c r="A351" s="197" t="n"/>
      <c r="B351" s="198" t="n"/>
      <c r="C351" s="198" t="n"/>
      <c r="D351" s="179" t="n"/>
      <c r="E351" s="180" t="n"/>
      <c r="F351" s="181" t="n"/>
      <c r="G351" s="284">
        <f>'Jobs-Ops'!G351</f>
        <v/>
      </c>
      <c r="H351" s="114">
        <f>'Jobs-Ops'!H351</f>
        <v/>
      </c>
      <c r="I351" s="105" t="n"/>
      <c r="J351" s="196">
        <f>F351</f>
        <v/>
      </c>
      <c r="K351" s="184" t="n"/>
      <c r="L351" s="185" t="n"/>
      <c r="M351" s="8" t="n"/>
      <c r="N351" s="71">
        <f>M351</f>
        <v/>
      </c>
      <c r="O351" s="71" t="n"/>
      <c r="P351" s="101" t="n"/>
      <c r="Q351" s="9">
        <f>J351-N351</f>
        <v/>
      </c>
      <c r="R351" s="9">
        <f>IF(LEFT(B351,4)&lt;&gt;"    ",0,BI351)</f>
        <v/>
      </c>
      <c r="S351" s="9">
        <f>+Q351-R351</f>
        <v/>
      </c>
      <c r="T351" s="200">
        <f>IF('Jobs-Ops'!S351&lt;&gt; "",'Jobs-Ops'!S351,"")</f>
        <v/>
      </c>
      <c r="U351" s="10" t="n"/>
      <c r="V351" s="23">
        <f>IF(LEFT(B351,4)&lt;&gt;"    ","",IF(N351&lt;&gt;0,X351/N351,0))</f>
        <v/>
      </c>
      <c r="W351" s="11">
        <f>IF(LEFT(B351,4)&lt;&gt;"    ","",IF(V351&gt;=0.1,V351*J351,X351))</f>
        <v/>
      </c>
      <c r="X351" s="8" t="n"/>
      <c r="Y351" s="9">
        <f>IF(LEFT(B351,4)&lt;&gt;"    ",0,IF(Q351&lt;0,Q351,IF(V351&gt;0.1,W351-X351,0)))</f>
        <v/>
      </c>
      <c r="Z351" s="9">
        <f>IF(LEFT(B351,4)&lt;&gt;"    ",0,IF(V351&gt;0.1,BI351,0))</f>
        <v/>
      </c>
      <c r="AA351" s="9">
        <f>Y351-Z351</f>
        <v/>
      </c>
      <c r="AB351" s="10" t="n"/>
      <c r="AC351" s="24" t="n"/>
      <c r="AD351" s="11" t="n"/>
      <c r="AE351" s="8" t="n"/>
      <c r="AF351" s="9">
        <f>IF(LEFT(B351,4)&lt;&gt;"    ","",AD351-AE351)</f>
        <v/>
      </c>
      <c r="AG351" s="10" t="n"/>
      <c r="AH351" s="11">
        <f>IF(LEFT(B351,4)&lt;&gt;"    ","",W351-AD351)</f>
        <v/>
      </c>
      <c r="AI351" s="8">
        <f>IF(LEFT(B351,4)&lt;&gt;"    ","",X351-AE351)</f>
        <v/>
      </c>
      <c r="AJ351" s="9">
        <f>IF(LEFT(B351,4)&lt;&gt;"    ","",Y351-AF351)</f>
        <v/>
      </c>
      <c r="AK351" s="10" t="n"/>
      <c r="AL351" s="25">
        <f>IF(LEFT(B351,4)&lt;&gt;"    ","",J351-W351)</f>
        <v/>
      </c>
      <c r="AM351" s="25">
        <f>N351-X351</f>
        <v/>
      </c>
      <c r="AN351" s="25">
        <f>IF(LEFT(B351,4)&lt;&gt;"    ","",Q351-Y351)</f>
        <v/>
      </c>
      <c r="AO351" s="10" t="n"/>
      <c r="AP351" s="12" t="n"/>
      <c r="AQ351" s="12">
        <f>IF(LEFT(B351,4)&lt;&gt;"    ","",IF(W351-AP351&gt;=0,W351-AP351," "))</f>
        <v/>
      </c>
      <c r="AR351" s="12">
        <f>IF(LEFT(B351,4)&lt;&gt;"    ","",IF(AP351-W351&gt;=0,AP351-W351," "))</f>
        <v/>
      </c>
      <c r="AS351" s="186" t="n"/>
      <c r="AT351" s="187" t="n"/>
      <c r="AU351" s="186" t="n"/>
      <c r="AV351" s="186" t="n"/>
      <c r="AW351" s="188" t="n"/>
      <c r="AX351" s="187" t="n"/>
      <c r="AY351" s="187" t="n"/>
      <c r="AZ351" s="186" t="n"/>
      <c r="BA351" s="186" t="n"/>
      <c r="BB351" s="186" t="n"/>
      <c r="BC351" s="186" t="n"/>
      <c r="BD351" s="186" t="n"/>
      <c r="BE351" s="186" t="n"/>
      <c r="BF351" s="186" t="n"/>
      <c r="BG351" s="186" t="n"/>
      <c r="BH351" s="186" t="n"/>
      <c r="BI351" s="186" t="n"/>
      <c r="BJ351" s="186" t="n"/>
      <c r="BK351" s="186" t="n"/>
      <c r="BL351" s="186" t="n"/>
      <c r="BM351" s="186" t="n"/>
      <c r="BN351" s="186" t="n"/>
      <c r="BO351" s="186" t="n"/>
      <c r="BP351" s="186" t="n"/>
      <c r="BQ351" s="186" t="n"/>
      <c r="BR351" s="186" t="n"/>
      <c r="BS351" s="186" t="n"/>
      <c r="BT351" s="186" t="n"/>
      <c r="BU351" s="186" t="n"/>
      <c r="BV351" s="190" t="n"/>
      <c r="BW351" s="186" t="n"/>
      <c r="BX351" s="186" t="n"/>
      <c r="BY351" s="186" t="n"/>
      <c r="BZ351" s="186" t="n"/>
      <c r="CA351" s="186" t="n"/>
      <c r="CB351" s="187" t="n"/>
      <c r="CC351" s="192" t="n"/>
      <c r="CD351" s="192" t="n"/>
      <c r="CE351" s="192" t="n"/>
      <c r="CF351" s="192" t="n"/>
    </row>
    <row r="352">
      <c r="A352" s="197" t="n"/>
      <c r="B352" s="198" t="n"/>
      <c r="C352" s="198" t="n"/>
      <c r="D352" s="179" t="n"/>
      <c r="E352" s="180" t="n"/>
      <c r="F352" s="181" t="n"/>
      <c r="G352" s="284">
        <f>'Jobs-Ops'!G352</f>
        <v/>
      </c>
      <c r="H352" s="114">
        <f>'Jobs-Ops'!H352</f>
        <v/>
      </c>
      <c r="I352" s="105" t="n"/>
      <c r="J352" s="196">
        <f>F352</f>
        <v/>
      </c>
      <c r="K352" s="184" t="n"/>
      <c r="L352" s="185" t="n"/>
      <c r="M352" s="8" t="n"/>
      <c r="N352" s="71">
        <f>M352</f>
        <v/>
      </c>
      <c r="O352" s="71" t="n"/>
      <c r="P352" s="101" t="n"/>
      <c r="Q352" s="9">
        <f>J352-N352</f>
        <v/>
      </c>
      <c r="R352" s="9">
        <f>IF(LEFT(B352,4)&lt;&gt;"    ",0,BI352)</f>
        <v/>
      </c>
      <c r="S352" s="9">
        <f>+Q352-R352</f>
        <v/>
      </c>
      <c r="T352" s="200">
        <f>IF('Jobs-Ops'!S352&lt;&gt; "",'Jobs-Ops'!S352,"")</f>
        <v/>
      </c>
      <c r="U352" s="10" t="n"/>
      <c r="V352" s="23">
        <f>IF(LEFT(B352,4)&lt;&gt;"    ","",IF(N352&lt;&gt;0,X352/N352,0))</f>
        <v/>
      </c>
      <c r="W352" s="11">
        <f>IF(LEFT(B352,4)&lt;&gt;"    ","",IF(V352&gt;=0.1,V352*J352,X352))</f>
        <v/>
      </c>
      <c r="X352" s="8" t="n"/>
      <c r="Y352" s="9">
        <f>IF(LEFT(B352,4)&lt;&gt;"    ",0,IF(Q352&lt;0,Q352,IF(V352&gt;0.1,W352-X352,0)))</f>
        <v/>
      </c>
      <c r="Z352" s="9">
        <f>IF(LEFT(B352,4)&lt;&gt;"    ",0,IF(V352&gt;0.1,BI352,0))</f>
        <v/>
      </c>
      <c r="AA352" s="9">
        <f>Y352-Z352</f>
        <v/>
      </c>
      <c r="AB352" s="10" t="n"/>
      <c r="AC352" s="24" t="n"/>
      <c r="AD352" s="11" t="n"/>
      <c r="AE352" s="8" t="n"/>
      <c r="AF352" s="9">
        <f>IF(LEFT(B352,4)&lt;&gt;"    ","",AD352-AE352)</f>
        <v/>
      </c>
      <c r="AG352" s="10" t="n"/>
      <c r="AH352" s="11">
        <f>IF(LEFT(B352,4)&lt;&gt;"    ","",W352-AD352)</f>
        <v/>
      </c>
      <c r="AI352" s="8">
        <f>IF(LEFT(B352,4)&lt;&gt;"    ","",X352-AE352)</f>
        <v/>
      </c>
      <c r="AJ352" s="9">
        <f>IF(LEFT(B352,4)&lt;&gt;"    ","",Y352-AF352)</f>
        <v/>
      </c>
      <c r="AK352" s="10" t="n"/>
      <c r="AL352" s="25">
        <f>IF(LEFT(B352,4)&lt;&gt;"    ","",J352-W352)</f>
        <v/>
      </c>
      <c r="AM352" s="25">
        <f>N352-X352</f>
        <v/>
      </c>
      <c r="AN352" s="25">
        <f>IF(LEFT(B352,4)&lt;&gt;"    ","",Q352-Y352)</f>
        <v/>
      </c>
      <c r="AO352" s="10" t="n"/>
      <c r="AP352" s="12" t="n"/>
      <c r="AQ352" s="12">
        <f>IF(LEFT(B352,4)&lt;&gt;"    ","",IF(W352-AP352&gt;=0,W352-AP352," "))</f>
        <v/>
      </c>
      <c r="AR352" s="12">
        <f>IF(LEFT(B352,4)&lt;&gt;"    ","",IF(AP352-W352&gt;=0,AP352-W352," "))</f>
        <v/>
      </c>
      <c r="AS352" s="186" t="n"/>
      <c r="AT352" s="187" t="n"/>
      <c r="AU352" s="186" t="n"/>
      <c r="AV352" s="186" t="n"/>
      <c r="AW352" s="188" t="n"/>
      <c r="AX352" s="187" t="n"/>
      <c r="AY352" s="187" t="n"/>
      <c r="AZ352" s="186" t="n"/>
      <c r="BA352" s="186" t="n"/>
      <c r="BB352" s="186" t="n"/>
      <c r="BC352" s="186" t="n"/>
      <c r="BD352" s="186" t="n"/>
      <c r="BE352" s="186" t="n"/>
      <c r="BF352" s="186" t="n"/>
      <c r="BG352" s="186" t="n"/>
      <c r="BH352" s="186" t="n"/>
      <c r="BI352" s="186" t="n"/>
      <c r="BJ352" s="186" t="n"/>
      <c r="BK352" s="186" t="n"/>
      <c r="BL352" s="186" t="n"/>
      <c r="BM352" s="186" t="n"/>
      <c r="BN352" s="186" t="n"/>
      <c r="BO352" s="186" t="n"/>
      <c r="BP352" s="186" t="n"/>
      <c r="BQ352" s="186" t="n"/>
      <c r="BR352" s="186" t="n"/>
      <c r="BS352" s="186" t="n"/>
      <c r="BT352" s="186" t="n"/>
      <c r="BU352" s="186" t="n"/>
      <c r="BV352" s="190" t="n"/>
      <c r="BW352" s="186" t="n"/>
      <c r="BX352" s="186" t="n"/>
      <c r="BY352" s="186" t="n"/>
      <c r="BZ352" s="186" t="n"/>
      <c r="CA352" s="186" t="n"/>
      <c r="CB352" s="187" t="n"/>
      <c r="CC352" s="192" t="n"/>
      <c r="CD352" s="192" t="n"/>
      <c r="CE352" s="192" t="n"/>
      <c r="CF352" s="192" t="n"/>
    </row>
    <row r="353">
      <c r="A353" s="197" t="n"/>
      <c r="B353" s="198" t="n"/>
      <c r="C353" s="198" t="n"/>
      <c r="D353" s="179" t="n"/>
      <c r="E353" s="180" t="n"/>
      <c r="F353" s="181" t="n"/>
      <c r="G353" s="284">
        <f>'Jobs-Ops'!G353</f>
        <v/>
      </c>
      <c r="H353" s="114">
        <f>'Jobs-Ops'!H353</f>
        <v/>
      </c>
      <c r="I353" s="105" t="n"/>
      <c r="J353" s="196">
        <f>F353</f>
        <v/>
      </c>
      <c r="K353" s="184" t="n"/>
      <c r="L353" s="185" t="n"/>
      <c r="M353" s="8" t="n"/>
      <c r="N353" s="71">
        <f>M353</f>
        <v/>
      </c>
      <c r="O353" s="71" t="n"/>
      <c r="P353" s="101" t="n"/>
      <c r="Q353" s="9">
        <f>J353-N353</f>
        <v/>
      </c>
      <c r="R353" s="9">
        <f>IF(LEFT(B353,4)&lt;&gt;"    ",0,BI353)</f>
        <v/>
      </c>
      <c r="S353" s="9">
        <f>+Q353-R353</f>
        <v/>
      </c>
      <c r="T353" s="200">
        <f>IF('Jobs-Ops'!S353&lt;&gt; "",'Jobs-Ops'!S353,"")</f>
        <v/>
      </c>
      <c r="U353" s="10" t="n"/>
      <c r="V353" s="23">
        <f>IF(LEFT(B353,4)&lt;&gt;"    ","",IF(N353&lt;&gt;0,X353/N353,0))</f>
        <v/>
      </c>
      <c r="W353" s="11">
        <f>IF(LEFT(B353,4)&lt;&gt;"    ","",IF(V353&gt;=0.1,V353*J353,X353))</f>
        <v/>
      </c>
      <c r="X353" s="8" t="n"/>
      <c r="Y353" s="9">
        <f>IF(LEFT(B353,4)&lt;&gt;"    ",0,IF(Q353&lt;0,Q353,IF(V353&gt;0.1,W353-X353,0)))</f>
        <v/>
      </c>
      <c r="Z353" s="9">
        <f>IF(LEFT(B353,4)&lt;&gt;"    ",0,IF(V353&gt;0.1,BI353,0))</f>
        <v/>
      </c>
      <c r="AA353" s="9">
        <f>Y353-Z353</f>
        <v/>
      </c>
      <c r="AB353" s="10" t="n"/>
      <c r="AC353" s="24" t="n"/>
      <c r="AD353" s="11" t="n"/>
      <c r="AE353" s="8" t="n"/>
      <c r="AF353" s="9">
        <f>IF(LEFT(B353,4)&lt;&gt;"    ","",AD353-AE353)</f>
        <v/>
      </c>
      <c r="AG353" s="10" t="n"/>
      <c r="AH353" s="11">
        <f>IF(LEFT(B353,4)&lt;&gt;"    ","",W353-AD353)</f>
        <v/>
      </c>
      <c r="AI353" s="8">
        <f>IF(LEFT(B353,4)&lt;&gt;"    ","",X353-AE353)</f>
        <v/>
      </c>
      <c r="AJ353" s="9">
        <f>IF(LEFT(B353,4)&lt;&gt;"    ","",Y353-AF353)</f>
        <v/>
      </c>
      <c r="AK353" s="10" t="n"/>
      <c r="AL353" s="25">
        <f>IF(LEFT(B353,4)&lt;&gt;"    ","",J353-W353)</f>
        <v/>
      </c>
      <c r="AM353" s="25">
        <f>N353-X353</f>
        <v/>
      </c>
      <c r="AN353" s="25">
        <f>IF(LEFT(B353,4)&lt;&gt;"    ","",Q353-Y353)</f>
        <v/>
      </c>
      <c r="AO353" s="10" t="n"/>
      <c r="AP353" s="12" t="n"/>
      <c r="AQ353" s="12">
        <f>IF(LEFT(B353,4)&lt;&gt;"    ","",IF(W353-AP353&gt;=0,W353-AP353," "))</f>
        <v/>
      </c>
      <c r="AR353" s="12">
        <f>IF(LEFT(B353,4)&lt;&gt;"    ","",IF(AP353-W353&gt;=0,AP353-W353," "))</f>
        <v/>
      </c>
      <c r="AS353" s="186" t="n"/>
      <c r="AT353" s="187" t="n"/>
      <c r="AU353" s="186" t="n"/>
      <c r="AV353" s="186" t="n"/>
      <c r="AW353" s="188" t="n"/>
      <c r="AX353" s="187" t="n"/>
      <c r="AY353" s="187" t="n"/>
      <c r="AZ353" s="186" t="n"/>
      <c r="BA353" s="186" t="n"/>
      <c r="BB353" s="186" t="n"/>
      <c r="BC353" s="186" t="n"/>
      <c r="BD353" s="186" t="n"/>
      <c r="BE353" s="186" t="n"/>
      <c r="BF353" s="186" t="n"/>
      <c r="BG353" s="186" t="n"/>
      <c r="BH353" s="186" t="n"/>
      <c r="BI353" s="186" t="n"/>
      <c r="BJ353" s="186" t="n"/>
      <c r="BK353" s="186" t="n"/>
      <c r="BL353" s="186" t="n"/>
      <c r="BM353" s="186" t="n"/>
      <c r="BN353" s="186" t="n"/>
      <c r="BO353" s="186" t="n"/>
      <c r="BP353" s="186" t="n"/>
      <c r="BQ353" s="186" t="n"/>
      <c r="BR353" s="186" t="n"/>
      <c r="BS353" s="186" t="n"/>
      <c r="BT353" s="186" t="n"/>
      <c r="BU353" s="186" t="n"/>
      <c r="BV353" s="190" t="n"/>
      <c r="BW353" s="186" t="n"/>
      <c r="BX353" s="186" t="n"/>
      <c r="BY353" s="186" t="n"/>
      <c r="BZ353" s="186" t="n"/>
      <c r="CA353" s="186" t="n"/>
      <c r="CB353" s="187" t="n"/>
      <c r="CC353" s="192" t="n"/>
      <c r="CD353" s="192" t="n"/>
      <c r="CE353" s="192" t="n"/>
      <c r="CF353" s="192" t="n"/>
    </row>
    <row r="354">
      <c r="A354" s="197" t="n"/>
      <c r="B354" s="198" t="n"/>
      <c r="C354" s="198" t="n"/>
      <c r="D354" s="179" t="n"/>
      <c r="E354" s="180" t="n"/>
      <c r="F354" s="181" t="n"/>
      <c r="G354" s="284">
        <f>'Jobs-Ops'!G354</f>
        <v/>
      </c>
      <c r="H354" s="114">
        <f>'Jobs-Ops'!H354</f>
        <v/>
      </c>
      <c r="I354" s="105" t="n"/>
      <c r="J354" s="196">
        <f>F354</f>
        <v/>
      </c>
      <c r="K354" s="184" t="n"/>
      <c r="L354" s="185" t="n"/>
      <c r="M354" s="8" t="n"/>
      <c r="N354" s="71">
        <f>M354</f>
        <v/>
      </c>
      <c r="O354" s="71" t="n"/>
      <c r="P354" s="101" t="n"/>
      <c r="Q354" s="9">
        <f>J354-N354</f>
        <v/>
      </c>
      <c r="R354" s="9">
        <f>IF(LEFT(B354,4)&lt;&gt;"    ",0,BI354)</f>
        <v/>
      </c>
      <c r="S354" s="9">
        <f>+Q354-R354</f>
        <v/>
      </c>
      <c r="T354" s="200">
        <f>IF('Jobs-Ops'!S354&lt;&gt; "",'Jobs-Ops'!S354,"")</f>
        <v/>
      </c>
      <c r="U354" s="10" t="n"/>
      <c r="V354" s="23">
        <f>IF(LEFT(B354,4)&lt;&gt;"    ","",IF(N354&lt;&gt;0,X354/N354,0))</f>
        <v/>
      </c>
      <c r="W354" s="11">
        <f>IF(LEFT(B354,4)&lt;&gt;"    ","",IF(V354&gt;=0.1,V354*J354,X354))</f>
        <v/>
      </c>
      <c r="X354" s="8" t="n"/>
      <c r="Y354" s="9">
        <f>IF(LEFT(B354,4)&lt;&gt;"    ",0,IF(Q354&lt;0,Q354,IF(V354&gt;0.1,W354-X354,0)))</f>
        <v/>
      </c>
      <c r="Z354" s="9">
        <f>IF(LEFT(B354,4)&lt;&gt;"    ",0,IF(V354&gt;0.1,BI354,0))</f>
        <v/>
      </c>
      <c r="AA354" s="9">
        <f>Y354-Z354</f>
        <v/>
      </c>
      <c r="AB354" s="10" t="n"/>
      <c r="AC354" s="24" t="n"/>
      <c r="AD354" s="11" t="n"/>
      <c r="AE354" s="8" t="n"/>
      <c r="AF354" s="9">
        <f>IF(LEFT(B354,4)&lt;&gt;"    ","",AD354-AE354)</f>
        <v/>
      </c>
      <c r="AG354" s="10" t="n"/>
      <c r="AH354" s="11">
        <f>IF(LEFT(B354,4)&lt;&gt;"    ","",W354-AD354)</f>
        <v/>
      </c>
      <c r="AI354" s="8">
        <f>IF(LEFT(B354,4)&lt;&gt;"    ","",X354-AE354)</f>
        <v/>
      </c>
      <c r="AJ354" s="9">
        <f>IF(LEFT(B354,4)&lt;&gt;"    ","",Y354-AF354)</f>
        <v/>
      </c>
      <c r="AK354" s="10" t="n"/>
      <c r="AL354" s="25">
        <f>IF(LEFT(B354,4)&lt;&gt;"    ","",J354-W354)</f>
        <v/>
      </c>
      <c r="AM354" s="25">
        <f>N354-X354</f>
        <v/>
      </c>
      <c r="AN354" s="25">
        <f>IF(LEFT(B354,4)&lt;&gt;"    ","",Q354-Y354)</f>
        <v/>
      </c>
      <c r="AO354" s="10" t="n"/>
      <c r="AP354" s="12" t="n"/>
      <c r="AQ354" s="12">
        <f>IF(LEFT(B354,4)&lt;&gt;"    ","",IF(W354-AP354&gt;=0,W354-AP354," "))</f>
        <v/>
      </c>
      <c r="AR354" s="12">
        <f>IF(LEFT(B354,4)&lt;&gt;"    ","",IF(AP354-W354&gt;=0,AP354-W354," "))</f>
        <v/>
      </c>
      <c r="AS354" s="186" t="n"/>
      <c r="AT354" s="187" t="n"/>
      <c r="AU354" s="186" t="n"/>
      <c r="AV354" s="186" t="n"/>
      <c r="AW354" s="188" t="n"/>
      <c r="AX354" s="187" t="n"/>
      <c r="AY354" s="187" t="n"/>
      <c r="AZ354" s="186" t="n"/>
      <c r="BA354" s="186" t="n"/>
      <c r="BB354" s="186" t="n"/>
      <c r="BC354" s="186" t="n"/>
      <c r="BD354" s="186" t="n"/>
      <c r="BE354" s="186" t="n"/>
      <c r="BF354" s="186" t="n"/>
      <c r="BG354" s="186" t="n"/>
      <c r="BH354" s="186" t="n"/>
      <c r="BI354" s="186" t="n"/>
      <c r="BJ354" s="186" t="n"/>
      <c r="BK354" s="186" t="n"/>
      <c r="BL354" s="186" t="n"/>
      <c r="BM354" s="186" t="n"/>
      <c r="BN354" s="186" t="n"/>
      <c r="BO354" s="186" t="n"/>
      <c r="BP354" s="186" t="n"/>
      <c r="BQ354" s="186" t="n"/>
      <c r="BR354" s="186" t="n"/>
      <c r="BS354" s="186" t="n"/>
      <c r="BT354" s="186" t="n"/>
      <c r="BU354" s="186" t="n"/>
      <c r="BV354" s="190" t="n"/>
      <c r="BW354" s="186" t="n"/>
      <c r="BX354" s="186" t="n"/>
      <c r="BY354" s="186" t="n"/>
      <c r="BZ354" s="186" t="n"/>
      <c r="CA354" s="186" t="n"/>
      <c r="CB354" s="187" t="n"/>
      <c r="CC354" s="192" t="n"/>
      <c r="CD354" s="192" t="n"/>
      <c r="CE354" s="192" t="n"/>
      <c r="CF354" s="192" t="n"/>
    </row>
    <row r="355">
      <c r="A355" s="197" t="n"/>
      <c r="B355" s="198" t="n"/>
      <c r="C355" s="198" t="n"/>
      <c r="D355" s="179" t="n"/>
      <c r="E355" s="180" t="n"/>
      <c r="F355" s="181" t="n"/>
      <c r="G355" s="284">
        <f>'Jobs-Ops'!G355</f>
        <v/>
      </c>
      <c r="H355" s="114">
        <f>'Jobs-Ops'!H355</f>
        <v/>
      </c>
      <c r="I355" s="105" t="n"/>
      <c r="J355" s="196">
        <f>F355</f>
        <v/>
      </c>
      <c r="K355" s="184" t="n"/>
      <c r="L355" s="185" t="n"/>
      <c r="M355" s="8" t="n"/>
      <c r="N355" s="71">
        <f>M355</f>
        <v/>
      </c>
      <c r="O355" s="71" t="n"/>
      <c r="P355" s="101" t="n"/>
      <c r="Q355" s="9">
        <f>J355-N355</f>
        <v/>
      </c>
      <c r="R355" s="9">
        <f>IF(LEFT(B355,4)&lt;&gt;"    ",0,BI355)</f>
        <v/>
      </c>
      <c r="S355" s="9">
        <f>+Q355-R355</f>
        <v/>
      </c>
      <c r="T355" s="200">
        <f>IF('Jobs-Ops'!S355&lt;&gt; "",'Jobs-Ops'!S355,"")</f>
        <v/>
      </c>
      <c r="U355" s="10" t="n"/>
      <c r="V355" s="23">
        <f>IF(LEFT(B355,4)&lt;&gt;"    ","",IF(N355&lt;&gt;0,X355/N355,0))</f>
        <v/>
      </c>
      <c r="W355" s="11">
        <f>IF(LEFT(B355,4)&lt;&gt;"    ","",IF(V355&gt;=0.1,V355*J355,X355))</f>
        <v/>
      </c>
      <c r="X355" s="8" t="n"/>
      <c r="Y355" s="9">
        <f>IF(LEFT(B355,4)&lt;&gt;"    ",0,IF(Q355&lt;0,Q355,IF(V355&gt;0.1,W355-X355,0)))</f>
        <v/>
      </c>
      <c r="Z355" s="9">
        <f>IF(LEFT(B355,4)&lt;&gt;"    ",0,IF(V355&gt;0.1,BI355,0))</f>
        <v/>
      </c>
      <c r="AA355" s="9">
        <f>Y355-Z355</f>
        <v/>
      </c>
      <c r="AB355" s="10" t="n"/>
      <c r="AC355" s="24" t="n"/>
      <c r="AD355" s="11" t="n"/>
      <c r="AE355" s="8" t="n"/>
      <c r="AF355" s="9">
        <f>IF(LEFT(B355,4)&lt;&gt;"    ","",AD355-AE355)</f>
        <v/>
      </c>
      <c r="AG355" s="10" t="n"/>
      <c r="AH355" s="11">
        <f>IF(LEFT(B355,4)&lt;&gt;"    ","",W355-AD355)</f>
        <v/>
      </c>
      <c r="AI355" s="8">
        <f>IF(LEFT(B355,4)&lt;&gt;"    ","",X355-AE355)</f>
        <v/>
      </c>
      <c r="AJ355" s="9">
        <f>IF(LEFT(B355,4)&lt;&gt;"    ","",Y355-AF355)</f>
        <v/>
      </c>
      <c r="AK355" s="10" t="n"/>
      <c r="AL355" s="25">
        <f>IF(LEFT(B355,4)&lt;&gt;"    ","",J355-W355)</f>
        <v/>
      </c>
      <c r="AM355" s="25">
        <f>N355-X355</f>
        <v/>
      </c>
      <c r="AN355" s="25">
        <f>IF(LEFT(B355,4)&lt;&gt;"    ","",Q355-Y355)</f>
        <v/>
      </c>
      <c r="AO355" s="10" t="n"/>
      <c r="AP355" s="12" t="n"/>
      <c r="AQ355" s="12">
        <f>IF(LEFT(B355,4)&lt;&gt;"    ","",IF(W355-AP355&gt;=0,W355-AP355," "))</f>
        <v/>
      </c>
      <c r="AR355" s="12">
        <f>IF(LEFT(B355,4)&lt;&gt;"    ","",IF(AP355-W355&gt;=0,AP355-W355," "))</f>
        <v/>
      </c>
      <c r="AS355" s="186" t="n"/>
      <c r="AT355" s="187" t="n"/>
      <c r="AU355" s="186" t="n"/>
      <c r="AV355" s="186" t="n"/>
      <c r="AW355" s="188" t="n"/>
      <c r="AX355" s="187" t="n"/>
      <c r="AY355" s="187" t="n"/>
      <c r="AZ355" s="186" t="n"/>
      <c r="BA355" s="186" t="n"/>
      <c r="BB355" s="186" t="n"/>
      <c r="BC355" s="186" t="n"/>
      <c r="BD355" s="186" t="n"/>
      <c r="BE355" s="186" t="n"/>
      <c r="BF355" s="186" t="n"/>
      <c r="BG355" s="186" t="n"/>
      <c r="BH355" s="186" t="n"/>
      <c r="BI355" s="186" t="n"/>
      <c r="BJ355" s="186" t="n"/>
      <c r="BK355" s="186" t="n"/>
      <c r="BL355" s="186" t="n"/>
      <c r="BM355" s="186" t="n"/>
      <c r="BN355" s="186" t="n"/>
      <c r="BO355" s="186" t="n"/>
      <c r="BP355" s="186" t="n"/>
      <c r="BQ355" s="186" t="n"/>
      <c r="BR355" s="186" t="n"/>
      <c r="BS355" s="186" t="n"/>
      <c r="BT355" s="186" t="n"/>
      <c r="BU355" s="186" t="n"/>
      <c r="BV355" s="190" t="n"/>
      <c r="BW355" s="186" t="n"/>
      <c r="BX355" s="186" t="n"/>
      <c r="BY355" s="186" t="n"/>
      <c r="BZ355" s="186" t="n"/>
      <c r="CA355" s="186" t="n"/>
      <c r="CB355" s="187" t="n"/>
      <c r="CC355" s="192" t="n"/>
      <c r="CD355" s="192" t="n"/>
      <c r="CE355" s="192" t="n"/>
      <c r="CF355" s="192" t="n"/>
    </row>
    <row r="356">
      <c r="A356" s="197" t="n"/>
      <c r="B356" s="198" t="n"/>
      <c r="C356" s="198" t="n"/>
      <c r="D356" s="179" t="n"/>
      <c r="E356" s="180" t="n"/>
      <c r="F356" s="181" t="n"/>
      <c r="G356" s="284">
        <f>'Jobs-Ops'!G356</f>
        <v/>
      </c>
      <c r="H356" s="114">
        <f>'Jobs-Ops'!H356</f>
        <v/>
      </c>
      <c r="I356" s="105" t="n"/>
      <c r="J356" s="196">
        <f>F356</f>
        <v/>
      </c>
      <c r="K356" s="184" t="n"/>
      <c r="L356" s="185" t="n"/>
      <c r="M356" s="8" t="n"/>
      <c r="N356" s="71">
        <f>M356</f>
        <v/>
      </c>
      <c r="O356" s="71" t="n"/>
      <c r="P356" s="101" t="n"/>
      <c r="Q356" s="9">
        <f>J356-N356</f>
        <v/>
      </c>
      <c r="R356" s="9">
        <f>IF(LEFT(B356,4)&lt;&gt;"    ",0,BI356)</f>
        <v/>
      </c>
      <c r="S356" s="9">
        <f>+Q356-R356</f>
        <v/>
      </c>
      <c r="T356" s="200">
        <f>IF('Jobs-Ops'!S356&lt;&gt; "",'Jobs-Ops'!S356,"")</f>
        <v/>
      </c>
      <c r="U356" s="10" t="n"/>
      <c r="V356" s="23">
        <f>IF(LEFT(B356,4)&lt;&gt;"    ","",IF(N356&lt;&gt;0,X356/N356,0))</f>
        <v/>
      </c>
      <c r="W356" s="11">
        <f>IF(LEFT(B356,4)&lt;&gt;"    ","",IF(V356&gt;=0.1,V356*J356,X356))</f>
        <v/>
      </c>
      <c r="X356" s="8" t="n"/>
      <c r="Y356" s="9">
        <f>IF(LEFT(B356,4)&lt;&gt;"    ",0,IF(Q356&lt;0,Q356,IF(V356&gt;0.1,W356-X356,0)))</f>
        <v/>
      </c>
      <c r="Z356" s="9">
        <f>IF(LEFT(B356,4)&lt;&gt;"    ",0,IF(V356&gt;0.1,BI356,0))</f>
        <v/>
      </c>
      <c r="AA356" s="9">
        <f>Y356-Z356</f>
        <v/>
      </c>
      <c r="AB356" s="10" t="n"/>
      <c r="AC356" s="24" t="n"/>
      <c r="AD356" s="11" t="n"/>
      <c r="AE356" s="8" t="n"/>
      <c r="AF356" s="9">
        <f>IF(LEFT(B356,4)&lt;&gt;"    ","",AD356-AE356)</f>
        <v/>
      </c>
      <c r="AG356" s="10" t="n"/>
      <c r="AH356" s="11">
        <f>IF(LEFT(B356,4)&lt;&gt;"    ","",W356-AD356)</f>
        <v/>
      </c>
      <c r="AI356" s="8">
        <f>IF(LEFT(B356,4)&lt;&gt;"    ","",X356-AE356)</f>
        <v/>
      </c>
      <c r="AJ356" s="9">
        <f>IF(LEFT(B356,4)&lt;&gt;"    ","",Y356-AF356)</f>
        <v/>
      </c>
      <c r="AK356" s="10" t="n"/>
      <c r="AL356" s="25">
        <f>IF(LEFT(B356,4)&lt;&gt;"    ","",J356-W356)</f>
        <v/>
      </c>
      <c r="AM356" s="25">
        <f>N356-X356</f>
        <v/>
      </c>
      <c r="AN356" s="25">
        <f>IF(LEFT(B356,4)&lt;&gt;"    ","",Q356-Y356)</f>
        <v/>
      </c>
      <c r="AO356" s="10" t="n"/>
      <c r="AP356" s="12" t="n"/>
      <c r="AQ356" s="12">
        <f>IF(LEFT(B356,4)&lt;&gt;"    ","",IF(W356-AP356&gt;=0,W356-AP356," "))</f>
        <v/>
      </c>
      <c r="AR356" s="12">
        <f>IF(LEFT(B356,4)&lt;&gt;"    ","",IF(AP356-W356&gt;=0,AP356-W356," "))</f>
        <v/>
      </c>
      <c r="AS356" s="186" t="n"/>
      <c r="AT356" s="187" t="n"/>
      <c r="AU356" s="186" t="n"/>
      <c r="AV356" s="186" t="n"/>
      <c r="AW356" s="188" t="n"/>
      <c r="AX356" s="187" t="n"/>
      <c r="AY356" s="187" t="n"/>
      <c r="AZ356" s="186" t="n"/>
      <c r="BA356" s="186" t="n"/>
      <c r="BB356" s="186" t="n"/>
      <c r="BC356" s="186" t="n"/>
      <c r="BD356" s="186" t="n"/>
      <c r="BE356" s="186" t="n"/>
      <c r="BF356" s="186" t="n"/>
      <c r="BG356" s="186" t="n"/>
      <c r="BH356" s="186" t="n"/>
      <c r="BI356" s="186" t="n"/>
      <c r="BJ356" s="186" t="n"/>
      <c r="BK356" s="186" t="n"/>
      <c r="BL356" s="186" t="n"/>
      <c r="BM356" s="186" t="n"/>
      <c r="BN356" s="186" t="n"/>
      <c r="BO356" s="186" t="n"/>
      <c r="BP356" s="186" t="n"/>
      <c r="BQ356" s="186" t="n"/>
      <c r="BR356" s="186" t="n"/>
      <c r="BS356" s="186" t="n"/>
      <c r="BT356" s="186" t="n"/>
      <c r="BU356" s="186" t="n"/>
      <c r="BV356" s="190" t="n"/>
      <c r="BW356" s="186" t="n"/>
      <c r="BX356" s="186" t="n"/>
      <c r="BY356" s="186" t="n"/>
      <c r="BZ356" s="186" t="n"/>
      <c r="CA356" s="186" t="n"/>
      <c r="CB356" s="187" t="n"/>
      <c r="CC356" s="192" t="n"/>
      <c r="CD356" s="192" t="n"/>
      <c r="CE356" s="192" t="n"/>
      <c r="CF356" s="192" t="n"/>
    </row>
    <row r="357">
      <c r="A357" s="197" t="n"/>
      <c r="B357" s="201" t="n"/>
      <c r="C357" s="198" t="n"/>
      <c r="D357" s="179" t="n"/>
      <c r="E357" s="180" t="n"/>
      <c r="F357" s="181" t="n"/>
      <c r="G357" s="284">
        <f>'Jobs-Ops'!G357</f>
        <v/>
      </c>
      <c r="H357" s="114">
        <f>'Jobs-Ops'!H357</f>
        <v/>
      </c>
      <c r="I357" s="105" t="n"/>
      <c r="J357" s="196">
        <f>F357</f>
        <v/>
      </c>
      <c r="K357" s="184" t="n"/>
      <c r="L357" s="185" t="n"/>
      <c r="M357" s="8" t="n"/>
      <c r="N357" s="71">
        <f>M357</f>
        <v/>
      </c>
      <c r="O357" s="71" t="n"/>
      <c r="P357" s="101" t="n"/>
      <c r="Q357" s="9">
        <f>J357-N357</f>
        <v/>
      </c>
      <c r="R357" s="9">
        <f>IF(LEFT(B357,4)&lt;&gt;"    ",0,BI357)</f>
        <v/>
      </c>
      <c r="S357" s="9">
        <f>+Q357-R357</f>
        <v/>
      </c>
      <c r="T357" s="200">
        <f>IF('Jobs-Ops'!S357&lt;&gt; "",'Jobs-Ops'!S357,"")</f>
        <v/>
      </c>
      <c r="U357" s="10" t="n"/>
      <c r="V357" s="23">
        <f>IF(LEFT(B357,4)&lt;&gt;"    ","",IF(N357&lt;&gt;0,X357/N357,0))</f>
        <v/>
      </c>
      <c r="W357" s="11">
        <f>IF(LEFT(B357,4)&lt;&gt;"    ","",IF(V357&gt;=0.1,V357*J357,X357))</f>
        <v/>
      </c>
      <c r="X357" s="8" t="n"/>
      <c r="Y357" s="9">
        <f>IF(LEFT(B357,4)&lt;&gt;"    ",0,IF(Q357&lt;0,Q357,IF(V357&gt;0.1,W357-X357,0)))</f>
        <v/>
      </c>
      <c r="Z357" s="9">
        <f>IF(LEFT(B357,4)&lt;&gt;"    ",0,IF(V357&gt;0.1,BI357,0))</f>
        <v/>
      </c>
      <c r="AA357" s="9">
        <f>Y357-Z357</f>
        <v/>
      </c>
      <c r="AB357" s="10" t="n"/>
      <c r="AC357" s="24" t="n"/>
      <c r="AD357" s="11" t="n"/>
      <c r="AE357" s="8" t="n"/>
      <c r="AF357" s="9">
        <f>IF(LEFT(B357,4)&lt;&gt;"    ","",AD357-AE357)</f>
        <v/>
      </c>
      <c r="AG357" s="10" t="n"/>
      <c r="AH357" s="11">
        <f>IF(LEFT(B357,4)&lt;&gt;"    ","",W357-AD357)</f>
        <v/>
      </c>
      <c r="AI357" s="8">
        <f>IF(LEFT(B357,4)&lt;&gt;"    ","",X357-AE357)</f>
        <v/>
      </c>
      <c r="AJ357" s="9">
        <f>IF(LEFT(B357,4)&lt;&gt;"    ","",Y357-AF357)</f>
        <v/>
      </c>
      <c r="AK357" s="10" t="n"/>
      <c r="AL357" s="25">
        <f>IF(LEFT(B357,4)&lt;&gt;"    ","",J357-W357)</f>
        <v/>
      </c>
      <c r="AM357" s="25">
        <f>N357-X357</f>
        <v/>
      </c>
      <c r="AN357" s="25">
        <f>IF(LEFT(B357,4)&lt;&gt;"    ","",Q357-Y357)</f>
        <v/>
      </c>
      <c r="AO357" s="10" t="n"/>
      <c r="AP357" s="12" t="n"/>
      <c r="AQ357" s="12">
        <f>IF(LEFT(B357,4)&lt;&gt;"    ","",IF(W357-AP357&gt;=0,W357-AP357," "))</f>
        <v/>
      </c>
      <c r="AR357" s="12">
        <f>IF(LEFT(B357,4)&lt;&gt;"    ","",IF(AP357-W357&gt;=0,AP357-W357," "))</f>
        <v/>
      </c>
      <c r="AS357" s="186" t="n"/>
      <c r="AT357" s="187" t="n"/>
      <c r="AU357" s="186" t="n"/>
      <c r="AV357" s="186" t="n"/>
      <c r="AW357" s="188" t="n"/>
      <c r="AX357" s="187" t="n"/>
      <c r="AY357" s="187" t="n"/>
      <c r="AZ357" s="186" t="n"/>
      <c r="BA357" s="186" t="n"/>
      <c r="BB357" s="186" t="n"/>
      <c r="BC357" s="186" t="n"/>
      <c r="BD357" s="186" t="n"/>
      <c r="BE357" s="186" t="n"/>
      <c r="BF357" s="186" t="n"/>
      <c r="BG357" s="186" t="n"/>
      <c r="BH357" s="186" t="n"/>
      <c r="BI357" s="186" t="n"/>
      <c r="BJ357" s="186" t="n"/>
      <c r="BK357" s="186" t="n"/>
      <c r="BL357" s="186" t="n"/>
      <c r="BM357" s="186" t="n"/>
      <c r="BN357" s="186" t="n"/>
      <c r="BO357" s="186" t="n"/>
      <c r="BP357" s="186" t="n"/>
      <c r="BQ357" s="186" t="n"/>
      <c r="BR357" s="186" t="n"/>
      <c r="BS357" s="186" t="n"/>
      <c r="BT357" s="186" t="n"/>
      <c r="BU357" s="186" t="n"/>
      <c r="BV357" s="190" t="n"/>
      <c r="BW357" s="186" t="n"/>
      <c r="BX357" s="186" t="n"/>
      <c r="BY357" s="186" t="n"/>
      <c r="BZ357" s="186" t="n"/>
      <c r="CA357" s="186" t="n"/>
      <c r="CB357" s="187" t="n"/>
      <c r="CC357" s="192" t="n"/>
      <c r="CD357" s="192" t="n"/>
      <c r="CE357" s="192" t="n"/>
      <c r="CF357" s="192" t="n"/>
    </row>
    <row r="358">
      <c r="A358" s="197" t="n"/>
      <c r="B358" s="201" t="n"/>
      <c r="C358" s="198" t="n"/>
      <c r="D358" s="179" t="n"/>
      <c r="E358" s="180" t="n"/>
      <c r="F358" s="181" t="n"/>
      <c r="G358" s="284">
        <f>'Jobs-Ops'!G358</f>
        <v/>
      </c>
      <c r="H358" s="114">
        <f>'Jobs-Ops'!H358</f>
        <v/>
      </c>
      <c r="I358" s="105" t="n"/>
      <c r="J358" s="196">
        <f>F358</f>
        <v/>
      </c>
      <c r="K358" s="184" t="n"/>
      <c r="L358" s="185" t="n"/>
      <c r="M358" s="8" t="n"/>
      <c r="N358" s="71">
        <f>M358</f>
        <v/>
      </c>
      <c r="O358" s="71" t="n"/>
      <c r="P358" s="101" t="n"/>
      <c r="Q358" s="9">
        <f>J358-N358</f>
        <v/>
      </c>
      <c r="R358" s="9">
        <f>IF(LEFT(B358,4)&lt;&gt;"    ",0,BI358)</f>
        <v/>
      </c>
      <c r="S358" s="9">
        <f>+Q358-R358</f>
        <v/>
      </c>
      <c r="T358" s="200">
        <f>IF('Jobs-Ops'!S358&lt;&gt; "",'Jobs-Ops'!S358,"")</f>
        <v/>
      </c>
      <c r="U358" s="10" t="n"/>
      <c r="V358" s="23">
        <f>IF(LEFT(B358,4)&lt;&gt;"    ","",IF(N358&lt;&gt;0,X358/N358,0))</f>
        <v/>
      </c>
      <c r="W358" s="11">
        <f>IF(LEFT(B358,4)&lt;&gt;"    ","",IF(V358&gt;=0.1,V358*J358,X358))</f>
        <v/>
      </c>
      <c r="X358" s="8" t="n"/>
      <c r="Y358" s="9">
        <f>IF(LEFT(B358,4)&lt;&gt;"    ",0,IF(Q358&lt;0,Q358,IF(V358&gt;0.1,W358-X358,0)))</f>
        <v/>
      </c>
      <c r="Z358" s="9">
        <f>IF(LEFT(B358,4)&lt;&gt;"    ",0,IF(V358&gt;0.1,BI358,0))</f>
        <v/>
      </c>
      <c r="AA358" s="9">
        <f>Y358-Z358</f>
        <v/>
      </c>
      <c r="AB358" s="10" t="n"/>
      <c r="AC358" s="24" t="n"/>
      <c r="AD358" s="11" t="n"/>
      <c r="AE358" s="8" t="n"/>
      <c r="AF358" s="9">
        <f>IF(LEFT(B358,4)&lt;&gt;"    ","",AD358-AE358)</f>
        <v/>
      </c>
      <c r="AG358" s="10" t="n"/>
      <c r="AH358" s="11">
        <f>IF(LEFT(B358,4)&lt;&gt;"    ","",W358-AD358)</f>
        <v/>
      </c>
      <c r="AI358" s="8">
        <f>IF(LEFT(B358,4)&lt;&gt;"    ","",X358-AE358)</f>
        <v/>
      </c>
      <c r="AJ358" s="9">
        <f>IF(LEFT(B358,4)&lt;&gt;"    ","",Y358-AF358)</f>
        <v/>
      </c>
      <c r="AK358" s="10" t="n"/>
      <c r="AL358" s="25">
        <f>IF(LEFT(B358,4)&lt;&gt;"    ","",J358-W358)</f>
        <v/>
      </c>
      <c r="AM358" s="25">
        <f>N358-X358</f>
        <v/>
      </c>
      <c r="AN358" s="25">
        <f>IF(LEFT(B358,4)&lt;&gt;"    ","",Q358-Y358)</f>
        <v/>
      </c>
      <c r="AO358" s="10" t="n"/>
      <c r="AP358" s="12" t="n"/>
      <c r="AQ358" s="12">
        <f>IF(LEFT(B358,4)&lt;&gt;"    ","",IF(W358-AP358&gt;=0,W358-AP358," "))</f>
        <v/>
      </c>
      <c r="AR358" s="12">
        <f>IF(LEFT(B358,4)&lt;&gt;"    ","",IF(AP358-W358&gt;=0,AP358-W358," "))</f>
        <v/>
      </c>
      <c r="AS358" s="186" t="n"/>
      <c r="AT358" s="187" t="n"/>
      <c r="AU358" s="186" t="n"/>
      <c r="AV358" s="186" t="n"/>
      <c r="AW358" s="188" t="n"/>
      <c r="AX358" s="187" t="n"/>
      <c r="AY358" s="187" t="n"/>
      <c r="AZ358" s="186" t="n"/>
      <c r="BA358" s="186" t="n"/>
      <c r="BB358" s="186" t="n"/>
      <c r="BC358" s="186" t="n"/>
      <c r="BD358" s="186" t="n"/>
      <c r="BE358" s="186" t="n"/>
      <c r="BF358" s="186" t="n"/>
      <c r="BG358" s="186" t="n"/>
      <c r="BH358" s="186" t="n"/>
      <c r="BI358" s="186" t="n"/>
      <c r="BJ358" s="186" t="n"/>
      <c r="BK358" s="186" t="n"/>
      <c r="BL358" s="186" t="n"/>
      <c r="BM358" s="186" t="n"/>
      <c r="BN358" s="186" t="n"/>
      <c r="BO358" s="186" t="n"/>
      <c r="BP358" s="186" t="n"/>
      <c r="BQ358" s="186" t="n"/>
      <c r="BR358" s="186" t="n"/>
      <c r="BS358" s="186" t="n"/>
      <c r="BT358" s="186" t="n"/>
      <c r="BU358" s="186" t="n"/>
      <c r="BV358" s="190" t="n"/>
      <c r="BW358" s="186" t="n"/>
      <c r="BX358" s="186" t="n"/>
      <c r="BY358" s="186" t="n"/>
      <c r="BZ358" s="186" t="n"/>
      <c r="CA358" s="186" t="n"/>
      <c r="CB358" s="187" t="n"/>
      <c r="CC358" s="192" t="n"/>
      <c r="CD358" s="192" t="n"/>
      <c r="CE358" s="192" t="n"/>
      <c r="CF358" s="192" t="n"/>
    </row>
    <row r="359">
      <c r="A359" s="197" t="n"/>
      <c r="B359" s="201" t="n"/>
      <c r="C359" s="198" t="n"/>
      <c r="D359" s="179" t="n"/>
      <c r="E359" s="180" t="n"/>
      <c r="F359" s="181" t="n"/>
      <c r="G359" s="284">
        <f>'Jobs-Ops'!G359</f>
        <v/>
      </c>
      <c r="H359" s="114">
        <f>'Jobs-Ops'!H359</f>
        <v/>
      </c>
      <c r="I359" s="105" t="n"/>
      <c r="J359" s="196">
        <f>F359</f>
        <v/>
      </c>
      <c r="K359" s="184" t="n"/>
      <c r="L359" s="185" t="n"/>
      <c r="M359" s="8" t="n"/>
      <c r="N359" s="71">
        <f>M359</f>
        <v/>
      </c>
      <c r="O359" s="71" t="n"/>
      <c r="P359" s="101" t="n"/>
      <c r="Q359" s="9">
        <f>J359-N359</f>
        <v/>
      </c>
      <c r="R359" s="9">
        <f>IF(LEFT(B359,4)&lt;&gt;"    ",0,BI359)</f>
        <v/>
      </c>
      <c r="S359" s="9">
        <f>+Q359-R359</f>
        <v/>
      </c>
      <c r="T359" s="200">
        <f>IF('Jobs-Ops'!S359&lt;&gt; "",'Jobs-Ops'!S359,"")</f>
        <v/>
      </c>
      <c r="U359" s="10" t="n"/>
      <c r="V359" s="23">
        <f>IF(LEFT(B359,4)&lt;&gt;"    ","",IF(N359&lt;&gt;0,X359/N359,0))</f>
        <v/>
      </c>
      <c r="W359" s="11">
        <f>IF(LEFT(B359,4)&lt;&gt;"    ","",IF(V359&gt;=0.1,V359*J359,X359))</f>
        <v/>
      </c>
      <c r="X359" s="8" t="n"/>
      <c r="Y359" s="9">
        <f>IF(LEFT(B359,4)&lt;&gt;"    ",0,IF(Q359&lt;0,Q359,IF(V359&gt;0.1,W359-X359,0)))</f>
        <v/>
      </c>
      <c r="Z359" s="9">
        <f>IF(LEFT(B359,4)&lt;&gt;"    ",0,IF(V359&gt;0.1,BI359,0))</f>
        <v/>
      </c>
      <c r="AA359" s="9">
        <f>Y359-Z359</f>
        <v/>
      </c>
      <c r="AB359" s="10" t="n"/>
      <c r="AC359" s="24" t="n"/>
      <c r="AD359" s="11" t="n"/>
      <c r="AE359" s="8" t="n"/>
      <c r="AF359" s="9">
        <f>IF(LEFT(B359,4)&lt;&gt;"    ","",AD359-AE359)</f>
        <v/>
      </c>
      <c r="AG359" s="10" t="n"/>
      <c r="AH359" s="11">
        <f>IF(LEFT(B359,4)&lt;&gt;"    ","",W359-AD359)</f>
        <v/>
      </c>
      <c r="AI359" s="8">
        <f>IF(LEFT(B359,4)&lt;&gt;"    ","",X359-AE359)</f>
        <v/>
      </c>
      <c r="AJ359" s="9">
        <f>IF(LEFT(B359,4)&lt;&gt;"    ","",Y359-AF359)</f>
        <v/>
      </c>
      <c r="AK359" s="10" t="n"/>
      <c r="AL359" s="25">
        <f>IF(LEFT(B359,4)&lt;&gt;"    ","",J359-W359)</f>
        <v/>
      </c>
      <c r="AM359" s="25">
        <f>N359-X359</f>
        <v/>
      </c>
      <c r="AN359" s="25">
        <f>IF(LEFT(B359,4)&lt;&gt;"    ","",Q359-Y359)</f>
        <v/>
      </c>
      <c r="AO359" s="10" t="n"/>
      <c r="AP359" s="12" t="n"/>
      <c r="AQ359" s="12">
        <f>IF(LEFT(B359,4)&lt;&gt;"    ","",IF(W359-AP359&gt;=0,W359-AP359," "))</f>
        <v/>
      </c>
      <c r="AR359" s="12">
        <f>IF(LEFT(B359,4)&lt;&gt;"    ","",IF(AP359-W359&gt;=0,AP359-W359," "))</f>
        <v/>
      </c>
      <c r="AS359" s="186" t="n"/>
      <c r="AT359" s="187" t="n"/>
      <c r="AU359" s="186" t="n"/>
      <c r="AV359" s="186" t="n"/>
      <c r="AW359" s="188" t="n"/>
      <c r="AX359" s="187" t="n"/>
      <c r="AY359" s="187" t="n"/>
      <c r="AZ359" s="186" t="n"/>
      <c r="BA359" s="186" t="n"/>
      <c r="BB359" s="186" t="n"/>
      <c r="BC359" s="186" t="n"/>
      <c r="BD359" s="186" t="n"/>
      <c r="BE359" s="186" t="n"/>
      <c r="BF359" s="186" t="n"/>
      <c r="BG359" s="186" t="n"/>
      <c r="BH359" s="186" t="n"/>
      <c r="BI359" s="186" t="n"/>
      <c r="BJ359" s="186" t="n"/>
      <c r="BK359" s="186" t="n"/>
      <c r="BL359" s="186" t="n"/>
      <c r="BM359" s="186" t="n"/>
      <c r="BN359" s="186" t="n"/>
      <c r="BO359" s="186" t="n"/>
      <c r="BP359" s="186" t="n"/>
      <c r="BQ359" s="186" t="n"/>
      <c r="BR359" s="186" t="n"/>
      <c r="BS359" s="186" t="n"/>
      <c r="BT359" s="186" t="n"/>
      <c r="BU359" s="186" t="n"/>
      <c r="BV359" s="190" t="n"/>
      <c r="BW359" s="186" t="n"/>
      <c r="BX359" s="186" t="n"/>
      <c r="BY359" s="186" t="n"/>
      <c r="BZ359" s="186" t="n"/>
      <c r="CA359" s="186" t="n"/>
      <c r="CB359" s="187" t="n"/>
      <c r="CC359" s="192" t="n"/>
      <c r="CD359" s="192" t="n"/>
      <c r="CE359" s="192" t="n"/>
      <c r="CF359" s="192" t="n"/>
    </row>
    <row r="360">
      <c r="A360" s="197" t="n"/>
      <c r="B360" s="201" t="n"/>
      <c r="C360" s="198" t="n"/>
      <c r="D360" s="179" t="n"/>
      <c r="E360" s="180" t="n"/>
      <c r="F360" s="181" t="n"/>
      <c r="G360" s="284">
        <f>'Jobs-Ops'!G360</f>
        <v/>
      </c>
      <c r="H360" s="114">
        <f>'Jobs-Ops'!H360</f>
        <v/>
      </c>
      <c r="I360" s="105" t="n"/>
      <c r="J360" s="196">
        <f>F360</f>
        <v/>
      </c>
      <c r="K360" s="184" t="n"/>
      <c r="L360" s="185" t="n"/>
      <c r="M360" s="8" t="n"/>
      <c r="N360" s="71">
        <f>M360</f>
        <v/>
      </c>
      <c r="O360" s="71" t="n"/>
      <c r="P360" s="101" t="n"/>
      <c r="Q360" s="9">
        <f>J360-N360</f>
        <v/>
      </c>
      <c r="R360" s="9">
        <f>IF(LEFT(B360,4)&lt;&gt;"    ",0,BI360)</f>
        <v/>
      </c>
      <c r="S360" s="9">
        <f>+Q360-R360</f>
        <v/>
      </c>
      <c r="T360" s="200">
        <f>IF('Jobs-Ops'!S360&lt;&gt; "",'Jobs-Ops'!S360,"")</f>
        <v/>
      </c>
      <c r="U360" s="10" t="n"/>
      <c r="V360" s="23">
        <f>IF(LEFT(B360,4)&lt;&gt;"    ","",IF(N360&lt;&gt;0,X360/N360,0))</f>
        <v/>
      </c>
      <c r="W360" s="11">
        <f>IF(LEFT(B360,4)&lt;&gt;"    ","",IF(V360&gt;=0.1,V360*J360,X360))</f>
        <v/>
      </c>
      <c r="X360" s="8" t="n"/>
      <c r="Y360" s="9">
        <f>IF(LEFT(B360,4)&lt;&gt;"    ",0,IF(Q360&lt;0,Q360,IF(V360&gt;0.1,W360-X360,0)))</f>
        <v/>
      </c>
      <c r="Z360" s="9">
        <f>IF(LEFT(B360,4)&lt;&gt;"    ",0,IF(V360&gt;0.1,BI360,0))</f>
        <v/>
      </c>
      <c r="AA360" s="9">
        <f>Y360-Z360</f>
        <v/>
      </c>
      <c r="AB360" s="10" t="n"/>
      <c r="AC360" s="24" t="n"/>
      <c r="AD360" s="11" t="n"/>
      <c r="AE360" s="8" t="n"/>
      <c r="AF360" s="9">
        <f>IF(LEFT(B360,4)&lt;&gt;"    ","",AD360-AE360)</f>
        <v/>
      </c>
      <c r="AG360" s="10" t="n"/>
      <c r="AH360" s="11">
        <f>IF(LEFT(B360,4)&lt;&gt;"    ","",W360-AD360)</f>
        <v/>
      </c>
      <c r="AI360" s="8">
        <f>IF(LEFT(B360,4)&lt;&gt;"    ","",X360-AE360)</f>
        <v/>
      </c>
      <c r="AJ360" s="9">
        <f>IF(LEFT(B360,4)&lt;&gt;"    ","",Y360-AF360)</f>
        <v/>
      </c>
      <c r="AK360" s="10" t="n"/>
      <c r="AL360" s="25">
        <f>IF(LEFT(B360,4)&lt;&gt;"    ","",J360-W360)</f>
        <v/>
      </c>
      <c r="AM360" s="25">
        <f>N360-X360</f>
        <v/>
      </c>
      <c r="AN360" s="25">
        <f>IF(LEFT(B360,4)&lt;&gt;"    ","",Q360-Y360)</f>
        <v/>
      </c>
      <c r="AO360" s="10" t="n"/>
      <c r="AP360" s="12" t="n"/>
      <c r="AQ360" s="12">
        <f>IF(LEFT(B360,4)&lt;&gt;"    ","",IF(W360-AP360&gt;=0,W360-AP360," "))</f>
        <v/>
      </c>
      <c r="AR360" s="12">
        <f>IF(LEFT(B360,4)&lt;&gt;"    ","",IF(AP360-W360&gt;=0,AP360-W360," "))</f>
        <v/>
      </c>
      <c r="AS360" s="186" t="n"/>
      <c r="AT360" s="187" t="n"/>
      <c r="AU360" s="186" t="n"/>
      <c r="AV360" s="186" t="n"/>
      <c r="AW360" s="188" t="n"/>
      <c r="AX360" s="187" t="n"/>
      <c r="AY360" s="187" t="n"/>
      <c r="AZ360" s="186" t="n"/>
      <c r="BA360" s="186" t="n"/>
      <c r="BB360" s="186" t="n"/>
      <c r="BC360" s="186" t="n"/>
      <c r="BD360" s="186" t="n"/>
      <c r="BE360" s="186" t="n"/>
      <c r="BF360" s="186" t="n"/>
      <c r="BG360" s="186" t="n"/>
      <c r="BH360" s="186" t="n"/>
      <c r="BI360" s="186" t="n"/>
      <c r="BJ360" s="186" t="n"/>
      <c r="BK360" s="186" t="n"/>
      <c r="BL360" s="186" t="n"/>
      <c r="BM360" s="186" t="n"/>
      <c r="BN360" s="186" t="n"/>
      <c r="BO360" s="186" t="n"/>
      <c r="BP360" s="186" t="n"/>
      <c r="BQ360" s="186" t="n"/>
      <c r="BR360" s="186" t="n"/>
      <c r="BS360" s="186" t="n"/>
      <c r="BT360" s="186" t="n"/>
      <c r="BU360" s="186" t="n"/>
      <c r="BV360" s="190" t="n"/>
      <c r="BW360" s="186" t="n"/>
      <c r="BX360" s="186" t="n"/>
      <c r="BY360" s="186" t="n"/>
      <c r="BZ360" s="186" t="n"/>
      <c r="CA360" s="186" t="n"/>
      <c r="CB360" s="187" t="n"/>
      <c r="CC360" s="192" t="n"/>
      <c r="CD360" s="192" t="n"/>
      <c r="CE360" s="192" t="n"/>
      <c r="CF360" s="192" t="n"/>
    </row>
    <row r="361">
      <c r="A361" s="197" t="n"/>
      <c r="B361" s="198" t="n"/>
      <c r="C361" s="198" t="n"/>
      <c r="D361" s="179" t="n"/>
      <c r="E361" s="180" t="n"/>
      <c r="F361" s="181" t="n"/>
      <c r="G361" s="284">
        <f>'Jobs-Ops'!G361</f>
        <v/>
      </c>
      <c r="H361" s="114">
        <f>'Jobs-Ops'!H361</f>
        <v/>
      </c>
      <c r="I361" s="105" t="n"/>
      <c r="J361" s="196">
        <f>F361</f>
        <v/>
      </c>
      <c r="K361" s="184" t="n"/>
      <c r="L361" s="185" t="n"/>
      <c r="M361" s="8" t="n"/>
      <c r="N361" s="71">
        <f>M361</f>
        <v/>
      </c>
      <c r="O361" s="71" t="n"/>
      <c r="P361" s="101" t="n"/>
      <c r="Q361" s="9">
        <f>J361-N361</f>
        <v/>
      </c>
      <c r="R361" s="9">
        <f>IF(LEFT(B361,4)&lt;&gt;"    ",0,BI361)</f>
        <v/>
      </c>
      <c r="S361" s="9">
        <f>+Q361-R361</f>
        <v/>
      </c>
      <c r="T361" s="200">
        <f>IF('Jobs-Ops'!S361&lt;&gt; "",'Jobs-Ops'!S361,"")</f>
        <v/>
      </c>
      <c r="U361" s="10" t="n"/>
      <c r="V361" s="23">
        <f>IF(LEFT(B361,4)&lt;&gt;"    ","",IF(N361&lt;&gt;0,X361/N361,0))</f>
        <v/>
      </c>
      <c r="W361" s="11">
        <f>IF(LEFT(B361,4)&lt;&gt;"    ","",IF(V361&gt;=0.1,V361*J361,X361))</f>
        <v/>
      </c>
      <c r="X361" s="8" t="n"/>
      <c r="Y361" s="9">
        <f>IF(LEFT(B361,4)&lt;&gt;"    ",0,IF(Q361&lt;0,Q361,IF(V361&gt;0.1,W361-X361,0)))</f>
        <v/>
      </c>
      <c r="Z361" s="9">
        <f>IF(LEFT(B361,4)&lt;&gt;"    ",0,IF(V361&gt;0.1,BI361,0))</f>
        <v/>
      </c>
      <c r="AA361" s="9">
        <f>Y361-Z361</f>
        <v/>
      </c>
      <c r="AB361" s="10" t="n"/>
      <c r="AC361" s="24" t="n"/>
      <c r="AD361" s="11" t="n"/>
      <c r="AE361" s="8" t="n"/>
      <c r="AF361" s="9">
        <f>IF(LEFT(B361,4)&lt;&gt;"    ","",AD361-AE361)</f>
        <v/>
      </c>
      <c r="AG361" s="10" t="n"/>
      <c r="AH361" s="11">
        <f>IF(LEFT(B361,4)&lt;&gt;"    ","",W361-AD361)</f>
        <v/>
      </c>
      <c r="AI361" s="8">
        <f>IF(LEFT(B361,4)&lt;&gt;"    ","",X361-AE361)</f>
        <v/>
      </c>
      <c r="AJ361" s="9">
        <f>IF(LEFT(B361,4)&lt;&gt;"    ","",Y361-AF361)</f>
        <v/>
      </c>
      <c r="AK361" s="10" t="n"/>
      <c r="AL361" s="25">
        <f>IF(LEFT(B361,4)&lt;&gt;"    ","",J361-W361)</f>
        <v/>
      </c>
      <c r="AM361" s="25">
        <f>N361-X361</f>
        <v/>
      </c>
      <c r="AN361" s="25">
        <f>IF(LEFT(B361,4)&lt;&gt;"    ","",Q361-Y361)</f>
        <v/>
      </c>
      <c r="AO361" s="10" t="n"/>
      <c r="AP361" s="12" t="n"/>
      <c r="AQ361" s="12">
        <f>IF(LEFT(B361,4)&lt;&gt;"    ","",IF(W361-AP361&gt;=0,W361-AP361," "))</f>
        <v/>
      </c>
      <c r="AR361" s="12">
        <f>IF(LEFT(B361,4)&lt;&gt;"    ","",IF(AP361-W361&gt;=0,AP361-W361," "))</f>
        <v/>
      </c>
      <c r="AS361" s="186" t="n"/>
      <c r="AT361" s="187" t="n"/>
      <c r="AU361" s="186" t="n"/>
      <c r="AV361" s="186" t="n"/>
      <c r="AW361" s="188" t="n"/>
      <c r="AX361" s="187" t="n"/>
      <c r="AY361" s="187" t="n"/>
      <c r="AZ361" s="186" t="n"/>
      <c r="BA361" s="186" t="n"/>
      <c r="BB361" s="186" t="n"/>
      <c r="BC361" s="186" t="n"/>
      <c r="BD361" s="186" t="n"/>
      <c r="BE361" s="186" t="n"/>
      <c r="BF361" s="186" t="n"/>
      <c r="BG361" s="186" t="n"/>
      <c r="BH361" s="186" t="n"/>
      <c r="BI361" s="186" t="n"/>
      <c r="BJ361" s="186" t="n"/>
      <c r="BK361" s="186" t="n"/>
      <c r="BL361" s="186" t="n"/>
      <c r="BM361" s="186" t="n"/>
      <c r="BN361" s="186" t="n"/>
      <c r="BO361" s="186" t="n"/>
      <c r="BP361" s="186" t="n"/>
      <c r="BQ361" s="186" t="n"/>
      <c r="BR361" s="186" t="n"/>
      <c r="BS361" s="186" t="n"/>
      <c r="BT361" s="186" t="n"/>
      <c r="BU361" s="186" t="n"/>
      <c r="BV361" s="190" t="n"/>
      <c r="BW361" s="186" t="n"/>
      <c r="BX361" s="186" t="n"/>
      <c r="BY361" s="186" t="n"/>
      <c r="BZ361" s="186" t="n"/>
      <c r="CA361" s="186" t="n"/>
      <c r="CB361" s="187" t="n"/>
      <c r="CC361" s="192" t="n"/>
      <c r="CD361" s="192" t="n"/>
      <c r="CE361" s="192" t="n"/>
      <c r="CF361" s="192" t="n"/>
    </row>
    <row r="362">
      <c r="A362" s="197" t="n"/>
      <c r="B362" s="198" t="n"/>
      <c r="C362" s="198" t="n"/>
      <c r="D362" s="179" t="n"/>
      <c r="E362" s="180" t="n"/>
      <c r="F362" s="181" t="n"/>
      <c r="G362" s="284">
        <f>'Jobs-Ops'!G362</f>
        <v/>
      </c>
      <c r="H362" s="114">
        <f>'Jobs-Ops'!H362</f>
        <v/>
      </c>
      <c r="I362" s="105" t="n"/>
      <c r="J362" s="196">
        <f>F362</f>
        <v/>
      </c>
      <c r="K362" s="184" t="n"/>
      <c r="L362" s="185" t="n"/>
      <c r="M362" s="8" t="n"/>
      <c r="N362" s="71">
        <f>M362</f>
        <v/>
      </c>
      <c r="O362" s="71" t="n"/>
      <c r="P362" s="101" t="n"/>
      <c r="Q362" s="9">
        <f>J362-N362</f>
        <v/>
      </c>
      <c r="R362" s="9">
        <f>IF(LEFT(B362,4)&lt;&gt;"    ",0,BI362)</f>
        <v/>
      </c>
      <c r="S362" s="9">
        <f>+Q362-R362</f>
        <v/>
      </c>
      <c r="T362" s="200">
        <f>IF('Jobs-Ops'!S362&lt;&gt; "",'Jobs-Ops'!S362,"")</f>
        <v/>
      </c>
      <c r="U362" s="10" t="n"/>
      <c r="V362" s="23">
        <f>IF(LEFT(B362,4)&lt;&gt;"    ","",IF(N362&lt;&gt;0,X362/N362,0))</f>
        <v/>
      </c>
      <c r="W362" s="11">
        <f>IF(LEFT(B362,4)&lt;&gt;"    ","",IF(V362&gt;=0.1,V362*J362,X362))</f>
        <v/>
      </c>
      <c r="X362" s="8" t="n"/>
      <c r="Y362" s="9">
        <f>IF(LEFT(B362,4)&lt;&gt;"    ",0,IF(Q362&lt;0,Q362,IF(V362&gt;0.1,W362-X362,0)))</f>
        <v/>
      </c>
      <c r="Z362" s="9">
        <f>IF(LEFT(B362,4)&lt;&gt;"    ",0,IF(V362&gt;0.1,BI362,0))</f>
        <v/>
      </c>
      <c r="AA362" s="9">
        <f>Y362-Z362</f>
        <v/>
      </c>
      <c r="AB362" s="10" t="n"/>
      <c r="AC362" s="24" t="n"/>
      <c r="AD362" s="11" t="n"/>
      <c r="AE362" s="8" t="n"/>
      <c r="AF362" s="9">
        <f>IF(LEFT(B362,4)&lt;&gt;"    ","",AD362-AE362)</f>
        <v/>
      </c>
      <c r="AG362" s="10" t="n"/>
      <c r="AH362" s="11">
        <f>IF(LEFT(B362,4)&lt;&gt;"    ","",W362-AD362)</f>
        <v/>
      </c>
      <c r="AI362" s="8">
        <f>IF(LEFT(B362,4)&lt;&gt;"    ","",X362-AE362)</f>
        <v/>
      </c>
      <c r="AJ362" s="9">
        <f>IF(LEFT(B362,4)&lt;&gt;"    ","",Y362-AF362)</f>
        <v/>
      </c>
      <c r="AK362" s="10" t="n"/>
      <c r="AL362" s="25">
        <f>IF(LEFT(B362,4)&lt;&gt;"    ","",J362-W362)</f>
        <v/>
      </c>
      <c r="AM362" s="25">
        <f>N362-X362</f>
        <v/>
      </c>
      <c r="AN362" s="25">
        <f>IF(LEFT(B362,4)&lt;&gt;"    ","",Q362-Y362)</f>
        <v/>
      </c>
      <c r="AO362" s="10" t="n"/>
      <c r="AP362" s="12" t="n"/>
      <c r="AQ362" s="12">
        <f>IF(LEFT(B362,4)&lt;&gt;"    ","",IF(W362-AP362&gt;=0,W362-AP362," "))</f>
        <v/>
      </c>
      <c r="AR362" s="12">
        <f>IF(LEFT(B362,4)&lt;&gt;"    ","",IF(AP362-W362&gt;=0,AP362-W362," "))</f>
        <v/>
      </c>
      <c r="AS362" s="186" t="n"/>
      <c r="AT362" s="187" t="n"/>
      <c r="AU362" s="186" t="n"/>
      <c r="AV362" s="186" t="n"/>
      <c r="AW362" s="188" t="n"/>
      <c r="AX362" s="187" t="n"/>
      <c r="AY362" s="187" t="n"/>
      <c r="AZ362" s="186" t="n"/>
      <c r="BA362" s="186" t="n"/>
      <c r="BB362" s="186" t="n"/>
      <c r="BC362" s="186" t="n"/>
      <c r="BD362" s="186" t="n"/>
      <c r="BE362" s="186" t="n"/>
      <c r="BF362" s="186" t="n"/>
      <c r="BG362" s="186" t="n"/>
      <c r="BH362" s="186" t="n"/>
      <c r="BI362" s="186" t="n"/>
      <c r="BJ362" s="186" t="n"/>
      <c r="BK362" s="186" t="n"/>
      <c r="BL362" s="186" t="n"/>
      <c r="BM362" s="186" t="n"/>
      <c r="BN362" s="186" t="n"/>
      <c r="BO362" s="186" t="n"/>
      <c r="BP362" s="186" t="n"/>
      <c r="BQ362" s="186" t="n"/>
      <c r="BR362" s="186" t="n"/>
      <c r="BS362" s="186" t="n"/>
      <c r="BT362" s="186" t="n"/>
      <c r="BU362" s="186" t="n"/>
      <c r="BV362" s="190" t="n"/>
      <c r="BW362" s="186" t="n"/>
      <c r="BX362" s="186" t="n"/>
      <c r="BY362" s="186" t="n"/>
      <c r="BZ362" s="186" t="n"/>
      <c r="CA362" s="186" t="n"/>
      <c r="CB362" s="187" t="n"/>
      <c r="CC362" s="192" t="n"/>
      <c r="CD362" s="192" t="n"/>
      <c r="CE362" s="192" t="n"/>
      <c r="CF362" s="192" t="n"/>
    </row>
    <row r="363">
      <c r="A363" s="197" t="n"/>
      <c r="B363" s="198" t="n"/>
      <c r="C363" s="198" t="n"/>
      <c r="D363" s="179" t="n"/>
      <c r="E363" s="180" t="n"/>
      <c r="F363" s="181" t="n"/>
      <c r="G363" s="284">
        <f>'Jobs-Ops'!G363</f>
        <v/>
      </c>
      <c r="H363" s="114">
        <f>'Jobs-Ops'!H363</f>
        <v/>
      </c>
      <c r="I363" s="105" t="n"/>
      <c r="J363" s="196">
        <f>F363</f>
        <v/>
      </c>
      <c r="K363" s="184" t="n"/>
      <c r="L363" s="185" t="n"/>
      <c r="M363" s="8" t="n"/>
      <c r="N363" s="71">
        <f>M363</f>
        <v/>
      </c>
      <c r="O363" s="71" t="n"/>
      <c r="P363" s="101" t="n"/>
      <c r="Q363" s="9">
        <f>J363-N363</f>
        <v/>
      </c>
      <c r="R363" s="9">
        <f>IF(LEFT(B363,4)&lt;&gt;"    ",0,BI363)</f>
        <v/>
      </c>
      <c r="S363" s="9">
        <f>+Q363-R363</f>
        <v/>
      </c>
      <c r="T363" s="200">
        <f>IF('Jobs-Ops'!S363&lt;&gt; "",'Jobs-Ops'!S363,"")</f>
        <v/>
      </c>
      <c r="U363" s="10" t="n"/>
      <c r="V363" s="23">
        <f>IF(LEFT(B363,4)&lt;&gt;"    ","",IF(N363&lt;&gt;0,X363/N363,0))</f>
        <v/>
      </c>
      <c r="W363" s="11">
        <f>IF(LEFT(B363,4)&lt;&gt;"    ","",IF(V363&gt;=0.1,V363*J363,X363))</f>
        <v/>
      </c>
      <c r="X363" s="8" t="n"/>
      <c r="Y363" s="9">
        <f>IF(LEFT(B363,4)&lt;&gt;"    ",0,IF(Q363&lt;0,Q363,IF(V363&gt;0.1,W363-X363,0)))</f>
        <v/>
      </c>
      <c r="Z363" s="9">
        <f>IF(LEFT(B363,4)&lt;&gt;"    ",0,IF(V363&gt;0.1,BI363,0))</f>
        <v/>
      </c>
      <c r="AA363" s="9">
        <f>Y363-Z363</f>
        <v/>
      </c>
      <c r="AB363" s="10" t="n"/>
      <c r="AC363" s="24" t="n"/>
      <c r="AD363" s="11" t="n"/>
      <c r="AE363" s="8" t="n"/>
      <c r="AF363" s="9">
        <f>IF(LEFT(B363,4)&lt;&gt;"    ","",AD363-AE363)</f>
        <v/>
      </c>
      <c r="AG363" s="10" t="n"/>
      <c r="AH363" s="11">
        <f>IF(LEFT(B363,4)&lt;&gt;"    ","",W363-AD363)</f>
        <v/>
      </c>
      <c r="AI363" s="8">
        <f>IF(LEFT(B363,4)&lt;&gt;"    ","",X363-AE363)</f>
        <v/>
      </c>
      <c r="AJ363" s="9">
        <f>IF(LEFT(B363,4)&lt;&gt;"    ","",Y363-AF363)</f>
        <v/>
      </c>
      <c r="AK363" s="10" t="n"/>
      <c r="AL363" s="25">
        <f>IF(LEFT(B363,4)&lt;&gt;"    ","",J363-W363)</f>
        <v/>
      </c>
      <c r="AM363" s="25">
        <f>N363-X363</f>
        <v/>
      </c>
      <c r="AN363" s="25">
        <f>IF(LEFT(B363,4)&lt;&gt;"    ","",Q363-Y363)</f>
        <v/>
      </c>
      <c r="AO363" s="10" t="n"/>
      <c r="AP363" s="12" t="n"/>
      <c r="AQ363" s="12">
        <f>IF(LEFT(B363,4)&lt;&gt;"    ","",IF(W363-AP363&gt;=0,W363-AP363," "))</f>
        <v/>
      </c>
      <c r="AR363" s="12">
        <f>IF(LEFT(B363,4)&lt;&gt;"    ","",IF(AP363-W363&gt;=0,AP363-W363," "))</f>
        <v/>
      </c>
      <c r="AS363" s="186" t="n"/>
      <c r="AT363" s="187" t="n"/>
      <c r="AU363" s="186" t="n"/>
      <c r="AV363" s="186" t="n"/>
      <c r="AW363" s="188" t="n"/>
      <c r="AX363" s="187" t="n"/>
      <c r="AY363" s="187" t="n"/>
      <c r="AZ363" s="186" t="n"/>
      <c r="BA363" s="186" t="n"/>
      <c r="BB363" s="186" t="n"/>
      <c r="BC363" s="186" t="n"/>
      <c r="BD363" s="186" t="n"/>
      <c r="BE363" s="186" t="n"/>
      <c r="BF363" s="186" t="n"/>
      <c r="BG363" s="186" t="n"/>
      <c r="BH363" s="186" t="n"/>
      <c r="BI363" s="186" t="n"/>
      <c r="BJ363" s="186" t="n"/>
      <c r="BK363" s="186" t="n"/>
      <c r="BL363" s="186" t="n"/>
      <c r="BM363" s="186" t="n"/>
      <c r="BN363" s="186" t="n"/>
      <c r="BO363" s="186" t="n"/>
      <c r="BP363" s="186" t="n"/>
      <c r="BQ363" s="186" t="n"/>
      <c r="BR363" s="186" t="n"/>
      <c r="BS363" s="186" t="n"/>
      <c r="BT363" s="186" t="n"/>
      <c r="BU363" s="186" t="n"/>
      <c r="BV363" s="190" t="n"/>
      <c r="BW363" s="186" t="n"/>
      <c r="BX363" s="186" t="n"/>
      <c r="BY363" s="186" t="n"/>
      <c r="BZ363" s="186" t="n"/>
      <c r="CA363" s="186" t="n"/>
      <c r="CB363" s="187" t="n"/>
      <c r="CC363" s="192" t="n"/>
      <c r="CD363" s="192" t="n"/>
      <c r="CE363" s="192" t="n"/>
      <c r="CF363" s="192" t="n"/>
    </row>
    <row r="364">
      <c r="A364" s="197" t="n"/>
      <c r="B364" s="198" t="n"/>
      <c r="C364" s="198" t="n"/>
      <c r="D364" s="179" t="n"/>
      <c r="E364" s="180" t="n"/>
      <c r="F364" s="181" t="n"/>
      <c r="G364" s="284">
        <f>'Jobs-Ops'!G364</f>
        <v/>
      </c>
      <c r="H364" s="114">
        <f>'Jobs-Ops'!H364</f>
        <v/>
      </c>
      <c r="I364" s="105" t="n"/>
      <c r="J364" s="196">
        <f>F364</f>
        <v/>
      </c>
      <c r="K364" s="184" t="n"/>
      <c r="L364" s="185" t="n"/>
      <c r="M364" s="8" t="n"/>
      <c r="N364" s="71">
        <f>M364</f>
        <v/>
      </c>
      <c r="O364" s="71" t="n"/>
      <c r="P364" s="101" t="n"/>
      <c r="Q364" s="9">
        <f>J364-N364</f>
        <v/>
      </c>
      <c r="R364" s="9">
        <f>IF(LEFT(B364,4)&lt;&gt;"    ",0,BI364)</f>
        <v/>
      </c>
      <c r="S364" s="9">
        <f>+Q364-R364</f>
        <v/>
      </c>
      <c r="T364" s="200">
        <f>IF('Jobs-Ops'!S364&lt;&gt; "",'Jobs-Ops'!S364,"")</f>
        <v/>
      </c>
      <c r="U364" s="10" t="n"/>
      <c r="V364" s="23">
        <f>IF(LEFT(B364,4)&lt;&gt;"    ","",IF(N364&lt;&gt;0,X364/N364,0))</f>
        <v/>
      </c>
      <c r="W364" s="11">
        <f>IF(LEFT(B364,4)&lt;&gt;"    ","",IF(V364&gt;=0.1,V364*J364,X364))</f>
        <v/>
      </c>
      <c r="X364" s="8" t="n"/>
      <c r="Y364" s="9">
        <f>IF(LEFT(B364,4)&lt;&gt;"    ",0,IF(Q364&lt;0,Q364,IF(V364&gt;0.1,W364-X364,0)))</f>
        <v/>
      </c>
      <c r="Z364" s="9">
        <f>IF(LEFT(B364,4)&lt;&gt;"    ",0,IF(V364&gt;0.1,BI364,0))</f>
        <v/>
      </c>
      <c r="AA364" s="9">
        <f>Y364-Z364</f>
        <v/>
      </c>
      <c r="AB364" s="10" t="n"/>
      <c r="AC364" s="24" t="n"/>
      <c r="AD364" s="11" t="n"/>
      <c r="AE364" s="8" t="n"/>
      <c r="AF364" s="9">
        <f>IF(LEFT(B364,4)&lt;&gt;"    ","",AD364-AE364)</f>
        <v/>
      </c>
      <c r="AG364" s="10" t="n"/>
      <c r="AH364" s="11">
        <f>IF(LEFT(B364,4)&lt;&gt;"    ","",W364-AD364)</f>
        <v/>
      </c>
      <c r="AI364" s="8">
        <f>IF(LEFT(B364,4)&lt;&gt;"    ","",X364-AE364)</f>
        <v/>
      </c>
      <c r="AJ364" s="9">
        <f>IF(LEFT(B364,4)&lt;&gt;"    ","",Y364-AF364)</f>
        <v/>
      </c>
      <c r="AK364" s="10" t="n"/>
      <c r="AL364" s="25">
        <f>IF(LEFT(B364,4)&lt;&gt;"    ","",J364-W364)</f>
        <v/>
      </c>
      <c r="AM364" s="25">
        <f>N364-X364</f>
        <v/>
      </c>
      <c r="AN364" s="25">
        <f>IF(LEFT(B364,4)&lt;&gt;"    ","",Q364-Y364)</f>
        <v/>
      </c>
      <c r="AO364" s="10" t="n"/>
      <c r="AP364" s="12" t="n"/>
      <c r="AQ364" s="12">
        <f>IF(LEFT(B364,4)&lt;&gt;"    ","",IF(W364-AP364&gt;=0,W364-AP364," "))</f>
        <v/>
      </c>
      <c r="AR364" s="12">
        <f>IF(LEFT(B364,4)&lt;&gt;"    ","",IF(AP364-W364&gt;=0,AP364-W364," "))</f>
        <v/>
      </c>
      <c r="AS364" s="186" t="n"/>
      <c r="AT364" s="187" t="n"/>
      <c r="AU364" s="186" t="n"/>
      <c r="AV364" s="186" t="n"/>
      <c r="AW364" s="188" t="n"/>
      <c r="AX364" s="187" t="n"/>
      <c r="AY364" s="187" t="n"/>
      <c r="AZ364" s="186" t="n"/>
      <c r="BA364" s="186" t="n"/>
      <c r="BB364" s="186" t="n"/>
      <c r="BC364" s="186" t="n"/>
      <c r="BD364" s="186" t="n"/>
      <c r="BE364" s="186" t="n"/>
      <c r="BF364" s="186" t="n"/>
      <c r="BG364" s="186" t="n"/>
      <c r="BH364" s="186" t="n"/>
      <c r="BI364" s="186" t="n"/>
      <c r="BJ364" s="186" t="n"/>
      <c r="BK364" s="186" t="n"/>
      <c r="BL364" s="186" t="n"/>
      <c r="BM364" s="186" t="n"/>
      <c r="BN364" s="186" t="n"/>
      <c r="BO364" s="186" t="n"/>
      <c r="BP364" s="186" t="n"/>
      <c r="BQ364" s="186" t="n"/>
      <c r="BR364" s="186" t="n"/>
      <c r="BS364" s="186" t="n"/>
      <c r="BT364" s="186" t="n"/>
      <c r="BU364" s="186" t="n"/>
      <c r="BV364" s="190" t="n"/>
      <c r="BW364" s="186" t="n"/>
      <c r="BX364" s="186" t="n"/>
      <c r="BY364" s="186" t="n"/>
      <c r="BZ364" s="186" t="n"/>
      <c r="CA364" s="186" t="n"/>
      <c r="CB364" s="187" t="n"/>
      <c r="CC364" s="192" t="n"/>
      <c r="CD364" s="192" t="n"/>
      <c r="CE364" s="192" t="n"/>
      <c r="CF364" s="192" t="n"/>
    </row>
    <row r="365">
      <c r="A365" s="197" t="n"/>
      <c r="B365" s="198" t="n"/>
      <c r="C365" s="198" t="n"/>
      <c r="D365" s="179" t="n"/>
      <c r="E365" s="180" t="n"/>
      <c r="F365" s="181" t="n"/>
      <c r="G365" s="284">
        <f>'Jobs-Ops'!G365</f>
        <v/>
      </c>
      <c r="H365" s="114">
        <f>'Jobs-Ops'!H365</f>
        <v/>
      </c>
      <c r="I365" s="105" t="n"/>
      <c r="J365" s="196">
        <f>F365</f>
        <v/>
      </c>
      <c r="K365" s="184" t="n"/>
      <c r="L365" s="185" t="n"/>
      <c r="M365" s="8" t="n"/>
      <c r="N365" s="71">
        <f>M365</f>
        <v/>
      </c>
      <c r="O365" s="71" t="n"/>
      <c r="P365" s="101" t="n"/>
      <c r="Q365" s="9">
        <f>J365-N365</f>
        <v/>
      </c>
      <c r="R365" s="9">
        <f>IF(LEFT(B365,4)&lt;&gt;"    ",0,BI365)</f>
        <v/>
      </c>
      <c r="S365" s="9">
        <f>+Q365-R365</f>
        <v/>
      </c>
      <c r="T365" s="200">
        <f>IF('Jobs-Ops'!S365&lt;&gt; "",'Jobs-Ops'!S365,"")</f>
        <v/>
      </c>
      <c r="U365" s="10" t="n"/>
      <c r="V365" s="23">
        <f>IF(LEFT(B365,4)&lt;&gt;"    ","",IF(N365&lt;&gt;0,X365/N365,0))</f>
        <v/>
      </c>
      <c r="W365" s="11">
        <f>IF(LEFT(B365,4)&lt;&gt;"    ","",IF(V365&gt;=0.1,V365*J365,X365))</f>
        <v/>
      </c>
      <c r="X365" s="8" t="n"/>
      <c r="Y365" s="9">
        <f>IF(LEFT(B365,4)&lt;&gt;"    ",0,IF(Q365&lt;0,Q365,IF(V365&gt;0.1,W365-X365,0)))</f>
        <v/>
      </c>
      <c r="Z365" s="9">
        <f>IF(LEFT(B365,4)&lt;&gt;"    ",0,IF(V365&gt;0.1,BI365,0))</f>
        <v/>
      </c>
      <c r="AA365" s="9">
        <f>Y365-Z365</f>
        <v/>
      </c>
      <c r="AB365" s="10" t="n"/>
      <c r="AC365" s="24" t="n"/>
      <c r="AD365" s="11" t="n"/>
      <c r="AE365" s="8" t="n"/>
      <c r="AF365" s="9">
        <f>IF(LEFT(B365,4)&lt;&gt;"    ","",AD365-AE365)</f>
        <v/>
      </c>
      <c r="AG365" s="10" t="n"/>
      <c r="AH365" s="11">
        <f>IF(LEFT(B365,4)&lt;&gt;"    ","",W365-AD365)</f>
        <v/>
      </c>
      <c r="AI365" s="8">
        <f>IF(LEFT(B365,4)&lt;&gt;"    ","",X365-AE365)</f>
        <v/>
      </c>
      <c r="AJ365" s="9">
        <f>IF(LEFT(B365,4)&lt;&gt;"    ","",Y365-AF365)</f>
        <v/>
      </c>
      <c r="AK365" s="10" t="n"/>
      <c r="AL365" s="25">
        <f>IF(LEFT(B365,4)&lt;&gt;"    ","",J365-W365)</f>
        <v/>
      </c>
      <c r="AM365" s="25">
        <f>N365-X365</f>
        <v/>
      </c>
      <c r="AN365" s="25">
        <f>IF(LEFT(B365,4)&lt;&gt;"    ","",Q365-Y365)</f>
        <v/>
      </c>
      <c r="AO365" s="10" t="n"/>
      <c r="AP365" s="12" t="n"/>
      <c r="AQ365" s="12">
        <f>IF(LEFT(B365,4)&lt;&gt;"    ","",IF(W365-AP365&gt;=0,W365-AP365," "))</f>
        <v/>
      </c>
      <c r="AR365" s="12">
        <f>IF(LEFT(B365,4)&lt;&gt;"    ","",IF(AP365-W365&gt;=0,AP365-W365," "))</f>
        <v/>
      </c>
      <c r="AS365" s="186" t="n"/>
      <c r="AT365" s="187" t="n"/>
      <c r="AU365" s="186" t="n"/>
      <c r="AV365" s="186" t="n"/>
      <c r="AW365" s="188" t="n"/>
      <c r="AX365" s="187" t="n"/>
      <c r="AY365" s="187" t="n"/>
      <c r="AZ365" s="186" t="n"/>
      <c r="BA365" s="186" t="n"/>
      <c r="BB365" s="186" t="n"/>
      <c r="BC365" s="186" t="n"/>
      <c r="BD365" s="186" t="n"/>
      <c r="BE365" s="186" t="n"/>
      <c r="BF365" s="186" t="n"/>
      <c r="BG365" s="186" t="n"/>
      <c r="BH365" s="186" t="n"/>
      <c r="BI365" s="186" t="n"/>
      <c r="BJ365" s="186" t="n"/>
      <c r="BK365" s="186" t="n"/>
      <c r="BL365" s="186" t="n"/>
      <c r="BM365" s="186" t="n"/>
      <c r="BN365" s="186" t="n"/>
      <c r="BO365" s="186" t="n"/>
      <c r="BP365" s="186" t="n"/>
      <c r="BQ365" s="186" t="n"/>
      <c r="BR365" s="186" t="n"/>
      <c r="BS365" s="186" t="n"/>
      <c r="BT365" s="186" t="n"/>
      <c r="BU365" s="186" t="n"/>
      <c r="BV365" s="190" t="n"/>
      <c r="BW365" s="186" t="n"/>
      <c r="BX365" s="186" t="n"/>
      <c r="BY365" s="186" t="n"/>
      <c r="BZ365" s="186" t="n"/>
      <c r="CA365" s="186" t="n"/>
      <c r="CB365" s="187" t="n"/>
      <c r="CC365" s="192" t="n"/>
      <c r="CD365" s="192" t="n"/>
      <c r="CE365" s="192" t="n"/>
      <c r="CF365" s="192" t="n"/>
    </row>
    <row r="366">
      <c r="A366" s="197" t="n"/>
      <c r="B366" s="201" t="n"/>
      <c r="C366" s="198" t="n"/>
      <c r="D366" s="179" t="n"/>
      <c r="E366" s="180" t="n"/>
      <c r="F366" s="181" t="n"/>
      <c r="G366" s="284">
        <f>'Jobs-Ops'!G366</f>
        <v/>
      </c>
      <c r="H366" s="114">
        <f>'Jobs-Ops'!H366</f>
        <v/>
      </c>
      <c r="I366" s="105" t="n"/>
      <c r="J366" s="196">
        <f>F366</f>
        <v/>
      </c>
      <c r="K366" s="184" t="n"/>
      <c r="L366" s="185" t="n"/>
      <c r="M366" s="8" t="n"/>
      <c r="N366" s="71">
        <f>M366</f>
        <v/>
      </c>
      <c r="O366" s="71" t="n"/>
      <c r="P366" s="101" t="n"/>
      <c r="Q366" s="9">
        <f>J366-N366</f>
        <v/>
      </c>
      <c r="R366" s="9">
        <f>IF(LEFT(B366,4)&lt;&gt;"    ",0,BI366)</f>
        <v/>
      </c>
      <c r="S366" s="9">
        <f>+Q366-R366</f>
        <v/>
      </c>
      <c r="T366" s="200">
        <f>IF('Jobs-Ops'!S366&lt;&gt; "",'Jobs-Ops'!S366,"")</f>
        <v/>
      </c>
      <c r="U366" s="10" t="n"/>
      <c r="V366" s="23">
        <f>IF(LEFT(B366,4)&lt;&gt;"    ","",IF(N366&lt;&gt;0,X366/N366,0))</f>
        <v/>
      </c>
      <c r="W366" s="11">
        <f>IF(LEFT(B366,4)&lt;&gt;"    ","",IF(V366&gt;=0.1,V366*J366,X366))</f>
        <v/>
      </c>
      <c r="X366" s="8" t="n"/>
      <c r="Y366" s="9">
        <f>IF(LEFT(B366,4)&lt;&gt;"    ",0,IF(Q366&lt;0,Q366,IF(V366&gt;0.1,W366-X366,0)))</f>
        <v/>
      </c>
      <c r="Z366" s="9">
        <f>IF(LEFT(B366,4)&lt;&gt;"    ",0,IF(V366&gt;0.1,BI366,0))</f>
        <v/>
      </c>
      <c r="AA366" s="9">
        <f>Y366-Z366</f>
        <v/>
      </c>
      <c r="AB366" s="10" t="n"/>
      <c r="AC366" s="24" t="n"/>
      <c r="AD366" s="11" t="n"/>
      <c r="AE366" s="8" t="n"/>
      <c r="AF366" s="9">
        <f>IF(LEFT(B366,4)&lt;&gt;"    ","",AD366-AE366)</f>
        <v/>
      </c>
      <c r="AG366" s="10" t="n"/>
      <c r="AH366" s="11">
        <f>IF(LEFT(B366,4)&lt;&gt;"    ","",W366-AD366)</f>
        <v/>
      </c>
      <c r="AI366" s="8">
        <f>IF(LEFT(B366,4)&lt;&gt;"    ","",X366-AE366)</f>
        <v/>
      </c>
      <c r="AJ366" s="9">
        <f>IF(LEFT(B366,4)&lt;&gt;"    ","",Y366-AF366)</f>
        <v/>
      </c>
      <c r="AK366" s="10" t="n"/>
      <c r="AL366" s="25">
        <f>IF(LEFT(B366,4)&lt;&gt;"    ","",J366-W366)</f>
        <v/>
      </c>
      <c r="AM366" s="25">
        <f>N366-X366</f>
        <v/>
      </c>
      <c r="AN366" s="25">
        <f>IF(LEFT(B366,4)&lt;&gt;"    ","",Q366-Y366)</f>
        <v/>
      </c>
      <c r="AO366" s="10" t="n"/>
      <c r="AP366" s="12" t="n"/>
      <c r="AQ366" s="12">
        <f>IF(LEFT(B366,4)&lt;&gt;"    ","",IF(W366-AP366&gt;=0,W366-AP366," "))</f>
        <v/>
      </c>
      <c r="AR366" s="12">
        <f>IF(LEFT(B366,4)&lt;&gt;"    ","",IF(AP366-W366&gt;=0,AP366-W366," "))</f>
        <v/>
      </c>
      <c r="AS366" s="186" t="n"/>
      <c r="AT366" s="187" t="n"/>
      <c r="AU366" s="186" t="n"/>
      <c r="AV366" s="186" t="n"/>
      <c r="AW366" s="188" t="n"/>
      <c r="AX366" s="187" t="n"/>
      <c r="AY366" s="187" t="n"/>
      <c r="AZ366" s="186" t="n"/>
      <c r="BA366" s="186" t="n"/>
      <c r="BB366" s="186" t="n"/>
      <c r="BC366" s="186" t="n"/>
      <c r="BD366" s="186" t="n"/>
      <c r="BE366" s="186" t="n"/>
      <c r="BF366" s="186" t="n"/>
      <c r="BG366" s="186" t="n"/>
      <c r="BH366" s="186" t="n"/>
      <c r="BI366" s="186" t="n"/>
      <c r="BJ366" s="186" t="n"/>
      <c r="BK366" s="186" t="n"/>
      <c r="BL366" s="186" t="n"/>
      <c r="BM366" s="186" t="n"/>
      <c r="BN366" s="186" t="n"/>
      <c r="BO366" s="186" t="n"/>
      <c r="BP366" s="186" t="n"/>
      <c r="BQ366" s="186" t="n"/>
      <c r="BR366" s="186" t="n"/>
      <c r="BS366" s="186" t="n"/>
      <c r="BT366" s="186" t="n"/>
      <c r="BU366" s="186" t="n"/>
      <c r="BV366" s="190" t="n"/>
      <c r="BW366" s="186" t="n"/>
      <c r="BX366" s="186" t="n"/>
      <c r="BY366" s="186" t="n"/>
      <c r="BZ366" s="186" t="n"/>
      <c r="CA366" s="186" t="n"/>
      <c r="CB366" s="187" t="n"/>
      <c r="CC366" s="192" t="n"/>
      <c r="CD366" s="192" t="n"/>
      <c r="CE366" s="192" t="n"/>
      <c r="CF366" s="192" t="n"/>
    </row>
    <row r="367">
      <c r="A367" s="197" t="n"/>
      <c r="B367" s="201" t="n"/>
      <c r="C367" s="198" t="n"/>
      <c r="D367" s="179" t="n"/>
      <c r="E367" s="180" t="n"/>
      <c r="F367" s="181" t="n"/>
      <c r="G367" s="284">
        <f>'Jobs-Ops'!G367</f>
        <v/>
      </c>
      <c r="H367" s="114">
        <f>'Jobs-Ops'!H367</f>
        <v/>
      </c>
      <c r="I367" s="105" t="n"/>
      <c r="J367" s="196">
        <f>F367</f>
        <v/>
      </c>
      <c r="K367" s="184" t="n"/>
      <c r="L367" s="185" t="n"/>
      <c r="M367" s="8" t="n"/>
      <c r="N367" s="71">
        <f>M367</f>
        <v/>
      </c>
      <c r="O367" s="71" t="n"/>
      <c r="P367" s="101" t="n"/>
      <c r="Q367" s="9">
        <f>J367-N367</f>
        <v/>
      </c>
      <c r="R367" s="9">
        <f>IF(LEFT(B367,4)&lt;&gt;"    ",0,BI367)</f>
        <v/>
      </c>
      <c r="S367" s="9">
        <f>+Q367-R367</f>
        <v/>
      </c>
      <c r="T367" s="200">
        <f>IF('Jobs-Ops'!S367&lt;&gt; "",'Jobs-Ops'!S367,"")</f>
        <v/>
      </c>
      <c r="U367" s="10" t="n"/>
      <c r="V367" s="23">
        <f>IF(LEFT(B367,4)&lt;&gt;"    ","",IF(N367&lt;&gt;0,X367/N367,0))</f>
        <v/>
      </c>
      <c r="W367" s="11">
        <f>IF(LEFT(B367,4)&lt;&gt;"    ","",IF(V367&gt;=0.1,V367*J367,X367))</f>
        <v/>
      </c>
      <c r="X367" s="8" t="n"/>
      <c r="Y367" s="9">
        <f>IF(LEFT(B367,4)&lt;&gt;"    ",0,IF(Q367&lt;0,Q367,IF(V367&gt;0.1,W367-X367,0)))</f>
        <v/>
      </c>
      <c r="Z367" s="9">
        <f>IF(LEFT(B367,4)&lt;&gt;"    ",0,IF(V367&gt;0.1,BI367,0))</f>
        <v/>
      </c>
      <c r="AA367" s="9">
        <f>Y367-Z367</f>
        <v/>
      </c>
      <c r="AB367" s="10" t="n"/>
      <c r="AC367" s="24" t="n"/>
      <c r="AD367" s="11" t="n"/>
      <c r="AE367" s="8" t="n"/>
      <c r="AF367" s="9">
        <f>IF(LEFT(B367,4)&lt;&gt;"    ","",AD367-AE367)</f>
        <v/>
      </c>
      <c r="AG367" s="10" t="n"/>
      <c r="AH367" s="11">
        <f>IF(LEFT(B367,4)&lt;&gt;"    ","",W367-AD367)</f>
        <v/>
      </c>
      <c r="AI367" s="8">
        <f>IF(LEFT(B367,4)&lt;&gt;"    ","",X367-AE367)</f>
        <v/>
      </c>
      <c r="AJ367" s="9">
        <f>IF(LEFT(B367,4)&lt;&gt;"    ","",Y367-AF367)</f>
        <v/>
      </c>
      <c r="AK367" s="10" t="n"/>
      <c r="AL367" s="25">
        <f>IF(LEFT(B367,4)&lt;&gt;"    ","",J367-W367)</f>
        <v/>
      </c>
      <c r="AM367" s="25">
        <f>N367-X367</f>
        <v/>
      </c>
      <c r="AN367" s="25">
        <f>IF(LEFT(B367,4)&lt;&gt;"    ","",Q367-Y367)</f>
        <v/>
      </c>
      <c r="AO367" s="10" t="n"/>
      <c r="AP367" s="12" t="n"/>
      <c r="AQ367" s="12">
        <f>IF(LEFT(B367,4)&lt;&gt;"    ","",IF(W367-AP367&gt;=0,W367-AP367," "))</f>
        <v/>
      </c>
      <c r="AR367" s="12">
        <f>IF(LEFT(B367,4)&lt;&gt;"    ","",IF(AP367-W367&gt;=0,AP367-W367," "))</f>
        <v/>
      </c>
      <c r="AS367" s="186" t="n"/>
      <c r="AT367" s="187" t="n"/>
      <c r="AU367" s="186" t="n"/>
      <c r="AV367" s="186" t="n"/>
      <c r="AW367" s="188" t="n"/>
      <c r="AX367" s="187" t="n"/>
      <c r="AY367" s="187" t="n"/>
      <c r="AZ367" s="186" t="n"/>
      <c r="BA367" s="186" t="n"/>
      <c r="BB367" s="186" t="n"/>
      <c r="BC367" s="186" t="n"/>
      <c r="BD367" s="186" t="n"/>
      <c r="BE367" s="186" t="n"/>
      <c r="BF367" s="186" t="n"/>
      <c r="BG367" s="186" t="n"/>
      <c r="BH367" s="186" t="n"/>
      <c r="BI367" s="186" t="n"/>
      <c r="BJ367" s="186" t="n"/>
      <c r="BK367" s="186" t="n"/>
      <c r="BL367" s="186" t="n"/>
      <c r="BM367" s="186" t="n"/>
      <c r="BN367" s="186" t="n"/>
      <c r="BO367" s="186" t="n"/>
      <c r="BP367" s="186" t="n"/>
      <c r="BQ367" s="186" t="n"/>
      <c r="BR367" s="186" t="n"/>
      <c r="BS367" s="186" t="n"/>
      <c r="BT367" s="186" t="n"/>
      <c r="BU367" s="186" t="n"/>
      <c r="BV367" s="190" t="n"/>
      <c r="BW367" s="186" t="n"/>
      <c r="BX367" s="186" t="n"/>
      <c r="BY367" s="186" t="n"/>
      <c r="BZ367" s="186" t="n"/>
      <c r="CA367" s="186" t="n"/>
      <c r="CB367" s="187" t="n"/>
      <c r="CC367" s="192" t="n"/>
      <c r="CD367" s="192" t="n"/>
      <c r="CE367" s="192" t="n"/>
      <c r="CF367" s="192" t="n"/>
    </row>
    <row r="368">
      <c r="A368" s="197" t="n"/>
      <c r="B368" s="201" t="n"/>
      <c r="C368" s="198" t="n"/>
      <c r="D368" s="179" t="n"/>
      <c r="E368" s="180" t="n"/>
      <c r="F368" s="181" t="n"/>
      <c r="G368" s="284">
        <f>'Jobs-Ops'!G368</f>
        <v/>
      </c>
      <c r="H368" s="114">
        <f>'Jobs-Ops'!H368</f>
        <v/>
      </c>
      <c r="I368" s="105" t="n"/>
      <c r="J368" s="196">
        <f>F368</f>
        <v/>
      </c>
      <c r="K368" s="184" t="n"/>
      <c r="L368" s="185" t="n"/>
      <c r="M368" s="8" t="n"/>
      <c r="N368" s="71">
        <f>M368</f>
        <v/>
      </c>
      <c r="O368" s="71" t="n"/>
      <c r="P368" s="101" t="n"/>
      <c r="Q368" s="9">
        <f>J368-N368</f>
        <v/>
      </c>
      <c r="R368" s="9">
        <f>IF(LEFT(B368,4)&lt;&gt;"    ",0,BI368)</f>
        <v/>
      </c>
      <c r="S368" s="9">
        <f>+Q368-R368</f>
        <v/>
      </c>
      <c r="T368" s="200">
        <f>IF('Jobs-Ops'!S368&lt;&gt; "",'Jobs-Ops'!S368,"")</f>
        <v/>
      </c>
      <c r="U368" s="10" t="n"/>
      <c r="V368" s="23">
        <f>IF(LEFT(B368,4)&lt;&gt;"    ","",IF(N368&lt;&gt;0,X368/N368,0))</f>
        <v/>
      </c>
      <c r="W368" s="11">
        <f>IF(LEFT(B368,4)&lt;&gt;"    ","",IF(V368&gt;=0.1,V368*J368,X368))</f>
        <v/>
      </c>
      <c r="X368" s="8" t="n"/>
      <c r="Y368" s="9">
        <f>IF(LEFT(B368,4)&lt;&gt;"    ",0,IF(Q368&lt;0,Q368,IF(V368&gt;0.1,W368-X368,0)))</f>
        <v/>
      </c>
      <c r="Z368" s="9">
        <f>IF(LEFT(B368,4)&lt;&gt;"    ",0,IF(V368&gt;0.1,BI368,0))</f>
        <v/>
      </c>
      <c r="AA368" s="9">
        <f>Y368-Z368</f>
        <v/>
      </c>
      <c r="AB368" s="10" t="n"/>
      <c r="AC368" s="24" t="n"/>
      <c r="AD368" s="11" t="n"/>
      <c r="AE368" s="8" t="n"/>
      <c r="AF368" s="9">
        <f>IF(LEFT(B368,4)&lt;&gt;"    ","",AD368-AE368)</f>
        <v/>
      </c>
      <c r="AG368" s="10" t="n"/>
      <c r="AH368" s="11">
        <f>IF(LEFT(B368,4)&lt;&gt;"    ","",W368-AD368)</f>
        <v/>
      </c>
      <c r="AI368" s="8">
        <f>IF(LEFT(B368,4)&lt;&gt;"    ","",X368-AE368)</f>
        <v/>
      </c>
      <c r="AJ368" s="9">
        <f>IF(LEFT(B368,4)&lt;&gt;"    ","",Y368-AF368)</f>
        <v/>
      </c>
      <c r="AK368" s="10" t="n"/>
      <c r="AL368" s="25">
        <f>IF(LEFT(B368,4)&lt;&gt;"    ","",J368-W368)</f>
        <v/>
      </c>
      <c r="AM368" s="25">
        <f>N368-X368</f>
        <v/>
      </c>
      <c r="AN368" s="25">
        <f>IF(LEFT(B368,4)&lt;&gt;"    ","",Q368-Y368)</f>
        <v/>
      </c>
      <c r="AO368" s="10" t="n"/>
      <c r="AP368" s="12" t="n"/>
      <c r="AQ368" s="12">
        <f>IF(LEFT(B368,4)&lt;&gt;"    ","",IF(W368-AP368&gt;=0,W368-AP368," "))</f>
        <v/>
      </c>
      <c r="AR368" s="12">
        <f>IF(LEFT(B368,4)&lt;&gt;"    ","",IF(AP368-W368&gt;=0,AP368-W368," "))</f>
        <v/>
      </c>
      <c r="AS368" s="186" t="n"/>
      <c r="AT368" s="187" t="n"/>
      <c r="AU368" s="186" t="n"/>
      <c r="AV368" s="186" t="n"/>
      <c r="AW368" s="188" t="n"/>
      <c r="AX368" s="187" t="n"/>
      <c r="AY368" s="187" t="n"/>
      <c r="AZ368" s="186" t="n"/>
      <c r="BA368" s="186" t="n"/>
      <c r="BB368" s="186" t="n"/>
      <c r="BC368" s="186" t="n"/>
      <c r="BD368" s="186" t="n"/>
      <c r="BE368" s="186" t="n"/>
      <c r="BF368" s="186" t="n"/>
      <c r="BG368" s="186" t="n"/>
      <c r="BH368" s="186" t="n"/>
      <c r="BI368" s="186" t="n"/>
      <c r="BJ368" s="186" t="n"/>
      <c r="BK368" s="186" t="n"/>
      <c r="BL368" s="186" t="n"/>
      <c r="BM368" s="186" t="n"/>
      <c r="BN368" s="186" t="n"/>
      <c r="BO368" s="186" t="n"/>
      <c r="BP368" s="186" t="n"/>
      <c r="BQ368" s="186" t="n"/>
      <c r="BR368" s="186" t="n"/>
      <c r="BS368" s="186" t="n"/>
      <c r="BT368" s="186" t="n"/>
      <c r="BU368" s="186" t="n"/>
      <c r="BV368" s="190" t="n"/>
      <c r="BW368" s="186" t="n"/>
      <c r="BX368" s="186" t="n"/>
      <c r="BY368" s="186" t="n"/>
      <c r="BZ368" s="186" t="n"/>
      <c r="CA368" s="186" t="n"/>
      <c r="CB368" s="187" t="n"/>
      <c r="CC368" s="192" t="n"/>
      <c r="CD368" s="192" t="n"/>
      <c r="CE368" s="192" t="n"/>
      <c r="CF368" s="192" t="n"/>
    </row>
    <row r="369">
      <c r="A369" s="197" t="n"/>
      <c r="B369" s="198" t="n"/>
      <c r="C369" s="198" t="n"/>
      <c r="D369" s="179" t="n"/>
      <c r="E369" s="180" t="n"/>
      <c r="F369" s="181" t="n"/>
      <c r="G369" s="284">
        <f>'Jobs-Ops'!G369</f>
        <v/>
      </c>
      <c r="H369" s="114">
        <f>'Jobs-Ops'!H369</f>
        <v/>
      </c>
      <c r="I369" s="105" t="n"/>
      <c r="J369" s="196">
        <f>F369</f>
        <v/>
      </c>
      <c r="K369" s="184" t="n"/>
      <c r="L369" s="185" t="n"/>
      <c r="M369" s="8" t="n"/>
      <c r="N369" s="184">
        <f>M369</f>
        <v/>
      </c>
      <c r="O369" s="184" t="n"/>
      <c r="P369" s="185" t="n"/>
      <c r="Q369" s="9">
        <f>J369-N369</f>
        <v/>
      </c>
      <c r="R369" s="9">
        <f>IF(LEFT(B369,4)&lt;&gt;"    ",0,BI369)</f>
        <v/>
      </c>
      <c r="S369" s="9">
        <f>+Q369-R369</f>
        <v/>
      </c>
      <c r="T369" s="200">
        <f>IF('Jobs-Ops'!S369&lt;&gt; "",'Jobs-Ops'!S369,"")</f>
        <v/>
      </c>
      <c r="U369" s="10" t="n"/>
      <c r="V369" s="23">
        <f>IF(LEFT(B369,4)&lt;&gt;"    ","",IF(N369&lt;&gt;0,X369/N369,0))</f>
        <v/>
      </c>
      <c r="W369" s="11">
        <f>IF(LEFT(B369,4)&lt;&gt;"    ","",IF(V369&gt;=0.1,V369*J369,X369))</f>
        <v/>
      </c>
      <c r="X369" s="8" t="n"/>
      <c r="Y369" s="9">
        <f>IF(LEFT(B369,4)&lt;&gt;"    ",0,IF(Q369&lt;0,Q369,IF(V369&gt;0.1,W369-X369,0)))</f>
        <v/>
      </c>
      <c r="Z369" s="9">
        <f>IF(LEFT(B369,4)&lt;&gt;"    ",0,IF(V369&gt;0.1,BI369,0))</f>
        <v/>
      </c>
      <c r="AA369" s="9">
        <f>Y369-Z369</f>
        <v/>
      </c>
      <c r="AB369" s="10" t="n"/>
      <c r="AC369" s="24" t="n"/>
      <c r="AD369" s="11" t="n"/>
      <c r="AE369" s="8" t="n"/>
      <c r="AF369" s="9">
        <f>IF(LEFT(B369,4)&lt;&gt;"    ","",AD369-AE369)</f>
        <v/>
      </c>
      <c r="AG369" s="10" t="n"/>
      <c r="AH369" s="11">
        <f>IF(LEFT(B369,4)&lt;&gt;"    ","",W369-AD369)</f>
        <v/>
      </c>
      <c r="AI369" s="8">
        <f>IF(LEFT(B369,4)&lt;&gt;"    ","",X369-AE369)</f>
        <v/>
      </c>
      <c r="AJ369" s="9">
        <f>IF(LEFT(B369,4)&lt;&gt;"    ","",Y369-AF369)</f>
        <v/>
      </c>
      <c r="AK369" s="10" t="n"/>
      <c r="AL369" s="25">
        <f>IF(LEFT(B369,4)&lt;&gt;"    ","",J369-W369)</f>
        <v/>
      </c>
      <c r="AM369" s="25">
        <f>N369-X369</f>
        <v/>
      </c>
      <c r="AN369" s="25">
        <f>IF(LEFT(B369,4)&lt;&gt;"    ","",Q369-Y369)</f>
        <v/>
      </c>
      <c r="AO369" s="10" t="n"/>
      <c r="AP369" s="12" t="n"/>
      <c r="AQ369" s="12">
        <f>IF(LEFT(B369,4)&lt;&gt;"    ","",IF(W369-AP369&gt;=0,W369-AP369," "))</f>
        <v/>
      </c>
      <c r="AR369" s="12">
        <f>IF(LEFT(B369,4)&lt;&gt;"    ","",IF(AP369-W369&gt;=0,AP369-W369," "))</f>
        <v/>
      </c>
      <c r="AS369" s="186" t="n"/>
      <c r="AT369" s="187" t="n"/>
      <c r="AU369" s="186" t="n"/>
      <c r="AV369" s="186" t="n"/>
      <c r="AW369" s="188" t="n"/>
      <c r="AX369" s="187" t="n"/>
      <c r="AY369" s="187" t="n"/>
      <c r="AZ369" s="186" t="n"/>
      <c r="BA369" s="186" t="n"/>
      <c r="BB369" s="186" t="n"/>
      <c r="BC369" s="186" t="n"/>
      <c r="BD369" s="186" t="n"/>
      <c r="BE369" s="186" t="n"/>
      <c r="BF369" s="186" t="n"/>
      <c r="BG369" s="186" t="n"/>
      <c r="BH369" s="186" t="n"/>
      <c r="BI369" s="186" t="n"/>
      <c r="BJ369" s="186" t="n"/>
      <c r="BK369" s="186" t="n"/>
      <c r="BL369" s="186" t="n"/>
      <c r="BM369" s="186" t="n"/>
      <c r="BN369" s="186" t="n"/>
      <c r="BO369" s="186" t="n"/>
      <c r="BP369" s="186" t="n"/>
      <c r="BQ369" s="186" t="n"/>
      <c r="BR369" s="186" t="n"/>
      <c r="BS369" s="186" t="n"/>
      <c r="BT369" s="186" t="n"/>
      <c r="BU369" s="186" t="n"/>
      <c r="BV369" s="190" t="n"/>
      <c r="BW369" s="186" t="n"/>
      <c r="BX369" s="186" t="n"/>
      <c r="BY369" s="186" t="n"/>
      <c r="BZ369" s="186" t="n"/>
      <c r="CA369" s="186" t="n"/>
      <c r="CB369" s="187" t="n"/>
      <c r="CC369" s="192" t="n"/>
      <c r="CD369" s="192" t="n"/>
      <c r="CE369" s="192" t="n"/>
      <c r="CF369" s="192" t="n"/>
    </row>
    <row r="370">
      <c r="A370" s="197" t="n"/>
      <c r="B370" s="198" t="n"/>
      <c r="C370" s="198" t="n"/>
      <c r="D370" s="179" t="n"/>
      <c r="E370" s="180" t="n"/>
      <c r="F370" s="181" t="n"/>
      <c r="G370" s="284">
        <f>'Jobs-Ops'!G370</f>
        <v/>
      </c>
      <c r="H370" s="114">
        <f>'Jobs-Ops'!H370</f>
        <v/>
      </c>
      <c r="I370" s="105" t="n"/>
      <c r="J370" s="196">
        <f>F370</f>
        <v/>
      </c>
      <c r="K370" s="184" t="n"/>
      <c r="L370" s="185" t="n"/>
      <c r="M370" s="8" t="n"/>
      <c r="N370" s="71">
        <f>M370</f>
        <v/>
      </c>
      <c r="O370" s="71" t="n"/>
      <c r="P370" s="101" t="n"/>
      <c r="Q370" s="9">
        <f>J370-N370</f>
        <v/>
      </c>
      <c r="R370" s="9">
        <f>IF(LEFT(B370,4)&lt;&gt;"    ",0,BI370)</f>
        <v/>
      </c>
      <c r="S370" s="9">
        <f>+Q370-R370</f>
        <v/>
      </c>
      <c r="T370" s="200">
        <f>IF('Jobs-Ops'!S370&lt;&gt; "",'Jobs-Ops'!S370,"")</f>
        <v/>
      </c>
      <c r="U370" s="10" t="n"/>
      <c r="V370" s="23">
        <f>IF(LEFT(B370,4)&lt;&gt;"    ","",IF(N370&lt;&gt;0,X370/N370,0))</f>
        <v/>
      </c>
      <c r="W370" s="11">
        <f>IF(LEFT(B370,4)&lt;&gt;"    ","",IF(V370&gt;=0.1,V370*J370,X370))</f>
        <v/>
      </c>
      <c r="X370" s="8" t="n"/>
      <c r="Y370" s="9">
        <f>IF(LEFT(B370,4)&lt;&gt;"    ",0,IF(Q370&lt;0,Q370,IF(V370&gt;0.1,W370-X370,0)))</f>
        <v/>
      </c>
      <c r="Z370" s="9">
        <f>IF(LEFT(B370,4)&lt;&gt;"    ",0,IF(V370&gt;0.1,BI370,0))</f>
        <v/>
      </c>
      <c r="AA370" s="9">
        <f>Y370-Z370</f>
        <v/>
      </c>
      <c r="AB370" s="10" t="n"/>
      <c r="AC370" s="24" t="n"/>
      <c r="AD370" s="11" t="n"/>
      <c r="AE370" s="8" t="n"/>
      <c r="AF370" s="9">
        <f>IF(LEFT(B370,4)&lt;&gt;"    ","",AD370-AE370)</f>
        <v/>
      </c>
      <c r="AG370" s="10" t="n"/>
      <c r="AH370" s="11">
        <f>IF(LEFT(B370,4)&lt;&gt;"    ","",W370-AD370)</f>
        <v/>
      </c>
      <c r="AI370" s="8">
        <f>IF(LEFT(B370,4)&lt;&gt;"    ","",X370-AE370)</f>
        <v/>
      </c>
      <c r="AJ370" s="9">
        <f>IF(LEFT(B370,4)&lt;&gt;"    ","",Y370-AF370)</f>
        <v/>
      </c>
      <c r="AK370" s="10" t="n"/>
      <c r="AL370" s="25">
        <f>IF(LEFT(B370,4)&lt;&gt;"    ","",J370-W370)</f>
        <v/>
      </c>
      <c r="AM370" s="25">
        <f>N370-X370</f>
        <v/>
      </c>
      <c r="AN370" s="25">
        <f>IF(LEFT(B370,4)&lt;&gt;"    ","",Q370-Y370)</f>
        <v/>
      </c>
      <c r="AO370" s="10" t="n"/>
      <c r="AP370" s="12" t="n"/>
      <c r="AQ370" s="12">
        <f>IF(LEFT(B370,4)&lt;&gt;"    ","",IF(W370-AP370&gt;=0,W370-AP370," "))</f>
        <v/>
      </c>
      <c r="AR370" s="12">
        <f>IF(LEFT(B370,4)&lt;&gt;"    ","",IF(AP370-W370&gt;=0,AP370-W370," "))</f>
        <v/>
      </c>
      <c r="AS370" s="186" t="n"/>
      <c r="AT370" s="187" t="n"/>
      <c r="AU370" s="186" t="n"/>
      <c r="AV370" s="186" t="n"/>
      <c r="AW370" s="188" t="n"/>
      <c r="AX370" s="187" t="n"/>
      <c r="AY370" s="187" t="n"/>
      <c r="AZ370" s="186" t="n"/>
      <c r="BA370" s="186" t="n"/>
      <c r="BB370" s="186" t="n"/>
      <c r="BC370" s="186" t="n"/>
      <c r="BD370" s="186" t="n"/>
      <c r="BE370" s="186" t="n"/>
      <c r="BF370" s="186" t="n"/>
      <c r="BG370" s="186" t="n"/>
      <c r="BH370" s="186" t="n"/>
      <c r="BI370" s="186" t="n"/>
      <c r="BJ370" s="186" t="n"/>
      <c r="BK370" s="186" t="n"/>
      <c r="BL370" s="186" t="n"/>
      <c r="BM370" s="186" t="n"/>
      <c r="BN370" s="186" t="n"/>
      <c r="BO370" s="186" t="n"/>
      <c r="BP370" s="186" t="n"/>
      <c r="BQ370" s="186" t="n"/>
      <c r="BR370" s="186" t="n"/>
      <c r="BS370" s="186" t="n"/>
      <c r="BT370" s="186" t="n"/>
      <c r="BU370" s="186" t="n"/>
      <c r="BV370" s="190" t="n"/>
      <c r="BW370" s="186" t="n"/>
      <c r="BX370" s="186" t="n"/>
      <c r="BY370" s="186" t="n"/>
      <c r="BZ370" s="186" t="n"/>
      <c r="CA370" s="186" t="n"/>
      <c r="CB370" s="187" t="n"/>
      <c r="CC370" s="192" t="n"/>
      <c r="CD370" s="192" t="n"/>
      <c r="CE370" s="192" t="n"/>
      <c r="CF370" s="192" t="n"/>
    </row>
    <row r="371">
      <c r="A371" s="197" t="n"/>
      <c r="B371" s="198" t="n"/>
      <c r="C371" s="198" t="n"/>
      <c r="D371" s="179" t="n"/>
      <c r="E371" s="180" t="n"/>
      <c r="F371" s="181" t="n"/>
      <c r="G371" s="284">
        <f>'Jobs-Ops'!G371</f>
        <v/>
      </c>
      <c r="H371" s="114">
        <f>'Jobs-Ops'!H371</f>
        <v/>
      </c>
      <c r="I371" s="105" t="n"/>
      <c r="J371" s="196">
        <f>F371</f>
        <v/>
      </c>
      <c r="K371" s="184" t="n"/>
      <c r="L371" s="185" t="n"/>
      <c r="M371" s="8" t="n"/>
      <c r="N371" s="71">
        <f>M371</f>
        <v/>
      </c>
      <c r="O371" s="71" t="n"/>
      <c r="P371" s="101" t="n"/>
      <c r="Q371" s="9">
        <f>J371-N371</f>
        <v/>
      </c>
      <c r="R371" s="9">
        <f>IF(LEFT(B371,4)&lt;&gt;"    ",0,BI371)</f>
        <v/>
      </c>
      <c r="S371" s="9">
        <f>+Q371-R371</f>
        <v/>
      </c>
      <c r="T371" s="200">
        <f>IF('Jobs-Ops'!S371&lt;&gt; "",'Jobs-Ops'!S371,"")</f>
        <v/>
      </c>
      <c r="U371" s="10" t="n"/>
      <c r="V371" s="23">
        <f>IF(LEFT(B371,4)&lt;&gt;"    ","",IF(N371&lt;&gt;0,X371/N371,0))</f>
        <v/>
      </c>
      <c r="W371" s="11">
        <f>IF(LEFT(B371,4)&lt;&gt;"    ","",IF(V371&gt;=0.1,V371*J371,X371))</f>
        <v/>
      </c>
      <c r="X371" s="8" t="n"/>
      <c r="Y371" s="9">
        <f>IF(LEFT(B371,4)&lt;&gt;"    ",0,IF(Q371&lt;0,Q371,IF(V371&gt;0.1,W371-X371,0)))</f>
        <v/>
      </c>
      <c r="Z371" s="9">
        <f>IF(LEFT(B371,4)&lt;&gt;"    ",0,IF(V371&gt;0.1,BI371,0))</f>
        <v/>
      </c>
      <c r="AA371" s="9">
        <f>Y371-Z371</f>
        <v/>
      </c>
      <c r="AB371" s="10" t="n"/>
      <c r="AC371" s="24" t="n"/>
      <c r="AD371" s="11" t="n"/>
      <c r="AE371" s="8" t="n"/>
      <c r="AF371" s="9">
        <f>IF(LEFT(B371,4)&lt;&gt;"    ","",AD371-AE371)</f>
        <v/>
      </c>
      <c r="AG371" s="10" t="n"/>
      <c r="AH371" s="11">
        <f>IF(LEFT(B371,4)&lt;&gt;"    ","",W371-AD371)</f>
        <v/>
      </c>
      <c r="AI371" s="8">
        <f>IF(LEFT(B371,4)&lt;&gt;"    ","",X371-AE371)</f>
        <v/>
      </c>
      <c r="AJ371" s="9">
        <f>IF(LEFT(B371,4)&lt;&gt;"    ","",Y371-AF371)</f>
        <v/>
      </c>
      <c r="AK371" s="10" t="n"/>
      <c r="AL371" s="25">
        <f>IF(LEFT(B371,4)&lt;&gt;"    ","",J371-W371)</f>
        <v/>
      </c>
      <c r="AM371" s="25">
        <f>N371-X371</f>
        <v/>
      </c>
      <c r="AN371" s="25">
        <f>IF(LEFT(B371,4)&lt;&gt;"    ","",Q371-Y371)</f>
        <v/>
      </c>
      <c r="AO371" s="10" t="n"/>
      <c r="AP371" s="12" t="n"/>
      <c r="AQ371" s="12">
        <f>IF(LEFT(B371,4)&lt;&gt;"    ","",IF(W371-AP371&gt;=0,W371-AP371," "))</f>
        <v/>
      </c>
      <c r="AR371" s="12">
        <f>IF(LEFT(B371,4)&lt;&gt;"    ","",IF(AP371-W371&gt;=0,AP371-W371," "))</f>
        <v/>
      </c>
      <c r="AS371" s="186" t="n"/>
      <c r="AT371" s="187" t="n"/>
      <c r="AU371" s="186" t="n"/>
      <c r="AV371" s="186" t="n"/>
      <c r="AW371" s="188" t="n"/>
      <c r="AX371" s="187" t="n"/>
      <c r="AY371" s="187" t="n"/>
      <c r="AZ371" s="186" t="n"/>
      <c r="BA371" s="186" t="n"/>
      <c r="BB371" s="186" t="n"/>
      <c r="BC371" s="186" t="n"/>
      <c r="BD371" s="186" t="n"/>
      <c r="BE371" s="186" t="n"/>
      <c r="BF371" s="186" t="n"/>
      <c r="BG371" s="186" t="n"/>
      <c r="BH371" s="186" t="n"/>
      <c r="BI371" s="186" t="n"/>
      <c r="BJ371" s="186" t="n"/>
      <c r="BK371" s="186" t="n"/>
      <c r="BL371" s="186" t="n"/>
      <c r="BM371" s="186" t="n"/>
      <c r="BN371" s="186" t="n"/>
      <c r="BO371" s="186" t="n"/>
      <c r="BP371" s="186" t="n"/>
      <c r="BQ371" s="186" t="n"/>
      <c r="BR371" s="186" t="n"/>
      <c r="BS371" s="186" t="n"/>
      <c r="BT371" s="186" t="n"/>
      <c r="BU371" s="186" t="n"/>
      <c r="BV371" s="190" t="n"/>
      <c r="BW371" s="186" t="n"/>
      <c r="BX371" s="186" t="n"/>
      <c r="BY371" s="186" t="n"/>
      <c r="BZ371" s="186" t="n"/>
      <c r="CA371" s="186" t="n"/>
      <c r="CB371" s="187" t="n"/>
      <c r="CC371" s="192" t="n"/>
      <c r="CD371" s="192" t="n"/>
      <c r="CE371" s="192" t="n"/>
      <c r="CF371" s="192" t="n"/>
    </row>
    <row r="372">
      <c r="A372" s="197" t="n"/>
      <c r="B372" s="198" t="n"/>
      <c r="C372" s="198" t="n"/>
      <c r="D372" s="179" t="n"/>
      <c r="E372" s="180" t="n"/>
      <c r="F372" s="181" t="n"/>
      <c r="G372" s="284">
        <f>'Jobs-Ops'!G372</f>
        <v/>
      </c>
      <c r="H372" s="114">
        <f>'Jobs-Ops'!H372</f>
        <v/>
      </c>
      <c r="I372" s="105" t="n"/>
      <c r="J372" s="196">
        <f>F372</f>
        <v/>
      </c>
      <c r="K372" s="184" t="n"/>
      <c r="L372" s="185" t="n"/>
      <c r="M372" s="8" t="n"/>
      <c r="N372" s="71">
        <f>M372</f>
        <v/>
      </c>
      <c r="O372" s="71" t="n"/>
      <c r="P372" s="101" t="n"/>
      <c r="Q372" s="9">
        <f>J372-N372</f>
        <v/>
      </c>
      <c r="R372" s="9">
        <f>IF(LEFT(B372,4)&lt;&gt;"    ",0,BI372)</f>
        <v/>
      </c>
      <c r="S372" s="9">
        <f>+Q372-R372</f>
        <v/>
      </c>
      <c r="T372" s="200">
        <f>IF('Jobs-Ops'!S372&lt;&gt; "",'Jobs-Ops'!S372,"")</f>
        <v/>
      </c>
      <c r="U372" s="10" t="n"/>
      <c r="V372" s="23">
        <f>IF(LEFT(B372,4)&lt;&gt;"    ","",IF(N372&lt;&gt;0,X372/N372,0))</f>
        <v/>
      </c>
      <c r="W372" s="11">
        <f>IF(LEFT(B372,4)&lt;&gt;"    ","",IF(V372&gt;=0.1,V372*J372,X372))</f>
        <v/>
      </c>
      <c r="X372" s="8" t="n"/>
      <c r="Y372" s="9">
        <f>IF(LEFT(B372,4)&lt;&gt;"    ",0,IF(Q372&lt;0,Q372,IF(V372&gt;0.1,W372-X372,0)))</f>
        <v/>
      </c>
      <c r="Z372" s="9">
        <f>IF(LEFT(B372,4)&lt;&gt;"    ",0,IF(V372&gt;0.1,BI372,0))</f>
        <v/>
      </c>
      <c r="AA372" s="9">
        <f>Y372-Z372</f>
        <v/>
      </c>
      <c r="AB372" s="10" t="n"/>
      <c r="AC372" s="24" t="n"/>
      <c r="AD372" s="11" t="n"/>
      <c r="AE372" s="8" t="n"/>
      <c r="AF372" s="9">
        <f>IF(LEFT(B372,4)&lt;&gt;"    ","",AD372-AE372)</f>
        <v/>
      </c>
      <c r="AG372" s="10" t="n"/>
      <c r="AH372" s="11">
        <f>IF(LEFT(B372,4)&lt;&gt;"    ","",W372-AD372)</f>
        <v/>
      </c>
      <c r="AI372" s="8">
        <f>IF(LEFT(B372,4)&lt;&gt;"    ","",X372-AE372)</f>
        <v/>
      </c>
      <c r="AJ372" s="9">
        <f>IF(LEFT(B372,4)&lt;&gt;"    ","",Y372-AF372)</f>
        <v/>
      </c>
      <c r="AK372" s="10" t="n"/>
      <c r="AL372" s="25">
        <f>IF(LEFT(B372,4)&lt;&gt;"    ","",J372-W372)</f>
        <v/>
      </c>
      <c r="AM372" s="25">
        <f>N372-X372</f>
        <v/>
      </c>
      <c r="AN372" s="25">
        <f>IF(LEFT(B372,4)&lt;&gt;"    ","",Q372-Y372)</f>
        <v/>
      </c>
      <c r="AO372" s="10" t="n"/>
      <c r="AP372" s="12" t="n"/>
      <c r="AQ372" s="12">
        <f>IF(LEFT(B372,4)&lt;&gt;"    ","",IF(W372-AP372&gt;=0,W372-AP372," "))</f>
        <v/>
      </c>
      <c r="AR372" s="12">
        <f>IF(LEFT(B372,4)&lt;&gt;"    ","",IF(AP372-W372&gt;=0,AP372-W372," "))</f>
        <v/>
      </c>
      <c r="AS372" s="186" t="n"/>
      <c r="AT372" s="187" t="n"/>
      <c r="AU372" s="186" t="n"/>
      <c r="AV372" s="186" t="n"/>
      <c r="AW372" s="188" t="n"/>
      <c r="AX372" s="187" t="n"/>
      <c r="AY372" s="187" t="n"/>
      <c r="AZ372" s="186" t="n"/>
      <c r="BA372" s="186" t="n"/>
      <c r="BB372" s="186" t="n"/>
      <c r="BC372" s="186" t="n"/>
      <c r="BD372" s="186" t="n"/>
      <c r="BE372" s="186" t="n"/>
      <c r="BF372" s="186" t="n"/>
      <c r="BG372" s="186" t="n"/>
      <c r="BH372" s="186" t="n"/>
      <c r="BI372" s="186" t="n"/>
      <c r="BJ372" s="186" t="n"/>
      <c r="BK372" s="186" t="n"/>
      <c r="BL372" s="186" t="n"/>
      <c r="BM372" s="186" t="n"/>
      <c r="BN372" s="186" t="n"/>
      <c r="BO372" s="186" t="n"/>
      <c r="BP372" s="186" t="n"/>
      <c r="BQ372" s="186" t="n"/>
      <c r="BR372" s="186" t="n"/>
      <c r="BS372" s="186" t="n"/>
      <c r="BT372" s="186" t="n"/>
      <c r="BU372" s="186" t="n"/>
      <c r="BV372" s="190" t="n"/>
      <c r="BW372" s="186" t="n"/>
      <c r="BX372" s="186" t="n"/>
      <c r="BY372" s="186" t="n"/>
      <c r="BZ372" s="186" t="n"/>
      <c r="CA372" s="186" t="n"/>
      <c r="CB372" s="187" t="n"/>
      <c r="CC372" s="192" t="n"/>
      <c r="CD372" s="192" t="n"/>
      <c r="CE372" s="192" t="n"/>
      <c r="CF372" s="192" t="n"/>
    </row>
    <row r="373">
      <c r="A373" s="197" t="n"/>
      <c r="B373" s="198" t="n"/>
      <c r="C373" s="198" t="n"/>
      <c r="D373" s="179" t="n"/>
      <c r="E373" s="180" t="n"/>
      <c r="F373" s="181" t="n"/>
      <c r="G373" s="284">
        <f>'Jobs-Ops'!G373</f>
        <v/>
      </c>
      <c r="H373" s="114">
        <f>'Jobs-Ops'!H373</f>
        <v/>
      </c>
      <c r="I373" s="105" t="n"/>
      <c r="J373" s="196">
        <f>F373</f>
        <v/>
      </c>
      <c r="K373" s="184" t="n"/>
      <c r="L373" s="185" t="n"/>
      <c r="M373" s="8" t="n"/>
      <c r="N373" s="71">
        <f>M373</f>
        <v/>
      </c>
      <c r="O373" s="71" t="n"/>
      <c r="P373" s="101" t="n"/>
      <c r="Q373" s="9">
        <f>J373-N373</f>
        <v/>
      </c>
      <c r="R373" s="9">
        <f>IF(LEFT(B373,4)&lt;&gt;"    ",0,BI373)</f>
        <v/>
      </c>
      <c r="S373" s="9">
        <f>+Q373-R373</f>
        <v/>
      </c>
      <c r="T373" s="200">
        <f>IF('Jobs-Ops'!S373&lt;&gt; "",'Jobs-Ops'!S373,"")</f>
        <v/>
      </c>
      <c r="U373" s="10" t="n"/>
      <c r="V373" s="23">
        <f>IF(LEFT(B373,4)&lt;&gt;"    ","",IF(N373&lt;&gt;0,X373/N373,0))</f>
        <v/>
      </c>
      <c r="W373" s="11">
        <f>IF(LEFT(B373,4)&lt;&gt;"    ","",IF(V373&gt;=0.1,V373*J373,X373))</f>
        <v/>
      </c>
      <c r="X373" s="8" t="n"/>
      <c r="Y373" s="9">
        <f>IF(LEFT(B373,4)&lt;&gt;"    ",0,IF(Q373&lt;0,Q373,IF(V373&gt;0.1,W373-X373,0)))</f>
        <v/>
      </c>
      <c r="Z373" s="9">
        <f>IF(LEFT(B373,4)&lt;&gt;"    ",0,IF(V373&gt;0.1,BI373,0))</f>
        <v/>
      </c>
      <c r="AA373" s="9">
        <f>Y373-Z373</f>
        <v/>
      </c>
      <c r="AB373" s="10" t="n"/>
      <c r="AC373" s="24" t="n"/>
      <c r="AD373" s="11" t="n"/>
      <c r="AE373" s="8" t="n"/>
      <c r="AF373" s="9">
        <f>IF(LEFT(B373,4)&lt;&gt;"    ","",AD373-AE373)</f>
        <v/>
      </c>
      <c r="AG373" s="10" t="n"/>
      <c r="AH373" s="11">
        <f>IF(LEFT(B373,4)&lt;&gt;"    ","",W373-AD373)</f>
        <v/>
      </c>
      <c r="AI373" s="8">
        <f>IF(LEFT(B373,4)&lt;&gt;"    ","",X373-AE373)</f>
        <v/>
      </c>
      <c r="AJ373" s="9">
        <f>IF(LEFT(B373,4)&lt;&gt;"    ","",Y373-AF373)</f>
        <v/>
      </c>
      <c r="AK373" s="10" t="n"/>
      <c r="AL373" s="25">
        <f>IF(LEFT(B373,4)&lt;&gt;"    ","",J373-W373)</f>
        <v/>
      </c>
      <c r="AM373" s="25">
        <f>N373-X373</f>
        <v/>
      </c>
      <c r="AN373" s="25">
        <f>IF(LEFT(B373,4)&lt;&gt;"    ","",Q373-Y373)</f>
        <v/>
      </c>
      <c r="AO373" s="10" t="n"/>
      <c r="AP373" s="12" t="n"/>
      <c r="AQ373" s="12">
        <f>IF(LEFT(B373,4)&lt;&gt;"    ","",IF(W373-AP373&gt;=0,W373-AP373," "))</f>
        <v/>
      </c>
      <c r="AR373" s="12">
        <f>IF(LEFT(B373,4)&lt;&gt;"    ","",IF(AP373-W373&gt;=0,AP373-W373," "))</f>
        <v/>
      </c>
      <c r="AS373" s="186" t="n"/>
      <c r="AT373" s="187" t="n"/>
      <c r="AU373" s="186" t="n"/>
      <c r="AV373" s="186" t="n"/>
      <c r="AW373" s="188" t="n"/>
      <c r="AX373" s="187" t="n"/>
      <c r="AY373" s="187" t="n"/>
      <c r="AZ373" s="186" t="n"/>
      <c r="BA373" s="186" t="n"/>
      <c r="BB373" s="186" t="n"/>
      <c r="BC373" s="186" t="n"/>
      <c r="BD373" s="186" t="n"/>
      <c r="BE373" s="186" t="n"/>
      <c r="BF373" s="186" t="n"/>
      <c r="BG373" s="186" t="n"/>
      <c r="BH373" s="186" t="n"/>
      <c r="BI373" s="186" t="n"/>
      <c r="BJ373" s="186" t="n"/>
      <c r="BK373" s="186" t="n"/>
      <c r="BL373" s="186" t="n"/>
      <c r="BM373" s="186" t="n"/>
      <c r="BN373" s="186" t="n"/>
      <c r="BO373" s="186" t="n"/>
      <c r="BP373" s="186" t="n"/>
      <c r="BQ373" s="186" t="n"/>
      <c r="BR373" s="186" t="n"/>
      <c r="BS373" s="186" t="n"/>
      <c r="BT373" s="186" t="n"/>
      <c r="BU373" s="186" t="n"/>
      <c r="BV373" s="190" t="n"/>
      <c r="BW373" s="186" t="n"/>
      <c r="BX373" s="186" t="n"/>
      <c r="BY373" s="186" t="n"/>
      <c r="BZ373" s="186" t="n"/>
      <c r="CA373" s="186" t="n"/>
      <c r="CB373" s="187" t="n"/>
      <c r="CC373" s="192" t="n"/>
      <c r="CD373" s="192" t="n"/>
      <c r="CE373" s="192" t="n"/>
      <c r="CF373" s="192" t="n"/>
    </row>
    <row r="374">
      <c r="A374" s="197" t="n"/>
      <c r="B374" s="198" t="n"/>
      <c r="C374" s="198" t="n"/>
      <c r="D374" s="179" t="n"/>
      <c r="E374" s="180" t="n"/>
      <c r="F374" s="181" t="n"/>
      <c r="G374" s="284">
        <f>'Jobs-Ops'!G374</f>
        <v/>
      </c>
      <c r="H374" s="114">
        <f>'Jobs-Ops'!H374</f>
        <v/>
      </c>
      <c r="I374" s="105" t="n"/>
      <c r="J374" s="196">
        <f>F374</f>
        <v/>
      </c>
      <c r="K374" s="184" t="n"/>
      <c r="L374" s="185" t="n"/>
      <c r="M374" s="8" t="n"/>
      <c r="N374" s="71">
        <f>M374</f>
        <v/>
      </c>
      <c r="O374" s="71" t="n"/>
      <c r="P374" s="101" t="n"/>
      <c r="Q374" s="9">
        <f>J374-N374</f>
        <v/>
      </c>
      <c r="R374" s="9">
        <f>IF(LEFT(B374,4)&lt;&gt;"    ",0,BI374)</f>
        <v/>
      </c>
      <c r="S374" s="9">
        <f>+Q374-R374</f>
        <v/>
      </c>
      <c r="T374" s="200">
        <f>IF('Jobs-Ops'!S374&lt;&gt; "",'Jobs-Ops'!S374,"")</f>
        <v/>
      </c>
      <c r="U374" s="10" t="n"/>
      <c r="V374" s="23">
        <f>IF(LEFT(B374,4)&lt;&gt;"    ","",IF(N374&lt;&gt;0,X374/N374,0))</f>
        <v/>
      </c>
      <c r="W374" s="11">
        <f>IF(LEFT(B374,4)&lt;&gt;"    ","",IF(V374&gt;=0.1,V374*J374,X374))</f>
        <v/>
      </c>
      <c r="X374" s="8" t="n"/>
      <c r="Y374" s="9">
        <f>IF(LEFT(B374,4)&lt;&gt;"    ",0,IF(Q374&lt;0,Q374,IF(V374&gt;0.1,W374-X374,0)))</f>
        <v/>
      </c>
      <c r="Z374" s="9">
        <f>IF(LEFT(B374,4)&lt;&gt;"    ",0,IF(V374&gt;0.1,BI374,0))</f>
        <v/>
      </c>
      <c r="AA374" s="9">
        <f>Y374-Z374</f>
        <v/>
      </c>
      <c r="AB374" s="10" t="n"/>
      <c r="AC374" s="24" t="n"/>
      <c r="AD374" s="11" t="n"/>
      <c r="AE374" s="8" t="n"/>
      <c r="AF374" s="9">
        <f>IF(LEFT(B374,4)&lt;&gt;"    ","",AD374-AE374)</f>
        <v/>
      </c>
      <c r="AG374" s="10" t="n"/>
      <c r="AH374" s="11">
        <f>IF(LEFT(B374,4)&lt;&gt;"    ","",W374-AD374)</f>
        <v/>
      </c>
      <c r="AI374" s="8">
        <f>IF(LEFT(B374,4)&lt;&gt;"    ","",X374-AE374)</f>
        <v/>
      </c>
      <c r="AJ374" s="9">
        <f>IF(LEFT(B374,4)&lt;&gt;"    ","",Y374-AF374)</f>
        <v/>
      </c>
      <c r="AK374" s="10" t="n"/>
      <c r="AL374" s="25">
        <f>IF(LEFT(B374,4)&lt;&gt;"    ","",J374-W374)</f>
        <v/>
      </c>
      <c r="AM374" s="25">
        <f>N374-X374</f>
        <v/>
      </c>
      <c r="AN374" s="25">
        <f>IF(LEFT(B374,4)&lt;&gt;"    ","",Q374-Y374)</f>
        <v/>
      </c>
      <c r="AO374" s="10" t="n"/>
      <c r="AP374" s="12" t="n"/>
      <c r="AQ374" s="12">
        <f>IF(LEFT(B374,4)&lt;&gt;"    ","",IF(W374-AP374&gt;=0,W374-AP374," "))</f>
        <v/>
      </c>
      <c r="AR374" s="12">
        <f>IF(LEFT(B374,4)&lt;&gt;"    ","",IF(AP374-W374&gt;=0,AP374-W374," "))</f>
        <v/>
      </c>
      <c r="AS374" s="186" t="n"/>
      <c r="AT374" s="187" t="n"/>
      <c r="AU374" s="186" t="n"/>
      <c r="AV374" s="186" t="n"/>
      <c r="AW374" s="188" t="n"/>
      <c r="AX374" s="187" t="n"/>
      <c r="AY374" s="187" t="n"/>
      <c r="AZ374" s="186" t="n"/>
      <c r="BA374" s="186" t="n"/>
      <c r="BB374" s="186" t="n"/>
      <c r="BC374" s="186" t="n"/>
      <c r="BD374" s="186" t="n"/>
      <c r="BE374" s="186" t="n"/>
      <c r="BF374" s="186" t="n"/>
      <c r="BG374" s="186" t="n"/>
      <c r="BH374" s="186" t="n"/>
      <c r="BI374" s="186" t="n"/>
      <c r="BJ374" s="186" t="n"/>
      <c r="BK374" s="186" t="n"/>
      <c r="BL374" s="186" t="n"/>
      <c r="BM374" s="186" t="n"/>
      <c r="BN374" s="186" t="n"/>
      <c r="BO374" s="186" t="n"/>
      <c r="BP374" s="186" t="n"/>
      <c r="BQ374" s="186" t="n"/>
      <c r="BR374" s="186" t="n"/>
      <c r="BS374" s="186" t="n"/>
      <c r="BT374" s="186" t="n"/>
      <c r="BU374" s="186" t="n"/>
      <c r="BV374" s="190" t="n"/>
      <c r="BW374" s="186" t="n"/>
      <c r="BX374" s="186" t="n"/>
      <c r="BY374" s="186" t="n"/>
      <c r="BZ374" s="186" t="n"/>
      <c r="CA374" s="186" t="n"/>
      <c r="CB374" s="187" t="n"/>
      <c r="CC374" s="192" t="n"/>
      <c r="CD374" s="192" t="n"/>
      <c r="CE374" s="192" t="n"/>
      <c r="CF374" s="192" t="n"/>
    </row>
    <row r="375">
      <c r="A375" s="197" t="n"/>
      <c r="B375" s="198" t="n"/>
      <c r="C375" s="198" t="n"/>
      <c r="D375" s="179" t="n"/>
      <c r="E375" s="180" t="n"/>
      <c r="F375" s="181" t="n"/>
      <c r="G375" s="284">
        <f>'Jobs-Ops'!G375</f>
        <v/>
      </c>
      <c r="H375" s="114">
        <f>'Jobs-Ops'!H375</f>
        <v/>
      </c>
      <c r="I375" s="105" t="n"/>
      <c r="J375" s="196">
        <f>F375</f>
        <v/>
      </c>
      <c r="K375" s="184" t="n"/>
      <c r="L375" s="185" t="n"/>
      <c r="M375" s="8" t="n"/>
      <c r="N375" s="71">
        <f>M375</f>
        <v/>
      </c>
      <c r="O375" s="71" t="n"/>
      <c r="P375" s="101" t="n"/>
      <c r="Q375" s="9">
        <f>J375-N375</f>
        <v/>
      </c>
      <c r="R375" s="9">
        <f>IF(LEFT(B375,4)&lt;&gt;"    ",0,BI375)</f>
        <v/>
      </c>
      <c r="S375" s="9">
        <f>+Q375-R375</f>
        <v/>
      </c>
      <c r="T375" s="200">
        <f>IF('Jobs-Ops'!S375&lt;&gt; "",'Jobs-Ops'!S375,"")</f>
        <v/>
      </c>
      <c r="U375" s="10" t="n"/>
      <c r="V375" s="23">
        <f>IF(LEFT(B375,4)&lt;&gt;"    ","",IF(N375&lt;&gt;0,X375/N375,0))</f>
        <v/>
      </c>
      <c r="W375" s="11">
        <f>IF(LEFT(B375,4)&lt;&gt;"    ","",IF(V375&gt;=0.1,V375*J375,X375))</f>
        <v/>
      </c>
      <c r="X375" s="8" t="n"/>
      <c r="Y375" s="9">
        <f>IF(LEFT(B375,4)&lt;&gt;"    ",0,IF(Q375&lt;0,Q375,IF(V375&gt;0.1,W375-X375,0)))</f>
        <v/>
      </c>
      <c r="Z375" s="9">
        <f>IF(LEFT(B375,4)&lt;&gt;"    ",0,IF(V375&gt;0.1,BI375,0))</f>
        <v/>
      </c>
      <c r="AA375" s="9">
        <f>Y375-Z375</f>
        <v/>
      </c>
      <c r="AB375" s="10" t="n"/>
      <c r="AC375" s="24" t="n"/>
      <c r="AD375" s="11" t="n"/>
      <c r="AE375" s="8" t="n"/>
      <c r="AF375" s="9">
        <f>IF(LEFT(B375,4)&lt;&gt;"    ","",AD375-AE375)</f>
        <v/>
      </c>
      <c r="AG375" s="10" t="n"/>
      <c r="AH375" s="11">
        <f>IF(LEFT(B375,4)&lt;&gt;"    ","",W375-AD375)</f>
        <v/>
      </c>
      <c r="AI375" s="8">
        <f>IF(LEFT(B375,4)&lt;&gt;"    ","",X375-AE375)</f>
        <v/>
      </c>
      <c r="AJ375" s="9">
        <f>IF(LEFT(B375,4)&lt;&gt;"    ","",Y375-AF375)</f>
        <v/>
      </c>
      <c r="AK375" s="10" t="n"/>
      <c r="AL375" s="25">
        <f>IF(LEFT(B375,4)&lt;&gt;"    ","",J375-W375)</f>
        <v/>
      </c>
      <c r="AM375" s="25">
        <f>N375-X375</f>
        <v/>
      </c>
      <c r="AN375" s="25">
        <f>IF(LEFT(B375,4)&lt;&gt;"    ","",Q375-Y375)</f>
        <v/>
      </c>
      <c r="AO375" s="10" t="n"/>
      <c r="AP375" s="12" t="n"/>
      <c r="AQ375" s="12">
        <f>IF(LEFT(B375,4)&lt;&gt;"    ","",IF(W375-AP375&gt;=0,W375-AP375," "))</f>
        <v/>
      </c>
      <c r="AR375" s="12">
        <f>IF(LEFT(B375,4)&lt;&gt;"    ","",IF(AP375-W375&gt;=0,AP375-W375," "))</f>
        <v/>
      </c>
      <c r="AS375" s="186" t="n"/>
      <c r="AT375" s="187" t="n"/>
      <c r="AU375" s="186" t="n"/>
      <c r="AV375" s="186" t="n"/>
      <c r="AW375" s="188" t="n"/>
      <c r="AX375" s="187" t="n"/>
      <c r="AY375" s="187" t="n"/>
      <c r="AZ375" s="186" t="n"/>
      <c r="BA375" s="186" t="n"/>
      <c r="BB375" s="186" t="n"/>
      <c r="BC375" s="186" t="n"/>
      <c r="BD375" s="186" t="n"/>
      <c r="BE375" s="186" t="n"/>
      <c r="BF375" s="186" t="n"/>
      <c r="BG375" s="186" t="n"/>
      <c r="BH375" s="186" t="n"/>
      <c r="BI375" s="186" t="n"/>
      <c r="BJ375" s="186" t="n"/>
      <c r="BK375" s="186" t="n"/>
      <c r="BL375" s="186" t="n"/>
      <c r="BM375" s="186" t="n"/>
      <c r="BN375" s="186" t="n"/>
      <c r="BO375" s="186" t="n"/>
      <c r="BP375" s="186" t="n"/>
      <c r="BQ375" s="186" t="n"/>
      <c r="BR375" s="186" t="n"/>
      <c r="BS375" s="186" t="n"/>
      <c r="BT375" s="186" t="n"/>
      <c r="BU375" s="186" t="n"/>
      <c r="BV375" s="190" t="n"/>
      <c r="BW375" s="186" t="n"/>
      <c r="BX375" s="186" t="n"/>
      <c r="BY375" s="186" t="n"/>
      <c r="BZ375" s="186" t="n"/>
      <c r="CA375" s="186" t="n"/>
      <c r="CB375" s="187" t="n"/>
      <c r="CC375" s="192" t="n"/>
      <c r="CD375" s="192" t="n"/>
      <c r="CE375" s="192" t="n"/>
      <c r="CF375" s="192" t="n"/>
    </row>
    <row r="376">
      <c r="A376" s="197" t="n"/>
      <c r="B376" s="198" t="n"/>
      <c r="C376" s="198" t="n"/>
      <c r="D376" s="179" t="n"/>
      <c r="E376" s="180" t="n"/>
      <c r="F376" s="181" t="n"/>
      <c r="G376" s="284">
        <f>'Jobs-Ops'!G376</f>
        <v/>
      </c>
      <c r="H376" s="114">
        <f>'Jobs-Ops'!H376</f>
        <v/>
      </c>
      <c r="I376" s="105" t="n"/>
      <c r="J376" s="196">
        <f>F376</f>
        <v/>
      </c>
      <c r="K376" s="184" t="n"/>
      <c r="L376" s="185" t="n"/>
      <c r="M376" s="8" t="n"/>
      <c r="N376" s="71">
        <f>M376</f>
        <v/>
      </c>
      <c r="O376" s="71" t="n"/>
      <c r="P376" s="101" t="n"/>
      <c r="Q376" s="9">
        <f>J376-N376</f>
        <v/>
      </c>
      <c r="R376" s="9">
        <f>IF(LEFT(B376,4)&lt;&gt;"    ",0,BI376)</f>
        <v/>
      </c>
      <c r="S376" s="9">
        <f>+Q376-R376</f>
        <v/>
      </c>
      <c r="T376" s="200">
        <f>IF('Jobs-Ops'!S376&lt;&gt; "",'Jobs-Ops'!S376,"")</f>
        <v/>
      </c>
      <c r="U376" s="10" t="n"/>
      <c r="V376" s="23">
        <f>IF(LEFT(B376,4)&lt;&gt;"    ","",IF(N376&lt;&gt;0,X376/N376,0))</f>
        <v/>
      </c>
      <c r="W376" s="11">
        <f>IF(LEFT(B376,4)&lt;&gt;"    ","",IF(V376&gt;=0.1,V376*J376,X376))</f>
        <v/>
      </c>
      <c r="X376" s="8" t="n"/>
      <c r="Y376" s="9">
        <f>IF(LEFT(B376,4)&lt;&gt;"    ",0,IF(Q376&lt;0,Q376,IF(V376&gt;0.1,W376-X376,0)))</f>
        <v/>
      </c>
      <c r="Z376" s="9">
        <f>IF(LEFT(B376,4)&lt;&gt;"    ",0,IF(V376&gt;0.1,BI376,0))</f>
        <v/>
      </c>
      <c r="AA376" s="9">
        <f>Y376-Z376</f>
        <v/>
      </c>
      <c r="AB376" s="10" t="n"/>
      <c r="AC376" s="24" t="n"/>
      <c r="AD376" s="11" t="n"/>
      <c r="AE376" s="8" t="n"/>
      <c r="AF376" s="9">
        <f>IF(LEFT(B376,4)&lt;&gt;"    ","",AD376-AE376)</f>
        <v/>
      </c>
      <c r="AG376" s="10" t="n"/>
      <c r="AH376" s="11">
        <f>IF(LEFT(B376,4)&lt;&gt;"    ","",W376-AD376)</f>
        <v/>
      </c>
      <c r="AI376" s="8">
        <f>IF(LEFT(B376,4)&lt;&gt;"    ","",X376-AE376)</f>
        <v/>
      </c>
      <c r="AJ376" s="9">
        <f>IF(LEFT(B376,4)&lt;&gt;"    ","",Y376-AF376)</f>
        <v/>
      </c>
      <c r="AK376" s="10" t="n"/>
      <c r="AL376" s="25">
        <f>IF(LEFT(B376,4)&lt;&gt;"    ","",J376-W376)</f>
        <v/>
      </c>
      <c r="AM376" s="25">
        <f>N376-X376</f>
        <v/>
      </c>
      <c r="AN376" s="25">
        <f>IF(LEFT(B376,4)&lt;&gt;"    ","",Q376-Y376)</f>
        <v/>
      </c>
      <c r="AO376" s="10" t="n"/>
      <c r="AP376" s="12" t="n"/>
      <c r="AQ376" s="12">
        <f>IF(LEFT(B376,4)&lt;&gt;"    ","",IF(W376-AP376&gt;=0,W376-AP376," "))</f>
        <v/>
      </c>
      <c r="AR376" s="12">
        <f>IF(LEFT(B376,4)&lt;&gt;"    ","",IF(AP376-W376&gt;=0,AP376-W376," "))</f>
        <v/>
      </c>
      <c r="AS376" s="186" t="n"/>
      <c r="AT376" s="187" t="n"/>
      <c r="AU376" s="186" t="n"/>
      <c r="AV376" s="186" t="n"/>
      <c r="AW376" s="188" t="n"/>
      <c r="AX376" s="187" t="n"/>
      <c r="AY376" s="187" t="n"/>
      <c r="AZ376" s="186" t="n"/>
      <c r="BA376" s="186" t="n"/>
      <c r="BB376" s="186" t="n"/>
      <c r="BC376" s="186" t="n"/>
      <c r="BD376" s="186" t="n"/>
      <c r="BE376" s="186" t="n"/>
      <c r="BF376" s="186" t="n"/>
      <c r="BG376" s="186" t="n"/>
      <c r="BH376" s="186" t="n"/>
      <c r="BI376" s="186" t="n"/>
      <c r="BJ376" s="186" t="n"/>
      <c r="BK376" s="186" t="n"/>
      <c r="BL376" s="186" t="n"/>
      <c r="BM376" s="186" t="n"/>
      <c r="BN376" s="186" t="n"/>
      <c r="BO376" s="186" t="n"/>
      <c r="BP376" s="186" t="n"/>
      <c r="BQ376" s="186" t="n"/>
      <c r="BR376" s="186" t="n"/>
      <c r="BS376" s="186" t="n"/>
      <c r="BT376" s="186" t="n"/>
      <c r="BU376" s="186" t="n"/>
      <c r="BV376" s="190" t="n"/>
      <c r="BW376" s="186" t="n"/>
      <c r="BX376" s="186" t="n"/>
      <c r="BY376" s="186" t="n"/>
      <c r="BZ376" s="186" t="n"/>
      <c r="CA376" s="186" t="n"/>
      <c r="CB376" s="187" t="n"/>
      <c r="CC376" s="192" t="n"/>
      <c r="CD376" s="192" t="n"/>
      <c r="CE376" s="192" t="n"/>
      <c r="CF376" s="192" t="n"/>
    </row>
    <row r="377">
      <c r="A377" s="197" t="n"/>
      <c r="B377" s="198" t="n"/>
      <c r="C377" s="198" t="n"/>
      <c r="D377" s="179" t="n"/>
      <c r="E377" s="180" t="n"/>
      <c r="F377" s="181" t="n"/>
      <c r="G377" s="284">
        <f>'Jobs-Ops'!G377</f>
        <v/>
      </c>
      <c r="H377" s="114">
        <f>'Jobs-Ops'!H377</f>
        <v/>
      </c>
      <c r="I377" s="105" t="n"/>
      <c r="J377" s="196">
        <f>F377</f>
        <v/>
      </c>
      <c r="K377" s="184" t="n"/>
      <c r="L377" s="185" t="n"/>
      <c r="M377" s="8" t="n"/>
      <c r="N377" s="71">
        <f>M377</f>
        <v/>
      </c>
      <c r="O377" s="71" t="n"/>
      <c r="P377" s="101" t="n"/>
      <c r="Q377" s="9">
        <f>J377-N377</f>
        <v/>
      </c>
      <c r="R377" s="9">
        <f>IF(LEFT(B377,4)&lt;&gt;"    ",0,BI377)</f>
        <v/>
      </c>
      <c r="S377" s="9">
        <f>+Q377-R377</f>
        <v/>
      </c>
      <c r="T377" s="200">
        <f>IF('Jobs-Ops'!S377&lt;&gt; "",'Jobs-Ops'!S377,"")</f>
        <v/>
      </c>
      <c r="U377" s="10" t="n"/>
      <c r="V377" s="23">
        <f>IF(LEFT(B377,4)&lt;&gt;"    ","",IF(N377&lt;&gt;0,X377/N377,0))</f>
        <v/>
      </c>
      <c r="W377" s="11">
        <f>IF(LEFT(B377,4)&lt;&gt;"    ","",IF(V377&gt;=0.1,V377*J377,X377))</f>
        <v/>
      </c>
      <c r="X377" s="8" t="n"/>
      <c r="Y377" s="9">
        <f>IF(LEFT(B377,4)&lt;&gt;"    ",0,IF(Q377&lt;0,Q377,IF(V377&gt;0.1,W377-X377,0)))</f>
        <v/>
      </c>
      <c r="Z377" s="9">
        <f>IF(LEFT(B377,4)&lt;&gt;"    ",0,IF(V377&gt;0.1,BI377,0))</f>
        <v/>
      </c>
      <c r="AA377" s="9">
        <f>Y377-Z377</f>
        <v/>
      </c>
      <c r="AB377" s="10" t="n"/>
      <c r="AC377" s="24" t="n"/>
      <c r="AD377" s="11" t="n"/>
      <c r="AE377" s="8" t="n"/>
      <c r="AF377" s="9">
        <f>IF(LEFT(B377,4)&lt;&gt;"    ","",AD377-AE377)</f>
        <v/>
      </c>
      <c r="AG377" s="10" t="n"/>
      <c r="AH377" s="11">
        <f>IF(LEFT(B377,4)&lt;&gt;"    ","",W377-AD377)</f>
        <v/>
      </c>
      <c r="AI377" s="8">
        <f>IF(LEFT(B377,4)&lt;&gt;"    ","",X377-AE377)</f>
        <v/>
      </c>
      <c r="AJ377" s="9">
        <f>IF(LEFT(B377,4)&lt;&gt;"    ","",Y377-AF377)</f>
        <v/>
      </c>
      <c r="AK377" s="10" t="n"/>
      <c r="AL377" s="25">
        <f>IF(LEFT(B377,4)&lt;&gt;"    ","",J377-W377)</f>
        <v/>
      </c>
      <c r="AM377" s="25">
        <f>N377-X377</f>
        <v/>
      </c>
      <c r="AN377" s="25">
        <f>IF(LEFT(B377,4)&lt;&gt;"    ","",Q377-Y377)</f>
        <v/>
      </c>
      <c r="AO377" s="10" t="n"/>
      <c r="AP377" s="12" t="n"/>
      <c r="AQ377" s="12">
        <f>IF(LEFT(B377,4)&lt;&gt;"    ","",IF(W377-AP377&gt;=0,W377-AP377," "))</f>
        <v/>
      </c>
      <c r="AR377" s="12">
        <f>IF(LEFT(B377,4)&lt;&gt;"    ","",IF(AP377-W377&gt;=0,AP377-W377," "))</f>
        <v/>
      </c>
      <c r="AS377" s="186" t="n"/>
      <c r="AT377" s="187" t="n"/>
      <c r="AU377" s="186" t="n"/>
      <c r="AV377" s="186" t="n"/>
      <c r="AW377" s="188" t="n"/>
      <c r="AX377" s="187" t="n"/>
      <c r="AY377" s="187" t="n"/>
      <c r="AZ377" s="186" t="n"/>
      <c r="BA377" s="186" t="n"/>
      <c r="BB377" s="186" t="n"/>
      <c r="BC377" s="186" t="n"/>
      <c r="BD377" s="186" t="n"/>
      <c r="BE377" s="186" t="n"/>
      <c r="BF377" s="186" t="n"/>
      <c r="BG377" s="186" t="n"/>
      <c r="BH377" s="186" t="n"/>
      <c r="BI377" s="186" t="n"/>
      <c r="BJ377" s="186" t="n"/>
      <c r="BK377" s="186" t="n"/>
      <c r="BL377" s="186" t="n"/>
      <c r="BM377" s="186" t="n"/>
      <c r="BN377" s="186" t="n"/>
      <c r="BO377" s="186" t="n"/>
      <c r="BP377" s="186" t="n"/>
      <c r="BQ377" s="186" t="n"/>
      <c r="BR377" s="186" t="n"/>
      <c r="BS377" s="186" t="n"/>
      <c r="BT377" s="186" t="n"/>
      <c r="BU377" s="186" t="n"/>
      <c r="BV377" s="190" t="n"/>
      <c r="BW377" s="186" t="n"/>
      <c r="BX377" s="186" t="n"/>
      <c r="BY377" s="186" t="n"/>
      <c r="BZ377" s="186" t="n"/>
      <c r="CA377" s="186" t="n"/>
      <c r="CB377" s="187" t="n"/>
      <c r="CC377" s="192" t="n"/>
      <c r="CD377" s="192" t="n"/>
      <c r="CE377" s="192" t="n"/>
      <c r="CF377" s="192" t="n"/>
    </row>
    <row r="378">
      <c r="A378" s="197" t="n"/>
      <c r="B378" s="198" t="n"/>
      <c r="C378" s="198" t="n"/>
      <c r="D378" s="179" t="n"/>
      <c r="E378" s="180" t="n"/>
      <c r="F378" s="181" t="n"/>
      <c r="G378" s="284">
        <f>'Jobs-Ops'!G378</f>
        <v/>
      </c>
      <c r="H378" s="114">
        <f>'Jobs-Ops'!H378</f>
        <v/>
      </c>
      <c r="I378" s="105" t="n"/>
      <c r="J378" s="196">
        <f>F378</f>
        <v/>
      </c>
      <c r="K378" s="184" t="n"/>
      <c r="L378" s="185" t="n"/>
      <c r="M378" s="8" t="n"/>
      <c r="N378" s="71">
        <f>M378</f>
        <v/>
      </c>
      <c r="O378" s="71" t="n"/>
      <c r="P378" s="101" t="n"/>
      <c r="Q378" s="9">
        <f>J378-N378</f>
        <v/>
      </c>
      <c r="R378" s="9">
        <f>IF(LEFT(B378,4)&lt;&gt;"    ",0,BI378)</f>
        <v/>
      </c>
      <c r="S378" s="9">
        <f>+Q378-R378</f>
        <v/>
      </c>
      <c r="T378" s="200">
        <f>IF('Jobs-Ops'!S378&lt;&gt; "",'Jobs-Ops'!S378,"")</f>
        <v/>
      </c>
      <c r="U378" s="10" t="n"/>
      <c r="V378" s="23">
        <f>IF(LEFT(B378,4)&lt;&gt;"    ","",IF(N378&lt;&gt;0,X378/N378,0))</f>
        <v/>
      </c>
      <c r="W378" s="11">
        <f>IF(LEFT(B378,4)&lt;&gt;"    ","",IF(V378&gt;=0.1,V378*J378,X378))</f>
        <v/>
      </c>
      <c r="X378" s="8" t="n"/>
      <c r="Y378" s="9">
        <f>IF(LEFT(B378,4)&lt;&gt;"    ",0,IF(Q378&lt;0,Q378,IF(V378&gt;0.1,W378-X378,0)))</f>
        <v/>
      </c>
      <c r="Z378" s="9">
        <f>IF(LEFT(B378,4)&lt;&gt;"    ",0,IF(V378&gt;0.1,BI378,0))</f>
        <v/>
      </c>
      <c r="AA378" s="9">
        <f>Y378-Z378</f>
        <v/>
      </c>
      <c r="AB378" s="10" t="n"/>
      <c r="AC378" s="24" t="n"/>
      <c r="AD378" s="11" t="n"/>
      <c r="AE378" s="8" t="n"/>
      <c r="AF378" s="9">
        <f>IF(LEFT(B378,4)&lt;&gt;"    ","",AD378-AE378)</f>
        <v/>
      </c>
      <c r="AG378" s="10" t="n"/>
      <c r="AH378" s="11">
        <f>IF(LEFT(B378,4)&lt;&gt;"    ","",W378-AD378)</f>
        <v/>
      </c>
      <c r="AI378" s="8">
        <f>IF(LEFT(B378,4)&lt;&gt;"    ","",X378-AE378)</f>
        <v/>
      </c>
      <c r="AJ378" s="9">
        <f>IF(LEFT(B378,4)&lt;&gt;"    ","",Y378-AF378)</f>
        <v/>
      </c>
      <c r="AK378" s="10" t="n"/>
      <c r="AL378" s="25">
        <f>IF(LEFT(B378,4)&lt;&gt;"    ","",J378-W378)</f>
        <v/>
      </c>
      <c r="AM378" s="25">
        <f>N378-X378</f>
        <v/>
      </c>
      <c r="AN378" s="25">
        <f>IF(LEFT(B378,4)&lt;&gt;"    ","",Q378-Y378)</f>
        <v/>
      </c>
      <c r="AO378" s="10" t="n"/>
      <c r="AP378" s="12" t="n"/>
      <c r="AQ378" s="12">
        <f>IF(LEFT(B378,4)&lt;&gt;"    ","",IF(W378-AP378&gt;=0,W378-AP378," "))</f>
        <v/>
      </c>
      <c r="AR378" s="12">
        <f>IF(LEFT(B378,4)&lt;&gt;"    ","",IF(AP378-W378&gt;=0,AP378-W378," "))</f>
        <v/>
      </c>
      <c r="AS378" s="186" t="n"/>
      <c r="AT378" s="187" t="n"/>
      <c r="AU378" s="186" t="n"/>
      <c r="AV378" s="186" t="n"/>
      <c r="AW378" s="188" t="n"/>
      <c r="AX378" s="187" t="n"/>
      <c r="AY378" s="187" t="n"/>
      <c r="AZ378" s="186" t="n"/>
      <c r="BA378" s="186" t="n"/>
      <c r="BB378" s="186" t="n"/>
      <c r="BC378" s="186" t="n"/>
      <c r="BD378" s="186" t="n"/>
      <c r="BE378" s="186" t="n"/>
      <c r="BF378" s="186" t="n"/>
      <c r="BG378" s="186" t="n"/>
      <c r="BH378" s="186" t="n"/>
      <c r="BI378" s="186" t="n"/>
      <c r="BJ378" s="186" t="n"/>
      <c r="BK378" s="186" t="n"/>
      <c r="BL378" s="186" t="n"/>
      <c r="BM378" s="186" t="n"/>
      <c r="BN378" s="186" t="n"/>
      <c r="BO378" s="186" t="n"/>
      <c r="BP378" s="186" t="n"/>
      <c r="BQ378" s="186" t="n"/>
      <c r="BR378" s="186" t="n"/>
      <c r="BS378" s="186" t="n"/>
      <c r="BT378" s="186" t="n"/>
      <c r="BU378" s="186" t="n"/>
      <c r="BV378" s="190" t="n"/>
      <c r="BW378" s="186" t="n"/>
      <c r="BX378" s="186" t="n"/>
      <c r="BY378" s="186" t="n"/>
      <c r="BZ378" s="186" t="n"/>
      <c r="CA378" s="186" t="n"/>
      <c r="CB378" s="187" t="n"/>
      <c r="CC378" s="192" t="n"/>
      <c r="CD378" s="192" t="n"/>
      <c r="CE378" s="192" t="n"/>
      <c r="CF378" s="192" t="n"/>
    </row>
    <row r="379">
      <c r="A379" s="197" t="n"/>
      <c r="B379" s="198" t="n"/>
      <c r="C379" s="198" t="n"/>
      <c r="D379" s="179" t="n"/>
      <c r="E379" s="180" t="n"/>
      <c r="F379" s="181" t="n"/>
      <c r="G379" s="284">
        <f>'Jobs-Ops'!G379</f>
        <v/>
      </c>
      <c r="H379" s="114">
        <f>'Jobs-Ops'!H379</f>
        <v/>
      </c>
      <c r="I379" s="105" t="n"/>
      <c r="J379" s="196">
        <f>F379</f>
        <v/>
      </c>
      <c r="K379" s="184" t="n"/>
      <c r="L379" s="185" t="n"/>
      <c r="M379" s="8" t="n"/>
      <c r="N379" s="71">
        <f>M379</f>
        <v/>
      </c>
      <c r="O379" s="71" t="n"/>
      <c r="P379" s="101" t="n"/>
      <c r="Q379" s="9">
        <f>J379-N379</f>
        <v/>
      </c>
      <c r="R379" s="9">
        <f>IF(LEFT(B379,4)&lt;&gt;"    ",0,BI379)</f>
        <v/>
      </c>
      <c r="S379" s="9">
        <f>+Q379-R379</f>
        <v/>
      </c>
      <c r="T379" s="200">
        <f>IF('Jobs-Ops'!S379&lt;&gt; "",'Jobs-Ops'!S379,"")</f>
        <v/>
      </c>
      <c r="U379" s="10" t="n"/>
      <c r="V379" s="23">
        <f>IF(LEFT(B379,4)&lt;&gt;"    ","",IF(N379&lt;&gt;0,X379/N379,0))</f>
        <v/>
      </c>
      <c r="W379" s="11">
        <f>IF(LEFT(B379,4)&lt;&gt;"    ","",IF(V379&gt;=0.1,V379*J379,X379))</f>
        <v/>
      </c>
      <c r="X379" s="8" t="n"/>
      <c r="Y379" s="9">
        <f>IF(LEFT(B379,4)&lt;&gt;"    ",0,IF(Q379&lt;0,Q379,IF(V379&gt;0.1,W379-X379,0)))</f>
        <v/>
      </c>
      <c r="Z379" s="9">
        <f>IF(LEFT(B379,4)&lt;&gt;"    ",0,IF(V379&gt;0.1,BI379,0))</f>
        <v/>
      </c>
      <c r="AA379" s="9">
        <f>Y379-Z379</f>
        <v/>
      </c>
      <c r="AB379" s="10" t="n"/>
      <c r="AC379" s="24" t="n"/>
      <c r="AD379" s="11" t="n"/>
      <c r="AE379" s="8" t="n"/>
      <c r="AF379" s="9">
        <f>IF(LEFT(B379,4)&lt;&gt;"    ","",AD379-AE379)</f>
        <v/>
      </c>
      <c r="AG379" s="10" t="n"/>
      <c r="AH379" s="11">
        <f>IF(LEFT(B379,4)&lt;&gt;"    ","",W379-AD379)</f>
        <v/>
      </c>
      <c r="AI379" s="8">
        <f>IF(LEFT(B379,4)&lt;&gt;"    ","",X379-AE379)</f>
        <v/>
      </c>
      <c r="AJ379" s="9">
        <f>IF(LEFT(B379,4)&lt;&gt;"    ","",Y379-AF379)</f>
        <v/>
      </c>
      <c r="AK379" s="10" t="n"/>
      <c r="AL379" s="25">
        <f>IF(LEFT(B379,4)&lt;&gt;"    ","",J379-W379)</f>
        <v/>
      </c>
      <c r="AM379" s="25">
        <f>N379-X379</f>
        <v/>
      </c>
      <c r="AN379" s="25">
        <f>IF(LEFT(B379,4)&lt;&gt;"    ","",Q379-Y379)</f>
        <v/>
      </c>
      <c r="AO379" s="10" t="n"/>
      <c r="AP379" s="12" t="n"/>
      <c r="AQ379" s="12">
        <f>IF(LEFT(B379,4)&lt;&gt;"    ","",IF(W379-AP379&gt;=0,W379-AP379," "))</f>
        <v/>
      </c>
      <c r="AR379" s="12">
        <f>IF(LEFT(B379,4)&lt;&gt;"    ","",IF(AP379-W379&gt;=0,AP379-W379," "))</f>
        <v/>
      </c>
      <c r="AS379" s="186" t="n"/>
      <c r="AT379" s="187" t="n"/>
      <c r="AU379" s="186" t="n"/>
      <c r="AV379" s="186" t="n"/>
      <c r="AW379" s="188" t="n"/>
      <c r="AX379" s="187" t="n"/>
      <c r="AY379" s="187" t="n"/>
      <c r="AZ379" s="186" t="n"/>
      <c r="BA379" s="186" t="n"/>
      <c r="BB379" s="186" t="n"/>
      <c r="BC379" s="186" t="n"/>
      <c r="BD379" s="186" t="n"/>
      <c r="BE379" s="186" t="n"/>
      <c r="BF379" s="186" t="n"/>
      <c r="BG379" s="186" t="n"/>
      <c r="BH379" s="186" t="n"/>
      <c r="BI379" s="186" t="n"/>
      <c r="BJ379" s="186" t="n"/>
      <c r="BK379" s="186" t="n"/>
      <c r="BL379" s="186" t="n"/>
      <c r="BM379" s="186" t="n"/>
      <c r="BN379" s="186" t="n"/>
      <c r="BO379" s="186" t="n"/>
      <c r="BP379" s="186" t="n"/>
      <c r="BQ379" s="186" t="n"/>
      <c r="BR379" s="186" t="n"/>
      <c r="BS379" s="186" t="n"/>
      <c r="BT379" s="186" t="n"/>
      <c r="BU379" s="186" t="n"/>
      <c r="BV379" s="190" t="n"/>
      <c r="BW379" s="186" t="n"/>
      <c r="BX379" s="186" t="n"/>
      <c r="BY379" s="186" t="n"/>
      <c r="BZ379" s="186" t="n"/>
      <c r="CA379" s="186" t="n"/>
      <c r="CB379" s="187" t="n"/>
      <c r="CC379" s="192" t="n"/>
      <c r="CD379" s="192" t="n"/>
      <c r="CE379" s="192" t="n"/>
      <c r="CF379" s="192" t="n"/>
    </row>
    <row r="380">
      <c r="A380" s="197" t="n"/>
      <c r="B380" s="198" t="n"/>
      <c r="C380" s="198" t="n"/>
      <c r="D380" s="179" t="n"/>
      <c r="E380" s="180" t="n"/>
      <c r="F380" s="181" t="n"/>
      <c r="G380" s="284">
        <f>'Jobs-Ops'!G380</f>
        <v/>
      </c>
      <c r="H380" s="114">
        <f>'Jobs-Ops'!H380</f>
        <v/>
      </c>
      <c r="I380" s="105" t="n"/>
      <c r="J380" s="196">
        <f>F380</f>
        <v/>
      </c>
      <c r="K380" s="184" t="n"/>
      <c r="L380" s="185" t="n"/>
      <c r="M380" s="8" t="n"/>
      <c r="N380" s="71">
        <f>M380</f>
        <v/>
      </c>
      <c r="O380" s="71" t="n"/>
      <c r="P380" s="101" t="n"/>
      <c r="Q380" s="9">
        <f>J380-N380</f>
        <v/>
      </c>
      <c r="R380" s="9">
        <f>IF(LEFT(B380,4)&lt;&gt;"    ",0,BI380)</f>
        <v/>
      </c>
      <c r="S380" s="9">
        <f>+Q380-R380</f>
        <v/>
      </c>
      <c r="T380" s="200">
        <f>IF('Jobs-Ops'!S380&lt;&gt; "",'Jobs-Ops'!S380,"")</f>
        <v/>
      </c>
      <c r="U380" s="10" t="n"/>
      <c r="V380" s="23">
        <f>IF(LEFT(B380,4)&lt;&gt;"    ","",IF(N380&lt;&gt;0,X380/N380,0))</f>
        <v/>
      </c>
      <c r="W380" s="11">
        <f>IF(LEFT(B380,4)&lt;&gt;"    ","",IF(V380&gt;=0.1,V380*J380,X380))</f>
        <v/>
      </c>
      <c r="X380" s="8" t="n"/>
      <c r="Y380" s="9">
        <f>IF(LEFT(B380,4)&lt;&gt;"    ",0,IF(Q380&lt;0,Q380,IF(V380&gt;0.1,W380-X380,0)))</f>
        <v/>
      </c>
      <c r="Z380" s="9">
        <f>IF(LEFT(B380,4)&lt;&gt;"    ",0,IF(V380&gt;0.1,BI380,0))</f>
        <v/>
      </c>
      <c r="AA380" s="9">
        <f>Y380-Z380</f>
        <v/>
      </c>
      <c r="AB380" s="10" t="n"/>
      <c r="AC380" s="24" t="n"/>
      <c r="AD380" s="11" t="n"/>
      <c r="AE380" s="8" t="n"/>
      <c r="AF380" s="9">
        <f>IF(LEFT(B380,4)&lt;&gt;"    ","",AD380-AE380)</f>
        <v/>
      </c>
      <c r="AG380" s="10" t="n"/>
      <c r="AH380" s="11">
        <f>IF(LEFT(B380,4)&lt;&gt;"    ","",W380-AD380)</f>
        <v/>
      </c>
      <c r="AI380" s="8">
        <f>IF(LEFT(B380,4)&lt;&gt;"    ","",X380-AE380)</f>
        <v/>
      </c>
      <c r="AJ380" s="9">
        <f>IF(LEFT(B380,4)&lt;&gt;"    ","",Y380-AF380)</f>
        <v/>
      </c>
      <c r="AK380" s="10" t="n"/>
      <c r="AL380" s="25">
        <f>IF(LEFT(B380,4)&lt;&gt;"    ","",J380-W380)</f>
        <v/>
      </c>
      <c r="AM380" s="25">
        <f>N380-X380</f>
        <v/>
      </c>
      <c r="AN380" s="25">
        <f>IF(LEFT(B380,4)&lt;&gt;"    ","",Q380-Y380)</f>
        <v/>
      </c>
      <c r="AO380" s="10" t="n"/>
      <c r="AP380" s="12" t="n"/>
      <c r="AQ380" s="12">
        <f>IF(LEFT(B380,4)&lt;&gt;"    ","",IF(W380-AP380&gt;=0,W380-AP380," "))</f>
        <v/>
      </c>
      <c r="AR380" s="12">
        <f>IF(LEFT(B380,4)&lt;&gt;"    ","",IF(AP380-W380&gt;=0,AP380-W380," "))</f>
        <v/>
      </c>
      <c r="AS380" s="186" t="n"/>
      <c r="AT380" s="187" t="n"/>
      <c r="AU380" s="186" t="n"/>
      <c r="AV380" s="186" t="n"/>
      <c r="AW380" s="188" t="n"/>
      <c r="AX380" s="187" t="n"/>
      <c r="AY380" s="187" t="n"/>
      <c r="AZ380" s="186" t="n"/>
      <c r="BA380" s="186" t="n"/>
      <c r="BB380" s="186" t="n"/>
      <c r="BC380" s="186" t="n"/>
      <c r="BD380" s="186" t="n"/>
      <c r="BE380" s="186" t="n"/>
      <c r="BF380" s="186" t="n"/>
      <c r="BG380" s="186" t="n"/>
      <c r="BH380" s="186" t="n"/>
      <c r="BI380" s="186" t="n"/>
      <c r="BJ380" s="186" t="n"/>
      <c r="BK380" s="186" t="n"/>
      <c r="BL380" s="186" t="n"/>
      <c r="BM380" s="186" t="n"/>
      <c r="BN380" s="186" t="n"/>
      <c r="BO380" s="186" t="n"/>
      <c r="BP380" s="186" t="n"/>
      <c r="BQ380" s="186" t="n"/>
      <c r="BR380" s="186" t="n"/>
      <c r="BS380" s="186" t="n"/>
      <c r="BT380" s="186" t="n"/>
      <c r="BU380" s="186" t="n"/>
      <c r="BV380" s="190" t="n"/>
      <c r="BW380" s="186" t="n"/>
      <c r="BX380" s="186" t="n"/>
      <c r="BY380" s="186" t="n"/>
      <c r="BZ380" s="186" t="n"/>
      <c r="CA380" s="186" t="n"/>
      <c r="CB380" s="187" t="n"/>
      <c r="CC380" s="192" t="n"/>
      <c r="CD380" s="192" t="n"/>
      <c r="CE380" s="192" t="n"/>
      <c r="CF380" s="192" t="n"/>
    </row>
    <row r="381">
      <c r="A381" s="197" t="n"/>
      <c r="B381" s="198" t="n"/>
      <c r="C381" s="198" t="n"/>
      <c r="D381" s="179" t="n"/>
      <c r="E381" s="180" t="n"/>
      <c r="F381" s="181" t="n"/>
      <c r="G381" s="284">
        <f>'Jobs-Ops'!G381</f>
        <v/>
      </c>
      <c r="H381" s="114">
        <f>'Jobs-Ops'!H381</f>
        <v/>
      </c>
      <c r="I381" s="105" t="n"/>
      <c r="J381" s="196">
        <f>F381</f>
        <v/>
      </c>
      <c r="K381" s="184" t="n"/>
      <c r="L381" s="185" t="n"/>
      <c r="M381" s="8" t="n"/>
      <c r="N381" s="71">
        <f>M381</f>
        <v/>
      </c>
      <c r="O381" s="71" t="n"/>
      <c r="P381" s="101" t="n"/>
      <c r="Q381" s="9">
        <f>J381-N381</f>
        <v/>
      </c>
      <c r="R381" s="9">
        <f>IF(LEFT(B381,4)&lt;&gt;"    ",0,BI381)</f>
        <v/>
      </c>
      <c r="S381" s="9">
        <f>+Q381-R381</f>
        <v/>
      </c>
      <c r="T381" s="200">
        <f>IF('Jobs-Ops'!S381&lt;&gt; "",'Jobs-Ops'!S381,"")</f>
        <v/>
      </c>
      <c r="U381" s="10" t="n"/>
      <c r="V381" s="23">
        <f>IF(LEFT(B381,4)&lt;&gt;"    ","",IF(N381&lt;&gt;0,X381/N381,0))</f>
        <v/>
      </c>
      <c r="W381" s="11">
        <f>IF(LEFT(B381,4)&lt;&gt;"    ","",IF(V381&gt;=0.1,V381*J381,X381))</f>
        <v/>
      </c>
      <c r="X381" s="8" t="n"/>
      <c r="Y381" s="9">
        <f>IF(LEFT(B381,4)&lt;&gt;"    ",0,IF(Q381&lt;0,Q381,IF(V381&gt;0.1,W381-X381,0)))</f>
        <v/>
      </c>
      <c r="Z381" s="9">
        <f>IF(LEFT(B381,4)&lt;&gt;"    ",0,IF(V381&gt;0.1,BI381,0))</f>
        <v/>
      </c>
      <c r="AA381" s="9">
        <f>Y381-Z381</f>
        <v/>
      </c>
      <c r="AB381" s="10" t="n"/>
      <c r="AC381" s="24" t="n"/>
      <c r="AD381" s="11" t="n"/>
      <c r="AE381" s="8" t="n"/>
      <c r="AF381" s="9">
        <f>IF(LEFT(B381,4)&lt;&gt;"    ","",AD381-AE381)</f>
        <v/>
      </c>
      <c r="AG381" s="10" t="n"/>
      <c r="AH381" s="11">
        <f>IF(LEFT(B381,4)&lt;&gt;"    ","",W381-AD381)</f>
        <v/>
      </c>
      <c r="AI381" s="8">
        <f>IF(LEFT(B381,4)&lt;&gt;"    ","",X381-AE381)</f>
        <v/>
      </c>
      <c r="AJ381" s="9">
        <f>IF(LEFT(B381,4)&lt;&gt;"    ","",Y381-AF381)</f>
        <v/>
      </c>
      <c r="AK381" s="10" t="n"/>
      <c r="AL381" s="25">
        <f>IF(LEFT(B381,4)&lt;&gt;"    ","",J381-W381)</f>
        <v/>
      </c>
      <c r="AM381" s="25">
        <f>N381-X381</f>
        <v/>
      </c>
      <c r="AN381" s="25">
        <f>IF(LEFT(B381,4)&lt;&gt;"    ","",Q381-Y381)</f>
        <v/>
      </c>
      <c r="AO381" s="10" t="n"/>
      <c r="AP381" s="12" t="n"/>
      <c r="AQ381" s="12">
        <f>IF(LEFT(B381,4)&lt;&gt;"    ","",IF(W381-AP381&gt;=0,W381-AP381," "))</f>
        <v/>
      </c>
      <c r="AR381" s="12">
        <f>IF(LEFT(B381,4)&lt;&gt;"    ","",IF(AP381-W381&gt;=0,AP381-W381," "))</f>
        <v/>
      </c>
      <c r="AS381" s="186" t="n"/>
      <c r="AT381" s="187" t="n"/>
      <c r="AU381" s="186" t="n"/>
      <c r="AV381" s="186" t="n"/>
      <c r="AW381" s="188" t="n"/>
      <c r="AX381" s="187" t="n"/>
      <c r="AY381" s="187" t="n"/>
      <c r="AZ381" s="186" t="n"/>
      <c r="BA381" s="186" t="n"/>
      <c r="BB381" s="186" t="n"/>
      <c r="BC381" s="186" t="n"/>
      <c r="BD381" s="186" t="n"/>
      <c r="BE381" s="186" t="n"/>
      <c r="BF381" s="186" t="n"/>
      <c r="BG381" s="186" t="n"/>
      <c r="BH381" s="186" t="n"/>
      <c r="BI381" s="186" t="n"/>
      <c r="BJ381" s="186" t="n"/>
      <c r="BK381" s="186" t="n"/>
      <c r="BL381" s="186" t="n"/>
      <c r="BM381" s="186" t="n"/>
      <c r="BN381" s="186" t="n"/>
      <c r="BO381" s="186" t="n"/>
      <c r="BP381" s="186" t="n"/>
      <c r="BQ381" s="186" t="n"/>
      <c r="BR381" s="186" t="n"/>
      <c r="BS381" s="186" t="n"/>
      <c r="BT381" s="186" t="n"/>
      <c r="BU381" s="186" t="n"/>
      <c r="BV381" s="190" t="n"/>
      <c r="BW381" s="186" t="n"/>
      <c r="BX381" s="186" t="n"/>
      <c r="BY381" s="186" t="n"/>
      <c r="BZ381" s="186" t="n"/>
      <c r="CA381" s="186" t="n"/>
      <c r="CB381" s="187" t="n"/>
      <c r="CC381" s="192" t="n"/>
      <c r="CD381" s="192" t="n"/>
      <c r="CE381" s="192" t="n"/>
      <c r="CF381" s="192" t="n"/>
    </row>
    <row r="382">
      <c r="A382" s="197" t="n"/>
      <c r="B382" s="198" t="n"/>
      <c r="C382" s="198" t="n"/>
      <c r="D382" s="179" t="n"/>
      <c r="E382" s="180" t="n"/>
      <c r="F382" s="181" t="n"/>
      <c r="G382" s="284">
        <f>'Jobs-Ops'!G382</f>
        <v/>
      </c>
      <c r="H382" s="114">
        <f>'Jobs-Ops'!H382</f>
        <v/>
      </c>
      <c r="I382" s="105" t="n"/>
      <c r="J382" s="196">
        <f>F382</f>
        <v/>
      </c>
      <c r="K382" s="184" t="n"/>
      <c r="L382" s="185" t="n"/>
      <c r="M382" s="8" t="n"/>
      <c r="N382" s="71">
        <f>M382</f>
        <v/>
      </c>
      <c r="O382" s="71" t="n"/>
      <c r="P382" s="101" t="n"/>
      <c r="Q382" s="9">
        <f>J382-N382</f>
        <v/>
      </c>
      <c r="R382" s="9">
        <f>IF(LEFT(B382,4)&lt;&gt;"    ",0,BI382)</f>
        <v/>
      </c>
      <c r="S382" s="9">
        <f>+Q382-R382</f>
        <v/>
      </c>
      <c r="T382" s="200">
        <f>IF('Jobs-Ops'!S382&lt;&gt; "",'Jobs-Ops'!S382,"")</f>
        <v/>
      </c>
      <c r="U382" s="10" t="n"/>
      <c r="V382" s="23">
        <f>IF(LEFT(B382,4)&lt;&gt;"    ","",IF(N382&lt;&gt;0,X382/N382,0))</f>
        <v/>
      </c>
      <c r="W382" s="11">
        <f>IF(LEFT(B382,4)&lt;&gt;"    ","",IF(V382&gt;=0.1,V382*J382,X382))</f>
        <v/>
      </c>
      <c r="X382" s="8" t="n"/>
      <c r="Y382" s="9">
        <f>IF(LEFT(B382,4)&lt;&gt;"    ",0,IF(Q382&lt;0,Q382,IF(V382&gt;0.1,W382-X382,0)))</f>
        <v/>
      </c>
      <c r="Z382" s="9">
        <f>IF(LEFT(B382,4)&lt;&gt;"    ",0,IF(V382&gt;0.1,BI382,0))</f>
        <v/>
      </c>
      <c r="AA382" s="9">
        <f>Y382-Z382</f>
        <v/>
      </c>
      <c r="AB382" s="10" t="n"/>
      <c r="AC382" s="24" t="n"/>
      <c r="AD382" s="11" t="n"/>
      <c r="AE382" s="8" t="n"/>
      <c r="AF382" s="9">
        <f>IF(LEFT(B382,4)&lt;&gt;"    ","",AD382-AE382)</f>
        <v/>
      </c>
      <c r="AG382" s="10" t="n"/>
      <c r="AH382" s="11">
        <f>IF(LEFT(B382,4)&lt;&gt;"    ","",W382-AD382)</f>
        <v/>
      </c>
      <c r="AI382" s="8">
        <f>IF(LEFT(B382,4)&lt;&gt;"    ","",X382-AE382)</f>
        <v/>
      </c>
      <c r="AJ382" s="9">
        <f>IF(LEFT(B382,4)&lt;&gt;"    ","",Y382-AF382)</f>
        <v/>
      </c>
      <c r="AK382" s="10" t="n"/>
      <c r="AL382" s="25">
        <f>IF(LEFT(B382,4)&lt;&gt;"    ","",J382-W382)</f>
        <v/>
      </c>
      <c r="AM382" s="25">
        <f>N382-X382</f>
        <v/>
      </c>
      <c r="AN382" s="25">
        <f>IF(LEFT(B382,4)&lt;&gt;"    ","",Q382-Y382)</f>
        <v/>
      </c>
      <c r="AO382" s="10" t="n"/>
      <c r="AP382" s="12" t="n"/>
      <c r="AQ382" s="12">
        <f>IF(LEFT(B382,4)&lt;&gt;"    ","",IF(W382-AP382&gt;=0,W382-AP382," "))</f>
        <v/>
      </c>
      <c r="AR382" s="12">
        <f>IF(LEFT(B382,4)&lt;&gt;"    ","",IF(AP382-W382&gt;=0,AP382-W382," "))</f>
        <v/>
      </c>
      <c r="AS382" s="186" t="n"/>
      <c r="AT382" s="187" t="n"/>
      <c r="AU382" s="186" t="n"/>
      <c r="AV382" s="186" t="n"/>
      <c r="AW382" s="188" t="n"/>
      <c r="AX382" s="187" t="n"/>
      <c r="AY382" s="187" t="n"/>
      <c r="AZ382" s="186" t="n"/>
      <c r="BA382" s="186" t="n"/>
      <c r="BB382" s="186" t="n"/>
      <c r="BC382" s="186" t="n"/>
      <c r="BD382" s="186" t="n"/>
      <c r="BE382" s="186" t="n"/>
      <c r="BF382" s="186" t="n"/>
      <c r="BG382" s="186" t="n"/>
      <c r="BH382" s="186" t="n"/>
      <c r="BI382" s="186" t="n"/>
      <c r="BJ382" s="186" t="n"/>
      <c r="BK382" s="186" t="n"/>
      <c r="BL382" s="186" t="n"/>
      <c r="BM382" s="186" t="n"/>
      <c r="BN382" s="186" t="n"/>
      <c r="BO382" s="186" t="n"/>
      <c r="BP382" s="186" t="n"/>
      <c r="BQ382" s="186" t="n"/>
      <c r="BR382" s="186" t="n"/>
      <c r="BS382" s="186" t="n"/>
      <c r="BT382" s="186" t="n"/>
      <c r="BU382" s="186" t="n"/>
      <c r="BV382" s="190" t="n"/>
      <c r="BW382" s="186" t="n"/>
      <c r="BX382" s="186" t="n"/>
      <c r="BY382" s="186" t="n"/>
      <c r="BZ382" s="186" t="n"/>
      <c r="CA382" s="186" t="n"/>
      <c r="CB382" s="187" t="n"/>
      <c r="CC382" s="192" t="n"/>
      <c r="CD382" s="192" t="n"/>
      <c r="CE382" s="192" t="n"/>
      <c r="CF382" s="192" t="n"/>
    </row>
    <row r="383">
      <c r="A383" s="197" t="n"/>
      <c r="B383" s="198" t="n"/>
      <c r="C383" s="198" t="n"/>
      <c r="D383" s="179" t="n"/>
      <c r="E383" s="180" t="n"/>
      <c r="F383" s="181" t="n"/>
      <c r="G383" s="284">
        <f>'Jobs-Ops'!G383</f>
        <v/>
      </c>
      <c r="H383" s="114">
        <f>'Jobs-Ops'!H383</f>
        <v/>
      </c>
      <c r="I383" s="105" t="n"/>
      <c r="J383" s="196">
        <f>F383</f>
        <v/>
      </c>
      <c r="K383" s="184" t="n"/>
      <c r="L383" s="185" t="n"/>
      <c r="M383" s="8" t="n"/>
      <c r="N383" s="71">
        <f>M383</f>
        <v/>
      </c>
      <c r="O383" s="71" t="n"/>
      <c r="P383" s="101" t="n"/>
      <c r="Q383" s="9">
        <f>J383-N383</f>
        <v/>
      </c>
      <c r="R383" s="9">
        <f>IF(LEFT(B383,4)&lt;&gt;"    ",0,BI383)</f>
        <v/>
      </c>
      <c r="S383" s="9">
        <f>+Q383-R383</f>
        <v/>
      </c>
      <c r="T383" s="200">
        <f>IF('Jobs-Ops'!S383&lt;&gt; "",'Jobs-Ops'!S383,"")</f>
        <v/>
      </c>
      <c r="U383" s="10" t="n"/>
      <c r="V383" s="23">
        <f>IF(LEFT(B383,4)&lt;&gt;"    ","",IF(N383&lt;&gt;0,X383/N383,0))</f>
        <v/>
      </c>
      <c r="W383" s="11">
        <f>IF(LEFT(B383,4)&lt;&gt;"    ","",IF(V383&gt;=0.1,V383*J383,X383))</f>
        <v/>
      </c>
      <c r="X383" s="8" t="n"/>
      <c r="Y383" s="9">
        <f>IF(LEFT(B383,4)&lt;&gt;"    ",0,IF(Q383&lt;0,Q383,IF(V383&gt;0.1,W383-X383,0)))</f>
        <v/>
      </c>
      <c r="Z383" s="9">
        <f>IF(LEFT(B383,4)&lt;&gt;"    ",0,IF(V383&gt;0.1,BI383,0))</f>
        <v/>
      </c>
      <c r="AA383" s="9">
        <f>Y383-Z383</f>
        <v/>
      </c>
      <c r="AB383" s="10" t="n"/>
      <c r="AC383" s="24" t="n"/>
      <c r="AD383" s="11" t="n"/>
      <c r="AE383" s="8" t="n"/>
      <c r="AF383" s="9">
        <f>IF(LEFT(B383,4)&lt;&gt;"    ","",AD383-AE383)</f>
        <v/>
      </c>
      <c r="AG383" s="10" t="n"/>
      <c r="AH383" s="11">
        <f>IF(LEFT(B383,4)&lt;&gt;"    ","",W383-AD383)</f>
        <v/>
      </c>
      <c r="AI383" s="8">
        <f>IF(LEFT(B383,4)&lt;&gt;"    ","",X383-AE383)</f>
        <v/>
      </c>
      <c r="AJ383" s="9">
        <f>IF(LEFT(B383,4)&lt;&gt;"    ","",Y383-AF383)</f>
        <v/>
      </c>
      <c r="AK383" s="10" t="n"/>
      <c r="AL383" s="25">
        <f>IF(LEFT(B383,4)&lt;&gt;"    ","",J383-W383)</f>
        <v/>
      </c>
      <c r="AM383" s="25">
        <f>N383-X383</f>
        <v/>
      </c>
      <c r="AN383" s="25">
        <f>IF(LEFT(B383,4)&lt;&gt;"    ","",Q383-Y383)</f>
        <v/>
      </c>
      <c r="AO383" s="10" t="n"/>
      <c r="AP383" s="12" t="n"/>
      <c r="AQ383" s="12">
        <f>IF(LEFT(B383,4)&lt;&gt;"    ","",IF(W383-AP383&gt;=0,W383-AP383," "))</f>
        <v/>
      </c>
      <c r="AR383" s="12">
        <f>IF(LEFT(B383,4)&lt;&gt;"    ","",IF(AP383-W383&gt;=0,AP383-W383," "))</f>
        <v/>
      </c>
      <c r="AS383" s="186" t="n"/>
      <c r="AT383" s="187" t="n"/>
      <c r="AU383" s="186" t="n"/>
      <c r="AV383" s="186" t="n"/>
      <c r="AW383" s="188" t="n"/>
      <c r="AX383" s="187" t="n"/>
      <c r="AY383" s="187" t="n"/>
      <c r="AZ383" s="186" t="n"/>
      <c r="BA383" s="186" t="n"/>
      <c r="BB383" s="186" t="n"/>
      <c r="BC383" s="186" t="n"/>
      <c r="BD383" s="186" t="n"/>
      <c r="BE383" s="186" t="n"/>
      <c r="BF383" s="186" t="n"/>
      <c r="BG383" s="186" t="n"/>
      <c r="BH383" s="186" t="n"/>
      <c r="BI383" s="186" t="n"/>
      <c r="BJ383" s="186" t="n"/>
      <c r="BK383" s="186" t="n"/>
      <c r="BL383" s="186" t="n"/>
      <c r="BM383" s="186" t="n"/>
      <c r="BN383" s="186" t="n"/>
      <c r="BO383" s="186" t="n"/>
      <c r="BP383" s="186" t="n"/>
      <c r="BQ383" s="186" t="n"/>
      <c r="BR383" s="186" t="n"/>
      <c r="BS383" s="186" t="n"/>
      <c r="BT383" s="186" t="n"/>
      <c r="BU383" s="186" t="n"/>
      <c r="BV383" s="190" t="n"/>
      <c r="BW383" s="186" t="n"/>
      <c r="BX383" s="186" t="n"/>
      <c r="BY383" s="186" t="n"/>
      <c r="BZ383" s="186" t="n"/>
      <c r="CA383" s="186" t="n"/>
      <c r="CB383" s="187" t="n"/>
      <c r="CC383" s="192" t="n"/>
      <c r="CD383" s="192" t="n"/>
      <c r="CE383" s="192" t="n"/>
      <c r="CF383" s="192" t="n"/>
    </row>
    <row r="384">
      <c r="A384" s="197" t="n"/>
      <c r="B384" s="198" t="n"/>
      <c r="C384" s="198" t="n"/>
      <c r="D384" s="179" t="n"/>
      <c r="E384" s="180" t="n"/>
      <c r="F384" s="181" t="n"/>
      <c r="G384" s="284">
        <f>'Jobs-Ops'!G384</f>
        <v/>
      </c>
      <c r="H384" s="114">
        <f>'Jobs-Ops'!H384</f>
        <v/>
      </c>
      <c r="I384" s="105" t="n"/>
      <c r="J384" s="196">
        <f>F384</f>
        <v/>
      </c>
      <c r="K384" s="184" t="n"/>
      <c r="L384" s="185" t="n"/>
      <c r="M384" s="8" t="n"/>
      <c r="N384" s="71">
        <f>M384</f>
        <v/>
      </c>
      <c r="O384" s="71" t="n"/>
      <c r="P384" s="101" t="n"/>
      <c r="Q384" s="9">
        <f>J384-N384</f>
        <v/>
      </c>
      <c r="R384" s="9">
        <f>IF(LEFT(B384,4)&lt;&gt;"    ",0,BI384)</f>
        <v/>
      </c>
      <c r="S384" s="9">
        <f>+Q384-R384</f>
        <v/>
      </c>
      <c r="T384" s="200">
        <f>IF('Jobs-Ops'!S384&lt;&gt; "",'Jobs-Ops'!S384,"")</f>
        <v/>
      </c>
      <c r="U384" s="10" t="n"/>
      <c r="V384" s="23">
        <f>IF(LEFT(B384,4)&lt;&gt;"    ","",IF(N384&lt;&gt;0,X384/N384,0))</f>
        <v/>
      </c>
      <c r="W384" s="11">
        <f>IF(LEFT(B384,4)&lt;&gt;"    ","",IF(V384&gt;=0.1,V384*J384,X384))</f>
        <v/>
      </c>
      <c r="X384" s="8" t="n"/>
      <c r="Y384" s="9">
        <f>IF(LEFT(B384,4)&lt;&gt;"    ",0,IF(Q384&lt;0,Q384,IF(V384&gt;0.1,W384-X384,0)))</f>
        <v/>
      </c>
      <c r="Z384" s="9">
        <f>IF(LEFT(B384,4)&lt;&gt;"    ",0,IF(V384&gt;0.1,BI384,0))</f>
        <v/>
      </c>
      <c r="AA384" s="9">
        <f>Y384-Z384</f>
        <v/>
      </c>
      <c r="AB384" s="10" t="n"/>
      <c r="AC384" s="24" t="n"/>
      <c r="AD384" s="11" t="n"/>
      <c r="AE384" s="8" t="n"/>
      <c r="AF384" s="9">
        <f>IF(LEFT(B384,4)&lt;&gt;"    ","",AD384-AE384)</f>
        <v/>
      </c>
      <c r="AG384" s="10" t="n"/>
      <c r="AH384" s="11">
        <f>IF(LEFT(B384,4)&lt;&gt;"    ","",W384-AD384)</f>
        <v/>
      </c>
      <c r="AI384" s="8">
        <f>IF(LEFT(B384,4)&lt;&gt;"    ","",X384-AE384)</f>
        <v/>
      </c>
      <c r="AJ384" s="9">
        <f>IF(LEFT(B384,4)&lt;&gt;"    ","",Y384-AF384)</f>
        <v/>
      </c>
      <c r="AK384" s="10" t="n"/>
      <c r="AL384" s="25">
        <f>IF(LEFT(B384,4)&lt;&gt;"    ","",J384-W384)</f>
        <v/>
      </c>
      <c r="AM384" s="25">
        <f>N384-X384</f>
        <v/>
      </c>
      <c r="AN384" s="25">
        <f>IF(LEFT(B384,4)&lt;&gt;"    ","",Q384-Y384)</f>
        <v/>
      </c>
      <c r="AO384" s="10" t="n"/>
      <c r="AP384" s="12" t="n"/>
      <c r="AQ384" s="12">
        <f>IF(LEFT(B384,4)&lt;&gt;"    ","",IF(W384-AP384&gt;=0,W384-AP384," "))</f>
        <v/>
      </c>
      <c r="AR384" s="12">
        <f>IF(LEFT(B384,4)&lt;&gt;"    ","",IF(AP384-W384&gt;=0,AP384-W384," "))</f>
        <v/>
      </c>
      <c r="AS384" s="186" t="n"/>
      <c r="AT384" s="187" t="n"/>
      <c r="AU384" s="186" t="n"/>
      <c r="AV384" s="186" t="n"/>
      <c r="AW384" s="188" t="n"/>
      <c r="AX384" s="187" t="n"/>
      <c r="AY384" s="187" t="n"/>
      <c r="AZ384" s="186" t="n"/>
      <c r="BA384" s="186" t="n"/>
      <c r="BB384" s="186" t="n"/>
      <c r="BC384" s="186" t="n"/>
      <c r="BD384" s="186" t="n"/>
      <c r="BE384" s="186" t="n"/>
      <c r="BF384" s="186" t="n"/>
      <c r="BG384" s="186" t="n"/>
      <c r="BH384" s="186" t="n"/>
      <c r="BI384" s="186" t="n"/>
      <c r="BJ384" s="186" t="n"/>
      <c r="BK384" s="186" t="n"/>
      <c r="BL384" s="186" t="n"/>
      <c r="BM384" s="186" t="n"/>
      <c r="BN384" s="186" t="n"/>
      <c r="BO384" s="186" t="n"/>
      <c r="BP384" s="186" t="n"/>
      <c r="BQ384" s="186" t="n"/>
      <c r="BR384" s="186" t="n"/>
      <c r="BS384" s="186" t="n"/>
      <c r="BT384" s="186" t="n"/>
      <c r="BU384" s="186" t="n"/>
      <c r="BV384" s="190" t="n"/>
      <c r="BW384" s="186" t="n"/>
      <c r="BX384" s="186" t="n"/>
      <c r="BY384" s="186" t="n"/>
      <c r="BZ384" s="186" t="n"/>
      <c r="CA384" s="186" t="n"/>
      <c r="CB384" s="187" t="n"/>
      <c r="CC384" s="192" t="n"/>
      <c r="CD384" s="192" t="n"/>
      <c r="CE384" s="192" t="n"/>
      <c r="CF384" s="192" t="n"/>
    </row>
    <row r="385">
      <c r="A385" s="197" t="n"/>
      <c r="B385" s="198" t="n"/>
      <c r="C385" s="198" t="n"/>
      <c r="D385" s="179" t="n"/>
      <c r="E385" s="180" t="n"/>
      <c r="F385" s="181" t="n"/>
      <c r="G385" s="284">
        <f>'Jobs-Ops'!G385</f>
        <v/>
      </c>
      <c r="H385" s="114">
        <f>'Jobs-Ops'!H385</f>
        <v/>
      </c>
      <c r="I385" s="105" t="n"/>
      <c r="J385" s="196">
        <f>F385</f>
        <v/>
      </c>
      <c r="K385" s="184" t="n"/>
      <c r="L385" s="185" t="n"/>
      <c r="M385" s="8" t="n"/>
      <c r="N385" s="71">
        <f>M385</f>
        <v/>
      </c>
      <c r="O385" s="71" t="n"/>
      <c r="P385" s="101" t="n"/>
      <c r="Q385" s="9">
        <f>J385-N385</f>
        <v/>
      </c>
      <c r="R385" s="9">
        <f>IF(LEFT(B385,4)&lt;&gt;"    ",0,BI385)</f>
        <v/>
      </c>
      <c r="S385" s="9">
        <f>+Q385-R385</f>
        <v/>
      </c>
      <c r="T385" s="200">
        <f>IF('Jobs-Ops'!S385&lt;&gt; "",'Jobs-Ops'!S385,"")</f>
        <v/>
      </c>
      <c r="U385" s="10" t="n"/>
      <c r="V385" s="23">
        <f>IF(LEFT(B385,4)&lt;&gt;"    ","",IF(N385&lt;&gt;0,X385/N385,0))</f>
        <v/>
      </c>
      <c r="W385" s="11">
        <f>IF(LEFT(B385,4)&lt;&gt;"    ","",IF(V385&gt;=0.1,V385*J385,X385))</f>
        <v/>
      </c>
      <c r="X385" s="8" t="n"/>
      <c r="Y385" s="9">
        <f>IF(LEFT(B385,4)&lt;&gt;"    ",0,IF(Q385&lt;0,Q385,IF(V385&gt;0.1,W385-X385,0)))</f>
        <v/>
      </c>
      <c r="Z385" s="9">
        <f>IF(LEFT(B385,4)&lt;&gt;"    ",0,IF(V385&gt;0.1,BI385,0))</f>
        <v/>
      </c>
      <c r="AA385" s="9">
        <f>Y385-Z385</f>
        <v/>
      </c>
      <c r="AB385" s="10" t="n"/>
      <c r="AC385" s="24" t="n"/>
      <c r="AD385" s="11" t="n"/>
      <c r="AE385" s="8" t="n"/>
      <c r="AF385" s="9">
        <f>IF(LEFT(B385,4)&lt;&gt;"    ","",AD385-AE385)</f>
        <v/>
      </c>
      <c r="AG385" s="10" t="n"/>
      <c r="AH385" s="11">
        <f>IF(LEFT(B385,4)&lt;&gt;"    ","",W385-AD385)</f>
        <v/>
      </c>
      <c r="AI385" s="8">
        <f>IF(LEFT(B385,4)&lt;&gt;"    ","",X385-AE385)</f>
        <v/>
      </c>
      <c r="AJ385" s="9">
        <f>IF(LEFT(B385,4)&lt;&gt;"    ","",Y385-AF385)</f>
        <v/>
      </c>
      <c r="AK385" s="10" t="n"/>
      <c r="AL385" s="25">
        <f>IF(LEFT(B385,4)&lt;&gt;"    ","",J385-W385)</f>
        <v/>
      </c>
      <c r="AM385" s="25">
        <f>N385-X385</f>
        <v/>
      </c>
      <c r="AN385" s="25">
        <f>IF(LEFT(B385,4)&lt;&gt;"    ","",Q385-Y385)</f>
        <v/>
      </c>
      <c r="AO385" s="10" t="n"/>
      <c r="AP385" s="12" t="n"/>
      <c r="AQ385" s="12">
        <f>IF(LEFT(B385,4)&lt;&gt;"    ","",IF(W385-AP385&gt;=0,W385-AP385," "))</f>
        <v/>
      </c>
      <c r="AR385" s="12">
        <f>IF(LEFT(B385,4)&lt;&gt;"    ","",IF(AP385-W385&gt;=0,AP385-W385," "))</f>
        <v/>
      </c>
      <c r="AS385" s="186" t="n"/>
      <c r="AT385" s="187" t="n"/>
      <c r="AU385" s="186" t="n"/>
      <c r="AV385" s="186" t="n"/>
      <c r="AW385" s="188" t="n"/>
      <c r="AX385" s="187" t="n"/>
      <c r="AY385" s="187" t="n"/>
      <c r="AZ385" s="186" t="n"/>
      <c r="BA385" s="186" t="n"/>
      <c r="BB385" s="186" t="n"/>
      <c r="BC385" s="186" t="n"/>
      <c r="BD385" s="186" t="n"/>
      <c r="BE385" s="186" t="n"/>
      <c r="BF385" s="186" t="n"/>
      <c r="BG385" s="186" t="n"/>
      <c r="BH385" s="186" t="n"/>
      <c r="BI385" s="186" t="n"/>
      <c r="BJ385" s="186" t="n"/>
      <c r="BK385" s="186" t="n"/>
      <c r="BL385" s="186" t="n"/>
      <c r="BM385" s="186" t="n"/>
      <c r="BN385" s="186" t="n"/>
      <c r="BO385" s="186" t="n"/>
      <c r="BP385" s="186" t="n"/>
      <c r="BQ385" s="186" t="n"/>
      <c r="BR385" s="186" t="n"/>
      <c r="BS385" s="186" t="n"/>
      <c r="BT385" s="186" t="n"/>
      <c r="BU385" s="186" t="n"/>
      <c r="BV385" s="190" t="n"/>
      <c r="BW385" s="186" t="n"/>
      <c r="BX385" s="186" t="n"/>
      <c r="BY385" s="186" t="n"/>
      <c r="BZ385" s="186" t="n"/>
      <c r="CA385" s="186" t="n"/>
      <c r="CB385" s="187" t="n"/>
      <c r="CC385" s="192" t="n"/>
      <c r="CD385" s="192" t="n"/>
      <c r="CE385" s="192" t="n"/>
      <c r="CF385" s="192" t="n"/>
    </row>
    <row r="386">
      <c r="A386" s="197" t="n"/>
      <c r="B386" s="198" t="n"/>
      <c r="C386" s="198" t="n"/>
      <c r="D386" s="179" t="n"/>
      <c r="E386" s="180" t="n"/>
      <c r="F386" s="181" t="n"/>
      <c r="G386" s="284">
        <f>'Jobs-Ops'!G386</f>
        <v/>
      </c>
      <c r="H386" s="114">
        <f>'Jobs-Ops'!H386</f>
        <v/>
      </c>
      <c r="I386" s="105" t="n"/>
      <c r="J386" s="196">
        <f>F386</f>
        <v/>
      </c>
      <c r="K386" s="184" t="n"/>
      <c r="L386" s="185" t="n"/>
      <c r="M386" s="8" t="n"/>
      <c r="N386" s="71">
        <f>M386</f>
        <v/>
      </c>
      <c r="O386" s="71" t="n"/>
      <c r="P386" s="101" t="n"/>
      <c r="Q386" s="9">
        <f>J386-N386</f>
        <v/>
      </c>
      <c r="R386" s="9">
        <f>IF(LEFT(B386,4)&lt;&gt;"    ",0,BI386)</f>
        <v/>
      </c>
      <c r="S386" s="9">
        <f>+Q386-R386</f>
        <v/>
      </c>
      <c r="T386" s="200">
        <f>IF('Jobs-Ops'!S386&lt;&gt; "",'Jobs-Ops'!S386,"")</f>
        <v/>
      </c>
      <c r="U386" s="10" t="n"/>
      <c r="V386" s="23">
        <f>IF(LEFT(B386,4)&lt;&gt;"    ","",IF(N386&lt;&gt;0,X386/N386,0))</f>
        <v/>
      </c>
      <c r="W386" s="11">
        <f>IF(LEFT(B386,4)&lt;&gt;"    ","",IF(V386&gt;=0.1,V386*J386,X386))</f>
        <v/>
      </c>
      <c r="X386" s="8" t="n"/>
      <c r="Y386" s="9">
        <f>IF(LEFT(B386,4)&lt;&gt;"    ",0,IF(Q386&lt;0,Q386,IF(V386&gt;0.1,W386-X386,0)))</f>
        <v/>
      </c>
      <c r="Z386" s="9">
        <f>IF(LEFT(B386,4)&lt;&gt;"    ",0,IF(V386&gt;0.1,BI386,0))</f>
        <v/>
      </c>
      <c r="AA386" s="9">
        <f>Y386-Z386</f>
        <v/>
      </c>
      <c r="AB386" s="10" t="n"/>
      <c r="AC386" s="24" t="n"/>
      <c r="AD386" s="11" t="n"/>
      <c r="AE386" s="8" t="n"/>
      <c r="AF386" s="9">
        <f>IF(LEFT(B386,4)&lt;&gt;"    ","",AD386-AE386)</f>
        <v/>
      </c>
      <c r="AG386" s="10" t="n"/>
      <c r="AH386" s="11">
        <f>IF(LEFT(B386,4)&lt;&gt;"    ","",W386-AD386)</f>
        <v/>
      </c>
      <c r="AI386" s="8">
        <f>IF(LEFT(B386,4)&lt;&gt;"    ","",X386-AE386)</f>
        <v/>
      </c>
      <c r="AJ386" s="9">
        <f>IF(LEFT(B386,4)&lt;&gt;"    ","",Y386-AF386)</f>
        <v/>
      </c>
      <c r="AK386" s="10" t="n"/>
      <c r="AL386" s="25">
        <f>IF(LEFT(B386,4)&lt;&gt;"    ","",J386-W386)</f>
        <v/>
      </c>
      <c r="AM386" s="25">
        <f>N386-X386</f>
        <v/>
      </c>
      <c r="AN386" s="25">
        <f>IF(LEFT(B386,4)&lt;&gt;"    ","",Q386-Y386)</f>
        <v/>
      </c>
      <c r="AO386" s="10" t="n"/>
      <c r="AP386" s="12" t="n"/>
      <c r="AQ386" s="12">
        <f>IF(LEFT(B386,4)&lt;&gt;"    ","",IF(W386-AP386&gt;=0,W386-AP386," "))</f>
        <v/>
      </c>
      <c r="AR386" s="12">
        <f>IF(LEFT(B386,4)&lt;&gt;"    ","",IF(AP386-W386&gt;=0,AP386-W386," "))</f>
        <v/>
      </c>
      <c r="AS386" s="186" t="n"/>
      <c r="AT386" s="187" t="n"/>
      <c r="AU386" s="186" t="n"/>
      <c r="AV386" s="186" t="n"/>
      <c r="AW386" s="188" t="n"/>
      <c r="AX386" s="187" t="n"/>
      <c r="AY386" s="187" t="n"/>
      <c r="AZ386" s="186" t="n"/>
      <c r="BA386" s="186" t="n"/>
      <c r="BB386" s="186" t="n"/>
      <c r="BC386" s="186" t="n"/>
      <c r="BD386" s="186" t="n"/>
      <c r="BE386" s="186" t="n"/>
      <c r="BF386" s="186" t="n"/>
      <c r="BG386" s="186" t="n"/>
      <c r="BH386" s="186" t="n"/>
      <c r="BI386" s="186" t="n"/>
      <c r="BJ386" s="186" t="n"/>
      <c r="BK386" s="186" t="n"/>
      <c r="BL386" s="186" t="n"/>
      <c r="BM386" s="186" t="n"/>
      <c r="BN386" s="186" t="n"/>
      <c r="BO386" s="186" t="n"/>
      <c r="BP386" s="186" t="n"/>
      <c r="BQ386" s="186" t="n"/>
      <c r="BR386" s="186" t="n"/>
      <c r="BS386" s="186" t="n"/>
      <c r="BT386" s="186" t="n"/>
      <c r="BU386" s="186" t="n"/>
      <c r="BV386" s="190" t="n"/>
      <c r="BW386" s="186" t="n"/>
      <c r="BX386" s="186" t="n"/>
      <c r="BY386" s="186" t="n"/>
      <c r="BZ386" s="186" t="n"/>
      <c r="CA386" s="186" t="n"/>
      <c r="CB386" s="187" t="n"/>
      <c r="CC386" s="192" t="n"/>
      <c r="CD386" s="192" t="n"/>
      <c r="CE386" s="192" t="n"/>
      <c r="CF386" s="192" t="n"/>
    </row>
    <row r="387">
      <c r="A387" s="197" t="n"/>
      <c r="B387" s="198" t="n"/>
      <c r="C387" s="198" t="n"/>
      <c r="D387" s="179" t="n"/>
      <c r="E387" s="180" t="n"/>
      <c r="F387" s="181" t="n"/>
      <c r="G387" s="284">
        <f>'Jobs-Ops'!G387</f>
        <v/>
      </c>
      <c r="H387" s="114">
        <f>'Jobs-Ops'!H387</f>
        <v/>
      </c>
      <c r="I387" s="105" t="n"/>
      <c r="J387" s="196">
        <f>F387</f>
        <v/>
      </c>
      <c r="K387" s="184" t="n"/>
      <c r="L387" s="185" t="n"/>
      <c r="M387" s="8" t="n"/>
      <c r="N387" s="71">
        <f>M387</f>
        <v/>
      </c>
      <c r="O387" s="71" t="n"/>
      <c r="P387" s="101" t="n"/>
      <c r="Q387" s="9">
        <f>J387-N387</f>
        <v/>
      </c>
      <c r="R387" s="9">
        <f>IF(LEFT(B387,4)&lt;&gt;"    ",0,BI387)</f>
        <v/>
      </c>
      <c r="S387" s="9">
        <f>+Q387-R387</f>
        <v/>
      </c>
      <c r="T387" s="200">
        <f>IF('Jobs-Ops'!S387&lt;&gt; "",'Jobs-Ops'!S387,"")</f>
        <v/>
      </c>
      <c r="U387" s="10" t="n"/>
      <c r="V387" s="23">
        <f>IF(LEFT(B387,4)&lt;&gt;"    ","",IF(N387&lt;&gt;0,X387/N387,0))</f>
        <v/>
      </c>
      <c r="W387" s="11">
        <f>IF(LEFT(B387,4)&lt;&gt;"    ","",IF(V387&gt;=0.1,V387*J387,X387))</f>
        <v/>
      </c>
      <c r="X387" s="8" t="n"/>
      <c r="Y387" s="9">
        <f>IF(LEFT(B387,4)&lt;&gt;"    ",0,IF(Q387&lt;0,Q387,IF(V387&gt;0.1,W387-X387,0)))</f>
        <v/>
      </c>
      <c r="Z387" s="9">
        <f>IF(LEFT(B387,4)&lt;&gt;"    ",0,IF(V387&gt;0.1,BI387,0))</f>
        <v/>
      </c>
      <c r="AA387" s="9">
        <f>Y387-Z387</f>
        <v/>
      </c>
      <c r="AB387" s="10" t="n"/>
      <c r="AC387" s="24" t="n"/>
      <c r="AD387" s="11" t="n"/>
      <c r="AE387" s="8" t="n"/>
      <c r="AF387" s="9">
        <f>IF(LEFT(B387,4)&lt;&gt;"    ","",AD387-AE387)</f>
        <v/>
      </c>
      <c r="AG387" s="10" t="n"/>
      <c r="AH387" s="11">
        <f>IF(LEFT(B387,4)&lt;&gt;"    ","",W387-AD387)</f>
        <v/>
      </c>
      <c r="AI387" s="8">
        <f>IF(LEFT(B387,4)&lt;&gt;"    ","",X387-AE387)</f>
        <v/>
      </c>
      <c r="AJ387" s="9">
        <f>IF(LEFT(B387,4)&lt;&gt;"    ","",Y387-AF387)</f>
        <v/>
      </c>
      <c r="AK387" s="10" t="n"/>
      <c r="AL387" s="25">
        <f>IF(LEFT(B387,4)&lt;&gt;"    ","",J387-W387)</f>
        <v/>
      </c>
      <c r="AM387" s="25">
        <f>N387-X387</f>
        <v/>
      </c>
      <c r="AN387" s="25">
        <f>IF(LEFT(B387,4)&lt;&gt;"    ","",Q387-Y387)</f>
        <v/>
      </c>
      <c r="AO387" s="10" t="n"/>
      <c r="AP387" s="12" t="n"/>
      <c r="AQ387" s="12">
        <f>IF(LEFT(B387,4)&lt;&gt;"    ","",IF(W387-AP387&gt;=0,W387-AP387," "))</f>
        <v/>
      </c>
      <c r="AR387" s="12">
        <f>IF(LEFT(B387,4)&lt;&gt;"    ","",IF(AP387-W387&gt;=0,AP387-W387," "))</f>
        <v/>
      </c>
      <c r="AS387" s="186" t="n"/>
      <c r="AT387" s="187" t="n"/>
      <c r="AU387" s="186" t="n"/>
      <c r="AV387" s="186" t="n"/>
      <c r="AW387" s="188" t="n"/>
      <c r="AX387" s="187" t="n"/>
      <c r="AY387" s="187" t="n"/>
      <c r="AZ387" s="186" t="n"/>
      <c r="BA387" s="186" t="n"/>
      <c r="BB387" s="186" t="n"/>
      <c r="BC387" s="186" t="n"/>
      <c r="BD387" s="186" t="n"/>
      <c r="BE387" s="186" t="n"/>
      <c r="BF387" s="186" t="n"/>
      <c r="BG387" s="186" t="n"/>
      <c r="BH387" s="186" t="n"/>
      <c r="BI387" s="186" t="n"/>
      <c r="BJ387" s="186" t="n"/>
      <c r="BK387" s="186" t="n"/>
      <c r="BL387" s="186" t="n"/>
      <c r="BM387" s="186" t="n"/>
      <c r="BN387" s="186" t="n"/>
      <c r="BO387" s="186" t="n"/>
      <c r="BP387" s="186" t="n"/>
      <c r="BQ387" s="186" t="n"/>
      <c r="BR387" s="186" t="n"/>
      <c r="BS387" s="186" t="n"/>
      <c r="BT387" s="186" t="n"/>
      <c r="BU387" s="186" t="n"/>
      <c r="BV387" s="190" t="n"/>
      <c r="BW387" s="186" t="n"/>
      <c r="BX387" s="186" t="n"/>
      <c r="BY387" s="186" t="n"/>
      <c r="BZ387" s="186" t="n"/>
      <c r="CA387" s="186" t="n"/>
      <c r="CB387" s="187" t="n"/>
      <c r="CC387" s="192" t="n"/>
      <c r="CD387" s="192" t="n"/>
      <c r="CE387" s="192" t="n"/>
      <c r="CF387" s="192" t="n"/>
    </row>
    <row r="388">
      <c r="A388" s="197" t="n"/>
      <c r="B388" s="198" t="n"/>
      <c r="C388" s="198" t="n"/>
      <c r="D388" s="179" t="n"/>
      <c r="E388" s="180" t="n"/>
      <c r="F388" s="181" t="n"/>
      <c r="G388" s="284">
        <f>'Jobs-Ops'!G388</f>
        <v/>
      </c>
      <c r="H388" s="114">
        <f>'Jobs-Ops'!H388</f>
        <v/>
      </c>
      <c r="I388" s="105" t="n"/>
      <c r="J388" s="196">
        <f>F388</f>
        <v/>
      </c>
      <c r="K388" s="184" t="n"/>
      <c r="L388" s="185" t="n"/>
      <c r="M388" s="8" t="n"/>
      <c r="N388" s="71">
        <f>M388</f>
        <v/>
      </c>
      <c r="O388" s="71" t="n"/>
      <c r="P388" s="101" t="n"/>
      <c r="Q388" s="9">
        <f>J388-N388</f>
        <v/>
      </c>
      <c r="R388" s="9">
        <f>IF(LEFT(B388,4)&lt;&gt;"    ",0,BI388)</f>
        <v/>
      </c>
      <c r="S388" s="9">
        <f>+Q388-R388</f>
        <v/>
      </c>
      <c r="T388" s="200">
        <f>IF('Jobs-Ops'!S388&lt;&gt; "",'Jobs-Ops'!S388,"")</f>
        <v/>
      </c>
      <c r="U388" s="10" t="n"/>
      <c r="V388" s="23">
        <f>IF(LEFT(B388,4)&lt;&gt;"    ","",IF(N388&lt;&gt;0,X388/N388,0))</f>
        <v/>
      </c>
      <c r="W388" s="11">
        <f>IF(LEFT(B388,4)&lt;&gt;"    ","",IF(V388&gt;=0.1,V388*J388,X388))</f>
        <v/>
      </c>
      <c r="X388" s="8" t="n"/>
      <c r="Y388" s="9">
        <f>IF(LEFT(B388,4)&lt;&gt;"    ",0,IF(Q388&lt;0,Q388,IF(V388&gt;0.1,W388-X388,0)))</f>
        <v/>
      </c>
      <c r="Z388" s="9">
        <f>IF(LEFT(B388,4)&lt;&gt;"    ",0,IF(V388&gt;0.1,BI388,0))</f>
        <v/>
      </c>
      <c r="AA388" s="9">
        <f>Y388-Z388</f>
        <v/>
      </c>
      <c r="AB388" s="10" t="n"/>
      <c r="AC388" s="24" t="n"/>
      <c r="AD388" s="11" t="n"/>
      <c r="AE388" s="8" t="n"/>
      <c r="AF388" s="9">
        <f>IF(LEFT(B388,4)&lt;&gt;"    ","",AD388-AE388)</f>
        <v/>
      </c>
      <c r="AG388" s="10" t="n"/>
      <c r="AH388" s="11">
        <f>IF(LEFT(B388,4)&lt;&gt;"    ","",W388-AD388)</f>
        <v/>
      </c>
      <c r="AI388" s="8">
        <f>IF(LEFT(B388,4)&lt;&gt;"    ","",X388-AE388)</f>
        <v/>
      </c>
      <c r="AJ388" s="9">
        <f>IF(LEFT(B388,4)&lt;&gt;"    ","",Y388-AF388)</f>
        <v/>
      </c>
      <c r="AK388" s="10" t="n"/>
      <c r="AL388" s="25">
        <f>IF(LEFT(B388,4)&lt;&gt;"    ","",J388-W388)</f>
        <v/>
      </c>
      <c r="AM388" s="25">
        <f>N388-X388</f>
        <v/>
      </c>
      <c r="AN388" s="25">
        <f>IF(LEFT(B388,4)&lt;&gt;"    ","",Q388-Y388)</f>
        <v/>
      </c>
      <c r="AO388" s="10" t="n"/>
      <c r="AP388" s="12" t="n"/>
      <c r="AQ388" s="12">
        <f>IF(LEFT(B388,4)&lt;&gt;"    ","",IF(W388-AP388&gt;=0,W388-AP388," "))</f>
        <v/>
      </c>
      <c r="AR388" s="12">
        <f>IF(LEFT(B388,4)&lt;&gt;"    ","",IF(AP388-W388&gt;=0,AP388-W388," "))</f>
        <v/>
      </c>
      <c r="AS388" s="186" t="n"/>
      <c r="AT388" s="187" t="n"/>
      <c r="AU388" s="186" t="n"/>
      <c r="AV388" s="186" t="n"/>
      <c r="AW388" s="188" t="n"/>
      <c r="AX388" s="187" t="n"/>
      <c r="AY388" s="187" t="n"/>
      <c r="AZ388" s="186" t="n"/>
      <c r="BA388" s="186" t="n"/>
      <c r="BB388" s="186" t="n"/>
      <c r="BC388" s="186" t="n"/>
      <c r="BD388" s="186" t="n"/>
      <c r="BE388" s="186" t="n"/>
      <c r="BF388" s="186" t="n"/>
      <c r="BG388" s="186" t="n"/>
      <c r="BH388" s="186" t="n"/>
      <c r="BI388" s="186" t="n"/>
      <c r="BJ388" s="186" t="n"/>
      <c r="BK388" s="186" t="n"/>
      <c r="BL388" s="186" t="n"/>
      <c r="BM388" s="186" t="n"/>
      <c r="BN388" s="186" t="n"/>
      <c r="BO388" s="186" t="n"/>
      <c r="BP388" s="186" t="n"/>
      <c r="BQ388" s="186" t="n"/>
      <c r="BR388" s="186" t="n"/>
      <c r="BS388" s="186" t="n"/>
      <c r="BT388" s="186" t="n"/>
      <c r="BU388" s="186" t="n"/>
      <c r="BV388" s="190" t="n"/>
      <c r="BW388" s="186" t="n"/>
      <c r="BX388" s="186" t="n"/>
      <c r="BY388" s="186" t="n"/>
      <c r="BZ388" s="186" t="n"/>
      <c r="CA388" s="186" t="n"/>
      <c r="CB388" s="187" t="n"/>
      <c r="CC388" s="192" t="n"/>
      <c r="CD388" s="192" t="n"/>
      <c r="CE388" s="192" t="n"/>
      <c r="CF388" s="192" t="n"/>
    </row>
    <row r="389">
      <c r="A389" s="197" t="n"/>
      <c r="B389" s="198" t="n"/>
      <c r="C389" s="198" t="n"/>
      <c r="D389" s="179" t="n"/>
      <c r="E389" s="180" t="n"/>
      <c r="F389" s="181" t="n"/>
      <c r="G389" s="284">
        <f>'Jobs-Ops'!G389</f>
        <v/>
      </c>
      <c r="H389" s="114">
        <f>'Jobs-Ops'!H389</f>
        <v/>
      </c>
      <c r="I389" s="105" t="n"/>
      <c r="J389" s="196">
        <f>F389</f>
        <v/>
      </c>
      <c r="K389" s="184" t="n"/>
      <c r="L389" s="185" t="n"/>
      <c r="M389" s="8" t="n"/>
      <c r="N389" s="71">
        <f>M389</f>
        <v/>
      </c>
      <c r="O389" s="71" t="n"/>
      <c r="P389" s="101" t="n"/>
      <c r="Q389" s="9">
        <f>J389-N389</f>
        <v/>
      </c>
      <c r="R389" s="9">
        <f>IF(LEFT(B389,4)&lt;&gt;"    ",0,BI389)</f>
        <v/>
      </c>
      <c r="S389" s="9">
        <f>+Q389-R389</f>
        <v/>
      </c>
      <c r="T389" s="200">
        <f>IF('Jobs-Ops'!S389&lt;&gt; "",'Jobs-Ops'!S389,"")</f>
        <v/>
      </c>
      <c r="U389" s="10" t="n"/>
      <c r="V389" s="23">
        <f>IF(LEFT(B389,4)&lt;&gt;"    ","",IF(N389&lt;&gt;0,X389/N389,0))</f>
        <v/>
      </c>
      <c r="W389" s="11">
        <f>IF(LEFT(B389,4)&lt;&gt;"    ","",IF(V389&gt;=0.1,V389*J389,X389))</f>
        <v/>
      </c>
      <c r="X389" s="8" t="n"/>
      <c r="Y389" s="9">
        <f>IF(LEFT(B389,4)&lt;&gt;"    ",0,IF(Q389&lt;0,Q389,IF(V389&gt;0.1,W389-X389,0)))</f>
        <v/>
      </c>
      <c r="Z389" s="9">
        <f>IF(LEFT(B389,4)&lt;&gt;"    ",0,IF(V389&gt;0.1,BI389,0))</f>
        <v/>
      </c>
      <c r="AA389" s="9">
        <f>Y389-Z389</f>
        <v/>
      </c>
      <c r="AB389" s="10" t="n"/>
      <c r="AC389" s="24" t="n"/>
      <c r="AD389" s="11" t="n"/>
      <c r="AE389" s="8" t="n"/>
      <c r="AF389" s="9">
        <f>IF(LEFT(B389,4)&lt;&gt;"    ","",AD389-AE389)</f>
        <v/>
      </c>
      <c r="AG389" s="10" t="n"/>
      <c r="AH389" s="11">
        <f>IF(LEFT(B389,4)&lt;&gt;"    ","",W389-AD389)</f>
        <v/>
      </c>
      <c r="AI389" s="8">
        <f>IF(LEFT(B389,4)&lt;&gt;"    ","",X389-AE389)</f>
        <v/>
      </c>
      <c r="AJ389" s="9">
        <f>IF(LEFT(B389,4)&lt;&gt;"    ","",Y389-AF389)</f>
        <v/>
      </c>
      <c r="AK389" s="10" t="n"/>
      <c r="AL389" s="25">
        <f>IF(LEFT(B389,4)&lt;&gt;"    ","",J389-W389)</f>
        <v/>
      </c>
      <c r="AM389" s="25">
        <f>N389-X389</f>
        <v/>
      </c>
      <c r="AN389" s="25">
        <f>IF(LEFT(B389,4)&lt;&gt;"    ","",Q389-Y389)</f>
        <v/>
      </c>
      <c r="AO389" s="10" t="n"/>
      <c r="AP389" s="12" t="n"/>
      <c r="AQ389" s="12">
        <f>IF(LEFT(B389,4)&lt;&gt;"    ","",IF(W389-AP389&gt;=0,W389-AP389," "))</f>
        <v/>
      </c>
      <c r="AR389" s="12">
        <f>IF(LEFT(B389,4)&lt;&gt;"    ","",IF(AP389-W389&gt;=0,AP389-W389," "))</f>
        <v/>
      </c>
      <c r="AS389" s="186" t="n"/>
      <c r="AT389" s="187" t="n"/>
      <c r="AU389" s="186" t="n"/>
      <c r="AV389" s="186" t="n"/>
      <c r="AW389" s="188" t="n"/>
      <c r="AX389" s="187" t="n"/>
      <c r="AY389" s="187" t="n"/>
      <c r="AZ389" s="186" t="n"/>
      <c r="BA389" s="186" t="n"/>
      <c r="BB389" s="186" t="n"/>
      <c r="BC389" s="186" t="n"/>
      <c r="BD389" s="186" t="n"/>
      <c r="BE389" s="186" t="n"/>
      <c r="BF389" s="186" t="n"/>
      <c r="BG389" s="186" t="n"/>
      <c r="BH389" s="186" t="n"/>
      <c r="BI389" s="186" t="n"/>
      <c r="BJ389" s="186" t="n"/>
      <c r="BK389" s="186" t="n"/>
      <c r="BL389" s="186" t="n"/>
      <c r="BM389" s="186" t="n"/>
      <c r="BN389" s="186" t="n"/>
      <c r="BO389" s="186" t="n"/>
      <c r="BP389" s="186" t="n"/>
      <c r="BQ389" s="186" t="n"/>
      <c r="BR389" s="186" t="n"/>
      <c r="BS389" s="186" t="n"/>
      <c r="BT389" s="186" t="n"/>
      <c r="BU389" s="186" t="n"/>
      <c r="BV389" s="190" t="n"/>
      <c r="BW389" s="186" t="n"/>
      <c r="BX389" s="186" t="n"/>
      <c r="BY389" s="186" t="n"/>
      <c r="BZ389" s="186" t="n"/>
      <c r="CA389" s="186" t="n"/>
      <c r="CB389" s="187" t="n"/>
      <c r="CC389" s="192" t="n"/>
      <c r="CD389" s="192" t="n"/>
      <c r="CE389" s="192" t="n"/>
      <c r="CF389" s="192" t="n"/>
    </row>
    <row r="390">
      <c r="A390" s="197" t="n"/>
      <c r="B390" s="198" t="n"/>
      <c r="C390" s="198" t="n"/>
      <c r="D390" s="179" t="n"/>
      <c r="E390" s="180" t="n"/>
      <c r="F390" s="181" t="n"/>
      <c r="G390" s="284">
        <f>'Jobs-Ops'!G390</f>
        <v/>
      </c>
      <c r="H390" s="114">
        <f>'Jobs-Ops'!H390</f>
        <v/>
      </c>
      <c r="I390" s="105" t="n"/>
      <c r="J390" s="196">
        <f>F390</f>
        <v/>
      </c>
      <c r="K390" s="184" t="n"/>
      <c r="L390" s="185" t="n"/>
      <c r="M390" s="8" t="n"/>
      <c r="N390" s="71">
        <f>M390</f>
        <v/>
      </c>
      <c r="O390" s="71" t="n"/>
      <c r="P390" s="101" t="n"/>
      <c r="Q390" s="9">
        <f>J390-N390</f>
        <v/>
      </c>
      <c r="R390" s="9">
        <f>IF(LEFT(B390,4)&lt;&gt;"    ",0,BI390)</f>
        <v/>
      </c>
      <c r="S390" s="9">
        <f>+Q390-R390</f>
        <v/>
      </c>
      <c r="T390" s="200">
        <f>IF('Jobs-Ops'!S390&lt;&gt; "",'Jobs-Ops'!S390,"")</f>
        <v/>
      </c>
      <c r="U390" s="10" t="n"/>
      <c r="V390" s="23">
        <f>IF(LEFT(B390,4)&lt;&gt;"    ","",IF(N390&lt;&gt;0,X390/N390,0))</f>
        <v/>
      </c>
      <c r="W390" s="11">
        <f>IF(LEFT(B390,4)&lt;&gt;"    ","",IF(V390&gt;=0.1,V390*J390,X390))</f>
        <v/>
      </c>
      <c r="X390" s="8" t="n"/>
      <c r="Y390" s="9">
        <f>IF(LEFT(B390,4)&lt;&gt;"    ",0,IF(Q390&lt;0,Q390,IF(V390&gt;0.1,W390-X390,0)))</f>
        <v/>
      </c>
      <c r="Z390" s="9">
        <f>IF(LEFT(B390,4)&lt;&gt;"    ",0,IF(V390&gt;0.1,BI390,0))</f>
        <v/>
      </c>
      <c r="AA390" s="9">
        <f>Y390-Z390</f>
        <v/>
      </c>
      <c r="AB390" s="10" t="n"/>
      <c r="AC390" s="24" t="n"/>
      <c r="AD390" s="11" t="n"/>
      <c r="AE390" s="8" t="n"/>
      <c r="AF390" s="9">
        <f>IF(LEFT(B390,4)&lt;&gt;"    ","",AD390-AE390)</f>
        <v/>
      </c>
      <c r="AG390" s="10" t="n"/>
      <c r="AH390" s="11">
        <f>IF(LEFT(B390,4)&lt;&gt;"    ","",W390-AD390)</f>
        <v/>
      </c>
      <c r="AI390" s="8">
        <f>IF(LEFT(B390,4)&lt;&gt;"    ","",X390-AE390)</f>
        <v/>
      </c>
      <c r="AJ390" s="9">
        <f>IF(LEFT(B390,4)&lt;&gt;"    ","",Y390-AF390)</f>
        <v/>
      </c>
      <c r="AK390" s="10" t="n"/>
      <c r="AL390" s="25">
        <f>IF(LEFT(B390,4)&lt;&gt;"    ","",J390-W390)</f>
        <v/>
      </c>
      <c r="AM390" s="25">
        <f>N390-X390</f>
        <v/>
      </c>
      <c r="AN390" s="25">
        <f>IF(LEFT(B390,4)&lt;&gt;"    ","",Q390-Y390)</f>
        <v/>
      </c>
      <c r="AO390" s="10" t="n"/>
      <c r="AP390" s="12" t="n"/>
      <c r="AQ390" s="12">
        <f>IF(LEFT(B390,4)&lt;&gt;"    ","",IF(W390-AP390&gt;=0,W390-AP390," "))</f>
        <v/>
      </c>
      <c r="AR390" s="12">
        <f>IF(LEFT(B390,4)&lt;&gt;"    ","",IF(AP390-W390&gt;=0,AP390-W390," "))</f>
        <v/>
      </c>
      <c r="AS390" s="186" t="n"/>
      <c r="AT390" s="187" t="n"/>
      <c r="AU390" s="186" t="n"/>
      <c r="AV390" s="186" t="n"/>
      <c r="AW390" s="188" t="n"/>
      <c r="AX390" s="187" t="n"/>
      <c r="AY390" s="187" t="n"/>
      <c r="AZ390" s="186" t="n"/>
      <c r="BA390" s="186" t="n"/>
      <c r="BB390" s="186" t="n"/>
      <c r="BC390" s="186" t="n"/>
      <c r="BD390" s="186" t="n"/>
      <c r="BE390" s="186" t="n"/>
      <c r="BF390" s="186" t="n"/>
      <c r="BG390" s="186" t="n"/>
      <c r="BH390" s="186" t="n"/>
      <c r="BI390" s="186" t="n"/>
      <c r="BJ390" s="186" t="n"/>
      <c r="BK390" s="186" t="n"/>
      <c r="BL390" s="186" t="n"/>
      <c r="BM390" s="186" t="n"/>
      <c r="BN390" s="186" t="n"/>
      <c r="BO390" s="186" t="n"/>
      <c r="BP390" s="186" t="n"/>
      <c r="BQ390" s="186" t="n"/>
      <c r="BR390" s="186" t="n"/>
      <c r="BS390" s="186" t="n"/>
      <c r="BT390" s="186" t="n"/>
      <c r="BU390" s="186" t="n"/>
      <c r="BV390" s="190" t="n"/>
      <c r="BW390" s="186" t="n"/>
      <c r="BX390" s="186" t="n"/>
      <c r="BY390" s="186" t="n"/>
      <c r="BZ390" s="186" t="n"/>
      <c r="CA390" s="186" t="n"/>
      <c r="CB390" s="187" t="n"/>
      <c r="CC390" s="192" t="n"/>
      <c r="CD390" s="192" t="n"/>
      <c r="CE390" s="192" t="n"/>
      <c r="CF390" s="192" t="n"/>
    </row>
    <row r="391">
      <c r="A391" s="197" t="n"/>
      <c r="B391" s="198" t="n"/>
      <c r="C391" s="198" t="n"/>
      <c r="D391" s="179" t="n"/>
      <c r="E391" s="180" t="n"/>
      <c r="F391" s="181" t="n"/>
      <c r="G391" s="284">
        <f>'Jobs-Ops'!G391</f>
        <v/>
      </c>
      <c r="H391" s="114">
        <f>'Jobs-Ops'!H391</f>
        <v/>
      </c>
      <c r="I391" s="105" t="n"/>
      <c r="J391" s="196">
        <f>F391</f>
        <v/>
      </c>
      <c r="K391" s="184" t="n"/>
      <c r="L391" s="185" t="n"/>
      <c r="M391" s="8" t="n"/>
      <c r="N391" s="71">
        <f>M391</f>
        <v/>
      </c>
      <c r="O391" s="71" t="n"/>
      <c r="P391" s="101" t="n"/>
      <c r="Q391" s="9">
        <f>J391-N391</f>
        <v/>
      </c>
      <c r="R391" s="9">
        <f>IF(LEFT(B391,4)&lt;&gt;"    ",0,BI391)</f>
        <v/>
      </c>
      <c r="S391" s="9">
        <f>+Q391-R391</f>
        <v/>
      </c>
      <c r="T391" s="200">
        <f>IF('Jobs-Ops'!S391&lt;&gt; "",'Jobs-Ops'!S391,"")</f>
        <v/>
      </c>
      <c r="U391" s="10" t="n"/>
      <c r="V391" s="23">
        <f>IF(LEFT(B391,4)&lt;&gt;"    ","",IF(N391&lt;&gt;0,X391/N391,0))</f>
        <v/>
      </c>
      <c r="W391" s="11">
        <f>IF(LEFT(B391,4)&lt;&gt;"    ","",IF(V391&gt;=0.1,V391*J391,X391))</f>
        <v/>
      </c>
      <c r="X391" s="8" t="n"/>
      <c r="Y391" s="9">
        <f>IF(LEFT(B391,4)&lt;&gt;"    ",0,IF(Q391&lt;0,Q391,IF(V391&gt;0.1,W391-X391,0)))</f>
        <v/>
      </c>
      <c r="Z391" s="9">
        <f>IF(LEFT(B391,4)&lt;&gt;"    ",0,IF(V391&gt;0.1,BI391,0))</f>
        <v/>
      </c>
      <c r="AA391" s="9">
        <f>Y391-Z391</f>
        <v/>
      </c>
      <c r="AB391" s="10" t="n"/>
      <c r="AC391" s="24" t="n"/>
      <c r="AD391" s="11" t="n"/>
      <c r="AE391" s="8" t="n"/>
      <c r="AF391" s="9">
        <f>IF(LEFT(B391,4)&lt;&gt;"    ","",AD391-AE391)</f>
        <v/>
      </c>
      <c r="AG391" s="10" t="n"/>
      <c r="AH391" s="11">
        <f>IF(LEFT(B391,4)&lt;&gt;"    ","",W391-AD391)</f>
        <v/>
      </c>
      <c r="AI391" s="8">
        <f>IF(LEFT(B391,4)&lt;&gt;"    ","",X391-AE391)</f>
        <v/>
      </c>
      <c r="AJ391" s="9">
        <f>IF(LEFT(B391,4)&lt;&gt;"    ","",Y391-AF391)</f>
        <v/>
      </c>
      <c r="AK391" s="10" t="n"/>
      <c r="AL391" s="25">
        <f>IF(LEFT(B391,4)&lt;&gt;"    ","",J391-W391)</f>
        <v/>
      </c>
      <c r="AM391" s="25">
        <f>N391-X391</f>
        <v/>
      </c>
      <c r="AN391" s="25">
        <f>IF(LEFT(B391,4)&lt;&gt;"    ","",Q391-Y391)</f>
        <v/>
      </c>
      <c r="AO391" s="10" t="n"/>
      <c r="AP391" s="12" t="n"/>
      <c r="AQ391" s="12">
        <f>IF(LEFT(B391,4)&lt;&gt;"    ","",IF(W391-AP391&gt;=0,W391-AP391," "))</f>
        <v/>
      </c>
      <c r="AR391" s="12">
        <f>IF(LEFT(B391,4)&lt;&gt;"    ","",IF(AP391-W391&gt;=0,AP391-W391," "))</f>
        <v/>
      </c>
      <c r="AS391" s="186" t="n"/>
      <c r="AT391" s="187" t="n"/>
      <c r="AU391" s="186" t="n"/>
      <c r="AV391" s="186" t="n"/>
      <c r="AW391" s="188" t="n"/>
      <c r="AX391" s="187" t="n"/>
      <c r="AY391" s="187" t="n"/>
      <c r="AZ391" s="186" t="n"/>
      <c r="BA391" s="186" t="n"/>
      <c r="BB391" s="186" t="n"/>
      <c r="BC391" s="186" t="n"/>
      <c r="BD391" s="186" t="n"/>
      <c r="BE391" s="186" t="n"/>
      <c r="BF391" s="186" t="n"/>
      <c r="BG391" s="186" t="n"/>
      <c r="BH391" s="186" t="n"/>
      <c r="BI391" s="186" t="n"/>
      <c r="BJ391" s="186" t="n"/>
      <c r="BK391" s="186" t="n"/>
      <c r="BL391" s="186" t="n"/>
      <c r="BM391" s="186" t="n"/>
      <c r="BN391" s="186" t="n"/>
      <c r="BO391" s="186" t="n"/>
      <c r="BP391" s="186" t="n"/>
      <c r="BQ391" s="186" t="n"/>
      <c r="BR391" s="186" t="n"/>
      <c r="BS391" s="186" t="n"/>
      <c r="BT391" s="186" t="n"/>
      <c r="BU391" s="186" t="n"/>
      <c r="BV391" s="190" t="n"/>
      <c r="BW391" s="186" t="n"/>
      <c r="BX391" s="186" t="n"/>
      <c r="BY391" s="186" t="n"/>
      <c r="BZ391" s="186" t="n"/>
      <c r="CA391" s="186" t="n"/>
      <c r="CB391" s="187" t="n"/>
      <c r="CC391" s="192" t="n"/>
      <c r="CD391" s="192" t="n"/>
      <c r="CE391" s="192" t="n"/>
      <c r="CF391" s="192" t="n"/>
    </row>
    <row r="392">
      <c r="A392" s="197" t="n"/>
      <c r="B392" s="198" t="n"/>
      <c r="C392" s="198" t="n"/>
      <c r="D392" s="179" t="n"/>
      <c r="E392" s="180" t="n"/>
      <c r="F392" s="181" t="n"/>
      <c r="G392" s="284">
        <f>'Jobs-Ops'!G392</f>
        <v/>
      </c>
      <c r="H392" s="114">
        <f>'Jobs-Ops'!H392</f>
        <v/>
      </c>
      <c r="I392" s="105" t="n"/>
      <c r="J392" s="196">
        <f>F392</f>
        <v/>
      </c>
      <c r="K392" s="184" t="n"/>
      <c r="L392" s="185" t="n"/>
      <c r="M392" s="8" t="n"/>
      <c r="N392" s="71">
        <f>M392</f>
        <v/>
      </c>
      <c r="O392" s="71" t="n"/>
      <c r="P392" s="101" t="n"/>
      <c r="Q392" s="9">
        <f>J392-N392</f>
        <v/>
      </c>
      <c r="R392" s="9">
        <f>IF(LEFT(B392,4)&lt;&gt;"    ",0,BI392)</f>
        <v/>
      </c>
      <c r="S392" s="9">
        <f>+Q392-R392</f>
        <v/>
      </c>
      <c r="T392" s="200">
        <f>IF('Jobs-Ops'!S392&lt;&gt; "",'Jobs-Ops'!S392,"")</f>
        <v/>
      </c>
      <c r="U392" s="10" t="n"/>
      <c r="V392" s="23">
        <f>IF(LEFT(B392,4)&lt;&gt;"    ","",IF(N392&lt;&gt;0,X392/N392,0))</f>
        <v/>
      </c>
      <c r="W392" s="11">
        <f>IF(LEFT(B392,4)&lt;&gt;"    ","",IF(V392&gt;=0.1,V392*J392,X392))</f>
        <v/>
      </c>
      <c r="X392" s="8" t="n"/>
      <c r="Y392" s="9">
        <f>IF(LEFT(B392,4)&lt;&gt;"    ",0,IF(Q392&lt;0,Q392,IF(V392&gt;0.1,W392-X392,0)))</f>
        <v/>
      </c>
      <c r="Z392" s="9">
        <f>IF(LEFT(B392,4)&lt;&gt;"    ",0,IF(V392&gt;0.1,BI392,0))</f>
        <v/>
      </c>
      <c r="AA392" s="9">
        <f>Y392-Z392</f>
        <v/>
      </c>
      <c r="AB392" s="10" t="n"/>
      <c r="AC392" s="24" t="n"/>
      <c r="AD392" s="11" t="n"/>
      <c r="AE392" s="8" t="n"/>
      <c r="AF392" s="9">
        <f>IF(LEFT(B392,4)&lt;&gt;"    ","",AD392-AE392)</f>
        <v/>
      </c>
      <c r="AG392" s="10" t="n"/>
      <c r="AH392" s="11">
        <f>IF(LEFT(B392,4)&lt;&gt;"    ","",W392-AD392)</f>
        <v/>
      </c>
      <c r="AI392" s="8">
        <f>IF(LEFT(B392,4)&lt;&gt;"    ","",X392-AE392)</f>
        <v/>
      </c>
      <c r="AJ392" s="9">
        <f>IF(LEFT(B392,4)&lt;&gt;"    ","",Y392-AF392)</f>
        <v/>
      </c>
      <c r="AK392" s="10" t="n"/>
      <c r="AL392" s="25">
        <f>IF(LEFT(B392,4)&lt;&gt;"    ","",J392-W392)</f>
        <v/>
      </c>
      <c r="AM392" s="25">
        <f>N392-X392</f>
        <v/>
      </c>
      <c r="AN392" s="25">
        <f>IF(LEFT(B392,4)&lt;&gt;"    ","",Q392-Y392)</f>
        <v/>
      </c>
      <c r="AO392" s="10" t="n"/>
      <c r="AP392" s="12" t="n"/>
      <c r="AQ392" s="12">
        <f>IF(LEFT(B392,4)&lt;&gt;"    ","",IF(W392-AP392&gt;=0,W392-AP392," "))</f>
        <v/>
      </c>
      <c r="AR392" s="12">
        <f>IF(LEFT(B392,4)&lt;&gt;"    ","",IF(AP392-W392&gt;=0,AP392-W392," "))</f>
        <v/>
      </c>
      <c r="AS392" s="186" t="n"/>
      <c r="AT392" s="187" t="n"/>
      <c r="AU392" s="186" t="n"/>
      <c r="AV392" s="186" t="n"/>
      <c r="AW392" s="188" t="n"/>
      <c r="AX392" s="187" t="n"/>
      <c r="AY392" s="187" t="n"/>
      <c r="AZ392" s="186" t="n"/>
      <c r="BA392" s="186" t="n"/>
      <c r="BB392" s="186" t="n"/>
      <c r="BC392" s="186" t="n"/>
      <c r="BD392" s="186" t="n"/>
      <c r="BE392" s="186" t="n"/>
      <c r="BF392" s="186" t="n"/>
      <c r="BG392" s="186" t="n"/>
      <c r="BH392" s="186" t="n"/>
      <c r="BI392" s="186" t="n"/>
      <c r="BJ392" s="186" t="n"/>
      <c r="BK392" s="186" t="n"/>
      <c r="BL392" s="186" t="n"/>
      <c r="BM392" s="186" t="n"/>
      <c r="BN392" s="186" t="n"/>
      <c r="BO392" s="186" t="n"/>
      <c r="BP392" s="186" t="n"/>
      <c r="BQ392" s="186" t="n"/>
      <c r="BR392" s="186" t="n"/>
      <c r="BS392" s="186" t="n"/>
      <c r="BT392" s="186" t="n"/>
      <c r="BU392" s="186" t="n"/>
      <c r="BV392" s="190" t="n"/>
      <c r="BW392" s="186" t="n"/>
      <c r="BX392" s="186" t="n"/>
      <c r="BY392" s="186" t="n"/>
      <c r="BZ392" s="186" t="n"/>
      <c r="CA392" s="186" t="n"/>
      <c r="CB392" s="187" t="n"/>
      <c r="CC392" s="192" t="n"/>
      <c r="CD392" s="192" t="n"/>
      <c r="CE392" s="192" t="n"/>
      <c r="CF392" s="192" t="n"/>
    </row>
    <row r="393">
      <c r="A393" s="197" t="n"/>
      <c r="B393" s="198" t="n"/>
      <c r="C393" s="198" t="n"/>
      <c r="D393" s="179" t="n"/>
      <c r="E393" s="180" t="n"/>
      <c r="F393" s="181" t="n"/>
      <c r="G393" s="284">
        <f>'Jobs-Ops'!G393</f>
        <v/>
      </c>
      <c r="H393" s="114">
        <f>'Jobs-Ops'!H393</f>
        <v/>
      </c>
      <c r="I393" s="105" t="n"/>
      <c r="J393" s="196">
        <f>F393</f>
        <v/>
      </c>
      <c r="K393" s="184" t="n"/>
      <c r="L393" s="185" t="n"/>
      <c r="M393" s="8" t="n"/>
      <c r="N393" s="71">
        <f>M393</f>
        <v/>
      </c>
      <c r="O393" s="71" t="n"/>
      <c r="P393" s="101" t="n"/>
      <c r="Q393" s="9">
        <f>J393-N393</f>
        <v/>
      </c>
      <c r="R393" s="9">
        <f>IF(LEFT(B393,4)&lt;&gt;"    ",0,BI393)</f>
        <v/>
      </c>
      <c r="S393" s="9">
        <f>+Q393-R393</f>
        <v/>
      </c>
      <c r="T393" s="200">
        <f>IF('Jobs-Ops'!S393&lt;&gt; "",'Jobs-Ops'!S393,"")</f>
        <v/>
      </c>
      <c r="U393" s="10" t="n"/>
      <c r="V393" s="23">
        <f>IF(LEFT(B393,4)&lt;&gt;"    ","",IF(N393&lt;&gt;0,X393/N393,0))</f>
        <v/>
      </c>
      <c r="W393" s="11">
        <f>IF(LEFT(B393,4)&lt;&gt;"    ","",IF(V393&gt;=0.1,V393*J393,X393))</f>
        <v/>
      </c>
      <c r="X393" s="8" t="n"/>
      <c r="Y393" s="9">
        <f>IF(LEFT(B393,4)&lt;&gt;"    ",0,IF(Q393&lt;0,Q393,IF(V393&gt;0.1,W393-X393,0)))</f>
        <v/>
      </c>
      <c r="Z393" s="9">
        <f>IF(LEFT(B393,4)&lt;&gt;"    ",0,IF(V393&gt;0.1,BI393,0))</f>
        <v/>
      </c>
      <c r="AA393" s="9">
        <f>Y393-Z393</f>
        <v/>
      </c>
      <c r="AB393" s="10" t="n"/>
      <c r="AC393" s="24" t="n"/>
      <c r="AD393" s="11" t="n"/>
      <c r="AE393" s="8" t="n"/>
      <c r="AF393" s="9">
        <f>IF(LEFT(B393,4)&lt;&gt;"    ","",AD393-AE393)</f>
        <v/>
      </c>
      <c r="AG393" s="10" t="n"/>
      <c r="AH393" s="11">
        <f>IF(LEFT(B393,4)&lt;&gt;"    ","",W393-AD393)</f>
        <v/>
      </c>
      <c r="AI393" s="8">
        <f>IF(LEFT(B393,4)&lt;&gt;"    ","",X393-AE393)</f>
        <v/>
      </c>
      <c r="AJ393" s="9">
        <f>IF(LEFT(B393,4)&lt;&gt;"    ","",Y393-AF393)</f>
        <v/>
      </c>
      <c r="AK393" s="10" t="n"/>
      <c r="AL393" s="25">
        <f>IF(LEFT(B393,4)&lt;&gt;"    ","",J393-W393)</f>
        <v/>
      </c>
      <c r="AM393" s="25">
        <f>N393-X393</f>
        <v/>
      </c>
      <c r="AN393" s="25">
        <f>IF(LEFT(B393,4)&lt;&gt;"    ","",Q393-Y393)</f>
        <v/>
      </c>
      <c r="AO393" s="10" t="n"/>
      <c r="AP393" s="12" t="n"/>
      <c r="AQ393" s="12">
        <f>IF(LEFT(B393,4)&lt;&gt;"    ","",IF(W393-AP393&gt;=0,W393-AP393," "))</f>
        <v/>
      </c>
      <c r="AR393" s="12">
        <f>IF(LEFT(B393,4)&lt;&gt;"    ","",IF(AP393-W393&gt;=0,AP393-W393," "))</f>
        <v/>
      </c>
      <c r="AS393" s="186" t="n"/>
      <c r="AT393" s="187" t="n"/>
      <c r="AU393" s="186" t="n"/>
      <c r="AV393" s="186" t="n"/>
      <c r="AW393" s="188" t="n"/>
      <c r="AX393" s="187" t="n"/>
      <c r="AY393" s="187" t="n"/>
      <c r="AZ393" s="186" t="n"/>
      <c r="BA393" s="186" t="n"/>
      <c r="BB393" s="186" t="n"/>
      <c r="BC393" s="186" t="n"/>
      <c r="BD393" s="186" t="n"/>
      <c r="BE393" s="186" t="n"/>
      <c r="BF393" s="186" t="n"/>
      <c r="BG393" s="186" t="n"/>
      <c r="BH393" s="186" t="n"/>
      <c r="BI393" s="186" t="n"/>
      <c r="BJ393" s="186" t="n"/>
      <c r="BK393" s="186" t="n"/>
      <c r="BL393" s="186" t="n"/>
      <c r="BM393" s="186" t="n"/>
      <c r="BN393" s="186" t="n"/>
      <c r="BO393" s="186" t="n"/>
      <c r="BP393" s="186" t="n"/>
      <c r="BQ393" s="186" t="n"/>
      <c r="BR393" s="186" t="n"/>
      <c r="BS393" s="186" t="n"/>
      <c r="BT393" s="186" t="n"/>
      <c r="BU393" s="186" t="n"/>
      <c r="BV393" s="190" t="n"/>
      <c r="BW393" s="186" t="n"/>
      <c r="BX393" s="186" t="n"/>
      <c r="BY393" s="186" t="n"/>
      <c r="BZ393" s="186" t="n"/>
      <c r="CA393" s="186" t="n"/>
      <c r="CB393" s="187" t="n"/>
      <c r="CC393" s="192" t="n"/>
      <c r="CD393" s="192" t="n"/>
      <c r="CE393" s="192" t="n"/>
      <c r="CF393" s="192" t="n"/>
    </row>
    <row r="394">
      <c r="A394" s="197" t="n"/>
      <c r="B394" s="198" t="n"/>
      <c r="C394" s="198" t="n"/>
      <c r="D394" s="179" t="n"/>
      <c r="E394" s="180" t="n"/>
      <c r="F394" s="181" t="n"/>
      <c r="G394" s="284">
        <f>'Jobs-Ops'!G394</f>
        <v/>
      </c>
      <c r="H394" s="114">
        <f>'Jobs-Ops'!H394</f>
        <v/>
      </c>
      <c r="I394" s="105" t="n"/>
      <c r="J394" s="196">
        <f>F394</f>
        <v/>
      </c>
      <c r="K394" s="184" t="n"/>
      <c r="L394" s="185" t="n"/>
      <c r="M394" s="8" t="n"/>
      <c r="N394" s="71">
        <f>M394</f>
        <v/>
      </c>
      <c r="O394" s="71" t="n"/>
      <c r="P394" s="101" t="n"/>
      <c r="Q394" s="9">
        <f>J394-N394</f>
        <v/>
      </c>
      <c r="R394" s="9">
        <f>IF(LEFT(B394,4)&lt;&gt;"    ",0,BI394)</f>
        <v/>
      </c>
      <c r="S394" s="9">
        <f>+Q394-R394</f>
        <v/>
      </c>
      <c r="T394" s="200">
        <f>IF('Jobs-Ops'!S394&lt;&gt; "",'Jobs-Ops'!S394,"")</f>
        <v/>
      </c>
      <c r="U394" s="10" t="n"/>
      <c r="V394" s="23">
        <f>IF(LEFT(B394,4)&lt;&gt;"    ","",IF(N394&lt;&gt;0,X394/N394,0))</f>
        <v/>
      </c>
      <c r="W394" s="11">
        <f>IF(LEFT(B394,4)&lt;&gt;"    ","",IF(V394&gt;=0.1,V394*J394,X394))</f>
        <v/>
      </c>
      <c r="X394" s="8" t="n"/>
      <c r="Y394" s="9">
        <f>IF(LEFT(B394,4)&lt;&gt;"    ",0,IF(Q394&lt;0,Q394,IF(V394&gt;0.1,W394-X394,0)))</f>
        <v/>
      </c>
      <c r="Z394" s="9">
        <f>IF(LEFT(B394,4)&lt;&gt;"    ",0,IF(V394&gt;0.1,BI394,0))</f>
        <v/>
      </c>
      <c r="AA394" s="9">
        <f>Y394-Z394</f>
        <v/>
      </c>
      <c r="AB394" s="10" t="n"/>
      <c r="AC394" s="24" t="n"/>
      <c r="AD394" s="11" t="n"/>
      <c r="AE394" s="8" t="n"/>
      <c r="AF394" s="9">
        <f>IF(LEFT(B394,4)&lt;&gt;"    ","",AD394-AE394)</f>
        <v/>
      </c>
      <c r="AG394" s="10" t="n"/>
      <c r="AH394" s="11">
        <f>IF(LEFT(B394,4)&lt;&gt;"    ","",W394-AD394)</f>
        <v/>
      </c>
      <c r="AI394" s="8">
        <f>IF(LEFT(B394,4)&lt;&gt;"    ","",X394-AE394)</f>
        <v/>
      </c>
      <c r="AJ394" s="9">
        <f>IF(LEFT(B394,4)&lt;&gt;"    ","",Y394-AF394)</f>
        <v/>
      </c>
      <c r="AK394" s="10" t="n"/>
      <c r="AL394" s="25">
        <f>IF(LEFT(B394,4)&lt;&gt;"    ","",J394-W394)</f>
        <v/>
      </c>
      <c r="AM394" s="25">
        <f>N394-X394</f>
        <v/>
      </c>
      <c r="AN394" s="25">
        <f>IF(LEFT(B394,4)&lt;&gt;"    ","",Q394-Y394)</f>
        <v/>
      </c>
      <c r="AO394" s="10" t="n"/>
      <c r="AP394" s="12" t="n"/>
      <c r="AQ394" s="12">
        <f>IF(LEFT(B394,4)&lt;&gt;"    ","",IF(W394-AP394&gt;=0,W394-AP394," "))</f>
        <v/>
      </c>
      <c r="AR394" s="12">
        <f>IF(LEFT(B394,4)&lt;&gt;"    ","",IF(AP394-W394&gt;=0,AP394-W394," "))</f>
        <v/>
      </c>
      <c r="AS394" s="186" t="n"/>
      <c r="AT394" s="187" t="n"/>
      <c r="AU394" s="186" t="n"/>
      <c r="AV394" s="186" t="n"/>
      <c r="AW394" s="188" t="n"/>
      <c r="AX394" s="187" t="n"/>
      <c r="AY394" s="187" t="n"/>
      <c r="AZ394" s="186" t="n"/>
      <c r="BA394" s="186" t="n"/>
      <c r="BB394" s="186" t="n"/>
      <c r="BC394" s="186" t="n"/>
      <c r="BD394" s="186" t="n"/>
      <c r="BE394" s="186" t="n"/>
      <c r="BF394" s="186" t="n"/>
      <c r="BG394" s="186" t="n"/>
      <c r="BH394" s="186" t="n"/>
      <c r="BI394" s="186" t="n"/>
      <c r="BJ394" s="186" t="n"/>
      <c r="BK394" s="186" t="n"/>
      <c r="BL394" s="186" t="n"/>
      <c r="BM394" s="186" t="n"/>
      <c r="BN394" s="186" t="n"/>
      <c r="BO394" s="186" t="n"/>
      <c r="BP394" s="186" t="n"/>
      <c r="BQ394" s="186" t="n"/>
      <c r="BR394" s="186" t="n"/>
      <c r="BS394" s="186" t="n"/>
      <c r="BT394" s="186" t="n"/>
      <c r="BU394" s="186" t="n"/>
      <c r="BV394" s="190" t="n"/>
      <c r="BW394" s="186" t="n"/>
      <c r="BX394" s="186" t="n"/>
      <c r="BY394" s="186" t="n"/>
      <c r="BZ394" s="186" t="n"/>
      <c r="CA394" s="186" t="n"/>
      <c r="CB394" s="187" t="n"/>
      <c r="CC394" s="192" t="n"/>
      <c r="CD394" s="192" t="n"/>
      <c r="CE394" s="192" t="n"/>
      <c r="CF394" s="192" t="n"/>
    </row>
    <row r="395">
      <c r="A395" s="197" t="n"/>
      <c r="B395" s="198" t="n"/>
      <c r="C395" s="198" t="n"/>
      <c r="D395" s="179" t="n"/>
      <c r="E395" s="180" t="n"/>
      <c r="F395" s="181" t="n"/>
      <c r="G395" s="284">
        <f>'Jobs-Ops'!G395</f>
        <v/>
      </c>
      <c r="H395" s="114">
        <f>'Jobs-Ops'!H395</f>
        <v/>
      </c>
      <c r="I395" s="105" t="n"/>
      <c r="J395" s="196">
        <f>F395</f>
        <v/>
      </c>
      <c r="K395" s="184" t="n"/>
      <c r="L395" s="185" t="n"/>
      <c r="M395" s="8" t="n"/>
      <c r="N395" s="71">
        <f>M395</f>
        <v/>
      </c>
      <c r="O395" s="71" t="n"/>
      <c r="P395" s="101" t="n"/>
      <c r="Q395" s="9">
        <f>J395-N395</f>
        <v/>
      </c>
      <c r="R395" s="9">
        <f>IF(LEFT(B395,4)&lt;&gt;"    ",0,BI395)</f>
        <v/>
      </c>
      <c r="S395" s="9">
        <f>+Q395-R395</f>
        <v/>
      </c>
      <c r="T395" s="200">
        <f>IF('Jobs-Ops'!S395&lt;&gt; "",'Jobs-Ops'!S395,"")</f>
        <v/>
      </c>
      <c r="U395" s="10" t="n"/>
      <c r="V395" s="23">
        <f>IF(LEFT(B395,4)&lt;&gt;"    ","",IF(N395&lt;&gt;0,X395/N395,0))</f>
        <v/>
      </c>
      <c r="W395" s="11">
        <f>IF(LEFT(B395,4)&lt;&gt;"    ","",IF(V395&gt;=0.1,V395*J395,X395))</f>
        <v/>
      </c>
      <c r="X395" s="8" t="n"/>
      <c r="Y395" s="9">
        <f>IF(LEFT(B395,4)&lt;&gt;"    ",0,IF(Q395&lt;0,Q395,IF(V395&gt;0.1,W395-X395,0)))</f>
        <v/>
      </c>
      <c r="Z395" s="9">
        <f>IF(LEFT(B395,4)&lt;&gt;"    ",0,IF(V395&gt;0.1,BI395,0))</f>
        <v/>
      </c>
      <c r="AA395" s="9">
        <f>Y395-Z395</f>
        <v/>
      </c>
      <c r="AB395" s="10" t="n"/>
      <c r="AC395" s="24" t="n"/>
      <c r="AD395" s="11" t="n"/>
      <c r="AE395" s="8" t="n"/>
      <c r="AF395" s="9">
        <f>IF(LEFT(B395,4)&lt;&gt;"    ","",AD395-AE395)</f>
        <v/>
      </c>
      <c r="AG395" s="10" t="n"/>
      <c r="AH395" s="11">
        <f>IF(LEFT(B395,4)&lt;&gt;"    ","",W395-AD395)</f>
        <v/>
      </c>
      <c r="AI395" s="8">
        <f>IF(LEFT(B395,4)&lt;&gt;"    ","",X395-AE395)</f>
        <v/>
      </c>
      <c r="AJ395" s="9">
        <f>IF(LEFT(B395,4)&lt;&gt;"    ","",Y395-AF395)</f>
        <v/>
      </c>
      <c r="AK395" s="10" t="n"/>
      <c r="AL395" s="25">
        <f>IF(LEFT(B395,4)&lt;&gt;"    ","",J395-W395)</f>
        <v/>
      </c>
      <c r="AM395" s="25">
        <f>N395-X395</f>
        <v/>
      </c>
      <c r="AN395" s="25">
        <f>IF(LEFT(B395,4)&lt;&gt;"    ","",Q395-Y395)</f>
        <v/>
      </c>
      <c r="AO395" s="10" t="n"/>
      <c r="AP395" s="12" t="n"/>
      <c r="AQ395" s="12">
        <f>IF(LEFT(B395,4)&lt;&gt;"    ","",IF(W395-AP395&gt;=0,W395-AP395," "))</f>
        <v/>
      </c>
      <c r="AR395" s="12">
        <f>IF(LEFT(B395,4)&lt;&gt;"    ","",IF(AP395-W395&gt;=0,AP395-W395," "))</f>
        <v/>
      </c>
      <c r="AS395" s="186" t="n"/>
      <c r="AT395" s="187" t="n"/>
      <c r="AU395" s="186" t="n"/>
      <c r="AV395" s="186" t="n"/>
      <c r="AW395" s="188" t="n"/>
      <c r="AX395" s="187" t="n"/>
      <c r="AY395" s="187" t="n"/>
      <c r="AZ395" s="186" t="n"/>
      <c r="BA395" s="186" t="n"/>
      <c r="BB395" s="186" t="n"/>
      <c r="BC395" s="186" t="n"/>
      <c r="BD395" s="186" t="n"/>
      <c r="BE395" s="186" t="n"/>
      <c r="BF395" s="186" t="n"/>
      <c r="BG395" s="186" t="n"/>
      <c r="BH395" s="186" t="n"/>
      <c r="BI395" s="186" t="n"/>
      <c r="BJ395" s="186" t="n"/>
      <c r="BK395" s="186" t="n"/>
      <c r="BL395" s="186" t="n"/>
      <c r="BM395" s="186" t="n"/>
      <c r="BN395" s="186" t="n"/>
      <c r="BO395" s="186" t="n"/>
      <c r="BP395" s="186" t="n"/>
      <c r="BQ395" s="186" t="n"/>
      <c r="BR395" s="186" t="n"/>
      <c r="BS395" s="186" t="n"/>
      <c r="BT395" s="186" t="n"/>
      <c r="BU395" s="186" t="n"/>
      <c r="BV395" s="190" t="n"/>
      <c r="BW395" s="186" t="n"/>
      <c r="BX395" s="186" t="n"/>
      <c r="BY395" s="186" t="n"/>
      <c r="BZ395" s="186" t="n"/>
      <c r="CA395" s="186" t="n"/>
      <c r="CB395" s="187" t="n"/>
      <c r="CC395" s="192" t="n"/>
      <c r="CD395" s="192" t="n"/>
      <c r="CE395" s="192" t="n"/>
      <c r="CF395" s="192" t="n"/>
    </row>
    <row r="396">
      <c r="A396" s="197" t="n"/>
      <c r="B396" s="198" t="n"/>
      <c r="C396" s="198" t="n"/>
      <c r="D396" s="179" t="n"/>
      <c r="E396" s="180" t="n"/>
      <c r="F396" s="181" t="n"/>
      <c r="G396" s="284">
        <f>'Jobs-Ops'!G396</f>
        <v/>
      </c>
      <c r="H396" s="114">
        <f>'Jobs-Ops'!H396</f>
        <v/>
      </c>
      <c r="I396" s="105" t="n"/>
      <c r="J396" s="196">
        <f>F396</f>
        <v/>
      </c>
      <c r="K396" s="184" t="n"/>
      <c r="L396" s="185" t="n"/>
      <c r="M396" s="8" t="n"/>
      <c r="N396" s="71">
        <f>M396</f>
        <v/>
      </c>
      <c r="O396" s="71" t="n"/>
      <c r="P396" s="101" t="n"/>
      <c r="Q396" s="9">
        <f>J396-N396</f>
        <v/>
      </c>
      <c r="R396" s="9">
        <f>IF(LEFT(B396,4)&lt;&gt;"    ",0,BI396)</f>
        <v/>
      </c>
      <c r="S396" s="9">
        <f>+Q396-R396</f>
        <v/>
      </c>
      <c r="T396" s="200">
        <f>IF('Jobs-Ops'!S396&lt;&gt; "",'Jobs-Ops'!S396,"")</f>
        <v/>
      </c>
      <c r="U396" s="10" t="n"/>
      <c r="V396" s="23">
        <f>IF(LEFT(B396,4)&lt;&gt;"    ","",IF(N396&lt;&gt;0,X396/N396,0))</f>
        <v/>
      </c>
      <c r="W396" s="11">
        <f>IF(LEFT(B396,4)&lt;&gt;"    ","",IF(V396&gt;=0.1,V396*J396,X396))</f>
        <v/>
      </c>
      <c r="X396" s="8" t="n"/>
      <c r="Y396" s="9">
        <f>IF(LEFT(B396,4)&lt;&gt;"    ",0,IF(Q396&lt;0,Q396,IF(V396&gt;0.1,W396-X396,0)))</f>
        <v/>
      </c>
      <c r="Z396" s="9">
        <f>IF(LEFT(B396,4)&lt;&gt;"    ",0,IF(V396&gt;0.1,BI396,0))</f>
        <v/>
      </c>
      <c r="AA396" s="9">
        <f>Y396-Z396</f>
        <v/>
      </c>
      <c r="AB396" s="10" t="n"/>
      <c r="AC396" s="24" t="n"/>
      <c r="AD396" s="11" t="n"/>
      <c r="AE396" s="8" t="n"/>
      <c r="AF396" s="9">
        <f>IF(LEFT(B396,4)&lt;&gt;"    ","",AD396-AE396)</f>
        <v/>
      </c>
      <c r="AG396" s="10" t="n"/>
      <c r="AH396" s="11">
        <f>IF(LEFT(B396,4)&lt;&gt;"    ","",W396-AD396)</f>
        <v/>
      </c>
      <c r="AI396" s="8">
        <f>IF(LEFT(B396,4)&lt;&gt;"    ","",X396-AE396)</f>
        <v/>
      </c>
      <c r="AJ396" s="9">
        <f>IF(LEFT(B396,4)&lt;&gt;"    ","",Y396-AF396)</f>
        <v/>
      </c>
      <c r="AK396" s="10" t="n"/>
      <c r="AL396" s="25">
        <f>IF(LEFT(B396,4)&lt;&gt;"    ","",J396-W396)</f>
        <v/>
      </c>
      <c r="AM396" s="25">
        <f>N396-X396</f>
        <v/>
      </c>
      <c r="AN396" s="25">
        <f>IF(LEFT(B396,4)&lt;&gt;"    ","",Q396-Y396)</f>
        <v/>
      </c>
      <c r="AO396" s="10" t="n"/>
      <c r="AP396" s="12" t="n"/>
      <c r="AQ396" s="12">
        <f>IF(LEFT(B396,4)&lt;&gt;"    ","",IF(W396-AP396&gt;=0,W396-AP396," "))</f>
        <v/>
      </c>
      <c r="AR396" s="12">
        <f>IF(LEFT(B396,4)&lt;&gt;"    ","",IF(AP396-W396&gt;=0,AP396-W396," "))</f>
        <v/>
      </c>
      <c r="AS396" s="186" t="n"/>
      <c r="AT396" s="187" t="n"/>
      <c r="AU396" s="186" t="n"/>
      <c r="AV396" s="186" t="n"/>
      <c r="AW396" s="188" t="n"/>
      <c r="AX396" s="187" t="n"/>
      <c r="AY396" s="187" t="n"/>
      <c r="AZ396" s="186" t="n"/>
      <c r="BA396" s="186" t="n"/>
      <c r="BB396" s="186" t="n"/>
      <c r="BC396" s="186" t="n"/>
      <c r="BD396" s="186" t="n"/>
      <c r="BE396" s="186" t="n"/>
      <c r="BF396" s="186" t="n"/>
      <c r="BG396" s="186" t="n"/>
      <c r="BH396" s="186" t="n"/>
      <c r="BI396" s="186" t="n"/>
      <c r="BJ396" s="186" t="n"/>
      <c r="BK396" s="186" t="n"/>
      <c r="BL396" s="186" t="n"/>
      <c r="BM396" s="186" t="n"/>
      <c r="BN396" s="186" t="n"/>
      <c r="BO396" s="186" t="n"/>
      <c r="BP396" s="186" t="n"/>
      <c r="BQ396" s="186" t="n"/>
      <c r="BR396" s="186" t="n"/>
      <c r="BS396" s="186" t="n"/>
      <c r="BT396" s="186" t="n"/>
      <c r="BU396" s="186" t="n"/>
      <c r="BV396" s="190" t="n"/>
      <c r="BW396" s="186" t="n"/>
      <c r="BX396" s="186" t="n"/>
      <c r="BY396" s="186" t="n"/>
      <c r="BZ396" s="186" t="n"/>
      <c r="CA396" s="186" t="n"/>
      <c r="CB396" s="187" t="n"/>
      <c r="CC396" s="192" t="n"/>
      <c r="CD396" s="192" t="n"/>
      <c r="CE396" s="192" t="n"/>
      <c r="CF396" s="192" t="n"/>
    </row>
    <row r="397">
      <c r="A397" s="197" t="n"/>
      <c r="B397" s="198" t="n"/>
      <c r="C397" s="198" t="n"/>
      <c r="D397" s="179" t="n"/>
      <c r="E397" s="180" t="n"/>
      <c r="F397" s="181" t="n"/>
      <c r="G397" s="284">
        <f>'Jobs-Ops'!G397</f>
        <v/>
      </c>
      <c r="H397" s="114">
        <f>'Jobs-Ops'!H397</f>
        <v/>
      </c>
      <c r="I397" s="105" t="n"/>
      <c r="J397" s="196">
        <f>F397</f>
        <v/>
      </c>
      <c r="K397" s="184" t="n"/>
      <c r="L397" s="185" t="n"/>
      <c r="M397" s="8" t="n"/>
      <c r="N397" s="71">
        <f>M397</f>
        <v/>
      </c>
      <c r="O397" s="71" t="n"/>
      <c r="P397" s="101" t="n"/>
      <c r="Q397" s="9">
        <f>J397-N397</f>
        <v/>
      </c>
      <c r="R397" s="9">
        <f>IF(LEFT(B397,4)&lt;&gt;"    ",0,BI397)</f>
        <v/>
      </c>
      <c r="S397" s="9">
        <f>+Q397-R397</f>
        <v/>
      </c>
      <c r="T397" s="200">
        <f>IF('Jobs-Ops'!S397&lt;&gt; "",'Jobs-Ops'!S397,"")</f>
        <v/>
      </c>
      <c r="U397" s="10" t="n"/>
      <c r="V397" s="23">
        <f>IF(LEFT(B397,4)&lt;&gt;"    ","",IF(N397&lt;&gt;0,X397/N397,0))</f>
        <v/>
      </c>
      <c r="W397" s="11">
        <f>IF(LEFT(B397,4)&lt;&gt;"    ","",IF(V397&gt;=0.1,V397*J397,X397))</f>
        <v/>
      </c>
      <c r="X397" s="8" t="n"/>
      <c r="Y397" s="9">
        <f>IF(LEFT(B397,4)&lt;&gt;"    ",0,IF(Q397&lt;0,Q397,IF(V397&gt;0.1,W397-X397,0)))</f>
        <v/>
      </c>
      <c r="Z397" s="9">
        <f>IF(LEFT(B397,4)&lt;&gt;"    ",0,IF(V397&gt;0.1,BI397,0))</f>
        <v/>
      </c>
      <c r="AA397" s="9">
        <f>Y397-Z397</f>
        <v/>
      </c>
      <c r="AB397" s="10" t="n"/>
      <c r="AC397" s="24" t="n"/>
      <c r="AD397" s="11" t="n"/>
      <c r="AE397" s="8" t="n"/>
      <c r="AF397" s="9">
        <f>IF(LEFT(B397,4)&lt;&gt;"    ","",AD397-AE397)</f>
        <v/>
      </c>
      <c r="AG397" s="10" t="n"/>
      <c r="AH397" s="11">
        <f>IF(LEFT(B397,4)&lt;&gt;"    ","",W397-AD397)</f>
        <v/>
      </c>
      <c r="AI397" s="8">
        <f>IF(LEFT(B397,4)&lt;&gt;"    ","",X397-AE397)</f>
        <v/>
      </c>
      <c r="AJ397" s="9">
        <f>IF(LEFT(B397,4)&lt;&gt;"    ","",Y397-AF397)</f>
        <v/>
      </c>
      <c r="AK397" s="10" t="n"/>
      <c r="AL397" s="25">
        <f>IF(LEFT(B397,4)&lt;&gt;"    ","",J397-W397)</f>
        <v/>
      </c>
      <c r="AM397" s="25">
        <f>N397-X397</f>
        <v/>
      </c>
      <c r="AN397" s="25">
        <f>IF(LEFT(B397,4)&lt;&gt;"    ","",Q397-Y397)</f>
        <v/>
      </c>
      <c r="AO397" s="10" t="n"/>
      <c r="AP397" s="12" t="n"/>
      <c r="AQ397" s="12">
        <f>IF(LEFT(B397,4)&lt;&gt;"    ","",IF(W397-AP397&gt;=0,W397-AP397," "))</f>
        <v/>
      </c>
      <c r="AR397" s="12">
        <f>IF(LEFT(B397,4)&lt;&gt;"    ","",IF(AP397-W397&gt;=0,AP397-W397," "))</f>
        <v/>
      </c>
      <c r="AS397" s="186" t="n"/>
      <c r="AT397" s="187" t="n"/>
      <c r="AU397" s="186" t="n"/>
      <c r="AV397" s="186" t="n"/>
      <c r="AW397" s="188" t="n"/>
      <c r="AX397" s="187" t="n"/>
      <c r="AY397" s="187" t="n"/>
      <c r="AZ397" s="186" t="n"/>
      <c r="BA397" s="186" t="n"/>
      <c r="BB397" s="186" t="n"/>
      <c r="BC397" s="186" t="n"/>
      <c r="BD397" s="186" t="n"/>
      <c r="BE397" s="186" t="n"/>
      <c r="BF397" s="186" t="n"/>
      <c r="BG397" s="186" t="n"/>
      <c r="BH397" s="186" t="n"/>
      <c r="BI397" s="186" t="n"/>
      <c r="BJ397" s="186" t="n"/>
      <c r="BK397" s="186" t="n"/>
      <c r="BL397" s="186" t="n"/>
      <c r="BM397" s="186" t="n"/>
      <c r="BN397" s="186" t="n"/>
      <c r="BO397" s="186" t="n"/>
      <c r="BP397" s="186" t="n"/>
      <c r="BQ397" s="186" t="n"/>
      <c r="BR397" s="186" t="n"/>
      <c r="BS397" s="186" t="n"/>
      <c r="BT397" s="186" t="n"/>
      <c r="BU397" s="186" t="n"/>
      <c r="BV397" s="190" t="n"/>
      <c r="BW397" s="186" t="n"/>
      <c r="BX397" s="186" t="n"/>
      <c r="BY397" s="186" t="n"/>
      <c r="BZ397" s="186" t="n"/>
      <c r="CA397" s="186" t="n"/>
      <c r="CB397" s="187" t="n"/>
      <c r="CC397" s="192" t="n"/>
      <c r="CD397" s="192" t="n"/>
      <c r="CE397" s="192" t="n"/>
      <c r="CF397" s="192" t="n"/>
    </row>
    <row r="398">
      <c r="A398" s="197" t="n"/>
      <c r="B398" s="198" t="n"/>
      <c r="C398" s="198" t="n"/>
      <c r="D398" s="179" t="n"/>
      <c r="E398" s="180" t="n"/>
      <c r="F398" s="181" t="n"/>
      <c r="G398" s="284">
        <f>'Jobs-Ops'!G398</f>
        <v/>
      </c>
      <c r="H398" s="114">
        <f>'Jobs-Ops'!H398</f>
        <v/>
      </c>
      <c r="I398" s="105" t="n"/>
      <c r="J398" s="196">
        <f>F398</f>
        <v/>
      </c>
      <c r="K398" s="184" t="n"/>
      <c r="L398" s="185" t="n"/>
      <c r="M398" s="8" t="n"/>
      <c r="N398" s="71">
        <f>M398</f>
        <v/>
      </c>
      <c r="O398" s="71" t="n"/>
      <c r="P398" s="101" t="n"/>
      <c r="Q398" s="9">
        <f>J398-N398</f>
        <v/>
      </c>
      <c r="R398" s="9">
        <f>IF(LEFT(B398,4)&lt;&gt;"    ",0,BI398)</f>
        <v/>
      </c>
      <c r="S398" s="9">
        <f>+Q398-R398</f>
        <v/>
      </c>
      <c r="T398" s="200">
        <f>IF('Jobs-Ops'!S398&lt;&gt; "",'Jobs-Ops'!S398,"")</f>
        <v/>
      </c>
      <c r="U398" s="10" t="n"/>
      <c r="V398" s="23">
        <f>IF(LEFT(B398,4)&lt;&gt;"    ","",IF(N398&lt;&gt;0,X398/N398,0))</f>
        <v/>
      </c>
      <c r="W398" s="11">
        <f>IF(LEFT(B398,4)&lt;&gt;"    ","",IF(V398&gt;=0.1,V398*J398,X398))</f>
        <v/>
      </c>
      <c r="X398" s="8" t="n"/>
      <c r="Y398" s="9">
        <f>IF(LEFT(B398,4)&lt;&gt;"    ",0,IF(Q398&lt;0,Q398,IF(V398&gt;0.1,W398-X398,0)))</f>
        <v/>
      </c>
      <c r="Z398" s="9">
        <f>IF(LEFT(B398,4)&lt;&gt;"    ",0,IF(V398&gt;0.1,BI398,0))</f>
        <v/>
      </c>
      <c r="AA398" s="9">
        <f>Y398-Z398</f>
        <v/>
      </c>
      <c r="AB398" s="10" t="n"/>
      <c r="AC398" s="24" t="n"/>
      <c r="AD398" s="11" t="n"/>
      <c r="AE398" s="8" t="n"/>
      <c r="AF398" s="9">
        <f>IF(LEFT(B398,4)&lt;&gt;"    ","",AD398-AE398)</f>
        <v/>
      </c>
      <c r="AG398" s="10" t="n"/>
      <c r="AH398" s="11">
        <f>IF(LEFT(B398,4)&lt;&gt;"    ","",W398-AD398)</f>
        <v/>
      </c>
      <c r="AI398" s="8">
        <f>IF(LEFT(B398,4)&lt;&gt;"    ","",X398-AE398)</f>
        <v/>
      </c>
      <c r="AJ398" s="9">
        <f>IF(LEFT(B398,4)&lt;&gt;"    ","",Y398-AF398)</f>
        <v/>
      </c>
      <c r="AK398" s="10" t="n"/>
      <c r="AL398" s="25">
        <f>IF(LEFT(B398,4)&lt;&gt;"    ","",J398-W398)</f>
        <v/>
      </c>
      <c r="AM398" s="25">
        <f>N398-X398</f>
        <v/>
      </c>
      <c r="AN398" s="25">
        <f>IF(LEFT(B398,4)&lt;&gt;"    ","",Q398-Y398)</f>
        <v/>
      </c>
      <c r="AO398" s="10" t="n"/>
      <c r="AP398" s="12" t="n"/>
      <c r="AQ398" s="12">
        <f>IF(LEFT(B398,4)&lt;&gt;"    ","",IF(W398-AP398&gt;=0,W398-AP398," "))</f>
        <v/>
      </c>
      <c r="AR398" s="12">
        <f>IF(LEFT(B398,4)&lt;&gt;"    ","",IF(AP398-W398&gt;=0,AP398-W398," "))</f>
        <v/>
      </c>
      <c r="AS398" s="186" t="n"/>
      <c r="AT398" s="187" t="n"/>
      <c r="AU398" s="186" t="n"/>
      <c r="AV398" s="186" t="n"/>
      <c r="AW398" s="188" t="n"/>
      <c r="AX398" s="187" t="n"/>
      <c r="AY398" s="187" t="n"/>
      <c r="AZ398" s="186" t="n"/>
      <c r="BA398" s="186" t="n"/>
      <c r="BB398" s="186" t="n"/>
      <c r="BC398" s="186" t="n"/>
      <c r="BD398" s="186" t="n"/>
      <c r="BE398" s="186" t="n"/>
      <c r="BF398" s="186" t="n"/>
      <c r="BG398" s="186" t="n"/>
      <c r="BH398" s="186" t="n"/>
      <c r="BI398" s="186" t="n"/>
      <c r="BJ398" s="186" t="n"/>
      <c r="BK398" s="186" t="n"/>
      <c r="BL398" s="186" t="n"/>
      <c r="BM398" s="186" t="n"/>
      <c r="BN398" s="186" t="n"/>
      <c r="BO398" s="186" t="n"/>
      <c r="BP398" s="186" t="n"/>
      <c r="BQ398" s="186" t="n"/>
      <c r="BR398" s="186" t="n"/>
      <c r="BS398" s="186" t="n"/>
      <c r="BT398" s="186" t="n"/>
      <c r="BU398" s="186" t="n"/>
      <c r="BV398" s="190" t="n"/>
      <c r="BW398" s="186" t="n"/>
      <c r="BX398" s="186" t="n"/>
      <c r="BY398" s="186" t="n"/>
      <c r="BZ398" s="186" t="n"/>
      <c r="CA398" s="186" t="n"/>
      <c r="CB398" s="187" t="n"/>
      <c r="CC398" s="192" t="n"/>
      <c r="CD398" s="192" t="n"/>
      <c r="CE398" s="192" t="n"/>
      <c r="CF398" s="192" t="n"/>
    </row>
    <row r="399">
      <c r="A399" s="197" t="n"/>
      <c r="B399" s="198" t="n"/>
      <c r="C399" s="198" t="n"/>
      <c r="D399" s="179" t="n"/>
      <c r="E399" s="180" t="n"/>
      <c r="F399" s="181" t="n"/>
      <c r="G399" s="284">
        <f>'Jobs-Ops'!G399</f>
        <v/>
      </c>
      <c r="H399" s="114">
        <f>'Jobs-Ops'!H399</f>
        <v/>
      </c>
      <c r="I399" s="105" t="n"/>
      <c r="J399" s="196">
        <f>F399</f>
        <v/>
      </c>
      <c r="K399" s="184" t="n"/>
      <c r="L399" s="185" t="n"/>
      <c r="M399" s="8" t="n"/>
      <c r="N399" s="184">
        <f>M399</f>
        <v/>
      </c>
      <c r="O399" s="184" t="n"/>
      <c r="P399" s="185" t="n"/>
      <c r="Q399" s="9">
        <f>J399-N399</f>
        <v/>
      </c>
      <c r="R399" s="9">
        <f>IF(LEFT(B399,4)&lt;&gt;"    ",0,BI399)</f>
        <v/>
      </c>
      <c r="S399" s="9">
        <f>+Q399-R399</f>
        <v/>
      </c>
      <c r="T399" s="200">
        <f>IF('Jobs-Ops'!S399&lt;&gt; "",'Jobs-Ops'!S399,"")</f>
        <v/>
      </c>
      <c r="U399" s="10" t="n"/>
      <c r="V399" s="23">
        <f>IF(LEFT(B399,4)&lt;&gt;"    ","",IF(N399&lt;&gt;0,X399/N399,0))</f>
        <v/>
      </c>
      <c r="W399" s="11">
        <f>IF(LEFT(B399,4)&lt;&gt;"    ","",IF(V399&gt;=0.1,V399*J399,X399))</f>
        <v/>
      </c>
      <c r="X399" s="8" t="n"/>
      <c r="Y399" s="9">
        <f>IF(LEFT(B399,4)&lt;&gt;"    ",0,IF(Q399&lt;0,Q399,IF(V399&gt;0.1,W399-X399,0)))</f>
        <v/>
      </c>
      <c r="Z399" s="9">
        <f>IF(LEFT(B399,4)&lt;&gt;"    ",0,IF(V399&gt;0.1,BI399,0))</f>
        <v/>
      </c>
      <c r="AA399" s="9">
        <f>Y399-Z399</f>
        <v/>
      </c>
      <c r="AB399" s="10" t="n"/>
      <c r="AC399" s="24" t="n"/>
      <c r="AD399" s="11" t="n"/>
      <c r="AE399" s="8" t="n"/>
      <c r="AF399" s="9">
        <f>IF(LEFT(B399,4)&lt;&gt;"    ","",AD399-AE399)</f>
        <v/>
      </c>
      <c r="AG399" s="10" t="n"/>
      <c r="AH399" s="11">
        <f>IF(LEFT(B399,4)&lt;&gt;"    ","",W399-AD399)</f>
        <v/>
      </c>
      <c r="AI399" s="8">
        <f>IF(LEFT(B399,4)&lt;&gt;"    ","",X399-AE399)</f>
        <v/>
      </c>
      <c r="AJ399" s="9">
        <f>IF(LEFT(B399,4)&lt;&gt;"    ","",Y399-AF399)</f>
        <v/>
      </c>
      <c r="AK399" s="10" t="n"/>
      <c r="AL399" s="25">
        <f>IF(LEFT(B399,4)&lt;&gt;"    ","",J399-W399)</f>
        <v/>
      </c>
      <c r="AM399" s="25">
        <f>N399-X399</f>
        <v/>
      </c>
      <c r="AN399" s="25">
        <f>IF(LEFT(B399,4)&lt;&gt;"    ","",Q399-Y399)</f>
        <v/>
      </c>
      <c r="AO399" s="10" t="n"/>
      <c r="AP399" s="12" t="n"/>
      <c r="AQ399" s="12">
        <f>IF(LEFT(B399,4)&lt;&gt;"    ","",IF(W399-AP399&gt;=0,W399-AP399," "))</f>
        <v/>
      </c>
      <c r="AR399" s="12">
        <f>IF(LEFT(B399,4)&lt;&gt;"    ","",IF(AP399-W399&gt;=0,AP399-W399," "))</f>
        <v/>
      </c>
      <c r="AS399" s="186" t="n"/>
      <c r="AT399" s="187" t="n"/>
      <c r="AU399" s="186" t="n"/>
      <c r="AV399" s="186" t="n"/>
      <c r="AW399" s="188" t="n"/>
      <c r="AX399" s="187" t="n"/>
      <c r="AY399" s="187" t="n"/>
      <c r="AZ399" s="186" t="n"/>
      <c r="BA399" s="186" t="n"/>
      <c r="BB399" s="186" t="n"/>
      <c r="BC399" s="186" t="n"/>
      <c r="BD399" s="186" t="n"/>
      <c r="BE399" s="186" t="n"/>
      <c r="BF399" s="186" t="n"/>
      <c r="BG399" s="186" t="n"/>
      <c r="BH399" s="186" t="n"/>
      <c r="BI399" s="186" t="n"/>
      <c r="BJ399" s="186" t="n"/>
      <c r="BK399" s="186" t="n"/>
      <c r="BL399" s="186" t="n"/>
      <c r="BM399" s="186" t="n"/>
      <c r="BN399" s="186" t="n"/>
      <c r="BO399" s="186" t="n"/>
      <c r="BP399" s="186" t="n"/>
      <c r="BQ399" s="186" t="n"/>
      <c r="BR399" s="186" t="n"/>
      <c r="BS399" s="186" t="n"/>
      <c r="BT399" s="186" t="n"/>
      <c r="BU399" s="186" t="n"/>
      <c r="BV399" s="190" t="n"/>
      <c r="BW399" s="186" t="n"/>
      <c r="BX399" s="186" t="n"/>
      <c r="BY399" s="186" t="n"/>
      <c r="BZ399" s="186" t="n"/>
      <c r="CA399" s="186" t="n"/>
      <c r="CB399" s="187" t="n"/>
      <c r="CC399" s="192" t="n"/>
      <c r="CD399" s="192" t="n"/>
      <c r="CE399" s="192" t="n"/>
      <c r="CF399" s="192" t="n"/>
    </row>
    <row r="400">
      <c r="A400" s="197" t="n"/>
      <c r="B400" s="198" t="n"/>
      <c r="C400" s="198" t="n"/>
      <c r="D400" s="179" t="n"/>
      <c r="E400" s="180" t="n"/>
      <c r="F400" s="181" t="n"/>
      <c r="G400" s="284">
        <f>'Jobs-Ops'!G400</f>
        <v/>
      </c>
      <c r="H400" s="114">
        <f>'Jobs-Ops'!H400</f>
        <v/>
      </c>
      <c r="I400" s="105" t="n"/>
      <c r="J400" s="196">
        <f>F400</f>
        <v/>
      </c>
      <c r="K400" s="184" t="n"/>
      <c r="L400" s="185" t="n"/>
      <c r="M400" s="8" t="n"/>
      <c r="N400" s="71">
        <f>M400</f>
        <v/>
      </c>
      <c r="O400" s="71" t="n"/>
      <c r="P400" s="101" t="n"/>
      <c r="Q400" s="9">
        <f>J400-N400</f>
        <v/>
      </c>
      <c r="R400" s="9">
        <f>IF(LEFT(B400,4)&lt;&gt;"    ",0,BI400)</f>
        <v/>
      </c>
      <c r="S400" s="9">
        <f>+Q400-R400</f>
        <v/>
      </c>
      <c r="T400" s="200">
        <f>IF('Jobs-Ops'!S400&lt;&gt; "",'Jobs-Ops'!S400,"")</f>
        <v/>
      </c>
      <c r="U400" s="10" t="n"/>
      <c r="V400" s="23">
        <f>IF(LEFT(B400,4)&lt;&gt;"    ","",IF(N400&lt;&gt;0,X400/N400,0))</f>
        <v/>
      </c>
      <c r="W400" s="11">
        <f>IF(LEFT(B400,4)&lt;&gt;"    ","",IF(V400&gt;=0.1,V400*J400,X400))</f>
        <v/>
      </c>
      <c r="X400" s="8" t="n"/>
      <c r="Y400" s="9">
        <f>IF(LEFT(B400,4)&lt;&gt;"    ",0,IF(Q400&lt;0,Q400,IF(V400&gt;0.1,W400-X400,0)))</f>
        <v/>
      </c>
      <c r="Z400" s="9">
        <f>IF(LEFT(B400,4)&lt;&gt;"    ",0,IF(V400&gt;0.1,BI400,0))</f>
        <v/>
      </c>
      <c r="AA400" s="9">
        <f>Y400-Z400</f>
        <v/>
      </c>
      <c r="AB400" s="10" t="n"/>
      <c r="AC400" s="24" t="n"/>
      <c r="AD400" s="11" t="n"/>
      <c r="AE400" s="8" t="n"/>
      <c r="AF400" s="9">
        <f>IF(LEFT(B400,4)&lt;&gt;"    ","",AD400-AE400)</f>
        <v/>
      </c>
      <c r="AG400" s="10" t="n"/>
      <c r="AH400" s="11">
        <f>IF(LEFT(B400,4)&lt;&gt;"    ","",W400-AD400)</f>
        <v/>
      </c>
      <c r="AI400" s="8">
        <f>IF(LEFT(B400,4)&lt;&gt;"    ","",X400-AE400)</f>
        <v/>
      </c>
      <c r="AJ400" s="9">
        <f>IF(LEFT(B400,4)&lt;&gt;"    ","",Y400-AF400)</f>
        <v/>
      </c>
      <c r="AK400" s="10" t="n"/>
      <c r="AL400" s="25">
        <f>IF(LEFT(B400,4)&lt;&gt;"    ","",J400-W400)</f>
        <v/>
      </c>
      <c r="AM400" s="25">
        <f>N400-X400</f>
        <v/>
      </c>
      <c r="AN400" s="25">
        <f>IF(LEFT(B400,4)&lt;&gt;"    ","",Q400-Y400)</f>
        <v/>
      </c>
      <c r="AO400" s="10" t="n"/>
      <c r="AP400" s="12" t="n"/>
      <c r="AQ400" s="12">
        <f>IF(LEFT(B400,4)&lt;&gt;"    ","",IF(W400-AP400&gt;=0,W400-AP400," "))</f>
        <v/>
      </c>
      <c r="AR400" s="12">
        <f>IF(LEFT(B400,4)&lt;&gt;"    ","",IF(AP400-W400&gt;=0,AP400-W400," "))</f>
        <v/>
      </c>
      <c r="AS400" s="186" t="n"/>
      <c r="AT400" s="187" t="n"/>
      <c r="AU400" s="186" t="n"/>
      <c r="AV400" s="186" t="n"/>
      <c r="AW400" s="188" t="n"/>
      <c r="AX400" s="187" t="n"/>
      <c r="AY400" s="187" t="n"/>
      <c r="AZ400" s="186" t="n"/>
      <c r="BA400" s="186" t="n"/>
      <c r="BB400" s="186" t="n"/>
      <c r="BC400" s="186" t="n"/>
      <c r="BD400" s="186" t="n"/>
      <c r="BE400" s="186" t="n"/>
      <c r="BF400" s="186" t="n"/>
      <c r="BG400" s="186" t="n"/>
      <c r="BH400" s="186" t="n"/>
      <c r="BI400" s="186" t="n"/>
      <c r="BJ400" s="186" t="n"/>
      <c r="BK400" s="186" t="n"/>
      <c r="BL400" s="186" t="n"/>
      <c r="BM400" s="186" t="n"/>
      <c r="BN400" s="186" t="n"/>
      <c r="BO400" s="186" t="n"/>
      <c r="BP400" s="186" t="n"/>
      <c r="BQ400" s="186" t="n"/>
      <c r="BR400" s="186" t="n"/>
      <c r="BS400" s="186" t="n"/>
      <c r="BT400" s="186" t="n"/>
      <c r="BU400" s="186" t="n"/>
      <c r="BV400" s="190" t="n"/>
      <c r="BW400" s="186" t="n"/>
      <c r="BX400" s="186" t="n"/>
      <c r="BY400" s="186" t="n"/>
      <c r="BZ400" s="186" t="n"/>
      <c r="CA400" s="186" t="n"/>
      <c r="CB400" s="187" t="n"/>
      <c r="CC400" s="192" t="n"/>
      <c r="CD400" s="192" t="n"/>
      <c r="CE400" s="192" t="n"/>
      <c r="CF400" s="192" t="n"/>
    </row>
    <row r="401">
      <c r="A401" s="197" t="n"/>
      <c r="B401" s="198" t="n"/>
      <c r="C401" s="198" t="n"/>
      <c r="D401" s="179" t="n"/>
      <c r="E401" s="180" t="n"/>
      <c r="F401" s="181" t="n"/>
      <c r="G401" s="284">
        <f>'Jobs-Ops'!G401</f>
        <v/>
      </c>
      <c r="H401" s="114">
        <f>'Jobs-Ops'!H401</f>
        <v/>
      </c>
      <c r="I401" s="105" t="n"/>
      <c r="J401" s="196">
        <f>F401</f>
        <v/>
      </c>
      <c r="K401" s="184" t="n"/>
      <c r="L401" s="185" t="n"/>
      <c r="M401" s="8" t="n"/>
      <c r="N401" s="71">
        <f>M401</f>
        <v/>
      </c>
      <c r="O401" s="71" t="n"/>
      <c r="P401" s="101" t="n"/>
      <c r="Q401" s="9">
        <f>J401-N401</f>
        <v/>
      </c>
      <c r="R401" s="9">
        <f>IF(LEFT(B401,4)&lt;&gt;"    ",0,BI401)</f>
        <v/>
      </c>
      <c r="S401" s="9">
        <f>+Q401-R401</f>
        <v/>
      </c>
      <c r="T401" s="200">
        <f>IF('Jobs-Ops'!S401&lt;&gt; "",'Jobs-Ops'!S401,"")</f>
        <v/>
      </c>
      <c r="U401" s="10" t="n"/>
      <c r="V401" s="23">
        <f>IF(LEFT(B401,4)&lt;&gt;"    ","",IF(N401&lt;&gt;0,X401/N401,0))</f>
        <v/>
      </c>
      <c r="W401" s="11">
        <f>IF(LEFT(B401,4)&lt;&gt;"    ","",IF(V401&gt;=0.1,V401*J401,X401))</f>
        <v/>
      </c>
      <c r="X401" s="8" t="n"/>
      <c r="Y401" s="9">
        <f>IF(LEFT(B401,4)&lt;&gt;"    ",0,IF(Q401&lt;0,Q401,IF(V401&gt;0.1,W401-X401,0)))</f>
        <v/>
      </c>
      <c r="Z401" s="9">
        <f>IF(LEFT(B401,4)&lt;&gt;"    ",0,IF(V401&gt;0.1,BI401,0))</f>
        <v/>
      </c>
      <c r="AA401" s="9">
        <f>Y401-Z401</f>
        <v/>
      </c>
      <c r="AB401" s="10" t="n"/>
      <c r="AC401" s="24" t="n"/>
      <c r="AD401" s="11" t="n"/>
      <c r="AE401" s="8" t="n"/>
      <c r="AF401" s="9">
        <f>IF(LEFT(B401,4)&lt;&gt;"    ","",AD401-AE401)</f>
        <v/>
      </c>
      <c r="AG401" s="10" t="n"/>
      <c r="AH401" s="11">
        <f>IF(LEFT(B401,4)&lt;&gt;"    ","",W401-AD401)</f>
        <v/>
      </c>
      <c r="AI401" s="8">
        <f>IF(LEFT(B401,4)&lt;&gt;"    ","",X401-AE401)</f>
        <v/>
      </c>
      <c r="AJ401" s="9">
        <f>IF(LEFT(B401,4)&lt;&gt;"    ","",Y401-AF401)</f>
        <v/>
      </c>
      <c r="AK401" s="10" t="n"/>
      <c r="AL401" s="25">
        <f>IF(LEFT(B401,4)&lt;&gt;"    ","",J401-W401)</f>
        <v/>
      </c>
      <c r="AM401" s="25">
        <f>N401-X401</f>
        <v/>
      </c>
      <c r="AN401" s="25">
        <f>IF(LEFT(B401,4)&lt;&gt;"    ","",Q401-Y401)</f>
        <v/>
      </c>
      <c r="AO401" s="10" t="n"/>
      <c r="AP401" s="12" t="n"/>
      <c r="AQ401" s="12">
        <f>IF(LEFT(B401,4)&lt;&gt;"    ","",IF(W401-AP401&gt;=0,W401-AP401," "))</f>
        <v/>
      </c>
      <c r="AR401" s="12">
        <f>IF(LEFT(B401,4)&lt;&gt;"    ","",IF(AP401-W401&gt;=0,AP401-W401," "))</f>
        <v/>
      </c>
      <c r="AS401" s="186" t="n"/>
      <c r="AT401" s="187" t="n"/>
      <c r="AU401" s="186" t="n"/>
      <c r="AV401" s="186" t="n"/>
      <c r="AW401" s="188" t="n"/>
      <c r="AX401" s="187" t="n"/>
      <c r="AY401" s="187" t="n"/>
      <c r="AZ401" s="186" t="n"/>
      <c r="BA401" s="186" t="n"/>
      <c r="BB401" s="186" t="n"/>
      <c r="BC401" s="186" t="n"/>
      <c r="BD401" s="186" t="n"/>
      <c r="BE401" s="186" t="n"/>
      <c r="BF401" s="186" t="n"/>
      <c r="BG401" s="186" t="n"/>
      <c r="BH401" s="186" t="n"/>
      <c r="BI401" s="186" t="n"/>
      <c r="BJ401" s="186" t="n"/>
      <c r="BK401" s="186" t="n"/>
      <c r="BL401" s="186" t="n"/>
      <c r="BM401" s="186" t="n"/>
      <c r="BN401" s="186" t="n"/>
      <c r="BO401" s="186" t="n"/>
      <c r="BP401" s="186" t="n"/>
      <c r="BQ401" s="186" t="n"/>
      <c r="BR401" s="186" t="n"/>
      <c r="BS401" s="186" t="n"/>
      <c r="BT401" s="186" t="n"/>
      <c r="BU401" s="186" t="n"/>
      <c r="BV401" s="190" t="n"/>
      <c r="BW401" s="186" t="n"/>
      <c r="BX401" s="186" t="n"/>
      <c r="BY401" s="186" t="n"/>
      <c r="BZ401" s="186" t="n"/>
      <c r="CA401" s="186" t="n"/>
      <c r="CB401" s="187" t="n"/>
      <c r="CC401" s="192" t="n"/>
      <c r="CD401" s="192" t="n"/>
      <c r="CE401" s="192" t="n"/>
      <c r="CF401" s="192" t="n"/>
    </row>
    <row r="402">
      <c r="A402" s="197" t="n"/>
      <c r="B402" s="198" t="n"/>
      <c r="C402" s="198" t="n"/>
      <c r="D402" s="179" t="n"/>
      <c r="E402" s="180" t="n"/>
      <c r="F402" s="181" t="n"/>
      <c r="G402" s="284">
        <f>'Jobs-Ops'!G402</f>
        <v/>
      </c>
      <c r="H402" s="114">
        <f>'Jobs-Ops'!H402</f>
        <v/>
      </c>
      <c r="I402" s="105" t="n"/>
      <c r="J402" s="196">
        <f>F402</f>
        <v/>
      </c>
      <c r="K402" s="184" t="n"/>
      <c r="L402" s="185" t="n"/>
      <c r="M402" s="8" t="n"/>
      <c r="N402" s="71">
        <f>M402</f>
        <v/>
      </c>
      <c r="O402" s="71" t="n"/>
      <c r="P402" s="101" t="n"/>
      <c r="Q402" s="9">
        <f>J402-N402</f>
        <v/>
      </c>
      <c r="R402" s="9">
        <f>IF(LEFT(B402,4)&lt;&gt;"    ",0,BI402)</f>
        <v/>
      </c>
      <c r="S402" s="9">
        <f>+Q402-R402</f>
        <v/>
      </c>
      <c r="T402" s="200">
        <f>IF('Jobs-Ops'!S402&lt;&gt; "",'Jobs-Ops'!S402,"")</f>
        <v/>
      </c>
      <c r="U402" s="10" t="n"/>
      <c r="V402" s="23">
        <f>IF(LEFT(B402,4)&lt;&gt;"    ","",IF(N402&lt;&gt;0,X402/N402,0))</f>
        <v/>
      </c>
      <c r="W402" s="11">
        <f>IF(LEFT(B402,4)&lt;&gt;"    ","",IF(V402&gt;=0.1,V402*J402,X402))</f>
        <v/>
      </c>
      <c r="X402" s="8" t="n"/>
      <c r="Y402" s="9">
        <f>IF(LEFT(B402,4)&lt;&gt;"    ",0,IF(Q402&lt;0,Q402,IF(V402&gt;0.1,W402-X402,0)))</f>
        <v/>
      </c>
      <c r="Z402" s="9">
        <f>IF(LEFT(B402,4)&lt;&gt;"    ",0,IF(V402&gt;0.1,BI402,0))</f>
        <v/>
      </c>
      <c r="AA402" s="9">
        <f>Y402-Z402</f>
        <v/>
      </c>
      <c r="AB402" s="10" t="n"/>
      <c r="AC402" s="24" t="n"/>
      <c r="AD402" s="11" t="n"/>
      <c r="AE402" s="8" t="n"/>
      <c r="AF402" s="9">
        <f>IF(LEFT(B402,4)&lt;&gt;"    ","",AD402-AE402)</f>
        <v/>
      </c>
      <c r="AG402" s="10" t="n"/>
      <c r="AH402" s="11">
        <f>IF(LEFT(B402,4)&lt;&gt;"    ","",W402-AD402)</f>
        <v/>
      </c>
      <c r="AI402" s="8">
        <f>IF(LEFT(B402,4)&lt;&gt;"    ","",X402-AE402)</f>
        <v/>
      </c>
      <c r="AJ402" s="9">
        <f>IF(LEFT(B402,4)&lt;&gt;"    ","",Y402-AF402)</f>
        <v/>
      </c>
      <c r="AK402" s="10" t="n"/>
      <c r="AL402" s="25">
        <f>IF(LEFT(B402,4)&lt;&gt;"    ","",J402-W402)</f>
        <v/>
      </c>
      <c r="AM402" s="25">
        <f>N402-X402</f>
        <v/>
      </c>
      <c r="AN402" s="25">
        <f>IF(LEFT(B402,4)&lt;&gt;"    ","",Q402-Y402)</f>
        <v/>
      </c>
      <c r="AO402" s="10" t="n"/>
      <c r="AP402" s="12" t="n"/>
      <c r="AQ402" s="12">
        <f>IF(LEFT(B402,4)&lt;&gt;"    ","",IF(W402-AP402&gt;=0,W402-AP402," "))</f>
        <v/>
      </c>
      <c r="AR402" s="12">
        <f>IF(LEFT(B402,4)&lt;&gt;"    ","",IF(AP402-W402&gt;=0,AP402-W402," "))</f>
        <v/>
      </c>
      <c r="AS402" s="186" t="n"/>
      <c r="AT402" s="187" t="n"/>
      <c r="AU402" s="186" t="n"/>
      <c r="AV402" s="186" t="n"/>
      <c r="AW402" s="188" t="n"/>
      <c r="AX402" s="187" t="n"/>
      <c r="AY402" s="187" t="n"/>
      <c r="AZ402" s="186" t="n"/>
      <c r="BA402" s="186" t="n"/>
      <c r="BB402" s="186" t="n"/>
      <c r="BC402" s="186" t="n"/>
      <c r="BD402" s="186" t="n"/>
      <c r="BE402" s="186" t="n"/>
      <c r="BF402" s="186" t="n"/>
      <c r="BG402" s="186" t="n"/>
      <c r="BH402" s="186" t="n"/>
      <c r="BI402" s="186" t="n"/>
      <c r="BJ402" s="186" t="n"/>
      <c r="BK402" s="186" t="n"/>
      <c r="BL402" s="186" t="n"/>
      <c r="BM402" s="186" t="n"/>
      <c r="BN402" s="186" t="n"/>
      <c r="BO402" s="186" t="n"/>
      <c r="BP402" s="186" t="n"/>
      <c r="BQ402" s="186" t="n"/>
      <c r="BR402" s="186" t="n"/>
      <c r="BS402" s="186" t="n"/>
      <c r="BT402" s="186" t="n"/>
      <c r="BU402" s="186" t="n"/>
      <c r="BV402" s="190" t="n"/>
      <c r="BW402" s="186" t="n"/>
      <c r="BX402" s="186" t="n"/>
      <c r="BY402" s="186" t="n"/>
      <c r="BZ402" s="186" t="n"/>
      <c r="CA402" s="186" t="n"/>
      <c r="CB402" s="187" t="n"/>
      <c r="CC402" s="192" t="n"/>
      <c r="CD402" s="192" t="n"/>
      <c r="CE402" s="192" t="n"/>
      <c r="CF402" s="192" t="n"/>
    </row>
    <row r="403">
      <c r="A403" s="197" t="n"/>
      <c r="B403" s="198" t="n"/>
      <c r="C403" s="198" t="n"/>
      <c r="D403" s="179" t="n"/>
      <c r="E403" s="180" t="n"/>
      <c r="F403" s="181" t="n"/>
      <c r="G403" s="284">
        <f>'Jobs-Ops'!G403</f>
        <v/>
      </c>
      <c r="H403" s="114">
        <f>'Jobs-Ops'!H403</f>
        <v/>
      </c>
      <c r="I403" s="105" t="n"/>
      <c r="J403" s="196">
        <f>F403</f>
        <v/>
      </c>
      <c r="K403" s="184" t="n"/>
      <c r="L403" s="185" t="n"/>
      <c r="M403" s="8" t="n"/>
      <c r="N403" s="71">
        <f>M403</f>
        <v/>
      </c>
      <c r="O403" s="71" t="n"/>
      <c r="P403" s="101" t="n"/>
      <c r="Q403" s="9">
        <f>J403-N403</f>
        <v/>
      </c>
      <c r="R403" s="9">
        <f>IF(LEFT(B403,4)&lt;&gt;"    ",0,BI403)</f>
        <v/>
      </c>
      <c r="S403" s="9">
        <f>+Q403-R403</f>
        <v/>
      </c>
      <c r="T403" s="200">
        <f>IF('Jobs-Ops'!S403&lt;&gt; "",'Jobs-Ops'!S403,"")</f>
        <v/>
      </c>
      <c r="U403" s="10" t="n"/>
      <c r="V403" s="23">
        <f>IF(LEFT(B403,4)&lt;&gt;"    ","",IF(N403&lt;&gt;0,X403/N403,0))</f>
        <v/>
      </c>
      <c r="W403" s="11">
        <f>IF(LEFT(B403,4)&lt;&gt;"    ","",IF(V403&gt;=0.1,V403*J403,X403))</f>
        <v/>
      </c>
      <c r="X403" s="8" t="n"/>
      <c r="Y403" s="9">
        <f>IF(LEFT(B403,4)&lt;&gt;"    ",0,IF(Q403&lt;0,Q403,IF(V403&gt;0.1,W403-X403,0)))</f>
        <v/>
      </c>
      <c r="Z403" s="9">
        <f>IF(LEFT(B403,4)&lt;&gt;"    ",0,IF(V403&gt;0.1,BI403,0))</f>
        <v/>
      </c>
      <c r="AA403" s="9">
        <f>Y403-Z403</f>
        <v/>
      </c>
      <c r="AB403" s="10" t="n"/>
      <c r="AC403" s="24" t="n"/>
      <c r="AD403" s="11" t="n"/>
      <c r="AE403" s="8" t="n"/>
      <c r="AF403" s="9">
        <f>IF(LEFT(B403,4)&lt;&gt;"    ","",AD403-AE403)</f>
        <v/>
      </c>
      <c r="AG403" s="10" t="n"/>
      <c r="AH403" s="11">
        <f>IF(LEFT(B403,4)&lt;&gt;"    ","",W403-AD403)</f>
        <v/>
      </c>
      <c r="AI403" s="8">
        <f>IF(LEFT(B403,4)&lt;&gt;"    ","",X403-AE403)</f>
        <v/>
      </c>
      <c r="AJ403" s="9">
        <f>IF(LEFT(B403,4)&lt;&gt;"    ","",Y403-AF403)</f>
        <v/>
      </c>
      <c r="AK403" s="10" t="n"/>
      <c r="AL403" s="25">
        <f>IF(LEFT(B403,4)&lt;&gt;"    ","",J403-W403)</f>
        <v/>
      </c>
      <c r="AM403" s="25">
        <f>N403-X403</f>
        <v/>
      </c>
      <c r="AN403" s="25">
        <f>IF(LEFT(B403,4)&lt;&gt;"    ","",Q403-Y403)</f>
        <v/>
      </c>
      <c r="AO403" s="10" t="n"/>
      <c r="AP403" s="12" t="n"/>
      <c r="AQ403" s="12">
        <f>IF(LEFT(B403,4)&lt;&gt;"    ","",IF(W403-AP403&gt;=0,W403-AP403," "))</f>
        <v/>
      </c>
      <c r="AR403" s="12">
        <f>IF(LEFT(B403,4)&lt;&gt;"    ","",IF(AP403-W403&gt;=0,AP403-W403," "))</f>
        <v/>
      </c>
      <c r="AS403" s="186" t="n"/>
      <c r="AT403" s="187" t="n"/>
      <c r="AU403" s="186" t="n"/>
      <c r="AV403" s="186" t="n"/>
      <c r="AW403" s="188" t="n"/>
      <c r="AX403" s="187" t="n"/>
      <c r="AY403" s="187" t="n"/>
      <c r="AZ403" s="186" t="n"/>
      <c r="BA403" s="186" t="n"/>
      <c r="BB403" s="186" t="n"/>
      <c r="BC403" s="186" t="n"/>
      <c r="BD403" s="186" t="n"/>
      <c r="BE403" s="186" t="n"/>
      <c r="BF403" s="186" t="n"/>
      <c r="BG403" s="186" t="n"/>
      <c r="BH403" s="186" t="n"/>
      <c r="BI403" s="186" t="n"/>
      <c r="BJ403" s="186" t="n"/>
      <c r="BK403" s="186" t="n"/>
      <c r="BL403" s="186" t="n"/>
      <c r="BM403" s="186" t="n"/>
      <c r="BN403" s="186" t="n"/>
      <c r="BO403" s="186" t="n"/>
      <c r="BP403" s="186" t="n"/>
      <c r="BQ403" s="186" t="n"/>
      <c r="BR403" s="186" t="n"/>
      <c r="BS403" s="186" t="n"/>
      <c r="BT403" s="186" t="n"/>
      <c r="BU403" s="186" t="n"/>
      <c r="BV403" s="190" t="n"/>
      <c r="BW403" s="186" t="n"/>
      <c r="BX403" s="186" t="n"/>
      <c r="BY403" s="186" t="n"/>
      <c r="BZ403" s="186" t="n"/>
      <c r="CA403" s="186" t="n"/>
      <c r="CB403" s="187" t="n"/>
      <c r="CC403" s="192" t="n"/>
      <c r="CD403" s="192" t="n"/>
      <c r="CE403" s="192" t="n"/>
      <c r="CF403" s="192" t="n"/>
    </row>
    <row r="404">
      <c r="A404" s="197" t="n"/>
      <c r="B404" s="198" t="n"/>
      <c r="C404" s="198" t="n"/>
      <c r="D404" s="179" t="n"/>
      <c r="E404" s="180" t="n"/>
      <c r="F404" s="181" t="n"/>
      <c r="G404" s="284">
        <f>'Jobs-Ops'!G404</f>
        <v/>
      </c>
      <c r="H404" s="114">
        <f>'Jobs-Ops'!H404</f>
        <v/>
      </c>
      <c r="I404" s="105" t="n"/>
      <c r="J404" s="196">
        <f>F404</f>
        <v/>
      </c>
      <c r="K404" s="184" t="n"/>
      <c r="L404" s="185" t="n"/>
      <c r="M404" s="8" t="n"/>
      <c r="N404" s="71">
        <f>M404</f>
        <v/>
      </c>
      <c r="O404" s="71" t="n"/>
      <c r="P404" s="101" t="n"/>
      <c r="Q404" s="9">
        <f>J404-N404</f>
        <v/>
      </c>
      <c r="R404" s="9">
        <f>IF(LEFT(B404,4)&lt;&gt;"    ",0,BI404)</f>
        <v/>
      </c>
      <c r="S404" s="9">
        <f>+Q404-R404</f>
        <v/>
      </c>
      <c r="T404" s="200">
        <f>IF('Jobs-Ops'!S404&lt;&gt; "",'Jobs-Ops'!S404,"")</f>
        <v/>
      </c>
      <c r="U404" s="10" t="n"/>
      <c r="V404" s="23">
        <f>IF(LEFT(B404,4)&lt;&gt;"    ","",IF(N404&lt;&gt;0,X404/N404,0))</f>
        <v/>
      </c>
      <c r="W404" s="11">
        <f>IF(LEFT(B404,4)&lt;&gt;"    ","",IF(V404&gt;=0.1,V404*J404,X404))</f>
        <v/>
      </c>
      <c r="X404" s="8" t="n"/>
      <c r="Y404" s="9">
        <f>IF(LEFT(B404,4)&lt;&gt;"    ",0,IF(Q404&lt;0,Q404,IF(V404&gt;0.1,W404-X404,0)))</f>
        <v/>
      </c>
      <c r="Z404" s="9">
        <f>IF(LEFT(B404,4)&lt;&gt;"    ",0,IF(V404&gt;0.1,BI404,0))</f>
        <v/>
      </c>
      <c r="AA404" s="9">
        <f>Y404-Z404</f>
        <v/>
      </c>
      <c r="AB404" s="10" t="n"/>
      <c r="AC404" s="24" t="n"/>
      <c r="AD404" s="11" t="n"/>
      <c r="AE404" s="8" t="n"/>
      <c r="AF404" s="9">
        <f>IF(LEFT(B404,4)&lt;&gt;"    ","",AD404-AE404)</f>
        <v/>
      </c>
      <c r="AG404" s="10" t="n"/>
      <c r="AH404" s="11">
        <f>IF(LEFT(B404,4)&lt;&gt;"    ","",W404-AD404)</f>
        <v/>
      </c>
      <c r="AI404" s="8">
        <f>IF(LEFT(B404,4)&lt;&gt;"    ","",X404-AE404)</f>
        <v/>
      </c>
      <c r="AJ404" s="9">
        <f>IF(LEFT(B404,4)&lt;&gt;"    ","",Y404-AF404)</f>
        <v/>
      </c>
      <c r="AK404" s="10" t="n"/>
      <c r="AL404" s="25">
        <f>IF(LEFT(B404,4)&lt;&gt;"    ","",J404-W404)</f>
        <v/>
      </c>
      <c r="AM404" s="25">
        <f>N404-X404</f>
        <v/>
      </c>
      <c r="AN404" s="25">
        <f>IF(LEFT(B404,4)&lt;&gt;"    ","",Q404-Y404)</f>
        <v/>
      </c>
      <c r="AO404" s="10" t="n"/>
      <c r="AP404" s="12" t="n"/>
      <c r="AQ404" s="12">
        <f>IF(LEFT(B404,4)&lt;&gt;"    ","",IF(W404-AP404&gt;=0,W404-AP404," "))</f>
        <v/>
      </c>
      <c r="AR404" s="12">
        <f>IF(LEFT(B404,4)&lt;&gt;"    ","",IF(AP404-W404&gt;=0,AP404-W404," "))</f>
        <v/>
      </c>
      <c r="AS404" s="186" t="n"/>
      <c r="AT404" s="187" t="n"/>
      <c r="AU404" s="186" t="n"/>
      <c r="AV404" s="186" t="n"/>
      <c r="AW404" s="188" t="n"/>
      <c r="AX404" s="187" t="n"/>
      <c r="AY404" s="187" t="n"/>
      <c r="AZ404" s="186" t="n"/>
      <c r="BA404" s="186" t="n"/>
      <c r="BB404" s="186" t="n"/>
      <c r="BC404" s="186" t="n"/>
      <c r="BD404" s="186" t="n"/>
      <c r="BE404" s="186" t="n"/>
      <c r="BF404" s="186" t="n"/>
      <c r="BG404" s="186" t="n"/>
      <c r="BH404" s="186" t="n"/>
      <c r="BI404" s="186" t="n"/>
      <c r="BJ404" s="186" t="n"/>
      <c r="BK404" s="186" t="n"/>
      <c r="BL404" s="186" t="n"/>
      <c r="BM404" s="186" t="n"/>
      <c r="BN404" s="186" t="n"/>
      <c r="BO404" s="186" t="n"/>
      <c r="BP404" s="186" t="n"/>
      <c r="BQ404" s="186" t="n"/>
      <c r="BR404" s="186" t="n"/>
      <c r="BS404" s="186" t="n"/>
      <c r="BT404" s="186" t="n"/>
      <c r="BU404" s="186" t="n"/>
      <c r="BV404" s="190" t="n"/>
      <c r="BW404" s="186" t="n"/>
      <c r="BX404" s="186" t="n"/>
      <c r="BY404" s="186" t="n"/>
      <c r="BZ404" s="186" t="n"/>
      <c r="CA404" s="186" t="n"/>
      <c r="CB404" s="187" t="n"/>
      <c r="CC404" s="192" t="n"/>
      <c r="CD404" s="192" t="n"/>
      <c r="CE404" s="192" t="n"/>
      <c r="CF404" s="192" t="n"/>
    </row>
    <row r="405">
      <c r="A405" s="197" t="n"/>
      <c r="B405" s="198" t="n"/>
      <c r="C405" s="198" t="n"/>
      <c r="D405" s="179" t="n"/>
      <c r="E405" s="180" t="n"/>
      <c r="F405" s="181" t="n"/>
      <c r="G405" s="284">
        <f>'Jobs-Ops'!G405</f>
        <v/>
      </c>
      <c r="H405" s="114">
        <f>'Jobs-Ops'!H405</f>
        <v/>
      </c>
      <c r="I405" s="105" t="n"/>
      <c r="J405" s="196">
        <f>F405</f>
        <v/>
      </c>
      <c r="K405" s="184" t="n"/>
      <c r="L405" s="185" t="n"/>
      <c r="M405" s="8" t="n"/>
      <c r="N405" s="71">
        <f>M405</f>
        <v/>
      </c>
      <c r="O405" s="71" t="n"/>
      <c r="P405" s="101" t="n"/>
      <c r="Q405" s="9">
        <f>J405-N405</f>
        <v/>
      </c>
      <c r="R405" s="9">
        <f>IF(LEFT(B405,4)&lt;&gt;"    ",0,BI405)</f>
        <v/>
      </c>
      <c r="S405" s="9">
        <f>+Q405-R405</f>
        <v/>
      </c>
      <c r="T405" s="200">
        <f>IF('Jobs-Ops'!S405&lt;&gt; "",'Jobs-Ops'!S405,"")</f>
        <v/>
      </c>
      <c r="U405" s="10" t="n"/>
      <c r="V405" s="23">
        <f>IF(LEFT(B405,4)&lt;&gt;"    ","",IF(N405&lt;&gt;0,X405/N405,0))</f>
        <v/>
      </c>
      <c r="W405" s="11">
        <f>IF(LEFT(B405,4)&lt;&gt;"    ","",IF(V405&gt;=0.1,V405*J405,X405))</f>
        <v/>
      </c>
      <c r="X405" s="8" t="n"/>
      <c r="Y405" s="9">
        <f>IF(LEFT(B405,4)&lt;&gt;"    ",0,IF(Q405&lt;0,Q405,IF(V405&gt;0.1,W405-X405,0)))</f>
        <v/>
      </c>
      <c r="Z405" s="9">
        <f>IF(LEFT(B405,4)&lt;&gt;"    ",0,IF(V405&gt;0.1,BI405,0))</f>
        <v/>
      </c>
      <c r="AA405" s="9">
        <f>Y405-Z405</f>
        <v/>
      </c>
      <c r="AB405" s="10" t="n"/>
      <c r="AC405" s="24" t="n"/>
      <c r="AD405" s="11" t="n"/>
      <c r="AE405" s="8" t="n"/>
      <c r="AF405" s="9">
        <f>IF(LEFT(B405,4)&lt;&gt;"    ","",AD405-AE405)</f>
        <v/>
      </c>
      <c r="AG405" s="10" t="n"/>
      <c r="AH405" s="11">
        <f>IF(LEFT(B405,4)&lt;&gt;"    ","",W405-AD405)</f>
        <v/>
      </c>
      <c r="AI405" s="8">
        <f>IF(LEFT(B405,4)&lt;&gt;"    ","",X405-AE405)</f>
        <v/>
      </c>
      <c r="AJ405" s="9">
        <f>IF(LEFT(B405,4)&lt;&gt;"    ","",Y405-AF405)</f>
        <v/>
      </c>
      <c r="AK405" s="10" t="n"/>
      <c r="AL405" s="25">
        <f>IF(LEFT(B405,4)&lt;&gt;"    ","",J405-W405)</f>
        <v/>
      </c>
      <c r="AM405" s="25">
        <f>N405-X405</f>
        <v/>
      </c>
      <c r="AN405" s="25">
        <f>IF(LEFT(B405,4)&lt;&gt;"    ","",Q405-Y405)</f>
        <v/>
      </c>
      <c r="AO405" s="10" t="n"/>
      <c r="AP405" s="12" t="n"/>
      <c r="AQ405" s="12">
        <f>IF(LEFT(B405,4)&lt;&gt;"    ","",IF(W405-AP405&gt;=0,W405-AP405," "))</f>
        <v/>
      </c>
      <c r="AR405" s="12">
        <f>IF(LEFT(B405,4)&lt;&gt;"    ","",IF(AP405-W405&gt;=0,AP405-W405," "))</f>
        <v/>
      </c>
      <c r="AS405" s="186" t="n"/>
      <c r="AT405" s="187" t="n"/>
      <c r="AU405" s="186" t="n"/>
      <c r="AV405" s="186" t="n"/>
      <c r="AW405" s="188" t="n"/>
      <c r="AX405" s="187" t="n"/>
      <c r="AY405" s="187" t="n"/>
      <c r="AZ405" s="186" t="n"/>
      <c r="BA405" s="186" t="n"/>
      <c r="BB405" s="186" t="n"/>
      <c r="BC405" s="186" t="n"/>
      <c r="BD405" s="186" t="n"/>
      <c r="BE405" s="186" t="n"/>
      <c r="BF405" s="186" t="n"/>
      <c r="BG405" s="186" t="n"/>
      <c r="BH405" s="186" t="n"/>
      <c r="BI405" s="186" t="n"/>
      <c r="BJ405" s="186" t="n"/>
      <c r="BK405" s="186" t="n"/>
      <c r="BL405" s="186" t="n"/>
      <c r="BM405" s="186" t="n"/>
      <c r="BN405" s="186" t="n"/>
      <c r="BO405" s="186" t="n"/>
      <c r="BP405" s="186" t="n"/>
      <c r="BQ405" s="186" t="n"/>
      <c r="BR405" s="186" t="n"/>
      <c r="BS405" s="186" t="n"/>
      <c r="BT405" s="186" t="n"/>
      <c r="BU405" s="186" t="n"/>
      <c r="BV405" s="190" t="n"/>
      <c r="BW405" s="186" t="n"/>
      <c r="BX405" s="186" t="n"/>
      <c r="BY405" s="186" t="n"/>
      <c r="BZ405" s="186" t="n"/>
      <c r="CA405" s="186" t="n"/>
      <c r="CB405" s="187" t="n"/>
      <c r="CC405" s="192" t="n"/>
      <c r="CD405" s="192" t="n"/>
      <c r="CE405" s="192" t="n"/>
      <c r="CF405" s="192" t="n"/>
    </row>
    <row r="406">
      <c r="A406" s="197" t="n"/>
      <c r="B406" s="198" t="n"/>
      <c r="C406" s="198" t="n"/>
      <c r="D406" s="179" t="n"/>
      <c r="E406" s="180" t="n"/>
      <c r="F406" s="181" t="n"/>
      <c r="G406" s="284">
        <f>'Jobs-Ops'!G406</f>
        <v/>
      </c>
      <c r="H406" s="114">
        <f>'Jobs-Ops'!H406</f>
        <v/>
      </c>
      <c r="I406" s="105" t="n"/>
      <c r="J406" s="196">
        <f>F406</f>
        <v/>
      </c>
      <c r="K406" s="184" t="n"/>
      <c r="L406" s="185" t="n"/>
      <c r="M406" s="8" t="n"/>
      <c r="N406" s="71">
        <f>M406</f>
        <v/>
      </c>
      <c r="O406" s="71" t="n"/>
      <c r="P406" s="101" t="n"/>
      <c r="Q406" s="9">
        <f>J406-N406</f>
        <v/>
      </c>
      <c r="R406" s="9">
        <f>IF(LEFT(B406,4)&lt;&gt;"    ",0,BI406)</f>
        <v/>
      </c>
      <c r="S406" s="9">
        <f>+Q406-R406</f>
        <v/>
      </c>
      <c r="T406" s="200">
        <f>IF('Jobs-Ops'!S406&lt;&gt; "",'Jobs-Ops'!S406,"")</f>
        <v/>
      </c>
      <c r="U406" s="10" t="n"/>
      <c r="V406" s="23">
        <f>IF(LEFT(B406,4)&lt;&gt;"    ","",IF(N406&lt;&gt;0,X406/N406,0))</f>
        <v/>
      </c>
      <c r="W406" s="11">
        <f>IF(LEFT(B406,4)&lt;&gt;"    ","",IF(V406&gt;=0.1,V406*J406,X406))</f>
        <v/>
      </c>
      <c r="X406" s="8" t="n"/>
      <c r="Y406" s="9">
        <f>IF(LEFT(B406,4)&lt;&gt;"    ",0,IF(Q406&lt;0,Q406,IF(V406&gt;0.1,W406-X406,0)))</f>
        <v/>
      </c>
      <c r="Z406" s="9">
        <f>IF(LEFT(B406,4)&lt;&gt;"    ",0,IF(V406&gt;0.1,BI406,0))</f>
        <v/>
      </c>
      <c r="AA406" s="9">
        <f>Y406-Z406</f>
        <v/>
      </c>
      <c r="AB406" s="10" t="n"/>
      <c r="AC406" s="24" t="n"/>
      <c r="AD406" s="11" t="n"/>
      <c r="AE406" s="8" t="n"/>
      <c r="AF406" s="9">
        <f>IF(LEFT(B406,4)&lt;&gt;"    ","",AD406-AE406)</f>
        <v/>
      </c>
      <c r="AG406" s="10" t="n"/>
      <c r="AH406" s="11">
        <f>IF(LEFT(B406,4)&lt;&gt;"    ","",W406-AD406)</f>
        <v/>
      </c>
      <c r="AI406" s="8">
        <f>IF(LEFT(B406,4)&lt;&gt;"    ","",X406-AE406)</f>
        <v/>
      </c>
      <c r="AJ406" s="9">
        <f>IF(LEFT(B406,4)&lt;&gt;"    ","",Y406-AF406)</f>
        <v/>
      </c>
      <c r="AK406" s="10" t="n"/>
      <c r="AL406" s="25">
        <f>IF(LEFT(B406,4)&lt;&gt;"    ","",J406-W406)</f>
        <v/>
      </c>
      <c r="AM406" s="25">
        <f>N406-X406</f>
        <v/>
      </c>
      <c r="AN406" s="25">
        <f>IF(LEFT(B406,4)&lt;&gt;"    ","",Q406-Y406)</f>
        <v/>
      </c>
      <c r="AO406" s="10" t="n"/>
      <c r="AP406" s="12" t="n"/>
      <c r="AQ406" s="12">
        <f>IF(LEFT(B406,4)&lt;&gt;"    ","",IF(W406-AP406&gt;=0,W406-AP406," "))</f>
        <v/>
      </c>
      <c r="AR406" s="12">
        <f>IF(LEFT(B406,4)&lt;&gt;"    ","",IF(AP406-W406&gt;=0,AP406-W406," "))</f>
        <v/>
      </c>
      <c r="AS406" s="186" t="n"/>
      <c r="AT406" s="187" t="n"/>
      <c r="AU406" s="186" t="n"/>
      <c r="AV406" s="186" t="n"/>
      <c r="AW406" s="188" t="n"/>
      <c r="AX406" s="187" t="n"/>
      <c r="AY406" s="187" t="n"/>
      <c r="AZ406" s="186" t="n"/>
      <c r="BA406" s="186" t="n"/>
      <c r="BB406" s="186" t="n"/>
      <c r="BC406" s="186" t="n"/>
      <c r="BD406" s="186" t="n"/>
      <c r="BE406" s="186" t="n"/>
      <c r="BF406" s="186" t="n"/>
      <c r="BG406" s="186" t="n"/>
      <c r="BH406" s="186" t="n"/>
      <c r="BI406" s="186" t="n"/>
      <c r="BJ406" s="186" t="n"/>
      <c r="BK406" s="186" t="n"/>
      <c r="BL406" s="186" t="n"/>
      <c r="BM406" s="186" t="n"/>
      <c r="BN406" s="186" t="n"/>
      <c r="BO406" s="186" t="n"/>
      <c r="BP406" s="186" t="n"/>
      <c r="BQ406" s="186" t="n"/>
      <c r="BR406" s="186" t="n"/>
      <c r="BS406" s="186" t="n"/>
      <c r="BT406" s="186" t="n"/>
      <c r="BU406" s="186" t="n"/>
      <c r="BV406" s="190" t="n"/>
      <c r="BW406" s="186" t="n"/>
      <c r="BX406" s="186" t="n"/>
      <c r="BY406" s="186" t="n"/>
      <c r="BZ406" s="186" t="n"/>
      <c r="CA406" s="186" t="n"/>
      <c r="CB406" s="187" t="n"/>
      <c r="CC406" s="192" t="n"/>
      <c r="CD406" s="192" t="n"/>
      <c r="CE406" s="192" t="n"/>
      <c r="CF406" s="192" t="n"/>
    </row>
    <row r="407">
      <c r="A407" s="197" t="n"/>
      <c r="B407" s="198" t="n"/>
      <c r="C407" s="198" t="n"/>
      <c r="D407" s="179" t="n"/>
      <c r="E407" s="180" t="n"/>
      <c r="F407" s="181" t="n"/>
      <c r="G407" s="284">
        <f>'Jobs-Ops'!G407</f>
        <v/>
      </c>
      <c r="H407" s="114">
        <f>'Jobs-Ops'!H407</f>
        <v/>
      </c>
      <c r="I407" s="105" t="n"/>
      <c r="J407" s="196">
        <f>F407</f>
        <v/>
      </c>
      <c r="K407" s="184" t="n"/>
      <c r="L407" s="185" t="n"/>
      <c r="M407" s="8" t="n"/>
      <c r="N407" s="71">
        <f>M407</f>
        <v/>
      </c>
      <c r="O407" s="71" t="n"/>
      <c r="P407" s="101" t="n"/>
      <c r="Q407" s="9">
        <f>J407-N407</f>
        <v/>
      </c>
      <c r="R407" s="9">
        <f>IF(LEFT(B407,4)&lt;&gt;"    ",0,BI407)</f>
        <v/>
      </c>
      <c r="S407" s="9">
        <f>+Q407-R407</f>
        <v/>
      </c>
      <c r="T407" s="200">
        <f>IF('Jobs-Ops'!S407&lt;&gt; "",'Jobs-Ops'!S407,"")</f>
        <v/>
      </c>
      <c r="U407" s="10" t="n"/>
      <c r="V407" s="23">
        <f>IF(LEFT(B407,4)&lt;&gt;"    ","",IF(N407&lt;&gt;0,X407/N407,0))</f>
        <v/>
      </c>
      <c r="W407" s="11">
        <f>IF(LEFT(B407,4)&lt;&gt;"    ","",IF(V407&gt;=0.1,V407*J407,X407))</f>
        <v/>
      </c>
      <c r="X407" s="8" t="n"/>
      <c r="Y407" s="9">
        <f>IF(LEFT(B407,4)&lt;&gt;"    ",0,IF(Q407&lt;0,Q407,IF(V407&gt;0.1,W407-X407,0)))</f>
        <v/>
      </c>
      <c r="Z407" s="9">
        <f>IF(LEFT(B407,4)&lt;&gt;"    ",0,IF(V407&gt;0.1,BI407,0))</f>
        <v/>
      </c>
      <c r="AA407" s="9">
        <f>Y407-Z407</f>
        <v/>
      </c>
      <c r="AB407" s="10" t="n"/>
      <c r="AC407" s="24" t="n"/>
      <c r="AD407" s="11" t="n"/>
      <c r="AE407" s="8" t="n"/>
      <c r="AF407" s="9">
        <f>IF(LEFT(B407,4)&lt;&gt;"    ","",AD407-AE407)</f>
        <v/>
      </c>
      <c r="AG407" s="10" t="n"/>
      <c r="AH407" s="11">
        <f>IF(LEFT(B407,4)&lt;&gt;"    ","",W407-AD407)</f>
        <v/>
      </c>
      <c r="AI407" s="8">
        <f>IF(LEFT(B407,4)&lt;&gt;"    ","",X407-AE407)</f>
        <v/>
      </c>
      <c r="AJ407" s="9">
        <f>IF(LEFT(B407,4)&lt;&gt;"    ","",Y407-AF407)</f>
        <v/>
      </c>
      <c r="AK407" s="10" t="n"/>
      <c r="AL407" s="25">
        <f>IF(LEFT(B407,4)&lt;&gt;"    ","",J407-W407)</f>
        <v/>
      </c>
      <c r="AM407" s="25">
        <f>N407-X407</f>
        <v/>
      </c>
      <c r="AN407" s="25">
        <f>IF(LEFT(B407,4)&lt;&gt;"    ","",Q407-Y407)</f>
        <v/>
      </c>
      <c r="AO407" s="10" t="n"/>
      <c r="AP407" s="12" t="n"/>
      <c r="AQ407" s="12">
        <f>IF(LEFT(B407,4)&lt;&gt;"    ","",IF(W407-AP407&gt;=0,W407-AP407," "))</f>
        <v/>
      </c>
      <c r="AR407" s="12">
        <f>IF(LEFT(B407,4)&lt;&gt;"    ","",IF(AP407-W407&gt;=0,AP407-W407," "))</f>
        <v/>
      </c>
      <c r="AS407" s="186" t="n"/>
      <c r="AT407" s="187" t="n"/>
      <c r="AU407" s="186" t="n"/>
      <c r="AV407" s="186" t="n"/>
      <c r="AW407" s="188" t="n"/>
      <c r="AX407" s="187" t="n"/>
      <c r="AY407" s="187" t="n"/>
      <c r="AZ407" s="186" t="n"/>
      <c r="BA407" s="186" t="n"/>
      <c r="BB407" s="186" t="n"/>
      <c r="BC407" s="186" t="n"/>
      <c r="BD407" s="186" t="n"/>
      <c r="BE407" s="186" t="n"/>
      <c r="BF407" s="186" t="n"/>
      <c r="BG407" s="186" t="n"/>
      <c r="BH407" s="186" t="n"/>
      <c r="BI407" s="186" t="n"/>
      <c r="BJ407" s="186" t="n"/>
      <c r="BK407" s="186" t="n"/>
      <c r="BL407" s="186" t="n"/>
      <c r="BM407" s="186" t="n"/>
      <c r="BN407" s="186" t="n"/>
      <c r="BO407" s="186" t="n"/>
      <c r="BP407" s="186" t="n"/>
      <c r="BQ407" s="186" t="n"/>
      <c r="BR407" s="186" t="n"/>
      <c r="BS407" s="186" t="n"/>
      <c r="BT407" s="186" t="n"/>
      <c r="BU407" s="186" t="n"/>
      <c r="BV407" s="190" t="n"/>
      <c r="BW407" s="186" t="n"/>
      <c r="BX407" s="186" t="n"/>
      <c r="BY407" s="186" t="n"/>
      <c r="BZ407" s="186" t="n"/>
      <c r="CA407" s="186" t="n"/>
      <c r="CB407" s="187" t="n"/>
      <c r="CC407" s="192" t="n"/>
      <c r="CD407" s="192" t="n"/>
      <c r="CE407" s="192" t="n"/>
      <c r="CF407" s="192" t="n"/>
    </row>
    <row r="408">
      <c r="A408" s="197" t="n"/>
      <c r="B408" s="198" t="n"/>
      <c r="C408" s="198" t="n"/>
      <c r="D408" s="179" t="n"/>
      <c r="E408" s="180" t="n"/>
      <c r="F408" s="181" t="n"/>
      <c r="G408" s="284">
        <f>'Jobs-Ops'!G408</f>
        <v/>
      </c>
      <c r="H408" s="114">
        <f>'Jobs-Ops'!H408</f>
        <v/>
      </c>
      <c r="I408" s="105" t="n"/>
      <c r="J408" s="196">
        <f>F408</f>
        <v/>
      </c>
      <c r="K408" s="184" t="n"/>
      <c r="L408" s="185" t="n"/>
      <c r="M408" s="8" t="n"/>
      <c r="N408" s="71">
        <f>M408</f>
        <v/>
      </c>
      <c r="O408" s="71" t="n"/>
      <c r="P408" s="101" t="n"/>
      <c r="Q408" s="9">
        <f>J408-N408</f>
        <v/>
      </c>
      <c r="R408" s="9">
        <f>IF(LEFT(B408,4)&lt;&gt;"    ",0,BI408)</f>
        <v/>
      </c>
      <c r="S408" s="9">
        <f>+Q408-R408</f>
        <v/>
      </c>
      <c r="T408" s="200">
        <f>IF('Jobs-Ops'!S408&lt;&gt; "",'Jobs-Ops'!S408,"")</f>
        <v/>
      </c>
      <c r="U408" s="10" t="n"/>
      <c r="V408" s="23">
        <f>IF(LEFT(B408,4)&lt;&gt;"    ","",IF(N408&lt;&gt;0,X408/N408,0))</f>
        <v/>
      </c>
      <c r="W408" s="11">
        <f>IF(LEFT(B408,4)&lt;&gt;"    ","",IF(V408&gt;=0.1,V408*J408,X408))</f>
        <v/>
      </c>
      <c r="X408" s="8" t="n"/>
      <c r="Y408" s="9">
        <f>IF(LEFT(B408,4)&lt;&gt;"    ",0,IF(Q408&lt;0,Q408,IF(V408&gt;0.1,W408-X408,0)))</f>
        <v/>
      </c>
      <c r="Z408" s="9">
        <f>IF(LEFT(B408,4)&lt;&gt;"    ",0,IF(V408&gt;0.1,BI408,0))</f>
        <v/>
      </c>
      <c r="AA408" s="9">
        <f>Y408-Z408</f>
        <v/>
      </c>
      <c r="AB408" s="10" t="n"/>
      <c r="AC408" s="24" t="n"/>
      <c r="AD408" s="11" t="n"/>
      <c r="AE408" s="8" t="n"/>
      <c r="AF408" s="9">
        <f>IF(LEFT(B408,4)&lt;&gt;"    ","",AD408-AE408)</f>
        <v/>
      </c>
      <c r="AG408" s="10" t="n"/>
      <c r="AH408" s="11">
        <f>IF(LEFT(B408,4)&lt;&gt;"    ","",W408-AD408)</f>
        <v/>
      </c>
      <c r="AI408" s="8">
        <f>IF(LEFT(B408,4)&lt;&gt;"    ","",X408-AE408)</f>
        <v/>
      </c>
      <c r="AJ408" s="9">
        <f>IF(LEFT(B408,4)&lt;&gt;"    ","",Y408-AF408)</f>
        <v/>
      </c>
      <c r="AK408" s="10" t="n"/>
      <c r="AL408" s="25">
        <f>IF(LEFT(B408,4)&lt;&gt;"    ","",J408-W408)</f>
        <v/>
      </c>
      <c r="AM408" s="25">
        <f>N408-X408</f>
        <v/>
      </c>
      <c r="AN408" s="25">
        <f>IF(LEFT(B408,4)&lt;&gt;"    ","",Q408-Y408)</f>
        <v/>
      </c>
      <c r="AO408" s="10" t="n"/>
      <c r="AP408" s="12" t="n"/>
      <c r="AQ408" s="12">
        <f>IF(LEFT(B408,4)&lt;&gt;"    ","",IF(W408-AP408&gt;=0,W408-AP408," "))</f>
        <v/>
      </c>
      <c r="AR408" s="12">
        <f>IF(LEFT(B408,4)&lt;&gt;"    ","",IF(AP408-W408&gt;=0,AP408-W408," "))</f>
        <v/>
      </c>
      <c r="AS408" s="186" t="n"/>
      <c r="AT408" s="187" t="n"/>
      <c r="AU408" s="186" t="n"/>
      <c r="AV408" s="186" t="n"/>
      <c r="AW408" s="188" t="n"/>
      <c r="AX408" s="187" t="n"/>
      <c r="AY408" s="187" t="n"/>
      <c r="AZ408" s="186" t="n"/>
      <c r="BA408" s="186" t="n"/>
      <c r="BB408" s="186" t="n"/>
      <c r="BC408" s="186" t="n"/>
      <c r="BD408" s="186" t="n"/>
      <c r="BE408" s="186" t="n"/>
      <c r="BF408" s="186" t="n"/>
      <c r="BG408" s="186" t="n"/>
      <c r="BH408" s="186" t="n"/>
      <c r="BI408" s="186" t="n"/>
      <c r="BJ408" s="186" t="n"/>
      <c r="BK408" s="186" t="n"/>
      <c r="BL408" s="186" t="n"/>
      <c r="BM408" s="186" t="n"/>
      <c r="BN408" s="186" t="n"/>
      <c r="BO408" s="186" t="n"/>
      <c r="BP408" s="186" t="n"/>
      <c r="BQ408" s="186" t="n"/>
      <c r="BR408" s="186" t="n"/>
      <c r="BS408" s="186" t="n"/>
      <c r="BT408" s="186" t="n"/>
      <c r="BU408" s="186" t="n"/>
      <c r="BV408" s="190" t="n"/>
      <c r="BW408" s="186" t="n"/>
      <c r="BX408" s="186" t="n"/>
      <c r="BY408" s="186" t="n"/>
      <c r="BZ408" s="186" t="n"/>
      <c r="CA408" s="186" t="n"/>
      <c r="CB408" s="187" t="n"/>
      <c r="CC408" s="192" t="n"/>
      <c r="CD408" s="192" t="n"/>
      <c r="CE408" s="192" t="n"/>
      <c r="CF408" s="192" t="n"/>
    </row>
    <row r="409">
      <c r="A409" s="197" t="n"/>
      <c r="B409" s="198" t="n"/>
      <c r="C409" s="198" t="n"/>
      <c r="D409" s="179" t="n"/>
      <c r="E409" s="180" t="n"/>
      <c r="F409" s="181" t="n"/>
      <c r="G409" s="284">
        <f>'Jobs-Ops'!G409</f>
        <v/>
      </c>
      <c r="H409" s="114">
        <f>'Jobs-Ops'!H409</f>
        <v/>
      </c>
      <c r="I409" s="105" t="n"/>
      <c r="J409" s="196">
        <f>F409</f>
        <v/>
      </c>
      <c r="K409" s="184" t="n"/>
      <c r="L409" s="185" t="n"/>
      <c r="M409" s="8" t="n"/>
      <c r="N409" s="71">
        <f>M409</f>
        <v/>
      </c>
      <c r="O409" s="71" t="n"/>
      <c r="P409" s="101" t="n"/>
      <c r="Q409" s="9">
        <f>J409-N409</f>
        <v/>
      </c>
      <c r="R409" s="9">
        <f>IF(LEFT(B409,4)&lt;&gt;"    ",0,BI409)</f>
        <v/>
      </c>
      <c r="S409" s="9">
        <f>+Q409-R409</f>
        <v/>
      </c>
      <c r="T409" s="200">
        <f>IF('Jobs-Ops'!S409&lt;&gt; "",'Jobs-Ops'!S409,"")</f>
        <v/>
      </c>
      <c r="U409" s="10" t="n"/>
      <c r="V409" s="23">
        <f>IF(LEFT(B409,4)&lt;&gt;"    ","",IF(N409&lt;&gt;0,X409/N409,0))</f>
        <v/>
      </c>
      <c r="W409" s="11">
        <f>IF(LEFT(B409,4)&lt;&gt;"    ","",IF(V409&gt;=0.1,V409*J409,X409))</f>
        <v/>
      </c>
      <c r="X409" s="8" t="n"/>
      <c r="Y409" s="9">
        <f>IF(LEFT(B409,4)&lt;&gt;"    ",0,IF(Q409&lt;0,Q409,IF(V409&gt;0.1,W409-X409,0)))</f>
        <v/>
      </c>
      <c r="Z409" s="9">
        <f>IF(LEFT(B409,4)&lt;&gt;"    ",0,IF(V409&gt;0.1,BI409,0))</f>
        <v/>
      </c>
      <c r="AA409" s="9">
        <f>Y409-Z409</f>
        <v/>
      </c>
      <c r="AB409" s="10" t="n"/>
      <c r="AC409" s="24" t="n"/>
      <c r="AD409" s="11" t="n"/>
      <c r="AE409" s="8" t="n"/>
      <c r="AF409" s="9">
        <f>IF(LEFT(B409,4)&lt;&gt;"    ","",AD409-AE409)</f>
        <v/>
      </c>
      <c r="AG409" s="10" t="n"/>
      <c r="AH409" s="11">
        <f>IF(LEFT(B409,4)&lt;&gt;"    ","",W409-AD409)</f>
        <v/>
      </c>
      <c r="AI409" s="8">
        <f>IF(LEFT(B409,4)&lt;&gt;"    ","",X409-AE409)</f>
        <v/>
      </c>
      <c r="AJ409" s="9">
        <f>IF(LEFT(B409,4)&lt;&gt;"    ","",Y409-AF409)</f>
        <v/>
      </c>
      <c r="AK409" s="10" t="n"/>
      <c r="AL409" s="25">
        <f>IF(LEFT(B409,4)&lt;&gt;"    ","",J409-W409)</f>
        <v/>
      </c>
      <c r="AM409" s="25">
        <f>N409-X409</f>
        <v/>
      </c>
      <c r="AN409" s="25">
        <f>IF(LEFT(B409,4)&lt;&gt;"    ","",Q409-Y409)</f>
        <v/>
      </c>
      <c r="AO409" s="10" t="n"/>
      <c r="AP409" s="12" t="n"/>
      <c r="AQ409" s="12">
        <f>IF(LEFT(B409,4)&lt;&gt;"    ","",IF(W409-AP409&gt;=0,W409-AP409," "))</f>
        <v/>
      </c>
      <c r="AR409" s="12">
        <f>IF(LEFT(B409,4)&lt;&gt;"    ","",IF(AP409-W409&gt;=0,AP409-W409," "))</f>
        <v/>
      </c>
      <c r="AS409" s="186" t="n"/>
      <c r="AT409" s="187" t="n"/>
      <c r="AU409" s="186" t="n"/>
      <c r="AV409" s="186" t="n"/>
      <c r="AW409" s="188" t="n"/>
      <c r="AX409" s="187" t="n"/>
      <c r="AY409" s="187" t="n"/>
      <c r="AZ409" s="186" t="n"/>
      <c r="BA409" s="186" t="n"/>
      <c r="BB409" s="186" t="n"/>
      <c r="BC409" s="186" t="n"/>
      <c r="BD409" s="186" t="n"/>
      <c r="BE409" s="186" t="n"/>
      <c r="BF409" s="186" t="n"/>
      <c r="BG409" s="186" t="n"/>
      <c r="BH409" s="186" t="n"/>
      <c r="BI409" s="186" t="n"/>
      <c r="BJ409" s="186" t="n"/>
      <c r="BK409" s="186" t="n"/>
      <c r="BL409" s="186" t="n"/>
      <c r="BM409" s="186" t="n"/>
      <c r="BN409" s="186" t="n"/>
      <c r="BO409" s="186" t="n"/>
      <c r="BP409" s="186" t="n"/>
      <c r="BQ409" s="186" t="n"/>
      <c r="BR409" s="186" t="n"/>
      <c r="BS409" s="186" t="n"/>
      <c r="BT409" s="186" t="n"/>
      <c r="BU409" s="186" t="n"/>
      <c r="BV409" s="190" t="n"/>
      <c r="BW409" s="186" t="n"/>
      <c r="BX409" s="186" t="n"/>
      <c r="BY409" s="186" t="n"/>
      <c r="BZ409" s="186" t="n"/>
      <c r="CA409" s="186" t="n"/>
      <c r="CB409" s="187" t="n"/>
      <c r="CC409" s="192" t="n"/>
      <c r="CD409" s="192" t="n"/>
      <c r="CE409" s="192" t="n"/>
      <c r="CF409" s="192" t="n"/>
    </row>
    <row r="410">
      <c r="A410" s="197" t="n"/>
      <c r="B410" s="198" t="n"/>
      <c r="C410" s="198" t="n"/>
      <c r="D410" s="179" t="n"/>
      <c r="E410" s="180" t="n"/>
      <c r="F410" s="181" t="n"/>
      <c r="G410" s="284">
        <f>'Jobs-Ops'!G410</f>
        <v/>
      </c>
      <c r="H410" s="114">
        <f>'Jobs-Ops'!H410</f>
        <v/>
      </c>
      <c r="I410" s="105" t="n"/>
      <c r="J410" s="196">
        <f>F410</f>
        <v/>
      </c>
      <c r="K410" s="184" t="n"/>
      <c r="L410" s="185" t="n"/>
      <c r="M410" s="8" t="n"/>
      <c r="N410" s="71">
        <f>M410</f>
        <v/>
      </c>
      <c r="O410" s="71" t="n"/>
      <c r="P410" s="101" t="n"/>
      <c r="Q410" s="9">
        <f>J410-N410</f>
        <v/>
      </c>
      <c r="R410" s="9">
        <f>IF(LEFT(B410,4)&lt;&gt;"    ",0,BI410)</f>
        <v/>
      </c>
      <c r="S410" s="9">
        <f>+Q410-R410</f>
        <v/>
      </c>
      <c r="T410" s="200">
        <f>IF('Jobs-Ops'!S410&lt;&gt; "",'Jobs-Ops'!S410,"")</f>
        <v/>
      </c>
      <c r="U410" s="10" t="n"/>
      <c r="V410" s="23">
        <f>IF(LEFT(B410,4)&lt;&gt;"    ","",IF(N410&lt;&gt;0,X410/N410,0))</f>
        <v/>
      </c>
      <c r="W410" s="11">
        <f>IF(LEFT(B410,4)&lt;&gt;"    ","",IF(V410&gt;=0.1,V410*J410,X410))</f>
        <v/>
      </c>
      <c r="X410" s="8" t="n"/>
      <c r="Y410" s="9">
        <f>IF(LEFT(B410,4)&lt;&gt;"    ",0,IF(Q410&lt;0,Q410,IF(V410&gt;0.1,W410-X410,0)))</f>
        <v/>
      </c>
      <c r="Z410" s="9">
        <f>IF(LEFT(B410,4)&lt;&gt;"    ",0,IF(V410&gt;0.1,BI410,0))</f>
        <v/>
      </c>
      <c r="AA410" s="9">
        <f>Y410-Z410</f>
        <v/>
      </c>
      <c r="AB410" s="10" t="n"/>
      <c r="AC410" s="24" t="n"/>
      <c r="AD410" s="11" t="n"/>
      <c r="AE410" s="8" t="n"/>
      <c r="AF410" s="9">
        <f>IF(LEFT(B410,4)&lt;&gt;"    ","",AD410-AE410)</f>
        <v/>
      </c>
      <c r="AG410" s="10" t="n"/>
      <c r="AH410" s="11">
        <f>IF(LEFT(B410,4)&lt;&gt;"    ","",W410-AD410)</f>
        <v/>
      </c>
      <c r="AI410" s="8">
        <f>IF(LEFT(B410,4)&lt;&gt;"    ","",X410-AE410)</f>
        <v/>
      </c>
      <c r="AJ410" s="9">
        <f>IF(LEFT(B410,4)&lt;&gt;"    ","",Y410-AF410)</f>
        <v/>
      </c>
      <c r="AK410" s="10" t="n"/>
      <c r="AL410" s="25">
        <f>IF(LEFT(B410,4)&lt;&gt;"    ","",J410-W410)</f>
        <v/>
      </c>
      <c r="AM410" s="25">
        <f>N410-X410</f>
        <v/>
      </c>
      <c r="AN410" s="25">
        <f>IF(LEFT(B410,4)&lt;&gt;"    ","",Q410-Y410)</f>
        <v/>
      </c>
      <c r="AO410" s="10" t="n"/>
      <c r="AP410" s="12" t="n"/>
      <c r="AQ410" s="12">
        <f>IF(LEFT(B410,4)&lt;&gt;"    ","",IF(W410-AP410&gt;=0,W410-AP410," "))</f>
        <v/>
      </c>
      <c r="AR410" s="12">
        <f>IF(LEFT(B410,4)&lt;&gt;"    ","",IF(AP410-W410&gt;=0,AP410-W410," "))</f>
        <v/>
      </c>
      <c r="AS410" s="186" t="n"/>
      <c r="AT410" s="187" t="n"/>
      <c r="AU410" s="186" t="n"/>
      <c r="AV410" s="186" t="n"/>
      <c r="AW410" s="188" t="n"/>
      <c r="AX410" s="187" t="n"/>
      <c r="AY410" s="187" t="n"/>
      <c r="AZ410" s="186" t="n"/>
      <c r="BA410" s="186" t="n"/>
      <c r="BB410" s="186" t="n"/>
      <c r="BC410" s="186" t="n"/>
      <c r="BD410" s="186" t="n"/>
      <c r="BE410" s="186" t="n"/>
      <c r="BF410" s="186" t="n"/>
      <c r="BG410" s="186" t="n"/>
      <c r="BH410" s="186" t="n"/>
      <c r="BI410" s="186" t="n"/>
      <c r="BJ410" s="186" t="n"/>
      <c r="BK410" s="186" t="n"/>
      <c r="BL410" s="186" t="n"/>
      <c r="BM410" s="186" t="n"/>
      <c r="BN410" s="186" t="n"/>
      <c r="BO410" s="186" t="n"/>
      <c r="BP410" s="186" t="n"/>
      <c r="BQ410" s="186" t="n"/>
      <c r="BR410" s="186" t="n"/>
      <c r="BS410" s="186" t="n"/>
      <c r="BT410" s="186" t="n"/>
      <c r="BU410" s="186" t="n"/>
      <c r="BV410" s="190" t="n"/>
      <c r="BW410" s="186" t="n"/>
      <c r="BX410" s="186" t="n"/>
      <c r="BY410" s="186" t="n"/>
      <c r="BZ410" s="186" t="n"/>
      <c r="CA410" s="186" t="n"/>
      <c r="CB410" s="187" t="n"/>
      <c r="CC410" s="192" t="n"/>
      <c r="CD410" s="192" t="n"/>
      <c r="CE410" s="192" t="n"/>
      <c r="CF410" s="192" t="n"/>
    </row>
    <row r="411">
      <c r="A411" s="197" t="n"/>
      <c r="B411" s="198" t="n"/>
      <c r="C411" s="198" t="n"/>
      <c r="D411" s="179" t="n"/>
      <c r="E411" s="180" t="n"/>
      <c r="F411" s="181" t="n"/>
      <c r="G411" s="284">
        <f>'Jobs-Ops'!G411</f>
        <v/>
      </c>
      <c r="H411" s="114">
        <f>'Jobs-Ops'!H411</f>
        <v/>
      </c>
      <c r="I411" s="105" t="n"/>
      <c r="J411" s="196">
        <f>F411</f>
        <v/>
      </c>
      <c r="K411" s="184" t="n"/>
      <c r="L411" s="185" t="n"/>
      <c r="M411" s="8" t="n"/>
      <c r="N411" s="71">
        <f>M411</f>
        <v/>
      </c>
      <c r="O411" s="71" t="n"/>
      <c r="P411" s="101" t="n"/>
      <c r="Q411" s="9">
        <f>J411-N411</f>
        <v/>
      </c>
      <c r="R411" s="9">
        <f>IF(LEFT(B411,4)&lt;&gt;"    ",0,BI411)</f>
        <v/>
      </c>
      <c r="S411" s="9">
        <f>+Q411-R411</f>
        <v/>
      </c>
      <c r="T411" s="200">
        <f>IF('Jobs-Ops'!S411&lt;&gt; "",'Jobs-Ops'!S411,"")</f>
        <v/>
      </c>
      <c r="U411" s="10" t="n"/>
      <c r="V411" s="23">
        <f>IF(LEFT(B411,4)&lt;&gt;"    ","",IF(N411&lt;&gt;0,X411/N411,0))</f>
        <v/>
      </c>
      <c r="W411" s="11">
        <f>IF(LEFT(B411,4)&lt;&gt;"    ","",IF(V411&gt;=0.1,V411*J411,X411))</f>
        <v/>
      </c>
      <c r="X411" s="8" t="n"/>
      <c r="Y411" s="9">
        <f>IF(LEFT(B411,4)&lt;&gt;"    ",0,IF(Q411&lt;0,Q411,IF(V411&gt;0.1,W411-X411,0)))</f>
        <v/>
      </c>
      <c r="Z411" s="9">
        <f>IF(LEFT(B411,4)&lt;&gt;"    ",0,IF(V411&gt;0.1,BI411,0))</f>
        <v/>
      </c>
      <c r="AA411" s="9">
        <f>Y411-Z411</f>
        <v/>
      </c>
      <c r="AB411" s="10" t="n"/>
      <c r="AC411" s="24" t="n"/>
      <c r="AD411" s="11" t="n"/>
      <c r="AE411" s="8" t="n"/>
      <c r="AF411" s="9">
        <f>IF(LEFT(B411,4)&lt;&gt;"    ","",AD411-AE411)</f>
        <v/>
      </c>
      <c r="AG411" s="10" t="n"/>
      <c r="AH411" s="11">
        <f>IF(LEFT(B411,4)&lt;&gt;"    ","",W411-AD411)</f>
        <v/>
      </c>
      <c r="AI411" s="8">
        <f>IF(LEFT(B411,4)&lt;&gt;"    ","",X411-AE411)</f>
        <v/>
      </c>
      <c r="AJ411" s="9">
        <f>IF(LEFT(B411,4)&lt;&gt;"    ","",Y411-AF411)</f>
        <v/>
      </c>
      <c r="AK411" s="10" t="n"/>
      <c r="AL411" s="25">
        <f>IF(LEFT(B411,4)&lt;&gt;"    ","",J411-W411)</f>
        <v/>
      </c>
      <c r="AM411" s="25">
        <f>N411-X411</f>
        <v/>
      </c>
      <c r="AN411" s="25">
        <f>IF(LEFT(B411,4)&lt;&gt;"    ","",Q411-Y411)</f>
        <v/>
      </c>
      <c r="AO411" s="10" t="n"/>
      <c r="AP411" s="12" t="n"/>
      <c r="AQ411" s="12">
        <f>IF(LEFT(B411,4)&lt;&gt;"    ","",IF(W411-AP411&gt;=0,W411-AP411," "))</f>
        <v/>
      </c>
      <c r="AR411" s="12">
        <f>IF(LEFT(B411,4)&lt;&gt;"    ","",IF(AP411-W411&gt;=0,AP411-W411," "))</f>
        <v/>
      </c>
      <c r="AS411" s="186" t="n"/>
      <c r="AT411" s="187" t="n"/>
      <c r="AU411" s="186" t="n"/>
      <c r="AV411" s="186" t="n"/>
      <c r="AW411" s="188" t="n"/>
      <c r="AX411" s="187" t="n"/>
      <c r="AY411" s="187" t="n"/>
      <c r="AZ411" s="186" t="n"/>
      <c r="BA411" s="186" t="n"/>
      <c r="BB411" s="186" t="n"/>
      <c r="BC411" s="186" t="n"/>
      <c r="BD411" s="186" t="n"/>
      <c r="BE411" s="186" t="n"/>
      <c r="BF411" s="186" t="n"/>
      <c r="BG411" s="186" t="n"/>
      <c r="BH411" s="186" t="n"/>
      <c r="BI411" s="186" t="n"/>
      <c r="BJ411" s="186" t="n"/>
      <c r="BK411" s="186" t="n"/>
      <c r="BL411" s="186" t="n"/>
      <c r="BM411" s="186" t="n"/>
      <c r="BN411" s="186" t="n"/>
      <c r="BO411" s="186" t="n"/>
      <c r="BP411" s="186" t="n"/>
      <c r="BQ411" s="186" t="n"/>
      <c r="BR411" s="186" t="n"/>
      <c r="BS411" s="186" t="n"/>
      <c r="BT411" s="186" t="n"/>
      <c r="BU411" s="186" t="n"/>
      <c r="BV411" s="190" t="n"/>
      <c r="BW411" s="186" t="n"/>
      <c r="BX411" s="186" t="n"/>
      <c r="BY411" s="186" t="n"/>
      <c r="BZ411" s="186" t="n"/>
      <c r="CA411" s="186" t="n"/>
      <c r="CB411" s="187" t="n"/>
      <c r="CC411" s="192" t="n"/>
      <c r="CD411" s="192" t="n"/>
      <c r="CE411" s="192" t="n"/>
      <c r="CF411" s="192" t="n"/>
    </row>
    <row r="412">
      <c r="A412" s="197" t="n"/>
      <c r="B412" s="198" t="n"/>
      <c r="C412" s="198" t="n"/>
      <c r="D412" s="179" t="n"/>
      <c r="E412" s="180" t="n"/>
      <c r="F412" s="181" t="n"/>
      <c r="G412" s="284">
        <f>'Jobs-Ops'!G412</f>
        <v/>
      </c>
      <c r="H412" s="114">
        <f>'Jobs-Ops'!H412</f>
        <v/>
      </c>
      <c r="I412" s="105" t="n"/>
      <c r="J412" s="196">
        <f>F412</f>
        <v/>
      </c>
      <c r="K412" s="184" t="n"/>
      <c r="L412" s="185" t="n"/>
      <c r="M412" s="8" t="n"/>
      <c r="N412" s="71">
        <f>M412</f>
        <v/>
      </c>
      <c r="O412" s="71" t="n"/>
      <c r="P412" s="101" t="n"/>
      <c r="Q412" s="9">
        <f>J412-N412</f>
        <v/>
      </c>
      <c r="R412" s="9">
        <f>IF(LEFT(B412,4)&lt;&gt;"    ",0,BI412)</f>
        <v/>
      </c>
      <c r="S412" s="9">
        <f>+Q412-R412</f>
        <v/>
      </c>
      <c r="T412" s="200">
        <f>IF('Jobs-Ops'!S412&lt;&gt; "",'Jobs-Ops'!S412,"")</f>
        <v/>
      </c>
      <c r="U412" s="10" t="n"/>
      <c r="V412" s="23">
        <f>IF(LEFT(B412,4)&lt;&gt;"    ","",IF(N412&lt;&gt;0,X412/N412,0))</f>
        <v/>
      </c>
      <c r="W412" s="11">
        <f>IF(LEFT(B412,4)&lt;&gt;"    ","",IF(V412&gt;=0.1,V412*J412,X412))</f>
        <v/>
      </c>
      <c r="X412" s="8" t="n"/>
      <c r="Y412" s="9">
        <f>IF(LEFT(B412,4)&lt;&gt;"    ",0,IF(Q412&lt;0,Q412,IF(V412&gt;0.1,W412-X412,0)))</f>
        <v/>
      </c>
      <c r="Z412" s="9">
        <f>IF(LEFT(B412,4)&lt;&gt;"    ",0,IF(V412&gt;0.1,BI412,0))</f>
        <v/>
      </c>
      <c r="AA412" s="9">
        <f>Y412-Z412</f>
        <v/>
      </c>
      <c r="AB412" s="10" t="n"/>
      <c r="AC412" s="24" t="n"/>
      <c r="AD412" s="11" t="n"/>
      <c r="AE412" s="8" t="n"/>
      <c r="AF412" s="9">
        <f>IF(LEFT(B412,4)&lt;&gt;"    ","",AD412-AE412)</f>
        <v/>
      </c>
      <c r="AG412" s="10" t="n"/>
      <c r="AH412" s="11">
        <f>IF(LEFT(B412,4)&lt;&gt;"    ","",W412-AD412)</f>
        <v/>
      </c>
      <c r="AI412" s="8">
        <f>IF(LEFT(B412,4)&lt;&gt;"    ","",X412-AE412)</f>
        <v/>
      </c>
      <c r="AJ412" s="9">
        <f>IF(LEFT(B412,4)&lt;&gt;"    ","",Y412-AF412)</f>
        <v/>
      </c>
      <c r="AK412" s="10" t="n"/>
      <c r="AL412" s="25">
        <f>IF(LEFT(B412,4)&lt;&gt;"    ","",J412-W412)</f>
        <v/>
      </c>
      <c r="AM412" s="25">
        <f>N412-X412</f>
        <v/>
      </c>
      <c r="AN412" s="25">
        <f>IF(LEFT(B412,4)&lt;&gt;"    ","",Q412-Y412)</f>
        <v/>
      </c>
      <c r="AO412" s="10" t="n"/>
      <c r="AP412" s="12" t="n"/>
      <c r="AQ412" s="12">
        <f>IF(LEFT(B412,4)&lt;&gt;"    ","",IF(W412-AP412&gt;=0,W412-AP412," "))</f>
        <v/>
      </c>
      <c r="AR412" s="12">
        <f>IF(LEFT(B412,4)&lt;&gt;"    ","",IF(AP412-W412&gt;=0,AP412-W412," "))</f>
        <v/>
      </c>
      <c r="AS412" s="186" t="n"/>
      <c r="AT412" s="187" t="n"/>
      <c r="AU412" s="186" t="n"/>
      <c r="AV412" s="186" t="n"/>
      <c r="AW412" s="188" t="n"/>
      <c r="AX412" s="187" t="n"/>
      <c r="AY412" s="187" t="n"/>
      <c r="AZ412" s="186" t="n"/>
      <c r="BA412" s="186" t="n"/>
      <c r="BB412" s="186" t="n"/>
      <c r="BC412" s="186" t="n"/>
      <c r="BD412" s="186" t="n"/>
      <c r="BE412" s="186" t="n"/>
      <c r="BF412" s="186" t="n"/>
      <c r="BG412" s="186" t="n"/>
      <c r="BH412" s="186" t="n"/>
      <c r="BI412" s="186" t="n"/>
      <c r="BJ412" s="186" t="n"/>
      <c r="BK412" s="186" t="n"/>
      <c r="BL412" s="186" t="n"/>
      <c r="BM412" s="186" t="n"/>
      <c r="BN412" s="186" t="n"/>
      <c r="BO412" s="186" t="n"/>
      <c r="BP412" s="186" t="n"/>
      <c r="BQ412" s="186" t="n"/>
      <c r="BR412" s="186" t="n"/>
      <c r="BS412" s="186" t="n"/>
      <c r="BT412" s="186" t="n"/>
      <c r="BU412" s="186" t="n"/>
      <c r="BV412" s="190" t="n"/>
      <c r="BW412" s="186" t="n"/>
      <c r="BX412" s="186" t="n"/>
      <c r="BY412" s="186" t="n"/>
      <c r="BZ412" s="186" t="n"/>
      <c r="CA412" s="186" t="n"/>
      <c r="CB412" s="187" t="n"/>
      <c r="CC412" s="192" t="n"/>
      <c r="CD412" s="192" t="n"/>
      <c r="CE412" s="192" t="n"/>
      <c r="CF412" s="192" t="n"/>
    </row>
    <row r="413">
      <c r="A413" s="197" t="n"/>
      <c r="B413" s="198" t="n"/>
      <c r="C413" s="198" t="n"/>
      <c r="D413" s="179" t="n"/>
      <c r="E413" s="180" t="n"/>
      <c r="F413" s="181" t="n"/>
      <c r="G413" s="284">
        <f>'Jobs-Ops'!G413</f>
        <v/>
      </c>
      <c r="H413" s="114">
        <f>'Jobs-Ops'!H413</f>
        <v/>
      </c>
      <c r="I413" s="105" t="n"/>
      <c r="J413" s="196">
        <f>F413</f>
        <v/>
      </c>
      <c r="K413" s="184" t="n"/>
      <c r="L413" s="185" t="n"/>
      <c r="M413" s="8" t="n"/>
      <c r="N413" s="71">
        <f>M413</f>
        <v/>
      </c>
      <c r="O413" s="71" t="n"/>
      <c r="P413" s="101" t="n"/>
      <c r="Q413" s="9">
        <f>J413-N413</f>
        <v/>
      </c>
      <c r="R413" s="9">
        <f>IF(LEFT(B413,4)&lt;&gt;"    ",0,BI413)</f>
        <v/>
      </c>
      <c r="S413" s="9">
        <f>+Q413-R413</f>
        <v/>
      </c>
      <c r="T413" s="200">
        <f>IF('Jobs-Ops'!S413&lt;&gt; "",'Jobs-Ops'!S413,"")</f>
        <v/>
      </c>
      <c r="U413" s="10" t="n"/>
      <c r="V413" s="23">
        <f>IF(LEFT(B413,4)&lt;&gt;"    ","",IF(N413&lt;&gt;0,X413/N413,0))</f>
        <v/>
      </c>
      <c r="W413" s="11">
        <f>IF(LEFT(B413,4)&lt;&gt;"    ","",IF(V413&gt;=0.1,V413*J413,X413))</f>
        <v/>
      </c>
      <c r="X413" s="8" t="n"/>
      <c r="Y413" s="9">
        <f>IF(LEFT(B413,4)&lt;&gt;"    ",0,IF(Q413&lt;0,Q413,IF(V413&gt;0.1,W413-X413,0)))</f>
        <v/>
      </c>
      <c r="Z413" s="9">
        <f>IF(LEFT(B413,4)&lt;&gt;"    ",0,IF(V413&gt;0.1,BI413,0))</f>
        <v/>
      </c>
      <c r="AA413" s="9">
        <f>Y413-Z413</f>
        <v/>
      </c>
      <c r="AB413" s="10" t="n"/>
      <c r="AC413" s="24" t="n"/>
      <c r="AD413" s="11" t="n"/>
      <c r="AE413" s="8" t="n"/>
      <c r="AF413" s="9">
        <f>IF(LEFT(B413,4)&lt;&gt;"    ","",AD413-AE413)</f>
        <v/>
      </c>
      <c r="AG413" s="10" t="n"/>
      <c r="AH413" s="11">
        <f>IF(LEFT(B413,4)&lt;&gt;"    ","",W413-AD413)</f>
        <v/>
      </c>
      <c r="AI413" s="8">
        <f>IF(LEFT(B413,4)&lt;&gt;"    ","",X413-AE413)</f>
        <v/>
      </c>
      <c r="AJ413" s="9">
        <f>IF(LEFT(B413,4)&lt;&gt;"    ","",Y413-AF413)</f>
        <v/>
      </c>
      <c r="AK413" s="10" t="n"/>
      <c r="AL413" s="25">
        <f>IF(LEFT(B413,4)&lt;&gt;"    ","",J413-W413)</f>
        <v/>
      </c>
      <c r="AM413" s="25">
        <f>N413-X413</f>
        <v/>
      </c>
      <c r="AN413" s="25">
        <f>IF(LEFT(B413,4)&lt;&gt;"    ","",Q413-Y413)</f>
        <v/>
      </c>
      <c r="AO413" s="10" t="n"/>
      <c r="AP413" s="12" t="n"/>
      <c r="AQ413" s="12">
        <f>IF(LEFT(B413,4)&lt;&gt;"    ","",IF(W413-AP413&gt;=0,W413-AP413," "))</f>
        <v/>
      </c>
      <c r="AR413" s="12">
        <f>IF(LEFT(B413,4)&lt;&gt;"    ","",IF(AP413-W413&gt;=0,AP413-W413," "))</f>
        <v/>
      </c>
      <c r="AS413" s="186" t="n"/>
      <c r="AT413" s="187" t="n"/>
      <c r="AU413" s="186" t="n"/>
      <c r="AV413" s="186" t="n"/>
      <c r="AW413" s="188" t="n"/>
      <c r="AX413" s="187" t="n"/>
      <c r="AY413" s="187" t="n"/>
      <c r="AZ413" s="186" t="n"/>
      <c r="BA413" s="186" t="n"/>
      <c r="BB413" s="186" t="n"/>
      <c r="BC413" s="186" t="n"/>
      <c r="BD413" s="186" t="n"/>
      <c r="BE413" s="186" t="n"/>
      <c r="BF413" s="186" t="n"/>
      <c r="BG413" s="186" t="n"/>
      <c r="BH413" s="186" t="n"/>
      <c r="BI413" s="186" t="n"/>
      <c r="BJ413" s="186" t="n"/>
      <c r="BK413" s="186" t="n"/>
      <c r="BL413" s="186" t="n"/>
      <c r="BM413" s="186" t="n"/>
      <c r="BN413" s="186" t="n"/>
      <c r="BO413" s="186" t="n"/>
      <c r="BP413" s="186" t="n"/>
      <c r="BQ413" s="186" t="n"/>
      <c r="BR413" s="186" t="n"/>
      <c r="BS413" s="186" t="n"/>
      <c r="BT413" s="186" t="n"/>
      <c r="BU413" s="186" t="n"/>
      <c r="BV413" s="190" t="n"/>
      <c r="BW413" s="186" t="n"/>
      <c r="BX413" s="186" t="n"/>
      <c r="BY413" s="186" t="n"/>
      <c r="BZ413" s="186" t="n"/>
      <c r="CA413" s="186" t="n"/>
      <c r="CB413" s="187" t="n"/>
      <c r="CC413" s="192" t="n"/>
      <c r="CD413" s="192" t="n"/>
      <c r="CE413" s="192" t="n"/>
      <c r="CF413" s="192" t="n"/>
    </row>
    <row r="414">
      <c r="A414" s="197" t="n"/>
      <c r="B414" s="198" t="n"/>
      <c r="C414" s="198" t="n"/>
      <c r="D414" s="179" t="n"/>
      <c r="E414" s="180" t="n"/>
      <c r="F414" s="181" t="n"/>
      <c r="G414" s="284">
        <f>'Jobs-Ops'!G414</f>
        <v/>
      </c>
      <c r="H414" s="114">
        <f>'Jobs-Ops'!H414</f>
        <v/>
      </c>
      <c r="I414" s="105" t="n"/>
      <c r="J414" s="196">
        <f>F414</f>
        <v/>
      </c>
      <c r="K414" s="184" t="n"/>
      <c r="L414" s="185" t="n"/>
      <c r="M414" s="8" t="n"/>
      <c r="N414" s="71">
        <f>M414</f>
        <v/>
      </c>
      <c r="O414" s="71" t="n"/>
      <c r="P414" s="101" t="n"/>
      <c r="Q414" s="9">
        <f>J414-N414</f>
        <v/>
      </c>
      <c r="R414" s="9">
        <f>IF(LEFT(B414,4)&lt;&gt;"    ",0,BI414)</f>
        <v/>
      </c>
      <c r="S414" s="9">
        <f>+Q414-R414</f>
        <v/>
      </c>
      <c r="T414" s="200">
        <f>IF('Jobs-Ops'!S414&lt;&gt; "",'Jobs-Ops'!S414,"")</f>
        <v/>
      </c>
      <c r="U414" s="10" t="n"/>
      <c r="V414" s="23">
        <f>IF(LEFT(B414,4)&lt;&gt;"    ","",IF(N414&lt;&gt;0,X414/N414,0))</f>
        <v/>
      </c>
      <c r="W414" s="11">
        <f>IF(LEFT(B414,4)&lt;&gt;"    ","",IF(V414&gt;=0.1,V414*J414,X414))</f>
        <v/>
      </c>
      <c r="X414" s="8" t="n"/>
      <c r="Y414" s="9">
        <f>IF(LEFT(B414,4)&lt;&gt;"    ",0,IF(Q414&lt;0,Q414,IF(V414&gt;0.1,W414-X414,0)))</f>
        <v/>
      </c>
      <c r="Z414" s="9">
        <f>IF(LEFT(B414,4)&lt;&gt;"    ",0,IF(V414&gt;0.1,BI414,0))</f>
        <v/>
      </c>
      <c r="AA414" s="9">
        <f>Y414-Z414</f>
        <v/>
      </c>
      <c r="AB414" s="10" t="n"/>
      <c r="AC414" s="24" t="n"/>
      <c r="AD414" s="11" t="n"/>
      <c r="AE414" s="8" t="n"/>
      <c r="AF414" s="9">
        <f>IF(LEFT(B414,4)&lt;&gt;"    ","",AD414-AE414)</f>
        <v/>
      </c>
      <c r="AG414" s="10" t="n"/>
      <c r="AH414" s="11">
        <f>IF(LEFT(B414,4)&lt;&gt;"    ","",W414-AD414)</f>
        <v/>
      </c>
      <c r="AI414" s="8">
        <f>IF(LEFT(B414,4)&lt;&gt;"    ","",X414-AE414)</f>
        <v/>
      </c>
      <c r="AJ414" s="9">
        <f>IF(LEFT(B414,4)&lt;&gt;"    ","",Y414-AF414)</f>
        <v/>
      </c>
      <c r="AK414" s="10" t="n"/>
      <c r="AL414" s="25">
        <f>IF(LEFT(B414,4)&lt;&gt;"    ","",J414-W414)</f>
        <v/>
      </c>
      <c r="AM414" s="25">
        <f>N414-X414</f>
        <v/>
      </c>
      <c r="AN414" s="25">
        <f>IF(LEFT(B414,4)&lt;&gt;"    ","",Q414-Y414)</f>
        <v/>
      </c>
      <c r="AO414" s="10" t="n"/>
      <c r="AP414" s="12" t="n"/>
      <c r="AQ414" s="12">
        <f>IF(LEFT(B414,4)&lt;&gt;"    ","",IF(W414-AP414&gt;=0,W414-AP414," "))</f>
        <v/>
      </c>
      <c r="AR414" s="12">
        <f>IF(LEFT(B414,4)&lt;&gt;"    ","",IF(AP414-W414&gt;=0,AP414-W414," "))</f>
        <v/>
      </c>
      <c r="AS414" s="186" t="n"/>
      <c r="AT414" s="187" t="n"/>
      <c r="AU414" s="186" t="n"/>
      <c r="AV414" s="186" t="n"/>
      <c r="AW414" s="188" t="n"/>
      <c r="AX414" s="187" t="n"/>
      <c r="AY414" s="187" t="n"/>
      <c r="AZ414" s="186" t="n"/>
      <c r="BA414" s="186" t="n"/>
      <c r="BB414" s="186" t="n"/>
      <c r="BC414" s="186" t="n"/>
      <c r="BD414" s="186" t="n"/>
      <c r="BE414" s="186" t="n"/>
      <c r="BF414" s="186" t="n"/>
      <c r="BG414" s="186" t="n"/>
      <c r="BH414" s="186" t="n"/>
      <c r="BI414" s="186" t="n"/>
      <c r="BJ414" s="186" t="n"/>
      <c r="BK414" s="186" t="n"/>
      <c r="BL414" s="186" t="n"/>
      <c r="BM414" s="186" t="n"/>
      <c r="BN414" s="186" t="n"/>
      <c r="BO414" s="186" t="n"/>
      <c r="BP414" s="186" t="n"/>
      <c r="BQ414" s="186" t="n"/>
      <c r="BR414" s="186" t="n"/>
      <c r="BS414" s="186" t="n"/>
      <c r="BT414" s="186" t="n"/>
      <c r="BU414" s="186" t="n"/>
      <c r="BV414" s="190" t="n"/>
      <c r="BW414" s="186" t="n"/>
      <c r="BX414" s="186" t="n"/>
      <c r="BY414" s="186" t="n"/>
      <c r="BZ414" s="186" t="n"/>
      <c r="CA414" s="186" t="n"/>
      <c r="CB414" s="187" t="n"/>
      <c r="CC414" s="192" t="n"/>
      <c r="CD414" s="192" t="n"/>
      <c r="CE414" s="192" t="n"/>
      <c r="CF414" s="192" t="n"/>
    </row>
    <row r="415">
      <c r="A415" s="197" t="n"/>
      <c r="B415" s="198" t="n"/>
      <c r="C415" s="198" t="n"/>
      <c r="D415" s="179" t="n"/>
      <c r="E415" s="180" t="n"/>
      <c r="F415" s="181" t="n"/>
      <c r="G415" s="284">
        <f>'Jobs-Ops'!G415</f>
        <v/>
      </c>
      <c r="H415" s="114">
        <f>'Jobs-Ops'!H415</f>
        <v/>
      </c>
      <c r="I415" s="105" t="n"/>
      <c r="J415" s="196">
        <f>F415</f>
        <v/>
      </c>
      <c r="K415" s="184" t="n"/>
      <c r="L415" s="185" t="n"/>
      <c r="M415" s="8" t="n"/>
      <c r="N415" s="71">
        <f>M415</f>
        <v/>
      </c>
      <c r="O415" s="71" t="n"/>
      <c r="P415" s="101" t="n"/>
      <c r="Q415" s="9">
        <f>J415-N415</f>
        <v/>
      </c>
      <c r="R415" s="9">
        <f>IF(LEFT(B415,4)&lt;&gt;"    ",0,BI415)</f>
        <v/>
      </c>
      <c r="S415" s="9">
        <f>+Q415-R415</f>
        <v/>
      </c>
      <c r="T415" s="200">
        <f>IF('Jobs-Ops'!S415&lt;&gt; "",'Jobs-Ops'!S415,"")</f>
        <v/>
      </c>
      <c r="U415" s="10" t="n"/>
      <c r="V415" s="23">
        <f>IF(LEFT(B415,4)&lt;&gt;"    ","",IF(N415&lt;&gt;0,X415/N415,0))</f>
        <v/>
      </c>
      <c r="W415" s="11">
        <f>IF(LEFT(B415,4)&lt;&gt;"    ","",IF(V415&gt;=0.1,V415*J415,X415))</f>
        <v/>
      </c>
      <c r="X415" s="8" t="n"/>
      <c r="Y415" s="9">
        <f>IF(LEFT(B415,4)&lt;&gt;"    ",0,IF(Q415&lt;0,Q415,IF(V415&gt;0.1,W415-X415,0)))</f>
        <v/>
      </c>
      <c r="Z415" s="9">
        <f>IF(LEFT(B415,4)&lt;&gt;"    ",0,IF(V415&gt;0.1,BI415,0))</f>
        <v/>
      </c>
      <c r="AA415" s="9">
        <f>Y415-Z415</f>
        <v/>
      </c>
      <c r="AB415" s="10" t="n"/>
      <c r="AC415" s="24" t="n"/>
      <c r="AD415" s="11" t="n"/>
      <c r="AE415" s="8" t="n"/>
      <c r="AF415" s="9">
        <f>IF(LEFT(B415,4)&lt;&gt;"    ","",AD415-AE415)</f>
        <v/>
      </c>
      <c r="AG415" s="10" t="n"/>
      <c r="AH415" s="11">
        <f>IF(LEFT(B415,4)&lt;&gt;"    ","",W415-AD415)</f>
        <v/>
      </c>
      <c r="AI415" s="8">
        <f>IF(LEFT(B415,4)&lt;&gt;"    ","",X415-AE415)</f>
        <v/>
      </c>
      <c r="AJ415" s="9">
        <f>IF(LEFT(B415,4)&lt;&gt;"    ","",Y415-AF415)</f>
        <v/>
      </c>
      <c r="AK415" s="10" t="n"/>
      <c r="AL415" s="25">
        <f>IF(LEFT(B415,4)&lt;&gt;"    ","",J415-W415)</f>
        <v/>
      </c>
      <c r="AM415" s="25">
        <f>N415-X415</f>
        <v/>
      </c>
      <c r="AN415" s="25">
        <f>IF(LEFT(B415,4)&lt;&gt;"    ","",Q415-Y415)</f>
        <v/>
      </c>
      <c r="AO415" s="10" t="n"/>
      <c r="AP415" s="12" t="n"/>
      <c r="AQ415" s="12">
        <f>IF(LEFT(B415,4)&lt;&gt;"    ","",IF(W415-AP415&gt;=0,W415-AP415," "))</f>
        <v/>
      </c>
      <c r="AR415" s="12">
        <f>IF(LEFT(B415,4)&lt;&gt;"    ","",IF(AP415-W415&gt;=0,AP415-W415," "))</f>
        <v/>
      </c>
      <c r="AS415" s="186" t="n"/>
      <c r="AT415" s="187" t="n"/>
      <c r="AU415" s="186" t="n"/>
      <c r="AV415" s="186" t="n"/>
      <c r="AW415" s="188" t="n"/>
      <c r="AX415" s="187" t="n"/>
      <c r="AY415" s="187" t="n"/>
      <c r="AZ415" s="186" t="n"/>
      <c r="BA415" s="186" t="n"/>
      <c r="BB415" s="186" t="n"/>
      <c r="BC415" s="186" t="n"/>
      <c r="BD415" s="186" t="n"/>
      <c r="BE415" s="186" t="n"/>
      <c r="BF415" s="186" t="n"/>
      <c r="BG415" s="186" t="n"/>
      <c r="BH415" s="186" t="n"/>
      <c r="BI415" s="186" t="n"/>
      <c r="BJ415" s="186" t="n"/>
      <c r="BK415" s="186" t="n"/>
      <c r="BL415" s="186" t="n"/>
      <c r="BM415" s="186" t="n"/>
      <c r="BN415" s="186" t="n"/>
      <c r="BO415" s="186" t="n"/>
      <c r="BP415" s="186" t="n"/>
      <c r="BQ415" s="186" t="n"/>
      <c r="BR415" s="186" t="n"/>
      <c r="BS415" s="186" t="n"/>
      <c r="BT415" s="186" t="n"/>
      <c r="BU415" s="186" t="n"/>
      <c r="BV415" s="190" t="n"/>
      <c r="BW415" s="186" t="n"/>
      <c r="BX415" s="186" t="n"/>
      <c r="BY415" s="186" t="n"/>
      <c r="BZ415" s="186" t="n"/>
      <c r="CA415" s="186" t="n"/>
      <c r="CB415" s="187" t="n"/>
      <c r="CC415" s="192" t="n"/>
      <c r="CD415" s="192" t="n"/>
      <c r="CE415" s="192" t="n"/>
      <c r="CF415" s="192" t="n"/>
    </row>
    <row r="416">
      <c r="A416" s="197" t="n"/>
      <c r="B416" s="198" t="n"/>
      <c r="C416" s="198" t="n"/>
      <c r="D416" s="179" t="n"/>
      <c r="E416" s="180" t="n"/>
      <c r="F416" s="181" t="n"/>
      <c r="G416" s="284">
        <f>'Jobs-Ops'!G416</f>
        <v/>
      </c>
      <c r="H416" s="114">
        <f>'Jobs-Ops'!H416</f>
        <v/>
      </c>
      <c r="I416" s="105" t="n"/>
      <c r="J416" s="196">
        <f>F416</f>
        <v/>
      </c>
      <c r="K416" s="184" t="n"/>
      <c r="L416" s="185" t="n"/>
      <c r="M416" s="8" t="n"/>
      <c r="N416" s="71">
        <f>M416</f>
        <v/>
      </c>
      <c r="O416" s="71" t="n"/>
      <c r="P416" s="101" t="n"/>
      <c r="Q416" s="9">
        <f>J416-N416</f>
        <v/>
      </c>
      <c r="R416" s="9">
        <f>IF(LEFT(B416,4)&lt;&gt;"    ",0,BI416)</f>
        <v/>
      </c>
      <c r="S416" s="9">
        <f>+Q416-R416</f>
        <v/>
      </c>
      <c r="T416" s="200">
        <f>IF('Jobs-Ops'!S416&lt;&gt; "",'Jobs-Ops'!S416,"")</f>
        <v/>
      </c>
      <c r="U416" s="10" t="n"/>
      <c r="V416" s="23">
        <f>IF(LEFT(B416,4)&lt;&gt;"    ","",IF(N416&lt;&gt;0,X416/N416,0))</f>
        <v/>
      </c>
      <c r="W416" s="11">
        <f>IF(LEFT(B416,4)&lt;&gt;"    ","",IF(V416&gt;=0.1,V416*J416,X416))</f>
        <v/>
      </c>
      <c r="X416" s="8" t="n"/>
      <c r="Y416" s="9">
        <f>IF(LEFT(B416,4)&lt;&gt;"    ",0,IF(Q416&lt;0,Q416,IF(V416&gt;0.1,W416-X416,0)))</f>
        <v/>
      </c>
      <c r="Z416" s="9">
        <f>IF(LEFT(B416,4)&lt;&gt;"    ",0,IF(V416&gt;0.1,BI416,0))</f>
        <v/>
      </c>
      <c r="AA416" s="9">
        <f>Y416-Z416</f>
        <v/>
      </c>
      <c r="AB416" s="10" t="n"/>
      <c r="AC416" s="24" t="n"/>
      <c r="AD416" s="11" t="n"/>
      <c r="AE416" s="8" t="n"/>
      <c r="AF416" s="9">
        <f>IF(LEFT(B416,4)&lt;&gt;"    ","",AD416-AE416)</f>
        <v/>
      </c>
      <c r="AG416" s="10" t="n"/>
      <c r="AH416" s="11">
        <f>IF(LEFT(B416,4)&lt;&gt;"    ","",W416-AD416)</f>
        <v/>
      </c>
      <c r="AI416" s="8">
        <f>IF(LEFT(B416,4)&lt;&gt;"    ","",X416-AE416)</f>
        <v/>
      </c>
      <c r="AJ416" s="9">
        <f>IF(LEFT(B416,4)&lt;&gt;"    ","",Y416-AF416)</f>
        <v/>
      </c>
      <c r="AK416" s="10" t="n"/>
      <c r="AL416" s="25">
        <f>IF(LEFT(B416,4)&lt;&gt;"    ","",J416-W416)</f>
        <v/>
      </c>
      <c r="AM416" s="25">
        <f>N416-X416</f>
        <v/>
      </c>
      <c r="AN416" s="25">
        <f>IF(LEFT(B416,4)&lt;&gt;"    ","",Q416-Y416)</f>
        <v/>
      </c>
      <c r="AO416" s="10" t="n"/>
      <c r="AP416" s="12" t="n"/>
      <c r="AQ416" s="12">
        <f>IF(LEFT(B416,4)&lt;&gt;"    ","",IF(W416-AP416&gt;=0,W416-AP416," "))</f>
        <v/>
      </c>
      <c r="AR416" s="12">
        <f>IF(LEFT(B416,4)&lt;&gt;"    ","",IF(AP416-W416&gt;=0,AP416-W416," "))</f>
        <v/>
      </c>
      <c r="AS416" s="186" t="n"/>
      <c r="AT416" s="187" t="n"/>
      <c r="AU416" s="186" t="n"/>
      <c r="AV416" s="186" t="n"/>
      <c r="AW416" s="188" t="n"/>
      <c r="AX416" s="187" t="n"/>
      <c r="AY416" s="187" t="n"/>
      <c r="AZ416" s="186" t="n"/>
      <c r="BA416" s="186" t="n"/>
      <c r="BB416" s="186" t="n"/>
      <c r="BC416" s="186" t="n"/>
      <c r="BD416" s="186" t="n"/>
      <c r="BE416" s="186" t="n"/>
      <c r="BF416" s="186" t="n"/>
      <c r="BG416" s="186" t="n"/>
      <c r="BH416" s="186" t="n"/>
      <c r="BI416" s="186" t="n"/>
      <c r="BJ416" s="186" t="n"/>
      <c r="BK416" s="186" t="n"/>
      <c r="BL416" s="186" t="n"/>
      <c r="BM416" s="186" t="n"/>
      <c r="BN416" s="186" t="n"/>
      <c r="BO416" s="186" t="n"/>
      <c r="BP416" s="186" t="n"/>
      <c r="BQ416" s="186" t="n"/>
      <c r="BR416" s="186" t="n"/>
      <c r="BS416" s="186" t="n"/>
      <c r="BT416" s="186" t="n"/>
      <c r="BU416" s="186" t="n"/>
      <c r="BV416" s="190" t="n"/>
      <c r="BW416" s="186" t="n"/>
      <c r="BX416" s="186" t="n"/>
      <c r="BY416" s="186" t="n"/>
      <c r="BZ416" s="186" t="n"/>
      <c r="CA416" s="186" t="n"/>
      <c r="CB416" s="187" t="n"/>
      <c r="CC416" s="192" t="n"/>
      <c r="CD416" s="192" t="n"/>
      <c r="CE416" s="192" t="n"/>
      <c r="CF416" s="192" t="n"/>
    </row>
    <row r="417">
      <c r="A417" s="197" t="n"/>
      <c r="B417" s="198" t="n"/>
      <c r="C417" s="198" t="n"/>
      <c r="D417" s="179" t="n"/>
      <c r="E417" s="180" t="n"/>
      <c r="F417" s="181" t="n"/>
      <c r="G417" s="284">
        <f>'Jobs-Ops'!G417</f>
        <v/>
      </c>
      <c r="H417" s="114">
        <f>'Jobs-Ops'!H417</f>
        <v/>
      </c>
      <c r="I417" s="105" t="n"/>
      <c r="J417" s="196">
        <f>F417</f>
        <v/>
      </c>
      <c r="K417" s="184" t="n"/>
      <c r="L417" s="185" t="n"/>
      <c r="M417" s="8" t="n"/>
      <c r="N417" s="71">
        <f>M417</f>
        <v/>
      </c>
      <c r="O417" s="71" t="n"/>
      <c r="P417" s="101" t="n"/>
      <c r="Q417" s="9">
        <f>J417-N417</f>
        <v/>
      </c>
      <c r="R417" s="9">
        <f>IF(LEFT(B417,4)&lt;&gt;"    ",0,BI417)</f>
        <v/>
      </c>
      <c r="S417" s="9">
        <f>+Q417-R417</f>
        <v/>
      </c>
      <c r="T417" s="200">
        <f>IF('Jobs-Ops'!S417&lt;&gt; "",'Jobs-Ops'!S417,"")</f>
        <v/>
      </c>
      <c r="U417" s="10" t="n"/>
      <c r="V417" s="23">
        <f>IF(LEFT(B417,4)&lt;&gt;"    ","",IF(N417&lt;&gt;0,X417/N417,0))</f>
        <v/>
      </c>
      <c r="W417" s="11">
        <f>IF(LEFT(B417,4)&lt;&gt;"    ","",IF(V417&gt;=0.1,V417*J417,X417))</f>
        <v/>
      </c>
      <c r="X417" s="8" t="n"/>
      <c r="Y417" s="9">
        <f>IF(LEFT(B417,4)&lt;&gt;"    ",0,IF(Q417&lt;0,Q417,IF(V417&gt;0.1,W417-X417,0)))</f>
        <v/>
      </c>
      <c r="Z417" s="9">
        <f>IF(LEFT(B417,4)&lt;&gt;"    ",0,IF(V417&gt;0.1,BI417,0))</f>
        <v/>
      </c>
      <c r="AA417" s="9">
        <f>Y417-Z417</f>
        <v/>
      </c>
      <c r="AB417" s="10" t="n"/>
      <c r="AC417" s="24" t="n"/>
      <c r="AD417" s="11" t="n"/>
      <c r="AE417" s="8" t="n"/>
      <c r="AF417" s="9">
        <f>IF(LEFT(B417,4)&lt;&gt;"    ","",AD417-AE417)</f>
        <v/>
      </c>
      <c r="AG417" s="10" t="n"/>
      <c r="AH417" s="11">
        <f>IF(LEFT(B417,4)&lt;&gt;"    ","",W417-AD417)</f>
        <v/>
      </c>
      <c r="AI417" s="8">
        <f>IF(LEFT(B417,4)&lt;&gt;"    ","",X417-AE417)</f>
        <v/>
      </c>
      <c r="AJ417" s="9">
        <f>IF(LEFT(B417,4)&lt;&gt;"    ","",Y417-AF417)</f>
        <v/>
      </c>
      <c r="AK417" s="10" t="n"/>
      <c r="AL417" s="25">
        <f>IF(LEFT(B417,4)&lt;&gt;"    ","",J417-W417)</f>
        <v/>
      </c>
      <c r="AM417" s="25">
        <f>N417-X417</f>
        <v/>
      </c>
      <c r="AN417" s="25">
        <f>IF(LEFT(B417,4)&lt;&gt;"    ","",Q417-Y417)</f>
        <v/>
      </c>
      <c r="AO417" s="10" t="n"/>
      <c r="AP417" s="12" t="n"/>
      <c r="AQ417" s="12">
        <f>IF(LEFT(B417,4)&lt;&gt;"    ","",IF(W417-AP417&gt;=0,W417-AP417," "))</f>
        <v/>
      </c>
      <c r="AR417" s="12">
        <f>IF(LEFT(B417,4)&lt;&gt;"    ","",IF(AP417-W417&gt;=0,AP417-W417," "))</f>
        <v/>
      </c>
      <c r="AS417" s="186" t="n"/>
      <c r="AT417" s="187" t="n"/>
      <c r="AU417" s="186" t="n"/>
      <c r="AV417" s="186" t="n"/>
      <c r="AW417" s="188" t="n"/>
      <c r="AX417" s="187" t="n"/>
      <c r="AY417" s="187" t="n"/>
      <c r="AZ417" s="186" t="n"/>
      <c r="BA417" s="186" t="n"/>
      <c r="BB417" s="186" t="n"/>
      <c r="BC417" s="186" t="n"/>
      <c r="BD417" s="186" t="n"/>
      <c r="BE417" s="186" t="n"/>
      <c r="BF417" s="186" t="n"/>
      <c r="BG417" s="186" t="n"/>
      <c r="BH417" s="186" t="n"/>
      <c r="BI417" s="186" t="n"/>
      <c r="BJ417" s="186" t="n"/>
      <c r="BK417" s="186" t="n"/>
      <c r="BL417" s="186" t="n"/>
      <c r="BM417" s="186" t="n"/>
      <c r="BN417" s="186" t="n"/>
      <c r="BO417" s="186" t="n"/>
      <c r="BP417" s="186" t="n"/>
      <c r="BQ417" s="186" t="n"/>
      <c r="BR417" s="186" t="n"/>
      <c r="BS417" s="186" t="n"/>
      <c r="BT417" s="186" t="n"/>
      <c r="BU417" s="186" t="n"/>
      <c r="BV417" s="190" t="n"/>
      <c r="BW417" s="186" t="n"/>
      <c r="BX417" s="186" t="n"/>
      <c r="BY417" s="186" t="n"/>
      <c r="BZ417" s="186" t="n"/>
      <c r="CA417" s="186" t="n"/>
      <c r="CB417" s="187" t="n"/>
      <c r="CC417" s="192" t="n"/>
      <c r="CD417" s="192" t="n"/>
      <c r="CE417" s="192" t="n"/>
      <c r="CF417" s="192" t="n"/>
    </row>
    <row r="418">
      <c r="A418" s="197" t="n"/>
      <c r="B418" s="198" t="n"/>
      <c r="C418" s="198" t="n"/>
      <c r="D418" s="179" t="n"/>
      <c r="E418" s="180" t="n"/>
      <c r="F418" s="181" t="n"/>
      <c r="G418" s="284">
        <f>'Jobs-Ops'!G418</f>
        <v/>
      </c>
      <c r="H418" s="114">
        <f>'Jobs-Ops'!H418</f>
        <v/>
      </c>
      <c r="I418" s="105" t="n"/>
      <c r="J418" s="196">
        <f>F418</f>
        <v/>
      </c>
      <c r="K418" s="184" t="n"/>
      <c r="L418" s="185" t="n"/>
      <c r="M418" s="8" t="n"/>
      <c r="N418" s="71">
        <f>M418</f>
        <v/>
      </c>
      <c r="O418" s="71" t="n"/>
      <c r="P418" s="101" t="n"/>
      <c r="Q418" s="9">
        <f>J418-N418</f>
        <v/>
      </c>
      <c r="R418" s="9">
        <f>IF(LEFT(B418,4)&lt;&gt;"    ",0,BI418)</f>
        <v/>
      </c>
      <c r="S418" s="9">
        <f>+Q418-R418</f>
        <v/>
      </c>
      <c r="T418" s="200">
        <f>IF('Jobs-Ops'!S418&lt;&gt; "",'Jobs-Ops'!S418,"")</f>
        <v/>
      </c>
      <c r="U418" s="10" t="n"/>
      <c r="V418" s="23">
        <f>IF(LEFT(B418,4)&lt;&gt;"    ","",IF(N418&lt;&gt;0,X418/N418,0))</f>
        <v/>
      </c>
      <c r="W418" s="11">
        <f>IF(LEFT(B418,4)&lt;&gt;"    ","",IF(V418&gt;=0.1,V418*J418,X418))</f>
        <v/>
      </c>
      <c r="X418" s="8" t="n"/>
      <c r="Y418" s="9">
        <f>IF(LEFT(B418,4)&lt;&gt;"    ",0,IF(Q418&lt;0,Q418,IF(V418&gt;0.1,W418-X418,0)))</f>
        <v/>
      </c>
      <c r="Z418" s="9">
        <f>IF(LEFT(B418,4)&lt;&gt;"    ",0,IF(V418&gt;0.1,BI418,0))</f>
        <v/>
      </c>
      <c r="AA418" s="9">
        <f>Y418-Z418</f>
        <v/>
      </c>
      <c r="AB418" s="10" t="n"/>
      <c r="AC418" s="24" t="n"/>
      <c r="AD418" s="11" t="n"/>
      <c r="AE418" s="8" t="n"/>
      <c r="AF418" s="9">
        <f>IF(LEFT(B418,4)&lt;&gt;"    ","",AD418-AE418)</f>
        <v/>
      </c>
      <c r="AG418" s="10" t="n"/>
      <c r="AH418" s="11">
        <f>IF(LEFT(B418,4)&lt;&gt;"    ","",W418-AD418)</f>
        <v/>
      </c>
      <c r="AI418" s="8">
        <f>IF(LEFT(B418,4)&lt;&gt;"    ","",X418-AE418)</f>
        <v/>
      </c>
      <c r="AJ418" s="9">
        <f>IF(LEFT(B418,4)&lt;&gt;"    ","",Y418-AF418)</f>
        <v/>
      </c>
      <c r="AK418" s="10" t="n"/>
      <c r="AL418" s="25">
        <f>IF(LEFT(B418,4)&lt;&gt;"    ","",J418-W418)</f>
        <v/>
      </c>
      <c r="AM418" s="25">
        <f>N418-X418</f>
        <v/>
      </c>
      <c r="AN418" s="25">
        <f>IF(LEFT(B418,4)&lt;&gt;"    ","",Q418-Y418)</f>
        <v/>
      </c>
      <c r="AO418" s="10" t="n"/>
      <c r="AP418" s="12" t="n"/>
      <c r="AQ418" s="12">
        <f>IF(LEFT(B418,4)&lt;&gt;"    ","",IF(W418-AP418&gt;=0,W418-AP418," "))</f>
        <v/>
      </c>
      <c r="AR418" s="12">
        <f>IF(LEFT(B418,4)&lt;&gt;"    ","",IF(AP418-W418&gt;=0,AP418-W418," "))</f>
        <v/>
      </c>
      <c r="AS418" s="186" t="n"/>
      <c r="AT418" s="187" t="n"/>
      <c r="AU418" s="186" t="n"/>
      <c r="AV418" s="186" t="n"/>
      <c r="AW418" s="188" t="n"/>
      <c r="AX418" s="187" t="n"/>
      <c r="AY418" s="187" t="n"/>
      <c r="AZ418" s="186" t="n"/>
      <c r="BA418" s="186" t="n"/>
      <c r="BB418" s="186" t="n"/>
      <c r="BC418" s="186" t="n"/>
      <c r="BD418" s="186" t="n"/>
      <c r="BE418" s="186" t="n"/>
      <c r="BF418" s="186" t="n"/>
      <c r="BG418" s="186" t="n"/>
      <c r="BH418" s="186" t="n"/>
      <c r="BI418" s="186" t="n"/>
      <c r="BJ418" s="186" t="n"/>
      <c r="BK418" s="186" t="n"/>
      <c r="BL418" s="186" t="n"/>
      <c r="BM418" s="186" t="n"/>
      <c r="BN418" s="186" t="n"/>
      <c r="BO418" s="186" t="n"/>
      <c r="BP418" s="186" t="n"/>
      <c r="BQ418" s="186" t="n"/>
      <c r="BR418" s="186" t="n"/>
      <c r="BS418" s="186" t="n"/>
      <c r="BT418" s="186" t="n"/>
      <c r="BU418" s="186" t="n"/>
      <c r="BV418" s="190" t="n"/>
      <c r="BW418" s="186" t="n"/>
      <c r="BX418" s="186" t="n"/>
      <c r="BY418" s="186" t="n"/>
      <c r="BZ418" s="186" t="n"/>
      <c r="CA418" s="186" t="n"/>
      <c r="CB418" s="187" t="n"/>
      <c r="CC418" s="192" t="n"/>
      <c r="CD418" s="192" t="n"/>
      <c r="CE418" s="192" t="n"/>
      <c r="CF418" s="192" t="n"/>
    </row>
    <row r="419">
      <c r="A419" s="197" t="n"/>
      <c r="B419" s="198" t="n"/>
      <c r="C419" s="198" t="n"/>
      <c r="D419" s="179" t="n"/>
      <c r="E419" s="180" t="n"/>
      <c r="F419" s="181" t="n"/>
      <c r="G419" s="284">
        <f>'Jobs-Ops'!G419</f>
        <v/>
      </c>
      <c r="H419" s="114">
        <f>'Jobs-Ops'!H419</f>
        <v/>
      </c>
      <c r="I419" s="105" t="n"/>
      <c r="J419" s="196">
        <f>F419</f>
        <v/>
      </c>
      <c r="K419" s="184" t="n"/>
      <c r="L419" s="185" t="n"/>
      <c r="M419" s="8" t="n"/>
      <c r="N419" s="71">
        <f>M419</f>
        <v/>
      </c>
      <c r="O419" s="71" t="n"/>
      <c r="P419" s="101" t="n"/>
      <c r="Q419" s="9">
        <f>J419-N419</f>
        <v/>
      </c>
      <c r="R419" s="9">
        <f>IF(LEFT(B419,4)&lt;&gt;"    ",0,BI419)</f>
        <v/>
      </c>
      <c r="S419" s="9">
        <f>+Q419-R419</f>
        <v/>
      </c>
      <c r="T419" s="200">
        <f>IF('Jobs-Ops'!S419&lt;&gt; "",'Jobs-Ops'!S419,"")</f>
        <v/>
      </c>
      <c r="U419" s="10" t="n"/>
      <c r="V419" s="23">
        <f>IF(LEFT(B419,4)&lt;&gt;"    ","",IF(N419&lt;&gt;0,X419/N419,0))</f>
        <v/>
      </c>
      <c r="W419" s="11">
        <f>IF(LEFT(B419,4)&lt;&gt;"    ","",IF(V419&gt;=0.1,V419*J419,X419))</f>
        <v/>
      </c>
      <c r="X419" s="8" t="n"/>
      <c r="Y419" s="9">
        <f>IF(LEFT(B419,4)&lt;&gt;"    ",0,IF(Q419&lt;0,Q419,IF(V419&gt;0.1,W419-X419,0)))</f>
        <v/>
      </c>
      <c r="Z419" s="9">
        <f>IF(LEFT(B419,4)&lt;&gt;"    ",0,IF(V419&gt;0.1,BI419,0))</f>
        <v/>
      </c>
      <c r="AA419" s="9">
        <f>Y419-Z419</f>
        <v/>
      </c>
      <c r="AB419" s="10" t="n"/>
      <c r="AC419" s="24" t="n"/>
      <c r="AD419" s="11" t="n"/>
      <c r="AE419" s="8" t="n"/>
      <c r="AF419" s="9">
        <f>IF(LEFT(B419,4)&lt;&gt;"    ","",AD419-AE419)</f>
        <v/>
      </c>
      <c r="AG419" s="10" t="n"/>
      <c r="AH419" s="11">
        <f>IF(LEFT(B419,4)&lt;&gt;"    ","",W419-AD419)</f>
        <v/>
      </c>
      <c r="AI419" s="8">
        <f>IF(LEFT(B419,4)&lt;&gt;"    ","",X419-AE419)</f>
        <v/>
      </c>
      <c r="AJ419" s="9">
        <f>IF(LEFT(B419,4)&lt;&gt;"    ","",Y419-AF419)</f>
        <v/>
      </c>
      <c r="AK419" s="10" t="n"/>
      <c r="AL419" s="25">
        <f>IF(LEFT(B419,4)&lt;&gt;"    ","",J419-W419)</f>
        <v/>
      </c>
      <c r="AM419" s="25">
        <f>N419-X419</f>
        <v/>
      </c>
      <c r="AN419" s="25">
        <f>IF(LEFT(B419,4)&lt;&gt;"    ","",Q419-Y419)</f>
        <v/>
      </c>
      <c r="AO419" s="10" t="n"/>
      <c r="AP419" s="12" t="n"/>
      <c r="AQ419" s="12">
        <f>IF(LEFT(B419,4)&lt;&gt;"    ","",IF(W419-AP419&gt;=0,W419-AP419," "))</f>
        <v/>
      </c>
      <c r="AR419" s="12">
        <f>IF(LEFT(B419,4)&lt;&gt;"    ","",IF(AP419-W419&gt;=0,AP419-W419," "))</f>
        <v/>
      </c>
      <c r="AS419" s="186" t="n"/>
      <c r="AT419" s="187" t="n"/>
      <c r="AU419" s="186" t="n"/>
      <c r="AV419" s="186" t="n"/>
      <c r="AW419" s="188" t="n"/>
      <c r="AX419" s="187" t="n"/>
      <c r="AY419" s="187" t="n"/>
      <c r="AZ419" s="186" t="n"/>
      <c r="BA419" s="186" t="n"/>
      <c r="BB419" s="186" t="n"/>
      <c r="BC419" s="186" t="n"/>
      <c r="BD419" s="186" t="n"/>
      <c r="BE419" s="186" t="n"/>
      <c r="BF419" s="186" t="n"/>
      <c r="BG419" s="186" t="n"/>
      <c r="BH419" s="186" t="n"/>
      <c r="BI419" s="186" t="n"/>
      <c r="BJ419" s="186" t="n"/>
      <c r="BK419" s="186" t="n"/>
      <c r="BL419" s="186" t="n"/>
      <c r="BM419" s="186" t="n"/>
      <c r="BN419" s="186" t="n"/>
      <c r="BO419" s="186" t="n"/>
      <c r="BP419" s="186" t="n"/>
      <c r="BQ419" s="186" t="n"/>
      <c r="BR419" s="186" t="n"/>
      <c r="BS419" s="186" t="n"/>
      <c r="BT419" s="186" t="n"/>
      <c r="BU419" s="186" t="n"/>
      <c r="BV419" s="190" t="n"/>
      <c r="BW419" s="186" t="n"/>
      <c r="BX419" s="186" t="n"/>
      <c r="BY419" s="186" t="n"/>
      <c r="BZ419" s="186" t="n"/>
      <c r="CA419" s="186" t="n"/>
      <c r="CB419" s="187" t="n"/>
      <c r="CC419" s="192" t="n"/>
      <c r="CD419" s="192" t="n"/>
      <c r="CE419" s="192" t="n"/>
      <c r="CF419" s="192" t="n"/>
    </row>
    <row r="420">
      <c r="A420" s="197" t="n"/>
      <c r="B420" s="198" t="n"/>
      <c r="C420" s="198" t="n"/>
      <c r="D420" s="179" t="n"/>
      <c r="E420" s="180" t="n"/>
      <c r="F420" s="181" t="n"/>
      <c r="G420" s="284">
        <f>'Jobs-Ops'!G420</f>
        <v/>
      </c>
      <c r="H420" s="114">
        <f>'Jobs-Ops'!H420</f>
        <v/>
      </c>
      <c r="I420" s="105" t="n"/>
      <c r="J420" s="196">
        <f>F420</f>
        <v/>
      </c>
      <c r="K420" s="184" t="n"/>
      <c r="L420" s="185" t="n"/>
      <c r="M420" s="8" t="n"/>
      <c r="N420" s="71">
        <f>M420</f>
        <v/>
      </c>
      <c r="O420" s="71" t="n"/>
      <c r="P420" s="101" t="n"/>
      <c r="Q420" s="9">
        <f>J420-N420</f>
        <v/>
      </c>
      <c r="R420" s="9">
        <f>IF(LEFT(B420,4)&lt;&gt;"    ",0,BI420)</f>
        <v/>
      </c>
      <c r="S420" s="9">
        <f>+Q420-R420</f>
        <v/>
      </c>
      <c r="T420" s="200">
        <f>IF('Jobs-Ops'!S420&lt;&gt; "",'Jobs-Ops'!S420,"")</f>
        <v/>
      </c>
      <c r="U420" s="10" t="n"/>
      <c r="V420" s="23">
        <f>IF(LEFT(B420,4)&lt;&gt;"    ","",IF(N420&lt;&gt;0,X420/N420,0))</f>
        <v/>
      </c>
      <c r="W420" s="11">
        <f>IF(LEFT(B420,4)&lt;&gt;"    ","",IF(V420&gt;=0.1,V420*J420,X420))</f>
        <v/>
      </c>
      <c r="X420" s="8" t="n"/>
      <c r="Y420" s="9">
        <f>IF(LEFT(B420,4)&lt;&gt;"    ",0,IF(Q420&lt;0,Q420,IF(V420&gt;0.1,W420-X420,0)))</f>
        <v/>
      </c>
      <c r="Z420" s="9">
        <f>IF(LEFT(B420,4)&lt;&gt;"    ",0,IF(V420&gt;0.1,BI420,0))</f>
        <v/>
      </c>
      <c r="AA420" s="9">
        <f>Y420-Z420</f>
        <v/>
      </c>
      <c r="AB420" s="10" t="n"/>
      <c r="AC420" s="24" t="n"/>
      <c r="AD420" s="11" t="n"/>
      <c r="AE420" s="8" t="n"/>
      <c r="AF420" s="9">
        <f>IF(LEFT(B420,4)&lt;&gt;"    ","",AD420-AE420)</f>
        <v/>
      </c>
      <c r="AG420" s="10" t="n"/>
      <c r="AH420" s="11">
        <f>IF(LEFT(B420,4)&lt;&gt;"    ","",W420-AD420)</f>
        <v/>
      </c>
      <c r="AI420" s="8">
        <f>IF(LEFT(B420,4)&lt;&gt;"    ","",X420-AE420)</f>
        <v/>
      </c>
      <c r="AJ420" s="9">
        <f>IF(LEFT(B420,4)&lt;&gt;"    ","",Y420-AF420)</f>
        <v/>
      </c>
      <c r="AK420" s="10" t="n"/>
      <c r="AL420" s="25">
        <f>IF(LEFT(B420,4)&lt;&gt;"    ","",J420-W420)</f>
        <v/>
      </c>
      <c r="AM420" s="25">
        <f>N420-X420</f>
        <v/>
      </c>
      <c r="AN420" s="25">
        <f>IF(LEFT(B420,4)&lt;&gt;"    ","",Q420-Y420)</f>
        <v/>
      </c>
      <c r="AO420" s="10" t="n"/>
      <c r="AP420" s="12" t="n"/>
      <c r="AQ420" s="12">
        <f>IF(LEFT(B420,4)&lt;&gt;"    ","",IF(W420-AP420&gt;=0,W420-AP420," "))</f>
        <v/>
      </c>
      <c r="AR420" s="12">
        <f>IF(LEFT(B420,4)&lt;&gt;"    ","",IF(AP420-W420&gt;=0,AP420-W420," "))</f>
        <v/>
      </c>
      <c r="AS420" s="186" t="n"/>
      <c r="AT420" s="187" t="n"/>
      <c r="AU420" s="186" t="n"/>
      <c r="AV420" s="186" t="n"/>
      <c r="AW420" s="188" t="n"/>
      <c r="AX420" s="187" t="n"/>
      <c r="AY420" s="187" t="n"/>
      <c r="AZ420" s="186" t="n"/>
      <c r="BA420" s="186" t="n"/>
      <c r="BB420" s="186" t="n"/>
      <c r="BC420" s="186" t="n"/>
      <c r="BD420" s="186" t="n"/>
      <c r="BE420" s="186" t="n"/>
      <c r="BF420" s="186" t="n"/>
      <c r="BG420" s="186" t="n"/>
      <c r="BH420" s="186" t="n"/>
      <c r="BI420" s="186" t="n"/>
      <c r="BJ420" s="186" t="n"/>
      <c r="BK420" s="186" t="n"/>
      <c r="BL420" s="186" t="n"/>
      <c r="BM420" s="186" t="n"/>
      <c r="BN420" s="186" t="n"/>
      <c r="BO420" s="186" t="n"/>
      <c r="BP420" s="186" t="n"/>
      <c r="BQ420" s="186" t="n"/>
      <c r="BR420" s="186" t="n"/>
      <c r="BS420" s="186" t="n"/>
      <c r="BT420" s="186" t="n"/>
      <c r="BU420" s="186" t="n"/>
      <c r="BV420" s="190" t="n"/>
      <c r="BW420" s="186" t="n"/>
      <c r="BX420" s="186" t="n"/>
      <c r="BY420" s="186" t="n"/>
      <c r="BZ420" s="186" t="n"/>
      <c r="CA420" s="186" t="n"/>
      <c r="CB420" s="187" t="n"/>
      <c r="CC420" s="192" t="n"/>
      <c r="CD420" s="192" t="n"/>
      <c r="CE420" s="192" t="n"/>
      <c r="CF420" s="192" t="n"/>
    </row>
    <row r="421">
      <c r="A421" s="197" t="n"/>
      <c r="B421" s="198" t="n"/>
      <c r="C421" s="198" t="n"/>
      <c r="D421" s="179" t="n"/>
      <c r="E421" s="180" t="n"/>
      <c r="F421" s="181" t="n"/>
      <c r="G421" s="284">
        <f>'Jobs-Ops'!G421</f>
        <v/>
      </c>
      <c r="H421" s="114">
        <f>'Jobs-Ops'!H421</f>
        <v/>
      </c>
      <c r="I421" s="105" t="n"/>
      <c r="J421" s="196">
        <f>F421</f>
        <v/>
      </c>
      <c r="K421" s="184" t="n"/>
      <c r="L421" s="185" t="n"/>
      <c r="M421" s="8" t="n"/>
      <c r="N421" s="184">
        <f>M421</f>
        <v/>
      </c>
      <c r="O421" s="184" t="n"/>
      <c r="P421" s="185" t="n"/>
      <c r="Q421" s="9">
        <f>J421-N421</f>
        <v/>
      </c>
      <c r="R421" s="9">
        <f>IF(LEFT(B421,4)&lt;&gt;"    ",0,BI421)</f>
        <v/>
      </c>
      <c r="S421" s="9">
        <f>+Q421-R421</f>
        <v/>
      </c>
      <c r="T421" s="200">
        <f>IF('Jobs-Ops'!S421&lt;&gt; "",'Jobs-Ops'!S421,"")</f>
        <v/>
      </c>
      <c r="U421" s="10" t="n"/>
      <c r="V421" s="23">
        <f>IF(LEFT(B421,4)&lt;&gt;"    ","",IF(N421&lt;&gt;0,X421/N421,0))</f>
        <v/>
      </c>
      <c r="W421" s="11">
        <f>IF(LEFT(B421,4)&lt;&gt;"    ","",IF(V421&gt;=0.1,V421*J421,X421))</f>
        <v/>
      </c>
      <c r="X421" s="8" t="n"/>
      <c r="Y421" s="9">
        <f>IF(LEFT(B421,4)&lt;&gt;"    ",0,IF(Q421&lt;0,Q421,IF(V421&gt;0.1,W421-X421,0)))</f>
        <v/>
      </c>
      <c r="Z421" s="9">
        <f>IF(LEFT(B421,4)&lt;&gt;"    ",0,IF(V421&gt;0.1,BI421,0))</f>
        <v/>
      </c>
      <c r="AA421" s="9">
        <f>Y421-Z421</f>
        <v/>
      </c>
      <c r="AB421" s="10" t="n"/>
      <c r="AC421" s="24" t="n"/>
      <c r="AD421" s="11" t="n"/>
      <c r="AE421" s="8" t="n"/>
      <c r="AF421" s="9">
        <f>IF(LEFT(B421,4)&lt;&gt;"    ","",AD421-AE421)</f>
        <v/>
      </c>
      <c r="AG421" s="10" t="n"/>
      <c r="AH421" s="11">
        <f>IF(LEFT(B421,4)&lt;&gt;"    ","",W421-AD421)</f>
        <v/>
      </c>
      <c r="AI421" s="8">
        <f>IF(LEFT(B421,4)&lt;&gt;"    ","",X421-AE421)</f>
        <v/>
      </c>
      <c r="AJ421" s="9">
        <f>IF(LEFT(B421,4)&lt;&gt;"    ","",Y421-AF421)</f>
        <v/>
      </c>
      <c r="AK421" s="10" t="n"/>
      <c r="AL421" s="25">
        <f>IF(LEFT(B421,4)&lt;&gt;"    ","",J421-W421)</f>
        <v/>
      </c>
      <c r="AM421" s="25">
        <f>N421-X421</f>
        <v/>
      </c>
      <c r="AN421" s="25">
        <f>IF(LEFT(B421,4)&lt;&gt;"    ","",Q421-Y421)</f>
        <v/>
      </c>
      <c r="AO421" s="10" t="n"/>
      <c r="AP421" s="12" t="n"/>
      <c r="AQ421" s="12">
        <f>IF(LEFT(B421,4)&lt;&gt;"    ","",IF(W421-AP421&gt;=0,W421-AP421," "))</f>
        <v/>
      </c>
      <c r="AR421" s="12">
        <f>IF(LEFT(B421,4)&lt;&gt;"    ","",IF(AP421-W421&gt;=0,AP421-W421," "))</f>
        <v/>
      </c>
      <c r="AS421" s="186" t="n"/>
      <c r="AT421" s="187" t="n"/>
      <c r="AU421" s="186" t="n"/>
      <c r="AV421" s="186" t="n"/>
      <c r="AW421" s="188" t="n"/>
      <c r="AX421" s="187" t="n"/>
      <c r="AY421" s="187" t="n"/>
      <c r="AZ421" s="186" t="n"/>
      <c r="BA421" s="186" t="n"/>
      <c r="BB421" s="186" t="n"/>
      <c r="BC421" s="186" t="n"/>
      <c r="BD421" s="186" t="n"/>
      <c r="BE421" s="186" t="n"/>
      <c r="BF421" s="186" t="n"/>
      <c r="BG421" s="186" t="n"/>
      <c r="BH421" s="186" t="n"/>
      <c r="BI421" s="186" t="n"/>
      <c r="BJ421" s="186" t="n"/>
      <c r="BK421" s="186" t="n"/>
      <c r="BL421" s="186" t="n"/>
      <c r="BM421" s="186" t="n"/>
      <c r="BN421" s="186" t="n"/>
      <c r="BO421" s="186" t="n"/>
      <c r="BP421" s="186" t="n"/>
      <c r="BQ421" s="186" t="n"/>
      <c r="BR421" s="186" t="n"/>
      <c r="BS421" s="186" t="n"/>
      <c r="BT421" s="186" t="n"/>
      <c r="BU421" s="186" t="n"/>
      <c r="BV421" s="190" t="n"/>
      <c r="BW421" s="186" t="n"/>
      <c r="BX421" s="186" t="n"/>
      <c r="BY421" s="186" t="n"/>
      <c r="BZ421" s="186" t="n"/>
      <c r="CA421" s="186" t="n"/>
      <c r="CB421" s="187" t="n"/>
      <c r="CC421" s="192" t="n"/>
      <c r="CD421" s="192" t="n"/>
      <c r="CE421" s="192" t="n"/>
      <c r="CF421" s="192" t="n"/>
    </row>
    <row r="422">
      <c r="A422" s="197" t="n"/>
      <c r="B422" s="198" t="n"/>
      <c r="C422" s="198" t="n"/>
      <c r="D422" s="179" t="n"/>
      <c r="E422" s="180" t="n"/>
      <c r="F422" s="181" t="n"/>
      <c r="G422" s="284">
        <f>'Jobs-Ops'!G422</f>
        <v/>
      </c>
      <c r="H422" s="114">
        <f>'Jobs-Ops'!H422</f>
        <v/>
      </c>
      <c r="I422" s="105" t="n"/>
      <c r="J422" s="196">
        <f>F422</f>
        <v/>
      </c>
      <c r="K422" s="184" t="n"/>
      <c r="L422" s="185" t="n"/>
      <c r="M422" s="8" t="n"/>
      <c r="N422" s="71">
        <f>M422</f>
        <v/>
      </c>
      <c r="O422" s="71" t="n"/>
      <c r="P422" s="101" t="n"/>
      <c r="Q422" s="9">
        <f>J422-N422</f>
        <v/>
      </c>
      <c r="R422" s="9">
        <f>IF(LEFT(B422,4)&lt;&gt;"    ",0,BI422)</f>
        <v/>
      </c>
      <c r="S422" s="9">
        <f>+Q422-R422</f>
        <v/>
      </c>
      <c r="T422" s="200">
        <f>IF('Jobs-Ops'!S422&lt;&gt; "",'Jobs-Ops'!S422,"")</f>
        <v/>
      </c>
      <c r="U422" s="10" t="n"/>
      <c r="V422" s="23">
        <f>IF(LEFT(B422,4)&lt;&gt;"    ","",IF(N422&lt;&gt;0,X422/N422,0))</f>
        <v/>
      </c>
      <c r="W422" s="11">
        <f>IF(LEFT(B422,4)&lt;&gt;"    ","",IF(V422&gt;=0.1,V422*J422,X422))</f>
        <v/>
      </c>
      <c r="X422" s="8" t="n"/>
      <c r="Y422" s="9">
        <f>IF(LEFT(B422,4)&lt;&gt;"    ",0,IF(Q422&lt;0,Q422,IF(V422&gt;0.1,W422-X422,0)))</f>
        <v/>
      </c>
      <c r="Z422" s="9">
        <f>IF(LEFT(B422,4)&lt;&gt;"    ",0,IF(V422&gt;0.1,BI422,0))</f>
        <v/>
      </c>
      <c r="AA422" s="9">
        <f>Y422-Z422</f>
        <v/>
      </c>
      <c r="AB422" s="10" t="n"/>
      <c r="AC422" s="24" t="n"/>
      <c r="AD422" s="11" t="n"/>
      <c r="AE422" s="8" t="n"/>
      <c r="AF422" s="9">
        <f>IF(LEFT(B422,4)&lt;&gt;"    ","",AD422-AE422)</f>
        <v/>
      </c>
      <c r="AG422" s="10" t="n"/>
      <c r="AH422" s="11">
        <f>IF(LEFT(B422,4)&lt;&gt;"    ","",W422-AD422)</f>
        <v/>
      </c>
      <c r="AI422" s="8">
        <f>IF(LEFT(B422,4)&lt;&gt;"    ","",X422-AE422)</f>
        <v/>
      </c>
      <c r="AJ422" s="9">
        <f>IF(LEFT(B422,4)&lt;&gt;"    ","",Y422-AF422)</f>
        <v/>
      </c>
      <c r="AK422" s="10" t="n"/>
      <c r="AL422" s="25">
        <f>IF(LEFT(B422,4)&lt;&gt;"    ","",J422-W422)</f>
        <v/>
      </c>
      <c r="AM422" s="25">
        <f>N422-X422</f>
        <v/>
      </c>
      <c r="AN422" s="25">
        <f>IF(LEFT(B422,4)&lt;&gt;"    ","",Q422-Y422)</f>
        <v/>
      </c>
      <c r="AO422" s="10" t="n"/>
      <c r="AP422" s="12" t="n"/>
      <c r="AQ422" s="12">
        <f>IF(LEFT(B422,4)&lt;&gt;"    ","",IF(W422-AP422&gt;=0,W422-AP422," "))</f>
        <v/>
      </c>
      <c r="AR422" s="12">
        <f>IF(LEFT(B422,4)&lt;&gt;"    ","",IF(AP422-W422&gt;=0,AP422-W422," "))</f>
        <v/>
      </c>
      <c r="AS422" s="186" t="n"/>
      <c r="AT422" s="187" t="n"/>
      <c r="AU422" s="186" t="n"/>
      <c r="AV422" s="186" t="n"/>
      <c r="AW422" s="188" t="n"/>
      <c r="AX422" s="187" t="n"/>
      <c r="AY422" s="187" t="n"/>
      <c r="AZ422" s="186" t="n"/>
      <c r="BA422" s="186" t="n"/>
      <c r="BB422" s="186" t="n"/>
      <c r="BC422" s="186" t="n"/>
      <c r="BD422" s="186" t="n"/>
      <c r="BE422" s="186" t="n"/>
      <c r="BF422" s="186" t="n"/>
      <c r="BG422" s="186" t="n"/>
      <c r="BH422" s="186" t="n"/>
      <c r="BI422" s="186" t="n"/>
      <c r="BJ422" s="186" t="n"/>
      <c r="BK422" s="186" t="n"/>
      <c r="BL422" s="186" t="n"/>
      <c r="BM422" s="186" t="n"/>
      <c r="BN422" s="186" t="n"/>
      <c r="BO422" s="186" t="n"/>
      <c r="BP422" s="186" t="n"/>
      <c r="BQ422" s="186" t="n"/>
      <c r="BR422" s="186" t="n"/>
      <c r="BS422" s="186" t="n"/>
      <c r="BT422" s="186" t="n"/>
      <c r="BU422" s="186" t="n"/>
      <c r="BV422" s="190" t="n"/>
      <c r="BW422" s="186" t="n"/>
      <c r="BX422" s="186" t="n"/>
      <c r="BY422" s="186" t="n"/>
      <c r="BZ422" s="186" t="n"/>
      <c r="CA422" s="186" t="n"/>
      <c r="CB422" s="187" t="n"/>
      <c r="CC422" s="192" t="n"/>
      <c r="CD422" s="192" t="n"/>
      <c r="CE422" s="192" t="n"/>
      <c r="CF422" s="192" t="n"/>
    </row>
    <row r="423">
      <c r="A423" s="197" t="n"/>
      <c r="B423" s="198" t="n"/>
      <c r="C423" s="198" t="n"/>
      <c r="D423" s="179" t="n"/>
      <c r="E423" s="180" t="n"/>
      <c r="F423" s="181" t="n"/>
      <c r="G423" s="284">
        <f>'Jobs-Ops'!G423</f>
        <v/>
      </c>
      <c r="H423" s="114">
        <f>'Jobs-Ops'!H423</f>
        <v/>
      </c>
      <c r="I423" s="105" t="n"/>
      <c r="J423" s="196">
        <f>F423</f>
        <v/>
      </c>
      <c r="K423" s="184" t="n"/>
      <c r="L423" s="185" t="n"/>
      <c r="M423" s="8" t="n"/>
      <c r="N423" s="71">
        <f>M423</f>
        <v/>
      </c>
      <c r="O423" s="71" t="n"/>
      <c r="P423" s="101" t="n"/>
      <c r="Q423" s="9">
        <f>J423-N423</f>
        <v/>
      </c>
      <c r="R423" s="9">
        <f>IF(LEFT(B423,4)&lt;&gt;"    ",0,BI423)</f>
        <v/>
      </c>
      <c r="S423" s="9">
        <f>+Q423-R423</f>
        <v/>
      </c>
      <c r="T423" s="200">
        <f>IF('Jobs-Ops'!S423&lt;&gt; "",'Jobs-Ops'!S423,"")</f>
        <v/>
      </c>
      <c r="U423" s="10" t="n"/>
      <c r="V423" s="23">
        <f>IF(LEFT(B423,4)&lt;&gt;"    ","",IF(N423&lt;&gt;0,X423/N423,0))</f>
        <v/>
      </c>
      <c r="W423" s="11">
        <f>IF(LEFT(B423,4)&lt;&gt;"    ","",IF(V423&gt;=0.1,V423*J423,X423))</f>
        <v/>
      </c>
      <c r="X423" s="8" t="n"/>
      <c r="Y423" s="9">
        <f>IF(LEFT(B423,4)&lt;&gt;"    ",0,IF(Q423&lt;0,Q423,IF(V423&gt;0.1,W423-X423,0)))</f>
        <v/>
      </c>
      <c r="Z423" s="9">
        <f>IF(LEFT(B423,4)&lt;&gt;"    ",0,IF(V423&gt;0.1,BI423,0))</f>
        <v/>
      </c>
      <c r="AA423" s="9">
        <f>Y423-Z423</f>
        <v/>
      </c>
      <c r="AB423" s="10" t="n"/>
      <c r="AC423" s="24" t="n"/>
      <c r="AD423" s="11" t="n"/>
      <c r="AE423" s="8" t="n"/>
      <c r="AF423" s="9">
        <f>IF(LEFT(B423,4)&lt;&gt;"    ","",AD423-AE423)</f>
        <v/>
      </c>
      <c r="AG423" s="10" t="n"/>
      <c r="AH423" s="11">
        <f>IF(LEFT(B423,4)&lt;&gt;"    ","",W423-AD423)</f>
        <v/>
      </c>
      <c r="AI423" s="8">
        <f>IF(LEFT(B423,4)&lt;&gt;"    ","",X423-AE423)</f>
        <v/>
      </c>
      <c r="AJ423" s="9">
        <f>IF(LEFT(B423,4)&lt;&gt;"    ","",Y423-AF423)</f>
        <v/>
      </c>
      <c r="AK423" s="10" t="n"/>
      <c r="AL423" s="25">
        <f>IF(LEFT(B423,4)&lt;&gt;"    ","",J423-W423)</f>
        <v/>
      </c>
      <c r="AM423" s="25">
        <f>N423-X423</f>
        <v/>
      </c>
      <c r="AN423" s="25">
        <f>IF(LEFT(B423,4)&lt;&gt;"    ","",Q423-Y423)</f>
        <v/>
      </c>
      <c r="AO423" s="10" t="n"/>
      <c r="AP423" s="12" t="n"/>
      <c r="AQ423" s="12">
        <f>IF(LEFT(B423,4)&lt;&gt;"    ","",IF(W423-AP423&gt;=0,W423-AP423," "))</f>
        <v/>
      </c>
      <c r="AR423" s="12">
        <f>IF(LEFT(B423,4)&lt;&gt;"    ","",IF(AP423-W423&gt;=0,AP423-W423," "))</f>
        <v/>
      </c>
      <c r="AS423" s="186" t="n"/>
      <c r="AT423" s="187" t="n"/>
      <c r="AU423" s="186" t="n"/>
      <c r="AV423" s="186" t="n"/>
      <c r="AW423" s="188" t="n"/>
      <c r="AX423" s="187" t="n"/>
      <c r="AY423" s="187" t="n"/>
      <c r="AZ423" s="186" t="n"/>
      <c r="BA423" s="186" t="n"/>
      <c r="BB423" s="186" t="n"/>
      <c r="BC423" s="186" t="n"/>
      <c r="BD423" s="186" t="n"/>
      <c r="BE423" s="186" t="n"/>
      <c r="BF423" s="186" t="n"/>
      <c r="BG423" s="186" t="n"/>
      <c r="BH423" s="186" t="n"/>
      <c r="BI423" s="186" t="n"/>
      <c r="BJ423" s="186" t="n"/>
      <c r="BK423" s="186" t="n"/>
      <c r="BL423" s="186" t="n"/>
      <c r="BM423" s="186" t="n"/>
      <c r="BN423" s="186" t="n"/>
      <c r="BO423" s="186" t="n"/>
      <c r="BP423" s="186" t="n"/>
      <c r="BQ423" s="186" t="n"/>
      <c r="BR423" s="186" t="n"/>
      <c r="BS423" s="186" t="n"/>
      <c r="BT423" s="186" t="n"/>
      <c r="BU423" s="186" t="n"/>
      <c r="BV423" s="190" t="n"/>
      <c r="BW423" s="186" t="n"/>
      <c r="BX423" s="186" t="n"/>
      <c r="BY423" s="186" t="n"/>
      <c r="BZ423" s="186" t="n"/>
      <c r="CA423" s="186" t="n"/>
      <c r="CB423" s="187" t="n"/>
      <c r="CC423" s="192" t="n"/>
      <c r="CD423" s="192" t="n"/>
      <c r="CE423" s="192" t="n"/>
      <c r="CF423" s="192" t="n"/>
    </row>
    <row r="424">
      <c r="A424" s="197" t="n"/>
      <c r="B424" s="198" t="n"/>
      <c r="C424" s="198" t="n"/>
      <c r="D424" s="179" t="n"/>
      <c r="E424" s="180" t="n"/>
      <c r="F424" s="181" t="n"/>
      <c r="G424" s="284">
        <f>'Jobs-Ops'!G424</f>
        <v/>
      </c>
      <c r="H424" s="114">
        <f>'Jobs-Ops'!H424</f>
        <v/>
      </c>
      <c r="I424" s="105" t="n"/>
      <c r="J424" s="196">
        <f>F424</f>
        <v/>
      </c>
      <c r="K424" s="184" t="n"/>
      <c r="L424" s="185" t="n"/>
      <c r="M424" s="8" t="n"/>
      <c r="N424" s="71">
        <f>M424</f>
        <v/>
      </c>
      <c r="O424" s="71" t="n"/>
      <c r="P424" s="101" t="n"/>
      <c r="Q424" s="9">
        <f>J424-N424</f>
        <v/>
      </c>
      <c r="R424" s="9">
        <f>IF(LEFT(B424,4)&lt;&gt;"    ",0,BI424)</f>
        <v/>
      </c>
      <c r="S424" s="9">
        <f>+Q424-R424</f>
        <v/>
      </c>
      <c r="T424" s="200">
        <f>IF('Jobs-Ops'!S424&lt;&gt; "",'Jobs-Ops'!S424,"")</f>
        <v/>
      </c>
      <c r="U424" s="10" t="n"/>
      <c r="V424" s="23">
        <f>IF(LEFT(B424,4)&lt;&gt;"    ","",IF(N424&lt;&gt;0,X424/N424,0))</f>
        <v/>
      </c>
      <c r="W424" s="11">
        <f>IF(LEFT(B424,4)&lt;&gt;"    ","",IF(V424&gt;=0.1,V424*J424,X424))</f>
        <v/>
      </c>
      <c r="X424" s="8" t="n"/>
      <c r="Y424" s="9">
        <f>IF(LEFT(B424,4)&lt;&gt;"    ",0,IF(Q424&lt;0,Q424,IF(V424&gt;0.1,W424-X424,0)))</f>
        <v/>
      </c>
      <c r="Z424" s="9">
        <f>IF(LEFT(B424,4)&lt;&gt;"    ",0,IF(V424&gt;0.1,BI424,0))</f>
        <v/>
      </c>
      <c r="AA424" s="9">
        <f>Y424-Z424</f>
        <v/>
      </c>
      <c r="AB424" s="10" t="n"/>
      <c r="AC424" s="24" t="n"/>
      <c r="AD424" s="11" t="n"/>
      <c r="AE424" s="8" t="n"/>
      <c r="AF424" s="9">
        <f>IF(LEFT(B424,4)&lt;&gt;"    ","",AD424-AE424)</f>
        <v/>
      </c>
      <c r="AG424" s="10" t="n"/>
      <c r="AH424" s="11">
        <f>IF(LEFT(B424,4)&lt;&gt;"    ","",W424-AD424)</f>
        <v/>
      </c>
      <c r="AI424" s="8">
        <f>IF(LEFT(B424,4)&lt;&gt;"    ","",X424-AE424)</f>
        <v/>
      </c>
      <c r="AJ424" s="9">
        <f>IF(LEFT(B424,4)&lt;&gt;"    ","",Y424-AF424)</f>
        <v/>
      </c>
      <c r="AK424" s="10" t="n"/>
      <c r="AL424" s="25">
        <f>IF(LEFT(B424,4)&lt;&gt;"    ","",J424-W424)</f>
        <v/>
      </c>
      <c r="AM424" s="25">
        <f>N424-X424</f>
        <v/>
      </c>
      <c r="AN424" s="25">
        <f>IF(LEFT(B424,4)&lt;&gt;"    ","",Q424-Y424)</f>
        <v/>
      </c>
      <c r="AO424" s="10" t="n"/>
      <c r="AP424" s="12" t="n"/>
      <c r="AQ424" s="12">
        <f>IF(LEFT(B424,4)&lt;&gt;"    ","",IF(W424-AP424&gt;=0,W424-AP424," "))</f>
        <v/>
      </c>
      <c r="AR424" s="12">
        <f>IF(LEFT(B424,4)&lt;&gt;"    ","",IF(AP424-W424&gt;=0,AP424-W424," "))</f>
        <v/>
      </c>
      <c r="AS424" s="186" t="n"/>
      <c r="AT424" s="187" t="n"/>
      <c r="AU424" s="186" t="n"/>
      <c r="AV424" s="186" t="n"/>
      <c r="AW424" s="188" t="n"/>
      <c r="AX424" s="187" t="n"/>
      <c r="AY424" s="187" t="n"/>
      <c r="AZ424" s="186" t="n"/>
      <c r="BA424" s="186" t="n"/>
      <c r="BB424" s="186" t="n"/>
      <c r="BC424" s="186" t="n"/>
      <c r="BD424" s="186" t="n"/>
      <c r="BE424" s="186" t="n"/>
      <c r="BF424" s="186" t="n"/>
      <c r="BG424" s="186" t="n"/>
      <c r="BH424" s="186" t="n"/>
      <c r="BI424" s="186" t="n"/>
      <c r="BJ424" s="186" t="n"/>
      <c r="BK424" s="186" t="n"/>
      <c r="BL424" s="186" t="n"/>
      <c r="BM424" s="186" t="n"/>
      <c r="BN424" s="186" t="n"/>
      <c r="BO424" s="186" t="n"/>
      <c r="BP424" s="186" t="n"/>
      <c r="BQ424" s="186" t="n"/>
      <c r="BR424" s="186" t="n"/>
      <c r="BS424" s="186" t="n"/>
      <c r="BT424" s="186" t="n"/>
      <c r="BU424" s="186" t="n"/>
      <c r="BV424" s="190" t="n"/>
      <c r="BW424" s="186" t="n"/>
      <c r="BX424" s="186" t="n"/>
      <c r="BY424" s="186" t="n"/>
      <c r="BZ424" s="186" t="n"/>
      <c r="CA424" s="186" t="n"/>
      <c r="CB424" s="187" t="n"/>
      <c r="CC424" s="192" t="n"/>
      <c r="CD424" s="192" t="n"/>
      <c r="CE424" s="192" t="n"/>
      <c r="CF424" s="192" t="n"/>
    </row>
    <row r="425">
      <c r="A425" s="197" t="n"/>
      <c r="B425" s="198" t="n"/>
      <c r="C425" s="198" t="n"/>
      <c r="D425" s="179" t="n"/>
      <c r="E425" s="180" t="n"/>
      <c r="F425" s="181" t="n"/>
      <c r="G425" s="284">
        <f>'Jobs-Ops'!G425</f>
        <v/>
      </c>
      <c r="H425" s="114">
        <f>'Jobs-Ops'!H425</f>
        <v/>
      </c>
      <c r="I425" s="105" t="n"/>
      <c r="J425" s="196">
        <f>F425</f>
        <v/>
      </c>
      <c r="K425" s="184" t="n"/>
      <c r="L425" s="185" t="n"/>
      <c r="M425" s="8" t="n"/>
      <c r="N425" s="71">
        <f>M425</f>
        <v/>
      </c>
      <c r="O425" s="71" t="n"/>
      <c r="P425" s="101" t="n"/>
      <c r="Q425" s="9">
        <f>J425-N425</f>
        <v/>
      </c>
      <c r="R425" s="9">
        <f>IF(LEFT(B425,4)&lt;&gt;"    ",0,BI425)</f>
        <v/>
      </c>
      <c r="S425" s="9">
        <f>+Q425-R425</f>
        <v/>
      </c>
      <c r="T425" s="200">
        <f>IF('Jobs-Ops'!S425&lt;&gt; "",'Jobs-Ops'!S425,"")</f>
        <v/>
      </c>
      <c r="U425" s="10" t="n"/>
      <c r="V425" s="23">
        <f>IF(LEFT(B425,4)&lt;&gt;"    ","",IF(N425&lt;&gt;0,X425/N425,0))</f>
        <v/>
      </c>
      <c r="W425" s="11">
        <f>IF(LEFT(B425,4)&lt;&gt;"    ","",IF(V425&gt;=0.1,V425*J425,X425))</f>
        <v/>
      </c>
      <c r="X425" s="8" t="n"/>
      <c r="Y425" s="9">
        <f>IF(LEFT(B425,4)&lt;&gt;"    ",0,IF(Q425&lt;0,Q425,IF(V425&gt;0.1,W425-X425,0)))</f>
        <v/>
      </c>
      <c r="Z425" s="9">
        <f>IF(LEFT(B425,4)&lt;&gt;"    ",0,IF(V425&gt;0.1,BI425,0))</f>
        <v/>
      </c>
      <c r="AA425" s="9">
        <f>Y425-Z425</f>
        <v/>
      </c>
      <c r="AB425" s="10" t="n"/>
      <c r="AC425" s="24" t="n"/>
      <c r="AD425" s="11" t="n"/>
      <c r="AE425" s="8" t="n"/>
      <c r="AF425" s="9">
        <f>IF(LEFT(B425,4)&lt;&gt;"    ","",AD425-AE425)</f>
        <v/>
      </c>
      <c r="AG425" s="10" t="n"/>
      <c r="AH425" s="11">
        <f>IF(LEFT(B425,4)&lt;&gt;"    ","",W425-AD425)</f>
        <v/>
      </c>
      <c r="AI425" s="8">
        <f>IF(LEFT(B425,4)&lt;&gt;"    ","",X425-AE425)</f>
        <v/>
      </c>
      <c r="AJ425" s="9">
        <f>IF(LEFT(B425,4)&lt;&gt;"    ","",Y425-AF425)</f>
        <v/>
      </c>
      <c r="AK425" s="10" t="n"/>
      <c r="AL425" s="25">
        <f>IF(LEFT(B425,4)&lt;&gt;"    ","",J425-W425)</f>
        <v/>
      </c>
      <c r="AM425" s="25">
        <f>N425-X425</f>
        <v/>
      </c>
      <c r="AN425" s="25">
        <f>IF(LEFT(B425,4)&lt;&gt;"    ","",Q425-Y425)</f>
        <v/>
      </c>
      <c r="AO425" s="10" t="n"/>
      <c r="AP425" s="12" t="n"/>
      <c r="AQ425" s="12">
        <f>IF(LEFT(B425,4)&lt;&gt;"    ","",IF(W425-AP425&gt;=0,W425-AP425," "))</f>
        <v/>
      </c>
      <c r="AR425" s="12">
        <f>IF(LEFT(B425,4)&lt;&gt;"    ","",IF(AP425-W425&gt;=0,AP425-W425," "))</f>
        <v/>
      </c>
      <c r="AS425" s="186" t="n"/>
      <c r="AT425" s="187" t="n"/>
      <c r="AU425" s="186" t="n"/>
      <c r="AV425" s="186" t="n"/>
      <c r="AW425" s="188" t="n"/>
      <c r="AX425" s="187" t="n"/>
      <c r="AY425" s="187" t="n"/>
      <c r="AZ425" s="186" t="n"/>
      <c r="BA425" s="186" t="n"/>
      <c r="BB425" s="186" t="n"/>
      <c r="BC425" s="186" t="n"/>
      <c r="BD425" s="186" t="n"/>
      <c r="BE425" s="186" t="n"/>
      <c r="BF425" s="186" t="n"/>
      <c r="BG425" s="186" t="n"/>
      <c r="BH425" s="186" t="n"/>
      <c r="BI425" s="186" t="n"/>
      <c r="BJ425" s="186" t="n"/>
      <c r="BK425" s="186" t="n"/>
      <c r="BL425" s="186" t="n"/>
      <c r="BM425" s="186" t="n"/>
      <c r="BN425" s="186" t="n"/>
      <c r="BO425" s="186" t="n"/>
      <c r="BP425" s="186" t="n"/>
      <c r="BQ425" s="186" t="n"/>
      <c r="BR425" s="186" t="n"/>
      <c r="BS425" s="186" t="n"/>
      <c r="BT425" s="186" t="n"/>
      <c r="BU425" s="186" t="n"/>
      <c r="BV425" s="190" t="n"/>
      <c r="BW425" s="186" t="n"/>
      <c r="BX425" s="186" t="n"/>
      <c r="BY425" s="186" t="n"/>
      <c r="BZ425" s="186" t="n"/>
      <c r="CA425" s="186" t="n"/>
      <c r="CB425" s="187" t="n"/>
      <c r="CC425" s="192" t="n"/>
      <c r="CD425" s="192" t="n"/>
      <c r="CE425" s="192" t="n"/>
      <c r="CF425" s="192" t="n"/>
    </row>
    <row r="426">
      <c r="A426" s="197" t="n"/>
      <c r="B426" s="198" t="n"/>
      <c r="C426" s="198" t="n"/>
      <c r="D426" s="179" t="n"/>
      <c r="E426" s="180" t="n"/>
      <c r="F426" s="181" t="n"/>
      <c r="G426" s="284">
        <f>'Jobs-Ops'!G426</f>
        <v/>
      </c>
      <c r="H426" s="114">
        <f>'Jobs-Ops'!H426</f>
        <v/>
      </c>
      <c r="I426" s="105" t="n"/>
      <c r="J426" s="196">
        <f>F426</f>
        <v/>
      </c>
      <c r="K426" s="184" t="n"/>
      <c r="L426" s="185" t="n"/>
      <c r="M426" s="8" t="n"/>
      <c r="N426" s="71">
        <f>M426</f>
        <v/>
      </c>
      <c r="O426" s="71" t="n"/>
      <c r="P426" s="101" t="n"/>
      <c r="Q426" s="9">
        <f>J426-N426</f>
        <v/>
      </c>
      <c r="R426" s="9">
        <f>IF(LEFT(B426,4)&lt;&gt;"    ",0,BI426)</f>
        <v/>
      </c>
      <c r="S426" s="9">
        <f>+Q426-R426</f>
        <v/>
      </c>
      <c r="T426" s="200">
        <f>IF('Jobs-Ops'!S426&lt;&gt; "",'Jobs-Ops'!S426,"")</f>
        <v/>
      </c>
      <c r="U426" s="10" t="n"/>
      <c r="V426" s="23">
        <f>IF(LEFT(B426,4)&lt;&gt;"    ","",IF(N426&lt;&gt;0,X426/N426,0))</f>
        <v/>
      </c>
      <c r="W426" s="11">
        <f>IF(LEFT(B426,4)&lt;&gt;"    ","",IF(V426&gt;=0.1,V426*J426,X426))</f>
        <v/>
      </c>
      <c r="X426" s="8" t="n"/>
      <c r="Y426" s="9">
        <f>IF(LEFT(B426,4)&lt;&gt;"    ",0,IF(Q426&lt;0,Q426,IF(V426&gt;0.1,W426-X426,0)))</f>
        <v/>
      </c>
      <c r="Z426" s="9">
        <f>IF(LEFT(B426,4)&lt;&gt;"    ",0,IF(V426&gt;0.1,BI426,0))</f>
        <v/>
      </c>
      <c r="AA426" s="9">
        <f>Y426-Z426</f>
        <v/>
      </c>
      <c r="AB426" s="10" t="n"/>
      <c r="AC426" s="24" t="n"/>
      <c r="AD426" s="11" t="n"/>
      <c r="AE426" s="8" t="n"/>
      <c r="AF426" s="9">
        <f>IF(LEFT(B426,4)&lt;&gt;"    ","",AD426-AE426)</f>
        <v/>
      </c>
      <c r="AG426" s="10" t="n"/>
      <c r="AH426" s="11">
        <f>IF(LEFT(B426,4)&lt;&gt;"    ","",W426-AD426)</f>
        <v/>
      </c>
      <c r="AI426" s="8">
        <f>IF(LEFT(B426,4)&lt;&gt;"    ","",X426-AE426)</f>
        <v/>
      </c>
      <c r="AJ426" s="9">
        <f>IF(LEFT(B426,4)&lt;&gt;"    ","",Y426-AF426)</f>
        <v/>
      </c>
      <c r="AK426" s="10" t="n"/>
      <c r="AL426" s="25">
        <f>IF(LEFT(B426,4)&lt;&gt;"    ","",J426-W426)</f>
        <v/>
      </c>
      <c r="AM426" s="25">
        <f>N426-X426</f>
        <v/>
      </c>
      <c r="AN426" s="25">
        <f>IF(LEFT(B426,4)&lt;&gt;"    ","",Q426-Y426)</f>
        <v/>
      </c>
      <c r="AO426" s="10" t="n"/>
      <c r="AP426" s="12" t="n"/>
      <c r="AQ426" s="12">
        <f>IF(LEFT(B426,4)&lt;&gt;"    ","",IF(W426-AP426&gt;=0,W426-AP426," "))</f>
        <v/>
      </c>
      <c r="AR426" s="12">
        <f>IF(LEFT(B426,4)&lt;&gt;"    ","",IF(AP426-W426&gt;=0,AP426-W426," "))</f>
        <v/>
      </c>
      <c r="AS426" s="186" t="n"/>
      <c r="AT426" s="187" t="n"/>
      <c r="AU426" s="186" t="n"/>
      <c r="AV426" s="186" t="n"/>
      <c r="AW426" s="188" t="n"/>
      <c r="AX426" s="187" t="n"/>
      <c r="AY426" s="187" t="n"/>
      <c r="AZ426" s="186" t="n"/>
      <c r="BA426" s="186" t="n"/>
      <c r="BB426" s="186" t="n"/>
      <c r="BC426" s="186" t="n"/>
      <c r="BD426" s="186" t="n"/>
      <c r="BE426" s="186" t="n"/>
      <c r="BF426" s="186" t="n"/>
      <c r="BG426" s="186" t="n"/>
      <c r="BH426" s="186" t="n"/>
      <c r="BI426" s="186" t="n"/>
      <c r="BJ426" s="186" t="n"/>
      <c r="BK426" s="186" t="n"/>
      <c r="BL426" s="186" t="n"/>
      <c r="BM426" s="186" t="n"/>
      <c r="BN426" s="186" t="n"/>
      <c r="BO426" s="186" t="n"/>
      <c r="BP426" s="186" t="n"/>
      <c r="BQ426" s="186" t="n"/>
      <c r="BR426" s="186" t="n"/>
      <c r="BS426" s="186" t="n"/>
      <c r="BT426" s="186" t="n"/>
      <c r="BU426" s="186" t="n"/>
      <c r="BV426" s="190" t="n"/>
      <c r="BW426" s="186" t="n"/>
      <c r="BX426" s="186" t="n"/>
      <c r="BY426" s="186" t="n"/>
      <c r="BZ426" s="186" t="n"/>
      <c r="CA426" s="186" t="n"/>
      <c r="CB426" s="187" t="n"/>
      <c r="CC426" s="192" t="n"/>
      <c r="CD426" s="192" t="n"/>
      <c r="CE426" s="192" t="n"/>
      <c r="CF426" s="192" t="n"/>
    </row>
    <row r="427">
      <c r="A427" s="197" t="n"/>
      <c r="B427" s="198" t="n"/>
      <c r="C427" s="198" t="n"/>
      <c r="D427" s="179" t="n"/>
      <c r="E427" s="180" t="n"/>
      <c r="F427" s="181" t="n"/>
      <c r="G427" s="284">
        <f>'Jobs-Ops'!G427</f>
        <v/>
      </c>
      <c r="H427" s="114">
        <f>'Jobs-Ops'!H427</f>
        <v/>
      </c>
      <c r="I427" s="105" t="n"/>
      <c r="J427" s="196">
        <f>F427</f>
        <v/>
      </c>
      <c r="K427" s="184" t="n"/>
      <c r="L427" s="185" t="n"/>
      <c r="M427" s="8" t="n"/>
      <c r="N427" s="71">
        <f>M427</f>
        <v/>
      </c>
      <c r="O427" s="71" t="n"/>
      <c r="P427" s="101" t="n"/>
      <c r="Q427" s="9">
        <f>J427-N427</f>
        <v/>
      </c>
      <c r="R427" s="9">
        <f>IF(LEFT(B427,4)&lt;&gt;"    ",0,BI427)</f>
        <v/>
      </c>
      <c r="S427" s="9">
        <f>+Q427-R427</f>
        <v/>
      </c>
      <c r="T427" s="200">
        <f>IF('Jobs-Ops'!S427&lt;&gt; "",'Jobs-Ops'!S427,"")</f>
        <v/>
      </c>
      <c r="U427" s="10" t="n"/>
      <c r="V427" s="23">
        <f>IF(LEFT(B427,4)&lt;&gt;"    ","",IF(N427&lt;&gt;0,X427/N427,0))</f>
        <v/>
      </c>
      <c r="W427" s="11">
        <f>IF(LEFT(B427,4)&lt;&gt;"    ","",IF(V427&gt;=0.1,V427*J427,X427))</f>
        <v/>
      </c>
      <c r="X427" s="8" t="n"/>
      <c r="Y427" s="9">
        <f>IF(LEFT(B427,4)&lt;&gt;"    ",0,IF(Q427&lt;0,Q427,IF(V427&gt;0.1,W427-X427,0)))</f>
        <v/>
      </c>
      <c r="Z427" s="9">
        <f>IF(LEFT(B427,4)&lt;&gt;"    ",0,IF(V427&gt;0.1,BI427,0))</f>
        <v/>
      </c>
      <c r="AA427" s="9">
        <f>Y427-Z427</f>
        <v/>
      </c>
      <c r="AB427" s="10" t="n"/>
      <c r="AC427" s="24" t="n"/>
      <c r="AD427" s="11" t="n"/>
      <c r="AE427" s="8" t="n"/>
      <c r="AF427" s="9">
        <f>IF(LEFT(B427,4)&lt;&gt;"    ","",AD427-AE427)</f>
        <v/>
      </c>
      <c r="AG427" s="10" t="n"/>
      <c r="AH427" s="11">
        <f>IF(LEFT(B427,4)&lt;&gt;"    ","",W427-AD427)</f>
        <v/>
      </c>
      <c r="AI427" s="8">
        <f>IF(LEFT(B427,4)&lt;&gt;"    ","",X427-AE427)</f>
        <v/>
      </c>
      <c r="AJ427" s="9">
        <f>IF(LEFT(B427,4)&lt;&gt;"    ","",Y427-AF427)</f>
        <v/>
      </c>
      <c r="AK427" s="10" t="n"/>
      <c r="AL427" s="25">
        <f>IF(LEFT(B427,4)&lt;&gt;"    ","",J427-W427)</f>
        <v/>
      </c>
      <c r="AM427" s="25">
        <f>N427-X427</f>
        <v/>
      </c>
      <c r="AN427" s="25">
        <f>IF(LEFT(B427,4)&lt;&gt;"    ","",Q427-Y427)</f>
        <v/>
      </c>
      <c r="AO427" s="10" t="n"/>
      <c r="AP427" s="12" t="n"/>
      <c r="AQ427" s="12">
        <f>IF(LEFT(B427,4)&lt;&gt;"    ","",IF(W427-AP427&gt;=0,W427-AP427," "))</f>
        <v/>
      </c>
      <c r="AR427" s="12">
        <f>IF(LEFT(B427,4)&lt;&gt;"    ","",IF(AP427-W427&gt;=0,AP427-W427," "))</f>
        <v/>
      </c>
      <c r="AS427" s="186" t="n"/>
      <c r="AT427" s="187" t="n"/>
      <c r="AU427" s="186" t="n"/>
      <c r="AV427" s="186" t="n"/>
      <c r="AW427" s="188" t="n"/>
      <c r="AX427" s="187" t="n"/>
      <c r="AY427" s="187" t="n"/>
      <c r="AZ427" s="186" t="n"/>
      <c r="BA427" s="186" t="n"/>
      <c r="BB427" s="186" t="n"/>
      <c r="BC427" s="186" t="n"/>
      <c r="BD427" s="186" t="n"/>
      <c r="BE427" s="186" t="n"/>
      <c r="BF427" s="186" t="n"/>
      <c r="BG427" s="186" t="n"/>
      <c r="BH427" s="186" t="n"/>
      <c r="BI427" s="186" t="n"/>
      <c r="BJ427" s="186" t="n"/>
      <c r="BK427" s="186" t="n"/>
      <c r="BL427" s="186" t="n"/>
      <c r="BM427" s="186" t="n"/>
      <c r="BN427" s="186" t="n"/>
      <c r="BO427" s="186" t="n"/>
      <c r="BP427" s="186" t="n"/>
      <c r="BQ427" s="186" t="n"/>
      <c r="BR427" s="186" t="n"/>
      <c r="BS427" s="186" t="n"/>
      <c r="BT427" s="186" t="n"/>
      <c r="BU427" s="186" t="n"/>
      <c r="BV427" s="190" t="n"/>
      <c r="BW427" s="186" t="n"/>
      <c r="BX427" s="186" t="n"/>
      <c r="BY427" s="186" t="n"/>
      <c r="BZ427" s="186" t="n"/>
      <c r="CA427" s="186" t="n"/>
      <c r="CB427" s="187" t="n"/>
      <c r="CC427" s="192" t="n"/>
      <c r="CD427" s="192" t="n"/>
      <c r="CE427" s="192" t="n"/>
      <c r="CF427" s="192" t="n"/>
    </row>
    <row r="428">
      <c r="A428" s="197" t="n"/>
      <c r="B428" s="198" t="n"/>
      <c r="C428" s="198" t="n"/>
      <c r="D428" s="179" t="n"/>
      <c r="E428" s="180" t="n"/>
      <c r="F428" s="181" t="n"/>
      <c r="G428" s="284">
        <f>'Jobs-Ops'!G428</f>
        <v/>
      </c>
      <c r="H428" s="114">
        <f>'Jobs-Ops'!H428</f>
        <v/>
      </c>
      <c r="I428" s="105" t="n"/>
      <c r="J428" s="196">
        <f>F428</f>
        <v/>
      </c>
      <c r="K428" s="184" t="n"/>
      <c r="L428" s="185" t="n"/>
      <c r="M428" s="8" t="n"/>
      <c r="N428" s="71">
        <f>M428</f>
        <v/>
      </c>
      <c r="O428" s="71" t="n"/>
      <c r="P428" s="101" t="n"/>
      <c r="Q428" s="9">
        <f>J428-N428</f>
        <v/>
      </c>
      <c r="R428" s="9">
        <f>IF(LEFT(B428,4)&lt;&gt;"    ",0,BI428)</f>
        <v/>
      </c>
      <c r="S428" s="9">
        <f>+Q428-R428</f>
        <v/>
      </c>
      <c r="T428" s="200">
        <f>IF('Jobs-Ops'!S428&lt;&gt; "",'Jobs-Ops'!S428,"")</f>
        <v/>
      </c>
      <c r="U428" s="10" t="n"/>
      <c r="V428" s="23">
        <f>IF(LEFT(B428,4)&lt;&gt;"    ","",IF(N428&lt;&gt;0,X428/N428,0))</f>
        <v/>
      </c>
      <c r="W428" s="11">
        <f>IF(LEFT(B428,4)&lt;&gt;"    ","",IF(V428&gt;=0.1,V428*J428,X428))</f>
        <v/>
      </c>
      <c r="X428" s="8" t="n"/>
      <c r="Y428" s="9">
        <f>IF(LEFT(B428,4)&lt;&gt;"    ",0,IF(Q428&lt;0,Q428,IF(V428&gt;0.1,W428-X428,0)))</f>
        <v/>
      </c>
      <c r="Z428" s="9">
        <f>IF(LEFT(B428,4)&lt;&gt;"    ",0,IF(V428&gt;0.1,BI428,0))</f>
        <v/>
      </c>
      <c r="AA428" s="9">
        <f>Y428-Z428</f>
        <v/>
      </c>
      <c r="AB428" s="10" t="n"/>
      <c r="AC428" s="24" t="n"/>
      <c r="AD428" s="11" t="n"/>
      <c r="AE428" s="8" t="n"/>
      <c r="AF428" s="9">
        <f>IF(LEFT(B428,4)&lt;&gt;"    ","",AD428-AE428)</f>
        <v/>
      </c>
      <c r="AG428" s="10" t="n"/>
      <c r="AH428" s="11">
        <f>IF(LEFT(B428,4)&lt;&gt;"    ","",W428-AD428)</f>
        <v/>
      </c>
      <c r="AI428" s="8">
        <f>IF(LEFT(B428,4)&lt;&gt;"    ","",X428-AE428)</f>
        <v/>
      </c>
      <c r="AJ428" s="9">
        <f>IF(LEFT(B428,4)&lt;&gt;"    ","",Y428-AF428)</f>
        <v/>
      </c>
      <c r="AK428" s="10" t="n"/>
      <c r="AL428" s="25">
        <f>IF(LEFT(B428,4)&lt;&gt;"    ","",J428-W428)</f>
        <v/>
      </c>
      <c r="AM428" s="25">
        <f>N428-X428</f>
        <v/>
      </c>
      <c r="AN428" s="25">
        <f>IF(LEFT(B428,4)&lt;&gt;"    ","",Q428-Y428)</f>
        <v/>
      </c>
      <c r="AO428" s="10" t="n"/>
      <c r="AP428" s="12" t="n"/>
      <c r="AQ428" s="12">
        <f>IF(LEFT(B428,4)&lt;&gt;"    ","",IF(W428-AP428&gt;=0,W428-AP428," "))</f>
        <v/>
      </c>
      <c r="AR428" s="12">
        <f>IF(LEFT(B428,4)&lt;&gt;"    ","",IF(AP428-W428&gt;=0,AP428-W428," "))</f>
        <v/>
      </c>
      <c r="AS428" s="186" t="n"/>
      <c r="AT428" s="187" t="n"/>
      <c r="AU428" s="186" t="n"/>
      <c r="AV428" s="186" t="n"/>
      <c r="AW428" s="188" t="n"/>
      <c r="AX428" s="187" t="n"/>
      <c r="AY428" s="187" t="n"/>
      <c r="AZ428" s="186" t="n"/>
      <c r="BA428" s="186" t="n"/>
      <c r="BB428" s="186" t="n"/>
      <c r="BC428" s="186" t="n"/>
      <c r="BD428" s="186" t="n"/>
      <c r="BE428" s="186" t="n"/>
      <c r="BF428" s="186" t="n"/>
      <c r="BG428" s="186" t="n"/>
      <c r="BH428" s="186" t="n"/>
      <c r="BI428" s="186" t="n"/>
      <c r="BJ428" s="186" t="n"/>
      <c r="BK428" s="186" t="n"/>
      <c r="BL428" s="186" t="n"/>
      <c r="BM428" s="186" t="n"/>
      <c r="BN428" s="186" t="n"/>
      <c r="BO428" s="186" t="n"/>
      <c r="BP428" s="186" t="n"/>
      <c r="BQ428" s="186" t="n"/>
      <c r="BR428" s="186" t="n"/>
      <c r="BS428" s="186" t="n"/>
      <c r="BT428" s="186" t="n"/>
      <c r="BU428" s="186" t="n"/>
      <c r="BV428" s="190" t="n"/>
      <c r="BW428" s="186" t="n"/>
      <c r="BX428" s="186" t="n"/>
      <c r="BY428" s="186" t="n"/>
      <c r="BZ428" s="186" t="n"/>
      <c r="CA428" s="186" t="n"/>
      <c r="CB428" s="187" t="n"/>
      <c r="CC428" s="192" t="n"/>
      <c r="CD428" s="192" t="n"/>
      <c r="CE428" s="192" t="n"/>
      <c r="CF428" s="192" t="n"/>
    </row>
    <row r="429">
      <c r="A429" s="197" t="n"/>
      <c r="B429" s="198" t="n"/>
      <c r="C429" s="198" t="n"/>
      <c r="D429" s="179" t="n"/>
      <c r="E429" s="180" t="n"/>
      <c r="F429" s="181" t="n"/>
      <c r="G429" s="284">
        <f>'Jobs-Ops'!G429</f>
        <v/>
      </c>
      <c r="H429" s="114">
        <f>'Jobs-Ops'!H429</f>
        <v/>
      </c>
      <c r="I429" s="105" t="n"/>
      <c r="J429" s="196">
        <f>F429</f>
        <v/>
      </c>
      <c r="K429" s="184" t="n"/>
      <c r="L429" s="185" t="n"/>
      <c r="M429" s="8" t="n"/>
      <c r="N429" s="71">
        <f>M429</f>
        <v/>
      </c>
      <c r="O429" s="71" t="n"/>
      <c r="P429" s="101" t="n"/>
      <c r="Q429" s="9">
        <f>J429-N429</f>
        <v/>
      </c>
      <c r="R429" s="9">
        <f>IF(LEFT(B429,4)&lt;&gt;"    ",0,BI429)</f>
        <v/>
      </c>
      <c r="S429" s="9">
        <f>+Q429-R429</f>
        <v/>
      </c>
      <c r="T429" s="200">
        <f>IF('Jobs-Ops'!S429&lt;&gt; "",'Jobs-Ops'!S429,"")</f>
        <v/>
      </c>
      <c r="U429" s="10" t="n"/>
      <c r="V429" s="23">
        <f>IF(LEFT(B429,4)&lt;&gt;"    ","",IF(N429&lt;&gt;0,X429/N429,0))</f>
        <v/>
      </c>
      <c r="W429" s="11">
        <f>IF(LEFT(B429,4)&lt;&gt;"    ","",IF(V429&gt;=0.1,V429*J429,X429))</f>
        <v/>
      </c>
      <c r="X429" s="8" t="n"/>
      <c r="Y429" s="9">
        <f>IF(LEFT(B429,4)&lt;&gt;"    ",0,IF(Q429&lt;0,Q429,IF(V429&gt;0.1,W429-X429,0)))</f>
        <v/>
      </c>
      <c r="Z429" s="9">
        <f>IF(LEFT(B429,4)&lt;&gt;"    ",0,IF(V429&gt;0.1,BI429,0))</f>
        <v/>
      </c>
      <c r="AA429" s="9">
        <f>Y429-Z429</f>
        <v/>
      </c>
      <c r="AB429" s="10" t="n"/>
      <c r="AC429" s="24" t="n"/>
      <c r="AD429" s="11" t="n"/>
      <c r="AE429" s="8" t="n"/>
      <c r="AF429" s="9">
        <f>IF(LEFT(B429,4)&lt;&gt;"    ","",AD429-AE429)</f>
        <v/>
      </c>
      <c r="AG429" s="10" t="n"/>
      <c r="AH429" s="11">
        <f>IF(LEFT(B429,4)&lt;&gt;"    ","",W429-AD429)</f>
        <v/>
      </c>
      <c r="AI429" s="8">
        <f>IF(LEFT(B429,4)&lt;&gt;"    ","",X429-AE429)</f>
        <v/>
      </c>
      <c r="AJ429" s="9">
        <f>IF(LEFT(B429,4)&lt;&gt;"    ","",Y429-AF429)</f>
        <v/>
      </c>
      <c r="AK429" s="10" t="n"/>
      <c r="AL429" s="25">
        <f>IF(LEFT(B429,4)&lt;&gt;"    ","",J429-W429)</f>
        <v/>
      </c>
      <c r="AM429" s="25">
        <f>N429-X429</f>
        <v/>
      </c>
      <c r="AN429" s="25">
        <f>IF(LEFT(B429,4)&lt;&gt;"    ","",Q429-Y429)</f>
        <v/>
      </c>
      <c r="AO429" s="10" t="n"/>
      <c r="AP429" s="12" t="n"/>
      <c r="AQ429" s="12">
        <f>IF(LEFT(B429,4)&lt;&gt;"    ","",IF(W429-AP429&gt;=0,W429-AP429," "))</f>
        <v/>
      </c>
      <c r="AR429" s="12">
        <f>IF(LEFT(B429,4)&lt;&gt;"    ","",IF(AP429-W429&gt;=0,AP429-W429," "))</f>
        <v/>
      </c>
      <c r="AS429" s="186" t="n"/>
      <c r="AT429" s="187" t="n"/>
      <c r="AU429" s="186" t="n"/>
      <c r="AV429" s="186" t="n"/>
      <c r="AW429" s="188" t="n"/>
      <c r="AX429" s="187" t="n"/>
      <c r="AY429" s="187" t="n"/>
      <c r="AZ429" s="186" t="n"/>
      <c r="BA429" s="186" t="n"/>
      <c r="BB429" s="186" t="n"/>
      <c r="BC429" s="186" t="n"/>
      <c r="BD429" s="186" t="n"/>
      <c r="BE429" s="186" t="n"/>
      <c r="BF429" s="186" t="n"/>
      <c r="BG429" s="186" t="n"/>
      <c r="BH429" s="186" t="n"/>
      <c r="BI429" s="186" t="n"/>
      <c r="BJ429" s="186" t="n"/>
      <c r="BK429" s="186" t="n"/>
      <c r="BL429" s="186" t="n"/>
      <c r="BM429" s="186" t="n"/>
      <c r="BN429" s="186" t="n"/>
      <c r="BO429" s="186" t="n"/>
      <c r="BP429" s="186" t="n"/>
      <c r="BQ429" s="186" t="n"/>
      <c r="BR429" s="186" t="n"/>
      <c r="BS429" s="186" t="n"/>
      <c r="BT429" s="186" t="n"/>
      <c r="BU429" s="186" t="n"/>
      <c r="BV429" s="190" t="n"/>
      <c r="BW429" s="186" t="n"/>
      <c r="BX429" s="186" t="n"/>
      <c r="BY429" s="186" t="n"/>
      <c r="BZ429" s="186" t="n"/>
      <c r="CA429" s="186" t="n"/>
      <c r="CB429" s="187" t="n"/>
      <c r="CC429" s="192" t="n"/>
      <c r="CD429" s="192" t="n"/>
      <c r="CE429" s="192" t="n"/>
      <c r="CF429" s="192" t="n"/>
    </row>
    <row r="430">
      <c r="A430" s="197" t="n"/>
      <c r="B430" s="198" t="n"/>
      <c r="C430" s="198" t="n"/>
      <c r="D430" s="179" t="n"/>
      <c r="E430" s="180" t="n"/>
      <c r="F430" s="181" t="n"/>
      <c r="G430" s="284">
        <f>'Jobs-Ops'!G430</f>
        <v/>
      </c>
      <c r="H430" s="114">
        <f>'Jobs-Ops'!H430</f>
        <v/>
      </c>
      <c r="I430" s="105" t="n"/>
      <c r="J430" s="196">
        <f>F430</f>
        <v/>
      </c>
      <c r="K430" s="184" t="n"/>
      <c r="L430" s="185" t="n"/>
      <c r="M430" s="8" t="n"/>
      <c r="N430" s="71">
        <f>M430</f>
        <v/>
      </c>
      <c r="O430" s="71" t="n"/>
      <c r="P430" s="101" t="n"/>
      <c r="Q430" s="9">
        <f>J430-N430</f>
        <v/>
      </c>
      <c r="R430" s="9">
        <f>IF(LEFT(B430,4)&lt;&gt;"    ",0,BI430)</f>
        <v/>
      </c>
      <c r="S430" s="9">
        <f>+Q430-R430</f>
        <v/>
      </c>
      <c r="T430" s="200">
        <f>IF('Jobs-Ops'!S430&lt;&gt; "",'Jobs-Ops'!S430,"")</f>
        <v/>
      </c>
      <c r="U430" s="10" t="n"/>
      <c r="V430" s="23">
        <f>IF(LEFT(B430,4)&lt;&gt;"    ","",IF(N430&lt;&gt;0,X430/N430,0))</f>
        <v/>
      </c>
      <c r="W430" s="11">
        <f>IF(LEFT(B430,4)&lt;&gt;"    ","",IF(V430&gt;=0.1,V430*J430,X430))</f>
        <v/>
      </c>
      <c r="X430" s="8" t="n"/>
      <c r="Y430" s="9">
        <f>IF(LEFT(B430,4)&lt;&gt;"    ",0,IF(Q430&lt;0,Q430,IF(V430&gt;0.1,W430-X430,0)))</f>
        <v/>
      </c>
      <c r="Z430" s="9">
        <f>IF(LEFT(B430,4)&lt;&gt;"    ",0,IF(V430&gt;0.1,BI430,0))</f>
        <v/>
      </c>
      <c r="AA430" s="9">
        <f>Y430-Z430</f>
        <v/>
      </c>
      <c r="AB430" s="10" t="n"/>
      <c r="AC430" s="24" t="n"/>
      <c r="AD430" s="11" t="n"/>
      <c r="AE430" s="8" t="n"/>
      <c r="AF430" s="9">
        <f>IF(LEFT(B430,4)&lt;&gt;"    ","",AD430-AE430)</f>
        <v/>
      </c>
      <c r="AG430" s="10" t="n"/>
      <c r="AH430" s="11">
        <f>IF(LEFT(B430,4)&lt;&gt;"    ","",W430-AD430)</f>
        <v/>
      </c>
      <c r="AI430" s="8">
        <f>IF(LEFT(B430,4)&lt;&gt;"    ","",X430-AE430)</f>
        <v/>
      </c>
      <c r="AJ430" s="9">
        <f>IF(LEFT(B430,4)&lt;&gt;"    ","",Y430-AF430)</f>
        <v/>
      </c>
      <c r="AK430" s="10" t="n"/>
      <c r="AL430" s="25">
        <f>IF(LEFT(B430,4)&lt;&gt;"    ","",J430-W430)</f>
        <v/>
      </c>
      <c r="AM430" s="25">
        <f>N430-X430</f>
        <v/>
      </c>
      <c r="AN430" s="25">
        <f>IF(LEFT(B430,4)&lt;&gt;"    ","",Q430-Y430)</f>
        <v/>
      </c>
      <c r="AO430" s="10" t="n"/>
      <c r="AP430" s="12" t="n"/>
      <c r="AQ430" s="12">
        <f>IF(LEFT(B430,4)&lt;&gt;"    ","",IF(W430-AP430&gt;=0,W430-AP430," "))</f>
        <v/>
      </c>
      <c r="AR430" s="12">
        <f>IF(LEFT(B430,4)&lt;&gt;"    ","",IF(AP430-W430&gt;=0,AP430-W430," "))</f>
        <v/>
      </c>
      <c r="AS430" s="186" t="n"/>
      <c r="AT430" s="187" t="n"/>
      <c r="AU430" s="186" t="n"/>
      <c r="AV430" s="186" t="n"/>
      <c r="AW430" s="188" t="n"/>
      <c r="AX430" s="187" t="n"/>
      <c r="AY430" s="187" t="n"/>
      <c r="AZ430" s="186" t="n"/>
      <c r="BA430" s="186" t="n"/>
      <c r="BB430" s="186" t="n"/>
      <c r="BC430" s="186" t="n"/>
      <c r="BD430" s="186" t="n"/>
      <c r="BE430" s="186" t="n"/>
      <c r="BF430" s="186" t="n"/>
      <c r="BG430" s="186" t="n"/>
      <c r="BH430" s="186" t="n"/>
      <c r="BI430" s="186" t="n"/>
      <c r="BJ430" s="186" t="n"/>
      <c r="BK430" s="186" t="n"/>
      <c r="BL430" s="186" t="n"/>
      <c r="BM430" s="186" t="n"/>
      <c r="BN430" s="186" t="n"/>
      <c r="BO430" s="186" t="n"/>
      <c r="BP430" s="186" t="n"/>
      <c r="BQ430" s="186" t="n"/>
      <c r="BR430" s="186" t="n"/>
      <c r="BS430" s="186" t="n"/>
      <c r="BT430" s="186" t="n"/>
      <c r="BU430" s="186" t="n"/>
      <c r="BV430" s="190" t="n"/>
      <c r="BW430" s="186" t="n"/>
      <c r="BX430" s="186" t="n"/>
      <c r="BY430" s="186" t="n"/>
      <c r="BZ430" s="186" t="n"/>
      <c r="CA430" s="186" t="n"/>
      <c r="CB430" s="187" t="n"/>
      <c r="CC430" s="192" t="n"/>
      <c r="CD430" s="192" t="n"/>
      <c r="CE430" s="192" t="n"/>
      <c r="CF430" s="192" t="n"/>
    </row>
    <row r="431">
      <c r="A431" s="197" t="n"/>
      <c r="B431" s="198" t="n"/>
      <c r="C431" s="198" t="n"/>
      <c r="D431" s="179" t="n"/>
      <c r="E431" s="180" t="n"/>
      <c r="F431" s="181" t="n"/>
      <c r="G431" s="284">
        <f>'Jobs-Ops'!G431</f>
        <v/>
      </c>
      <c r="H431" s="114">
        <f>'Jobs-Ops'!H431</f>
        <v/>
      </c>
      <c r="I431" s="105" t="n"/>
      <c r="J431" s="196">
        <f>F431</f>
        <v/>
      </c>
      <c r="K431" s="184" t="n"/>
      <c r="L431" s="185" t="n"/>
      <c r="M431" s="8" t="n"/>
      <c r="N431" s="71">
        <f>M431</f>
        <v/>
      </c>
      <c r="O431" s="71" t="n"/>
      <c r="P431" s="101" t="n"/>
      <c r="Q431" s="9">
        <f>J431-N431</f>
        <v/>
      </c>
      <c r="R431" s="9">
        <f>IF(LEFT(B431,4)&lt;&gt;"    ",0,BI431)</f>
        <v/>
      </c>
      <c r="S431" s="9">
        <f>+Q431-R431</f>
        <v/>
      </c>
      <c r="T431" s="200">
        <f>IF('Jobs-Ops'!S431&lt;&gt; "",'Jobs-Ops'!S431,"")</f>
        <v/>
      </c>
      <c r="U431" s="10" t="n"/>
      <c r="V431" s="23">
        <f>IF(LEFT(B431,4)&lt;&gt;"    ","",IF(N431&lt;&gt;0,X431/N431,0))</f>
        <v/>
      </c>
      <c r="W431" s="11">
        <f>IF(LEFT(B431,4)&lt;&gt;"    ","",IF(V431&gt;=0.1,V431*J431,X431))</f>
        <v/>
      </c>
      <c r="X431" s="8" t="n"/>
      <c r="Y431" s="9">
        <f>IF(LEFT(B431,4)&lt;&gt;"    ",0,IF(Q431&lt;0,Q431,IF(V431&gt;0.1,W431-X431,0)))</f>
        <v/>
      </c>
      <c r="Z431" s="9">
        <f>IF(LEFT(B431,4)&lt;&gt;"    ",0,IF(V431&gt;0.1,BI431,0))</f>
        <v/>
      </c>
      <c r="AA431" s="9">
        <f>Y431-Z431</f>
        <v/>
      </c>
      <c r="AB431" s="10" t="n"/>
      <c r="AC431" s="24" t="n"/>
      <c r="AD431" s="11" t="n"/>
      <c r="AE431" s="8" t="n"/>
      <c r="AF431" s="9">
        <f>IF(LEFT(B431,4)&lt;&gt;"    ","",AD431-AE431)</f>
        <v/>
      </c>
      <c r="AG431" s="10" t="n"/>
      <c r="AH431" s="11">
        <f>IF(LEFT(B431,4)&lt;&gt;"    ","",W431-AD431)</f>
        <v/>
      </c>
      <c r="AI431" s="8">
        <f>IF(LEFT(B431,4)&lt;&gt;"    ","",X431-AE431)</f>
        <v/>
      </c>
      <c r="AJ431" s="9">
        <f>IF(LEFT(B431,4)&lt;&gt;"    ","",Y431-AF431)</f>
        <v/>
      </c>
      <c r="AK431" s="10" t="n"/>
      <c r="AL431" s="25">
        <f>IF(LEFT(B431,4)&lt;&gt;"    ","",J431-W431)</f>
        <v/>
      </c>
      <c r="AM431" s="25">
        <f>N431-X431</f>
        <v/>
      </c>
      <c r="AN431" s="25">
        <f>IF(LEFT(B431,4)&lt;&gt;"    ","",Q431-Y431)</f>
        <v/>
      </c>
      <c r="AO431" s="10" t="n"/>
      <c r="AP431" s="12" t="n"/>
      <c r="AQ431" s="12">
        <f>IF(LEFT(B431,4)&lt;&gt;"    ","",IF(W431-AP431&gt;=0,W431-AP431," "))</f>
        <v/>
      </c>
      <c r="AR431" s="12">
        <f>IF(LEFT(B431,4)&lt;&gt;"    ","",IF(AP431-W431&gt;=0,AP431-W431," "))</f>
        <v/>
      </c>
      <c r="AS431" s="186" t="n"/>
      <c r="AT431" s="187" t="n"/>
      <c r="AU431" s="186" t="n"/>
      <c r="AV431" s="186" t="n"/>
      <c r="AW431" s="188" t="n"/>
      <c r="AX431" s="187" t="n"/>
      <c r="AY431" s="187" t="n"/>
      <c r="AZ431" s="186" t="n"/>
      <c r="BA431" s="186" t="n"/>
      <c r="BB431" s="186" t="n"/>
      <c r="BC431" s="186" t="n"/>
      <c r="BD431" s="186" t="n"/>
      <c r="BE431" s="186" t="n"/>
      <c r="BF431" s="186" t="n"/>
      <c r="BG431" s="186" t="n"/>
      <c r="BH431" s="186" t="n"/>
      <c r="BI431" s="186" t="n"/>
      <c r="BJ431" s="186" t="n"/>
      <c r="BK431" s="186" t="n"/>
      <c r="BL431" s="186" t="n"/>
      <c r="BM431" s="186" t="n"/>
      <c r="BN431" s="186" t="n"/>
      <c r="BO431" s="186" t="n"/>
      <c r="BP431" s="186" t="n"/>
      <c r="BQ431" s="186" t="n"/>
      <c r="BR431" s="186" t="n"/>
      <c r="BS431" s="186" t="n"/>
      <c r="BT431" s="186" t="n"/>
      <c r="BU431" s="186" t="n"/>
      <c r="BV431" s="190" t="n"/>
      <c r="BW431" s="186" t="n"/>
      <c r="BX431" s="186" t="n"/>
      <c r="BY431" s="186" t="n"/>
      <c r="BZ431" s="186" t="n"/>
      <c r="CA431" s="186" t="n"/>
      <c r="CB431" s="187" t="n"/>
      <c r="CC431" s="192" t="n"/>
      <c r="CD431" s="192" t="n"/>
      <c r="CE431" s="192" t="n"/>
      <c r="CF431" s="192" t="n"/>
    </row>
    <row r="432">
      <c r="A432" s="197" t="n"/>
      <c r="B432" s="198" t="n"/>
      <c r="C432" s="198" t="n"/>
      <c r="D432" s="179" t="n"/>
      <c r="E432" s="180" t="n"/>
      <c r="F432" s="181" t="n"/>
      <c r="G432" s="284">
        <f>'Jobs-Ops'!G432</f>
        <v/>
      </c>
      <c r="H432" s="114">
        <f>'Jobs-Ops'!H432</f>
        <v/>
      </c>
      <c r="I432" s="105" t="n"/>
      <c r="J432" s="196">
        <f>F432</f>
        <v/>
      </c>
      <c r="K432" s="184" t="n"/>
      <c r="L432" s="185" t="n"/>
      <c r="M432" s="8" t="n"/>
      <c r="N432" s="71">
        <f>M432</f>
        <v/>
      </c>
      <c r="O432" s="71" t="n"/>
      <c r="P432" s="101" t="n"/>
      <c r="Q432" s="9">
        <f>J432-N432</f>
        <v/>
      </c>
      <c r="R432" s="9">
        <f>IF(LEFT(B432,4)&lt;&gt;"    ",0,BI432)</f>
        <v/>
      </c>
      <c r="S432" s="9">
        <f>+Q432-R432</f>
        <v/>
      </c>
      <c r="T432" s="200">
        <f>IF('Jobs-Ops'!S432&lt;&gt; "",'Jobs-Ops'!S432,"")</f>
        <v/>
      </c>
      <c r="U432" s="10" t="n"/>
      <c r="V432" s="23">
        <f>IF(LEFT(B432,4)&lt;&gt;"    ","",IF(N432&lt;&gt;0,X432/N432,0))</f>
        <v/>
      </c>
      <c r="W432" s="11">
        <f>IF(LEFT(B432,4)&lt;&gt;"    ","",IF(V432&gt;=0.1,V432*J432,X432))</f>
        <v/>
      </c>
      <c r="X432" s="8" t="n"/>
      <c r="Y432" s="9">
        <f>IF(LEFT(B432,4)&lt;&gt;"    ",0,IF(Q432&lt;0,Q432,IF(V432&gt;0.1,W432-X432,0)))</f>
        <v/>
      </c>
      <c r="Z432" s="9">
        <f>IF(LEFT(B432,4)&lt;&gt;"    ",0,IF(V432&gt;0.1,BI432,0))</f>
        <v/>
      </c>
      <c r="AA432" s="9">
        <f>Y432-Z432</f>
        <v/>
      </c>
      <c r="AB432" s="10" t="n"/>
      <c r="AC432" s="24" t="n"/>
      <c r="AD432" s="11" t="n"/>
      <c r="AE432" s="8" t="n"/>
      <c r="AF432" s="9">
        <f>IF(LEFT(B432,4)&lt;&gt;"    ","",AD432-AE432)</f>
        <v/>
      </c>
      <c r="AG432" s="10" t="n"/>
      <c r="AH432" s="11">
        <f>IF(LEFT(B432,4)&lt;&gt;"    ","",W432-AD432)</f>
        <v/>
      </c>
      <c r="AI432" s="8">
        <f>IF(LEFT(B432,4)&lt;&gt;"    ","",X432-AE432)</f>
        <v/>
      </c>
      <c r="AJ432" s="9">
        <f>IF(LEFT(B432,4)&lt;&gt;"    ","",Y432-AF432)</f>
        <v/>
      </c>
      <c r="AK432" s="10" t="n"/>
      <c r="AL432" s="25">
        <f>IF(LEFT(B432,4)&lt;&gt;"    ","",J432-W432)</f>
        <v/>
      </c>
      <c r="AM432" s="25">
        <f>N432-X432</f>
        <v/>
      </c>
      <c r="AN432" s="25">
        <f>IF(LEFT(B432,4)&lt;&gt;"    ","",Q432-Y432)</f>
        <v/>
      </c>
      <c r="AO432" s="10" t="n"/>
      <c r="AP432" s="12" t="n"/>
      <c r="AQ432" s="12">
        <f>IF(LEFT(B432,4)&lt;&gt;"    ","",IF(W432-AP432&gt;=0,W432-AP432," "))</f>
        <v/>
      </c>
      <c r="AR432" s="12">
        <f>IF(LEFT(B432,4)&lt;&gt;"    ","",IF(AP432-W432&gt;=0,AP432-W432," "))</f>
        <v/>
      </c>
      <c r="AS432" s="186" t="n"/>
      <c r="AT432" s="187" t="n"/>
      <c r="AU432" s="186" t="n"/>
      <c r="AV432" s="186" t="n"/>
      <c r="AW432" s="188" t="n"/>
      <c r="AX432" s="187" t="n"/>
      <c r="AY432" s="187" t="n"/>
      <c r="AZ432" s="186" t="n"/>
      <c r="BA432" s="186" t="n"/>
      <c r="BB432" s="186" t="n"/>
      <c r="BC432" s="186" t="n"/>
      <c r="BD432" s="186" t="n"/>
      <c r="BE432" s="186" t="n"/>
      <c r="BF432" s="186" t="n"/>
      <c r="BG432" s="186" t="n"/>
      <c r="BH432" s="186" t="n"/>
      <c r="BI432" s="186" t="n"/>
      <c r="BJ432" s="186" t="n"/>
      <c r="BK432" s="186" t="n"/>
      <c r="BL432" s="186" t="n"/>
      <c r="BM432" s="186" t="n"/>
      <c r="BN432" s="186" t="n"/>
      <c r="BO432" s="186" t="n"/>
      <c r="BP432" s="186" t="n"/>
      <c r="BQ432" s="186" t="n"/>
      <c r="BR432" s="186" t="n"/>
      <c r="BS432" s="186" t="n"/>
      <c r="BT432" s="186" t="n"/>
      <c r="BU432" s="186" t="n"/>
      <c r="BV432" s="190" t="n"/>
      <c r="BW432" s="186" t="n"/>
      <c r="BX432" s="186" t="n"/>
      <c r="BY432" s="186" t="n"/>
      <c r="BZ432" s="186" t="n"/>
      <c r="CA432" s="186" t="n"/>
      <c r="CB432" s="187" t="n"/>
      <c r="CC432" s="192" t="n"/>
      <c r="CD432" s="192" t="n"/>
      <c r="CE432" s="192" t="n"/>
      <c r="CF432" s="192" t="n"/>
    </row>
    <row r="433">
      <c r="A433" s="197" t="n"/>
      <c r="B433" s="198" t="n"/>
      <c r="C433" s="198" t="n"/>
      <c r="D433" s="179" t="n"/>
      <c r="E433" s="180" t="n"/>
      <c r="F433" s="181" t="n"/>
      <c r="G433" s="284">
        <f>'Jobs-Ops'!G433</f>
        <v/>
      </c>
      <c r="H433" s="114">
        <f>'Jobs-Ops'!H433</f>
        <v/>
      </c>
      <c r="I433" s="105" t="n"/>
      <c r="J433" s="196">
        <f>F433</f>
        <v/>
      </c>
      <c r="K433" s="184" t="n"/>
      <c r="L433" s="185" t="n"/>
      <c r="M433" s="8" t="n"/>
      <c r="N433" s="71">
        <f>M433</f>
        <v/>
      </c>
      <c r="O433" s="71" t="n"/>
      <c r="P433" s="101" t="n"/>
      <c r="Q433" s="9">
        <f>J433-N433</f>
        <v/>
      </c>
      <c r="R433" s="9">
        <f>IF(LEFT(B433,4)&lt;&gt;"    ",0,BI433)</f>
        <v/>
      </c>
      <c r="S433" s="9">
        <f>+Q433-R433</f>
        <v/>
      </c>
      <c r="T433" s="200">
        <f>IF('Jobs-Ops'!S433&lt;&gt; "",'Jobs-Ops'!S433,"")</f>
        <v/>
      </c>
      <c r="U433" s="10" t="n"/>
      <c r="V433" s="23">
        <f>IF(LEFT(B433,4)&lt;&gt;"    ","",IF(N433&lt;&gt;0,X433/N433,0))</f>
        <v/>
      </c>
      <c r="W433" s="11">
        <f>IF(LEFT(B433,4)&lt;&gt;"    ","",IF(V433&gt;=0.1,V433*J433,X433))</f>
        <v/>
      </c>
      <c r="X433" s="8" t="n"/>
      <c r="Y433" s="9">
        <f>IF(LEFT(B433,4)&lt;&gt;"    ",0,IF(Q433&lt;0,Q433,IF(V433&gt;0.1,W433-X433,0)))</f>
        <v/>
      </c>
      <c r="Z433" s="9">
        <f>IF(LEFT(B433,4)&lt;&gt;"    ",0,IF(V433&gt;0.1,BI433,0))</f>
        <v/>
      </c>
      <c r="AA433" s="9">
        <f>Y433-Z433</f>
        <v/>
      </c>
      <c r="AB433" s="10" t="n"/>
      <c r="AC433" s="24" t="n"/>
      <c r="AD433" s="11" t="n"/>
      <c r="AE433" s="8" t="n"/>
      <c r="AF433" s="9">
        <f>IF(LEFT(B433,4)&lt;&gt;"    ","",AD433-AE433)</f>
        <v/>
      </c>
      <c r="AG433" s="10" t="n"/>
      <c r="AH433" s="11">
        <f>IF(LEFT(B433,4)&lt;&gt;"    ","",W433-AD433)</f>
        <v/>
      </c>
      <c r="AI433" s="8">
        <f>IF(LEFT(B433,4)&lt;&gt;"    ","",X433-AE433)</f>
        <v/>
      </c>
      <c r="AJ433" s="9">
        <f>IF(LEFT(B433,4)&lt;&gt;"    ","",Y433-AF433)</f>
        <v/>
      </c>
      <c r="AK433" s="10" t="n"/>
      <c r="AL433" s="25">
        <f>IF(LEFT(B433,4)&lt;&gt;"    ","",J433-W433)</f>
        <v/>
      </c>
      <c r="AM433" s="25">
        <f>N433-X433</f>
        <v/>
      </c>
      <c r="AN433" s="25">
        <f>IF(LEFT(B433,4)&lt;&gt;"    ","",Q433-Y433)</f>
        <v/>
      </c>
      <c r="AO433" s="10" t="n"/>
      <c r="AP433" s="12" t="n"/>
      <c r="AQ433" s="12">
        <f>IF(LEFT(B433,4)&lt;&gt;"    ","",IF(W433-AP433&gt;=0,W433-AP433," "))</f>
        <v/>
      </c>
      <c r="AR433" s="12">
        <f>IF(LEFT(B433,4)&lt;&gt;"    ","",IF(AP433-W433&gt;=0,AP433-W433," "))</f>
        <v/>
      </c>
      <c r="AS433" s="186" t="n"/>
      <c r="AT433" s="187" t="n"/>
      <c r="AU433" s="186" t="n"/>
      <c r="AV433" s="186" t="n"/>
      <c r="AW433" s="188" t="n"/>
      <c r="AX433" s="187" t="n"/>
      <c r="AY433" s="187" t="n"/>
      <c r="AZ433" s="186" t="n"/>
      <c r="BA433" s="186" t="n"/>
      <c r="BB433" s="186" t="n"/>
      <c r="BC433" s="186" t="n"/>
      <c r="BD433" s="186" t="n"/>
      <c r="BE433" s="186" t="n"/>
      <c r="BF433" s="186" t="n"/>
      <c r="BG433" s="186" t="n"/>
      <c r="BH433" s="186" t="n"/>
      <c r="BI433" s="186" t="n"/>
      <c r="BJ433" s="186" t="n"/>
      <c r="BK433" s="186" t="n"/>
      <c r="BL433" s="186" t="n"/>
      <c r="BM433" s="186" t="n"/>
      <c r="BN433" s="186" t="n"/>
      <c r="BO433" s="186" t="n"/>
      <c r="BP433" s="186" t="n"/>
      <c r="BQ433" s="186" t="n"/>
      <c r="BR433" s="186" t="n"/>
      <c r="BS433" s="186" t="n"/>
      <c r="BT433" s="186" t="n"/>
      <c r="BU433" s="186" t="n"/>
      <c r="BV433" s="190" t="n"/>
      <c r="BW433" s="186" t="n"/>
      <c r="BX433" s="186" t="n"/>
      <c r="BY433" s="186" t="n"/>
      <c r="BZ433" s="186" t="n"/>
      <c r="CA433" s="186" t="n"/>
      <c r="CB433" s="187" t="n"/>
      <c r="CC433" s="192" t="n"/>
      <c r="CD433" s="192" t="n"/>
      <c r="CE433" s="192" t="n"/>
      <c r="CF433" s="192" t="n"/>
    </row>
    <row r="434">
      <c r="A434" s="197" t="n"/>
      <c r="B434" s="198" t="n"/>
      <c r="C434" s="198" t="n"/>
      <c r="D434" s="179" t="n"/>
      <c r="E434" s="180" t="n"/>
      <c r="F434" s="181" t="n"/>
      <c r="G434" s="284">
        <f>'Jobs-Ops'!G434</f>
        <v/>
      </c>
      <c r="H434" s="114">
        <f>'Jobs-Ops'!H434</f>
        <v/>
      </c>
      <c r="I434" s="105" t="n"/>
      <c r="J434" s="196">
        <f>F434</f>
        <v/>
      </c>
      <c r="K434" s="184" t="n"/>
      <c r="L434" s="185" t="n"/>
      <c r="M434" s="8" t="n"/>
      <c r="N434" s="71">
        <f>M434</f>
        <v/>
      </c>
      <c r="O434" s="71" t="n"/>
      <c r="P434" s="101" t="n"/>
      <c r="Q434" s="9">
        <f>J434-N434</f>
        <v/>
      </c>
      <c r="R434" s="9">
        <f>IF(LEFT(B434,4)&lt;&gt;"    ",0,BI434)</f>
        <v/>
      </c>
      <c r="S434" s="9">
        <f>+Q434-R434</f>
        <v/>
      </c>
      <c r="T434" s="200">
        <f>IF('Jobs-Ops'!S434&lt;&gt; "",'Jobs-Ops'!S434,"")</f>
        <v/>
      </c>
      <c r="U434" s="10" t="n"/>
      <c r="V434" s="23">
        <f>IF(LEFT(B434,4)&lt;&gt;"    ","",IF(N434&lt;&gt;0,X434/N434,0))</f>
        <v/>
      </c>
      <c r="W434" s="11">
        <f>IF(LEFT(B434,4)&lt;&gt;"    ","",IF(V434&gt;=0.1,V434*J434,X434))</f>
        <v/>
      </c>
      <c r="X434" s="8" t="n"/>
      <c r="Y434" s="9">
        <f>IF(LEFT(B434,4)&lt;&gt;"    ",0,IF(Q434&lt;0,Q434,IF(V434&gt;0.1,W434-X434,0)))</f>
        <v/>
      </c>
      <c r="Z434" s="9">
        <f>IF(LEFT(B434,4)&lt;&gt;"    ",0,IF(V434&gt;0.1,BI434,0))</f>
        <v/>
      </c>
      <c r="AA434" s="9">
        <f>Y434-Z434</f>
        <v/>
      </c>
      <c r="AB434" s="10" t="n"/>
      <c r="AC434" s="24" t="n"/>
      <c r="AD434" s="11" t="n"/>
      <c r="AE434" s="8" t="n"/>
      <c r="AF434" s="9">
        <f>IF(LEFT(B434,4)&lt;&gt;"    ","",AD434-AE434)</f>
        <v/>
      </c>
      <c r="AG434" s="10" t="n"/>
      <c r="AH434" s="11">
        <f>IF(LEFT(B434,4)&lt;&gt;"    ","",W434-AD434)</f>
        <v/>
      </c>
      <c r="AI434" s="8">
        <f>IF(LEFT(B434,4)&lt;&gt;"    ","",X434-AE434)</f>
        <v/>
      </c>
      <c r="AJ434" s="9">
        <f>IF(LEFT(B434,4)&lt;&gt;"    ","",Y434-AF434)</f>
        <v/>
      </c>
      <c r="AK434" s="10" t="n"/>
      <c r="AL434" s="25">
        <f>IF(LEFT(B434,4)&lt;&gt;"    ","",J434-W434)</f>
        <v/>
      </c>
      <c r="AM434" s="25">
        <f>N434-X434</f>
        <v/>
      </c>
      <c r="AN434" s="25">
        <f>IF(LEFT(B434,4)&lt;&gt;"    ","",Q434-Y434)</f>
        <v/>
      </c>
      <c r="AO434" s="10" t="n"/>
      <c r="AP434" s="12" t="n"/>
      <c r="AQ434" s="12">
        <f>IF(LEFT(B434,4)&lt;&gt;"    ","",IF(W434-AP434&gt;=0,W434-AP434," "))</f>
        <v/>
      </c>
      <c r="AR434" s="12">
        <f>IF(LEFT(B434,4)&lt;&gt;"    ","",IF(AP434-W434&gt;=0,AP434-W434," "))</f>
        <v/>
      </c>
      <c r="AS434" s="186" t="n"/>
      <c r="AT434" s="187" t="n"/>
      <c r="AU434" s="186" t="n"/>
      <c r="AV434" s="186" t="n"/>
      <c r="AW434" s="188" t="n"/>
      <c r="AX434" s="187" t="n"/>
      <c r="AY434" s="187" t="n"/>
      <c r="AZ434" s="186" t="n"/>
      <c r="BA434" s="186" t="n"/>
      <c r="BB434" s="186" t="n"/>
      <c r="BC434" s="186" t="n"/>
      <c r="BD434" s="186" t="n"/>
      <c r="BE434" s="186" t="n"/>
      <c r="BF434" s="186" t="n"/>
      <c r="BG434" s="186" t="n"/>
      <c r="BH434" s="186" t="n"/>
      <c r="BI434" s="186" t="n"/>
      <c r="BJ434" s="186" t="n"/>
      <c r="BK434" s="186" t="n"/>
      <c r="BL434" s="186" t="n"/>
      <c r="BM434" s="186" t="n"/>
      <c r="BN434" s="186" t="n"/>
      <c r="BO434" s="186" t="n"/>
      <c r="BP434" s="186" t="n"/>
      <c r="BQ434" s="186" t="n"/>
      <c r="BR434" s="186" t="n"/>
      <c r="BS434" s="186" t="n"/>
      <c r="BT434" s="186" t="n"/>
      <c r="BU434" s="186" t="n"/>
      <c r="BV434" s="190" t="n"/>
      <c r="BW434" s="186" t="n"/>
      <c r="BX434" s="186" t="n"/>
      <c r="BY434" s="186" t="n"/>
      <c r="BZ434" s="186" t="n"/>
      <c r="CA434" s="186" t="n"/>
      <c r="CB434" s="187" t="n"/>
      <c r="CC434" s="192" t="n"/>
      <c r="CD434" s="192" t="n"/>
      <c r="CE434" s="192" t="n"/>
      <c r="CF434" s="192" t="n"/>
    </row>
    <row r="435">
      <c r="A435" s="197" t="n"/>
      <c r="B435" s="198" t="n"/>
      <c r="C435" s="198" t="n"/>
      <c r="D435" s="179" t="n"/>
      <c r="E435" s="180" t="n"/>
      <c r="F435" s="181" t="n"/>
      <c r="G435" s="284">
        <f>'Jobs-Ops'!G435</f>
        <v/>
      </c>
      <c r="H435" s="114">
        <f>'Jobs-Ops'!H435</f>
        <v/>
      </c>
      <c r="I435" s="105" t="n"/>
      <c r="J435" s="196">
        <f>F435</f>
        <v/>
      </c>
      <c r="K435" s="184" t="n"/>
      <c r="L435" s="185" t="n"/>
      <c r="M435" s="8" t="n"/>
      <c r="N435" s="71">
        <f>M435</f>
        <v/>
      </c>
      <c r="O435" s="71" t="n"/>
      <c r="P435" s="101" t="n"/>
      <c r="Q435" s="9">
        <f>J435-N435</f>
        <v/>
      </c>
      <c r="R435" s="9">
        <f>IF(LEFT(B435,4)&lt;&gt;"    ",0,BI435)</f>
        <v/>
      </c>
      <c r="S435" s="9">
        <f>+Q435-R435</f>
        <v/>
      </c>
      <c r="T435" s="200">
        <f>IF('Jobs-Ops'!S435&lt;&gt; "",'Jobs-Ops'!S435,"")</f>
        <v/>
      </c>
      <c r="U435" s="10" t="n"/>
      <c r="V435" s="23">
        <f>IF(LEFT(B435,4)&lt;&gt;"    ","",IF(N435&lt;&gt;0,X435/N435,0))</f>
        <v/>
      </c>
      <c r="W435" s="11">
        <f>IF(LEFT(B435,4)&lt;&gt;"    ","",IF(V435&gt;=0.1,V435*J435,X435))</f>
        <v/>
      </c>
      <c r="X435" s="8" t="n"/>
      <c r="Y435" s="9">
        <f>IF(LEFT(B435,4)&lt;&gt;"    ",0,IF(Q435&lt;0,Q435,IF(V435&gt;0.1,W435-X435,0)))</f>
        <v/>
      </c>
      <c r="Z435" s="9">
        <f>IF(LEFT(B435,4)&lt;&gt;"    ",0,IF(V435&gt;0.1,BI435,0))</f>
        <v/>
      </c>
      <c r="AA435" s="9">
        <f>Y435-Z435</f>
        <v/>
      </c>
      <c r="AB435" s="10" t="n"/>
      <c r="AC435" s="24" t="n"/>
      <c r="AD435" s="11" t="n"/>
      <c r="AE435" s="8" t="n"/>
      <c r="AF435" s="9">
        <f>IF(LEFT(B435,4)&lt;&gt;"    ","",AD435-AE435)</f>
        <v/>
      </c>
      <c r="AG435" s="10" t="n"/>
      <c r="AH435" s="11">
        <f>IF(LEFT(B435,4)&lt;&gt;"    ","",W435-AD435)</f>
        <v/>
      </c>
      <c r="AI435" s="8">
        <f>IF(LEFT(B435,4)&lt;&gt;"    ","",X435-AE435)</f>
        <v/>
      </c>
      <c r="AJ435" s="9">
        <f>IF(LEFT(B435,4)&lt;&gt;"    ","",Y435-AF435)</f>
        <v/>
      </c>
      <c r="AK435" s="10" t="n"/>
      <c r="AL435" s="25">
        <f>IF(LEFT(B435,4)&lt;&gt;"    ","",J435-W435)</f>
        <v/>
      </c>
      <c r="AM435" s="25">
        <f>N435-X435</f>
        <v/>
      </c>
      <c r="AN435" s="25">
        <f>IF(LEFT(B435,4)&lt;&gt;"    ","",Q435-Y435)</f>
        <v/>
      </c>
      <c r="AO435" s="10" t="n"/>
      <c r="AP435" s="12" t="n"/>
      <c r="AQ435" s="12">
        <f>IF(LEFT(B435,4)&lt;&gt;"    ","",IF(W435-AP435&gt;=0,W435-AP435," "))</f>
        <v/>
      </c>
      <c r="AR435" s="12">
        <f>IF(LEFT(B435,4)&lt;&gt;"    ","",IF(AP435-W435&gt;=0,AP435-W435," "))</f>
        <v/>
      </c>
      <c r="AS435" s="186" t="n"/>
      <c r="AT435" s="187" t="n"/>
      <c r="AU435" s="186" t="n"/>
      <c r="AV435" s="186" t="n"/>
      <c r="AW435" s="188" t="n"/>
      <c r="AX435" s="187" t="n"/>
      <c r="AY435" s="187" t="n"/>
      <c r="AZ435" s="186" t="n"/>
      <c r="BA435" s="186" t="n"/>
      <c r="BB435" s="186" t="n"/>
      <c r="BC435" s="186" t="n"/>
      <c r="BD435" s="186" t="n"/>
      <c r="BE435" s="186" t="n"/>
      <c r="BF435" s="186" t="n"/>
      <c r="BG435" s="186" t="n"/>
      <c r="BH435" s="186" t="n"/>
      <c r="BI435" s="186" t="n"/>
      <c r="BJ435" s="186" t="n"/>
      <c r="BK435" s="186" t="n"/>
      <c r="BL435" s="186" t="n"/>
      <c r="BM435" s="186" t="n"/>
      <c r="BN435" s="186" t="n"/>
      <c r="BO435" s="186" t="n"/>
      <c r="BP435" s="186" t="n"/>
      <c r="BQ435" s="186" t="n"/>
      <c r="BR435" s="186" t="n"/>
      <c r="BS435" s="186" t="n"/>
      <c r="BT435" s="186" t="n"/>
      <c r="BU435" s="186" t="n"/>
      <c r="BV435" s="190" t="n"/>
      <c r="BW435" s="186" t="n"/>
      <c r="BX435" s="186" t="n"/>
      <c r="BY435" s="186" t="n"/>
      <c r="BZ435" s="186" t="n"/>
      <c r="CA435" s="186" t="n"/>
      <c r="CB435" s="187" t="n"/>
      <c r="CC435" s="192" t="n"/>
      <c r="CD435" s="192" t="n"/>
      <c r="CE435" s="192" t="n"/>
      <c r="CF435" s="192" t="n"/>
    </row>
    <row r="436">
      <c r="A436" s="197" t="n"/>
      <c r="B436" s="198" t="n"/>
      <c r="C436" s="198" t="n"/>
      <c r="D436" s="179" t="n"/>
      <c r="E436" s="180" t="n"/>
      <c r="F436" s="181" t="n"/>
      <c r="G436" s="284">
        <f>'Jobs-Ops'!G436</f>
        <v/>
      </c>
      <c r="H436" s="114">
        <f>'Jobs-Ops'!H436</f>
        <v/>
      </c>
      <c r="I436" s="105" t="n"/>
      <c r="J436" s="196">
        <f>F436</f>
        <v/>
      </c>
      <c r="K436" s="184" t="n"/>
      <c r="L436" s="185" t="n"/>
      <c r="M436" s="8" t="n"/>
      <c r="N436" s="71">
        <f>M436</f>
        <v/>
      </c>
      <c r="O436" s="71" t="n"/>
      <c r="P436" s="101" t="n"/>
      <c r="Q436" s="9">
        <f>J436-N436</f>
        <v/>
      </c>
      <c r="R436" s="9">
        <f>IF(LEFT(B436,4)&lt;&gt;"    ",0,BI436)</f>
        <v/>
      </c>
      <c r="S436" s="9">
        <f>+Q436-R436</f>
        <v/>
      </c>
      <c r="T436" s="200">
        <f>IF('Jobs-Ops'!S436&lt;&gt; "",'Jobs-Ops'!S436,"")</f>
        <v/>
      </c>
      <c r="U436" s="10" t="n"/>
      <c r="V436" s="23">
        <f>IF(LEFT(B436,4)&lt;&gt;"    ","",IF(N436&lt;&gt;0,X436/N436,0))</f>
        <v/>
      </c>
      <c r="W436" s="11">
        <f>IF(LEFT(B436,4)&lt;&gt;"    ","",IF(V436&gt;=0.1,V436*J436,X436))</f>
        <v/>
      </c>
      <c r="X436" s="8" t="n"/>
      <c r="Y436" s="9">
        <f>IF(LEFT(B436,4)&lt;&gt;"    ",0,IF(Q436&lt;0,Q436,IF(V436&gt;0.1,W436-X436,0)))</f>
        <v/>
      </c>
      <c r="Z436" s="9">
        <f>IF(LEFT(B436,4)&lt;&gt;"    ",0,IF(V436&gt;0.1,BI436,0))</f>
        <v/>
      </c>
      <c r="AA436" s="9">
        <f>Y436-Z436</f>
        <v/>
      </c>
      <c r="AB436" s="10" t="n"/>
      <c r="AC436" s="24" t="n"/>
      <c r="AD436" s="11" t="n"/>
      <c r="AE436" s="8" t="n"/>
      <c r="AF436" s="9">
        <f>IF(LEFT(B436,4)&lt;&gt;"    ","",AD436-AE436)</f>
        <v/>
      </c>
      <c r="AG436" s="10" t="n"/>
      <c r="AH436" s="11">
        <f>IF(LEFT(B436,4)&lt;&gt;"    ","",W436-AD436)</f>
        <v/>
      </c>
      <c r="AI436" s="8">
        <f>IF(LEFT(B436,4)&lt;&gt;"    ","",X436-AE436)</f>
        <v/>
      </c>
      <c r="AJ436" s="9">
        <f>IF(LEFT(B436,4)&lt;&gt;"    ","",Y436-AF436)</f>
        <v/>
      </c>
      <c r="AK436" s="10" t="n"/>
      <c r="AL436" s="25">
        <f>IF(LEFT(B436,4)&lt;&gt;"    ","",J436-W436)</f>
        <v/>
      </c>
      <c r="AM436" s="25">
        <f>N436-X436</f>
        <v/>
      </c>
      <c r="AN436" s="25">
        <f>IF(LEFT(B436,4)&lt;&gt;"    ","",Q436-Y436)</f>
        <v/>
      </c>
      <c r="AO436" s="10" t="n"/>
      <c r="AP436" s="12" t="n"/>
      <c r="AQ436" s="12">
        <f>IF(LEFT(B436,4)&lt;&gt;"    ","",IF(W436-AP436&gt;=0,W436-AP436," "))</f>
        <v/>
      </c>
      <c r="AR436" s="12">
        <f>IF(LEFT(B436,4)&lt;&gt;"    ","",IF(AP436-W436&gt;=0,AP436-W436," "))</f>
        <v/>
      </c>
      <c r="AS436" s="186" t="n"/>
      <c r="AT436" s="187" t="n"/>
      <c r="AU436" s="186" t="n"/>
      <c r="AV436" s="186" t="n"/>
      <c r="AW436" s="188" t="n"/>
      <c r="AX436" s="187" t="n"/>
      <c r="AY436" s="187" t="n"/>
      <c r="AZ436" s="186" t="n"/>
      <c r="BA436" s="186" t="n"/>
      <c r="BB436" s="186" t="n"/>
      <c r="BC436" s="186" t="n"/>
      <c r="BD436" s="186" t="n"/>
      <c r="BE436" s="186" t="n"/>
      <c r="BF436" s="186" t="n"/>
      <c r="BG436" s="186" t="n"/>
      <c r="BH436" s="186" t="n"/>
      <c r="BI436" s="186" t="n"/>
      <c r="BJ436" s="186" t="n"/>
      <c r="BK436" s="186" t="n"/>
      <c r="BL436" s="186" t="n"/>
      <c r="BM436" s="186" t="n"/>
      <c r="BN436" s="186" t="n"/>
      <c r="BO436" s="186" t="n"/>
      <c r="BP436" s="186" t="n"/>
      <c r="BQ436" s="186" t="n"/>
      <c r="BR436" s="186" t="n"/>
      <c r="BS436" s="186" t="n"/>
      <c r="BT436" s="186" t="n"/>
      <c r="BU436" s="186" t="n"/>
      <c r="BV436" s="190" t="n"/>
      <c r="BW436" s="186" t="n"/>
      <c r="BX436" s="186" t="n"/>
      <c r="BY436" s="186" t="n"/>
      <c r="BZ436" s="186" t="n"/>
      <c r="CA436" s="186" t="n"/>
      <c r="CB436" s="187" t="n"/>
      <c r="CC436" s="192" t="n"/>
      <c r="CD436" s="192" t="n"/>
      <c r="CE436" s="192" t="n"/>
      <c r="CF436" s="192" t="n"/>
    </row>
    <row r="437">
      <c r="U437" s="13" t="n"/>
      <c r="AT437" s="74" t="n"/>
      <c r="AU437" s="77" t="n"/>
      <c r="AV437" s="77" t="n"/>
      <c r="AW437" s="77" t="n"/>
      <c r="AX437" s="77" t="n"/>
      <c r="AY437" s="77" t="n"/>
      <c r="AZ437" s="77" t="n"/>
      <c r="BA437" s="77" t="n"/>
      <c r="BB437" s="77" t="n"/>
      <c r="BC437" s="77" t="n"/>
      <c r="BD437" s="77" t="n"/>
      <c r="BE437" s="77" t="n"/>
      <c r="BF437" s="77" t="n"/>
      <c r="BG437" s="77" t="n"/>
      <c r="BH437" s="77" t="n"/>
      <c r="BI437" s="77" t="n"/>
      <c r="BJ437" s="77" t="n"/>
      <c r="BK437" s="77" t="n"/>
      <c r="BL437" s="77" t="n"/>
      <c r="BM437" s="77" t="n"/>
      <c r="BN437" s="77" t="n"/>
      <c r="BO437" s="77" t="n"/>
      <c r="BP437" s="77" t="n"/>
      <c r="BQ437" s="77" t="n"/>
      <c r="BR437" s="77" t="n"/>
      <c r="BS437" s="77" t="n"/>
      <c r="BT437" s="77" t="n"/>
      <c r="BU437" s="77" t="n"/>
      <c r="BV437" s="77" t="n"/>
    </row>
    <row r="438">
      <c r="C438" s="13" t="n"/>
      <c r="D438" s="13" t="n"/>
      <c r="F438" s="13" t="n"/>
      <c r="G438" s="174" t="n"/>
      <c r="H438" s="13" t="n"/>
      <c r="I438" s="13" t="n"/>
      <c r="J438" s="13" t="n"/>
      <c r="K438" s="13" t="n"/>
      <c r="L438" s="13" t="n"/>
      <c r="U438" s="13" t="n"/>
      <c r="AT438" s="74" t="n"/>
      <c r="AU438" s="77" t="n"/>
      <c r="AV438" s="77" t="n"/>
      <c r="AW438" s="77" t="n"/>
      <c r="AX438" s="77" t="n"/>
      <c r="AY438" s="77" t="n"/>
      <c r="AZ438" s="77" t="n"/>
      <c r="BA438" s="77" t="n"/>
      <c r="BB438" s="77" t="n"/>
      <c r="BC438" s="77" t="n"/>
      <c r="BD438" s="77" t="n"/>
      <c r="BE438" s="77" t="n"/>
      <c r="BF438" s="77" t="n"/>
      <c r="BG438" s="77" t="n"/>
      <c r="BH438" s="77" t="n"/>
      <c r="BI438" s="77" t="n"/>
      <c r="BJ438" s="77" t="n"/>
      <c r="BK438" s="77" t="n"/>
      <c r="BL438" s="77" t="n"/>
      <c r="BM438" s="77" t="n"/>
      <c r="BN438" s="77" t="n"/>
      <c r="BO438" s="77" t="n"/>
      <c r="BP438" s="77" t="n"/>
      <c r="BQ438" s="77" t="n"/>
      <c r="BR438" s="77" t="n"/>
      <c r="BS438" s="77" t="n"/>
      <c r="BT438" s="77" t="n"/>
      <c r="BU438" s="77" t="n"/>
      <c r="BV438" s="77" t="n"/>
    </row>
    <row r="439">
      <c r="AT439" s="74" t="n"/>
      <c r="AU439" s="77" t="n"/>
      <c r="AV439" s="77" t="n"/>
      <c r="AW439" s="77" t="n"/>
      <c r="AX439" s="77" t="n"/>
      <c r="AY439" s="77" t="n"/>
      <c r="AZ439" s="77" t="n"/>
      <c r="BA439" s="77" t="n"/>
      <c r="BB439" s="77" t="n"/>
      <c r="BC439" s="77" t="n"/>
      <c r="BD439" s="77" t="n"/>
      <c r="BE439" s="77" t="n"/>
      <c r="BF439" s="77" t="n"/>
      <c r="BG439" s="77" t="n"/>
      <c r="BH439" s="77" t="n"/>
      <c r="BI439" s="77" t="n"/>
      <c r="BJ439" s="77" t="n"/>
      <c r="BK439" s="77" t="n"/>
      <c r="BL439" s="77" t="n"/>
      <c r="BM439" s="77" t="n"/>
      <c r="BN439" s="77" t="n"/>
      <c r="BO439" s="77" t="n"/>
      <c r="BP439" s="77" t="n"/>
      <c r="BQ439" s="77" t="n"/>
      <c r="BR439" s="77" t="n"/>
      <c r="BS439" s="77" t="n"/>
      <c r="BT439" s="77" t="n"/>
      <c r="BU439" s="77" t="n"/>
      <c r="BV439" s="77" t="n"/>
    </row>
    <row r="440">
      <c r="C440" s="13" t="n"/>
      <c r="D440" s="13" t="n"/>
      <c r="F440" s="13" t="n"/>
      <c r="G440" s="174" t="n"/>
      <c r="H440" s="13" t="n"/>
      <c r="I440" s="13" t="n"/>
      <c r="J440" s="13" t="n"/>
      <c r="K440" s="13" t="n"/>
      <c r="L440" s="13" t="n"/>
      <c r="AT440" s="74" t="n"/>
      <c r="AU440" s="77" t="n"/>
      <c r="AV440" s="77" t="n"/>
      <c r="AW440" s="77" t="n"/>
      <c r="AX440" s="77" t="n"/>
      <c r="AY440" s="77" t="n"/>
      <c r="AZ440" s="77" t="n"/>
      <c r="BA440" s="77" t="n"/>
      <c r="BB440" s="77" t="n"/>
      <c r="BC440" s="77" t="n"/>
      <c r="BD440" s="77" t="n"/>
      <c r="BE440" s="77" t="n"/>
      <c r="BF440" s="77" t="n"/>
      <c r="BG440" s="77" t="n"/>
      <c r="BH440" s="77" t="n"/>
      <c r="BI440" s="77" t="n"/>
      <c r="BJ440" s="77" t="n"/>
      <c r="BK440" s="77" t="n"/>
      <c r="BL440" s="77" t="n"/>
      <c r="BM440" s="77" t="n"/>
      <c r="BN440" s="77" t="n"/>
      <c r="BO440" s="77" t="n"/>
      <c r="BP440" s="77" t="n"/>
      <c r="BQ440" s="77" t="n"/>
      <c r="BR440" s="77" t="n"/>
      <c r="BS440" s="77" t="n"/>
      <c r="BT440" s="77" t="n"/>
      <c r="BU440" s="77" t="n"/>
      <c r="BV440" s="77" t="n"/>
    </row>
    <row r="441">
      <c r="AT441" s="74" t="n"/>
      <c r="AU441" s="77" t="n"/>
      <c r="AV441" s="77" t="n"/>
      <c r="AW441" s="77" t="n"/>
      <c r="AX441" s="77" t="n"/>
      <c r="AY441" s="77" t="n"/>
      <c r="AZ441" s="77" t="n"/>
      <c r="BA441" s="77" t="n"/>
      <c r="BB441" s="77" t="n"/>
      <c r="BC441" s="77" t="n"/>
      <c r="BD441" s="77" t="n"/>
      <c r="BE441" s="77" t="n"/>
      <c r="BF441" s="77" t="n"/>
      <c r="BG441" s="77" t="n"/>
      <c r="BH441" s="77" t="n"/>
      <c r="BI441" s="77" t="n"/>
      <c r="BJ441" s="77" t="n"/>
      <c r="BK441" s="77" t="n"/>
      <c r="BL441" s="77" t="n"/>
      <c r="BM441" s="77" t="n"/>
      <c r="BN441" s="77" t="n"/>
      <c r="BO441" s="77" t="n"/>
      <c r="BP441" s="77" t="n"/>
      <c r="BQ441" s="77" t="n"/>
      <c r="BR441" s="77" t="n"/>
      <c r="BS441" s="77" t="n"/>
      <c r="BT441" s="77" t="n"/>
      <c r="BU441" s="77" t="n"/>
      <c r="BV441" s="77" t="n"/>
    </row>
    <row r="442">
      <c r="C442" s="13" t="n"/>
      <c r="D442" s="13" t="n"/>
      <c r="J442" s="13" t="n"/>
      <c r="K442" s="13" t="n"/>
      <c r="L442" s="13" t="n"/>
      <c r="AT442" s="74" t="n"/>
      <c r="AU442" s="77" t="n"/>
      <c r="AV442" s="77" t="n"/>
      <c r="AW442" s="77" t="n"/>
      <c r="AX442" s="77" t="n"/>
      <c r="AY442" s="77" t="n"/>
      <c r="AZ442" s="77" t="n"/>
      <c r="BA442" s="77" t="n"/>
      <c r="BB442" s="77" t="n"/>
      <c r="BC442" s="77" t="n"/>
      <c r="BD442" s="77" t="n"/>
      <c r="BE442" s="77" t="n"/>
      <c r="BF442" s="77" t="n"/>
      <c r="BG442" s="77" t="n"/>
      <c r="BH442" s="77" t="n"/>
      <c r="BI442" s="77" t="n"/>
      <c r="BJ442" s="77" t="n"/>
      <c r="BK442" s="77" t="n"/>
      <c r="BL442" s="77" t="n"/>
      <c r="BM442" s="77" t="n"/>
      <c r="BN442" s="77" t="n"/>
      <c r="BO442" s="77" t="n"/>
      <c r="BP442" s="77" t="n"/>
      <c r="BQ442" s="77" t="n"/>
      <c r="BR442" s="77" t="n"/>
      <c r="BS442" s="77" t="n"/>
      <c r="BT442" s="77" t="n"/>
      <c r="BU442" s="77" t="n"/>
      <c r="BV442" s="77" t="n"/>
    </row>
    <row r="443">
      <c r="AT443" s="74" t="n"/>
      <c r="AU443" s="77" t="n"/>
      <c r="AV443" s="77" t="n"/>
      <c r="AW443" s="77" t="n"/>
      <c r="AX443" s="77" t="n"/>
      <c r="AY443" s="77" t="n"/>
      <c r="AZ443" s="77" t="n"/>
      <c r="BA443" s="77" t="n"/>
      <c r="BB443" s="77" t="n"/>
      <c r="BC443" s="77" t="n"/>
      <c r="BD443" s="77" t="n"/>
      <c r="BE443" s="77" t="n"/>
      <c r="BF443" s="77" t="n"/>
      <c r="BG443" s="77" t="n"/>
      <c r="BH443" s="77" t="n"/>
      <c r="BI443" s="77" t="n"/>
      <c r="BJ443" s="77" t="n"/>
      <c r="BK443" s="77" t="n"/>
      <c r="BL443" s="77" t="n"/>
      <c r="BM443" s="77" t="n"/>
      <c r="BN443" s="77" t="n"/>
      <c r="BO443" s="77" t="n"/>
      <c r="BP443" s="77" t="n"/>
      <c r="BQ443" s="77" t="n"/>
      <c r="BR443" s="77" t="n"/>
      <c r="BS443" s="77" t="n"/>
      <c r="BT443" s="77" t="n"/>
      <c r="BU443" s="77" t="n"/>
      <c r="BV443" s="77" t="n"/>
    </row>
    <row r="444">
      <c r="C444" s="13" t="n"/>
      <c r="D444" s="13" t="n"/>
      <c r="J444" s="13" t="n"/>
      <c r="K444" s="13" t="n"/>
      <c r="L444" s="13" t="n"/>
      <c r="AT444" s="74" t="n"/>
      <c r="AU444" s="77" t="n"/>
      <c r="AV444" s="77" t="n"/>
      <c r="AW444" s="77" t="n"/>
      <c r="AX444" s="77" t="n"/>
      <c r="AY444" s="77" t="n"/>
      <c r="AZ444" s="77" t="n"/>
      <c r="BA444" s="77" t="n"/>
      <c r="BB444" s="77" t="n"/>
      <c r="BC444" s="77" t="n"/>
      <c r="BD444" s="77" t="n"/>
      <c r="BE444" s="77" t="n"/>
      <c r="BF444" s="77" t="n"/>
      <c r="BG444" s="77" t="n"/>
      <c r="BH444" s="77" t="n"/>
      <c r="BI444" s="77" t="n"/>
      <c r="BJ444" s="77" t="n"/>
      <c r="BK444" s="77" t="n"/>
      <c r="BL444" s="77" t="n"/>
      <c r="BM444" s="77" t="n"/>
      <c r="BN444" s="77" t="n"/>
      <c r="BO444" s="77" t="n"/>
      <c r="BP444" s="77" t="n"/>
      <c r="BQ444" s="77" t="n"/>
      <c r="BR444" s="77" t="n"/>
      <c r="BS444" s="77" t="n"/>
      <c r="BT444" s="77" t="n"/>
      <c r="BU444" s="77" t="n"/>
      <c r="BV444" s="77" t="n"/>
    </row>
    <row r="445">
      <c r="AT445" s="74" t="n"/>
      <c r="AU445" s="77" t="n"/>
      <c r="AV445" s="77" t="n"/>
      <c r="AW445" s="77" t="n"/>
      <c r="AX445" s="77" t="n"/>
      <c r="AY445" s="77" t="n"/>
      <c r="AZ445" s="77" t="n"/>
      <c r="BA445" s="77" t="n"/>
      <c r="BB445" s="77" t="n"/>
      <c r="BC445" s="77" t="n"/>
      <c r="BD445" s="77" t="n"/>
      <c r="BE445" s="77" t="n"/>
      <c r="BF445" s="77" t="n"/>
      <c r="BG445" s="77" t="n"/>
      <c r="BH445" s="77" t="n"/>
      <c r="BI445" s="77" t="n"/>
      <c r="BJ445" s="77" t="n"/>
      <c r="BK445" s="77" t="n"/>
      <c r="BL445" s="77" t="n"/>
      <c r="BM445" s="77" t="n"/>
      <c r="BN445" s="77" t="n"/>
      <c r="BO445" s="77" t="n"/>
      <c r="BP445" s="77" t="n"/>
      <c r="BQ445" s="77" t="n"/>
      <c r="BR445" s="77" t="n"/>
      <c r="BS445" s="77" t="n"/>
      <c r="BT445" s="77" t="n"/>
      <c r="BU445" s="77" t="n"/>
      <c r="BV445" s="77" t="n"/>
    </row>
    <row r="446">
      <c r="C446" s="13" t="n"/>
      <c r="D446" s="13" t="n"/>
      <c r="J446" s="13" t="n"/>
      <c r="K446" s="13" t="n"/>
      <c r="L446" s="13" t="n"/>
      <c r="AT446" s="74" t="n"/>
      <c r="AU446" s="77" t="n"/>
      <c r="AV446" s="77" t="n"/>
      <c r="AW446" s="77" t="n"/>
      <c r="AX446" s="77" t="n"/>
      <c r="AY446" s="77" t="n"/>
      <c r="AZ446" s="77" t="n"/>
      <c r="BA446" s="77" t="n"/>
      <c r="BB446" s="77" t="n"/>
      <c r="BC446" s="77" t="n"/>
      <c r="BD446" s="77" t="n"/>
      <c r="BE446" s="77" t="n"/>
      <c r="BF446" s="77" t="n"/>
      <c r="BG446" s="77" t="n"/>
      <c r="BH446" s="77" t="n"/>
      <c r="BI446" s="77" t="n"/>
      <c r="BJ446" s="77" t="n"/>
      <c r="BK446" s="77" t="n"/>
      <c r="BL446" s="77" t="n"/>
      <c r="BM446" s="77" t="n"/>
      <c r="BN446" s="77" t="n"/>
      <c r="BO446" s="77" t="n"/>
      <c r="BP446" s="77" t="n"/>
      <c r="BQ446" s="77" t="n"/>
      <c r="BR446" s="77" t="n"/>
      <c r="BS446" s="77" t="n"/>
      <c r="BT446" s="77" t="n"/>
      <c r="BU446" s="77" t="n"/>
      <c r="BV446" s="77" t="n"/>
    </row>
    <row r="447">
      <c r="U447" s="13" t="n"/>
      <c r="AT447" s="74" t="n"/>
      <c r="AU447" s="77" t="n"/>
      <c r="AV447" s="77" t="n"/>
      <c r="AW447" s="77" t="n"/>
      <c r="AX447" s="77" t="n"/>
      <c r="AY447" s="77" t="n"/>
      <c r="AZ447" s="77" t="n"/>
      <c r="BA447" s="77" t="n"/>
      <c r="BB447" s="77" t="n"/>
      <c r="BC447" s="77" t="n"/>
      <c r="BD447" s="77" t="n"/>
      <c r="BE447" s="77" t="n"/>
      <c r="BF447" s="77" t="n"/>
      <c r="BG447" s="77" t="n"/>
      <c r="BH447" s="77" t="n"/>
      <c r="BI447" s="77" t="n"/>
      <c r="BJ447" s="77" t="n"/>
      <c r="BK447" s="77" t="n"/>
      <c r="BL447" s="77" t="n"/>
      <c r="BM447" s="77" t="n"/>
      <c r="BN447" s="77" t="n"/>
      <c r="BO447" s="77" t="n"/>
      <c r="BP447" s="77" t="n"/>
      <c r="BQ447" s="77" t="n"/>
      <c r="BR447" s="77" t="n"/>
      <c r="BS447" s="77" t="n"/>
      <c r="BT447" s="77" t="n"/>
      <c r="BU447" s="77" t="n"/>
      <c r="BV447" s="77" t="n"/>
    </row>
    <row r="448">
      <c r="B448" s="6" t="n"/>
      <c r="C448" s="13" t="n"/>
      <c r="D448" s="13" t="n"/>
      <c r="M448" s="15" t="n"/>
      <c r="Q448" s="15" t="n"/>
      <c r="R448" s="15" t="n"/>
      <c r="T448" s="15" t="n"/>
      <c r="U448" s="13" t="n"/>
      <c r="X448" s="15" t="n"/>
      <c r="AB448" s="15" t="n"/>
      <c r="AD448" s="15" t="n"/>
      <c r="AE448" s="15" t="n"/>
      <c r="AF448" s="15" t="n"/>
      <c r="AM448" s="15" t="n"/>
      <c r="AN448" s="15" t="n"/>
      <c r="AO448" s="15" t="n"/>
      <c r="AR448" s="15" t="n"/>
      <c r="AS448" s="15" t="n"/>
      <c r="AT448" s="74" t="n"/>
      <c r="AU448" s="77" t="n"/>
      <c r="AV448" s="77" t="n"/>
      <c r="AW448" s="77" t="n"/>
      <c r="AX448" s="77" t="n"/>
      <c r="AY448" s="77" t="n"/>
      <c r="AZ448" s="77" t="n"/>
      <c r="BA448" s="77" t="n"/>
      <c r="BB448" s="77" t="n"/>
      <c r="BC448" s="77" t="n"/>
      <c r="BD448" s="77" t="n"/>
      <c r="BE448" s="77" t="n"/>
      <c r="BF448" s="77" t="n"/>
      <c r="BG448" s="77" t="n"/>
      <c r="BH448" s="77" t="n"/>
      <c r="BI448" s="77" t="n"/>
      <c r="BJ448" s="77" t="n"/>
      <c r="BK448" s="77" t="n"/>
      <c r="BL448" s="77" t="n"/>
      <c r="BM448" s="77" t="n"/>
      <c r="BN448" s="77" t="n"/>
      <c r="BO448" s="77" t="n"/>
      <c r="BP448" s="77" t="n"/>
      <c r="BQ448" s="77" t="n"/>
      <c r="BR448" s="77" t="n"/>
      <c r="BS448" s="77" t="n"/>
      <c r="BT448" s="77" t="n"/>
      <c r="BU448" s="77" t="n"/>
      <c r="BV448" s="77" t="n"/>
    </row>
    <row r="449">
      <c r="U449" s="13" t="n"/>
      <c r="AT449" s="74" t="n"/>
      <c r="AU449" s="77" t="n"/>
      <c r="AV449" s="77" t="n"/>
      <c r="AW449" s="77" t="n"/>
      <c r="AX449" s="77" t="n"/>
      <c r="AY449" s="77" t="n"/>
      <c r="AZ449" s="77" t="n"/>
      <c r="BA449" s="77" t="n"/>
      <c r="BB449" s="77" t="n"/>
      <c r="BC449" s="77" t="n"/>
      <c r="BD449" s="77" t="n"/>
      <c r="BE449" s="77" t="n"/>
      <c r="BF449" s="77" t="n"/>
      <c r="BG449" s="77" t="n"/>
      <c r="BH449" s="77" t="n"/>
      <c r="BI449" s="77" t="n"/>
      <c r="BJ449" s="77" t="n"/>
      <c r="BK449" s="77" t="n"/>
      <c r="BL449" s="77" t="n"/>
      <c r="BM449" s="77" t="n"/>
      <c r="BN449" s="77" t="n"/>
      <c r="BO449" s="77" t="n"/>
      <c r="BP449" s="77" t="n"/>
      <c r="BQ449" s="77" t="n"/>
      <c r="BR449" s="77" t="n"/>
      <c r="BS449" s="77" t="n"/>
      <c r="BT449" s="77" t="n"/>
      <c r="BU449" s="77" t="n"/>
      <c r="BV449" s="77" t="n"/>
    </row>
    <row r="450">
      <c r="B450" s="7" t="n"/>
      <c r="C450" s="13" t="n"/>
      <c r="D450" s="13" t="n"/>
      <c r="J450" s="13" t="n"/>
      <c r="K450" s="13" t="n"/>
      <c r="L450" s="13" t="n"/>
      <c r="U450" s="13" t="n"/>
      <c r="AT450" s="74" t="n"/>
      <c r="AU450" s="77" t="n"/>
      <c r="AV450" s="77" t="n"/>
      <c r="AW450" s="77" t="n"/>
      <c r="AX450" s="77" t="n"/>
      <c r="AY450" s="77" t="n"/>
      <c r="AZ450" s="77" t="n"/>
      <c r="BA450" s="77" t="n"/>
      <c r="BB450" s="77" t="n"/>
      <c r="BC450" s="77" t="n"/>
      <c r="BD450" s="77" t="n"/>
      <c r="BE450" s="77" t="n"/>
      <c r="BF450" s="77" t="n"/>
      <c r="BG450" s="77" t="n"/>
      <c r="BH450" s="77" t="n"/>
      <c r="BI450" s="77" t="n"/>
      <c r="BJ450" s="77" t="n"/>
      <c r="BK450" s="77" t="n"/>
      <c r="BL450" s="77" t="n"/>
      <c r="BM450" s="77" t="n"/>
      <c r="BN450" s="77" t="n"/>
      <c r="BO450" s="77" t="n"/>
      <c r="BP450" s="77" t="n"/>
      <c r="BQ450" s="77" t="n"/>
      <c r="BR450" s="77" t="n"/>
      <c r="BS450" s="77" t="n"/>
      <c r="BT450" s="77" t="n"/>
      <c r="BU450" s="77" t="n"/>
      <c r="BV450" s="77" t="n"/>
    </row>
    <row r="451">
      <c r="AT451" s="74" t="n"/>
      <c r="AU451" s="77" t="n"/>
      <c r="AV451" s="77" t="n"/>
      <c r="AW451" s="77" t="n"/>
      <c r="AX451" s="77" t="n"/>
      <c r="AY451" s="77" t="n"/>
      <c r="AZ451" s="77" t="n"/>
      <c r="BA451" s="77" t="n"/>
      <c r="BB451" s="77" t="n"/>
      <c r="BC451" s="77" t="n"/>
      <c r="BD451" s="77" t="n"/>
      <c r="BE451" s="77" t="n"/>
      <c r="BF451" s="77" t="n"/>
      <c r="BG451" s="77" t="n"/>
      <c r="BH451" s="77" t="n"/>
      <c r="BI451" s="77" t="n"/>
      <c r="BJ451" s="77" t="n"/>
      <c r="BK451" s="77" t="n"/>
      <c r="BL451" s="77" t="n"/>
      <c r="BM451" s="77" t="n"/>
      <c r="BN451" s="77" t="n"/>
      <c r="BO451" s="77" t="n"/>
      <c r="BP451" s="77" t="n"/>
      <c r="BQ451" s="77" t="n"/>
      <c r="BR451" s="77" t="n"/>
      <c r="BS451" s="77" t="n"/>
      <c r="BT451" s="77" t="n"/>
      <c r="BU451" s="77" t="n"/>
      <c r="BV451" s="77" t="n"/>
    </row>
    <row r="452">
      <c r="C452" s="13" t="n"/>
      <c r="D452" s="13" t="n"/>
      <c r="J452" s="13" t="n"/>
      <c r="K452" s="13" t="n"/>
      <c r="L452" s="13" t="n"/>
      <c r="AT452" s="74" t="n"/>
      <c r="AU452" s="77" t="n"/>
      <c r="AV452" s="77" t="n"/>
      <c r="AW452" s="77" t="n"/>
      <c r="AX452" s="77" t="n"/>
      <c r="AY452" s="77" t="n"/>
      <c r="AZ452" s="77" t="n"/>
      <c r="BA452" s="77" t="n"/>
      <c r="BB452" s="77" t="n"/>
      <c r="BC452" s="77" t="n"/>
      <c r="BD452" s="77" t="n"/>
      <c r="BE452" s="77" t="n"/>
      <c r="BF452" s="77" t="n"/>
      <c r="BG452" s="77" t="n"/>
      <c r="BH452" s="77" t="n"/>
      <c r="BI452" s="77" t="n"/>
      <c r="BJ452" s="77" t="n"/>
      <c r="BK452" s="77" t="n"/>
      <c r="BL452" s="77" t="n"/>
      <c r="BM452" s="77" t="n"/>
      <c r="BN452" s="77" t="n"/>
      <c r="BO452" s="77" t="n"/>
      <c r="BP452" s="77" t="n"/>
      <c r="BQ452" s="77" t="n"/>
      <c r="BR452" s="77" t="n"/>
      <c r="BS452" s="77" t="n"/>
      <c r="BT452" s="77" t="n"/>
      <c r="BU452" s="77" t="n"/>
      <c r="BV452" s="77" t="n"/>
    </row>
    <row r="453">
      <c r="AT453" s="74" t="n"/>
      <c r="AU453" s="77" t="n"/>
      <c r="AV453" s="77" t="n"/>
      <c r="AW453" s="77" t="n"/>
      <c r="AX453" s="77" t="n"/>
      <c r="AY453" s="77" t="n"/>
      <c r="AZ453" s="77" t="n"/>
      <c r="BA453" s="77" t="n"/>
      <c r="BB453" s="77" t="n"/>
      <c r="BC453" s="77" t="n"/>
      <c r="BD453" s="77" t="n"/>
      <c r="BE453" s="77" t="n"/>
      <c r="BF453" s="77" t="n"/>
      <c r="BG453" s="77" t="n"/>
      <c r="BH453" s="77" t="n"/>
      <c r="BI453" s="77" t="n"/>
      <c r="BJ453" s="77" t="n"/>
      <c r="BK453" s="77" t="n"/>
      <c r="BL453" s="77" t="n"/>
      <c r="BM453" s="77" t="n"/>
      <c r="BN453" s="77" t="n"/>
      <c r="BO453" s="77" t="n"/>
      <c r="BP453" s="77" t="n"/>
      <c r="BQ453" s="77" t="n"/>
      <c r="BR453" s="77" t="n"/>
      <c r="BS453" s="77" t="n"/>
      <c r="BT453" s="77" t="n"/>
      <c r="BU453" s="77" t="n"/>
      <c r="BV453" s="77" t="n"/>
    </row>
    <row r="454">
      <c r="C454" s="13" t="n"/>
      <c r="D454" s="13" t="n"/>
      <c r="J454" s="13" t="n"/>
      <c r="K454" s="13" t="n"/>
      <c r="L454" s="13" t="n"/>
      <c r="AT454" s="74" t="n"/>
      <c r="AU454" s="77" t="n"/>
      <c r="AV454" s="77" t="n"/>
      <c r="AW454" s="77" t="n"/>
      <c r="AX454" s="77" t="n"/>
      <c r="AY454" s="77" t="n"/>
      <c r="AZ454" s="77" t="n"/>
      <c r="BA454" s="77" t="n"/>
      <c r="BB454" s="77" t="n"/>
      <c r="BC454" s="77" t="n"/>
      <c r="BD454" s="77" t="n"/>
      <c r="BE454" s="77" t="n"/>
      <c r="BF454" s="77" t="n"/>
      <c r="BG454" s="77" t="n"/>
      <c r="BH454" s="77" t="n"/>
      <c r="BI454" s="77" t="n"/>
      <c r="BJ454" s="77" t="n"/>
      <c r="BK454" s="77" t="n"/>
      <c r="BL454" s="77" t="n"/>
      <c r="BM454" s="77" t="n"/>
      <c r="BN454" s="77" t="n"/>
      <c r="BO454" s="77" t="n"/>
      <c r="BP454" s="77" t="n"/>
      <c r="BQ454" s="77" t="n"/>
      <c r="BR454" s="77" t="n"/>
      <c r="BS454" s="77" t="n"/>
      <c r="BT454" s="77" t="n"/>
      <c r="BU454" s="77" t="n"/>
      <c r="BV454" s="77" t="n"/>
    </row>
    <row r="455">
      <c r="AT455" s="74" t="n"/>
      <c r="AU455" s="77" t="n"/>
      <c r="AV455" s="77" t="n"/>
      <c r="AW455" s="77" t="n"/>
      <c r="AX455" s="77" t="n"/>
      <c r="AY455" s="77" t="n"/>
      <c r="AZ455" s="77" t="n"/>
      <c r="BA455" s="77" t="n"/>
      <c r="BB455" s="77" t="n"/>
      <c r="BC455" s="77" t="n"/>
      <c r="BD455" s="77" t="n"/>
      <c r="BE455" s="77" t="n"/>
      <c r="BF455" s="77" t="n"/>
      <c r="BG455" s="77" t="n"/>
      <c r="BH455" s="77" t="n"/>
      <c r="BI455" s="77" t="n"/>
      <c r="BJ455" s="77" t="n"/>
      <c r="BK455" s="77" t="n"/>
      <c r="BL455" s="77" t="n"/>
      <c r="BM455" s="77" t="n"/>
      <c r="BN455" s="77" t="n"/>
      <c r="BO455" s="77" t="n"/>
      <c r="BP455" s="77" t="n"/>
      <c r="BQ455" s="77" t="n"/>
      <c r="BR455" s="77" t="n"/>
      <c r="BS455" s="77" t="n"/>
      <c r="BT455" s="77" t="n"/>
      <c r="BU455" s="77" t="n"/>
      <c r="BV455" s="77" t="n"/>
    </row>
    <row r="456">
      <c r="C456" s="13" t="n"/>
      <c r="D456" s="13" t="n"/>
      <c r="J456" s="13" t="n"/>
      <c r="K456" s="13" t="n"/>
      <c r="L456" s="13" t="n"/>
      <c r="AT456" s="74" t="n"/>
      <c r="AU456" s="77" t="n"/>
      <c r="AV456" s="77" t="n"/>
      <c r="AW456" s="77" t="n"/>
      <c r="AX456" s="77" t="n"/>
      <c r="AY456" s="77" t="n"/>
      <c r="AZ456" s="77" t="n"/>
      <c r="BA456" s="77" t="n"/>
      <c r="BB456" s="77" t="n"/>
      <c r="BC456" s="77" t="n"/>
      <c r="BD456" s="77" t="n"/>
      <c r="BE456" s="77" t="n"/>
      <c r="BF456" s="77" t="n"/>
      <c r="BG456" s="77" t="n"/>
      <c r="BH456" s="77" t="n"/>
      <c r="BI456" s="77" t="n"/>
      <c r="BJ456" s="77" t="n"/>
      <c r="BK456" s="77" t="n"/>
      <c r="BL456" s="77" t="n"/>
      <c r="BM456" s="77" t="n"/>
      <c r="BN456" s="77" t="n"/>
      <c r="BO456" s="77" t="n"/>
      <c r="BP456" s="77" t="n"/>
      <c r="BQ456" s="77" t="n"/>
      <c r="BR456" s="77" t="n"/>
      <c r="BS456" s="77" t="n"/>
      <c r="BT456" s="77" t="n"/>
      <c r="BU456" s="77" t="n"/>
      <c r="BV456" s="77" t="n"/>
    </row>
    <row r="457">
      <c r="AT457" s="74" t="n"/>
      <c r="AU457" s="77" t="n"/>
      <c r="AV457" s="77" t="n"/>
      <c r="AW457" s="77" t="n"/>
      <c r="AX457" s="77" t="n"/>
      <c r="AY457" s="77" t="n"/>
      <c r="AZ457" s="77" t="n"/>
      <c r="BA457" s="77" t="n"/>
      <c r="BB457" s="77" t="n"/>
      <c r="BC457" s="77" t="n"/>
      <c r="BD457" s="77" t="n"/>
      <c r="BE457" s="77" t="n"/>
      <c r="BF457" s="77" t="n"/>
      <c r="BG457" s="77" t="n"/>
      <c r="BH457" s="77" t="n"/>
      <c r="BI457" s="77" t="n"/>
      <c r="BJ457" s="77" t="n"/>
      <c r="BK457" s="77" t="n"/>
      <c r="BL457" s="77" t="n"/>
      <c r="BM457" s="77" t="n"/>
      <c r="BN457" s="77" t="n"/>
      <c r="BO457" s="77" t="n"/>
      <c r="BP457" s="77" t="n"/>
      <c r="BQ457" s="77" t="n"/>
      <c r="BR457" s="77" t="n"/>
      <c r="BS457" s="77" t="n"/>
      <c r="BT457" s="77" t="n"/>
      <c r="BU457" s="77" t="n"/>
      <c r="BV457" s="77" t="n"/>
    </row>
    <row r="458">
      <c r="C458" s="13" t="n"/>
      <c r="D458" s="13" t="n"/>
      <c r="J458" s="13" t="n"/>
      <c r="K458" s="13" t="n"/>
      <c r="L458" s="13" t="n"/>
      <c r="U458" s="13" t="n"/>
      <c r="AT458" s="74" t="n"/>
      <c r="AU458" s="77" t="n"/>
      <c r="AV458" s="77" t="n"/>
      <c r="AW458" s="77" t="n"/>
      <c r="AX458" s="77" t="n"/>
      <c r="AY458" s="77" t="n"/>
      <c r="AZ458" s="77" t="n"/>
      <c r="BA458" s="77" t="n"/>
      <c r="BB458" s="77" t="n"/>
      <c r="BC458" s="77" t="n"/>
      <c r="BD458" s="77" t="n"/>
      <c r="BE458" s="77" t="n"/>
      <c r="BF458" s="77" t="n"/>
      <c r="BG458" s="77" t="n"/>
      <c r="BH458" s="77" t="n"/>
      <c r="BI458" s="77" t="n"/>
      <c r="BJ458" s="77" t="n"/>
      <c r="BK458" s="77" t="n"/>
      <c r="BL458" s="77" t="n"/>
      <c r="BM458" s="77" t="n"/>
      <c r="BN458" s="77" t="n"/>
      <c r="BO458" s="77" t="n"/>
      <c r="BP458" s="77" t="n"/>
      <c r="BQ458" s="77" t="n"/>
      <c r="BR458" s="77" t="n"/>
      <c r="BS458" s="77" t="n"/>
      <c r="BT458" s="77" t="n"/>
      <c r="BU458" s="77" t="n"/>
      <c r="BV458" s="77" t="n"/>
    </row>
    <row r="459">
      <c r="AT459" s="74" t="n"/>
      <c r="AU459" s="77" t="n"/>
      <c r="AV459" s="77" t="n"/>
      <c r="AW459" s="77" t="n"/>
      <c r="AX459" s="77" t="n"/>
      <c r="AY459" s="77" t="n"/>
      <c r="AZ459" s="77" t="n"/>
      <c r="BA459" s="77" t="n"/>
      <c r="BB459" s="77" t="n"/>
      <c r="BC459" s="77" t="n"/>
      <c r="BD459" s="77" t="n"/>
      <c r="BE459" s="77" t="n"/>
      <c r="BF459" s="77" t="n"/>
      <c r="BG459" s="77" t="n"/>
      <c r="BH459" s="77" t="n"/>
      <c r="BI459" s="77" t="n"/>
      <c r="BJ459" s="77" t="n"/>
      <c r="BK459" s="77" t="n"/>
      <c r="BL459" s="77" t="n"/>
      <c r="BM459" s="77" t="n"/>
      <c r="BN459" s="77" t="n"/>
      <c r="BO459" s="77" t="n"/>
      <c r="BP459" s="77" t="n"/>
      <c r="BQ459" s="77" t="n"/>
      <c r="BR459" s="77" t="n"/>
      <c r="BS459" s="77" t="n"/>
      <c r="BT459" s="77" t="n"/>
      <c r="BU459" s="77" t="n"/>
      <c r="BV459" s="77" t="n"/>
    </row>
    <row r="460">
      <c r="C460" s="13" t="n"/>
      <c r="D460" s="13" t="n"/>
      <c r="J460" s="13" t="n"/>
      <c r="K460" s="13" t="n"/>
      <c r="L460" s="13" t="n"/>
      <c r="U460" s="13" t="n"/>
      <c r="AT460" s="74" t="n"/>
      <c r="AU460" s="77" t="n"/>
      <c r="AV460" s="77" t="n"/>
      <c r="AW460" s="77" t="n"/>
      <c r="AX460" s="77" t="n"/>
      <c r="AY460" s="77" t="n"/>
      <c r="AZ460" s="77" t="n"/>
      <c r="BA460" s="77" t="n"/>
      <c r="BB460" s="77" t="n"/>
      <c r="BC460" s="77" t="n"/>
      <c r="BD460" s="77" t="n"/>
      <c r="BE460" s="77" t="n"/>
      <c r="BF460" s="77" t="n"/>
      <c r="BG460" s="77" t="n"/>
      <c r="BH460" s="77" t="n"/>
      <c r="BI460" s="77" t="n"/>
      <c r="BJ460" s="77" t="n"/>
      <c r="BK460" s="77" t="n"/>
      <c r="BL460" s="77" t="n"/>
      <c r="BM460" s="77" t="n"/>
      <c r="BN460" s="77" t="n"/>
      <c r="BO460" s="77" t="n"/>
      <c r="BP460" s="77" t="n"/>
      <c r="BQ460" s="77" t="n"/>
      <c r="BR460" s="77" t="n"/>
      <c r="BS460" s="77" t="n"/>
      <c r="BT460" s="77" t="n"/>
      <c r="BU460" s="77" t="n"/>
      <c r="BV460" s="77" t="n"/>
    </row>
    <row r="461">
      <c r="AT461" s="74" t="n"/>
      <c r="AU461" s="77" t="n"/>
      <c r="AV461" s="77" t="n"/>
      <c r="AW461" s="77" t="n"/>
      <c r="AX461" s="77" t="n"/>
      <c r="AY461" s="77" t="n"/>
      <c r="AZ461" s="77" t="n"/>
      <c r="BA461" s="77" t="n"/>
      <c r="BB461" s="77" t="n"/>
      <c r="BC461" s="77" t="n"/>
      <c r="BD461" s="77" t="n"/>
      <c r="BE461" s="77" t="n"/>
      <c r="BF461" s="77" t="n"/>
      <c r="BG461" s="77" t="n"/>
      <c r="BH461" s="77" t="n"/>
      <c r="BI461" s="77" t="n"/>
      <c r="BJ461" s="77" t="n"/>
      <c r="BK461" s="77" t="n"/>
      <c r="BL461" s="77" t="n"/>
      <c r="BM461" s="77" t="n"/>
      <c r="BN461" s="77" t="n"/>
      <c r="BO461" s="77" t="n"/>
      <c r="BP461" s="77" t="n"/>
      <c r="BQ461" s="77" t="n"/>
      <c r="BR461" s="77" t="n"/>
      <c r="BS461" s="77" t="n"/>
      <c r="BT461" s="77" t="n"/>
      <c r="BU461" s="77" t="n"/>
      <c r="BV461" s="77" t="n"/>
    </row>
    <row r="462">
      <c r="C462" s="13" t="n"/>
      <c r="D462" s="13" t="n"/>
      <c r="J462" s="13" t="n"/>
      <c r="K462" s="13" t="n"/>
      <c r="L462" s="13" t="n"/>
      <c r="U462" s="13" t="n"/>
      <c r="AT462" s="74" t="n"/>
      <c r="AU462" s="77" t="n"/>
      <c r="AV462" s="77" t="n"/>
      <c r="AW462" s="77" t="n"/>
      <c r="AX462" s="77" t="n"/>
      <c r="AY462" s="77" t="n"/>
      <c r="AZ462" s="77" t="n"/>
      <c r="BA462" s="77" t="n"/>
      <c r="BB462" s="77" t="n"/>
      <c r="BC462" s="77" t="n"/>
      <c r="BD462" s="77" t="n"/>
      <c r="BE462" s="77" t="n"/>
      <c r="BF462" s="77" t="n"/>
      <c r="BG462" s="77" t="n"/>
      <c r="BH462" s="77" t="n"/>
      <c r="BI462" s="77" t="n"/>
      <c r="BJ462" s="77" t="n"/>
      <c r="BK462" s="77" t="n"/>
      <c r="BL462" s="77" t="n"/>
      <c r="BM462" s="77" t="n"/>
      <c r="BN462" s="77" t="n"/>
      <c r="BO462" s="77" t="n"/>
      <c r="BP462" s="77" t="n"/>
      <c r="BQ462" s="77" t="n"/>
      <c r="BR462" s="77" t="n"/>
      <c r="BS462" s="77" t="n"/>
      <c r="BT462" s="77" t="n"/>
      <c r="BU462" s="77" t="n"/>
      <c r="BV462" s="77" t="n"/>
    </row>
    <row r="463">
      <c r="B463" s="6" t="n"/>
      <c r="M463" s="15" t="n"/>
      <c r="Q463" s="15" t="n"/>
      <c r="R463" s="15" t="n"/>
      <c r="T463" s="15" t="n"/>
      <c r="X463" s="15" t="n"/>
      <c r="AB463" s="15" t="n"/>
      <c r="AD463" s="15" t="n"/>
      <c r="AE463" s="15" t="n"/>
      <c r="AF463" s="15" t="n"/>
      <c r="AM463" s="15" t="n"/>
      <c r="AN463" s="15" t="n"/>
      <c r="AO463" s="15" t="n"/>
      <c r="AR463" s="15" t="n"/>
      <c r="AS463" s="15" t="n"/>
      <c r="AT463" s="74" t="n"/>
      <c r="AU463" s="77" t="n"/>
      <c r="AV463" s="77" t="n"/>
      <c r="AW463" s="77" t="n"/>
      <c r="AX463" s="77" t="n"/>
      <c r="AY463" s="77" t="n"/>
      <c r="AZ463" s="77" t="n"/>
      <c r="BA463" s="77" t="n"/>
      <c r="BB463" s="77" t="n"/>
      <c r="BC463" s="77" t="n"/>
      <c r="BD463" s="77" t="n"/>
      <c r="BE463" s="77" t="n"/>
      <c r="BF463" s="77" t="n"/>
      <c r="BG463" s="77" t="n"/>
      <c r="BH463" s="77" t="n"/>
      <c r="BI463" s="77" t="n"/>
      <c r="BJ463" s="77" t="n"/>
      <c r="BK463" s="77" t="n"/>
      <c r="BL463" s="77" t="n"/>
      <c r="BM463" s="77" t="n"/>
      <c r="BN463" s="77" t="n"/>
      <c r="BO463" s="77" t="n"/>
      <c r="BP463" s="77" t="n"/>
      <c r="BQ463" s="77" t="n"/>
      <c r="BR463" s="77" t="n"/>
      <c r="BS463" s="77" t="n"/>
      <c r="BT463" s="77" t="n"/>
      <c r="BU463" s="77" t="n"/>
      <c r="BV463" s="77" t="n"/>
    </row>
    <row r="464">
      <c r="C464" s="13" t="n"/>
      <c r="D464" s="13" t="n"/>
      <c r="J464" s="13" t="n"/>
      <c r="K464" s="13" t="n"/>
      <c r="L464" s="13" t="n"/>
      <c r="U464" s="13" t="n"/>
      <c r="AT464" s="74" t="n"/>
      <c r="AU464" s="77" t="n"/>
      <c r="AV464" s="77" t="n"/>
      <c r="AW464" s="77" t="n"/>
      <c r="AX464" s="77" t="n"/>
      <c r="AY464" s="77" t="n"/>
      <c r="AZ464" s="77" t="n"/>
      <c r="BA464" s="77" t="n"/>
      <c r="BB464" s="77" t="n"/>
      <c r="BC464" s="77" t="n"/>
      <c r="BD464" s="77" t="n"/>
      <c r="BE464" s="77" t="n"/>
      <c r="BF464" s="77" t="n"/>
      <c r="BG464" s="77" t="n"/>
      <c r="BH464" s="77" t="n"/>
      <c r="BI464" s="77" t="n"/>
      <c r="BJ464" s="77" t="n"/>
      <c r="BK464" s="77" t="n"/>
      <c r="BL464" s="77" t="n"/>
      <c r="BM464" s="77" t="n"/>
      <c r="BN464" s="77" t="n"/>
      <c r="BO464" s="77" t="n"/>
      <c r="BP464" s="77" t="n"/>
      <c r="BQ464" s="77" t="n"/>
      <c r="BR464" s="77" t="n"/>
      <c r="BS464" s="77" t="n"/>
      <c r="BT464" s="77" t="n"/>
      <c r="BU464" s="77" t="n"/>
      <c r="BV464" s="77" t="n"/>
    </row>
    <row r="465">
      <c r="B465" s="6" t="n"/>
      <c r="M465" s="15" t="n"/>
      <c r="Q465" s="15" t="n"/>
      <c r="R465" s="15" t="n"/>
      <c r="T465" s="15" t="n"/>
      <c r="X465" s="15" t="n"/>
      <c r="AB465" s="15" t="n"/>
      <c r="AD465" s="15" t="n"/>
      <c r="AE465" s="15" t="n"/>
      <c r="AF465" s="15" t="n"/>
      <c r="AM465" s="15" t="n"/>
      <c r="AN465" s="15" t="n"/>
      <c r="AO465" s="15" t="n"/>
      <c r="AR465" s="15" t="n"/>
      <c r="AS465" s="15" t="n"/>
      <c r="AT465" s="74" t="n"/>
      <c r="AU465" s="77" t="n"/>
      <c r="AV465" s="77" t="n"/>
      <c r="AW465" s="77" t="n"/>
      <c r="AX465" s="77" t="n"/>
      <c r="AY465" s="77" t="n"/>
      <c r="AZ465" s="77" t="n"/>
      <c r="BA465" s="77" t="n"/>
      <c r="BB465" s="77" t="n"/>
      <c r="BC465" s="77" t="n"/>
      <c r="BD465" s="77" t="n"/>
      <c r="BE465" s="77" t="n"/>
      <c r="BF465" s="77" t="n"/>
      <c r="BG465" s="77" t="n"/>
      <c r="BH465" s="77" t="n"/>
      <c r="BI465" s="77" t="n"/>
      <c r="BJ465" s="77" t="n"/>
      <c r="BK465" s="77" t="n"/>
      <c r="BL465" s="77" t="n"/>
      <c r="BM465" s="77" t="n"/>
      <c r="BN465" s="77" t="n"/>
      <c r="BO465" s="77" t="n"/>
      <c r="BP465" s="77" t="n"/>
      <c r="BQ465" s="77" t="n"/>
      <c r="BR465" s="77" t="n"/>
      <c r="BS465" s="77" t="n"/>
      <c r="BT465" s="77" t="n"/>
      <c r="BU465" s="77" t="n"/>
      <c r="BV465" s="77" t="n"/>
    </row>
    <row r="466">
      <c r="C466" s="13" t="n"/>
      <c r="D466" s="13" t="n"/>
      <c r="J466" s="13" t="n"/>
      <c r="K466" s="13" t="n"/>
      <c r="L466" s="13" t="n"/>
      <c r="AT466" s="74" t="n"/>
      <c r="AU466" s="77" t="n"/>
      <c r="AV466" s="77" t="n"/>
      <c r="AW466" s="77" t="n"/>
      <c r="AX466" s="77" t="n"/>
      <c r="AY466" s="77" t="n"/>
      <c r="AZ466" s="77" t="n"/>
      <c r="BA466" s="77" t="n"/>
      <c r="BB466" s="77" t="n"/>
      <c r="BC466" s="77" t="n"/>
      <c r="BD466" s="77" t="n"/>
      <c r="BE466" s="77" t="n"/>
      <c r="BF466" s="77" t="n"/>
      <c r="BG466" s="77" t="n"/>
      <c r="BH466" s="77" t="n"/>
      <c r="BI466" s="77" t="n"/>
      <c r="BJ466" s="77" t="n"/>
      <c r="BK466" s="77" t="n"/>
      <c r="BL466" s="77" t="n"/>
      <c r="BM466" s="77" t="n"/>
      <c r="BN466" s="77" t="n"/>
      <c r="BO466" s="77" t="n"/>
      <c r="BP466" s="77" t="n"/>
      <c r="BQ466" s="77" t="n"/>
      <c r="BR466" s="77" t="n"/>
      <c r="BS466" s="77" t="n"/>
      <c r="BT466" s="77" t="n"/>
      <c r="BU466" s="77" t="n"/>
      <c r="BV466" s="77" t="n"/>
    </row>
    <row r="467">
      <c r="AT467" s="74" t="n"/>
      <c r="AU467" s="77" t="n"/>
      <c r="AV467" s="77" t="n"/>
      <c r="AW467" s="77" t="n"/>
      <c r="AX467" s="77" t="n"/>
      <c r="AY467" s="77" t="n"/>
      <c r="AZ467" s="77" t="n"/>
      <c r="BA467" s="77" t="n"/>
      <c r="BB467" s="77" t="n"/>
      <c r="BC467" s="77" t="n"/>
      <c r="BD467" s="77" t="n"/>
      <c r="BE467" s="77" t="n"/>
      <c r="BF467" s="77" t="n"/>
      <c r="BG467" s="77" t="n"/>
      <c r="BH467" s="77" t="n"/>
      <c r="BI467" s="77" t="n"/>
      <c r="BJ467" s="77" t="n"/>
      <c r="BK467" s="77" t="n"/>
      <c r="BL467" s="77" t="n"/>
      <c r="BM467" s="77" t="n"/>
      <c r="BN467" s="77" t="n"/>
      <c r="BO467" s="77" t="n"/>
      <c r="BP467" s="77" t="n"/>
      <c r="BQ467" s="77" t="n"/>
      <c r="BR467" s="77" t="n"/>
      <c r="BS467" s="77" t="n"/>
      <c r="BT467" s="77" t="n"/>
      <c r="BU467" s="77" t="n"/>
      <c r="BV467" s="77" t="n"/>
    </row>
    <row r="468">
      <c r="C468" s="13" t="n"/>
      <c r="D468" s="13" t="n"/>
      <c r="J468" s="13" t="n"/>
      <c r="K468" s="13" t="n"/>
      <c r="L468" s="13" t="n"/>
      <c r="AT468" s="74" t="n"/>
      <c r="AU468" s="77" t="n"/>
      <c r="AV468" s="77" t="n"/>
      <c r="AW468" s="77" t="n"/>
      <c r="AX468" s="77" t="n"/>
      <c r="AY468" s="77" t="n"/>
      <c r="AZ468" s="77" t="n"/>
      <c r="BA468" s="77" t="n"/>
      <c r="BB468" s="77" t="n"/>
      <c r="BC468" s="77" t="n"/>
      <c r="BD468" s="77" t="n"/>
      <c r="BE468" s="77" t="n"/>
      <c r="BF468" s="77" t="n"/>
      <c r="BG468" s="77" t="n"/>
      <c r="BH468" s="77" t="n"/>
      <c r="BI468" s="77" t="n"/>
      <c r="BJ468" s="77" t="n"/>
      <c r="BK468" s="77" t="n"/>
      <c r="BL468" s="77" t="n"/>
      <c r="BM468" s="77" t="n"/>
      <c r="BN468" s="77" t="n"/>
      <c r="BO468" s="77" t="n"/>
      <c r="BP468" s="77" t="n"/>
      <c r="BQ468" s="77" t="n"/>
      <c r="BR468" s="77" t="n"/>
      <c r="BS468" s="77" t="n"/>
      <c r="BT468" s="77" t="n"/>
      <c r="BU468" s="77" t="n"/>
      <c r="BV468" s="77" t="n"/>
    </row>
    <row r="469">
      <c r="AT469" s="74" t="n"/>
      <c r="AU469" s="77" t="n"/>
      <c r="AV469" s="77" t="n"/>
      <c r="AW469" s="77" t="n"/>
      <c r="AX469" s="77" t="n"/>
      <c r="AY469" s="77" t="n"/>
      <c r="AZ469" s="77" t="n"/>
      <c r="BA469" s="77" t="n"/>
      <c r="BB469" s="77" t="n"/>
      <c r="BC469" s="77" t="n"/>
      <c r="BD469" s="77" t="n"/>
      <c r="BE469" s="77" t="n"/>
      <c r="BF469" s="77" t="n"/>
      <c r="BG469" s="77" t="n"/>
      <c r="BH469" s="77" t="n"/>
      <c r="BI469" s="77" t="n"/>
      <c r="BJ469" s="77" t="n"/>
      <c r="BK469" s="77" t="n"/>
      <c r="BL469" s="77" t="n"/>
      <c r="BM469" s="77" t="n"/>
      <c r="BN469" s="77" t="n"/>
      <c r="BO469" s="77" t="n"/>
      <c r="BP469" s="77" t="n"/>
      <c r="BQ469" s="77" t="n"/>
      <c r="BR469" s="77" t="n"/>
      <c r="BS469" s="77" t="n"/>
      <c r="BT469" s="77" t="n"/>
      <c r="BU469" s="77" t="n"/>
      <c r="BV469" s="77" t="n"/>
    </row>
    <row r="470">
      <c r="C470" s="13" t="n"/>
      <c r="D470" s="13" t="n"/>
      <c r="J470" s="13" t="n"/>
      <c r="K470" s="13" t="n"/>
      <c r="L470" s="13" t="n"/>
      <c r="AT470" s="74" t="n"/>
      <c r="AU470" s="77" t="n"/>
      <c r="AV470" s="77" t="n"/>
      <c r="AW470" s="77" t="n"/>
      <c r="AX470" s="77" t="n"/>
      <c r="AY470" s="77" t="n"/>
      <c r="AZ470" s="77" t="n"/>
      <c r="BA470" s="77" t="n"/>
      <c r="BB470" s="77" t="n"/>
      <c r="BC470" s="77" t="n"/>
      <c r="BD470" s="77" t="n"/>
      <c r="BE470" s="77" t="n"/>
      <c r="BF470" s="77" t="n"/>
      <c r="BG470" s="77" t="n"/>
      <c r="BH470" s="77" t="n"/>
      <c r="BI470" s="77" t="n"/>
      <c r="BJ470" s="77" t="n"/>
      <c r="BK470" s="77" t="n"/>
      <c r="BL470" s="77" t="n"/>
      <c r="BM470" s="77" t="n"/>
      <c r="BN470" s="77" t="n"/>
      <c r="BO470" s="77" t="n"/>
      <c r="BP470" s="77" t="n"/>
      <c r="BQ470" s="77" t="n"/>
      <c r="BR470" s="77" t="n"/>
      <c r="BS470" s="77" t="n"/>
      <c r="BT470" s="77" t="n"/>
      <c r="BU470" s="77" t="n"/>
      <c r="BV470" s="77" t="n"/>
    </row>
    <row r="471">
      <c r="AT471" s="74" t="n"/>
      <c r="AU471" s="77" t="n"/>
      <c r="AV471" s="77" t="n"/>
      <c r="AW471" s="77" t="n"/>
      <c r="AX471" s="77" t="n"/>
      <c r="AY471" s="77" t="n"/>
      <c r="AZ471" s="77" t="n"/>
      <c r="BA471" s="77" t="n"/>
      <c r="BB471" s="77" t="n"/>
      <c r="BC471" s="77" t="n"/>
      <c r="BD471" s="77" t="n"/>
      <c r="BE471" s="77" t="n"/>
      <c r="BF471" s="77" t="n"/>
      <c r="BG471" s="77" t="n"/>
      <c r="BH471" s="77" t="n"/>
      <c r="BI471" s="77" t="n"/>
      <c r="BJ471" s="77" t="n"/>
      <c r="BK471" s="77" t="n"/>
      <c r="BL471" s="77" t="n"/>
      <c r="BM471" s="77" t="n"/>
      <c r="BN471" s="77" t="n"/>
      <c r="BO471" s="77" t="n"/>
      <c r="BP471" s="77" t="n"/>
      <c r="BQ471" s="77" t="n"/>
      <c r="BR471" s="77" t="n"/>
      <c r="BS471" s="77" t="n"/>
      <c r="BT471" s="77" t="n"/>
      <c r="BU471" s="77" t="n"/>
      <c r="BV471" s="77" t="n"/>
    </row>
    <row r="472">
      <c r="C472" s="13" t="n"/>
      <c r="D472" s="13" t="n"/>
      <c r="J472" s="13" t="n"/>
      <c r="K472" s="13" t="n"/>
      <c r="L472" s="13" t="n"/>
      <c r="AT472" s="74" t="n"/>
      <c r="AU472" s="77" t="n"/>
      <c r="AV472" s="77" t="n"/>
      <c r="AW472" s="77" t="n"/>
      <c r="AX472" s="77" t="n"/>
      <c r="AY472" s="77" t="n"/>
      <c r="AZ472" s="77" t="n"/>
      <c r="BA472" s="77" t="n"/>
      <c r="BB472" s="77" t="n"/>
      <c r="BC472" s="77" t="n"/>
      <c r="BD472" s="77" t="n"/>
      <c r="BE472" s="77" t="n"/>
      <c r="BF472" s="77" t="n"/>
      <c r="BG472" s="77" t="n"/>
      <c r="BH472" s="77" t="n"/>
      <c r="BI472" s="77" t="n"/>
      <c r="BJ472" s="77" t="n"/>
      <c r="BK472" s="77" t="n"/>
      <c r="BL472" s="77" t="n"/>
      <c r="BM472" s="77" t="n"/>
      <c r="BN472" s="77" t="n"/>
      <c r="BO472" s="77" t="n"/>
      <c r="BP472" s="77" t="n"/>
      <c r="BQ472" s="77" t="n"/>
      <c r="BR472" s="77" t="n"/>
      <c r="BS472" s="77" t="n"/>
      <c r="BT472" s="77" t="n"/>
      <c r="BU472" s="77" t="n"/>
      <c r="BV472" s="77" t="n"/>
    </row>
    <row r="473">
      <c r="AT473" s="74" t="n"/>
      <c r="AU473" s="77" t="n"/>
      <c r="AV473" s="77" t="n"/>
      <c r="AW473" s="77" t="n"/>
      <c r="AX473" s="77" t="n"/>
      <c r="AY473" s="77" t="n"/>
      <c r="AZ473" s="77" t="n"/>
      <c r="BA473" s="77" t="n"/>
      <c r="BB473" s="77" t="n"/>
      <c r="BC473" s="77" t="n"/>
      <c r="BD473" s="77" t="n"/>
      <c r="BE473" s="77" t="n"/>
      <c r="BF473" s="77" t="n"/>
      <c r="BG473" s="77" t="n"/>
      <c r="BH473" s="77" t="n"/>
      <c r="BI473" s="77" t="n"/>
      <c r="BJ473" s="77" t="n"/>
      <c r="BK473" s="77" t="n"/>
      <c r="BL473" s="77" t="n"/>
      <c r="BM473" s="77" t="n"/>
      <c r="BN473" s="77" t="n"/>
      <c r="BO473" s="77" t="n"/>
      <c r="BP473" s="77" t="n"/>
      <c r="BQ473" s="77" t="n"/>
      <c r="BR473" s="77" t="n"/>
      <c r="BS473" s="77" t="n"/>
      <c r="BT473" s="77" t="n"/>
      <c r="BU473" s="77" t="n"/>
      <c r="BV473" s="77" t="n"/>
    </row>
    <row r="474">
      <c r="C474" s="13" t="n"/>
      <c r="D474" s="13" t="n"/>
      <c r="J474" s="13" t="n"/>
      <c r="K474" s="13" t="n"/>
      <c r="L474" s="13" t="n"/>
      <c r="AT474" s="74" t="n"/>
      <c r="AU474" s="77" t="n"/>
      <c r="AV474" s="77" t="n"/>
      <c r="AW474" s="77" t="n"/>
      <c r="AX474" s="77" t="n"/>
      <c r="AY474" s="77" t="n"/>
      <c r="AZ474" s="77" t="n"/>
      <c r="BA474" s="77" t="n"/>
      <c r="BB474" s="77" t="n"/>
      <c r="BC474" s="77" t="n"/>
      <c r="BD474" s="77" t="n"/>
      <c r="BE474" s="77" t="n"/>
      <c r="BF474" s="77" t="n"/>
      <c r="BG474" s="77" t="n"/>
      <c r="BH474" s="77" t="n"/>
      <c r="BI474" s="77" t="n"/>
      <c r="BJ474" s="77" t="n"/>
      <c r="BK474" s="77" t="n"/>
      <c r="BL474" s="77" t="n"/>
      <c r="BM474" s="77" t="n"/>
      <c r="BN474" s="77" t="n"/>
      <c r="BO474" s="77" t="n"/>
      <c r="BP474" s="77" t="n"/>
      <c r="BQ474" s="77" t="n"/>
      <c r="BR474" s="77" t="n"/>
      <c r="BS474" s="77" t="n"/>
      <c r="BT474" s="77" t="n"/>
      <c r="BU474" s="77" t="n"/>
      <c r="BV474" s="77" t="n"/>
    </row>
    <row r="475">
      <c r="AT475" s="74" t="n"/>
      <c r="AU475" s="77" t="n"/>
      <c r="AV475" s="77" t="n"/>
      <c r="AW475" s="77" t="n"/>
      <c r="AX475" s="77" t="n"/>
      <c r="AY475" s="77" t="n"/>
      <c r="AZ475" s="77" t="n"/>
      <c r="BA475" s="77" t="n"/>
      <c r="BB475" s="77" t="n"/>
      <c r="BC475" s="77" t="n"/>
      <c r="BD475" s="77" t="n"/>
      <c r="BE475" s="77" t="n"/>
      <c r="BF475" s="77" t="n"/>
      <c r="BG475" s="77" t="n"/>
      <c r="BH475" s="77" t="n"/>
      <c r="BI475" s="77" t="n"/>
      <c r="BJ475" s="77" t="n"/>
      <c r="BK475" s="77" t="n"/>
      <c r="BL475" s="77" t="n"/>
      <c r="BM475" s="77" t="n"/>
      <c r="BN475" s="77" t="n"/>
      <c r="BO475" s="77" t="n"/>
      <c r="BP475" s="77" t="n"/>
      <c r="BQ475" s="77" t="n"/>
      <c r="BR475" s="77" t="n"/>
      <c r="BS475" s="77" t="n"/>
      <c r="BT475" s="77" t="n"/>
      <c r="BU475" s="77" t="n"/>
      <c r="BV475" s="77" t="n"/>
    </row>
    <row r="476">
      <c r="C476" s="13" t="n"/>
      <c r="D476" s="13" t="n"/>
      <c r="J476" s="13" t="n"/>
      <c r="K476" s="13" t="n"/>
      <c r="L476" s="13" t="n"/>
      <c r="AT476" s="74" t="n"/>
      <c r="AU476" s="77" t="n"/>
      <c r="AV476" s="77" t="n"/>
      <c r="AW476" s="77" t="n"/>
      <c r="AX476" s="77" t="n"/>
      <c r="AY476" s="77" t="n"/>
      <c r="AZ476" s="77" t="n"/>
      <c r="BA476" s="77" t="n"/>
      <c r="BB476" s="77" t="n"/>
      <c r="BC476" s="77" t="n"/>
      <c r="BD476" s="77" t="n"/>
      <c r="BE476" s="77" t="n"/>
      <c r="BF476" s="77" t="n"/>
      <c r="BG476" s="77" t="n"/>
      <c r="BH476" s="77" t="n"/>
      <c r="BI476" s="77" t="n"/>
      <c r="BJ476" s="77" t="n"/>
      <c r="BK476" s="77" t="n"/>
      <c r="BL476" s="77" t="n"/>
      <c r="BM476" s="77" t="n"/>
      <c r="BN476" s="77" t="n"/>
      <c r="BO476" s="77" t="n"/>
      <c r="BP476" s="77" t="n"/>
      <c r="BQ476" s="77" t="n"/>
      <c r="BR476" s="77" t="n"/>
      <c r="BS476" s="77" t="n"/>
      <c r="BT476" s="77" t="n"/>
      <c r="BU476" s="77" t="n"/>
      <c r="BV476" s="77" t="n"/>
    </row>
    <row r="477">
      <c r="AT477" s="74" t="n"/>
      <c r="AU477" s="77" t="n"/>
      <c r="AV477" s="77" t="n"/>
      <c r="AW477" s="77" t="n"/>
      <c r="AX477" s="77" t="n"/>
      <c r="AY477" s="77" t="n"/>
      <c r="AZ477" s="77" t="n"/>
      <c r="BA477" s="77" t="n"/>
      <c r="BB477" s="77" t="n"/>
      <c r="BC477" s="77" t="n"/>
      <c r="BD477" s="77" t="n"/>
      <c r="BE477" s="77" t="n"/>
      <c r="BF477" s="77" t="n"/>
      <c r="BG477" s="77" t="n"/>
      <c r="BH477" s="77" t="n"/>
      <c r="BI477" s="77" t="n"/>
      <c r="BJ477" s="77" t="n"/>
      <c r="BK477" s="77" t="n"/>
      <c r="BL477" s="77" t="n"/>
      <c r="BM477" s="77" t="n"/>
      <c r="BN477" s="77" t="n"/>
      <c r="BO477" s="77" t="n"/>
      <c r="BP477" s="77" t="n"/>
      <c r="BQ477" s="77" t="n"/>
      <c r="BR477" s="77" t="n"/>
      <c r="BS477" s="77" t="n"/>
      <c r="BT477" s="77" t="n"/>
      <c r="BU477" s="77" t="n"/>
      <c r="BV477" s="77" t="n"/>
    </row>
    <row r="478">
      <c r="C478" s="13" t="n"/>
      <c r="D478" s="13" t="n"/>
      <c r="J478" s="13" t="n"/>
      <c r="K478" s="13" t="n"/>
      <c r="L478" s="13" t="n"/>
      <c r="AT478" s="74" t="n"/>
      <c r="AU478" s="77" t="n"/>
      <c r="AV478" s="77" t="n"/>
      <c r="AW478" s="77" t="n"/>
      <c r="AX478" s="77" t="n"/>
      <c r="AY478" s="77" t="n"/>
      <c r="AZ478" s="77" t="n"/>
      <c r="BA478" s="77" t="n"/>
      <c r="BB478" s="77" t="n"/>
      <c r="BC478" s="77" t="n"/>
      <c r="BD478" s="77" t="n"/>
      <c r="BE478" s="77" t="n"/>
      <c r="BF478" s="77" t="n"/>
      <c r="BG478" s="77" t="n"/>
      <c r="BH478" s="77" t="n"/>
      <c r="BI478" s="77" t="n"/>
      <c r="BJ478" s="77" t="n"/>
      <c r="BK478" s="77" t="n"/>
      <c r="BL478" s="77" t="n"/>
      <c r="BM478" s="77" t="n"/>
      <c r="BN478" s="77" t="n"/>
      <c r="BO478" s="77" t="n"/>
      <c r="BP478" s="77" t="n"/>
      <c r="BQ478" s="77" t="n"/>
      <c r="BR478" s="77" t="n"/>
      <c r="BS478" s="77" t="n"/>
      <c r="BT478" s="77" t="n"/>
      <c r="BU478" s="77" t="n"/>
      <c r="BV478" s="77" t="n"/>
    </row>
    <row r="479">
      <c r="AT479" s="74" t="n"/>
      <c r="AU479" s="77" t="n"/>
      <c r="AV479" s="77" t="n"/>
      <c r="AW479" s="77" t="n"/>
      <c r="AX479" s="77" t="n"/>
      <c r="AY479" s="77" t="n"/>
      <c r="AZ479" s="77" t="n"/>
      <c r="BA479" s="77" t="n"/>
      <c r="BB479" s="77" t="n"/>
      <c r="BC479" s="77" t="n"/>
      <c r="BD479" s="77" t="n"/>
      <c r="BE479" s="77" t="n"/>
      <c r="BF479" s="77" t="n"/>
      <c r="BG479" s="77" t="n"/>
      <c r="BH479" s="77" t="n"/>
      <c r="BI479" s="77" t="n"/>
      <c r="BJ479" s="77" t="n"/>
      <c r="BK479" s="77" t="n"/>
      <c r="BL479" s="77" t="n"/>
      <c r="BM479" s="77" t="n"/>
      <c r="BN479" s="77" t="n"/>
      <c r="BO479" s="77" t="n"/>
      <c r="BP479" s="77" t="n"/>
      <c r="BQ479" s="77" t="n"/>
      <c r="BR479" s="77" t="n"/>
      <c r="BS479" s="77" t="n"/>
      <c r="BT479" s="77" t="n"/>
      <c r="BU479" s="77" t="n"/>
      <c r="BV479" s="77" t="n"/>
    </row>
    <row r="480">
      <c r="C480" s="13" t="n"/>
      <c r="D480" s="13" t="n"/>
      <c r="J480" s="13" t="n"/>
      <c r="K480" s="13" t="n"/>
      <c r="L480" s="13" t="n"/>
      <c r="AT480" s="74" t="n"/>
      <c r="AU480" s="77" t="n"/>
      <c r="AV480" s="77" t="n"/>
      <c r="AW480" s="77" t="n"/>
      <c r="AX480" s="77" t="n"/>
      <c r="AY480" s="77" t="n"/>
      <c r="AZ480" s="77" t="n"/>
      <c r="BA480" s="77" t="n"/>
      <c r="BB480" s="77" t="n"/>
      <c r="BC480" s="77" t="n"/>
      <c r="BD480" s="77" t="n"/>
      <c r="BE480" s="77" t="n"/>
      <c r="BF480" s="77" t="n"/>
      <c r="BG480" s="77" t="n"/>
      <c r="BH480" s="77" t="n"/>
      <c r="BI480" s="77" t="n"/>
      <c r="BJ480" s="77" t="n"/>
      <c r="BK480" s="77" t="n"/>
      <c r="BL480" s="77" t="n"/>
      <c r="BM480" s="77" t="n"/>
      <c r="BN480" s="77" t="n"/>
      <c r="BO480" s="77" t="n"/>
      <c r="BP480" s="77" t="n"/>
      <c r="BQ480" s="77" t="n"/>
      <c r="BR480" s="77" t="n"/>
      <c r="BS480" s="77" t="n"/>
      <c r="BT480" s="77" t="n"/>
      <c r="BU480" s="77" t="n"/>
      <c r="BV480" s="77" t="n"/>
    </row>
    <row r="481">
      <c r="AT481" s="74" t="n"/>
      <c r="AU481" s="77" t="n"/>
      <c r="AV481" s="77" t="n"/>
      <c r="AW481" s="77" t="n"/>
      <c r="AX481" s="77" t="n"/>
      <c r="AY481" s="77" t="n"/>
      <c r="AZ481" s="77" t="n"/>
      <c r="BA481" s="77" t="n"/>
      <c r="BB481" s="77" t="n"/>
      <c r="BC481" s="77" t="n"/>
      <c r="BD481" s="77" t="n"/>
      <c r="BE481" s="77" t="n"/>
      <c r="BF481" s="77" t="n"/>
      <c r="BG481" s="77" t="n"/>
      <c r="BH481" s="77" t="n"/>
      <c r="BI481" s="77" t="n"/>
      <c r="BJ481" s="77" t="n"/>
      <c r="BK481" s="77" t="n"/>
      <c r="BL481" s="77" t="n"/>
      <c r="BM481" s="77" t="n"/>
      <c r="BN481" s="77" t="n"/>
      <c r="BO481" s="77" t="n"/>
      <c r="BP481" s="77" t="n"/>
      <c r="BQ481" s="77" t="n"/>
      <c r="BR481" s="77" t="n"/>
      <c r="BS481" s="77" t="n"/>
      <c r="BT481" s="77" t="n"/>
      <c r="BU481" s="77" t="n"/>
      <c r="BV481" s="77" t="n"/>
    </row>
    <row r="482">
      <c r="C482" s="13" t="n"/>
      <c r="D482" s="13" t="n"/>
      <c r="J482" s="13" t="n"/>
      <c r="K482" s="13" t="n"/>
      <c r="L482" s="13" t="n"/>
      <c r="AT482" s="74" t="n"/>
      <c r="AU482" s="77" t="n"/>
      <c r="AV482" s="77" t="n"/>
      <c r="AW482" s="77" t="n"/>
      <c r="AX482" s="77" t="n"/>
      <c r="AY482" s="77" t="n"/>
      <c r="AZ482" s="77" t="n"/>
      <c r="BA482" s="77" t="n"/>
      <c r="BB482" s="77" t="n"/>
      <c r="BC482" s="77" t="n"/>
      <c r="BD482" s="77" t="n"/>
      <c r="BE482" s="77" t="n"/>
      <c r="BF482" s="77" t="n"/>
      <c r="BG482" s="77" t="n"/>
      <c r="BH482" s="77" t="n"/>
      <c r="BI482" s="77" t="n"/>
      <c r="BJ482" s="77" t="n"/>
      <c r="BK482" s="77" t="n"/>
      <c r="BL482" s="77" t="n"/>
      <c r="BM482" s="77" t="n"/>
      <c r="BN482" s="77" t="n"/>
      <c r="BO482" s="77" t="n"/>
      <c r="BP482" s="77" t="n"/>
      <c r="BQ482" s="77" t="n"/>
      <c r="BR482" s="77" t="n"/>
      <c r="BS482" s="77" t="n"/>
      <c r="BT482" s="77" t="n"/>
      <c r="BU482" s="77" t="n"/>
      <c r="BV482" s="77" t="n"/>
    </row>
    <row r="483">
      <c r="AT483" s="74" t="n"/>
      <c r="AU483" s="77" t="n"/>
      <c r="AV483" s="77" t="n"/>
      <c r="AW483" s="77" t="n"/>
      <c r="AX483" s="77" t="n"/>
      <c r="AY483" s="77" t="n"/>
      <c r="AZ483" s="77" t="n"/>
      <c r="BA483" s="77" t="n"/>
      <c r="BB483" s="77" t="n"/>
      <c r="BC483" s="77" t="n"/>
      <c r="BD483" s="77" t="n"/>
      <c r="BE483" s="77" t="n"/>
      <c r="BF483" s="77" t="n"/>
      <c r="BG483" s="77" t="n"/>
      <c r="BH483" s="77" t="n"/>
      <c r="BI483" s="77" t="n"/>
      <c r="BJ483" s="77" t="n"/>
      <c r="BK483" s="77" t="n"/>
      <c r="BL483" s="77" t="n"/>
      <c r="BM483" s="77" t="n"/>
      <c r="BN483" s="77" t="n"/>
      <c r="BO483" s="77" t="n"/>
      <c r="BP483" s="77" t="n"/>
      <c r="BQ483" s="77" t="n"/>
      <c r="BR483" s="77" t="n"/>
      <c r="BS483" s="77" t="n"/>
      <c r="BT483" s="77" t="n"/>
      <c r="BU483" s="77" t="n"/>
      <c r="BV483" s="77" t="n"/>
    </row>
    <row r="484">
      <c r="C484" s="13" t="n"/>
      <c r="D484" s="13" t="n"/>
      <c r="J484" s="13" t="n"/>
      <c r="K484" s="13" t="n"/>
      <c r="L484" s="13" t="n"/>
      <c r="AT484" s="74" t="n"/>
      <c r="AU484" s="77" t="n"/>
      <c r="AV484" s="77" t="n"/>
      <c r="AW484" s="77" t="n"/>
      <c r="AX484" s="77" t="n"/>
      <c r="AY484" s="77" t="n"/>
      <c r="AZ484" s="77" t="n"/>
      <c r="BA484" s="77" t="n"/>
      <c r="BB484" s="77" t="n"/>
      <c r="BC484" s="77" t="n"/>
      <c r="BD484" s="77" t="n"/>
      <c r="BE484" s="77" t="n"/>
      <c r="BF484" s="77" t="n"/>
      <c r="BG484" s="77" t="n"/>
      <c r="BH484" s="77" t="n"/>
      <c r="BI484" s="77" t="n"/>
      <c r="BJ484" s="77" t="n"/>
      <c r="BK484" s="77" t="n"/>
      <c r="BL484" s="77" t="n"/>
      <c r="BM484" s="77" t="n"/>
      <c r="BN484" s="77" t="n"/>
      <c r="BO484" s="77" t="n"/>
      <c r="BP484" s="77" t="n"/>
      <c r="BQ484" s="77" t="n"/>
      <c r="BR484" s="77" t="n"/>
      <c r="BS484" s="77" t="n"/>
      <c r="BT484" s="77" t="n"/>
      <c r="BU484" s="77" t="n"/>
      <c r="BV484" s="77" t="n"/>
    </row>
    <row r="485">
      <c r="AT485" s="74" t="n"/>
      <c r="AU485" s="77" t="n"/>
      <c r="AV485" s="77" t="n"/>
      <c r="AW485" s="77" t="n"/>
      <c r="AX485" s="77" t="n"/>
      <c r="AY485" s="77" t="n"/>
      <c r="AZ485" s="77" t="n"/>
      <c r="BA485" s="77" t="n"/>
      <c r="BB485" s="77" t="n"/>
      <c r="BC485" s="77" t="n"/>
      <c r="BD485" s="77" t="n"/>
      <c r="BE485" s="77" t="n"/>
      <c r="BF485" s="77" t="n"/>
      <c r="BG485" s="77" t="n"/>
      <c r="BH485" s="77" t="n"/>
      <c r="BI485" s="77" t="n"/>
      <c r="BJ485" s="77" t="n"/>
      <c r="BK485" s="77" t="n"/>
      <c r="BL485" s="77" t="n"/>
      <c r="BM485" s="77" t="n"/>
      <c r="BN485" s="77" t="n"/>
      <c r="BO485" s="77" t="n"/>
      <c r="BP485" s="77" t="n"/>
      <c r="BQ485" s="77" t="n"/>
      <c r="BR485" s="77" t="n"/>
      <c r="BS485" s="77" t="n"/>
      <c r="BT485" s="77" t="n"/>
      <c r="BU485" s="77" t="n"/>
      <c r="BV485" s="77" t="n"/>
    </row>
    <row r="486">
      <c r="C486" s="13" t="n"/>
      <c r="D486" s="13" t="n"/>
      <c r="J486" s="13" t="n"/>
      <c r="K486" s="13" t="n"/>
      <c r="L486" s="13" t="n"/>
      <c r="AT486" s="74" t="n"/>
      <c r="AU486" s="77" t="n"/>
      <c r="AV486" s="77" t="n"/>
      <c r="AW486" s="77" t="n"/>
      <c r="AX486" s="77" t="n"/>
      <c r="AY486" s="77" t="n"/>
      <c r="AZ486" s="77" t="n"/>
      <c r="BA486" s="77" t="n"/>
      <c r="BB486" s="77" t="n"/>
      <c r="BC486" s="77" t="n"/>
      <c r="BD486" s="77" t="n"/>
      <c r="BE486" s="77" t="n"/>
      <c r="BF486" s="77" t="n"/>
      <c r="BG486" s="77" t="n"/>
      <c r="BH486" s="77" t="n"/>
      <c r="BI486" s="77" t="n"/>
      <c r="BJ486" s="77" t="n"/>
      <c r="BK486" s="77" t="n"/>
      <c r="BL486" s="77" t="n"/>
      <c r="BM486" s="77" t="n"/>
      <c r="BN486" s="77" t="n"/>
      <c r="BO486" s="77" t="n"/>
      <c r="BP486" s="77" t="n"/>
      <c r="BQ486" s="77" t="n"/>
      <c r="BR486" s="77" t="n"/>
      <c r="BS486" s="77" t="n"/>
      <c r="BT486" s="77" t="n"/>
      <c r="BU486" s="77" t="n"/>
      <c r="BV486" s="77" t="n"/>
    </row>
    <row r="487">
      <c r="AT487" s="74" t="n"/>
      <c r="AU487" s="77" t="n"/>
      <c r="AV487" s="77" t="n"/>
      <c r="AW487" s="77" t="n"/>
      <c r="AX487" s="77" t="n"/>
      <c r="AY487" s="77" t="n"/>
      <c r="AZ487" s="77" t="n"/>
      <c r="BA487" s="77" t="n"/>
      <c r="BB487" s="77" t="n"/>
      <c r="BC487" s="77" t="n"/>
      <c r="BD487" s="77" t="n"/>
      <c r="BE487" s="77" t="n"/>
      <c r="BF487" s="77" t="n"/>
      <c r="BG487" s="77" t="n"/>
      <c r="BH487" s="77" t="n"/>
      <c r="BI487" s="77" t="n"/>
      <c r="BJ487" s="77" t="n"/>
      <c r="BK487" s="77" t="n"/>
      <c r="BL487" s="77" t="n"/>
      <c r="BM487" s="77" t="n"/>
      <c r="BN487" s="77" t="n"/>
      <c r="BO487" s="77" t="n"/>
      <c r="BP487" s="77" t="n"/>
      <c r="BQ487" s="77" t="n"/>
      <c r="BR487" s="77" t="n"/>
      <c r="BS487" s="77" t="n"/>
      <c r="BT487" s="77" t="n"/>
      <c r="BU487" s="77" t="n"/>
      <c r="BV487" s="77" t="n"/>
    </row>
    <row r="488">
      <c r="C488" s="13" t="n"/>
      <c r="D488" s="13" t="n"/>
      <c r="J488" s="13" t="n"/>
      <c r="K488" s="13" t="n"/>
      <c r="L488" s="13" t="n"/>
      <c r="AT488" s="74" t="n"/>
      <c r="AU488" s="77" t="n"/>
      <c r="AV488" s="77" t="n"/>
      <c r="AW488" s="77" t="n"/>
      <c r="AX488" s="77" t="n"/>
      <c r="AY488" s="77" t="n"/>
      <c r="AZ488" s="77" t="n"/>
      <c r="BA488" s="77" t="n"/>
      <c r="BB488" s="77" t="n"/>
      <c r="BC488" s="77" t="n"/>
      <c r="BD488" s="77" t="n"/>
      <c r="BE488" s="77" t="n"/>
      <c r="BF488" s="77" t="n"/>
      <c r="BG488" s="77" t="n"/>
      <c r="BH488" s="77" t="n"/>
      <c r="BI488" s="77" t="n"/>
      <c r="BJ488" s="77" t="n"/>
      <c r="BK488" s="77" t="n"/>
      <c r="BL488" s="77" t="n"/>
      <c r="BM488" s="77" t="n"/>
      <c r="BN488" s="77" t="n"/>
      <c r="BO488" s="77" t="n"/>
      <c r="BP488" s="77" t="n"/>
      <c r="BQ488" s="77" t="n"/>
      <c r="BR488" s="77" t="n"/>
      <c r="BS488" s="77" t="n"/>
      <c r="BT488" s="77" t="n"/>
      <c r="BU488" s="77" t="n"/>
      <c r="BV488" s="77" t="n"/>
    </row>
    <row r="489">
      <c r="AT489" s="74" t="n"/>
      <c r="AU489" s="77" t="n"/>
      <c r="AV489" s="77" t="n"/>
      <c r="AW489" s="77" t="n"/>
      <c r="AX489" s="77" t="n"/>
      <c r="AY489" s="77" t="n"/>
      <c r="AZ489" s="77" t="n"/>
      <c r="BA489" s="77" t="n"/>
      <c r="BB489" s="77" t="n"/>
      <c r="BC489" s="77" t="n"/>
      <c r="BD489" s="77" t="n"/>
      <c r="BE489" s="77" t="n"/>
      <c r="BF489" s="77" t="n"/>
      <c r="BG489" s="77" t="n"/>
      <c r="BH489" s="77" t="n"/>
      <c r="BI489" s="77" t="n"/>
      <c r="BJ489" s="77" t="n"/>
      <c r="BK489" s="77" t="n"/>
      <c r="BL489" s="77" t="n"/>
      <c r="BM489" s="77" t="n"/>
      <c r="BN489" s="77" t="n"/>
      <c r="BO489" s="77" t="n"/>
      <c r="BP489" s="77" t="n"/>
      <c r="BQ489" s="77" t="n"/>
      <c r="BR489" s="77" t="n"/>
      <c r="BS489" s="77" t="n"/>
      <c r="BT489" s="77" t="n"/>
      <c r="BU489" s="77" t="n"/>
      <c r="BV489" s="77" t="n"/>
    </row>
    <row r="490">
      <c r="C490" s="13" t="n"/>
      <c r="D490" s="13" t="n"/>
      <c r="J490" s="13" t="n"/>
      <c r="K490" s="13" t="n"/>
      <c r="L490" s="13" t="n"/>
      <c r="AT490" s="74" t="n"/>
      <c r="AU490" s="77" t="n"/>
      <c r="AV490" s="77" t="n"/>
      <c r="AW490" s="77" t="n"/>
      <c r="AX490" s="77" t="n"/>
      <c r="AY490" s="77" t="n"/>
      <c r="AZ490" s="77" t="n"/>
      <c r="BA490" s="77" t="n"/>
      <c r="BB490" s="77" t="n"/>
      <c r="BC490" s="77" t="n"/>
      <c r="BD490" s="77" t="n"/>
      <c r="BE490" s="77" t="n"/>
      <c r="BF490" s="77" t="n"/>
      <c r="BG490" s="77" t="n"/>
      <c r="BH490" s="77" t="n"/>
      <c r="BI490" s="77" t="n"/>
      <c r="BJ490" s="77" t="n"/>
      <c r="BK490" s="77" t="n"/>
      <c r="BL490" s="77" t="n"/>
      <c r="BM490" s="77" t="n"/>
      <c r="BN490" s="77" t="n"/>
      <c r="BO490" s="77" t="n"/>
      <c r="BP490" s="77" t="n"/>
      <c r="BQ490" s="77" t="n"/>
      <c r="BR490" s="77" t="n"/>
      <c r="BS490" s="77" t="n"/>
      <c r="BT490" s="77" t="n"/>
      <c r="BU490" s="77" t="n"/>
      <c r="BV490" s="77" t="n"/>
    </row>
    <row r="491">
      <c r="AT491" s="74" t="n"/>
      <c r="AU491" s="77" t="n"/>
      <c r="AV491" s="77" t="n"/>
      <c r="AW491" s="77" t="n"/>
      <c r="AX491" s="77" t="n"/>
      <c r="AY491" s="77" t="n"/>
      <c r="AZ491" s="77" t="n"/>
      <c r="BA491" s="77" t="n"/>
      <c r="BB491" s="77" t="n"/>
      <c r="BC491" s="77" t="n"/>
      <c r="BD491" s="77" t="n"/>
      <c r="BE491" s="77" t="n"/>
      <c r="BF491" s="77" t="n"/>
      <c r="BG491" s="77" t="n"/>
      <c r="BH491" s="77" t="n"/>
      <c r="BI491" s="77" t="n"/>
      <c r="BJ491" s="77" t="n"/>
      <c r="BK491" s="77" t="n"/>
      <c r="BL491" s="77" t="n"/>
      <c r="BM491" s="77" t="n"/>
      <c r="BN491" s="77" t="n"/>
      <c r="BO491" s="77" t="n"/>
      <c r="BP491" s="77" t="n"/>
      <c r="BQ491" s="77" t="n"/>
      <c r="BR491" s="77" t="n"/>
      <c r="BS491" s="77" t="n"/>
      <c r="BT491" s="77" t="n"/>
      <c r="BU491" s="77" t="n"/>
      <c r="BV491" s="77" t="n"/>
    </row>
    <row r="492">
      <c r="C492" s="13" t="n"/>
      <c r="D492" s="13" t="n"/>
      <c r="J492" s="13" t="n"/>
      <c r="K492" s="13" t="n"/>
      <c r="L492" s="13" t="n"/>
      <c r="AT492" s="74" t="n"/>
      <c r="AU492" s="77" t="n"/>
      <c r="AV492" s="77" t="n"/>
      <c r="AW492" s="77" t="n"/>
      <c r="AX492" s="77" t="n"/>
      <c r="AY492" s="77" t="n"/>
      <c r="AZ492" s="77" t="n"/>
      <c r="BA492" s="77" t="n"/>
      <c r="BB492" s="77" t="n"/>
      <c r="BC492" s="77" t="n"/>
      <c r="BD492" s="77" t="n"/>
      <c r="BE492" s="77" t="n"/>
      <c r="BF492" s="77" t="n"/>
      <c r="BG492" s="77" t="n"/>
      <c r="BH492" s="77" t="n"/>
      <c r="BI492" s="77" t="n"/>
      <c r="BJ492" s="77" t="n"/>
      <c r="BK492" s="77" t="n"/>
      <c r="BL492" s="77" t="n"/>
      <c r="BM492" s="77" t="n"/>
      <c r="BN492" s="77" t="n"/>
      <c r="BO492" s="77" t="n"/>
      <c r="BP492" s="77" t="n"/>
      <c r="BQ492" s="77" t="n"/>
      <c r="BR492" s="77" t="n"/>
      <c r="BS492" s="77" t="n"/>
      <c r="BT492" s="77" t="n"/>
      <c r="BU492" s="77" t="n"/>
      <c r="BV492" s="77" t="n"/>
    </row>
    <row r="493">
      <c r="AT493" s="74" t="n"/>
      <c r="AU493" s="77" t="n"/>
      <c r="AV493" s="77" t="n"/>
      <c r="AW493" s="77" t="n"/>
      <c r="AX493" s="77" t="n"/>
      <c r="AY493" s="77" t="n"/>
      <c r="AZ493" s="77" t="n"/>
      <c r="BA493" s="77" t="n"/>
      <c r="BB493" s="77" t="n"/>
      <c r="BC493" s="77" t="n"/>
      <c r="BD493" s="77" t="n"/>
      <c r="BE493" s="77" t="n"/>
      <c r="BF493" s="77" t="n"/>
      <c r="BG493" s="77" t="n"/>
      <c r="BH493" s="77" t="n"/>
      <c r="BI493" s="77" t="n"/>
      <c r="BJ493" s="77" t="n"/>
      <c r="BK493" s="77" t="n"/>
      <c r="BL493" s="77" t="n"/>
      <c r="BM493" s="77" t="n"/>
      <c r="BN493" s="77" t="n"/>
      <c r="BO493" s="77" t="n"/>
      <c r="BP493" s="77" t="n"/>
      <c r="BQ493" s="77" t="n"/>
      <c r="BR493" s="77" t="n"/>
      <c r="BS493" s="77" t="n"/>
      <c r="BT493" s="77" t="n"/>
      <c r="BU493" s="77" t="n"/>
      <c r="BV493" s="77" t="n"/>
    </row>
    <row r="494">
      <c r="C494" s="13" t="n"/>
      <c r="D494" s="13" t="n"/>
      <c r="J494" s="13" t="n"/>
      <c r="K494" s="13" t="n"/>
      <c r="L494" s="13" t="n"/>
      <c r="AT494" s="74" t="n"/>
      <c r="AU494" s="77" t="n"/>
      <c r="AV494" s="77" t="n"/>
      <c r="AW494" s="77" t="n"/>
      <c r="AX494" s="77" t="n"/>
      <c r="AY494" s="77" t="n"/>
      <c r="AZ494" s="77" t="n"/>
      <c r="BA494" s="77" t="n"/>
      <c r="BB494" s="77" t="n"/>
      <c r="BC494" s="77" t="n"/>
      <c r="BD494" s="77" t="n"/>
      <c r="BE494" s="77" t="n"/>
      <c r="BF494" s="77" t="n"/>
      <c r="BG494" s="77" t="n"/>
      <c r="BH494" s="77" t="n"/>
      <c r="BI494" s="77" t="n"/>
      <c r="BJ494" s="77" t="n"/>
      <c r="BK494" s="77" t="n"/>
      <c r="BL494" s="77" t="n"/>
      <c r="BM494" s="77" t="n"/>
      <c r="BN494" s="77" t="n"/>
      <c r="BO494" s="77" t="n"/>
      <c r="BP494" s="77" t="n"/>
      <c r="BQ494" s="77" t="n"/>
      <c r="BR494" s="77" t="n"/>
      <c r="BS494" s="77" t="n"/>
      <c r="BT494" s="77" t="n"/>
      <c r="BU494" s="77" t="n"/>
      <c r="BV494" s="77" t="n"/>
    </row>
    <row r="495">
      <c r="AT495" s="74" t="n"/>
      <c r="AU495" s="77" t="n"/>
      <c r="AV495" s="77" t="n"/>
      <c r="AW495" s="77" t="n"/>
      <c r="AX495" s="77" t="n"/>
      <c r="AY495" s="77" t="n"/>
      <c r="AZ495" s="77" t="n"/>
      <c r="BA495" s="77" t="n"/>
      <c r="BB495" s="77" t="n"/>
      <c r="BC495" s="77" t="n"/>
      <c r="BD495" s="77" t="n"/>
      <c r="BE495" s="77" t="n"/>
      <c r="BF495" s="77" t="n"/>
      <c r="BG495" s="77" t="n"/>
      <c r="BH495" s="77" t="n"/>
      <c r="BI495" s="77" t="n"/>
      <c r="BJ495" s="77" t="n"/>
      <c r="BK495" s="77" t="n"/>
      <c r="BL495" s="77" t="n"/>
      <c r="BM495" s="77" t="n"/>
      <c r="BN495" s="77" t="n"/>
      <c r="BO495" s="77" t="n"/>
      <c r="BP495" s="77" t="n"/>
      <c r="BQ495" s="77" t="n"/>
      <c r="BR495" s="77" t="n"/>
      <c r="BS495" s="77" t="n"/>
      <c r="BT495" s="77" t="n"/>
      <c r="BU495" s="77" t="n"/>
      <c r="BV495" s="77" t="n"/>
    </row>
    <row r="496">
      <c r="C496" s="13" t="n"/>
      <c r="D496" s="13" t="n"/>
      <c r="J496" s="13" t="n"/>
      <c r="K496" s="13" t="n"/>
      <c r="L496" s="13" t="n"/>
      <c r="AT496" s="74" t="n"/>
      <c r="AU496" s="77" t="n"/>
      <c r="AV496" s="77" t="n"/>
      <c r="AW496" s="77" t="n"/>
      <c r="AX496" s="77" t="n"/>
      <c r="AY496" s="77" t="n"/>
      <c r="AZ496" s="77" t="n"/>
      <c r="BA496" s="77" t="n"/>
      <c r="BB496" s="77" t="n"/>
      <c r="BC496" s="77" t="n"/>
      <c r="BD496" s="77" t="n"/>
      <c r="BE496" s="77" t="n"/>
      <c r="BF496" s="77" t="n"/>
      <c r="BG496" s="77" t="n"/>
      <c r="BH496" s="77" t="n"/>
      <c r="BI496" s="77" t="n"/>
      <c r="BJ496" s="77" t="n"/>
      <c r="BK496" s="77" t="n"/>
      <c r="BL496" s="77" t="n"/>
      <c r="BM496" s="77" t="n"/>
      <c r="BN496" s="77" t="n"/>
      <c r="BO496" s="77" t="n"/>
      <c r="BP496" s="77" t="n"/>
      <c r="BQ496" s="77" t="n"/>
      <c r="BR496" s="77" t="n"/>
      <c r="BS496" s="77" t="n"/>
      <c r="BT496" s="77" t="n"/>
      <c r="BU496" s="77" t="n"/>
      <c r="BV496" s="77" t="n"/>
    </row>
    <row r="497">
      <c r="AT497" s="74" t="n"/>
      <c r="AU497" s="77" t="n"/>
      <c r="AV497" s="77" t="n"/>
      <c r="AW497" s="77" t="n"/>
      <c r="AX497" s="77" t="n"/>
      <c r="AY497" s="77" t="n"/>
      <c r="AZ497" s="77" t="n"/>
      <c r="BA497" s="77" t="n"/>
      <c r="BB497" s="77" t="n"/>
      <c r="BC497" s="77" t="n"/>
      <c r="BD497" s="77" t="n"/>
      <c r="BE497" s="77" t="n"/>
      <c r="BF497" s="77" t="n"/>
      <c r="BG497" s="77" t="n"/>
      <c r="BH497" s="77" t="n"/>
      <c r="BI497" s="77" t="n"/>
      <c r="BJ497" s="77" t="n"/>
      <c r="BK497" s="77" t="n"/>
      <c r="BL497" s="77" t="n"/>
      <c r="BM497" s="77" t="n"/>
      <c r="BN497" s="77" t="n"/>
      <c r="BO497" s="77" t="n"/>
      <c r="BP497" s="77" t="n"/>
      <c r="BQ497" s="77" t="n"/>
      <c r="BR497" s="77" t="n"/>
      <c r="BS497" s="77" t="n"/>
      <c r="BT497" s="77" t="n"/>
      <c r="BU497" s="77" t="n"/>
      <c r="BV497" s="77" t="n"/>
    </row>
    <row r="498">
      <c r="C498" s="13" t="n"/>
      <c r="D498" s="13" t="n"/>
      <c r="J498" s="13" t="n"/>
      <c r="K498" s="13" t="n"/>
      <c r="L498" s="13" t="n"/>
      <c r="AT498" s="74" t="n"/>
      <c r="AU498" s="77" t="n"/>
      <c r="AV498" s="77" t="n"/>
      <c r="AW498" s="77" t="n"/>
      <c r="AX498" s="77" t="n"/>
      <c r="AY498" s="77" t="n"/>
      <c r="AZ498" s="77" t="n"/>
      <c r="BA498" s="77" t="n"/>
      <c r="BB498" s="77" t="n"/>
      <c r="BC498" s="77" t="n"/>
      <c r="BD498" s="77" t="n"/>
      <c r="BE498" s="77" t="n"/>
      <c r="BF498" s="77" t="n"/>
      <c r="BG498" s="77" t="n"/>
      <c r="BH498" s="77" t="n"/>
      <c r="BI498" s="77" t="n"/>
      <c r="BJ498" s="77" t="n"/>
      <c r="BK498" s="77" t="n"/>
      <c r="BL498" s="77" t="n"/>
      <c r="BM498" s="77" t="n"/>
      <c r="BN498" s="77" t="n"/>
      <c r="BO498" s="77" t="n"/>
      <c r="BP498" s="77" t="n"/>
      <c r="BQ498" s="77" t="n"/>
      <c r="BR498" s="77" t="n"/>
      <c r="BS498" s="77" t="n"/>
      <c r="BT498" s="77" t="n"/>
      <c r="BU498" s="77" t="n"/>
      <c r="BV498" s="77" t="n"/>
    </row>
    <row r="499">
      <c r="AT499" s="74" t="n"/>
      <c r="AU499" s="77" t="n"/>
      <c r="AV499" s="77" t="n"/>
      <c r="AW499" s="77" t="n"/>
      <c r="AX499" s="77" t="n"/>
      <c r="AY499" s="77" t="n"/>
      <c r="AZ499" s="77" t="n"/>
      <c r="BA499" s="77" t="n"/>
      <c r="BB499" s="77" t="n"/>
      <c r="BC499" s="77" t="n"/>
      <c r="BD499" s="77" t="n"/>
      <c r="BE499" s="77" t="n"/>
      <c r="BF499" s="77" t="n"/>
      <c r="BG499" s="77" t="n"/>
      <c r="BH499" s="77" t="n"/>
      <c r="BI499" s="77" t="n"/>
      <c r="BJ499" s="77" t="n"/>
      <c r="BK499" s="77" t="n"/>
      <c r="BL499" s="77" t="n"/>
      <c r="BM499" s="77" t="n"/>
      <c r="BN499" s="77" t="n"/>
      <c r="BO499" s="77" t="n"/>
      <c r="BP499" s="77" t="n"/>
      <c r="BQ499" s="77" t="n"/>
      <c r="BR499" s="77" t="n"/>
      <c r="BS499" s="77" t="n"/>
      <c r="BT499" s="77" t="n"/>
      <c r="BU499" s="77" t="n"/>
      <c r="BV499" s="77" t="n"/>
    </row>
    <row r="500">
      <c r="AT500" s="74" t="n"/>
      <c r="AU500" s="77" t="n"/>
      <c r="AV500" s="77" t="n"/>
      <c r="AW500" s="77" t="n"/>
      <c r="AX500" s="77" t="n"/>
      <c r="AY500" s="77" t="n"/>
      <c r="AZ500" s="77" t="n"/>
      <c r="BA500" s="77" t="n"/>
      <c r="BB500" s="77" t="n"/>
      <c r="BC500" s="77" t="n"/>
      <c r="BD500" s="77" t="n"/>
      <c r="BE500" s="77" t="n"/>
      <c r="BF500" s="77" t="n"/>
      <c r="BG500" s="77" t="n"/>
      <c r="BH500" s="77" t="n"/>
      <c r="BI500" s="77" t="n"/>
      <c r="BJ500" s="77" t="n"/>
      <c r="BK500" s="77" t="n"/>
      <c r="BL500" s="77" t="n"/>
      <c r="BM500" s="77" t="n"/>
      <c r="BN500" s="77" t="n"/>
      <c r="BO500" s="77" t="n"/>
      <c r="BP500" s="77" t="n"/>
      <c r="BQ500" s="77" t="n"/>
      <c r="BR500" s="77" t="n"/>
      <c r="BS500" s="77" t="n"/>
      <c r="BT500" s="77" t="n"/>
      <c r="BU500" s="77" t="n"/>
      <c r="BV500" s="77" t="n"/>
    </row>
    <row r="501">
      <c r="AT501" s="74" t="n"/>
      <c r="AU501" s="77" t="n"/>
      <c r="AV501" s="77" t="n"/>
      <c r="AW501" s="77" t="n"/>
      <c r="AX501" s="77" t="n"/>
      <c r="AY501" s="77" t="n"/>
      <c r="AZ501" s="77" t="n"/>
      <c r="BA501" s="77" t="n"/>
      <c r="BB501" s="77" t="n"/>
      <c r="BC501" s="77" t="n"/>
      <c r="BD501" s="77" t="n"/>
      <c r="BE501" s="77" t="n"/>
      <c r="BF501" s="77" t="n"/>
      <c r="BG501" s="77" t="n"/>
      <c r="BH501" s="77" t="n"/>
      <c r="BI501" s="77" t="n"/>
      <c r="BJ501" s="77" t="n"/>
      <c r="BK501" s="77" t="n"/>
      <c r="BL501" s="77" t="n"/>
      <c r="BM501" s="77" t="n"/>
      <c r="BN501" s="77" t="n"/>
      <c r="BO501" s="77" t="n"/>
      <c r="BP501" s="77" t="n"/>
      <c r="BQ501" s="77" t="n"/>
      <c r="BR501" s="77" t="n"/>
      <c r="BS501" s="77" t="n"/>
      <c r="BT501" s="77" t="n"/>
      <c r="BU501" s="77" t="n"/>
      <c r="BV501" s="77" t="n"/>
    </row>
    <row r="502">
      <c r="AT502" s="74" t="n"/>
      <c r="AU502" s="77" t="n"/>
      <c r="AV502" s="77" t="n"/>
      <c r="AW502" s="77" t="n"/>
      <c r="AX502" s="77" t="n"/>
      <c r="AY502" s="77" t="n"/>
      <c r="AZ502" s="77" t="n"/>
      <c r="BA502" s="77" t="n"/>
      <c r="BB502" s="77" t="n"/>
      <c r="BC502" s="77" t="n"/>
      <c r="BD502" s="77" t="n"/>
      <c r="BE502" s="77" t="n"/>
      <c r="BF502" s="77" t="n"/>
      <c r="BG502" s="77" t="n"/>
      <c r="BH502" s="77" t="n"/>
      <c r="BI502" s="77" t="n"/>
      <c r="BJ502" s="77" t="n"/>
      <c r="BK502" s="77" t="n"/>
      <c r="BL502" s="77" t="n"/>
      <c r="BM502" s="77" t="n"/>
      <c r="BN502" s="77" t="n"/>
      <c r="BO502" s="77" t="n"/>
      <c r="BP502" s="77" t="n"/>
      <c r="BQ502" s="77" t="n"/>
      <c r="BR502" s="77" t="n"/>
      <c r="BS502" s="77" t="n"/>
      <c r="BT502" s="77" t="n"/>
      <c r="BU502" s="77" t="n"/>
      <c r="BV502" s="77" t="n"/>
    </row>
    <row r="503">
      <c r="AT503" s="74" t="n"/>
      <c r="AU503" s="77" t="n"/>
      <c r="AV503" s="77" t="n"/>
      <c r="AW503" s="77" t="n"/>
      <c r="AX503" s="77" t="n"/>
      <c r="AY503" s="77" t="n"/>
      <c r="AZ503" s="77" t="n"/>
      <c r="BA503" s="77" t="n"/>
      <c r="BB503" s="77" t="n"/>
      <c r="BC503" s="77" t="n"/>
      <c r="BD503" s="77" t="n"/>
      <c r="BE503" s="77" t="n"/>
      <c r="BF503" s="77" t="n"/>
      <c r="BG503" s="77" t="n"/>
      <c r="BH503" s="77" t="n"/>
      <c r="BI503" s="77" t="n"/>
      <c r="BJ503" s="77" t="n"/>
      <c r="BK503" s="77" t="n"/>
      <c r="BL503" s="77" t="n"/>
      <c r="BM503" s="77" t="n"/>
      <c r="BN503" s="77" t="n"/>
      <c r="BO503" s="77" t="n"/>
      <c r="BP503" s="77" t="n"/>
      <c r="BQ503" s="77" t="n"/>
      <c r="BR503" s="77" t="n"/>
      <c r="BS503" s="77" t="n"/>
      <c r="BT503" s="77" t="n"/>
      <c r="BU503" s="77" t="n"/>
      <c r="BV503" s="77" t="n"/>
    </row>
    <row r="504">
      <c r="AT504" s="74" t="n"/>
      <c r="AU504" s="77" t="n"/>
      <c r="AV504" s="77" t="n"/>
      <c r="AW504" s="77" t="n"/>
      <c r="AX504" s="77" t="n"/>
      <c r="AY504" s="77" t="n"/>
      <c r="AZ504" s="77" t="n"/>
      <c r="BA504" s="77" t="n"/>
      <c r="BB504" s="77" t="n"/>
      <c r="BC504" s="77" t="n"/>
      <c r="BD504" s="77" t="n"/>
      <c r="BE504" s="77" t="n"/>
      <c r="BF504" s="77" t="n"/>
      <c r="BG504" s="77" t="n"/>
      <c r="BH504" s="77" t="n"/>
      <c r="BI504" s="77" t="n"/>
      <c r="BJ504" s="77" t="n"/>
      <c r="BK504" s="77" t="n"/>
      <c r="BL504" s="77" t="n"/>
      <c r="BM504" s="77" t="n"/>
      <c r="BN504" s="77" t="n"/>
      <c r="BO504" s="77" t="n"/>
      <c r="BP504" s="77" t="n"/>
      <c r="BQ504" s="77" t="n"/>
      <c r="BR504" s="77" t="n"/>
      <c r="BS504" s="77" t="n"/>
      <c r="BT504" s="77" t="n"/>
      <c r="BU504" s="77" t="n"/>
      <c r="BV504" s="77" t="n"/>
    </row>
    <row r="505">
      <c r="AT505" s="74" t="n"/>
      <c r="AU505" s="77" t="n"/>
      <c r="AV505" s="77" t="n"/>
      <c r="AW505" s="77" t="n"/>
      <c r="AX505" s="77" t="n"/>
      <c r="AY505" s="77" t="n"/>
      <c r="AZ505" s="77" t="n"/>
      <c r="BA505" s="77" t="n"/>
      <c r="BB505" s="77" t="n"/>
      <c r="BC505" s="77" t="n"/>
      <c r="BD505" s="77" t="n"/>
      <c r="BE505" s="77" t="n"/>
      <c r="BF505" s="77" t="n"/>
      <c r="BG505" s="77" t="n"/>
      <c r="BH505" s="77" t="n"/>
      <c r="BI505" s="77" t="n"/>
      <c r="BJ505" s="77" t="n"/>
      <c r="BK505" s="77" t="n"/>
      <c r="BL505" s="77" t="n"/>
      <c r="BM505" s="77" t="n"/>
      <c r="BN505" s="77" t="n"/>
      <c r="BO505" s="77" t="n"/>
      <c r="BP505" s="77" t="n"/>
      <c r="BQ505" s="77" t="n"/>
      <c r="BR505" s="77" t="n"/>
      <c r="BS505" s="77" t="n"/>
      <c r="BT505" s="77" t="n"/>
      <c r="BU505" s="77" t="n"/>
      <c r="BV505" s="77" t="n"/>
    </row>
    <row r="506">
      <c r="AT506" s="74" t="n"/>
      <c r="AU506" s="77" t="n"/>
      <c r="AV506" s="77" t="n"/>
      <c r="AW506" s="77" t="n"/>
      <c r="AX506" s="77" t="n"/>
      <c r="AY506" s="77" t="n"/>
      <c r="AZ506" s="77" t="n"/>
      <c r="BA506" s="77" t="n"/>
      <c r="BB506" s="77" t="n"/>
      <c r="BC506" s="77" t="n"/>
      <c r="BD506" s="77" t="n"/>
      <c r="BE506" s="77" t="n"/>
      <c r="BF506" s="77" t="n"/>
      <c r="BG506" s="77" t="n"/>
      <c r="BH506" s="77" t="n"/>
      <c r="BI506" s="77" t="n"/>
      <c r="BJ506" s="77" t="n"/>
      <c r="BK506" s="77" t="n"/>
      <c r="BL506" s="77" t="n"/>
      <c r="BM506" s="77" t="n"/>
      <c r="BN506" s="77" t="n"/>
      <c r="BO506" s="77" t="n"/>
      <c r="BP506" s="77" t="n"/>
      <c r="BQ506" s="77" t="n"/>
      <c r="BR506" s="77" t="n"/>
      <c r="BS506" s="77" t="n"/>
      <c r="BT506" s="77" t="n"/>
      <c r="BU506" s="77" t="n"/>
      <c r="BV506" s="77" t="n"/>
    </row>
    <row r="507">
      <c r="AT507" s="74" t="n"/>
      <c r="AU507" s="77" t="n"/>
      <c r="AV507" s="77" t="n"/>
      <c r="AW507" s="77" t="n"/>
      <c r="AX507" s="77" t="n"/>
      <c r="AY507" s="77" t="n"/>
      <c r="AZ507" s="77" t="n"/>
      <c r="BA507" s="77" t="n"/>
      <c r="BB507" s="77" t="n"/>
      <c r="BC507" s="77" t="n"/>
      <c r="BD507" s="77" t="n"/>
      <c r="BE507" s="77" t="n"/>
      <c r="BF507" s="77" t="n"/>
      <c r="BG507" s="77" t="n"/>
      <c r="BH507" s="77" t="n"/>
      <c r="BI507" s="77" t="n"/>
      <c r="BJ507" s="77" t="n"/>
      <c r="BK507" s="77" t="n"/>
      <c r="BL507" s="77" t="n"/>
      <c r="BM507" s="77" t="n"/>
      <c r="BN507" s="77" t="n"/>
      <c r="BO507" s="77" t="n"/>
      <c r="BP507" s="77" t="n"/>
      <c r="BQ507" s="77" t="n"/>
      <c r="BR507" s="77" t="n"/>
      <c r="BS507" s="77" t="n"/>
      <c r="BT507" s="77" t="n"/>
      <c r="BU507" s="77" t="n"/>
      <c r="BV507" s="77" t="n"/>
    </row>
    <row r="508">
      <c r="AT508" s="74" t="n"/>
      <c r="AU508" s="77" t="n"/>
      <c r="AV508" s="77" t="n"/>
      <c r="AW508" s="77" t="n"/>
      <c r="AX508" s="77" t="n"/>
      <c r="AY508" s="77" t="n"/>
      <c r="AZ508" s="77" t="n"/>
      <c r="BA508" s="77" t="n"/>
      <c r="BB508" s="77" t="n"/>
      <c r="BC508" s="77" t="n"/>
      <c r="BD508" s="77" t="n"/>
      <c r="BE508" s="77" t="n"/>
      <c r="BF508" s="77" t="n"/>
      <c r="BG508" s="77" t="n"/>
      <c r="BH508" s="77" t="n"/>
      <c r="BI508" s="77" t="n"/>
      <c r="BJ508" s="77" t="n"/>
      <c r="BK508" s="77" t="n"/>
      <c r="BL508" s="77" t="n"/>
      <c r="BM508" s="77" t="n"/>
      <c r="BN508" s="77" t="n"/>
      <c r="BO508" s="77" t="n"/>
      <c r="BP508" s="77" t="n"/>
      <c r="BQ508" s="77" t="n"/>
      <c r="BR508" s="77" t="n"/>
      <c r="BS508" s="77" t="n"/>
      <c r="BT508" s="77" t="n"/>
      <c r="BU508" s="77" t="n"/>
      <c r="BV508" s="77" t="n"/>
    </row>
    <row r="509">
      <c r="AT509" s="74" t="n"/>
      <c r="AU509" s="77" t="n"/>
      <c r="AV509" s="77" t="n"/>
      <c r="AW509" s="77" t="n"/>
      <c r="AX509" s="77" t="n"/>
      <c r="AY509" s="77" t="n"/>
      <c r="AZ509" s="77" t="n"/>
      <c r="BA509" s="77" t="n"/>
      <c r="BB509" s="77" t="n"/>
      <c r="BC509" s="77" t="n"/>
      <c r="BD509" s="77" t="n"/>
      <c r="BE509" s="77" t="n"/>
      <c r="BF509" s="77" t="n"/>
      <c r="BG509" s="77" t="n"/>
      <c r="BH509" s="77" t="n"/>
      <c r="BI509" s="77" t="n"/>
      <c r="BJ509" s="77" t="n"/>
      <c r="BK509" s="77" t="n"/>
      <c r="BL509" s="77" t="n"/>
      <c r="BM509" s="77" t="n"/>
      <c r="BN509" s="77" t="n"/>
      <c r="BO509" s="77" t="n"/>
      <c r="BP509" s="77" t="n"/>
      <c r="BQ509" s="77" t="n"/>
      <c r="BR509" s="77" t="n"/>
      <c r="BS509" s="77" t="n"/>
      <c r="BT509" s="77" t="n"/>
      <c r="BU509" s="77" t="n"/>
      <c r="BV509" s="77" t="n"/>
    </row>
    <row r="510">
      <c r="AT510" s="74" t="n"/>
      <c r="AU510" s="77" t="n"/>
      <c r="AV510" s="77" t="n"/>
      <c r="AW510" s="77" t="n"/>
      <c r="AX510" s="77" t="n"/>
      <c r="AY510" s="77" t="n"/>
      <c r="AZ510" s="77" t="n"/>
      <c r="BA510" s="77" t="n"/>
      <c r="BB510" s="77" t="n"/>
      <c r="BC510" s="77" t="n"/>
      <c r="BD510" s="77" t="n"/>
      <c r="BE510" s="77" t="n"/>
      <c r="BF510" s="77" t="n"/>
      <c r="BG510" s="77" t="n"/>
      <c r="BH510" s="77" t="n"/>
      <c r="BI510" s="77" t="n"/>
      <c r="BJ510" s="77" t="n"/>
      <c r="BK510" s="77" t="n"/>
      <c r="BL510" s="77" t="n"/>
      <c r="BM510" s="77" t="n"/>
      <c r="BN510" s="77" t="n"/>
      <c r="BO510" s="77" t="n"/>
      <c r="BP510" s="77" t="n"/>
      <c r="BQ510" s="77" t="n"/>
      <c r="BR510" s="77" t="n"/>
      <c r="BS510" s="77" t="n"/>
      <c r="BT510" s="77" t="n"/>
      <c r="BU510" s="77" t="n"/>
      <c r="BV510" s="77" t="n"/>
    </row>
    <row r="511">
      <c r="AT511" s="74" t="n"/>
      <c r="AU511" s="77" t="n"/>
      <c r="AV511" s="77" t="n"/>
      <c r="AW511" s="77" t="n"/>
      <c r="AX511" s="77" t="n"/>
      <c r="AY511" s="77" t="n"/>
      <c r="AZ511" s="77" t="n"/>
      <c r="BA511" s="77" t="n"/>
      <c r="BB511" s="77" t="n"/>
      <c r="BC511" s="77" t="n"/>
      <c r="BD511" s="77" t="n"/>
      <c r="BE511" s="77" t="n"/>
      <c r="BF511" s="77" t="n"/>
      <c r="BG511" s="77" t="n"/>
      <c r="BH511" s="77" t="n"/>
      <c r="BI511" s="77" t="n"/>
      <c r="BJ511" s="77" t="n"/>
      <c r="BK511" s="77" t="n"/>
      <c r="BL511" s="77" t="n"/>
      <c r="BM511" s="77" t="n"/>
      <c r="BN511" s="77" t="n"/>
      <c r="BO511" s="77" t="n"/>
      <c r="BP511" s="77" t="n"/>
      <c r="BQ511" s="77" t="n"/>
      <c r="BR511" s="77" t="n"/>
      <c r="BS511" s="77" t="n"/>
      <c r="BT511" s="77" t="n"/>
      <c r="BU511" s="77" t="n"/>
      <c r="BV511" s="77" t="n"/>
    </row>
    <row r="512">
      <c r="AT512" s="74" t="n"/>
      <c r="AU512" s="77" t="n"/>
      <c r="AV512" s="77" t="n"/>
      <c r="AW512" s="77" t="n"/>
      <c r="AX512" s="77" t="n"/>
      <c r="AY512" s="77" t="n"/>
      <c r="AZ512" s="77" t="n"/>
      <c r="BA512" s="77" t="n"/>
      <c r="BB512" s="77" t="n"/>
      <c r="BC512" s="77" t="n"/>
      <c r="BD512" s="77" t="n"/>
      <c r="BE512" s="77" t="n"/>
      <c r="BF512" s="77" t="n"/>
      <c r="BG512" s="77" t="n"/>
      <c r="BH512" s="77" t="n"/>
      <c r="BI512" s="77" t="n"/>
      <c r="BJ512" s="77" t="n"/>
      <c r="BK512" s="77" t="n"/>
      <c r="BL512" s="77" t="n"/>
      <c r="BM512" s="77" t="n"/>
      <c r="BN512" s="77" t="n"/>
      <c r="BO512" s="77" t="n"/>
      <c r="BP512" s="77" t="n"/>
      <c r="BQ512" s="77" t="n"/>
      <c r="BR512" s="77" t="n"/>
      <c r="BS512" s="77" t="n"/>
      <c r="BT512" s="77" t="n"/>
      <c r="BU512" s="77" t="n"/>
      <c r="BV512" s="77" t="n"/>
    </row>
    <row r="513">
      <c r="AT513" s="74" t="n"/>
      <c r="AU513" s="77" t="n"/>
      <c r="AV513" s="77" t="n"/>
      <c r="AW513" s="77" t="n"/>
      <c r="AX513" s="77" t="n"/>
      <c r="AY513" s="77" t="n"/>
      <c r="AZ513" s="77" t="n"/>
      <c r="BA513" s="77" t="n"/>
      <c r="BB513" s="77" t="n"/>
      <c r="BC513" s="77" t="n"/>
      <c r="BD513" s="77" t="n"/>
      <c r="BE513" s="77" t="n"/>
      <c r="BF513" s="77" t="n"/>
      <c r="BG513" s="77" t="n"/>
      <c r="BH513" s="77" t="n"/>
      <c r="BI513" s="77" t="n"/>
      <c r="BJ513" s="77" t="n"/>
      <c r="BK513" s="77" t="n"/>
      <c r="BL513" s="77" t="n"/>
      <c r="BM513" s="77" t="n"/>
      <c r="BN513" s="77" t="n"/>
      <c r="BO513" s="77" t="n"/>
      <c r="BP513" s="77" t="n"/>
      <c r="BQ513" s="77" t="n"/>
      <c r="BR513" s="77" t="n"/>
      <c r="BS513" s="77" t="n"/>
      <c r="BT513" s="77" t="n"/>
      <c r="BU513" s="77" t="n"/>
      <c r="BV513" s="77" t="n"/>
    </row>
    <row r="514">
      <c r="AT514" s="74" t="n"/>
      <c r="AU514" s="77" t="n"/>
      <c r="AV514" s="77" t="n"/>
      <c r="AW514" s="77" t="n"/>
      <c r="AX514" s="77" t="n"/>
      <c r="AY514" s="77" t="n"/>
      <c r="AZ514" s="77" t="n"/>
      <c r="BA514" s="77" t="n"/>
      <c r="BB514" s="77" t="n"/>
      <c r="BC514" s="77" t="n"/>
      <c r="BD514" s="77" t="n"/>
      <c r="BE514" s="77" t="n"/>
      <c r="BF514" s="77" t="n"/>
      <c r="BG514" s="77" t="n"/>
      <c r="BH514" s="77" t="n"/>
      <c r="BI514" s="77" t="n"/>
      <c r="BJ514" s="77" t="n"/>
      <c r="BK514" s="77" t="n"/>
      <c r="BL514" s="77" t="n"/>
      <c r="BM514" s="77" t="n"/>
      <c r="BN514" s="77" t="n"/>
      <c r="BO514" s="77" t="n"/>
      <c r="BP514" s="77" t="n"/>
      <c r="BQ514" s="77" t="n"/>
      <c r="BR514" s="77" t="n"/>
      <c r="BS514" s="77" t="n"/>
      <c r="BT514" s="77" t="n"/>
      <c r="BU514" s="77" t="n"/>
      <c r="BV514" s="77" t="n"/>
    </row>
    <row r="515">
      <c r="AT515" s="74" t="n"/>
      <c r="AU515" s="77" t="n"/>
      <c r="AV515" s="77" t="n"/>
      <c r="AW515" s="77" t="n"/>
      <c r="AX515" s="77" t="n"/>
      <c r="AY515" s="77" t="n"/>
      <c r="AZ515" s="77" t="n"/>
      <c r="BA515" s="77" t="n"/>
      <c r="BB515" s="77" t="n"/>
      <c r="BC515" s="77" t="n"/>
      <c r="BD515" s="77" t="n"/>
      <c r="BE515" s="77" t="n"/>
      <c r="BF515" s="77" t="n"/>
      <c r="BG515" s="77" t="n"/>
      <c r="BH515" s="77" t="n"/>
      <c r="BI515" s="77" t="n"/>
      <c r="BJ515" s="77" t="n"/>
      <c r="BK515" s="77" t="n"/>
      <c r="BL515" s="77" t="n"/>
      <c r="BM515" s="77" t="n"/>
      <c r="BN515" s="77" t="n"/>
      <c r="BO515" s="77" t="n"/>
      <c r="BP515" s="77" t="n"/>
      <c r="BQ515" s="77" t="n"/>
      <c r="BR515" s="77" t="n"/>
      <c r="BS515" s="77" t="n"/>
      <c r="BT515" s="77" t="n"/>
      <c r="BU515" s="77" t="n"/>
      <c r="BV515" s="77" t="n"/>
    </row>
    <row r="516">
      <c r="AT516" s="74" t="n"/>
      <c r="AU516" s="77" t="n"/>
      <c r="AV516" s="77" t="n"/>
      <c r="AW516" s="77" t="n"/>
      <c r="AX516" s="77" t="n"/>
      <c r="AY516" s="77" t="n"/>
      <c r="AZ516" s="77" t="n"/>
      <c r="BA516" s="77" t="n"/>
      <c r="BB516" s="77" t="n"/>
      <c r="BC516" s="77" t="n"/>
      <c r="BD516" s="77" t="n"/>
      <c r="BE516" s="77" t="n"/>
      <c r="BF516" s="77" t="n"/>
      <c r="BG516" s="77" t="n"/>
      <c r="BH516" s="77" t="n"/>
      <c r="BI516" s="77" t="n"/>
      <c r="BJ516" s="77" t="n"/>
      <c r="BK516" s="77" t="n"/>
      <c r="BL516" s="77" t="n"/>
      <c r="BM516" s="77" t="n"/>
      <c r="BN516" s="77" t="n"/>
      <c r="BO516" s="77" t="n"/>
      <c r="BP516" s="77" t="n"/>
      <c r="BQ516" s="77" t="n"/>
      <c r="BR516" s="77" t="n"/>
      <c r="BS516" s="77" t="n"/>
      <c r="BT516" s="77" t="n"/>
      <c r="BU516" s="77" t="n"/>
      <c r="BV516" s="77" t="n"/>
    </row>
    <row r="517">
      <c r="AT517" s="74" t="n"/>
      <c r="AU517" s="77" t="n"/>
      <c r="AV517" s="77" t="n"/>
      <c r="AW517" s="77" t="n"/>
      <c r="AX517" s="77" t="n"/>
      <c r="AY517" s="77" t="n"/>
      <c r="AZ517" s="77" t="n"/>
      <c r="BA517" s="77" t="n"/>
      <c r="BB517" s="77" t="n"/>
      <c r="BC517" s="77" t="n"/>
      <c r="BD517" s="77" t="n"/>
      <c r="BE517" s="77" t="n"/>
      <c r="BF517" s="77" t="n"/>
      <c r="BG517" s="77" t="n"/>
      <c r="BH517" s="77" t="n"/>
      <c r="BI517" s="77" t="n"/>
      <c r="BJ517" s="77" t="n"/>
      <c r="BK517" s="77" t="n"/>
      <c r="BL517" s="77" t="n"/>
      <c r="BM517" s="77" t="n"/>
      <c r="BN517" s="77" t="n"/>
      <c r="BO517" s="77" t="n"/>
      <c r="BP517" s="77" t="n"/>
      <c r="BQ517" s="77" t="n"/>
      <c r="BR517" s="77" t="n"/>
      <c r="BS517" s="77" t="n"/>
      <c r="BT517" s="77" t="n"/>
      <c r="BU517" s="77" t="n"/>
      <c r="BV517" s="77" t="n"/>
    </row>
    <row r="518">
      <c r="AT518" s="74" t="n"/>
      <c r="AU518" s="77" t="n"/>
      <c r="AV518" s="77" t="n"/>
      <c r="AW518" s="77" t="n"/>
      <c r="AX518" s="77" t="n"/>
      <c r="AY518" s="77" t="n"/>
      <c r="AZ518" s="77" t="n"/>
      <c r="BA518" s="77" t="n"/>
      <c r="BB518" s="77" t="n"/>
      <c r="BC518" s="77" t="n"/>
      <c r="BD518" s="77" t="n"/>
      <c r="BE518" s="77" t="n"/>
      <c r="BF518" s="77" t="n"/>
      <c r="BG518" s="77" t="n"/>
      <c r="BH518" s="77" t="n"/>
      <c r="BI518" s="77" t="n"/>
      <c r="BJ518" s="77" t="n"/>
      <c r="BK518" s="77" t="n"/>
      <c r="BL518" s="77" t="n"/>
      <c r="BM518" s="77" t="n"/>
      <c r="BN518" s="77" t="n"/>
      <c r="BO518" s="77" t="n"/>
      <c r="BP518" s="77" t="n"/>
      <c r="BQ518" s="77" t="n"/>
      <c r="BR518" s="77" t="n"/>
      <c r="BS518" s="77" t="n"/>
      <c r="BT518" s="77" t="n"/>
      <c r="BU518" s="77" t="n"/>
      <c r="BV518" s="77" t="n"/>
    </row>
    <row r="519">
      <c r="AT519" s="74" t="n"/>
      <c r="AU519" s="77" t="n"/>
      <c r="AV519" s="77" t="n"/>
      <c r="AW519" s="77" t="n"/>
      <c r="AX519" s="77" t="n"/>
      <c r="AY519" s="77" t="n"/>
      <c r="AZ519" s="77" t="n"/>
      <c r="BA519" s="77" t="n"/>
      <c r="BB519" s="77" t="n"/>
      <c r="BC519" s="77" t="n"/>
      <c r="BD519" s="77" t="n"/>
      <c r="BE519" s="77" t="n"/>
      <c r="BF519" s="77" t="n"/>
      <c r="BG519" s="77" t="n"/>
      <c r="BH519" s="77" t="n"/>
      <c r="BI519" s="77" t="n"/>
      <c r="BJ519" s="77" t="n"/>
      <c r="BK519" s="77" t="n"/>
      <c r="BL519" s="77" t="n"/>
      <c r="BM519" s="77" t="n"/>
      <c r="BN519" s="77" t="n"/>
      <c r="BO519" s="77" t="n"/>
      <c r="BP519" s="77" t="n"/>
      <c r="BQ519" s="77" t="n"/>
      <c r="BR519" s="77" t="n"/>
      <c r="BS519" s="77" t="n"/>
      <c r="BT519" s="77" t="n"/>
      <c r="BU519" s="77" t="n"/>
      <c r="BV519" s="77" t="n"/>
    </row>
    <row r="520">
      <c r="AT520" s="74" t="n"/>
      <c r="AU520" s="77" t="n"/>
      <c r="AV520" s="77" t="n"/>
      <c r="AW520" s="77" t="n"/>
      <c r="AX520" s="77" t="n"/>
      <c r="AY520" s="77" t="n"/>
      <c r="AZ520" s="77" t="n"/>
      <c r="BA520" s="77" t="n"/>
      <c r="BB520" s="77" t="n"/>
      <c r="BC520" s="77" t="n"/>
      <c r="BD520" s="77" t="n"/>
      <c r="BE520" s="77" t="n"/>
      <c r="BF520" s="77" t="n"/>
      <c r="BG520" s="77" t="n"/>
      <c r="BH520" s="77" t="n"/>
      <c r="BI520" s="77" t="n"/>
      <c r="BJ520" s="77" t="n"/>
      <c r="BK520" s="77" t="n"/>
      <c r="BL520" s="77" t="n"/>
      <c r="BM520" s="77" t="n"/>
      <c r="BN520" s="77" t="n"/>
      <c r="BO520" s="77" t="n"/>
      <c r="BP520" s="77" t="n"/>
      <c r="BQ520" s="77" t="n"/>
      <c r="BR520" s="77" t="n"/>
      <c r="BS520" s="77" t="n"/>
      <c r="BT520" s="77" t="n"/>
      <c r="BU520" s="77" t="n"/>
      <c r="BV520" s="77" t="n"/>
    </row>
    <row r="521">
      <c r="AT521" s="74" t="n"/>
      <c r="AU521" s="77" t="n"/>
      <c r="AV521" s="77" t="n"/>
      <c r="AW521" s="77" t="n"/>
      <c r="AX521" s="77" t="n"/>
      <c r="AY521" s="77" t="n"/>
      <c r="AZ521" s="77" t="n"/>
      <c r="BA521" s="77" t="n"/>
      <c r="BB521" s="77" t="n"/>
      <c r="BC521" s="77" t="n"/>
      <c r="BD521" s="77" t="n"/>
      <c r="BE521" s="77" t="n"/>
      <c r="BF521" s="77" t="n"/>
      <c r="BG521" s="77" t="n"/>
      <c r="BH521" s="77" t="n"/>
      <c r="BI521" s="77" t="n"/>
      <c r="BJ521" s="77" t="n"/>
      <c r="BK521" s="77" t="n"/>
      <c r="BL521" s="77" t="n"/>
      <c r="BM521" s="77" t="n"/>
      <c r="BN521" s="77" t="n"/>
      <c r="BO521" s="77" t="n"/>
      <c r="BP521" s="77" t="n"/>
      <c r="BQ521" s="77" t="n"/>
      <c r="BR521" s="77" t="n"/>
      <c r="BS521" s="77" t="n"/>
      <c r="BT521" s="77" t="n"/>
      <c r="BU521" s="77" t="n"/>
      <c r="BV521" s="77" t="n"/>
    </row>
    <row r="522">
      <c r="AT522" s="74" t="n"/>
      <c r="AU522" s="77" t="n"/>
      <c r="AV522" s="77" t="n"/>
      <c r="AW522" s="77" t="n"/>
      <c r="AX522" s="77" t="n"/>
      <c r="AY522" s="77" t="n"/>
      <c r="AZ522" s="77" t="n"/>
      <c r="BA522" s="77" t="n"/>
      <c r="BB522" s="77" t="n"/>
      <c r="BC522" s="77" t="n"/>
      <c r="BD522" s="77" t="n"/>
      <c r="BE522" s="77" t="n"/>
      <c r="BF522" s="77" t="n"/>
      <c r="BG522" s="77" t="n"/>
      <c r="BH522" s="77" t="n"/>
      <c r="BI522" s="77" t="n"/>
      <c r="BJ522" s="77" t="n"/>
      <c r="BK522" s="77" t="n"/>
      <c r="BL522" s="77" t="n"/>
      <c r="BM522" s="77" t="n"/>
      <c r="BN522" s="77" t="n"/>
      <c r="BO522" s="77" t="n"/>
      <c r="BP522" s="77" t="n"/>
      <c r="BQ522" s="77" t="n"/>
      <c r="BR522" s="77" t="n"/>
      <c r="BS522" s="77" t="n"/>
      <c r="BT522" s="77" t="n"/>
      <c r="BU522" s="77" t="n"/>
      <c r="BV522" s="77" t="n"/>
    </row>
    <row r="523">
      <c r="AT523" s="74" t="n"/>
      <c r="AU523" s="77" t="n"/>
      <c r="AV523" s="77" t="n"/>
      <c r="AW523" s="77" t="n"/>
      <c r="AX523" s="77" t="n"/>
      <c r="AY523" s="77" t="n"/>
      <c r="AZ523" s="77" t="n"/>
      <c r="BA523" s="77" t="n"/>
      <c r="BB523" s="77" t="n"/>
      <c r="BC523" s="77" t="n"/>
      <c r="BD523" s="77" t="n"/>
      <c r="BE523" s="77" t="n"/>
      <c r="BF523" s="77" t="n"/>
      <c r="BG523" s="77" t="n"/>
      <c r="BH523" s="77" t="n"/>
      <c r="BI523" s="77" t="n"/>
      <c r="BJ523" s="77" t="n"/>
      <c r="BK523" s="77" t="n"/>
      <c r="BL523" s="77" t="n"/>
      <c r="BM523" s="77" t="n"/>
      <c r="BN523" s="77" t="n"/>
      <c r="BO523" s="77" t="n"/>
      <c r="BP523" s="77" t="n"/>
      <c r="BQ523" s="77" t="n"/>
      <c r="BR523" s="77" t="n"/>
      <c r="BS523" s="77" t="n"/>
      <c r="BT523" s="77" t="n"/>
      <c r="BU523" s="77" t="n"/>
      <c r="BV523" s="77" t="n"/>
    </row>
    <row r="524">
      <c r="AT524" s="74" t="n"/>
      <c r="AU524" s="77" t="n"/>
      <c r="AV524" s="77" t="n"/>
      <c r="AW524" s="77" t="n"/>
      <c r="AX524" s="77" t="n"/>
      <c r="AY524" s="77" t="n"/>
      <c r="AZ524" s="77" t="n"/>
      <c r="BA524" s="77" t="n"/>
      <c r="BB524" s="77" t="n"/>
      <c r="BC524" s="77" t="n"/>
      <c r="BD524" s="77" t="n"/>
      <c r="BE524" s="77" t="n"/>
      <c r="BF524" s="77" t="n"/>
      <c r="BG524" s="77" t="n"/>
      <c r="BH524" s="77" t="n"/>
      <c r="BI524" s="77" t="n"/>
      <c r="BJ524" s="77" t="n"/>
      <c r="BK524" s="77" t="n"/>
      <c r="BL524" s="77" t="n"/>
      <c r="BM524" s="77" t="n"/>
      <c r="BN524" s="77" t="n"/>
      <c r="BO524" s="77" t="n"/>
      <c r="BP524" s="77" t="n"/>
      <c r="BQ524" s="77" t="n"/>
      <c r="BR524" s="77" t="n"/>
      <c r="BS524" s="77" t="n"/>
      <c r="BT524" s="77" t="n"/>
      <c r="BU524" s="77" t="n"/>
      <c r="BV524" s="77" t="n"/>
    </row>
    <row r="525">
      <c r="AT525" s="74" t="n"/>
      <c r="AU525" s="77" t="n"/>
      <c r="AV525" s="77" t="n"/>
      <c r="AW525" s="77" t="n"/>
      <c r="AX525" s="77" t="n"/>
      <c r="AY525" s="77" t="n"/>
      <c r="AZ525" s="77" t="n"/>
      <c r="BA525" s="77" t="n"/>
      <c r="BB525" s="77" t="n"/>
      <c r="BC525" s="77" t="n"/>
      <c r="BD525" s="77" t="n"/>
      <c r="BE525" s="77" t="n"/>
      <c r="BF525" s="77" t="n"/>
      <c r="BG525" s="77" t="n"/>
      <c r="BH525" s="77" t="n"/>
      <c r="BI525" s="77" t="n"/>
      <c r="BJ525" s="77" t="n"/>
      <c r="BK525" s="77" t="n"/>
      <c r="BL525" s="77" t="n"/>
      <c r="BM525" s="77" t="n"/>
      <c r="BN525" s="77" t="n"/>
      <c r="BO525" s="77" t="n"/>
      <c r="BP525" s="77" t="n"/>
      <c r="BQ525" s="77" t="n"/>
      <c r="BR525" s="77" t="n"/>
      <c r="BS525" s="77" t="n"/>
      <c r="BT525" s="77" t="n"/>
      <c r="BU525" s="77" t="n"/>
      <c r="BV525" s="77" t="n"/>
    </row>
    <row r="526">
      <c r="AT526" s="74" t="n"/>
      <c r="AU526" s="77" t="n"/>
      <c r="AV526" s="77" t="n"/>
      <c r="AW526" s="77" t="n"/>
      <c r="AX526" s="77" t="n"/>
      <c r="AY526" s="77" t="n"/>
      <c r="AZ526" s="77" t="n"/>
      <c r="BA526" s="77" t="n"/>
      <c r="BB526" s="77" t="n"/>
      <c r="BC526" s="77" t="n"/>
      <c r="BD526" s="77" t="n"/>
      <c r="BE526" s="77" t="n"/>
      <c r="BF526" s="77" t="n"/>
      <c r="BG526" s="77" t="n"/>
      <c r="BH526" s="77" t="n"/>
      <c r="BI526" s="77" t="n"/>
      <c r="BJ526" s="77" t="n"/>
      <c r="BK526" s="77" t="n"/>
      <c r="BL526" s="77" t="n"/>
      <c r="BM526" s="77" t="n"/>
      <c r="BN526" s="77" t="n"/>
      <c r="BO526" s="77" t="n"/>
      <c r="BP526" s="77" t="n"/>
      <c r="BQ526" s="77" t="n"/>
      <c r="BR526" s="77" t="n"/>
      <c r="BS526" s="77" t="n"/>
      <c r="BT526" s="77" t="n"/>
      <c r="BU526" s="77" t="n"/>
      <c r="BV526" s="77" t="n"/>
    </row>
    <row r="527">
      <c r="AT527" s="74" t="n"/>
      <c r="AU527" s="77" t="n"/>
      <c r="AV527" s="77" t="n"/>
      <c r="AW527" s="77" t="n"/>
      <c r="AX527" s="77" t="n"/>
      <c r="AY527" s="77" t="n"/>
      <c r="AZ527" s="77" t="n"/>
      <c r="BA527" s="77" t="n"/>
      <c r="BB527" s="77" t="n"/>
      <c r="BC527" s="77" t="n"/>
      <c r="BD527" s="77" t="n"/>
      <c r="BE527" s="77" t="n"/>
      <c r="BF527" s="77" t="n"/>
      <c r="BG527" s="77" t="n"/>
      <c r="BH527" s="77" t="n"/>
      <c r="BI527" s="77" t="n"/>
      <c r="BJ527" s="77" t="n"/>
      <c r="BK527" s="77" t="n"/>
      <c r="BL527" s="77" t="n"/>
      <c r="BM527" s="77" t="n"/>
      <c r="BN527" s="77" t="n"/>
      <c r="BO527" s="77" t="n"/>
      <c r="BP527" s="77" t="n"/>
      <c r="BQ527" s="77" t="n"/>
      <c r="BR527" s="77" t="n"/>
      <c r="BS527" s="77" t="n"/>
      <c r="BT527" s="77" t="n"/>
      <c r="BU527" s="77" t="n"/>
      <c r="BV527" s="77" t="n"/>
    </row>
    <row r="528">
      <c r="AT528" s="74" t="n"/>
      <c r="AU528" s="77" t="n"/>
      <c r="AV528" s="77" t="n"/>
      <c r="AW528" s="77" t="n"/>
      <c r="AX528" s="77" t="n"/>
      <c r="AY528" s="77" t="n"/>
      <c r="AZ528" s="77" t="n"/>
      <c r="BA528" s="77" t="n"/>
      <c r="BB528" s="77" t="n"/>
      <c r="BC528" s="77" t="n"/>
      <c r="BD528" s="77" t="n"/>
      <c r="BE528" s="77" t="n"/>
      <c r="BF528" s="77" t="n"/>
      <c r="BG528" s="77" t="n"/>
      <c r="BH528" s="77" t="n"/>
      <c r="BI528" s="77" t="n"/>
      <c r="BJ528" s="77" t="n"/>
      <c r="BK528" s="77" t="n"/>
      <c r="BL528" s="77" t="n"/>
      <c r="BM528" s="77" t="n"/>
      <c r="BN528" s="77" t="n"/>
      <c r="BO528" s="77" t="n"/>
      <c r="BP528" s="77" t="n"/>
      <c r="BQ528" s="77" t="n"/>
      <c r="BR528" s="77" t="n"/>
      <c r="BS528" s="77" t="n"/>
      <c r="BT528" s="77" t="n"/>
      <c r="BU528" s="77" t="n"/>
      <c r="BV528" s="77" t="n"/>
    </row>
    <row r="529">
      <c r="AT529" s="74" t="n"/>
      <c r="AU529" s="77" t="n"/>
      <c r="AV529" s="77" t="n"/>
      <c r="AW529" s="77" t="n"/>
      <c r="AX529" s="77" t="n"/>
      <c r="AY529" s="77" t="n"/>
      <c r="AZ529" s="77" t="n"/>
      <c r="BA529" s="77" t="n"/>
      <c r="BB529" s="77" t="n"/>
      <c r="BC529" s="77" t="n"/>
      <c r="BD529" s="77" t="n"/>
      <c r="BE529" s="77" t="n"/>
      <c r="BF529" s="77" t="n"/>
      <c r="BG529" s="77" t="n"/>
      <c r="BH529" s="77" t="n"/>
      <c r="BI529" s="77" t="n"/>
      <c r="BJ529" s="77" t="n"/>
      <c r="BK529" s="77" t="n"/>
      <c r="BL529" s="77" t="n"/>
      <c r="BM529" s="77" t="n"/>
      <c r="BN529" s="77" t="n"/>
      <c r="BO529" s="77" t="n"/>
      <c r="BP529" s="77" t="n"/>
      <c r="BQ529" s="77" t="n"/>
      <c r="BR529" s="77" t="n"/>
      <c r="BS529" s="77" t="n"/>
      <c r="BT529" s="77" t="n"/>
      <c r="BU529" s="77" t="n"/>
      <c r="BV529" s="77" t="n"/>
    </row>
    <row r="530">
      <c r="AT530" s="74" t="n"/>
      <c r="AU530" s="77" t="n"/>
      <c r="AV530" s="77" t="n"/>
      <c r="AW530" s="77" t="n"/>
      <c r="AX530" s="77" t="n"/>
      <c r="AY530" s="77" t="n"/>
      <c r="AZ530" s="77" t="n"/>
      <c r="BA530" s="77" t="n"/>
      <c r="BB530" s="77" t="n"/>
      <c r="BC530" s="77" t="n"/>
      <c r="BD530" s="77" t="n"/>
      <c r="BE530" s="77" t="n"/>
      <c r="BF530" s="77" t="n"/>
      <c r="BG530" s="77" t="n"/>
      <c r="BH530" s="77" t="n"/>
      <c r="BI530" s="77" t="n"/>
      <c r="BJ530" s="77" t="n"/>
      <c r="BK530" s="77" t="n"/>
      <c r="BL530" s="77" t="n"/>
      <c r="BM530" s="77" t="n"/>
      <c r="BN530" s="77" t="n"/>
      <c r="BO530" s="77" t="n"/>
      <c r="BP530" s="77" t="n"/>
      <c r="BQ530" s="77" t="n"/>
      <c r="BR530" s="77" t="n"/>
      <c r="BS530" s="77" t="n"/>
      <c r="BT530" s="77" t="n"/>
      <c r="BU530" s="77" t="n"/>
      <c r="BV530" s="77" t="n"/>
    </row>
    <row r="531">
      <c r="AT531" s="74" t="n"/>
      <c r="AU531" s="77" t="n"/>
      <c r="AV531" s="77" t="n"/>
      <c r="AW531" s="77" t="n"/>
      <c r="AX531" s="77" t="n"/>
      <c r="AY531" s="77" t="n"/>
      <c r="AZ531" s="77" t="n"/>
      <c r="BA531" s="77" t="n"/>
      <c r="BB531" s="77" t="n"/>
      <c r="BC531" s="77" t="n"/>
      <c r="BD531" s="77" t="n"/>
      <c r="BE531" s="77" t="n"/>
      <c r="BF531" s="77" t="n"/>
      <c r="BG531" s="77" t="n"/>
      <c r="BH531" s="77" t="n"/>
      <c r="BI531" s="77" t="n"/>
      <c r="BJ531" s="77" t="n"/>
      <c r="BK531" s="77" t="n"/>
      <c r="BL531" s="77" t="n"/>
      <c r="BM531" s="77" t="n"/>
      <c r="BN531" s="77" t="n"/>
      <c r="BO531" s="77" t="n"/>
      <c r="BP531" s="77" t="n"/>
      <c r="BQ531" s="77" t="n"/>
      <c r="BR531" s="77" t="n"/>
      <c r="BS531" s="77" t="n"/>
      <c r="BT531" s="77" t="n"/>
      <c r="BU531" s="77" t="n"/>
      <c r="BV531" s="77" t="n"/>
    </row>
    <row r="532">
      <c r="AT532" s="74" t="n"/>
      <c r="AU532" s="77" t="n"/>
      <c r="AV532" s="77" t="n"/>
      <c r="AW532" s="77" t="n"/>
      <c r="AX532" s="77" t="n"/>
      <c r="AY532" s="77" t="n"/>
      <c r="AZ532" s="77" t="n"/>
      <c r="BA532" s="77" t="n"/>
      <c r="BB532" s="77" t="n"/>
      <c r="BC532" s="77" t="n"/>
      <c r="BD532" s="77" t="n"/>
      <c r="BE532" s="77" t="n"/>
      <c r="BF532" s="77" t="n"/>
      <c r="BG532" s="77" t="n"/>
      <c r="BH532" s="77" t="n"/>
      <c r="BI532" s="77" t="n"/>
      <c r="BJ532" s="77" t="n"/>
      <c r="BK532" s="77" t="n"/>
      <c r="BL532" s="77" t="n"/>
      <c r="BM532" s="77" t="n"/>
      <c r="BN532" s="77" t="n"/>
      <c r="BO532" s="77" t="n"/>
      <c r="BP532" s="77" t="n"/>
      <c r="BQ532" s="77" t="n"/>
      <c r="BR532" s="77" t="n"/>
      <c r="BS532" s="77" t="n"/>
      <c r="BT532" s="77" t="n"/>
      <c r="BU532" s="77" t="n"/>
      <c r="BV532" s="77" t="n"/>
    </row>
    <row r="533">
      <c r="AT533" s="74" t="n"/>
      <c r="AU533" s="77" t="n"/>
      <c r="AV533" s="77" t="n"/>
      <c r="AW533" s="77" t="n"/>
      <c r="AX533" s="77" t="n"/>
      <c r="AY533" s="77" t="n"/>
      <c r="AZ533" s="77" t="n"/>
      <c r="BA533" s="77" t="n"/>
      <c r="BB533" s="77" t="n"/>
      <c r="BC533" s="77" t="n"/>
      <c r="BD533" s="77" t="n"/>
      <c r="BE533" s="77" t="n"/>
      <c r="BF533" s="77" t="n"/>
      <c r="BG533" s="77" t="n"/>
      <c r="BH533" s="77" t="n"/>
      <c r="BI533" s="77" t="n"/>
      <c r="BJ533" s="77" t="n"/>
      <c r="BK533" s="77" t="n"/>
      <c r="BL533" s="77" t="n"/>
      <c r="BM533" s="77" t="n"/>
      <c r="BN533" s="77" t="n"/>
      <c r="BO533" s="77" t="n"/>
      <c r="BP533" s="77" t="n"/>
      <c r="BQ533" s="77" t="n"/>
      <c r="BR533" s="77" t="n"/>
      <c r="BS533" s="77" t="n"/>
      <c r="BT533" s="77" t="n"/>
      <c r="BU533" s="77" t="n"/>
      <c r="BV533" s="77" t="n"/>
    </row>
    <row r="534">
      <c r="AT534" s="74" t="n"/>
      <c r="AU534" s="77" t="n"/>
      <c r="AV534" s="77" t="n"/>
      <c r="AW534" s="77" t="n"/>
      <c r="AX534" s="77" t="n"/>
      <c r="AY534" s="77" t="n"/>
      <c r="AZ534" s="77" t="n"/>
      <c r="BA534" s="77" t="n"/>
      <c r="BB534" s="77" t="n"/>
      <c r="BC534" s="77" t="n"/>
      <c r="BD534" s="77" t="n"/>
      <c r="BE534" s="77" t="n"/>
      <c r="BF534" s="77" t="n"/>
      <c r="BG534" s="77" t="n"/>
      <c r="BH534" s="77" t="n"/>
      <c r="BI534" s="77" t="n"/>
      <c r="BJ534" s="77" t="n"/>
      <c r="BK534" s="77" t="n"/>
      <c r="BL534" s="77" t="n"/>
      <c r="BM534" s="77" t="n"/>
      <c r="BN534" s="77" t="n"/>
      <c r="BO534" s="77" t="n"/>
      <c r="BP534" s="77" t="n"/>
      <c r="BQ534" s="77" t="n"/>
      <c r="BR534" s="77" t="n"/>
      <c r="BS534" s="77" t="n"/>
      <c r="BT534" s="77" t="n"/>
      <c r="BU534" s="77" t="n"/>
      <c r="BV534" s="77" t="n"/>
    </row>
    <row r="535">
      <c r="AT535" s="74" t="n"/>
      <c r="AU535" s="77" t="n"/>
      <c r="AV535" s="77" t="n"/>
      <c r="AW535" s="77" t="n"/>
      <c r="AX535" s="77" t="n"/>
      <c r="AY535" s="77" t="n"/>
      <c r="AZ535" s="77" t="n"/>
      <c r="BA535" s="77" t="n"/>
      <c r="BB535" s="77" t="n"/>
      <c r="BC535" s="77" t="n"/>
      <c r="BD535" s="77" t="n"/>
      <c r="BE535" s="77" t="n"/>
      <c r="BF535" s="77" t="n"/>
      <c r="BG535" s="77" t="n"/>
      <c r="BH535" s="77" t="n"/>
      <c r="BI535" s="77" t="n"/>
      <c r="BJ535" s="77" t="n"/>
      <c r="BK535" s="77" t="n"/>
      <c r="BL535" s="77" t="n"/>
      <c r="BM535" s="77" t="n"/>
      <c r="BN535" s="77" t="n"/>
      <c r="BO535" s="77" t="n"/>
      <c r="BP535" s="77" t="n"/>
      <c r="BQ535" s="77" t="n"/>
      <c r="BR535" s="77" t="n"/>
      <c r="BS535" s="77" t="n"/>
      <c r="BT535" s="77" t="n"/>
      <c r="BU535" s="77" t="n"/>
      <c r="BV535" s="77" t="n"/>
    </row>
    <row r="536">
      <c r="AT536" s="74" t="n"/>
      <c r="AU536" s="77" t="n"/>
      <c r="AV536" s="77" t="n"/>
      <c r="AW536" s="77" t="n"/>
      <c r="AX536" s="77" t="n"/>
      <c r="AY536" s="77" t="n"/>
      <c r="AZ536" s="77" t="n"/>
      <c r="BA536" s="77" t="n"/>
      <c r="BB536" s="77" t="n"/>
      <c r="BC536" s="77" t="n"/>
      <c r="BD536" s="77" t="n"/>
      <c r="BE536" s="77" t="n"/>
      <c r="BF536" s="77" t="n"/>
      <c r="BG536" s="77" t="n"/>
      <c r="BH536" s="77" t="n"/>
      <c r="BI536" s="77" t="n"/>
      <c r="BJ536" s="77" t="n"/>
      <c r="BK536" s="77" t="n"/>
      <c r="BL536" s="77" t="n"/>
      <c r="BM536" s="77" t="n"/>
      <c r="BN536" s="77" t="n"/>
      <c r="BO536" s="77" t="n"/>
      <c r="BP536" s="77" t="n"/>
      <c r="BQ536" s="77" t="n"/>
      <c r="BR536" s="77" t="n"/>
      <c r="BS536" s="77" t="n"/>
      <c r="BT536" s="77" t="n"/>
      <c r="BU536" s="77" t="n"/>
      <c r="BV536" s="77" t="n"/>
    </row>
    <row r="537">
      <c r="AT537" s="74" t="n"/>
      <c r="AU537" s="77" t="n"/>
      <c r="AV537" s="77" t="n"/>
      <c r="AW537" s="77" t="n"/>
      <c r="AX537" s="77" t="n"/>
      <c r="AY537" s="77" t="n"/>
      <c r="AZ537" s="77" t="n"/>
      <c r="BA537" s="77" t="n"/>
      <c r="BB537" s="77" t="n"/>
      <c r="BC537" s="77" t="n"/>
      <c r="BD537" s="77" t="n"/>
      <c r="BE537" s="77" t="n"/>
      <c r="BF537" s="77" t="n"/>
      <c r="BG537" s="77" t="n"/>
      <c r="BH537" s="77" t="n"/>
      <c r="BI537" s="77" t="n"/>
      <c r="BJ537" s="77" t="n"/>
      <c r="BK537" s="77" t="n"/>
      <c r="BL537" s="77" t="n"/>
      <c r="BM537" s="77" t="n"/>
      <c r="BN537" s="77" t="n"/>
      <c r="BO537" s="77" t="n"/>
      <c r="BP537" s="77" t="n"/>
      <c r="BQ537" s="77" t="n"/>
      <c r="BR537" s="77" t="n"/>
      <c r="BS537" s="77" t="n"/>
      <c r="BT537" s="77" t="n"/>
      <c r="BU537" s="77" t="n"/>
      <c r="BV537" s="77" t="n"/>
    </row>
    <row r="538">
      <c r="AT538" s="74" t="n"/>
      <c r="AU538" s="77" t="n"/>
      <c r="AV538" s="77" t="n"/>
      <c r="AW538" s="77" t="n"/>
      <c r="AX538" s="77" t="n"/>
      <c r="AY538" s="77" t="n"/>
      <c r="AZ538" s="77" t="n"/>
      <c r="BA538" s="77" t="n"/>
      <c r="BB538" s="77" t="n"/>
      <c r="BC538" s="77" t="n"/>
      <c r="BD538" s="77" t="n"/>
      <c r="BE538" s="77" t="n"/>
      <c r="BF538" s="77" t="n"/>
      <c r="BG538" s="77" t="n"/>
      <c r="BH538" s="77" t="n"/>
      <c r="BI538" s="77" t="n"/>
      <c r="BJ538" s="77" t="n"/>
      <c r="BK538" s="77" t="n"/>
      <c r="BL538" s="77" t="n"/>
      <c r="BM538" s="77" t="n"/>
      <c r="BN538" s="77" t="n"/>
      <c r="BO538" s="77" t="n"/>
      <c r="BP538" s="77" t="n"/>
      <c r="BQ538" s="77" t="n"/>
      <c r="BR538" s="77" t="n"/>
      <c r="BS538" s="77" t="n"/>
      <c r="BT538" s="77" t="n"/>
      <c r="BU538" s="77" t="n"/>
      <c r="BV538" s="77" t="n"/>
    </row>
    <row r="539">
      <c r="AT539" s="74" t="n"/>
      <c r="AU539" s="77" t="n"/>
      <c r="AV539" s="77" t="n"/>
      <c r="AW539" s="77" t="n"/>
      <c r="AX539" s="77" t="n"/>
      <c r="AY539" s="77" t="n"/>
      <c r="AZ539" s="77" t="n"/>
      <c r="BA539" s="77" t="n"/>
      <c r="BB539" s="77" t="n"/>
      <c r="BC539" s="77" t="n"/>
      <c r="BD539" s="77" t="n"/>
      <c r="BE539" s="77" t="n"/>
      <c r="BF539" s="77" t="n"/>
      <c r="BG539" s="77" t="n"/>
      <c r="BH539" s="77" t="n"/>
      <c r="BI539" s="77" t="n"/>
      <c r="BJ539" s="77" t="n"/>
      <c r="BK539" s="77" t="n"/>
      <c r="BL539" s="77" t="n"/>
      <c r="BM539" s="77" t="n"/>
      <c r="BN539" s="77" t="n"/>
      <c r="BO539" s="77" t="n"/>
      <c r="BP539" s="77" t="n"/>
      <c r="BQ539" s="77" t="n"/>
      <c r="BR539" s="77" t="n"/>
      <c r="BS539" s="77" t="n"/>
      <c r="BT539" s="77" t="n"/>
      <c r="BU539" s="77" t="n"/>
      <c r="BV539" s="77" t="n"/>
    </row>
    <row r="540">
      <c r="AT540" s="74" t="n"/>
      <c r="AU540" s="77" t="n"/>
      <c r="AV540" s="77" t="n"/>
      <c r="AW540" s="77" t="n"/>
      <c r="AX540" s="77" t="n"/>
      <c r="AY540" s="77" t="n"/>
      <c r="AZ540" s="77" t="n"/>
      <c r="BA540" s="77" t="n"/>
      <c r="BB540" s="77" t="n"/>
      <c r="BC540" s="77" t="n"/>
      <c r="BD540" s="77" t="n"/>
      <c r="BE540" s="77" t="n"/>
      <c r="BF540" s="77" t="n"/>
      <c r="BG540" s="77" t="n"/>
      <c r="BH540" s="77" t="n"/>
      <c r="BI540" s="77" t="n"/>
      <c r="BJ540" s="77" t="n"/>
      <c r="BK540" s="77" t="n"/>
      <c r="BL540" s="77" t="n"/>
      <c r="BM540" s="77" t="n"/>
      <c r="BN540" s="77" t="n"/>
      <c r="BO540" s="77" t="n"/>
      <c r="BP540" s="77" t="n"/>
      <c r="BQ540" s="77" t="n"/>
      <c r="BR540" s="77" t="n"/>
      <c r="BS540" s="77" t="n"/>
      <c r="BT540" s="77" t="n"/>
      <c r="BU540" s="77" t="n"/>
      <c r="BV540" s="77" t="n"/>
    </row>
    <row r="541">
      <c r="AT541" s="74" t="n"/>
      <c r="AU541" s="77" t="n"/>
      <c r="AV541" s="77" t="n"/>
      <c r="AW541" s="77" t="n"/>
      <c r="AX541" s="77" t="n"/>
      <c r="AY541" s="77" t="n"/>
      <c r="AZ541" s="77" t="n"/>
      <c r="BA541" s="77" t="n"/>
      <c r="BB541" s="77" t="n"/>
      <c r="BC541" s="77" t="n"/>
      <c r="BD541" s="77" t="n"/>
      <c r="BE541" s="77" t="n"/>
      <c r="BF541" s="77" t="n"/>
      <c r="BG541" s="77" t="n"/>
      <c r="BH541" s="77" t="n"/>
      <c r="BI541" s="77" t="n"/>
      <c r="BJ541" s="77" t="n"/>
      <c r="BK541" s="77" t="n"/>
      <c r="BL541" s="77" t="n"/>
      <c r="BM541" s="77" t="n"/>
      <c r="BN541" s="77" t="n"/>
      <c r="BO541" s="77" t="n"/>
      <c r="BP541" s="77" t="n"/>
      <c r="BQ541" s="77" t="n"/>
      <c r="BR541" s="77" t="n"/>
      <c r="BS541" s="77" t="n"/>
      <c r="BT541" s="77" t="n"/>
      <c r="BU541" s="77" t="n"/>
      <c r="BV541" s="77" t="n"/>
    </row>
    <row r="542">
      <c r="AT542" s="74" t="n"/>
      <c r="AU542" s="77" t="n"/>
      <c r="AV542" s="77" t="n"/>
      <c r="AW542" s="77" t="n"/>
      <c r="AX542" s="77" t="n"/>
      <c r="AY542" s="77" t="n"/>
      <c r="AZ542" s="77" t="n"/>
      <c r="BA542" s="77" t="n"/>
      <c r="BB542" s="77" t="n"/>
      <c r="BC542" s="77" t="n"/>
      <c r="BD542" s="77" t="n"/>
      <c r="BE542" s="77" t="n"/>
      <c r="BF542" s="77" t="n"/>
      <c r="BG542" s="77" t="n"/>
      <c r="BH542" s="77" t="n"/>
      <c r="BI542" s="77" t="n"/>
      <c r="BJ542" s="77" t="n"/>
      <c r="BK542" s="77" t="n"/>
      <c r="BL542" s="77" t="n"/>
      <c r="BM542" s="77" t="n"/>
      <c r="BN542" s="77" t="n"/>
      <c r="BO542" s="77" t="n"/>
      <c r="BP542" s="77" t="n"/>
      <c r="BQ542" s="77" t="n"/>
      <c r="BR542" s="77" t="n"/>
      <c r="BS542" s="77" t="n"/>
      <c r="BT542" s="77" t="n"/>
      <c r="BU542" s="77" t="n"/>
      <c r="BV542" s="77" t="n"/>
    </row>
    <row r="543">
      <c r="AT543" s="74" t="n"/>
      <c r="AU543" s="77" t="n"/>
      <c r="AV543" s="77" t="n"/>
      <c r="AW543" s="77" t="n"/>
      <c r="AX543" s="77" t="n"/>
      <c r="AY543" s="77" t="n"/>
      <c r="AZ543" s="77" t="n"/>
      <c r="BA543" s="77" t="n"/>
      <c r="BB543" s="77" t="n"/>
      <c r="BC543" s="77" t="n"/>
      <c r="BD543" s="77" t="n"/>
      <c r="BE543" s="77" t="n"/>
      <c r="BF543" s="77" t="n"/>
      <c r="BG543" s="77" t="n"/>
      <c r="BH543" s="77" t="n"/>
      <c r="BI543" s="77" t="n"/>
      <c r="BJ543" s="77" t="n"/>
      <c r="BK543" s="77" t="n"/>
      <c r="BL543" s="77" t="n"/>
      <c r="BM543" s="77" t="n"/>
      <c r="BN543" s="77" t="n"/>
      <c r="BO543" s="77" t="n"/>
      <c r="BP543" s="77" t="n"/>
      <c r="BQ543" s="77" t="n"/>
      <c r="BR543" s="77" t="n"/>
      <c r="BS543" s="77" t="n"/>
      <c r="BT543" s="77" t="n"/>
      <c r="BU543" s="77" t="n"/>
      <c r="BV543" s="77" t="n"/>
    </row>
    <row r="544">
      <c r="AT544" s="74" t="n"/>
      <c r="AU544" s="77" t="n"/>
      <c r="AV544" s="77" t="n"/>
      <c r="AW544" s="77" t="n"/>
      <c r="AX544" s="77" t="n"/>
      <c r="AY544" s="77" t="n"/>
      <c r="AZ544" s="77" t="n"/>
      <c r="BA544" s="77" t="n"/>
      <c r="BB544" s="77" t="n"/>
      <c r="BC544" s="77" t="n"/>
      <c r="BD544" s="77" t="n"/>
      <c r="BE544" s="77" t="n"/>
      <c r="BF544" s="77" t="n"/>
      <c r="BG544" s="77" t="n"/>
      <c r="BH544" s="77" t="n"/>
      <c r="BI544" s="77" t="n"/>
      <c r="BJ544" s="77" t="n"/>
      <c r="BK544" s="77" t="n"/>
      <c r="BL544" s="77" t="n"/>
      <c r="BM544" s="77" t="n"/>
      <c r="BN544" s="77" t="n"/>
      <c r="BO544" s="77" t="n"/>
      <c r="BP544" s="77" t="n"/>
      <c r="BQ544" s="77" t="n"/>
      <c r="BR544" s="77" t="n"/>
      <c r="BS544" s="77" t="n"/>
      <c r="BT544" s="77" t="n"/>
      <c r="BU544" s="77" t="n"/>
      <c r="BV544" s="77" t="n"/>
    </row>
    <row r="545">
      <c r="AT545" s="74" t="n"/>
      <c r="AU545" s="77" t="n"/>
      <c r="AV545" s="77" t="n"/>
      <c r="AW545" s="77" t="n"/>
      <c r="AX545" s="77" t="n"/>
      <c r="AY545" s="77" t="n"/>
      <c r="AZ545" s="77" t="n"/>
      <c r="BA545" s="77" t="n"/>
      <c r="BB545" s="77" t="n"/>
      <c r="BC545" s="77" t="n"/>
      <c r="BD545" s="77" t="n"/>
      <c r="BE545" s="77" t="n"/>
      <c r="BF545" s="77" t="n"/>
      <c r="BG545" s="77" t="n"/>
      <c r="BH545" s="77" t="n"/>
      <c r="BI545" s="77" t="n"/>
      <c r="BJ545" s="77" t="n"/>
      <c r="BK545" s="77" t="n"/>
      <c r="BL545" s="77" t="n"/>
      <c r="BM545" s="77" t="n"/>
      <c r="BN545" s="77" t="n"/>
      <c r="BO545" s="77" t="n"/>
      <c r="BP545" s="77" t="n"/>
      <c r="BQ545" s="77" t="n"/>
      <c r="BR545" s="77" t="n"/>
      <c r="BS545" s="77" t="n"/>
      <c r="BT545" s="77" t="n"/>
      <c r="BU545" s="77" t="n"/>
      <c r="BV545" s="77" t="n"/>
    </row>
    <row r="546">
      <c r="AT546" s="74" t="n"/>
      <c r="AU546" s="77" t="n"/>
      <c r="AV546" s="77" t="n"/>
      <c r="AW546" s="77" t="n"/>
      <c r="AX546" s="77" t="n"/>
      <c r="AY546" s="77" t="n"/>
      <c r="AZ546" s="77" t="n"/>
      <c r="BA546" s="77" t="n"/>
      <c r="BB546" s="77" t="n"/>
      <c r="BC546" s="77" t="n"/>
      <c r="BD546" s="77" t="n"/>
      <c r="BE546" s="77" t="n"/>
      <c r="BF546" s="77" t="n"/>
      <c r="BG546" s="77" t="n"/>
      <c r="BH546" s="77" t="n"/>
      <c r="BI546" s="77" t="n"/>
      <c r="BJ546" s="77" t="n"/>
      <c r="BK546" s="77" t="n"/>
      <c r="BL546" s="77" t="n"/>
      <c r="BM546" s="77" t="n"/>
      <c r="BN546" s="77" t="n"/>
      <c r="BO546" s="77" t="n"/>
      <c r="BP546" s="77" t="n"/>
      <c r="BQ546" s="77" t="n"/>
      <c r="BR546" s="77" t="n"/>
      <c r="BS546" s="77" t="n"/>
      <c r="BT546" s="77" t="n"/>
      <c r="BU546" s="77" t="n"/>
      <c r="BV546" s="77" t="n"/>
    </row>
    <row r="547">
      <c r="AT547" s="74" t="n"/>
      <c r="AU547" s="77" t="n"/>
      <c r="AV547" s="77" t="n"/>
      <c r="AW547" s="77" t="n"/>
      <c r="AX547" s="77" t="n"/>
      <c r="AY547" s="77" t="n"/>
      <c r="AZ547" s="77" t="n"/>
      <c r="BA547" s="77" t="n"/>
      <c r="BB547" s="77" t="n"/>
      <c r="BC547" s="77" t="n"/>
      <c r="BD547" s="77" t="n"/>
      <c r="BE547" s="77" t="n"/>
      <c r="BF547" s="77" t="n"/>
      <c r="BG547" s="77" t="n"/>
      <c r="BH547" s="77" t="n"/>
      <c r="BI547" s="77" t="n"/>
      <c r="BJ547" s="77" t="n"/>
      <c r="BK547" s="77" t="n"/>
      <c r="BL547" s="77" t="n"/>
      <c r="BM547" s="77" t="n"/>
      <c r="BN547" s="77" t="n"/>
      <c r="BO547" s="77" t="n"/>
      <c r="BP547" s="77" t="n"/>
      <c r="BQ547" s="77" t="n"/>
      <c r="BR547" s="77" t="n"/>
      <c r="BS547" s="77" t="n"/>
      <c r="BT547" s="77" t="n"/>
      <c r="BU547" s="77" t="n"/>
      <c r="BV547" s="77" t="n"/>
    </row>
    <row r="548">
      <c r="AT548" s="74" t="n"/>
      <c r="AU548" s="77" t="n"/>
      <c r="AV548" s="77" t="n"/>
      <c r="AW548" s="77" t="n"/>
      <c r="AX548" s="77" t="n"/>
      <c r="AY548" s="77" t="n"/>
      <c r="AZ548" s="77" t="n"/>
      <c r="BA548" s="77" t="n"/>
      <c r="BB548" s="77" t="n"/>
      <c r="BC548" s="77" t="n"/>
      <c r="BD548" s="77" t="n"/>
      <c r="BE548" s="77" t="n"/>
      <c r="BF548" s="77" t="n"/>
      <c r="BG548" s="77" t="n"/>
      <c r="BH548" s="77" t="n"/>
      <c r="BI548" s="77" t="n"/>
      <c r="BJ548" s="77" t="n"/>
      <c r="BK548" s="77" t="n"/>
      <c r="BL548" s="77" t="n"/>
      <c r="BM548" s="77" t="n"/>
      <c r="BN548" s="77" t="n"/>
      <c r="BO548" s="77" t="n"/>
      <c r="BP548" s="77" t="n"/>
      <c r="BQ548" s="77" t="n"/>
      <c r="BR548" s="77" t="n"/>
      <c r="BS548" s="77" t="n"/>
      <c r="BT548" s="77" t="n"/>
      <c r="BU548" s="77" t="n"/>
      <c r="BV548" s="77" t="n"/>
    </row>
    <row r="549">
      <c r="AT549" s="74" t="n"/>
      <c r="AU549" s="77" t="n"/>
      <c r="AV549" s="77" t="n"/>
      <c r="AW549" s="77" t="n"/>
      <c r="AX549" s="77" t="n"/>
      <c r="AY549" s="77" t="n"/>
      <c r="AZ549" s="77" t="n"/>
      <c r="BA549" s="77" t="n"/>
      <c r="BB549" s="77" t="n"/>
      <c r="BC549" s="77" t="n"/>
      <c r="BD549" s="77" t="n"/>
      <c r="BE549" s="77" t="n"/>
      <c r="BF549" s="77" t="n"/>
      <c r="BG549" s="77" t="n"/>
      <c r="BH549" s="77" t="n"/>
      <c r="BI549" s="77" t="n"/>
      <c r="BJ549" s="77" t="n"/>
      <c r="BK549" s="77" t="n"/>
      <c r="BL549" s="77" t="n"/>
      <c r="BM549" s="77" t="n"/>
      <c r="BN549" s="77" t="n"/>
      <c r="BO549" s="77" t="n"/>
      <c r="BP549" s="77" t="n"/>
      <c r="BQ549" s="77" t="n"/>
      <c r="BR549" s="77" t="n"/>
      <c r="BS549" s="77" t="n"/>
      <c r="BT549" s="77" t="n"/>
      <c r="BU549" s="77" t="n"/>
      <c r="BV549" s="77" t="n"/>
    </row>
    <row r="550">
      <c r="AT550" s="74" t="n"/>
      <c r="AU550" s="77" t="n"/>
      <c r="AV550" s="77" t="n"/>
      <c r="AW550" s="77" t="n"/>
      <c r="AX550" s="77" t="n"/>
      <c r="AY550" s="77" t="n"/>
      <c r="AZ550" s="77" t="n"/>
      <c r="BA550" s="77" t="n"/>
      <c r="BB550" s="77" t="n"/>
      <c r="BC550" s="77" t="n"/>
      <c r="BD550" s="77" t="n"/>
      <c r="BE550" s="77" t="n"/>
      <c r="BF550" s="77" t="n"/>
      <c r="BG550" s="77" t="n"/>
      <c r="BH550" s="77" t="n"/>
      <c r="BI550" s="77" t="n"/>
      <c r="BJ550" s="77" t="n"/>
      <c r="BK550" s="77" t="n"/>
      <c r="BL550" s="77" t="n"/>
      <c r="BM550" s="77" t="n"/>
      <c r="BN550" s="77" t="n"/>
      <c r="BO550" s="77" t="n"/>
      <c r="BP550" s="77" t="n"/>
      <c r="BQ550" s="77" t="n"/>
      <c r="BR550" s="77" t="n"/>
      <c r="BS550" s="77" t="n"/>
      <c r="BT550" s="77" t="n"/>
      <c r="BU550" s="77" t="n"/>
      <c r="BV550" s="77" t="n"/>
    </row>
    <row r="551">
      <c r="AT551" s="74" t="n"/>
      <c r="AU551" s="77" t="n"/>
      <c r="AV551" s="77" t="n"/>
      <c r="AW551" s="77" t="n"/>
      <c r="AX551" s="77" t="n"/>
      <c r="AY551" s="77" t="n"/>
      <c r="AZ551" s="77" t="n"/>
      <c r="BA551" s="77" t="n"/>
      <c r="BB551" s="77" t="n"/>
      <c r="BC551" s="77" t="n"/>
      <c r="BD551" s="77" t="n"/>
      <c r="BE551" s="77" t="n"/>
      <c r="BF551" s="77" t="n"/>
      <c r="BG551" s="77" t="n"/>
      <c r="BH551" s="77" t="n"/>
      <c r="BI551" s="77" t="n"/>
      <c r="BJ551" s="77" t="n"/>
      <c r="BK551" s="77" t="n"/>
      <c r="BL551" s="77" t="n"/>
      <c r="BM551" s="77" t="n"/>
      <c r="BN551" s="77" t="n"/>
      <c r="BO551" s="77" t="n"/>
      <c r="BP551" s="77" t="n"/>
      <c r="BQ551" s="77" t="n"/>
      <c r="BR551" s="77" t="n"/>
      <c r="BS551" s="77" t="n"/>
      <c r="BT551" s="77" t="n"/>
      <c r="BU551" s="77" t="n"/>
      <c r="BV551" s="77" t="n"/>
    </row>
    <row r="552">
      <c r="AT552" s="74" t="n"/>
      <c r="AU552" s="77" t="n"/>
      <c r="AV552" s="77" t="n"/>
      <c r="AW552" s="77" t="n"/>
      <c r="AX552" s="77" t="n"/>
      <c r="AY552" s="77" t="n"/>
      <c r="AZ552" s="77" t="n"/>
      <c r="BA552" s="77" t="n"/>
      <c r="BB552" s="77" t="n"/>
      <c r="BC552" s="77" t="n"/>
      <c r="BD552" s="77" t="n"/>
      <c r="BE552" s="77" t="n"/>
      <c r="BF552" s="77" t="n"/>
      <c r="BG552" s="77" t="n"/>
      <c r="BH552" s="77" t="n"/>
      <c r="BI552" s="77" t="n"/>
      <c r="BJ552" s="77" t="n"/>
      <c r="BK552" s="77" t="n"/>
      <c r="BL552" s="77" t="n"/>
      <c r="BM552" s="77" t="n"/>
      <c r="BN552" s="77" t="n"/>
      <c r="BO552" s="77" t="n"/>
      <c r="BP552" s="77" t="n"/>
      <c r="BQ552" s="77" t="n"/>
      <c r="BR552" s="77" t="n"/>
      <c r="BS552" s="77" t="n"/>
      <c r="BT552" s="77" t="n"/>
      <c r="BU552" s="77" t="n"/>
      <c r="BV552" s="77" t="n"/>
    </row>
    <row r="553">
      <c r="AT553" s="74" t="n"/>
      <c r="AU553" s="77" t="n"/>
      <c r="AV553" s="77" t="n"/>
      <c r="AW553" s="77" t="n"/>
      <c r="AX553" s="77" t="n"/>
      <c r="AY553" s="77" t="n"/>
      <c r="AZ553" s="77" t="n"/>
      <c r="BA553" s="77" t="n"/>
      <c r="BB553" s="77" t="n"/>
      <c r="BC553" s="77" t="n"/>
      <c r="BD553" s="77" t="n"/>
      <c r="BE553" s="77" t="n"/>
      <c r="BF553" s="77" t="n"/>
      <c r="BG553" s="77" t="n"/>
      <c r="BH553" s="77" t="n"/>
      <c r="BI553" s="77" t="n"/>
      <c r="BJ553" s="77" t="n"/>
      <c r="BK553" s="77" t="n"/>
      <c r="BL553" s="77" t="n"/>
      <c r="BM553" s="77" t="n"/>
      <c r="BN553" s="77" t="n"/>
      <c r="BO553" s="77" t="n"/>
      <c r="BP553" s="77" t="n"/>
      <c r="BQ553" s="77" t="n"/>
      <c r="BR553" s="77" t="n"/>
      <c r="BS553" s="77" t="n"/>
      <c r="BT553" s="77" t="n"/>
      <c r="BU553" s="77" t="n"/>
      <c r="BV553" s="77" t="n"/>
    </row>
    <row r="554">
      <c r="AT554" s="74" t="n"/>
      <c r="AU554" s="77" t="n"/>
      <c r="AV554" s="77" t="n"/>
      <c r="AW554" s="77" t="n"/>
      <c r="AX554" s="77" t="n"/>
      <c r="AY554" s="77" t="n"/>
      <c r="AZ554" s="77" t="n"/>
      <c r="BA554" s="77" t="n"/>
      <c r="BB554" s="77" t="n"/>
      <c r="BC554" s="77" t="n"/>
      <c r="BD554" s="77" t="n"/>
      <c r="BE554" s="77" t="n"/>
      <c r="BF554" s="77" t="n"/>
      <c r="BG554" s="77" t="n"/>
      <c r="BH554" s="77" t="n"/>
      <c r="BI554" s="77" t="n"/>
      <c r="BJ554" s="77" t="n"/>
      <c r="BK554" s="77" t="n"/>
      <c r="BL554" s="77" t="n"/>
      <c r="BM554" s="77" t="n"/>
      <c r="BN554" s="77" t="n"/>
      <c r="BO554" s="77" t="n"/>
      <c r="BP554" s="77" t="n"/>
      <c r="BQ554" s="77" t="n"/>
      <c r="BR554" s="77" t="n"/>
      <c r="BS554" s="77" t="n"/>
      <c r="BT554" s="77" t="n"/>
      <c r="BU554" s="77" t="n"/>
      <c r="BV554" s="77" t="n"/>
    </row>
    <row r="555">
      <c r="AT555" s="74" t="n"/>
      <c r="AU555" s="77" t="n"/>
      <c r="AV555" s="77" t="n"/>
      <c r="AW555" s="77" t="n"/>
      <c r="AX555" s="77" t="n"/>
      <c r="AY555" s="77" t="n"/>
      <c r="AZ555" s="77" t="n"/>
      <c r="BA555" s="77" t="n"/>
      <c r="BB555" s="77" t="n"/>
      <c r="BC555" s="77" t="n"/>
      <c r="BD555" s="77" t="n"/>
      <c r="BE555" s="77" t="n"/>
      <c r="BF555" s="77" t="n"/>
      <c r="BG555" s="77" t="n"/>
      <c r="BH555" s="77" t="n"/>
      <c r="BI555" s="77" t="n"/>
      <c r="BJ555" s="77" t="n"/>
      <c r="BK555" s="77" t="n"/>
      <c r="BL555" s="77" t="n"/>
      <c r="BM555" s="77" t="n"/>
      <c r="BN555" s="77" t="n"/>
      <c r="BO555" s="77" t="n"/>
      <c r="BP555" s="77" t="n"/>
      <c r="BQ555" s="77" t="n"/>
      <c r="BR555" s="77" t="n"/>
      <c r="BS555" s="77" t="n"/>
      <c r="BT555" s="77" t="n"/>
      <c r="BU555" s="77" t="n"/>
      <c r="BV555" s="77" t="n"/>
    </row>
    <row r="556">
      <c r="AT556" s="74" t="n"/>
      <c r="AU556" s="77" t="n"/>
      <c r="AV556" s="77" t="n"/>
      <c r="AW556" s="77" t="n"/>
      <c r="AX556" s="77" t="n"/>
      <c r="AY556" s="77" t="n"/>
      <c r="AZ556" s="77" t="n"/>
      <c r="BA556" s="77" t="n"/>
      <c r="BB556" s="77" t="n"/>
      <c r="BC556" s="77" t="n"/>
      <c r="BD556" s="77" t="n"/>
      <c r="BE556" s="77" t="n"/>
      <c r="BF556" s="77" t="n"/>
      <c r="BG556" s="77" t="n"/>
      <c r="BH556" s="77" t="n"/>
      <c r="BI556" s="77" t="n"/>
      <c r="BJ556" s="77" t="n"/>
      <c r="BK556" s="77" t="n"/>
      <c r="BL556" s="77" t="n"/>
      <c r="BM556" s="77" t="n"/>
      <c r="BN556" s="77" t="n"/>
      <c r="BO556" s="77" t="n"/>
      <c r="BP556" s="77" t="n"/>
      <c r="BQ556" s="77" t="n"/>
      <c r="BR556" s="77" t="n"/>
      <c r="BS556" s="77" t="n"/>
      <c r="BT556" s="77" t="n"/>
      <c r="BU556" s="77" t="n"/>
      <c r="BV556" s="77" t="n"/>
    </row>
    <row r="557">
      <c r="AT557" s="74" t="n"/>
      <c r="AU557" s="77" t="n"/>
      <c r="AV557" s="77" t="n"/>
      <c r="AW557" s="77" t="n"/>
      <c r="AX557" s="77" t="n"/>
      <c r="AY557" s="77" t="n"/>
      <c r="AZ557" s="77" t="n"/>
      <c r="BA557" s="77" t="n"/>
      <c r="BB557" s="77" t="n"/>
      <c r="BC557" s="77" t="n"/>
      <c r="BD557" s="77" t="n"/>
      <c r="BE557" s="77" t="n"/>
      <c r="BF557" s="77" t="n"/>
      <c r="BG557" s="77" t="n"/>
      <c r="BH557" s="77" t="n"/>
      <c r="BI557" s="77" t="n"/>
      <c r="BJ557" s="77" t="n"/>
      <c r="BK557" s="77" t="n"/>
      <c r="BL557" s="77" t="n"/>
      <c r="BM557" s="77" t="n"/>
      <c r="BN557" s="77" t="n"/>
      <c r="BO557" s="77" t="n"/>
      <c r="BP557" s="77" t="n"/>
      <c r="BQ557" s="77" t="n"/>
      <c r="BR557" s="77" t="n"/>
      <c r="BS557" s="77" t="n"/>
      <c r="BT557" s="77" t="n"/>
      <c r="BU557" s="77" t="n"/>
      <c r="BV557" s="77" t="n"/>
    </row>
    <row r="558">
      <c r="AT558" s="74" t="n"/>
      <c r="AU558" s="77" t="n"/>
      <c r="AV558" s="77" t="n"/>
      <c r="AW558" s="77" t="n"/>
      <c r="AX558" s="77" t="n"/>
      <c r="AY558" s="77" t="n"/>
      <c r="AZ558" s="77" t="n"/>
      <c r="BA558" s="77" t="n"/>
      <c r="BB558" s="77" t="n"/>
      <c r="BC558" s="77" t="n"/>
      <c r="BD558" s="77" t="n"/>
      <c r="BE558" s="77" t="n"/>
      <c r="BF558" s="77" t="n"/>
      <c r="BG558" s="77" t="n"/>
      <c r="BH558" s="77" t="n"/>
      <c r="BI558" s="77" t="n"/>
      <c r="BJ558" s="77" t="n"/>
      <c r="BK558" s="77" t="n"/>
      <c r="BL558" s="77" t="n"/>
      <c r="BM558" s="77" t="n"/>
      <c r="BN558" s="77" t="n"/>
      <c r="BO558" s="77" t="n"/>
      <c r="BP558" s="77" t="n"/>
      <c r="BQ558" s="77" t="n"/>
      <c r="BR558" s="77" t="n"/>
      <c r="BS558" s="77" t="n"/>
      <c r="BT558" s="77" t="n"/>
      <c r="BU558" s="77" t="n"/>
      <c r="BV558" s="77" t="n"/>
    </row>
    <row r="559">
      <c r="AT559" s="74" t="n"/>
      <c r="AU559" s="77" t="n"/>
      <c r="AV559" s="77" t="n"/>
      <c r="AW559" s="77" t="n"/>
      <c r="AX559" s="77" t="n"/>
      <c r="AY559" s="77" t="n"/>
      <c r="AZ559" s="77" t="n"/>
      <c r="BA559" s="77" t="n"/>
      <c r="BB559" s="77" t="n"/>
      <c r="BC559" s="77" t="n"/>
      <c r="BD559" s="77" t="n"/>
      <c r="BE559" s="77" t="n"/>
      <c r="BF559" s="77" t="n"/>
      <c r="BG559" s="77" t="n"/>
      <c r="BH559" s="77" t="n"/>
      <c r="BI559" s="77" t="n"/>
      <c r="BJ559" s="77" t="n"/>
      <c r="BK559" s="77" t="n"/>
      <c r="BL559" s="77" t="n"/>
      <c r="BM559" s="77" t="n"/>
      <c r="BN559" s="77" t="n"/>
      <c r="BO559" s="77" t="n"/>
      <c r="BP559" s="77" t="n"/>
      <c r="BQ559" s="77" t="n"/>
      <c r="BR559" s="77" t="n"/>
      <c r="BS559" s="77" t="n"/>
      <c r="BT559" s="77" t="n"/>
      <c r="BU559" s="77" t="n"/>
      <c r="BV559" s="77" t="n"/>
    </row>
    <row r="560">
      <c r="AT560" s="74" t="n"/>
      <c r="AU560" s="77" t="n"/>
      <c r="AV560" s="77" t="n"/>
      <c r="AW560" s="77" t="n"/>
      <c r="AX560" s="77" t="n"/>
      <c r="AY560" s="77" t="n"/>
      <c r="AZ560" s="77" t="n"/>
      <c r="BA560" s="77" t="n"/>
      <c r="BB560" s="77" t="n"/>
      <c r="BC560" s="77" t="n"/>
      <c r="BD560" s="77" t="n"/>
      <c r="BE560" s="77" t="n"/>
      <c r="BF560" s="77" t="n"/>
      <c r="BG560" s="77" t="n"/>
      <c r="BH560" s="77" t="n"/>
      <c r="BI560" s="77" t="n"/>
      <c r="BJ560" s="77" t="n"/>
      <c r="BK560" s="77" t="n"/>
      <c r="BL560" s="77" t="n"/>
      <c r="BM560" s="77" t="n"/>
      <c r="BN560" s="77" t="n"/>
      <c r="BO560" s="77" t="n"/>
      <c r="BP560" s="77" t="n"/>
      <c r="BQ560" s="77" t="n"/>
      <c r="BR560" s="77" t="n"/>
      <c r="BS560" s="77" t="n"/>
      <c r="BT560" s="77" t="n"/>
      <c r="BU560" s="77" t="n"/>
      <c r="BV560" s="77" t="n"/>
    </row>
    <row r="561">
      <c r="AT561" s="74" t="n"/>
      <c r="AU561" s="77" t="n"/>
      <c r="AV561" s="77" t="n"/>
      <c r="AW561" s="77" t="n"/>
      <c r="AX561" s="77" t="n"/>
      <c r="AY561" s="77" t="n"/>
      <c r="AZ561" s="77" t="n"/>
      <c r="BA561" s="77" t="n"/>
      <c r="BB561" s="77" t="n"/>
      <c r="BC561" s="77" t="n"/>
      <c r="BD561" s="77" t="n"/>
      <c r="BE561" s="77" t="n"/>
      <c r="BF561" s="77" t="n"/>
      <c r="BG561" s="77" t="n"/>
      <c r="BH561" s="77" t="n"/>
      <c r="BI561" s="77" t="n"/>
      <c r="BJ561" s="77" t="n"/>
      <c r="BK561" s="77" t="n"/>
      <c r="BL561" s="77" t="n"/>
      <c r="BM561" s="77" t="n"/>
      <c r="BN561" s="77" t="n"/>
      <c r="BO561" s="77" t="n"/>
      <c r="BP561" s="77" t="n"/>
      <c r="BQ561" s="77" t="n"/>
      <c r="BR561" s="77" t="n"/>
      <c r="BS561" s="77" t="n"/>
      <c r="BT561" s="77" t="n"/>
      <c r="BU561" s="77" t="n"/>
      <c r="BV561" s="77" t="n"/>
    </row>
    <row r="562">
      <c r="AT562" s="74" t="n"/>
      <c r="AU562" s="77" t="n"/>
      <c r="AV562" s="77" t="n"/>
      <c r="AW562" s="77" t="n"/>
      <c r="AX562" s="77" t="n"/>
      <c r="AY562" s="77" t="n"/>
      <c r="AZ562" s="77" t="n"/>
      <c r="BA562" s="77" t="n"/>
      <c r="BB562" s="77" t="n"/>
      <c r="BC562" s="77" t="n"/>
      <c r="BD562" s="77" t="n"/>
      <c r="BE562" s="77" t="n"/>
      <c r="BF562" s="77" t="n"/>
      <c r="BG562" s="77" t="n"/>
      <c r="BH562" s="77" t="n"/>
      <c r="BI562" s="77" t="n"/>
      <c r="BJ562" s="77" t="n"/>
      <c r="BK562" s="77" t="n"/>
      <c r="BL562" s="77" t="n"/>
      <c r="BM562" s="77" t="n"/>
      <c r="BN562" s="77" t="n"/>
      <c r="BO562" s="77" t="n"/>
      <c r="BP562" s="77" t="n"/>
      <c r="BQ562" s="77" t="n"/>
      <c r="BR562" s="77" t="n"/>
      <c r="BS562" s="77" t="n"/>
      <c r="BT562" s="77" t="n"/>
      <c r="BU562" s="77" t="n"/>
      <c r="BV562" s="77" t="n"/>
    </row>
    <row r="563">
      <c r="AT563" s="74" t="n"/>
      <c r="AU563" s="77" t="n"/>
      <c r="AV563" s="77" t="n"/>
      <c r="AW563" s="77" t="n"/>
      <c r="AX563" s="77" t="n"/>
      <c r="AY563" s="77" t="n"/>
      <c r="AZ563" s="77" t="n"/>
      <c r="BA563" s="77" t="n"/>
      <c r="BB563" s="77" t="n"/>
      <c r="BC563" s="77" t="n"/>
      <c r="BD563" s="77" t="n"/>
      <c r="BE563" s="77" t="n"/>
      <c r="BF563" s="77" t="n"/>
      <c r="BG563" s="77" t="n"/>
      <c r="BH563" s="77" t="n"/>
      <c r="BI563" s="77" t="n"/>
      <c r="BJ563" s="77" t="n"/>
      <c r="BK563" s="77" t="n"/>
      <c r="BL563" s="77" t="n"/>
      <c r="BM563" s="77" t="n"/>
      <c r="BN563" s="77" t="n"/>
      <c r="BO563" s="77" t="n"/>
      <c r="BP563" s="77" t="n"/>
      <c r="BQ563" s="77" t="n"/>
      <c r="BR563" s="77" t="n"/>
      <c r="BS563" s="77" t="n"/>
      <c r="BT563" s="77" t="n"/>
      <c r="BU563" s="77" t="n"/>
      <c r="BV563" s="77" t="n"/>
    </row>
    <row r="564">
      <c r="AT564" s="74" t="n"/>
      <c r="AU564" s="77" t="n"/>
      <c r="AV564" s="77" t="n"/>
      <c r="AW564" s="77" t="n"/>
      <c r="AX564" s="77" t="n"/>
      <c r="AY564" s="77" t="n"/>
      <c r="AZ564" s="77" t="n"/>
      <c r="BA564" s="77" t="n"/>
      <c r="BB564" s="77" t="n"/>
      <c r="BC564" s="77" t="n"/>
      <c r="BD564" s="77" t="n"/>
      <c r="BE564" s="77" t="n"/>
      <c r="BF564" s="77" t="n"/>
      <c r="BG564" s="77" t="n"/>
      <c r="BH564" s="77" t="n"/>
      <c r="BI564" s="77" t="n"/>
      <c r="BJ564" s="77" t="n"/>
      <c r="BK564" s="77" t="n"/>
      <c r="BL564" s="77" t="n"/>
      <c r="BM564" s="77" t="n"/>
      <c r="BN564" s="77" t="n"/>
      <c r="BO564" s="77" t="n"/>
      <c r="BP564" s="77" t="n"/>
      <c r="BQ564" s="77" t="n"/>
      <c r="BR564" s="77" t="n"/>
      <c r="BS564" s="77" t="n"/>
      <c r="BT564" s="77" t="n"/>
      <c r="BU564" s="77" t="n"/>
      <c r="BV564" s="77" t="n"/>
    </row>
    <row r="565">
      <c r="AT565" s="74" t="n"/>
      <c r="AU565" s="77" t="n"/>
      <c r="AV565" s="77" t="n"/>
      <c r="AW565" s="77" t="n"/>
      <c r="AX565" s="77" t="n"/>
      <c r="AY565" s="77" t="n"/>
      <c r="AZ565" s="77" t="n"/>
      <c r="BA565" s="77" t="n"/>
      <c r="BB565" s="77" t="n"/>
      <c r="BC565" s="77" t="n"/>
      <c r="BD565" s="77" t="n"/>
      <c r="BE565" s="77" t="n"/>
      <c r="BF565" s="77" t="n"/>
      <c r="BG565" s="77" t="n"/>
      <c r="BH565" s="77" t="n"/>
      <c r="BI565" s="77" t="n"/>
      <c r="BJ565" s="77" t="n"/>
      <c r="BK565" s="77" t="n"/>
      <c r="BL565" s="77" t="n"/>
      <c r="BM565" s="77" t="n"/>
      <c r="BN565" s="77" t="n"/>
      <c r="BO565" s="77" t="n"/>
      <c r="BP565" s="77" t="n"/>
      <c r="BQ565" s="77" t="n"/>
      <c r="BR565" s="77" t="n"/>
      <c r="BS565" s="77" t="n"/>
      <c r="BT565" s="77" t="n"/>
      <c r="BU565" s="77" t="n"/>
      <c r="BV565" s="77" t="n"/>
    </row>
    <row r="566">
      <c r="AT566" s="74" t="n"/>
      <c r="AU566" s="77" t="n"/>
      <c r="AV566" s="77" t="n"/>
      <c r="AW566" s="77" t="n"/>
      <c r="AX566" s="77" t="n"/>
      <c r="AY566" s="77" t="n"/>
      <c r="AZ566" s="77" t="n"/>
      <c r="BA566" s="77" t="n"/>
      <c r="BB566" s="77" t="n"/>
      <c r="BC566" s="77" t="n"/>
      <c r="BD566" s="77" t="n"/>
      <c r="BE566" s="77" t="n"/>
      <c r="BF566" s="77" t="n"/>
      <c r="BG566" s="77" t="n"/>
      <c r="BH566" s="77" t="n"/>
      <c r="BI566" s="77" t="n"/>
      <c r="BJ566" s="77" t="n"/>
      <c r="BK566" s="77" t="n"/>
      <c r="BL566" s="77" t="n"/>
      <c r="BM566" s="77" t="n"/>
      <c r="BN566" s="77" t="n"/>
      <c r="BO566" s="77" t="n"/>
      <c r="BP566" s="77" t="n"/>
      <c r="BQ566" s="77" t="n"/>
      <c r="BR566" s="77" t="n"/>
      <c r="BS566" s="77" t="n"/>
      <c r="BT566" s="77" t="n"/>
      <c r="BU566" s="77" t="n"/>
      <c r="BV566" s="77" t="n"/>
    </row>
    <row r="567">
      <c r="AT567" s="74" t="n"/>
      <c r="AU567" s="77" t="n"/>
      <c r="AV567" s="77" t="n"/>
      <c r="AW567" s="77" t="n"/>
      <c r="AX567" s="77" t="n"/>
      <c r="AY567" s="77" t="n"/>
      <c r="AZ567" s="77" t="n"/>
      <c r="BA567" s="77" t="n"/>
      <c r="BB567" s="77" t="n"/>
      <c r="BC567" s="77" t="n"/>
      <c r="BD567" s="77" t="n"/>
      <c r="BE567" s="77" t="n"/>
      <c r="BF567" s="77" t="n"/>
      <c r="BG567" s="77" t="n"/>
      <c r="BH567" s="77" t="n"/>
      <c r="BI567" s="77" t="n"/>
      <c r="BJ567" s="77" t="n"/>
      <c r="BK567" s="77" t="n"/>
      <c r="BL567" s="77" t="n"/>
      <c r="BM567" s="77" t="n"/>
      <c r="BN567" s="77" t="n"/>
      <c r="BO567" s="77" t="n"/>
      <c r="BP567" s="77" t="n"/>
      <c r="BQ567" s="77" t="n"/>
      <c r="BR567" s="77" t="n"/>
      <c r="BS567" s="77" t="n"/>
      <c r="BT567" s="77" t="n"/>
      <c r="BU567" s="77" t="n"/>
      <c r="BV567" s="77" t="n"/>
    </row>
    <row r="568">
      <c r="AT568" s="74" t="n"/>
      <c r="AU568" s="77" t="n"/>
      <c r="AV568" s="77" t="n"/>
      <c r="AW568" s="77" t="n"/>
      <c r="AX568" s="77" t="n"/>
      <c r="AY568" s="77" t="n"/>
      <c r="AZ568" s="77" t="n"/>
      <c r="BA568" s="77" t="n"/>
      <c r="BB568" s="77" t="n"/>
      <c r="BC568" s="77" t="n"/>
      <c r="BD568" s="77" t="n"/>
      <c r="BE568" s="77" t="n"/>
      <c r="BF568" s="77" t="n"/>
      <c r="BG568" s="77" t="n"/>
      <c r="BH568" s="77" t="n"/>
      <c r="BI568" s="77" t="n"/>
      <c r="BJ568" s="77" t="n"/>
      <c r="BK568" s="77" t="n"/>
      <c r="BL568" s="77" t="n"/>
      <c r="BM568" s="77" t="n"/>
      <c r="BN568" s="77" t="n"/>
      <c r="BO568" s="77" t="n"/>
      <c r="BP568" s="77" t="n"/>
      <c r="BQ568" s="77" t="n"/>
      <c r="BR568" s="77" t="n"/>
      <c r="BS568" s="77" t="n"/>
      <c r="BT568" s="77" t="n"/>
      <c r="BU568" s="77" t="n"/>
      <c r="BV568" s="77" t="n"/>
    </row>
    <row r="569">
      <c r="AT569" s="74" t="n"/>
      <c r="AU569" s="77" t="n"/>
      <c r="AV569" s="77" t="n"/>
      <c r="AW569" s="77" t="n"/>
      <c r="AX569" s="77" t="n"/>
      <c r="AY569" s="77" t="n"/>
      <c r="AZ569" s="77" t="n"/>
      <c r="BA569" s="77" t="n"/>
      <c r="BB569" s="77" t="n"/>
      <c r="BC569" s="77" t="n"/>
      <c r="BD569" s="77" t="n"/>
      <c r="BE569" s="77" t="n"/>
      <c r="BF569" s="77" t="n"/>
      <c r="BG569" s="77" t="n"/>
      <c r="BH569" s="77" t="n"/>
      <c r="BI569" s="77" t="n"/>
      <c r="BJ569" s="77" t="n"/>
      <c r="BK569" s="77" t="n"/>
      <c r="BL569" s="77" t="n"/>
      <c r="BM569" s="77" t="n"/>
      <c r="BN569" s="77" t="n"/>
      <c r="BO569" s="77" t="n"/>
      <c r="BP569" s="77" t="n"/>
      <c r="BQ569" s="77" t="n"/>
      <c r="BR569" s="77" t="n"/>
      <c r="BS569" s="77" t="n"/>
      <c r="BT569" s="77" t="n"/>
      <c r="BU569" s="77" t="n"/>
      <c r="BV569" s="77" t="n"/>
    </row>
    <row r="570">
      <c r="AT570" s="74" t="n"/>
      <c r="AU570" s="77" t="n"/>
      <c r="AV570" s="77" t="n"/>
      <c r="AW570" s="77" t="n"/>
      <c r="AX570" s="77" t="n"/>
      <c r="AY570" s="77" t="n"/>
      <c r="AZ570" s="77" t="n"/>
      <c r="BA570" s="77" t="n"/>
      <c r="BB570" s="77" t="n"/>
      <c r="BC570" s="77" t="n"/>
      <c r="BD570" s="77" t="n"/>
      <c r="BE570" s="77" t="n"/>
      <c r="BF570" s="77" t="n"/>
      <c r="BG570" s="77" t="n"/>
      <c r="BH570" s="77" t="n"/>
      <c r="BI570" s="77" t="n"/>
      <c r="BJ570" s="77" t="n"/>
      <c r="BK570" s="77" t="n"/>
      <c r="BL570" s="77" t="n"/>
      <c r="BM570" s="77" t="n"/>
      <c r="BN570" s="77" t="n"/>
      <c r="BO570" s="77" t="n"/>
      <c r="BP570" s="77" t="n"/>
      <c r="BQ570" s="77" t="n"/>
      <c r="BR570" s="77" t="n"/>
      <c r="BS570" s="77" t="n"/>
      <c r="BT570" s="77" t="n"/>
      <c r="BU570" s="77" t="n"/>
      <c r="BV570" s="77" t="n"/>
    </row>
    <row r="571">
      <c r="AT571" s="74" t="n"/>
      <c r="AU571" s="77" t="n"/>
      <c r="AV571" s="77" t="n"/>
      <c r="AW571" s="77" t="n"/>
      <c r="AX571" s="77" t="n"/>
      <c r="AY571" s="77" t="n"/>
      <c r="AZ571" s="77" t="n"/>
      <c r="BA571" s="77" t="n"/>
      <c r="BB571" s="77" t="n"/>
      <c r="BC571" s="77" t="n"/>
      <c r="BD571" s="77" t="n"/>
      <c r="BE571" s="77" t="n"/>
      <c r="BF571" s="77" t="n"/>
      <c r="BG571" s="77" t="n"/>
      <c r="BH571" s="77" t="n"/>
      <c r="BI571" s="77" t="n"/>
      <c r="BJ571" s="77" t="n"/>
      <c r="BK571" s="77" t="n"/>
      <c r="BL571" s="77" t="n"/>
      <c r="BM571" s="77" t="n"/>
      <c r="BN571" s="77" t="n"/>
      <c r="BO571" s="77" t="n"/>
      <c r="BP571" s="77" t="n"/>
      <c r="BQ571" s="77" t="n"/>
      <c r="BR571" s="77" t="n"/>
      <c r="BS571" s="77" t="n"/>
      <c r="BT571" s="77" t="n"/>
      <c r="BU571" s="77" t="n"/>
      <c r="BV571" s="77" t="n"/>
    </row>
    <row r="572">
      <c r="AT572" s="74" t="n"/>
      <c r="AU572" s="77" t="n"/>
      <c r="AV572" s="77" t="n"/>
      <c r="AW572" s="77" t="n"/>
      <c r="AX572" s="77" t="n"/>
      <c r="AY572" s="77" t="n"/>
      <c r="AZ572" s="77" t="n"/>
      <c r="BA572" s="77" t="n"/>
      <c r="BB572" s="77" t="n"/>
      <c r="BC572" s="77" t="n"/>
      <c r="BD572" s="77" t="n"/>
      <c r="BE572" s="77" t="n"/>
      <c r="BF572" s="77" t="n"/>
      <c r="BG572" s="77" t="n"/>
      <c r="BH572" s="77" t="n"/>
      <c r="BI572" s="77" t="n"/>
      <c r="BJ572" s="77" t="n"/>
      <c r="BK572" s="77" t="n"/>
      <c r="BL572" s="77" t="n"/>
      <c r="BM572" s="77" t="n"/>
      <c r="BN572" s="77" t="n"/>
      <c r="BO572" s="77" t="n"/>
      <c r="BP572" s="77" t="n"/>
      <c r="BQ572" s="77" t="n"/>
      <c r="BR572" s="77" t="n"/>
      <c r="BS572" s="77" t="n"/>
      <c r="BT572" s="77" t="n"/>
      <c r="BU572" s="77" t="n"/>
      <c r="BV572" s="77" t="n"/>
    </row>
    <row r="573">
      <c r="AT573" s="74" t="n"/>
      <c r="AU573" s="77" t="n"/>
      <c r="AV573" s="77" t="n"/>
      <c r="AW573" s="77" t="n"/>
      <c r="AX573" s="77" t="n"/>
      <c r="AY573" s="77" t="n"/>
      <c r="AZ573" s="77" t="n"/>
      <c r="BA573" s="77" t="n"/>
      <c r="BB573" s="77" t="n"/>
      <c r="BC573" s="77" t="n"/>
      <c r="BD573" s="77" t="n"/>
      <c r="BE573" s="77" t="n"/>
      <c r="BF573" s="77" t="n"/>
      <c r="BG573" s="77" t="n"/>
      <c r="BH573" s="77" t="n"/>
      <c r="BI573" s="77" t="n"/>
      <c r="BJ573" s="77" t="n"/>
      <c r="BK573" s="77" t="n"/>
      <c r="BL573" s="77" t="n"/>
      <c r="BM573" s="77" t="n"/>
      <c r="BN573" s="77" t="n"/>
      <c r="BO573" s="77" t="n"/>
      <c r="BP573" s="77" t="n"/>
      <c r="BQ573" s="77" t="n"/>
      <c r="BR573" s="77" t="n"/>
      <c r="BS573" s="77" t="n"/>
      <c r="BT573" s="77" t="n"/>
      <c r="BU573" s="77" t="n"/>
      <c r="BV573" s="77" t="n"/>
    </row>
    <row r="574">
      <c r="AT574" s="74" t="n"/>
      <c r="AU574" s="77" t="n"/>
      <c r="AV574" s="77" t="n"/>
      <c r="AW574" s="77" t="n"/>
      <c r="AX574" s="77" t="n"/>
      <c r="AY574" s="77" t="n"/>
      <c r="AZ574" s="77" t="n"/>
      <c r="BA574" s="77" t="n"/>
      <c r="BB574" s="77" t="n"/>
      <c r="BC574" s="77" t="n"/>
      <c r="BD574" s="77" t="n"/>
      <c r="BE574" s="77" t="n"/>
      <c r="BF574" s="77" t="n"/>
      <c r="BG574" s="77" t="n"/>
      <c r="BH574" s="77" t="n"/>
      <c r="BI574" s="77" t="n"/>
      <c r="BJ574" s="77" t="n"/>
      <c r="BK574" s="77" t="n"/>
      <c r="BL574" s="77" t="n"/>
      <c r="BM574" s="77" t="n"/>
      <c r="BN574" s="77" t="n"/>
      <c r="BO574" s="77" t="n"/>
      <c r="BP574" s="77" t="n"/>
      <c r="BQ574" s="77" t="n"/>
      <c r="BR574" s="77" t="n"/>
      <c r="BS574" s="77" t="n"/>
      <c r="BT574" s="77" t="n"/>
      <c r="BU574" s="77" t="n"/>
      <c r="BV574" s="77" t="n"/>
    </row>
    <row r="575">
      <c r="AT575" s="74" t="n"/>
      <c r="AU575" s="77" t="n"/>
      <c r="AV575" s="77" t="n"/>
      <c r="AW575" s="77" t="n"/>
      <c r="AX575" s="77" t="n"/>
      <c r="AY575" s="77" t="n"/>
      <c r="AZ575" s="77" t="n"/>
      <c r="BA575" s="77" t="n"/>
      <c r="BB575" s="77" t="n"/>
      <c r="BC575" s="77" t="n"/>
      <c r="BD575" s="77" t="n"/>
      <c r="BE575" s="77" t="n"/>
      <c r="BF575" s="77" t="n"/>
      <c r="BG575" s="77" t="n"/>
      <c r="BH575" s="77" t="n"/>
      <c r="BI575" s="77" t="n"/>
      <c r="BJ575" s="77" t="n"/>
      <c r="BK575" s="77" t="n"/>
      <c r="BL575" s="77" t="n"/>
      <c r="BM575" s="77" t="n"/>
      <c r="BN575" s="77" t="n"/>
      <c r="BO575" s="77" t="n"/>
      <c r="BP575" s="77" t="n"/>
      <c r="BQ575" s="77" t="n"/>
      <c r="BR575" s="77" t="n"/>
      <c r="BS575" s="77" t="n"/>
      <c r="BT575" s="77" t="n"/>
      <c r="BU575" s="77" t="n"/>
      <c r="BV575" s="77" t="n"/>
    </row>
    <row r="576">
      <c r="AT576" s="74" t="n"/>
      <c r="AU576" s="77" t="n"/>
      <c r="AV576" s="77" t="n"/>
      <c r="AW576" s="77" t="n"/>
      <c r="AX576" s="77" t="n"/>
      <c r="AY576" s="77" t="n"/>
      <c r="AZ576" s="77" t="n"/>
      <c r="BA576" s="77" t="n"/>
      <c r="BB576" s="77" t="n"/>
      <c r="BC576" s="77" t="n"/>
      <c r="BD576" s="77" t="n"/>
      <c r="BE576" s="77" t="n"/>
      <c r="BF576" s="77" t="n"/>
      <c r="BG576" s="77" t="n"/>
      <c r="BH576" s="77" t="n"/>
      <c r="BI576" s="77" t="n"/>
      <c r="BJ576" s="77" t="n"/>
      <c r="BK576" s="77" t="n"/>
      <c r="BL576" s="77" t="n"/>
      <c r="BM576" s="77" t="n"/>
      <c r="BN576" s="77" t="n"/>
      <c r="BO576" s="77" t="n"/>
      <c r="BP576" s="77" t="n"/>
      <c r="BQ576" s="77" t="n"/>
      <c r="BR576" s="77" t="n"/>
      <c r="BS576" s="77" t="n"/>
      <c r="BT576" s="77" t="n"/>
      <c r="BU576" s="77" t="n"/>
      <c r="BV576" s="77" t="n"/>
    </row>
    <row r="577">
      <c r="AT577" s="74" t="n"/>
      <c r="AU577" s="77" t="n"/>
      <c r="AV577" s="77" t="n"/>
      <c r="AW577" s="77" t="n"/>
      <c r="AX577" s="77" t="n"/>
      <c r="AY577" s="77" t="n"/>
      <c r="AZ577" s="77" t="n"/>
      <c r="BA577" s="77" t="n"/>
      <c r="BB577" s="77" t="n"/>
      <c r="BC577" s="77" t="n"/>
      <c r="BD577" s="77" t="n"/>
      <c r="BE577" s="77" t="n"/>
      <c r="BF577" s="77" t="n"/>
      <c r="BG577" s="77" t="n"/>
      <c r="BH577" s="77" t="n"/>
      <c r="BI577" s="77" t="n"/>
      <c r="BJ577" s="77" t="n"/>
      <c r="BK577" s="77" t="n"/>
      <c r="BL577" s="77" t="n"/>
      <c r="BM577" s="77" t="n"/>
      <c r="BN577" s="77" t="n"/>
      <c r="BO577" s="77" t="n"/>
      <c r="BP577" s="77" t="n"/>
      <c r="BQ577" s="77" t="n"/>
      <c r="BR577" s="77" t="n"/>
      <c r="BS577" s="77" t="n"/>
      <c r="BT577" s="77" t="n"/>
      <c r="BU577" s="77" t="n"/>
      <c r="BV577" s="77" t="n"/>
    </row>
    <row r="578">
      <c r="AT578" s="74" t="n"/>
      <c r="AU578" s="77" t="n"/>
      <c r="AV578" s="77" t="n"/>
      <c r="AW578" s="77" t="n"/>
      <c r="AX578" s="77" t="n"/>
      <c r="AY578" s="77" t="n"/>
      <c r="AZ578" s="77" t="n"/>
      <c r="BA578" s="77" t="n"/>
      <c r="BB578" s="77" t="n"/>
      <c r="BC578" s="77" t="n"/>
      <c r="BD578" s="77" t="n"/>
      <c r="BE578" s="77" t="n"/>
      <c r="BF578" s="77" t="n"/>
      <c r="BG578" s="77" t="n"/>
      <c r="BH578" s="77" t="n"/>
      <c r="BI578" s="77" t="n"/>
      <c r="BJ578" s="77" t="n"/>
      <c r="BK578" s="77" t="n"/>
      <c r="BL578" s="77" t="n"/>
      <c r="BM578" s="77" t="n"/>
      <c r="BN578" s="77" t="n"/>
      <c r="BO578" s="77" t="n"/>
      <c r="BP578" s="77" t="n"/>
      <c r="BQ578" s="77" t="n"/>
      <c r="BR578" s="77" t="n"/>
      <c r="BS578" s="77" t="n"/>
      <c r="BT578" s="77" t="n"/>
      <c r="BU578" s="77" t="n"/>
      <c r="BV578" s="77" t="n"/>
    </row>
    <row r="579">
      <c r="AT579" s="74" t="n"/>
      <c r="AU579" s="77" t="n"/>
      <c r="AV579" s="77" t="n"/>
      <c r="AW579" s="77" t="n"/>
      <c r="AX579" s="77" t="n"/>
      <c r="AY579" s="77" t="n"/>
      <c r="AZ579" s="77" t="n"/>
      <c r="BA579" s="77" t="n"/>
      <c r="BB579" s="77" t="n"/>
      <c r="BC579" s="77" t="n"/>
      <c r="BD579" s="77" t="n"/>
      <c r="BE579" s="77" t="n"/>
      <c r="BF579" s="77" t="n"/>
      <c r="BG579" s="77" t="n"/>
      <c r="BH579" s="77" t="n"/>
      <c r="BI579" s="77" t="n"/>
      <c r="BJ579" s="77" t="n"/>
      <c r="BK579" s="77" t="n"/>
      <c r="BL579" s="77" t="n"/>
      <c r="BM579" s="77" t="n"/>
      <c r="BN579" s="77" t="n"/>
      <c r="BO579" s="77" t="n"/>
      <c r="BP579" s="77" t="n"/>
      <c r="BQ579" s="77" t="n"/>
      <c r="BR579" s="77" t="n"/>
      <c r="BS579" s="77" t="n"/>
      <c r="BT579" s="77" t="n"/>
      <c r="BU579" s="77" t="n"/>
      <c r="BV579" s="77" t="n"/>
    </row>
    <row r="580">
      <c r="AT580" s="74" t="n"/>
      <c r="AU580" s="77" t="n"/>
      <c r="AV580" s="77" t="n"/>
      <c r="AW580" s="77" t="n"/>
      <c r="AX580" s="77" t="n"/>
      <c r="AY580" s="77" t="n"/>
      <c r="AZ580" s="77" t="n"/>
      <c r="BA580" s="77" t="n"/>
      <c r="BB580" s="77" t="n"/>
      <c r="BC580" s="77" t="n"/>
      <c r="BD580" s="77" t="n"/>
      <c r="BE580" s="77" t="n"/>
      <c r="BF580" s="77" t="n"/>
      <c r="BG580" s="77" t="n"/>
      <c r="BH580" s="77" t="n"/>
      <c r="BI580" s="77" t="n"/>
      <c r="BJ580" s="77" t="n"/>
      <c r="BK580" s="77" t="n"/>
      <c r="BL580" s="77" t="n"/>
      <c r="BM580" s="77" t="n"/>
      <c r="BN580" s="77" t="n"/>
      <c r="BO580" s="77" t="n"/>
      <c r="BP580" s="77" t="n"/>
      <c r="BQ580" s="77" t="n"/>
      <c r="BR580" s="77" t="n"/>
      <c r="BS580" s="77" t="n"/>
      <c r="BT580" s="77" t="n"/>
      <c r="BU580" s="77" t="n"/>
      <c r="BV580" s="77" t="n"/>
    </row>
    <row r="581">
      <c r="AT581" s="74" t="n"/>
      <c r="AU581" s="77" t="n"/>
      <c r="AV581" s="77" t="n"/>
      <c r="AW581" s="77" t="n"/>
      <c r="AX581" s="77" t="n"/>
      <c r="AY581" s="77" t="n"/>
      <c r="AZ581" s="77" t="n"/>
      <c r="BA581" s="77" t="n"/>
      <c r="BB581" s="77" t="n"/>
      <c r="BC581" s="77" t="n"/>
      <c r="BD581" s="77" t="n"/>
      <c r="BE581" s="77" t="n"/>
      <c r="BF581" s="77" t="n"/>
      <c r="BG581" s="77" t="n"/>
      <c r="BH581" s="77" t="n"/>
      <c r="BI581" s="77" t="n"/>
      <c r="BJ581" s="77" t="n"/>
      <c r="BK581" s="77" t="n"/>
      <c r="BL581" s="77" t="n"/>
      <c r="BM581" s="77" t="n"/>
      <c r="BN581" s="77" t="n"/>
      <c r="BO581" s="77" t="n"/>
      <c r="BP581" s="77" t="n"/>
      <c r="BQ581" s="77" t="n"/>
      <c r="BR581" s="77" t="n"/>
      <c r="BS581" s="77" t="n"/>
      <c r="BT581" s="77" t="n"/>
      <c r="BU581" s="77" t="n"/>
      <c r="BV581" s="77" t="n"/>
    </row>
    <row r="582">
      <c r="AT582" s="74" t="n"/>
      <c r="AU582" s="77" t="n"/>
      <c r="AV582" s="77" t="n"/>
      <c r="AW582" s="77" t="n"/>
      <c r="AX582" s="77" t="n"/>
      <c r="AY582" s="77" t="n"/>
      <c r="AZ582" s="77" t="n"/>
      <c r="BA582" s="77" t="n"/>
      <c r="BB582" s="77" t="n"/>
      <c r="BC582" s="77" t="n"/>
      <c r="BD582" s="77" t="n"/>
      <c r="BE582" s="77" t="n"/>
      <c r="BF582" s="77" t="n"/>
      <c r="BG582" s="77" t="n"/>
      <c r="BH582" s="77" t="n"/>
      <c r="BI582" s="77" t="n"/>
      <c r="BJ582" s="77" t="n"/>
      <c r="BK582" s="77" t="n"/>
      <c r="BL582" s="77" t="n"/>
      <c r="BM582" s="77" t="n"/>
      <c r="BN582" s="77" t="n"/>
      <c r="BO582" s="77" t="n"/>
      <c r="BP582" s="77" t="n"/>
      <c r="BQ582" s="77" t="n"/>
      <c r="BR582" s="77" t="n"/>
      <c r="BS582" s="77" t="n"/>
      <c r="BT582" s="77" t="n"/>
      <c r="BU582" s="77" t="n"/>
      <c r="BV582" s="77" t="n"/>
    </row>
    <row r="583">
      <c r="AT583" s="74" t="n"/>
      <c r="AU583" s="77" t="n"/>
      <c r="AV583" s="77" t="n"/>
      <c r="AW583" s="77" t="n"/>
      <c r="AX583" s="77" t="n"/>
      <c r="AY583" s="77" t="n"/>
      <c r="AZ583" s="77" t="n"/>
      <c r="BA583" s="77" t="n"/>
      <c r="BB583" s="77" t="n"/>
      <c r="BC583" s="77" t="n"/>
      <c r="BD583" s="77" t="n"/>
      <c r="BE583" s="77" t="n"/>
      <c r="BF583" s="77" t="n"/>
      <c r="BG583" s="77" t="n"/>
      <c r="BH583" s="77" t="n"/>
      <c r="BI583" s="77" t="n"/>
      <c r="BJ583" s="77" t="n"/>
      <c r="BK583" s="77" t="n"/>
      <c r="BL583" s="77" t="n"/>
      <c r="BM583" s="77" t="n"/>
      <c r="BN583" s="77" t="n"/>
      <c r="BO583" s="77" t="n"/>
      <c r="BP583" s="77" t="n"/>
      <c r="BQ583" s="77" t="n"/>
      <c r="BR583" s="77" t="n"/>
      <c r="BS583" s="77" t="n"/>
      <c r="BT583" s="77" t="n"/>
      <c r="BU583" s="77" t="n"/>
      <c r="BV583" s="77" t="n"/>
    </row>
    <row r="584">
      <c r="AT584" s="74" t="n"/>
      <c r="AU584" s="77" t="n"/>
      <c r="AV584" s="77" t="n"/>
      <c r="AW584" s="77" t="n"/>
      <c r="AX584" s="77" t="n"/>
      <c r="AY584" s="77" t="n"/>
      <c r="AZ584" s="77" t="n"/>
      <c r="BA584" s="77" t="n"/>
      <c r="BB584" s="77" t="n"/>
      <c r="BC584" s="77" t="n"/>
      <c r="BD584" s="77" t="n"/>
      <c r="BE584" s="77" t="n"/>
      <c r="BF584" s="77" t="n"/>
      <c r="BG584" s="77" t="n"/>
      <c r="BH584" s="77" t="n"/>
      <c r="BI584" s="77" t="n"/>
      <c r="BJ584" s="77" t="n"/>
      <c r="BK584" s="77" t="n"/>
      <c r="BL584" s="77" t="n"/>
      <c r="BM584" s="77" t="n"/>
      <c r="BN584" s="77" t="n"/>
      <c r="BO584" s="77" t="n"/>
      <c r="BP584" s="77" t="n"/>
      <c r="BQ584" s="77" t="n"/>
      <c r="BR584" s="77" t="n"/>
      <c r="BS584" s="77" t="n"/>
      <c r="BT584" s="77" t="n"/>
      <c r="BU584" s="77" t="n"/>
      <c r="BV584" s="77" t="n"/>
    </row>
    <row r="585">
      <c r="AT585" s="74" t="n"/>
      <c r="AU585" s="77" t="n"/>
      <c r="AV585" s="77" t="n"/>
      <c r="AW585" s="77" t="n"/>
      <c r="AX585" s="77" t="n"/>
      <c r="AY585" s="77" t="n"/>
      <c r="AZ585" s="77" t="n"/>
      <c r="BA585" s="77" t="n"/>
      <c r="BB585" s="77" t="n"/>
      <c r="BC585" s="77" t="n"/>
      <c r="BD585" s="77" t="n"/>
      <c r="BE585" s="77" t="n"/>
      <c r="BF585" s="77" t="n"/>
      <c r="BG585" s="77" t="n"/>
      <c r="BH585" s="77" t="n"/>
      <c r="BI585" s="77" t="n"/>
      <c r="BJ585" s="77" t="n"/>
      <c r="BK585" s="77" t="n"/>
      <c r="BL585" s="77" t="n"/>
      <c r="BM585" s="77" t="n"/>
      <c r="BN585" s="77" t="n"/>
      <c r="BO585" s="77" t="n"/>
      <c r="BP585" s="77" t="n"/>
      <c r="BQ585" s="77" t="n"/>
      <c r="BR585" s="77" t="n"/>
      <c r="BS585" s="77" t="n"/>
      <c r="BT585" s="77" t="n"/>
      <c r="BU585" s="77" t="n"/>
      <c r="BV585" s="77" t="n"/>
    </row>
    <row r="586">
      <c r="AT586" s="74" t="n"/>
      <c r="AU586" s="77" t="n"/>
      <c r="AV586" s="77" t="n"/>
      <c r="AW586" s="77" t="n"/>
      <c r="AX586" s="77" t="n"/>
      <c r="AY586" s="77" t="n"/>
      <c r="AZ586" s="77" t="n"/>
      <c r="BA586" s="77" t="n"/>
      <c r="BB586" s="77" t="n"/>
      <c r="BC586" s="77" t="n"/>
      <c r="BD586" s="77" t="n"/>
      <c r="BE586" s="77" t="n"/>
      <c r="BF586" s="77" t="n"/>
      <c r="BG586" s="77" t="n"/>
      <c r="BH586" s="77" t="n"/>
      <c r="BI586" s="77" t="n"/>
      <c r="BJ586" s="77" t="n"/>
      <c r="BK586" s="77" t="n"/>
      <c r="BL586" s="77" t="n"/>
      <c r="BM586" s="77" t="n"/>
      <c r="BN586" s="77" t="n"/>
      <c r="BO586" s="77" t="n"/>
      <c r="BP586" s="77" t="n"/>
      <c r="BQ586" s="77" t="n"/>
      <c r="BR586" s="77" t="n"/>
      <c r="BS586" s="77" t="n"/>
      <c r="BT586" s="77" t="n"/>
      <c r="BU586" s="77" t="n"/>
      <c r="BV586" s="77" t="n"/>
    </row>
    <row r="587">
      <c r="AT587" s="74" t="n"/>
      <c r="AU587" s="77" t="n"/>
      <c r="AV587" s="77" t="n"/>
      <c r="AW587" s="77" t="n"/>
      <c r="AX587" s="77" t="n"/>
      <c r="AY587" s="77" t="n"/>
      <c r="AZ587" s="77" t="n"/>
      <c r="BA587" s="77" t="n"/>
      <c r="BB587" s="77" t="n"/>
      <c r="BC587" s="77" t="n"/>
      <c r="BD587" s="77" t="n"/>
      <c r="BE587" s="77" t="n"/>
      <c r="BF587" s="77" t="n"/>
      <c r="BG587" s="77" t="n"/>
      <c r="BH587" s="77" t="n"/>
      <c r="BI587" s="77" t="n"/>
      <c r="BJ587" s="77" t="n"/>
      <c r="BK587" s="77" t="n"/>
      <c r="BL587" s="77" t="n"/>
      <c r="BM587" s="77" t="n"/>
      <c r="BN587" s="77" t="n"/>
      <c r="BO587" s="77" t="n"/>
      <c r="BP587" s="77" t="n"/>
      <c r="BQ587" s="77" t="n"/>
      <c r="BR587" s="77" t="n"/>
      <c r="BS587" s="77" t="n"/>
      <c r="BT587" s="77" t="n"/>
      <c r="BU587" s="77" t="n"/>
      <c r="BV587" s="77" t="n"/>
    </row>
    <row r="588">
      <c r="AT588" s="74" t="n"/>
      <c r="AU588" s="77" t="n"/>
      <c r="AV588" s="77" t="n"/>
      <c r="AW588" s="77" t="n"/>
      <c r="AX588" s="77" t="n"/>
      <c r="AY588" s="77" t="n"/>
      <c r="AZ588" s="77" t="n"/>
      <c r="BA588" s="77" t="n"/>
      <c r="BB588" s="77" t="n"/>
      <c r="BC588" s="77" t="n"/>
      <c r="BD588" s="77" t="n"/>
      <c r="BE588" s="77" t="n"/>
      <c r="BF588" s="77" t="n"/>
      <c r="BG588" s="77" t="n"/>
      <c r="BH588" s="77" t="n"/>
      <c r="BI588" s="77" t="n"/>
      <c r="BJ588" s="77" t="n"/>
      <c r="BK588" s="77" t="n"/>
      <c r="BL588" s="77" t="n"/>
      <c r="BM588" s="77" t="n"/>
      <c r="BN588" s="77" t="n"/>
      <c r="BO588" s="77" t="n"/>
      <c r="BP588" s="77" t="n"/>
      <c r="BQ588" s="77" t="n"/>
      <c r="BR588" s="77" t="n"/>
      <c r="BS588" s="77" t="n"/>
      <c r="BT588" s="77" t="n"/>
      <c r="BU588" s="77" t="n"/>
      <c r="BV588" s="77" t="n"/>
    </row>
    <row r="589">
      <c r="AT589" s="74" t="n"/>
      <c r="AU589" s="77" t="n"/>
      <c r="AV589" s="77" t="n"/>
      <c r="AW589" s="77" t="n"/>
      <c r="AX589" s="77" t="n"/>
      <c r="AY589" s="77" t="n"/>
      <c r="AZ589" s="77" t="n"/>
      <c r="BA589" s="77" t="n"/>
      <c r="BB589" s="77" t="n"/>
      <c r="BC589" s="77" t="n"/>
      <c r="BD589" s="77" t="n"/>
      <c r="BE589" s="77" t="n"/>
      <c r="BF589" s="77" t="n"/>
      <c r="BG589" s="77" t="n"/>
      <c r="BH589" s="77" t="n"/>
      <c r="BI589" s="77" t="n"/>
      <c r="BJ589" s="77" t="n"/>
      <c r="BK589" s="77" t="n"/>
      <c r="BL589" s="77" t="n"/>
      <c r="BM589" s="77" t="n"/>
      <c r="BN589" s="77" t="n"/>
      <c r="BO589" s="77" t="n"/>
      <c r="BP589" s="77" t="n"/>
      <c r="BQ589" s="77" t="n"/>
      <c r="BR589" s="77" t="n"/>
      <c r="BS589" s="77" t="n"/>
      <c r="BT589" s="77" t="n"/>
      <c r="BU589" s="77" t="n"/>
      <c r="BV589" s="77" t="n"/>
    </row>
    <row r="590">
      <c r="AT590" s="74" t="n"/>
      <c r="AU590" s="77" t="n"/>
      <c r="AV590" s="77" t="n"/>
      <c r="AW590" s="77" t="n"/>
      <c r="AX590" s="77" t="n"/>
      <c r="AY590" s="77" t="n"/>
      <c r="AZ590" s="77" t="n"/>
      <c r="BA590" s="77" t="n"/>
      <c r="BB590" s="77" t="n"/>
      <c r="BC590" s="77" t="n"/>
      <c r="BD590" s="77" t="n"/>
      <c r="BE590" s="77" t="n"/>
      <c r="BF590" s="77" t="n"/>
      <c r="BG590" s="77" t="n"/>
      <c r="BH590" s="77" t="n"/>
      <c r="BI590" s="77" t="n"/>
      <c r="BJ590" s="77" t="n"/>
      <c r="BK590" s="77" t="n"/>
      <c r="BL590" s="77" t="n"/>
      <c r="BM590" s="77" t="n"/>
      <c r="BN590" s="77" t="n"/>
      <c r="BO590" s="77" t="n"/>
      <c r="BP590" s="77" t="n"/>
      <c r="BQ590" s="77" t="n"/>
      <c r="BR590" s="77" t="n"/>
      <c r="BS590" s="77" t="n"/>
      <c r="BT590" s="77" t="n"/>
      <c r="BU590" s="77" t="n"/>
      <c r="BV590" s="77" t="n"/>
    </row>
    <row r="591">
      <c r="AT591" s="74" t="n"/>
      <c r="AU591" s="77" t="n"/>
      <c r="AV591" s="77" t="n"/>
      <c r="AW591" s="77" t="n"/>
      <c r="AX591" s="77" t="n"/>
      <c r="AY591" s="77" t="n"/>
      <c r="AZ591" s="77" t="n"/>
      <c r="BA591" s="77" t="n"/>
      <c r="BB591" s="77" t="n"/>
      <c r="BC591" s="77" t="n"/>
      <c r="BD591" s="77" t="n"/>
      <c r="BE591" s="77" t="n"/>
      <c r="BF591" s="77" t="n"/>
      <c r="BG591" s="77" t="n"/>
      <c r="BH591" s="77" t="n"/>
      <c r="BI591" s="77" t="n"/>
      <c r="BJ591" s="77" t="n"/>
      <c r="BK591" s="77" t="n"/>
      <c r="BL591" s="77" t="n"/>
      <c r="BM591" s="77" t="n"/>
      <c r="BN591" s="77" t="n"/>
      <c r="BO591" s="77" t="n"/>
      <c r="BP591" s="77" t="n"/>
      <c r="BQ591" s="77" t="n"/>
      <c r="BR591" s="77" t="n"/>
      <c r="BS591" s="77" t="n"/>
      <c r="BT591" s="77" t="n"/>
      <c r="BU591" s="77" t="n"/>
      <c r="BV591" s="77" t="n"/>
    </row>
    <row r="592">
      <c r="AT592" s="74" t="n"/>
      <c r="AU592" s="77" t="n"/>
      <c r="AV592" s="77" t="n"/>
      <c r="AW592" s="77" t="n"/>
      <c r="AX592" s="77" t="n"/>
      <c r="AY592" s="77" t="n"/>
      <c r="AZ592" s="77" t="n"/>
      <c r="BA592" s="77" t="n"/>
      <c r="BB592" s="77" t="n"/>
      <c r="BC592" s="77" t="n"/>
      <c r="BD592" s="77" t="n"/>
      <c r="BE592" s="77" t="n"/>
      <c r="BF592" s="77" t="n"/>
      <c r="BG592" s="77" t="n"/>
      <c r="BH592" s="77" t="n"/>
      <c r="BI592" s="77" t="n"/>
      <c r="BJ592" s="77" t="n"/>
      <c r="BK592" s="77" t="n"/>
      <c r="BL592" s="77" t="n"/>
      <c r="BM592" s="77" t="n"/>
      <c r="BN592" s="77" t="n"/>
      <c r="BO592" s="77" t="n"/>
      <c r="BP592" s="77" t="n"/>
      <c r="BQ592" s="77" t="n"/>
      <c r="BR592" s="77" t="n"/>
      <c r="BS592" s="77" t="n"/>
      <c r="BT592" s="77" t="n"/>
      <c r="BU592" s="77" t="n"/>
      <c r="BV592" s="77" t="n"/>
    </row>
    <row r="593">
      <c r="AT593" s="74" t="n"/>
      <c r="AU593" s="77" t="n"/>
      <c r="AV593" s="77" t="n"/>
      <c r="AW593" s="77" t="n"/>
      <c r="AX593" s="77" t="n"/>
      <c r="AY593" s="77" t="n"/>
      <c r="AZ593" s="77" t="n"/>
      <c r="BA593" s="77" t="n"/>
      <c r="BB593" s="77" t="n"/>
      <c r="BC593" s="77" t="n"/>
      <c r="BD593" s="77" t="n"/>
      <c r="BE593" s="77" t="n"/>
      <c r="BF593" s="77" t="n"/>
      <c r="BG593" s="77" t="n"/>
      <c r="BH593" s="77" t="n"/>
      <c r="BI593" s="77" t="n"/>
      <c r="BJ593" s="77" t="n"/>
      <c r="BK593" s="77" t="n"/>
      <c r="BL593" s="77" t="n"/>
      <c r="BM593" s="77" t="n"/>
      <c r="BN593" s="77" t="n"/>
      <c r="BO593" s="77" t="n"/>
      <c r="BP593" s="77" t="n"/>
      <c r="BQ593" s="77" t="n"/>
      <c r="BR593" s="77" t="n"/>
      <c r="BS593" s="77" t="n"/>
      <c r="BT593" s="77" t="n"/>
      <c r="BU593" s="77" t="n"/>
      <c r="BV593" s="77" t="n"/>
    </row>
    <row r="594">
      <c r="AT594" s="74" t="n"/>
      <c r="AU594" s="77" t="n"/>
      <c r="AV594" s="77" t="n"/>
      <c r="AW594" s="77" t="n"/>
      <c r="AX594" s="77" t="n"/>
      <c r="AY594" s="77" t="n"/>
      <c r="AZ594" s="77" t="n"/>
      <c r="BA594" s="77" t="n"/>
      <c r="BB594" s="77" t="n"/>
      <c r="BC594" s="77" t="n"/>
      <c r="BD594" s="77" t="n"/>
      <c r="BE594" s="77" t="n"/>
      <c r="BF594" s="77" t="n"/>
      <c r="BG594" s="77" t="n"/>
      <c r="BH594" s="77" t="n"/>
      <c r="BI594" s="77" t="n"/>
      <c r="BJ594" s="77" t="n"/>
      <c r="BK594" s="77" t="n"/>
      <c r="BL594" s="77" t="n"/>
      <c r="BM594" s="77" t="n"/>
      <c r="BN594" s="77" t="n"/>
      <c r="BO594" s="77" t="n"/>
      <c r="BP594" s="77" t="n"/>
      <c r="BQ594" s="77" t="n"/>
      <c r="BR594" s="77" t="n"/>
      <c r="BS594" s="77" t="n"/>
      <c r="BT594" s="77" t="n"/>
      <c r="BU594" s="77" t="n"/>
      <c r="BV594" s="77" t="n"/>
    </row>
    <row r="595">
      <c r="AT595" s="74" t="n"/>
      <c r="AU595" s="77" t="n"/>
      <c r="AV595" s="77" t="n"/>
      <c r="AW595" s="77" t="n"/>
      <c r="AX595" s="77" t="n"/>
      <c r="AY595" s="77" t="n"/>
      <c r="AZ595" s="77" t="n"/>
      <c r="BA595" s="77" t="n"/>
      <c r="BB595" s="77" t="n"/>
      <c r="BC595" s="77" t="n"/>
      <c r="BD595" s="77" t="n"/>
      <c r="BE595" s="77" t="n"/>
      <c r="BF595" s="77" t="n"/>
      <c r="BG595" s="77" t="n"/>
      <c r="BH595" s="77" t="n"/>
      <c r="BI595" s="77" t="n"/>
      <c r="BJ595" s="77" t="n"/>
      <c r="BK595" s="77" t="n"/>
      <c r="BL595" s="77" t="n"/>
      <c r="BM595" s="77" t="n"/>
      <c r="BN595" s="77" t="n"/>
      <c r="BO595" s="77" t="n"/>
      <c r="BP595" s="77" t="n"/>
      <c r="BQ595" s="77" t="n"/>
      <c r="BR595" s="77" t="n"/>
      <c r="BS595" s="77" t="n"/>
      <c r="BT595" s="77" t="n"/>
      <c r="BU595" s="77" t="n"/>
      <c r="BV595" s="77" t="n"/>
    </row>
    <row r="596">
      <c r="AT596" s="74" t="n"/>
      <c r="AU596" s="77" t="n"/>
      <c r="AV596" s="77" t="n"/>
      <c r="AW596" s="77" t="n"/>
      <c r="AX596" s="77" t="n"/>
      <c r="AY596" s="77" t="n"/>
      <c r="AZ596" s="77" t="n"/>
      <c r="BA596" s="77" t="n"/>
      <c r="BB596" s="77" t="n"/>
      <c r="BC596" s="77" t="n"/>
      <c r="BD596" s="77" t="n"/>
      <c r="BE596" s="77" t="n"/>
      <c r="BF596" s="77" t="n"/>
      <c r="BG596" s="77" t="n"/>
      <c r="BH596" s="77" t="n"/>
      <c r="BI596" s="77" t="n"/>
      <c r="BJ596" s="77" t="n"/>
      <c r="BK596" s="77" t="n"/>
      <c r="BL596" s="77" t="n"/>
      <c r="BM596" s="77" t="n"/>
      <c r="BN596" s="77" t="n"/>
      <c r="BO596" s="77" t="n"/>
      <c r="BP596" s="77" t="n"/>
      <c r="BQ596" s="77" t="n"/>
      <c r="BR596" s="77" t="n"/>
      <c r="BS596" s="77" t="n"/>
      <c r="BT596" s="77" t="n"/>
      <c r="BU596" s="77" t="n"/>
      <c r="BV596" s="77" t="n"/>
    </row>
    <row r="597">
      <c r="AT597" s="74" t="n"/>
      <c r="AU597" s="77" t="n"/>
      <c r="AV597" s="77" t="n"/>
      <c r="AW597" s="77" t="n"/>
      <c r="AX597" s="77" t="n"/>
      <c r="AY597" s="77" t="n"/>
      <c r="AZ597" s="77" t="n"/>
      <c r="BA597" s="77" t="n"/>
      <c r="BB597" s="77" t="n"/>
      <c r="BC597" s="77" t="n"/>
      <c r="BD597" s="77" t="n"/>
      <c r="BE597" s="77" t="n"/>
      <c r="BF597" s="77" t="n"/>
      <c r="BG597" s="77" t="n"/>
      <c r="BH597" s="77" t="n"/>
      <c r="BI597" s="77" t="n"/>
      <c r="BJ597" s="77" t="n"/>
      <c r="BK597" s="77" t="n"/>
      <c r="BL597" s="77" t="n"/>
      <c r="BM597" s="77" t="n"/>
      <c r="BN597" s="77" t="n"/>
      <c r="BO597" s="77" t="n"/>
      <c r="BP597" s="77" t="n"/>
      <c r="BQ597" s="77" t="n"/>
      <c r="BR597" s="77" t="n"/>
      <c r="BS597" s="77" t="n"/>
      <c r="BT597" s="77" t="n"/>
      <c r="BU597" s="77" t="n"/>
      <c r="BV597" s="77" t="n"/>
    </row>
    <row r="598">
      <c r="AT598" s="74" t="n"/>
      <c r="AU598" s="77" t="n"/>
      <c r="AV598" s="77" t="n"/>
      <c r="AW598" s="77" t="n"/>
      <c r="AX598" s="77" t="n"/>
      <c r="AY598" s="77" t="n"/>
      <c r="AZ598" s="77" t="n"/>
      <c r="BA598" s="77" t="n"/>
      <c r="BB598" s="77" t="n"/>
      <c r="BC598" s="77" t="n"/>
      <c r="BD598" s="77" t="n"/>
      <c r="BE598" s="77" t="n"/>
      <c r="BF598" s="77" t="n"/>
      <c r="BG598" s="77" t="n"/>
      <c r="BH598" s="77" t="n"/>
      <c r="BI598" s="77" t="n"/>
      <c r="BJ598" s="77" t="n"/>
      <c r="BK598" s="77" t="n"/>
      <c r="BL598" s="77" t="n"/>
      <c r="BM598" s="77" t="n"/>
      <c r="BN598" s="77" t="n"/>
      <c r="BO598" s="77" t="n"/>
      <c r="BP598" s="77" t="n"/>
      <c r="BQ598" s="77" t="n"/>
      <c r="BR598" s="77" t="n"/>
      <c r="BS598" s="77" t="n"/>
      <c r="BT598" s="77" t="n"/>
      <c r="BU598" s="77" t="n"/>
      <c r="BV598" s="77" t="n"/>
    </row>
    <row r="599">
      <c r="AT599" s="74" t="n"/>
      <c r="AU599" s="77" t="n"/>
      <c r="AV599" s="77" t="n"/>
      <c r="AW599" s="77" t="n"/>
      <c r="AX599" s="77" t="n"/>
      <c r="AY599" s="77" t="n"/>
      <c r="AZ599" s="77" t="n"/>
      <c r="BA599" s="77" t="n"/>
      <c r="BB599" s="77" t="n"/>
      <c r="BC599" s="77" t="n"/>
      <c r="BD599" s="77" t="n"/>
      <c r="BE599" s="77" t="n"/>
      <c r="BF599" s="77" t="n"/>
      <c r="BG599" s="77" t="n"/>
      <c r="BH599" s="77" t="n"/>
      <c r="BI599" s="77" t="n"/>
      <c r="BJ599" s="77" t="n"/>
      <c r="BK599" s="77" t="n"/>
      <c r="BL599" s="77" t="n"/>
      <c r="BM599" s="77" t="n"/>
      <c r="BN599" s="77" t="n"/>
      <c r="BO599" s="77" t="n"/>
      <c r="BP599" s="77" t="n"/>
      <c r="BQ599" s="77" t="n"/>
      <c r="BR599" s="77" t="n"/>
      <c r="BS599" s="77" t="n"/>
      <c r="BT599" s="77" t="n"/>
      <c r="BU599" s="77" t="n"/>
      <c r="BV599" s="77" t="n"/>
    </row>
    <row r="600">
      <c r="AT600" s="74" t="n"/>
      <c r="AU600" s="77" t="n"/>
      <c r="AV600" s="77" t="n"/>
      <c r="AW600" s="77" t="n"/>
      <c r="AX600" s="77" t="n"/>
      <c r="AY600" s="77" t="n"/>
      <c r="AZ600" s="77" t="n"/>
      <c r="BA600" s="77" t="n"/>
      <c r="BB600" s="77" t="n"/>
      <c r="BC600" s="77" t="n"/>
      <c r="BD600" s="77" t="n"/>
      <c r="BE600" s="77" t="n"/>
      <c r="BF600" s="77" t="n"/>
      <c r="BG600" s="77" t="n"/>
      <c r="BH600" s="77" t="n"/>
      <c r="BI600" s="77" t="n"/>
      <c r="BJ600" s="77" t="n"/>
      <c r="BK600" s="77" t="n"/>
      <c r="BL600" s="77" t="n"/>
      <c r="BM600" s="77" t="n"/>
      <c r="BN600" s="77" t="n"/>
      <c r="BO600" s="77" t="n"/>
      <c r="BP600" s="77" t="n"/>
      <c r="BQ600" s="77" t="n"/>
      <c r="BR600" s="77" t="n"/>
      <c r="BS600" s="77" t="n"/>
      <c r="BT600" s="77" t="n"/>
      <c r="BU600" s="77" t="n"/>
      <c r="BV600" s="77" t="n"/>
    </row>
    <row r="601">
      <c r="AT601" s="74" t="n"/>
      <c r="AU601" s="77" t="n"/>
      <c r="AV601" s="77" t="n"/>
      <c r="AW601" s="77" t="n"/>
      <c r="AX601" s="77" t="n"/>
      <c r="AY601" s="77" t="n"/>
      <c r="AZ601" s="77" t="n"/>
      <c r="BA601" s="77" t="n"/>
      <c r="BB601" s="77" t="n"/>
      <c r="BC601" s="77" t="n"/>
      <c r="BD601" s="77" t="n"/>
      <c r="BE601" s="77" t="n"/>
      <c r="BF601" s="77" t="n"/>
      <c r="BG601" s="77" t="n"/>
      <c r="BH601" s="77" t="n"/>
      <c r="BI601" s="77" t="n"/>
      <c r="BJ601" s="77" t="n"/>
      <c r="BK601" s="77" t="n"/>
      <c r="BL601" s="77" t="n"/>
      <c r="BM601" s="77" t="n"/>
      <c r="BN601" s="77" t="n"/>
      <c r="BO601" s="77" t="n"/>
      <c r="BP601" s="77" t="n"/>
      <c r="BQ601" s="77" t="n"/>
      <c r="BR601" s="77" t="n"/>
      <c r="BS601" s="77" t="n"/>
      <c r="BT601" s="77" t="n"/>
      <c r="BU601" s="77" t="n"/>
      <c r="BV601" s="77" t="n"/>
    </row>
    <row r="602">
      <c r="AT602" s="74" t="n"/>
      <c r="AU602" s="77" t="n"/>
      <c r="AV602" s="77" t="n"/>
      <c r="AW602" s="77" t="n"/>
      <c r="AX602" s="77" t="n"/>
      <c r="AY602" s="77" t="n"/>
      <c r="AZ602" s="77" t="n"/>
      <c r="BA602" s="77" t="n"/>
      <c r="BB602" s="77" t="n"/>
      <c r="BC602" s="77" t="n"/>
      <c r="BD602" s="77" t="n"/>
      <c r="BE602" s="77" t="n"/>
      <c r="BF602" s="77" t="n"/>
      <c r="BG602" s="77" t="n"/>
      <c r="BH602" s="77" t="n"/>
      <c r="BI602" s="77" t="n"/>
      <c r="BJ602" s="77" t="n"/>
      <c r="BK602" s="77" t="n"/>
      <c r="BL602" s="77" t="n"/>
      <c r="BM602" s="77" t="n"/>
      <c r="BN602" s="77" t="n"/>
      <c r="BO602" s="77" t="n"/>
      <c r="BP602" s="77" t="n"/>
      <c r="BQ602" s="77" t="n"/>
      <c r="BR602" s="77" t="n"/>
      <c r="BS602" s="77" t="n"/>
      <c r="BT602" s="77" t="n"/>
      <c r="BU602" s="77" t="n"/>
      <c r="BV602" s="77" t="n"/>
    </row>
    <row r="603">
      <c r="AT603" s="74" t="n"/>
      <c r="AU603" s="77" t="n"/>
      <c r="AV603" s="77" t="n"/>
      <c r="AW603" s="77" t="n"/>
      <c r="AX603" s="77" t="n"/>
      <c r="AY603" s="77" t="n"/>
      <c r="AZ603" s="77" t="n"/>
      <c r="BA603" s="77" t="n"/>
      <c r="BB603" s="77" t="n"/>
      <c r="BC603" s="77" t="n"/>
      <c r="BD603" s="77" t="n"/>
      <c r="BE603" s="77" t="n"/>
      <c r="BF603" s="77" t="n"/>
      <c r="BG603" s="77" t="n"/>
      <c r="BH603" s="77" t="n"/>
      <c r="BI603" s="77" t="n"/>
      <c r="BJ603" s="77" t="n"/>
      <c r="BK603" s="77" t="n"/>
      <c r="BL603" s="77" t="n"/>
      <c r="BM603" s="77" t="n"/>
      <c r="BN603" s="77" t="n"/>
      <c r="BO603" s="77" t="n"/>
      <c r="BP603" s="77" t="n"/>
      <c r="BQ603" s="77" t="n"/>
      <c r="BR603" s="77" t="n"/>
      <c r="BS603" s="77" t="n"/>
      <c r="BT603" s="77" t="n"/>
      <c r="BU603" s="77" t="n"/>
      <c r="BV603" s="77" t="n"/>
    </row>
    <row r="604">
      <c r="AT604" s="74" t="n"/>
      <c r="AU604" s="77" t="n"/>
      <c r="AV604" s="77" t="n"/>
      <c r="AW604" s="77" t="n"/>
      <c r="AX604" s="77" t="n"/>
      <c r="AY604" s="77" t="n"/>
      <c r="AZ604" s="77" t="n"/>
      <c r="BA604" s="77" t="n"/>
      <c r="BB604" s="77" t="n"/>
      <c r="BC604" s="77" t="n"/>
      <c r="BD604" s="77" t="n"/>
      <c r="BE604" s="77" t="n"/>
      <c r="BF604" s="77" t="n"/>
      <c r="BG604" s="77" t="n"/>
      <c r="BH604" s="77" t="n"/>
      <c r="BI604" s="77" t="n"/>
      <c r="BJ604" s="77" t="n"/>
      <c r="BK604" s="77" t="n"/>
      <c r="BL604" s="77" t="n"/>
      <c r="BM604" s="77" t="n"/>
      <c r="BN604" s="77" t="n"/>
      <c r="BO604" s="77" t="n"/>
      <c r="BP604" s="77" t="n"/>
      <c r="BQ604" s="77" t="n"/>
      <c r="BR604" s="77" t="n"/>
      <c r="BS604" s="77" t="n"/>
      <c r="BT604" s="77" t="n"/>
      <c r="BU604" s="77" t="n"/>
      <c r="BV604" s="77" t="n"/>
    </row>
    <row r="605">
      <c r="AT605" s="74" t="n"/>
      <c r="AU605" s="77" t="n"/>
      <c r="AV605" s="77" t="n"/>
      <c r="AW605" s="77" t="n"/>
      <c r="AX605" s="77" t="n"/>
      <c r="AY605" s="77" t="n"/>
      <c r="AZ605" s="77" t="n"/>
      <c r="BA605" s="77" t="n"/>
      <c r="BB605" s="77" t="n"/>
      <c r="BC605" s="77" t="n"/>
      <c r="BD605" s="77" t="n"/>
      <c r="BE605" s="77" t="n"/>
      <c r="BF605" s="77" t="n"/>
      <c r="BG605" s="77" t="n"/>
      <c r="BH605" s="77" t="n"/>
      <c r="BI605" s="77" t="n"/>
      <c r="BJ605" s="77" t="n"/>
      <c r="BK605" s="77" t="n"/>
      <c r="BL605" s="77" t="n"/>
      <c r="BM605" s="77" t="n"/>
      <c r="BN605" s="77" t="n"/>
      <c r="BO605" s="77" t="n"/>
      <c r="BP605" s="77" t="n"/>
      <c r="BQ605" s="77" t="n"/>
      <c r="BR605" s="77" t="n"/>
      <c r="BS605" s="77" t="n"/>
      <c r="BT605" s="77" t="n"/>
      <c r="BU605" s="77" t="n"/>
      <c r="BV605" s="77" t="n"/>
    </row>
    <row r="606">
      <c r="AT606" s="74" t="n"/>
      <c r="AU606" s="77" t="n"/>
      <c r="AV606" s="77" t="n"/>
      <c r="AW606" s="77" t="n"/>
      <c r="AX606" s="77" t="n"/>
      <c r="AY606" s="77" t="n"/>
      <c r="AZ606" s="77" t="n"/>
      <c r="BA606" s="77" t="n"/>
      <c r="BB606" s="77" t="n"/>
      <c r="BC606" s="77" t="n"/>
      <c r="BD606" s="77" t="n"/>
      <c r="BE606" s="77" t="n"/>
      <c r="BF606" s="77" t="n"/>
      <c r="BG606" s="77" t="n"/>
      <c r="BH606" s="77" t="n"/>
      <c r="BI606" s="77" t="n"/>
      <c r="BJ606" s="77" t="n"/>
      <c r="BK606" s="77" t="n"/>
      <c r="BL606" s="77" t="n"/>
      <c r="BM606" s="77" t="n"/>
      <c r="BN606" s="77" t="n"/>
      <c r="BO606" s="77" t="n"/>
      <c r="BP606" s="77" t="n"/>
      <c r="BQ606" s="77" t="n"/>
      <c r="BR606" s="77" t="n"/>
      <c r="BS606" s="77" t="n"/>
      <c r="BT606" s="77" t="n"/>
      <c r="BU606" s="77" t="n"/>
      <c r="BV606" s="77" t="n"/>
    </row>
    <row r="607">
      <c r="AT607" s="74" t="n"/>
      <c r="AU607" s="77" t="n"/>
      <c r="AV607" s="77" t="n"/>
      <c r="AW607" s="77" t="n"/>
      <c r="AX607" s="77" t="n"/>
      <c r="AY607" s="77" t="n"/>
      <c r="AZ607" s="77" t="n"/>
      <c r="BA607" s="77" t="n"/>
      <c r="BB607" s="77" t="n"/>
      <c r="BC607" s="77" t="n"/>
      <c r="BD607" s="77" t="n"/>
      <c r="BE607" s="77" t="n"/>
      <c r="BF607" s="77" t="n"/>
      <c r="BG607" s="77" t="n"/>
      <c r="BH607" s="77" t="n"/>
      <c r="BI607" s="77" t="n"/>
      <c r="BJ607" s="77" t="n"/>
      <c r="BK607" s="77" t="n"/>
      <c r="BL607" s="77" t="n"/>
      <c r="BM607" s="77" t="n"/>
      <c r="BN607" s="77" t="n"/>
      <c r="BO607" s="77" t="n"/>
      <c r="BP607" s="77" t="n"/>
      <c r="BQ607" s="77" t="n"/>
      <c r="BR607" s="77" t="n"/>
      <c r="BS607" s="77" t="n"/>
      <c r="BT607" s="77" t="n"/>
      <c r="BU607" s="77" t="n"/>
      <c r="BV607" s="77" t="n"/>
    </row>
    <row r="608">
      <c r="AT608" s="74" t="n"/>
      <c r="AU608" s="77" t="n"/>
      <c r="AV608" s="77" t="n"/>
      <c r="AW608" s="77" t="n"/>
      <c r="AX608" s="77" t="n"/>
      <c r="AY608" s="77" t="n"/>
      <c r="AZ608" s="77" t="n"/>
      <c r="BA608" s="77" t="n"/>
      <c r="BB608" s="77" t="n"/>
      <c r="BC608" s="77" t="n"/>
      <c r="BD608" s="77" t="n"/>
      <c r="BE608" s="77" t="n"/>
      <c r="BF608" s="77" t="n"/>
      <c r="BG608" s="77" t="n"/>
      <c r="BH608" s="77" t="n"/>
      <c r="BI608" s="77" t="n"/>
      <c r="BJ608" s="77" t="n"/>
      <c r="BK608" s="77" t="n"/>
      <c r="BL608" s="77" t="n"/>
      <c r="BM608" s="77" t="n"/>
      <c r="BN608" s="77" t="n"/>
      <c r="BO608" s="77" t="n"/>
      <c r="BP608" s="77" t="n"/>
      <c r="BQ608" s="77" t="n"/>
      <c r="BR608" s="77" t="n"/>
      <c r="BS608" s="77" t="n"/>
      <c r="BT608" s="77" t="n"/>
      <c r="BU608" s="77" t="n"/>
      <c r="BV608" s="77" t="n"/>
    </row>
    <row r="609">
      <c r="AT609" s="74" t="n"/>
      <c r="AU609" s="77" t="n"/>
      <c r="AV609" s="77" t="n"/>
      <c r="AW609" s="77" t="n"/>
      <c r="AX609" s="77" t="n"/>
      <c r="AY609" s="77" t="n"/>
      <c r="AZ609" s="77" t="n"/>
      <c r="BA609" s="77" t="n"/>
      <c r="BB609" s="77" t="n"/>
      <c r="BC609" s="77" t="n"/>
      <c r="BD609" s="77" t="n"/>
      <c r="BE609" s="77" t="n"/>
      <c r="BF609" s="77" t="n"/>
      <c r="BG609" s="77" t="n"/>
      <c r="BH609" s="77" t="n"/>
      <c r="BI609" s="77" t="n"/>
      <c r="BJ609" s="77" t="n"/>
      <c r="BK609" s="77" t="n"/>
      <c r="BL609" s="77" t="n"/>
      <c r="BM609" s="77" t="n"/>
      <c r="BN609" s="77" t="n"/>
      <c r="BO609" s="77" t="n"/>
      <c r="BP609" s="77" t="n"/>
      <c r="BQ609" s="77" t="n"/>
      <c r="BR609" s="77" t="n"/>
      <c r="BS609" s="77" t="n"/>
      <c r="BT609" s="77" t="n"/>
      <c r="BU609" s="77" t="n"/>
      <c r="BV609" s="77" t="n"/>
    </row>
    <row r="610">
      <c r="AT610" s="74" t="n"/>
      <c r="AU610" s="77" t="n"/>
      <c r="AV610" s="77" t="n"/>
      <c r="AW610" s="77" t="n"/>
      <c r="AX610" s="77" t="n"/>
      <c r="AY610" s="77" t="n"/>
      <c r="AZ610" s="77" t="n"/>
      <c r="BA610" s="77" t="n"/>
      <c r="BB610" s="77" t="n"/>
      <c r="BC610" s="77" t="n"/>
      <c r="BD610" s="77" t="n"/>
      <c r="BE610" s="77" t="n"/>
      <c r="BF610" s="77" t="n"/>
      <c r="BG610" s="77" t="n"/>
      <c r="BH610" s="77" t="n"/>
      <c r="BI610" s="77" t="n"/>
      <c r="BJ610" s="77" t="n"/>
      <c r="BK610" s="77" t="n"/>
      <c r="BL610" s="77" t="n"/>
      <c r="BM610" s="77" t="n"/>
      <c r="BN610" s="77" t="n"/>
      <c r="BO610" s="77" t="n"/>
      <c r="BP610" s="77" t="n"/>
      <c r="BQ610" s="77" t="n"/>
      <c r="BR610" s="77" t="n"/>
      <c r="BS610" s="77" t="n"/>
      <c r="BT610" s="77" t="n"/>
      <c r="BU610" s="77" t="n"/>
      <c r="BV610" s="77" t="n"/>
    </row>
    <row r="611">
      <c r="AT611" s="74" t="n"/>
      <c r="AU611" s="77" t="n"/>
      <c r="AV611" s="77" t="n"/>
      <c r="AW611" s="77" t="n"/>
      <c r="AX611" s="77" t="n"/>
      <c r="AY611" s="77" t="n"/>
      <c r="AZ611" s="77" t="n"/>
      <c r="BA611" s="77" t="n"/>
      <c r="BB611" s="77" t="n"/>
      <c r="BC611" s="77" t="n"/>
      <c r="BD611" s="77" t="n"/>
      <c r="BE611" s="77" t="n"/>
      <c r="BF611" s="77" t="n"/>
      <c r="BG611" s="77" t="n"/>
      <c r="BH611" s="77" t="n"/>
      <c r="BI611" s="77" t="n"/>
      <c r="BJ611" s="77" t="n"/>
      <c r="BK611" s="77" t="n"/>
      <c r="BL611" s="77" t="n"/>
      <c r="BM611" s="77" t="n"/>
      <c r="BN611" s="77" t="n"/>
      <c r="BO611" s="77" t="n"/>
      <c r="BP611" s="77" t="n"/>
      <c r="BQ611" s="77" t="n"/>
      <c r="BR611" s="77" t="n"/>
      <c r="BS611" s="77" t="n"/>
      <c r="BT611" s="77" t="n"/>
      <c r="BU611" s="77" t="n"/>
      <c r="BV611" s="77" t="n"/>
    </row>
    <row r="612">
      <c r="AT612" s="74" t="n"/>
      <c r="AU612" s="77" t="n"/>
      <c r="AV612" s="77" t="n"/>
      <c r="AW612" s="77" t="n"/>
      <c r="AX612" s="77" t="n"/>
      <c r="AY612" s="77" t="n"/>
      <c r="AZ612" s="77" t="n"/>
      <c r="BA612" s="77" t="n"/>
      <c r="BB612" s="77" t="n"/>
      <c r="BC612" s="77" t="n"/>
      <c r="BD612" s="77" t="n"/>
      <c r="BE612" s="77" t="n"/>
      <c r="BF612" s="77" t="n"/>
      <c r="BG612" s="77" t="n"/>
      <c r="BH612" s="77" t="n"/>
      <c r="BI612" s="77" t="n"/>
      <c r="BJ612" s="77" t="n"/>
      <c r="BK612" s="77" t="n"/>
      <c r="BL612" s="77" t="n"/>
      <c r="BM612" s="77" t="n"/>
      <c r="BN612" s="77" t="n"/>
      <c r="BO612" s="77" t="n"/>
      <c r="BP612" s="77" t="n"/>
      <c r="BQ612" s="77" t="n"/>
      <c r="BR612" s="77" t="n"/>
      <c r="BS612" s="77" t="n"/>
      <c r="BT612" s="77" t="n"/>
      <c r="BU612" s="77" t="n"/>
      <c r="BV612" s="77" t="n"/>
    </row>
    <row r="613">
      <c r="AT613" s="74" t="n"/>
      <c r="AU613" s="77" t="n"/>
      <c r="AV613" s="77" t="n"/>
      <c r="AW613" s="77" t="n"/>
      <c r="AX613" s="77" t="n"/>
      <c r="AY613" s="77" t="n"/>
      <c r="AZ613" s="77" t="n"/>
      <c r="BA613" s="77" t="n"/>
      <c r="BB613" s="77" t="n"/>
      <c r="BC613" s="77" t="n"/>
      <c r="BD613" s="77" t="n"/>
      <c r="BE613" s="77" t="n"/>
      <c r="BF613" s="77" t="n"/>
      <c r="BG613" s="77" t="n"/>
      <c r="BH613" s="77" t="n"/>
      <c r="BI613" s="77" t="n"/>
      <c r="BJ613" s="77" t="n"/>
      <c r="BK613" s="77" t="n"/>
      <c r="BL613" s="77" t="n"/>
      <c r="BM613" s="77" t="n"/>
      <c r="BN613" s="77" t="n"/>
      <c r="BO613" s="77" t="n"/>
      <c r="BP613" s="77" t="n"/>
      <c r="BQ613" s="77" t="n"/>
      <c r="BR613" s="77" t="n"/>
      <c r="BS613" s="77" t="n"/>
      <c r="BT613" s="77" t="n"/>
      <c r="BU613" s="77" t="n"/>
      <c r="BV613" s="77" t="n"/>
    </row>
    <row r="614">
      <c r="AT614" s="74" t="n"/>
      <c r="AU614" s="77" t="n"/>
      <c r="AV614" s="77" t="n"/>
      <c r="AW614" s="77" t="n"/>
      <c r="AX614" s="77" t="n"/>
      <c r="AY614" s="77" t="n"/>
      <c r="AZ614" s="77" t="n"/>
      <c r="BA614" s="77" t="n"/>
      <c r="BB614" s="77" t="n"/>
      <c r="BC614" s="77" t="n"/>
      <c r="BD614" s="77" t="n"/>
      <c r="BE614" s="77" t="n"/>
      <c r="BF614" s="77" t="n"/>
      <c r="BG614" s="77" t="n"/>
      <c r="BH614" s="77" t="n"/>
      <c r="BI614" s="77" t="n"/>
      <c r="BJ614" s="77" t="n"/>
      <c r="BK614" s="77" t="n"/>
      <c r="BL614" s="77" t="n"/>
      <c r="BM614" s="77" t="n"/>
      <c r="BN614" s="77" t="n"/>
      <c r="BO614" s="77" t="n"/>
      <c r="BP614" s="77" t="n"/>
      <c r="BQ614" s="77" t="n"/>
      <c r="BR614" s="77" t="n"/>
      <c r="BS614" s="77" t="n"/>
      <c r="BT614" s="77" t="n"/>
      <c r="BU614" s="77" t="n"/>
      <c r="BV614" s="77" t="n"/>
    </row>
    <row r="615">
      <c r="AT615" s="74" t="n"/>
      <c r="AU615" s="77" t="n"/>
      <c r="AV615" s="77" t="n"/>
      <c r="AW615" s="77" t="n"/>
      <c r="AX615" s="77" t="n"/>
      <c r="AY615" s="77" t="n"/>
      <c r="AZ615" s="77" t="n"/>
      <c r="BA615" s="77" t="n"/>
      <c r="BB615" s="77" t="n"/>
      <c r="BC615" s="77" t="n"/>
      <c r="BD615" s="77" t="n"/>
      <c r="BE615" s="77" t="n"/>
      <c r="BF615" s="77" t="n"/>
      <c r="BG615" s="77" t="n"/>
      <c r="BH615" s="77" t="n"/>
      <c r="BI615" s="77" t="n"/>
      <c r="BJ615" s="77" t="n"/>
      <c r="BK615" s="77" t="n"/>
      <c r="BL615" s="77" t="n"/>
      <c r="BM615" s="77" t="n"/>
      <c r="BN615" s="77" t="n"/>
      <c r="BO615" s="77" t="n"/>
      <c r="BP615" s="77" t="n"/>
      <c r="BQ615" s="77" t="n"/>
      <c r="BR615" s="77" t="n"/>
      <c r="BS615" s="77" t="n"/>
      <c r="BT615" s="77" t="n"/>
      <c r="BU615" s="77" t="n"/>
      <c r="BV615" s="77" t="n"/>
    </row>
    <row r="616">
      <c r="AT616" s="74" t="n"/>
      <c r="AU616" s="77" t="n"/>
      <c r="AV616" s="77" t="n"/>
      <c r="AW616" s="77" t="n"/>
      <c r="AX616" s="77" t="n"/>
      <c r="AY616" s="77" t="n"/>
      <c r="AZ616" s="77" t="n"/>
      <c r="BA616" s="77" t="n"/>
      <c r="BB616" s="77" t="n"/>
      <c r="BC616" s="77" t="n"/>
      <c r="BD616" s="77" t="n"/>
      <c r="BE616" s="77" t="n"/>
      <c r="BF616" s="77" t="n"/>
      <c r="BG616" s="77" t="n"/>
      <c r="BH616" s="77" t="n"/>
      <c r="BI616" s="77" t="n"/>
      <c r="BJ616" s="77" t="n"/>
      <c r="BK616" s="77" t="n"/>
      <c r="BL616" s="77" t="n"/>
      <c r="BM616" s="77" t="n"/>
      <c r="BN616" s="77" t="n"/>
      <c r="BO616" s="77" t="n"/>
      <c r="BP616" s="77" t="n"/>
      <c r="BQ616" s="77" t="n"/>
      <c r="BR616" s="77" t="n"/>
      <c r="BS616" s="77" t="n"/>
      <c r="BT616" s="77" t="n"/>
      <c r="BU616" s="77" t="n"/>
      <c r="BV616" s="77" t="n"/>
    </row>
    <row r="617">
      <c r="AT617" s="74" t="n"/>
      <c r="AU617" s="77" t="n"/>
      <c r="AV617" s="77" t="n"/>
      <c r="AW617" s="77" t="n"/>
      <c r="AX617" s="77" t="n"/>
      <c r="AY617" s="77" t="n"/>
      <c r="AZ617" s="77" t="n"/>
      <c r="BA617" s="77" t="n"/>
      <c r="BB617" s="77" t="n"/>
      <c r="BC617" s="77" t="n"/>
      <c r="BD617" s="77" t="n"/>
      <c r="BE617" s="77" t="n"/>
      <c r="BF617" s="77" t="n"/>
      <c r="BG617" s="77" t="n"/>
      <c r="BH617" s="77" t="n"/>
      <c r="BI617" s="77" t="n"/>
      <c r="BJ617" s="77" t="n"/>
      <c r="BK617" s="77" t="n"/>
      <c r="BL617" s="77" t="n"/>
      <c r="BM617" s="77" t="n"/>
      <c r="BN617" s="77" t="n"/>
      <c r="BO617" s="77" t="n"/>
      <c r="BP617" s="77" t="n"/>
      <c r="BQ617" s="77" t="n"/>
      <c r="BR617" s="77" t="n"/>
      <c r="BS617" s="77" t="n"/>
      <c r="BT617" s="77" t="n"/>
      <c r="BU617" s="77" t="n"/>
      <c r="BV617" s="77" t="n"/>
    </row>
    <row r="618">
      <c r="AT618" s="74" t="n"/>
      <c r="AU618" s="77" t="n"/>
      <c r="AV618" s="77" t="n"/>
      <c r="AW618" s="77" t="n"/>
      <c r="AX618" s="77" t="n"/>
      <c r="AY618" s="77" t="n"/>
      <c r="AZ618" s="77" t="n"/>
      <c r="BA618" s="77" t="n"/>
      <c r="BB618" s="77" t="n"/>
      <c r="BC618" s="77" t="n"/>
      <c r="BD618" s="77" t="n"/>
      <c r="BE618" s="77" t="n"/>
      <c r="BF618" s="77" t="n"/>
      <c r="BG618" s="77" t="n"/>
      <c r="BH618" s="77" t="n"/>
      <c r="BI618" s="77" t="n"/>
      <c r="BJ618" s="77" t="n"/>
      <c r="BK618" s="77" t="n"/>
      <c r="BL618" s="77" t="n"/>
      <c r="BM618" s="77" t="n"/>
      <c r="BN618" s="77" t="n"/>
      <c r="BO618" s="77" t="n"/>
      <c r="BP618" s="77" t="n"/>
      <c r="BQ618" s="77" t="n"/>
      <c r="BR618" s="77" t="n"/>
      <c r="BS618" s="77" t="n"/>
      <c r="BT618" s="77" t="n"/>
      <c r="BU618" s="77" t="n"/>
      <c r="BV618" s="77" t="n"/>
    </row>
    <row r="619">
      <c r="AT619" s="74" t="n"/>
      <c r="AU619" s="77" t="n"/>
      <c r="AV619" s="77" t="n"/>
      <c r="AW619" s="77" t="n"/>
      <c r="AX619" s="77" t="n"/>
      <c r="AY619" s="77" t="n"/>
      <c r="AZ619" s="77" t="n"/>
      <c r="BA619" s="77" t="n"/>
      <c r="BB619" s="77" t="n"/>
      <c r="BC619" s="77" t="n"/>
      <c r="BD619" s="77" t="n"/>
      <c r="BE619" s="77" t="n"/>
      <c r="BF619" s="77" t="n"/>
      <c r="BG619" s="77" t="n"/>
      <c r="BH619" s="77" t="n"/>
      <c r="BI619" s="77" t="n"/>
      <c r="BJ619" s="77" t="n"/>
      <c r="BK619" s="77" t="n"/>
      <c r="BL619" s="77" t="n"/>
      <c r="BM619" s="77" t="n"/>
      <c r="BN619" s="77" t="n"/>
      <c r="BO619" s="77" t="n"/>
      <c r="BP619" s="77" t="n"/>
      <c r="BQ619" s="77" t="n"/>
      <c r="BR619" s="77" t="n"/>
      <c r="BS619" s="77" t="n"/>
      <c r="BT619" s="77" t="n"/>
      <c r="BU619" s="77" t="n"/>
      <c r="BV619" s="77" t="n"/>
    </row>
    <row r="620">
      <c r="AT620" s="74" t="n"/>
      <c r="AU620" s="77" t="n"/>
      <c r="AV620" s="77" t="n"/>
      <c r="AW620" s="77" t="n"/>
      <c r="AX620" s="77" t="n"/>
      <c r="AY620" s="77" t="n"/>
      <c r="AZ620" s="77" t="n"/>
      <c r="BA620" s="77" t="n"/>
      <c r="BB620" s="77" t="n"/>
      <c r="BC620" s="77" t="n"/>
      <c r="BD620" s="77" t="n"/>
      <c r="BE620" s="77" t="n"/>
      <c r="BF620" s="77" t="n"/>
      <c r="BG620" s="77" t="n"/>
      <c r="BH620" s="77" t="n"/>
      <c r="BI620" s="77" t="n"/>
      <c r="BJ620" s="77" t="n"/>
      <c r="BK620" s="77" t="n"/>
      <c r="BL620" s="77" t="n"/>
      <c r="BM620" s="77" t="n"/>
      <c r="BN620" s="77" t="n"/>
      <c r="BO620" s="77" t="n"/>
      <c r="BP620" s="77" t="n"/>
      <c r="BQ620" s="77" t="n"/>
      <c r="BR620" s="77" t="n"/>
      <c r="BS620" s="77" t="n"/>
      <c r="BT620" s="77" t="n"/>
      <c r="BU620" s="77" t="n"/>
      <c r="BV620" s="77" t="n"/>
    </row>
    <row r="621">
      <c r="AT621" s="74" t="n"/>
      <c r="AU621" s="77" t="n"/>
      <c r="AV621" s="77" t="n"/>
      <c r="AW621" s="77" t="n"/>
      <c r="AX621" s="77" t="n"/>
      <c r="AY621" s="77" t="n"/>
      <c r="AZ621" s="77" t="n"/>
      <c r="BA621" s="77" t="n"/>
      <c r="BB621" s="77" t="n"/>
      <c r="BC621" s="77" t="n"/>
      <c r="BD621" s="77" t="n"/>
      <c r="BE621" s="77" t="n"/>
      <c r="BF621" s="77" t="n"/>
      <c r="BG621" s="77" t="n"/>
      <c r="BH621" s="77" t="n"/>
      <c r="BI621" s="77" t="n"/>
      <c r="BJ621" s="77" t="n"/>
      <c r="BK621" s="77" t="n"/>
      <c r="BL621" s="77" t="n"/>
      <c r="BM621" s="77" t="n"/>
      <c r="BN621" s="77" t="n"/>
      <c r="BO621" s="77" t="n"/>
      <c r="BP621" s="77" t="n"/>
      <c r="BQ621" s="77" t="n"/>
      <c r="BR621" s="77" t="n"/>
      <c r="BS621" s="77" t="n"/>
      <c r="BT621" s="77" t="n"/>
      <c r="BU621" s="77" t="n"/>
      <c r="BV621" s="77" t="n"/>
    </row>
    <row r="622">
      <c r="AT622" s="74" t="n"/>
      <c r="AU622" s="77" t="n"/>
      <c r="AV622" s="77" t="n"/>
      <c r="AW622" s="77" t="n"/>
      <c r="AX622" s="77" t="n"/>
      <c r="AY622" s="77" t="n"/>
      <c r="AZ622" s="77" t="n"/>
      <c r="BA622" s="77" t="n"/>
      <c r="BB622" s="77" t="n"/>
      <c r="BC622" s="77" t="n"/>
      <c r="BD622" s="77" t="n"/>
      <c r="BE622" s="77" t="n"/>
      <c r="BF622" s="77" t="n"/>
      <c r="BG622" s="77" t="n"/>
      <c r="BH622" s="77" t="n"/>
      <c r="BI622" s="77" t="n"/>
      <c r="BJ622" s="77" t="n"/>
      <c r="BK622" s="77" t="n"/>
      <c r="BL622" s="77" t="n"/>
      <c r="BM622" s="77" t="n"/>
      <c r="BN622" s="77" t="n"/>
      <c r="BO622" s="77" t="n"/>
      <c r="BP622" s="77" t="n"/>
      <c r="BQ622" s="77" t="n"/>
      <c r="BR622" s="77" t="n"/>
      <c r="BS622" s="77" t="n"/>
      <c r="BT622" s="77" t="n"/>
      <c r="BU622" s="77" t="n"/>
      <c r="BV622" s="77" t="n"/>
    </row>
    <row r="623">
      <c r="AT623" s="74" t="n"/>
      <c r="AU623" s="77" t="n"/>
      <c r="AV623" s="77" t="n"/>
      <c r="AW623" s="77" t="n"/>
      <c r="AX623" s="77" t="n"/>
      <c r="AY623" s="77" t="n"/>
      <c r="AZ623" s="77" t="n"/>
      <c r="BA623" s="77" t="n"/>
      <c r="BB623" s="77" t="n"/>
      <c r="BC623" s="77" t="n"/>
      <c r="BD623" s="77" t="n"/>
      <c r="BE623" s="77" t="n"/>
      <c r="BF623" s="77" t="n"/>
      <c r="BG623" s="77" t="n"/>
      <c r="BH623" s="77" t="n"/>
      <c r="BI623" s="77" t="n"/>
      <c r="BJ623" s="77" t="n"/>
      <c r="BK623" s="77" t="n"/>
      <c r="BL623" s="77" t="n"/>
      <c r="BM623" s="77" t="n"/>
      <c r="BN623" s="77" t="n"/>
      <c r="BO623" s="77" t="n"/>
      <c r="BP623" s="77" t="n"/>
      <c r="BQ623" s="77" t="n"/>
      <c r="BR623" s="77" t="n"/>
      <c r="BS623" s="77" t="n"/>
      <c r="BT623" s="77" t="n"/>
      <c r="BU623" s="77" t="n"/>
      <c r="BV623" s="77" t="n"/>
    </row>
    <row r="624">
      <c r="AT624" s="74" t="n"/>
      <c r="AU624" s="77" t="n"/>
      <c r="AV624" s="77" t="n"/>
      <c r="AW624" s="77" t="n"/>
      <c r="AX624" s="77" t="n"/>
      <c r="AY624" s="77" t="n"/>
      <c r="AZ624" s="77" t="n"/>
      <c r="BA624" s="77" t="n"/>
      <c r="BB624" s="77" t="n"/>
      <c r="BC624" s="77" t="n"/>
      <c r="BD624" s="77" t="n"/>
      <c r="BE624" s="77" t="n"/>
      <c r="BF624" s="77" t="n"/>
      <c r="BG624" s="77" t="n"/>
      <c r="BH624" s="77" t="n"/>
      <c r="BI624" s="77" t="n"/>
      <c r="BJ624" s="77" t="n"/>
      <c r="BK624" s="77" t="n"/>
      <c r="BL624" s="77" t="n"/>
      <c r="BM624" s="77" t="n"/>
      <c r="BN624" s="77" t="n"/>
      <c r="BO624" s="77" t="n"/>
      <c r="BP624" s="77" t="n"/>
      <c r="BQ624" s="77" t="n"/>
      <c r="BR624" s="77" t="n"/>
      <c r="BS624" s="77" t="n"/>
      <c r="BT624" s="77" t="n"/>
      <c r="BU624" s="77" t="n"/>
      <c r="BV624" s="77" t="n"/>
    </row>
    <row r="625">
      <c r="AT625" s="74" t="n"/>
      <c r="AU625" s="77" t="n"/>
      <c r="AV625" s="77" t="n"/>
      <c r="AW625" s="77" t="n"/>
      <c r="AX625" s="77" t="n"/>
      <c r="AY625" s="77" t="n"/>
      <c r="AZ625" s="77" t="n"/>
      <c r="BA625" s="77" t="n"/>
      <c r="BB625" s="77" t="n"/>
      <c r="BC625" s="77" t="n"/>
      <c r="BD625" s="77" t="n"/>
      <c r="BE625" s="77" t="n"/>
      <c r="BF625" s="77" t="n"/>
      <c r="BG625" s="77" t="n"/>
      <c r="BH625" s="77" t="n"/>
      <c r="BI625" s="77" t="n"/>
      <c r="BJ625" s="77" t="n"/>
      <c r="BK625" s="77" t="n"/>
      <c r="BL625" s="77" t="n"/>
      <c r="BM625" s="77" t="n"/>
      <c r="BN625" s="77" t="n"/>
      <c r="BO625" s="77" t="n"/>
      <c r="BP625" s="77" t="n"/>
      <c r="BQ625" s="77" t="n"/>
      <c r="BR625" s="77" t="n"/>
      <c r="BS625" s="77" t="n"/>
      <c r="BT625" s="77" t="n"/>
      <c r="BU625" s="77" t="n"/>
      <c r="BV625" s="77" t="n"/>
    </row>
    <row r="626">
      <c r="AT626" s="74" t="n"/>
      <c r="AU626" s="77" t="n"/>
      <c r="AV626" s="77" t="n"/>
      <c r="AW626" s="77" t="n"/>
      <c r="AX626" s="77" t="n"/>
      <c r="AY626" s="77" t="n"/>
      <c r="AZ626" s="77" t="n"/>
      <c r="BA626" s="77" t="n"/>
      <c r="BB626" s="77" t="n"/>
      <c r="BC626" s="77" t="n"/>
      <c r="BD626" s="77" t="n"/>
      <c r="BE626" s="77" t="n"/>
      <c r="BF626" s="77" t="n"/>
      <c r="BG626" s="77" t="n"/>
      <c r="BH626" s="77" t="n"/>
      <c r="BI626" s="77" t="n"/>
      <c r="BJ626" s="77" t="n"/>
      <c r="BK626" s="77" t="n"/>
      <c r="BL626" s="77" t="n"/>
      <c r="BM626" s="77" t="n"/>
      <c r="BN626" s="77" t="n"/>
      <c r="BO626" s="77" t="n"/>
      <c r="BP626" s="77" t="n"/>
      <c r="BQ626" s="77" t="n"/>
      <c r="BR626" s="77" t="n"/>
      <c r="BS626" s="77" t="n"/>
      <c r="BT626" s="77" t="n"/>
      <c r="BU626" s="77" t="n"/>
      <c r="BV626" s="77" t="n"/>
    </row>
    <row r="627">
      <c r="AT627" s="74" t="n"/>
      <c r="AU627" s="77" t="n"/>
      <c r="AV627" s="77" t="n"/>
      <c r="AW627" s="77" t="n"/>
      <c r="AX627" s="77" t="n"/>
      <c r="AY627" s="77" t="n"/>
      <c r="AZ627" s="77" t="n"/>
      <c r="BA627" s="77" t="n"/>
      <c r="BB627" s="77" t="n"/>
      <c r="BC627" s="77" t="n"/>
      <c r="BD627" s="77" t="n"/>
      <c r="BE627" s="77" t="n"/>
      <c r="BF627" s="77" t="n"/>
      <c r="BG627" s="77" t="n"/>
      <c r="BH627" s="77" t="n"/>
      <c r="BI627" s="77" t="n"/>
      <c r="BJ627" s="77" t="n"/>
      <c r="BK627" s="77" t="n"/>
      <c r="BL627" s="77" t="n"/>
      <c r="BM627" s="77" t="n"/>
      <c r="BN627" s="77" t="n"/>
      <c r="BO627" s="77" t="n"/>
      <c r="BP627" s="77" t="n"/>
      <c r="BQ627" s="77" t="n"/>
      <c r="BR627" s="77" t="n"/>
      <c r="BS627" s="77" t="n"/>
      <c r="BT627" s="77" t="n"/>
      <c r="BU627" s="77" t="n"/>
      <c r="BV627" s="77" t="n"/>
    </row>
    <row r="628">
      <c r="AT628" s="74" t="n"/>
      <c r="AU628" s="77" t="n"/>
      <c r="AV628" s="77" t="n"/>
      <c r="AW628" s="77" t="n"/>
      <c r="AX628" s="77" t="n"/>
      <c r="AY628" s="77" t="n"/>
      <c r="AZ628" s="77" t="n"/>
      <c r="BA628" s="77" t="n"/>
      <c r="BB628" s="77" t="n"/>
      <c r="BC628" s="77" t="n"/>
      <c r="BD628" s="77" t="n"/>
      <c r="BE628" s="77" t="n"/>
      <c r="BF628" s="77" t="n"/>
      <c r="BG628" s="77" t="n"/>
      <c r="BH628" s="77" t="n"/>
      <c r="BI628" s="77" t="n"/>
      <c r="BJ628" s="77" t="n"/>
      <c r="BK628" s="77" t="n"/>
      <c r="BL628" s="77" t="n"/>
      <c r="BM628" s="77" t="n"/>
      <c r="BN628" s="77" t="n"/>
      <c r="BO628" s="77" t="n"/>
      <c r="BP628" s="77" t="n"/>
      <c r="BQ628" s="77" t="n"/>
      <c r="BR628" s="77" t="n"/>
      <c r="BS628" s="77" t="n"/>
      <c r="BT628" s="77" t="n"/>
      <c r="BU628" s="77" t="n"/>
      <c r="BV628" s="77" t="n"/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MKcnqINS9xQhrAM0Mbue5w==" formatRows="0" sort="1" spinCount="100000" hashValue="yuurrVcSd7fEPvhxQJCKjZ56FjiHSuj3T7FeTN/pNtMP9QxuElN3tm/tCy0nVRtrQ/976CYvA/nnN3aQ0EGJ/Q=="/>
  <mergeCells count="46">
    <mergeCell ref="AI3:AI5"/>
    <mergeCell ref="AJ3:AJ5"/>
    <mergeCell ref="E2:T2"/>
    <mergeCell ref="AL3:AL5"/>
    <mergeCell ref="M3:M5"/>
    <mergeCell ref="AA3:AA5"/>
    <mergeCell ref="P3:P5"/>
    <mergeCell ref="R3:R5"/>
    <mergeCell ref="J3:J5"/>
    <mergeCell ref="V3:V5"/>
    <mergeCell ref="AC2:AF2"/>
    <mergeCell ref="K3:K5"/>
    <mergeCell ref="AD3:AD5"/>
    <mergeCell ref="A2:C2"/>
    <mergeCell ref="H3:H5"/>
    <mergeCell ref="T3:T5"/>
    <mergeCell ref="AM3:AM5"/>
    <mergeCell ref="AP2:AR2"/>
    <mergeCell ref="C3:C5"/>
    <mergeCell ref="E3:E5"/>
    <mergeCell ref="AN3:AN5"/>
    <mergeCell ref="B3:B5"/>
    <mergeCell ref="AP3:AP5"/>
    <mergeCell ref="Y3:Y5"/>
    <mergeCell ref="S3:S5"/>
    <mergeCell ref="AR3:AR5"/>
    <mergeCell ref="AH2:AJ2"/>
    <mergeCell ref="AF3:AF5"/>
    <mergeCell ref="AH3:AH5"/>
    <mergeCell ref="O3:O5"/>
    <mergeCell ref="Q3:Q5"/>
    <mergeCell ref="AC3:AC5"/>
    <mergeCell ref="AE3:AE5"/>
    <mergeCell ref="N3:N5"/>
    <mergeCell ref="F3:F5"/>
    <mergeCell ref="Z3:Z5"/>
    <mergeCell ref="I3:I5"/>
    <mergeCell ref="V2:AA2"/>
    <mergeCell ref="L3:L5"/>
    <mergeCell ref="AL2:AN2"/>
    <mergeCell ref="X3:X5"/>
    <mergeCell ref="AQ3:AQ5"/>
    <mergeCell ref="A3:A5"/>
    <mergeCell ref="G3:G5"/>
    <mergeCell ref="D3:D5"/>
    <mergeCell ref="W3:W5"/>
  </mergeCells>
  <pageMargins left="0.7" right="0.7" top="0.75" bottom="0.75" header="0.3" footer="0.3"/>
  <pageSetup orientation="portrait" scale="1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3">
    <outlinePr summaryBelow="1" summaryRight="1"/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baseColWidth="8" defaultColWidth="9.109375" defaultRowHeight="14.4"/>
  <cols>
    <col width="9.77734375" customWidth="1" style="3" min="1" max="1"/>
    <col width="60.77734375" customWidth="1" style="3" min="2" max="2"/>
    <col width="15.44140625" customWidth="1" style="3" min="3" max="3"/>
    <col width="2.44140625" customWidth="1" style="3" min="4" max="4"/>
    <col width="13.77734375" customWidth="1" style="3" min="5" max="5"/>
    <col width="10.88671875" customWidth="1" style="3" min="6" max="6"/>
    <col width="13.77734375" customWidth="1" style="3" min="7" max="7"/>
    <col width="10" customWidth="1" style="3" min="8" max="8"/>
    <col width="13.77734375" customWidth="1" style="3" min="9" max="12"/>
    <col width="2.77734375" customWidth="1" style="3" min="13" max="13"/>
    <col width="13.77734375" customWidth="1" style="3" min="14" max="16"/>
    <col width="2.77734375" customWidth="1" style="3" min="17" max="17"/>
    <col width="13.77734375" customWidth="1" style="3" min="18" max="27"/>
    <col width="66.5546875" customWidth="1" style="3" min="28" max="28"/>
    <col width="13.33203125" customWidth="1" style="3" min="29" max="29"/>
    <col width="11.88671875" customWidth="1" style="3" min="30" max="30"/>
    <col width="9.109375" customWidth="1" style="3" min="31" max="32"/>
    <col width="8.77734375" customWidth="1" style="3" min="33" max="33"/>
    <col width="16.33203125" customWidth="1" style="3" min="34" max="34"/>
    <col width="11.77734375" customWidth="1" style="3" min="35" max="35"/>
    <col width="12" customWidth="1" style="3" min="36" max="36"/>
    <col width="15.109375" customWidth="1" style="3" min="37" max="37"/>
    <col width="20.5546875" customWidth="1" style="3" min="38" max="39"/>
    <col width="15.33203125" customWidth="1" style="3" min="40" max="40"/>
    <col width="20" customWidth="1" style="3" min="41" max="41"/>
    <col width="19.88671875" customWidth="1" style="3" min="42" max="42"/>
    <col width="28.33203125" customWidth="1" style="3" min="43" max="43"/>
    <col width="20.21875" customWidth="1" style="3" min="44" max="44"/>
    <col width="23.88671875" customWidth="1" style="3" min="45" max="45"/>
    <col width="22.21875" customWidth="1" style="3" min="46" max="46"/>
    <col width="24.44140625" customWidth="1" style="3" min="47" max="47"/>
    <col width="20.88671875" customWidth="1" style="3" min="48" max="48"/>
    <col width="25.6640625" customWidth="1" style="3" min="49" max="49"/>
    <col width="22.109375" customWidth="1" style="3" min="50" max="50"/>
    <col width="19.6640625" customWidth="1" style="3" min="51" max="51"/>
    <col width="19.44140625" customWidth="1" style="3" min="52" max="52"/>
    <col width="20.77734375" customWidth="1" style="3" min="53" max="53"/>
    <col width="14.88671875" customWidth="1" style="3" min="54" max="55"/>
    <col width="15.6640625" customWidth="1" style="3" min="56" max="56"/>
    <col width="18.6640625" customWidth="1" style="3" min="57" max="57"/>
    <col width="20.77734375" customWidth="1" style="3" min="58" max="58"/>
    <col width="26" customWidth="1" style="3" min="59" max="59"/>
    <col width="24.77734375" customWidth="1" style="3" min="60" max="60"/>
    <col width="25.44140625" customWidth="1" style="3" min="61" max="61"/>
    <col width="30" customWidth="1" style="98" min="62" max="62"/>
    <col width="21.77734375" customWidth="1" style="104" min="63" max="66"/>
    <col width="9.109375" customWidth="1" style="3" min="67" max="73"/>
    <col width="10.109375" customWidth="1" style="3" min="74" max="76"/>
    <col width="9.109375" customWidth="1" style="3" min="77" max="16384"/>
  </cols>
  <sheetData>
    <row r="1" ht="19.2" customHeight="1">
      <c r="A1" s="81" t="inlineStr">
        <is>
          <t>COLJobNumber</t>
        </is>
      </c>
      <c r="B1" s="81" t="inlineStr">
        <is>
          <t>COLJobDesc</t>
        </is>
      </c>
      <c r="C1" s="81" t="inlineStr">
        <is>
          <t>COLPrjMngr</t>
        </is>
      </c>
      <c r="D1" s="82" t="inlineStr">
        <is>
          <t>COLExAll</t>
        </is>
      </c>
      <c r="E1" s="81" t="inlineStr">
        <is>
          <t>COLOvrRevProj</t>
        </is>
      </c>
      <c r="F1" s="81" t="inlineStr">
        <is>
          <t>COLOpsPctComp</t>
        </is>
      </c>
      <c r="G1" s="81" t="inlineStr">
        <is>
          <t>COLOvrRevProj</t>
        </is>
      </c>
      <c r="H1" s="81" t="inlineStr">
        <is>
          <t>COLGAAPPctComp</t>
        </is>
      </c>
      <c r="I1" s="81" t="inlineStr">
        <is>
          <t>COLOvrRevProj</t>
        </is>
      </c>
      <c r="J1" s="81" t="inlineStr">
        <is>
          <t>COLProjProfit</t>
        </is>
      </c>
      <c r="K1" s="81" t="inlineStr">
        <is>
          <t>COLProjProfit</t>
        </is>
      </c>
      <c r="L1" s="81" t="inlineStr">
        <is>
          <t>COLProjProfit</t>
        </is>
      </c>
      <c r="M1" s="76" t="n"/>
      <c r="N1" s="81" t="inlineStr">
        <is>
          <t>COLJTDProfit</t>
        </is>
      </c>
      <c r="O1" s="81" t="inlineStr">
        <is>
          <t>COLJTDProfit</t>
        </is>
      </c>
      <c r="P1" s="81" t="inlineStr">
        <is>
          <t>COLJTDProfit</t>
        </is>
      </c>
      <c r="Q1" s="76" t="n"/>
      <c r="R1" s="3" t="inlineStr">
        <is>
          <t>COLCYRev</t>
        </is>
      </c>
      <c r="S1" s="3" t="inlineStr">
        <is>
          <t>COLCYRev</t>
        </is>
      </c>
      <c r="T1" s="3" t="inlineStr">
        <is>
          <t>COLCYRev</t>
        </is>
      </c>
      <c r="U1" s="3" t="inlineStr">
        <is>
          <t>COLCYCost</t>
        </is>
      </c>
      <c r="V1" s="3" t="inlineStr">
        <is>
          <t>COLCYCost</t>
        </is>
      </c>
      <c r="W1" s="3" t="inlineStr">
        <is>
          <t>COLCYCost</t>
        </is>
      </c>
      <c r="X1" s="3" t="inlineStr">
        <is>
          <t>COLCYCalcProfit</t>
        </is>
      </c>
      <c r="Y1" s="3" t="inlineStr">
        <is>
          <t>COLCYCalcProfit</t>
        </is>
      </c>
      <c r="Z1" s="3" t="inlineStr">
        <is>
          <t>COLCYCalcProfit</t>
        </is>
      </c>
      <c r="AA1" s="3" t="inlineStr">
        <is>
          <t>COLCYBonusProfit</t>
        </is>
      </c>
      <c r="BK1" s="103" t="n"/>
      <c r="BL1" s="103" t="n"/>
      <c r="BM1" s="103" t="n"/>
      <c r="BN1" s="103" t="n"/>
    </row>
    <row r="2" customFormat="1" s="7">
      <c r="A2" s="262" t="n"/>
      <c r="B2" s="263" t="n"/>
      <c r="C2" s="264" t="n"/>
      <c r="D2" s="85" t="inlineStr">
        <is>
          <t>-</t>
        </is>
      </c>
      <c r="E2" s="227" t="n"/>
      <c r="F2" s="285" t="n"/>
      <c r="G2" s="285" t="n"/>
      <c r="H2" s="285" t="n"/>
      <c r="I2" s="285" t="n"/>
      <c r="J2" s="285" t="n"/>
      <c r="K2" s="285" t="n"/>
      <c r="L2" s="286" t="n"/>
      <c r="N2" s="265" t="inlineStr">
        <is>
          <t>JOB  TO  DATE</t>
        </is>
      </c>
      <c r="O2" s="263" t="n"/>
      <c r="P2" s="264" t="n"/>
      <c r="R2" s="237" t="inlineStr">
        <is>
          <t>C U R R E N T   Y E A R</t>
        </is>
      </c>
      <c r="S2" s="263" t="n"/>
      <c r="T2" s="263" t="n"/>
      <c r="U2" s="263" t="n"/>
      <c r="V2" s="263" t="n"/>
      <c r="W2" s="263" t="n"/>
      <c r="X2" s="263" t="n"/>
      <c r="Y2" s="263" t="n"/>
      <c r="Z2" s="263" t="n"/>
      <c r="AA2" s="266" t="n"/>
      <c r="AB2" s="3" t="n"/>
      <c r="AC2" s="3" t="n"/>
      <c r="AD2" s="3" t="n"/>
      <c r="AE2" s="3" t="n"/>
      <c r="AF2" s="3" t="n"/>
      <c r="AG2" s="3" t="n"/>
      <c r="AH2" s="3" t="n"/>
      <c r="AI2" s="3" t="n"/>
      <c r="AJ2" s="3" t="n"/>
      <c r="AK2" s="3" t="n"/>
      <c r="AL2" s="3" t="n"/>
      <c r="AM2" s="3" t="n"/>
      <c r="AN2" s="3" t="n"/>
      <c r="AO2" s="3" t="n"/>
      <c r="AP2" s="3" t="n"/>
      <c r="AQ2" s="3" t="n"/>
      <c r="AR2" s="3" t="n"/>
      <c r="AS2" s="3" t="n"/>
      <c r="AT2" s="3" t="n"/>
      <c r="AU2" s="3" t="n"/>
      <c r="AV2" s="3" t="n"/>
      <c r="AW2" s="3" t="n"/>
      <c r="AX2" s="3" t="n"/>
      <c r="AY2" s="3" t="n"/>
      <c r="AZ2" s="3" t="n"/>
      <c r="BA2" s="3" t="n"/>
      <c r="BB2" s="3" t="n"/>
      <c r="BC2" s="3" t="n"/>
      <c r="BD2" s="3" t="n"/>
      <c r="BE2" s="3" t="n"/>
      <c r="BF2" s="3" t="n"/>
      <c r="BG2" s="3" t="n"/>
      <c r="BI2" s="3" t="n"/>
      <c r="BJ2" s="98" t="n"/>
      <c r="BK2" s="104" t="n"/>
      <c r="BL2" s="104" t="n"/>
      <c r="BM2" s="104" t="n"/>
      <c r="BN2" s="104" t="n"/>
      <c r="BO2" s="3" t="n"/>
      <c r="BP2" s="3" t="n"/>
      <c r="BQ2" s="3" t="n"/>
      <c r="BR2" s="3" t="n"/>
      <c r="BS2" s="3" t="n"/>
      <c r="BT2" s="3" t="n"/>
      <c r="BU2" s="3" t="n"/>
      <c r="BV2" s="3" t="n"/>
      <c r="BW2" s="3" t="n"/>
      <c r="BX2" s="3" t="n"/>
      <c r="BY2" s="3" t="n"/>
    </row>
    <row r="3" ht="14.4" customFormat="1" customHeight="1" s="7">
      <c r="A3" s="282" t="inlineStr">
        <is>
          <t>Job No.</t>
        </is>
      </c>
      <c r="B3" s="282" t="inlineStr">
        <is>
          <t>Job Description</t>
        </is>
      </c>
      <c r="C3" s="282" t="inlineStr">
        <is>
          <t>Project Manager</t>
        </is>
      </c>
      <c r="D3" s="268" t="n"/>
      <c r="E3" s="215" t="inlineStr">
        <is>
          <t>Ops Override Revenue Projection</t>
        </is>
      </c>
      <c r="F3" s="215" t="inlineStr">
        <is>
          <t>Ops Percent Complete</t>
        </is>
      </c>
      <c r="G3" s="215" t="inlineStr">
        <is>
          <t>GAAP Override Revenue Projection</t>
        </is>
      </c>
      <c r="H3" s="215" t="inlineStr">
        <is>
          <t>GAAP Percent Complete</t>
        </is>
      </c>
      <c r="I3" s="215" t="inlineStr">
        <is>
          <t>Revenue Delta</t>
        </is>
      </c>
      <c r="J3" s="273" t="inlineStr">
        <is>
          <t>Ops Projected Profit</t>
        </is>
      </c>
      <c r="K3" s="273" t="inlineStr">
        <is>
          <t>GAAP Projected Profit</t>
        </is>
      </c>
      <c r="L3" s="273" t="inlineStr">
        <is>
          <t>Profit Delta</t>
        </is>
      </c>
      <c r="M3" s="22" t="n"/>
      <c r="N3" s="273" t="inlineStr">
        <is>
          <t>Ops
JTD Profit</t>
        </is>
      </c>
      <c r="O3" s="273" t="inlineStr">
        <is>
          <t>GAAP
JTD Profit</t>
        </is>
      </c>
      <c r="P3" s="273" t="inlineStr">
        <is>
          <t>JTD Profit Delta</t>
        </is>
      </c>
      <c r="Q3" s="22" t="n"/>
      <c r="R3" s="215" t="inlineStr">
        <is>
          <t>Ops Current Yr Revenue</t>
        </is>
      </c>
      <c r="S3" s="215" t="inlineStr">
        <is>
          <t>GAAP Current Yr Revenue</t>
        </is>
      </c>
      <c r="T3" s="215" t="inlineStr">
        <is>
          <t>Current Yr Revenue Delta</t>
        </is>
      </c>
      <c r="U3" s="272" t="inlineStr">
        <is>
          <t>Ops Current Yr Cost</t>
        </is>
      </c>
      <c r="V3" s="272" t="inlineStr">
        <is>
          <t>GAAP Current Yr Cost</t>
        </is>
      </c>
      <c r="W3" s="272" t="inlineStr">
        <is>
          <t>Current Yr Cost Delta</t>
        </is>
      </c>
      <c r="X3" s="210" t="inlineStr">
        <is>
          <t>Ops Current Yr Profit</t>
        </is>
      </c>
      <c r="Y3" s="210" t="inlineStr">
        <is>
          <t>GAAP Current Yr Profit</t>
        </is>
      </c>
      <c r="Z3" s="210" t="inlineStr">
        <is>
          <t>Current Yr Profit Delta</t>
        </is>
      </c>
      <c r="AA3" s="246" t="inlineStr">
        <is>
          <t>Current Year Bonus Profit</t>
        </is>
      </c>
      <c r="AB3" s="3" t="n"/>
      <c r="AC3" s="3" t="n"/>
      <c r="AD3" s="3" t="n"/>
      <c r="AE3" s="3" t="n"/>
      <c r="AF3" s="3" t="n"/>
      <c r="AG3" s="3" t="n"/>
      <c r="AH3" s="3" t="n"/>
      <c r="AI3" s="3" t="n"/>
      <c r="AJ3" s="3" t="n"/>
      <c r="AK3" s="3" t="n"/>
      <c r="AL3" s="3" t="n"/>
      <c r="AM3" s="3" t="n"/>
      <c r="AN3" s="3" t="n"/>
      <c r="AO3" s="3" t="n"/>
      <c r="AP3" s="3" t="n"/>
      <c r="AQ3" s="3" t="n"/>
      <c r="AR3" s="3" t="n"/>
      <c r="AS3" s="3" t="n"/>
      <c r="AT3" s="3" t="n"/>
      <c r="AU3" s="3" t="n"/>
      <c r="AV3" s="3" t="n"/>
      <c r="AW3" s="3" t="n"/>
      <c r="AX3" s="3" t="n"/>
      <c r="AY3" s="3" t="n"/>
      <c r="AZ3" s="3" t="n"/>
      <c r="BA3" s="3" t="n"/>
      <c r="BB3" s="3" t="n"/>
      <c r="BC3" s="3" t="n"/>
      <c r="BD3" s="3" t="n"/>
      <c r="BE3" s="3" t="n"/>
      <c r="BF3" s="3" t="n"/>
      <c r="BG3" s="3" t="n"/>
      <c r="BH3" s="3" t="n"/>
      <c r="BI3" s="3" t="n"/>
      <c r="BJ3" s="98" t="n"/>
      <c r="BK3" s="104" t="n"/>
      <c r="BL3" s="104" t="n"/>
      <c r="BM3" s="104" t="n"/>
      <c r="BN3" s="104" t="n"/>
      <c r="BO3" s="3" t="n"/>
      <c r="BP3" s="3" t="n"/>
      <c r="BQ3" s="3" t="n"/>
      <c r="BR3" s="3" t="n"/>
      <c r="BS3" s="3" t="n"/>
      <c r="BT3" s="3" t="n"/>
      <c r="BU3" s="3" t="n"/>
      <c r="BV3" s="3" t="n"/>
      <c r="BW3" s="3" t="n"/>
      <c r="BX3" s="3" t="n"/>
      <c r="BY3" s="3" t="n"/>
    </row>
    <row r="4" ht="14.4" customFormat="1" customHeight="1" s="7">
      <c r="A4" s="276" t="n"/>
      <c r="B4" s="276" t="n"/>
      <c r="C4" s="276" t="n"/>
      <c r="D4" s="276" t="n"/>
      <c r="E4" s="277" t="n"/>
      <c r="F4" s="277" t="n"/>
      <c r="G4" s="277" t="n"/>
      <c r="H4" s="277" t="n"/>
      <c r="I4" s="277" t="n"/>
      <c r="J4" s="276" t="n"/>
      <c r="K4" s="276" t="n"/>
      <c r="L4" s="276" t="n"/>
      <c r="M4" s="22" t="n"/>
      <c r="N4" s="276" t="n"/>
      <c r="O4" s="276" t="n"/>
      <c r="P4" s="276" t="n"/>
      <c r="Q4" s="22" t="n"/>
      <c r="R4" s="277" t="n"/>
      <c r="S4" s="277" t="n"/>
      <c r="T4" s="277" t="n"/>
      <c r="U4" s="276" t="n"/>
      <c r="V4" s="276" t="n"/>
      <c r="W4" s="276" t="n"/>
      <c r="X4" s="277" t="n"/>
      <c r="Y4" s="277" t="n"/>
      <c r="Z4" s="277" t="n"/>
      <c r="AA4" s="277" t="n"/>
      <c r="AB4" s="3" t="n"/>
      <c r="AC4" s="3" t="n"/>
      <c r="AD4" s="3" t="n"/>
      <c r="AE4" s="3" t="n"/>
      <c r="AF4" s="3" t="n"/>
      <c r="AG4" s="3" t="n"/>
      <c r="AH4" s="3" t="n"/>
      <c r="AI4" s="3" t="n"/>
      <c r="AJ4" s="3" t="n"/>
      <c r="AK4" s="3" t="n"/>
      <c r="AL4" s="3" t="n"/>
      <c r="AM4" s="3" t="n"/>
      <c r="AN4" s="3" t="n"/>
      <c r="AO4" s="3" t="n"/>
      <c r="AP4" s="3" t="n"/>
      <c r="AQ4" s="3" t="n"/>
      <c r="AR4" s="3" t="n"/>
      <c r="AS4" s="3" t="n"/>
      <c r="AT4" s="3" t="n"/>
      <c r="AU4" s="3" t="n"/>
      <c r="AV4" s="3" t="n"/>
      <c r="AW4" s="3" t="n"/>
      <c r="AX4" s="3" t="n"/>
      <c r="AY4" s="3" t="n"/>
      <c r="AZ4" s="3" t="n"/>
      <c r="BA4" s="3" t="n"/>
      <c r="BB4" s="3" t="n"/>
      <c r="BC4" s="3" t="n"/>
      <c r="BD4" s="3" t="n"/>
      <c r="BE4" s="3" t="n"/>
      <c r="BF4" s="3" t="n"/>
      <c r="BG4" s="3" t="n"/>
      <c r="BH4" s="3" t="n"/>
      <c r="BI4" s="3" t="n"/>
      <c r="BJ4" s="98" t="n"/>
      <c r="BK4" s="104" t="n"/>
      <c r="BL4" s="104" t="n"/>
      <c r="BM4" s="104" t="n"/>
      <c r="BN4" s="104" t="n"/>
      <c r="BO4" s="3" t="n"/>
      <c r="BP4" s="3" t="n"/>
      <c r="BQ4" s="3" t="n"/>
      <c r="BR4" s="3" t="n"/>
      <c r="BS4" s="3" t="n"/>
      <c r="BT4" s="3" t="n"/>
      <c r="BU4" s="3" t="n"/>
      <c r="BV4" s="3" t="n"/>
      <c r="BW4" s="3" t="n"/>
      <c r="BX4" s="3" t="n"/>
      <c r="BY4" s="3" t="n"/>
    </row>
    <row r="5" customFormat="1" s="7">
      <c r="A5" s="278" t="n"/>
      <c r="B5" s="278" t="n"/>
      <c r="C5" s="278" t="n"/>
      <c r="D5" s="278" t="n"/>
      <c r="E5" s="279" t="n"/>
      <c r="F5" s="279" t="n"/>
      <c r="G5" s="279" t="n"/>
      <c r="H5" s="279" t="n"/>
      <c r="I5" s="279" t="n"/>
      <c r="J5" s="278" t="n"/>
      <c r="K5" s="278" t="n"/>
      <c r="L5" s="278" t="n"/>
      <c r="M5" s="22" t="n"/>
      <c r="N5" s="278" t="n"/>
      <c r="O5" s="278" t="n"/>
      <c r="P5" s="278" t="n"/>
      <c r="Q5" s="22" t="n"/>
      <c r="R5" s="279" t="n"/>
      <c r="S5" s="279" t="n"/>
      <c r="T5" s="279" t="n"/>
      <c r="U5" s="278" t="n"/>
      <c r="V5" s="278" t="n"/>
      <c r="W5" s="278" t="n"/>
      <c r="X5" s="279" t="n"/>
      <c r="Y5" s="279" t="n"/>
      <c r="Z5" s="279" t="n"/>
      <c r="AA5" s="279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  <c r="AM5" s="3" t="n"/>
      <c r="AN5" s="3" t="n"/>
      <c r="AO5" s="3" t="n"/>
      <c r="AP5" s="3" t="n"/>
      <c r="AQ5" s="3" t="n"/>
      <c r="AR5" s="3" t="n"/>
      <c r="AS5" s="3" t="n"/>
      <c r="AT5" s="3" t="n"/>
      <c r="AU5" s="3" t="n"/>
      <c r="AV5" s="3" t="n"/>
      <c r="AW5" s="3" t="n"/>
      <c r="AX5" s="3" t="n"/>
      <c r="AY5" s="3" t="n"/>
      <c r="AZ5" s="3" t="n"/>
      <c r="BA5" s="3" t="n"/>
      <c r="BB5" s="3" t="n"/>
      <c r="BC5" s="3" t="n"/>
      <c r="BD5" s="3" t="n"/>
      <c r="BE5" s="3" t="n"/>
      <c r="BF5" s="3" t="n"/>
      <c r="BG5" s="3" t="n"/>
      <c r="BH5" s="3" t="n"/>
      <c r="BI5" s="3" t="n"/>
      <c r="BJ5" s="98" t="n"/>
      <c r="BK5" s="104" t="n"/>
      <c r="BL5" s="104" t="n"/>
      <c r="BM5" s="104" t="n"/>
      <c r="BN5" s="104" t="n"/>
      <c r="BO5" s="3" t="n"/>
      <c r="BP5" s="3" t="n"/>
      <c r="BQ5" s="3" t="n"/>
      <c r="BR5" s="3" t="n"/>
      <c r="BS5" s="3" t="n"/>
      <c r="BT5" s="3" t="n"/>
      <c r="BU5" s="3" t="n"/>
      <c r="BV5" s="3" t="n"/>
      <c r="BW5" s="3" t="n"/>
      <c r="BX5" s="3" t="n"/>
      <c r="BY5" s="3" t="n"/>
    </row>
    <row r="6" ht="19.2" customHeight="1">
      <c r="A6" s="33" t="n"/>
      <c r="B6" s="287" t="n"/>
      <c r="C6" s="288" t="n"/>
      <c r="D6" s="86" t="n"/>
      <c r="E6" s="113" t="n"/>
      <c r="F6" s="176">
        <f>'Jobs-Ops'!U6</f>
        <v/>
      </c>
      <c r="G6" s="113" t="n"/>
      <c r="H6" s="176">
        <f>'Jobs-GAAP'!V6</f>
        <v/>
      </c>
      <c r="I6" s="113" t="n"/>
      <c r="J6" s="9" t="n"/>
      <c r="K6" s="9" t="n"/>
      <c r="L6" s="9" t="n"/>
      <c r="M6" s="34" t="n"/>
      <c r="N6" s="9" t="n"/>
      <c r="O6" s="9" t="n"/>
      <c r="P6" s="9" t="n"/>
      <c r="Q6" s="34" t="n"/>
      <c r="R6" s="11" t="n"/>
      <c r="S6" s="11" t="n"/>
      <c r="T6" s="11" t="n"/>
      <c r="U6" s="8" t="n"/>
      <c r="V6" s="8" t="n"/>
      <c r="W6" s="8" t="n"/>
      <c r="X6" s="9" t="n"/>
      <c r="Y6" s="9" t="n"/>
      <c r="Z6" s="9" t="n"/>
      <c r="AA6" s="117" t="n"/>
      <c r="AB6" s="73" t="n"/>
      <c r="AC6" s="77" t="n"/>
      <c r="AD6" s="77" t="n"/>
      <c r="AE6" s="78" t="n"/>
      <c r="AF6" s="79" t="n"/>
      <c r="AG6" s="79" t="n"/>
      <c r="AH6" s="77" t="n"/>
      <c r="AI6" s="77" t="n"/>
      <c r="AJ6" s="97" t="n"/>
      <c r="AK6" s="97" t="n"/>
      <c r="AL6" s="77" t="n"/>
      <c r="AM6" s="77" t="n"/>
      <c r="AN6" s="77" t="n"/>
      <c r="AO6" s="77" t="n"/>
      <c r="AP6" s="77" t="n"/>
      <c r="AQ6" s="77" t="n"/>
      <c r="AR6" s="77" t="n"/>
      <c r="AS6" s="77" t="n"/>
      <c r="AT6" s="77" t="n"/>
      <c r="AU6" s="77" t="n"/>
      <c r="AV6" s="77" t="n"/>
      <c r="AW6" s="77" t="n"/>
      <c r="AX6" s="77" t="n"/>
      <c r="AY6" s="77" t="n"/>
      <c r="AZ6" s="77" t="n"/>
      <c r="BA6" s="77" t="n"/>
      <c r="BB6" s="77" t="n"/>
      <c r="BC6" s="77" t="n"/>
      <c r="BD6" s="80" t="n"/>
    </row>
    <row r="7" ht="14.1" customHeight="1">
      <c r="A7" s="289">
        <f> 'Jobs-Ops'!A7</f>
        <v/>
      </c>
      <c r="B7" s="290">
        <f>'Jobs-Ops'!B7</f>
        <v/>
      </c>
      <c r="C7" s="290">
        <f>'Jobs-Ops'!C7</f>
        <v/>
      </c>
      <c r="D7" s="179" t="n"/>
      <c r="E7" s="181">
        <f>'Jobs-Ops'!I7</f>
        <v/>
      </c>
      <c r="F7" s="205">
        <f>'Jobs-Ops'!U7</f>
        <v/>
      </c>
      <c r="G7" s="181">
        <f>'Jobs-GAAP'!J7</f>
        <v/>
      </c>
      <c r="H7" s="205">
        <f>'Jobs-GAAP'!V7</f>
        <v/>
      </c>
      <c r="I7" s="181">
        <f>E7-G7</f>
        <v/>
      </c>
      <c r="J7" s="9">
        <f>'Jobs-Ops'!P7</f>
        <v/>
      </c>
      <c r="K7" s="9">
        <f>'Jobs-GAAP'!Q7</f>
        <v/>
      </c>
      <c r="L7" s="9">
        <f>J7-K7</f>
        <v/>
      </c>
      <c r="M7" s="186" t="n"/>
      <c r="N7" s="9">
        <f>'Jobs-Ops'!Y7</f>
        <v/>
      </c>
      <c r="O7" s="9">
        <f>'Jobs-GAAP'!Y7</f>
        <v/>
      </c>
      <c r="P7" s="9">
        <f>N7-O7</f>
        <v/>
      </c>
      <c r="Q7" s="186" t="n"/>
      <c r="R7" s="11">
        <f>'Jobs-Ops'!AL7</f>
        <v/>
      </c>
      <c r="S7" s="11">
        <f>'Jobs-GAAP'!AH7</f>
        <v/>
      </c>
      <c r="T7" s="11">
        <f>IFERROR(R7-S7,0)</f>
        <v/>
      </c>
      <c r="U7" s="8">
        <f>'Jobs-Ops'!AM7</f>
        <v/>
      </c>
      <c r="V7" s="8">
        <f>'Jobs-GAAP'!AI7</f>
        <v/>
      </c>
      <c r="W7" s="8">
        <f>IFERROR(U7-V7,0)</f>
        <v/>
      </c>
      <c r="X7" s="9">
        <f>'Jobs-Ops'!AN7</f>
        <v/>
      </c>
      <c r="Y7" s="9">
        <f>'Jobs-GAAP'!AJ7</f>
        <v/>
      </c>
      <c r="Z7" s="9">
        <f>IFERROR(X7-Y7,0)</f>
        <v/>
      </c>
      <c r="AA7" s="153">
        <f>'Jobs-Ops'!AO7</f>
        <v/>
      </c>
      <c r="AB7" s="187" t="n"/>
      <c r="AC7" s="186" t="n"/>
      <c r="AD7" s="186" t="n"/>
      <c r="AE7" s="188" t="n"/>
      <c r="AF7" s="187" t="n"/>
      <c r="AG7" s="187" t="n"/>
      <c r="AH7" s="186" t="n"/>
      <c r="AI7" s="186" t="n"/>
      <c r="AJ7" s="186" t="n"/>
      <c r="AK7" s="186" t="n"/>
      <c r="AL7" s="186" t="n"/>
      <c r="AM7" s="186" t="n"/>
      <c r="AN7" s="186" t="n"/>
      <c r="AO7" s="186" t="n"/>
      <c r="AP7" s="186" t="n"/>
      <c r="AQ7" s="186" t="n"/>
      <c r="AR7" s="186" t="n"/>
      <c r="AS7" s="186" t="n"/>
      <c r="AT7" s="186" t="n"/>
      <c r="AU7" s="186" t="n"/>
      <c r="AV7" s="186" t="n"/>
      <c r="AW7" s="186" t="n"/>
      <c r="AX7" s="186" t="n"/>
      <c r="AY7" s="186" t="n"/>
      <c r="AZ7" s="186" t="n"/>
      <c r="BA7" s="186" t="n"/>
      <c r="BB7" s="186" t="n"/>
      <c r="BC7" s="186" t="n"/>
      <c r="BD7" s="190" t="n"/>
      <c r="BE7" s="186" t="n"/>
      <c r="BF7" s="186" t="n"/>
      <c r="BG7" s="186" t="n"/>
      <c r="BH7" s="186" t="n"/>
      <c r="BI7" s="186" t="n"/>
      <c r="BJ7" s="187" t="n"/>
      <c r="BK7" s="192" t="n"/>
      <c r="BL7" s="192" t="n"/>
      <c r="BM7" s="192" t="n"/>
      <c r="BN7" s="192" t="n"/>
    </row>
    <row r="8">
      <c r="A8" s="289">
        <f> 'Jobs-Ops'!A8</f>
        <v/>
      </c>
      <c r="B8" s="290">
        <f>'Jobs-Ops'!B8</f>
        <v/>
      </c>
      <c r="C8" s="290">
        <f>'Jobs-Ops'!C8</f>
        <v/>
      </c>
      <c r="D8" s="179" t="n"/>
      <c r="E8" s="181">
        <f>'Jobs-Ops'!I8</f>
        <v/>
      </c>
      <c r="F8" s="205">
        <f>'Jobs-Ops'!U8</f>
        <v/>
      </c>
      <c r="G8" s="181">
        <f>'Jobs-GAAP'!J8</f>
        <v/>
      </c>
      <c r="H8" s="205">
        <f>'Jobs-GAAP'!V8</f>
        <v/>
      </c>
      <c r="I8" s="181">
        <f>E8-G8</f>
        <v/>
      </c>
      <c r="J8" s="9">
        <f>'Jobs-Ops'!P8</f>
        <v/>
      </c>
      <c r="K8" s="9">
        <f>'Jobs-GAAP'!Q8</f>
        <v/>
      </c>
      <c r="L8" s="9">
        <f>J8-K8</f>
        <v/>
      </c>
      <c r="M8" s="186" t="n"/>
      <c r="N8" s="9">
        <f>'Jobs-Ops'!Y8</f>
        <v/>
      </c>
      <c r="O8" s="9">
        <f>'Jobs-GAAP'!Y8</f>
        <v/>
      </c>
      <c r="P8" s="9">
        <f>N8-O8</f>
        <v/>
      </c>
      <c r="Q8" s="186" t="n"/>
      <c r="R8" s="11">
        <f>'Jobs-Ops'!AL8</f>
        <v/>
      </c>
      <c r="S8" s="11">
        <f>'Jobs-GAAP'!AH8</f>
        <v/>
      </c>
      <c r="T8" s="11">
        <f>IFERROR(R8-S8,0)</f>
        <v/>
      </c>
      <c r="U8" s="8">
        <f>'Jobs-Ops'!AM8</f>
        <v/>
      </c>
      <c r="V8" s="8">
        <f>'Jobs-GAAP'!AI8</f>
        <v/>
      </c>
      <c r="W8" s="8">
        <f>IFERROR(U8-V8,0)</f>
        <v/>
      </c>
      <c r="X8" s="9">
        <f>'Jobs-Ops'!AN8</f>
        <v/>
      </c>
      <c r="Y8" s="9">
        <f>'Jobs-GAAP'!AJ8</f>
        <v/>
      </c>
      <c r="Z8" s="9">
        <f>IFERROR(X8-Y8,0)</f>
        <v/>
      </c>
      <c r="AA8" s="153">
        <f>'Jobs-Ops'!AO8</f>
        <v/>
      </c>
      <c r="AB8" s="187" t="n"/>
      <c r="AC8" s="186" t="n"/>
      <c r="AD8" s="186" t="n"/>
      <c r="AE8" s="188" t="n"/>
      <c r="AF8" s="187" t="n"/>
      <c r="AG8" s="187" t="n"/>
      <c r="AH8" s="186" t="n"/>
      <c r="AI8" s="186" t="n"/>
      <c r="AJ8" s="186" t="n"/>
      <c r="AK8" s="186" t="n"/>
      <c r="AL8" s="186" t="n"/>
      <c r="AM8" s="186" t="n"/>
      <c r="AN8" s="186" t="n"/>
      <c r="AO8" s="186" t="n"/>
      <c r="AP8" s="186" t="n"/>
      <c r="AQ8" s="186" t="n"/>
      <c r="AR8" s="186" t="n"/>
      <c r="AS8" s="186" t="n"/>
      <c r="AT8" s="186" t="n"/>
      <c r="AU8" s="186" t="n"/>
      <c r="AV8" s="186" t="n"/>
      <c r="AW8" s="186" t="n"/>
      <c r="AX8" s="186" t="n"/>
      <c r="AY8" s="186" t="n"/>
      <c r="AZ8" s="186" t="n"/>
      <c r="BA8" s="186" t="n"/>
      <c r="BB8" s="186" t="n"/>
      <c r="BC8" s="186" t="n"/>
      <c r="BD8" s="190" t="n"/>
      <c r="BE8" s="186" t="n"/>
      <c r="BF8" s="186" t="n"/>
      <c r="BG8" s="186" t="n"/>
      <c r="BH8" s="186" t="n"/>
      <c r="BI8" s="186" t="n"/>
      <c r="BJ8" s="187" t="n"/>
      <c r="BK8" s="192" t="n"/>
      <c r="BL8" s="192" t="n"/>
      <c r="BM8" s="192" t="n"/>
      <c r="BN8" s="192" t="n"/>
    </row>
    <row r="9">
      <c r="A9" s="289">
        <f> 'Jobs-Ops'!A9</f>
        <v/>
      </c>
      <c r="B9" s="290">
        <f>'Jobs-Ops'!B9</f>
        <v/>
      </c>
      <c r="C9" s="290">
        <f>'Jobs-Ops'!C9</f>
        <v/>
      </c>
      <c r="D9" s="179" t="n"/>
      <c r="E9" s="181">
        <f>'Jobs-Ops'!I9</f>
        <v/>
      </c>
      <c r="F9" s="205">
        <f>'Jobs-Ops'!U9</f>
        <v/>
      </c>
      <c r="G9" s="181">
        <f>'Jobs-GAAP'!J9</f>
        <v/>
      </c>
      <c r="H9" s="205">
        <f>'Jobs-GAAP'!V9</f>
        <v/>
      </c>
      <c r="I9" s="181">
        <f>E9-G9</f>
        <v/>
      </c>
      <c r="J9" s="9">
        <f>'Jobs-Ops'!P9</f>
        <v/>
      </c>
      <c r="K9" s="9">
        <f>'Jobs-GAAP'!Q9</f>
        <v/>
      </c>
      <c r="L9" s="9">
        <f>J9-K9</f>
        <v/>
      </c>
      <c r="M9" s="186" t="n"/>
      <c r="N9" s="9">
        <f>'Jobs-Ops'!Y9</f>
        <v/>
      </c>
      <c r="O9" s="9">
        <f>'Jobs-GAAP'!Y9</f>
        <v/>
      </c>
      <c r="P9" s="9">
        <f>N9-O9</f>
        <v/>
      </c>
      <c r="Q9" s="186" t="n"/>
      <c r="R9" s="11">
        <f>'Jobs-Ops'!AL9</f>
        <v/>
      </c>
      <c r="S9" s="11">
        <f>'Jobs-GAAP'!AH9</f>
        <v/>
      </c>
      <c r="T9" s="11">
        <f>IFERROR(R9-S9,0)</f>
        <v/>
      </c>
      <c r="U9" s="8">
        <f>'Jobs-Ops'!AM9</f>
        <v/>
      </c>
      <c r="V9" s="8">
        <f>'Jobs-GAAP'!AI9</f>
        <v/>
      </c>
      <c r="W9" s="8">
        <f>IFERROR(U9-V9,0)</f>
        <v/>
      </c>
      <c r="X9" s="9">
        <f>'Jobs-Ops'!AN9</f>
        <v/>
      </c>
      <c r="Y9" s="9">
        <f>'Jobs-GAAP'!AJ9</f>
        <v/>
      </c>
      <c r="Z9" s="9">
        <f>IFERROR(X9-Y9,0)</f>
        <v/>
      </c>
      <c r="AA9" s="153">
        <f>'Jobs-Ops'!AO9</f>
        <v/>
      </c>
      <c r="AB9" s="187" t="n"/>
      <c r="AC9" s="186" t="n"/>
      <c r="AD9" s="186" t="n"/>
      <c r="AE9" s="188" t="n"/>
      <c r="AF9" s="187" t="n"/>
      <c r="AG9" s="187" t="n"/>
      <c r="AH9" s="186" t="n"/>
      <c r="AI9" s="186" t="n"/>
      <c r="AJ9" s="186" t="n"/>
      <c r="AK9" s="186" t="n"/>
      <c r="AL9" s="186" t="n"/>
      <c r="AM9" s="186" t="n"/>
      <c r="AN9" s="186" t="n"/>
      <c r="AO9" s="186" t="n"/>
      <c r="AP9" s="186" t="n"/>
      <c r="AQ9" s="186" t="n"/>
      <c r="AR9" s="186" t="n"/>
      <c r="AS9" s="186" t="n"/>
      <c r="AT9" s="186" t="n"/>
      <c r="AU9" s="186" t="n"/>
      <c r="AV9" s="186" t="n"/>
      <c r="AW9" s="186" t="n"/>
      <c r="AX9" s="186" t="n"/>
      <c r="AY9" s="186" t="n"/>
      <c r="AZ9" s="186" t="n"/>
      <c r="BA9" s="186" t="n"/>
      <c r="BB9" s="186" t="n"/>
      <c r="BC9" s="186" t="n"/>
      <c r="BD9" s="190" t="n"/>
      <c r="BE9" s="186" t="n"/>
      <c r="BF9" s="192" t="n"/>
      <c r="BG9" s="192" t="n"/>
      <c r="BH9" s="192" t="n"/>
      <c r="BI9" s="192" t="n"/>
      <c r="BJ9" s="187" t="n"/>
      <c r="BK9" s="192" t="n"/>
      <c r="BL9" s="192" t="n"/>
      <c r="BM9" s="192" t="n"/>
      <c r="BN9" s="192" t="n"/>
    </row>
    <row r="10">
      <c r="A10" s="289">
        <f> 'Jobs-Ops'!A10</f>
        <v/>
      </c>
      <c r="B10" s="290">
        <f>'Jobs-Ops'!B10</f>
        <v/>
      </c>
      <c r="C10" s="290">
        <f>'Jobs-Ops'!C10</f>
        <v/>
      </c>
      <c r="D10" s="179" t="n"/>
      <c r="E10" s="181">
        <f>'Jobs-Ops'!I10</f>
        <v/>
      </c>
      <c r="F10" s="205">
        <f>'Jobs-Ops'!U10</f>
        <v/>
      </c>
      <c r="G10" s="181">
        <f>'Jobs-GAAP'!J10</f>
        <v/>
      </c>
      <c r="H10" s="205">
        <f>'Jobs-GAAP'!V10</f>
        <v/>
      </c>
      <c r="I10" s="181">
        <f>E10-G10</f>
        <v/>
      </c>
      <c r="J10" s="9">
        <f>'Jobs-Ops'!P10</f>
        <v/>
      </c>
      <c r="K10" s="9">
        <f>'Jobs-GAAP'!Q10</f>
        <v/>
      </c>
      <c r="L10" s="9">
        <f>J10-K10</f>
        <v/>
      </c>
      <c r="M10" s="186" t="n"/>
      <c r="N10" s="9">
        <f>'Jobs-Ops'!Y10</f>
        <v/>
      </c>
      <c r="O10" s="9">
        <f>'Jobs-GAAP'!Y10</f>
        <v/>
      </c>
      <c r="P10" s="9">
        <f>N10-O10</f>
        <v/>
      </c>
      <c r="Q10" s="186" t="n"/>
      <c r="R10" s="11">
        <f>'Jobs-Ops'!AL10</f>
        <v/>
      </c>
      <c r="S10" s="11">
        <f>'Jobs-GAAP'!AH10</f>
        <v/>
      </c>
      <c r="T10" s="11">
        <f>IFERROR(R10-S10,0)</f>
        <v/>
      </c>
      <c r="U10" s="8">
        <f>'Jobs-Ops'!AM10</f>
        <v/>
      </c>
      <c r="V10" s="8">
        <f>'Jobs-GAAP'!AI10</f>
        <v/>
      </c>
      <c r="W10" s="8">
        <f>IFERROR(U10-V10,0)</f>
        <v/>
      </c>
      <c r="X10" s="9">
        <f>'Jobs-Ops'!AN10</f>
        <v/>
      </c>
      <c r="Y10" s="9">
        <f>'Jobs-GAAP'!AJ10</f>
        <v/>
      </c>
      <c r="Z10" s="9">
        <f>IFERROR(X10-Y10,0)</f>
        <v/>
      </c>
      <c r="AA10" s="153">
        <f>'Jobs-Ops'!AO10</f>
        <v/>
      </c>
      <c r="AB10" s="187" t="n"/>
      <c r="AC10" s="186" t="n"/>
      <c r="AD10" s="186" t="n"/>
      <c r="AE10" s="188" t="n"/>
      <c r="AF10" s="187" t="n"/>
      <c r="AG10" s="187" t="n"/>
      <c r="AH10" s="186" t="n"/>
      <c r="AI10" s="186" t="n"/>
      <c r="AJ10" s="186" t="n"/>
      <c r="AK10" s="186" t="n"/>
      <c r="AL10" s="186" t="n"/>
      <c r="AM10" s="186" t="n"/>
      <c r="AN10" s="186" t="n"/>
      <c r="AO10" s="186" t="n"/>
      <c r="AP10" s="186" t="n"/>
      <c r="AQ10" s="186" t="n"/>
      <c r="AR10" s="186" t="n"/>
      <c r="AS10" s="186" t="n"/>
      <c r="AT10" s="186" t="n"/>
      <c r="AU10" s="186" t="n"/>
      <c r="AV10" s="186" t="n"/>
      <c r="AW10" s="186" t="n"/>
      <c r="AX10" s="186" t="n"/>
      <c r="AY10" s="186" t="n"/>
      <c r="AZ10" s="186" t="n"/>
      <c r="BA10" s="186" t="n"/>
      <c r="BB10" s="186" t="n"/>
      <c r="BC10" s="186" t="n"/>
      <c r="BD10" s="190" t="n"/>
      <c r="BE10" s="186" t="n"/>
      <c r="BF10" s="192" t="n"/>
      <c r="BG10" s="192" t="n"/>
      <c r="BH10" s="192" t="n"/>
      <c r="BI10" s="192" t="n"/>
      <c r="BJ10" s="187" t="n"/>
      <c r="BK10" s="192" t="n"/>
      <c r="BL10" s="192" t="n"/>
      <c r="BM10" s="192" t="n"/>
      <c r="BN10" s="192" t="n"/>
    </row>
    <row r="11">
      <c r="A11" s="289">
        <f> 'Jobs-Ops'!A11</f>
        <v/>
      </c>
      <c r="B11" s="290">
        <f>'Jobs-Ops'!B11</f>
        <v/>
      </c>
      <c r="C11" s="290">
        <f>'Jobs-Ops'!C11</f>
        <v/>
      </c>
      <c r="D11" s="179" t="n"/>
      <c r="E11" s="181">
        <f>'Jobs-Ops'!I11</f>
        <v/>
      </c>
      <c r="F11" s="205">
        <f>'Jobs-Ops'!U11</f>
        <v/>
      </c>
      <c r="G11" s="181">
        <f>'Jobs-GAAP'!J11</f>
        <v/>
      </c>
      <c r="H11" s="205">
        <f>'Jobs-GAAP'!V11</f>
        <v/>
      </c>
      <c r="I11" s="181">
        <f>E11-G11</f>
        <v/>
      </c>
      <c r="J11" s="9">
        <f>'Jobs-Ops'!P11</f>
        <v/>
      </c>
      <c r="K11" s="9">
        <f>'Jobs-GAAP'!Q11</f>
        <v/>
      </c>
      <c r="L11" s="9">
        <f>J11-K11</f>
        <v/>
      </c>
      <c r="M11" s="186" t="n"/>
      <c r="N11" s="9">
        <f>'Jobs-Ops'!Y11</f>
        <v/>
      </c>
      <c r="O11" s="9">
        <f>'Jobs-GAAP'!Y11</f>
        <v/>
      </c>
      <c r="P11" s="9">
        <f>N11-O11</f>
        <v/>
      </c>
      <c r="Q11" s="186" t="n"/>
      <c r="R11" s="11">
        <f>'Jobs-Ops'!AL11</f>
        <v/>
      </c>
      <c r="S11" s="11">
        <f>'Jobs-GAAP'!AH11</f>
        <v/>
      </c>
      <c r="T11" s="11">
        <f>IFERROR(R11-S11,0)</f>
        <v/>
      </c>
      <c r="U11" s="8">
        <f>'Jobs-Ops'!AM11</f>
        <v/>
      </c>
      <c r="V11" s="8">
        <f>'Jobs-GAAP'!AI11</f>
        <v/>
      </c>
      <c r="W11" s="8">
        <f>IFERROR(U11-V11,0)</f>
        <v/>
      </c>
      <c r="X11" s="9">
        <f>'Jobs-Ops'!AN11</f>
        <v/>
      </c>
      <c r="Y11" s="9">
        <f>'Jobs-GAAP'!AJ11</f>
        <v/>
      </c>
      <c r="Z11" s="9">
        <f>IFERROR(X11-Y11,0)</f>
        <v/>
      </c>
      <c r="AA11" s="153">
        <f>'Jobs-Ops'!AO11</f>
        <v/>
      </c>
      <c r="AB11" s="187" t="n"/>
      <c r="AC11" s="186" t="n"/>
      <c r="AD11" s="186" t="n"/>
      <c r="AE11" s="188" t="n"/>
      <c r="AF11" s="187" t="n"/>
      <c r="AG11" s="187" t="n"/>
      <c r="AH11" s="186" t="n"/>
      <c r="AI11" s="186" t="n"/>
      <c r="AJ11" s="186" t="n"/>
      <c r="AK11" s="186" t="n"/>
      <c r="AL11" s="186" t="n"/>
      <c r="AM11" s="186" t="n"/>
      <c r="AN11" s="186" t="n"/>
      <c r="AO11" s="186" t="n"/>
      <c r="AP11" s="186" t="n"/>
      <c r="AQ11" s="186" t="n"/>
      <c r="AR11" s="186" t="n"/>
      <c r="AS11" s="186" t="n"/>
      <c r="AT11" s="186" t="n"/>
      <c r="AU11" s="186" t="n"/>
      <c r="AV11" s="186" t="n"/>
      <c r="AW11" s="186" t="n"/>
      <c r="AX11" s="186" t="n"/>
      <c r="AY11" s="186" t="n"/>
      <c r="AZ11" s="186" t="n"/>
      <c r="BA11" s="186" t="n"/>
      <c r="BB11" s="186" t="n"/>
      <c r="BC11" s="186" t="n"/>
      <c r="BD11" s="190" t="n"/>
      <c r="BE11" s="186" t="n"/>
      <c r="BF11" s="192" t="n"/>
      <c r="BG11" s="192" t="n"/>
      <c r="BH11" s="192" t="n"/>
      <c r="BI11" s="192" t="n"/>
      <c r="BJ11" s="187" t="n"/>
      <c r="BK11" s="192" t="n"/>
      <c r="BL11" s="192" t="n"/>
      <c r="BM11" s="192" t="n"/>
      <c r="BN11" s="192" t="n"/>
    </row>
    <row r="12">
      <c r="A12" s="289">
        <f> 'Jobs-Ops'!A12</f>
        <v/>
      </c>
      <c r="B12" s="290">
        <f>'Jobs-Ops'!B12</f>
        <v/>
      </c>
      <c r="C12" s="290">
        <f>'Jobs-Ops'!C12</f>
        <v/>
      </c>
      <c r="D12" s="179" t="n"/>
      <c r="E12" s="181">
        <f>'Jobs-Ops'!I12</f>
        <v/>
      </c>
      <c r="F12" s="205">
        <f>'Jobs-Ops'!U12</f>
        <v/>
      </c>
      <c r="G12" s="181">
        <f>'Jobs-GAAP'!J12</f>
        <v/>
      </c>
      <c r="H12" s="205">
        <f>'Jobs-GAAP'!V12</f>
        <v/>
      </c>
      <c r="I12" s="181">
        <f>E12-G12</f>
        <v/>
      </c>
      <c r="J12" s="9">
        <f>'Jobs-Ops'!P12</f>
        <v/>
      </c>
      <c r="K12" s="9">
        <f>'Jobs-GAAP'!Q12</f>
        <v/>
      </c>
      <c r="L12" s="9">
        <f>J12-K12</f>
        <v/>
      </c>
      <c r="M12" s="186" t="n"/>
      <c r="N12" s="9">
        <f>'Jobs-Ops'!Y12</f>
        <v/>
      </c>
      <c r="O12" s="9">
        <f>'Jobs-GAAP'!Y12</f>
        <v/>
      </c>
      <c r="P12" s="9">
        <f>N12-O12</f>
        <v/>
      </c>
      <c r="Q12" s="186" t="n"/>
      <c r="R12" s="11">
        <f>'Jobs-Ops'!AL12</f>
        <v/>
      </c>
      <c r="S12" s="11">
        <f>'Jobs-GAAP'!AH12</f>
        <v/>
      </c>
      <c r="T12" s="11">
        <f>IFERROR(R12-S12,0)</f>
        <v/>
      </c>
      <c r="U12" s="8">
        <f>'Jobs-Ops'!AM12</f>
        <v/>
      </c>
      <c r="V12" s="8">
        <f>'Jobs-GAAP'!AI12</f>
        <v/>
      </c>
      <c r="W12" s="8">
        <f>IFERROR(U12-V12,0)</f>
        <v/>
      </c>
      <c r="X12" s="9">
        <f>'Jobs-Ops'!AN12</f>
        <v/>
      </c>
      <c r="Y12" s="9">
        <f>'Jobs-GAAP'!AJ12</f>
        <v/>
      </c>
      <c r="Z12" s="9">
        <f>IFERROR(X12-Y12,0)</f>
        <v/>
      </c>
      <c r="AA12" s="153">
        <f>'Jobs-Ops'!AO12</f>
        <v/>
      </c>
      <c r="AB12" s="187" t="n"/>
      <c r="AC12" s="186" t="n"/>
      <c r="AD12" s="186" t="n"/>
      <c r="AE12" s="188" t="n"/>
      <c r="AF12" s="187" t="n"/>
      <c r="AG12" s="187" t="n"/>
      <c r="AH12" s="186" t="n"/>
      <c r="AI12" s="186" t="n"/>
      <c r="AJ12" s="186" t="n"/>
      <c r="AK12" s="186" t="n"/>
      <c r="AL12" s="186" t="n"/>
      <c r="AM12" s="194" t="n"/>
      <c r="AN12" s="186" t="n"/>
      <c r="AO12" s="186" t="n"/>
      <c r="AP12" s="186" t="n"/>
      <c r="AQ12" s="186" t="n"/>
      <c r="AR12" s="186" t="n"/>
      <c r="AS12" s="186" t="n"/>
      <c r="AT12" s="186" t="n"/>
      <c r="AU12" s="186" t="n"/>
      <c r="AV12" s="186" t="n"/>
      <c r="AW12" s="186" t="n"/>
      <c r="AX12" s="186" t="n"/>
      <c r="AY12" s="186" t="n"/>
      <c r="AZ12" s="186" t="n"/>
      <c r="BA12" s="186" t="n"/>
      <c r="BB12" s="186" t="n"/>
      <c r="BC12" s="186" t="n"/>
      <c r="BD12" s="190" t="n"/>
      <c r="BE12" s="186" t="n"/>
      <c r="BF12" s="186" t="n"/>
      <c r="BG12" s="186" t="n"/>
      <c r="BH12" s="186" t="n"/>
      <c r="BI12" s="186" t="n"/>
      <c r="BJ12" s="187" t="n"/>
      <c r="BK12" s="192" t="n"/>
      <c r="BL12" s="192" t="n"/>
      <c r="BM12" s="192" t="n"/>
      <c r="BN12" s="192" t="n"/>
    </row>
    <row r="13">
      <c r="A13" s="289">
        <f> 'Jobs-Ops'!A13</f>
        <v/>
      </c>
      <c r="B13" s="290">
        <f>'Jobs-Ops'!B13</f>
        <v/>
      </c>
      <c r="C13" s="290">
        <f>'Jobs-Ops'!C13</f>
        <v/>
      </c>
      <c r="D13" s="179" t="n"/>
      <c r="E13" s="181">
        <f>'Jobs-Ops'!I13</f>
        <v/>
      </c>
      <c r="F13" s="205">
        <f>'Jobs-Ops'!U13</f>
        <v/>
      </c>
      <c r="G13" s="181">
        <f>'Jobs-GAAP'!J13</f>
        <v/>
      </c>
      <c r="H13" s="205">
        <f>'Jobs-GAAP'!V13</f>
        <v/>
      </c>
      <c r="I13" s="181">
        <f>E13-G13</f>
        <v/>
      </c>
      <c r="J13" s="9">
        <f>'Jobs-Ops'!P13</f>
        <v/>
      </c>
      <c r="K13" s="9">
        <f>'Jobs-GAAP'!Q13</f>
        <v/>
      </c>
      <c r="L13" s="9">
        <f>J13-K13</f>
        <v/>
      </c>
      <c r="M13" s="186" t="n"/>
      <c r="N13" s="9">
        <f>'Jobs-Ops'!Y13</f>
        <v/>
      </c>
      <c r="O13" s="9">
        <f>'Jobs-GAAP'!Y13</f>
        <v/>
      </c>
      <c r="P13" s="9">
        <f>N13-O13</f>
        <v/>
      </c>
      <c r="Q13" s="186" t="n"/>
      <c r="R13" s="11">
        <f>'Jobs-Ops'!AL13</f>
        <v/>
      </c>
      <c r="S13" s="11">
        <f>'Jobs-GAAP'!AH13</f>
        <v/>
      </c>
      <c r="T13" s="11">
        <f>IFERROR(R13-S13,0)</f>
        <v/>
      </c>
      <c r="U13" s="8">
        <f>'Jobs-Ops'!AM13</f>
        <v/>
      </c>
      <c r="V13" s="8">
        <f>'Jobs-GAAP'!AI13</f>
        <v/>
      </c>
      <c r="W13" s="8">
        <f>IFERROR(U13-V13,0)</f>
        <v/>
      </c>
      <c r="X13" s="9">
        <f>'Jobs-Ops'!AN13</f>
        <v/>
      </c>
      <c r="Y13" s="9">
        <f>'Jobs-GAAP'!AJ13</f>
        <v/>
      </c>
      <c r="Z13" s="9">
        <f>IFERROR(X13-Y13,0)</f>
        <v/>
      </c>
      <c r="AA13" s="153">
        <f>'Jobs-Ops'!AO13</f>
        <v/>
      </c>
      <c r="AB13" s="187" t="n"/>
      <c r="AC13" s="186" t="n"/>
      <c r="AD13" s="186" t="n"/>
      <c r="AE13" s="188" t="n"/>
      <c r="AF13" s="187" t="n"/>
      <c r="AG13" s="187" t="n"/>
      <c r="AH13" s="186" t="n"/>
      <c r="AI13" s="186" t="n"/>
      <c r="AJ13" s="186" t="n"/>
      <c r="AK13" s="186" t="n"/>
      <c r="AL13" s="186" t="n"/>
      <c r="AM13" s="186" t="n"/>
      <c r="AN13" s="186" t="n"/>
      <c r="AO13" s="186" t="n"/>
      <c r="AP13" s="186" t="n"/>
      <c r="AQ13" s="186" t="n"/>
      <c r="AR13" s="186" t="n"/>
      <c r="AS13" s="186" t="n"/>
      <c r="AT13" s="186" t="n"/>
      <c r="AU13" s="186" t="n"/>
      <c r="AV13" s="186" t="n"/>
      <c r="AW13" s="186" t="n"/>
      <c r="AX13" s="186" t="n"/>
      <c r="AY13" s="186" t="n"/>
      <c r="AZ13" s="186" t="n"/>
      <c r="BA13" s="186" t="n"/>
      <c r="BB13" s="186" t="n"/>
      <c r="BC13" s="186" t="n"/>
      <c r="BD13" s="190" t="n"/>
      <c r="BE13" s="186" t="n"/>
      <c r="BF13" s="186" t="n"/>
      <c r="BG13" s="186" t="n"/>
      <c r="BH13" s="186" t="n"/>
      <c r="BI13" s="186" t="n"/>
      <c r="BJ13" s="187" t="n"/>
      <c r="BK13" s="192" t="n"/>
      <c r="BL13" s="192" t="n"/>
      <c r="BM13" s="192" t="n"/>
      <c r="BN13" s="192" t="n"/>
    </row>
    <row r="14">
      <c r="A14" s="289">
        <f> 'Jobs-Ops'!A14</f>
        <v/>
      </c>
      <c r="B14" s="290">
        <f>'Jobs-Ops'!B14</f>
        <v/>
      </c>
      <c r="C14" s="290">
        <f>'Jobs-Ops'!C14</f>
        <v/>
      </c>
      <c r="D14" s="179" t="n"/>
      <c r="E14" s="181">
        <f>'Jobs-Ops'!I14</f>
        <v/>
      </c>
      <c r="F14" s="205">
        <f>'Jobs-Ops'!U14</f>
        <v/>
      </c>
      <c r="G14" s="181">
        <f>'Jobs-GAAP'!J14</f>
        <v/>
      </c>
      <c r="H14" s="205">
        <f>'Jobs-GAAP'!V14</f>
        <v/>
      </c>
      <c r="I14" s="181">
        <f>E14-G14</f>
        <v/>
      </c>
      <c r="J14" s="9">
        <f>'Jobs-Ops'!P14</f>
        <v/>
      </c>
      <c r="K14" s="9">
        <f>'Jobs-GAAP'!Q14</f>
        <v/>
      </c>
      <c r="L14" s="9">
        <f>J14-K14</f>
        <v/>
      </c>
      <c r="M14" s="186" t="n"/>
      <c r="N14" s="9">
        <f>'Jobs-Ops'!Y14</f>
        <v/>
      </c>
      <c r="O14" s="9">
        <f>'Jobs-GAAP'!Y14</f>
        <v/>
      </c>
      <c r="P14" s="9">
        <f>N14-O14</f>
        <v/>
      </c>
      <c r="Q14" s="186" t="n"/>
      <c r="R14" s="11">
        <f>'Jobs-Ops'!AL14</f>
        <v/>
      </c>
      <c r="S14" s="11">
        <f>'Jobs-GAAP'!AH14</f>
        <v/>
      </c>
      <c r="T14" s="11">
        <f>IFERROR(R14-S14,0)</f>
        <v/>
      </c>
      <c r="U14" s="8">
        <f>'Jobs-Ops'!AM14</f>
        <v/>
      </c>
      <c r="V14" s="8">
        <f>'Jobs-GAAP'!AI14</f>
        <v/>
      </c>
      <c r="W14" s="8">
        <f>IFERROR(U14-V14,0)</f>
        <v/>
      </c>
      <c r="X14" s="9">
        <f>'Jobs-Ops'!AN14</f>
        <v/>
      </c>
      <c r="Y14" s="9">
        <f>'Jobs-GAAP'!AJ14</f>
        <v/>
      </c>
      <c r="Z14" s="9">
        <f>IFERROR(X14-Y14,0)</f>
        <v/>
      </c>
      <c r="AA14" s="153">
        <f>'Jobs-Ops'!AO14</f>
        <v/>
      </c>
      <c r="AB14" s="187" t="n"/>
      <c r="AC14" s="186" t="n"/>
      <c r="AD14" s="186" t="n"/>
      <c r="AE14" s="188" t="n"/>
      <c r="AF14" s="187" t="n"/>
      <c r="AG14" s="187" t="n"/>
      <c r="AH14" s="186" t="n"/>
      <c r="AI14" s="186" t="n"/>
      <c r="AJ14" s="186" t="n"/>
      <c r="AK14" s="186" t="n"/>
      <c r="AL14" s="186" t="n"/>
      <c r="AM14" s="186" t="n"/>
      <c r="AN14" s="186" t="n"/>
      <c r="AO14" s="186" t="n"/>
      <c r="AP14" s="186" t="n"/>
      <c r="AQ14" s="186" t="n"/>
      <c r="AR14" s="186" t="n"/>
      <c r="AS14" s="186" t="n"/>
      <c r="AT14" s="186" t="n"/>
      <c r="AU14" s="186" t="n"/>
      <c r="AV14" s="186" t="n"/>
      <c r="AW14" s="186" t="n"/>
      <c r="AX14" s="186" t="n"/>
      <c r="AY14" s="186" t="n"/>
      <c r="AZ14" s="186" t="n"/>
      <c r="BA14" s="186" t="n"/>
      <c r="BB14" s="186" t="n"/>
      <c r="BC14" s="186" t="n"/>
      <c r="BD14" s="190" t="n"/>
      <c r="BE14" s="186" t="n"/>
      <c r="BF14" s="186" t="n"/>
      <c r="BG14" s="186" t="n"/>
      <c r="BH14" s="186" t="n"/>
      <c r="BI14" s="186" t="n"/>
      <c r="BJ14" s="187" t="n"/>
      <c r="BK14" s="192" t="n"/>
      <c r="BL14" s="192" t="n"/>
      <c r="BM14" s="192" t="n"/>
      <c r="BN14" s="192" t="n"/>
    </row>
    <row r="15">
      <c r="A15" s="289">
        <f> 'Jobs-Ops'!A15</f>
        <v/>
      </c>
      <c r="B15" s="290">
        <f>'Jobs-Ops'!B15</f>
        <v/>
      </c>
      <c r="C15" s="290">
        <f>'Jobs-Ops'!C15</f>
        <v/>
      </c>
      <c r="D15" s="179" t="n"/>
      <c r="E15" s="181">
        <f>'Jobs-Ops'!I15</f>
        <v/>
      </c>
      <c r="F15" s="205">
        <f>'Jobs-Ops'!U15</f>
        <v/>
      </c>
      <c r="G15" s="181">
        <f>'Jobs-GAAP'!J15</f>
        <v/>
      </c>
      <c r="H15" s="205">
        <f>'Jobs-GAAP'!V15</f>
        <v/>
      </c>
      <c r="I15" s="181">
        <f>E15-G15</f>
        <v/>
      </c>
      <c r="J15" s="9">
        <f>'Jobs-Ops'!P15</f>
        <v/>
      </c>
      <c r="K15" s="9">
        <f>'Jobs-GAAP'!Q15</f>
        <v/>
      </c>
      <c r="L15" s="9">
        <f>J15-K15</f>
        <v/>
      </c>
      <c r="M15" s="186" t="n"/>
      <c r="N15" s="9">
        <f>'Jobs-Ops'!Y15</f>
        <v/>
      </c>
      <c r="O15" s="9">
        <f>'Jobs-GAAP'!Y15</f>
        <v/>
      </c>
      <c r="P15" s="9">
        <f>N15-O15</f>
        <v/>
      </c>
      <c r="Q15" s="186" t="n"/>
      <c r="R15" s="11">
        <f>'Jobs-Ops'!AL15</f>
        <v/>
      </c>
      <c r="S15" s="11">
        <f>'Jobs-GAAP'!AH15</f>
        <v/>
      </c>
      <c r="T15" s="11">
        <f>IFERROR(R15-S15,0)</f>
        <v/>
      </c>
      <c r="U15" s="8">
        <f>'Jobs-Ops'!AM15</f>
        <v/>
      </c>
      <c r="V15" s="8">
        <f>'Jobs-GAAP'!AI15</f>
        <v/>
      </c>
      <c r="W15" s="8">
        <f>IFERROR(U15-V15,0)</f>
        <v/>
      </c>
      <c r="X15" s="9">
        <f>'Jobs-Ops'!AN15</f>
        <v/>
      </c>
      <c r="Y15" s="9">
        <f>'Jobs-GAAP'!AJ15</f>
        <v/>
      </c>
      <c r="Z15" s="9">
        <f>IFERROR(X15-Y15,0)</f>
        <v/>
      </c>
      <c r="AA15" s="153">
        <f>'Jobs-Ops'!AO15</f>
        <v/>
      </c>
      <c r="AB15" s="187" t="n"/>
      <c r="AC15" s="186" t="n"/>
      <c r="AD15" s="186" t="n"/>
      <c r="AE15" s="188" t="n"/>
      <c r="AF15" s="187" t="n"/>
      <c r="AG15" s="187" t="n"/>
      <c r="AH15" s="186" t="n"/>
      <c r="AI15" s="186" t="n"/>
      <c r="AJ15" s="186" t="n"/>
      <c r="AK15" s="186" t="n"/>
      <c r="AL15" s="186" t="n"/>
      <c r="AM15" s="186" t="n"/>
      <c r="AN15" s="186" t="n"/>
      <c r="AO15" s="186" t="n"/>
      <c r="AP15" s="186" t="n"/>
      <c r="AQ15" s="186" t="n"/>
      <c r="AR15" s="186" t="n"/>
      <c r="AS15" s="186" t="n"/>
      <c r="AT15" s="186" t="n"/>
      <c r="AU15" s="186" t="n"/>
      <c r="AV15" s="186" t="n"/>
      <c r="AW15" s="186" t="n"/>
      <c r="AX15" s="186" t="n"/>
      <c r="AY15" s="186" t="n"/>
      <c r="AZ15" s="186" t="n"/>
      <c r="BA15" s="186" t="n"/>
      <c r="BB15" s="186" t="n"/>
      <c r="BC15" s="186" t="n"/>
      <c r="BD15" s="190" t="n"/>
      <c r="BE15" s="186" t="n"/>
      <c r="BF15" s="186" t="n"/>
      <c r="BG15" s="186" t="n"/>
      <c r="BH15" s="186" t="n"/>
      <c r="BI15" s="186" t="n"/>
      <c r="BJ15" s="187" t="n"/>
      <c r="BK15" s="192" t="n"/>
      <c r="BL15" s="192" t="n"/>
      <c r="BM15" s="192" t="n"/>
      <c r="BN15" s="192" t="n"/>
    </row>
    <row r="16">
      <c r="A16" s="289">
        <f> 'Jobs-Ops'!A16</f>
        <v/>
      </c>
      <c r="B16" s="290">
        <f>'Jobs-Ops'!B16</f>
        <v/>
      </c>
      <c r="C16" s="290">
        <f>'Jobs-Ops'!C16</f>
        <v/>
      </c>
      <c r="D16" s="179" t="n"/>
      <c r="E16" s="181">
        <f>'Jobs-Ops'!I16</f>
        <v/>
      </c>
      <c r="F16" s="205">
        <f>'Jobs-Ops'!U16</f>
        <v/>
      </c>
      <c r="G16" s="181">
        <f>'Jobs-GAAP'!J16</f>
        <v/>
      </c>
      <c r="H16" s="205">
        <f>'Jobs-GAAP'!V16</f>
        <v/>
      </c>
      <c r="I16" s="181">
        <f>E16-G16</f>
        <v/>
      </c>
      <c r="J16" s="9">
        <f>'Jobs-Ops'!P16</f>
        <v/>
      </c>
      <c r="K16" s="9">
        <f>'Jobs-GAAP'!Q16</f>
        <v/>
      </c>
      <c r="L16" s="9">
        <f>J16-K16</f>
        <v/>
      </c>
      <c r="M16" s="186" t="n"/>
      <c r="N16" s="9">
        <f>'Jobs-Ops'!Y16</f>
        <v/>
      </c>
      <c r="O16" s="9">
        <f>'Jobs-GAAP'!Y16</f>
        <v/>
      </c>
      <c r="P16" s="9">
        <f>N16-O16</f>
        <v/>
      </c>
      <c r="Q16" s="186" t="n"/>
      <c r="R16" s="11">
        <f>'Jobs-Ops'!AL16</f>
        <v/>
      </c>
      <c r="S16" s="11">
        <f>'Jobs-GAAP'!AH16</f>
        <v/>
      </c>
      <c r="T16" s="11">
        <f>IFERROR(R16-S16,0)</f>
        <v/>
      </c>
      <c r="U16" s="8">
        <f>'Jobs-Ops'!AM16</f>
        <v/>
      </c>
      <c r="V16" s="8">
        <f>'Jobs-GAAP'!AI16</f>
        <v/>
      </c>
      <c r="W16" s="8">
        <f>IFERROR(U16-V16,0)</f>
        <v/>
      </c>
      <c r="X16" s="9">
        <f>'Jobs-Ops'!AN16</f>
        <v/>
      </c>
      <c r="Y16" s="9">
        <f>'Jobs-GAAP'!AJ16</f>
        <v/>
      </c>
      <c r="Z16" s="9">
        <f>IFERROR(X16-Y16,0)</f>
        <v/>
      </c>
      <c r="AA16" s="153">
        <f>'Jobs-Ops'!AO16</f>
        <v/>
      </c>
      <c r="AB16" s="187" t="n"/>
      <c r="AC16" s="186" t="n"/>
      <c r="AD16" s="186" t="n"/>
      <c r="AE16" s="188" t="n"/>
      <c r="AF16" s="187" t="n"/>
      <c r="AG16" s="187" t="n"/>
      <c r="AH16" s="186" t="n"/>
      <c r="AI16" s="186" t="n"/>
      <c r="AJ16" s="186" t="n"/>
      <c r="AK16" s="186" t="n"/>
      <c r="AL16" s="186" t="n"/>
      <c r="AM16" s="186" t="n"/>
      <c r="AN16" s="186" t="n"/>
      <c r="AO16" s="186" t="n"/>
      <c r="AP16" s="186" t="n"/>
      <c r="AQ16" s="186" t="n"/>
      <c r="AR16" s="186" t="n"/>
      <c r="AS16" s="186" t="n"/>
      <c r="AT16" s="186" t="n"/>
      <c r="AU16" s="186" t="n"/>
      <c r="AV16" s="186" t="n"/>
      <c r="AW16" s="186" t="n"/>
      <c r="AX16" s="186" t="n"/>
      <c r="AY16" s="186" t="n"/>
      <c r="AZ16" s="186" t="n"/>
      <c r="BA16" s="186" t="n"/>
      <c r="BB16" s="186" t="n"/>
      <c r="BC16" s="186" t="n"/>
      <c r="BD16" s="190" t="n"/>
      <c r="BE16" s="186" t="n"/>
      <c r="BF16" s="186" t="n"/>
      <c r="BG16" s="186" t="n"/>
      <c r="BH16" s="186" t="n"/>
      <c r="BI16" s="186" t="n"/>
      <c r="BJ16" s="187" t="n"/>
      <c r="BK16" s="192" t="n"/>
      <c r="BL16" s="192" t="n"/>
      <c r="BM16" s="192" t="n"/>
      <c r="BN16" s="192" t="n"/>
    </row>
    <row r="17">
      <c r="A17" s="289">
        <f> 'Jobs-Ops'!A17</f>
        <v/>
      </c>
      <c r="B17" s="290">
        <f>'Jobs-Ops'!B17</f>
        <v/>
      </c>
      <c r="C17" s="290">
        <f>'Jobs-Ops'!C17</f>
        <v/>
      </c>
      <c r="D17" s="179" t="n"/>
      <c r="E17" s="181">
        <f>'Jobs-Ops'!I17</f>
        <v/>
      </c>
      <c r="F17" s="205">
        <f>'Jobs-Ops'!U17</f>
        <v/>
      </c>
      <c r="G17" s="181">
        <f>'Jobs-GAAP'!J17</f>
        <v/>
      </c>
      <c r="H17" s="205">
        <f>'Jobs-GAAP'!V17</f>
        <v/>
      </c>
      <c r="I17" s="181">
        <f>E17-G17</f>
        <v/>
      </c>
      <c r="J17" s="9">
        <f>'Jobs-Ops'!P17</f>
        <v/>
      </c>
      <c r="K17" s="9">
        <f>'Jobs-GAAP'!Q17</f>
        <v/>
      </c>
      <c r="L17" s="9">
        <f>J17-K17</f>
        <v/>
      </c>
      <c r="M17" s="186" t="n"/>
      <c r="N17" s="9">
        <f>'Jobs-Ops'!Y17</f>
        <v/>
      </c>
      <c r="O17" s="9">
        <f>'Jobs-GAAP'!Y17</f>
        <v/>
      </c>
      <c r="P17" s="9">
        <f>N17-O17</f>
        <v/>
      </c>
      <c r="Q17" s="186" t="n"/>
      <c r="R17" s="11">
        <f>'Jobs-Ops'!AL17</f>
        <v/>
      </c>
      <c r="S17" s="11">
        <f>'Jobs-GAAP'!AH17</f>
        <v/>
      </c>
      <c r="T17" s="11">
        <f>IFERROR(R17-S17,0)</f>
        <v/>
      </c>
      <c r="U17" s="8">
        <f>'Jobs-Ops'!AM17</f>
        <v/>
      </c>
      <c r="V17" s="8">
        <f>'Jobs-GAAP'!AI17</f>
        <v/>
      </c>
      <c r="W17" s="8">
        <f>IFERROR(U17-V17,0)</f>
        <v/>
      </c>
      <c r="X17" s="9">
        <f>'Jobs-Ops'!AN17</f>
        <v/>
      </c>
      <c r="Y17" s="9">
        <f>'Jobs-GAAP'!AJ17</f>
        <v/>
      </c>
      <c r="Z17" s="9">
        <f>IFERROR(X17-Y17,0)</f>
        <v/>
      </c>
      <c r="AA17" s="153">
        <f>'Jobs-Ops'!AO17</f>
        <v/>
      </c>
      <c r="AB17" s="187" t="n"/>
      <c r="AC17" s="186" t="n"/>
      <c r="AD17" s="186" t="n"/>
      <c r="AE17" s="188" t="n"/>
      <c r="AF17" s="187" t="n"/>
      <c r="AG17" s="187" t="n"/>
      <c r="AH17" s="186" t="n"/>
      <c r="AI17" s="186" t="n"/>
      <c r="AJ17" s="186" t="n"/>
      <c r="AK17" s="186" t="n"/>
      <c r="AL17" s="186" t="n"/>
      <c r="AM17" s="186" t="n"/>
      <c r="AN17" s="186" t="n"/>
      <c r="AO17" s="186" t="n"/>
      <c r="AP17" s="186" t="n"/>
      <c r="AQ17" s="186" t="n"/>
      <c r="AR17" s="186" t="n"/>
      <c r="AS17" s="186" t="n"/>
      <c r="AT17" s="186" t="n"/>
      <c r="AU17" s="186" t="n"/>
      <c r="AV17" s="186" t="n"/>
      <c r="AW17" s="186" t="n"/>
      <c r="AX17" s="186" t="n"/>
      <c r="AY17" s="186" t="n"/>
      <c r="AZ17" s="186" t="n"/>
      <c r="BA17" s="186" t="n"/>
      <c r="BB17" s="186" t="n"/>
      <c r="BC17" s="186" t="n"/>
      <c r="BD17" s="190" t="n"/>
      <c r="BE17" s="186" t="n"/>
      <c r="BF17" s="186" t="n"/>
      <c r="BG17" s="186" t="n"/>
      <c r="BH17" s="186" t="n"/>
      <c r="BI17" s="186" t="n"/>
      <c r="BJ17" s="187" t="n"/>
      <c r="BK17" s="192" t="n"/>
      <c r="BL17" s="192" t="n"/>
      <c r="BM17" s="192" t="n"/>
      <c r="BN17" s="192" t="n"/>
    </row>
    <row r="18">
      <c r="A18" s="289">
        <f> 'Jobs-Ops'!A18</f>
        <v/>
      </c>
      <c r="B18" s="290">
        <f>'Jobs-Ops'!B18</f>
        <v/>
      </c>
      <c r="C18" s="290">
        <f>'Jobs-Ops'!C18</f>
        <v/>
      </c>
      <c r="D18" s="179" t="n"/>
      <c r="E18" s="181">
        <f>'Jobs-Ops'!I18</f>
        <v/>
      </c>
      <c r="F18" s="205">
        <f>'Jobs-Ops'!U18</f>
        <v/>
      </c>
      <c r="G18" s="181">
        <f>'Jobs-GAAP'!J18</f>
        <v/>
      </c>
      <c r="H18" s="205">
        <f>'Jobs-GAAP'!V18</f>
        <v/>
      </c>
      <c r="I18" s="181">
        <f>E18-G18</f>
        <v/>
      </c>
      <c r="J18" s="9">
        <f>'Jobs-Ops'!P18</f>
        <v/>
      </c>
      <c r="K18" s="9">
        <f>'Jobs-GAAP'!Q18</f>
        <v/>
      </c>
      <c r="L18" s="9">
        <f>J18-K18</f>
        <v/>
      </c>
      <c r="M18" s="186" t="n"/>
      <c r="N18" s="9">
        <f>'Jobs-Ops'!Y18</f>
        <v/>
      </c>
      <c r="O18" s="9">
        <f>'Jobs-GAAP'!Y18</f>
        <v/>
      </c>
      <c r="P18" s="9">
        <f>N18-O18</f>
        <v/>
      </c>
      <c r="Q18" s="186" t="n"/>
      <c r="R18" s="11">
        <f>'Jobs-Ops'!AL18</f>
        <v/>
      </c>
      <c r="S18" s="11">
        <f>'Jobs-GAAP'!AH18</f>
        <v/>
      </c>
      <c r="T18" s="11">
        <f>IFERROR(R18-S18,0)</f>
        <v/>
      </c>
      <c r="U18" s="8">
        <f>'Jobs-Ops'!AM18</f>
        <v/>
      </c>
      <c r="V18" s="8">
        <f>'Jobs-GAAP'!AI18</f>
        <v/>
      </c>
      <c r="W18" s="8">
        <f>IFERROR(U18-V18,0)</f>
        <v/>
      </c>
      <c r="X18" s="9">
        <f>'Jobs-Ops'!AN18</f>
        <v/>
      </c>
      <c r="Y18" s="9">
        <f>'Jobs-GAAP'!AJ18</f>
        <v/>
      </c>
      <c r="Z18" s="9">
        <f>IFERROR(X18-Y18,0)</f>
        <v/>
      </c>
      <c r="AA18" s="153">
        <f>'Jobs-Ops'!AO18</f>
        <v/>
      </c>
      <c r="AB18" s="187" t="n"/>
      <c r="AC18" s="186" t="n"/>
      <c r="AD18" s="186" t="n"/>
      <c r="AE18" s="188" t="n"/>
      <c r="AF18" s="187" t="n"/>
      <c r="AG18" s="187" t="n"/>
      <c r="AH18" s="186" t="n"/>
      <c r="AI18" s="186" t="n"/>
      <c r="AJ18" s="186" t="n"/>
      <c r="AK18" s="186" t="n"/>
      <c r="AL18" s="186" t="n"/>
      <c r="AM18" s="186" t="n"/>
      <c r="AN18" s="186" t="n"/>
      <c r="AO18" s="186" t="n"/>
      <c r="AP18" s="186" t="n"/>
      <c r="AQ18" s="186" t="n"/>
      <c r="AR18" s="186" t="n"/>
      <c r="AS18" s="186" t="n"/>
      <c r="AT18" s="186" t="n"/>
      <c r="AU18" s="186" t="n"/>
      <c r="AV18" s="186" t="n"/>
      <c r="AW18" s="186" t="n"/>
      <c r="AX18" s="186" t="n"/>
      <c r="AY18" s="186" t="n"/>
      <c r="AZ18" s="186" t="n"/>
      <c r="BA18" s="186" t="n"/>
      <c r="BB18" s="186" t="n"/>
      <c r="BC18" s="186" t="n"/>
      <c r="BD18" s="190" t="n"/>
      <c r="BE18" s="186" t="n"/>
      <c r="BF18" s="186" t="n"/>
      <c r="BG18" s="186" t="n"/>
      <c r="BH18" s="186" t="n"/>
      <c r="BI18" s="186" t="n"/>
      <c r="BJ18" s="187" t="n"/>
      <c r="BK18" s="192" t="n"/>
      <c r="BL18" s="192" t="n"/>
      <c r="BM18" s="192" t="n"/>
      <c r="BN18" s="192" t="n"/>
    </row>
    <row r="19">
      <c r="A19" s="289">
        <f> 'Jobs-Ops'!A19</f>
        <v/>
      </c>
      <c r="B19" s="290">
        <f>'Jobs-Ops'!B19</f>
        <v/>
      </c>
      <c r="C19" s="290">
        <f>'Jobs-Ops'!C19</f>
        <v/>
      </c>
      <c r="D19" s="179" t="n"/>
      <c r="E19" s="181">
        <f>'Jobs-Ops'!I19</f>
        <v/>
      </c>
      <c r="F19" s="205">
        <f>'Jobs-Ops'!U19</f>
        <v/>
      </c>
      <c r="G19" s="181">
        <f>'Jobs-GAAP'!J19</f>
        <v/>
      </c>
      <c r="H19" s="205">
        <f>'Jobs-GAAP'!V19</f>
        <v/>
      </c>
      <c r="I19" s="181">
        <f>E19-G19</f>
        <v/>
      </c>
      <c r="J19" s="9">
        <f>'Jobs-Ops'!P19</f>
        <v/>
      </c>
      <c r="K19" s="9">
        <f>'Jobs-GAAP'!Q19</f>
        <v/>
      </c>
      <c r="L19" s="9">
        <f>J19-K19</f>
        <v/>
      </c>
      <c r="M19" s="186" t="n"/>
      <c r="N19" s="9">
        <f>'Jobs-Ops'!Y19</f>
        <v/>
      </c>
      <c r="O19" s="9">
        <f>'Jobs-GAAP'!Y19</f>
        <v/>
      </c>
      <c r="P19" s="9">
        <f>N19-O19</f>
        <v/>
      </c>
      <c r="Q19" s="186" t="n"/>
      <c r="R19" s="11">
        <f>'Jobs-Ops'!AL19</f>
        <v/>
      </c>
      <c r="S19" s="11">
        <f>'Jobs-GAAP'!AH19</f>
        <v/>
      </c>
      <c r="T19" s="11">
        <f>IFERROR(R19-S19,0)</f>
        <v/>
      </c>
      <c r="U19" s="8">
        <f>'Jobs-Ops'!AM19</f>
        <v/>
      </c>
      <c r="V19" s="8">
        <f>'Jobs-GAAP'!AI19</f>
        <v/>
      </c>
      <c r="W19" s="8">
        <f>IFERROR(U19-V19,0)</f>
        <v/>
      </c>
      <c r="X19" s="9">
        <f>'Jobs-Ops'!AN19</f>
        <v/>
      </c>
      <c r="Y19" s="9">
        <f>'Jobs-GAAP'!AJ19</f>
        <v/>
      </c>
      <c r="Z19" s="9">
        <f>IFERROR(X19-Y19,0)</f>
        <v/>
      </c>
      <c r="AA19" s="153">
        <f>'Jobs-Ops'!AO19</f>
        <v/>
      </c>
      <c r="AB19" s="187" t="n"/>
      <c r="AC19" s="186" t="n"/>
      <c r="AD19" s="186" t="n"/>
      <c r="AE19" s="188" t="n"/>
      <c r="AF19" s="187" t="n"/>
      <c r="AG19" s="187" t="n"/>
      <c r="AH19" s="186" t="n"/>
      <c r="AI19" s="186" t="n"/>
      <c r="AJ19" s="186" t="n"/>
      <c r="AK19" s="186" t="n"/>
      <c r="AL19" s="186" t="n"/>
      <c r="AM19" s="186" t="n"/>
      <c r="AN19" s="186" t="n"/>
      <c r="AO19" s="186" t="n"/>
      <c r="AP19" s="186" t="n"/>
      <c r="AQ19" s="186" t="n"/>
      <c r="AR19" s="186" t="n"/>
      <c r="AS19" s="186" t="n"/>
      <c r="AT19" s="186" t="n"/>
      <c r="AU19" s="186" t="n"/>
      <c r="AV19" s="186" t="n"/>
      <c r="AW19" s="186" t="n"/>
      <c r="AX19" s="186" t="n"/>
      <c r="AY19" s="186" t="n"/>
      <c r="AZ19" s="186" t="n"/>
      <c r="BA19" s="186" t="n"/>
      <c r="BB19" s="186" t="n"/>
      <c r="BC19" s="186" t="n"/>
      <c r="BD19" s="190" t="n"/>
      <c r="BE19" s="186" t="n"/>
      <c r="BF19" s="186" t="n"/>
      <c r="BG19" s="186" t="n"/>
      <c r="BH19" s="186" t="n"/>
      <c r="BI19" s="186" t="n"/>
      <c r="BJ19" s="187" t="n"/>
      <c r="BK19" s="192" t="n"/>
      <c r="BL19" s="192" t="n"/>
      <c r="BM19" s="192" t="n"/>
      <c r="BN19" s="192" t="n"/>
    </row>
    <row r="20">
      <c r="A20" s="289">
        <f> 'Jobs-Ops'!A20</f>
        <v/>
      </c>
      <c r="B20" s="290">
        <f>'Jobs-Ops'!B20</f>
        <v/>
      </c>
      <c r="C20" s="290">
        <f>'Jobs-Ops'!C20</f>
        <v/>
      </c>
      <c r="D20" s="179" t="n"/>
      <c r="E20" s="181">
        <f>'Jobs-Ops'!I20</f>
        <v/>
      </c>
      <c r="F20" s="205">
        <f>'Jobs-Ops'!U20</f>
        <v/>
      </c>
      <c r="G20" s="181">
        <f>'Jobs-GAAP'!J20</f>
        <v/>
      </c>
      <c r="H20" s="205">
        <f>'Jobs-GAAP'!V20</f>
        <v/>
      </c>
      <c r="I20" s="181">
        <f>E20-G20</f>
        <v/>
      </c>
      <c r="J20" s="9">
        <f>'Jobs-Ops'!P20</f>
        <v/>
      </c>
      <c r="K20" s="9">
        <f>'Jobs-GAAP'!Q20</f>
        <v/>
      </c>
      <c r="L20" s="9">
        <f>J20-K20</f>
        <v/>
      </c>
      <c r="M20" s="186" t="n"/>
      <c r="N20" s="9">
        <f>'Jobs-Ops'!Y20</f>
        <v/>
      </c>
      <c r="O20" s="9">
        <f>'Jobs-GAAP'!Y20</f>
        <v/>
      </c>
      <c r="P20" s="9">
        <f>N20-O20</f>
        <v/>
      </c>
      <c r="Q20" s="186" t="n"/>
      <c r="R20" s="11">
        <f>'Jobs-Ops'!AL20</f>
        <v/>
      </c>
      <c r="S20" s="11">
        <f>'Jobs-GAAP'!AH20</f>
        <v/>
      </c>
      <c r="T20" s="11">
        <f>IFERROR(R20-S20,0)</f>
        <v/>
      </c>
      <c r="U20" s="8">
        <f>'Jobs-Ops'!AM20</f>
        <v/>
      </c>
      <c r="V20" s="8">
        <f>'Jobs-GAAP'!AI20</f>
        <v/>
      </c>
      <c r="W20" s="8">
        <f>IFERROR(U20-V20,0)</f>
        <v/>
      </c>
      <c r="X20" s="9">
        <f>'Jobs-Ops'!AN20</f>
        <v/>
      </c>
      <c r="Y20" s="9">
        <f>'Jobs-GAAP'!AJ20</f>
        <v/>
      </c>
      <c r="Z20" s="9">
        <f>IFERROR(X20-Y20,0)</f>
        <v/>
      </c>
      <c r="AA20" s="153">
        <f>'Jobs-Ops'!AO20</f>
        <v/>
      </c>
      <c r="AB20" s="187" t="n"/>
      <c r="AC20" s="186" t="n"/>
      <c r="AD20" s="186" t="n"/>
      <c r="AE20" s="188" t="n"/>
      <c r="AF20" s="187" t="n"/>
      <c r="AG20" s="187" t="n"/>
      <c r="AH20" s="186" t="n"/>
      <c r="AI20" s="186" t="n"/>
      <c r="AJ20" s="186" t="n"/>
      <c r="AK20" s="186" t="n"/>
      <c r="AL20" s="186" t="n"/>
      <c r="AM20" s="186" t="n"/>
      <c r="AN20" s="186" t="n"/>
      <c r="AO20" s="186" t="n"/>
      <c r="AP20" s="186" t="n"/>
      <c r="AQ20" s="186" t="n"/>
      <c r="AR20" s="186" t="n"/>
      <c r="AS20" s="186" t="n"/>
      <c r="AT20" s="186" t="n"/>
      <c r="AU20" s="186" t="n"/>
      <c r="AV20" s="186" t="n"/>
      <c r="AW20" s="186" t="n"/>
      <c r="AX20" s="186" t="n"/>
      <c r="AY20" s="186" t="n"/>
      <c r="AZ20" s="186" t="n"/>
      <c r="BA20" s="186" t="n"/>
      <c r="BB20" s="186" t="n"/>
      <c r="BC20" s="186" t="n"/>
      <c r="BD20" s="190" t="n"/>
      <c r="BE20" s="186" t="n"/>
      <c r="BF20" s="186" t="n"/>
      <c r="BG20" s="186" t="n"/>
      <c r="BH20" s="186" t="n"/>
      <c r="BI20" s="186" t="n"/>
      <c r="BJ20" s="187" t="n"/>
      <c r="BK20" s="192" t="n"/>
      <c r="BL20" s="192" t="n"/>
      <c r="BM20" s="192" t="n"/>
      <c r="BN20" s="192" t="n"/>
    </row>
    <row r="21">
      <c r="A21" s="289">
        <f> 'Jobs-Ops'!A21</f>
        <v/>
      </c>
      <c r="B21" s="290">
        <f>'Jobs-Ops'!B21</f>
        <v/>
      </c>
      <c r="C21" s="290">
        <f>'Jobs-Ops'!C21</f>
        <v/>
      </c>
      <c r="D21" s="179" t="n"/>
      <c r="E21" s="181">
        <f>'Jobs-Ops'!I21</f>
        <v/>
      </c>
      <c r="F21" s="205">
        <f>'Jobs-Ops'!U21</f>
        <v/>
      </c>
      <c r="G21" s="181">
        <f>'Jobs-GAAP'!J21</f>
        <v/>
      </c>
      <c r="H21" s="205">
        <f>'Jobs-GAAP'!V21</f>
        <v/>
      </c>
      <c r="I21" s="181">
        <f>E21-G21</f>
        <v/>
      </c>
      <c r="J21" s="9">
        <f>'Jobs-Ops'!P21</f>
        <v/>
      </c>
      <c r="K21" s="9">
        <f>'Jobs-GAAP'!Q21</f>
        <v/>
      </c>
      <c r="L21" s="9">
        <f>J21-K21</f>
        <v/>
      </c>
      <c r="M21" s="186" t="n"/>
      <c r="N21" s="9">
        <f>'Jobs-Ops'!Y21</f>
        <v/>
      </c>
      <c r="O21" s="9">
        <f>'Jobs-GAAP'!Y21</f>
        <v/>
      </c>
      <c r="P21" s="9">
        <f>N21-O21</f>
        <v/>
      </c>
      <c r="Q21" s="186" t="n"/>
      <c r="R21" s="11">
        <f>'Jobs-Ops'!AL21</f>
        <v/>
      </c>
      <c r="S21" s="11">
        <f>'Jobs-GAAP'!AH21</f>
        <v/>
      </c>
      <c r="T21" s="11">
        <f>IFERROR(R21-S21,0)</f>
        <v/>
      </c>
      <c r="U21" s="8">
        <f>'Jobs-Ops'!AM21</f>
        <v/>
      </c>
      <c r="V21" s="8">
        <f>'Jobs-GAAP'!AI21</f>
        <v/>
      </c>
      <c r="W21" s="8">
        <f>IFERROR(U21-V21,0)</f>
        <v/>
      </c>
      <c r="X21" s="9">
        <f>'Jobs-Ops'!AN21</f>
        <v/>
      </c>
      <c r="Y21" s="9">
        <f>'Jobs-GAAP'!AJ21</f>
        <v/>
      </c>
      <c r="Z21" s="9">
        <f>IFERROR(X21-Y21,0)</f>
        <v/>
      </c>
      <c r="AA21" s="153">
        <f>'Jobs-Ops'!AO21</f>
        <v/>
      </c>
      <c r="AB21" s="187" t="n"/>
      <c r="AC21" s="186" t="n"/>
      <c r="AD21" s="186" t="n"/>
      <c r="AE21" s="188" t="n"/>
      <c r="AF21" s="187" t="n"/>
      <c r="AG21" s="187" t="n"/>
      <c r="AH21" s="186" t="n"/>
      <c r="AI21" s="186" t="n"/>
      <c r="AJ21" s="186" t="n"/>
      <c r="AK21" s="186" t="n"/>
      <c r="AL21" s="186" t="n"/>
      <c r="AM21" s="186" t="n"/>
      <c r="AN21" s="186" t="n"/>
      <c r="AO21" s="186" t="n"/>
      <c r="AP21" s="186" t="n"/>
      <c r="AQ21" s="186" t="n"/>
      <c r="AR21" s="186" t="n"/>
      <c r="AS21" s="186" t="n"/>
      <c r="AT21" s="186" t="n"/>
      <c r="AU21" s="186" t="n"/>
      <c r="AV21" s="186" t="n"/>
      <c r="AW21" s="186" t="n"/>
      <c r="AX21" s="186" t="n"/>
      <c r="AY21" s="186" t="n"/>
      <c r="AZ21" s="186" t="n"/>
      <c r="BA21" s="186" t="n"/>
      <c r="BB21" s="186" t="n"/>
      <c r="BC21" s="186" t="n"/>
      <c r="BD21" s="190" t="n"/>
      <c r="BE21" s="186" t="n"/>
      <c r="BF21" s="186" t="n"/>
      <c r="BG21" s="186" t="n"/>
      <c r="BH21" s="186" t="n"/>
      <c r="BI21" s="186" t="n"/>
      <c r="BJ21" s="187" t="n"/>
      <c r="BK21" s="192" t="n"/>
      <c r="BL21" s="192" t="n"/>
      <c r="BM21" s="192" t="n"/>
      <c r="BN21" s="192" t="n"/>
    </row>
    <row r="22">
      <c r="A22" s="289">
        <f> 'Jobs-Ops'!A22</f>
        <v/>
      </c>
      <c r="B22" s="290">
        <f>'Jobs-Ops'!B22</f>
        <v/>
      </c>
      <c r="C22" s="290">
        <f>'Jobs-Ops'!C22</f>
        <v/>
      </c>
      <c r="D22" s="179" t="n"/>
      <c r="E22" s="181">
        <f>'Jobs-Ops'!I22</f>
        <v/>
      </c>
      <c r="F22" s="205">
        <f>'Jobs-Ops'!U22</f>
        <v/>
      </c>
      <c r="G22" s="181">
        <f>'Jobs-GAAP'!J22</f>
        <v/>
      </c>
      <c r="H22" s="205">
        <f>'Jobs-GAAP'!V22</f>
        <v/>
      </c>
      <c r="I22" s="181">
        <f>E22-G22</f>
        <v/>
      </c>
      <c r="J22" s="9">
        <f>'Jobs-Ops'!P22</f>
        <v/>
      </c>
      <c r="K22" s="9">
        <f>'Jobs-GAAP'!Q22</f>
        <v/>
      </c>
      <c r="L22" s="9">
        <f>J22-K22</f>
        <v/>
      </c>
      <c r="M22" s="186" t="n"/>
      <c r="N22" s="9">
        <f>'Jobs-Ops'!Y22</f>
        <v/>
      </c>
      <c r="O22" s="9">
        <f>'Jobs-GAAP'!Y22</f>
        <v/>
      </c>
      <c r="P22" s="9">
        <f>N22-O22</f>
        <v/>
      </c>
      <c r="Q22" s="186" t="n"/>
      <c r="R22" s="11">
        <f>'Jobs-Ops'!AL22</f>
        <v/>
      </c>
      <c r="S22" s="11">
        <f>'Jobs-GAAP'!AH22</f>
        <v/>
      </c>
      <c r="T22" s="11">
        <f>IFERROR(R22-S22,0)</f>
        <v/>
      </c>
      <c r="U22" s="8">
        <f>'Jobs-Ops'!AM22</f>
        <v/>
      </c>
      <c r="V22" s="8">
        <f>'Jobs-GAAP'!AI22</f>
        <v/>
      </c>
      <c r="W22" s="8">
        <f>IFERROR(U22-V22,0)</f>
        <v/>
      </c>
      <c r="X22" s="9">
        <f>'Jobs-Ops'!AN22</f>
        <v/>
      </c>
      <c r="Y22" s="9">
        <f>'Jobs-GAAP'!AJ22</f>
        <v/>
      </c>
      <c r="Z22" s="9">
        <f>IFERROR(X22-Y22,0)</f>
        <v/>
      </c>
      <c r="AA22" s="153">
        <f>'Jobs-Ops'!AO22</f>
        <v/>
      </c>
      <c r="AB22" s="187" t="n"/>
      <c r="AC22" s="186" t="n"/>
      <c r="AD22" s="186" t="n"/>
      <c r="AE22" s="188" t="n"/>
      <c r="AF22" s="187" t="n"/>
      <c r="AG22" s="187" t="n"/>
      <c r="AH22" s="186" t="n"/>
      <c r="AI22" s="186" t="n"/>
      <c r="AJ22" s="186" t="n"/>
      <c r="AK22" s="186" t="n"/>
      <c r="AL22" s="186" t="n"/>
      <c r="AM22" s="186" t="n"/>
      <c r="AN22" s="186" t="n"/>
      <c r="AO22" s="186" t="n"/>
      <c r="AP22" s="186" t="n"/>
      <c r="AQ22" s="186" t="n"/>
      <c r="AR22" s="186" t="n"/>
      <c r="AS22" s="186" t="n"/>
      <c r="AT22" s="186" t="n"/>
      <c r="AU22" s="186" t="n"/>
      <c r="AV22" s="186" t="n"/>
      <c r="AW22" s="186" t="n"/>
      <c r="AX22" s="186" t="n"/>
      <c r="AY22" s="186" t="n"/>
      <c r="AZ22" s="186" t="n"/>
      <c r="BA22" s="186" t="n"/>
      <c r="BB22" s="186" t="n"/>
      <c r="BC22" s="186" t="n"/>
      <c r="BD22" s="190" t="n"/>
      <c r="BE22" s="186" t="n"/>
      <c r="BF22" s="186" t="n"/>
      <c r="BG22" s="186" t="n"/>
      <c r="BH22" s="186" t="n"/>
      <c r="BI22" s="186" t="n"/>
      <c r="BJ22" s="187" t="n"/>
      <c r="BK22" s="192" t="n"/>
      <c r="BL22" s="192" t="n"/>
      <c r="BM22" s="192" t="n"/>
      <c r="BN22" s="192" t="n"/>
    </row>
    <row r="23">
      <c r="A23" s="289">
        <f> 'Jobs-Ops'!A23</f>
        <v/>
      </c>
      <c r="B23" s="290">
        <f>'Jobs-Ops'!B23</f>
        <v/>
      </c>
      <c r="C23" s="290">
        <f>'Jobs-Ops'!C23</f>
        <v/>
      </c>
      <c r="D23" s="179" t="n"/>
      <c r="E23" s="181">
        <f>'Jobs-Ops'!I23</f>
        <v/>
      </c>
      <c r="F23" s="205">
        <f>'Jobs-Ops'!U23</f>
        <v/>
      </c>
      <c r="G23" s="181">
        <f>'Jobs-GAAP'!J23</f>
        <v/>
      </c>
      <c r="H23" s="205">
        <f>'Jobs-GAAP'!V23</f>
        <v/>
      </c>
      <c r="I23" s="181">
        <f>E23-G23</f>
        <v/>
      </c>
      <c r="J23" s="9">
        <f>'Jobs-Ops'!P23</f>
        <v/>
      </c>
      <c r="K23" s="9">
        <f>'Jobs-GAAP'!Q23</f>
        <v/>
      </c>
      <c r="L23" s="9">
        <f>J23-K23</f>
        <v/>
      </c>
      <c r="M23" s="186" t="n"/>
      <c r="N23" s="9">
        <f>'Jobs-Ops'!Y23</f>
        <v/>
      </c>
      <c r="O23" s="9">
        <f>'Jobs-GAAP'!Y23</f>
        <v/>
      </c>
      <c r="P23" s="9">
        <f>N23-O23</f>
        <v/>
      </c>
      <c r="Q23" s="186" t="n"/>
      <c r="R23" s="11">
        <f>'Jobs-Ops'!AL23</f>
        <v/>
      </c>
      <c r="S23" s="11">
        <f>'Jobs-GAAP'!AH23</f>
        <v/>
      </c>
      <c r="T23" s="11">
        <f>IFERROR(R23-S23,0)</f>
        <v/>
      </c>
      <c r="U23" s="8">
        <f>'Jobs-Ops'!AM23</f>
        <v/>
      </c>
      <c r="V23" s="8">
        <f>'Jobs-GAAP'!AI23</f>
        <v/>
      </c>
      <c r="W23" s="8">
        <f>IFERROR(U23-V23,0)</f>
        <v/>
      </c>
      <c r="X23" s="9">
        <f>'Jobs-Ops'!AN23</f>
        <v/>
      </c>
      <c r="Y23" s="9">
        <f>'Jobs-GAAP'!AJ23</f>
        <v/>
      </c>
      <c r="Z23" s="9">
        <f>IFERROR(X23-Y23,0)</f>
        <v/>
      </c>
      <c r="AA23" s="153">
        <f>'Jobs-Ops'!AO23</f>
        <v/>
      </c>
      <c r="AB23" s="187" t="n"/>
      <c r="AC23" s="186" t="n"/>
      <c r="AD23" s="186" t="n"/>
      <c r="AE23" s="188" t="n"/>
      <c r="AF23" s="187" t="n"/>
      <c r="AG23" s="187" t="n"/>
      <c r="AH23" s="186" t="n"/>
      <c r="AI23" s="186" t="n"/>
      <c r="AJ23" s="186" t="n"/>
      <c r="AK23" s="186" t="n"/>
      <c r="AL23" s="186" t="n"/>
      <c r="AM23" s="186" t="n"/>
      <c r="AN23" s="186" t="n"/>
      <c r="AO23" s="186" t="n"/>
      <c r="AP23" s="186" t="n"/>
      <c r="AQ23" s="186" t="n"/>
      <c r="AR23" s="186" t="n"/>
      <c r="AS23" s="186" t="n"/>
      <c r="AT23" s="186" t="n"/>
      <c r="AU23" s="186" t="n"/>
      <c r="AV23" s="186" t="n"/>
      <c r="AW23" s="186" t="n"/>
      <c r="AX23" s="186" t="n"/>
      <c r="AY23" s="186" t="n"/>
      <c r="AZ23" s="186" t="n"/>
      <c r="BA23" s="186" t="n"/>
      <c r="BB23" s="186" t="n"/>
      <c r="BC23" s="186" t="n"/>
      <c r="BD23" s="190" t="n"/>
      <c r="BE23" s="186" t="n"/>
      <c r="BF23" s="186" t="n"/>
      <c r="BG23" s="186" t="n"/>
      <c r="BH23" s="186" t="n"/>
      <c r="BI23" s="186" t="n"/>
      <c r="BJ23" s="187" t="n"/>
      <c r="BK23" s="192" t="n"/>
      <c r="BL23" s="192" t="n"/>
      <c r="BM23" s="192" t="n"/>
      <c r="BN23" s="192" t="n"/>
    </row>
    <row r="24">
      <c r="A24" s="289">
        <f> 'Jobs-Ops'!A24</f>
        <v/>
      </c>
      <c r="B24" s="290">
        <f>'Jobs-Ops'!B24</f>
        <v/>
      </c>
      <c r="C24" s="290">
        <f>'Jobs-Ops'!C24</f>
        <v/>
      </c>
      <c r="D24" s="179" t="n"/>
      <c r="E24" s="181">
        <f>'Jobs-Ops'!I24</f>
        <v/>
      </c>
      <c r="F24" s="205">
        <f>'Jobs-Ops'!U24</f>
        <v/>
      </c>
      <c r="G24" s="181">
        <f>'Jobs-GAAP'!J24</f>
        <v/>
      </c>
      <c r="H24" s="205">
        <f>'Jobs-GAAP'!V24</f>
        <v/>
      </c>
      <c r="I24" s="181">
        <f>E24-G24</f>
        <v/>
      </c>
      <c r="J24" s="9">
        <f>'Jobs-Ops'!P24</f>
        <v/>
      </c>
      <c r="K24" s="9">
        <f>'Jobs-GAAP'!Q24</f>
        <v/>
      </c>
      <c r="L24" s="9">
        <f>J24-K24</f>
        <v/>
      </c>
      <c r="M24" s="186" t="n"/>
      <c r="N24" s="9">
        <f>'Jobs-Ops'!Y24</f>
        <v/>
      </c>
      <c r="O24" s="9">
        <f>'Jobs-GAAP'!Y24</f>
        <v/>
      </c>
      <c r="P24" s="9">
        <f>N24-O24</f>
        <v/>
      </c>
      <c r="Q24" s="186" t="n"/>
      <c r="R24" s="11">
        <f>'Jobs-Ops'!AL24</f>
        <v/>
      </c>
      <c r="S24" s="11">
        <f>'Jobs-GAAP'!AH24</f>
        <v/>
      </c>
      <c r="T24" s="11">
        <f>IFERROR(R24-S24,0)</f>
        <v/>
      </c>
      <c r="U24" s="8">
        <f>'Jobs-Ops'!AM24</f>
        <v/>
      </c>
      <c r="V24" s="8">
        <f>'Jobs-GAAP'!AI24</f>
        <v/>
      </c>
      <c r="W24" s="8">
        <f>IFERROR(U24-V24,0)</f>
        <v/>
      </c>
      <c r="X24" s="9">
        <f>'Jobs-Ops'!AN24</f>
        <v/>
      </c>
      <c r="Y24" s="9">
        <f>'Jobs-GAAP'!AJ24</f>
        <v/>
      </c>
      <c r="Z24" s="9">
        <f>IFERROR(X24-Y24,0)</f>
        <v/>
      </c>
      <c r="AA24" s="153">
        <f>'Jobs-Ops'!AO24</f>
        <v/>
      </c>
      <c r="AB24" s="187" t="n"/>
      <c r="AC24" s="186" t="n"/>
      <c r="AD24" s="186" t="n"/>
      <c r="AE24" s="188" t="n"/>
      <c r="AF24" s="187" t="n"/>
      <c r="AG24" s="187" t="n"/>
      <c r="AH24" s="186" t="n"/>
      <c r="AI24" s="186" t="n"/>
      <c r="AJ24" s="186" t="n"/>
      <c r="AK24" s="186" t="n"/>
      <c r="AL24" s="186" t="n"/>
      <c r="AM24" s="186" t="n"/>
      <c r="AN24" s="186" t="n"/>
      <c r="AO24" s="186" t="n"/>
      <c r="AP24" s="186" t="n"/>
      <c r="AQ24" s="186" t="n"/>
      <c r="AR24" s="186" t="n"/>
      <c r="AS24" s="186" t="n"/>
      <c r="AT24" s="186" t="n"/>
      <c r="AU24" s="186" t="n"/>
      <c r="AV24" s="186" t="n"/>
      <c r="AW24" s="186" t="n"/>
      <c r="AX24" s="186" t="n"/>
      <c r="AY24" s="186" t="n"/>
      <c r="AZ24" s="186" t="n"/>
      <c r="BA24" s="186" t="n"/>
      <c r="BB24" s="186" t="n"/>
      <c r="BC24" s="186" t="n"/>
      <c r="BD24" s="190" t="n"/>
      <c r="BE24" s="186" t="n"/>
      <c r="BF24" s="186" t="n"/>
      <c r="BG24" s="186" t="n"/>
      <c r="BH24" s="186" t="n"/>
      <c r="BI24" s="186" t="n"/>
      <c r="BJ24" s="187" t="n"/>
      <c r="BK24" s="192" t="n"/>
      <c r="BL24" s="192" t="n"/>
      <c r="BM24" s="192" t="n"/>
      <c r="BN24" s="192" t="n"/>
    </row>
    <row r="25">
      <c r="A25" s="289">
        <f> 'Jobs-Ops'!A25</f>
        <v/>
      </c>
      <c r="B25" s="290">
        <f>'Jobs-Ops'!B25</f>
        <v/>
      </c>
      <c r="C25" s="290">
        <f>'Jobs-Ops'!C25</f>
        <v/>
      </c>
      <c r="D25" s="179" t="n"/>
      <c r="E25" s="181">
        <f>'Jobs-Ops'!I25</f>
        <v/>
      </c>
      <c r="F25" s="205">
        <f>'Jobs-Ops'!U25</f>
        <v/>
      </c>
      <c r="G25" s="181">
        <f>'Jobs-GAAP'!J25</f>
        <v/>
      </c>
      <c r="H25" s="205">
        <f>'Jobs-GAAP'!V25</f>
        <v/>
      </c>
      <c r="I25" s="181">
        <f>E25-G25</f>
        <v/>
      </c>
      <c r="J25" s="9">
        <f>'Jobs-Ops'!P25</f>
        <v/>
      </c>
      <c r="K25" s="9">
        <f>'Jobs-GAAP'!Q25</f>
        <v/>
      </c>
      <c r="L25" s="9">
        <f>J25-K25</f>
        <v/>
      </c>
      <c r="M25" s="186" t="n"/>
      <c r="N25" s="9">
        <f>'Jobs-Ops'!Y25</f>
        <v/>
      </c>
      <c r="O25" s="9">
        <f>'Jobs-GAAP'!Y25</f>
        <v/>
      </c>
      <c r="P25" s="9">
        <f>N25-O25</f>
        <v/>
      </c>
      <c r="Q25" s="186" t="n"/>
      <c r="R25" s="11">
        <f>'Jobs-Ops'!AL25</f>
        <v/>
      </c>
      <c r="S25" s="11">
        <f>'Jobs-GAAP'!AH25</f>
        <v/>
      </c>
      <c r="T25" s="11">
        <f>IFERROR(R25-S25,0)</f>
        <v/>
      </c>
      <c r="U25" s="8">
        <f>'Jobs-Ops'!AM25</f>
        <v/>
      </c>
      <c r="V25" s="8">
        <f>'Jobs-GAAP'!AI25</f>
        <v/>
      </c>
      <c r="W25" s="8">
        <f>IFERROR(U25-V25,0)</f>
        <v/>
      </c>
      <c r="X25" s="9">
        <f>'Jobs-Ops'!AN25</f>
        <v/>
      </c>
      <c r="Y25" s="9">
        <f>'Jobs-GAAP'!AJ25</f>
        <v/>
      </c>
      <c r="Z25" s="9">
        <f>IFERROR(X25-Y25,0)</f>
        <v/>
      </c>
      <c r="AA25" s="153">
        <f>'Jobs-Ops'!AO25</f>
        <v/>
      </c>
      <c r="AB25" s="187" t="n"/>
      <c r="AC25" s="186" t="n"/>
      <c r="AD25" s="186" t="n"/>
      <c r="AE25" s="188" t="n"/>
      <c r="AF25" s="187" t="n"/>
      <c r="AG25" s="187" t="n"/>
      <c r="AH25" s="186" t="n"/>
      <c r="AI25" s="186" t="n"/>
      <c r="AJ25" s="186" t="n"/>
      <c r="AK25" s="186" t="n"/>
      <c r="AL25" s="186" t="n"/>
      <c r="AM25" s="186" t="n"/>
      <c r="AN25" s="186" t="n"/>
      <c r="AO25" s="186" t="n"/>
      <c r="AP25" s="186" t="n"/>
      <c r="AQ25" s="186" t="n"/>
      <c r="AR25" s="186" t="n"/>
      <c r="AS25" s="186" t="n"/>
      <c r="AT25" s="186" t="n"/>
      <c r="AU25" s="186" t="n"/>
      <c r="AV25" s="186" t="n"/>
      <c r="AW25" s="186" t="n"/>
      <c r="AX25" s="186" t="n"/>
      <c r="AY25" s="186" t="n"/>
      <c r="AZ25" s="186" t="n"/>
      <c r="BA25" s="186" t="n"/>
      <c r="BB25" s="186" t="n"/>
      <c r="BC25" s="186" t="n"/>
      <c r="BD25" s="190" t="n"/>
      <c r="BE25" s="186" t="n"/>
      <c r="BF25" s="186" t="n"/>
      <c r="BG25" s="186" t="n"/>
      <c r="BH25" s="186" t="n"/>
      <c r="BI25" s="186" t="n"/>
      <c r="BJ25" s="187" t="n"/>
      <c r="BK25" s="192" t="n"/>
      <c r="BL25" s="192" t="n"/>
      <c r="BM25" s="192" t="n"/>
      <c r="BN25" s="192" t="n"/>
    </row>
    <row r="26">
      <c r="A26" s="289">
        <f> 'Jobs-Ops'!A26</f>
        <v/>
      </c>
      <c r="B26" s="290">
        <f>'Jobs-Ops'!B26</f>
        <v/>
      </c>
      <c r="C26" s="290">
        <f>'Jobs-Ops'!C26</f>
        <v/>
      </c>
      <c r="D26" s="179" t="n"/>
      <c r="E26" s="181">
        <f>'Jobs-Ops'!I26</f>
        <v/>
      </c>
      <c r="F26" s="205">
        <f>'Jobs-Ops'!U26</f>
        <v/>
      </c>
      <c r="G26" s="181">
        <f>'Jobs-GAAP'!J26</f>
        <v/>
      </c>
      <c r="H26" s="205">
        <f>'Jobs-GAAP'!V26</f>
        <v/>
      </c>
      <c r="I26" s="181">
        <f>E26-G26</f>
        <v/>
      </c>
      <c r="J26" s="9">
        <f>'Jobs-Ops'!P26</f>
        <v/>
      </c>
      <c r="K26" s="9">
        <f>'Jobs-GAAP'!Q26</f>
        <v/>
      </c>
      <c r="L26" s="9">
        <f>J26-K26</f>
        <v/>
      </c>
      <c r="M26" s="186" t="n"/>
      <c r="N26" s="9">
        <f>'Jobs-Ops'!Y26</f>
        <v/>
      </c>
      <c r="O26" s="9">
        <f>'Jobs-GAAP'!Y26</f>
        <v/>
      </c>
      <c r="P26" s="9">
        <f>N26-O26</f>
        <v/>
      </c>
      <c r="Q26" s="186" t="n"/>
      <c r="R26" s="11">
        <f>'Jobs-Ops'!AL26</f>
        <v/>
      </c>
      <c r="S26" s="11">
        <f>'Jobs-GAAP'!AH26</f>
        <v/>
      </c>
      <c r="T26" s="11">
        <f>IFERROR(R26-S26,0)</f>
        <v/>
      </c>
      <c r="U26" s="8">
        <f>'Jobs-Ops'!AM26</f>
        <v/>
      </c>
      <c r="V26" s="8">
        <f>'Jobs-GAAP'!AI26</f>
        <v/>
      </c>
      <c r="W26" s="8">
        <f>IFERROR(U26-V26,0)</f>
        <v/>
      </c>
      <c r="X26" s="9">
        <f>'Jobs-Ops'!AN26</f>
        <v/>
      </c>
      <c r="Y26" s="9">
        <f>'Jobs-GAAP'!AJ26</f>
        <v/>
      </c>
      <c r="Z26" s="9">
        <f>IFERROR(X26-Y26,0)</f>
        <v/>
      </c>
      <c r="AA26" s="153">
        <f>'Jobs-Ops'!AO26</f>
        <v/>
      </c>
      <c r="AB26" s="187" t="n"/>
      <c r="AC26" s="186" t="n"/>
      <c r="AD26" s="186" t="n"/>
      <c r="AE26" s="188" t="n"/>
      <c r="AF26" s="187" t="n"/>
      <c r="AG26" s="187" t="n"/>
      <c r="AH26" s="186" t="n"/>
      <c r="AI26" s="186" t="n"/>
      <c r="AJ26" s="186" t="n"/>
      <c r="AK26" s="186" t="n"/>
      <c r="AL26" s="186" t="n"/>
      <c r="AM26" s="186" t="n"/>
      <c r="AN26" s="186" t="n"/>
      <c r="AO26" s="186" t="n"/>
      <c r="AP26" s="186" t="n"/>
      <c r="AQ26" s="186" t="n"/>
      <c r="AR26" s="186" t="n"/>
      <c r="AS26" s="186" t="n"/>
      <c r="AT26" s="186" t="n"/>
      <c r="AU26" s="186" t="n"/>
      <c r="AV26" s="186" t="n"/>
      <c r="AW26" s="186" t="n"/>
      <c r="AX26" s="186" t="n"/>
      <c r="AY26" s="186" t="n"/>
      <c r="AZ26" s="186" t="n"/>
      <c r="BA26" s="186" t="n"/>
      <c r="BB26" s="186" t="n"/>
      <c r="BC26" s="186" t="n"/>
      <c r="BD26" s="190" t="n"/>
      <c r="BE26" s="186" t="n"/>
      <c r="BF26" s="186" t="n"/>
      <c r="BG26" s="186" t="n"/>
      <c r="BH26" s="186" t="n"/>
      <c r="BI26" s="186" t="n"/>
      <c r="BJ26" s="187" t="n"/>
      <c r="BK26" s="192" t="n"/>
      <c r="BL26" s="192" t="n"/>
      <c r="BM26" s="192" t="n"/>
      <c r="BN26" s="192" t="n"/>
    </row>
    <row r="27">
      <c r="A27" s="289">
        <f> 'Jobs-Ops'!A27</f>
        <v/>
      </c>
      <c r="B27" s="290">
        <f>'Jobs-Ops'!B27</f>
        <v/>
      </c>
      <c r="C27" s="290">
        <f>'Jobs-Ops'!C27</f>
        <v/>
      </c>
      <c r="D27" s="179" t="n"/>
      <c r="E27" s="181">
        <f>'Jobs-Ops'!I27</f>
        <v/>
      </c>
      <c r="F27" s="205">
        <f>'Jobs-Ops'!U27</f>
        <v/>
      </c>
      <c r="G27" s="181">
        <f>'Jobs-GAAP'!J27</f>
        <v/>
      </c>
      <c r="H27" s="205">
        <f>'Jobs-GAAP'!V27</f>
        <v/>
      </c>
      <c r="I27" s="181">
        <f>E27-G27</f>
        <v/>
      </c>
      <c r="J27" s="9">
        <f>'Jobs-Ops'!P27</f>
        <v/>
      </c>
      <c r="K27" s="9">
        <f>'Jobs-GAAP'!Q27</f>
        <v/>
      </c>
      <c r="L27" s="9">
        <f>J27-K27</f>
        <v/>
      </c>
      <c r="M27" s="186" t="n"/>
      <c r="N27" s="9">
        <f>'Jobs-Ops'!Y27</f>
        <v/>
      </c>
      <c r="O27" s="9">
        <f>'Jobs-GAAP'!Y27</f>
        <v/>
      </c>
      <c r="P27" s="9">
        <f>N27-O27</f>
        <v/>
      </c>
      <c r="Q27" s="186" t="n"/>
      <c r="R27" s="11">
        <f>'Jobs-Ops'!AL27</f>
        <v/>
      </c>
      <c r="S27" s="11">
        <f>'Jobs-GAAP'!AH27</f>
        <v/>
      </c>
      <c r="T27" s="11">
        <f>IFERROR(R27-S27,0)</f>
        <v/>
      </c>
      <c r="U27" s="8">
        <f>'Jobs-Ops'!AM27</f>
        <v/>
      </c>
      <c r="V27" s="8">
        <f>'Jobs-GAAP'!AI27</f>
        <v/>
      </c>
      <c r="W27" s="8">
        <f>IFERROR(U27-V27,0)</f>
        <v/>
      </c>
      <c r="X27" s="9">
        <f>'Jobs-Ops'!AN27</f>
        <v/>
      </c>
      <c r="Y27" s="9">
        <f>'Jobs-GAAP'!AJ27</f>
        <v/>
      </c>
      <c r="Z27" s="9">
        <f>IFERROR(X27-Y27,0)</f>
        <v/>
      </c>
      <c r="AA27" s="153">
        <f>'Jobs-Ops'!AO27</f>
        <v/>
      </c>
      <c r="AB27" s="187" t="n"/>
      <c r="AC27" s="186" t="n"/>
      <c r="AD27" s="186" t="n"/>
      <c r="AE27" s="188" t="n"/>
      <c r="AF27" s="187" t="n"/>
      <c r="AG27" s="187" t="n"/>
      <c r="AH27" s="186" t="n"/>
      <c r="AI27" s="186" t="n"/>
      <c r="AJ27" s="186" t="n"/>
      <c r="AK27" s="186" t="n"/>
      <c r="AL27" s="186" t="n"/>
      <c r="AM27" s="186" t="n"/>
      <c r="AN27" s="186" t="n"/>
      <c r="AO27" s="186" t="n"/>
      <c r="AP27" s="186" t="n"/>
      <c r="AQ27" s="186" t="n"/>
      <c r="AR27" s="186" t="n"/>
      <c r="AS27" s="186" t="n"/>
      <c r="AT27" s="186" t="n"/>
      <c r="AU27" s="186" t="n"/>
      <c r="AV27" s="186" t="n"/>
      <c r="AW27" s="186" t="n"/>
      <c r="AX27" s="186" t="n"/>
      <c r="AY27" s="186" t="n"/>
      <c r="AZ27" s="186" t="n"/>
      <c r="BA27" s="186" t="n"/>
      <c r="BB27" s="186" t="n"/>
      <c r="BC27" s="186" t="n"/>
      <c r="BD27" s="190" t="n"/>
      <c r="BE27" s="186" t="n"/>
      <c r="BF27" s="186" t="n"/>
      <c r="BG27" s="186" t="n"/>
      <c r="BH27" s="186" t="n"/>
      <c r="BI27" s="186" t="n"/>
      <c r="BJ27" s="187" t="n"/>
      <c r="BK27" s="192" t="n"/>
      <c r="BL27" s="192" t="n"/>
      <c r="BM27" s="192" t="n"/>
      <c r="BN27" s="192" t="n"/>
    </row>
    <row r="28">
      <c r="A28" s="289">
        <f> 'Jobs-Ops'!A28</f>
        <v/>
      </c>
      <c r="B28" s="290">
        <f>'Jobs-Ops'!B28</f>
        <v/>
      </c>
      <c r="C28" s="290">
        <f>'Jobs-Ops'!C28</f>
        <v/>
      </c>
      <c r="D28" s="179" t="n"/>
      <c r="E28" s="181">
        <f>'Jobs-Ops'!I28</f>
        <v/>
      </c>
      <c r="F28" s="205">
        <f>'Jobs-Ops'!U28</f>
        <v/>
      </c>
      <c r="G28" s="181">
        <f>'Jobs-GAAP'!J28</f>
        <v/>
      </c>
      <c r="H28" s="205">
        <f>'Jobs-GAAP'!V28</f>
        <v/>
      </c>
      <c r="I28" s="181">
        <f>E28-G28</f>
        <v/>
      </c>
      <c r="J28" s="9">
        <f>'Jobs-Ops'!P28</f>
        <v/>
      </c>
      <c r="K28" s="9">
        <f>'Jobs-GAAP'!Q28</f>
        <v/>
      </c>
      <c r="L28" s="9">
        <f>J28-K28</f>
        <v/>
      </c>
      <c r="M28" s="186" t="n"/>
      <c r="N28" s="9">
        <f>'Jobs-Ops'!Y28</f>
        <v/>
      </c>
      <c r="O28" s="9">
        <f>'Jobs-GAAP'!Y28</f>
        <v/>
      </c>
      <c r="P28" s="9">
        <f>N28-O28</f>
        <v/>
      </c>
      <c r="Q28" s="186" t="n"/>
      <c r="R28" s="11">
        <f>'Jobs-Ops'!AL28</f>
        <v/>
      </c>
      <c r="S28" s="11">
        <f>'Jobs-GAAP'!AH28</f>
        <v/>
      </c>
      <c r="T28" s="11">
        <f>IFERROR(R28-S28,0)</f>
        <v/>
      </c>
      <c r="U28" s="8">
        <f>'Jobs-Ops'!AM28</f>
        <v/>
      </c>
      <c r="V28" s="8">
        <f>'Jobs-GAAP'!AI28</f>
        <v/>
      </c>
      <c r="W28" s="8">
        <f>IFERROR(U28-V28,0)</f>
        <v/>
      </c>
      <c r="X28" s="9">
        <f>'Jobs-Ops'!AN28</f>
        <v/>
      </c>
      <c r="Y28" s="9">
        <f>'Jobs-GAAP'!AJ28</f>
        <v/>
      </c>
      <c r="Z28" s="9">
        <f>IFERROR(X28-Y28,0)</f>
        <v/>
      </c>
      <c r="AA28" s="153">
        <f>'Jobs-Ops'!AO28</f>
        <v/>
      </c>
      <c r="AB28" s="187" t="n"/>
      <c r="AC28" s="186" t="n"/>
      <c r="AD28" s="186" t="n"/>
      <c r="AE28" s="188" t="n"/>
      <c r="AF28" s="187" t="n"/>
      <c r="AG28" s="187" t="n"/>
      <c r="AH28" s="186" t="n"/>
      <c r="AI28" s="186" t="n"/>
      <c r="AJ28" s="186" t="n"/>
      <c r="AK28" s="186" t="n"/>
      <c r="AL28" s="186" t="n"/>
      <c r="AM28" s="186" t="n"/>
      <c r="AN28" s="186" t="n"/>
      <c r="AO28" s="186" t="n"/>
      <c r="AP28" s="186" t="n"/>
      <c r="AQ28" s="186" t="n"/>
      <c r="AR28" s="186" t="n"/>
      <c r="AS28" s="186" t="n"/>
      <c r="AT28" s="186" t="n"/>
      <c r="AU28" s="186" t="n"/>
      <c r="AV28" s="186" t="n"/>
      <c r="AW28" s="186" t="n"/>
      <c r="AX28" s="186" t="n"/>
      <c r="AY28" s="186" t="n"/>
      <c r="AZ28" s="186" t="n"/>
      <c r="BA28" s="186" t="n"/>
      <c r="BB28" s="186" t="n"/>
      <c r="BC28" s="186" t="n"/>
      <c r="BD28" s="190" t="n"/>
      <c r="BE28" s="186" t="n"/>
      <c r="BF28" s="186" t="n"/>
      <c r="BG28" s="186" t="n"/>
      <c r="BH28" s="186" t="n"/>
      <c r="BI28" s="186" t="n"/>
      <c r="BJ28" s="187" t="n"/>
      <c r="BK28" s="192" t="n"/>
      <c r="BL28" s="192" t="n"/>
      <c r="BM28" s="192" t="n"/>
      <c r="BN28" s="192" t="n"/>
    </row>
    <row r="29">
      <c r="A29" s="289">
        <f> 'Jobs-Ops'!A29</f>
        <v/>
      </c>
      <c r="B29" s="290">
        <f>'Jobs-Ops'!B29</f>
        <v/>
      </c>
      <c r="C29" s="290">
        <f>'Jobs-Ops'!C29</f>
        <v/>
      </c>
      <c r="D29" s="179" t="n"/>
      <c r="E29" s="181">
        <f>'Jobs-Ops'!I29</f>
        <v/>
      </c>
      <c r="F29" s="205">
        <f>'Jobs-Ops'!U29</f>
        <v/>
      </c>
      <c r="G29" s="181">
        <f>'Jobs-GAAP'!J29</f>
        <v/>
      </c>
      <c r="H29" s="205">
        <f>'Jobs-GAAP'!V29</f>
        <v/>
      </c>
      <c r="I29" s="181">
        <f>E29-G29</f>
        <v/>
      </c>
      <c r="J29" s="9">
        <f>'Jobs-Ops'!P29</f>
        <v/>
      </c>
      <c r="K29" s="9">
        <f>'Jobs-GAAP'!Q29</f>
        <v/>
      </c>
      <c r="L29" s="9">
        <f>J29-K29</f>
        <v/>
      </c>
      <c r="M29" s="186" t="n"/>
      <c r="N29" s="9">
        <f>'Jobs-Ops'!Y29</f>
        <v/>
      </c>
      <c r="O29" s="9">
        <f>'Jobs-GAAP'!Y29</f>
        <v/>
      </c>
      <c r="P29" s="9">
        <f>N29-O29</f>
        <v/>
      </c>
      <c r="Q29" s="186" t="n"/>
      <c r="R29" s="11">
        <f>'Jobs-Ops'!AL29</f>
        <v/>
      </c>
      <c r="S29" s="11">
        <f>'Jobs-GAAP'!AH29</f>
        <v/>
      </c>
      <c r="T29" s="11">
        <f>IFERROR(R29-S29,0)</f>
        <v/>
      </c>
      <c r="U29" s="8">
        <f>'Jobs-Ops'!AM29</f>
        <v/>
      </c>
      <c r="V29" s="8">
        <f>'Jobs-GAAP'!AI29</f>
        <v/>
      </c>
      <c r="W29" s="8">
        <f>IFERROR(U29-V29,0)</f>
        <v/>
      </c>
      <c r="X29" s="9">
        <f>'Jobs-Ops'!AN29</f>
        <v/>
      </c>
      <c r="Y29" s="9">
        <f>'Jobs-GAAP'!AJ29</f>
        <v/>
      </c>
      <c r="Z29" s="9">
        <f>IFERROR(X29-Y29,0)</f>
        <v/>
      </c>
      <c r="AA29" s="153">
        <f>'Jobs-Ops'!AO29</f>
        <v/>
      </c>
      <c r="AB29" s="187" t="n"/>
      <c r="AC29" s="186" t="n"/>
      <c r="AD29" s="186" t="n"/>
      <c r="AE29" s="188" t="n"/>
      <c r="AF29" s="187" t="n"/>
      <c r="AG29" s="187" t="n"/>
      <c r="AH29" s="186" t="n"/>
      <c r="AI29" s="186" t="n"/>
      <c r="AJ29" s="186" t="n"/>
      <c r="AK29" s="186" t="n"/>
      <c r="AL29" s="186" t="n"/>
      <c r="AM29" s="186" t="n"/>
      <c r="AN29" s="186" t="n"/>
      <c r="AO29" s="186" t="n"/>
      <c r="AP29" s="186" t="n"/>
      <c r="AQ29" s="186" t="n"/>
      <c r="AR29" s="186" t="n"/>
      <c r="AS29" s="186" t="n"/>
      <c r="AT29" s="186" t="n"/>
      <c r="AU29" s="186" t="n"/>
      <c r="AV29" s="186" t="n"/>
      <c r="AW29" s="186" t="n"/>
      <c r="AX29" s="186" t="n"/>
      <c r="AY29" s="186" t="n"/>
      <c r="AZ29" s="186" t="n"/>
      <c r="BA29" s="186" t="n"/>
      <c r="BB29" s="186" t="n"/>
      <c r="BC29" s="186" t="n"/>
      <c r="BD29" s="190" t="n"/>
      <c r="BE29" s="186" t="n"/>
      <c r="BF29" s="186" t="n"/>
      <c r="BG29" s="186" t="n"/>
      <c r="BH29" s="186" t="n"/>
      <c r="BI29" s="186" t="n"/>
      <c r="BJ29" s="187" t="n"/>
      <c r="BK29" s="192" t="n"/>
      <c r="BL29" s="192" t="n"/>
      <c r="BM29" s="192" t="n"/>
      <c r="BN29" s="192" t="n"/>
    </row>
    <row r="30">
      <c r="A30" s="289">
        <f> 'Jobs-Ops'!A30</f>
        <v/>
      </c>
      <c r="B30" s="290">
        <f>'Jobs-Ops'!B30</f>
        <v/>
      </c>
      <c r="C30" s="290">
        <f>'Jobs-Ops'!C30</f>
        <v/>
      </c>
      <c r="D30" s="179" t="n"/>
      <c r="E30" s="181">
        <f>'Jobs-Ops'!I30</f>
        <v/>
      </c>
      <c r="F30" s="205">
        <f>'Jobs-Ops'!U30</f>
        <v/>
      </c>
      <c r="G30" s="181">
        <f>'Jobs-GAAP'!J30</f>
        <v/>
      </c>
      <c r="H30" s="205">
        <f>'Jobs-GAAP'!V30</f>
        <v/>
      </c>
      <c r="I30" s="181">
        <f>E30-G30</f>
        <v/>
      </c>
      <c r="J30" s="9">
        <f>'Jobs-Ops'!P30</f>
        <v/>
      </c>
      <c r="K30" s="9">
        <f>'Jobs-GAAP'!Q30</f>
        <v/>
      </c>
      <c r="L30" s="9">
        <f>J30-K30</f>
        <v/>
      </c>
      <c r="M30" s="186" t="n"/>
      <c r="N30" s="9">
        <f>'Jobs-Ops'!Y30</f>
        <v/>
      </c>
      <c r="O30" s="9">
        <f>'Jobs-GAAP'!Y30</f>
        <v/>
      </c>
      <c r="P30" s="9">
        <f>N30-O30</f>
        <v/>
      </c>
      <c r="Q30" s="186" t="n"/>
      <c r="R30" s="11">
        <f>'Jobs-Ops'!AL30</f>
        <v/>
      </c>
      <c r="S30" s="11">
        <f>'Jobs-GAAP'!AH30</f>
        <v/>
      </c>
      <c r="T30" s="11">
        <f>IFERROR(R30-S30,0)</f>
        <v/>
      </c>
      <c r="U30" s="8">
        <f>'Jobs-Ops'!AM30</f>
        <v/>
      </c>
      <c r="V30" s="8">
        <f>'Jobs-GAAP'!AI30</f>
        <v/>
      </c>
      <c r="W30" s="8">
        <f>IFERROR(U30-V30,0)</f>
        <v/>
      </c>
      <c r="X30" s="9">
        <f>'Jobs-Ops'!AN30</f>
        <v/>
      </c>
      <c r="Y30" s="9">
        <f>'Jobs-GAAP'!AJ30</f>
        <v/>
      </c>
      <c r="Z30" s="9">
        <f>IFERROR(X30-Y30,0)</f>
        <v/>
      </c>
      <c r="AA30" s="153">
        <f>'Jobs-Ops'!AO30</f>
        <v/>
      </c>
      <c r="AB30" s="187" t="n"/>
      <c r="AC30" s="186" t="n"/>
      <c r="AD30" s="186" t="n"/>
      <c r="AE30" s="188" t="n"/>
      <c r="AF30" s="187" t="n"/>
      <c r="AG30" s="187" t="n"/>
      <c r="AH30" s="186" t="n"/>
      <c r="AI30" s="186" t="n"/>
      <c r="AJ30" s="186" t="n"/>
      <c r="AK30" s="186" t="n"/>
      <c r="AL30" s="186" t="n"/>
      <c r="AM30" s="186" t="n"/>
      <c r="AN30" s="186" t="n"/>
      <c r="AO30" s="186" t="n"/>
      <c r="AP30" s="186" t="n"/>
      <c r="AQ30" s="186" t="n"/>
      <c r="AR30" s="186" t="n"/>
      <c r="AS30" s="186" t="n"/>
      <c r="AT30" s="186" t="n"/>
      <c r="AU30" s="186" t="n"/>
      <c r="AV30" s="186" t="n"/>
      <c r="AW30" s="186" t="n"/>
      <c r="AX30" s="186" t="n"/>
      <c r="AY30" s="186" t="n"/>
      <c r="AZ30" s="186" t="n"/>
      <c r="BA30" s="186" t="n"/>
      <c r="BB30" s="186" t="n"/>
      <c r="BC30" s="186" t="n"/>
      <c r="BD30" s="190" t="n"/>
      <c r="BE30" s="186" t="n"/>
      <c r="BF30" s="186" t="n"/>
      <c r="BG30" s="186" t="n"/>
      <c r="BH30" s="186" t="n"/>
      <c r="BI30" s="186" t="n"/>
      <c r="BJ30" s="187" t="n"/>
      <c r="BK30" s="192" t="n"/>
      <c r="BL30" s="192" t="n"/>
      <c r="BM30" s="192" t="n"/>
      <c r="BN30" s="192" t="n"/>
    </row>
    <row r="31">
      <c r="A31" s="289">
        <f> 'Jobs-Ops'!A31</f>
        <v/>
      </c>
      <c r="B31" s="290">
        <f>'Jobs-Ops'!B31</f>
        <v/>
      </c>
      <c r="C31" s="290">
        <f>'Jobs-Ops'!C31</f>
        <v/>
      </c>
      <c r="D31" s="179" t="n"/>
      <c r="E31" s="181">
        <f>'Jobs-Ops'!I31</f>
        <v/>
      </c>
      <c r="F31" s="205">
        <f>'Jobs-Ops'!U31</f>
        <v/>
      </c>
      <c r="G31" s="181">
        <f>'Jobs-GAAP'!J31</f>
        <v/>
      </c>
      <c r="H31" s="205">
        <f>'Jobs-GAAP'!V31</f>
        <v/>
      </c>
      <c r="I31" s="181">
        <f>E31-G31</f>
        <v/>
      </c>
      <c r="J31" s="9">
        <f>'Jobs-Ops'!P31</f>
        <v/>
      </c>
      <c r="K31" s="9">
        <f>'Jobs-GAAP'!Q31</f>
        <v/>
      </c>
      <c r="L31" s="9">
        <f>J31-K31</f>
        <v/>
      </c>
      <c r="M31" s="186" t="n"/>
      <c r="N31" s="9">
        <f>'Jobs-Ops'!Y31</f>
        <v/>
      </c>
      <c r="O31" s="9">
        <f>'Jobs-GAAP'!Y31</f>
        <v/>
      </c>
      <c r="P31" s="9">
        <f>N31-O31</f>
        <v/>
      </c>
      <c r="Q31" s="186" t="n"/>
      <c r="R31" s="11">
        <f>'Jobs-Ops'!AL31</f>
        <v/>
      </c>
      <c r="S31" s="11">
        <f>'Jobs-GAAP'!AH31</f>
        <v/>
      </c>
      <c r="T31" s="11">
        <f>IFERROR(R31-S31,0)</f>
        <v/>
      </c>
      <c r="U31" s="8">
        <f>'Jobs-Ops'!AM31</f>
        <v/>
      </c>
      <c r="V31" s="8">
        <f>'Jobs-GAAP'!AI31</f>
        <v/>
      </c>
      <c r="W31" s="8">
        <f>IFERROR(U31-V31,0)</f>
        <v/>
      </c>
      <c r="X31" s="9">
        <f>'Jobs-Ops'!AN31</f>
        <v/>
      </c>
      <c r="Y31" s="9">
        <f>'Jobs-GAAP'!AJ31</f>
        <v/>
      </c>
      <c r="Z31" s="9">
        <f>IFERROR(X31-Y31,0)</f>
        <v/>
      </c>
      <c r="AA31" s="153">
        <f>'Jobs-Ops'!AO31</f>
        <v/>
      </c>
      <c r="AB31" s="187" t="n"/>
      <c r="AC31" s="186" t="n"/>
      <c r="AD31" s="186" t="n"/>
      <c r="AE31" s="188" t="n"/>
      <c r="AF31" s="187" t="n"/>
      <c r="AG31" s="187" t="n"/>
      <c r="AH31" s="186" t="n"/>
      <c r="AI31" s="186" t="n"/>
      <c r="AJ31" s="186" t="n"/>
      <c r="AK31" s="186" t="n"/>
      <c r="AL31" s="186" t="n"/>
      <c r="AM31" s="186" t="n"/>
      <c r="AN31" s="186" t="n"/>
      <c r="AO31" s="186" t="n"/>
      <c r="AP31" s="186" t="n"/>
      <c r="AQ31" s="186" t="n"/>
      <c r="AR31" s="186" t="n"/>
      <c r="AS31" s="186" t="n"/>
      <c r="AT31" s="186" t="n"/>
      <c r="AU31" s="186" t="n"/>
      <c r="AV31" s="186" t="n"/>
      <c r="AW31" s="186" t="n"/>
      <c r="AX31" s="186" t="n"/>
      <c r="AY31" s="186" t="n"/>
      <c r="AZ31" s="186" t="n"/>
      <c r="BA31" s="186" t="n"/>
      <c r="BB31" s="186" t="n"/>
      <c r="BC31" s="186" t="n"/>
      <c r="BD31" s="190" t="n"/>
      <c r="BE31" s="186" t="n"/>
      <c r="BF31" s="186" t="n"/>
      <c r="BG31" s="186" t="n"/>
      <c r="BH31" s="186" t="n"/>
      <c r="BI31" s="186" t="n"/>
      <c r="BJ31" s="187" t="n"/>
      <c r="BK31" s="192" t="n"/>
      <c r="BL31" s="192" t="n"/>
      <c r="BM31" s="192" t="n"/>
      <c r="BN31" s="192" t="n"/>
    </row>
    <row r="32">
      <c r="A32" s="289">
        <f> 'Jobs-Ops'!A32</f>
        <v/>
      </c>
      <c r="B32" s="290">
        <f>'Jobs-Ops'!B32</f>
        <v/>
      </c>
      <c r="C32" s="290">
        <f>'Jobs-Ops'!C32</f>
        <v/>
      </c>
      <c r="D32" s="179" t="n"/>
      <c r="E32" s="181">
        <f>'Jobs-Ops'!I32</f>
        <v/>
      </c>
      <c r="F32" s="205">
        <f>'Jobs-Ops'!U32</f>
        <v/>
      </c>
      <c r="G32" s="181">
        <f>'Jobs-GAAP'!J32</f>
        <v/>
      </c>
      <c r="H32" s="205">
        <f>'Jobs-GAAP'!V32</f>
        <v/>
      </c>
      <c r="I32" s="181">
        <f>E32-G32</f>
        <v/>
      </c>
      <c r="J32" s="9">
        <f>'Jobs-Ops'!P32</f>
        <v/>
      </c>
      <c r="K32" s="9">
        <f>'Jobs-GAAP'!Q32</f>
        <v/>
      </c>
      <c r="L32" s="9">
        <f>J32-K32</f>
        <v/>
      </c>
      <c r="M32" s="186" t="n"/>
      <c r="N32" s="9">
        <f>'Jobs-Ops'!Y32</f>
        <v/>
      </c>
      <c r="O32" s="9">
        <f>'Jobs-GAAP'!Y32</f>
        <v/>
      </c>
      <c r="P32" s="9">
        <f>N32-O32</f>
        <v/>
      </c>
      <c r="Q32" s="186" t="n"/>
      <c r="R32" s="11">
        <f>'Jobs-Ops'!AL32</f>
        <v/>
      </c>
      <c r="S32" s="11">
        <f>'Jobs-GAAP'!AH32</f>
        <v/>
      </c>
      <c r="T32" s="11">
        <f>IFERROR(R32-S32,0)</f>
        <v/>
      </c>
      <c r="U32" s="8">
        <f>'Jobs-Ops'!AM32</f>
        <v/>
      </c>
      <c r="V32" s="8">
        <f>'Jobs-GAAP'!AI32</f>
        <v/>
      </c>
      <c r="W32" s="8">
        <f>IFERROR(U32-V32,0)</f>
        <v/>
      </c>
      <c r="X32" s="9">
        <f>'Jobs-Ops'!AN32</f>
        <v/>
      </c>
      <c r="Y32" s="9">
        <f>'Jobs-GAAP'!AJ32</f>
        <v/>
      </c>
      <c r="Z32" s="9">
        <f>IFERROR(X32-Y32,0)</f>
        <v/>
      </c>
      <c r="AA32" s="153">
        <f>'Jobs-Ops'!AO32</f>
        <v/>
      </c>
      <c r="AB32" s="187" t="n"/>
      <c r="AC32" s="186" t="n"/>
      <c r="AD32" s="186" t="n"/>
      <c r="AE32" s="188" t="n"/>
      <c r="AF32" s="187" t="n"/>
      <c r="AG32" s="187" t="n"/>
      <c r="AH32" s="186" t="n"/>
      <c r="AI32" s="186" t="n"/>
      <c r="AJ32" s="186" t="n"/>
      <c r="AK32" s="186" t="n"/>
      <c r="AL32" s="186" t="n"/>
      <c r="AM32" s="186" t="n"/>
      <c r="AN32" s="186" t="n"/>
      <c r="AO32" s="186" t="n"/>
      <c r="AP32" s="186" t="n"/>
      <c r="AQ32" s="186" t="n"/>
      <c r="AR32" s="186" t="n"/>
      <c r="AS32" s="186" t="n"/>
      <c r="AT32" s="186" t="n"/>
      <c r="AU32" s="186" t="n"/>
      <c r="AV32" s="186" t="n"/>
      <c r="AW32" s="186" t="n"/>
      <c r="AX32" s="186" t="n"/>
      <c r="AY32" s="186" t="n"/>
      <c r="AZ32" s="186" t="n"/>
      <c r="BA32" s="186" t="n"/>
      <c r="BB32" s="186" t="n"/>
      <c r="BC32" s="186" t="n"/>
      <c r="BD32" s="190" t="n"/>
      <c r="BE32" s="186" t="n"/>
      <c r="BF32" s="186" t="n"/>
      <c r="BG32" s="186" t="n"/>
      <c r="BH32" s="186" t="n"/>
      <c r="BI32" s="186" t="n"/>
      <c r="BJ32" s="187" t="n"/>
      <c r="BK32" s="192" t="n"/>
      <c r="BL32" s="192" t="n"/>
      <c r="BM32" s="192" t="n"/>
      <c r="BN32" s="192" t="n"/>
    </row>
    <row r="33">
      <c r="A33" s="289">
        <f> 'Jobs-Ops'!A33</f>
        <v/>
      </c>
      <c r="B33" s="290">
        <f>'Jobs-Ops'!B33</f>
        <v/>
      </c>
      <c r="C33" s="290">
        <f>'Jobs-Ops'!C33</f>
        <v/>
      </c>
      <c r="D33" s="179" t="n"/>
      <c r="E33" s="181">
        <f>'Jobs-Ops'!I33</f>
        <v/>
      </c>
      <c r="F33" s="205">
        <f>'Jobs-Ops'!U33</f>
        <v/>
      </c>
      <c r="G33" s="181">
        <f>'Jobs-GAAP'!J33</f>
        <v/>
      </c>
      <c r="H33" s="205">
        <f>'Jobs-GAAP'!V33</f>
        <v/>
      </c>
      <c r="I33" s="181">
        <f>E33-G33</f>
        <v/>
      </c>
      <c r="J33" s="9">
        <f>'Jobs-Ops'!P33</f>
        <v/>
      </c>
      <c r="K33" s="9">
        <f>'Jobs-GAAP'!Q33</f>
        <v/>
      </c>
      <c r="L33" s="9">
        <f>J33-K33</f>
        <v/>
      </c>
      <c r="M33" s="186" t="n"/>
      <c r="N33" s="9">
        <f>'Jobs-Ops'!Y33</f>
        <v/>
      </c>
      <c r="O33" s="9">
        <f>'Jobs-GAAP'!Y33</f>
        <v/>
      </c>
      <c r="P33" s="9">
        <f>N33-O33</f>
        <v/>
      </c>
      <c r="Q33" s="186" t="n"/>
      <c r="R33" s="11">
        <f>'Jobs-Ops'!AL33</f>
        <v/>
      </c>
      <c r="S33" s="11">
        <f>'Jobs-GAAP'!AH33</f>
        <v/>
      </c>
      <c r="T33" s="11">
        <f>IFERROR(R33-S33,0)</f>
        <v/>
      </c>
      <c r="U33" s="8">
        <f>'Jobs-Ops'!AM33</f>
        <v/>
      </c>
      <c r="V33" s="8">
        <f>'Jobs-GAAP'!AI33</f>
        <v/>
      </c>
      <c r="W33" s="8">
        <f>IFERROR(U33-V33,0)</f>
        <v/>
      </c>
      <c r="X33" s="9">
        <f>'Jobs-Ops'!AN33</f>
        <v/>
      </c>
      <c r="Y33" s="9">
        <f>'Jobs-GAAP'!AJ33</f>
        <v/>
      </c>
      <c r="Z33" s="9">
        <f>IFERROR(X33-Y33,0)</f>
        <v/>
      </c>
      <c r="AA33" s="153">
        <f>'Jobs-Ops'!AO33</f>
        <v/>
      </c>
      <c r="AB33" s="187" t="n"/>
      <c r="AC33" s="186" t="n"/>
      <c r="AD33" s="186" t="n"/>
      <c r="AE33" s="188" t="n"/>
      <c r="AF33" s="187" t="n"/>
      <c r="AG33" s="187" t="n"/>
      <c r="AH33" s="186" t="n"/>
      <c r="AI33" s="186" t="n"/>
      <c r="AJ33" s="186" t="n"/>
      <c r="AK33" s="186" t="n"/>
      <c r="AL33" s="186" t="n"/>
      <c r="AM33" s="186" t="n"/>
      <c r="AN33" s="186" t="n"/>
      <c r="AO33" s="186" t="n"/>
      <c r="AP33" s="186" t="n"/>
      <c r="AQ33" s="186" t="n"/>
      <c r="AR33" s="186" t="n"/>
      <c r="AS33" s="186" t="n"/>
      <c r="AT33" s="186" t="n"/>
      <c r="AU33" s="186" t="n"/>
      <c r="AV33" s="186" t="n"/>
      <c r="AW33" s="186" t="n"/>
      <c r="AX33" s="186" t="n"/>
      <c r="AY33" s="186" t="n"/>
      <c r="AZ33" s="186" t="n"/>
      <c r="BA33" s="186" t="n"/>
      <c r="BB33" s="186" t="n"/>
      <c r="BC33" s="186" t="n"/>
      <c r="BD33" s="190" t="n"/>
      <c r="BE33" s="186" t="n"/>
      <c r="BF33" s="186" t="n"/>
      <c r="BG33" s="186" t="n"/>
      <c r="BH33" s="186" t="n"/>
      <c r="BI33" s="186" t="n"/>
      <c r="BJ33" s="187" t="n"/>
      <c r="BK33" s="192" t="n"/>
      <c r="BL33" s="192" t="n"/>
      <c r="BM33" s="192" t="n"/>
      <c r="BN33" s="192" t="n"/>
    </row>
    <row r="34">
      <c r="A34" s="289">
        <f> 'Jobs-Ops'!A34</f>
        <v/>
      </c>
      <c r="B34" s="290">
        <f>'Jobs-Ops'!B34</f>
        <v/>
      </c>
      <c r="C34" s="290">
        <f>'Jobs-Ops'!C34</f>
        <v/>
      </c>
      <c r="D34" s="179" t="n"/>
      <c r="E34" s="181">
        <f>'Jobs-Ops'!I34</f>
        <v/>
      </c>
      <c r="F34" s="205">
        <f>'Jobs-Ops'!U34</f>
        <v/>
      </c>
      <c r="G34" s="181">
        <f>'Jobs-GAAP'!J34</f>
        <v/>
      </c>
      <c r="H34" s="205">
        <f>'Jobs-GAAP'!V34</f>
        <v/>
      </c>
      <c r="I34" s="181">
        <f>E34-G34</f>
        <v/>
      </c>
      <c r="J34" s="9">
        <f>'Jobs-Ops'!P34</f>
        <v/>
      </c>
      <c r="K34" s="9">
        <f>'Jobs-GAAP'!Q34</f>
        <v/>
      </c>
      <c r="L34" s="9">
        <f>J34-K34</f>
        <v/>
      </c>
      <c r="M34" s="186" t="n"/>
      <c r="N34" s="9">
        <f>'Jobs-Ops'!Y34</f>
        <v/>
      </c>
      <c r="O34" s="9">
        <f>'Jobs-GAAP'!Y34</f>
        <v/>
      </c>
      <c r="P34" s="9">
        <f>N34-O34</f>
        <v/>
      </c>
      <c r="Q34" s="186" t="n"/>
      <c r="R34" s="11">
        <f>'Jobs-Ops'!AL34</f>
        <v/>
      </c>
      <c r="S34" s="11">
        <f>'Jobs-GAAP'!AH34</f>
        <v/>
      </c>
      <c r="T34" s="11">
        <f>IFERROR(R34-S34,0)</f>
        <v/>
      </c>
      <c r="U34" s="8">
        <f>'Jobs-Ops'!AM34</f>
        <v/>
      </c>
      <c r="V34" s="8">
        <f>'Jobs-GAAP'!AI34</f>
        <v/>
      </c>
      <c r="W34" s="8">
        <f>IFERROR(U34-V34,0)</f>
        <v/>
      </c>
      <c r="X34" s="9">
        <f>'Jobs-Ops'!AN34</f>
        <v/>
      </c>
      <c r="Y34" s="9">
        <f>'Jobs-GAAP'!AJ34</f>
        <v/>
      </c>
      <c r="Z34" s="9">
        <f>IFERROR(X34-Y34,0)</f>
        <v/>
      </c>
      <c r="AA34" s="153">
        <f>'Jobs-Ops'!AO34</f>
        <v/>
      </c>
      <c r="AB34" s="187" t="n"/>
      <c r="AC34" s="186" t="n"/>
      <c r="AD34" s="186" t="n"/>
      <c r="AE34" s="188" t="n"/>
      <c r="AF34" s="187" t="n"/>
      <c r="AG34" s="187" t="n"/>
      <c r="AH34" s="186" t="n"/>
      <c r="AI34" s="186" t="n"/>
      <c r="AJ34" s="186" t="n"/>
      <c r="AK34" s="186" t="n"/>
      <c r="AL34" s="186" t="n"/>
      <c r="AM34" s="186" t="n"/>
      <c r="AN34" s="186" t="n"/>
      <c r="AO34" s="186" t="n"/>
      <c r="AP34" s="186" t="n"/>
      <c r="AQ34" s="186" t="n"/>
      <c r="AR34" s="186" t="n"/>
      <c r="AS34" s="186" t="n"/>
      <c r="AT34" s="186" t="n"/>
      <c r="AU34" s="186" t="n"/>
      <c r="AV34" s="186" t="n"/>
      <c r="AW34" s="186" t="n"/>
      <c r="AX34" s="186" t="n"/>
      <c r="AY34" s="186" t="n"/>
      <c r="AZ34" s="186" t="n"/>
      <c r="BA34" s="186" t="n"/>
      <c r="BB34" s="186" t="n"/>
      <c r="BC34" s="186" t="n"/>
      <c r="BD34" s="190" t="n"/>
      <c r="BE34" s="186" t="n"/>
      <c r="BF34" s="186" t="n"/>
      <c r="BG34" s="186" t="n"/>
      <c r="BH34" s="186" t="n"/>
      <c r="BI34" s="186" t="n"/>
      <c r="BJ34" s="187" t="n"/>
      <c r="BK34" s="192" t="n"/>
      <c r="BL34" s="192" t="n"/>
      <c r="BM34" s="192" t="n"/>
      <c r="BN34" s="192" t="n"/>
    </row>
    <row r="35">
      <c r="A35" s="289">
        <f> 'Jobs-Ops'!A35</f>
        <v/>
      </c>
      <c r="B35" s="291">
        <f>'Jobs-Ops'!B35</f>
        <v/>
      </c>
      <c r="C35" s="290">
        <f>'Jobs-Ops'!C35</f>
        <v/>
      </c>
      <c r="D35" s="179" t="n"/>
      <c r="E35" s="181">
        <f>'Jobs-Ops'!I35</f>
        <v/>
      </c>
      <c r="F35" s="205">
        <f>'Jobs-Ops'!U35</f>
        <v/>
      </c>
      <c r="G35" s="181">
        <f>'Jobs-GAAP'!J35</f>
        <v/>
      </c>
      <c r="H35" s="205">
        <f>'Jobs-GAAP'!V35</f>
        <v/>
      </c>
      <c r="I35" s="181">
        <f>E35-G35</f>
        <v/>
      </c>
      <c r="J35" s="9">
        <f>'Jobs-Ops'!P35</f>
        <v/>
      </c>
      <c r="K35" s="9">
        <f>'Jobs-GAAP'!Q35</f>
        <v/>
      </c>
      <c r="L35" s="9">
        <f>J35-K35</f>
        <v/>
      </c>
      <c r="M35" s="186" t="n"/>
      <c r="N35" s="9">
        <f>'Jobs-Ops'!Y35</f>
        <v/>
      </c>
      <c r="O35" s="9">
        <f>'Jobs-GAAP'!Y35</f>
        <v/>
      </c>
      <c r="P35" s="9">
        <f>N35-O35</f>
        <v/>
      </c>
      <c r="Q35" s="186" t="n"/>
      <c r="R35" s="11">
        <f>'Jobs-Ops'!AL35</f>
        <v/>
      </c>
      <c r="S35" s="11">
        <f>'Jobs-GAAP'!AH35</f>
        <v/>
      </c>
      <c r="T35" s="11">
        <f>IFERROR(R35-S35,0)</f>
        <v/>
      </c>
      <c r="U35" s="8">
        <f>'Jobs-Ops'!AM35</f>
        <v/>
      </c>
      <c r="V35" s="8">
        <f>'Jobs-GAAP'!AI35</f>
        <v/>
      </c>
      <c r="W35" s="8">
        <f>IFERROR(U35-V35,0)</f>
        <v/>
      </c>
      <c r="X35" s="9">
        <f>'Jobs-Ops'!AN35</f>
        <v/>
      </c>
      <c r="Y35" s="9">
        <f>'Jobs-GAAP'!AJ35</f>
        <v/>
      </c>
      <c r="Z35" s="9">
        <f>IFERROR(X35-Y35,0)</f>
        <v/>
      </c>
      <c r="AA35" s="153">
        <f>'Jobs-Ops'!AO35</f>
        <v/>
      </c>
      <c r="AB35" s="187" t="n"/>
      <c r="AC35" s="186" t="n"/>
      <c r="AD35" s="186" t="n"/>
      <c r="AE35" s="188" t="n"/>
      <c r="AF35" s="187" t="n"/>
      <c r="AG35" s="187" t="n"/>
      <c r="AH35" s="186" t="n"/>
      <c r="AI35" s="186" t="n"/>
      <c r="AJ35" s="186" t="n"/>
      <c r="AK35" s="186" t="n"/>
      <c r="AL35" s="186" t="n"/>
      <c r="AM35" s="186" t="n"/>
      <c r="AN35" s="186" t="n"/>
      <c r="AO35" s="186" t="n"/>
      <c r="AP35" s="186" t="n"/>
      <c r="AQ35" s="186" t="n"/>
      <c r="AR35" s="186" t="n"/>
      <c r="AS35" s="186" t="n"/>
      <c r="AT35" s="186" t="n"/>
      <c r="AU35" s="186" t="n"/>
      <c r="AV35" s="186" t="n"/>
      <c r="AW35" s="186" t="n"/>
      <c r="AX35" s="186" t="n"/>
      <c r="AY35" s="186" t="n"/>
      <c r="AZ35" s="186" t="n"/>
      <c r="BA35" s="186" t="n"/>
      <c r="BB35" s="186" t="n"/>
      <c r="BC35" s="186" t="n"/>
      <c r="BD35" s="190" t="n"/>
      <c r="BE35" s="186" t="n"/>
      <c r="BF35" s="186" t="n"/>
      <c r="BG35" s="186" t="n"/>
      <c r="BH35" s="186" t="n"/>
      <c r="BI35" s="186" t="n"/>
      <c r="BJ35" s="187" t="n"/>
      <c r="BK35" s="192" t="n"/>
      <c r="BL35" s="192" t="n"/>
      <c r="BM35" s="192" t="n"/>
      <c r="BN35" s="192" t="n"/>
    </row>
    <row r="36">
      <c r="A36" s="289">
        <f> 'Jobs-Ops'!A36</f>
        <v/>
      </c>
      <c r="B36" s="291">
        <f>'Jobs-Ops'!B36</f>
        <v/>
      </c>
      <c r="C36" s="290">
        <f>'Jobs-Ops'!C36</f>
        <v/>
      </c>
      <c r="D36" s="179" t="n"/>
      <c r="E36" s="181">
        <f>'Jobs-Ops'!I36</f>
        <v/>
      </c>
      <c r="F36" s="205">
        <f>'Jobs-Ops'!U36</f>
        <v/>
      </c>
      <c r="G36" s="181">
        <f>'Jobs-GAAP'!J36</f>
        <v/>
      </c>
      <c r="H36" s="205">
        <f>'Jobs-GAAP'!V36</f>
        <v/>
      </c>
      <c r="I36" s="181">
        <f>E36-G36</f>
        <v/>
      </c>
      <c r="J36" s="9">
        <f>'Jobs-Ops'!P36</f>
        <v/>
      </c>
      <c r="K36" s="9">
        <f>'Jobs-GAAP'!Q36</f>
        <v/>
      </c>
      <c r="L36" s="9">
        <f>J36-K36</f>
        <v/>
      </c>
      <c r="M36" s="186" t="n"/>
      <c r="N36" s="9">
        <f>'Jobs-Ops'!Y36</f>
        <v/>
      </c>
      <c r="O36" s="9">
        <f>'Jobs-GAAP'!Y36</f>
        <v/>
      </c>
      <c r="P36" s="9">
        <f>N36-O36</f>
        <v/>
      </c>
      <c r="Q36" s="186" t="n"/>
      <c r="R36" s="11">
        <f>'Jobs-Ops'!AL36</f>
        <v/>
      </c>
      <c r="S36" s="11">
        <f>'Jobs-GAAP'!AH36</f>
        <v/>
      </c>
      <c r="T36" s="11">
        <f>IFERROR(R36-S36,0)</f>
        <v/>
      </c>
      <c r="U36" s="8">
        <f>'Jobs-Ops'!AM36</f>
        <v/>
      </c>
      <c r="V36" s="8">
        <f>'Jobs-GAAP'!AI36</f>
        <v/>
      </c>
      <c r="W36" s="8">
        <f>IFERROR(U36-V36,0)</f>
        <v/>
      </c>
      <c r="X36" s="9">
        <f>'Jobs-Ops'!AN36</f>
        <v/>
      </c>
      <c r="Y36" s="9">
        <f>'Jobs-GAAP'!AJ36</f>
        <v/>
      </c>
      <c r="Z36" s="9">
        <f>IFERROR(X36-Y36,0)</f>
        <v/>
      </c>
      <c r="AA36" s="153">
        <f>'Jobs-Ops'!AO36</f>
        <v/>
      </c>
      <c r="AB36" s="187" t="n"/>
      <c r="AC36" s="186" t="n"/>
      <c r="AD36" s="186" t="n"/>
      <c r="AE36" s="188" t="n"/>
      <c r="AF36" s="187" t="n"/>
      <c r="AG36" s="187" t="n"/>
      <c r="AH36" s="186" t="n"/>
      <c r="AI36" s="186" t="n"/>
      <c r="AJ36" s="186" t="n"/>
      <c r="AK36" s="186" t="n"/>
      <c r="AL36" s="186" t="n"/>
      <c r="AM36" s="186" t="n"/>
      <c r="AN36" s="186" t="n"/>
      <c r="AO36" s="186" t="n"/>
      <c r="AP36" s="186" t="n"/>
      <c r="AQ36" s="186" t="n"/>
      <c r="AR36" s="186" t="n"/>
      <c r="AS36" s="186" t="n"/>
      <c r="AT36" s="186" t="n"/>
      <c r="AU36" s="186" t="n"/>
      <c r="AV36" s="186" t="n"/>
      <c r="AW36" s="186" t="n"/>
      <c r="AX36" s="186" t="n"/>
      <c r="AY36" s="186" t="n"/>
      <c r="AZ36" s="186" t="n"/>
      <c r="BA36" s="186" t="n"/>
      <c r="BB36" s="186" t="n"/>
      <c r="BC36" s="186" t="n"/>
      <c r="BD36" s="190" t="n"/>
      <c r="BE36" s="186" t="n"/>
      <c r="BF36" s="186" t="n"/>
      <c r="BG36" s="186" t="n"/>
      <c r="BH36" s="186" t="n"/>
      <c r="BI36" s="186" t="n"/>
      <c r="BJ36" s="187" t="n"/>
      <c r="BK36" s="192" t="n"/>
      <c r="BL36" s="192" t="n"/>
      <c r="BM36" s="192" t="n"/>
      <c r="BN36" s="192" t="n"/>
    </row>
    <row r="37">
      <c r="A37" s="289">
        <f> 'Jobs-Ops'!A37</f>
        <v/>
      </c>
      <c r="B37" s="291">
        <f>'Jobs-Ops'!B37</f>
        <v/>
      </c>
      <c r="C37" s="290">
        <f>'Jobs-Ops'!C37</f>
        <v/>
      </c>
      <c r="D37" s="179" t="n"/>
      <c r="E37" s="181">
        <f>'Jobs-Ops'!I37</f>
        <v/>
      </c>
      <c r="F37" s="205">
        <f>'Jobs-Ops'!U37</f>
        <v/>
      </c>
      <c r="G37" s="181">
        <f>'Jobs-GAAP'!J37</f>
        <v/>
      </c>
      <c r="H37" s="205">
        <f>'Jobs-GAAP'!V37</f>
        <v/>
      </c>
      <c r="I37" s="181">
        <f>E37-G37</f>
        <v/>
      </c>
      <c r="J37" s="9">
        <f>'Jobs-Ops'!P37</f>
        <v/>
      </c>
      <c r="K37" s="9">
        <f>'Jobs-GAAP'!Q37</f>
        <v/>
      </c>
      <c r="L37" s="9">
        <f>J37-K37</f>
        <v/>
      </c>
      <c r="M37" s="186" t="n"/>
      <c r="N37" s="9">
        <f>'Jobs-Ops'!Y37</f>
        <v/>
      </c>
      <c r="O37" s="9">
        <f>'Jobs-GAAP'!Y37</f>
        <v/>
      </c>
      <c r="P37" s="9">
        <f>N37-O37</f>
        <v/>
      </c>
      <c r="Q37" s="186" t="n"/>
      <c r="R37" s="11">
        <f>'Jobs-Ops'!AL37</f>
        <v/>
      </c>
      <c r="S37" s="11">
        <f>'Jobs-GAAP'!AH37</f>
        <v/>
      </c>
      <c r="T37" s="11">
        <f>IFERROR(R37-S37,0)</f>
        <v/>
      </c>
      <c r="U37" s="8">
        <f>'Jobs-Ops'!AM37</f>
        <v/>
      </c>
      <c r="V37" s="8">
        <f>'Jobs-GAAP'!AI37</f>
        <v/>
      </c>
      <c r="W37" s="8">
        <f>IFERROR(U37-V37,0)</f>
        <v/>
      </c>
      <c r="X37" s="9">
        <f>'Jobs-Ops'!AN37</f>
        <v/>
      </c>
      <c r="Y37" s="9">
        <f>'Jobs-GAAP'!AJ37</f>
        <v/>
      </c>
      <c r="Z37" s="9">
        <f>IFERROR(X37-Y37,0)</f>
        <v/>
      </c>
      <c r="AA37" s="153">
        <f>'Jobs-Ops'!AO37</f>
        <v/>
      </c>
      <c r="AB37" s="187" t="n"/>
      <c r="AC37" s="186" t="n"/>
      <c r="AD37" s="186" t="n"/>
      <c r="AE37" s="188" t="n"/>
      <c r="AF37" s="187" t="n"/>
      <c r="AG37" s="187" t="n"/>
      <c r="AH37" s="186" t="n"/>
      <c r="AI37" s="186" t="n"/>
      <c r="AJ37" s="186" t="n"/>
      <c r="AK37" s="186" t="n"/>
      <c r="AL37" s="186" t="n"/>
      <c r="AM37" s="186" t="n"/>
      <c r="AN37" s="186" t="n"/>
      <c r="AO37" s="186" t="n"/>
      <c r="AP37" s="186" t="n"/>
      <c r="AQ37" s="186" t="n"/>
      <c r="AR37" s="186" t="n"/>
      <c r="AS37" s="186" t="n"/>
      <c r="AT37" s="186" t="n"/>
      <c r="AU37" s="186" t="n"/>
      <c r="AV37" s="186" t="n"/>
      <c r="AW37" s="186" t="n"/>
      <c r="AX37" s="186" t="n"/>
      <c r="AY37" s="186" t="n"/>
      <c r="AZ37" s="186" t="n"/>
      <c r="BA37" s="186" t="n"/>
      <c r="BB37" s="186" t="n"/>
      <c r="BC37" s="186" t="n"/>
      <c r="BD37" s="190" t="n"/>
      <c r="BE37" s="186" t="n"/>
      <c r="BF37" s="186" t="n"/>
      <c r="BG37" s="186" t="n"/>
      <c r="BH37" s="186" t="n"/>
      <c r="BI37" s="186" t="n"/>
      <c r="BJ37" s="187" t="n"/>
      <c r="BK37" s="192" t="n"/>
      <c r="BL37" s="192" t="n"/>
      <c r="BM37" s="192" t="n"/>
      <c r="BN37" s="192" t="n"/>
    </row>
    <row r="38">
      <c r="A38" s="289">
        <f> 'Jobs-Ops'!A38</f>
        <v/>
      </c>
      <c r="B38" s="291">
        <f>'Jobs-Ops'!B38</f>
        <v/>
      </c>
      <c r="C38" s="290">
        <f>'Jobs-Ops'!C38</f>
        <v/>
      </c>
      <c r="D38" s="179" t="n"/>
      <c r="E38" s="181">
        <f>'Jobs-Ops'!I38</f>
        <v/>
      </c>
      <c r="F38" s="205">
        <f>'Jobs-Ops'!U38</f>
        <v/>
      </c>
      <c r="G38" s="181">
        <f>'Jobs-GAAP'!J38</f>
        <v/>
      </c>
      <c r="H38" s="205">
        <f>'Jobs-GAAP'!V38</f>
        <v/>
      </c>
      <c r="I38" s="181">
        <f>E38-G38</f>
        <v/>
      </c>
      <c r="J38" s="9">
        <f>'Jobs-Ops'!P38</f>
        <v/>
      </c>
      <c r="K38" s="9">
        <f>'Jobs-GAAP'!Q38</f>
        <v/>
      </c>
      <c r="L38" s="9">
        <f>J38-K38</f>
        <v/>
      </c>
      <c r="M38" s="186" t="n"/>
      <c r="N38" s="9">
        <f>'Jobs-Ops'!Y38</f>
        <v/>
      </c>
      <c r="O38" s="9">
        <f>'Jobs-GAAP'!Y38</f>
        <v/>
      </c>
      <c r="P38" s="9">
        <f>N38-O38</f>
        <v/>
      </c>
      <c r="Q38" s="186" t="n"/>
      <c r="R38" s="11">
        <f>'Jobs-Ops'!AL38</f>
        <v/>
      </c>
      <c r="S38" s="11">
        <f>'Jobs-GAAP'!AH38</f>
        <v/>
      </c>
      <c r="T38" s="11">
        <f>IFERROR(R38-S38,0)</f>
        <v/>
      </c>
      <c r="U38" s="8">
        <f>'Jobs-Ops'!AM38</f>
        <v/>
      </c>
      <c r="V38" s="8">
        <f>'Jobs-GAAP'!AI38</f>
        <v/>
      </c>
      <c r="W38" s="8">
        <f>IFERROR(U38-V38,0)</f>
        <v/>
      </c>
      <c r="X38" s="9">
        <f>'Jobs-Ops'!AN38</f>
        <v/>
      </c>
      <c r="Y38" s="9">
        <f>'Jobs-GAAP'!AJ38</f>
        <v/>
      </c>
      <c r="Z38" s="9">
        <f>IFERROR(X38-Y38,0)</f>
        <v/>
      </c>
      <c r="AA38" s="153">
        <f>'Jobs-Ops'!AO38</f>
        <v/>
      </c>
      <c r="AB38" s="187" t="n"/>
      <c r="AC38" s="186" t="n"/>
      <c r="AD38" s="186" t="n"/>
      <c r="AE38" s="188" t="n"/>
      <c r="AF38" s="187" t="n"/>
      <c r="AG38" s="187" t="n"/>
      <c r="AH38" s="186" t="n"/>
      <c r="AI38" s="186" t="n"/>
      <c r="AJ38" s="186" t="n"/>
      <c r="AK38" s="186" t="n"/>
      <c r="AL38" s="186" t="n"/>
      <c r="AM38" s="186" t="n"/>
      <c r="AN38" s="186" t="n"/>
      <c r="AO38" s="186" t="n"/>
      <c r="AP38" s="186" t="n"/>
      <c r="AQ38" s="186" t="n"/>
      <c r="AR38" s="186" t="n"/>
      <c r="AS38" s="186" t="n"/>
      <c r="AT38" s="186" t="n"/>
      <c r="AU38" s="186" t="n"/>
      <c r="AV38" s="186" t="n"/>
      <c r="AW38" s="186" t="n"/>
      <c r="AX38" s="186" t="n"/>
      <c r="AY38" s="186" t="n"/>
      <c r="AZ38" s="186" t="n"/>
      <c r="BA38" s="186" t="n"/>
      <c r="BB38" s="186" t="n"/>
      <c r="BC38" s="186" t="n"/>
      <c r="BD38" s="190" t="n"/>
      <c r="BE38" s="186" t="n"/>
      <c r="BF38" s="186" t="n"/>
      <c r="BG38" s="186" t="n"/>
      <c r="BH38" s="186" t="n"/>
      <c r="BI38" s="186" t="n"/>
      <c r="BJ38" s="187" t="n"/>
      <c r="BK38" s="192" t="n"/>
      <c r="BL38" s="192" t="n"/>
      <c r="BM38" s="192" t="n"/>
      <c r="BN38" s="192" t="n"/>
    </row>
    <row r="39">
      <c r="A39" s="289">
        <f> 'Jobs-Ops'!A39</f>
        <v/>
      </c>
      <c r="B39" s="290">
        <f>'Jobs-Ops'!B39</f>
        <v/>
      </c>
      <c r="C39" s="290">
        <f>'Jobs-Ops'!C39</f>
        <v/>
      </c>
      <c r="D39" s="179" t="n"/>
      <c r="E39" s="181">
        <f>'Jobs-Ops'!I39</f>
        <v/>
      </c>
      <c r="F39" s="205">
        <f>'Jobs-Ops'!U39</f>
        <v/>
      </c>
      <c r="G39" s="181">
        <f>'Jobs-GAAP'!J39</f>
        <v/>
      </c>
      <c r="H39" s="205">
        <f>'Jobs-GAAP'!V39</f>
        <v/>
      </c>
      <c r="I39" s="181">
        <f>E39-G39</f>
        <v/>
      </c>
      <c r="J39" s="9">
        <f>'Jobs-Ops'!P39</f>
        <v/>
      </c>
      <c r="K39" s="9">
        <f>'Jobs-GAAP'!Q39</f>
        <v/>
      </c>
      <c r="L39" s="9">
        <f>J39-K39</f>
        <v/>
      </c>
      <c r="M39" s="186" t="n"/>
      <c r="N39" s="9">
        <f>'Jobs-Ops'!Y39</f>
        <v/>
      </c>
      <c r="O39" s="9">
        <f>'Jobs-GAAP'!Y39</f>
        <v/>
      </c>
      <c r="P39" s="9">
        <f>N39-O39</f>
        <v/>
      </c>
      <c r="Q39" s="186" t="n"/>
      <c r="R39" s="11">
        <f>'Jobs-Ops'!AL39</f>
        <v/>
      </c>
      <c r="S39" s="11">
        <f>'Jobs-GAAP'!AH39</f>
        <v/>
      </c>
      <c r="T39" s="11">
        <f>IFERROR(R39-S39,0)</f>
        <v/>
      </c>
      <c r="U39" s="8">
        <f>'Jobs-Ops'!AM39</f>
        <v/>
      </c>
      <c r="V39" s="8">
        <f>'Jobs-GAAP'!AI39</f>
        <v/>
      </c>
      <c r="W39" s="8">
        <f>IFERROR(U39-V39,0)</f>
        <v/>
      </c>
      <c r="X39" s="9">
        <f>'Jobs-Ops'!AN39</f>
        <v/>
      </c>
      <c r="Y39" s="9">
        <f>'Jobs-GAAP'!AJ39</f>
        <v/>
      </c>
      <c r="Z39" s="9">
        <f>IFERROR(X39-Y39,0)</f>
        <v/>
      </c>
      <c r="AA39" s="153">
        <f>'Jobs-Ops'!AO39</f>
        <v/>
      </c>
      <c r="AB39" s="187" t="n"/>
      <c r="AC39" s="186" t="n"/>
      <c r="AD39" s="186" t="n"/>
      <c r="AE39" s="188" t="n"/>
      <c r="AF39" s="187" t="n"/>
      <c r="AG39" s="187" t="n"/>
      <c r="AH39" s="186" t="n"/>
      <c r="AI39" s="186" t="n"/>
      <c r="AJ39" s="186" t="n"/>
      <c r="AK39" s="186" t="n"/>
      <c r="AL39" s="186" t="n"/>
      <c r="AM39" s="186" t="n"/>
      <c r="AN39" s="186" t="n"/>
      <c r="AO39" s="186" t="n"/>
      <c r="AP39" s="186" t="n"/>
      <c r="AQ39" s="186" t="n"/>
      <c r="AR39" s="186" t="n"/>
      <c r="AS39" s="186" t="n"/>
      <c r="AT39" s="186" t="n"/>
      <c r="AU39" s="186" t="n"/>
      <c r="AV39" s="186" t="n"/>
      <c r="AW39" s="186" t="n"/>
      <c r="AX39" s="186" t="n"/>
      <c r="AY39" s="186" t="n"/>
      <c r="AZ39" s="186" t="n"/>
      <c r="BA39" s="186" t="n"/>
      <c r="BB39" s="186" t="n"/>
      <c r="BC39" s="186" t="n"/>
      <c r="BD39" s="190" t="n"/>
      <c r="BE39" s="186" t="n"/>
      <c r="BF39" s="186" t="n"/>
      <c r="BG39" s="186" t="n"/>
      <c r="BH39" s="186" t="n"/>
      <c r="BI39" s="186" t="n"/>
      <c r="BJ39" s="187" t="n"/>
      <c r="BK39" s="192" t="n"/>
      <c r="BL39" s="192" t="n"/>
      <c r="BM39" s="192" t="n"/>
      <c r="BN39" s="192" t="n"/>
    </row>
    <row r="40">
      <c r="A40" s="289">
        <f> 'Jobs-Ops'!A40</f>
        <v/>
      </c>
      <c r="B40" s="290">
        <f>'Jobs-Ops'!B40</f>
        <v/>
      </c>
      <c r="C40" s="290">
        <f>'Jobs-Ops'!C40</f>
        <v/>
      </c>
      <c r="D40" s="179" t="n"/>
      <c r="E40" s="181">
        <f>'Jobs-Ops'!I40</f>
        <v/>
      </c>
      <c r="F40" s="205">
        <f>'Jobs-Ops'!U40</f>
        <v/>
      </c>
      <c r="G40" s="181">
        <f>'Jobs-GAAP'!J40</f>
        <v/>
      </c>
      <c r="H40" s="205">
        <f>'Jobs-GAAP'!V40</f>
        <v/>
      </c>
      <c r="I40" s="181">
        <f>E40-G40</f>
        <v/>
      </c>
      <c r="J40" s="9">
        <f>'Jobs-Ops'!P40</f>
        <v/>
      </c>
      <c r="K40" s="9">
        <f>'Jobs-GAAP'!Q40</f>
        <v/>
      </c>
      <c r="L40" s="9">
        <f>J40-K40</f>
        <v/>
      </c>
      <c r="M40" s="186" t="n"/>
      <c r="N40" s="9">
        <f>'Jobs-Ops'!Y40</f>
        <v/>
      </c>
      <c r="O40" s="9">
        <f>'Jobs-GAAP'!Y40</f>
        <v/>
      </c>
      <c r="P40" s="9">
        <f>N40-O40</f>
        <v/>
      </c>
      <c r="Q40" s="186" t="n"/>
      <c r="R40" s="11">
        <f>'Jobs-Ops'!AL40</f>
        <v/>
      </c>
      <c r="S40" s="11">
        <f>'Jobs-GAAP'!AH40</f>
        <v/>
      </c>
      <c r="T40" s="11">
        <f>IFERROR(R40-S40,0)</f>
        <v/>
      </c>
      <c r="U40" s="8">
        <f>'Jobs-Ops'!AM40</f>
        <v/>
      </c>
      <c r="V40" s="8">
        <f>'Jobs-GAAP'!AI40</f>
        <v/>
      </c>
      <c r="W40" s="8">
        <f>IFERROR(U40-V40,0)</f>
        <v/>
      </c>
      <c r="X40" s="9">
        <f>'Jobs-Ops'!AN40</f>
        <v/>
      </c>
      <c r="Y40" s="9">
        <f>'Jobs-GAAP'!AJ40</f>
        <v/>
      </c>
      <c r="Z40" s="9">
        <f>IFERROR(X40-Y40,0)</f>
        <v/>
      </c>
      <c r="AA40" s="153">
        <f>'Jobs-Ops'!AO40</f>
        <v/>
      </c>
      <c r="AB40" s="187" t="n"/>
      <c r="AC40" s="186" t="n"/>
      <c r="AD40" s="186" t="n"/>
      <c r="AE40" s="188" t="n"/>
      <c r="AF40" s="187" t="n"/>
      <c r="AG40" s="187" t="n"/>
      <c r="AH40" s="186" t="n"/>
      <c r="AI40" s="186" t="n"/>
      <c r="AJ40" s="186" t="n"/>
      <c r="AK40" s="186" t="n"/>
      <c r="AL40" s="186" t="n"/>
      <c r="AM40" s="186" t="n"/>
      <c r="AN40" s="186" t="n"/>
      <c r="AO40" s="186" t="n"/>
      <c r="AP40" s="186" t="n"/>
      <c r="AQ40" s="186" t="n"/>
      <c r="AR40" s="186" t="n"/>
      <c r="AS40" s="186" t="n"/>
      <c r="AT40" s="186" t="n"/>
      <c r="AU40" s="186" t="n"/>
      <c r="AV40" s="186" t="n"/>
      <c r="AW40" s="186" t="n"/>
      <c r="AX40" s="186" t="n"/>
      <c r="AY40" s="186" t="n"/>
      <c r="AZ40" s="186" t="n"/>
      <c r="BA40" s="186" t="n"/>
      <c r="BB40" s="186" t="n"/>
      <c r="BC40" s="186" t="n"/>
      <c r="BD40" s="190" t="n"/>
      <c r="BE40" s="186" t="n"/>
      <c r="BF40" s="186" t="n"/>
      <c r="BG40" s="186" t="n"/>
      <c r="BH40" s="186" t="n"/>
      <c r="BI40" s="186" t="n"/>
      <c r="BJ40" s="187" t="n"/>
      <c r="BK40" s="192" t="n"/>
      <c r="BL40" s="192" t="n"/>
      <c r="BM40" s="192" t="n"/>
      <c r="BN40" s="192" t="n"/>
    </row>
    <row r="41">
      <c r="A41" s="289">
        <f> 'Jobs-Ops'!A41</f>
        <v/>
      </c>
      <c r="B41" s="290">
        <f>'Jobs-Ops'!B41</f>
        <v/>
      </c>
      <c r="C41" s="290">
        <f>'Jobs-Ops'!C41</f>
        <v/>
      </c>
      <c r="D41" s="179" t="n"/>
      <c r="E41" s="181">
        <f>'Jobs-Ops'!I41</f>
        <v/>
      </c>
      <c r="F41" s="205">
        <f>'Jobs-Ops'!U41</f>
        <v/>
      </c>
      <c r="G41" s="181">
        <f>'Jobs-GAAP'!J41</f>
        <v/>
      </c>
      <c r="H41" s="205">
        <f>'Jobs-GAAP'!V41</f>
        <v/>
      </c>
      <c r="I41" s="181">
        <f>E41-G41</f>
        <v/>
      </c>
      <c r="J41" s="9">
        <f>'Jobs-Ops'!P41</f>
        <v/>
      </c>
      <c r="K41" s="9">
        <f>'Jobs-GAAP'!Q41</f>
        <v/>
      </c>
      <c r="L41" s="9">
        <f>J41-K41</f>
        <v/>
      </c>
      <c r="M41" s="186" t="n"/>
      <c r="N41" s="9">
        <f>'Jobs-Ops'!Y41</f>
        <v/>
      </c>
      <c r="O41" s="9">
        <f>'Jobs-GAAP'!Y41</f>
        <v/>
      </c>
      <c r="P41" s="9">
        <f>N41-O41</f>
        <v/>
      </c>
      <c r="Q41" s="186" t="n"/>
      <c r="R41" s="11">
        <f>'Jobs-Ops'!AL41</f>
        <v/>
      </c>
      <c r="S41" s="11">
        <f>'Jobs-GAAP'!AH41</f>
        <v/>
      </c>
      <c r="T41" s="11">
        <f>IFERROR(R41-S41,0)</f>
        <v/>
      </c>
      <c r="U41" s="8">
        <f>'Jobs-Ops'!AM41</f>
        <v/>
      </c>
      <c r="V41" s="8">
        <f>'Jobs-GAAP'!AI41</f>
        <v/>
      </c>
      <c r="W41" s="8">
        <f>IFERROR(U41-V41,0)</f>
        <v/>
      </c>
      <c r="X41" s="9">
        <f>'Jobs-Ops'!AN41</f>
        <v/>
      </c>
      <c r="Y41" s="9">
        <f>'Jobs-GAAP'!AJ41</f>
        <v/>
      </c>
      <c r="Z41" s="9">
        <f>IFERROR(X41-Y41,0)</f>
        <v/>
      </c>
      <c r="AA41" s="153">
        <f>'Jobs-Ops'!AO41</f>
        <v/>
      </c>
      <c r="AB41" s="187" t="n"/>
      <c r="AC41" s="186" t="n"/>
      <c r="AD41" s="186" t="n"/>
      <c r="AE41" s="188" t="n"/>
      <c r="AF41" s="187" t="n"/>
      <c r="AG41" s="187" t="n"/>
      <c r="AH41" s="186" t="n"/>
      <c r="AI41" s="186" t="n"/>
      <c r="AJ41" s="186" t="n"/>
      <c r="AK41" s="186" t="n"/>
      <c r="AL41" s="186" t="n"/>
      <c r="AM41" s="186" t="n"/>
      <c r="AN41" s="186" t="n"/>
      <c r="AO41" s="186" t="n"/>
      <c r="AP41" s="186" t="n"/>
      <c r="AQ41" s="186" t="n"/>
      <c r="AR41" s="186" t="n"/>
      <c r="AS41" s="186" t="n"/>
      <c r="AT41" s="186" t="n"/>
      <c r="AU41" s="186" t="n"/>
      <c r="AV41" s="186" t="n"/>
      <c r="AW41" s="186" t="n"/>
      <c r="AX41" s="186" t="n"/>
      <c r="AY41" s="186" t="n"/>
      <c r="AZ41" s="186" t="n"/>
      <c r="BA41" s="186" t="n"/>
      <c r="BB41" s="186" t="n"/>
      <c r="BC41" s="186" t="n"/>
      <c r="BD41" s="190" t="n"/>
      <c r="BE41" s="186" t="n"/>
      <c r="BF41" s="186" t="n"/>
      <c r="BG41" s="186" t="n"/>
      <c r="BH41" s="186" t="n"/>
      <c r="BI41" s="186" t="n"/>
      <c r="BJ41" s="187" t="n"/>
      <c r="BK41" s="192" t="n"/>
      <c r="BL41" s="192" t="n"/>
      <c r="BM41" s="192" t="n"/>
      <c r="BN41" s="192" t="n"/>
    </row>
    <row r="42">
      <c r="A42" s="289">
        <f> 'Jobs-Ops'!A42</f>
        <v/>
      </c>
      <c r="B42" s="290">
        <f>'Jobs-Ops'!B42</f>
        <v/>
      </c>
      <c r="C42" s="290">
        <f>'Jobs-Ops'!C42</f>
        <v/>
      </c>
      <c r="D42" s="179" t="n"/>
      <c r="E42" s="181">
        <f>'Jobs-Ops'!I42</f>
        <v/>
      </c>
      <c r="F42" s="205">
        <f>'Jobs-Ops'!U42</f>
        <v/>
      </c>
      <c r="G42" s="181">
        <f>'Jobs-GAAP'!J42</f>
        <v/>
      </c>
      <c r="H42" s="205">
        <f>'Jobs-GAAP'!V42</f>
        <v/>
      </c>
      <c r="I42" s="181">
        <f>E42-G42</f>
        <v/>
      </c>
      <c r="J42" s="9">
        <f>'Jobs-Ops'!P42</f>
        <v/>
      </c>
      <c r="K42" s="9">
        <f>'Jobs-GAAP'!Q42</f>
        <v/>
      </c>
      <c r="L42" s="9">
        <f>J42-K42</f>
        <v/>
      </c>
      <c r="M42" s="186" t="n"/>
      <c r="N42" s="9">
        <f>'Jobs-Ops'!Y42</f>
        <v/>
      </c>
      <c r="O42" s="9">
        <f>'Jobs-GAAP'!Y42</f>
        <v/>
      </c>
      <c r="P42" s="9">
        <f>N42-O42</f>
        <v/>
      </c>
      <c r="Q42" s="186" t="n"/>
      <c r="R42" s="11">
        <f>'Jobs-Ops'!AL42</f>
        <v/>
      </c>
      <c r="S42" s="11">
        <f>'Jobs-GAAP'!AH42</f>
        <v/>
      </c>
      <c r="T42" s="11">
        <f>IFERROR(R42-S42,0)</f>
        <v/>
      </c>
      <c r="U42" s="8">
        <f>'Jobs-Ops'!AM42</f>
        <v/>
      </c>
      <c r="V42" s="8">
        <f>'Jobs-GAAP'!AI42</f>
        <v/>
      </c>
      <c r="W42" s="8">
        <f>IFERROR(U42-V42,0)</f>
        <v/>
      </c>
      <c r="X42" s="9">
        <f>'Jobs-Ops'!AN42</f>
        <v/>
      </c>
      <c r="Y42" s="9">
        <f>'Jobs-GAAP'!AJ42</f>
        <v/>
      </c>
      <c r="Z42" s="9">
        <f>IFERROR(X42-Y42,0)</f>
        <v/>
      </c>
      <c r="AA42" s="153">
        <f>'Jobs-Ops'!AO42</f>
        <v/>
      </c>
      <c r="AB42" s="187" t="n"/>
      <c r="AC42" s="186" t="n"/>
      <c r="AD42" s="186" t="n"/>
      <c r="AE42" s="188" t="n"/>
      <c r="AF42" s="187" t="n"/>
      <c r="AG42" s="187" t="n"/>
      <c r="AH42" s="186" t="n"/>
      <c r="AI42" s="186" t="n"/>
      <c r="AJ42" s="186" t="n"/>
      <c r="AK42" s="186" t="n"/>
      <c r="AL42" s="186" t="n"/>
      <c r="AM42" s="186" t="n"/>
      <c r="AN42" s="186" t="n"/>
      <c r="AO42" s="186" t="n"/>
      <c r="AP42" s="186" t="n"/>
      <c r="AQ42" s="186" t="n"/>
      <c r="AR42" s="186" t="n"/>
      <c r="AS42" s="186" t="n"/>
      <c r="AT42" s="186" t="n"/>
      <c r="AU42" s="186" t="n"/>
      <c r="AV42" s="186" t="n"/>
      <c r="AW42" s="186" t="n"/>
      <c r="AX42" s="186" t="n"/>
      <c r="AY42" s="186" t="n"/>
      <c r="AZ42" s="186" t="n"/>
      <c r="BA42" s="186" t="n"/>
      <c r="BB42" s="186" t="n"/>
      <c r="BC42" s="186" t="n"/>
      <c r="BD42" s="190" t="n"/>
      <c r="BE42" s="186" t="n"/>
      <c r="BF42" s="186" t="n"/>
      <c r="BG42" s="186" t="n"/>
      <c r="BH42" s="186" t="n"/>
      <c r="BI42" s="186" t="n"/>
      <c r="BJ42" s="187" t="n"/>
      <c r="BK42" s="192" t="n"/>
      <c r="BL42" s="192" t="n"/>
      <c r="BM42" s="192" t="n"/>
      <c r="BN42" s="192" t="n"/>
    </row>
    <row r="43">
      <c r="A43" s="289">
        <f> 'Jobs-Ops'!A43</f>
        <v/>
      </c>
      <c r="B43" s="290">
        <f>'Jobs-Ops'!B43</f>
        <v/>
      </c>
      <c r="C43" s="290">
        <f>'Jobs-Ops'!C43</f>
        <v/>
      </c>
      <c r="D43" s="179" t="n"/>
      <c r="E43" s="181">
        <f>'Jobs-Ops'!I43</f>
        <v/>
      </c>
      <c r="F43" s="205">
        <f>'Jobs-Ops'!U43</f>
        <v/>
      </c>
      <c r="G43" s="181">
        <f>'Jobs-GAAP'!J43</f>
        <v/>
      </c>
      <c r="H43" s="205">
        <f>'Jobs-GAAP'!V43</f>
        <v/>
      </c>
      <c r="I43" s="181">
        <f>E43-G43</f>
        <v/>
      </c>
      <c r="J43" s="9">
        <f>'Jobs-Ops'!P43</f>
        <v/>
      </c>
      <c r="K43" s="9">
        <f>'Jobs-GAAP'!Q43</f>
        <v/>
      </c>
      <c r="L43" s="9">
        <f>J43-K43</f>
        <v/>
      </c>
      <c r="M43" s="186" t="n"/>
      <c r="N43" s="9">
        <f>'Jobs-Ops'!Y43</f>
        <v/>
      </c>
      <c r="O43" s="9">
        <f>'Jobs-GAAP'!Y43</f>
        <v/>
      </c>
      <c r="P43" s="9">
        <f>N43-O43</f>
        <v/>
      </c>
      <c r="Q43" s="186" t="n"/>
      <c r="R43" s="11">
        <f>'Jobs-Ops'!AL43</f>
        <v/>
      </c>
      <c r="S43" s="11">
        <f>'Jobs-GAAP'!AH43</f>
        <v/>
      </c>
      <c r="T43" s="11">
        <f>IFERROR(R43-S43,0)</f>
        <v/>
      </c>
      <c r="U43" s="8">
        <f>'Jobs-Ops'!AM43</f>
        <v/>
      </c>
      <c r="V43" s="8">
        <f>'Jobs-GAAP'!AI43</f>
        <v/>
      </c>
      <c r="W43" s="8">
        <f>IFERROR(U43-V43,0)</f>
        <v/>
      </c>
      <c r="X43" s="9">
        <f>'Jobs-Ops'!AN43</f>
        <v/>
      </c>
      <c r="Y43" s="9">
        <f>'Jobs-GAAP'!AJ43</f>
        <v/>
      </c>
      <c r="Z43" s="9">
        <f>IFERROR(X43-Y43,0)</f>
        <v/>
      </c>
      <c r="AA43" s="153">
        <f>'Jobs-Ops'!AO43</f>
        <v/>
      </c>
      <c r="AB43" s="187" t="n"/>
      <c r="AC43" s="186" t="n"/>
      <c r="AD43" s="186" t="n"/>
      <c r="AE43" s="188" t="n"/>
      <c r="AF43" s="187" t="n"/>
      <c r="AG43" s="187" t="n"/>
      <c r="AH43" s="186" t="n"/>
      <c r="AI43" s="186" t="n"/>
      <c r="AJ43" s="186" t="n"/>
      <c r="AK43" s="186" t="n"/>
      <c r="AL43" s="186" t="n"/>
      <c r="AM43" s="186" t="n"/>
      <c r="AN43" s="186" t="n"/>
      <c r="AO43" s="186" t="n"/>
      <c r="AP43" s="186" t="n"/>
      <c r="AQ43" s="186" t="n"/>
      <c r="AR43" s="186" t="n"/>
      <c r="AS43" s="186" t="n"/>
      <c r="AT43" s="186" t="n"/>
      <c r="AU43" s="186" t="n"/>
      <c r="AV43" s="186" t="n"/>
      <c r="AW43" s="186" t="n"/>
      <c r="AX43" s="186" t="n"/>
      <c r="AY43" s="186" t="n"/>
      <c r="AZ43" s="186" t="n"/>
      <c r="BA43" s="186" t="n"/>
      <c r="BB43" s="186" t="n"/>
      <c r="BC43" s="186" t="n"/>
      <c r="BD43" s="190" t="n"/>
      <c r="BE43" s="186" t="n"/>
      <c r="BF43" s="186" t="n"/>
      <c r="BG43" s="186" t="n"/>
      <c r="BH43" s="186" t="n"/>
      <c r="BI43" s="186" t="n"/>
      <c r="BJ43" s="187" t="n"/>
      <c r="BK43" s="192" t="n"/>
      <c r="BL43" s="192" t="n"/>
      <c r="BM43" s="192" t="n"/>
      <c r="BN43" s="192" t="n"/>
    </row>
    <row r="44">
      <c r="A44" s="289">
        <f> 'Jobs-Ops'!A44</f>
        <v/>
      </c>
      <c r="B44" s="290">
        <f>'Jobs-Ops'!B44</f>
        <v/>
      </c>
      <c r="C44" s="290">
        <f>'Jobs-Ops'!C44</f>
        <v/>
      </c>
      <c r="D44" s="179" t="n"/>
      <c r="E44" s="181">
        <f>'Jobs-Ops'!I44</f>
        <v/>
      </c>
      <c r="F44" s="205">
        <f>'Jobs-Ops'!U44</f>
        <v/>
      </c>
      <c r="G44" s="181">
        <f>'Jobs-GAAP'!J44</f>
        <v/>
      </c>
      <c r="H44" s="205">
        <f>'Jobs-GAAP'!V44</f>
        <v/>
      </c>
      <c r="I44" s="181">
        <f>E44-G44</f>
        <v/>
      </c>
      <c r="J44" s="9">
        <f>'Jobs-Ops'!P44</f>
        <v/>
      </c>
      <c r="K44" s="9">
        <f>'Jobs-GAAP'!Q44</f>
        <v/>
      </c>
      <c r="L44" s="9">
        <f>J44-K44</f>
        <v/>
      </c>
      <c r="M44" s="186" t="n"/>
      <c r="N44" s="9">
        <f>'Jobs-Ops'!Y44</f>
        <v/>
      </c>
      <c r="O44" s="9">
        <f>'Jobs-GAAP'!Y44</f>
        <v/>
      </c>
      <c r="P44" s="9">
        <f>N44-O44</f>
        <v/>
      </c>
      <c r="Q44" s="186" t="n"/>
      <c r="R44" s="11">
        <f>'Jobs-Ops'!AL44</f>
        <v/>
      </c>
      <c r="S44" s="11">
        <f>'Jobs-GAAP'!AH44</f>
        <v/>
      </c>
      <c r="T44" s="11">
        <f>IFERROR(R44-S44,0)</f>
        <v/>
      </c>
      <c r="U44" s="8">
        <f>'Jobs-Ops'!AM44</f>
        <v/>
      </c>
      <c r="V44" s="8">
        <f>'Jobs-GAAP'!AI44</f>
        <v/>
      </c>
      <c r="W44" s="8">
        <f>IFERROR(U44-V44,0)</f>
        <v/>
      </c>
      <c r="X44" s="9">
        <f>'Jobs-Ops'!AN44</f>
        <v/>
      </c>
      <c r="Y44" s="9">
        <f>'Jobs-GAAP'!AJ44</f>
        <v/>
      </c>
      <c r="Z44" s="9">
        <f>IFERROR(X44-Y44,0)</f>
        <v/>
      </c>
      <c r="AA44" s="153">
        <f>'Jobs-Ops'!AO44</f>
        <v/>
      </c>
      <c r="AB44" s="187" t="n"/>
      <c r="AC44" s="186" t="n"/>
      <c r="AD44" s="186" t="n"/>
      <c r="AE44" s="188" t="n"/>
      <c r="AF44" s="187" t="n"/>
      <c r="AG44" s="187" t="n"/>
      <c r="AH44" s="186" t="n"/>
      <c r="AI44" s="186" t="n"/>
      <c r="AJ44" s="186" t="n"/>
      <c r="AK44" s="186" t="n"/>
      <c r="AL44" s="186" t="n"/>
      <c r="AM44" s="186" t="n"/>
      <c r="AN44" s="186" t="n"/>
      <c r="AO44" s="186" t="n"/>
      <c r="AP44" s="186" t="n"/>
      <c r="AQ44" s="186" t="n"/>
      <c r="AR44" s="186" t="n"/>
      <c r="AS44" s="186" t="n"/>
      <c r="AT44" s="186" t="n"/>
      <c r="AU44" s="186" t="n"/>
      <c r="AV44" s="186" t="n"/>
      <c r="AW44" s="186" t="n"/>
      <c r="AX44" s="186" t="n"/>
      <c r="AY44" s="186" t="n"/>
      <c r="AZ44" s="186" t="n"/>
      <c r="BA44" s="186" t="n"/>
      <c r="BB44" s="186" t="n"/>
      <c r="BC44" s="186" t="n"/>
      <c r="BD44" s="190" t="n"/>
      <c r="BE44" s="186" t="n"/>
      <c r="BF44" s="186" t="n"/>
      <c r="BG44" s="186" t="n"/>
      <c r="BH44" s="186" t="n"/>
      <c r="BI44" s="186" t="n"/>
      <c r="BJ44" s="187" t="n"/>
      <c r="BK44" s="192" t="n"/>
      <c r="BL44" s="192" t="n"/>
      <c r="BM44" s="192" t="n"/>
      <c r="BN44" s="192" t="n"/>
    </row>
    <row r="45">
      <c r="A45" s="289">
        <f> 'Jobs-Ops'!A45</f>
        <v/>
      </c>
      <c r="B45" s="290">
        <f>'Jobs-Ops'!B45</f>
        <v/>
      </c>
      <c r="C45" s="290">
        <f>'Jobs-Ops'!C45</f>
        <v/>
      </c>
      <c r="D45" s="179" t="n"/>
      <c r="E45" s="181">
        <f>'Jobs-Ops'!I45</f>
        <v/>
      </c>
      <c r="F45" s="205">
        <f>'Jobs-Ops'!U45</f>
        <v/>
      </c>
      <c r="G45" s="181">
        <f>'Jobs-GAAP'!J45</f>
        <v/>
      </c>
      <c r="H45" s="205">
        <f>'Jobs-GAAP'!V45</f>
        <v/>
      </c>
      <c r="I45" s="181">
        <f>E45-G45</f>
        <v/>
      </c>
      <c r="J45" s="9">
        <f>'Jobs-Ops'!P45</f>
        <v/>
      </c>
      <c r="K45" s="9">
        <f>'Jobs-GAAP'!Q45</f>
        <v/>
      </c>
      <c r="L45" s="9">
        <f>J45-K45</f>
        <v/>
      </c>
      <c r="M45" s="186" t="n"/>
      <c r="N45" s="9">
        <f>'Jobs-Ops'!Y45</f>
        <v/>
      </c>
      <c r="O45" s="9">
        <f>'Jobs-GAAP'!Y45</f>
        <v/>
      </c>
      <c r="P45" s="9">
        <f>N45-O45</f>
        <v/>
      </c>
      <c r="Q45" s="186" t="n"/>
      <c r="R45" s="11">
        <f>'Jobs-Ops'!AL45</f>
        <v/>
      </c>
      <c r="S45" s="11">
        <f>'Jobs-GAAP'!AH45</f>
        <v/>
      </c>
      <c r="T45" s="11">
        <f>IFERROR(R45-S45,0)</f>
        <v/>
      </c>
      <c r="U45" s="8">
        <f>'Jobs-Ops'!AM45</f>
        <v/>
      </c>
      <c r="V45" s="8">
        <f>'Jobs-GAAP'!AI45</f>
        <v/>
      </c>
      <c r="W45" s="8">
        <f>IFERROR(U45-V45,0)</f>
        <v/>
      </c>
      <c r="X45" s="9">
        <f>'Jobs-Ops'!AN45</f>
        <v/>
      </c>
      <c r="Y45" s="9">
        <f>'Jobs-GAAP'!AJ45</f>
        <v/>
      </c>
      <c r="Z45" s="9">
        <f>IFERROR(X45-Y45,0)</f>
        <v/>
      </c>
      <c r="AA45" s="153">
        <f>'Jobs-Ops'!AO45</f>
        <v/>
      </c>
      <c r="AB45" s="187" t="n"/>
      <c r="AC45" s="186" t="n"/>
      <c r="AD45" s="186" t="n"/>
      <c r="AE45" s="188" t="n"/>
      <c r="AF45" s="187" t="n"/>
      <c r="AG45" s="187" t="n"/>
      <c r="AH45" s="186" t="n"/>
      <c r="AI45" s="186" t="n"/>
      <c r="AJ45" s="186" t="n"/>
      <c r="AK45" s="186" t="n"/>
      <c r="AL45" s="186" t="n"/>
      <c r="AM45" s="186" t="n"/>
      <c r="AN45" s="186" t="n"/>
      <c r="AO45" s="186" t="n"/>
      <c r="AP45" s="186" t="n"/>
      <c r="AQ45" s="186" t="n"/>
      <c r="AR45" s="186" t="n"/>
      <c r="AS45" s="186" t="n"/>
      <c r="AT45" s="186" t="n"/>
      <c r="AU45" s="186" t="n"/>
      <c r="AV45" s="186" t="n"/>
      <c r="AW45" s="186" t="n"/>
      <c r="AX45" s="186" t="n"/>
      <c r="AY45" s="186" t="n"/>
      <c r="AZ45" s="186" t="n"/>
      <c r="BA45" s="186" t="n"/>
      <c r="BB45" s="186" t="n"/>
      <c r="BC45" s="186" t="n"/>
      <c r="BD45" s="190" t="n"/>
      <c r="BE45" s="186" t="n"/>
      <c r="BF45" s="186" t="n"/>
      <c r="BG45" s="186" t="n"/>
      <c r="BH45" s="186" t="n"/>
      <c r="BI45" s="186" t="n"/>
      <c r="BJ45" s="187" t="n"/>
      <c r="BK45" s="192" t="n"/>
      <c r="BL45" s="192" t="n"/>
      <c r="BM45" s="192" t="n"/>
      <c r="BN45" s="192" t="n"/>
    </row>
    <row r="46">
      <c r="A46" s="289">
        <f> 'Jobs-Ops'!A46</f>
        <v/>
      </c>
      <c r="B46" s="290">
        <f>'Jobs-Ops'!B46</f>
        <v/>
      </c>
      <c r="C46" s="290">
        <f>'Jobs-Ops'!C46</f>
        <v/>
      </c>
      <c r="D46" s="179" t="n"/>
      <c r="E46" s="181">
        <f>'Jobs-Ops'!I46</f>
        <v/>
      </c>
      <c r="F46" s="205">
        <f>'Jobs-Ops'!U46</f>
        <v/>
      </c>
      <c r="G46" s="181">
        <f>'Jobs-GAAP'!J46</f>
        <v/>
      </c>
      <c r="H46" s="205">
        <f>'Jobs-GAAP'!V46</f>
        <v/>
      </c>
      <c r="I46" s="181">
        <f>E46-G46</f>
        <v/>
      </c>
      <c r="J46" s="9">
        <f>'Jobs-Ops'!P46</f>
        <v/>
      </c>
      <c r="K46" s="9">
        <f>'Jobs-GAAP'!Q46</f>
        <v/>
      </c>
      <c r="L46" s="9">
        <f>J46-K46</f>
        <v/>
      </c>
      <c r="M46" s="186" t="n"/>
      <c r="N46" s="9">
        <f>'Jobs-Ops'!Y46</f>
        <v/>
      </c>
      <c r="O46" s="9">
        <f>'Jobs-GAAP'!Y46</f>
        <v/>
      </c>
      <c r="P46" s="9">
        <f>N46-O46</f>
        <v/>
      </c>
      <c r="Q46" s="186" t="n"/>
      <c r="R46" s="11">
        <f>'Jobs-Ops'!AL46</f>
        <v/>
      </c>
      <c r="S46" s="11">
        <f>'Jobs-GAAP'!AH46</f>
        <v/>
      </c>
      <c r="T46" s="11">
        <f>IFERROR(R46-S46,0)</f>
        <v/>
      </c>
      <c r="U46" s="8">
        <f>'Jobs-Ops'!AM46</f>
        <v/>
      </c>
      <c r="V46" s="8">
        <f>'Jobs-GAAP'!AI46</f>
        <v/>
      </c>
      <c r="W46" s="8">
        <f>IFERROR(U46-V46,0)</f>
        <v/>
      </c>
      <c r="X46" s="9">
        <f>'Jobs-Ops'!AN46</f>
        <v/>
      </c>
      <c r="Y46" s="9">
        <f>'Jobs-GAAP'!AJ46</f>
        <v/>
      </c>
      <c r="Z46" s="9">
        <f>IFERROR(X46-Y46,0)</f>
        <v/>
      </c>
      <c r="AA46" s="153">
        <f>'Jobs-Ops'!AO46</f>
        <v/>
      </c>
      <c r="AB46" s="187" t="n"/>
      <c r="AC46" s="186" t="n"/>
      <c r="AD46" s="186" t="n"/>
      <c r="AE46" s="188" t="n"/>
      <c r="AF46" s="187" t="n"/>
      <c r="AG46" s="187" t="n"/>
      <c r="AH46" s="186" t="n"/>
      <c r="AI46" s="186" t="n"/>
      <c r="AJ46" s="186" t="n"/>
      <c r="AK46" s="186" t="n"/>
      <c r="AL46" s="186" t="n"/>
      <c r="AM46" s="186" t="n"/>
      <c r="AN46" s="186" t="n"/>
      <c r="AO46" s="186" t="n"/>
      <c r="AP46" s="186" t="n"/>
      <c r="AQ46" s="186" t="n"/>
      <c r="AR46" s="186" t="n"/>
      <c r="AS46" s="186" t="n"/>
      <c r="AT46" s="186" t="n"/>
      <c r="AU46" s="186" t="n"/>
      <c r="AV46" s="186" t="n"/>
      <c r="AW46" s="186" t="n"/>
      <c r="AX46" s="186" t="n"/>
      <c r="AY46" s="186" t="n"/>
      <c r="AZ46" s="186" t="n"/>
      <c r="BA46" s="186" t="n"/>
      <c r="BB46" s="186" t="n"/>
      <c r="BC46" s="186" t="n"/>
      <c r="BD46" s="190" t="n"/>
      <c r="BE46" s="186" t="n"/>
      <c r="BF46" s="186" t="n"/>
      <c r="BG46" s="186" t="n"/>
      <c r="BH46" s="186" t="n"/>
      <c r="BI46" s="186" t="n"/>
      <c r="BJ46" s="187" t="n"/>
      <c r="BK46" s="192" t="n"/>
      <c r="BL46" s="192" t="n"/>
      <c r="BM46" s="192" t="n"/>
      <c r="BN46" s="192" t="n"/>
    </row>
    <row r="47">
      <c r="A47" s="289">
        <f> 'Jobs-Ops'!A47</f>
        <v/>
      </c>
      <c r="B47" s="290">
        <f>'Jobs-Ops'!B47</f>
        <v/>
      </c>
      <c r="C47" s="290">
        <f>'Jobs-Ops'!C47</f>
        <v/>
      </c>
      <c r="D47" s="179" t="n"/>
      <c r="E47" s="181">
        <f>'Jobs-Ops'!I47</f>
        <v/>
      </c>
      <c r="F47" s="205">
        <f>'Jobs-Ops'!U47</f>
        <v/>
      </c>
      <c r="G47" s="181">
        <f>'Jobs-GAAP'!J47</f>
        <v/>
      </c>
      <c r="H47" s="205">
        <f>'Jobs-GAAP'!V47</f>
        <v/>
      </c>
      <c r="I47" s="181">
        <f>E47-G47</f>
        <v/>
      </c>
      <c r="J47" s="9">
        <f>'Jobs-Ops'!P47</f>
        <v/>
      </c>
      <c r="K47" s="9">
        <f>'Jobs-GAAP'!Q47</f>
        <v/>
      </c>
      <c r="L47" s="9">
        <f>J47-K47</f>
        <v/>
      </c>
      <c r="M47" s="186" t="n"/>
      <c r="N47" s="9">
        <f>'Jobs-Ops'!Y47</f>
        <v/>
      </c>
      <c r="O47" s="9">
        <f>'Jobs-GAAP'!Y47</f>
        <v/>
      </c>
      <c r="P47" s="9">
        <f>N47-O47</f>
        <v/>
      </c>
      <c r="Q47" s="186" t="n"/>
      <c r="R47" s="11">
        <f>'Jobs-Ops'!AL47</f>
        <v/>
      </c>
      <c r="S47" s="11">
        <f>'Jobs-GAAP'!AH47</f>
        <v/>
      </c>
      <c r="T47" s="11">
        <f>IFERROR(R47-S47,0)</f>
        <v/>
      </c>
      <c r="U47" s="8">
        <f>'Jobs-Ops'!AM47</f>
        <v/>
      </c>
      <c r="V47" s="8">
        <f>'Jobs-GAAP'!AI47</f>
        <v/>
      </c>
      <c r="W47" s="8">
        <f>IFERROR(U47-V47,0)</f>
        <v/>
      </c>
      <c r="X47" s="9">
        <f>'Jobs-Ops'!AN47</f>
        <v/>
      </c>
      <c r="Y47" s="9">
        <f>'Jobs-GAAP'!AJ47</f>
        <v/>
      </c>
      <c r="Z47" s="9">
        <f>IFERROR(X47-Y47,0)</f>
        <v/>
      </c>
      <c r="AA47" s="153">
        <f>'Jobs-Ops'!AO47</f>
        <v/>
      </c>
      <c r="AB47" s="187" t="n"/>
      <c r="AC47" s="186" t="n"/>
      <c r="AD47" s="186" t="n"/>
      <c r="AE47" s="188" t="n"/>
      <c r="AF47" s="187" t="n"/>
      <c r="AG47" s="187" t="n"/>
      <c r="AH47" s="186" t="n"/>
      <c r="AI47" s="186" t="n"/>
      <c r="AJ47" s="186" t="n"/>
      <c r="AK47" s="186" t="n"/>
      <c r="AL47" s="186" t="n"/>
      <c r="AM47" s="186" t="n"/>
      <c r="AN47" s="186" t="n"/>
      <c r="AO47" s="186" t="n"/>
      <c r="AP47" s="186" t="n"/>
      <c r="AQ47" s="186" t="n"/>
      <c r="AR47" s="186" t="n"/>
      <c r="AS47" s="186" t="n"/>
      <c r="AT47" s="186" t="n"/>
      <c r="AU47" s="186" t="n"/>
      <c r="AV47" s="186" t="n"/>
      <c r="AW47" s="186" t="n"/>
      <c r="AX47" s="186" t="n"/>
      <c r="AY47" s="186" t="n"/>
      <c r="AZ47" s="186" t="n"/>
      <c r="BA47" s="186" t="n"/>
      <c r="BB47" s="186" t="n"/>
      <c r="BC47" s="186" t="n"/>
      <c r="BD47" s="190" t="n"/>
      <c r="BE47" s="186" t="n"/>
      <c r="BF47" s="186" t="n"/>
      <c r="BG47" s="186" t="n"/>
      <c r="BH47" s="186" t="n"/>
      <c r="BI47" s="186" t="n"/>
      <c r="BJ47" s="187" t="n"/>
      <c r="BK47" s="192" t="n"/>
      <c r="BL47" s="192" t="n"/>
      <c r="BM47" s="192" t="n"/>
      <c r="BN47" s="192" t="n"/>
    </row>
    <row r="48">
      <c r="A48" s="289">
        <f> 'Jobs-Ops'!A48</f>
        <v/>
      </c>
      <c r="B48" s="290">
        <f>'Jobs-Ops'!B48</f>
        <v/>
      </c>
      <c r="C48" s="290">
        <f>'Jobs-Ops'!C48</f>
        <v/>
      </c>
      <c r="D48" s="179" t="n"/>
      <c r="E48" s="181">
        <f>'Jobs-Ops'!I48</f>
        <v/>
      </c>
      <c r="F48" s="205">
        <f>'Jobs-Ops'!U48</f>
        <v/>
      </c>
      <c r="G48" s="181">
        <f>'Jobs-GAAP'!J48</f>
        <v/>
      </c>
      <c r="H48" s="205">
        <f>'Jobs-GAAP'!V48</f>
        <v/>
      </c>
      <c r="I48" s="181">
        <f>E48-G48</f>
        <v/>
      </c>
      <c r="J48" s="9">
        <f>'Jobs-Ops'!P48</f>
        <v/>
      </c>
      <c r="K48" s="9">
        <f>'Jobs-GAAP'!Q48</f>
        <v/>
      </c>
      <c r="L48" s="9">
        <f>J48-K48</f>
        <v/>
      </c>
      <c r="M48" s="186" t="n"/>
      <c r="N48" s="9">
        <f>'Jobs-Ops'!Y48</f>
        <v/>
      </c>
      <c r="O48" s="9">
        <f>'Jobs-GAAP'!Y48</f>
        <v/>
      </c>
      <c r="P48" s="9">
        <f>N48-O48</f>
        <v/>
      </c>
      <c r="Q48" s="186" t="n"/>
      <c r="R48" s="11">
        <f>'Jobs-Ops'!AL48</f>
        <v/>
      </c>
      <c r="S48" s="11">
        <f>'Jobs-GAAP'!AH48</f>
        <v/>
      </c>
      <c r="T48" s="11">
        <f>IFERROR(R48-S48,0)</f>
        <v/>
      </c>
      <c r="U48" s="8">
        <f>'Jobs-Ops'!AM48</f>
        <v/>
      </c>
      <c r="V48" s="8">
        <f>'Jobs-GAAP'!AI48</f>
        <v/>
      </c>
      <c r="W48" s="8">
        <f>IFERROR(U48-V48,0)</f>
        <v/>
      </c>
      <c r="X48" s="9">
        <f>'Jobs-Ops'!AN48</f>
        <v/>
      </c>
      <c r="Y48" s="9">
        <f>'Jobs-GAAP'!AJ48</f>
        <v/>
      </c>
      <c r="Z48" s="9">
        <f>IFERROR(X48-Y48,0)</f>
        <v/>
      </c>
      <c r="AA48" s="153">
        <f>'Jobs-Ops'!AO48</f>
        <v/>
      </c>
      <c r="AB48" s="187" t="n"/>
      <c r="AC48" s="186" t="n"/>
      <c r="AD48" s="186" t="n"/>
      <c r="AE48" s="188" t="n"/>
      <c r="AF48" s="187" t="n"/>
      <c r="AG48" s="187" t="n"/>
      <c r="AH48" s="186" t="n"/>
      <c r="AI48" s="186" t="n"/>
      <c r="AJ48" s="186" t="n"/>
      <c r="AK48" s="186" t="n"/>
      <c r="AL48" s="186" t="n"/>
      <c r="AM48" s="186" t="n"/>
      <c r="AN48" s="186" t="n"/>
      <c r="AO48" s="186" t="n"/>
      <c r="AP48" s="186" t="n"/>
      <c r="AQ48" s="186" t="n"/>
      <c r="AR48" s="186" t="n"/>
      <c r="AS48" s="186" t="n"/>
      <c r="AT48" s="186" t="n"/>
      <c r="AU48" s="186" t="n"/>
      <c r="AV48" s="186" t="n"/>
      <c r="AW48" s="186" t="n"/>
      <c r="AX48" s="186" t="n"/>
      <c r="AY48" s="186" t="n"/>
      <c r="AZ48" s="186" t="n"/>
      <c r="BA48" s="186" t="n"/>
      <c r="BB48" s="186" t="n"/>
      <c r="BC48" s="186" t="n"/>
      <c r="BD48" s="190" t="n"/>
      <c r="BE48" s="186" t="n"/>
      <c r="BF48" s="186" t="n"/>
      <c r="BG48" s="186" t="n"/>
      <c r="BH48" s="186" t="n"/>
      <c r="BI48" s="186" t="n"/>
      <c r="BJ48" s="187" t="n"/>
      <c r="BK48" s="192" t="n"/>
      <c r="BL48" s="192" t="n"/>
      <c r="BM48" s="192" t="n"/>
      <c r="BN48" s="192" t="n"/>
    </row>
    <row r="49">
      <c r="A49" s="289">
        <f> 'Jobs-Ops'!A49</f>
        <v/>
      </c>
      <c r="B49" s="290">
        <f>'Jobs-Ops'!B49</f>
        <v/>
      </c>
      <c r="C49" s="290">
        <f>'Jobs-Ops'!C49</f>
        <v/>
      </c>
      <c r="D49" s="179" t="n"/>
      <c r="E49" s="181">
        <f>'Jobs-Ops'!I49</f>
        <v/>
      </c>
      <c r="F49" s="205">
        <f>'Jobs-Ops'!U49</f>
        <v/>
      </c>
      <c r="G49" s="181">
        <f>'Jobs-GAAP'!J49</f>
        <v/>
      </c>
      <c r="H49" s="205">
        <f>'Jobs-GAAP'!V49</f>
        <v/>
      </c>
      <c r="I49" s="181">
        <f>E49-G49</f>
        <v/>
      </c>
      <c r="J49" s="9">
        <f>'Jobs-Ops'!P49</f>
        <v/>
      </c>
      <c r="K49" s="9">
        <f>'Jobs-GAAP'!Q49</f>
        <v/>
      </c>
      <c r="L49" s="9">
        <f>J49-K49</f>
        <v/>
      </c>
      <c r="M49" s="186" t="n"/>
      <c r="N49" s="9">
        <f>'Jobs-Ops'!Y49</f>
        <v/>
      </c>
      <c r="O49" s="9">
        <f>'Jobs-GAAP'!Y49</f>
        <v/>
      </c>
      <c r="P49" s="9">
        <f>N49-O49</f>
        <v/>
      </c>
      <c r="Q49" s="186" t="n"/>
      <c r="R49" s="11">
        <f>'Jobs-Ops'!AL49</f>
        <v/>
      </c>
      <c r="S49" s="11">
        <f>'Jobs-GAAP'!AH49</f>
        <v/>
      </c>
      <c r="T49" s="11">
        <f>IFERROR(R49-S49,0)</f>
        <v/>
      </c>
      <c r="U49" s="8">
        <f>'Jobs-Ops'!AM49</f>
        <v/>
      </c>
      <c r="V49" s="8">
        <f>'Jobs-GAAP'!AI49</f>
        <v/>
      </c>
      <c r="W49" s="8">
        <f>IFERROR(U49-V49,0)</f>
        <v/>
      </c>
      <c r="X49" s="9">
        <f>'Jobs-Ops'!AN49</f>
        <v/>
      </c>
      <c r="Y49" s="9">
        <f>'Jobs-GAAP'!AJ49</f>
        <v/>
      </c>
      <c r="Z49" s="9">
        <f>IFERROR(X49-Y49,0)</f>
        <v/>
      </c>
      <c r="AA49" s="153">
        <f>'Jobs-Ops'!AO49</f>
        <v/>
      </c>
      <c r="AB49" s="187" t="n"/>
      <c r="AC49" s="186" t="n"/>
      <c r="AD49" s="186" t="n"/>
      <c r="AE49" s="188" t="n"/>
      <c r="AF49" s="187" t="n"/>
      <c r="AG49" s="187" t="n"/>
      <c r="AH49" s="186" t="n"/>
      <c r="AI49" s="186" t="n"/>
      <c r="AJ49" s="186" t="n"/>
      <c r="AK49" s="186" t="n"/>
      <c r="AL49" s="186" t="n"/>
      <c r="AM49" s="186" t="n"/>
      <c r="AN49" s="186" t="n"/>
      <c r="AO49" s="186" t="n"/>
      <c r="AP49" s="186" t="n"/>
      <c r="AQ49" s="186" t="n"/>
      <c r="AR49" s="186" t="n"/>
      <c r="AS49" s="186" t="n"/>
      <c r="AT49" s="186" t="n"/>
      <c r="AU49" s="186" t="n"/>
      <c r="AV49" s="186" t="n"/>
      <c r="AW49" s="186" t="n"/>
      <c r="AX49" s="186" t="n"/>
      <c r="AY49" s="186" t="n"/>
      <c r="AZ49" s="186" t="n"/>
      <c r="BA49" s="186" t="n"/>
      <c r="BB49" s="186" t="n"/>
      <c r="BC49" s="186" t="n"/>
      <c r="BD49" s="190" t="n"/>
      <c r="BE49" s="186" t="n"/>
      <c r="BF49" s="186" t="n"/>
      <c r="BG49" s="186" t="n"/>
      <c r="BH49" s="186" t="n"/>
      <c r="BI49" s="186" t="n"/>
      <c r="BJ49" s="187" t="n"/>
      <c r="BK49" s="192" t="n"/>
      <c r="BL49" s="192" t="n"/>
      <c r="BM49" s="192" t="n"/>
      <c r="BN49" s="192" t="n"/>
    </row>
    <row r="50">
      <c r="A50" s="289">
        <f> 'Jobs-Ops'!A50</f>
        <v/>
      </c>
      <c r="B50" s="290">
        <f>'Jobs-Ops'!B50</f>
        <v/>
      </c>
      <c r="C50" s="290">
        <f>'Jobs-Ops'!C50</f>
        <v/>
      </c>
      <c r="D50" s="179" t="n"/>
      <c r="E50" s="181">
        <f>'Jobs-Ops'!I50</f>
        <v/>
      </c>
      <c r="F50" s="205">
        <f>'Jobs-Ops'!U50</f>
        <v/>
      </c>
      <c r="G50" s="181">
        <f>'Jobs-GAAP'!J50</f>
        <v/>
      </c>
      <c r="H50" s="205">
        <f>'Jobs-GAAP'!V50</f>
        <v/>
      </c>
      <c r="I50" s="181">
        <f>E50-G50</f>
        <v/>
      </c>
      <c r="J50" s="9">
        <f>'Jobs-Ops'!P50</f>
        <v/>
      </c>
      <c r="K50" s="9">
        <f>'Jobs-GAAP'!Q50</f>
        <v/>
      </c>
      <c r="L50" s="9">
        <f>J50-K50</f>
        <v/>
      </c>
      <c r="M50" s="186" t="n"/>
      <c r="N50" s="9">
        <f>'Jobs-Ops'!Y50</f>
        <v/>
      </c>
      <c r="O50" s="9">
        <f>'Jobs-GAAP'!Y50</f>
        <v/>
      </c>
      <c r="P50" s="9">
        <f>N50-O50</f>
        <v/>
      </c>
      <c r="Q50" s="186" t="n"/>
      <c r="R50" s="11">
        <f>'Jobs-Ops'!AL50</f>
        <v/>
      </c>
      <c r="S50" s="11">
        <f>'Jobs-GAAP'!AH50</f>
        <v/>
      </c>
      <c r="T50" s="11">
        <f>IFERROR(R50-S50,0)</f>
        <v/>
      </c>
      <c r="U50" s="8">
        <f>'Jobs-Ops'!AM50</f>
        <v/>
      </c>
      <c r="V50" s="8">
        <f>'Jobs-GAAP'!AI50</f>
        <v/>
      </c>
      <c r="W50" s="8">
        <f>IFERROR(U50-V50,0)</f>
        <v/>
      </c>
      <c r="X50" s="9">
        <f>'Jobs-Ops'!AN50</f>
        <v/>
      </c>
      <c r="Y50" s="9">
        <f>'Jobs-GAAP'!AJ50</f>
        <v/>
      </c>
      <c r="Z50" s="9">
        <f>IFERROR(X50-Y50,0)</f>
        <v/>
      </c>
      <c r="AA50" s="153">
        <f>'Jobs-Ops'!AO50</f>
        <v/>
      </c>
      <c r="AB50" s="187" t="n"/>
      <c r="AC50" s="186" t="n"/>
      <c r="AD50" s="186" t="n"/>
      <c r="AE50" s="188" t="n"/>
      <c r="AF50" s="187" t="n"/>
      <c r="AG50" s="187" t="n"/>
      <c r="AH50" s="186" t="n"/>
      <c r="AI50" s="186" t="n"/>
      <c r="AJ50" s="186" t="n"/>
      <c r="AK50" s="186" t="n"/>
      <c r="AL50" s="186" t="n"/>
      <c r="AM50" s="186" t="n"/>
      <c r="AN50" s="186" t="n"/>
      <c r="AO50" s="186" t="n"/>
      <c r="AP50" s="186" t="n"/>
      <c r="AQ50" s="186" t="n"/>
      <c r="AR50" s="186" t="n"/>
      <c r="AS50" s="186" t="n"/>
      <c r="AT50" s="186" t="n"/>
      <c r="AU50" s="186" t="n"/>
      <c r="AV50" s="186" t="n"/>
      <c r="AW50" s="186" t="n"/>
      <c r="AX50" s="186" t="n"/>
      <c r="AY50" s="186" t="n"/>
      <c r="AZ50" s="186" t="n"/>
      <c r="BA50" s="186" t="n"/>
      <c r="BB50" s="186" t="n"/>
      <c r="BC50" s="186" t="n"/>
      <c r="BD50" s="190" t="n"/>
      <c r="BE50" s="186" t="n"/>
      <c r="BF50" s="186" t="n"/>
      <c r="BG50" s="186" t="n"/>
      <c r="BH50" s="186" t="n"/>
      <c r="BI50" s="186" t="n"/>
      <c r="BJ50" s="187" t="n"/>
      <c r="BK50" s="192" t="n"/>
      <c r="BL50" s="192" t="n"/>
      <c r="BM50" s="192" t="n"/>
      <c r="BN50" s="192" t="n"/>
    </row>
    <row r="51">
      <c r="A51" s="289">
        <f> 'Jobs-Ops'!A51</f>
        <v/>
      </c>
      <c r="B51" s="290">
        <f>'Jobs-Ops'!B51</f>
        <v/>
      </c>
      <c r="C51" s="290">
        <f>'Jobs-Ops'!C51</f>
        <v/>
      </c>
      <c r="D51" s="179" t="n"/>
      <c r="E51" s="181">
        <f>'Jobs-Ops'!I51</f>
        <v/>
      </c>
      <c r="F51" s="205">
        <f>'Jobs-Ops'!U51</f>
        <v/>
      </c>
      <c r="G51" s="181">
        <f>'Jobs-GAAP'!J51</f>
        <v/>
      </c>
      <c r="H51" s="205">
        <f>'Jobs-GAAP'!V51</f>
        <v/>
      </c>
      <c r="I51" s="181">
        <f>E51-G51</f>
        <v/>
      </c>
      <c r="J51" s="9">
        <f>'Jobs-Ops'!P51</f>
        <v/>
      </c>
      <c r="K51" s="9">
        <f>'Jobs-GAAP'!Q51</f>
        <v/>
      </c>
      <c r="L51" s="9">
        <f>J51-K51</f>
        <v/>
      </c>
      <c r="M51" s="186" t="n"/>
      <c r="N51" s="9">
        <f>'Jobs-Ops'!Y51</f>
        <v/>
      </c>
      <c r="O51" s="9">
        <f>'Jobs-GAAP'!Y51</f>
        <v/>
      </c>
      <c r="P51" s="9">
        <f>N51-O51</f>
        <v/>
      </c>
      <c r="Q51" s="186" t="n"/>
      <c r="R51" s="11">
        <f>'Jobs-Ops'!AL51</f>
        <v/>
      </c>
      <c r="S51" s="11">
        <f>'Jobs-GAAP'!AH51</f>
        <v/>
      </c>
      <c r="T51" s="11">
        <f>IFERROR(R51-S51,0)</f>
        <v/>
      </c>
      <c r="U51" s="8">
        <f>'Jobs-Ops'!AM51</f>
        <v/>
      </c>
      <c r="V51" s="8">
        <f>'Jobs-GAAP'!AI51</f>
        <v/>
      </c>
      <c r="W51" s="8">
        <f>IFERROR(U51-V51,0)</f>
        <v/>
      </c>
      <c r="X51" s="9">
        <f>'Jobs-Ops'!AN51</f>
        <v/>
      </c>
      <c r="Y51" s="9">
        <f>'Jobs-GAAP'!AJ51</f>
        <v/>
      </c>
      <c r="Z51" s="9">
        <f>IFERROR(X51-Y51,0)</f>
        <v/>
      </c>
      <c r="AA51" s="153">
        <f>'Jobs-Ops'!AO51</f>
        <v/>
      </c>
      <c r="AB51" s="187" t="n"/>
      <c r="AC51" s="186" t="n"/>
      <c r="AD51" s="186" t="n"/>
      <c r="AE51" s="188" t="n"/>
      <c r="AF51" s="187" t="n"/>
      <c r="AG51" s="187" t="n"/>
      <c r="AH51" s="186" t="n"/>
      <c r="AI51" s="186" t="n"/>
      <c r="AJ51" s="186" t="n"/>
      <c r="AK51" s="186" t="n"/>
      <c r="AL51" s="186" t="n"/>
      <c r="AM51" s="186" t="n"/>
      <c r="AN51" s="186" t="n"/>
      <c r="AO51" s="186" t="n"/>
      <c r="AP51" s="186" t="n"/>
      <c r="AQ51" s="186" t="n"/>
      <c r="AR51" s="186" t="n"/>
      <c r="AS51" s="186" t="n"/>
      <c r="AT51" s="186" t="n"/>
      <c r="AU51" s="186" t="n"/>
      <c r="AV51" s="186" t="n"/>
      <c r="AW51" s="186" t="n"/>
      <c r="AX51" s="186" t="n"/>
      <c r="AY51" s="186" t="n"/>
      <c r="AZ51" s="186" t="n"/>
      <c r="BA51" s="186" t="n"/>
      <c r="BB51" s="186" t="n"/>
      <c r="BC51" s="186" t="n"/>
      <c r="BD51" s="190" t="n"/>
      <c r="BE51" s="186" t="n"/>
      <c r="BF51" s="186" t="n"/>
      <c r="BG51" s="186" t="n"/>
      <c r="BH51" s="186" t="n"/>
      <c r="BI51" s="186" t="n"/>
      <c r="BJ51" s="187" t="n"/>
      <c r="BK51" s="192" t="n"/>
      <c r="BL51" s="192" t="n"/>
      <c r="BM51" s="192" t="n"/>
      <c r="BN51" s="192" t="n"/>
    </row>
    <row r="52">
      <c r="A52" s="289">
        <f> 'Jobs-Ops'!A52</f>
        <v/>
      </c>
      <c r="B52" s="290">
        <f>'Jobs-Ops'!B52</f>
        <v/>
      </c>
      <c r="C52" s="290">
        <f>'Jobs-Ops'!C52</f>
        <v/>
      </c>
      <c r="D52" s="179" t="n"/>
      <c r="E52" s="181">
        <f>'Jobs-Ops'!I52</f>
        <v/>
      </c>
      <c r="F52" s="205">
        <f>'Jobs-Ops'!U52</f>
        <v/>
      </c>
      <c r="G52" s="181">
        <f>'Jobs-GAAP'!J52</f>
        <v/>
      </c>
      <c r="H52" s="205">
        <f>'Jobs-GAAP'!V52</f>
        <v/>
      </c>
      <c r="I52" s="181">
        <f>E52-G52</f>
        <v/>
      </c>
      <c r="J52" s="9">
        <f>'Jobs-Ops'!P52</f>
        <v/>
      </c>
      <c r="K52" s="9">
        <f>'Jobs-GAAP'!Q52</f>
        <v/>
      </c>
      <c r="L52" s="9">
        <f>J52-K52</f>
        <v/>
      </c>
      <c r="M52" s="186" t="n"/>
      <c r="N52" s="9">
        <f>'Jobs-Ops'!Y52</f>
        <v/>
      </c>
      <c r="O52" s="9">
        <f>'Jobs-GAAP'!Y52</f>
        <v/>
      </c>
      <c r="P52" s="9">
        <f>N52-O52</f>
        <v/>
      </c>
      <c r="Q52" s="186" t="n"/>
      <c r="R52" s="11">
        <f>'Jobs-Ops'!AL52</f>
        <v/>
      </c>
      <c r="S52" s="11">
        <f>'Jobs-GAAP'!AH52</f>
        <v/>
      </c>
      <c r="T52" s="11">
        <f>IFERROR(R52-S52,0)</f>
        <v/>
      </c>
      <c r="U52" s="8">
        <f>'Jobs-Ops'!AM52</f>
        <v/>
      </c>
      <c r="V52" s="8">
        <f>'Jobs-GAAP'!AI52</f>
        <v/>
      </c>
      <c r="W52" s="8">
        <f>IFERROR(U52-V52,0)</f>
        <v/>
      </c>
      <c r="X52" s="9">
        <f>'Jobs-Ops'!AN52</f>
        <v/>
      </c>
      <c r="Y52" s="9">
        <f>'Jobs-GAAP'!AJ52</f>
        <v/>
      </c>
      <c r="Z52" s="9">
        <f>IFERROR(X52-Y52,0)</f>
        <v/>
      </c>
      <c r="AA52" s="153">
        <f>'Jobs-Ops'!AO52</f>
        <v/>
      </c>
      <c r="AB52" s="187" t="n"/>
      <c r="AC52" s="186" t="n"/>
      <c r="AD52" s="186" t="n"/>
      <c r="AE52" s="188" t="n"/>
      <c r="AF52" s="187" t="n"/>
      <c r="AG52" s="187" t="n"/>
      <c r="AH52" s="186" t="n"/>
      <c r="AI52" s="186" t="n"/>
      <c r="AJ52" s="186" t="n"/>
      <c r="AK52" s="186" t="n"/>
      <c r="AL52" s="186" t="n"/>
      <c r="AM52" s="186" t="n"/>
      <c r="AN52" s="186" t="n"/>
      <c r="AO52" s="186" t="n"/>
      <c r="AP52" s="186" t="n"/>
      <c r="AQ52" s="186" t="n"/>
      <c r="AR52" s="186" t="n"/>
      <c r="AS52" s="186" t="n"/>
      <c r="AT52" s="186" t="n"/>
      <c r="AU52" s="186" t="n"/>
      <c r="AV52" s="186" t="n"/>
      <c r="AW52" s="186" t="n"/>
      <c r="AX52" s="186" t="n"/>
      <c r="AY52" s="186" t="n"/>
      <c r="AZ52" s="186" t="n"/>
      <c r="BA52" s="186" t="n"/>
      <c r="BB52" s="186" t="n"/>
      <c r="BC52" s="186" t="n"/>
      <c r="BD52" s="190" t="n"/>
      <c r="BE52" s="186" t="n"/>
      <c r="BF52" s="186" t="n"/>
      <c r="BG52" s="186" t="n"/>
      <c r="BH52" s="186" t="n"/>
      <c r="BI52" s="186" t="n"/>
      <c r="BJ52" s="187" t="n"/>
      <c r="BK52" s="192" t="n"/>
      <c r="BL52" s="192" t="n"/>
      <c r="BM52" s="192" t="n"/>
      <c r="BN52" s="192" t="n"/>
    </row>
    <row r="53">
      <c r="A53" s="289">
        <f> 'Jobs-Ops'!A53</f>
        <v/>
      </c>
      <c r="B53" s="290">
        <f>'Jobs-Ops'!B53</f>
        <v/>
      </c>
      <c r="C53" s="290">
        <f>'Jobs-Ops'!C53</f>
        <v/>
      </c>
      <c r="D53" s="179" t="n"/>
      <c r="E53" s="181">
        <f>'Jobs-Ops'!I53</f>
        <v/>
      </c>
      <c r="F53" s="205">
        <f>'Jobs-Ops'!U53</f>
        <v/>
      </c>
      <c r="G53" s="181">
        <f>'Jobs-GAAP'!J53</f>
        <v/>
      </c>
      <c r="H53" s="205">
        <f>'Jobs-GAAP'!V53</f>
        <v/>
      </c>
      <c r="I53" s="181">
        <f>E53-G53</f>
        <v/>
      </c>
      <c r="J53" s="9">
        <f>'Jobs-Ops'!P53</f>
        <v/>
      </c>
      <c r="K53" s="9">
        <f>'Jobs-GAAP'!Q53</f>
        <v/>
      </c>
      <c r="L53" s="9">
        <f>J53-K53</f>
        <v/>
      </c>
      <c r="M53" s="186" t="n"/>
      <c r="N53" s="9">
        <f>'Jobs-Ops'!Y53</f>
        <v/>
      </c>
      <c r="O53" s="9">
        <f>'Jobs-GAAP'!Y53</f>
        <v/>
      </c>
      <c r="P53" s="9">
        <f>N53-O53</f>
        <v/>
      </c>
      <c r="Q53" s="186" t="n"/>
      <c r="R53" s="11">
        <f>'Jobs-Ops'!AL53</f>
        <v/>
      </c>
      <c r="S53" s="11">
        <f>'Jobs-GAAP'!AH53</f>
        <v/>
      </c>
      <c r="T53" s="11">
        <f>IFERROR(R53-S53,0)</f>
        <v/>
      </c>
      <c r="U53" s="8">
        <f>'Jobs-Ops'!AM53</f>
        <v/>
      </c>
      <c r="V53" s="8">
        <f>'Jobs-GAAP'!AI53</f>
        <v/>
      </c>
      <c r="W53" s="8">
        <f>IFERROR(U53-V53,0)</f>
        <v/>
      </c>
      <c r="X53" s="9">
        <f>'Jobs-Ops'!AN53</f>
        <v/>
      </c>
      <c r="Y53" s="9">
        <f>'Jobs-GAAP'!AJ53</f>
        <v/>
      </c>
      <c r="Z53" s="9">
        <f>IFERROR(X53-Y53,0)</f>
        <v/>
      </c>
      <c r="AA53" s="153">
        <f>'Jobs-Ops'!AO53</f>
        <v/>
      </c>
      <c r="AB53" s="187" t="n"/>
      <c r="AC53" s="186" t="n"/>
      <c r="AD53" s="186" t="n"/>
      <c r="AE53" s="188" t="n"/>
      <c r="AF53" s="187" t="n"/>
      <c r="AG53" s="187" t="n"/>
      <c r="AH53" s="186" t="n"/>
      <c r="AI53" s="186" t="n"/>
      <c r="AJ53" s="186" t="n"/>
      <c r="AK53" s="186" t="n"/>
      <c r="AL53" s="186" t="n"/>
      <c r="AM53" s="186" t="n"/>
      <c r="AN53" s="186" t="n"/>
      <c r="AO53" s="186" t="n"/>
      <c r="AP53" s="186" t="n"/>
      <c r="AQ53" s="186" t="n"/>
      <c r="AR53" s="186" t="n"/>
      <c r="AS53" s="186" t="n"/>
      <c r="AT53" s="186" t="n"/>
      <c r="AU53" s="186" t="n"/>
      <c r="AV53" s="186" t="n"/>
      <c r="AW53" s="186" t="n"/>
      <c r="AX53" s="186" t="n"/>
      <c r="AY53" s="186" t="n"/>
      <c r="AZ53" s="186" t="n"/>
      <c r="BA53" s="186" t="n"/>
      <c r="BB53" s="186" t="n"/>
      <c r="BC53" s="186" t="n"/>
      <c r="BD53" s="190" t="n"/>
      <c r="BE53" s="186" t="n"/>
      <c r="BF53" s="186" t="n"/>
      <c r="BG53" s="186" t="n"/>
      <c r="BH53" s="186" t="n"/>
      <c r="BI53" s="186" t="n"/>
      <c r="BJ53" s="187" t="n"/>
      <c r="BK53" s="192" t="n"/>
      <c r="BL53" s="192" t="n"/>
      <c r="BM53" s="192" t="n"/>
      <c r="BN53" s="192" t="n"/>
    </row>
    <row r="54">
      <c r="A54" s="289">
        <f> 'Jobs-Ops'!A54</f>
        <v/>
      </c>
      <c r="B54" s="290">
        <f>'Jobs-Ops'!B54</f>
        <v/>
      </c>
      <c r="C54" s="290">
        <f>'Jobs-Ops'!C54</f>
        <v/>
      </c>
      <c r="D54" s="179" t="n"/>
      <c r="E54" s="181">
        <f>'Jobs-Ops'!I54</f>
        <v/>
      </c>
      <c r="F54" s="205">
        <f>'Jobs-Ops'!U54</f>
        <v/>
      </c>
      <c r="G54" s="181">
        <f>'Jobs-GAAP'!J54</f>
        <v/>
      </c>
      <c r="H54" s="205">
        <f>'Jobs-GAAP'!V54</f>
        <v/>
      </c>
      <c r="I54" s="181">
        <f>E54-G54</f>
        <v/>
      </c>
      <c r="J54" s="9">
        <f>'Jobs-Ops'!P54</f>
        <v/>
      </c>
      <c r="K54" s="9">
        <f>'Jobs-GAAP'!Q54</f>
        <v/>
      </c>
      <c r="L54" s="9">
        <f>J54-K54</f>
        <v/>
      </c>
      <c r="M54" s="186" t="n"/>
      <c r="N54" s="9">
        <f>'Jobs-Ops'!Y54</f>
        <v/>
      </c>
      <c r="O54" s="9">
        <f>'Jobs-GAAP'!Y54</f>
        <v/>
      </c>
      <c r="P54" s="9">
        <f>N54-O54</f>
        <v/>
      </c>
      <c r="Q54" s="186" t="n"/>
      <c r="R54" s="11">
        <f>'Jobs-Ops'!AL54</f>
        <v/>
      </c>
      <c r="S54" s="11">
        <f>'Jobs-GAAP'!AH54</f>
        <v/>
      </c>
      <c r="T54" s="11">
        <f>IFERROR(R54-S54,0)</f>
        <v/>
      </c>
      <c r="U54" s="8">
        <f>'Jobs-Ops'!AM54</f>
        <v/>
      </c>
      <c r="V54" s="8">
        <f>'Jobs-GAAP'!AI54</f>
        <v/>
      </c>
      <c r="W54" s="8">
        <f>IFERROR(U54-V54,0)</f>
        <v/>
      </c>
      <c r="X54" s="9">
        <f>'Jobs-Ops'!AN54</f>
        <v/>
      </c>
      <c r="Y54" s="9">
        <f>'Jobs-GAAP'!AJ54</f>
        <v/>
      </c>
      <c r="Z54" s="9">
        <f>IFERROR(X54-Y54,0)</f>
        <v/>
      </c>
      <c r="AA54" s="153">
        <f>'Jobs-Ops'!AO54</f>
        <v/>
      </c>
      <c r="AB54" s="187" t="n"/>
      <c r="AC54" s="186" t="n"/>
      <c r="AD54" s="186" t="n"/>
      <c r="AE54" s="188" t="n"/>
      <c r="AF54" s="187" t="n"/>
      <c r="AG54" s="187" t="n"/>
      <c r="AH54" s="186" t="n"/>
      <c r="AI54" s="186" t="n"/>
      <c r="AJ54" s="186" t="n"/>
      <c r="AK54" s="186" t="n"/>
      <c r="AL54" s="186" t="n"/>
      <c r="AM54" s="186" t="n"/>
      <c r="AN54" s="186" t="n"/>
      <c r="AO54" s="186" t="n"/>
      <c r="AP54" s="186" t="n"/>
      <c r="AQ54" s="186" t="n"/>
      <c r="AR54" s="186" t="n"/>
      <c r="AS54" s="186" t="n"/>
      <c r="AT54" s="186" t="n"/>
      <c r="AU54" s="186" t="n"/>
      <c r="AV54" s="186" t="n"/>
      <c r="AW54" s="186" t="n"/>
      <c r="AX54" s="186" t="n"/>
      <c r="AY54" s="186" t="n"/>
      <c r="AZ54" s="186" t="n"/>
      <c r="BA54" s="186" t="n"/>
      <c r="BB54" s="186" t="n"/>
      <c r="BC54" s="186" t="n"/>
      <c r="BD54" s="190" t="n"/>
      <c r="BE54" s="186" t="n"/>
      <c r="BF54" s="186" t="n"/>
      <c r="BG54" s="186" t="n"/>
      <c r="BH54" s="186" t="n"/>
      <c r="BI54" s="186" t="n"/>
      <c r="BJ54" s="187" t="n"/>
      <c r="BK54" s="192" t="n"/>
      <c r="BL54" s="192" t="n"/>
      <c r="BM54" s="192" t="n"/>
      <c r="BN54" s="192" t="n"/>
    </row>
    <row r="55">
      <c r="A55" s="289">
        <f> 'Jobs-Ops'!A55</f>
        <v/>
      </c>
      <c r="B55" s="290">
        <f>'Jobs-Ops'!B55</f>
        <v/>
      </c>
      <c r="C55" s="290">
        <f>'Jobs-Ops'!C55</f>
        <v/>
      </c>
      <c r="D55" s="179" t="n"/>
      <c r="E55" s="181">
        <f>'Jobs-Ops'!I55</f>
        <v/>
      </c>
      <c r="F55" s="205">
        <f>'Jobs-Ops'!U55</f>
        <v/>
      </c>
      <c r="G55" s="181">
        <f>'Jobs-GAAP'!J55</f>
        <v/>
      </c>
      <c r="H55" s="205">
        <f>'Jobs-GAAP'!V55</f>
        <v/>
      </c>
      <c r="I55" s="181">
        <f>E55-G55</f>
        <v/>
      </c>
      <c r="J55" s="9">
        <f>'Jobs-Ops'!P55</f>
        <v/>
      </c>
      <c r="K55" s="9">
        <f>'Jobs-GAAP'!Q55</f>
        <v/>
      </c>
      <c r="L55" s="9">
        <f>J55-K55</f>
        <v/>
      </c>
      <c r="M55" s="186" t="n"/>
      <c r="N55" s="9">
        <f>'Jobs-Ops'!Y55</f>
        <v/>
      </c>
      <c r="O55" s="9">
        <f>'Jobs-GAAP'!Y55</f>
        <v/>
      </c>
      <c r="P55" s="9">
        <f>N55-O55</f>
        <v/>
      </c>
      <c r="Q55" s="186" t="n"/>
      <c r="R55" s="11">
        <f>'Jobs-Ops'!AL55</f>
        <v/>
      </c>
      <c r="S55" s="11">
        <f>'Jobs-GAAP'!AH55</f>
        <v/>
      </c>
      <c r="T55" s="11">
        <f>IFERROR(R55-S55,0)</f>
        <v/>
      </c>
      <c r="U55" s="8">
        <f>'Jobs-Ops'!AM55</f>
        <v/>
      </c>
      <c r="V55" s="8">
        <f>'Jobs-GAAP'!AI55</f>
        <v/>
      </c>
      <c r="W55" s="8">
        <f>IFERROR(U55-V55,0)</f>
        <v/>
      </c>
      <c r="X55" s="9">
        <f>'Jobs-Ops'!AN55</f>
        <v/>
      </c>
      <c r="Y55" s="9">
        <f>'Jobs-GAAP'!AJ55</f>
        <v/>
      </c>
      <c r="Z55" s="9">
        <f>IFERROR(X55-Y55,0)</f>
        <v/>
      </c>
      <c r="AA55" s="153">
        <f>'Jobs-Ops'!AO55</f>
        <v/>
      </c>
      <c r="AB55" s="187" t="n"/>
      <c r="AC55" s="186" t="n"/>
      <c r="AD55" s="186" t="n"/>
      <c r="AE55" s="188" t="n"/>
      <c r="AF55" s="187" t="n"/>
      <c r="AG55" s="187" t="n"/>
      <c r="AH55" s="186" t="n"/>
      <c r="AI55" s="186" t="n"/>
      <c r="AJ55" s="186" t="n"/>
      <c r="AK55" s="186" t="n"/>
      <c r="AL55" s="186" t="n"/>
      <c r="AM55" s="186" t="n"/>
      <c r="AN55" s="186" t="n"/>
      <c r="AO55" s="186" t="n"/>
      <c r="AP55" s="186" t="n"/>
      <c r="AQ55" s="186" t="n"/>
      <c r="AR55" s="186" t="n"/>
      <c r="AS55" s="186" t="n"/>
      <c r="AT55" s="186" t="n"/>
      <c r="AU55" s="186" t="n"/>
      <c r="AV55" s="186" t="n"/>
      <c r="AW55" s="186" t="n"/>
      <c r="AX55" s="186" t="n"/>
      <c r="AY55" s="186" t="n"/>
      <c r="AZ55" s="186" t="n"/>
      <c r="BA55" s="186" t="n"/>
      <c r="BB55" s="186" t="n"/>
      <c r="BC55" s="186" t="n"/>
      <c r="BD55" s="190" t="n"/>
      <c r="BE55" s="186" t="n"/>
      <c r="BF55" s="186" t="n"/>
      <c r="BG55" s="186" t="n"/>
      <c r="BH55" s="186" t="n"/>
      <c r="BI55" s="186" t="n"/>
      <c r="BJ55" s="187" t="n"/>
      <c r="BK55" s="192" t="n"/>
      <c r="BL55" s="192" t="n"/>
      <c r="BM55" s="192" t="n"/>
      <c r="BN55" s="192" t="n"/>
    </row>
    <row r="56">
      <c r="A56" s="289">
        <f> 'Jobs-Ops'!A56</f>
        <v/>
      </c>
      <c r="B56" s="290">
        <f>'Jobs-Ops'!B56</f>
        <v/>
      </c>
      <c r="C56" s="290">
        <f>'Jobs-Ops'!C56</f>
        <v/>
      </c>
      <c r="D56" s="179" t="n"/>
      <c r="E56" s="181">
        <f>'Jobs-Ops'!I56</f>
        <v/>
      </c>
      <c r="F56" s="205">
        <f>'Jobs-Ops'!U56</f>
        <v/>
      </c>
      <c r="G56" s="181">
        <f>'Jobs-GAAP'!J56</f>
        <v/>
      </c>
      <c r="H56" s="205">
        <f>'Jobs-GAAP'!V56</f>
        <v/>
      </c>
      <c r="I56" s="181">
        <f>E56-G56</f>
        <v/>
      </c>
      <c r="J56" s="9">
        <f>'Jobs-Ops'!P56</f>
        <v/>
      </c>
      <c r="K56" s="9">
        <f>'Jobs-GAAP'!Q56</f>
        <v/>
      </c>
      <c r="L56" s="9">
        <f>J56-K56</f>
        <v/>
      </c>
      <c r="M56" s="186" t="n"/>
      <c r="N56" s="9">
        <f>'Jobs-Ops'!Y56</f>
        <v/>
      </c>
      <c r="O56" s="9">
        <f>'Jobs-GAAP'!Y56</f>
        <v/>
      </c>
      <c r="P56" s="9">
        <f>N56-O56</f>
        <v/>
      </c>
      <c r="Q56" s="186" t="n"/>
      <c r="R56" s="11">
        <f>'Jobs-Ops'!AL56</f>
        <v/>
      </c>
      <c r="S56" s="11">
        <f>'Jobs-GAAP'!AH56</f>
        <v/>
      </c>
      <c r="T56" s="11">
        <f>IFERROR(R56-S56,0)</f>
        <v/>
      </c>
      <c r="U56" s="8">
        <f>'Jobs-Ops'!AM56</f>
        <v/>
      </c>
      <c r="V56" s="8">
        <f>'Jobs-GAAP'!AI56</f>
        <v/>
      </c>
      <c r="W56" s="8">
        <f>IFERROR(U56-V56,0)</f>
        <v/>
      </c>
      <c r="X56" s="9">
        <f>'Jobs-Ops'!AN56</f>
        <v/>
      </c>
      <c r="Y56" s="9">
        <f>'Jobs-GAAP'!AJ56</f>
        <v/>
      </c>
      <c r="Z56" s="9">
        <f>IFERROR(X56-Y56,0)</f>
        <v/>
      </c>
      <c r="AA56" s="153">
        <f>'Jobs-Ops'!AO56</f>
        <v/>
      </c>
      <c r="AB56" s="187" t="n"/>
      <c r="AC56" s="186" t="n"/>
      <c r="AD56" s="186" t="n"/>
      <c r="AE56" s="188" t="n"/>
      <c r="AF56" s="187" t="n"/>
      <c r="AG56" s="187" t="n"/>
      <c r="AH56" s="186" t="n"/>
      <c r="AI56" s="186" t="n"/>
      <c r="AJ56" s="186" t="n"/>
      <c r="AK56" s="186" t="n"/>
      <c r="AL56" s="186" t="n"/>
      <c r="AM56" s="186" t="n"/>
      <c r="AN56" s="186" t="n"/>
      <c r="AO56" s="186" t="n"/>
      <c r="AP56" s="186" t="n"/>
      <c r="AQ56" s="186" t="n"/>
      <c r="AR56" s="186" t="n"/>
      <c r="AS56" s="186" t="n"/>
      <c r="AT56" s="186" t="n"/>
      <c r="AU56" s="186" t="n"/>
      <c r="AV56" s="186" t="n"/>
      <c r="AW56" s="186" t="n"/>
      <c r="AX56" s="186" t="n"/>
      <c r="AY56" s="186" t="n"/>
      <c r="AZ56" s="186" t="n"/>
      <c r="BA56" s="186" t="n"/>
      <c r="BB56" s="186" t="n"/>
      <c r="BC56" s="186" t="n"/>
      <c r="BD56" s="190" t="n"/>
      <c r="BE56" s="186" t="n"/>
      <c r="BF56" s="186" t="n"/>
      <c r="BG56" s="186" t="n"/>
      <c r="BH56" s="186" t="n"/>
      <c r="BI56" s="186" t="n"/>
      <c r="BJ56" s="187" t="n"/>
      <c r="BK56" s="192" t="n"/>
      <c r="BL56" s="192" t="n"/>
      <c r="BM56" s="192" t="n"/>
      <c r="BN56" s="192" t="n"/>
    </row>
    <row r="57">
      <c r="A57" s="289">
        <f> 'Jobs-Ops'!A57</f>
        <v/>
      </c>
      <c r="B57" s="291">
        <f>'Jobs-Ops'!B57</f>
        <v/>
      </c>
      <c r="C57" s="290">
        <f>'Jobs-Ops'!C57</f>
        <v/>
      </c>
      <c r="D57" s="179" t="n"/>
      <c r="E57" s="181">
        <f>'Jobs-Ops'!I57</f>
        <v/>
      </c>
      <c r="F57" s="205">
        <f>'Jobs-Ops'!U57</f>
        <v/>
      </c>
      <c r="G57" s="181">
        <f>'Jobs-GAAP'!J57</f>
        <v/>
      </c>
      <c r="H57" s="205">
        <f>'Jobs-GAAP'!V57</f>
        <v/>
      </c>
      <c r="I57" s="181">
        <f>E57-G57</f>
        <v/>
      </c>
      <c r="J57" s="9">
        <f>'Jobs-Ops'!P57</f>
        <v/>
      </c>
      <c r="K57" s="9">
        <f>'Jobs-GAAP'!Q57</f>
        <v/>
      </c>
      <c r="L57" s="9">
        <f>J57-K57</f>
        <v/>
      </c>
      <c r="M57" s="186" t="n"/>
      <c r="N57" s="9">
        <f>'Jobs-Ops'!Y57</f>
        <v/>
      </c>
      <c r="O57" s="9">
        <f>'Jobs-GAAP'!Y57</f>
        <v/>
      </c>
      <c r="P57" s="9">
        <f>N57-O57</f>
        <v/>
      </c>
      <c r="Q57" s="186" t="n"/>
      <c r="R57" s="11">
        <f>'Jobs-Ops'!AL57</f>
        <v/>
      </c>
      <c r="S57" s="11">
        <f>'Jobs-GAAP'!AH57</f>
        <v/>
      </c>
      <c r="T57" s="11">
        <f>IFERROR(R57-S57,0)</f>
        <v/>
      </c>
      <c r="U57" s="8">
        <f>'Jobs-Ops'!AM57</f>
        <v/>
      </c>
      <c r="V57" s="8">
        <f>'Jobs-GAAP'!AI57</f>
        <v/>
      </c>
      <c r="W57" s="8">
        <f>IFERROR(U57-V57,0)</f>
        <v/>
      </c>
      <c r="X57" s="9">
        <f>'Jobs-Ops'!AN57</f>
        <v/>
      </c>
      <c r="Y57" s="9">
        <f>'Jobs-GAAP'!AJ57</f>
        <v/>
      </c>
      <c r="Z57" s="9">
        <f>IFERROR(X57-Y57,0)</f>
        <v/>
      </c>
      <c r="AA57" s="153">
        <f>'Jobs-Ops'!AO57</f>
        <v/>
      </c>
      <c r="AB57" s="187" t="n"/>
      <c r="AC57" s="186" t="n"/>
      <c r="AD57" s="186" t="n"/>
      <c r="AE57" s="188" t="n"/>
      <c r="AF57" s="187" t="n"/>
      <c r="AG57" s="187" t="n"/>
      <c r="AH57" s="186" t="n"/>
      <c r="AI57" s="186" t="n"/>
      <c r="AJ57" s="186" t="n"/>
      <c r="AK57" s="186" t="n"/>
      <c r="AL57" s="186" t="n"/>
      <c r="AM57" s="186" t="n"/>
      <c r="AN57" s="186" t="n"/>
      <c r="AO57" s="186" t="n"/>
      <c r="AP57" s="186" t="n"/>
      <c r="AQ57" s="186" t="n"/>
      <c r="AR57" s="186" t="n"/>
      <c r="AS57" s="186" t="n"/>
      <c r="AT57" s="186" t="n"/>
      <c r="AU57" s="186" t="n"/>
      <c r="AV57" s="186" t="n"/>
      <c r="AW57" s="186" t="n"/>
      <c r="AX57" s="186" t="n"/>
      <c r="AY57" s="186" t="n"/>
      <c r="AZ57" s="186" t="n"/>
      <c r="BA57" s="186" t="n"/>
      <c r="BB57" s="186" t="n"/>
      <c r="BC57" s="186" t="n"/>
      <c r="BD57" s="190" t="n"/>
      <c r="BE57" s="186" t="n"/>
      <c r="BF57" s="186" t="n"/>
      <c r="BG57" s="186" t="n"/>
      <c r="BH57" s="186" t="n"/>
      <c r="BI57" s="186" t="n"/>
      <c r="BJ57" s="187" t="n"/>
      <c r="BK57" s="192" t="n"/>
      <c r="BL57" s="192" t="n"/>
      <c r="BM57" s="192" t="n"/>
      <c r="BN57" s="192" t="n"/>
    </row>
    <row r="58">
      <c r="A58" s="289">
        <f> 'Jobs-Ops'!A58</f>
        <v/>
      </c>
      <c r="B58" s="291">
        <f>'Jobs-Ops'!B58</f>
        <v/>
      </c>
      <c r="C58" s="290">
        <f>'Jobs-Ops'!C58</f>
        <v/>
      </c>
      <c r="D58" s="179" t="n"/>
      <c r="E58" s="181">
        <f>'Jobs-Ops'!I58</f>
        <v/>
      </c>
      <c r="F58" s="205">
        <f>'Jobs-Ops'!U58</f>
        <v/>
      </c>
      <c r="G58" s="181">
        <f>'Jobs-GAAP'!J58</f>
        <v/>
      </c>
      <c r="H58" s="205">
        <f>'Jobs-GAAP'!V58</f>
        <v/>
      </c>
      <c r="I58" s="181">
        <f>E58-G58</f>
        <v/>
      </c>
      <c r="J58" s="9">
        <f>'Jobs-Ops'!P58</f>
        <v/>
      </c>
      <c r="K58" s="9">
        <f>'Jobs-GAAP'!Q58</f>
        <v/>
      </c>
      <c r="L58" s="9">
        <f>J58-K58</f>
        <v/>
      </c>
      <c r="M58" s="186" t="n"/>
      <c r="N58" s="9">
        <f>'Jobs-Ops'!Y58</f>
        <v/>
      </c>
      <c r="O58" s="9">
        <f>'Jobs-GAAP'!Y58</f>
        <v/>
      </c>
      <c r="P58" s="9">
        <f>N58-O58</f>
        <v/>
      </c>
      <c r="Q58" s="186" t="n"/>
      <c r="R58" s="11">
        <f>'Jobs-Ops'!AL58</f>
        <v/>
      </c>
      <c r="S58" s="11">
        <f>'Jobs-GAAP'!AH58</f>
        <v/>
      </c>
      <c r="T58" s="11">
        <f>IFERROR(R58-S58,0)</f>
        <v/>
      </c>
      <c r="U58" s="8">
        <f>'Jobs-Ops'!AM58</f>
        <v/>
      </c>
      <c r="V58" s="8">
        <f>'Jobs-GAAP'!AI58</f>
        <v/>
      </c>
      <c r="W58" s="8">
        <f>IFERROR(U58-V58,0)</f>
        <v/>
      </c>
      <c r="X58" s="9">
        <f>'Jobs-Ops'!AN58</f>
        <v/>
      </c>
      <c r="Y58" s="9">
        <f>'Jobs-GAAP'!AJ58</f>
        <v/>
      </c>
      <c r="Z58" s="9">
        <f>IFERROR(X58-Y58,0)</f>
        <v/>
      </c>
      <c r="AA58" s="153">
        <f>'Jobs-Ops'!AO58</f>
        <v/>
      </c>
      <c r="AB58" s="187" t="n"/>
      <c r="AC58" s="186" t="n"/>
      <c r="AD58" s="186" t="n"/>
      <c r="AE58" s="188" t="n"/>
      <c r="AF58" s="187" t="n"/>
      <c r="AG58" s="187" t="n"/>
      <c r="AH58" s="186" t="n"/>
      <c r="AI58" s="186" t="n"/>
      <c r="AJ58" s="186" t="n"/>
      <c r="AK58" s="186" t="n"/>
      <c r="AL58" s="186" t="n"/>
      <c r="AM58" s="186" t="n"/>
      <c r="AN58" s="186" t="n"/>
      <c r="AO58" s="186" t="n"/>
      <c r="AP58" s="186" t="n"/>
      <c r="AQ58" s="186" t="n"/>
      <c r="AR58" s="186" t="n"/>
      <c r="AS58" s="186" t="n"/>
      <c r="AT58" s="186" t="n"/>
      <c r="AU58" s="186" t="n"/>
      <c r="AV58" s="186" t="n"/>
      <c r="AW58" s="186" t="n"/>
      <c r="AX58" s="186" t="n"/>
      <c r="AY58" s="186" t="n"/>
      <c r="AZ58" s="186" t="n"/>
      <c r="BA58" s="186" t="n"/>
      <c r="BB58" s="186" t="n"/>
      <c r="BC58" s="186" t="n"/>
      <c r="BD58" s="190" t="n"/>
      <c r="BE58" s="186" t="n"/>
      <c r="BF58" s="186" t="n"/>
      <c r="BG58" s="186" t="n"/>
      <c r="BH58" s="186" t="n"/>
      <c r="BI58" s="186" t="n"/>
      <c r="BJ58" s="187" t="n"/>
      <c r="BK58" s="192" t="n"/>
      <c r="BL58" s="192" t="n"/>
      <c r="BM58" s="192" t="n"/>
      <c r="BN58" s="192" t="n"/>
    </row>
    <row r="59">
      <c r="A59" s="289">
        <f> 'Jobs-Ops'!A59</f>
        <v/>
      </c>
      <c r="B59" s="291">
        <f>'Jobs-Ops'!B59</f>
        <v/>
      </c>
      <c r="C59" s="290">
        <f>'Jobs-Ops'!C59</f>
        <v/>
      </c>
      <c r="D59" s="179" t="n"/>
      <c r="E59" s="181">
        <f>'Jobs-Ops'!I59</f>
        <v/>
      </c>
      <c r="F59" s="205">
        <f>'Jobs-Ops'!U59</f>
        <v/>
      </c>
      <c r="G59" s="181">
        <f>'Jobs-GAAP'!J59</f>
        <v/>
      </c>
      <c r="H59" s="205">
        <f>'Jobs-GAAP'!V59</f>
        <v/>
      </c>
      <c r="I59" s="181">
        <f>E59-G59</f>
        <v/>
      </c>
      <c r="J59" s="9">
        <f>'Jobs-Ops'!P59</f>
        <v/>
      </c>
      <c r="K59" s="9">
        <f>'Jobs-GAAP'!Q59</f>
        <v/>
      </c>
      <c r="L59" s="9">
        <f>J59-K59</f>
        <v/>
      </c>
      <c r="M59" s="186" t="n"/>
      <c r="N59" s="9">
        <f>'Jobs-Ops'!Y59</f>
        <v/>
      </c>
      <c r="O59" s="9">
        <f>'Jobs-GAAP'!Y59</f>
        <v/>
      </c>
      <c r="P59" s="9">
        <f>N59-O59</f>
        <v/>
      </c>
      <c r="Q59" s="186" t="n"/>
      <c r="R59" s="11">
        <f>'Jobs-Ops'!AL59</f>
        <v/>
      </c>
      <c r="S59" s="11">
        <f>'Jobs-GAAP'!AH59</f>
        <v/>
      </c>
      <c r="T59" s="11">
        <f>IFERROR(R59-S59,0)</f>
        <v/>
      </c>
      <c r="U59" s="8">
        <f>'Jobs-Ops'!AM59</f>
        <v/>
      </c>
      <c r="V59" s="8">
        <f>'Jobs-GAAP'!AI59</f>
        <v/>
      </c>
      <c r="W59" s="8">
        <f>IFERROR(U59-V59,0)</f>
        <v/>
      </c>
      <c r="X59" s="9">
        <f>'Jobs-Ops'!AN59</f>
        <v/>
      </c>
      <c r="Y59" s="9">
        <f>'Jobs-GAAP'!AJ59</f>
        <v/>
      </c>
      <c r="Z59" s="9">
        <f>IFERROR(X59-Y59,0)</f>
        <v/>
      </c>
      <c r="AA59" s="153">
        <f>'Jobs-Ops'!AO59</f>
        <v/>
      </c>
      <c r="AB59" s="187" t="n"/>
      <c r="AC59" s="186" t="n"/>
      <c r="AD59" s="186" t="n"/>
      <c r="AE59" s="188" t="n"/>
      <c r="AF59" s="187" t="n"/>
      <c r="AG59" s="187" t="n"/>
      <c r="AH59" s="186" t="n"/>
      <c r="AI59" s="186" t="n"/>
      <c r="AJ59" s="186" t="n"/>
      <c r="AK59" s="186" t="n"/>
      <c r="AL59" s="186" t="n"/>
      <c r="AM59" s="186" t="n"/>
      <c r="AN59" s="186" t="n"/>
      <c r="AO59" s="186" t="n"/>
      <c r="AP59" s="186" t="n"/>
      <c r="AQ59" s="186" t="n"/>
      <c r="AR59" s="186" t="n"/>
      <c r="AS59" s="186" t="n"/>
      <c r="AT59" s="186" t="n"/>
      <c r="AU59" s="186" t="n"/>
      <c r="AV59" s="186" t="n"/>
      <c r="AW59" s="186" t="n"/>
      <c r="AX59" s="186" t="n"/>
      <c r="AY59" s="186" t="n"/>
      <c r="AZ59" s="186" t="n"/>
      <c r="BA59" s="186" t="n"/>
      <c r="BB59" s="186" t="n"/>
      <c r="BC59" s="186" t="n"/>
      <c r="BD59" s="190" t="n"/>
      <c r="BE59" s="186" t="n"/>
      <c r="BF59" s="186" t="n"/>
      <c r="BG59" s="186" t="n"/>
      <c r="BH59" s="186" t="n"/>
      <c r="BI59" s="186" t="n"/>
      <c r="BJ59" s="187" t="n"/>
      <c r="BK59" s="192" t="n"/>
      <c r="BL59" s="192" t="n"/>
      <c r="BM59" s="192" t="n"/>
      <c r="BN59" s="192" t="n"/>
    </row>
    <row r="60">
      <c r="A60" s="289">
        <f> 'Jobs-Ops'!A60</f>
        <v/>
      </c>
      <c r="B60" s="290">
        <f>'Jobs-Ops'!B60</f>
        <v/>
      </c>
      <c r="C60" s="290">
        <f>'Jobs-Ops'!C60</f>
        <v/>
      </c>
      <c r="D60" s="179" t="n"/>
      <c r="E60" s="181">
        <f>'Jobs-Ops'!I60</f>
        <v/>
      </c>
      <c r="F60" s="205">
        <f>'Jobs-Ops'!U60</f>
        <v/>
      </c>
      <c r="G60" s="181">
        <f>'Jobs-GAAP'!J60</f>
        <v/>
      </c>
      <c r="H60" s="205">
        <f>'Jobs-GAAP'!V60</f>
        <v/>
      </c>
      <c r="I60" s="181">
        <f>E60-G60</f>
        <v/>
      </c>
      <c r="J60" s="9">
        <f>'Jobs-Ops'!P60</f>
        <v/>
      </c>
      <c r="K60" s="9">
        <f>'Jobs-GAAP'!Q60</f>
        <v/>
      </c>
      <c r="L60" s="9">
        <f>J60-K60</f>
        <v/>
      </c>
      <c r="M60" s="186" t="n"/>
      <c r="N60" s="9">
        <f>'Jobs-Ops'!Y60</f>
        <v/>
      </c>
      <c r="O60" s="9">
        <f>'Jobs-GAAP'!Y60</f>
        <v/>
      </c>
      <c r="P60" s="9">
        <f>N60-O60</f>
        <v/>
      </c>
      <c r="Q60" s="186" t="n"/>
      <c r="R60" s="11">
        <f>'Jobs-Ops'!AL60</f>
        <v/>
      </c>
      <c r="S60" s="11">
        <f>'Jobs-GAAP'!AH60</f>
        <v/>
      </c>
      <c r="T60" s="11">
        <f>IFERROR(R60-S60,0)</f>
        <v/>
      </c>
      <c r="U60" s="8">
        <f>'Jobs-Ops'!AM60</f>
        <v/>
      </c>
      <c r="V60" s="8">
        <f>'Jobs-GAAP'!AI60</f>
        <v/>
      </c>
      <c r="W60" s="8">
        <f>IFERROR(U60-V60,0)</f>
        <v/>
      </c>
      <c r="X60" s="9">
        <f>'Jobs-Ops'!AN60</f>
        <v/>
      </c>
      <c r="Y60" s="9">
        <f>'Jobs-GAAP'!AJ60</f>
        <v/>
      </c>
      <c r="Z60" s="9">
        <f>IFERROR(X60-Y60,0)</f>
        <v/>
      </c>
      <c r="AA60" s="153">
        <f>'Jobs-Ops'!AO60</f>
        <v/>
      </c>
      <c r="AB60" s="187" t="n"/>
      <c r="AC60" s="186" t="n"/>
      <c r="AD60" s="186" t="n"/>
      <c r="AE60" s="188" t="n"/>
      <c r="AF60" s="187" t="n"/>
      <c r="AG60" s="187" t="n"/>
      <c r="AH60" s="186" t="n"/>
      <c r="AI60" s="186" t="n"/>
      <c r="AJ60" s="186" t="n"/>
      <c r="AK60" s="186" t="n"/>
      <c r="AL60" s="186" t="n"/>
      <c r="AM60" s="186" t="n"/>
      <c r="AN60" s="186" t="n"/>
      <c r="AO60" s="186" t="n"/>
      <c r="AP60" s="186" t="n"/>
      <c r="AQ60" s="186" t="n"/>
      <c r="AR60" s="186" t="n"/>
      <c r="AS60" s="186" t="n"/>
      <c r="AT60" s="186" t="n"/>
      <c r="AU60" s="186" t="n"/>
      <c r="AV60" s="186" t="n"/>
      <c r="AW60" s="186" t="n"/>
      <c r="AX60" s="186" t="n"/>
      <c r="AY60" s="186" t="n"/>
      <c r="AZ60" s="186" t="n"/>
      <c r="BA60" s="186" t="n"/>
      <c r="BB60" s="186" t="n"/>
      <c r="BC60" s="186" t="n"/>
      <c r="BD60" s="190" t="n"/>
      <c r="BE60" s="186" t="n"/>
      <c r="BF60" s="186" t="n"/>
      <c r="BG60" s="186" t="n"/>
      <c r="BH60" s="186" t="n"/>
      <c r="BI60" s="186" t="n"/>
      <c r="BJ60" s="187" t="n"/>
      <c r="BK60" s="192" t="n"/>
      <c r="BL60" s="192" t="n"/>
      <c r="BM60" s="192" t="n"/>
      <c r="BN60" s="192" t="n"/>
    </row>
    <row r="61">
      <c r="A61" s="289">
        <f> 'Jobs-Ops'!A61</f>
        <v/>
      </c>
      <c r="B61" s="290">
        <f>'Jobs-Ops'!B61</f>
        <v/>
      </c>
      <c r="C61" s="290">
        <f>'Jobs-Ops'!C61</f>
        <v/>
      </c>
      <c r="D61" s="179" t="n"/>
      <c r="E61" s="181">
        <f>'Jobs-Ops'!I61</f>
        <v/>
      </c>
      <c r="F61" s="205">
        <f>'Jobs-Ops'!U61</f>
        <v/>
      </c>
      <c r="G61" s="181">
        <f>'Jobs-GAAP'!J61</f>
        <v/>
      </c>
      <c r="H61" s="205">
        <f>'Jobs-GAAP'!V61</f>
        <v/>
      </c>
      <c r="I61" s="181">
        <f>E61-G61</f>
        <v/>
      </c>
      <c r="J61" s="9">
        <f>'Jobs-Ops'!P61</f>
        <v/>
      </c>
      <c r="K61" s="9">
        <f>'Jobs-GAAP'!Q61</f>
        <v/>
      </c>
      <c r="L61" s="9">
        <f>J61-K61</f>
        <v/>
      </c>
      <c r="M61" s="186" t="n"/>
      <c r="N61" s="9">
        <f>'Jobs-Ops'!Y61</f>
        <v/>
      </c>
      <c r="O61" s="9">
        <f>'Jobs-GAAP'!Y61</f>
        <v/>
      </c>
      <c r="P61" s="9">
        <f>N61-O61</f>
        <v/>
      </c>
      <c r="Q61" s="186" t="n"/>
      <c r="R61" s="11">
        <f>'Jobs-Ops'!AL61</f>
        <v/>
      </c>
      <c r="S61" s="11">
        <f>'Jobs-GAAP'!AH61</f>
        <v/>
      </c>
      <c r="T61" s="11">
        <f>IFERROR(R61-S61,0)</f>
        <v/>
      </c>
      <c r="U61" s="8">
        <f>'Jobs-Ops'!AM61</f>
        <v/>
      </c>
      <c r="V61" s="8">
        <f>'Jobs-GAAP'!AI61</f>
        <v/>
      </c>
      <c r="W61" s="8">
        <f>IFERROR(U61-V61,0)</f>
        <v/>
      </c>
      <c r="X61" s="9">
        <f>'Jobs-Ops'!AN61</f>
        <v/>
      </c>
      <c r="Y61" s="9">
        <f>'Jobs-GAAP'!AJ61</f>
        <v/>
      </c>
      <c r="Z61" s="9">
        <f>IFERROR(X61-Y61,0)</f>
        <v/>
      </c>
      <c r="AA61" s="153">
        <f>'Jobs-Ops'!AO61</f>
        <v/>
      </c>
      <c r="AB61" s="187" t="n"/>
      <c r="AC61" s="186" t="n"/>
      <c r="AD61" s="186" t="n"/>
      <c r="AE61" s="188" t="n"/>
      <c r="AF61" s="187" t="n"/>
      <c r="AG61" s="187" t="n"/>
      <c r="AH61" s="186" t="n"/>
      <c r="AI61" s="186" t="n"/>
      <c r="AJ61" s="186" t="n"/>
      <c r="AK61" s="186" t="n"/>
      <c r="AL61" s="186" t="n"/>
      <c r="AM61" s="186" t="n"/>
      <c r="AN61" s="186" t="n"/>
      <c r="AO61" s="186" t="n"/>
      <c r="AP61" s="186" t="n"/>
      <c r="AQ61" s="186" t="n"/>
      <c r="AR61" s="186" t="n"/>
      <c r="AS61" s="186" t="n"/>
      <c r="AT61" s="186" t="n"/>
      <c r="AU61" s="186" t="n"/>
      <c r="AV61" s="186" t="n"/>
      <c r="AW61" s="186" t="n"/>
      <c r="AX61" s="186" t="n"/>
      <c r="AY61" s="186" t="n"/>
      <c r="AZ61" s="186" t="n"/>
      <c r="BA61" s="186" t="n"/>
      <c r="BB61" s="186" t="n"/>
      <c r="BC61" s="186" t="n"/>
      <c r="BD61" s="190" t="n"/>
      <c r="BE61" s="186" t="n"/>
      <c r="BF61" s="186" t="n"/>
      <c r="BG61" s="186" t="n"/>
      <c r="BH61" s="186" t="n"/>
      <c r="BI61" s="186" t="n"/>
      <c r="BJ61" s="187" t="n"/>
      <c r="BK61" s="192" t="n"/>
      <c r="BL61" s="192" t="n"/>
      <c r="BM61" s="192" t="n"/>
      <c r="BN61" s="192" t="n"/>
    </row>
    <row r="62">
      <c r="A62" s="289">
        <f> 'Jobs-Ops'!A62</f>
        <v/>
      </c>
      <c r="B62" s="290">
        <f>'Jobs-Ops'!B62</f>
        <v/>
      </c>
      <c r="C62" s="290">
        <f>'Jobs-Ops'!C62</f>
        <v/>
      </c>
      <c r="D62" s="179" t="n"/>
      <c r="E62" s="181">
        <f>'Jobs-Ops'!I62</f>
        <v/>
      </c>
      <c r="F62" s="205">
        <f>'Jobs-Ops'!U62</f>
        <v/>
      </c>
      <c r="G62" s="181">
        <f>'Jobs-GAAP'!J62</f>
        <v/>
      </c>
      <c r="H62" s="205">
        <f>'Jobs-GAAP'!V62</f>
        <v/>
      </c>
      <c r="I62" s="181">
        <f>E62-G62</f>
        <v/>
      </c>
      <c r="J62" s="9">
        <f>'Jobs-Ops'!P62</f>
        <v/>
      </c>
      <c r="K62" s="9">
        <f>'Jobs-GAAP'!Q62</f>
        <v/>
      </c>
      <c r="L62" s="9">
        <f>J62-K62</f>
        <v/>
      </c>
      <c r="M62" s="186" t="n"/>
      <c r="N62" s="9">
        <f>'Jobs-Ops'!Y62</f>
        <v/>
      </c>
      <c r="O62" s="9">
        <f>'Jobs-GAAP'!Y62</f>
        <v/>
      </c>
      <c r="P62" s="9">
        <f>N62-O62</f>
        <v/>
      </c>
      <c r="Q62" s="186" t="n"/>
      <c r="R62" s="11">
        <f>'Jobs-Ops'!AL62</f>
        <v/>
      </c>
      <c r="S62" s="11">
        <f>'Jobs-GAAP'!AH62</f>
        <v/>
      </c>
      <c r="T62" s="11">
        <f>IFERROR(R62-S62,0)</f>
        <v/>
      </c>
      <c r="U62" s="8">
        <f>'Jobs-Ops'!AM62</f>
        <v/>
      </c>
      <c r="V62" s="8">
        <f>'Jobs-GAAP'!AI62</f>
        <v/>
      </c>
      <c r="W62" s="8">
        <f>IFERROR(U62-V62,0)</f>
        <v/>
      </c>
      <c r="X62" s="9">
        <f>'Jobs-Ops'!AN62</f>
        <v/>
      </c>
      <c r="Y62" s="9">
        <f>'Jobs-GAAP'!AJ62</f>
        <v/>
      </c>
      <c r="Z62" s="9">
        <f>IFERROR(X62-Y62,0)</f>
        <v/>
      </c>
      <c r="AA62" s="153">
        <f>'Jobs-Ops'!AO62</f>
        <v/>
      </c>
      <c r="AB62" s="187" t="n"/>
      <c r="AC62" s="186" t="n"/>
      <c r="AD62" s="186" t="n"/>
      <c r="AE62" s="188" t="n"/>
      <c r="AF62" s="187" t="n"/>
      <c r="AG62" s="187" t="n"/>
      <c r="AH62" s="186" t="n"/>
      <c r="AI62" s="186" t="n"/>
      <c r="AJ62" s="186" t="n"/>
      <c r="AK62" s="186" t="n"/>
      <c r="AL62" s="186" t="n"/>
      <c r="AM62" s="186" t="n"/>
      <c r="AN62" s="186" t="n"/>
      <c r="AO62" s="186" t="n"/>
      <c r="AP62" s="186" t="n"/>
      <c r="AQ62" s="186" t="n"/>
      <c r="AR62" s="186" t="n"/>
      <c r="AS62" s="186" t="n"/>
      <c r="AT62" s="186" t="n"/>
      <c r="AU62" s="186" t="n"/>
      <c r="AV62" s="186" t="n"/>
      <c r="AW62" s="186" t="n"/>
      <c r="AX62" s="186" t="n"/>
      <c r="AY62" s="186" t="n"/>
      <c r="AZ62" s="186" t="n"/>
      <c r="BA62" s="186" t="n"/>
      <c r="BB62" s="186" t="n"/>
      <c r="BC62" s="186" t="n"/>
      <c r="BD62" s="190" t="n"/>
      <c r="BE62" s="186" t="n"/>
      <c r="BF62" s="186" t="n"/>
      <c r="BG62" s="186" t="n"/>
      <c r="BH62" s="186" t="n"/>
      <c r="BI62" s="186" t="n"/>
      <c r="BJ62" s="187" t="n"/>
      <c r="BK62" s="192" t="n"/>
      <c r="BL62" s="192" t="n"/>
      <c r="BM62" s="192" t="n"/>
      <c r="BN62" s="192" t="n"/>
    </row>
    <row r="63">
      <c r="A63" s="289">
        <f> 'Jobs-Ops'!A63</f>
        <v/>
      </c>
      <c r="B63" s="290">
        <f>'Jobs-Ops'!B63</f>
        <v/>
      </c>
      <c r="C63" s="290">
        <f>'Jobs-Ops'!C63</f>
        <v/>
      </c>
      <c r="D63" s="179" t="n"/>
      <c r="E63" s="181">
        <f>'Jobs-Ops'!I63</f>
        <v/>
      </c>
      <c r="F63" s="205">
        <f>'Jobs-Ops'!U63</f>
        <v/>
      </c>
      <c r="G63" s="181">
        <f>'Jobs-GAAP'!J63</f>
        <v/>
      </c>
      <c r="H63" s="205">
        <f>'Jobs-GAAP'!V63</f>
        <v/>
      </c>
      <c r="I63" s="181">
        <f>E63-G63</f>
        <v/>
      </c>
      <c r="J63" s="9">
        <f>'Jobs-Ops'!P63</f>
        <v/>
      </c>
      <c r="K63" s="9">
        <f>'Jobs-GAAP'!Q63</f>
        <v/>
      </c>
      <c r="L63" s="9">
        <f>J63-K63</f>
        <v/>
      </c>
      <c r="M63" s="186" t="n"/>
      <c r="N63" s="9">
        <f>'Jobs-Ops'!Y63</f>
        <v/>
      </c>
      <c r="O63" s="9">
        <f>'Jobs-GAAP'!Y63</f>
        <v/>
      </c>
      <c r="P63" s="9">
        <f>N63-O63</f>
        <v/>
      </c>
      <c r="Q63" s="186" t="n"/>
      <c r="R63" s="11">
        <f>'Jobs-Ops'!AL63</f>
        <v/>
      </c>
      <c r="S63" s="11">
        <f>'Jobs-GAAP'!AH63</f>
        <v/>
      </c>
      <c r="T63" s="11">
        <f>IFERROR(R63-S63,0)</f>
        <v/>
      </c>
      <c r="U63" s="8">
        <f>'Jobs-Ops'!AM63</f>
        <v/>
      </c>
      <c r="V63" s="8">
        <f>'Jobs-GAAP'!AI63</f>
        <v/>
      </c>
      <c r="W63" s="8">
        <f>IFERROR(U63-V63,0)</f>
        <v/>
      </c>
      <c r="X63" s="9">
        <f>'Jobs-Ops'!AN63</f>
        <v/>
      </c>
      <c r="Y63" s="9">
        <f>'Jobs-GAAP'!AJ63</f>
        <v/>
      </c>
      <c r="Z63" s="9">
        <f>IFERROR(X63-Y63,0)</f>
        <v/>
      </c>
      <c r="AA63" s="153">
        <f>'Jobs-Ops'!AO63</f>
        <v/>
      </c>
      <c r="AB63" s="187" t="n"/>
      <c r="AC63" s="186" t="n"/>
      <c r="AD63" s="186" t="n"/>
      <c r="AE63" s="188" t="n"/>
      <c r="AF63" s="187" t="n"/>
      <c r="AG63" s="187" t="n"/>
      <c r="AH63" s="186" t="n"/>
      <c r="AI63" s="186" t="n"/>
      <c r="AJ63" s="186" t="n"/>
      <c r="AK63" s="186" t="n"/>
      <c r="AL63" s="186" t="n"/>
      <c r="AM63" s="186" t="n"/>
      <c r="AN63" s="186" t="n"/>
      <c r="AO63" s="186" t="n"/>
      <c r="AP63" s="186" t="n"/>
      <c r="AQ63" s="186" t="n"/>
      <c r="AR63" s="186" t="n"/>
      <c r="AS63" s="186" t="n"/>
      <c r="AT63" s="186" t="n"/>
      <c r="AU63" s="186" t="n"/>
      <c r="AV63" s="186" t="n"/>
      <c r="AW63" s="186" t="n"/>
      <c r="AX63" s="186" t="n"/>
      <c r="AY63" s="186" t="n"/>
      <c r="AZ63" s="186" t="n"/>
      <c r="BA63" s="186" t="n"/>
      <c r="BB63" s="186" t="n"/>
      <c r="BC63" s="186" t="n"/>
      <c r="BD63" s="190" t="n"/>
      <c r="BE63" s="186" t="n"/>
      <c r="BF63" s="186" t="n"/>
      <c r="BG63" s="186" t="n"/>
      <c r="BH63" s="186" t="n"/>
      <c r="BI63" s="186" t="n"/>
      <c r="BJ63" s="187" t="n"/>
      <c r="BK63" s="192" t="n"/>
      <c r="BL63" s="192" t="n"/>
      <c r="BM63" s="192" t="n"/>
      <c r="BN63" s="192" t="n"/>
    </row>
    <row r="64">
      <c r="A64" s="289">
        <f> 'Jobs-Ops'!A64</f>
        <v/>
      </c>
      <c r="B64" s="290">
        <f>'Jobs-Ops'!B64</f>
        <v/>
      </c>
      <c r="C64" s="290">
        <f>'Jobs-Ops'!C64</f>
        <v/>
      </c>
      <c r="D64" s="179" t="n"/>
      <c r="E64" s="181">
        <f>'Jobs-Ops'!I64</f>
        <v/>
      </c>
      <c r="F64" s="205">
        <f>'Jobs-Ops'!U64</f>
        <v/>
      </c>
      <c r="G64" s="181">
        <f>'Jobs-GAAP'!J64</f>
        <v/>
      </c>
      <c r="H64" s="205">
        <f>'Jobs-GAAP'!V64</f>
        <v/>
      </c>
      <c r="I64" s="181">
        <f>E64-G64</f>
        <v/>
      </c>
      <c r="J64" s="9">
        <f>'Jobs-Ops'!P64</f>
        <v/>
      </c>
      <c r="K64" s="9">
        <f>'Jobs-GAAP'!Q64</f>
        <v/>
      </c>
      <c r="L64" s="9">
        <f>J64-K64</f>
        <v/>
      </c>
      <c r="M64" s="186" t="n"/>
      <c r="N64" s="9">
        <f>'Jobs-Ops'!Y64</f>
        <v/>
      </c>
      <c r="O64" s="9">
        <f>'Jobs-GAAP'!Y64</f>
        <v/>
      </c>
      <c r="P64" s="9">
        <f>N64-O64</f>
        <v/>
      </c>
      <c r="Q64" s="186" t="n"/>
      <c r="R64" s="11">
        <f>'Jobs-Ops'!AL64</f>
        <v/>
      </c>
      <c r="S64" s="11">
        <f>'Jobs-GAAP'!AH64</f>
        <v/>
      </c>
      <c r="T64" s="11">
        <f>IFERROR(R64-S64,0)</f>
        <v/>
      </c>
      <c r="U64" s="8">
        <f>'Jobs-Ops'!AM64</f>
        <v/>
      </c>
      <c r="V64" s="8">
        <f>'Jobs-GAAP'!AI64</f>
        <v/>
      </c>
      <c r="W64" s="8">
        <f>IFERROR(U64-V64,0)</f>
        <v/>
      </c>
      <c r="X64" s="9">
        <f>'Jobs-Ops'!AN64</f>
        <v/>
      </c>
      <c r="Y64" s="9">
        <f>'Jobs-GAAP'!AJ64</f>
        <v/>
      </c>
      <c r="Z64" s="9">
        <f>IFERROR(X64-Y64,0)</f>
        <v/>
      </c>
      <c r="AA64" s="153">
        <f>'Jobs-Ops'!AO64</f>
        <v/>
      </c>
      <c r="AB64" s="187" t="n"/>
      <c r="AC64" s="186" t="n"/>
      <c r="AD64" s="186" t="n"/>
      <c r="AE64" s="188" t="n"/>
      <c r="AF64" s="187" t="n"/>
      <c r="AG64" s="187" t="n"/>
      <c r="AH64" s="186" t="n"/>
      <c r="AI64" s="186" t="n"/>
      <c r="AJ64" s="186" t="n"/>
      <c r="AK64" s="186" t="n"/>
      <c r="AL64" s="186" t="n"/>
      <c r="AM64" s="186" t="n"/>
      <c r="AN64" s="186" t="n"/>
      <c r="AO64" s="186" t="n"/>
      <c r="AP64" s="186" t="n"/>
      <c r="AQ64" s="186" t="n"/>
      <c r="AR64" s="186" t="n"/>
      <c r="AS64" s="186" t="n"/>
      <c r="AT64" s="186" t="n"/>
      <c r="AU64" s="186" t="n"/>
      <c r="AV64" s="186" t="n"/>
      <c r="AW64" s="186" t="n"/>
      <c r="AX64" s="186" t="n"/>
      <c r="AY64" s="186" t="n"/>
      <c r="AZ64" s="186" t="n"/>
      <c r="BA64" s="186" t="n"/>
      <c r="BB64" s="186" t="n"/>
      <c r="BC64" s="186" t="n"/>
      <c r="BD64" s="190" t="n"/>
      <c r="BE64" s="186" t="n"/>
      <c r="BF64" s="186" t="n"/>
      <c r="BG64" s="186" t="n"/>
      <c r="BH64" s="186" t="n"/>
      <c r="BI64" s="186" t="n"/>
      <c r="BJ64" s="187" t="n"/>
      <c r="BK64" s="192" t="n"/>
      <c r="BL64" s="192" t="n"/>
      <c r="BM64" s="192" t="n"/>
      <c r="BN64" s="192" t="n"/>
    </row>
    <row r="65">
      <c r="A65" s="289">
        <f> 'Jobs-Ops'!A65</f>
        <v/>
      </c>
      <c r="B65" s="290">
        <f>'Jobs-Ops'!B65</f>
        <v/>
      </c>
      <c r="C65" s="290">
        <f>'Jobs-Ops'!C65</f>
        <v/>
      </c>
      <c r="D65" s="179" t="n"/>
      <c r="E65" s="181">
        <f>'Jobs-Ops'!I65</f>
        <v/>
      </c>
      <c r="F65" s="205">
        <f>'Jobs-Ops'!U65</f>
        <v/>
      </c>
      <c r="G65" s="181">
        <f>'Jobs-GAAP'!J65</f>
        <v/>
      </c>
      <c r="H65" s="205">
        <f>'Jobs-GAAP'!V65</f>
        <v/>
      </c>
      <c r="I65" s="181">
        <f>E65-G65</f>
        <v/>
      </c>
      <c r="J65" s="9">
        <f>'Jobs-Ops'!P65</f>
        <v/>
      </c>
      <c r="K65" s="9">
        <f>'Jobs-GAAP'!Q65</f>
        <v/>
      </c>
      <c r="L65" s="9">
        <f>J65-K65</f>
        <v/>
      </c>
      <c r="M65" s="186" t="n"/>
      <c r="N65" s="9">
        <f>'Jobs-Ops'!Y65</f>
        <v/>
      </c>
      <c r="O65" s="9">
        <f>'Jobs-GAAP'!Y65</f>
        <v/>
      </c>
      <c r="P65" s="9">
        <f>N65-O65</f>
        <v/>
      </c>
      <c r="Q65" s="186" t="n"/>
      <c r="R65" s="11">
        <f>'Jobs-Ops'!AL65</f>
        <v/>
      </c>
      <c r="S65" s="11">
        <f>'Jobs-GAAP'!AH65</f>
        <v/>
      </c>
      <c r="T65" s="11">
        <f>IFERROR(R65-S65,0)</f>
        <v/>
      </c>
      <c r="U65" s="8">
        <f>'Jobs-Ops'!AM65</f>
        <v/>
      </c>
      <c r="V65" s="8">
        <f>'Jobs-GAAP'!AI65</f>
        <v/>
      </c>
      <c r="W65" s="8">
        <f>IFERROR(U65-V65,0)</f>
        <v/>
      </c>
      <c r="X65" s="9">
        <f>'Jobs-Ops'!AN65</f>
        <v/>
      </c>
      <c r="Y65" s="9">
        <f>'Jobs-GAAP'!AJ65</f>
        <v/>
      </c>
      <c r="Z65" s="9">
        <f>IFERROR(X65-Y65,0)</f>
        <v/>
      </c>
      <c r="AA65" s="153">
        <f>'Jobs-Ops'!AO65</f>
        <v/>
      </c>
      <c r="AB65" s="187" t="n"/>
      <c r="AC65" s="186" t="n"/>
      <c r="AD65" s="186" t="n"/>
      <c r="AE65" s="188" t="n"/>
      <c r="AF65" s="187" t="n"/>
      <c r="AG65" s="187" t="n"/>
      <c r="AH65" s="186" t="n"/>
      <c r="AI65" s="186" t="n"/>
      <c r="AJ65" s="186" t="n"/>
      <c r="AK65" s="186" t="n"/>
      <c r="AL65" s="186" t="n"/>
      <c r="AM65" s="186" t="n"/>
      <c r="AN65" s="186" t="n"/>
      <c r="AO65" s="186" t="n"/>
      <c r="AP65" s="186" t="n"/>
      <c r="AQ65" s="186" t="n"/>
      <c r="AR65" s="186" t="n"/>
      <c r="AS65" s="186" t="n"/>
      <c r="AT65" s="186" t="n"/>
      <c r="AU65" s="186" t="n"/>
      <c r="AV65" s="186" t="n"/>
      <c r="AW65" s="186" t="n"/>
      <c r="AX65" s="186" t="n"/>
      <c r="AY65" s="186" t="n"/>
      <c r="AZ65" s="186" t="n"/>
      <c r="BA65" s="186" t="n"/>
      <c r="BB65" s="186" t="n"/>
      <c r="BC65" s="186" t="n"/>
      <c r="BD65" s="190" t="n"/>
      <c r="BE65" s="186" t="n"/>
      <c r="BF65" s="186" t="n"/>
      <c r="BG65" s="186" t="n"/>
      <c r="BH65" s="186" t="n"/>
      <c r="BI65" s="186" t="n"/>
      <c r="BJ65" s="187" t="n"/>
      <c r="BK65" s="192" t="n"/>
      <c r="BL65" s="192" t="n"/>
      <c r="BM65" s="192" t="n"/>
      <c r="BN65" s="192" t="n"/>
    </row>
    <row r="66">
      <c r="A66" s="289">
        <f> 'Jobs-Ops'!A66</f>
        <v/>
      </c>
      <c r="B66" s="290">
        <f>'Jobs-Ops'!B66</f>
        <v/>
      </c>
      <c r="C66" s="290">
        <f>'Jobs-Ops'!C66</f>
        <v/>
      </c>
      <c r="D66" s="179" t="n"/>
      <c r="E66" s="181">
        <f>'Jobs-Ops'!I66</f>
        <v/>
      </c>
      <c r="F66" s="205">
        <f>'Jobs-Ops'!U66</f>
        <v/>
      </c>
      <c r="G66" s="181">
        <f>'Jobs-GAAP'!J66</f>
        <v/>
      </c>
      <c r="H66" s="205">
        <f>'Jobs-GAAP'!V66</f>
        <v/>
      </c>
      <c r="I66" s="181">
        <f>E66-G66</f>
        <v/>
      </c>
      <c r="J66" s="9">
        <f>'Jobs-Ops'!P66</f>
        <v/>
      </c>
      <c r="K66" s="9">
        <f>'Jobs-GAAP'!Q66</f>
        <v/>
      </c>
      <c r="L66" s="9">
        <f>J66-K66</f>
        <v/>
      </c>
      <c r="M66" s="186" t="n"/>
      <c r="N66" s="9">
        <f>'Jobs-Ops'!Y66</f>
        <v/>
      </c>
      <c r="O66" s="9">
        <f>'Jobs-GAAP'!Y66</f>
        <v/>
      </c>
      <c r="P66" s="9">
        <f>N66-O66</f>
        <v/>
      </c>
      <c r="Q66" s="186" t="n"/>
      <c r="R66" s="11">
        <f>'Jobs-Ops'!AL66</f>
        <v/>
      </c>
      <c r="S66" s="11">
        <f>'Jobs-GAAP'!AH66</f>
        <v/>
      </c>
      <c r="T66" s="11">
        <f>IFERROR(R66-S66,0)</f>
        <v/>
      </c>
      <c r="U66" s="8">
        <f>'Jobs-Ops'!AM66</f>
        <v/>
      </c>
      <c r="V66" s="8">
        <f>'Jobs-GAAP'!AI66</f>
        <v/>
      </c>
      <c r="W66" s="8">
        <f>IFERROR(U66-V66,0)</f>
        <v/>
      </c>
      <c r="X66" s="9">
        <f>'Jobs-Ops'!AN66</f>
        <v/>
      </c>
      <c r="Y66" s="9">
        <f>'Jobs-GAAP'!AJ66</f>
        <v/>
      </c>
      <c r="Z66" s="9">
        <f>IFERROR(X66-Y66,0)</f>
        <v/>
      </c>
      <c r="AA66" s="153">
        <f>'Jobs-Ops'!AO66</f>
        <v/>
      </c>
      <c r="AB66" s="187" t="n"/>
      <c r="AC66" s="186" t="n"/>
      <c r="AD66" s="186" t="n"/>
      <c r="AE66" s="188" t="n"/>
      <c r="AF66" s="187" t="n"/>
      <c r="AG66" s="187" t="n"/>
      <c r="AH66" s="186" t="n"/>
      <c r="AI66" s="186" t="n"/>
      <c r="AJ66" s="186" t="n"/>
      <c r="AK66" s="186" t="n"/>
      <c r="AL66" s="186" t="n"/>
      <c r="AM66" s="186" t="n"/>
      <c r="AN66" s="186" t="n"/>
      <c r="AO66" s="186" t="n"/>
      <c r="AP66" s="186" t="n"/>
      <c r="AQ66" s="186" t="n"/>
      <c r="AR66" s="186" t="n"/>
      <c r="AS66" s="186" t="n"/>
      <c r="AT66" s="186" t="n"/>
      <c r="AU66" s="186" t="n"/>
      <c r="AV66" s="186" t="n"/>
      <c r="AW66" s="186" t="n"/>
      <c r="AX66" s="186" t="n"/>
      <c r="AY66" s="186" t="n"/>
      <c r="AZ66" s="186" t="n"/>
      <c r="BA66" s="186" t="n"/>
      <c r="BB66" s="186" t="n"/>
      <c r="BC66" s="186" t="n"/>
      <c r="BD66" s="190" t="n"/>
      <c r="BE66" s="186" t="n"/>
      <c r="BF66" s="186" t="n"/>
      <c r="BG66" s="186" t="n"/>
      <c r="BH66" s="186" t="n"/>
      <c r="BI66" s="186" t="n"/>
      <c r="BJ66" s="187" t="n"/>
      <c r="BK66" s="192" t="n"/>
      <c r="BL66" s="192" t="n"/>
      <c r="BM66" s="192" t="n"/>
      <c r="BN66" s="192" t="n"/>
    </row>
    <row r="67">
      <c r="A67" s="289">
        <f> 'Jobs-Ops'!A67</f>
        <v/>
      </c>
      <c r="B67" s="290">
        <f>'Jobs-Ops'!B67</f>
        <v/>
      </c>
      <c r="C67" s="290">
        <f>'Jobs-Ops'!C67</f>
        <v/>
      </c>
      <c r="D67" s="179" t="n"/>
      <c r="E67" s="181">
        <f>'Jobs-Ops'!I67</f>
        <v/>
      </c>
      <c r="F67" s="205">
        <f>'Jobs-Ops'!U67</f>
        <v/>
      </c>
      <c r="G67" s="181">
        <f>'Jobs-GAAP'!J67</f>
        <v/>
      </c>
      <c r="H67" s="205">
        <f>'Jobs-GAAP'!V67</f>
        <v/>
      </c>
      <c r="I67" s="181">
        <f>E67-G67</f>
        <v/>
      </c>
      <c r="J67" s="9">
        <f>'Jobs-Ops'!P67</f>
        <v/>
      </c>
      <c r="K67" s="9">
        <f>'Jobs-GAAP'!Q67</f>
        <v/>
      </c>
      <c r="L67" s="9">
        <f>J67-K67</f>
        <v/>
      </c>
      <c r="M67" s="186" t="n"/>
      <c r="N67" s="9">
        <f>'Jobs-Ops'!Y67</f>
        <v/>
      </c>
      <c r="O67" s="9">
        <f>'Jobs-GAAP'!Y67</f>
        <v/>
      </c>
      <c r="P67" s="9">
        <f>N67-O67</f>
        <v/>
      </c>
      <c r="Q67" s="186" t="n"/>
      <c r="R67" s="11">
        <f>'Jobs-Ops'!AL67</f>
        <v/>
      </c>
      <c r="S67" s="11">
        <f>'Jobs-GAAP'!AH67</f>
        <v/>
      </c>
      <c r="T67" s="11">
        <f>IFERROR(R67-S67,0)</f>
        <v/>
      </c>
      <c r="U67" s="8">
        <f>'Jobs-Ops'!AM67</f>
        <v/>
      </c>
      <c r="V67" s="8">
        <f>'Jobs-GAAP'!AI67</f>
        <v/>
      </c>
      <c r="W67" s="8">
        <f>IFERROR(U67-V67,0)</f>
        <v/>
      </c>
      <c r="X67" s="9">
        <f>'Jobs-Ops'!AN67</f>
        <v/>
      </c>
      <c r="Y67" s="9">
        <f>'Jobs-GAAP'!AJ67</f>
        <v/>
      </c>
      <c r="Z67" s="9">
        <f>IFERROR(X67-Y67,0)</f>
        <v/>
      </c>
      <c r="AA67" s="153">
        <f>'Jobs-Ops'!AO67</f>
        <v/>
      </c>
      <c r="AB67" s="187" t="n"/>
      <c r="AC67" s="186" t="n"/>
      <c r="AD67" s="186" t="n"/>
      <c r="AE67" s="188" t="n"/>
      <c r="AF67" s="187" t="n"/>
      <c r="AG67" s="187" t="n"/>
      <c r="AH67" s="186" t="n"/>
      <c r="AI67" s="186" t="n"/>
      <c r="AJ67" s="186" t="n"/>
      <c r="AK67" s="186" t="n"/>
      <c r="AL67" s="186" t="n"/>
      <c r="AM67" s="186" t="n"/>
      <c r="AN67" s="186" t="n"/>
      <c r="AO67" s="186" t="n"/>
      <c r="AP67" s="186" t="n"/>
      <c r="AQ67" s="186" t="n"/>
      <c r="AR67" s="186" t="n"/>
      <c r="AS67" s="186" t="n"/>
      <c r="AT67" s="186" t="n"/>
      <c r="AU67" s="186" t="n"/>
      <c r="AV67" s="186" t="n"/>
      <c r="AW67" s="186" t="n"/>
      <c r="AX67" s="186" t="n"/>
      <c r="AY67" s="186" t="n"/>
      <c r="AZ67" s="186" t="n"/>
      <c r="BA67" s="186" t="n"/>
      <c r="BB67" s="186" t="n"/>
      <c r="BC67" s="186" t="n"/>
      <c r="BD67" s="190" t="n"/>
      <c r="BE67" s="186" t="n"/>
      <c r="BF67" s="186" t="n"/>
      <c r="BG67" s="186" t="n"/>
      <c r="BH67" s="186" t="n"/>
      <c r="BI67" s="186" t="n"/>
      <c r="BJ67" s="187" t="n"/>
      <c r="BK67" s="192" t="n"/>
      <c r="BL67" s="192" t="n"/>
      <c r="BM67" s="192" t="n"/>
      <c r="BN67" s="192" t="n"/>
    </row>
    <row r="68">
      <c r="A68" s="289">
        <f> 'Jobs-Ops'!A68</f>
        <v/>
      </c>
      <c r="B68" s="291">
        <f>'Jobs-Ops'!B68</f>
        <v/>
      </c>
      <c r="C68" s="290">
        <f>'Jobs-Ops'!C68</f>
        <v/>
      </c>
      <c r="D68" s="179" t="n"/>
      <c r="E68" s="181">
        <f>'Jobs-Ops'!I68</f>
        <v/>
      </c>
      <c r="F68" s="205">
        <f>'Jobs-Ops'!U68</f>
        <v/>
      </c>
      <c r="G68" s="181">
        <f>'Jobs-GAAP'!J68</f>
        <v/>
      </c>
      <c r="H68" s="205">
        <f>'Jobs-GAAP'!V68</f>
        <v/>
      </c>
      <c r="I68" s="181">
        <f>E68-G68</f>
        <v/>
      </c>
      <c r="J68" s="9">
        <f>'Jobs-Ops'!P68</f>
        <v/>
      </c>
      <c r="K68" s="9">
        <f>'Jobs-GAAP'!Q68</f>
        <v/>
      </c>
      <c r="L68" s="9">
        <f>J68-K68</f>
        <v/>
      </c>
      <c r="M68" s="186" t="n"/>
      <c r="N68" s="9">
        <f>'Jobs-Ops'!Y68</f>
        <v/>
      </c>
      <c r="O68" s="9">
        <f>'Jobs-GAAP'!Y68</f>
        <v/>
      </c>
      <c r="P68" s="9">
        <f>N68-O68</f>
        <v/>
      </c>
      <c r="Q68" s="186" t="n"/>
      <c r="R68" s="11">
        <f>'Jobs-Ops'!AL68</f>
        <v/>
      </c>
      <c r="S68" s="11">
        <f>'Jobs-GAAP'!AH68</f>
        <v/>
      </c>
      <c r="T68" s="11">
        <f>IFERROR(R68-S68,0)</f>
        <v/>
      </c>
      <c r="U68" s="8">
        <f>'Jobs-Ops'!AM68</f>
        <v/>
      </c>
      <c r="V68" s="8">
        <f>'Jobs-GAAP'!AI68</f>
        <v/>
      </c>
      <c r="W68" s="8">
        <f>IFERROR(U68-V68,0)</f>
        <v/>
      </c>
      <c r="X68" s="9">
        <f>'Jobs-Ops'!AN68</f>
        <v/>
      </c>
      <c r="Y68" s="9">
        <f>'Jobs-GAAP'!AJ68</f>
        <v/>
      </c>
      <c r="Z68" s="9">
        <f>IFERROR(X68-Y68,0)</f>
        <v/>
      </c>
      <c r="AA68" s="153">
        <f>'Jobs-Ops'!AO68</f>
        <v/>
      </c>
      <c r="AB68" s="187" t="n"/>
      <c r="AC68" s="186" t="n"/>
      <c r="AD68" s="186" t="n"/>
      <c r="AE68" s="188" t="n"/>
      <c r="AF68" s="187" t="n"/>
      <c r="AG68" s="187" t="n"/>
      <c r="AH68" s="186" t="n"/>
      <c r="AI68" s="186" t="n"/>
      <c r="AJ68" s="186" t="n"/>
      <c r="AK68" s="186" t="n"/>
      <c r="AL68" s="186" t="n"/>
      <c r="AM68" s="186" t="n"/>
      <c r="AN68" s="186" t="n"/>
      <c r="AO68" s="186" t="n"/>
      <c r="AP68" s="186" t="n"/>
      <c r="AQ68" s="186" t="n"/>
      <c r="AR68" s="186" t="n"/>
      <c r="AS68" s="186" t="n"/>
      <c r="AT68" s="186" t="n"/>
      <c r="AU68" s="186" t="n"/>
      <c r="AV68" s="186" t="n"/>
      <c r="AW68" s="186" t="n"/>
      <c r="AX68" s="186" t="n"/>
      <c r="AY68" s="186" t="n"/>
      <c r="AZ68" s="186" t="n"/>
      <c r="BA68" s="186" t="n"/>
      <c r="BB68" s="186" t="n"/>
      <c r="BC68" s="186" t="n"/>
      <c r="BD68" s="190" t="n"/>
      <c r="BE68" s="186" t="n"/>
      <c r="BF68" s="186" t="n"/>
      <c r="BG68" s="186" t="n"/>
      <c r="BH68" s="186" t="n"/>
      <c r="BI68" s="186" t="n"/>
      <c r="BJ68" s="187" t="n"/>
      <c r="BK68" s="192" t="n"/>
      <c r="BL68" s="192" t="n"/>
      <c r="BM68" s="192" t="n"/>
      <c r="BN68" s="192" t="n"/>
    </row>
    <row r="69">
      <c r="A69" s="289">
        <f> 'Jobs-Ops'!A69</f>
        <v/>
      </c>
      <c r="B69" s="291">
        <f>'Jobs-Ops'!B69</f>
        <v/>
      </c>
      <c r="C69" s="290">
        <f>'Jobs-Ops'!C69</f>
        <v/>
      </c>
      <c r="D69" s="179" t="n"/>
      <c r="E69" s="181">
        <f>'Jobs-Ops'!I69</f>
        <v/>
      </c>
      <c r="F69" s="205">
        <f>'Jobs-Ops'!U69</f>
        <v/>
      </c>
      <c r="G69" s="181">
        <f>'Jobs-GAAP'!J69</f>
        <v/>
      </c>
      <c r="H69" s="205">
        <f>'Jobs-GAAP'!V69</f>
        <v/>
      </c>
      <c r="I69" s="181">
        <f>E69-G69</f>
        <v/>
      </c>
      <c r="J69" s="9">
        <f>'Jobs-Ops'!P69</f>
        <v/>
      </c>
      <c r="K69" s="9">
        <f>'Jobs-GAAP'!Q69</f>
        <v/>
      </c>
      <c r="L69" s="9">
        <f>J69-K69</f>
        <v/>
      </c>
      <c r="M69" s="186" t="n"/>
      <c r="N69" s="9">
        <f>'Jobs-Ops'!Y69</f>
        <v/>
      </c>
      <c r="O69" s="9">
        <f>'Jobs-GAAP'!Y69</f>
        <v/>
      </c>
      <c r="P69" s="9">
        <f>N69-O69</f>
        <v/>
      </c>
      <c r="Q69" s="186" t="n"/>
      <c r="R69" s="11">
        <f>'Jobs-Ops'!AL69</f>
        <v/>
      </c>
      <c r="S69" s="11">
        <f>'Jobs-GAAP'!AH69</f>
        <v/>
      </c>
      <c r="T69" s="11">
        <f>IFERROR(R69-S69,0)</f>
        <v/>
      </c>
      <c r="U69" s="8">
        <f>'Jobs-Ops'!AM69</f>
        <v/>
      </c>
      <c r="V69" s="8">
        <f>'Jobs-GAAP'!AI69</f>
        <v/>
      </c>
      <c r="W69" s="8">
        <f>IFERROR(U69-V69,0)</f>
        <v/>
      </c>
      <c r="X69" s="9">
        <f>'Jobs-Ops'!AN69</f>
        <v/>
      </c>
      <c r="Y69" s="9">
        <f>'Jobs-GAAP'!AJ69</f>
        <v/>
      </c>
      <c r="Z69" s="9">
        <f>IFERROR(X69-Y69,0)</f>
        <v/>
      </c>
      <c r="AA69" s="153">
        <f>'Jobs-Ops'!AO69</f>
        <v/>
      </c>
      <c r="AB69" s="187" t="n"/>
      <c r="AC69" s="186" t="n"/>
      <c r="AD69" s="186" t="n"/>
      <c r="AE69" s="188" t="n"/>
      <c r="AF69" s="187" t="n"/>
      <c r="AG69" s="187" t="n"/>
      <c r="AH69" s="186" t="n"/>
      <c r="AI69" s="186" t="n"/>
      <c r="AJ69" s="186" t="n"/>
      <c r="AK69" s="186" t="n"/>
      <c r="AL69" s="186" t="n"/>
      <c r="AM69" s="186" t="n"/>
      <c r="AN69" s="186" t="n"/>
      <c r="AO69" s="186" t="n"/>
      <c r="AP69" s="186" t="n"/>
      <c r="AQ69" s="186" t="n"/>
      <c r="AR69" s="186" t="n"/>
      <c r="AS69" s="186" t="n"/>
      <c r="AT69" s="186" t="n"/>
      <c r="AU69" s="186" t="n"/>
      <c r="AV69" s="186" t="n"/>
      <c r="AW69" s="186" t="n"/>
      <c r="AX69" s="186" t="n"/>
      <c r="AY69" s="186" t="n"/>
      <c r="AZ69" s="186" t="n"/>
      <c r="BA69" s="186" t="n"/>
      <c r="BB69" s="186" t="n"/>
      <c r="BC69" s="186" t="n"/>
      <c r="BD69" s="190" t="n"/>
      <c r="BE69" s="186" t="n"/>
      <c r="BF69" s="186" t="n"/>
      <c r="BG69" s="186" t="n"/>
      <c r="BH69" s="186" t="n"/>
      <c r="BI69" s="186" t="n"/>
      <c r="BJ69" s="187" t="n"/>
      <c r="BK69" s="192" t="n"/>
      <c r="BL69" s="192" t="n"/>
      <c r="BM69" s="192" t="n"/>
      <c r="BN69" s="192" t="n"/>
    </row>
    <row r="70">
      <c r="A70" s="289">
        <f> 'Jobs-Ops'!A70</f>
        <v/>
      </c>
      <c r="B70" s="291">
        <f>'Jobs-Ops'!B70</f>
        <v/>
      </c>
      <c r="C70" s="290">
        <f>'Jobs-Ops'!C70</f>
        <v/>
      </c>
      <c r="D70" s="179" t="n"/>
      <c r="E70" s="181">
        <f>'Jobs-Ops'!I70</f>
        <v/>
      </c>
      <c r="F70" s="205">
        <f>'Jobs-Ops'!U70</f>
        <v/>
      </c>
      <c r="G70" s="181">
        <f>'Jobs-GAAP'!J70</f>
        <v/>
      </c>
      <c r="H70" s="205">
        <f>'Jobs-GAAP'!V70</f>
        <v/>
      </c>
      <c r="I70" s="181">
        <f>E70-G70</f>
        <v/>
      </c>
      <c r="J70" s="9">
        <f>'Jobs-Ops'!P70</f>
        <v/>
      </c>
      <c r="K70" s="9">
        <f>'Jobs-GAAP'!Q70</f>
        <v/>
      </c>
      <c r="L70" s="9">
        <f>J70-K70</f>
        <v/>
      </c>
      <c r="M70" s="186" t="n"/>
      <c r="N70" s="9">
        <f>'Jobs-Ops'!Y70</f>
        <v/>
      </c>
      <c r="O70" s="9">
        <f>'Jobs-GAAP'!Y70</f>
        <v/>
      </c>
      <c r="P70" s="9">
        <f>N70-O70</f>
        <v/>
      </c>
      <c r="Q70" s="186" t="n"/>
      <c r="R70" s="11">
        <f>'Jobs-Ops'!AL70</f>
        <v/>
      </c>
      <c r="S70" s="11">
        <f>'Jobs-GAAP'!AH70</f>
        <v/>
      </c>
      <c r="T70" s="11">
        <f>IFERROR(R70-S70,0)</f>
        <v/>
      </c>
      <c r="U70" s="8">
        <f>'Jobs-Ops'!AM70</f>
        <v/>
      </c>
      <c r="V70" s="8">
        <f>'Jobs-GAAP'!AI70</f>
        <v/>
      </c>
      <c r="W70" s="8">
        <f>IFERROR(U70-V70,0)</f>
        <v/>
      </c>
      <c r="X70" s="9">
        <f>'Jobs-Ops'!AN70</f>
        <v/>
      </c>
      <c r="Y70" s="9">
        <f>'Jobs-GAAP'!AJ70</f>
        <v/>
      </c>
      <c r="Z70" s="9">
        <f>IFERROR(X70-Y70,0)</f>
        <v/>
      </c>
      <c r="AA70" s="153">
        <f>'Jobs-Ops'!AO70</f>
        <v/>
      </c>
      <c r="AB70" s="187" t="n"/>
      <c r="AC70" s="186" t="n"/>
      <c r="AD70" s="186" t="n"/>
      <c r="AE70" s="188" t="n"/>
      <c r="AF70" s="187" t="n"/>
      <c r="AG70" s="187" t="n"/>
      <c r="AH70" s="186" t="n"/>
      <c r="AI70" s="186" t="n"/>
      <c r="AJ70" s="186" t="n"/>
      <c r="AK70" s="186" t="n"/>
      <c r="AL70" s="186" t="n"/>
      <c r="AM70" s="186" t="n"/>
      <c r="AN70" s="186" t="n"/>
      <c r="AO70" s="186" t="n"/>
      <c r="AP70" s="186" t="n"/>
      <c r="AQ70" s="186" t="n"/>
      <c r="AR70" s="186" t="n"/>
      <c r="AS70" s="186" t="n"/>
      <c r="AT70" s="186" t="n"/>
      <c r="AU70" s="186" t="n"/>
      <c r="AV70" s="186" t="n"/>
      <c r="AW70" s="186" t="n"/>
      <c r="AX70" s="186" t="n"/>
      <c r="AY70" s="186" t="n"/>
      <c r="AZ70" s="186" t="n"/>
      <c r="BA70" s="186" t="n"/>
      <c r="BB70" s="186" t="n"/>
      <c r="BC70" s="186" t="n"/>
      <c r="BD70" s="190" t="n"/>
      <c r="BE70" s="186" t="n"/>
      <c r="BF70" s="186" t="n"/>
      <c r="BG70" s="186" t="n"/>
      <c r="BH70" s="186" t="n"/>
      <c r="BI70" s="186" t="n"/>
      <c r="BJ70" s="187" t="n"/>
      <c r="BK70" s="192" t="n"/>
      <c r="BL70" s="192" t="n"/>
      <c r="BM70" s="192" t="n"/>
      <c r="BN70" s="192" t="n"/>
    </row>
    <row r="71">
      <c r="A71" s="289">
        <f> 'Jobs-Ops'!A71</f>
        <v/>
      </c>
      <c r="B71" s="290">
        <f>'Jobs-Ops'!B71</f>
        <v/>
      </c>
      <c r="C71" s="290">
        <f>'Jobs-Ops'!C71</f>
        <v/>
      </c>
      <c r="D71" s="179" t="n"/>
      <c r="E71" s="181">
        <f>'Jobs-Ops'!I71</f>
        <v/>
      </c>
      <c r="F71" s="205">
        <f>'Jobs-Ops'!U71</f>
        <v/>
      </c>
      <c r="G71" s="181">
        <f>'Jobs-GAAP'!J71</f>
        <v/>
      </c>
      <c r="H71" s="205">
        <f>'Jobs-GAAP'!V71</f>
        <v/>
      </c>
      <c r="I71" s="181">
        <f>E71-G71</f>
        <v/>
      </c>
      <c r="J71" s="9">
        <f>'Jobs-Ops'!P71</f>
        <v/>
      </c>
      <c r="K71" s="9">
        <f>'Jobs-GAAP'!Q71</f>
        <v/>
      </c>
      <c r="L71" s="9">
        <f>J71-K71</f>
        <v/>
      </c>
      <c r="M71" s="186" t="n"/>
      <c r="N71" s="9">
        <f>'Jobs-Ops'!Y71</f>
        <v/>
      </c>
      <c r="O71" s="9">
        <f>'Jobs-GAAP'!Y71</f>
        <v/>
      </c>
      <c r="P71" s="9">
        <f>N71-O71</f>
        <v/>
      </c>
      <c r="Q71" s="186" t="n"/>
      <c r="R71" s="11">
        <f>'Jobs-Ops'!AL71</f>
        <v/>
      </c>
      <c r="S71" s="11">
        <f>'Jobs-GAAP'!AH71</f>
        <v/>
      </c>
      <c r="T71" s="11">
        <f>IFERROR(R71-S71,0)</f>
        <v/>
      </c>
      <c r="U71" s="8">
        <f>'Jobs-Ops'!AM71</f>
        <v/>
      </c>
      <c r="V71" s="8">
        <f>'Jobs-GAAP'!AI71</f>
        <v/>
      </c>
      <c r="W71" s="8">
        <f>IFERROR(U71-V71,0)</f>
        <v/>
      </c>
      <c r="X71" s="9">
        <f>'Jobs-Ops'!AN71</f>
        <v/>
      </c>
      <c r="Y71" s="9">
        <f>'Jobs-GAAP'!AJ71</f>
        <v/>
      </c>
      <c r="Z71" s="9">
        <f>IFERROR(X71-Y71,0)</f>
        <v/>
      </c>
      <c r="AA71" s="153">
        <f>'Jobs-Ops'!AO71</f>
        <v/>
      </c>
      <c r="AB71" s="187" t="n"/>
      <c r="AC71" s="186" t="n"/>
      <c r="AD71" s="186" t="n"/>
      <c r="AE71" s="188" t="n"/>
      <c r="AF71" s="187" t="n"/>
      <c r="AG71" s="187" t="n"/>
      <c r="AH71" s="186" t="n"/>
      <c r="AI71" s="186" t="n"/>
      <c r="AJ71" s="186" t="n"/>
      <c r="AK71" s="186" t="n"/>
      <c r="AL71" s="186" t="n"/>
      <c r="AM71" s="186" t="n"/>
      <c r="AN71" s="186" t="n"/>
      <c r="AO71" s="186" t="n"/>
      <c r="AP71" s="186" t="n"/>
      <c r="AQ71" s="186" t="n"/>
      <c r="AR71" s="186" t="n"/>
      <c r="AS71" s="186" t="n"/>
      <c r="AT71" s="186" t="n"/>
      <c r="AU71" s="186" t="n"/>
      <c r="AV71" s="186" t="n"/>
      <c r="AW71" s="186" t="n"/>
      <c r="AX71" s="186" t="n"/>
      <c r="AY71" s="186" t="n"/>
      <c r="AZ71" s="186" t="n"/>
      <c r="BA71" s="186" t="n"/>
      <c r="BB71" s="186" t="n"/>
      <c r="BC71" s="186" t="n"/>
      <c r="BD71" s="190" t="n"/>
      <c r="BE71" s="186" t="n"/>
      <c r="BF71" s="186" t="n"/>
      <c r="BG71" s="186" t="n"/>
      <c r="BH71" s="186" t="n"/>
      <c r="BI71" s="186" t="n"/>
      <c r="BJ71" s="187" t="n"/>
      <c r="BK71" s="192" t="n"/>
      <c r="BL71" s="192" t="n"/>
      <c r="BM71" s="192" t="n"/>
      <c r="BN71" s="192" t="n"/>
    </row>
    <row r="72">
      <c r="A72" s="289">
        <f> 'Jobs-Ops'!A72</f>
        <v/>
      </c>
      <c r="B72" s="290">
        <f>'Jobs-Ops'!B72</f>
        <v/>
      </c>
      <c r="C72" s="290">
        <f>'Jobs-Ops'!C72</f>
        <v/>
      </c>
      <c r="D72" s="179" t="n"/>
      <c r="E72" s="181">
        <f>'Jobs-Ops'!I72</f>
        <v/>
      </c>
      <c r="F72" s="205">
        <f>'Jobs-Ops'!U72</f>
        <v/>
      </c>
      <c r="G72" s="181">
        <f>'Jobs-GAAP'!J72</f>
        <v/>
      </c>
      <c r="H72" s="205">
        <f>'Jobs-GAAP'!V72</f>
        <v/>
      </c>
      <c r="I72" s="181">
        <f>E72-G72</f>
        <v/>
      </c>
      <c r="J72" s="9">
        <f>'Jobs-Ops'!P72</f>
        <v/>
      </c>
      <c r="K72" s="9">
        <f>'Jobs-GAAP'!Q72</f>
        <v/>
      </c>
      <c r="L72" s="9">
        <f>J72-K72</f>
        <v/>
      </c>
      <c r="M72" s="186" t="n"/>
      <c r="N72" s="9">
        <f>'Jobs-Ops'!Y72</f>
        <v/>
      </c>
      <c r="O72" s="9">
        <f>'Jobs-GAAP'!Y72</f>
        <v/>
      </c>
      <c r="P72" s="9">
        <f>N72-O72</f>
        <v/>
      </c>
      <c r="Q72" s="186" t="n"/>
      <c r="R72" s="11">
        <f>'Jobs-Ops'!AL72</f>
        <v/>
      </c>
      <c r="S72" s="11">
        <f>'Jobs-GAAP'!AH72</f>
        <v/>
      </c>
      <c r="T72" s="11">
        <f>IFERROR(R72-S72,0)</f>
        <v/>
      </c>
      <c r="U72" s="8">
        <f>'Jobs-Ops'!AM72</f>
        <v/>
      </c>
      <c r="V72" s="8">
        <f>'Jobs-GAAP'!AI72</f>
        <v/>
      </c>
      <c r="W72" s="8">
        <f>IFERROR(U72-V72,0)</f>
        <v/>
      </c>
      <c r="X72" s="9">
        <f>'Jobs-Ops'!AN72</f>
        <v/>
      </c>
      <c r="Y72" s="9">
        <f>'Jobs-GAAP'!AJ72</f>
        <v/>
      </c>
      <c r="Z72" s="9">
        <f>IFERROR(X72-Y72,0)</f>
        <v/>
      </c>
      <c r="AA72" s="153">
        <f>'Jobs-Ops'!AO72</f>
        <v/>
      </c>
      <c r="AB72" s="187" t="n"/>
      <c r="AC72" s="186" t="n"/>
      <c r="AD72" s="186" t="n"/>
      <c r="AE72" s="188" t="n"/>
      <c r="AF72" s="187" t="n"/>
      <c r="AG72" s="187" t="n"/>
      <c r="AH72" s="186" t="n"/>
      <c r="AI72" s="186" t="n"/>
      <c r="AJ72" s="186" t="n"/>
      <c r="AK72" s="186" t="n"/>
      <c r="AL72" s="186" t="n"/>
      <c r="AM72" s="186" t="n"/>
      <c r="AN72" s="186" t="n"/>
      <c r="AO72" s="186" t="n"/>
      <c r="AP72" s="186" t="n"/>
      <c r="AQ72" s="186" t="n"/>
      <c r="AR72" s="186" t="n"/>
      <c r="AS72" s="186" t="n"/>
      <c r="AT72" s="186" t="n"/>
      <c r="AU72" s="186" t="n"/>
      <c r="AV72" s="186" t="n"/>
      <c r="AW72" s="186" t="n"/>
      <c r="AX72" s="186" t="n"/>
      <c r="AY72" s="186" t="n"/>
      <c r="AZ72" s="186" t="n"/>
      <c r="BA72" s="186" t="n"/>
      <c r="BB72" s="186" t="n"/>
      <c r="BC72" s="186" t="n"/>
      <c r="BD72" s="190" t="n"/>
      <c r="BE72" s="186" t="n"/>
      <c r="BF72" s="186" t="n"/>
      <c r="BG72" s="186" t="n"/>
      <c r="BH72" s="186" t="n"/>
      <c r="BI72" s="186" t="n"/>
      <c r="BJ72" s="187" t="n"/>
      <c r="BK72" s="192" t="n"/>
      <c r="BL72" s="192" t="n"/>
      <c r="BM72" s="192" t="n"/>
      <c r="BN72" s="192" t="n"/>
    </row>
    <row r="73">
      <c r="A73" s="289">
        <f> 'Jobs-Ops'!A73</f>
        <v/>
      </c>
      <c r="B73" s="290">
        <f>'Jobs-Ops'!B73</f>
        <v/>
      </c>
      <c r="C73" s="290">
        <f>'Jobs-Ops'!C73</f>
        <v/>
      </c>
      <c r="D73" s="179" t="n"/>
      <c r="E73" s="181">
        <f>'Jobs-Ops'!I73</f>
        <v/>
      </c>
      <c r="F73" s="205">
        <f>'Jobs-Ops'!U73</f>
        <v/>
      </c>
      <c r="G73" s="181">
        <f>'Jobs-GAAP'!J73</f>
        <v/>
      </c>
      <c r="H73" s="205">
        <f>'Jobs-GAAP'!V73</f>
        <v/>
      </c>
      <c r="I73" s="181">
        <f>E73-G73</f>
        <v/>
      </c>
      <c r="J73" s="9">
        <f>'Jobs-Ops'!P73</f>
        <v/>
      </c>
      <c r="K73" s="9">
        <f>'Jobs-GAAP'!Q73</f>
        <v/>
      </c>
      <c r="L73" s="9">
        <f>J73-K73</f>
        <v/>
      </c>
      <c r="M73" s="186" t="n"/>
      <c r="N73" s="9">
        <f>'Jobs-Ops'!Y73</f>
        <v/>
      </c>
      <c r="O73" s="9">
        <f>'Jobs-GAAP'!Y73</f>
        <v/>
      </c>
      <c r="P73" s="9">
        <f>N73-O73</f>
        <v/>
      </c>
      <c r="Q73" s="186" t="n"/>
      <c r="R73" s="11">
        <f>'Jobs-Ops'!AL73</f>
        <v/>
      </c>
      <c r="S73" s="11">
        <f>'Jobs-GAAP'!AH73</f>
        <v/>
      </c>
      <c r="T73" s="11">
        <f>IFERROR(R73-S73,0)</f>
        <v/>
      </c>
      <c r="U73" s="8">
        <f>'Jobs-Ops'!AM73</f>
        <v/>
      </c>
      <c r="V73" s="8">
        <f>'Jobs-GAAP'!AI73</f>
        <v/>
      </c>
      <c r="W73" s="8">
        <f>IFERROR(U73-V73,0)</f>
        <v/>
      </c>
      <c r="X73" s="9">
        <f>'Jobs-Ops'!AN73</f>
        <v/>
      </c>
      <c r="Y73" s="9">
        <f>'Jobs-GAAP'!AJ73</f>
        <v/>
      </c>
      <c r="Z73" s="9">
        <f>IFERROR(X73-Y73,0)</f>
        <v/>
      </c>
      <c r="AA73" s="153">
        <f>'Jobs-Ops'!AO73</f>
        <v/>
      </c>
      <c r="AB73" s="187" t="n"/>
      <c r="AC73" s="186" t="n"/>
      <c r="AD73" s="186" t="n"/>
      <c r="AE73" s="188" t="n"/>
      <c r="AF73" s="187" t="n"/>
      <c r="AG73" s="187" t="n"/>
      <c r="AH73" s="186" t="n"/>
      <c r="AI73" s="186" t="n"/>
      <c r="AJ73" s="186" t="n"/>
      <c r="AK73" s="186" t="n"/>
      <c r="AL73" s="186" t="n"/>
      <c r="AM73" s="186" t="n"/>
      <c r="AN73" s="186" t="n"/>
      <c r="AO73" s="186" t="n"/>
      <c r="AP73" s="186" t="n"/>
      <c r="AQ73" s="186" t="n"/>
      <c r="AR73" s="186" t="n"/>
      <c r="AS73" s="186" t="n"/>
      <c r="AT73" s="186" t="n"/>
      <c r="AU73" s="186" t="n"/>
      <c r="AV73" s="186" t="n"/>
      <c r="AW73" s="186" t="n"/>
      <c r="AX73" s="186" t="n"/>
      <c r="AY73" s="186" t="n"/>
      <c r="AZ73" s="186" t="n"/>
      <c r="BA73" s="186" t="n"/>
      <c r="BB73" s="186" t="n"/>
      <c r="BC73" s="186" t="n"/>
      <c r="BD73" s="190" t="n"/>
      <c r="BE73" s="186" t="n"/>
      <c r="BF73" s="186" t="n"/>
      <c r="BG73" s="186" t="n"/>
      <c r="BH73" s="186" t="n"/>
      <c r="BI73" s="186" t="n"/>
      <c r="BJ73" s="187" t="n"/>
      <c r="BK73" s="192" t="n"/>
      <c r="BL73" s="192" t="n"/>
      <c r="BM73" s="192" t="n"/>
      <c r="BN73" s="192" t="n"/>
    </row>
    <row r="74">
      <c r="A74" s="289">
        <f> 'Jobs-Ops'!A74</f>
        <v/>
      </c>
      <c r="B74" s="290">
        <f>'Jobs-Ops'!B74</f>
        <v/>
      </c>
      <c r="C74" s="290">
        <f>'Jobs-Ops'!C74</f>
        <v/>
      </c>
      <c r="D74" s="179" t="n"/>
      <c r="E74" s="181">
        <f>'Jobs-Ops'!I74</f>
        <v/>
      </c>
      <c r="F74" s="205">
        <f>'Jobs-Ops'!U74</f>
        <v/>
      </c>
      <c r="G74" s="181">
        <f>'Jobs-GAAP'!J74</f>
        <v/>
      </c>
      <c r="H74" s="205">
        <f>'Jobs-GAAP'!V74</f>
        <v/>
      </c>
      <c r="I74" s="181">
        <f>E74-G74</f>
        <v/>
      </c>
      <c r="J74" s="9">
        <f>'Jobs-Ops'!P74</f>
        <v/>
      </c>
      <c r="K74" s="9">
        <f>'Jobs-GAAP'!Q74</f>
        <v/>
      </c>
      <c r="L74" s="9">
        <f>J74-K74</f>
        <v/>
      </c>
      <c r="M74" s="186" t="n"/>
      <c r="N74" s="9">
        <f>'Jobs-Ops'!Y74</f>
        <v/>
      </c>
      <c r="O74" s="9">
        <f>'Jobs-GAAP'!Y74</f>
        <v/>
      </c>
      <c r="P74" s="9">
        <f>N74-O74</f>
        <v/>
      </c>
      <c r="Q74" s="186" t="n"/>
      <c r="R74" s="11">
        <f>'Jobs-Ops'!AL74</f>
        <v/>
      </c>
      <c r="S74" s="11">
        <f>'Jobs-GAAP'!AH74</f>
        <v/>
      </c>
      <c r="T74" s="11">
        <f>IFERROR(R74-S74,0)</f>
        <v/>
      </c>
      <c r="U74" s="8">
        <f>'Jobs-Ops'!AM74</f>
        <v/>
      </c>
      <c r="V74" s="8">
        <f>'Jobs-GAAP'!AI74</f>
        <v/>
      </c>
      <c r="W74" s="8">
        <f>IFERROR(U74-V74,0)</f>
        <v/>
      </c>
      <c r="X74" s="9">
        <f>'Jobs-Ops'!AN74</f>
        <v/>
      </c>
      <c r="Y74" s="9">
        <f>'Jobs-GAAP'!AJ74</f>
        <v/>
      </c>
      <c r="Z74" s="9">
        <f>IFERROR(X74-Y74,0)</f>
        <v/>
      </c>
      <c r="AA74" s="153">
        <f>'Jobs-Ops'!AO74</f>
        <v/>
      </c>
      <c r="AB74" s="187" t="n"/>
      <c r="AC74" s="186" t="n"/>
      <c r="AD74" s="186" t="n"/>
      <c r="AE74" s="188" t="n"/>
      <c r="AF74" s="187" t="n"/>
      <c r="AG74" s="187" t="n"/>
      <c r="AH74" s="186" t="n"/>
      <c r="AI74" s="186" t="n"/>
      <c r="AJ74" s="186" t="n"/>
      <c r="AK74" s="186" t="n"/>
      <c r="AL74" s="186" t="n"/>
      <c r="AM74" s="186" t="n"/>
      <c r="AN74" s="186" t="n"/>
      <c r="AO74" s="186" t="n"/>
      <c r="AP74" s="186" t="n"/>
      <c r="AQ74" s="186" t="n"/>
      <c r="AR74" s="186" t="n"/>
      <c r="AS74" s="186" t="n"/>
      <c r="AT74" s="186" t="n"/>
      <c r="AU74" s="186" t="n"/>
      <c r="AV74" s="186" t="n"/>
      <c r="AW74" s="186" t="n"/>
      <c r="AX74" s="186" t="n"/>
      <c r="AY74" s="186" t="n"/>
      <c r="AZ74" s="186" t="n"/>
      <c r="BA74" s="186" t="n"/>
      <c r="BB74" s="186" t="n"/>
      <c r="BC74" s="186" t="n"/>
      <c r="BD74" s="190" t="n"/>
      <c r="BE74" s="186" t="n"/>
      <c r="BF74" s="186" t="n"/>
      <c r="BG74" s="186" t="n"/>
      <c r="BH74" s="186" t="n"/>
      <c r="BI74" s="186" t="n"/>
      <c r="BJ74" s="187" t="n"/>
      <c r="BK74" s="192" t="n"/>
      <c r="BL74" s="192" t="n"/>
      <c r="BM74" s="192" t="n"/>
      <c r="BN74" s="192" t="n"/>
    </row>
    <row r="75">
      <c r="A75" s="289">
        <f> 'Jobs-Ops'!A75</f>
        <v/>
      </c>
      <c r="B75" s="290">
        <f>'Jobs-Ops'!B75</f>
        <v/>
      </c>
      <c r="C75" s="290">
        <f>'Jobs-Ops'!C75</f>
        <v/>
      </c>
      <c r="D75" s="179" t="n"/>
      <c r="E75" s="181">
        <f>'Jobs-Ops'!I75</f>
        <v/>
      </c>
      <c r="F75" s="205">
        <f>'Jobs-Ops'!U75</f>
        <v/>
      </c>
      <c r="G75" s="181">
        <f>'Jobs-GAAP'!J75</f>
        <v/>
      </c>
      <c r="H75" s="205">
        <f>'Jobs-GAAP'!V75</f>
        <v/>
      </c>
      <c r="I75" s="181">
        <f>E75-G75</f>
        <v/>
      </c>
      <c r="J75" s="9">
        <f>'Jobs-Ops'!P75</f>
        <v/>
      </c>
      <c r="K75" s="9">
        <f>'Jobs-GAAP'!Q75</f>
        <v/>
      </c>
      <c r="L75" s="9">
        <f>J75-K75</f>
        <v/>
      </c>
      <c r="M75" s="186" t="n"/>
      <c r="N75" s="9">
        <f>'Jobs-Ops'!Y75</f>
        <v/>
      </c>
      <c r="O75" s="9">
        <f>'Jobs-GAAP'!Y75</f>
        <v/>
      </c>
      <c r="P75" s="9">
        <f>N75-O75</f>
        <v/>
      </c>
      <c r="Q75" s="186" t="n"/>
      <c r="R75" s="11">
        <f>'Jobs-Ops'!AL75</f>
        <v/>
      </c>
      <c r="S75" s="11">
        <f>'Jobs-GAAP'!AH75</f>
        <v/>
      </c>
      <c r="T75" s="11">
        <f>IFERROR(R75-S75,0)</f>
        <v/>
      </c>
      <c r="U75" s="8">
        <f>'Jobs-Ops'!AM75</f>
        <v/>
      </c>
      <c r="V75" s="8">
        <f>'Jobs-GAAP'!AI75</f>
        <v/>
      </c>
      <c r="W75" s="8">
        <f>IFERROR(U75-V75,0)</f>
        <v/>
      </c>
      <c r="X75" s="9">
        <f>'Jobs-Ops'!AN75</f>
        <v/>
      </c>
      <c r="Y75" s="9">
        <f>'Jobs-GAAP'!AJ75</f>
        <v/>
      </c>
      <c r="Z75" s="9">
        <f>IFERROR(X75-Y75,0)</f>
        <v/>
      </c>
      <c r="AA75" s="153">
        <f>'Jobs-Ops'!AO75</f>
        <v/>
      </c>
      <c r="AB75" s="187" t="n"/>
      <c r="AC75" s="186" t="n"/>
      <c r="AD75" s="186" t="n"/>
      <c r="AE75" s="188" t="n"/>
      <c r="AF75" s="187" t="n"/>
      <c r="AG75" s="187" t="n"/>
      <c r="AH75" s="186" t="n"/>
      <c r="AI75" s="186" t="n"/>
      <c r="AJ75" s="186" t="n"/>
      <c r="AK75" s="186" t="n"/>
      <c r="AL75" s="186" t="n"/>
      <c r="AM75" s="186" t="n"/>
      <c r="AN75" s="186" t="n"/>
      <c r="AO75" s="186" t="n"/>
      <c r="AP75" s="186" t="n"/>
      <c r="AQ75" s="186" t="n"/>
      <c r="AR75" s="186" t="n"/>
      <c r="AS75" s="186" t="n"/>
      <c r="AT75" s="186" t="n"/>
      <c r="AU75" s="186" t="n"/>
      <c r="AV75" s="186" t="n"/>
      <c r="AW75" s="186" t="n"/>
      <c r="AX75" s="186" t="n"/>
      <c r="AY75" s="186" t="n"/>
      <c r="AZ75" s="186" t="n"/>
      <c r="BA75" s="186" t="n"/>
      <c r="BB75" s="186" t="n"/>
      <c r="BC75" s="186" t="n"/>
      <c r="BD75" s="190" t="n"/>
      <c r="BE75" s="186" t="n"/>
      <c r="BF75" s="186" t="n"/>
      <c r="BG75" s="186" t="n"/>
      <c r="BH75" s="186" t="n"/>
      <c r="BI75" s="186" t="n"/>
      <c r="BJ75" s="187" t="n"/>
      <c r="BK75" s="192" t="n"/>
      <c r="BL75" s="192" t="n"/>
      <c r="BM75" s="192" t="n"/>
      <c r="BN75" s="192" t="n"/>
    </row>
    <row r="76">
      <c r="A76" s="289">
        <f> 'Jobs-Ops'!A76</f>
        <v/>
      </c>
      <c r="B76" s="290">
        <f>'Jobs-Ops'!B76</f>
        <v/>
      </c>
      <c r="C76" s="290">
        <f>'Jobs-Ops'!C76</f>
        <v/>
      </c>
      <c r="D76" s="179" t="n"/>
      <c r="E76" s="181">
        <f>'Jobs-Ops'!I76</f>
        <v/>
      </c>
      <c r="F76" s="205">
        <f>'Jobs-Ops'!U76</f>
        <v/>
      </c>
      <c r="G76" s="181">
        <f>'Jobs-GAAP'!J76</f>
        <v/>
      </c>
      <c r="H76" s="205">
        <f>'Jobs-GAAP'!V76</f>
        <v/>
      </c>
      <c r="I76" s="181">
        <f>E76-G76</f>
        <v/>
      </c>
      <c r="J76" s="9">
        <f>'Jobs-Ops'!P76</f>
        <v/>
      </c>
      <c r="K76" s="9">
        <f>'Jobs-GAAP'!Q76</f>
        <v/>
      </c>
      <c r="L76" s="9">
        <f>J76-K76</f>
        <v/>
      </c>
      <c r="M76" s="186" t="n"/>
      <c r="N76" s="9">
        <f>'Jobs-Ops'!Y76</f>
        <v/>
      </c>
      <c r="O76" s="9">
        <f>'Jobs-GAAP'!Y76</f>
        <v/>
      </c>
      <c r="P76" s="9">
        <f>N76-O76</f>
        <v/>
      </c>
      <c r="Q76" s="186" t="n"/>
      <c r="R76" s="11">
        <f>'Jobs-Ops'!AL76</f>
        <v/>
      </c>
      <c r="S76" s="11">
        <f>'Jobs-GAAP'!AH76</f>
        <v/>
      </c>
      <c r="T76" s="11">
        <f>IFERROR(R76-S76,0)</f>
        <v/>
      </c>
      <c r="U76" s="8">
        <f>'Jobs-Ops'!AM76</f>
        <v/>
      </c>
      <c r="V76" s="8">
        <f>'Jobs-GAAP'!AI76</f>
        <v/>
      </c>
      <c r="W76" s="8">
        <f>IFERROR(U76-V76,0)</f>
        <v/>
      </c>
      <c r="X76" s="9">
        <f>'Jobs-Ops'!AN76</f>
        <v/>
      </c>
      <c r="Y76" s="9">
        <f>'Jobs-GAAP'!AJ76</f>
        <v/>
      </c>
      <c r="Z76" s="9">
        <f>IFERROR(X76-Y76,0)</f>
        <v/>
      </c>
      <c r="AA76" s="153">
        <f>'Jobs-Ops'!AO76</f>
        <v/>
      </c>
      <c r="AB76" s="187" t="n"/>
      <c r="AC76" s="186" t="n"/>
      <c r="AD76" s="186" t="n"/>
      <c r="AE76" s="188" t="n"/>
      <c r="AF76" s="187" t="n"/>
      <c r="AG76" s="187" t="n"/>
      <c r="AH76" s="186" t="n"/>
      <c r="AI76" s="186" t="n"/>
      <c r="AJ76" s="186" t="n"/>
      <c r="AK76" s="186" t="n"/>
      <c r="AL76" s="186" t="n"/>
      <c r="AM76" s="186" t="n"/>
      <c r="AN76" s="186" t="n"/>
      <c r="AO76" s="186" t="n"/>
      <c r="AP76" s="186" t="n"/>
      <c r="AQ76" s="186" t="n"/>
      <c r="AR76" s="186" t="n"/>
      <c r="AS76" s="186" t="n"/>
      <c r="AT76" s="186" t="n"/>
      <c r="AU76" s="186" t="n"/>
      <c r="AV76" s="186" t="n"/>
      <c r="AW76" s="186" t="n"/>
      <c r="AX76" s="186" t="n"/>
      <c r="AY76" s="186" t="n"/>
      <c r="AZ76" s="186" t="n"/>
      <c r="BA76" s="186" t="n"/>
      <c r="BB76" s="186" t="n"/>
      <c r="BC76" s="186" t="n"/>
      <c r="BD76" s="190" t="n"/>
      <c r="BE76" s="186" t="n"/>
      <c r="BF76" s="186" t="n"/>
      <c r="BG76" s="186" t="n"/>
      <c r="BH76" s="186" t="n"/>
      <c r="BI76" s="186" t="n"/>
      <c r="BJ76" s="187" t="n"/>
      <c r="BK76" s="192" t="n"/>
      <c r="BL76" s="192" t="n"/>
      <c r="BM76" s="192" t="n"/>
      <c r="BN76" s="192" t="n"/>
    </row>
    <row r="77">
      <c r="A77" s="289">
        <f> 'Jobs-Ops'!A77</f>
        <v/>
      </c>
      <c r="B77" s="290">
        <f>'Jobs-Ops'!B77</f>
        <v/>
      </c>
      <c r="C77" s="290">
        <f>'Jobs-Ops'!C77</f>
        <v/>
      </c>
      <c r="D77" s="179" t="n"/>
      <c r="E77" s="181">
        <f>'Jobs-Ops'!I77</f>
        <v/>
      </c>
      <c r="F77" s="205">
        <f>'Jobs-Ops'!U77</f>
        <v/>
      </c>
      <c r="G77" s="181">
        <f>'Jobs-GAAP'!J77</f>
        <v/>
      </c>
      <c r="H77" s="205">
        <f>'Jobs-GAAP'!V77</f>
        <v/>
      </c>
      <c r="I77" s="181">
        <f>E77-G77</f>
        <v/>
      </c>
      <c r="J77" s="9">
        <f>'Jobs-Ops'!P77</f>
        <v/>
      </c>
      <c r="K77" s="9">
        <f>'Jobs-GAAP'!Q77</f>
        <v/>
      </c>
      <c r="L77" s="9">
        <f>J77-K77</f>
        <v/>
      </c>
      <c r="M77" s="186" t="n"/>
      <c r="N77" s="9">
        <f>'Jobs-Ops'!Y77</f>
        <v/>
      </c>
      <c r="O77" s="9">
        <f>'Jobs-GAAP'!Y77</f>
        <v/>
      </c>
      <c r="P77" s="9">
        <f>N77-O77</f>
        <v/>
      </c>
      <c r="Q77" s="186" t="n"/>
      <c r="R77" s="11">
        <f>'Jobs-Ops'!AL77</f>
        <v/>
      </c>
      <c r="S77" s="11">
        <f>'Jobs-GAAP'!AH77</f>
        <v/>
      </c>
      <c r="T77" s="11">
        <f>IFERROR(R77-S77,0)</f>
        <v/>
      </c>
      <c r="U77" s="8">
        <f>'Jobs-Ops'!AM77</f>
        <v/>
      </c>
      <c r="V77" s="8">
        <f>'Jobs-GAAP'!AI77</f>
        <v/>
      </c>
      <c r="W77" s="8">
        <f>IFERROR(U77-V77,0)</f>
        <v/>
      </c>
      <c r="X77" s="9">
        <f>'Jobs-Ops'!AN77</f>
        <v/>
      </c>
      <c r="Y77" s="9">
        <f>'Jobs-GAAP'!AJ77</f>
        <v/>
      </c>
      <c r="Z77" s="9">
        <f>IFERROR(X77-Y77,0)</f>
        <v/>
      </c>
      <c r="AA77" s="153">
        <f>'Jobs-Ops'!AO77</f>
        <v/>
      </c>
      <c r="AB77" s="187" t="n"/>
      <c r="AC77" s="186" t="n"/>
      <c r="AD77" s="186" t="n"/>
      <c r="AE77" s="188" t="n"/>
      <c r="AF77" s="187" t="n"/>
      <c r="AG77" s="187" t="n"/>
      <c r="AH77" s="186" t="n"/>
      <c r="AI77" s="186" t="n"/>
      <c r="AJ77" s="186" t="n"/>
      <c r="AK77" s="186" t="n"/>
      <c r="AL77" s="186" t="n"/>
      <c r="AM77" s="186" t="n"/>
      <c r="AN77" s="186" t="n"/>
      <c r="AO77" s="186" t="n"/>
      <c r="AP77" s="186" t="n"/>
      <c r="AQ77" s="186" t="n"/>
      <c r="AR77" s="186" t="n"/>
      <c r="AS77" s="186" t="n"/>
      <c r="AT77" s="186" t="n"/>
      <c r="AU77" s="186" t="n"/>
      <c r="AV77" s="186" t="n"/>
      <c r="AW77" s="186" t="n"/>
      <c r="AX77" s="186" t="n"/>
      <c r="AY77" s="186" t="n"/>
      <c r="AZ77" s="186" t="n"/>
      <c r="BA77" s="186" t="n"/>
      <c r="BB77" s="186" t="n"/>
      <c r="BC77" s="186" t="n"/>
      <c r="BD77" s="190" t="n"/>
      <c r="BE77" s="186" t="n"/>
      <c r="BF77" s="186" t="n"/>
      <c r="BG77" s="186" t="n"/>
      <c r="BH77" s="186" t="n"/>
      <c r="BI77" s="186" t="n"/>
      <c r="BJ77" s="187" t="n"/>
      <c r="BK77" s="192" t="n"/>
      <c r="BL77" s="192" t="n"/>
      <c r="BM77" s="192" t="n"/>
      <c r="BN77" s="192" t="n"/>
    </row>
    <row r="78">
      <c r="A78" s="289">
        <f> 'Jobs-Ops'!A78</f>
        <v/>
      </c>
      <c r="B78" s="290">
        <f>'Jobs-Ops'!B78</f>
        <v/>
      </c>
      <c r="C78" s="290">
        <f>'Jobs-Ops'!C78</f>
        <v/>
      </c>
      <c r="D78" s="179" t="n"/>
      <c r="E78" s="181">
        <f>'Jobs-Ops'!I78</f>
        <v/>
      </c>
      <c r="F78" s="205">
        <f>'Jobs-Ops'!U78</f>
        <v/>
      </c>
      <c r="G78" s="181">
        <f>'Jobs-GAAP'!J78</f>
        <v/>
      </c>
      <c r="H78" s="205">
        <f>'Jobs-GAAP'!V78</f>
        <v/>
      </c>
      <c r="I78" s="181">
        <f>E78-G78</f>
        <v/>
      </c>
      <c r="J78" s="9">
        <f>'Jobs-Ops'!P78</f>
        <v/>
      </c>
      <c r="K78" s="9">
        <f>'Jobs-GAAP'!Q78</f>
        <v/>
      </c>
      <c r="L78" s="9">
        <f>J78-K78</f>
        <v/>
      </c>
      <c r="M78" s="186" t="n"/>
      <c r="N78" s="9">
        <f>'Jobs-Ops'!Y78</f>
        <v/>
      </c>
      <c r="O78" s="9">
        <f>'Jobs-GAAP'!Y78</f>
        <v/>
      </c>
      <c r="P78" s="9">
        <f>N78-O78</f>
        <v/>
      </c>
      <c r="Q78" s="186" t="n"/>
      <c r="R78" s="11">
        <f>'Jobs-Ops'!AL78</f>
        <v/>
      </c>
      <c r="S78" s="11">
        <f>'Jobs-GAAP'!AH78</f>
        <v/>
      </c>
      <c r="T78" s="11">
        <f>IFERROR(R78-S78,0)</f>
        <v/>
      </c>
      <c r="U78" s="8">
        <f>'Jobs-Ops'!AM78</f>
        <v/>
      </c>
      <c r="V78" s="8">
        <f>'Jobs-GAAP'!AI78</f>
        <v/>
      </c>
      <c r="W78" s="8">
        <f>IFERROR(U78-V78,0)</f>
        <v/>
      </c>
      <c r="X78" s="9">
        <f>'Jobs-Ops'!AN78</f>
        <v/>
      </c>
      <c r="Y78" s="9">
        <f>'Jobs-GAAP'!AJ78</f>
        <v/>
      </c>
      <c r="Z78" s="9">
        <f>IFERROR(X78-Y78,0)</f>
        <v/>
      </c>
      <c r="AA78" s="153">
        <f>'Jobs-Ops'!AO78</f>
        <v/>
      </c>
      <c r="AB78" s="187" t="n"/>
      <c r="AC78" s="186" t="n"/>
      <c r="AD78" s="186" t="n"/>
      <c r="AE78" s="188" t="n"/>
      <c r="AF78" s="187" t="n"/>
      <c r="AG78" s="187" t="n"/>
      <c r="AH78" s="186" t="n"/>
      <c r="AI78" s="186" t="n"/>
      <c r="AJ78" s="186" t="n"/>
      <c r="AK78" s="186" t="n"/>
      <c r="AL78" s="186" t="n"/>
      <c r="AM78" s="186" t="n"/>
      <c r="AN78" s="186" t="n"/>
      <c r="AO78" s="186" t="n"/>
      <c r="AP78" s="186" t="n"/>
      <c r="AQ78" s="186" t="n"/>
      <c r="AR78" s="186" t="n"/>
      <c r="AS78" s="186" t="n"/>
      <c r="AT78" s="186" t="n"/>
      <c r="AU78" s="186" t="n"/>
      <c r="AV78" s="186" t="n"/>
      <c r="AW78" s="186" t="n"/>
      <c r="AX78" s="186" t="n"/>
      <c r="AY78" s="186" t="n"/>
      <c r="AZ78" s="186" t="n"/>
      <c r="BA78" s="186" t="n"/>
      <c r="BB78" s="186" t="n"/>
      <c r="BC78" s="186" t="n"/>
      <c r="BD78" s="190" t="n"/>
      <c r="BE78" s="186" t="n"/>
      <c r="BF78" s="186" t="n"/>
      <c r="BG78" s="186" t="n"/>
      <c r="BH78" s="186" t="n"/>
      <c r="BI78" s="186" t="n"/>
      <c r="BJ78" s="187" t="n"/>
      <c r="BK78" s="192" t="n"/>
      <c r="BL78" s="192" t="n"/>
      <c r="BM78" s="192" t="n"/>
      <c r="BN78" s="192" t="n"/>
    </row>
    <row r="79">
      <c r="A79" s="289">
        <f> 'Jobs-Ops'!A79</f>
        <v/>
      </c>
      <c r="B79" s="290">
        <f>'Jobs-Ops'!B79</f>
        <v/>
      </c>
      <c r="C79" s="290">
        <f>'Jobs-Ops'!C79</f>
        <v/>
      </c>
      <c r="D79" s="179" t="n"/>
      <c r="E79" s="181">
        <f>'Jobs-Ops'!I79</f>
        <v/>
      </c>
      <c r="F79" s="205">
        <f>'Jobs-Ops'!U79</f>
        <v/>
      </c>
      <c r="G79" s="181">
        <f>'Jobs-GAAP'!J79</f>
        <v/>
      </c>
      <c r="H79" s="205">
        <f>'Jobs-GAAP'!V79</f>
        <v/>
      </c>
      <c r="I79" s="181">
        <f>E79-G79</f>
        <v/>
      </c>
      <c r="J79" s="9">
        <f>'Jobs-Ops'!P79</f>
        <v/>
      </c>
      <c r="K79" s="9">
        <f>'Jobs-GAAP'!Q79</f>
        <v/>
      </c>
      <c r="L79" s="9">
        <f>J79-K79</f>
        <v/>
      </c>
      <c r="M79" s="186" t="n"/>
      <c r="N79" s="9">
        <f>'Jobs-Ops'!Y79</f>
        <v/>
      </c>
      <c r="O79" s="9">
        <f>'Jobs-GAAP'!Y79</f>
        <v/>
      </c>
      <c r="P79" s="9">
        <f>N79-O79</f>
        <v/>
      </c>
      <c r="Q79" s="186" t="n"/>
      <c r="R79" s="11">
        <f>'Jobs-Ops'!AL79</f>
        <v/>
      </c>
      <c r="S79" s="11">
        <f>'Jobs-GAAP'!AH79</f>
        <v/>
      </c>
      <c r="T79" s="11">
        <f>IFERROR(R79-S79,0)</f>
        <v/>
      </c>
      <c r="U79" s="8">
        <f>'Jobs-Ops'!AM79</f>
        <v/>
      </c>
      <c r="V79" s="8">
        <f>'Jobs-GAAP'!AI79</f>
        <v/>
      </c>
      <c r="W79" s="8">
        <f>IFERROR(U79-V79,0)</f>
        <v/>
      </c>
      <c r="X79" s="9">
        <f>'Jobs-Ops'!AN79</f>
        <v/>
      </c>
      <c r="Y79" s="9">
        <f>'Jobs-GAAP'!AJ79</f>
        <v/>
      </c>
      <c r="Z79" s="9">
        <f>IFERROR(X79-Y79,0)</f>
        <v/>
      </c>
      <c r="AA79" s="153">
        <f>'Jobs-Ops'!AO79</f>
        <v/>
      </c>
      <c r="AB79" s="187" t="n"/>
      <c r="AC79" s="186" t="n"/>
      <c r="AD79" s="186" t="n"/>
      <c r="AE79" s="188" t="n"/>
      <c r="AF79" s="187" t="n"/>
      <c r="AG79" s="187" t="n"/>
      <c r="AH79" s="186" t="n"/>
      <c r="AI79" s="186" t="n"/>
      <c r="AJ79" s="186" t="n"/>
      <c r="AK79" s="186" t="n"/>
      <c r="AL79" s="186" t="n"/>
      <c r="AM79" s="186" t="n"/>
      <c r="AN79" s="186" t="n"/>
      <c r="AO79" s="186" t="n"/>
      <c r="AP79" s="186" t="n"/>
      <c r="AQ79" s="186" t="n"/>
      <c r="AR79" s="186" t="n"/>
      <c r="AS79" s="186" t="n"/>
      <c r="AT79" s="186" t="n"/>
      <c r="AU79" s="186" t="n"/>
      <c r="AV79" s="186" t="n"/>
      <c r="AW79" s="186" t="n"/>
      <c r="AX79" s="186" t="n"/>
      <c r="AY79" s="186" t="n"/>
      <c r="AZ79" s="186" t="n"/>
      <c r="BA79" s="186" t="n"/>
      <c r="BB79" s="186" t="n"/>
      <c r="BC79" s="186" t="n"/>
      <c r="BD79" s="190" t="n"/>
      <c r="BE79" s="186" t="n"/>
      <c r="BF79" s="186" t="n"/>
      <c r="BG79" s="186" t="n"/>
      <c r="BH79" s="186" t="n"/>
      <c r="BI79" s="186" t="n"/>
      <c r="BJ79" s="187" t="n"/>
      <c r="BK79" s="192" t="n"/>
      <c r="BL79" s="192" t="n"/>
      <c r="BM79" s="192" t="n"/>
      <c r="BN79" s="192" t="n"/>
    </row>
    <row r="80">
      <c r="A80" s="289">
        <f> 'Jobs-Ops'!A80</f>
        <v/>
      </c>
      <c r="B80" s="290">
        <f>'Jobs-Ops'!B80</f>
        <v/>
      </c>
      <c r="C80" s="290">
        <f>'Jobs-Ops'!C80</f>
        <v/>
      </c>
      <c r="D80" s="179" t="n"/>
      <c r="E80" s="181">
        <f>'Jobs-Ops'!I80</f>
        <v/>
      </c>
      <c r="F80" s="205">
        <f>'Jobs-Ops'!U80</f>
        <v/>
      </c>
      <c r="G80" s="181">
        <f>'Jobs-GAAP'!J80</f>
        <v/>
      </c>
      <c r="H80" s="205">
        <f>'Jobs-GAAP'!V80</f>
        <v/>
      </c>
      <c r="I80" s="181">
        <f>E80-G80</f>
        <v/>
      </c>
      <c r="J80" s="9">
        <f>'Jobs-Ops'!P80</f>
        <v/>
      </c>
      <c r="K80" s="9">
        <f>'Jobs-GAAP'!Q80</f>
        <v/>
      </c>
      <c r="L80" s="9">
        <f>J80-K80</f>
        <v/>
      </c>
      <c r="M80" s="186" t="n"/>
      <c r="N80" s="9">
        <f>'Jobs-Ops'!Y80</f>
        <v/>
      </c>
      <c r="O80" s="9">
        <f>'Jobs-GAAP'!Y80</f>
        <v/>
      </c>
      <c r="P80" s="9">
        <f>N80-O80</f>
        <v/>
      </c>
      <c r="Q80" s="186" t="n"/>
      <c r="R80" s="11">
        <f>'Jobs-Ops'!AL80</f>
        <v/>
      </c>
      <c r="S80" s="11">
        <f>'Jobs-GAAP'!AH80</f>
        <v/>
      </c>
      <c r="T80" s="11">
        <f>IFERROR(R80-S80,0)</f>
        <v/>
      </c>
      <c r="U80" s="8">
        <f>'Jobs-Ops'!AM80</f>
        <v/>
      </c>
      <c r="V80" s="8">
        <f>'Jobs-GAAP'!AI80</f>
        <v/>
      </c>
      <c r="W80" s="8">
        <f>IFERROR(U80-V80,0)</f>
        <v/>
      </c>
      <c r="X80" s="9">
        <f>'Jobs-Ops'!AN80</f>
        <v/>
      </c>
      <c r="Y80" s="9">
        <f>'Jobs-GAAP'!AJ80</f>
        <v/>
      </c>
      <c r="Z80" s="9">
        <f>IFERROR(X80-Y80,0)</f>
        <v/>
      </c>
      <c r="AA80" s="153">
        <f>'Jobs-Ops'!AO80</f>
        <v/>
      </c>
      <c r="AB80" s="187" t="n"/>
      <c r="AC80" s="186" t="n"/>
      <c r="AD80" s="186" t="n"/>
      <c r="AE80" s="188" t="n"/>
      <c r="AF80" s="187" t="n"/>
      <c r="AG80" s="187" t="n"/>
      <c r="AH80" s="186" t="n"/>
      <c r="AI80" s="186" t="n"/>
      <c r="AJ80" s="186" t="n"/>
      <c r="AK80" s="186" t="n"/>
      <c r="AL80" s="186" t="n"/>
      <c r="AM80" s="186" t="n"/>
      <c r="AN80" s="186" t="n"/>
      <c r="AO80" s="186" t="n"/>
      <c r="AP80" s="186" t="n"/>
      <c r="AQ80" s="186" t="n"/>
      <c r="AR80" s="186" t="n"/>
      <c r="AS80" s="186" t="n"/>
      <c r="AT80" s="186" t="n"/>
      <c r="AU80" s="186" t="n"/>
      <c r="AV80" s="186" t="n"/>
      <c r="AW80" s="186" t="n"/>
      <c r="AX80" s="186" t="n"/>
      <c r="AY80" s="186" t="n"/>
      <c r="AZ80" s="186" t="n"/>
      <c r="BA80" s="186" t="n"/>
      <c r="BB80" s="186" t="n"/>
      <c r="BC80" s="186" t="n"/>
      <c r="BD80" s="190" t="n"/>
      <c r="BE80" s="186" t="n"/>
      <c r="BF80" s="186" t="n"/>
      <c r="BG80" s="186" t="n"/>
      <c r="BH80" s="186" t="n"/>
      <c r="BI80" s="186" t="n"/>
      <c r="BJ80" s="187" t="n"/>
      <c r="BK80" s="192" t="n"/>
      <c r="BL80" s="192" t="n"/>
      <c r="BM80" s="192" t="n"/>
      <c r="BN80" s="192" t="n"/>
    </row>
    <row r="81">
      <c r="A81" s="289">
        <f> 'Jobs-Ops'!A81</f>
        <v/>
      </c>
      <c r="B81" s="290">
        <f>'Jobs-Ops'!B81</f>
        <v/>
      </c>
      <c r="C81" s="290">
        <f>'Jobs-Ops'!C81</f>
        <v/>
      </c>
      <c r="D81" s="179" t="n"/>
      <c r="E81" s="181">
        <f>'Jobs-Ops'!I81</f>
        <v/>
      </c>
      <c r="F81" s="205">
        <f>'Jobs-Ops'!U81</f>
        <v/>
      </c>
      <c r="G81" s="181">
        <f>'Jobs-GAAP'!J81</f>
        <v/>
      </c>
      <c r="H81" s="205">
        <f>'Jobs-GAAP'!V81</f>
        <v/>
      </c>
      <c r="I81" s="181">
        <f>E81-G81</f>
        <v/>
      </c>
      <c r="J81" s="9">
        <f>'Jobs-Ops'!P81</f>
        <v/>
      </c>
      <c r="K81" s="9">
        <f>'Jobs-GAAP'!Q81</f>
        <v/>
      </c>
      <c r="L81" s="9">
        <f>J81-K81</f>
        <v/>
      </c>
      <c r="M81" s="186" t="n"/>
      <c r="N81" s="9">
        <f>'Jobs-Ops'!Y81</f>
        <v/>
      </c>
      <c r="O81" s="9">
        <f>'Jobs-GAAP'!Y81</f>
        <v/>
      </c>
      <c r="P81" s="9">
        <f>N81-O81</f>
        <v/>
      </c>
      <c r="Q81" s="186" t="n"/>
      <c r="R81" s="11">
        <f>'Jobs-Ops'!AL81</f>
        <v/>
      </c>
      <c r="S81" s="11">
        <f>'Jobs-GAAP'!AH81</f>
        <v/>
      </c>
      <c r="T81" s="11">
        <f>IFERROR(R81-S81,0)</f>
        <v/>
      </c>
      <c r="U81" s="8">
        <f>'Jobs-Ops'!AM81</f>
        <v/>
      </c>
      <c r="V81" s="8">
        <f>'Jobs-GAAP'!AI81</f>
        <v/>
      </c>
      <c r="W81" s="8">
        <f>IFERROR(U81-V81,0)</f>
        <v/>
      </c>
      <c r="X81" s="9">
        <f>'Jobs-Ops'!AN81</f>
        <v/>
      </c>
      <c r="Y81" s="9">
        <f>'Jobs-GAAP'!AJ81</f>
        <v/>
      </c>
      <c r="Z81" s="9">
        <f>IFERROR(X81-Y81,0)</f>
        <v/>
      </c>
      <c r="AA81" s="153">
        <f>'Jobs-Ops'!AO81</f>
        <v/>
      </c>
      <c r="AB81" s="187" t="n"/>
      <c r="AC81" s="186" t="n"/>
      <c r="AD81" s="186" t="n"/>
      <c r="AE81" s="188" t="n"/>
      <c r="AF81" s="187" t="n"/>
      <c r="AG81" s="187" t="n"/>
      <c r="AH81" s="186" t="n"/>
      <c r="AI81" s="186" t="n"/>
      <c r="AJ81" s="186" t="n"/>
      <c r="AK81" s="186" t="n"/>
      <c r="AL81" s="186" t="n"/>
      <c r="AM81" s="186" t="n"/>
      <c r="AN81" s="186" t="n"/>
      <c r="AO81" s="186" t="n"/>
      <c r="AP81" s="186" t="n"/>
      <c r="AQ81" s="186" t="n"/>
      <c r="AR81" s="186" t="n"/>
      <c r="AS81" s="186" t="n"/>
      <c r="AT81" s="186" t="n"/>
      <c r="AU81" s="186" t="n"/>
      <c r="AV81" s="186" t="n"/>
      <c r="AW81" s="186" t="n"/>
      <c r="AX81" s="186" t="n"/>
      <c r="AY81" s="186" t="n"/>
      <c r="AZ81" s="186" t="n"/>
      <c r="BA81" s="186" t="n"/>
      <c r="BB81" s="186" t="n"/>
      <c r="BC81" s="186" t="n"/>
      <c r="BD81" s="190" t="n"/>
      <c r="BE81" s="186" t="n"/>
      <c r="BF81" s="186" t="n"/>
      <c r="BG81" s="186" t="n"/>
      <c r="BH81" s="186" t="n"/>
      <c r="BI81" s="186" t="n"/>
      <c r="BJ81" s="187" t="n"/>
      <c r="BK81" s="192" t="n"/>
      <c r="BL81" s="192" t="n"/>
      <c r="BM81" s="192" t="n"/>
      <c r="BN81" s="192" t="n"/>
    </row>
    <row r="82">
      <c r="A82" s="289">
        <f> 'Jobs-Ops'!A82</f>
        <v/>
      </c>
      <c r="B82" s="290">
        <f>'Jobs-Ops'!B82</f>
        <v/>
      </c>
      <c r="C82" s="290">
        <f>'Jobs-Ops'!C82</f>
        <v/>
      </c>
      <c r="D82" s="179" t="n"/>
      <c r="E82" s="181">
        <f>'Jobs-Ops'!I82</f>
        <v/>
      </c>
      <c r="F82" s="205">
        <f>'Jobs-Ops'!U82</f>
        <v/>
      </c>
      <c r="G82" s="181">
        <f>'Jobs-GAAP'!J82</f>
        <v/>
      </c>
      <c r="H82" s="205">
        <f>'Jobs-GAAP'!V82</f>
        <v/>
      </c>
      <c r="I82" s="181">
        <f>E82-G82</f>
        <v/>
      </c>
      <c r="J82" s="9">
        <f>'Jobs-Ops'!P82</f>
        <v/>
      </c>
      <c r="K82" s="9">
        <f>'Jobs-GAAP'!Q82</f>
        <v/>
      </c>
      <c r="L82" s="9">
        <f>J82-K82</f>
        <v/>
      </c>
      <c r="M82" s="186" t="n"/>
      <c r="N82" s="9">
        <f>'Jobs-Ops'!Y82</f>
        <v/>
      </c>
      <c r="O82" s="9">
        <f>'Jobs-GAAP'!Y82</f>
        <v/>
      </c>
      <c r="P82" s="9">
        <f>N82-O82</f>
        <v/>
      </c>
      <c r="Q82" s="186" t="n"/>
      <c r="R82" s="11">
        <f>'Jobs-Ops'!AL82</f>
        <v/>
      </c>
      <c r="S82" s="11">
        <f>'Jobs-GAAP'!AH82</f>
        <v/>
      </c>
      <c r="T82" s="11">
        <f>IFERROR(R82-S82,0)</f>
        <v/>
      </c>
      <c r="U82" s="8">
        <f>'Jobs-Ops'!AM82</f>
        <v/>
      </c>
      <c r="V82" s="8">
        <f>'Jobs-GAAP'!AI82</f>
        <v/>
      </c>
      <c r="W82" s="8">
        <f>IFERROR(U82-V82,0)</f>
        <v/>
      </c>
      <c r="X82" s="9">
        <f>'Jobs-Ops'!AN82</f>
        <v/>
      </c>
      <c r="Y82" s="9">
        <f>'Jobs-GAAP'!AJ82</f>
        <v/>
      </c>
      <c r="Z82" s="9">
        <f>IFERROR(X82-Y82,0)</f>
        <v/>
      </c>
      <c r="AA82" s="153">
        <f>'Jobs-Ops'!AO82</f>
        <v/>
      </c>
      <c r="AB82" s="187" t="n"/>
      <c r="AC82" s="186" t="n"/>
      <c r="AD82" s="186" t="n"/>
      <c r="AE82" s="188" t="n"/>
      <c r="AF82" s="187" t="n"/>
      <c r="AG82" s="187" t="n"/>
      <c r="AH82" s="186" t="n"/>
      <c r="AI82" s="186" t="n"/>
      <c r="AJ82" s="186" t="n"/>
      <c r="AK82" s="186" t="n"/>
      <c r="AL82" s="186" t="n"/>
      <c r="AM82" s="186" t="n"/>
      <c r="AN82" s="186" t="n"/>
      <c r="AO82" s="186" t="n"/>
      <c r="AP82" s="186" t="n"/>
      <c r="AQ82" s="186" t="n"/>
      <c r="AR82" s="186" t="n"/>
      <c r="AS82" s="186" t="n"/>
      <c r="AT82" s="186" t="n"/>
      <c r="AU82" s="186" t="n"/>
      <c r="AV82" s="186" t="n"/>
      <c r="AW82" s="186" t="n"/>
      <c r="AX82" s="186" t="n"/>
      <c r="AY82" s="186" t="n"/>
      <c r="AZ82" s="186" t="n"/>
      <c r="BA82" s="186" t="n"/>
      <c r="BB82" s="186" t="n"/>
      <c r="BC82" s="186" t="n"/>
      <c r="BD82" s="190" t="n"/>
      <c r="BE82" s="186" t="n"/>
      <c r="BF82" s="186" t="n"/>
      <c r="BG82" s="186" t="n"/>
      <c r="BH82" s="186" t="n"/>
      <c r="BI82" s="186" t="n"/>
      <c r="BJ82" s="187" t="n"/>
      <c r="BK82" s="192" t="n"/>
      <c r="BL82" s="192" t="n"/>
      <c r="BM82" s="192" t="n"/>
      <c r="BN82" s="192" t="n"/>
    </row>
    <row r="83">
      <c r="A83" s="289">
        <f> 'Jobs-Ops'!A83</f>
        <v/>
      </c>
      <c r="B83" s="290">
        <f>'Jobs-Ops'!B83</f>
        <v/>
      </c>
      <c r="C83" s="290">
        <f>'Jobs-Ops'!C83</f>
        <v/>
      </c>
      <c r="D83" s="179" t="n"/>
      <c r="E83" s="181">
        <f>'Jobs-Ops'!I83</f>
        <v/>
      </c>
      <c r="F83" s="205">
        <f>'Jobs-Ops'!U83</f>
        <v/>
      </c>
      <c r="G83" s="181">
        <f>'Jobs-GAAP'!J83</f>
        <v/>
      </c>
      <c r="H83" s="205">
        <f>'Jobs-GAAP'!V83</f>
        <v/>
      </c>
      <c r="I83" s="181">
        <f>E83-G83</f>
        <v/>
      </c>
      <c r="J83" s="9">
        <f>'Jobs-Ops'!P83</f>
        <v/>
      </c>
      <c r="K83" s="9">
        <f>'Jobs-GAAP'!Q83</f>
        <v/>
      </c>
      <c r="L83" s="9">
        <f>J83-K83</f>
        <v/>
      </c>
      <c r="M83" s="186" t="n"/>
      <c r="N83" s="9">
        <f>'Jobs-Ops'!Y83</f>
        <v/>
      </c>
      <c r="O83" s="9">
        <f>'Jobs-GAAP'!Y83</f>
        <v/>
      </c>
      <c r="P83" s="9">
        <f>N83-O83</f>
        <v/>
      </c>
      <c r="Q83" s="186" t="n"/>
      <c r="R83" s="11">
        <f>'Jobs-Ops'!AL83</f>
        <v/>
      </c>
      <c r="S83" s="11">
        <f>'Jobs-GAAP'!AH83</f>
        <v/>
      </c>
      <c r="T83" s="11">
        <f>IFERROR(R83-S83,0)</f>
        <v/>
      </c>
      <c r="U83" s="8">
        <f>'Jobs-Ops'!AM83</f>
        <v/>
      </c>
      <c r="V83" s="8">
        <f>'Jobs-GAAP'!AI83</f>
        <v/>
      </c>
      <c r="W83" s="8">
        <f>IFERROR(U83-V83,0)</f>
        <v/>
      </c>
      <c r="X83" s="9">
        <f>'Jobs-Ops'!AN83</f>
        <v/>
      </c>
      <c r="Y83" s="9">
        <f>'Jobs-GAAP'!AJ83</f>
        <v/>
      </c>
      <c r="Z83" s="9">
        <f>IFERROR(X83-Y83,0)</f>
        <v/>
      </c>
      <c r="AA83" s="153">
        <f>'Jobs-Ops'!AO83</f>
        <v/>
      </c>
      <c r="AB83" s="187" t="n"/>
      <c r="AC83" s="186" t="n"/>
      <c r="AD83" s="186" t="n"/>
      <c r="AE83" s="188" t="n"/>
      <c r="AF83" s="187" t="n"/>
      <c r="AG83" s="187" t="n"/>
      <c r="AH83" s="186" t="n"/>
      <c r="AI83" s="186" t="n"/>
      <c r="AJ83" s="186" t="n"/>
      <c r="AK83" s="186" t="n"/>
      <c r="AL83" s="186" t="n"/>
      <c r="AM83" s="186" t="n"/>
      <c r="AN83" s="186" t="n"/>
      <c r="AO83" s="186" t="n"/>
      <c r="AP83" s="186" t="n"/>
      <c r="AQ83" s="186" t="n"/>
      <c r="AR83" s="186" t="n"/>
      <c r="AS83" s="186" t="n"/>
      <c r="AT83" s="186" t="n"/>
      <c r="AU83" s="186" t="n"/>
      <c r="AV83" s="186" t="n"/>
      <c r="AW83" s="186" t="n"/>
      <c r="AX83" s="186" t="n"/>
      <c r="AY83" s="186" t="n"/>
      <c r="AZ83" s="186" t="n"/>
      <c r="BA83" s="186" t="n"/>
      <c r="BB83" s="186" t="n"/>
      <c r="BC83" s="186" t="n"/>
      <c r="BD83" s="190" t="n"/>
      <c r="BE83" s="186" t="n"/>
      <c r="BF83" s="186" t="n"/>
      <c r="BG83" s="186" t="n"/>
      <c r="BH83" s="186" t="n"/>
      <c r="BI83" s="186" t="n"/>
      <c r="BJ83" s="187" t="n"/>
      <c r="BK83" s="192" t="n"/>
      <c r="BL83" s="192" t="n"/>
      <c r="BM83" s="192" t="n"/>
      <c r="BN83" s="192" t="n"/>
    </row>
    <row r="84">
      <c r="A84" s="289">
        <f> 'Jobs-Ops'!A84</f>
        <v/>
      </c>
      <c r="B84" s="290">
        <f>'Jobs-Ops'!B84</f>
        <v/>
      </c>
      <c r="C84" s="290">
        <f>'Jobs-Ops'!C84</f>
        <v/>
      </c>
      <c r="D84" s="179" t="n"/>
      <c r="E84" s="181">
        <f>'Jobs-Ops'!I84</f>
        <v/>
      </c>
      <c r="F84" s="205">
        <f>'Jobs-Ops'!U84</f>
        <v/>
      </c>
      <c r="G84" s="181">
        <f>'Jobs-GAAP'!J84</f>
        <v/>
      </c>
      <c r="H84" s="205">
        <f>'Jobs-GAAP'!V84</f>
        <v/>
      </c>
      <c r="I84" s="181">
        <f>E84-G84</f>
        <v/>
      </c>
      <c r="J84" s="9">
        <f>'Jobs-Ops'!P84</f>
        <v/>
      </c>
      <c r="K84" s="9">
        <f>'Jobs-GAAP'!Q84</f>
        <v/>
      </c>
      <c r="L84" s="9">
        <f>J84-K84</f>
        <v/>
      </c>
      <c r="M84" s="186" t="n"/>
      <c r="N84" s="9">
        <f>'Jobs-Ops'!Y84</f>
        <v/>
      </c>
      <c r="O84" s="9">
        <f>'Jobs-GAAP'!Y84</f>
        <v/>
      </c>
      <c r="P84" s="9">
        <f>N84-O84</f>
        <v/>
      </c>
      <c r="Q84" s="186" t="n"/>
      <c r="R84" s="11">
        <f>'Jobs-Ops'!AL84</f>
        <v/>
      </c>
      <c r="S84" s="11">
        <f>'Jobs-GAAP'!AH84</f>
        <v/>
      </c>
      <c r="T84" s="11">
        <f>IFERROR(R84-S84,0)</f>
        <v/>
      </c>
      <c r="U84" s="8">
        <f>'Jobs-Ops'!AM84</f>
        <v/>
      </c>
      <c r="V84" s="8">
        <f>'Jobs-GAAP'!AI84</f>
        <v/>
      </c>
      <c r="W84" s="8">
        <f>IFERROR(U84-V84,0)</f>
        <v/>
      </c>
      <c r="X84" s="9">
        <f>'Jobs-Ops'!AN84</f>
        <v/>
      </c>
      <c r="Y84" s="9">
        <f>'Jobs-GAAP'!AJ84</f>
        <v/>
      </c>
      <c r="Z84" s="9">
        <f>IFERROR(X84-Y84,0)</f>
        <v/>
      </c>
      <c r="AA84" s="153">
        <f>'Jobs-Ops'!AO84</f>
        <v/>
      </c>
      <c r="AB84" s="187" t="n"/>
      <c r="AC84" s="186" t="n"/>
      <c r="AD84" s="186" t="n"/>
      <c r="AE84" s="188" t="n"/>
      <c r="AF84" s="187" t="n"/>
      <c r="AG84" s="187" t="n"/>
      <c r="AH84" s="186" t="n"/>
      <c r="AI84" s="186" t="n"/>
      <c r="AJ84" s="186" t="n"/>
      <c r="AK84" s="186" t="n"/>
      <c r="AL84" s="186" t="n"/>
      <c r="AM84" s="186" t="n"/>
      <c r="AN84" s="186" t="n"/>
      <c r="AO84" s="186" t="n"/>
      <c r="AP84" s="186" t="n"/>
      <c r="AQ84" s="186" t="n"/>
      <c r="AR84" s="186" t="n"/>
      <c r="AS84" s="186" t="n"/>
      <c r="AT84" s="186" t="n"/>
      <c r="AU84" s="186" t="n"/>
      <c r="AV84" s="186" t="n"/>
      <c r="AW84" s="186" t="n"/>
      <c r="AX84" s="186" t="n"/>
      <c r="AY84" s="186" t="n"/>
      <c r="AZ84" s="186" t="n"/>
      <c r="BA84" s="186" t="n"/>
      <c r="BB84" s="186" t="n"/>
      <c r="BC84" s="186" t="n"/>
      <c r="BD84" s="190" t="n"/>
      <c r="BE84" s="186" t="n"/>
      <c r="BF84" s="186" t="n"/>
      <c r="BG84" s="186" t="n"/>
      <c r="BH84" s="186" t="n"/>
      <c r="BI84" s="186" t="n"/>
      <c r="BJ84" s="187" t="n"/>
      <c r="BK84" s="192" t="n"/>
      <c r="BL84" s="192" t="n"/>
      <c r="BM84" s="192" t="n"/>
      <c r="BN84" s="192" t="n"/>
    </row>
    <row r="85">
      <c r="A85" s="289">
        <f> 'Jobs-Ops'!A85</f>
        <v/>
      </c>
      <c r="B85" s="290">
        <f>'Jobs-Ops'!B85</f>
        <v/>
      </c>
      <c r="C85" s="290">
        <f>'Jobs-Ops'!C85</f>
        <v/>
      </c>
      <c r="D85" s="179" t="n"/>
      <c r="E85" s="181">
        <f>'Jobs-Ops'!I85</f>
        <v/>
      </c>
      <c r="F85" s="205">
        <f>'Jobs-Ops'!U85</f>
        <v/>
      </c>
      <c r="G85" s="181">
        <f>'Jobs-GAAP'!J85</f>
        <v/>
      </c>
      <c r="H85" s="205">
        <f>'Jobs-GAAP'!V85</f>
        <v/>
      </c>
      <c r="I85" s="181">
        <f>E85-G85</f>
        <v/>
      </c>
      <c r="J85" s="9">
        <f>'Jobs-Ops'!P85</f>
        <v/>
      </c>
      <c r="K85" s="9">
        <f>'Jobs-GAAP'!Q85</f>
        <v/>
      </c>
      <c r="L85" s="9">
        <f>J85-K85</f>
        <v/>
      </c>
      <c r="M85" s="186" t="n"/>
      <c r="N85" s="9">
        <f>'Jobs-Ops'!Y85</f>
        <v/>
      </c>
      <c r="O85" s="9">
        <f>'Jobs-GAAP'!Y85</f>
        <v/>
      </c>
      <c r="P85" s="9">
        <f>N85-O85</f>
        <v/>
      </c>
      <c r="Q85" s="186" t="n"/>
      <c r="R85" s="11">
        <f>'Jobs-Ops'!AL85</f>
        <v/>
      </c>
      <c r="S85" s="11">
        <f>'Jobs-GAAP'!AH85</f>
        <v/>
      </c>
      <c r="T85" s="11">
        <f>IFERROR(R85-S85,0)</f>
        <v/>
      </c>
      <c r="U85" s="8">
        <f>'Jobs-Ops'!AM85</f>
        <v/>
      </c>
      <c r="V85" s="8">
        <f>'Jobs-GAAP'!AI85</f>
        <v/>
      </c>
      <c r="W85" s="8">
        <f>IFERROR(U85-V85,0)</f>
        <v/>
      </c>
      <c r="X85" s="9">
        <f>'Jobs-Ops'!AN85</f>
        <v/>
      </c>
      <c r="Y85" s="9">
        <f>'Jobs-GAAP'!AJ85</f>
        <v/>
      </c>
      <c r="Z85" s="9">
        <f>IFERROR(X85-Y85,0)</f>
        <v/>
      </c>
      <c r="AA85" s="153">
        <f>'Jobs-Ops'!AO85</f>
        <v/>
      </c>
      <c r="AB85" s="187" t="n"/>
      <c r="AC85" s="186" t="n"/>
      <c r="AD85" s="186" t="n"/>
      <c r="AE85" s="188" t="n"/>
      <c r="AF85" s="187" t="n"/>
      <c r="AG85" s="187" t="n"/>
      <c r="AH85" s="186" t="n"/>
      <c r="AI85" s="186" t="n"/>
      <c r="AJ85" s="186" t="n"/>
      <c r="AK85" s="186" t="n"/>
      <c r="AL85" s="186" t="n"/>
      <c r="AM85" s="186" t="n"/>
      <c r="AN85" s="186" t="n"/>
      <c r="AO85" s="186" t="n"/>
      <c r="AP85" s="186" t="n"/>
      <c r="AQ85" s="186" t="n"/>
      <c r="AR85" s="186" t="n"/>
      <c r="AS85" s="186" t="n"/>
      <c r="AT85" s="186" t="n"/>
      <c r="AU85" s="186" t="n"/>
      <c r="AV85" s="186" t="n"/>
      <c r="AW85" s="186" t="n"/>
      <c r="AX85" s="186" t="n"/>
      <c r="AY85" s="186" t="n"/>
      <c r="AZ85" s="186" t="n"/>
      <c r="BA85" s="186" t="n"/>
      <c r="BB85" s="186" t="n"/>
      <c r="BC85" s="186" t="n"/>
      <c r="BD85" s="190" t="n"/>
      <c r="BE85" s="186" t="n"/>
      <c r="BF85" s="186" t="n"/>
      <c r="BG85" s="186" t="n"/>
      <c r="BH85" s="186" t="n"/>
      <c r="BI85" s="186" t="n"/>
      <c r="BJ85" s="187" t="n"/>
      <c r="BK85" s="192" t="n"/>
      <c r="BL85" s="192" t="n"/>
      <c r="BM85" s="192" t="n"/>
      <c r="BN85" s="192" t="n"/>
    </row>
    <row r="86">
      <c r="A86" s="289">
        <f> 'Jobs-Ops'!A86</f>
        <v/>
      </c>
      <c r="B86" s="290">
        <f>'Jobs-Ops'!B86</f>
        <v/>
      </c>
      <c r="C86" s="290">
        <f>'Jobs-Ops'!C86</f>
        <v/>
      </c>
      <c r="D86" s="179" t="n"/>
      <c r="E86" s="181">
        <f>'Jobs-Ops'!I86</f>
        <v/>
      </c>
      <c r="F86" s="205">
        <f>'Jobs-Ops'!U86</f>
        <v/>
      </c>
      <c r="G86" s="181">
        <f>'Jobs-GAAP'!J86</f>
        <v/>
      </c>
      <c r="H86" s="205">
        <f>'Jobs-GAAP'!V86</f>
        <v/>
      </c>
      <c r="I86" s="181">
        <f>E86-G86</f>
        <v/>
      </c>
      <c r="J86" s="9">
        <f>'Jobs-Ops'!P86</f>
        <v/>
      </c>
      <c r="K86" s="9">
        <f>'Jobs-GAAP'!Q86</f>
        <v/>
      </c>
      <c r="L86" s="9">
        <f>J86-K86</f>
        <v/>
      </c>
      <c r="M86" s="186" t="n"/>
      <c r="N86" s="9">
        <f>'Jobs-Ops'!Y86</f>
        <v/>
      </c>
      <c r="O86" s="9">
        <f>'Jobs-GAAP'!Y86</f>
        <v/>
      </c>
      <c r="P86" s="9">
        <f>N86-O86</f>
        <v/>
      </c>
      <c r="Q86" s="186" t="n"/>
      <c r="R86" s="11">
        <f>'Jobs-Ops'!AL86</f>
        <v/>
      </c>
      <c r="S86" s="11">
        <f>'Jobs-GAAP'!AH86</f>
        <v/>
      </c>
      <c r="T86" s="11">
        <f>IFERROR(R86-S86,0)</f>
        <v/>
      </c>
      <c r="U86" s="8">
        <f>'Jobs-Ops'!AM86</f>
        <v/>
      </c>
      <c r="V86" s="8">
        <f>'Jobs-GAAP'!AI86</f>
        <v/>
      </c>
      <c r="W86" s="8">
        <f>IFERROR(U86-V86,0)</f>
        <v/>
      </c>
      <c r="X86" s="9">
        <f>'Jobs-Ops'!AN86</f>
        <v/>
      </c>
      <c r="Y86" s="9">
        <f>'Jobs-GAAP'!AJ86</f>
        <v/>
      </c>
      <c r="Z86" s="9">
        <f>IFERROR(X86-Y86,0)</f>
        <v/>
      </c>
      <c r="AA86" s="153">
        <f>'Jobs-Ops'!AO86</f>
        <v/>
      </c>
      <c r="AB86" s="187" t="n"/>
      <c r="AC86" s="186" t="n"/>
      <c r="AD86" s="186" t="n"/>
      <c r="AE86" s="188" t="n"/>
      <c r="AF86" s="187" t="n"/>
      <c r="AG86" s="187" t="n"/>
      <c r="AH86" s="186" t="n"/>
      <c r="AI86" s="186" t="n"/>
      <c r="AJ86" s="186" t="n"/>
      <c r="AK86" s="186" t="n"/>
      <c r="AL86" s="186" t="n"/>
      <c r="AM86" s="186" t="n"/>
      <c r="AN86" s="186" t="n"/>
      <c r="AO86" s="186" t="n"/>
      <c r="AP86" s="186" t="n"/>
      <c r="AQ86" s="186" t="n"/>
      <c r="AR86" s="186" t="n"/>
      <c r="AS86" s="186" t="n"/>
      <c r="AT86" s="186" t="n"/>
      <c r="AU86" s="186" t="n"/>
      <c r="AV86" s="186" t="n"/>
      <c r="AW86" s="186" t="n"/>
      <c r="AX86" s="186" t="n"/>
      <c r="AY86" s="186" t="n"/>
      <c r="AZ86" s="186" t="n"/>
      <c r="BA86" s="186" t="n"/>
      <c r="BB86" s="186" t="n"/>
      <c r="BC86" s="186" t="n"/>
      <c r="BD86" s="190" t="n"/>
      <c r="BE86" s="186" t="n"/>
      <c r="BF86" s="186" t="n"/>
      <c r="BG86" s="186" t="n"/>
      <c r="BH86" s="186" t="n"/>
      <c r="BI86" s="186" t="n"/>
      <c r="BJ86" s="187" t="n"/>
      <c r="BK86" s="192" t="n"/>
      <c r="BL86" s="192" t="n"/>
      <c r="BM86" s="192" t="n"/>
      <c r="BN86" s="192" t="n"/>
    </row>
    <row r="87">
      <c r="A87" s="289">
        <f> 'Jobs-Ops'!A87</f>
        <v/>
      </c>
      <c r="B87" s="290">
        <f>'Jobs-Ops'!B87</f>
        <v/>
      </c>
      <c r="C87" s="290">
        <f>'Jobs-Ops'!C87</f>
        <v/>
      </c>
      <c r="D87" s="179" t="n"/>
      <c r="E87" s="181">
        <f>'Jobs-Ops'!I87</f>
        <v/>
      </c>
      <c r="F87" s="205">
        <f>'Jobs-Ops'!U87</f>
        <v/>
      </c>
      <c r="G87" s="181">
        <f>'Jobs-GAAP'!J87</f>
        <v/>
      </c>
      <c r="H87" s="205">
        <f>'Jobs-GAAP'!V87</f>
        <v/>
      </c>
      <c r="I87" s="181">
        <f>E87-G87</f>
        <v/>
      </c>
      <c r="J87" s="9">
        <f>'Jobs-Ops'!P87</f>
        <v/>
      </c>
      <c r="K87" s="9">
        <f>'Jobs-GAAP'!Q87</f>
        <v/>
      </c>
      <c r="L87" s="9">
        <f>J87-K87</f>
        <v/>
      </c>
      <c r="M87" s="186" t="n"/>
      <c r="N87" s="9">
        <f>'Jobs-Ops'!Y87</f>
        <v/>
      </c>
      <c r="O87" s="9">
        <f>'Jobs-GAAP'!Y87</f>
        <v/>
      </c>
      <c r="P87" s="9">
        <f>N87-O87</f>
        <v/>
      </c>
      <c r="Q87" s="186" t="n"/>
      <c r="R87" s="11">
        <f>'Jobs-Ops'!AL87</f>
        <v/>
      </c>
      <c r="S87" s="11">
        <f>'Jobs-GAAP'!AH87</f>
        <v/>
      </c>
      <c r="T87" s="11">
        <f>IFERROR(R87-S87,0)</f>
        <v/>
      </c>
      <c r="U87" s="8">
        <f>'Jobs-Ops'!AM87</f>
        <v/>
      </c>
      <c r="V87" s="8">
        <f>'Jobs-GAAP'!AI87</f>
        <v/>
      </c>
      <c r="W87" s="8">
        <f>IFERROR(U87-V87,0)</f>
        <v/>
      </c>
      <c r="X87" s="9">
        <f>'Jobs-Ops'!AN87</f>
        <v/>
      </c>
      <c r="Y87" s="9">
        <f>'Jobs-GAAP'!AJ87</f>
        <v/>
      </c>
      <c r="Z87" s="9">
        <f>IFERROR(X87-Y87,0)</f>
        <v/>
      </c>
      <c r="AA87" s="153">
        <f>'Jobs-Ops'!AO87</f>
        <v/>
      </c>
      <c r="AB87" s="187" t="n"/>
      <c r="AC87" s="186" t="n"/>
      <c r="AD87" s="186" t="n"/>
      <c r="AE87" s="188" t="n"/>
      <c r="AF87" s="187" t="n"/>
      <c r="AG87" s="187" t="n"/>
      <c r="AH87" s="186" t="n"/>
      <c r="AI87" s="186" t="n"/>
      <c r="AJ87" s="186" t="n"/>
      <c r="AK87" s="186" t="n"/>
      <c r="AL87" s="186" t="n"/>
      <c r="AM87" s="186" t="n"/>
      <c r="AN87" s="186" t="n"/>
      <c r="AO87" s="186" t="n"/>
      <c r="AP87" s="186" t="n"/>
      <c r="AQ87" s="186" t="n"/>
      <c r="AR87" s="186" t="n"/>
      <c r="AS87" s="186" t="n"/>
      <c r="AT87" s="186" t="n"/>
      <c r="AU87" s="186" t="n"/>
      <c r="AV87" s="186" t="n"/>
      <c r="AW87" s="186" t="n"/>
      <c r="AX87" s="186" t="n"/>
      <c r="AY87" s="186" t="n"/>
      <c r="AZ87" s="186" t="n"/>
      <c r="BA87" s="186" t="n"/>
      <c r="BB87" s="186" t="n"/>
      <c r="BC87" s="186" t="n"/>
      <c r="BD87" s="190" t="n"/>
      <c r="BE87" s="186" t="n"/>
      <c r="BF87" s="186" t="n"/>
      <c r="BG87" s="186" t="n"/>
      <c r="BH87" s="186" t="n"/>
      <c r="BI87" s="186" t="n"/>
      <c r="BJ87" s="187" t="n"/>
      <c r="BK87" s="192" t="n"/>
      <c r="BL87" s="192" t="n"/>
      <c r="BM87" s="192" t="n"/>
      <c r="BN87" s="192" t="n"/>
    </row>
    <row r="88">
      <c r="A88" s="289">
        <f> 'Jobs-Ops'!A88</f>
        <v/>
      </c>
      <c r="B88" s="290">
        <f>'Jobs-Ops'!B88</f>
        <v/>
      </c>
      <c r="C88" s="290">
        <f>'Jobs-Ops'!C88</f>
        <v/>
      </c>
      <c r="D88" s="179" t="n"/>
      <c r="E88" s="181">
        <f>'Jobs-Ops'!I88</f>
        <v/>
      </c>
      <c r="F88" s="205">
        <f>'Jobs-Ops'!U88</f>
        <v/>
      </c>
      <c r="G88" s="181">
        <f>'Jobs-GAAP'!J88</f>
        <v/>
      </c>
      <c r="H88" s="205">
        <f>'Jobs-GAAP'!V88</f>
        <v/>
      </c>
      <c r="I88" s="181">
        <f>E88-G88</f>
        <v/>
      </c>
      <c r="J88" s="9">
        <f>'Jobs-Ops'!P88</f>
        <v/>
      </c>
      <c r="K88" s="9">
        <f>'Jobs-GAAP'!Q88</f>
        <v/>
      </c>
      <c r="L88" s="9">
        <f>J88-K88</f>
        <v/>
      </c>
      <c r="M88" s="186" t="n"/>
      <c r="N88" s="9">
        <f>'Jobs-Ops'!Y88</f>
        <v/>
      </c>
      <c r="O88" s="9">
        <f>'Jobs-GAAP'!Y88</f>
        <v/>
      </c>
      <c r="P88" s="9">
        <f>N88-O88</f>
        <v/>
      </c>
      <c r="Q88" s="186" t="n"/>
      <c r="R88" s="11">
        <f>'Jobs-Ops'!AL88</f>
        <v/>
      </c>
      <c r="S88" s="11">
        <f>'Jobs-GAAP'!AH88</f>
        <v/>
      </c>
      <c r="T88" s="11">
        <f>IFERROR(R88-S88,0)</f>
        <v/>
      </c>
      <c r="U88" s="8">
        <f>'Jobs-Ops'!AM88</f>
        <v/>
      </c>
      <c r="V88" s="8">
        <f>'Jobs-GAAP'!AI88</f>
        <v/>
      </c>
      <c r="W88" s="8">
        <f>IFERROR(U88-V88,0)</f>
        <v/>
      </c>
      <c r="X88" s="9">
        <f>'Jobs-Ops'!AN88</f>
        <v/>
      </c>
      <c r="Y88" s="9">
        <f>'Jobs-GAAP'!AJ88</f>
        <v/>
      </c>
      <c r="Z88" s="9">
        <f>IFERROR(X88-Y88,0)</f>
        <v/>
      </c>
      <c r="AA88" s="153">
        <f>'Jobs-Ops'!AO88</f>
        <v/>
      </c>
      <c r="AB88" s="187" t="n"/>
      <c r="AC88" s="186" t="n"/>
      <c r="AD88" s="186" t="n"/>
      <c r="AE88" s="188" t="n"/>
      <c r="AF88" s="187" t="n"/>
      <c r="AG88" s="187" t="n"/>
      <c r="AH88" s="186" t="n"/>
      <c r="AI88" s="186" t="n"/>
      <c r="AJ88" s="186" t="n"/>
      <c r="AK88" s="186" t="n"/>
      <c r="AL88" s="186" t="n"/>
      <c r="AM88" s="186" t="n"/>
      <c r="AN88" s="186" t="n"/>
      <c r="AO88" s="186" t="n"/>
      <c r="AP88" s="186" t="n"/>
      <c r="AQ88" s="186" t="n"/>
      <c r="AR88" s="186" t="n"/>
      <c r="AS88" s="186" t="n"/>
      <c r="AT88" s="186" t="n"/>
      <c r="AU88" s="186" t="n"/>
      <c r="AV88" s="186" t="n"/>
      <c r="AW88" s="186" t="n"/>
      <c r="AX88" s="186" t="n"/>
      <c r="AY88" s="186" t="n"/>
      <c r="AZ88" s="186" t="n"/>
      <c r="BA88" s="186" t="n"/>
      <c r="BB88" s="186" t="n"/>
      <c r="BC88" s="186" t="n"/>
      <c r="BD88" s="190" t="n"/>
      <c r="BE88" s="186" t="n"/>
      <c r="BF88" s="186" t="n"/>
      <c r="BG88" s="186" t="n"/>
      <c r="BH88" s="186" t="n"/>
      <c r="BI88" s="186" t="n"/>
      <c r="BJ88" s="187" t="n"/>
      <c r="BK88" s="192" t="n"/>
      <c r="BL88" s="192" t="n"/>
      <c r="BM88" s="192" t="n"/>
      <c r="BN88" s="192" t="n"/>
    </row>
    <row r="89">
      <c r="A89" s="289">
        <f> 'Jobs-Ops'!A89</f>
        <v/>
      </c>
      <c r="B89" s="290">
        <f>'Jobs-Ops'!B89</f>
        <v/>
      </c>
      <c r="C89" s="290">
        <f>'Jobs-Ops'!C89</f>
        <v/>
      </c>
      <c r="D89" s="179" t="n"/>
      <c r="E89" s="181">
        <f>'Jobs-Ops'!I89</f>
        <v/>
      </c>
      <c r="F89" s="205">
        <f>'Jobs-Ops'!U89</f>
        <v/>
      </c>
      <c r="G89" s="181">
        <f>'Jobs-GAAP'!J89</f>
        <v/>
      </c>
      <c r="H89" s="205">
        <f>'Jobs-GAAP'!V89</f>
        <v/>
      </c>
      <c r="I89" s="181">
        <f>E89-G89</f>
        <v/>
      </c>
      <c r="J89" s="9">
        <f>'Jobs-Ops'!P89</f>
        <v/>
      </c>
      <c r="K89" s="9">
        <f>'Jobs-GAAP'!Q89</f>
        <v/>
      </c>
      <c r="L89" s="9">
        <f>J89-K89</f>
        <v/>
      </c>
      <c r="M89" s="186" t="n"/>
      <c r="N89" s="9">
        <f>'Jobs-Ops'!Y89</f>
        <v/>
      </c>
      <c r="O89" s="9">
        <f>'Jobs-GAAP'!Y89</f>
        <v/>
      </c>
      <c r="P89" s="9">
        <f>N89-O89</f>
        <v/>
      </c>
      <c r="Q89" s="186" t="n"/>
      <c r="R89" s="11">
        <f>'Jobs-Ops'!AL89</f>
        <v/>
      </c>
      <c r="S89" s="11">
        <f>'Jobs-GAAP'!AH89</f>
        <v/>
      </c>
      <c r="T89" s="11">
        <f>IFERROR(R89-S89,0)</f>
        <v/>
      </c>
      <c r="U89" s="8">
        <f>'Jobs-Ops'!AM89</f>
        <v/>
      </c>
      <c r="V89" s="8">
        <f>'Jobs-GAAP'!AI89</f>
        <v/>
      </c>
      <c r="W89" s="8">
        <f>IFERROR(U89-V89,0)</f>
        <v/>
      </c>
      <c r="X89" s="9">
        <f>'Jobs-Ops'!AN89</f>
        <v/>
      </c>
      <c r="Y89" s="9">
        <f>'Jobs-GAAP'!AJ89</f>
        <v/>
      </c>
      <c r="Z89" s="9">
        <f>IFERROR(X89-Y89,0)</f>
        <v/>
      </c>
      <c r="AA89" s="153">
        <f>'Jobs-Ops'!AO89</f>
        <v/>
      </c>
      <c r="AB89" s="187" t="n"/>
      <c r="AC89" s="186" t="n"/>
      <c r="AD89" s="186" t="n"/>
      <c r="AE89" s="188" t="n"/>
      <c r="AF89" s="187" t="n"/>
      <c r="AG89" s="187" t="n"/>
      <c r="AH89" s="186" t="n"/>
      <c r="AI89" s="186" t="n"/>
      <c r="AJ89" s="186" t="n"/>
      <c r="AK89" s="186" t="n"/>
      <c r="AL89" s="186" t="n"/>
      <c r="AM89" s="186" t="n"/>
      <c r="AN89" s="186" t="n"/>
      <c r="AO89" s="186" t="n"/>
      <c r="AP89" s="186" t="n"/>
      <c r="AQ89" s="186" t="n"/>
      <c r="AR89" s="186" t="n"/>
      <c r="AS89" s="186" t="n"/>
      <c r="AT89" s="186" t="n"/>
      <c r="AU89" s="186" t="n"/>
      <c r="AV89" s="186" t="n"/>
      <c r="AW89" s="186" t="n"/>
      <c r="AX89" s="186" t="n"/>
      <c r="AY89" s="186" t="n"/>
      <c r="AZ89" s="186" t="n"/>
      <c r="BA89" s="186" t="n"/>
      <c r="BB89" s="186" t="n"/>
      <c r="BC89" s="186" t="n"/>
      <c r="BD89" s="190" t="n"/>
      <c r="BE89" s="186" t="n"/>
      <c r="BF89" s="186" t="n"/>
      <c r="BG89" s="186" t="n"/>
      <c r="BH89" s="186" t="n"/>
      <c r="BI89" s="186" t="n"/>
      <c r="BJ89" s="187" t="n"/>
      <c r="BK89" s="192" t="n"/>
      <c r="BL89" s="192" t="n"/>
      <c r="BM89" s="192" t="n"/>
      <c r="BN89" s="192" t="n"/>
    </row>
    <row r="90">
      <c r="A90" s="289">
        <f> 'Jobs-Ops'!A90</f>
        <v/>
      </c>
      <c r="B90" s="290">
        <f>'Jobs-Ops'!B90</f>
        <v/>
      </c>
      <c r="C90" s="290">
        <f>'Jobs-Ops'!C90</f>
        <v/>
      </c>
      <c r="D90" s="179" t="n"/>
      <c r="E90" s="181">
        <f>'Jobs-Ops'!I90</f>
        <v/>
      </c>
      <c r="F90" s="205">
        <f>'Jobs-Ops'!U90</f>
        <v/>
      </c>
      <c r="G90" s="181">
        <f>'Jobs-GAAP'!J90</f>
        <v/>
      </c>
      <c r="H90" s="205">
        <f>'Jobs-GAAP'!V90</f>
        <v/>
      </c>
      <c r="I90" s="181">
        <f>E90-G90</f>
        <v/>
      </c>
      <c r="J90" s="9">
        <f>'Jobs-Ops'!P90</f>
        <v/>
      </c>
      <c r="K90" s="9">
        <f>'Jobs-GAAP'!Q90</f>
        <v/>
      </c>
      <c r="L90" s="9">
        <f>J90-K90</f>
        <v/>
      </c>
      <c r="M90" s="186" t="n"/>
      <c r="N90" s="9">
        <f>'Jobs-Ops'!Y90</f>
        <v/>
      </c>
      <c r="O90" s="9">
        <f>'Jobs-GAAP'!Y90</f>
        <v/>
      </c>
      <c r="P90" s="9">
        <f>N90-O90</f>
        <v/>
      </c>
      <c r="Q90" s="186" t="n"/>
      <c r="R90" s="11">
        <f>'Jobs-Ops'!AL90</f>
        <v/>
      </c>
      <c r="S90" s="11">
        <f>'Jobs-GAAP'!AH90</f>
        <v/>
      </c>
      <c r="T90" s="11">
        <f>IFERROR(R90-S90,0)</f>
        <v/>
      </c>
      <c r="U90" s="8">
        <f>'Jobs-Ops'!AM90</f>
        <v/>
      </c>
      <c r="V90" s="8">
        <f>'Jobs-GAAP'!AI90</f>
        <v/>
      </c>
      <c r="W90" s="8">
        <f>IFERROR(U90-V90,0)</f>
        <v/>
      </c>
      <c r="X90" s="9">
        <f>'Jobs-Ops'!AN90</f>
        <v/>
      </c>
      <c r="Y90" s="9">
        <f>'Jobs-GAAP'!AJ90</f>
        <v/>
      </c>
      <c r="Z90" s="9">
        <f>IFERROR(X90-Y90,0)</f>
        <v/>
      </c>
      <c r="AA90" s="153">
        <f>'Jobs-Ops'!AO90</f>
        <v/>
      </c>
      <c r="AB90" s="187" t="n"/>
      <c r="AC90" s="186" t="n"/>
      <c r="AD90" s="186" t="n"/>
      <c r="AE90" s="188" t="n"/>
      <c r="AF90" s="187" t="n"/>
      <c r="AG90" s="187" t="n"/>
      <c r="AH90" s="186" t="n"/>
      <c r="AI90" s="186" t="n"/>
      <c r="AJ90" s="186" t="n"/>
      <c r="AK90" s="186" t="n"/>
      <c r="AL90" s="186" t="n"/>
      <c r="AM90" s="186" t="n"/>
      <c r="AN90" s="186" t="n"/>
      <c r="AO90" s="186" t="n"/>
      <c r="AP90" s="186" t="n"/>
      <c r="AQ90" s="186" t="n"/>
      <c r="AR90" s="186" t="n"/>
      <c r="AS90" s="186" t="n"/>
      <c r="AT90" s="186" t="n"/>
      <c r="AU90" s="186" t="n"/>
      <c r="AV90" s="186" t="n"/>
      <c r="AW90" s="186" t="n"/>
      <c r="AX90" s="186" t="n"/>
      <c r="AY90" s="186" t="n"/>
      <c r="AZ90" s="186" t="n"/>
      <c r="BA90" s="186" t="n"/>
      <c r="BB90" s="186" t="n"/>
      <c r="BC90" s="186" t="n"/>
      <c r="BD90" s="190" t="n"/>
      <c r="BE90" s="186" t="n"/>
      <c r="BF90" s="186" t="n"/>
      <c r="BG90" s="186" t="n"/>
      <c r="BH90" s="186" t="n"/>
      <c r="BI90" s="186" t="n"/>
      <c r="BJ90" s="187" t="n"/>
      <c r="BK90" s="192" t="n"/>
      <c r="BL90" s="192" t="n"/>
      <c r="BM90" s="192" t="n"/>
      <c r="BN90" s="192" t="n"/>
    </row>
    <row r="91">
      <c r="A91" s="289">
        <f> 'Jobs-Ops'!A91</f>
        <v/>
      </c>
      <c r="B91" s="290">
        <f>'Jobs-Ops'!B91</f>
        <v/>
      </c>
      <c r="C91" s="290">
        <f>'Jobs-Ops'!C91</f>
        <v/>
      </c>
      <c r="D91" s="179" t="n"/>
      <c r="E91" s="181">
        <f>'Jobs-Ops'!I91</f>
        <v/>
      </c>
      <c r="F91" s="205">
        <f>'Jobs-Ops'!U91</f>
        <v/>
      </c>
      <c r="G91" s="181">
        <f>'Jobs-GAAP'!J91</f>
        <v/>
      </c>
      <c r="H91" s="205">
        <f>'Jobs-GAAP'!V91</f>
        <v/>
      </c>
      <c r="I91" s="181">
        <f>E91-G91</f>
        <v/>
      </c>
      <c r="J91" s="9">
        <f>'Jobs-Ops'!P91</f>
        <v/>
      </c>
      <c r="K91" s="9">
        <f>'Jobs-GAAP'!Q91</f>
        <v/>
      </c>
      <c r="L91" s="9">
        <f>J91-K91</f>
        <v/>
      </c>
      <c r="M91" s="186" t="n"/>
      <c r="N91" s="9">
        <f>'Jobs-Ops'!Y91</f>
        <v/>
      </c>
      <c r="O91" s="9">
        <f>'Jobs-GAAP'!Y91</f>
        <v/>
      </c>
      <c r="P91" s="9">
        <f>N91-O91</f>
        <v/>
      </c>
      <c r="Q91" s="186" t="n"/>
      <c r="R91" s="11">
        <f>'Jobs-Ops'!AL91</f>
        <v/>
      </c>
      <c r="S91" s="11">
        <f>'Jobs-GAAP'!AH91</f>
        <v/>
      </c>
      <c r="T91" s="11">
        <f>IFERROR(R91-S91,0)</f>
        <v/>
      </c>
      <c r="U91" s="8">
        <f>'Jobs-Ops'!AM91</f>
        <v/>
      </c>
      <c r="V91" s="8">
        <f>'Jobs-GAAP'!AI91</f>
        <v/>
      </c>
      <c r="W91" s="8">
        <f>IFERROR(U91-V91,0)</f>
        <v/>
      </c>
      <c r="X91" s="9">
        <f>'Jobs-Ops'!AN91</f>
        <v/>
      </c>
      <c r="Y91" s="9">
        <f>'Jobs-GAAP'!AJ91</f>
        <v/>
      </c>
      <c r="Z91" s="9">
        <f>IFERROR(X91-Y91,0)</f>
        <v/>
      </c>
      <c r="AA91" s="153">
        <f>'Jobs-Ops'!AO91</f>
        <v/>
      </c>
      <c r="AB91" s="187" t="n"/>
      <c r="AC91" s="186" t="n"/>
      <c r="AD91" s="186" t="n"/>
      <c r="AE91" s="188" t="n"/>
      <c r="AF91" s="187" t="n"/>
      <c r="AG91" s="187" t="n"/>
      <c r="AH91" s="186" t="n"/>
      <c r="AI91" s="186" t="n"/>
      <c r="AJ91" s="186" t="n"/>
      <c r="AK91" s="186" t="n"/>
      <c r="AL91" s="186" t="n"/>
      <c r="AM91" s="186" t="n"/>
      <c r="AN91" s="186" t="n"/>
      <c r="AO91" s="186" t="n"/>
      <c r="AP91" s="186" t="n"/>
      <c r="AQ91" s="186" t="n"/>
      <c r="AR91" s="186" t="n"/>
      <c r="AS91" s="186" t="n"/>
      <c r="AT91" s="186" t="n"/>
      <c r="AU91" s="186" t="n"/>
      <c r="AV91" s="186" t="n"/>
      <c r="AW91" s="186" t="n"/>
      <c r="AX91" s="186" t="n"/>
      <c r="AY91" s="186" t="n"/>
      <c r="AZ91" s="186" t="n"/>
      <c r="BA91" s="186" t="n"/>
      <c r="BB91" s="186" t="n"/>
      <c r="BC91" s="186" t="n"/>
      <c r="BD91" s="190" t="n"/>
      <c r="BE91" s="186" t="n"/>
      <c r="BF91" s="186" t="n"/>
      <c r="BG91" s="186" t="n"/>
      <c r="BH91" s="186" t="n"/>
      <c r="BI91" s="186" t="n"/>
      <c r="BJ91" s="187" t="n"/>
      <c r="BK91" s="192" t="n"/>
      <c r="BL91" s="192" t="n"/>
      <c r="BM91" s="192" t="n"/>
      <c r="BN91" s="192" t="n"/>
    </row>
    <row r="92">
      <c r="A92" s="289">
        <f> 'Jobs-Ops'!A92</f>
        <v/>
      </c>
      <c r="B92" s="290">
        <f>'Jobs-Ops'!B92</f>
        <v/>
      </c>
      <c r="C92" s="290">
        <f>'Jobs-Ops'!C92</f>
        <v/>
      </c>
      <c r="D92" s="179" t="n"/>
      <c r="E92" s="181">
        <f>'Jobs-Ops'!I92</f>
        <v/>
      </c>
      <c r="F92" s="205">
        <f>'Jobs-Ops'!U92</f>
        <v/>
      </c>
      <c r="G92" s="181">
        <f>'Jobs-GAAP'!J92</f>
        <v/>
      </c>
      <c r="H92" s="205">
        <f>'Jobs-GAAP'!V92</f>
        <v/>
      </c>
      <c r="I92" s="181">
        <f>E92-G92</f>
        <v/>
      </c>
      <c r="J92" s="9">
        <f>'Jobs-Ops'!P92</f>
        <v/>
      </c>
      <c r="K92" s="9">
        <f>'Jobs-GAAP'!Q92</f>
        <v/>
      </c>
      <c r="L92" s="9">
        <f>J92-K92</f>
        <v/>
      </c>
      <c r="M92" s="186" t="n"/>
      <c r="N92" s="9">
        <f>'Jobs-Ops'!Y92</f>
        <v/>
      </c>
      <c r="O92" s="9">
        <f>'Jobs-GAAP'!Y92</f>
        <v/>
      </c>
      <c r="P92" s="9">
        <f>N92-O92</f>
        <v/>
      </c>
      <c r="Q92" s="186" t="n"/>
      <c r="R92" s="11">
        <f>'Jobs-Ops'!AL92</f>
        <v/>
      </c>
      <c r="S92" s="11">
        <f>'Jobs-GAAP'!AH92</f>
        <v/>
      </c>
      <c r="T92" s="11">
        <f>IFERROR(R92-S92,0)</f>
        <v/>
      </c>
      <c r="U92" s="8">
        <f>'Jobs-Ops'!AM92</f>
        <v/>
      </c>
      <c r="V92" s="8">
        <f>'Jobs-GAAP'!AI92</f>
        <v/>
      </c>
      <c r="W92" s="8">
        <f>IFERROR(U92-V92,0)</f>
        <v/>
      </c>
      <c r="X92" s="9">
        <f>'Jobs-Ops'!AN92</f>
        <v/>
      </c>
      <c r="Y92" s="9">
        <f>'Jobs-GAAP'!AJ92</f>
        <v/>
      </c>
      <c r="Z92" s="9">
        <f>IFERROR(X92-Y92,0)</f>
        <v/>
      </c>
      <c r="AA92" s="153">
        <f>'Jobs-Ops'!AO92</f>
        <v/>
      </c>
      <c r="AB92" s="187" t="n"/>
      <c r="AC92" s="186" t="n"/>
      <c r="AD92" s="186" t="n"/>
      <c r="AE92" s="188" t="n"/>
      <c r="AF92" s="187" t="n"/>
      <c r="AG92" s="187" t="n"/>
      <c r="AH92" s="186" t="n"/>
      <c r="AI92" s="186" t="n"/>
      <c r="AJ92" s="186" t="n"/>
      <c r="AK92" s="186" t="n"/>
      <c r="AL92" s="186" t="n"/>
      <c r="AM92" s="186" t="n"/>
      <c r="AN92" s="186" t="n"/>
      <c r="AO92" s="186" t="n"/>
      <c r="AP92" s="186" t="n"/>
      <c r="AQ92" s="186" t="n"/>
      <c r="AR92" s="186" t="n"/>
      <c r="AS92" s="186" t="n"/>
      <c r="AT92" s="186" t="n"/>
      <c r="AU92" s="186" t="n"/>
      <c r="AV92" s="186" t="n"/>
      <c r="AW92" s="186" t="n"/>
      <c r="AX92" s="186" t="n"/>
      <c r="AY92" s="186" t="n"/>
      <c r="AZ92" s="186" t="n"/>
      <c r="BA92" s="186" t="n"/>
      <c r="BB92" s="186" t="n"/>
      <c r="BC92" s="186" t="n"/>
      <c r="BD92" s="190" t="n"/>
      <c r="BE92" s="186" t="n"/>
      <c r="BF92" s="186" t="n"/>
      <c r="BG92" s="186" t="n"/>
      <c r="BH92" s="186" t="n"/>
      <c r="BI92" s="186" t="n"/>
      <c r="BJ92" s="187" t="n"/>
      <c r="BK92" s="192" t="n"/>
      <c r="BL92" s="192" t="n"/>
      <c r="BM92" s="192" t="n"/>
      <c r="BN92" s="192" t="n"/>
    </row>
    <row r="93">
      <c r="A93" s="289">
        <f> 'Jobs-Ops'!A93</f>
        <v/>
      </c>
      <c r="B93" s="290">
        <f>'Jobs-Ops'!B93</f>
        <v/>
      </c>
      <c r="C93" s="290">
        <f>'Jobs-Ops'!C93</f>
        <v/>
      </c>
      <c r="D93" s="179" t="n"/>
      <c r="E93" s="181">
        <f>'Jobs-Ops'!I93</f>
        <v/>
      </c>
      <c r="F93" s="205">
        <f>'Jobs-Ops'!U93</f>
        <v/>
      </c>
      <c r="G93" s="181">
        <f>'Jobs-GAAP'!J93</f>
        <v/>
      </c>
      <c r="H93" s="205">
        <f>'Jobs-GAAP'!V93</f>
        <v/>
      </c>
      <c r="I93" s="181">
        <f>E93-G93</f>
        <v/>
      </c>
      <c r="J93" s="9">
        <f>'Jobs-Ops'!P93</f>
        <v/>
      </c>
      <c r="K93" s="9">
        <f>'Jobs-GAAP'!Q93</f>
        <v/>
      </c>
      <c r="L93" s="9">
        <f>J93-K93</f>
        <v/>
      </c>
      <c r="M93" s="186" t="n"/>
      <c r="N93" s="9">
        <f>'Jobs-Ops'!Y93</f>
        <v/>
      </c>
      <c r="O93" s="9">
        <f>'Jobs-GAAP'!Y93</f>
        <v/>
      </c>
      <c r="P93" s="9">
        <f>N93-O93</f>
        <v/>
      </c>
      <c r="Q93" s="186" t="n"/>
      <c r="R93" s="11">
        <f>'Jobs-Ops'!AL93</f>
        <v/>
      </c>
      <c r="S93" s="11">
        <f>'Jobs-GAAP'!AH93</f>
        <v/>
      </c>
      <c r="T93" s="11">
        <f>IFERROR(R93-S93,0)</f>
        <v/>
      </c>
      <c r="U93" s="8">
        <f>'Jobs-Ops'!AM93</f>
        <v/>
      </c>
      <c r="V93" s="8">
        <f>'Jobs-GAAP'!AI93</f>
        <v/>
      </c>
      <c r="W93" s="8">
        <f>IFERROR(U93-V93,0)</f>
        <v/>
      </c>
      <c r="X93" s="9">
        <f>'Jobs-Ops'!AN93</f>
        <v/>
      </c>
      <c r="Y93" s="9">
        <f>'Jobs-GAAP'!AJ93</f>
        <v/>
      </c>
      <c r="Z93" s="9">
        <f>IFERROR(X93-Y93,0)</f>
        <v/>
      </c>
      <c r="AA93" s="153">
        <f>'Jobs-Ops'!AO93</f>
        <v/>
      </c>
      <c r="AB93" s="187" t="n"/>
      <c r="AC93" s="186" t="n"/>
      <c r="AD93" s="186" t="n"/>
      <c r="AE93" s="188" t="n"/>
      <c r="AF93" s="187" t="n"/>
      <c r="AG93" s="187" t="n"/>
      <c r="AH93" s="186" t="n"/>
      <c r="AI93" s="186" t="n"/>
      <c r="AJ93" s="186" t="n"/>
      <c r="AK93" s="186" t="n"/>
      <c r="AL93" s="186" t="n"/>
      <c r="AM93" s="186" t="n"/>
      <c r="AN93" s="186" t="n"/>
      <c r="AO93" s="186" t="n"/>
      <c r="AP93" s="186" t="n"/>
      <c r="AQ93" s="186" t="n"/>
      <c r="AR93" s="186" t="n"/>
      <c r="AS93" s="186" t="n"/>
      <c r="AT93" s="186" t="n"/>
      <c r="AU93" s="186" t="n"/>
      <c r="AV93" s="186" t="n"/>
      <c r="AW93" s="186" t="n"/>
      <c r="AX93" s="186" t="n"/>
      <c r="AY93" s="186" t="n"/>
      <c r="AZ93" s="186" t="n"/>
      <c r="BA93" s="186" t="n"/>
      <c r="BB93" s="186" t="n"/>
      <c r="BC93" s="186" t="n"/>
      <c r="BD93" s="190" t="n"/>
      <c r="BE93" s="186" t="n"/>
      <c r="BF93" s="186" t="n"/>
      <c r="BG93" s="186" t="n"/>
      <c r="BH93" s="186" t="n"/>
      <c r="BI93" s="186" t="n"/>
      <c r="BJ93" s="187" t="n"/>
      <c r="BK93" s="192" t="n"/>
      <c r="BL93" s="192" t="n"/>
      <c r="BM93" s="192" t="n"/>
      <c r="BN93" s="192" t="n"/>
    </row>
    <row r="94">
      <c r="A94" s="289">
        <f> 'Jobs-Ops'!A94</f>
        <v/>
      </c>
      <c r="B94" s="290">
        <f>'Jobs-Ops'!B94</f>
        <v/>
      </c>
      <c r="C94" s="290">
        <f>'Jobs-Ops'!C94</f>
        <v/>
      </c>
      <c r="D94" s="179" t="n"/>
      <c r="E94" s="181">
        <f>'Jobs-Ops'!I94</f>
        <v/>
      </c>
      <c r="F94" s="205">
        <f>'Jobs-Ops'!U94</f>
        <v/>
      </c>
      <c r="G94" s="181">
        <f>'Jobs-GAAP'!J94</f>
        <v/>
      </c>
      <c r="H94" s="205">
        <f>'Jobs-GAAP'!V94</f>
        <v/>
      </c>
      <c r="I94" s="181">
        <f>E94-G94</f>
        <v/>
      </c>
      <c r="J94" s="9">
        <f>'Jobs-Ops'!P94</f>
        <v/>
      </c>
      <c r="K94" s="9">
        <f>'Jobs-GAAP'!Q94</f>
        <v/>
      </c>
      <c r="L94" s="9">
        <f>J94-K94</f>
        <v/>
      </c>
      <c r="M94" s="186" t="n"/>
      <c r="N94" s="9">
        <f>'Jobs-Ops'!Y94</f>
        <v/>
      </c>
      <c r="O94" s="9">
        <f>'Jobs-GAAP'!Y94</f>
        <v/>
      </c>
      <c r="P94" s="9">
        <f>N94-O94</f>
        <v/>
      </c>
      <c r="Q94" s="186" t="n"/>
      <c r="R94" s="11">
        <f>'Jobs-Ops'!AL94</f>
        <v/>
      </c>
      <c r="S94" s="11">
        <f>'Jobs-GAAP'!AH94</f>
        <v/>
      </c>
      <c r="T94" s="11">
        <f>IFERROR(R94-S94,0)</f>
        <v/>
      </c>
      <c r="U94" s="8">
        <f>'Jobs-Ops'!AM94</f>
        <v/>
      </c>
      <c r="V94" s="8">
        <f>'Jobs-GAAP'!AI94</f>
        <v/>
      </c>
      <c r="W94" s="8">
        <f>IFERROR(U94-V94,0)</f>
        <v/>
      </c>
      <c r="X94" s="9">
        <f>'Jobs-Ops'!AN94</f>
        <v/>
      </c>
      <c r="Y94" s="9">
        <f>'Jobs-GAAP'!AJ94</f>
        <v/>
      </c>
      <c r="Z94" s="9">
        <f>IFERROR(X94-Y94,0)</f>
        <v/>
      </c>
      <c r="AA94" s="153">
        <f>'Jobs-Ops'!AO94</f>
        <v/>
      </c>
      <c r="AB94" s="187" t="n"/>
      <c r="AC94" s="186" t="n"/>
      <c r="AD94" s="186" t="n"/>
      <c r="AE94" s="188" t="n"/>
      <c r="AF94" s="187" t="n"/>
      <c r="AG94" s="187" t="n"/>
      <c r="AH94" s="186" t="n"/>
      <c r="AI94" s="186" t="n"/>
      <c r="AJ94" s="186" t="n"/>
      <c r="AK94" s="186" t="n"/>
      <c r="AL94" s="186" t="n"/>
      <c r="AM94" s="186" t="n"/>
      <c r="AN94" s="186" t="n"/>
      <c r="AO94" s="186" t="n"/>
      <c r="AP94" s="186" t="n"/>
      <c r="AQ94" s="186" t="n"/>
      <c r="AR94" s="186" t="n"/>
      <c r="AS94" s="186" t="n"/>
      <c r="AT94" s="186" t="n"/>
      <c r="AU94" s="186" t="n"/>
      <c r="AV94" s="186" t="n"/>
      <c r="AW94" s="186" t="n"/>
      <c r="AX94" s="186" t="n"/>
      <c r="AY94" s="186" t="n"/>
      <c r="AZ94" s="186" t="n"/>
      <c r="BA94" s="186" t="n"/>
      <c r="BB94" s="186" t="n"/>
      <c r="BC94" s="186" t="n"/>
      <c r="BD94" s="190" t="n"/>
      <c r="BE94" s="186" t="n"/>
      <c r="BF94" s="186" t="n"/>
      <c r="BG94" s="186" t="n"/>
      <c r="BH94" s="186" t="n"/>
      <c r="BI94" s="186" t="n"/>
      <c r="BJ94" s="187" t="n"/>
      <c r="BK94" s="192" t="n"/>
      <c r="BL94" s="192" t="n"/>
      <c r="BM94" s="192" t="n"/>
      <c r="BN94" s="192" t="n"/>
    </row>
    <row r="95">
      <c r="A95" s="289">
        <f> 'Jobs-Ops'!A95</f>
        <v/>
      </c>
      <c r="B95" s="290">
        <f>'Jobs-Ops'!B95</f>
        <v/>
      </c>
      <c r="C95" s="290">
        <f>'Jobs-Ops'!C95</f>
        <v/>
      </c>
      <c r="D95" s="179" t="n"/>
      <c r="E95" s="181">
        <f>'Jobs-Ops'!I95</f>
        <v/>
      </c>
      <c r="F95" s="205">
        <f>'Jobs-Ops'!U95</f>
        <v/>
      </c>
      <c r="G95" s="181">
        <f>'Jobs-GAAP'!J95</f>
        <v/>
      </c>
      <c r="H95" s="205">
        <f>'Jobs-GAAP'!V95</f>
        <v/>
      </c>
      <c r="I95" s="181">
        <f>E95-G95</f>
        <v/>
      </c>
      <c r="J95" s="9">
        <f>'Jobs-Ops'!P95</f>
        <v/>
      </c>
      <c r="K95" s="9">
        <f>'Jobs-GAAP'!Q95</f>
        <v/>
      </c>
      <c r="L95" s="9">
        <f>J95-K95</f>
        <v/>
      </c>
      <c r="M95" s="186" t="n"/>
      <c r="N95" s="9">
        <f>'Jobs-Ops'!Y95</f>
        <v/>
      </c>
      <c r="O95" s="9">
        <f>'Jobs-GAAP'!Y95</f>
        <v/>
      </c>
      <c r="P95" s="9">
        <f>N95-O95</f>
        <v/>
      </c>
      <c r="Q95" s="186" t="n"/>
      <c r="R95" s="11">
        <f>'Jobs-Ops'!AL95</f>
        <v/>
      </c>
      <c r="S95" s="11">
        <f>'Jobs-GAAP'!AH95</f>
        <v/>
      </c>
      <c r="T95" s="11">
        <f>IFERROR(R95-S95,0)</f>
        <v/>
      </c>
      <c r="U95" s="8">
        <f>'Jobs-Ops'!AM95</f>
        <v/>
      </c>
      <c r="V95" s="8">
        <f>'Jobs-GAAP'!AI95</f>
        <v/>
      </c>
      <c r="W95" s="8">
        <f>IFERROR(U95-V95,0)</f>
        <v/>
      </c>
      <c r="X95" s="9">
        <f>'Jobs-Ops'!AN95</f>
        <v/>
      </c>
      <c r="Y95" s="9">
        <f>'Jobs-GAAP'!AJ95</f>
        <v/>
      </c>
      <c r="Z95" s="9">
        <f>IFERROR(X95-Y95,0)</f>
        <v/>
      </c>
      <c r="AA95" s="153">
        <f>'Jobs-Ops'!AO95</f>
        <v/>
      </c>
      <c r="AB95" s="187" t="n"/>
      <c r="AC95" s="186" t="n"/>
      <c r="AD95" s="186" t="n"/>
      <c r="AE95" s="188" t="n"/>
      <c r="AF95" s="187" t="n"/>
      <c r="AG95" s="187" t="n"/>
      <c r="AH95" s="186" t="n"/>
      <c r="AI95" s="186" t="n"/>
      <c r="AJ95" s="186" t="n"/>
      <c r="AK95" s="186" t="n"/>
      <c r="AL95" s="186" t="n"/>
      <c r="AM95" s="186" t="n"/>
      <c r="AN95" s="186" t="n"/>
      <c r="AO95" s="186" t="n"/>
      <c r="AP95" s="186" t="n"/>
      <c r="AQ95" s="186" t="n"/>
      <c r="AR95" s="186" t="n"/>
      <c r="AS95" s="186" t="n"/>
      <c r="AT95" s="186" t="n"/>
      <c r="AU95" s="186" t="n"/>
      <c r="AV95" s="186" t="n"/>
      <c r="AW95" s="186" t="n"/>
      <c r="AX95" s="186" t="n"/>
      <c r="AY95" s="186" t="n"/>
      <c r="AZ95" s="186" t="n"/>
      <c r="BA95" s="186" t="n"/>
      <c r="BB95" s="186" t="n"/>
      <c r="BC95" s="186" t="n"/>
      <c r="BD95" s="190" t="n"/>
      <c r="BE95" s="186" t="n"/>
      <c r="BF95" s="186" t="n"/>
      <c r="BG95" s="186" t="n"/>
      <c r="BH95" s="186" t="n"/>
      <c r="BI95" s="186" t="n"/>
      <c r="BJ95" s="187" t="n"/>
      <c r="BK95" s="192" t="n"/>
      <c r="BL95" s="192" t="n"/>
      <c r="BM95" s="192" t="n"/>
      <c r="BN95" s="192" t="n"/>
    </row>
    <row r="96">
      <c r="A96" s="289">
        <f> 'Jobs-Ops'!A96</f>
        <v/>
      </c>
      <c r="B96" s="290">
        <f>'Jobs-Ops'!B96</f>
        <v/>
      </c>
      <c r="C96" s="290">
        <f>'Jobs-Ops'!C96</f>
        <v/>
      </c>
      <c r="D96" s="179" t="n"/>
      <c r="E96" s="181">
        <f>'Jobs-Ops'!I96</f>
        <v/>
      </c>
      <c r="F96" s="205">
        <f>'Jobs-Ops'!U96</f>
        <v/>
      </c>
      <c r="G96" s="181">
        <f>'Jobs-GAAP'!J96</f>
        <v/>
      </c>
      <c r="H96" s="205">
        <f>'Jobs-GAAP'!V96</f>
        <v/>
      </c>
      <c r="I96" s="181">
        <f>E96-G96</f>
        <v/>
      </c>
      <c r="J96" s="9">
        <f>'Jobs-Ops'!P96</f>
        <v/>
      </c>
      <c r="K96" s="9">
        <f>'Jobs-GAAP'!Q96</f>
        <v/>
      </c>
      <c r="L96" s="9">
        <f>J96-K96</f>
        <v/>
      </c>
      <c r="M96" s="186" t="n"/>
      <c r="N96" s="9">
        <f>'Jobs-Ops'!Y96</f>
        <v/>
      </c>
      <c r="O96" s="9">
        <f>'Jobs-GAAP'!Y96</f>
        <v/>
      </c>
      <c r="P96" s="9">
        <f>N96-O96</f>
        <v/>
      </c>
      <c r="Q96" s="186" t="n"/>
      <c r="R96" s="11">
        <f>'Jobs-Ops'!AL96</f>
        <v/>
      </c>
      <c r="S96" s="11">
        <f>'Jobs-GAAP'!AH96</f>
        <v/>
      </c>
      <c r="T96" s="11">
        <f>IFERROR(R96-S96,0)</f>
        <v/>
      </c>
      <c r="U96" s="8">
        <f>'Jobs-Ops'!AM96</f>
        <v/>
      </c>
      <c r="V96" s="8">
        <f>'Jobs-GAAP'!AI96</f>
        <v/>
      </c>
      <c r="W96" s="8">
        <f>IFERROR(U96-V96,0)</f>
        <v/>
      </c>
      <c r="X96" s="9">
        <f>'Jobs-Ops'!AN96</f>
        <v/>
      </c>
      <c r="Y96" s="9">
        <f>'Jobs-GAAP'!AJ96</f>
        <v/>
      </c>
      <c r="Z96" s="9">
        <f>IFERROR(X96-Y96,0)</f>
        <v/>
      </c>
      <c r="AA96" s="153">
        <f>'Jobs-Ops'!AO96</f>
        <v/>
      </c>
      <c r="AB96" s="187" t="n"/>
      <c r="AC96" s="186" t="n"/>
      <c r="AD96" s="186" t="n"/>
      <c r="AE96" s="188" t="n"/>
      <c r="AF96" s="187" t="n"/>
      <c r="AG96" s="187" t="n"/>
      <c r="AH96" s="186" t="n"/>
      <c r="AI96" s="186" t="n"/>
      <c r="AJ96" s="186" t="n"/>
      <c r="AK96" s="186" t="n"/>
      <c r="AL96" s="186" t="n"/>
      <c r="AM96" s="186" t="n"/>
      <c r="AN96" s="186" t="n"/>
      <c r="AO96" s="186" t="n"/>
      <c r="AP96" s="186" t="n"/>
      <c r="AQ96" s="186" t="n"/>
      <c r="AR96" s="186" t="n"/>
      <c r="AS96" s="186" t="n"/>
      <c r="AT96" s="186" t="n"/>
      <c r="AU96" s="186" t="n"/>
      <c r="AV96" s="186" t="n"/>
      <c r="AW96" s="186" t="n"/>
      <c r="AX96" s="186" t="n"/>
      <c r="AY96" s="186" t="n"/>
      <c r="AZ96" s="186" t="n"/>
      <c r="BA96" s="186" t="n"/>
      <c r="BB96" s="186" t="n"/>
      <c r="BC96" s="186" t="n"/>
      <c r="BD96" s="190" t="n"/>
      <c r="BE96" s="186" t="n"/>
      <c r="BF96" s="186" t="n"/>
      <c r="BG96" s="186" t="n"/>
      <c r="BH96" s="186" t="n"/>
      <c r="BI96" s="186" t="n"/>
      <c r="BJ96" s="187" t="n"/>
      <c r="BK96" s="192" t="n"/>
      <c r="BL96" s="192" t="n"/>
      <c r="BM96" s="192" t="n"/>
      <c r="BN96" s="192" t="n"/>
    </row>
    <row r="97">
      <c r="A97" s="289">
        <f> 'Jobs-Ops'!A97</f>
        <v/>
      </c>
      <c r="B97" s="290">
        <f>'Jobs-Ops'!B97</f>
        <v/>
      </c>
      <c r="C97" s="290">
        <f>'Jobs-Ops'!C97</f>
        <v/>
      </c>
      <c r="D97" s="179" t="n"/>
      <c r="E97" s="181">
        <f>'Jobs-Ops'!I97</f>
        <v/>
      </c>
      <c r="F97" s="205">
        <f>'Jobs-Ops'!U97</f>
        <v/>
      </c>
      <c r="G97" s="181">
        <f>'Jobs-GAAP'!J97</f>
        <v/>
      </c>
      <c r="H97" s="205">
        <f>'Jobs-GAAP'!V97</f>
        <v/>
      </c>
      <c r="I97" s="181">
        <f>E97-G97</f>
        <v/>
      </c>
      <c r="J97" s="9">
        <f>'Jobs-Ops'!P97</f>
        <v/>
      </c>
      <c r="K97" s="9">
        <f>'Jobs-GAAP'!Q97</f>
        <v/>
      </c>
      <c r="L97" s="9">
        <f>J97-K97</f>
        <v/>
      </c>
      <c r="M97" s="186" t="n"/>
      <c r="N97" s="9">
        <f>'Jobs-Ops'!Y97</f>
        <v/>
      </c>
      <c r="O97" s="9">
        <f>'Jobs-GAAP'!Y97</f>
        <v/>
      </c>
      <c r="P97" s="9">
        <f>N97-O97</f>
        <v/>
      </c>
      <c r="Q97" s="186" t="n"/>
      <c r="R97" s="11">
        <f>'Jobs-Ops'!AL97</f>
        <v/>
      </c>
      <c r="S97" s="11">
        <f>'Jobs-GAAP'!AH97</f>
        <v/>
      </c>
      <c r="T97" s="11">
        <f>IFERROR(R97-S97,0)</f>
        <v/>
      </c>
      <c r="U97" s="8">
        <f>'Jobs-Ops'!AM97</f>
        <v/>
      </c>
      <c r="V97" s="8">
        <f>'Jobs-GAAP'!AI97</f>
        <v/>
      </c>
      <c r="W97" s="8">
        <f>IFERROR(U97-V97,0)</f>
        <v/>
      </c>
      <c r="X97" s="9">
        <f>'Jobs-Ops'!AN97</f>
        <v/>
      </c>
      <c r="Y97" s="9">
        <f>'Jobs-GAAP'!AJ97</f>
        <v/>
      </c>
      <c r="Z97" s="9">
        <f>IFERROR(X97-Y97,0)</f>
        <v/>
      </c>
      <c r="AA97" s="153">
        <f>'Jobs-Ops'!AO97</f>
        <v/>
      </c>
      <c r="AB97" s="187" t="n"/>
      <c r="AC97" s="186" t="n"/>
      <c r="AD97" s="186" t="n"/>
      <c r="AE97" s="188" t="n"/>
      <c r="AF97" s="187" t="n"/>
      <c r="AG97" s="187" t="n"/>
      <c r="AH97" s="186" t="n"/>
      <c r="AI97" s="186" t="n"/>
      <c r="AJ97" s="186" t="n"/>
      <c r="AK97" s="186" t="n"/>
      <c r="AL97" s="186" t="n"/>
      <c r="AM97" s="186" t="n"/>
      <c r="AN97" s="186" t="n"/>
      <c r="AO97" s="186" t="n"/>
      <c r="AP97" s="186" t="n"/>
      <c r="AQ97" s="186" t="n"/>
      <c r="AR97" s="186" t="n"/>
      <c r="AS97" s="186" t="n"/>
      <c r="AT97" s="186" t="n"/>
      <c r="AU97" s="186" t="n"/>
      <c r="AV97" s="186" t="n"/>
      <c r="AW97" s="186" t="n"/>
      <c r="AX97" s="186" t="n"/>
      <c r="AY97" s="186" t="n"/>
      <c r="AZ97" s="186" t="n"/>
      <c r="BA97" s="186" t="n"/>
      <c r="BB97" s="186" t="n"/>
      <c r="BC97" s="186" t="n"/>
      <c r="BD97" s="190" t="n"/>
      <c r="BE97" s="186" t="n"/>
      <c r="BF97" s="186" t="n"/>
      <c r="BG97" s="186" t="n"/>
      <c r="BH97" s="186" t="n"/>
      <c r="BI97" s="186" t="n"/>
      <c r="BJ97" s="187" t="n"/>
      <c r="BK97" s="192" t="n"/>
      <c r="BL97" s="192" t="n"/>
      <c r="BM97" s="192" t="n"/>
      <c r="BN97" s="192" t="n"/>
    </row>
    <row r="98">
      <c r="A98" s="289">
        <f> 'Jobs-Ops'!A98</f>
        <v/>
      </c>
      <c r="B98" s="290">
        <f>'Jobs-Ops'!B98</f>
        <v/>
      </c>
      <c r="C98" s="290">
        <f>'Jobs-Ops'!C98</f>
        <v/>
      </c>
      <c r="D98" s="179" t="n"/>
      <c r="E98" s="181">
        <f>'Jobs-Ops'!I98</f>
        <v/>
      </c>
      <c r="F98" s="205">
        <f>'Jobs-Ops'!U98</f>
        <v/>
      </c>
      <c r="G98" s="181">
        <f>'Jobs-GAAP'!J98</f>
        <v/>
      </c>
      <c r="H98" s="205">
        <f>'Jobs-GAAP'!V98</f>
        <v/>
      </c>
      <c r="I98" s="181">
        <f>E98-G98</f>
        <v/>
      </c>
      <c r="J98" s="9">
        <f>'Jobs-Ops'!P98</f>
        <v/>
      </c>
      <c r="K98" s="9">
        <f>'Jobs-GAAP'!Q98</f>
        <v/>
      </c>
      <c r="L98" s="9">
        <f>J98-K98</f>
        <v/>
      </c>
      <c r="M98" s="186" t="n"/>
      <c r="N98" s="9">
        <f>'Jobs-Ops'!Y98</f>
        <v/>
      </c>
      <c r="O98" s="9">
        <f>'Jobs-GAAP'!Y98</f>
        <v/>
      </c>
      <c r="P98" s="9">
        <f>N98-O98</f>
        <v/>
      </c>
      <c r="Q98" s="186" t="n"/>
      <c r="R98" s="11">
        <f>'Jobs-Ops'!AL98</f>
        <v/>
      </c>
      <c r="S98" s="11">
        <f>'Jobs-GAAP'!AH98</f>
        <v/>
      </c>
      <c r="T98" s="11">
        <f>IFERROR(R98-S98,0)</f>
        <v/>
      </c>
      <c r="U98" s="8">
        <f>'Jobs-Ops'!AM98</f>
        <v/>
      </c>
      <c r="V98" s="8">
        <f>'Jobs-GAAP'!AI98</f>
        <v/>
      </c>
      <c r="W98" s="8">
        <f>IFERROR(U98-V98,0)</f>
        <v/>
      </c>
      <c r="X98" s="9">
        <f>'Jobs-Ops'!AN98</f>
        <v/>
      </c>
      <c r="Y98" s="9">
        <f>'Jobs-GAAP'!AJ98</f>
        <v/>
      </c>
      <c r="Z98" s="9">
        <f>IFERROR(X98-Y98,0)</f>
        <v/>
      </c>
      <c r="AA98" s="153">
        <f>'Jobs-Ops'!AO98</f>
        <v/>
      </c>
      <c r="AB98" s="187" t="n"/>
      <c r="AC98" s="186" t="n"/>
      <c r="AD98" s="186" t="n"/>
      <c r="AE98" s="188" t="n"/>
      <c r="AF98" s="187" t="n"/>
      <c r="AG98" s="187" t="n"/>
      <c r="AH98" s="186" t="n"/>
      <c r="AI98" s="186" t="n"/>
      <c r="AJ98" s="186" t="n"/>
      <c r="AK98" s="186" t="n"/>
      <c r="AL98" s="186" t="n"/>
      <c r="AM98" s="186" t="n"/>
      <c r="AN98" s="186" t="n"/>
      <c r="AO98" s="186" t="n"/>
      <c r="AP98" s="186" t="n"/>
      <c r="AQ98" s="186" t="n"/>
      <c r="AR98" s="186" t="n"/>
      <c r="AS98" s="186" t="n"/>
      <c r="AT98" s="186" t="n"/>
      <c r="AU98" s="186" t="n"/>
      <c r="AV98" s="186" t="n"/>
      <c r="AW98" s="186" t="n"/>
      <c r="AX98" s="186" t="n"/>
      <c r="AY98" s="186" t="n"/>
      <c r="AZ98" s="186" t="n"/>
      <c r="BA98" s="186" t="n"/>
      <c r="BB98" s="186" t="n"/>
      <c r="BC98" s="186" t="n"/>
      <c r="BD98" s="190" t="n"/>
      <c r="BE98" s="186" t="n"/>
      <c r="BF98" s="186" t="n"/>
      <c r="BG98" s="186" t="n"/>
      <c r="BH98" s="186" t="n"/>
      <c r="BI98" s="186" t="n"/>
      <c r="BJ98" s="187" t="n"/>
      <c r="BK98" s="192" t="n"/>
      <c r="BL98" s="192" t="n"/>
      <c r="BM98" s="192" t="n"/>
      <c r="BN98" s="192" t="n"/>
    </row>
    <row r="99">
      <c r="A99" s="289">
        <f> 'Jobs-Ops'!A99</f>
        <v/>
      </c>
      <c r="B99" s="290">
        <f>'Jobs-Ops'!B99</f>
        <v/>
      </c>
      <c r="C99" s="290">
        <f>'Jobs-Ops'!C99</f>
        <v/>
      </c>
      <c r="D99" s="179" t="n"/>
      <c r="E99" s="181">
        <f>'Jobs-Ops'!I99</f>
        <v/>
      </c>
      <c r="F99" s="205">
        <f>'Jobs-Ops'!U99</f>
        <v/>
      </c>
      <c r="G99" s="181">
        <f>'Jobs-GAAP'!J99</f>
        <v/>
      </c>
      <c r="H99" s="205">
        <f>'Jobs-GAAP'!V99</f>
        <v/>
      </c>
      <c r="I99" s="181">
        <f>E99-G99</f>
        <v/>
      </c>
      <c r="J99" s="9">
        <f>'Jobs-Ops'!P99</f>
        <v/>
      </c>
      <c r="K99" s="9">
        <f>'Jobs-GAAP'!Q99</f>
        <v/>
      </c>
      <c r="L99" s="9">
        <f>J99-K99</f>
        <v/>
      </c>
      <c r="M99" s="186" t="n"/>
      <c r="N99" s="9">
        <f>'Jobs-Ops'!Y99</f>
        <v/>
      </c>
      <c r="O99" s="9">
        <f>'Jobs-GAAP'!Y99</f>
        <v/>
      </c>
      <c r="P99" s="9">
        <f>N99-O99</f>
        <v/>
      </c>
      <c r="Q99" s="186" t="n"/>
      <c r="R99" s="11">
        <f>'Jobs-Ops'!AL99</f>
        <v/>
      </c>
      <c r="S99" s="11">
        <f>'Jobs-GAAP'!AH99</f>
        <v/>
      </c>
      <c r="T99" s="11">
        <f>IFERROR(R99-S99,0)</f>
        <v/>
      </c>
      <c r="U99" s="8">
        <f>'Jobs-Ops'!AM99</f>
        <v/>
      </c>
      <c r="V99" s="8">
        <f>'Jobs-GAAP'!AI99</f>
        <v/>
      </c>
      <c r="W99" s="8">
        <f>IFERROR(U99-V99,0)</f>
        <v/>
      </c>
      <c r="X99" s="9">
        <f>'Jobs-Ops'!AN99</f>
        <v/>
      </c>
      <c r="Y99" s="9">
        <f>'Jobs-GAAP'!AJ99</f>
        <v/>
      </c>
      <c r="Z99" s="9">
        <f>IFERROR(X99-Y99,0)</f>
        <v/>
      </c>
      <c r="AA99" s="153">
        <f>'Jobs-Ops'!AO99</f>
        <v/>
      </c>
      <c r="AB99" s="187" t="n"/>
      <c r="AC99" s="186" t="n"/>
      <c r="AD99" s="186" t="n"/>
      <c r="AE99" s="188" t="n"/>
      <c r="AF99" s="187" t="n"/>
      <c r="AG99" s="187" t="n"/>
      <c r="AH99" s="186" t="n"/>
      <c r="AI99" s="186" t="n"/>
      <c r="AJ99" s="186" t="n"/>
      <c r="AK99" s="186" t="n"/>
      <c r="AL99" s="186" t="n"/>
      <c r="AM99" s="186" t="n"/>
      <c r="AN99" s="186" t="n"/>
      <c r="AO99" s="186" t="n"/>
      <c r="AP99" s="186" t="n"/>
      <c r="AQ99" s="186" t="n"/>
      <c r="AR99" s="186" t="n"/>
      <c r="AS99" s="186" t="n"/>
      <c r="AT99" s="186" t="n"/>
      <c r="AU99" s="186" t="n"/>
      <c r="AV99" s="186" t="n"/>
      <c r="AW99" s="186" t="n"/>
      <c r="AX99" s="186" t="n"/>
      <c r="AY99" s="186" t="n"/>
      <c r="AZ99" s="186" t="n"/>
      <c r="BA99" s="186" t="n"/>
      <c r="BB99" s="186" t="n"/>
      <c r="BC99" s="186" t="n"/>
      <c r="BD99" s="190" t="n"/>
      <c r="BE99" s="186" t="n"/>
      <c r="BF99" s="186" t="n"/>
      <c r="BG99" s="186" t="n"/>
      <c r="BH99" s="186" t="n"/>
      <c r="BI99" s="186" t="n"/>
      <c r="BJ99" s="187" t="n"/>
      <c r="BK99" s="192" t="n"/>
      <c r="BL99" s="192" t="n"/>
      <c r="BM99" s="192" t="n"/>
      <c r="BN99" s="192" t="n"/>
    </row>
    <row r="100">
      <c r="A100" s="289">
        <f> 'Jobs-Ops'!A100</f>
        <v/>
      </c>
      <c r="B100" s="290">
        <f>'Jobs-Ops'!B100</f>
        <v/>
      </c>
      <c r="C100" s="290">
        <f>'Jobs-Ops'!C100</f>
        <v/>
      </c>
      <c r="D100" s="179" t="n"/>
      <c r="E100" s="181">
        <f>'Jobs-Ops'!I100</f>
        <v/>
      </c>
      <c r="F100" s="205">
        <f>'Jobs-Ops'!U100</f>
        <v/>
      </c>
      <c r="G100" s="181">
        <f>'Jobs-GAAP'!J100</f>
        <v/>
      </c>
      <c r="H100" s="205">
        <f>'Jobs-GAAP'!V100</f>
        <v/>
      </c>
      <c r="I100" s="181">
        <f>E100-G100</f>
        <v/>
      </c>
      <c r="J100" s="9">
        <f>'Jobs-Ops'!P100</f>
        <v/>
      </c>
      <c r="K100" s="9">
        <f>'Jobs-GAAP'!Q100</f>
        <v/>
      </c>
      <c r="L100" s="9">
        <f>J100-K100</f>
        <v/>
      </c>
      <c r="M100" s="186" t="n"/>
      <c r="N100" s="9">
        <f>'Jobs-Ops'!Y100</f>
        <v/>
      </c>
      <c r="O100" s="9">
        <f>'Jobs-GAAP'!Y100</f>
        <v/>
      </c>
      <c r="P100" s="9">
        <f>N100-O100</f>
        <v/>
      </c>
      <c r="Q100" s="186" t="n"/>
      <c r="R100" s="11">
        <f>'Jobs-Ops'!AL100</f>
        <v/>
      </c>
      <c r="S100" s="11">
        <f>'Jobs-GAAP'!AH100</f>
        <v/>
      </c>
      <c r="T100" s="11">
        <f>IFERROR(R100-S100,0)</f>
        <v/>
      </c>
      <c r="U100" s="8">
        <f>'Jobs-Ops'!AM100</f>
        <v/>
      </c>
      <c r="V100" s="8">
        <f>'Jobs-GAAP'!AI100</f>
        <v/>
      </c>
      <c r="W100" s="8">
        <f>IFERROR(U100-V100,0)</f>
        <v/>
      </c>
      <c r="X100" s="9">
        <f>'Jobs-Ops'!AN100</f>
        <v/>
      </c>
      <c r="Y100" s="9">
        <f>'Jobs-GAAP'!AJ100</f>
        <v/>
      </c>
      <c r="Z100" s="9">
        <f>IFERROR(X100-Y100,0)</f>
        <v/>
      </c>
      <c r="AA100" s="153">
        <f>'Jobs-Ops'!AO100</f>
        <v/>
      </c>
      <c r="AB100" s="187" t="n"/>
      <c r="AC100" s="186" t="n"/>
      <c r="AD100" s="186" t="n"/>
      <c r="AE100" s="188" t="n"/>
      <c r="AF100" s="187" t="n"/>
      <c r="AG100" s="187" t="n"/>
      <c r="AH100" s="186" t="n"/>
      <c r="AI100" s="186" t="n"/>
      <c r="AJ100" s="186" t="n"/>
      <c r="AK100" s="186" t="n"/>
      <c r="AL100" s="186" t="n"/>
      <c r="AM100" s="186" t="n"/>
      <c r="AN100" s="186" t="n"/>
      <c r="AO100" s="186" t="n"/>
      <c r="AP100" s="186" t="n"/>
      <c r="AQ100" s="186" t="n"/>
      <c r="AR100" s="186" t="n"/>
      <c r="AS100" s="186" t="n"/>
      <c r="AT100" s="186" t="n"/>
      <c r="AU100" s="186" t="n"/>
      <c r="AV100" s="186" t="n"/>
      <c r="AW100" s="186" t="n"/>
      <c r="AX100" s="186" t="n"/>
      <c r="AY100" s="186" t="n"/>
      <c r="AZ100" s="186" t="n"/>
      <c r="BA100" s="186" t="n"/>
      <c r="BB100" s="186" t="n"/>
      <c r="BC100" s="186" t="n"/>
      <c r="BD100" s="190" t="n"/>
      <c r="BE100" s="186" t="n"/>
      <c r="BF100" s="186" t="n"/>
      <c r="BG100" s="186" t="n"/>
      <c r="BH100" s="186" t="n"/>
      <c r="BI100" s="186" t="n"/>
      <c r="BJ100" s="187" t="n"/>
      <c r="BK100" s="192" t="n"/>
      <c r="BL100" s="192" t="n"/>
      <c r="BM100" s="192" t="n"/>
      <c r="BN100" s="192" t="n"/>
    </row>
    <row r="101">
      <c r="A101" s="289">
        <f> 'Jobs-Ops'!A101</f>
        <v/>
      </c>
      <c r="B101" s="290">
        <f>'Jobs-Ops'!B101</f>
        <v/>
      </c>
      <c r="C101" s="290">
        <f>'Jobs-Ops'!C101</f>
        <v/>
      </c>
      <c r="D101" s="179" t="n"/>
      <c r="E101" s="181">
        <f>'Jobs-Ops'!I101</f>
        <v/>
      </c>
      <c r="F101" s="205">
        <f>'Jobs-Ops'!U101</f>
        <v/>
      </c>
      <c r="G101" s="181">
        <f>'Jobs-GAAP'!J101</f>
        <v/>
      </c>
      <c r="H101" s="205">
        <f>'Jobs-GAAP'!V101</f>
        <v/>
      </c>
      <c r="I101" s="181">
        <f>E101-G101</f>
        <v/>
      </c>
      <c r="J101" s="9">
        <f>'Jobs-Ops'!P101</f>
        <v/>
      </c>
      <c r="K101" s="9">
        <f>'Jobs-GAAP'!Q101</f>
        <v/>
      </c>
      <c r="L101" s="9">
        <f>J101-K101</f>
        <v/>
      </c>
      <c r="M101" s="186" t="n"/>
      <c r="N101" s="9">
        <f>'Jobs-Ops'!Y101</f>
        <v/>
      </c>
      <c r="O101" s="9">
        <f>'Jobs-GAAP'!Y101</f>
        <v/>
      </c>
      <c r="P101" s="9">
        <f>N101-O101</f>
        <v/>
      </c>
      <c r="Q101" s="186" t="n"/>
      <c r="R101" s="11">
        <f>'Jobs-Ops'!AL101</f>
        <v/>
      </c>
      <c r="S101" s="11">
        <f>'Jobs-GAAP'!AH101</f>
        <v/>
      </c>
      <c r="T101" s="11">
        <f>IFERROR(R101-S101,0)</f>
        <v/>
      </c>
      <c r="U101" s="8">
        <f>'Jobs-Ops'!AM101</f>
        <v/>
      </c>
      <c r="V101" s="8">
        <f>'Jobs-GAAP'!AI101</f>
        <v/>
      </c>
      <c r="W101" s="8">
        <f>IFERROR(U101-V101,0)</f>
        <v/>
      </c>
      <c r="X101" s="9">
        <f>'Jobs-Ops'!AN101</f>
        <v/>
      </c>
      <c r="Y101" s="9">
        <f>'Jobs-GAAP'!AJ101</f>
        <v/>
      </c>
      <c r="Z101" s="9">
        <f>IFERROR(X101-Y101,0)</f>
        <v/>
      </c>
      <c r="AA101" s="153">
        <f>'Jobs-Ops'!AO101</f>
        <v/>
      </c>
      <c r="AB101" s="187" t="n"/>
      <c r="AC101" s="186" t="n"/>
      <c r="AD101" s="186" t="n"/>
      <c r="AE101" s="188" t="n"/>
      <c r="AF101" s="187" t="n"/>
      <c r="AG101" s="187" t="n"/>
      <c r="AH101" s="186" t="n"/>
      <c r="AI101" s="186" t="n"/>
      <c r="AJ101" s="186" t="n"/>
      <c r="AK101" s="186" t="n"/>
      <c r="AL101" s="186" t="n"/>
      <c r="AM101" s="186" t="n"/>
      <c r="AN101" s="186" t="n"/>
      <c r="AO101" s="186" t="n"/>
      <c r="AP101" s="186" t="n"/>
      <c r="AQ101" s="186" t="n"/>
      <c r="AR101" s="186" t="n"/>
      <c r="AS101" s="186" t="n"/>
      <c r="AT101" s="186" t="n"/>
      <c r="AU101" s="186" t="n"/>
      <c r="AV101" s="186" t="n"/>
      <c r="AW101" s="186" t="n"/>
      <c r="AX101" s="186" t="n"/>
      <c r="AY101" s="186" t="n"/>
      <c r="AZ101" s="186" t="n"/>
      <c r="BA101" s="186" t="n"/>
      <c r="BB101" s="186" t="n"/>
      <c r="BC101" s="186" t="n"/>
      <c r="BD101" s="190" t="n"/>
      <c r="BE101" s="186" t="n"/>
      <c r="BF101" s="186" t="n"/>
      <c r="BG101" s="186" t="n"/>
      <c r="BH101" s="186" t="n"/>
      <c r="BI101" s="186" t="n"/>
      <c r="BJ101" s="187" t="n"/>
      <c r="BK101" s="192" t="n"/>
      <c r="BL101" s="192" t="n"/>
      <c r="BM101" s="192" t="n"/>
      <c r="BN101" s="192" t="n"/>
    </row>
    <row r="102">
      <c r="A102" s="289">
        <f> 'Jobs-Ops'!A102</f>
        <v/>
      </c>
      <c r="B102" s="290">
        <f>'Jobs-Ops'!B102</f>
        <v/>
      </c>
      <c r="C102" s="290">
        <f>'Jobs-Ops'!C102</f>
        <v/>
      </c>
      <c r="D102" s="179" t="n"/>
      <c r="E102" s="181">
        <f>'Jobs-Ops'!I102</f>
        <v/>
      </c>
      <c r="F102" s="205">
        <f>'Jobs-Ops'!U102</f>
        <v/>
      </c>
      <c r="G102" s="181">
        <f>'Jobs-GAAP'!J102</f>
        <v/>
      </c>
      <c r="H102" s="205">
        <f>'Jobs-GAAP'!V102</f>
        <v/>
      </c>
      <c r="I102" s="181">
        <f>E102-G102</f>
        <v/>
      </c>
      <c r="J102" s="9">
        <f>'Jobs-Ops'!P102</f>
        <v/>
      </c>
      <c r="K102" s="9">
        <f>'Jobs-GAAP'!Q102</f>
        <v/>
      </c>
      <c r="L102" s="9">
        <f>J102-K102</f>
        <v/>
      </c>
      <c r="M102" s="186" t="n"/>
      <c r="N102" s="9">
        <f>'Jobs-Ops'!Y102</f>
        <v/>
      </c>
      <c r="O102" s="9">
        <f>'Jobs-GAAP'!Y102</f>
        <v/>
      </c>
      <c r="P102" s="9">
        <f>N102-O102</f>
        <v/>
      </c>
      <c r="Q102" s="186" t="n"/>
      <c r="R102" s="11">
        <f>'Jobs-Ops'!AL102</f>
        <v/>
      </c>
      <c r="S102" s="11">
        <f>'Jobs-GAAP'!AH102</f>
        <v/>
      </c>
      <c r="T102" s="11">
        <f>IFERROR(R102-S102,0)</f>
        <v/>
      </c>
      <c r="U102" s="8">
        <f>'Jobs-Ops'!AM102</f>
        <v/>
      </c>
      <c r="V102" s="8">
        <f>'Jobs-GAAP'!AI102</f>
        <v/>
      </c>
      <c r="W102" s="8">
        <f>IFERROR(U102-V102,0)</f>
        <v/>
      </c>
      <c r="X102" s="9">
        <f>'Jobs-Ops'!AN102</f>
        <v/>
      </c>
      <c r="Y102" s="9">
        <f>'Jobs-GAAP'!AJ102</f>
        <v/>
      </c>
      <c r="Z102" s="9">
        <f>IFERROR(X102-Y102,0)</f>
        <v/>
      </c>
      <c r="AA102" s="153">
        <f>'Jobs-Ops'!AO102</f>
        <v/>
      </c>
      <c r="AB102" s="187" t="n"/>
      <c r="AC102" s="186" t="n"/>
      <c r="AD102" s="186" t="n"/>
      <c r="AE102" s="188" t="n"/>
      <c r="AF102" s="187" t="n"/>
      <c r="AG102" s="187" t="n"/>
      <c r="AH102" s="186" t="n"/>
      <c r="AI102" s="186" t="n"/>
      <c r="AJ102" s="186" t="n"/>
      <c r="AK102" s="186" t="n"/>
      <c r="AL102" s="186" t="n"/>
      <c r="AM102" s="186" t="n"/>
      <c r="AN102" s="186" t="n"/>
      <c r="AO102" s="186" t="n"/>
      <c r="AP102" s="186" t="n"/>
      <c r="AQ102" s="186" t="n"/>
      <c r="AR102" s="186" t="n"/>
      <c r="AS102" s="186" t="n"/>
      <c r="AT102" s="186" t="n"/>
      <c r="AU102" s="186" t="n"/>
      <c r="AV102" s="186" t="n"/>
      <c r="AW102" s="186" t="n"/>
      <c r="AX102" s="186" t="n"/>
      <c r="AY102" s="186" t="n"/>
      <c r="AZ102" s="186" t="n"/>
      <c r="BA102" s="186" t="n"/>
      <c r="BB102" s="186" t="n"/>
      <c r="BC102" s="186" t="n"/>
      <c r="BD102" s="190" t="n"/>
      <c r="BE102" s="186" t="n"/>
      <c r="BF102" s="186" t="n"/>
      <c r="BG102" s="186" t="n"/>
      <c r="BH102" s="186" t="n"/>
      <c r="BI102" s="186" t="n"/>
      <c r="BJ102" s="187" t="n"/>
      <c r="BK102" s="192" t="n"/>
      <c r="BL102" s="192" t="n"/>
      <c r="BM102" s="192" t="n"/>
      <c r="BN102" s="192" t="n"/>
    </row>
    <row r="103">
      <c r="A103" s="289">
        <f> 'Jobs-Ops'!A103</f>
        <v/>
      </c>
      <c r="B103" s="290">
        <f>'Jobs-Ops'!B103</f>
        <v/>
      </c>
      <c r="C103" s="290">
        <f>'Jobs-Ops'!C103</f>
        <v/>
      </c>
      <c r="D103" s="179" t="n"/>
      <c r="E103" s="181">
        <f>'Jobs-Ops'!I103</f>
        <v/>
      </c>
      <c r="F103" s="205">
        <f>'Jobs-Ops'!U103</f>
        <v/>
      </c>
      <c r="G103" s="181">
        <f>'Jobs-GAAP'!J103</f>
        <v/>
      </c>
      <c r="H103" s="205">
        <f>'Jobs-GAAP'!V103</f>
        <v/>
      </c>
      <c r="I103" s="181">
        <f>E103-G103</f>
        <v/>
      </c>
      <c r="J103" s="9">
        <f>'Jobs-Ops'!P103</f>
        <v/>
      </c>
      <c r="K103" s="9">
        <f>'Jobs-GAAP'!Q103</f>
        <v/>
      </c>
      <c r="L103" s="9">
        <f>J103-K103</f>
        <v/>
      </c>
      <c r="M103" s="186" t="n"/>
      <c r="N103" s="9">
        <f>'Jobs-Ops'!Y103</f>
        <v/>
      </c>
      <c r="O103" s="9">
        <f>'Jobs-GAAP'!Y103</f>
        <v/>
      </c>
      <c r="P103" s="9">
        <f>N103-O103</f>
        <v/>
      </c>
      <c r="Q103" s="186" t="n"/>
      <c r="R103" s="11">
        <f>'Jobs-Ops'!AL103</f>
        <v/>
      </c>
      <c r="S103" s="11">
        <f>'Jobs-GAAP'!AH103</f>
        <v/>
      </c>
      <c r="T103" s="11">
        <f>IFERROR(R103-S103,0)</f>
        <v/>
      </c>
      <c r="U103" s="8">
        <f>'Jobs-Ops'!AM103</f>
        <v/>
      </c>
      <c r="V103" s="8">
        <f>'Jobs-GAAP'!AI103</f>
        <v/>
      </c>
      <c r="W103" s="8">
        <f>IFERROR(U103-V103,0)</f>
        <v/>
      </c>
      <c r="X103" s="9">
        <f>'Jobs-Ops'!AN103</f>
        <v/>
      </c>
      <c r="Y103" s="9">
        <f>'Jobs-GAAP'!AJ103</f>
        <v/>
      </c>
      <c r="Z103" s="9">
        <f>IFERROR(X103-Y103,0)</f>
        <v/>
      </c>
      <c r="AA103" s="153">
        <f>'Jobs-Ops'!AO103</f>
        <v/>
      </c>
      <c r="AB103" s="187" t="n"/>
      <c r="AC103" s="186" t="n"/>
      <c r="AD103" s="186" t="n"/>
      <c r="AE103" s="188" t="n"/>
      <c r="AF103" s="187" t="n"/>
      <c r="AG103" s="187" t="n"/>
      <c r="AH103" s="186" t="n"/>
      <c r="AI103" s="186" t="n"/>
      <c r="AJ103" s="186" t="n"/>
      <c r="AK103" s="186" t="n"/>
      <c r="AL103" s="186" t="n"/>
      <c r="AM103" s="186" t="n"/>
      <c r="AN103" s="186" t="n"/>
      <c r="AO103" s="186" t="n"/>
      <c r="AP103" s="186" t="n"/>
      <c r="AQ103" s="186" t="n"/>
      <c r="AR103" s="186" t="n"/>
      <c r="AS103" s="186" t="n"/>
      <c r="AT103" s="186" t="n"/>
      <c r="AU103" s="186" t="n"/>
      <c r="AV103" s="186" t="n"/>
      <c r="AW103" s="186" t="n"/>
      <c r="AX103" s="186" t="n"/>
      <c r="AY103" s="186" t="n"/>
      <c r="AZ103" s="186" t="n"/>
      <c r="BA103" s="186" t="n"/>
      <c r="BB103" s="186" t="n"/>
      <c r="BC103" s="186" t="n"/>
      <c r="BD103" s="190" t="n"/>
      <c r="BE103" s="186" t="n"/>
      <c r="BF103" s="186" t="n"/>
      <c r="BG103" s="186" t="n"/>
      <c r="BH103" s="186" t="n"/>
      <c r="BI103" s="186" t="n"/>
      <c r="BJ103" s="187" t="n"/>
      <c r="BK103" s="192" t="n"/>
      <c r="BL103" s="192" t="n"/>
      <c r="BM103" s="192" t="n"/>
      <c r="BN103" s="192" t="n"/>
    </row>
    <row r="104">
      <c r="A104" s="289">
        <f> 'Jobs-Ops'!A104</f>
        <v/>
      </c>
      <c r="B104" s="290">
        <f>'Jobs-Ops'!B104</f>
        <v/>
      </c>
      <c r="C104" s="290">
        <f>'Jobs-Ops'!C104</f>
        <v/>
      </c>
      <c r="D104" s="179" t="n"/>
      <c r="E104" s="181">
        <f>'Jobs-Ops'!I104</f>
        <v/>
      </c>
      <c r="F104" s="205">
        <f>'Jobs-Ops'!U104</f>
        <v/>
      </c>
      <c r="G104" s="181">
        <f>'Jobs-GAAP'!J104</f>
        <v/>
      </c>
      <c r="H104" s="205">
        <f>'Jobs-GAAP'!V104</f>
        <v/>
      </c>
      <c r="I104" s="181">
        <f>E104-G104</f>
        <v/>
      </c>
      <c r="J104" s="9">
        <f>'Jobs-Ops'!P104</f>
        <v/>
      </c>
      <c r="K104" s="9">
        <f>'Jobs-GAAP'!Q104</f>
        <v/>
      </c>
      <c r="L104" s="9">
        <f>J104-K104</f>
        <v/>
      </c>
      <c r="M104" s="186" t="n"/>
      <c r="N104" s="9">
        <f>'Jobs-Ops'!Y104</f>
        <v/>
      </c>
      <c r="O104" s="9">
        <f>'Jobs-GAAP'!Y104</f>
        <v/>
      </c>
      <c r="P104" s="9">
        <f>N104-O104</f>
        <v/>
      </c>
      <c r="Q104" s="186" t="n"/>
      <c r="R104" s="11">
        <f>'Jobs-Ops'!AL104</f>
        <v/>
      </c>
      <c r="S104" s="11">
        <f>'Jobs-GAAP'!AH104</f>
        <v/>
      </c>
      <c r="T104" s="11">
        <f>IFERROR(R104-S104,0)</f>
        <v/>
      </c>
      <c r="U104" s="8">
        <f>'Jobs-Ops'!AM104</f>
        <v/>
      </c>
      <c r="V104" s="8">
        <f>'Jobs-GAAP'!AI104</f>
        <v/>
      </c>
      <c r="W104" s="8">
        <f>IFERROR(U104-V104,0)</f>
        <v/>
      </c>
      <c r="X104" s="9">
        <f>'Jobs-Ops'!AN104</f>
        <v/>
      </c>
      <c r="Y104" s="9">
        <f>'Jobs-GAAP'!AJ104</f>
        <v/>
      </c>
      <c r="Z104" s="9">
        <f>IFERROR(X104-Y104,0)</f>
        <v/>
      </c>
      <c r="AA104" s="153">
        <f>'Jobs-Ops'!AO104</f>
        <v/>
      </c>
      <c r="AB104" s="187" t="n"/>
      <c r="AC104" s="186" t="n"/>
      <c r="AD104" s="186" t="n"/>
      <c r="AE104" s="188" t="n"/>
      <c r="AF104" s="187" t="n"/>
      <c r="AG104" s="187" t="n"/>
      <c r="AH104" s="186" t="n"/>
      <c r="AI104" s="186" t="n"/>
      <c r="AJ104" s="186" t="n"/>
      <c r="AK104" s="186" t="n"/>
      <c r="AL104" s="186" t="n"/>
      <c r="AM104" s="186" t="n"/>
      <c r="AN104" s="186" t="n"/>
      <c r="AO104" s="186" t="n"/>
      <c r="AP104" s="186" t="n"/>
      <c r="AQ104" s="186" t="n"/>
      <c r="AR104" s="186" t="n"/>
      <c r="AS104" s="186" t="n"/>
      <c r="AT104" s="186" t="n"/>
      <c r="AU104" s="186" t="n"/>
      <c r="AV104" s="186" t="n"/>
      <c r="AW104" s="186" t="n"/>
      <c r="AX104" s="186" t="n"/>
      <c r="AY104" s="186" t="n"/>
      <c r="AZ104" s="186" t="n"/>
      <c r="BA104" s="186" t="n"/>
      <c r="BB104" s="186" t="n"/>
      <c r="BC104" s="186" t="n"/>
      <c r="BD104" s="190" t="n"/>
      <c r="BE104" s="186" t="n"/>
      <c r="BF104" s="186" t="n"/>
      <c r="BG104" s="186" t="n"/>
      <c r="BH104" s="186" t="n"/>
      <c r="BI104" s="186" t="n"/>
      <c r="BJ104" s="187" t="n"/>
      <c r="BK104" s="192" t="n"/>
      <c r="BL104" s="192" t="n"/>
      <c r="BM104" s="192" t="n"/>
      <c r="BN104" s="192" t="n"/>
    </row>
    <row r="105">
      <c r="A105" s="289">
        <f> 'Jobs-Ops'!A105</f>
        <v/>
      </c>
      <c r="B105" s="290">
        <f>'Jobs-Ops'!B105</f>
        <v/>
      </c>
      <c r="C105" s="290">
        <f>'Jobs-Ops'!C105</f>
        <v/>
      </c>
      <c r="D105" s="179" t="n"/>
      <c r="E105" s="181">
        <f>'Jobs-Ops'!I105</f>
        <v/>
      </c>
      <c r="F105" s="205">
        <f>'Jobs-Ops'!U105</f>
        <v/>
      </c>
      <c r="G105" s="181">
        <f>'Jobs-GAAP'!J105</f>
        <v/>
      </c>
      <c r="H105" s="205">
        <f>'Jobs-GAAP'!V105</f>
        <v/>
      </c>
      <c r="I105" s="181">
        <f>E105-G105</f>
        <v/>
      </c>
      <c r="J105" s="9">
        <f>'Jobs-Ops'!P105</f>
        <v/>
      </c>
      <c r="K105" s="9">
        <f>'Jobs-GAAP'!Q105</f>
        <v/>
      </c>
      <c r="L105" s="9">
        <f>J105-K105</f>
        <v/>
      </c>
      <c r="M105" s="186" t="n"/>
      <c r="N105" s="9">
        <f>'Jobs-Ops'!Y105</f>
        <v/>
      </c>
      <c r="O105" s="9">
        <f>'Jobs-GAAP'!Y105</f>
        <v/>
      </c>
      <c r="P105" s="9">
        <f>N105-O105</f>
        <v/>
      </c>
      <c r="Q105" s="186" t="n"/>
      <c r="R105" s="11">
        <f>'Jobs-Ops'!AL105</f>
        <v/>
      </c>
      <c r="S105" s="11">
        <f>'Jobs-GAAP'!AH105</f>
        <v/>
      </c>
      <c r="T105" s="11">
        <f>IFERROR(R105-S105,0)</f>
        <v/>
      </c>
      <c r="U105" s="8">
        <f>'Jobs-Ops'!AM105</f>
        <v/>
      </c>
      <c r="V105" s="8">
        <f>'Jobs-GAAP'!AI105</f>
        <v/>
      </c>
      <c r="W105" s="8">
        <f>IFERROR(U105-V105,0)</f>
        <v/>
      </c>
      <c r="X105" s="9">
        <f>'Jobs-Ops'!AN105</f>
        <v/>
      </c>
      <c r="Y105" s="9">
        <f>'Jobs-GAAP'!AJ105</f>
        <v/>
      </c>
      <c r="Z105" s="9">
        <f>IFERROR(X105-Y105,0)</f>
        <v/>
      </c>
      <c r="AA105" s="153">
        <f>'Jobs-Ops'!AO105</f>
        <v/>
      </c>
      <c r="AB105" s="187" t="n"/>
      <c r="AC105" s="186" t="n"/>
      <c r="AD105" s="186" t="n"/>
      <c r="AE105" s="188" t="n"/>
      <c r="AF105" s="187" t="n"/>
      <c r="AG105" s="187" t="n"/>
      <c r="AH105" s="186" t="n"/>
      <c r="AI105" s="186" t="n"/>
      <c r="AJ105" s="186" t="n"/>
      <c r="AK105" s="186" t="n"/>
      <c r="AL105" s="186" t="n"/>
      <c r="AM105" s="186" t="n"/>
      <c r="AN105" s="186" t="n"/>
      <c r="AO105" s="186" t="n"/>
      <c r="AP105" s="186" t="n"/>
      <c r="AQ105" s="186" t="n"/>
      <c r="AR105" s="186" t="n"/>
      <c r="AS105" s="186" t="n"/>
      <c r="AT105" s="186" t="n"/>
      <c r="AU105" s="186" t="n"/>
      <c r="AV105" s="186" t="n"/>
      <c r="AW105" s="186" t="n"/>
      <c r="AX105" s="186" t="n"/>
      <c r="AY105" s="186" t="n"/>
      <c r="AZ105" s="186" t="n"/>
      <c r="BA105" s="186" t="n"/>
      <c r="BB105" s="186" t="n"/>
      <c r="BC105" s="186" t="n"/>
      <c r="BD105" s="190" t="n"/>
      <c r="BE105" s="186" t="n"/>
      <c r="BF105" s="186" t="n"/>
      <c r="BG105" s="186" t="n"/>
      <c r="BH105" s="186" t="n"/>
      <c r="BI105" s="186" t="n"/>
      <c r="BJ105" s="187" t="n"/>
      <c r="BK105" s="192" t="n"/>
      <c r="BL105" s="192" t="n"/>
      <c r="BM105" s="192" t="n"/>
      <c r="BN105" s="192" t="n"/>
    </row>
    <row r="106">
      <c r="A106" s="289">
        <f> 'Jobs-Ops'!A106</f>
        <v/>
      </c>
      <c r="B106" s="290">
        <f>'Jobs-Ops'!B106</f>
        <v/>
      </c>
      <c r="C106" s="290">
        <f>'Jobs-Ops'!C106</f>
        <v/>
      </c>
      <c r="D106" s="179" t="n"/>
      <c r="E106" s="181">
        <f>'Jobs-Ops'!I106</f>
        <v/>
      </c>
      <c r="F106" s="205">
        <f>'Jobs-Ops'!U106</f>
        <v/>
      </c>
      <c r="G106" s="181">
        <f>'Jobs-GAAP'!J106</f>
        <v/>
      </c>
      <c r="H106" s="205">
        <f>'Jobs-GAAP'!V106</f>
        <v/>
      </c>
      <c r="I106" s="181">
        <f>E106-G106</f>
        <v/>
      </c>
      <c r="J106" s="9">
        <f>'Jobs-Ops'!P106</f>
        <v/>
      </c>
      <c r="K106" s="9">
        <f>'Jobs-GAAP'!Q106</f>
        <v/>
      </c>
      <c r="L106" s="9">
        <f>J106-K106</f>
        <v/>
      </c>
      <c r="M106" s="186" t="n"/>
      <c r="N106" s="9">
        <f>'Jobs-Ops'!Y106</f>
        <v/>
      </c>
      <c r="O106" s="9">
        <f>'Jobs-GAAP'!Y106</f>
        <v/>
      </c>
      <c r="P106" s="9">
        <f>N106-O106</f>
        <v/>
      </c>
      <c r="Q106" s="186" t="n"/>
      <c r="R106" s="11">
        <f>'Jobs-Ops'!AL106</f>
        <v/>
      </c>
      <c r="S106" s="11">
        <f>'Jobs-GAAP'!AH106</f>
        <v/>
      </c>
      <c r="T106" s="11">
        <f>IFERROR(R106-S106,0)</f>
        <v/>
      </c>
      <c r="U106" s="8">
        <f>'Jobs-Ops'!AM106</f>
        <v/>
      </c>
      <c r="V106" s="8">
        <f>'Jobs-GAAP'!AI106</f>
        <v/>
      </c>
      <c r="W106" s="8">
        <f>IFERROR(U106-V106,0)</f>
        <v/>
      </c>
      <c r="X106" s="9">
        <f>'Jobs-Ops'!AN106</f>
        <v/>
      </c>
      <c r="Y106" s="9">
        <f>'Jobs-GAAP'!AJ106</f>
        <v/>
      </c>
      <c r="Z106" s="9">
        <f>IFERROR(X106-Y106,0)</f>
        <v/>
      </c>
      <c r="AA106" s="153">
        <f>'Jobs-Ops'!AO106</f>
        <v/>
      </c>
      <c r="AB106" s="187" t="n"/>
      <c r="AC106" s="186" t="n"/>
      <c r="AD106" s="186" t="n"/>
      <c r="AE106" s="188" t="n"/>
      <c r="AF106" s="187" t="n"/>
      <c r="AG106" s="187" t="n"/>
      <c r="AH106" s="186" t="n"/>
      <c r="AI106" s="186" t="n"/>
      <c r="AJ106" s="186" t="n"/>
      <c r="AK106" s="186" t="n"/>
      <c r="AL106" s="186" t="n"/>
      <c r="AM106" s="186" t="n"/>
      <c r="AN106" s="186" t="n"/>
      <c r="AO106" s="186" t="n"/>
      <c r="AP106" s="186" t="n"/>
      <c r="AQ106" s="186" t="n"/>
      <c r="AR106" s="186" t="n"/>
      <c r="AS106" s="186" t="n"/>
      <c r="AT106" s="186" t="n"/>
      <c r="AU106" s="186" t="n"/>
      <c r="AV106" s="186" t="n"/>
      <c r="AW106" s="186" t="n"/>
      <c r="AX106" s="186" t="n"/>
      <c r="AY106" s="186" t="n"/>
      <c r="AZ106" s="186" t="n"/>
      <c r="BA106" s="186" t="n"/>
      <c r="BB106" s="186" t="n"/>
      <c r="BC106" s="186" t="n"/>
      <c r="BD106" s="190" t="n"/>
      <c r="BE106" s="186" t="n"/>
      <c r="BF106" s="186" t="n"/>
      <c r="BG106" s="186" t="n"/>
      <c r="BH106" s="186" t="n"/>
      <c r="BI106" s="186" t="n"/>
      <c r="BJ106" s="187" t="n"/>
      <c r="BK106" s="192" t="n"/>
      <c r="BL106" s="192" t="n"/>
      <c r="BM106" s="192" t="n"/>
      <c r="BN106" s="192" t="n"/>
    </row>
    <row r="107">
      <c r="A107" s="289">
        <f> 'Jobs-Ops'!A107</f>
        <v/>
      </c>
      <c r="B107" s="290">
        <f>'Jobs-Ops'!B107</f>
        <v/>
      </c>
      <c r="C107" s="290">
        <f>'Jobs-Ops'!C107</f>
        <v/>
      </c>
      <c r="D107" s="179" t="n"/>
      <c r="E107" s="181">
        <f>'Jobs-Ops'!I107</f>
        <v/>
      </c>
      <c r="F107" s="205">
        <f>'Jobs-Ops'!U107</f>
        <v/>
      </c>
      <c r="G107" s="181">
        <f>'Jobs-GAAP'!J107</f>
        <v/>
      </c>
      <c r="H107" s="205">
        <f>'Jobs-GAAP'!V107</f>
        <v/>
      </c>
      <c r="I107" s="181">
        <f>E107-G107</f>
        <v/>
      </c>
      <c r="J107" s="9">
        <f>'Jobs-Ops'!P107</f>
        <v/>
      </c>
      <c r="K107" s="9">
        <f>'Jobs-GAAP'!Q107</f>
        <v/>
      </c>
      <c r="L107" s="9">
        <f>J107-K107</f>
        <v/>
      </c>
      <c r="M107" s="186" t="n"/>
      <c r="N107" s="9">
        <f>'Jobs-Ops'!Y107</f>
        <v/>
      </c>
      <c r="O107" s="9">
        <f>'Jobs-GAAP'!Y107</f>
        <v/>
      </c>
      <c r="P107" s="9">
        <f>N107-O107</f>
        <v/>
      </c>
      <c r="Q107" s="186" t="n"/>
      <c r="R107" s="11">
        <f>'Jobs-Ops'!AL107</f>
        <v/>
      </c>
      <c r="S107" s="11">
        <f>'Jobs-GAAP'!AH107</f>
        <v/>
      </c>
      <c r="T107" s="11">
        <f>IFERROR(R107-S107,0)</f>
        <v/>
      </c>
      <c r="U107" s="8">
        <f>'Jobs-Ops'!AM107</f>
        <v/>
      </c>
      <c r="V107" s="8">
        <f>'Jobs-GAAP'!AI107</f>
        <v/>
      </c>
      <c r="W107" s="8">
        <f>IFERROR(U107-V107,0)</f>
        <v/>
      </c>
      <c r="X107" s="9">
        <f>'Jobs-Ops'!AN107</f>
        <v/>
      </c>
      <c r="Y107" s="9">
        <f>'Jobs-GAAP'!AJ107</f>
        <v/>
      </c>
      <c r="Z107" s="9">
        <f>IFERROR(X107-Y107,0)</f>
        <v/>
      </c>
      <c r="AA107" s="153">
        <f>'Jobs-Ops'!AO107</f>
        <v/>
      </c>
      <c r="AB107" s="187" t="n"/>
      <c r="AC107" s="186" t="n"/>
      <c r="AD107" s="186" t="n"/>
      <c r="AE107" s="188" t="n"/>
      <c r="AF107" s="187" t="n"/>
      <c r="AG107" s="187" t="n"/>
      <c r="AH107" s="186" t="n"/>
      <c r="AI107" s="186" t="n"/>
      <c r="AJ107" s="186" t="n"/>
      <c r="AK107" s="186" t="n"/>
      <c r="AL107" s="186" t="n"/>
      <c r="AM107" s="186" t="n"/>
      <c r="AN107" s="186" t="n"/>
      <c r="AO107" s="186" t="n"/>
      <c r="AP107" s="186" t="n"/>
      <c r="AQ107" s="186" t="n"/>
      <c r="AR107" s="186" t="n"/>
      <c r="AS107" s="186" t="n"/>
      <c r="AT107" s="186" t="n"/>
      <c r="AU107" s="186" t="n"/>
      <c r="AV107" s="186" t="n"/>
      <c r="AW107" s="186" t="n"/>
      <c r="AX107" s="186" t="n"/>
      <c r="AY107" s="186" t="n"/>
      <c r="AZ107" s="186" t="n"/>
      <c r="BA107" s="186" t="n"/>
      <c r="BB107" s="186" t="n"/>
      <c r="BC107" s="186" t="n"/>
      <c r="BD107" s="190" t="n"/>
      <c r="BE107" s="186" t="n"/>
      <c r="BF107" s="186" t="n"/>
      <c r="BG107" s="186" t="n"/>
      <c r="BH107" s="186" t="n"/>
      <c r="BI107" s="186" t="n"/>
      <c r="BJ107" s="187" t="n"/>
      <c r="BK107" s="192" t="n"/>
      <c r="BL107" s="192" t="n"/>
      <c r="BM107" s="192" t="n"/>
      <c r="BN107" s="192" t="n"/>
    </row>
    <row r="108">
      <c r="A108" s="289">
        <f> 'Jobs-Ops'!A108</f>
        <v/>
      </c>
      <c r="B108" s="290">
        <f>'Jobs-Ops'!B108</f>
        <v/>
      </c>
      <c r="C108" s="290">
        <f>'Jobs-Ops'!C108</f>
        <v/>
      </c>
      <c r="D108" s="179" t="n"/>
      <c r="E108" s="181">
        <f>'Jobs-Ops'!I108</f>
        <v/>
      </c>
      <c r="F108" s="205">
        <f>'Jobs-Ops'!U108</f>
        <v/>
      </c>
      <c r="G108" s="181">
        <f>'Jobs-GAAP'!J108</f>
        <v/>
      </c>
      <c r="H108" s="205">
        <f>'Jobs-GAAP'!V108</f>
        <v/>
      </c>
      <c r="I108" s="181">
        <f>E108-G108</f>
        <v/>
      </c>
      <c r="J108" s="9">
        <f>'Jobs-Ops'!P108</f>
        <v/>
      </c>
      <c r="K108" s="9">
        <f>'Jobs-GAAP'!Q108</f>
        <v/>
      </c>
      <c r="L108" s="9">
        <f>J108-K108</f>
        <v/>
      </c>
      <c r="M108" s="186" t="n"/>
      <c r="N108" s="9">
        <f>'Jobs-Ops'!Y108</f>
        <v/>
      </c>
      <c r="O108" s="9">
        <f>'Jobs-GAAP'!Y108</f>
        <v/>
      </c>
      <c r="P108" s="9">
        <f>N108-O108</f>
        <v/>
      </c>
      <c r="Q108" s="186" t="n"/>
      <c r="R108" s="11">
        <f>'Jobs-Ops'!AL108</f>
        <v/>
      </c>
      <c r="S108" s="11">
        <f>'Jobs-GAAP'!AH108</f>
        <v/>
      </c>
      <c r="T108" s="11">
        <f>IFERROR(R108-S108,0)</f>
        <v/>
      </c>
      <c r="U108" s="8">
        <f>'Jobs-Ops'!AM108</f>
        <v/>
      </c>
      <c r="V108" s="8">
        <f>'Jobs-GAAP'!AI108</f>
        <v/>
      </c>
      <c r="W108" s="8">
        <f>IFERROR(U108-V108,0)</f>
        <v/>
      </c>
      <c r="X108" s="9">
        <f>'Jobs-Ops'!AN108</f>
        <v/>
      </c>
      <c r="Y108" s="9">
        <f>'Jobs-GAAP'!AJ108</f>
        <v/>
      </c>
      <c r="Z108" s="9">
        <f>IFERROR(X108-Y108,0)</f>
        <v/>
      </c>
      <c r="AA108" s="153">
        <f>'Jobs-Ops'!AO108</f>
        <v/>
      </c>
      <c r="AB108" s="187" t="n"/>
      <c r="AC108" s="186" t="n"/>
      <c r="AD108" s="186" t="n"/>
      <c r="AE108" s="188" t="n"/>
      <c r="AF108" s="187" t="n"/>
      <c r="AG108" s="187" t="n"/>
      <c r="AH108" s="186" t="n"/>
      <c r="AI108" s="186" t="n"/>
      <c r="AJ108" s="186" t="n"/>
      <c r="AK108" s="186" t="n"/>
      <c r="AL108" s="186" t="n"/>
      <c r="AM108" s="186" t="n"/>
      <c r="AN108" s="186" t="n"/>
      <c r="AO108" s="186" t="n"/>
      <c r="AP108" s="186" t="n"/>
      <c r="AQ108" s="186" t="n"/>
      <c r="AR108" s="186" t="n"/>
      <c r="AS108" s="186" t="n"/>
      <c r="AT108" s="186" t="n"/>
      <c r="AU108" s="186" t="n"/>
      <c r="AV108" s="186" t="n"/>
      <c r="AW108" s="186" t="n"/>
      <c r="AX108" s="186" t="n"/>
      <c r="AY108" s="186" t="n"/>
      <c r="AZ108" s="186" t="n"/>
      <c r="BA108" s="186" t="n"/>
      <c r="BB108" s="186" t="n"/>
      <c r="BC108" s="186" t="n"/>
      <c r="BD108" s="190" t="n"/>
      <c r="BE108" s="186" t="n"/>
      <c r="BF108" s="186" t="n"/>
      <c r="BG108" s="186" t="n"/>
      <c r="BH108" s="186" t="n"/>
      <c r="BI108" s="186" t="n"/>
      <c r="BJ108" s="187" t="n"/>
      <c r="BK108" s="192" t="n"/>
      <c r="BL108" s="192" t="n"/>
      <c r="BM108" s="192" t="n"/>
      <c r="BN108" s="192" t="n"/>
    </row>
    <row r="109">
      <c r="A109" s="289">
        <f> 'Jobs-Ops'!A109</f>
        <v/>
      </c>
      <c r="B109" s="290">
        <f>'Jobs-Ops'!B109</f>
        <v/>
      </c>
      <c r="C109" s="290">
        <f>'Jobs-Ops'!C109</f>
        <v/>
      </c>
      <c r="D109" s="179" t="n"/>
      <c r="E109" s="181">
        <f>'Jobs-Ops'!I109</f>
        <v/>
      </c>
      <c r="F109" s="205">
        <f>'Jobs-Ops'!U109</f>
        <v/>
      </c>
      <c r="G109" s="181">
        <f>'Jobs-GAAP'!J109</f>
        <v/>
      </c>
      <c r="H109" s="205">
        <f>'Jobs-GAAP'!V109</f>
        <v/>
      </c>
      <c r="I109" s="181">
        <f>E109-G109</f>
        <v/>
      </c>
      <c r="J109" s="9">
        <f>'Jobs-Ops'!P109</f>
        <v/>
      </c>
      <c r="K109" s="9">
        <f>'Jobs-GAAP'!Q109</f>
        <v/>
      </c>
      <c r="L109" s="9">
        <f>J109-K109</f>
        <v/>
      </c>
      <c r="M109" s="186" t="n"/>
      <c r="N109" s="9">
        <f>'Jobs-Ops'!Y109</f>
        <v/>
      </c>
      <c r="O109" s="9">
        <f>'Jobs-GAAP'!Y109</f>
        <v/>
      </c>
      <c r="P109" s="9">
        <f>N109-O109</f>
        <v/>
      </c>
      <c r="Q109" s="186" t="n"/>
      <c r="R109" s="11">
        <f>'Jobs-Ops'!AL109</f>
        <v/>
      </c>
      <c r="S109" s="11">
        <f>'Jobs-GAAP'!AH109</f>
        <v/>
      </c>
      <c r="T109" s="11">
        <f>IFERROR(R109-S109,0)</f>
        <v/>
      </c>
      <c r="U109" s="8">
        <f>'Jobs-Ops'!AM109</f>
        <v/>
      </c>
      <c r="V109" s="8">
        <f>'Jobs-GAAP'!AI109</f>
        <v/>
      </c>
      <c r="W109" s="8">
        <f>IFERROR(U109-V109,0)</f>
        <v/>
      </c>
      <c r="X109" s="9">
        <f>'Jobs-Ops'!AN109</f>
        <v/>
      </c>
      <c r="Y109" s="9">
        <f>'Jobs-GAAP'!AJ109</f>
        <v/>
      </c>
      <c r="Z109" s="9">
        <f>IFERROR(X109-Y109,0)</f>
        <v/>
      </c>
      <c r="AA109" s="153">
        <f>'Jobs-Ops'!AO109</f>
        <v/>
      </c>
      <c r="AB109" s="187" t="n"/>
      <c r="AC109" s="186" t="n"/>
      <c r="AD109" s="186" t="n"/>
      <c r="AE109" s="188" t="n"/>
      <c r="AF109" s="187" t="n"/>
      <c r="AG109" s="187" t="n"/>
      <c r="AH109" s="186" t="n"/>
      <c r="AI109" s="186" t="n"/>
      <c r="AJ109" s="186" t="n"/>
      <c r="AK109" s="186" t="n"/>
      <c r="AL109" s="186" t="n"/>
      <c r="AM109" s="186" t="n"/>
      <c r="AN109" s="186" t="n"/>
      <c r="AO109" s="186" t="n"/>
      <c r="AP109" s="186" t="n"/>
      <c r="AQ109" s="186" t="n"/>
      <c r="AR109" s="186" t="n"/>
      <c r="AS109" s="186" t="n"/>
      <c r="AT109" s="186" t="n"/>
      <c r="AU109" s="186" t="n"/>
      <c r="AV109" s="186" t="n"/>
      <c r="AW109" s="186" t="n"/>
      <c r="AX109" s="186" t="n"/>
      <c r="AY109" s="186" t="n"/>
      <c r="AZ109" s="186" t="n"/>
      <c r="BA109" s="186" t="n"/>
      <c r="BB109" s="186" t="n"/>
      <c r="BC109" s="186" t="n"/>
      <c r="BD109" s="190" t="n"/>
      <c r="BE109" s="186" t="n"/>
      <c r="BF109" s="186" t="n"/>
      <c r="BG109" s="186" t="n"/>
      <c r="BH109" s="186" t="n"/>
      <c r="BI109" s="186" t="n"/>
      <c r="BJ109" s="187" t="n"/>
      <c r="BK109" s="192" t="n"/>
      <c r="BL109" s="192" t="n"/>
      <c r="BM109" s="192" t="n"/>
      <c r="BN109" s="192" t="n"/>
    </row>
    <row r="110">
      <c r="A110" s="289">
        <f> 'Jobs-Ops'!A110</f>
        <v/>
      </c>
      <c r="B110" s="290">
        <f>'Jobs-Ops'!B110</f>
        <v/>
      </c>
      <c r="C110" s="290">
        <f>'Jobs-Ops'!C110</f>
        <v/>
      </c>
      <c r="D110" s="179" t="n"/>
      <c r="E110" s="181">
        <f>'Jobs-Ops'!I110</f>
        <v/>
      </c>
      <c r="F110" s="205">
        <f>'Jobs-Ops'!U110</f>
        <v/>
      </c>
      <c r="G110" s="181">
        <f>'Jobs-GAAP'!J110</f>
        <v/>
      </c>
      <c r="H110" s="205">
        <f>'Jobs-GAAP'!V110</f>
        <v/>
      </c>
      <c r="I110" s="181">
        <f>E110-G110</f>
        <v/>
      </c>
      <c r="J110" s="9">
        <f>'Jobs-Ops'!P110</f>
        <v/>
      </c>
      <c r="K110" s="9">
        <f>'Jobs-GAAP'!Q110</f>
        <v/>
      </c>
      <c r="L110" s="9">
        <f>J110-K110</f>
        <v/>
      </c>
      <c r="M110" s="186" t="n"/>
      <c r="N110" s="9">
        <f>'Jobs-Ops'!Y110</f>
        <v/>
      </c>
      <c r="O110" s="9">
        <f>'Jobs-GAAP'!Y110</f>
        <v/>
      </c>
      <c r="P110" s="9">
        <f>N110-O110</f>
        <v/>
      </c>
      <c r="Q110" s="186" t="n"/>
      <c r="R110" s="11">
        <f>'Jobs-Ops'!AL110</f>
        <v/>
      </c>
      <c r="S110" s="11">
        <f>'Jobs-GAAP'!AH110</f>
        <v/>
      </c>
      <c r="T110" s="11">
        <f>IFERROR(R110-S110,0)</f>
        <v/>
      </c>
      <c r="U110" s="8">
        <f>'Jobs-Ops'!AM110</f>
        <v/>
      </c>
      <c r="V110" s="8">
        <f>'Jobs-GAAP'!AI110</f>
        <v/>
      </c>
      <c r="W110" s="8">
        <f>IFERROR(U110-V110,0)</f>
        <v/>
      </c>
      <c r="X110" s="9">
        <f>'Jobs-Ops'!AN110</f>
        <v/>
      </c>
      <c r="Y110" s="9">
        <f>'Jobs-GAAP'!AJ110</f>
        <v/>
      </c>
      <c r="Z110" s="9">
        <f>IFERROR(X110-Y110,0)</f>
        <v/>
      </c>
      <c r="AA110" s="153">
        <f>'Jobs-Ops'!AO110</f>
        <v/>
      </c>
      <c r="AB110" s="187" t="n"/>
      <c r="AC110" s="186" t="n"/>
      <c r="AD110" s="186" t="n"/>
      <c r="AE110" s="188" t="n"/>
      <c r="AF110" s="187" t="n"/>
      <c r="AG110" s="187" t="n"/>
      <c r="AH110" s="186" t="n"/>
      <c r="AI110" s="186" t="n"/>
      <c r="AJ110" s="186" t="n"/>
      <c r="AK110" s="186" t="n"/>
      <c r="AL110" s="186" t="n"/>
      <c r="AM110" s="186" t="n"/>
      <c r="AN110" s="186" t="n"/>
      <c r="AO110" s="186" t="n"/>
      <c r="AP110" s="186" t="n"/>
      <c r="AQ110" s="186" t="n"/>
      <c r="AR110" s="186" t="n"/>
      <c r="AS110" s="186" t="n"/>
      <c r="AT110" s="186" t="n"/>
      <c r="AU110" s="186" t="n"/>
      <c r="AV110" s="186" t="n"/>
      <c r="AW110" s="186" t="n"/>
      <c r="AX110" s="186" t="n"/>
      <c r="AY110" s="186" t="n"/>
      <c r="AZ110" s="186" t="n"/>
      <c r="BA110" s="186" t="n"/>
      <c r="BB110" s="186" t="n"/>
      <c r="BC110" s="186" t="n"/>
      <c r="BD110" s="190" t="n"/>
      <c r="BE110" s="186" t="n"/>
      <c r="BF110" s="186" t="n"/>
      <c r="BG110" s="186" t="n"/>
      <c r="BH110" s="186" t="n"/>
      <c r="BI110" s="186" t="n"/>
      <c r="BJ110" s="187" t="n"/>
      <c r="BK110" s="192" t="n"/>
      <c r="BL110" s="192" t="n"/>
      <c r="BM110" s="192" t="n"/>
      <c r="BN110" s="192" t="n"/>
    </row>
    <row r="111">
      <c r="A111" s="289">
        <f> 'Jobs-Ops'!A111</f>
        <v/>
      </c>
      <c r="B111" s="290">
        <f>'Jobs-Ops'!B111</f>
        <v/>
      </c>
      <c r="C111" s="290">
        <f>'Jobs-Ops'!C111</f>
        <v/>
      </c>
      <c r="D111" s="179" t="n"/>
      <c r="E111" s="181">
        <f>'Jobs-Ops'!I111</f>
        <v/>
      </c>
      <c r="F111" s="205">
        <f>'Jobs-Ops'!U111</f>
        <v/>
      </c>
      <c r="G111" s="181">
        <f>'Jobs-GAAP'!J111</f>
        <v/>
      </c>
      <c r="H111" s="205">
        <f>'Jobs-GAAP'!V111</f>
        <v/>
      </c>
      <c r="I111" s="181">
        <f>E111-G111</f>
        <v/>
      </c>
      <c r="J111" s="9">
        <f>'Jobs-Ops'!P111</f>
        <v/>
      </c>
      <c r="K111" s="9">
        <f>'Jobs-GAAP'!Q111</f>
        <v/>
      </c>
      <c r="L111" s="9">
        <f>J111-K111</f>
        <v/>
      </c>
      <c r="M111" s="186" t="n"/>
      <c r="N111" s="9">
        <f>'Jobs-Ops'!Y111</f>
        <v/>
      </c>
      <c r="O111" s="9">
        <f>'Jobs-GAAP'!Y111</f>
        <v/>
      </c>
      <c r="P111" s="9">
        <f>N111-O111</f>
        <v/>
      </c>
      <c r="Q111" s="186" t="n"/>
      <c r="R111" s="11">
        <f>'Jobs-Ops'!AL111</f>
        <v/>
      </c>
      <c r="S111" s="11">
        <f>'Jobs-GAAP'!AH111</f>
        <v/>
      </c>
      <c r="T111" s="11">
        <f>IFERROR(R111-S111,0)</f>
        <v/>
      </c>
      <c r="U111" s="8">
        <f>'Jobs-Ops'!AM111</f>
        <v/>
      </c>
      <c r="V111" s="8">
        <f>'Jobs-GAAP'!AI111</f>
        <v/>
      </c>
      <c r="W111" s="8">
        <f>IFERROR(U111-V111,0)</f>
        <v/>
      </c>
      <c r="X111" s="9">
        <f>'Jobs-Ops'!AN111</f>
        <v/>
      </c>
      <c r="Y111" s="9">
        <f>'Jobs-GAAP'!AJ111</f>
        <v/>
      </c>
      <c r="Z111" s="9">
        <f>IFERROR(X111-Y111,0)</f>
        <v/>
      </c>
      <c r="AA111" s="153">
        <f>'Jobs-Ops'!AO111</f>
        <v/>
      </c>
      <c r="AB111" s="187" t="n"/>
      <c r="AC111" s="186" t="n"/>
      <c r="AD111" s="186" t="n"/>
      <c r="AE111" s="188" t="n"/>
      <c r="AF111" s="187" t="n"/>
      <c r="AG111" s="187" t="n"/>
      <c r="AH111" s="186" t="n"/>
      <c r="AI111" s="186" t="n"/>
      <c r="AJ111" s="186" t="n"/>
      <c r="AK111" s="186" t="n"/>
      <c r="AL111" s="186" t="n"/>
      <c r="AM111" s="186" t="n"/>
      <c r="AN111" s="186" t="n"/>
      <c r="AO111" s="186" t="n"/>
      <c r="AP111" s="186" t="n"/>
      <c r="AQ111" s="186" t="n"/>
      <c r="AR111" s="186" t="n"/>
      <c r="AS111" s="186" t="n"/>
      <c r="AT111" s="186" t="n"/>
      <c r="AU111" s="186" t="n"/>
      <c r="AV111" s="186" t="n"/>
      <c r="AW111" s="186" t="n"/>
      <c r="AX111" s="186" t="n"/>
      <c r="AY111" s="186" t="n"/>
      <c r="AZ111" s="186" t="n"/>
      <c r="BA111" s="186" t="n"/>
      <c r="BB111" s="186" t="n"/>
      <c r="BC111" s="186" t="n"/>
      <c r="BD111" s="190" t="n"/>
      <c r="BE111" s="186" t="n"/>
      <c r="BF111" s="186" t="n"/>
      <c r="BG111" s="186" t="n"/>
      <c r="BH111" s="186" t="n"/>
      <c r="BI111" s="186" t="n"/>
      <c r="BJ111" s="187" t="n"/>
      <c r="BK111" s="192" t="n"/>
      <c r="BL111" s="192" t="n"/>
      <c r="BM111" s="192" t="n"/>
      <c r="BN111" s="192" t="n"/>
    </row>
    <row r="112">
      <c r="A112" s="289">
        <f> 'Jobs-Ops'!A112</f>
        <v/>
      </c>
      <c r="B112" s="290">
        <f>'Jobs-Ops'!B112</f>
        <v/>
      </c>
      <c r="C112" s="290">
        <f>'Jobs-Ops'!C112</f>
        <v/>
      </c>
      <c r="D112" s="179" t="n"/>
      <c r="E112" s="181">
        <f>'Jobs-Ops'!I112</f>
        <v/>
      </c>
      <c r="F112" s="205">
        <f>'Jobs-Ops'!U112</f>
        <v/>
      </c>
      <c r="G112" s="181">
        <f>'Jobs-GAAP'!J112</f>
        <v/>
      </c>
      <c r="H112" s="205">
        <f>'Jobs-GAAP'!V112</f>
        <v/>
      </c>
      <c r="I112" s="181">
        <f>E112-G112</f>
        <v/>
      </c>
      <c r="J112" s="9">
        <f>'Jobs-Ops'!P112</f>
        <v/>
      </c>
      <c r="K112" s="9">
        <f>'Jobs-GAAP'!Q112</f>
        <v/>
      </c>
      <c r="L112" s="9">
        <f>J112-K112</f>
        <v/>
      </c>
      <c r="M112" s="186" t="n"/>
      <c r="N112" s="9">
        <f>'Jobs-Ops'!Y112</f>
        <v/>
      </c>
      <c r="O112" s="9">
        <f>'Jobs-GAAP'!Y112</f>
        <v/>
      </c>
      <c r="P112" s="9">
        <f>N112-O112</f>
        <v/>
      </c>
      <c r="Q112" s="186" t="n"/>
      <c r="R112" s="11">
        <f>'Jobs-Ops'!AL112</f>
        <v/>
      </c>
      <c r="S112" s="11">
        <f>'Jobs-GAAP'!AH112</f>
        <v/>
      </c>
      <c r="T112" s="11">
        <f>IFERROR(R112-S112,0)</f>
        <v/>
      </c>
      <c r="U112" s="8">
        <f>'Jobs-Ops'!AM112</f>
        <v/>
      </c>
      <c r="V112" s="8">
        <f>'Jobs-GAAP'!AI112</f>
        <v/>
      </c>
      <c r="W112" s="8">
        <f>IFERROR(U112-V112,0)</f>
        <v/>
      </c>
      <c r="X112" s="9">
        <f>'Jobs-Ops'!AN112</f>
        <v/>
      </c>
      <c r="Y112" s="9">
        <f>'Jobs-GAAP'!AJ112</f>
        <v/>
      </c>
      <c r="Z112" s="9">
        <f>IFERROR(X112-Y112,0)</f>
        <v/>
      </c>
      <c r="AA112" s="153">
        <f>'Jobs-Ops'!AO112</f>
        <v/>
      </c>
      <c r="AB112" s="187" t="n"/>
      <c r="AC112" s="186" t="n"/>
      <c r="AD112" s="186" t="n"/>
      <c r="AE112" s="188" t="n"/>
      <c r="AF112" s="187" t="n"/>
      <c r="AG112" s="187" t="n"/>
      <c r="AH112" s="186" t="n"/>
      <c r="AI112" s="186" t="n"/>
      <c r="AJ112" s="186" t="n"/>
      <c r="AK112" s="186" t="n"/>
      <c r="AL112" s="186" t="n"/>
      <c r="AM112" s="186" t="n"/>
      <c r="AN112" s="186" t="n"/>
      <c r="AO112" s="186" t="n"/>
      <c r="AP112" s="186" t="n"/>
      <c r="AQ112" s="186" t="n"/>
      <c r="AR112" s="186" t="n"/>
      <c r="AS112" s="186" t="n"/>
      <c r="AT112" s="186" t="n"/>
      <c r="AU112" s="186" t="n"/>
      <c r="AV112" s="186" t="n"/>
      <c r="AW112" s="186" t="n"/>
      <c r="AX112" s="186" t="n"/>
      <c r="AY112" s="186" t="n"/>
      <c r="AZ112" s="186" t="n"/>
      <c r="BA112" s="186" t="n"/>
      <c r="BB112" s="186" t="n"/>
      <c r="BC112" s="186" t="n"/>
      <c r="BD112" s="190" t="n"/>
      <c r="BE112" s="186" t="n"/>
      <c r="BF112" s="186" t="n"/>
      <c r="BG112" s="186" t="n"/>
      <c r="BH112" s="186" t="n"/>
      <c r="BI112" s="186" t="n"/>
      <c r="BJ112" s="187" t="n"/>
      <c r="BK112" s="192" t="n"/>
      <c r="BL112" s="192" t="n"/>
      <c r="BM112" s="192" t="n"/>
      <c r="BN112" s="192" t="n"/>
    </row>
    <row r="113">
      <c r="A113" s="289">
        <f> 'Jobs-Ops'!A113</f>
        <v/>
      </c>
      <c r="B113" s="290">
        <f>'Jobs-Ops'!B113</f>
        <v/>
      </c>
      <c r="C113" s="290">
        <f>'Jobs-Ops'!C113</f>
        <v/>
      </c>
      <c r="D113" s="179" t="n"/>
      <c r="E113" s="181">
        <f>'Jobs-Ops'!I113</f>
        <v/>
      </c>
      <c r="F113" s="205">
        <f>'Jobs-Ops'!U113</f>
        <v/>
      </c>
      <c r="G113" s="181">
        <f>'Jobs-GAAP'!J113</f>
        <v/>
      </c>
      <c r="H113" s="205">
        <f>'Jobs-GAAP'!V113</f>
        <v/>
      </c>
      <c r="I113" s="181">
        <f>E113-G113</f>
        <v/>
      </c>
      <c r="J113" s="9">
        <f>'Jobs-Ops'!P113</f>
        <v/>
      </c>
      <c r="K113" s="9">
        <f>'Jobs-GAAP'!Q113</f>
        <v/>
      </c>
      <c r="L113" s="9">
        <f>J113-K113</f>
        <v/>
      </c>
      <c r="M113" s="186" t="n"/>
      <c r="N113" s="9">
        <f>'Jobs-Ops'!Y113</f>
        <v/>
      </c>
      <c r="O113" s="9">
        <f>'Jobs-GAAP'!Y113</f>
        <v/>
      </c>
      <c r="P113" s="9">
        <f>N113-O113</f>
        <v/>
      </c>
      <c r="Q113" s="186" t="n"/>
      <c r="R113" s="11">
        <f>'Jobs-Ops'!AL113</f>
        <v/>
      </c>
      <c r="S113" s="11">
        <f>'Jobs-GAAP'!AH113</f>
        <v/>
      </c>
      <c r="T113" s="11">
        <f>IFERROR(R113-S113,0)</f>
        <v/>
      </c>
      <c r="U113" s="8">
        <f>'Jobs-Ops'!AM113</f>
        <v/>
      </c>
      <c r="V113" s="8">
        <f>'Jobs-GAAP'!AI113</f>
        <v/>
      </c>
      <c r="W113" s="8">
        <f>IFERROR(U113-V113,0)</f>
        <v/>
      </c>
      <c r="X113" s="9">
        <f>'Jobs-Ops'!AN113</f>
        <v/>
      </c>
      <c r="Y113" s="9">
        <f>'Jobs-GAAP'!AJ113</f>
        <v/>
      </c>
      <c r="Z113" s="9">
        <f>IFERROR(X113-Y113,0)</f>
        <v/>
      </c>
      <c r="AA113" s="153">
        <f>'Jobs-Ops'!AO113</f>
        <v/>
      </c>
      <c r="AB113" s="187" t="n"/>
      <c r="AC113" s="186" t="n"/>
      <c r="AD113" s="186" t="n"/>
      <c r="AE113" s="188" t="n"/>
      <c r="AF113" s="187" t="n"/>
      <c r="AG113" s="187" t="n"/>
      <c r="AH113" s="186" t="n"/>
      <c r="AI113" s="186" t="n"/>
      <c r="AJ113" s="186" t="n"/>
      <c r="AK113" s="186" t="n"/>
      <c r="AL113" s="186" t="n"/>
      <c r="AM113" s="186" t="n"/>
      <c r="AN113" s="186" t="n"/>
      <c r="AO113" s="186" t="n"/>
      <c r="AP113" s="186" t="n"/>
      <c r="AQ113" s="186" t="n"/>
      <c r="AR113" s="186" t="n"/>
      <c r="AS113" s="186" t="n"/>
      <c r="AT113" s="186" t="n"/>
      <c r="AU113" s="186" t="n"/>
      <c r="AV113" s="186" t="n"/>
      <c r="AW113" s="186" t="n"/>
      <c r="AX113" s="186" t="n"/>
      <c r="AY113" s="186" t="n"/>
      <c r="AZ113" s="186" t="n"/>
      <c r="BA113" s="186" t="n"/>
      <c r="BB113" s="186" t="n"/>
      <c r="BC113" s="186" t="n"/>
      <c r="BD113" s="190" t="n"/>
      <c r="BE113" s="186" t="n"/>
      <c r="BF113" s="186" t="n"/>
      <c r="BG113" s="186" t="n"/>
      <c r="BH113" s="186" t="n"/>
      <c r="BI113" s="186" t="n"/>
      <c r="BJ113" s="187" t="n"/>
      <c r="BK113" s="192" t="n"/>
      <c r="BL113" s="192" t="n"/>
      <c r="BM113" s="192" t="n"/>
      <c r="BN113" s="192" t="n"/>
    </row>
    <row r="114">
      <c r="A114" s="289">
        <f> 'Jobs-Ops'!A114</f>
        <v/>
      </c>
      <c r="B114" s="290">
        <f>'Jobs-Ops'!B114</f>
        <v/>
      </c>
      <c r="C114" s="290">
        <f>'Jobs-Ops'!C114</f>
        <v/>
      </c>
      <c r="D114" s="179" t="n"/>
      <c r="E114" s="181">
        <f>'Jobs-Ops'!I114</f>
        <v/>
      </c>
      <c r="F114" s="205">
        <f>'Jobs-Ops'!U114</f>
        <v/>
      </c>
      <c r="G114" s="181">
        <f>'Jobs-GAAP'!J114</f>
        <v/>
      </c>
      <c r="H114" s="205">
        <f>'Jobs-GAAP'!V114</f>
        <v/>
      </c>
      <c r="I114" s="181">
        <f>E114-G114</f>
        <v/>
      </c>
      <c r="J114" s="9">
        <f>'Jobs-Ops'!P114</f>
        <v/>
      </c>
      <c r="K114" s="9">
        <f>'Jobs-GAAP'!Q114</f>
        <v/>
      </c>
      <c r="L114" s="9">
        <f>J114-K114</f>
        <v/>
      </c>
      <c r="M114" s="186" t="n"/>
      <c r="N114" s="9">
        <f>'Jobs-Ops'!Y114</f>
        <v/>
      </c>
      <c r="O114" s="9">
        <f>'Jobs-GAAP'!Y114</f>
        <v/>
      </c>
      <c r="P114" s="9">
        <f>N114-O114</f>
        <v/>
      </c>
      <c r="Q114" s="186" t="n"/>
      <c r="R114" s="11">
        <f>'Jobs-Ops'!AL114</f>
        <v/>
      </c>
      <c r="S114" s="11">
        <f>'Jobs-GAAP'!AH114</f>
        <v/>
      </c>
      <c r="T114" s="11">
        <f>IFERROR(R114-S114,0)</f>
        <v/>
      </c>
      <c r="U114" s="8">
        <f>'Jobs-Ops'!AM114</f>
        <v/>
      </c>
      <c r="V114" s="8">
        <f>'Jobs-GAAP'!AI114</f>
        <v/>
      </c>
      <c r="W114" s="8">
        <f>IFERROR(U114-V114,0)</f>
        <v/>
      </c>
      <c r="X114" s="9">
        <f>'Jobs-Ops'!AN114</f>
        <v/>
      </c>
      <c r="Y114" s="9">
        <f>'Jobs-GAAP'!AJ114</f>
        <v/>
      </c>
      <c r="Z114" s="9">
        <f>IFERROR(X114-Y114,0)</f>
        <v/>
      </c>
      <c r="AA114" s="153">
        <f>'Jobs-Ops'!AO114</f>
        <v/>
      </c>
      <c r="AB114" s="187" t="n"/>
      <c r="AC114" s="186" t="n"/>
      <c r="AD114" s="186" t="n"/>
      <c r="AE114" s="188" t="n"/>
      <c r="AF114" s="187" t="n"/>
      <c r="AG114" s="187" t="n"/>
      <c r="AH114" s="186" t="n"/>
      <c r="AI114" s="186" t="n"/>
      <c r="AJ114" s="186" t="n"/>
      <c r="AK114" s="186" t="n"/>
      <c r="AL114" s="186" t="n"/>
      <c r="AM114" s="186" t="n"/>
      <c r="AN114" s="186" t="n"/>
      <c r="AO114" s="186" t="n"/>
      <c r="AP114" s="186" t="n"/>
      <c r="AQ114" s="186" t="n"/>
      <c r="AR114" s="186" t="n"/>
      <c r="AS114" s="186" t="n"/>
      <c r="AT114" s="186" t="n"/>
      <c r="AU114" s="186" t="n"/>
      <c r="AV114" s="186" t="n"/>
      <c r="AW114" s="186" t="n"/>
      <c r="AX114" s="186" t="n"/>
      <c r="AY114" s="186" t="n"/>
      <c r="AZ114" s="186" t="n"/>
      <c r="BA114" s="186" t="n"/>
      <c r="BB114" s="186" t="n"/>
      <c r="BC114" s="186" t="n"/>
      <c r="BD114" s="190" t="n"/>
      <c r="BE114" s="186" t="n"/>
      <c r="BF114" s="186" t="n"/>
      <c r="BG114" s="186" t="n"/>
      <c r="BH114" s="186" t="n"/>
      <c r="BI114" s="186" t="n"/>
      <c r="BJ114" s="187" t="n"/>
      <c r="BK114" s="192" t="n"/>
      <c r="BL114" s="192" t="n"/>
      <c r="BM114" s="192" t="n"/>
      <c r="BN114" s="192" t="n"/>
    </row>
    <row r="115">
      <c r="A115" s="289">
        <f> 'Jobs-Ops'!A115</f>
        <v/>
      </c>
      <c r="B115" s="290">
        <f>'Jobs-Ops'!B115</f>
        <v/>
      </c>
      <c r="C115" s="290">
        <f>'Jobs-Ops'!C115</f>
        <v/>
      </c>
      <c r="D115" s="179" t="n"/>
      <c r="E115" s="181">
        <f>'Jobs-Ops'!I115</f>
        <v/>
      </c>
      <c r="F115" s="205">
        <f>'Jobs-Ops'!U115</f>
        <v/>
      </c>
      <c r="G115" s="181">
        <f>'Jobs-GAAP'!J115</f>
        <v/>
      </c>
      <c r="H115" s="205">
        <f>'Jobs-GAAP'!V115</f>
        <v/>
      </c>
      <c r="I115" s="181">
        <f>E115-G115</f>
        <v/>
      </c>
      <c r="J115" s="9">
        <f>'Jobs-Ops'!P115</f>
        <v/>
      </c>
      <c r="K115" s="9">
        <f>'Jobs-GAAP'!Q115</f>
        <v/>
      </c>
      <c r="L115" s="9">
        <f>J115-K115</f>
        <v/>
      </c>
      <c r="M115" s="186" t="n"/>
      <c r="N115" s="9">
        <f>'Jobs-Ops'!Y115</f>
        <v/>
      </c>
      <c r="O115" s="9">
        <f>'Jobs-GAAP'!Y115</f>
        <v/>
      </c>
      <c r="P115" s="9">
        <f>N115-O115</f>
        <v/>
      </c>
      <c r="Q115" s="186" t="n"/>
      <c r="R115" s="11">
        <f>'Jobs-Ops'!AL115</f>
        <v/>
      </c>
      <c r="S115" s="11">
        <f>'Jobs-GAAP'!AH115</f>
        <v/>
      </c>
      <c r="T115" s="11">
        <f>IFERROR(R115-S115,0)</f>
        <v/>
      </c>
      <c r="U115" s="8">
        <f>'Jobs-Ops'!AM115</f>
        <v/>
      </c>
      <c r="V115" s="8">
        <f>'Jobs-GAAP'!AI115</f>
        <v/>
      </c>
      <c r="W115" s="8">
        <f>IFERROR(U115-V115,0)</f>
        <v/>
      </c>
      <c r="X115" s="9">
        <f>'Jobs-Ops'!AN115</f>
        <v/>
      </c>
      <c r="Y115" s="9">
        <f>'Jobs-GAAP'!AJ115</f>
        <v/>
      </c>
      <c r="Z115" s="9">
        <f>IFERROR(X115-Y115,0)</f>
        <v/>
      </c>
      <c r="AA115" s="153">
        <f>'Jobs-Ops'!AO115</f>
        <v/>
      </c>
      <c r="AB115" s="187" t="n"/>
      <c r="AC115" s="186" t="n"/>
      <c r="AD115" s="186" t="n"/>
      <c r="AE115" s="188" t="n"/>
      <c r="AF115" s="187" t="n"/>
      <c r="AG115" s="187" t="n"/>
      <c r="AH115" s="186" t="n"/>
      <c r="AI115" s="186" t="n"/>
      <c r="AJ115" s="186" t="n"/>
      <c r="AK115" s="186" t="n"/>
      <c r="AL115" s="186" t="n"/>
      <c r="AM115" s="186" t="n"/>
      <c r="AN115" s="186" t="n"/>
      <c r="AO115" s="186" t="n"/>
      <c r="AP115" s="186" t="n"/>
      <c r="AQ115" s="186" t="n"/>
      <c r="AR115" s="186" t="n"/>
      <c r="AS115" s="186" t="n"/>
      <c r="AT115" s="186" t="n"/>
      <c r="AU115" s="186" t="n"/>
      <c r="AV115" s="186" t="n"/>
      <c r="AW115" s="186" t="n"/>
      <c r="AX115" s="186" t="n"/>
      <c r="AY115" s="186" t="n"/>
      <c r="AZ115" s="186" t="n"/>
      <c r="BA115" s="186" t="n"/>
      <c r="BB115" s="186" t="n"/>
      <c r="BC115" s="186" t="n"/>
      <c r="BD115" s="190" t="n"/>
      <c r="BE115" s="186" t="n"/>
      <c r="BF115" s="186" t="n"/>
      <c r="BG115" s="186" t="n"/>
      <c r="BH115" s="186" t="n"/>
      <c r="BI115" s="186" t="n"/>
      <c r="BJ115" s="187" t="n"/>
      <c r="BK115" s="192" t="n"/>
      <c r="BL115" s="192" t="n"/>
      <c r="BM115" s="192" t="n"/>
      <c r="BN115" s="192" t="n"/>
    </row>
    <row r="116">
      <c r="A116" s="289">
        <f> 'Jobs-Ops'!A116</f>
        <v/>
      </c>
      <c r="B116" s="290">
        <f>'Jobs-Ops'!B116</f>
        <v/>
      </c>
      <c r="C116" s="290">
        <f>'Jobs-Ops'!C116</f>
        <v/>
      </c>
      <c r="D116" s="179" t="n"/>
      <c r="E116" s="181">
        <f>'Jobs-Ops'!I116</f>
        <v/>
      </c>
      <c r="F116" s="205">
        <f>'Jobs-Ops'!U116</f>
        <v/>
      </c>
      <c r="G116" s="181">
        <f>'Jobs-GAAP'!J116</f>
        <v/>
      </c>
      <c r="H116" s="205">
        <f>'Jobs-GAAP'!V116</f>
        <v/>
      </c>
      <c r="I116" s="181">
        <f>E116-G116</f>
        <v/>
      </c>
      <c r="J116" s="9">
        <f>'Jobs-Ops'!P116</f>
        <v/>
      </c>
      <c r="K116" s="9">
        <f>'Jobs-GAAP'!Q116</f>
        <v/>
      </c>
      <c r="L116" s="9">
        <f>J116-K116</f>
        <v/>
      </c>
      <c r="M116" s="186" t="n"/>
      <c r="N116" s="9">
        <f>'Jobs-Ops'!Y116</f>
        <v/>
      </c>
      <c r="O116" s="9">
        <f>'Jobs-GAAP'!Y116</f>
        <v/>
      </c>
      <c r="P116" s="9">
        <f>N116-O116</f>
        <v/>
      </c>
      <c r="Q116" s="186" t="n"/>
      <c r="R116" s="11">
        <f>'Jobs-Ops'!AL116</f>
        <v/>
      </c>
      <c r="S116" s="11">
        <f>'Jobs-GAAP'!AH116</f>
        <v/>
      </c>
      <c r="T116" s="11">
        <f>IFERROR(R116-S116,0)</f>
        <v/>
      </c>
      <c r="U116" s="8">
        <f>'Jobs-Ops'!AM116</f>
        <v/>
      </c>
      <c r="V116" s="8">
        <f>'Jobs-GAAP'!AI116</f>
        <v/>
      </c>
      <c r="W116" s="8">
        <f>IFERROR(U116-V116,0)</f>
        <v/>
      </c>
      <c r="X116" s="9">
        <f>'Jobs-Ops'!AN116</f>
        <v/>
      </c>
      <c r="Y116" s="9">
        <f>'Jobs-GAAP'!AJ116</f>
        <v/>
      </c>
      <c r="Z116" s="9">
        <f>IFERROR(X116-Y116,0)</f>
        <v/>
      </c>
      <c r="AA116" s="153">
        <f>'Jobs-Ops'!AO116</f>
        <v/>
      </c>
      <c r="AB116" s="187" t="n"/>
      <c r="AC116" s="186" t="n"/>
      <c r="AD116" s="186" t="n"/>
      <c r="AE116" s="188" t="n"/>
      <c r="AF116" s="187" t="n"/>
      <c r="AG116" s="187" t="n"/>
      <c r="AH116" s="186" t="n"/>
      <c r="AI116" s="186" t="n"/>
      <c r="AJ116" s="186" t="n"/>
      <c r="AK116" s="186" t="n"/>
      <c r="AL116" s="186" t="n"/>
      <c r="AM116" s="186" t="n"/>
      <c r="AN116" s="186" t="n"/>
      <c r="AO116" s="186" t="n"/>
      <c r="AP116" s="186" t="n"/>
      <c r="AQ116" s="186" t="n"/>
      <c r="AR116" s="186" t="n"/>
      <c r="AS116" s="186" t="n"/>
      <c r="AT116" s="186" t="n"/>
      <c r="AU116" s="186" t="n"/>
      <c r="AV116" s="186" t="n"/>
      <c r="AW116" s="186" t="n"/>
      <c r="AX116" s="186" t="n"/>
      <c r="AY116" s="186" t="n"/>
      <c r="AZ116" s="186" t="n"/>
      <c r="BA116" s="186" t="n"/>
      <c r="BB116" s="186" t="n"/>
      <c r="BC116" s="186" t="n"/>
      <c r="BD116" s="190" t="n"/>
      <c r="BE116" s="186" t="n"/>
      <c r="BF116" s="186" t="n"/>
      <c r="BG116" s="186" t="n"/>
      <c r="BH116" s="186" t="n"/>
      <c r="BI116" s="186" t="n"/>
      <c r="BJ116" s="187" t="n"/>
      <c r="BK116" s="192" t="n"/>
      <c r="BL116" s="192" t="n"/>
      <c r="BM116" s="192" t="n"/>
      <c r="BN116" s="192" t="n"/>
    </row>
    <row r="117">
      <c r="A117" s="289">
        <f> 'Jobs-Ops'!A117</f>
        <v/>
      </c>
      <c r="B117" s="290">
        <f>'Jobs-Ops'!B117</f>
        <v/>
      </c>
      <c r="C117" s="290">
        <f>'Jobs-Ops'!C117</f>
        <v/>
      </c>
      <c r="D117" s="179" t="n"/>
      <c r="E117" s="181">
        <f>'Jobs-Ops'!I117</f>
        <v/>
      </c>
      <c r="F117" s="205">
        <f>'Jobs-Ops'!U117</f>
        <v/>
      </c>
      <c r="G117" s="181">
        <f>'Jobs-GAAP'!J117</f>
        <v/>
      </c>
      <c r="H117" s="205">
        <f>'Jobs-GAAP'!V117</f>
        <v/>
      </c>
      <c r="I117" s="181">
        <f>E117-G117</f>
        <v/>
      </c>
      <c r="J117" s="9">
        <f>'Jobs-Ops'!P117</f>
        <v/>
      </c>
      <c r="K117" s="9">
        <f>'Jobs-GAAP'!Q117</f>
        <v/>
      </c>
      <c r="L117" s="9">
        <f>J117-K117</f>
        <v/>
      </c>
      <c r="M117" s="186" t="n"/>
      <c r="N117" s="9">
        <f>'Jobs-Ops'!Y117</f>
        <v/>
      </c>
      <c r="O117" s="9">
        <f>'Jobs-GAAP'!Y117</f>
        <v/>
      </c>
      <c r="P117" s="9">
        <f>N117-O117</f>
        <v/>
      </c>
      <c r="Q117" s="186" t="n"/>
      <c r="R117" s="11">
        <f>'Jobs-Ops'!AL117</f>
        <v/>
      </c>
      <c r="S117" s="11">
        <f>'Jobs-GAAP'!AH117</f>
        <v/>
      </c>
      <c r="T117" s="11">
        <f>IFERROR(R117-S117,0)</f>
        <v/>
      </c>
      <c r="U117" s="8">
        <f>'Jobs-Ops'!AM117</f>
        <v/>
      </c>
      <c r="V117" s="8">
        <f>'Jobs-GAAP'!AI117</f>
        <v/>
      </c>
      <c r="W117" s="8">
        <f>IFERROR(U117-V117,0)</f>
        <v/>
      </c>
      <c r="X117" s="9">
        <f>'Jobs-Ops'!AN117</f>
        <v/>
      </c>
      <c r="Y117" s="9">
        <f>'Jobs-GAAP'!AJ117</f>
        <v/>
      </c>
      <c r="Z117" s="9">
        <f>IFERROR(X117-Y117,0)</f>
        <v/>
      </c>
      <c r="AA117" s="153">
        <f>'Jobs-Ops'!AO117</f>
        <v/>
      </c>
      <c r="AB117" s="187" t="n"/>
      <c r="AC117" s="186" t="n"/>
      <c r="AD117" s="186" t="n"/>
      <c r="AE117" s="188" t="n"/>
      <c r="AF117" s="187" t="n"/>
      <c r="AG117" s="187" t="n"/>
      <c r="AH117" s="186" t="n"/>
      <c r="AI117" s="186" t="n"/>
      <c r="AJ117" s="186" t="n"/>
      <c r="AK117" s="186" t="n"/>
      <c r="AL117" s="186" t="n"/>
      <c r="AM117" s="186" t="n"/>
      <c r="AN117" s="186" t="n"/>
      <c r="AO117" s="186" t="n"/>
      <c r="AP117" s="186" t="n"/>
      <c r="AQ117" s="186" t="n"/>
      <c r="AR117" s="186" t="n"/>
      <c r="AS117" s="186" t="n"/>
      <c r="AT117" s="186" t="n"/>
      <c r="AU117" s="186" t="n"/>
      <c r="AV117" s="186" t="n"/>
      <c r="AW117" s="186" t="n"/>
      <c r="AX117" s="186" t="n"/>
      <c r="AY117" s="186" t="n"/>
      <c r="AZ117" s="186" t="n"/>
      <c r="BA117" s="186" t="n"/>
      <c r="BB117" s="186" t="n"/>
      <c r="BC117" s="186" t="n"/>
      <c r="BD117" s="190" t="n"/>
      <c r="BE117" s="186" t="n"/>
      <c r="BF117" s="186" t="n"/>
      <c r="BG117" s="186" t="n"/>
      <c r="BH117" s="186" t="n"/>
      <c r="BI117" s="186" t="n"/>
      <c r="BJ117" s="187" t="n"/>
      <c r="BK117" s="192" t="n"/>
      <c r="BL117" s="192" t="n"/>
      <c r="BM117" s="192" t="n"/>
      <c r="BN117" s="192" t="n"/>
    </row>
    <row r="118">
      <c r="A118" s="289">
        <f> 'Jobs-Ops'!A118</f>
        <v/>
      </c>
      <c r="B118" s="290">
        <f>'Jobs-Ops'!B118</f>
        <v/>
      </c>
      <c r="C118" s="290">
        <f>'Jobs-Ops'!C118</f>
        <v/>
      </c>
      <c r="D118" s="179" t="n"/>
      <c r="E118" s="181">
        <f>'Jobs-Ops'!I118</f>
        <v/>
      </c>
      <c r="F118" s="205">
        <f>'Jobs-Ops'!U118</f>
        <v/>
      </c>
      <c r="G118" s="181">
        <f>'Jobs-GAAP'!J118</f>
        <v/>
      </c>
      <c r="H118" s="205">
        <f>'Jobs-GAAP'!V118</f>
        <v/>
      </c>
      <c r="I118" s="181">
        <f>E118-G118</f>
        <v/>
      </c>
      <c r="J118" s="9">
        <f>'Jobs-Ops'!P118</f>
        <v/>
      </c>
      <c r="K118" s="9">
        <f>'Jobs-GAAP'!Q118</f>
        <v/>
      </c>
      <c r="L118" s="9">
        <f>J118-K118</f>
        <v/>
      </c>
      <c r="M118" s="186" t="n"/>
      <c r="N118" s="9">
        <f>'Jobs-Ops'!Y118</f>
        <v/>
      </c>
      <c r="O118" s="9">
        <f>'Jobs-GAAP'!Y118</f>
        <v/>
      </c>
      <c r="P118" s="9">
        <f>N118-O118</f>
        <v/>
      </c>
      <c r="Q118" s="186" t="n"/>
      <c r="R118" s="11">
        <f>'Jobs-Ops'!AL118</f>
        <v/>
      </c>
      <c r="S118" s="11">
        <f>'Jobs-GAAP'!AH118</f>
        <v/>
      </c>
      <c r="T118" s="11">
        <f>IFERROR(R118-S118,0)</f>
        <v/>
      </c>
      <c r="U118" s="8">
        <f>'Jobs-Ops'!AM118</f>
        <v/>
      </c>
      <c r="V118" s="8">
        <f>'Jobs-GAAP'!AI118</f>
        <v/>
      </c>
      <c r="W118" s="8">
        <f>IFERROR(U118-V118,0)</f>
        <v/>
      </c>
      <c r="X118" s="9">
        <f>'Jobs-Ops'!AN118</f>
        <v/>
      </c>
      <c r="Y118" s="9">
        <f>'Jobs-GAAP'!AJ118</f>
        <v/>
      </c>
      <c r="Z118" s="9">
        <f>IFERROR(X118-Y118,0)</f>
        <v/>
      </c>
      <c r="AA118" s="153">
        <f>'Jobs-Ops'!AO118</f>
        <v/>
      </c>
      <c r="AB118" s="187" t="n"/>
      <c r="AC118" s="186" t="n"/>
      <c r="AD118" s="186" t="n"/>
      <c r="AE118" s="188" t="n"/>
      <c r="AF118" s="187" t="n"/>
      <c r="AG118" s="187" t="n"/>
      <c r="AH118" s="186" t="n"/>
      <c r="AI118" s="186" t="n"/>
      <c r="AJ118" s="186" t="n"/>
      <c r="AK118" s="186" t="n"/>
      <c r="AL118" s="186" t="n"/>
      <c r="AM118" s="186" t="n"/>
      <c r="AN118" s="186" t="n"/>
      <c r="AO118" s="186" t="n"/>
      <c r="AP118" s="186" t="n"/>
      <c r="AQ118" s="186" t="n"/>
      <c r="AR118" s="186" t="n"/>
      <c r="AS118" s="186" t="n"/>
      <c r="AT118" s="186" t="n"/>
      <c r="AU118" s="186" t="n"/>
      <c r="AV118" s="186" t="n"/>
      <c r="AW118" s="186" t="n"/>
      <c r="AX118" s="186" t="n"/>
      <c r="AY118" s="186" t="n"/>
      <c r="AZ118" s="186" t="n"/>
      <c r="BA118" s="186" t="n"/>
      <c r="BB118" s="186" t="n"/>
      <c r="BC118" s="186" t="n"/>
      <c r="BD118" s="190" t="n"/>
      <c r="BE118" s="186" t="n"/>
      <c r="BF118" s="186" t="n"/>
      <c r="BG118" s="186" t="n"/>
      <c r="BH118" s="186" t="n"/>
      <c r="BI118" s="186" t="n"/>
      <c r="BJ118" s="187" t="n"/>
      <c r="BK118" s="192" t="n"/>
      <c r="BL118" s="192" t="n"/>
      <c r="BM118" s="192" t="n"/>
      <c r="BN118" s="192" t="n"/>
    </row>
    <row r="119">
      <c r="A119" s="289">
        <f> 'Jobs-Ops'!A119</f>
        <v/>
      </c>
      <c r="B119" s="290">
        <f>'Jobs-Ops'!B119</f>
        <v/>
      </c>
      <c r="C119" s="290">
        <f>'Jobs-Ops'!C119</f>
        <v/>
      </c>
      <c r="D119" s="179" t="n"/>
      <c r="E119" s="181">
        <f>'Jobs-Ops'!I119</f>
        <v/>
      </c>
      <c r="F119" s="205">
        <f>'Jobs-Ops'!U119</f>
        <v/>
      </c>
      <c r="G119" s="181">
        <f>'Jobs-GAAP'!J119</f>
        <v/>
      </c>
      <c r="H119" s="205">
        <f>'Jobs-GAAP'!V119</f>
        <v/>
      </c>
      <c r="I119" s="181">
        <f>E119-G119</f>
        <v/>
      </c>
      <c r="J119" s="9">
        <f>'Jobs-Ops'!P119</f>
        <v/>
      </c>
      <c r="K119" s="9">
        <f>'Jobs-GAAP'!Q119</f>
        <v/>
      </c>
      <c r="L119" s="9">
        <f>J119-K119</f>
        <v/>
      </c>
      <c r="M119" s="186" t="n"/>
      <c r="N119" s="9">
        <f>'Jobs-Ops'!Y119</f>
        <v/>
      </c>
      <c r="O119" s="9">
        <f>'Jobs-GAAP'!Y119</f>
        <v/>
      </c>
      <c r="P119" s="9">
        <f>N119-O119</f>
        <v/>
      </c>
      <c r="Q119" s="186" t="n"/>
      <c r="R119" s="11">
        <f>'Jobs-Ops'!AL119</f>
        <v/>
      </c>
      <c r="S119" s="11">
        <f>'Jobs-GAAP'!AH119</f>
        <v/>
      </c>
      <c r="T119" s="11">
        <f>IFERROR(R119-S119,0)</f>
        <v/>
      </c>
      <c r="U119" s="8">
        <f>'Jobs-Ops'!AM119</f>
        <v/>
      </c>
      <c r="V119" s="8">
        <f>'Jobs-GAAP'!AI119</f>
        <v/>
      </c>
      <c r="W119" s="8">
        <f>IFERROR(U119-V119,0)</f>
        <v/>
      </c>
      <c r="X119" s="9">
        <f>'Jobs-Ops'!AN119</f>
        <v/>
      </c>
      <c r="Y119" s="9">
        <f>'Jobs-GAAP'!AJ119</f>
        <v/>
      </c>
      <c r="Z119" s="9">
        <f>IFERROR(X119-Y119,0)</f>
        <v/>
      </c>
      <c r="AA119" s="153">
        <f>'Jobs-Ops'!AO119</f>
        <v/>
      </c>
      <c r="AB119" s="187" t="n"/>
      <c r="AC119" s="186" t="n"/>
      <c r="AD119" s="186" t="n"/>
      <c r="AE119" s="188" t="n"/>
      <c r="AF119" s="187" t="n"/>
      <c r="AG119" s="187" t="n"/>
      <c r="AH119" s="186" t="n"/>
      <c r="AI119" s="186" t="n"/>
      <c r="AJ119" s="186" t="n"/>
      <c r="AK119" s="186" t="n"/>
      <c r="AL119" s="186" t="n"/>
      <c r="AM119" s="186" t="n"/>
      <c r="AN119" s="186" t="n"/>
      <c r="AO119" s="186" t="n"/>
      <c r="AP119" s="186" t="n"/>
      <c r="AQ119" s="186" t="n"/>
      <c r="AR119" s="186" t="n"/>
      <c r="AS119" s="186" t="n"/>
      <c r="AT119" s="186" t="n"/>
      <c r="AU119" s="186" t="n"/>
      <c r="AV119" s="186" t="n"/>
      <c r="AW119" s="186" t="n"/>
      <c r="AX119" s="186" t="n"/>
      <c r="AY119" s="186" t="n"/>
      <c r="AZ119" s="186" t="n"/>
      <c r="BA119" s="186" t="n"/>
      <c r="BB119" s="186" t="n"/>
      <c r="BC119" s="186" t="n"/>
      <c r="BD119" s="190" t="n"/>
      <c r="BE119" s="186" t="n"/>
      <c r="BF119" s="186" t="n"/>
      <c r="BG119" s="186" t="n"/>
      <c r="BH119" s="186" t="n"/>
      <c r="BI119" s="186" t="n"/>
      <c r="BJ119" s="187" t="n"/>
      <c r="BK119" s="192" t="n"/>
      <c r="BL119" s="192" t="n"/>
      <c r="BM119" s="192" t="n"/>
      <c r="BN119" s="192" t="n"/>
    </row>
    <row r="120">
      <c r="A120" s="289">
        <f> 'Jobs-Ops'!A120</f>
        <v/>
      </c>
      <c r="B120" s="290">
        <f>'Jobs-Ops'!B120</f>
        <v/>
      </c>
      <c r="C120" s="290">
        <f>'Jobs-Ops'!C120</f>
        <v/>
      </c>
      <c r="D120" s="179" t="n"/>
      <c r="E120" s="181">
        <f>'Jobs-Ops'!I120</f>
        <v/>
      </c>
      <c r="F120" s="205">
        <f>'Jobs-Ops'!U120</f>
        <v/>
      </c>
      <c r="G120" s="181">
        <f>'Jobs-GAAP'!J120</f>
        <v/>
      </c>
      <c r="H120" s="205">
        <f>'Jobs-GAAP'!V120</f>
        <v/>
      </c>
      <c r="I120" s="181">
        <f>E120-G120</f>
        <v/>
      </c>
      <c r="J120" s="9">
        <f>'Jobs-Ops'!P120</f>
        <v/>
      </c>
      <c r="K120" s="9">
        <f>'Jobs-GAAP'!Q120</f>
        <v/>
      </c>
      <c r="L120" s="9">
        <f>J120-K120</f>
        <v/>
      </c>
      <c r="M120" s="186" t="n"/>
      <c r="N120" s="9">
        <f>'Jobs-Ops'!Y120</f>
        <v/>
      </c>
      <c r="O120" s="9">
        <f>'Jobs-GAAP'!Y120</f>
        <v/>
      </c>
      <c r="P120" s="9">
        <f>N120-O120</f>
        <v/>
      </c>
      <c r="Q120" s="186" t="n"/>
      <c r="R120" s="11">
        <f>'Jobs-Ops'!AL120</f>
        <v/>
      </c>
      <c r="S120" s="11">
        <f>'Jobs-GAAP'!AH120</f>
        <v/>
      </c>
      <c r="T120" s="11">
        <f>IFERROR(R120-S120,0)</f>
        <v/>
      </c>
      <c r="U120" s="8">
        <f>'Jobs-Ops'!AM120</f>
        <v/>
      </c>
      <c r="V120" s="8">
        <f>'Jobs-GAAP'!AI120</f>
        <v/>
      </c>
      <c r="W120" s="8">
        <f>IFERROR(U120-V120,0)</f>
        <v/>
      </c>
      <c r="X120" s="9">
        <f>'Jobs-Ops'!AN120</f>
        <v/>
      </c>
      <c r="Y120" s="9">
        <f>'Jobs-GAAP'!AJ120</f>
        <v/>
      </c>
      <c r="Z120" s="9">
        <f>IFERROR(X120-Y120,0)</f>
        <v/>
      </c>
      <c r="AA120" s="153">
        <f>'Jobs-Ops'!AO120</f>
        <v/>
      </c>
      <c r="AB120" s="187" t="n"/>
      <c r="AC120" s="186" t="n"/>
      <c r="AD120" s="186" t="n"/>
      <c r="AE120" s="188" t="n"/>
      <c r="AF120" s="187" t="n"/>
      <c r="AG120" s="187" t="n"/>
      <c r="AH120" s="186" t="n"/>
      <c r="AI120" s="186" t="n"/>
      <c r="AJ120" s="186" t="n"/>
      <c r="AK120" s="186" t="n"/>
      <c r="AL120" s="186" t="n"/>
      <c r="AM120" s="186" t="n"/>
      <c r="AN120" s="186" t="n"/>
      <c r="AO120" s="186" t="n"/>
      <c r="AP120" s="186" t="n"/>
      <c r="AQ120" s="186" t="n"/>
      <c r="AR120" s="186" t="n"/>
      <c r="AS120" s="186" t="n"/>
      <c r="AT120" s="186" t="n"/>
      <c r="AU120" s="186" t="n"/>
      <c r="AV120" s="186" t="n"/>
      <c r="AW120" s="186" t="n"/>
      <c r="AX120" s="186" t="n"/>
      <c r="AY120" s="186" t="n"/>
      <c r="AZ120" s="186" t="n"/>
      <c r="BA120" s="186" t="n"/>
      <c r="BB120" s="186" t="n"/>
      <c r="BC120" s="186" t="n"/>
      <c r="BD120" s="190" t="n"/>
      <c r="BE120" s="186" t="n"/>
      <c r="BF120" s="186" t="n"/>
      <c r="BG120" s="186" t="n"/>
      <c r="BH120" s="186" t="n"/>
      <c r="BI120" s="186" t="n"/>
      <c r="BJ120" s="187" t="n"/>
      <c r="BK120" s="192" t="n"/>
      <c r="BL120" s="192" t="n"/>
      <c r="BM120" s="192" t="n"/>
      <c r="BN120" s="192" t="n"/>
    </row>
    <row r="121">
      <c r="A121" s="289">
        <f> 'Jobs-Ops'!A121</f>
        <v/>
      </c>
      <c r="B121" s="290">
        <f>'Jobs-Ops'!B121</f>
        <v/>
      </c>
      <c r="C121" s="290">
        <f>'Jobs-Ops'!C121</f>
        <v/>
      </c>
      <c r="D121" s="179" t="n"/>
      <c r="E121" s="181">
        <f>'Jobs-Ops'!I121</f>
        <v/>
      </c>
      <c r="F121" s="205">
        <f>'Jobs-Ops'!U121</f>
        <v/>
      </c>
      <c r="G121" s="181">
        <f>'Jobs-GAAP'!J121</f>
        <v/>
      </c>
      <c r="H121" s="205">
        <f>'Jobs-GAAP'!V121</f>
        <v/>
      </c>
      <c r="I121" s="181">
        <f>E121-G121</f>
        <v/>
      </c>
      <c r="J121" s="9">
        <f>'Jobs-Ops'!P121</f>
        <v/>
      </c>
      <c r="K121" s="9">
        <f>'Jobs-GAAP'!Q121</f>
        <v/>
      </c>
      <c r="L121" s="9">
        <f>J121-K121</f>
        <v/>
      </c>
      <c r="M121" s="186" t="n"/>
      <c r="N121" s="9">
        <f>'Jobs-Ops'!Y121</f>
        <v/>
      </c>
      <c r="O121" s="9">
        <f>'Jobs-GAAP'!Y121</f>
        <v/>
      </c>
      <c r="P121" s="9">
        <f>N121-O121</f>
        <v/>
      </c>
      <c r="Q121" s="186" t="n"/>
      <c r="R121" s="11">
        <f>'Jobs-Ops'!AL121</f>
        <v/>
      </c>
      <c r="S121" s="11">
        <f>'Jobs-GAAP'!AH121</f>
        <v/>
      </c>
      <c r="T121" s="11">
        <f>IFERROR(R121-S121,0)</f>
        <v/>
      </c>
      <c r="U121" s="8">
        <f>'Jobs-Ops'!AM121</f>
        <v/>
      </c>
      <c r="V121" s="8">
        <f>'Jobs-GAAP'!AI121</f>
        <v/>
      </c>
      <c r="W121" s="8">
        <f>IFERROR(U121-V121,0)</f>
        <v/>
      </c>
      <c r="X121" s="9">
        <f>'Jobs-Ops'!AN121</f>
        <v/>
      </c>
      <c r="Y121" s="9">
        <f>'Jobs-GAAP'!AJ121</f>
        <v/>
      </c>
      <c r="Z121" s="9">
        <f>IFERROR(X121-Y121,0)</f>
        <v/>
      </c>
      <c r="AA121" s="153">
        <f>'Jobs-Ops'!AO121</f>
        <v/>
      </c>
      <c r="AB121" s="187" t="n"/>
      <c r="AC121" s="186" t="n"/>
      <c r="AD121" s="186" t="n"/>
      <c r="AE121" s="188" t="n"/>
      <c r="AF121" s="187" t="n"/>
      <c r="AG121" s="187" t="n"/>
      <c r="AH121" s="186" t="n"/>
      <c r="AI121" s="186" t="n"/>
      <c r="AJ121" s="186" t="n"/>
      <c r="AK121" s="186" t="n"/>
      <c r="AL121" s="186" t="n"/>
      <c r="AM121" s="186" t="n"/>
      <c r="AN121" s="186" t="n"/>
      <c r="AO121" s="186" t="n"/>
      <c r="AP121" s="186" t="n"/>
      <c r="AQ121" s="186" t="n"/>
      <c r="AR121" s="186" t="n"/>
      <c r="AS121" s="186" t="n"/>
      <c r="AT121" s="186" t="n"/>
      <c r="AU121" s="186" t="n"/>
      <c r="AV121" s="186" t="n"/>
      <c r="AW121" s="186" t="n"/>
      <c r="AX121" s="186" t="n"/>
      <c r="AY121" s="186" t="n"/>
      <c r="AZ121" s="186" t="n"/>
      <c r="BA121" s="186" t="n"/>
      <c r="BB121" s="186" t="n"/>
      <c r="BC121" s="186" t="n"/>
      <c r="BD121" s="190" t="n"/>
      <c r="BE121" s="186" t="n"/>
      <c r="BF121" s="186" t="n"/>
      <c r="BG121" s="186" t="n"/>
      <c r="BH121" s="186" t="n"/>
      <c r="BI121" s="186" t="n"/>
      <c r="BJ121" s="187" t="n"/>
      <c r="BK121" s="192" t="n"/>
      <c r="BL121" s="192" t="n"/>
      <c r="BM121" s="192" t="n"/>
      <c r="BN121" s="192" t="n"/>
    </row>
    <row r="122">
      <c r="A122" s="289">
        <f> 'Jobs-Ops'!A122</f>
        <v/>
      </c>
      <c r="B122" s="290">
        <f>'Jobs-Ops'!B122</f>
        <v/>
      </c>
      <c r="C122" s="290">
        <f>'Jobs-Ops'!C122</f>
        <v/>
      </c>
      <c r="D122" s="179" t="n"/>
      <c r="E122" s="181">
        <f>'Jobs-Ops'!I122</f>
        <v/>
      </c>
      <c r="F122" s="205">
        <f>'Jobs-Ops'!U122</f>
        <v/>
      </c>
      <c r="G122" s="181">
        <f>'Jobs-GAAP'!J122</f>
        <v/>
      </c>
      <c r="H122" s="205">
        <f>'Jobs-GAAP'!V122</f>
        <v/>
      </c>
      <c r="I122" s="181">
        <f>E122-G122</f>
        <v/>
      </c>
      <c r="J122" s="9">
        <f>'Jobs-Ops'!P122</f>
        <v/>
      </c>
      <c r="K122" s="9">
        <f>'Jobs-GAAP'!Q122</f>
        <v/>
      </c>
      <c r="L122" s="9">
        <f>J122-K122</f>
        <v/>
      </c>
      <c r="M122" s="186" t="n"/>
      <c r="N122" s="9">
        <f>'Jobs-Ops'!Y122</f>
        <v/>
      </c>
      <c r="O122" s="9">
        <f>'Jobs-GAAP'!Y122</f>
        <v/>
      </c>
      <c r="P122" s="9">
        <f>N122-O122</f>
        <v/>
      </c>
      <c r="Q122" s="186" t="n"/>
      <c r="R122" s="11">
        <f>'Jobs-Ops'!AL122</f>
        <v/>
      </c>
      <c r="S122" s="11">
        <f>'Jobs-GAAP'!AH122</f>
        <v/>
      </c>
      <c r="T122" s="11">
        <f>IFERROR(R122-S122,0)</f>
        <v/>
      </c>
      <c r="U122" s="8">
        <f>'Jobs-Ops'!AM122</f>
        <v/>
      </c>
      <c r="V122" s="8">
        <f>'Jobs-GAAP'!AI122</f>
        <v/>
      </c>
      <c r="W122" s="8">
        <f>IFERROR(U122-V122,0)</f>
        <v/>
      </c>
      <c r="X122" s="9">
        <f>'Jobs-Ops'!AN122</f>
        <v/>
      </c>
      <c r="Y122" s="9">
        <f>'Jobs-GAAP'!AJ122</f>
        <v/>
      </c>
      <c r="Z122" s="9">
        <f>IFERROR(X122-Y122,0)</f>
        <v/>
      </c>
      <c r="AA122" s="153">
        <f>'Jobs-Ops'!AO122</f>
        <v/>
      </c>
      <c r="AB122" s="187" t="n"/>
      <c r="AC122" s="186" t="n"/>
      <c r="AD122" s="186" t="n"/>
      <c r="AE122" s="188" t="n"/>
      <c r="AF122" s="187" t="n"/>
      <c r="AG122" s="187" t="n"/>
      <c r="AH122" s="186" t="n"/>
      <c r="AI122" s="186" t="n"/>
      <c r="AJ122" s="186" t="n"/>
      <c r="AK122" s="186" t="n"/>
      <c r="AL122" s="186" t="n"/>
      <c r="AM122" s="186" t="n"/>
      <c r="AN122" s="186" t="n"/>
      <c r="AO122" s="186" t="n"/>
      <c r="AP122" s="186" t="n"/>
      <c r="AQ122" s="186" t="n"/>
      <c r="AR122" s="186" t="n"/>
      <c r="AS122" s="186" t="n"/>
      <c r="AT122" s="186" t="n"/>
      <c r="AU122" s="186" t="n"/>
      <c r="AV122" s="186" t="n"/>
      <c r="AW122" s="186" t="n"/>
      <c r="AX122" s="186" t="n"/>
      <c r="AY122" s="186" t="n"/>
      <c r="AZ122" s="186" t="n"/>
      <c r="BA122" s="186" t="n"/>
      <c r="BB122" s="186" t="n"/>
      <c r="BC122" s="186" t="n"/>
      <c r="BD122" s="190" t="n"/>
      <c r="BE122" s="186" t="n"/>
      <c r="BF122" s="186" t="n"/>
      <c r="BG122" s="186" t="n"/>
      <c r="BH122" s="186" t="n"/>
      <c r="BI122" s="186" t="n"/>
      <c r="BJ122" s="187" t="n"/>
      <c r="BK122" s="192" t="n"/>
      <c r="BL122" s="192" t="n"/>
      <c r="BM122" s="192" t="n"/>
      <c r="BN122" s="192" t="n"/>
    </row>
    <row r="123">
      <c r="A123" s="289">
        <f> 'Jobs-Ops'!A123</f>
        <v/>
      </c>
      <c r="B123" s="290">
        <f>'Jobs-Ops'!B123</f>
        <v/>
      </c>
      <c r="C123" s="290">
        <f>'Jobs-Ops'!C123</f>
        <v/>
      </c>
      <c r="D123" s="179" t="n"/>
      <c r="E123" s="181">
        <f>'Jobs-Ops'!I123</f>
        <v/>
      </c>
      <c r="F123" s="205">
        <f>'Jobs-Ops'!U123</f>
        <v/>
      </c>
      <c r="G123" s="181">
        <f>'Jobs-GAAP'!J123</f>
        <v/>
      </c>
      <c r="H123" s="205">
        <f>'Jobs-GAAP'!V123</f>
        <v/>
      </c>
      <c r="I123" s="181">
        <f>E123-G123</f>
        <v/>
      </c>
      <c r="J123" s="9">
        <f>'Jobs-Ops'!P123</f>
        <v/>
      </c>
      <c r="K123" s="9">
        <f>'Jobs-GAAP'!Q123</f>
        <v/>
      </c>
      <c r="L123" s="9">
        <f>J123-K123</f>
        <v/>
      </c>
      <c r="M123" s="186" t="n"/>
      <c r="N123" s="9">
        <f>'Jobs-Ops'!Y123</f>
        <v/>
      </c>
      <c r="O123" s="9">
        <f>'Jobs-GAAP'!Y123</f>
        <v/>
      </c>
      <c r="P123" s="9">
        <f>N123-O123</f>
        <v/>
      </c>
      <c r="Q123" s="186" t="n"/>
      <c r="R123" s="11">
        <f>'Jobs-Ops'!AL123</f>
        <v/>
      </c>
      <c r="S123" s="11">
        <f>'Jobs-GAAP'!AH123</f>
        <v/>
      </c>
      <c r="T123" s="11">
        <f>IFERROR(R123-S123,0)</f>
        <v/>
      </c>
      <c r="U123" s="8">
        <f>'Jobs-Ops'!AM123</f>
        <v/>
      </c>
      <c r="V123" s="8">
        <f>'Jobs-GAAP'!AI123</f>
        <v/>
      </c>
      <c r="W123" s="8">
        <f>IFERROR(U123-V123,0)</f>
        <v/>
      </c>
      <c r="X123" s="9">
        <f>'Jobs-Ops'!AN123</f>
        <v/>
      </c>
      <c r="Y123" s="9">
        <f>'Jobs-GAAP'!AJ123</f>
        <v/>
      </c>
      <c r="Z123" s="9">
        <f>IFERROR(X123-Y123,0)</f>
        <v/>
      </c>
      <c r="AA123" s="153">
        <f>'Jobs-Ops'!AO123</f>
        <v/>
      </c>
      <c r="AB123" s="187" t="n"/>
      <c r="AC123" s="186" t="n"/>
      <c r="AD123" s="186" t="n"/>
      <c r="AE123" s="188" t="n"/>
      <c r="AF123" s="187" t="n"/>
      <c r="AG123" s="187" t="n"/>
      <c r="AH123" s="186" t="n"/>
      <c r="AI123" s="186" t="n"/>
      <c r="AJ123" s="186" t="n"/>
      <c r="AK123" s="186" t="n"/>
      <c r="AL123" s="186" t="n"/>
      <c r="AM123" s="186" t="n"/>
      <c r="AN123" s="186" t="n"/>
      <c r="AO123" s="186" t="n"/>
      <c r="AP123" s="186" t="n"/>
      <c r="AQ123" s="186" t="n"/>
      <c r="AR123" s="186" t="n"/>
      <c r="AS123" s="186" t="n"/>
      <c r="AT123" s="186" t="n"/>
      <c r="AU123" s="186" t="n"/>
      <c r="AV123" s="186" t="n"/>
      <c r="AW123" s="186" t="n"/>
      <c r="AX123" s="186" t="n"/>
      <c r="AY123" s="186" t="n"/>
      <c r="AZ123" s="186" t="n"/>
      <c r="BA123" s="186" t="n"/>
      <c r="BB123" s="186" t="n"/>
      <c r="BC123" s="186" t="n"/>
      <c r="BD123" s="190" t="n"/>
      <c r="BE123" s="186" t="n"/>
      <c r="BF123" s="186" t="n"/>
      <c r="BG123" s="186" t="n"/>
      <c r="BH123" s="186" t="n"/>
      <c r="BI123" s="186" t="n"/>
      <c r="BJ123" s="187" t="n"/>
      <c r="BK123" s="192" t="n"/>
      <c r="BL123" s="192" t="n"/>
      <c r="BM123" s="192" t="n"/>
      <c r="BN123" s="192" t="n"/>
    </row>
    <row r="124">
      <c r="A124" s="289">
        <f> 'Jobs-Ops'!A124</f>
        <v/>
      </c>
      <c r="B124" s="290">
        <f>'Jobs-Ops'!B124</f>
        <v/>
      </c>
      <c r="C124" s="290">
        <f>'Jobs-Ops'!C124</f>
        <v/>
      </c>
      <c r="D124" s="179" t="n"/>
      <c r="E124" s="181">
        <f>'Jobs-Ops'!I124</f>
        <v/>
      </c>
      <c r="F124" s="205">
        <f>'Jobs-Ops'!U124</f>
        <v/>
      </c>
      <c r="G124" s="181">
        <f>'Jobs-GAAP'!J124</f>
        <v/>
      </c>
      <c r="H124" s="205">
        <f>'Jobs-GAAP'!V124</f>
        <v/>
      </c>
      <c r="I124" s="181">
        <f>E124-G124</f>
        <v/>
      </c>
      <c r="J124" s="9">
        <f>'Jobs-Ops'!P124</f>
        <v/>
      </c>
      <c r="K124" s="9">
        <f>'Jobs-GAAP'!Q124</f>
        <v/>
      </c>
      <c r="L124" s="9">
        <f>J124-K124</f>
        <v/>
      </c>
      <c r="M124" s="186" t="n"/>
      <c r="N124" s="9">
        <f>'Jobs-Ops'!Y124</f>
        <v/>
      </c>
      <c r="O124" s="9">
        <f>'Jobs-GAAP'!Y124</f>
        <v/>
      </c>
      <c r="P124" s="9">
        <f>N124-O124</f>
        <v/>
      </c>
      <c r="Q124" s="186" t="n"/>
      <c r="R124" s="11">
        <f>'Jobs-Ops'!AL124</f>
        <v/>
      </c>
      <c r="S124" s="11">
        <f>'Jobs-GAAP'!AH124</f>
        <v/>
      </c>
      <c r="T124" s="11">
        <f>IFERROR(R124-S124,0)</f>
        <v/>
      </c>
      <c r="U124" s="8">
        <f>'Jobs-Ops'!AM124</f>
        <v/>
      </c>
      <c r="V124" s="8">
        <f>'Jobs-GAAP'!AI124</f>
        <v/>
      </c>
      <c r="W124" s="8">
        <f>IFERROR(U124-V124,0)</f>
        <v/>
      </c>
      <c r="X124" s="9">
        <f>'Jobs-Ops'!AN124</f>
        <v/>
      </c>
      <c r="Y124" s="9">
        <f>'Jobs-GAAP'!AJ124</f>
        <v/>
      </c>
      <c r="Z124" s="9">
        <f>IFERROR(X124-Y124,0)</f>
        <v/>
      </c>
      <c r="AA124" s="153">
        <f>'Jobs-Ops'!AO124</f>
        <v/>
      </c>
      <c r="AB124" s="187" t="n"/>
      <c r="AC124" s="186" t="n"/>
      <c r="AD124" s="186" t="n"/>
      <c r="AE124" s="188" t="n"/>
      <c r="AF124" s="187" t="n"/>
      <c r="AG124" s="187" t="n"/>
      <c r="AH124" s="186" t="n"/>
      <c r="AI124" s="186" t="n"/>
      <c r="AJ124" s="186" t="n"/>
      <c r="AK124" s="186" t="n"/>
      <c r="AL124" s="186" t="n"/>
      <c r="AM124" s="186" t="n"/>
      <c r="AN124" s="186" t="n"/>
      <c r="AO124" s="186" t="n"/>
      <c r="AP124" s="186" t="n"/>
      <c r="AQ124" s="186" t="n"/>
      <c r="AR124" s="186" t="n"/>
      <c r="AS124" s="186" t="n"/>
      <c r="AT124" s="186" t="n"/>
      <c r="AU124" s="186" t="n"/>
      <c r="AV124" s="186" t="n"/>
      <c r="AW124" s="186" t="n"/>
      <c r="AX124" s="186" t="n"/>
      <c r="AY124" s="186" t="n"/>
      <c r="AZ124" s="186" t="n"/>
      <c r="BA124" s="186" t="n"/>
      <c r="BB124" s="186" t="n"/>
      <c r="BC124" s="186" t="n"/>
      <c r="BD124" s="190" t="n"/>
      <c r="BE124" s="186" t="n"/>
      <c r="BF124" s="186" t="n"/>
      <c r="BG124" s="186" t="n"/>
      <c r="BH124" s="186" t="n"/>
      <c r="BI124" s="186" t="n"/>
      <c r="BJ124" s="187" t="n"/>
      <c r="BK124" s="192" t="n"/>
      <c r="BL124" s="192" t="n"/>
      <c r="BM124" s="192" t="n"/>
      <c r="BN124" s="192" t="n"/>
    </row>
    <row r="125">
      <c r="A125" s="289">
        <f> 'Jobs-Ops'!A125</f>
        <v/>
      </c>
      <c r="B125" s="290">
        <f>'Jobs-Ops'!B125</f>
        <v/>
      </c>
      <c r="C125" s="290">
        <f>'Jobs-Ops'!C125</f>
        <v/>
      </c>
      <c r="D125" s="179" t="n"/>
      <c r="E125" s="181">
        <f>'Jobs-Ops'!I125</f>
        <v/>
      </c>
      <c r="F125" s="205">
        <f>'Jobs-Ops'!U125</f>
        <v/>
      </c>
      <c r="G125" s="181">
        <f>'Jobs-GAAP'!J125</f>
        <v/>
      </c>
      <c r="H125" s="205">
        <f>'Jobs-GAAP'!V125</f>
        <v/>
      </c>
      <c r="I125" s="181">
        <f>E125-G125</f>
        <v/>
      </c>
      <c r="J125" s="9">
        <f>'Jobs-Ops'!P125</f>
        <v/>
      </c>
      <c r="K125" s="9">
        <f>'Jobs-GAAP'!Q125</f>
        <v/>
      </c>
      <c r="L125" s="9">
        <f>J125-K125</f>
        <v/>
      </c>
      <c r="M125" s="186" t="n"/>
      <c r="N125" s="9">
        <f>'Jobs-Ops'!Y125</f>
        <v/>
      </c>
      <c r="O125" s="9">
        <f>'Jobs-GAAP'!Y125</f>
        <v/>
      </c>
      <c r="P125" s="9">
        <f>N125-O125</f>
        <v/>
      </c>
      <c r="Q125" s="186" t="n"/>
      <c r="R125" s="11">
        <f>'Jobs-Ops'!AL125</f>
        <v/>
      </c>
      <c r="S125" s="11">
        <f>'Jobs-GAAP'!AH125</f>
        <v/>
      </c>
      <c r="T125" s="11">
        <f>IFERROR(R125-S125,0)</f>
        <v/>
      </c>
      <c r="U125" s="8">
        <f>'Jobs-Ops'!AM125</f>
        <v/>
      </c>
      <c r="V125" s="8">
        <f>'Jobs-GAAP'!AI125</f>
        <v/>
      </c>
      <c r="W125" s="8">
        <f>IFERROR(U125-V125,0)</f>
        <v/>
      </c>
      <c r="X125" s="9">
        <f>'Jobs-Ops'!AN125</f>
        <v/>
      </c>
      <c r="Y125" s="9">
        <f>'Jobs-GAAP'!AJ125</f>
        <v/>
      </c>
      <c r="Z125" s="9">
        <f>IFERROR(X125-Y125,0)</f>
        <v/>
      </c>
      <c r="AA125" s="153">
        <f>'Jobs-Ops'!AO125</f>
        <v/>
      </c>
      <c r="AB125" s="187" t="n"/>
      <c r="AC125" s="186" t="n"/>
      <c r="AD125" s="186" t="n"/>
      <c r="AE125" s="188" t="n"/>
      <c r="AF125" s="187" t="n"/>
      <c r="AG125" s="187" t="n"/>
      <c r="AH125" s="186" t="n"/>
      <c r="AI125" s="186" t="n"/>
      <c r="AJ125" s="186" t="n"/>
      <c r="AK125" s="186" t="n"/>
      <c r="AL125" s="186" t="n"/>
      <c r="AM125" s="186" t="n"/>
      <c r="AN125" s="186" t="n"/>
      <c r="AO125" s="186" t="n"/>
      <c r="AP125" s="186" t="n"/>
      <c r="AQ125" s="186" t="n"/>
      <c r="AR125" s="186" t="n"/>
      <c r="AS125" s="186" t="n"/>
      <c r="AT125" s="186" t="n"/>
      <c r="AU125" s="186" t="n"/>
      <c r="AV125" s="186" t="n"/>
      <c r="AW125" s="186" t="n"/>
      <c r="AX125" s="186" t="n"/>
      <c r="AY125" s="186" t="n"/>
      <c r="AZ125" s="186" t="n"/>
      <c r="BA125" s="186" t="n"/>
      <c r="BB125" s="186" t="n"/>
      <c r="BC125" s="186" t="n"/>
      <c r="BD125" s="190" t="n"/>
      <c r="BE125" s="186" t="n"/>
      <c r="BF125" s="186" t="n"/>
      <c r="BG125" s="186" t="n"/>
      <c r="BH125" s="186" t="n"/>
      <c r="BI125" s="186" t="n"/>
      <c r="BJ125" s="187" t="n"/>
      <c r="BK125" s="192" t="n"/>
      <c r="BL125" s="192" t="n"/>
      <c r="BM125" s="192" t="n"/>
      <c r="BN125" s="192" t="n"/>
    </row>
    <row r="126">
      <c r="A126" s="289">
        <f> 'Jobs-Ops'!A126</f>
        <v/>
      </c>
      <c r="B126" s="290">
        <f>'Jobs-Ops'!B126</f>
        <v/>
      </c>
      <c r="C126" s="290">
        <f>'Jobs-Ops'!C126</f>
        <v/>
      </c>
      <c r="D126" s="179" t="n"/>
      <c r="E126" s="181">
        <f>'Jobs-Ops'!I126</f>
        <v/>
      </c>
      <c r="F126" s="205">
        <f>'Jobs-Ops'!U126</f>
        <v/>
      </c>
      <c r="G126" s="181">
        <f>'Jobs-GAAP'!J126</f>
        <v/>
      </c>
      <c r="H126" s="205">
        <f>'Jobs-GAAP'!V126</f>
        <v/>
      </c>
      <c r="I126" s="181">
        <f>E126-G126</f>
        <v/>
      </c>
      <c r="J126" s="9">
        <f>'Jobs-Ops'!P126</f>
        <v/>
      </c>
      <c r="K126" s="9">
        <f>'Jobs-GAAP'!Q126</f>
        <v/>
      </c>
      <c r="L126" s="9">
        <f>J126-K126</f>
        <v/>
      </c>
      <c r="M126" s="186" t="n"/>
      <c r="N126" s="9">
        <f>'Jobs-Ops'!Y126</f>
        <v/>
      </c>
      <c r="O126" s="9">
        <f>'Jobs-GAAP'!Y126</f>
        <v/>
      </c>
      <c r="P126" s="9">
        <f>N126-O126</f>
        <v/>
      </c>
      <c r="Q126" s="186" t="n"/>
      <c r="R126" s="11">
        <f>'Jobs-Ops'!AL126</f>
        <v/>
      </c>
      <c r="S126" s="11">
        <f>'Jobs-GAAP'!AH126</f>
        <v/>
      </c>
      <c r="T126" s="11">
        <f>IFERROR(R126-S126,0)</f>
        <v/>
      </c>
      <c r="U126" s="8">
        <f>'Jobs-Ops'!AM126</f>
        <v/>
      </c>
      <c r="V126" s="8">
        <f>'Jobs-GAAP'!AI126</f>
        <v/>
      </c>
      <c r="W126" s="8">
        <f>IFERROR(U126-V126,0)</f>
        <v/>
      </c>
      <c r="X126" s="9">
        <f>'Jobs-Ops'!AN126</f>
        <v/>
      </c>
      <c r="Y126" s="9">
        <f>'Jobs-GAAP'!AJ126</f>
        <v/>
      </c>
      <c r="Z126" s="9">
        <f>IFERROR(X126-Y126,0)</f>
        <v/>
      </c>
      <c r="AA126" s="153">
        <f>'Jobs-Ops'!AO126</f>
        <v/>
      </c>
      <c r="AB126" s="187" t="n"/>
      <c r="AC126" s="186" t="n"/>
      <c r="AD126" s="186" t="n"/>
      <c r="AE126" s="188" t="n"/>
      <c r="AF126" s="187" t="n"/>
      <c r="AG126" s="187" t="n"/>
      <c r="AH126" s="186" t="n"/>
      <c r="AI126" s="186" t="n"/>
      <c r="AJ126" s="186" t="n"/>
      <c r="AK126" s="186" t="n"/>
      <c r="AL126" s="186" t="n"/>
      <c r="AM126" s="186" t="n"/>
      <c r="AN126" s="186" t="n"/>
      <c r="AO126" s="186" t="n"/>
      <c r="AP126" s="186" t="n"/>
      <c r="AQ126" s="186" t="n"/>
      <c r="AR126" s="186" t="n"/>
      <c r="AS126" s="186" t="n"/>
      <c r="AT126" s="186" t="n"/>
      <c r="AU126" s="186" t="n"/>
      <c r="AV126" s="186" t="n"/>
      <c r="AW126" s="186" t="n"/>
      <c r="AX126" s="186" t="n"/>
      <c r="AY126" s="186" t="n"/>
      <c r="AZ126" s="186" t="n"/>
      <c r="BA126" s="186" t="n"/>
      <c r="BB126" s="186" t="n"/>
      <c r="BC126" s="186" t="n"/>
      <c r="BD126" s="190" t="n"/>
      <c r="BE126" s="186" t="n"/>
      <c r="BF126" s="186" t="n"/>
      <c r="BG126" s="186" t="n"/>
      <c r="BH126" s="186" t="n"/>
      <c r="BI126" s="186" t="n"/>
      <c r="BJ126" s="187" t="n"/>
      <c r="BK126" s="192" t="n"/>
      <c r="BL126" s="192" t="n"/>
      <c r="BM126" s="192" t="n"/>
      <c r="BN126" s="192" t="n"/>
    </row>
    <row r="127">
      <c r="A127" s="289">
        <f> 'Jobs-Ops'!A127</f>
        <v/>
      </c>
      <c r="B127" s="290">
        <f>'Jobs-Ops'!B127</f>
        <v/>
      </c>
      <c r="C127" s="290">
        <f>'Jobs-Ops'!C127</f>
        <v/>
      </c>
      <c r="D127" s="179" t="n"/>
      <c r="E127" s="181">
        <f>'Jobs-Ops'!I127</f>
        <v/>
      </c>
      <c r="F127" s="205">
        <f>'Jobs-Ops'!U127</f>
        <v/>
      </c>
      <c r="G127" s="181">
        <f>'Jobs-GAAP'!J127</f>
        <v/>
      </c>
      <c r="H127" s="205">
        <f>'Jobs-GAAP'!V127</f>
        <v/>
      </c>
      <c r="I127" s="181">
        <f>E127-G127</f>
        <v/>
      </c>
      <c r="J127" s="9">
        <f>'Jobs-Ops'!P127</f>
        <v/>
      </c>
      <c r="K127" s="9">
        <f>'Jobs-GAAP'!Q127</f>
        <v/>
      </c>
      <c r="L127" s="9">
        <f>J127-K127</f>
        <v/>
      </c>
      <c r="M127" s="186" t="n"/>
      <c r="N127" s="9">
        <f>'Jobs-Ops'!Y127</f>
        <v/>
      </c>
      <c r="O127" s="9">
        <f>'Jobs-GAAP'!Y127</f>
        <v/>
      </c>
      <c r="P127" s="9">
        <f>N127-O127</f>
        <v/>
      </c>
      <c r="Q127" s="186" t="n"/>
      <c r="R127" s="11">
        <f>'Jobs-Ops'!AL127</f>
        <v/>
      </c>
      <c r="S127" s="11">
        <f>'Jobs-GAAP'!AH127</f>
        <v/>
      </c>
      <c r="T127" s="11">
        <f>IFERROR(R127-S127,0)</f>
        <v/>
      </c>
      <c r="U127" s="8">
        <f>'Jobs-Ops'!AM127</f>
        <v/>
      </c>
      <c r="V127" s="8">
        <f>'Jobs-GAAP'!AI127</f>
        <v/>
      </c>
      <c r="W127" s="8">
        <f>IFERROR(U127-V127,0)</f>
        <v/>
      </c>
      <c r="X127" s="9">
        <f>'Jobs-Ops'!AN127</f>
        <v/>
      </c>
      <c r="Y127" s="9">
        <f>'Jobs-GAAP'!AJ127</f>
        <v/>
      </c>
      <c r="Z127" s="9">
        <f>IFERROR(X127-Y127,0)</f>
        <v/>
      </c>
      <c r="AA127" s="153">
        <f>'Jobs-Ops'!AO127</f>
        <v/>
      </c>
      <c r="AB127" s="187" t="n"/>
      <c r="AC127" s="186" t="n"/>
      <c r="AD127" s="186" t="n"/>
      <c r="AE127" s="188" t="n"/>
      <c r="AF127" s="187" t="n"/>
      <c r="AG127" s="187" t="n"/>
      <c r="AH127" s="186" t="n"/>
      <c r="AI127" s="186" t="n"/>
      <c r="AJ127" s="186" t="n"/>
      <c r="AK127" s="186" t="n"/>
      <c r="AL127" s="186" t="n"/>
      <c r="AM127" s="186" t="n"/>
      <c r="AN127" s="186" t="n"/>
      <c r="AO127" s="186" t="n"/>
      <c r="AP127" s="186" t="n"/>
      <c r="AQ127" s="186" t="n"/>
      <c r="AR127" s="186" t="n"/>
      <c r="AS127" s="186" t="n"/>
      <c r="AT127" s="186" t="n"/>
      <c r="AU127" s="186" t="n"/>
      <c r="AV127" s="186" t="n"/>
      <c r="AW127" s="186" t="n"/>
      <c r="AX127" s="186" t="n"/>
      <c r="AY127" s="186" t="n"/>
      <c r="AZ127" s="186" t="n"/>
      <c r="BA127" s="186" t="n"/>
      <c r="BB127" s="186" t="n"/>
      <c r="BC127" s="186" t="n"/>
      <c r="BD127" s="190" t="n"/>
      <c r="BE127" s="186" t="n"/>
      <c r="BF127" s="186" t="n"/>
      <c r="BG127" s="186" t="n"/>
      <c r="BH127" s="186" t="n"/>
      <c r="BI127" s="186" t="n"/>
      <c r="BJ127" s="187" t="n"/>
      <c r="BK127" s="192" t="n"/>
      <c r="BL127" s="192" t="n"/>
      <c r="BM127" s="192" t="n"/>
      <c r="BN127" s="192" t="n"/>
    </row>
    <row r="128">
      <c r="A128" s="289">
        <f> 'Jobs-Ops'!A128</f>
        <v/>
      </c>
      <c r="B128" s="290">
        <f>'Jobs-Ops'!B128</f>
        <v/>
      </c>
      <c r="C128" s="290">
        <f>'Jobs-Ops'!C128</f>
        <v/>
      </c>
      <c r="D128" s="179" t="n"/>
      <c r="E128" s="181">
        <f>'Jobs-Ops'!I128</f>
        <v/>
      </c>
      <c r="F128" s="205">
        <f>'Jobs-Ops'!U128</f>
        <v/>
      </c>
      <c r="G128" s="181">
        <f>'Jobs-GAAP'!J128</f>
        <v/>
      </c>
      <c r="H128" s="205">
        <f>'Jobs-GAAP'!V128</f>
        <v/>
      </c>
      <c r="I128" s="181">
        <f>E128-G128</f>
        <v/>
      </c>
      <c r="J128" s="9">
        <f>'Jobs-Ops'!P128</f>
        <v/>
      </c>
      <c r="K128" s="9">
        <f>'Jobs-GAAP'!Q128</f>
        <v/>
      </c>
      <c r="L128" s="9">
        <f>J128-K128</f>
        <v/>
      </c>
      <c r="M128" s="186" t="n"/>
      <c r="N128" s="9">
        <f>'Jobs-Ops'!Y128</f>
        <v/>
      </c>
      <c r="O128" s="9">
        <f>'Jobs-GAAP'!Y128</f>
        <v/>
      </c>
      <c r="P128" s="9">
        <f>N128-O128</f>
        <v/>
      </c>
      <c r="Q128" s="186" t="n"/>
      <c r="R128" s="11">
        <f>'Jobs-Ops'!AL128</f>
        <v/>
      </c>
      <c r="S128" s="11">
        <f>'Jobs-GAAP'!AH128</f>
        <v/>
      </c>
      <c r="T128" s="11">
        <f>IFERROR(R128-S128,0)</f>
        <v/>
      </c>
      <c r="U128" s="8">
        <f>'Jobs-Ops'!AM128</f>
        <v/>
      </c>
      <c r="V128" s="8">
        <f>'Jobs-GAAP'!AI128</f>
        <v/>
      </c>
      <c r="W128" s="8">
        <f>IFERROR(U128-V128,0)</f>
        <v/>
      </c>
      <c r="X128" s="9">
        <f>'Jobs-Ops'!AN128</f>
        <v/>
      </c>
      <c r="Y128" s="9">
        <f>'Jobs-GAAP'!AJ128</f>
        <v/>
      </c>
      <c r="Z128" s="9">
        <f>IFERROR(X128-Y128,0)</f>
        <v/>
      </c>
      <c r="AA128" s="153">
        <f>'Jobs-Ops'!AO128</f>
        <v/>
      </c>
      <c r="AB128" s="187" t="n"/>
      <c r="AC128" s="186" t="n"/>
      <c r="AD128" s="186" t="n"/>
      <c r="AE128" s="188" t="n"/>
      <c r="AF128" s="187" t="n"/>
      <c r="AG128" s="187" t="n"/>
      <c r="AH128" s="186" t="n"/>
      <c r="AI128" s="186" t="n"/>
      <c r="AJ128" s="186" t="n"/>
      <c r="AK128" s="186" t="n"/>
      <c r="AL128" s="186" t="n"/>
      <c r="AM128" s="186" t="n"/>
      <c r="AN128" s="186" t="n"/>
      <c r="AO128" s="186" t="n"/>
      <c r="AP128" s="186" t="n"/>
      <c r="AQ128" s="186" t="n"/>
      <c r="AR128" s="186" t="n"/>
      <c r="AS128" s="186" t="n"/>
      <c r="AT128" s="186" t="n"/>
      <c r="AU128" s="186" t="n"/>
      <c r="AV128" s="186" t="n"/>
      <c r="AW128" s="186" t="n"/>
      <c r="AX128" s="186" t="n"/>
      <c r="AY128" s="186" t="n"/>
      <c r="AZ128" s="186" t="n"/>
      <c r="BA128" s="186" t="n"/>
      <c r="BB128" s="186" t="n"/>
      <c r="BC128" s="186" t="n"/>
      <c r="BD128" s="190" t="n"/>
      <c r="BE128" s="186" t="n"/>
      <c r="BF128" s="186" t="n"/>
      <c r="BG128" s="186" t="n"/>
      <c r="BH128" s="186" t="n"/>
      <c r="BI128" s="186" t="n"/>
      <c r="BJ128" s="187" t="n"/>
      <c r="BK128" s="192" t="n"/>
      <c r="BL128" s="192" t="n"/>
      <c r="BM128" s="192" t="n"/>
      <c r="BN128" s="192" t="n"/>
    </row>
    <row r="129">
      <c r="A129" s="289">
        <f> 'Jobs-Ops'!A129</f>
        <v/>
      </c>
      <c r="B129" s="290">
        <f>'Jobs-Ops'!B129</f>
        <v/>
      </c>
      <c r="C129" s="290">
        <f>'Jobs-Ops'!C129</f>
        <v/>
      </c>
      <c r="D129" s="179" t="n"/>
      <c r="E129" s="181">
        <f>'Jobs-Ops'!I129</f>
        <v/>
      </c>
      <c r="F129" s="205">
        <f>'Jobs-Ops'!U129</f>
        <v/>
      </c>
      <c r="G129" s="181">
        <f>'Jobs-GAAP'!J129</f>
        <v/>
      </c>
      <c r="H129" s="205">
        <f>'Jobs-GAAP'!V129</f>
        <v/>
      </c>
      <c r="I129" s="181">
        <f>E129-G129</f>
        <v/>
      </c>
      <c r="J129" s="9">
        <f>'Jobs-Ops'!P129</f>
        <v/>
      </c>
      <c r="K129" s="9">
        <f>'Jobs-GAAP'!Q129</f>
        <v/>
      </c>
      <c r="L129" s="9">
        <f>J129-K129</f>
        <v/>
      </c>
      <c r="M129" s="186" t="n"/>
      <c r="N129" s="9">
        <f>'Jobs-Ops'!Y129</f>
        <v/>
      </c>
      <c r="O129" s="9">
        <f>'Jobs-GAAP'!Y129</f>
        <v/>
      </c>
      <c r="P129" s="9">
        <f>N129-O129</f>
        <v/>
      </c>
      <c r="Q129" s="186" t="n"/>
      <c r="R129" s="11">
        <f>'Jobs-Ops'!AL129</f>
        <v/>
      </c>
      <c r="S129" s="11">
        <f>'Jobs-GAAP'!AH129</f>
        <v/>
      </c>
      <c r="T129" s="11">
        <f>IFERROR(R129-S129,0)</f>
        <v/>
      </c>
      <c r="U129" s="8">
        <f>'Jobs-Ops'!AM129</f>
        <v/>
      </c>
      <c r="V129" s="8">
        <f>'Jobs-GAAP'!AI129</f>
        <v/>
      </c>
      <c r="W129" s="8">
        <f>IFERROR(U129-V129,0)</f>
        <v/>
      </c>
      <c r="X129" s="9">
        <f>'Jobs-Ops'!AN129</f>
        <v/>
      </c>
      <c r="Y129" s="9">
        <f>'Jobs-GAAP'!AJ129</f>
        <v/>
      </c>
      <c r="Z129" s="9">
        <f>IFERROR(X129-Y129,0)</f>
        <v/>
      </c>
      <c r="AA129" s="153">
        <f>'Jobs-Ops'!AO129</f>
        <v/>
      </c>
      <c r="AB129" s="187" t="n"/>
      <c r="AC129" s="186" t="n"/>
      <c r="AD129" s="186" t="n"/>
      <c r="AE129" s="188" t="n"/>
      <c r="AF129" s="187" t="n"/>
      <c r="AG129" s="187" t="n"/>
      <c r="AH129" s="186" t="n"/>
      <c r="AI129" s="186" t="n"/>
      <c r="AJ129" s="186" t="n"/>
      <c r="AK129" s="186" t="n"/>
      <c r="AL129" s="186" t="n"/>
      <c r="AM129" s="186" t="n"/>
      <c r="AN129" s="186" t="n"/>
      <c r="AO129" s="186" t="n"/>
      <c r="AP129" s="186" t="n"/>
      <c r="AQ129" s="186" t="n"/>
      <c r="AR129" s="186" t="n"/>
      <c r="AS129" s="186" t="n"/>
      <c r="AT129" s="186" t="n"/>
      <c r="AU129" s="186" t="n"/>
      <c r="AV129" s="186" t="n"/>
      <c r="AW129" s="186" t="n"/>
      <c r="AX129" s="186" t="n"/>
      <c r="AY129" s="186" t="n"/>
      <c r="AZ129" s="186" t="n"/>
      <c r="BA129" s="186" t="n"/>
      <c r="BB129" s="186" t="n"/>
      <c r="BC129" s="186" t="n"/>
      <c r="BD129" s="190" t="n"/>
      <c r="BE129" s="186" t="n"/>
      <c r="BF129" s="186" t="n"/>
      <c r="BG129" s="186" t="n"/>
      <c r="BH129" s="186" t="n"/>
      <c r="BI129" s="186" t="n"/>
      <c r="BJ129" s="187" t="n"/>
      <c r="BK129" s="192" t="n"/>
      <c r="BL129" s="192" t="n"/>
      <c r="BM129" s="192" t="n"/>
      <c r="BN129" s="192" t="n"/>
    </row>
    <row r="130">
      <c r="A130" s="289">
        <f> 'Jobs-Ops'!A130</f>
        <v/>
      </c>
      <c r="B130" s="290">
        <f>'Jobs-Ops'!B130</f>
        <v/>
      </c>
      <c r="C130" s="290">
        <f>'Jobs-Ops'!C130</f>
        <v/>
      </c>
      <c r="D130" s="179" t="n"/>
      <c r="E130" s="181">
        <f>'Jobs-Ops'!I130</f>
        <v/>
      </c>
      <c r="F130" s="205">
        <f>'Jobs-Ops'!U130</f>
        <v/>
      </c>
      <c r="G130" s="181">
        <f>'Jobs-GAAP'!J130</f>
        <v/>
      </c>
      <c r="H130" s="205">
        <f>'Jobs-GAAP'!V130</f>
        <v/>
      </c>
      <c r="I130" s="181">
        <f>E130-G130</f>
        <v/>
      </c>
      <c r="J130" s="9">
        <f>'Jobs-Ops'!P130</f>
        <v/>
      </c>
      <c r="K130" s="9">
        <f>'Jobs-GAAP'!Q130</f>
        <v/>
      </c>
      <c r="L130" s="9">
        <f>J130-K130</f>
        <v/>
      </c>
      <c r="M130" s="186" t="n"/>
      <c r="N130" s="9">
        <f>'Jobs-Ops'!Y130</f>
        <v/>
      </c>
      <c r="O130" s="9">
        <f>'Jobs-GAAP'!Y130</f>
        <v/>
      </c>
      <c r="P130" s="9">
        <f>N130-O130</f>
        <v/>
      </c>
      <c r="Q130" s="186" t="n"/>
      <c r="R130" s="11">
        <f>'Jobs-Ops'!AL130</f>
        <v/>
      </c>
      <c r="S130" s="11">
        <f>'Jobs-GAAP'!AH130</f>
        <v/>
      </c>
      <c r="T130" s="11">
        <f>IFERROR(R130-S130,0)</f>
        <v/>
      </c>
      <c r="U130" s="8">
        <f>'Jobs-Ops'!AM130</f>
        <v/>
      </c>
      <c r="V130" s="8">
        <f>'Jobs-GAAP'!AI130</f>
        <v/>
      </c>
      <c r="W130" s="8">
        <f>IFERROR(U130-V130,0)</f>
        <v/>
      </c>
      <c r="X130" s="9">
        <f>'Jobs-Ops'!AN130</f>
        <v/>
      </c>
      <c r="Y130" s="9">
        <f>'Jobs-GAAP'!AJ130</f>
        <v/>
      </c>
      <c r="Z130" s="9">
        <f>IFERROR(X130-Y130,0)</f>
        <v/>
      </c>
      <c r="AA130" s="153">
        <f>'Jobs-Ops'!AO130</f>
        <v/>
      </c>
      <c r="AB130" s="187" t="n"/>
      <c r="AC130" s="186" t="n"/>
      <c r="AD130" s="186" t="n"/>
      <c r="AE130" s="188" t="n"/>
      <c r="AF130" s="187" t="n"/>
      <c r="AG130" s="187" t="n"/>
      <c r="AH130" s="186" t="n"/>
      <c r="AI130" s="186" t="n"/>
      <c r="AJ130" s="186" t="n"/>
      <c r="AK130" s="186" t="n"/>
      <c r="AL130" s="186" t="n"/>
      <c r="AM130" s="186" t="n"/>
      <c r="AN130" s="186" t="n"/>
      <c r="AO130" s="186" t="n"/>
      <c r="AP130" s="186" t="n"/>
      <c r="AQ130" s="186" t="n"/>
      <c r="AR130" s="186" t="n"/>
      <c r="AS130" s="186" t="n"/>
      <c r="AT130" s="186" t="n"/>
      <c r="AU130" s="186" t="n"/>
      <c r="AV130" s="186" t="n"/>
      <c r="AW130" s="186" t="n"/>
      <c r="AX130" s="186" t="n"/>
      <c r="AY130" s="186" t="n"/>
      <c r="AZ130" s="186" t="n"/>
      <c r="BA130" s="186" t="n"/>
      <c r="BB130" s="186" t="n"/>
      <c r="BC130" s="186" t="n"/>
      <c r="BD130" s="190" t="n"/>
      <c r="BE130" s="186" t="n"/>
      <c r="BF130" s="186" t="n"/>
      <c r="BG130" s="186" t="n"/>
      <c r="BH130" s="186" t="n"/>
      <c r="BI130" s="186" t="n"/>
      <c r="BJ130" s="187" t="n"/>
      <c r="BK130" s="192" t="n"/>
      <c r="BL130" s="192" t="n"/>
      <c r="BM130" s="192" t="n"/>
      <c r="BN130" s="192" t="n"/>
    </row>
    <row r="131">
      <c r="A131" s="289">
        <f> 'Jobs-Ops'!A131</f>
        <v/>
      </c>
      <c r="B131" s="290">
        <f>'Jobs-Ops'!B131</f>
        <v/>
      </c>
      <c r="C131" s="290">
        <f>'Jobs-Ops'!C131</f>
        <v/>
      </c>
      <c r="D131" s="179" t="n"/>
      <c r="E131" s="181">
        <f>'Jobs-Ops'!I131</f>
        <v/>
      </c>
      <c r="F131" s="205">
        <f>'Jobs-Ops'!U131</f>
        <v/>
      </c>
      <c r="G131" s="181">
        <f>'Jobs-GAAP'!J131</f>
        <v/>
      </c>
      <c r="H131" s="205">
        <f>'Jobs-GAAP'!V131</f>
        <v/>
      </c>
      <c r="I131" s="181">
        <f>E131-G131</f>
        <v/>
      </c>
      <c r="J131" s="9">
        <f>'Jobs-Ops'!P131</f>
        <v/>
      </c>
      <c r="K131" s="9">
        <f>'Jobs-GAAP'!Q131</f>
        <v/>
      </c>
      <c r="L131" s="9">
        <f>J131-K131</f>
        <v/>
      </c>
      <c r="M131" s="186" t="n"/>
      <c r="N131" s="9">
        <f>'Jobs-Ops'!Y131</f>
        <v/>
      </c>
      <c r="O131" s="9">
        <f>'Jobs-GAAP'!Y131</f>
        <v/>
      </c>
      <c r="P131" s="9">
        <f>N131-O131</f>
        <v/>
      </c>
      <c r="Q131" s="186" t="n"/>
      <c r="R131" s="11">
        <f>'Jobs-Ops'!AL131</f>
        <v/>
      </c>
      <c r="S131" s="11">
        <f>'Jobs-GAAP'!AH131</f>
        <v/>
      </c>
      <c r="T131" s="11">
        <f>IFERROR(R131-S131,0)</f>
        <v/>
      </c>
      <c r="U131" s="8">
        <f>'Jobs-Ops'!AM131</f>
        <v/>
      </c>
      <c r="V131" s="8">
        <f>'Jobs-GAAP'!AI131</f>
        <v/>
      </c>
      <c r="W131" s="8">
        <f>IFERROR(U131-V131,0)</f>
        <v/>
      </c>
      <c r="X131" s="9">
        <f>'Jobs-Ops'!AN131</f>
        <v/>
      </c>
      <c r="Y131" s="9">
        <f>'Jobs-GAAP'!AJ131</f>
        <v/>
      </c>
      <c r="Z131" s="9">
        <f>IFERROR(X131-Y131,0)</f>
        <v/>
      </c>
      <c r="AA131" s="153">
        <f>'Jobs-Ops'!AO131</f>
        <v/>
      </c>
      <c r="AB131" s="187" t="n"/>
      <c r="AC131" s="186" t="n"/>
      <c r="AD131" s="186" t="n"/>
      <c r="AE131" s="188" t="n"/>
      <c r="AF131" s="187" t="n"/>
      <c r="AG131" s="187" t="n"/>
      <c r="AH131" s="186" t="n"/>
      <c r="AI131" s="186" t="n"/>
      <c r="AJ131" s="186" t="n"/>
      <c r="AK131" s="186" t="n"/>
      <c r="AL131" s="186" t="n"/>
      <c r="AM131" s="186" t="n"/>
      <c r="AN131" s="186" t="n"/>
      <c r="AO131" s="186" t="n"/>
      <c r="AP131" s="186" t="n"/>
      <c r="AQ131" s="186" t="n"/>
      <c r="AR131" s="186" t="n"/>
      <c r="AS131" s="186" t="n"/>
      <c r="AT131" s="186" t="n"/>
      <c r="AU131" s="186" t="n"/>
      <c r="AV131" s="186" t="n"/>
      <c r="AW131" s="186" t="n"/>
      <c r="AX131" s="186" t="n"/>
      <c r="AY131" s="186" t="n"/>
      <c r="AZ131" s="186" t="n"/>
      <c r="BA131" s="186" t="n"/>
      <c r="BB131" s="186" t="n"/>
      <c r="BC131" s="186" t="n"/>
      <c r="BD131" s="190" t="n"/>
      <c r="BE131" s="186" t="n"/>
      <c r="BF131" s="186" t="n"/>
      <c r="BG131" s="186" t="n"/>
      <c r="BH131" s="186" t="n"/>
      <c r="BI131" s="186" t="n"/>
      <c r="BJ131" s="187" t="n"/>
      <c r="BK131" s="192" t="n"/>
      <c r="BL131" s="192" t="n"/>
      <c r="BM131" s="192" t="n"/>
      <c r="BN131" s="192" t="n"/>
    </row>
    <row r="132">
      <c r="A132" s="289">
        <f> 'Jobs-Ops'!A132</f>
        <v/>
      </c>
      <c r="B132" s="290">
        <f>'Jobs-Ops'!B132</f>
        <v/>
      </c>
      <c r="C132" s="290">
        <f>'Jobs-Ops'!C132</f>
        <v/>
      </c>
      <c r="D132" s="179" t="n"/>
      <c r="E132" s="181">
        <f>'Jobs-Ops'!I132</f>
        <v/>
      </c>
      <c r="F132" s="205">
        <f>'Jobs-Ops'!U132</f>
        <v/>
      </c>
      <c r="G132" s="181">
        <f>'Jobs-GAAP'!J132</f>
        <v/>
      </c>
      <c r="H132" s="205">
        <f>'Jobs-GAAP'!V132</f>
        <v/>
      </c>
      <c r="I132" s="181">
        <f>E132-G132</f>
        <v/>
      </c>
      <c r="J132" s="9">
        <f>'Jobs-Ops'!P132</f>
        <v/>
      </c>
      <c r="K132" s="9">
        <f>'Jobs-GAAP'!Q132</f>
        <v/>
      </c>
      <c r="L132" s="9">
        <f>J132-K132</f>
        <v/>
      </c>
      <c r="M132" s="186" t="n"/>
      <c r="N132" s="9">
        <f>'Jobs-Ops'!Y132</f>
        <v/>
      </c>
      <c r="O132" s="9">
        <f>'Jobs-GAAP'!Y132</f>
        <v/>
      </c>
      <c r="P132" s="9">
        <f>N132-O132</f>
        <v/>
      </c>
      <c r="Q132" s="186" t="n"/>
      <c r="R132" s="11">
        <f>'Jobs-Ops'!AL132</f>
        <v/>
      </c>
      <c r="S132" s="11">
        <f>'Jobs-GAAP'!AH132</f>
        <v/>
      </c>
      <c r="T132" s="11">
        <f>IFERROR(R132-S132,0)</f>
        <v/>
      </c>
      <c r="U132" s="8">
        <f>'Jobs-Ops'!AM132</f>
        <v/>
      </c>
      <c r="V132" s="8">
        <f>'Jobs-GAAP'!AI132</f>
        <v/>
      </c>
      <c r="W132" s="8">
        <f>IFERROR(U132-V132,0)</f>
        <v/>
      </c>
      <c r="X132" s="9">
        <f>'Jobs-Ops'!AN132</f>
        <v/>
      </c>
      <c r="Y132" s="9">
        <f>'Jobs-GAAP'!AJ132</f>
        <v/>
      </c>
      <c r="Z132" s="9">
        <f>IFERROR(X132-Y132,0)</f>
        <v/>
      </c>
      <c r="AA132" s="153">
        <f>'Jobs-Ops'!AO132</f>
        <v/>
      </c>
      <c r="AB132" s="187" t="n"/>
      <c r="AC132" s="186" t="n"/>
      <c r="AD132" s="186" t="n"/>
      <c r="AE132" s="188" t="n"/>
      <c r="AF132" s="187" t="n"/>
      <c r="AG132" s="187" t="n"/>
      <c r="AH132" s="186" t="n"/>
      <c r="AI132" s="186" t="n"/>
      <c r="AJ132" s="186" t="n"/>
      <c r="AK132" s="186" t="n"/>
      <c r="AL132" s="186" t="n"/>
      <c r="AM132" s="186" t="n"/>
      <c r="AN132" s="186" t="n"/>
      <c r="AO132" s="186" t="n"/>
      <c r="AP132" s="186" t="n"/>
      <c r="AQ132" s="186" t="n"/>
      <c r="AR132" s="186" t="n"/>
      <c r="AS132" s="186" t="n"/>
      <c r="AT132" s="186" t="n"/>
      <c r="AU132" s="186" t="n"/>
      <c r="AV132" s="186" t="n"/>
      <c r="AW132" s="186" t="n"/>
      <c r="AX132" s="186" t="n"/>
      <c r="AY132" s="186" t="n"/>
      <c r="AZ132" s="186" t="n"/>
      <c r="BA132" s="186" t="n"/>
      <c r="BB132" s="186" t="n"/>
      <c r="BC132" s="186" t="n"/>
      <c r="BD132" s="190" t="n"/>
      <c r="BE132" s="186" t="n"/>
      <c r="BF132" s="186" t="n"/>
      <c r="BG132" s="186" t="n"/>
      <c r="BH132" s="186" t="n"/>
      <c r="BI132" s="186" t="n"/>
      <c r="BJ132" s="187" t="n"/>
      <c r="BK132" s="192" t="n"/>
      <c r="BL132" s="192" t="n"/>
      <c r="BM132" s="192" t="n"/>
      <c r="BN132" s="192" t="n"/>
    </row>
    <row r="133">
      <c r="A133" s="289">
        <f> 'Jobs-Ops'!A133</f>
        <v/>
      </c>
      <c r="B133" s="290">
        <f>'Jobs-Ops'!B133</f>
        <v/>
      </c>
      <c r="C133" s="290">
        <f>'Jobs-Ops'!C133</f>
        <v/>
      </c>
      <c r="D133" s="179" t="n"/>
      <c r="E133" s="181">
        <f>'Jobs-Ops'!I133</f>
        <v/>
      </c>
      <c r="F133" s="205">
        <f>'Jobs-Ops'!U133</f>
        <v/>
      </c>
      <c r="G133" s="181">
        <f>'Jobs-GAAP'!J133</f>
        <v/>
      </c>
      <c r="H133" s="205">
        <f>'Jobs-GAAP'!V133</f>
        <v/>
      </c>
      <c r="I133" s="181">
        <f>E133-G133</f>
        <v/>
      </c>
      <c r="J133" s="9">
        <f>'Jobs-Ops'!P133</f>
        <v/>
      </c>
      <c r="K133" s="9">
        <f>'Jobs-GAAP'!Q133</f>
        <v/>
      </c>
      <c r="L133" s="9">
        <f>J133-K133</f>
        <v/>
      </c>
      <c r="M133" s="186" t="n"/>
      <c r="N133" s="9">
        <f>'Jobs-Ops'!Y133</f>
        <v/>
      </c>
      <c r="O133" s="9">
        <f>'Jobs-GAAP'!Y133</f>
        <v/>
      </c>
      <c r="P133" s="9">
        <f>N133-O133</f>
        <v/>
      </c>
      <c r="Q133" s="186" t="n"/>
      <c r="R133" s="11">
        <f>'Jobs-Ops'!AL133</f>
        <v/>
      </c>
      <c r="S133" s="11">
        <f>'Jobs-GAAP'!AH133</f>
        <v/>
      </c>
      <c r="T133" s="11">
        <f>IFERROR(R133-S133,0)</f>
        <v/>
      </c>
      <c r="U133" s="8">
        <f>'Jobs-Ops'!AM133</f>
        <v/>
      </c>
      <c r="V133" s="8">
        <f>'Jobs-GAAP'!AI133</f>
        <v/>
      </c>
      <c r="W133" s="8">
        <f>IFERROR(U133-V133,0)</f>
        <v/>
      </c>
      <c r="X133" s="9">
        <f>'Jobs-Ops'!AN133</f>
        <v/>
      </c>
      <c r="Y133" s="9">
        <f>'Jobs-GAAP'!AJ133</f>
        <v/>
      </c>
      <c r="Z133" s="9">
        <f>IFERROR(X133-Y133,0)</f>
        <v/>
      </c>
      <c r="AA133" s="153">
        <f>'Jobs-Ops'!AO133</f>
        <v/>
      </c>
      <c r="AB133" s="187" t="n"/>
      <c r="AC133" s="186" t="n"/>
      <c r="AD133" s="186" t="n"/>
      <c r="AE133" s="188" t="n"/>
      <c r="AF133" s="187" t="n"/>
      <c r="AG133" s="187" t="n"/>
      <c r="AH133" s="186" t="n"/>
      <c r="AI133" s="186" t="n"/>
      <c r="AJ133" s="186" t="n"/>
      <c r="AK133" s="186" t="n"/>
      <c r="AL133" s="186" t="n"/>
      <c r="AM133" s="186" t="n"/>
      <c r="AN133" s="186" t="n"/>
      <c r="AO133" s="186" t="n"/>
      <c r="AP133" s="186" t="n"/>
      <c r="AQ133" s="186" t="n"/>
      <c r="AR133" s="186" t="n"/>
      <c r="AS133" s="186" t="n"/>
      <c r="AT133" s="186" t="n"/>
      <c r="AU133" s="186" t="n"/>
      <c r="AV133" s="186" t="n"/>
      <c r="AW133" s="186" t="n"/>
      <c r="AX133" s="186" t="n"/>
      <c r="AY133" s="186" t="n"/>
      <c r="AZ133" s="186" t="n"/>
      <c r="BA133" s="186" t="n"/>
      <c r="BB133" s="186" t="n"/>
      <c r="BC133" s="186" t="n"/>
      <c r="BD133" s="190" t="n"/>
      <c r="BE133" s="186" t="n"/>
      <c r="BF133" s="186" t="n"/>
      <c r="BG133" s="186" t="n"/>
      <c r="BH133" s="186" t="n"/>
      <c r="BI133" s="186" t="n"/>
      <c r="BJ133" s="187" t="n"/>
      <c r="BK133" s="192" t="n"/>
      <c r="BL133" s="192" t="n"/>
      <c r="BM133" s="192" t="n"/>
      <c r="BN133" s="192" t="n"/>
    </row>
    <row r="134">
      <c r="A134" s="289">
        <f> 'Jobs-Ops'!A134</f>
        <v/>
      </c>
      <c r="B134" s="290">
        <f>'Jobs-Ops'!B134</f>
        <v/>
      </c>
      <c r="C134" s="290">
        <f>'Jobs-Ops'!C134</f>
        <v/>
      </c>
      <c r="D134" s="179" t="n"/>
      <c r="E134" s="181">
        <f>'Jobs-Ops'!I134</f>
        <v/>
      </c>
      <c r="F134" s="205">
        <f>'Jobs-Ops'!U134</f>
        <v/>
      </c>
      <c r="G134" s="181">
        <f>'Jobs-GAAP'!J134</f>
        <v/>
      </c>
      <c r="H134" s="205">
        <f>'Jobs-GAAP'!V134</f>
        <v/>
      </c>
      <c r="I134" s="181">
        <f>E134-G134</f>
        <v/>
      </c>
      <c r="J134" s="9">
        <f>'Jobs-Ops'!P134</f>
        <v/>
      </c>
      <c r="K134" s="9">
        <f>'Jobs-GAAP'!Q134</f>
        <v/>
      </c>
      <c r="L134" s="9">
        <f>J134-K134</f>
        <v/>
      </c>
      <c r="M134" s="186" t="n"/>
      <c r="N134" s="9">
        <f>'Jobs-Ops'!Y134</f>
        <v/>
      </c>
      <c r="O134" s="9">
        <f>'Jobs-GAAP'!Y134</f>
        <v/>
      </c>
      <c r="P134" s="9">
        <f>N134-O134</f>
        <v/>
      </c>
      <c r="Q134" s="186" t="n"/>
      <c r="R134" s="11">
        <f>'Jobs-Ops'!AL134</f>
        <v/>
      </c>
      <c r="S134" s="11">
        <f>'Jobs-GAAP'!AH134</f>
        <v/>
      </c>
      <c r="T134" s="11">
        <f>IFERROR(R134-S134,0)</f>
        <v/>
      </c>
      <c r="U134" s="8">
        <f>'Jobs-Ops'!AM134</f>
        <v/>
      </c>
      <c r="V134" s="8">
        <f>'Jobs-GAAP'!AI134</f>
        <v/>
      </c>
      <c r="W134" s="8">
        <f>IFERROR(U134-V134,0)</f>
        <v/>
      </c>
      <c r="X134" s="9">
        <f>'Jobs-Ops'!AN134</f>
        <v/>
      </c>
      <c r="Y134" s="9">
        <f>'Jobs-GAAP'!AJ134</f>
        <v/>
      </c>
      <c r="Z134" s="9">
        <f>IFERROR(X134-Y134,0)</f>
        <v/>
      </c>
      <c r="AA134" s="153">
        <f>'Jobs-Ops'!AO134</f>
        <v/>
      </c>
      <c r="AB134" s="187" t="n"/>
      <c r="AC134" s="186" t="n"/>
      <c r="AD134" s="186" t="n"/>
      <c r="AE134" s="188" t="n"/>
      <c r="AF134" s="187" t="n"/>
      <c r="AG134" s="187" t="n"/>
      <c r="AH134" s="186" t="n"/>
      <c r="AI134" s="186" t="n"/>
      <c r="AJ134" s="186" t="n"/>
      <c r="AK134" s="186" t="n"/>
      <c r="AL134" s="186" t="n"/>
      <c r="AM134" s="186" t="n"/>
      <c r="AN134" s="186" t="n"/>
      <c r="AO134" s="186" t="n"/>
      <c r="AP134" s="186" t="n"/>
      <c r="AQ134" s="186" t="n"/>
      <c r="AR134" s="186" t="n"/>
      <c r="AS134" s="186" t="n"/>
      <c r="AT134" s="186" t="n"/>
      <c r="AU134" s="186" t="n"/>
      <c r="AV134" s="186" t="n"/>
      <c r="AW134" s="186" t="n"/>
      <c r="AX134" s="186" t="n"/>
      <c r="AY134" s="186" t="n"/>
      <c r="AZ134" s="186" t="n"/>
      <c r="BA134" s="186" t="n"/>
      <c r="BB134" s="186" t="n"/>
      <c r="BC134" s="186" t="n"/>
      <c r="BD134" s="190" t="n"/>
      <c r="BE134" s="186" t="n"/>
      <c r="BF134" s="186" t="n"/>
      <c r="BG134" s="186" t="n"/>
      <c r="BH134" s="186" t="n"/>
      <c r="BI134" s="186" t="n"/>
      <c r="BJ134" s="187" t="n"/>
      <c r="BK134" s="192" t="n"/>
      <c r="BL134" s="192" t="n"/>
      <c r="BM134" s="192" t="n"/>
      <c r="BN134" s="192" t="n"/>
    </row>
    <row r="135">
      <c r="A135" s="289">
        <f> 'Jobs-Ops'!A135</f>
        <v/>
      </c>
      <c r="B135" s="290">
        <f>'Jobs-Ops'!B135</f>
        <v/>
      </c>
      <c r="C135" s="290">
        <f>'Jobs-Ops'!C135</f>
        <v/>
      </c>
      <c r="D135" s="179" t="n"/>
      <c r="E135" s="181">
        <f>'Jobs-Ops'!I135</f>
        <v/>
      </c>
      <c r="F135" s="205">
        <f>'Jobs-Ops'!U135</f>
        <v/>
      </c>
      <c r="G135" s="181">
        <f>'Jobs-GAAP'!J135</f>
        <v/>
      </c>
      <c r="H135" s="205">
        <f>'Jobs-GAAP'!V135</f>
        <v/>
      </c>
      <c r="I135" s="181">
        <f>E135-G135</f>
        <v/>
      </c>
      <c r="J135" s="9">
        <f>'Jobs-Ops'!P135</f>
        <v/>
      </c>
      <c r="K135" s="9">
        <f>'Jobs-GAAP'!Q135</f>
        <v/>
      </c>
      <c r="L135" s="9">
        <f>J135-K135</f>
        <v/>
      </c>
      <c r="M135" s="186" t="n"/>
      <c r="N135" s="9">
        <f>'Jobs-Ops'!Y135</f>
        <v/>
      </c>
      <c r="O135" s="9">
        <f>'Jobs-GAAP'!Y135</f>
        <v/>
      </c>
      <c r="P135" s="9">
        <f>N135-O135</f>
        <v/>
      </c>
      <c r="Q135" s="186" t="n"/>
      <c r="R135" s="11">
        <f>'Jobs-Ops'!AL135</f>
        <v/>
      </c>
      <c r="S135" s="11">
        <f>'Jobs-GAAP'!AH135</f>
        <v/>
      </c>
      <c r="T135" s="11">
        <f>IFERROR(R135-S135,0)</f>
        <v/>
      </c>
      <c r="U135" s="8">
        <f>'Jobs-Ops'!AM135</f>
        <v/>
      </c>
      <c r="V135" s="8">
        <f>'Jobs-GAAP'!AI135</f>
        <v/>
      </c>
      <c r="W135" s="8">
        <f>IFERROR(U135-V135,0)</f>
        <v/>
      </c>
      <c r="X135" s="9">
        <f>'Jobs-Ops'!AN135</f>
        <v/>
      </c>
      <c r="Y135" s="9">
        <f>'Jobs-GAAP'!AJ135</f>
        <v/>
      </c>
      <c r="Z135" s="9">
        <f>IFERROR(X135-Y135,0)</f>
        <v/>
      </c>
      <c r="AA135" s="153">
        <f>'Jobs-Ops'!AO135</f>
        <v/>
      </c>
      <c r="AB135" s="187" t="n"/>
      <c r="AC135" s="186" t="n"/>
      <c r="AD135" s="186" t="n"/>
      <c r="AE135" s="188" t="n"/>
      <c r="AF135" s="187" t="n"/>
      <c r="AG135" s="187" t="n"/>
      <c r="AH135" s="186" t="n"/>
      <c r="AI135" s="186" t="n"/>
      <c r="AJ135" s="186" t="n"/>
      <c r="AK135" s="186" t="n"/>
      <c r="AL135" s="186" t="n"/>
      <c r="AM135" s="186" t="n"/>
      <c r="AN135" s="186" t="n"/>
      <c r="AO135" s="186" t="n"/>
      <c r="AP135" s="186" t="n"/>
      <c r="AQ135" s="186" t="n"/>
      <c r="AR135" s="186" t="n"/>
      <c r="AS135" s="186" t="n"/>
      <c r="AT135" s="186" t="n"/>
      <c r="AU135" s="186" t="n"/>
      <c r="AV135" s="186" t="n"/>
      <c r="AW135" s="186" t="n"/>
      <c r="AX135" s="186" t="n"/>
      <c r="AY135" s="186" t="n"/>
      <c r="AZ135" s="186" t="n"/>
      <c r="BA135" s="186" t="n"/>
      <c r="BB135" s="186" t="n"/>
      <c r="BC135" s="186" t="n"/>
      <c r="BD135" s="190" t="n"/>
      <c r="BE135" s="186" t="n"/>
      <c r="BF135" s="186" t="n"/>
      <c r="BG135" s="186" t="n"/>
      <c r="BH135" s="186" t="n"/>
      <c r="BI135" s="186" t="n"/>
      <c r="BJ135" s="187" t="n"/>
      <c r="BK135" s="192" t="n"/>
      <c r="BL135" s="192" t="n"/>
      <c r="BM135" s="192" t="n"/>
      <c r="BN135" s="192" t="n"/>
    </row>
    <row r="136">
      <c r="A136" s="289">
        <f> 'Jobs-Ops'!A136</f>
        <v/>
      </c>
      <c r="B136" s="290">
        <f>'Jobs-Ops'!B136</f>
        <v/>
      </c>
      <c r="C136" s="290">
        <f>'Jobs-Ops'!C136</f>
        <v/>
      </c>
      <c r="D136" s="179" t="n"/>
      <c r="E136" s="181">
        <f>'Jobs-Ops'!I136</f>
        <v/>
      </c>
      <c r="F136" s="205">
        <f>'Jobs-Ops'!U136</f>
        <v/>
      </c>
      <c r="G136" s="181">
        <f>'Jobs-GAAP'!J136</f>
        <v/>
      </c>
      <c r="H136" s="205">
        <f>'Jobs-GAAP'!V136</f>
        <v/>
      </c>
      <c r="I136" s="181">
        <f>E136-G136</f>
        <v/>
      </c>
      <c r="J136" s="9">
        <f>'Jobs-Ops'!P136</f>
        <v/>
      </c>
      <c r="K136" s="9">
        <f>'Jobs-GAAP'!Q136</f>
        <v/>
      </c>
      <c r="L136" s="9">
        <f>J136-K136</f>
        <v/>
      </c>
      <c r="M136" s="186" t="n"/>
      <c r="N136" s="9">
        <f>'Jobs-Ops'!Y136</f>
        <v/>
      </c>
      <c r="O136" s="9">
        <f>'Jobs-GAAP'!Y136</f>
        <v/>
      </c>
      <c r="P136" s="9">
        <f>N136-O136</f>
        <v/>
      </c>
      <c r="Q136" s="186" t="n"/>
      <c r="R136" s="11">
        <f>'Jobs-Ops'!AL136</f>
        <v/>
      </c>
      <c r="S136" s="11">
        <f>'Jobs-GAAP'!AH136</f>
        <v/>
      </c>
      <c r="T136" s="11">
        <f>IFERROR(R136-S136,0)</f>
        <v/>
      </c>
      <c r="U136" s="8">
        <f>'Jobs-Ops'!AM136</f>
        <v/>
      </c>
      <c r="V136" s="8">
        <f>'Jobs-GAAP'!AI136</f>
        <v/>
      </c>
      <c r="W136" s="8">
        <f>IFERROR(U136-V136,0)</f>
        <v/>
      </c>
      <c r="X136" s="9">
        <f>'Jobs-Ops'!AN136</f>
        <v/>
      </c>
      <c r="Y136" s="9">
        <f>'Jobs-GAAP'!AJ136</f>
        <v/>
      </c>
      <c r="Z136" s="9">
        <f>IFERROR(X136-Y136,0)</f>
        <v/>
      </c>
      <c r="AA136" s="153">
        <f>'Jobs-Ops'!AO136</f>
        <v/>
      </c>
      <c r="AB136" s="187" t="n"/>
      <c r="AC136" s="186" t="n"/>
      <c r="AD136" s="186" t="n"/>
      <c r="AE136" s="188" t="n"/>
      <c r="AF136" s="187" t="n"/>
      <c r="AG136" s="187" t="n"/>
      <c r="AH136" s="186" t="n"/>
      <c r="AI136" s="186" t="n"/>
      <c r="AJ136" s="186" t="n"/>
      <c r="AK136" s="186" t="n"/>
      <c r="AL136" s="186" t="n"/>
      <c r="AM136" s="186" t="n"/>
      <c r="AN136" s="186" t="n"/>
      <c r="AO136" s="186" t="n"/>
      <c r="AP136" s="186" t="n"/>
      <c r="AQ136" s="186" t="n"/>
      <c r="AR136" s="186" t="n"/>
      <c r="AS136" s="186" t="n"/>
      <c r="AT136" s="186" t="n"/>
      <c r="AU136" s="186" t="n"/>
      <c r="AV136" s="186" t="n"/>
      <c r="AW136" s="186" t="n"/>
      <c r="AX136" s="186" t="n"/>
      <c r="AY136" s="186" t="n"/>
      <c r="AZ136" s="186" t="n"/>
      <c r="BA136" s="186" t="n"/>
      <c r="BB136" s="186" t="n"/>
      <c r="BC136" s="186" t="n"/>
      <c r="BD136" s="190" t="n"/>
      <c r="BE136" s="186" t="n"/>
      <c r="BF136" s="186" t="n"/>
      <c r="BG136" s="186" t="n"/>
      <c r="BH136" s="186" t="n"/>
      <c r="BI136" s="186" t="n"/>
      <c r="BJ136" s="187" t="n"/>
      <c r="BK136" s="192" t="n"/>
      <c r="BL136" s="192" t="n"/>
      <c r="BM136" s="192" t="n"/>
      <c r="BN136" s="192" t="n"/>
    </row>
    <row r="137">
      <c r="A137" s="289">
        <f> 'Jobs-Ops'!A137</f>
        <v/>
      </c>
      <c r="B137" s="290">
        <f>'Jobs-Ops'!B137</f>
        <v/>
      </c>
      <c r="C137" s="290">
        <f>'Jobs-Ops'!C137</f>
        <v/>
      </c>
      <c r="D137" s="179" t="n"/>
      <c r="E137" s="181">
        <f>'Jobs-Ops'!I137</f>
        <v/>
      </c>
      <c r="F137" s="205">
        <f>'Jobs-Ops'!U137</f>
        <v/>
      </c>
      <c r="G137" s="181">
        <f>'Jobs-GAAP'!J137</f>
        <v/>
      </c>
      <c r="H137" s="205">
        <f>'Jobs-GAAP'!V137</f>
        <v/>
      </c>
      <c r="I137" s="181">
        <f>E137-G137</f>
        <v/>
      </c>
      <c r="J137" s="9">
        <f>'Jobs-Ops'!P137</f>
        <v/>
      </c>
      <c r="K137" s="9">
        <f>'Jobs-GAAP'!Q137</f>
        <v/>
      </c>
      <c r="L137" s="9">
        <f>J137-K137</f>
        <v/>
      </c>
      <c r="M137" s="186" t="n"/>
      <c r="N137" s="9">
        <f>'Jobs-Ops'!Y137</f>
        <v/>
      </c>
      <c r="O137" s="9">
        <f>'Jobs-GAAP'!Y137</f>
        <v/>
      </c>
      <c r="P137" s="9">
        <f>N137-O137</f>
        <v/>
      </c>
      <c r="Q137" s="186" t="n"/>
      <c r="R137" s="11">
        <f>'Jobs-Ops'!AL137</f>
        <v/>
      </c>
      <c r="S137" s="11">
        <f>'Jobs-GAAP'!AH137</f>
        <v/>
      </c>
      <c r="T137" s="11">
        <f>IFERROR(R137-S137,0)</f>
        <v/>
      </c>
      <c r="U137" s="8">
        <f>'Jobs-Ops'!AM137</f>
        <v/>
      </c>
      <c r="V137" s="8">
        <f>'Jobs-GAAP'!AI137</f>
        <v/>
      </c>
      <c r="W137" s="8">
        <f>IFERROR(U137-V137,0)</f>
        <v/>
      </c>
      <c r="X137" s="9">
        <f>'Jobs-Ops'!AN137</f>
        <v/>
      </c>
      <c r="Y137" s="9">
        <f>'Jobs-GAAP'!AJ137</f>
        <v/>
      </c>
      <c r="Z137" s="9">
        <f>IFERROR(X137-Y137,0)</f>
        <v/>
      </c>
      <c r="AA137" s="153">
        <f>'Jobs-Ops'!AO137</f>
        <v/>
      </c>
      <c r="AB137" s="187" t="n"/>
      <c r="AC137" s="186" t="n"/>
      <c r="AD137" s="186" t="n"/>
      <c r="AE137" s="188" t="n"/>
      <c r="AF137" s="187" t="n"/>
      <c r="AG137" s="187" t="n"/>
      <c r="AH137" s="186" t="n"/>
      <c r="AI137" s="186" t="n"/>
      <c r="AJ137" s="186" t="n"/>
      <c r="AK137" s="186" t="n"/>
      <c r="AL137" s="186" t="n"/>
      <c r="AM137" s="186" t="n"/>
      <c r="AN137" s="186" t="n"/>
      <c r="AO137" s="186" t="n"/>
      <c r="AP137" s="186" t="n"/>
      <c r="AQ137" s="186" t="n"/>
      <c r="AR137" s="186" t="n"/>
      <c r="AS137" s="186" t="n"/>
      <c r="AT137" s="186" t="n"/>
      <c r="AU137" s="186" t="n"/>
      <c r="AV137" s="186" t="n"/>
      <c r="AW137" s="186" t="n"/>
      <c r="AX137" s="186" t="n"/>
      <c r="AY137" s="186" t="n"/>
      <c r="AZ137" s="186" t="n"/>
      <c r="BA137" s="186" t="n"/>
      <c r="BB137" s="186" t="n"/>
      <c r="BC137" s="186" t="n"/>
      <c r="BD137" s="190" t="n"/>
      <c r="BE137" s="186" t="n"/>
      <c r="BF137" s="186" t="n"/>
      <c r="BG137" s="186" t="n"/>
      <c r="BH137" s="186" t="n"/>
      <c r="BI137" s="186" t="n"/>
      <c r="BJ137" s="187" t="n"/>
      <c r="BK137" s="192" t="n"/>
      <c r="BL137" s="192" t="n"/>
      <c r="BM137" s="192" t="n"/>
      <c r="BN137" s="192" t="n"/>
    </row>
    <row r="138">
      <c r="A138" s="289">
        <f> 'Jobs-Ops'!A138</f>
        <v/>
      </c>
      <c r="B138" s="290">
        <f>'Jobs-Ops'!B138</f>
        <v/>
      </c>
      <c r="C138" s="290">
        <f>'Jobs-Ops'!C138</f>
        <v/>
      </c>
      <c r="D138" s="179" t="n"/>
      <c r="E138" s="181">
        <f>'Jobs-Ops'!I138</f>
        <v/>
      </c>
      <c r="F138" s="205">
        <f>'Jobs-Ops'!U138</f>
        <v/>
      </c>
      <c r="G138" s="181">
        <f>'Jobs-GAAP'!J138</f>
        <v/>
      </c>
      <c r="H138" s="205">
        <f>'Jobs-GAAP'!V138</f>
        <v/>
      </c>
      <c r="I138" s="181">
        <f>E138-G138</f>
        <v/>
      </c>
      <c r="J138" s="9">
        <f>'Jobs-Ops'!P138</f>
        <v/>
      </c>
      <c r="K138" s="9">
        <f>'Jobs-GAAP'!Q138</f>
        <v/>
      </c>
      <c r="L138" s="9">
        <f>J138-K138</f>
        <v/>
      </c>
      <c r="M138" s="186" t="n"/>
      <c r="N138" s="9">
        <f>'Jobs-Ops'!Y138</f>
        <v/>
      </c>
      <c r="O138" s="9">
        <f>'Jobs-GAAP'!Y138</f>
        <v/>
      </c>
      <c r="P138" s="9">
        <f>N138-O138</f>
        <v/>
      </c>
      <c r="Q138" s="186" t="n"/>
      <c r="R138" s="11">
        <f>'Jobs-Ops'!AL138</f>
        <v/>
      </c>
      <c r="S138" s="11">
        <f>'Jobs-GAAP'!AH138</f>
        <v/>
      </c>
      <c r="T138" s="11">
        <f>IFERROR(R138-S138,0)</f>
        <v/>
      </c>
      <c r="U138" s="8">
        <f>'Jobs-Ops'!AM138</f>
        <v/>
      </c>
      <c r="V138" s="8">
        <f>'Jobs-GAAP'!AI138</f>
        <v/>
      </c>
      <c r="W138" s="8">
        <f>IFERROR(U138-V138,0)</f>
        <v/>
      </c>
      <c r="X138" s="9">
        <f>'Jobs-Ops'!AN138</f>
        <v/>
      </c>
      <c r="Y138" s="9">
        <f>'Jobs-GAAP'!AJ138</f>
        <v/>
      </c>
      <c r="Z138" s="9">
        <f>IFERROR(X138-Y138,0)</f>
        <v/>
      </c>
      <c r="AA138" s="153">
        <f>'Jobs-Ops'!AO138</f>
        <v/>
      </c>
      <c r="AB138" s="187" t="n"/>
      <c r="AC138" s="186" t="n"/>
      <c r="AD138" s="186" t="n"/>
      <c r="AE138" s="188" t="n"/>
      <c r="AF138" s="187" t="n"/>
      <c r="AG138" s="187" t="n"/>
      <c r="AH138" s="186" t="n"/>
      <c r="AI138" s="186" t="n"/>
      <c r="AJ138" s="186" t="n"/>
      <c r="AK138" s="186" t="n"/>
      <c r="AL138" s="186" t="n"/>
      <c r="AM138" s="186" t="n"/>
      <c r="AN138" s="186" t="n"/>
      <c r="AO138" s="186" t="n"/>
      <c r="AP138" s="186" t="n"/>
      <c r="AQ138" s="186" t="n"/>
      <c r="AR138" s="186" t="n"/>
      <c r="AS138" s="186" t="n"/>
      <c r="AT138" s="186" t="n"/>
      <c r="AU138" s="186" t="n"/>
      <c r="AV138" s="186" t="n"/>
      <c r="AW138" s="186" t="n"/>
      <c r="AX138" s="186" t="n"/>
      <c r="AY138" s="186" t="n"/>
      <c r="AZ138" s="186" t="n"/>
      <c r="BA138" s="186" t="n"/>
      <c r="BB138" s="186" t="n"/>
      <c r="BC138" s="186" t="n"/>
      <c r="BD138" s="190" t="n"/>
      <c r="BE138" s="186" t="n"/>
      <c r="BF138" s="186" t="n"/>
      <c r="BG138" s="186" t="n"/>
      <c r="BH138" s="186" t="n"/>
      <c r="BI138" s="186" t="n"/>
      <c r="BJ138" s="187" t="n"/>
      <c r="BK138" s="192" t="n"/>
      <c r="BL138" s="192" t="n"/>
      <c r="BM138" s="192" t="n"/>
      <c r="BN138" s="192" t="n"/>
    </row>
    <row r="139">
      <c r="A139" s="289">
        <f> 'Jobs-Ops'!A139</f>
        <v/>
      </c>
      <c r="B139" s="290">
        <f>'Jobs-Ops'!B139</f>
        <v/>
      </c>
      <c r="C139" s="290">
        <f>'Jobs-Ops'!C139</f>
        <v/>
      </c>
      <c r="D139" s="179" t="n"/>
      <c r="E139" s="181">
        <f>'Jobs-Ops'!I139</f>
        <v/>
      </c>
      <c r="F139" s="205">
        <f>'Jobs-Ops'!U139</f>
        <v/>
      </c>
      <c r="G139" s="181">
        <f>'Jobs-GAAP'!J139</f>
        <v/>
      </c>
      <c r="H139" s="205">
        <f>'Jobs-GAAP'!V139</f>
        <v/>
      </c>
      <c r="I139" s="181">
        <f>E139-G139</f>
        <v/>
      </c>
      <c r="J139" s="9">
        <f>'Jobs-Ops'!P139</f>
        <v/>
      </c>
      <c r="K139" s="9">
        <f>'Jobs-GAAP'!Q139</f>
        <v/>
      </c>
      <c r="L139" s="9">
        <f>J139-K139</f>
        <v/>
      </c>
      <c r="M139" s="186" t="n"/>
      <c r="N139" s="9">
        <f>'Jobs-Ops'!Y139</f>
        <v/>
      </c>
      <c r="O139" s="9">
        <f>'Jobs-GAAP'!Y139</f>
        <v/>
      </c>
      <c r="P139" s="9">
        <f>N139-O139</f>
        <v/>
      </c>
      <c r="Q139" s="186" t="n"/>
      <c r="R139" s="11">
        <f>'Jobs-Ops'!AL139</f>
        <v/>
      </c>
      <c r="S139" s="11">
        <f>'Jobs-GAAP'!AH139</f>
        <v/>
      </c>
      <c r="T139" s="11">
        <f>IFERROR(R139-S139,0)</f>
        <v/>
      </c>
      <c r="U139" s="8">
        <f>'Jobs-Ops'!AM139</f>
        <v/>
      </c>
      <c r="V139" s="8">
        <f>'Jobs-GAAP'!AI139</f>
        <v/>
      </c>
      <c r="W139" s="8">
        <f>IFERROR(U139-V139,0)</f>
        <v/>
      </c>
      <c r="X139" s="9">
        <f>'Jobs-Ops'!AN139</f>
        <v/>
      </c>
      <c r="Y139" s="9">
        <f>'Jobs-GAAP'!AJ139</f>
        <v/>
      </c>
      <c r="Z139" s="9">
        <f>IFERROR(X139-Y139,0)</f>
        <v/>
      </c>
      <c r="AA139" s="153">
        <f>'Jobs-Ops'!AO139</f>
        <v/>
      </c>
      <c r="AB139" s="187" t="n"/>
      <c r="AC139" s="186" t="n"/>
      <c r="AD139" s="186" t="n"/>
      <c r="AE139" s="188" t="n"/>
      <c r="AF139" s="187" t="n"/>
      <c r="AG139" s="187" t="n"/>
      <c r="AH139" s="186" t="n"/>
      <c r="AI139" s="186" t="n"/>
      <c r="AJ139" s="186" t="n"/>
      <c r="AK139" s="186" t="n"/>
      <c r="AL139" s="186" t="n"/>
      <c r="AM139" s="186" t="n"/>
      <c r="AN139" s="186" t="n"/>
      <c r="AO139" s="186" t="n"/>
      <c r="AP139" s="186" t="n"/>
      <c r="AQ139" s="186" t="n"/>
      <c r="AR139" s="186" t="n"/>
      <c r="AS139" s="186" t="n"/>
      <c r="AT139" s="186" t="n"/>
      <c r="AU139" s="186" t="n"/>
      <c r="AV139" s="186" t="n"/>
      <c r="AW139" s="186" t="n"/>
      <c r="AX139" s="186" t="n"/>
      <c r="AY139" s="186" t="n"/>
      <c r="AZ139" s="186" t="n"/>
      <c r="BA139" s="186" t="n"/>
      <c r="BB139" s="186" t="n"/>
      <c r="BC139" s="186" t="n"/>
      <c r="BD139" s="190" t="n"/>
      <c r="BE139" s="186" t="n"/>
      <c r="BF139" s="186" t="n"/>
      <c r="BG139" s="186" t="n"/>
      <c r="BH139" s="186" t="n"/>
      <c r="BI139" s="186" t="n"/>
      <c r="BJ139" s="187" t="n"/>
      <c r="BK139" s="192" t="n"/>
      <c r="BL139" s="192" t="n"/>
      <c r="BM139" s="192" t="n"/>
      <c r="BN139" s="192" t="n"/>
    </row>
    <row r="140">
      <c r="A140" s="289">
        <f> 'Jobs-Ops'!A140</f>
        <v/>
      </c>
      <c r="B140" s="290">
        <f>'Jobs-Ops'!B140</f>
        <v/>
      </c>
      <c r="C140" s="290">
        <f>'Jobs-Ops'!C140</f>
        <v/>
      </c>
      <c r="D140" s="179" t="n"/>
      <c r="E140" s="181">
        <f>'Jobs-Ops'!I140</f>
        <v/>
      </c>
      <c r="F140" s="205">
        <f>'Jobs-Ops'!U140</f>
        <v/>
      </c>
      <c r="G140" s="181">
        <f>'Jobs-GAAP'!J140</f>
        <v/>
      </c>
      <c r="H140" s="205">
        <f>'Jobs-GAAP'!V140</f>
        <v/>
      </c>
      <c r="I140" s="181">
        <f>E140-G140</f>
        <v/>
      </c>
      <c r="J140" s="9">
        <f>'Jobs-Ops'!P140</f>
        <v/>
      </c>
      <c r="K140" s="9">
        <f>'Jobs-GAAP'!Q140</f>
        <v/>
      </c>
      <c r="L140" s="9">
        <f>J140-K140</f>
        <v/>
      </c>
      <c r="M140" s="186" t="n"/>
      <c r="N140" s="9">
        <f>'Jobs-Ops'!Y140</f>
        <v/>
      </c>
      <c r="O140" s="9">
        <f>'Jobs-GAAP'!Y140</f>
        <v/>
      </c>
      <c r="P140" s="9">
        <f>N140-O140</f>
        <v/>
      </c>
      <c r="Q140" s="186" t="n"/>
      <c r="R140" s="11">
        <f>'Jobs-Ops'!AL140</f>
        <v/>
      </c>
      <c r="S140" s="11">
        <f>'Jobs-GAAP'!AH140</f>
        <v/>
      </c>
      <c r="T140" s="11">
        <f>IFERROR(R140-S140,0)</f>
        <v/>
      </c>
      <c r="U140" s="8">
        <f>'Jobs-Ops'!AM140</f>
        <v/>
      </c>
      <c r="V140" s="8">
        <f>'Jobs-GAAP'!AI140</f>
        <v/>
      </c>
      <c r="W140" s="8">
        <f>IFERROR(U140-V140,0)</f>
        <v/>
      </c>
      <c r="X140" s="9">
        <f>'Jobs-Ops'!AN140</f>
        <v/>
      </c>
      <c r="Y140" s="9">
        <f>'Jobs-GAAP'!AJ140</f>
        <v/>
      </c>
      <c r="Z140" s="9">
        <f>IFERROR(X140-Y140,0)</f>
        <v/>
      </c>
      <c r="AA140" s="153">
        <f>'Jobs-Ops'!AO140</f>
        <v/>
      </c>
      <c r="AB140" s="187" t="n"/>
      <c r="AC140" s="186" t="n"/>
      <c r="AD140" s="186" t="n"/>
      <c r="AE140" s="188" t="n"/>
      <c r="AF140" s="187" t="n"/>
      <c r="AG140" s="187" t="n"/>
      <c r="AH140" s="186" t="n"/>
      <c r="AI140" s="186" t="n"/>
      <c r="AJ140" s="186" t="n"/>
      <c r="AK140" s="186" t="n"/>
      <c r="AL140" s="186" t="n"/>
      <c r="AM140" s="186" t="n"/>
      <c r="AN140" s="186" t="n"/>
      <c r="AO140" s="186" t="n"/>
      <c r="AP140" s="186" t="n"/>
      <c r="AQ140" s="186" t="n"/>
      <c r="AR140" s="186" t="n"/>
      <c r="AS140" s="186" t="n"/>
      <c r="AT140" s="186" t="n"/>
      <c r="AU140" s="186" t="n"/>
      <c r="AV140" s="186" t="n"/>
      <c r="AW140" s="186" t="n"/>
      <c r="AX140" s="186" t="n"/>
      <c r="AY140" s="186" t="n"/>
      <c r="AZ140" s="186" t="n"/>
      <c r="BA140" s="186" t="n"/>
      <c r="BB140" s="186" t="n"/>
      <c r="BC140" s="186" t="n"/>
      <c r="BD140" s="190" t="n"/>
      <c r="BE140" s="186" t="n"/>
      <c r="BF140" s="186" t="n"/>
      <c r="BG140" s="186" t="n"/>
      <c r="BH140" s="186" t="n"/>
      <c r="BI140" s="186" t="n"/>
      <c r="BJ140" s="187" t="n"/>
      <c r="BK140" s="192" t="n"/>
      <c r="BL140" s="192" t="n"/>
      <c r="BM140" s="192" t="n"/>
      <c r="BN140" s="192" t="n"/>
    </row>
    <row r="141">
      <c r="A141" s="289">
        <f> 'Jobs-Ops'!A141</f>
        <v/>
      </c>
      <c r="B141" s="290">
        <f>'Jobs-Ops'!B141</f>
        <v/>
      </c>
      <c r="C141" s="290">
        <f>'Jobs-Ops'!C141</f>
        <v/>
      </c>
      <c r="D141" s="179" t="n"/>
      <c r="E141" s="181">
        <f>'Jobs-Ops'!I141</f>
        <v/>
      </c>
      <c r="F141" s="205">
        <f>'Jobs-Ops'!U141</f>
        <v/>
      </c>
      <c r="G141" s="181">
        <f>'Jobs-GAAP'!J141</f>
        <v/>
      </c>
      <c r="H141" s="205">
        <f>'Jobs-GAAP'!V141</f>
        <v/>
      </c>
      <c r="I141" s="181">
        <f>E141-G141</f>
        <v/>
      </c>
      <c r="J141" s="9">
        <f>'Jobs-Ops'!P141</f>
        <v/>
      </c>
      <c r="K141" s="9">
        <f>'Jobs-GAAP'!Q141</f>
        <v/>
      </c>
      <c r="L141" s="9">
        <f>J141-K141</f>
        <v/>
      </c>
      <c r="M141" s="186" t="n"/>
      <c r="N141" s="9">
        <f>'Jobs-Ops'!Y141</f>
        <v/>
      </c>
      <c r="O141" s="9">
        <f>'Jobs-GAAP'!Y141</f>
        <v/>
      </c>
      <c r="P141" s="9">
        <f>N141-O141</f>
        <v/>
      </c>
      <c r="Q141" s="186" t="n"/>
      <c r="R141" s="11">
        <f>'Jobs-Ops'!AL141</f>
        <v/>
      </c>
      <c r="S141" s="11">
        <f>'Jobs-GAAP'!AH141</f>
        <v/>
      </c>
      <c r="T141" s="11">
        <f>IFERROR(R141-S141,0)</f>
        <v/>
      </c>
      <c r="U141" s="8">
        <f>'Jobs-Ops'!AM141</f>
        <v/>
      </c>
      <c r="V141" s="8">
        <f>'Jobs-GAAP'!AI141</f>
        <v/>
      </c>
      <c r="W141" s="8">
        <f>IFERROR(U141-V141,0)</f>
        <v/>
      </c>
      <c r="X141" s="9">
        <f>'Jobs-Ops'!AN141</f>
        <v/>
      </c>
      <c r="Y141" s="9">
        <f>'Jobs-GAAP'!AJ141</f>
        <v/>
      </c>
      <c r="Z141" s="9">
        <f>IFERROR(X141-Y141,0)</f>
        <v/>
      </c>
      <c r="AA141" s="153">
        <f>'Jobs-Ops'!AO141</f>
        <v/>
      </c>
      <c r="AB141" s="187" t="n"/>
      <c r="AC141" s="186" t="n"/>
      <c r="AD141" s="186" t="n"/>
      <c r="AE141" s="188" t="n"/>
      <c r="AF141" s="187" t="n"/>
      <c r="AG141" s="187" t="n"/>
      <c r="AH141" s="186" t="n"/>
      <c r="AI141" s="186" t="n"/>
      <c r="AJ141" s="186" t="n"/>
      <c r="AK141" s="186" t="n"/>
      <c r="AL141" s="186" t="n"/>
      <c r="AM141" s="186" t="n"/>
      <c r="AN141" s="186" t="n"/>
      <c r="AO141" s="186" t="n"/>
      <c r="AP141" s="186" t="n"/>
      <c r="AQ141" s="186" t="n"/>
      <c r="AR141" s="186" t="n"/>
      <c r="AS141" s="186" t="n"/>
      <c r="AT141" s="186" t="n"/>
      <c r="AU141" s="186" t="n"/>
      <c r="AV141" s="186" t="n"/>
      <c r="AW141" s="186" t="n"/>
      <c r="AX141" s="186" t="n"/>
      <c r="AY141" s="186" t="n"/>
      <c r="AZ141" s="186" t="n"/>
      <c r="BA141" s="186" t="n"/>
      <c r="BB141" s="186" t="n"/>
      <c r="BC141" s="186" t="n"/>
      <c r="BD141" s="190" t="n"/>
      <c r="BE141" s="186" t="n"/>
      <c r="BF141" s="186" t="n"/>
      <c r="BG141" s="186" t="n"/>
      <c r="BH141" s="186" t="n"/>
      <c r="BI141" s="186" t="n"/>
      <c r="BJ141" s="187" t="n"/>
      <c r="BK141" s="192" t="n"/>
      <c r="BL141" s="192" t="n"/>
      <c r="BM141" s="192" t="n"/>
      <c r="BN141" s="192" t="n"/>
    </row>
    <row r="142">
      <c r="A142" s="289">
        <f> 'Jobs-Ops'!A142</f>
        <v/>
      </c>
      <c r="B142" s="290">
        <f>'Jobs-Ops'!B142</f>
        <v/>
      </c>
      <c r="C142" s="290">
        <f>'Jobs-Ops'!C142</f>
        <v/>
      </c>
      <c r="D142" s="179" t="n"/>
      <c r="E142" s="181">
        <f>'Jobs-Ops'!I142</f>
        <v/>
      </c>
      <c r="F142" s="205">
        <f>'Jobs-Ops'!U142</f>
        <v/>
      </c>
      <c r="G142" s="181">
        <f>'Jobs-GAAP'!J142</f>
        <v/>
      </c>
      <c r="H142" s="205">
        <f>'Jobs-GAAP'!V142</f>
        <v/>
      </c>
      <c r="I142" s="181">
        <f>E142-G142</f>
        <v/>
      </c>
      <c r="J142" s="9">
        <f>'Jobs-Ops'!P142</f>
        <v/>
      </c>
      <c r="K142" s="9">
        <f>'Jobs-GAAP'!Q142</f>
        <v/>
      </c>
      <c r="L142" s="9">
        <f>J142-K142</f>
        <v/>
      </c>
      <c r="M142" s="186" t="n"/>
      <c r="N142" s="9">
        <f>'Jobs-Ops'!Y142</f>
        <v/>
      </c>
      <c r="O142" s="9">
        <f>'Jobs-GAAP'!Y142</f>
        <v/>
      </c>
      <c r="P142" s="9">
        <f>N142-O142</f>
        <v/>
      </c>
      <c r="Q142" s="186" t="n"/>
      <c r="R142" s="11">
        <f>'Jobs-Ops'!AL142</f>
        <v/>
      </c>
      <c r="S142" s="11">
        <f>'Jobs-GAAP'!AH142</f>
        <v/>
      </c>
      <c r="T142" s="11">
        <f>IFERROR(R142-S142,0)</f>
        <v/>
      </c>
      <c r="U142" s="8">
        <f>'Jobs-Ops'!AM142</f>
        <v/>
      </c>
      <c r="V142" s="8">
        <f>'Jobs-GAAP'!AI142</f>
        <v/>
      </c>
      <c r="W142" s="8">
        <f>IFERROR(U142-V142,0)</f>
        <v/>
      </c>
      <c r="X142" s="9">
        <f>'Jobs-Ops'!AN142</f>
        <v/>
      </c>
      <c r="Y142" s="9">
        <f>'Jobs-GAAP'!AJ142</f>
        <v/>
      </c>
      <c r="Z142" s="9">
        <f>IFERROR(X142-Y142,0)</f>
        <v/>
      </c>
      <c r="AA142" s="153">
        <f>'Jobs-Ops'!AO142</f>
        <v/>
      </c>
      <c r="AB142" s="187" t="n"/>
      <c r="AC142" s="186" t="n"/>
      <c r="AD142" s="186" t="n"/>
      <c r="AE142" s="188" t="n"/>
      <c r="AF142" s="187" t="n"/>
      <c r="AG142" s="187" t="n"/>
      <c r="AH142" s="186" t="n"/>
      <c r="AI142" s="186" t="n"/>
      <c r="AJ142" s="186" t="n"/>
      <c r="AK142" s="186" t="n"/>
      <c r="AL142" s="186" t="n"/>
      <c r="AM142" s="186" t="n"/>
      <c r="AN142" s="186" t="n"/>
      <c r="AO142" s="186" t="n"/>
      <c r="AP142" s="186" t="n"/>
      <c r="AQ142" s="186" t="n"/>
      <c r="AR142" s="186" t="n"/>
      <c r="AS142" s="186" t="n"/>
      <c r="AT142" s="186" t="n"/>
      <c r="AU142" s="186" t="n"/>
      <c r="AV142" s="186" t="n"/>
      <c r="AW142" s="186" t="n"/>
      <c r="AX142" s="186" t="n"/>
      <c r="AY142" s="186" t="n"/>
      <c r="AZ142" s="186" t="n"/>
      <c r="BA142" s="186" t="n"/>
      <c r="BB142" s="186" t="n"/>
      <c r="BC142" s="186" t="n"/>
      <c r="BD142" s="190" t="n"/>
      <c r="BE142" s="186" t="n"/>
      <c r="BF142" s="186" t="n"/>
      <c r="BG142" s="186" t="n"/>
      <c r="BH142" s="186" t="n"/>
      <c r="BI142" s="186" t="n"/>
      <c r="BJ142" s="187" t="n"/>
      <c r="BK142" s="192" t="n"/>
      <c r="BL142" s="192" t="n"/>
      <c r="BM142" s="192" t="n"/>
      <c r="BN142" s="192" t="n"/>
    </row>
    <row r="143">
      <c r="A143" s="289">
        <f> 'Jobs-Ops'!A143</f>
        <v/>
      </c>
      <c r="B143" s="290">
        <f>'Jobs-Ops'!B143</f>
        <v/>
      </c>
      <c r="C143" s="290">
        <f>'Jobs-Ops'!C143</f>
        <v/>
      </c>
      <c r="D143" s="179" t="n"/>
      <c r="E143" s="181">
        <f>'Jobs-Ops'!I143</f>
        <v/>
      </c>
      <c r="F143" s="205">
        <f>'Jobs-Ops'!U143</f>
        <v/>
      </c>
      <c r="G143" s="181">
        <f>'Jobs-GAAP'!J143</f>
        <v/>
      </c>
      <c r="H143" s="205">
        <f>'Jobs-GAAP'!V143</f>
        <v/>
      </c>
      <c r="I143" s="181">
        <f>E143-G143</f>
        <v/>
      </c>
      <c r="J143" s="9">
        <f>'Jobs-Ops'!P143</f>
        <v/>
      </c>
      <c r="K143" s="9">
        <f>'Jobs-GAAP'!Q143</f>
        <v/>
      </c>
      <c r="L143" s="9">
        <f>J143-K143</f>
        <v/>
      </c>
      <c r="M143" s="186" t="n"/>
      <c r="N143" s="9">
        <f>'Jobs-Ops'!Y143</f>
        <v/>
      </c>
      <c r="O143" s="9">
        <f>'Jobs-GAAP'!Y143</f>
        <v/>
      </c>
      <c r="P143" s="9">
        <f>N143-O143</f>
        <v/>
      </c>
      <c r="Q143" s="186" t="n"/>
      <c r="R143" s="11">
        <f>'Jobs-Ops'!AL143</f>
        <v/>
      </c>
      <c r="S143" s="11">
        <f>'Jobs-GAAP'!AH143</f>
        <v/>
      </c>
      <c r="T143" s="11">
        <f>IFERROR(R143-S143,0)</f>
        <v/>
      </c>
      <c r="U143" s="8">
        <f>'Jobs-Ops'!AM143</f>
        <v/>
      </c>
      <c r="V143" s="8">
        <f>'Jobs-GAAP'!AI143</f>
        <v/>
      </c>
      <c r="W143" s="8">
        <f>IFERROR(U143-V143,0)</f>
        <v/>
      </c>
      <c r="X143" s="9">
        <f>'Jobs-Ops'!AN143</f>
        <v/>
      </c>
      <c r="Y143" s="9">
        <f>'Jobs-GAAP'!AJ143</f>
        <v/>
      </c>
      <c r="Z143" s="9">
        <f>IFERROR(X143-Y143,0)</f>
        <v/>
      </c>
      <c r="AA143" s="153">
        <f>'Jobs-Ops'!AO143</f>
        <v/>
      </c>
      <c r="AB143" s="187" t="n"/>
      <c r="AC143" s="186" t="n"/>
      <c r="AD143" s="186" t="n"/>
      <c r="AE143" s="188" t="n"/>
      <c r="AF143" s="187" t="n"/>
      <c r="AG143" s="187" t="n"/>
      <c r="AH143" s="186" t="n"/>
      <c r="AI143" s="186" t="n"/>
      <c r="AJ143" s="186" t="n"/>
      <c r="AK143" s="186" t="n"/>
      <c r="AL143" s="186" t="n"/>
      <c r="AM143" s="186" t="n"/>
      <c r="AN143" s="186" t="n"/>
      <c r="AO143" s="186" t="n"/>
      <c r="AP143" s="186" t="n"/>
      <c r="AQ143" s="186" t="n"/>
      <c r="AR143" s="186" t="n"/>
      <c r="AS143" s="186" t="n"/>
      <c r="AT143" s="186" t="n"/>
      <c r="AU143" s="186" t="n"/>
      <c r="AV143" s="186" t="n"/>
      <c r="AW143" s="186" t="n"/>
      <c r="AX143" s="186" t="n"/>
      <c r="AY143" s="186" t="n"/>
      <c r="AZ143" s="186" t="n"/>
      <c r="BA143" s="186" t="n"/>
      <c r="BB143" s="186" t="n"/>
      <c r="BC143" s="186" t="n"/>
      <c r="BD143" s="190" t="n"/>
      <c r="BE143" s="186" t="n"/>
      <c r="BF143" s="186" t="n"/>
      <c r="BG143" s="186" t="n"/>
      <c r="BH143" s="186" t="n"/>
      <c r="BI143" s="186" t="n"/>
      <c r="BJ143" s="187" t="n"/>
      <c r="BK143" s="192" t="n"/>
      <c r="BL143" s="192" t="n"/>
      <c r="BM143" s="192" t="n"/>
      <c r="BN143" s="192" t="n"/>
    </row>
    <row r="144">
      <c r="A144" s="289">
        <f> 'Jobs-Ops'!A144</f>
        <v/>
      </c>
      <c r="B144" s="290">
        <f>'Jobs-Ops'!B144</f>
        <v/>
      </c>
      <c r="C144" s="290">
        <f>'Jobs-Ops'!C144</f>
        <v/>
      </c>
      <c r="D144" s="179" t="n"/>
      <c r="E144" s="181">
        <f>'Jobs-Ops'!I144</f>
        <v/>
      </c>
      <c r="F144" s="205">
        <f>'Jobs-Ops'!U144</f>
        <v/>
      </c>
      <c r="G144" s="181">
        <f>'Jobs-GAAP'!J144</f>
        <v/>
      </c>
      <c r="H144" s="205">
        <f>'Jobs-GAAP'!V144</f>
        <v/>
      </c>
      <c r="I144" s="181">
        <f>E144-G144</f>
        <v/>
      </c>
      <c r="J144" s="9">
        <f>'Jobs-Ops'!P144</f>
        <v/>
      </c>
      <c r="K144" s="9">
        <f>'Jobs-GAAP'!Q144</f>
        <v/>
      </c>
      <c r="L144" s="9">
        <f>J144-K144</f>
        <v/>
      </c>
      <c r="M144" s="186" t="n"/>
      <c r="N144" s="9">
        <f>'Jobs-Ops'!Y144</f>
        <v/>
      </c>
      <c r="O144" s="9">
        <f>'Jobs-GAAP'!Y144</f>
        <v/>
      </c>
      <c r="P144" s="9">
        <f>N144-O144</f>
        <v/>
      </c>
      <c r="Q144" s="186" t="n"/>
      <c r="R144" s="11">
        <f>'Jobs-Ops'!AL144</f>
        <v/>
      </c>
      <c r="S144" s="11">
        <f>'Jobs-GAAP'!AH144</f>
        <v/>
      </c>
      <c r="T144" s="11">
        <f>IFERROR(R144-S144,0)</f>
        <v/>
      </c>
      <c r="U144" s="8">
        <f>'Jobs-Ops'!AM144</f>
        <v/>
      </c>
      <c r="V144" s="8">
        <f>'Jobs-GAAP'!AI144</f>
        <v/>
      </c>
      <c r="W144" s="8">
        <f>IFERROR(U144-V144,0)</f>
        <v/>
      </c>
      <c r="X144" s="9">
        <f>'Jobs-Ops'!AN144</f>
        <v/>
      </c>
      <c r="Y144" s="9">
        <f>'Jobs-GAAP'!AJ144</f>
        <v/>
      </c>
      <c r="Z144" s="9">
        <f>IFERROR(X144-Y144,0)</f>
        <v/>
      </c>
      <c r="AA144" s="153">
        <f>'Jobs-Ops'!AO144</f>
        <v/>
      </c>
      <c r="AB144" s="187" t="n"/>
      <c r="AC144" s="186" t="n"/>
      <c r="AD144" s="186" t="n"/>
      <c r="AE144" s="188" t="n"/>
      <c r="AF144" s="187" t="n"/>
      <c r="AG144" s="187" t="n"/>
      <c r="AH144" s="186" t="n"/>
      <c r="AI144" s="186" t="n"/>
      <c r="AJ144" s="186" t="n"/>
      <c r="AK144" s="186" t="n"/>
      <c r="AL144" s="186" t="n"/>
      <c r="AM144" s="186" t="n"/>
      <c r="AN144" s="186" t="n"/>
      <c r="AO144" s="186" t="n"/>
      <c r="AP144" s="186" t="n"/>
      <c r="AQ144" s="186" t="n"/>
      <c r="AR144" s="186" t="n"/>
      <c r="AS144" s="186" t="n"/>
      <c r="AT144" s="186" t="n"/>
      <c r="AU144" s="186" t="n"/>
      <c r="AV144" s="186" t="n"/>
      <c r="AW144" s="186" t="n"/>
      <c r="AX144" s="186" t="n"/>
      <c r="AY144" s="186" t="n"/>
      <c r="AZ144" s="186" t="n"/>
      <c r="BA144" s="186" t="n"/>
      <c r="BB144" s="186" t="n"/>
      <c r="BC144" s="186" t="n"/>
      <c r="BD144" s="190" t="n"/>
      <c r="BE144" s="186" t="n"/>
      <c r="BF144" s="186" t="n"/>
      <c r="BG144" s="186" t="n"/>
      <c r="BH144" s="186" t="n"/>
      <c r="BI144" s="186" t="n"/>
      <c r="BJ144" s="187" t="n"/>
      <c r="BK144" s="192" t="n"/>
      <c r="BL144" s="192" t="n"/>
      <c r="BM144" s="192" t="n"/>
      <c r="BN144" s="192" t="n"/>
    </row>
    <row r="145">
      <c r="A145" s="289">
        <f> 'Jobs-Ops'!A145</f>
        <v/>
      </c>
      <c r="B145" s="290">
        <f>'Jobs-Ops'!B145</f>
        <v/>
      </c>
      <c r="C145" s="290">
        <f>'Jobs-Ops'!C145</f>
        <v/>
      </c>
      <c r="D145" s="179" t="n"/>
      <c r="E145" s="181">
        <f>'Jobs-Ops'!I145</f>
        <v/>
      </c>
      <c r="F145" s="205">
        <f>'Jobs-Ops'!U145</f>
        <v/>
      </c>
      <c r="G145" s="181">
        <f>'Jobs-GAAP'!J145</f>
        <v/>
      </c>
      <c r="H145" s="205">
        <f>'Jobs-GAAP'!V145</f>
        <v/>
      </c>
      <c r="I145" s="181">
        <f>E145-G145</f>
        <v/>
      </c>
      <c r="J145" s="9">
        <f>'Jobs-Ops'!P145</f>
        <v/>
      </c>
      <c r="K145" s="9">
        <f>'Jobs-GAAP'!Q145</f>
        <v/>
      </c>
      <c r="L145" s="9">
        <f>J145-K145</f>
        <v/>
      </c>
      <c r="M145" s="186" t="n"/>
      <c r="N145" s="9">
        <f>'Jobs-Ops'!Y145</f>
        <v/>
      </c>
      <c r="O145" s="9">
        <f>'Jobs-GAAP'!Y145</f>
        <v/>
      </c>
      <c r="P145" s="9">
        <f>N145-O145</f>
        <v/>
      </c>
      <c r="Q145" s="186" t="n"/>
      <c r="R145" s="11">
        <f>'Jobs-Ops'!AL145</f>
        <v/>
      </c>
      <c r="S145" s="11">
        <f>'Jobs-GAAP'!AH145</f>
        <v/>
      </c>
      <c r="T145" s="11">
        <f>IFERROR(R145-S145,0)</f>
        <v/>
      </c>
      <c r="U145" s="8">
        <f>'Jobs-Ops'!AM145</f>
        <v/>
      </c>
      <c r="V145" s="8">
        <f>'Jobs-GAAP'!AI145</f>
        <v/>
      </c>
      <c r="W145" s="8">
        <f>IFERROR(U145-V145,0)</f>
        <v/>
      </c>
      <c r="X145" s="9">
        <f>'Jobs-Ops'!AN145</f>
        <v/>
      </c>
      <c r="Y145" s="9">
        <f>'Jobs-GAAP'!AJ145</f>
        <v/>
      </c>
      <c r="Z145" s="9">
        <f>IFERROR(X145-Y145,0)</f>
        <v/>
      </c>
      <c r="AA145" s="153">
        <f>'Jobs-Ops'!AO145</f>
        <v/>
      </c>
      <c r="AB145" s="187" t="n"/>
      <c r="AC145" s="186" t="n"/>
      <c r="AD145" s="186" t="n"/>
      <c r="AE145" s="188" t="n"/>
      <c r="AF145" s="187" t="n"/>
      <c r="AG145" s="187" t="n"/>
      <c r="AH145" s="186" t="n"/>
      <c r="AI145" s="186" t="n"/>
      <c r="AJ145" s="186" t="n"/>
      <c r="AK145" s="186" t="n"/>
      <c r="AL145" s="186" t="n"/>
      <c r="AM145" s="186" t="n"/>
      <c r="AN145" s="186" t="n"/>
      <c r="AO145" s="186" t="n"/>
      <c r="AP145" s="186" t="n"/>
      <c r="AQ145" s="186" t="n"/>
      <c r="AR145" s="186" t="n"/>
      <c r="AS145" s="186" t="n"/>
      <c r="AT145" s="186" t="n"/>
      <c r="AU145" s="186" t="n"/>
      <c r="AV145" s="186" t="n"/>
      <c r="AW145" s="186" t="n"/>
      <c r="AX145" s="186" t="n"/>
      <c r="AY145" s="186" t="n"/>
      <c r="AZ145" s="186" t="n"/>
      <c r="BA145" s="186" t="n"/>
      <c r="BB145" s="186" t="n"/>
      <c r="BC145" s="186" t="n"/>
      <c r="BD145" s="190" t="n"/>
      <c r="BE145" s="186" t="n"/>
      <c r="BF145" s="186" t="n"/>
      <c r="BG145" s="186" t="n"/>
      <c r="BH145" s="186" t="n"/>
      <c r="BI145" s="186" t="n"/>
      <c r="BJ145" s="187" t="n"/>
      <c r="BK145" s="192" t="n"/>
      <c r="BL145" s="192" t="n"/>
      <c r="BM145" s="192" t="n"/>
      <c r="BN145" s="192" t="n"/>
    </row>
    <row r="146">
      <c r="A146" s="289">
        <f> 'Jobs-Ops'!A146</f>
        <v/>
      </c>
      <c r="B146" s="290">
        <f>'Jobs-Ops'!B146</f>
        <v/>
      </c>
      <c r="C146" s="290">
        <f>'Jobs-Ops'!C146</f>
        <v/>
      </c>
      <c r="D146" s="179" t="n"/>
      <c r="E146" s="181">
        <f>'Jobs-Ops'!I146</f>
        <v/>
      </c>
      <c r="F146" s="205">
        <f>'Jobs-Ops'!U146</f>
        <v/>
      </c>
      <c r="G146" s="181">
        <f>'Jobs-GAAP'!J146</f>
        <v/>
      </c>
      <c r="H146" s="205">
        <f>'Jobs-GAAP'!V146</f>
        <v/>
      </c>
      <c r="I146" s="181">
        <f>E146-G146</f>
        <v/>
      </c>
      <c r="J146" s="9">
        <f>'Jobs-Ops'!P146</f>
        <v/>
      </c>
      <c r="K146" s="9">
        <f>'Jobs-GAAP'!Q146</f>
        <v/>
      </c>
      <c r="L146" s="9">
        <f>J146-K146</f>
        <v/>
      </c>
      <c r="M146" s="186" t="n"/>
      <c r="N146" s="9">
        <f>'Jobs-Ops'!Y146</f>
        <v/>
      </c>
      <c r="O146" s="9">
        <f>'Jobs-GAAP'!Y146</f>
        <v/>
      </c>
      <c r="P146" s="9">
        <f>N146-O146</f>
        <v/>
      </c>
      <c r="Q146" s="186" t="n"/>
      <c r="R146" s="11">
        <f>'Jobs-Ops'!AL146</f>
        <v/>
      </c>
      <c r="S146" s="11">
        <f>'Jobs-GAAP'!AH146</f>
        <v/>
      </c>
      <c r="T146" s="11">
        <f>IFERROR(R146-S146,0)</f>
        <v/>
      </c>
      <c r="U146" s="8">
        <f>'Jobs-Ops'!AM146</f>
        <v/>
      </c>
      <c r="V146" s="8">
        <f>'Jobs-GAAP'!AI146</f>
        <v/>
      </c>
      <c r="W146" s="8">
        <f>IFERROR(U146-V146,0)</f>
        <v/>
      </c>
      <c r="X146" s="9">
        <f>'Jobs-Ops'!AN146</f>
        <v/>
      </c>
      <c r="Y146" s="9">
        <f>'Jobs-GAAP'!AJ146</f>
        <v/>
      </c>
      <c r="Z146" s="9">
        <f>IFERROR(X146-Y146,0)</f>
        <v/>
      </c>
      <c r="AA146" s="153">
        <f>'Jobs-Ops'!AO146</f>
        <v/>
      </c>
      <c r="AB146" s="187" t="n"/>
      <c r="AC146" s="186" t="n"/>
      <c r="AD146" s="186" t="n"/>
      <c r="AE146" s="188" t="n"/>
      <c r="AF146" s="187" t="n"/>
      <c r="AG146" s="187" t="n"/>
      <c r="AH146" s="186" t="n"/>
      <c r="AI146" s="186" t="n"/>
      <c r="AJ146" s="186" t="n"/>
      <c r="AK146" s="186" t="n"/>
      <c r="AL146" s="186" t="n"/>
      <c r="AM146" s="186" t="n"/>
      <c r="AN146" s="186" t="n"/>
      <c r="AO146" s="186" t="n"/>
      <c r="AP146" s="186" t="n"/>
      <c r="AQ146" s="186" t="n"/>
      <c r="AR146" s="186" t="n"/>
      <c r="AS146" s="186" t="n"/>
      <c r="AT146" s="186" t="n"/>
      <c r="AU146" s="186" t="n"/>
      <c r="AV146" s="186" t="n"/>
      <c r="AW146" s="186" t="n"/>
      <c r="AX146" s="186" t="n"/>
      <c r="AY146" s="186" t="n"/>
      <c r="AZ146" s="186" t="n"/>
      <c r="BA146" s="186" t="n"/>
      <c r="BB146" s="186" t="n"/>
      <c r="BC146" s="186" t="n"/>
      <c r="BD146" s="190" t="n"/>
      <c r="BE146" s="186" t="n"/>
      <c r="BF146" s="186" t="n"/>
      <c r="BG146" s="186" t="n"/>
      <c r="BH146" s="186" t="n"/>
      <c r="BI146" s="186" t="n"/>
      <c r="BJ146" s="187" t="n"/>
      <c r="BK146" s="192" t="n"/>
      <c r="BL146" s="192" t="n"/>
      <c r="BM146" s="192" t="n"/>
      <c r="BN146" s="192" t="n"/>
    </row>
    <row r="147">
      <c r="A147" s="289">
        <f> 'Jobs-Ops'!A147</f>
        <v/>
      </c>
      <c r="B147" s="290">
        <f>'Jobs-Ops'!B147</f>
        <v/>
      </c>
      <c r="C147" s="290">
        <f>'Jobs-Ops'!C147</f>
        <v/>
      </c>
      <c r="D147" s="179" t="n"/>
      <c r="E147" s="181">
        <f>'Jobs-Ops'!I147</f>
        <v/>
      </c>
      <c r="F147" s="205">
        <f>'Jobs-Ops'!U147</f>
        <v/>
      </c>
      <c r="G147" s="181">
        <f>'Jobs-GAAP'!J147</f>
        <v/>
      </c>
      <c r="H147" s="205">
        <f>'Jobs-GAAP'!V147</f>
        <v/>
      </c>
      <c r="I147" s="181">
        <f>E147-G147</f>
        <v/>
      </c>
      <c r="J147" s="9">
        <f>'Jobs-Ops'!P147</f>
        <v/>
      </c>
      <c r="K147" s="9">
        <f>'Jobs-GAAP'!Q147</f>
        <v/>
      </c>
      <c r="L147" s="9">
        <f>J147-K147</f>
        <v/>
      </c>
      <c r="M147" s="186" t="n"/>
      <c r="N147" s="9">
        <f>'Jobs-Ops'!Y147</f>
        <v/>
      </c>
      <c r="O147" s="9">
        <f>'Jobs-GAAP'!Y147</f>
        <v/>
      </c>
      <c r="P147" s="9">
        <f>N147-O147</f>
        <v/>
      </c>
      <c r="Q147" s="186" t="n"/>
      <c r="R147" s="11">
        <f>'Jobs-Ops'!AL147</f>
        <v/>
      </c>
      <c r="S147" s="11">
        <f>'Jobs-GAAP'!AH147</f>
        <v/>
      </c>
      <c r="T147" s="11">
        <f>IFERROR(R147-S147,0)</f>
        <v/>
      </c>
      <c r="U147" s="8">
        <f>'Jobs-Ops'!AM147</f>
        <v/>
      </c>
      <c r="V147" s="8">
        <f>'Jobs-GAAP'!AI147</f>
        <v/>
      </c>
      <c r="W147" s="8">
        <f>IFERROR(U147-V147,0)</f>
        <v/>
      </c>
      <c r="X147" s="9">
        <f>'Jobs-Ops'!AN147</f>
        <v/>
      </c>
      <c r="Y147" s="9">
        <f>'Jobs-GAAP'!AJ147</f>
        <v/>
      </c>
      <c r="Z147" s="9">
        <f>IFERROR(X147-Y147,0)</f>
        <v/>
      </c>
      <c r="AA147" s="153">
        <f>'Jobs-Ops'!AO147</f>
        <v/>
      </c>
      <c r="AB147" s="187" t="n"/>
      <c r="AC147" s="186" t="n"/>
      <c r="AD147" s="186" t="n"/>
      <c r="AE147" s="188" t="n"/>
      <c r="AF147" s="187" t="n"/>
      <c r="AG147" s="187" t="n"/>
      <c r="AH147" s="186" t="n"/>
      <c r="AI147" s="186" t="n"/>
      <c r="AJ147" s="186" t="n"/>
      <c r="AK147" s="186" t="n"/>
      <c r="AL147" s="186" t="n"/>
      <c r="AM147" s="186" t="n"/>
      <c r="AN147" s="186" t="n"/>
      <c r="AO147" s="186" t="n"/>
      <c r="AP147" s="186" t="n"/>
      <c r="AQ147" s="186" t="n"/>
      <c r="AR147" s="186" t="n"/>
      <c r="AS147" s="186" t="n"/>
      <c r="AT147" s="186" t="n"/>
      <c r="AU147" s="186" t="n"/>
      <c r="AV147" s="186" t="n"/>
      <c r="AW147" s="186" t="n"/>
      <c r="AX147" s="186" t="n"/>
      <c r="AY147" s="186" t="n"/>
      <c r="AZ147" s="186" t="n"/>
      <c r="BA147" s="186" t="n"/>
      <c r="BB147" s="186" t="n"/>
      <c r="BC147" s="186" t="n"/>
      <c r="BD147" s="190" t="n"/>
      <c r="BE147" s="186" t="n"/>
      <c r="BF147" s="186" t="n"/>
      <c r="BG147" s="186" t="n"/>
      <c r="BH147" s="186" t="n"/>
      <c r="BI147" s="186" t="n"/>
      <c r="BJ147" s="187" t="n"/>
      <c r="BK147" s="192" t="n"/>
      <c r="BL147" s="192" t="n"/>
      <c r="BM147" s="192" t="n"/>
      <c r="BN147" s="192" t="n"/>
    </row>
    <row r="148">
      <c r="A148" s="289">
        <f> 'Jobs-Ops'!A148</f>
        <v/>
      </c>
      <c r="B148" s="290">
        <f>'Jobs-Ops'!B148</f>
        <v/>
      </c>
      <c r="C148" s="290">
        <f>'Jobs-Ops'!C148</f>
        <v/>
      </c>
      <c r="D148" s="179" t="n"/>
      <c r="E148" s="181">
        <f>'Jobs-Ops'!I148</f>
        <v/>
      </c>
      <c r="F148" s="205">
        <f>'Jobs-Ops'!U148</f>
        <v/>
      </c>
      <c r="G148" s="181">
        <f>'Jobs-GAAP'!J148</f>
        <v/>
      </c>
      <c r="H148" s="205">
        <f>'Jobs-GAAP'!V148</f>
        <v/>
      </c>
      <c r="I148" s="181">
        <f>E148-G148</f>
        <v/>
      </c>
      <c r="J148" s="9">
        <f>'Jobs-Ops'!P148</f>
        <v/>
      </c>
      <c r="K148" s="9">
        <f>'Jobs-GAAP'!Q148</f>
        <v/>
      </c>
      <c r="L148" s="9">
        <f>J148-K148</f>
        <v/>
      </c>
      <c r="M148" s="186" t="n"/>
      <c r="N148" s="9">
        <f>'Jobs-Ops'!Y148</f>
        <v/>
      </c>
      <c r="O148" s="9">
        <f>'Jobs-GAAP'!Y148</f>
        <v/>
      </c>
      <c r="P148" s="9">
        <f>N148-O148</f>
        <v/>
      </c>
      <c r="Q148" s="186" t="n"/>
      <c r="R148" s="11">
        <f>'Jobs-Ops'!AL148</f>
        <v/>
      </c>
      <c r="S148" s="11">
        <f>'Jobs-GAAP'!AH148</f>
        <v/>
      </c>
      <c r="T148" s="11">
        <f>IFERROR(R148-S148,0)</f>
        <v/>
      </c>
      <c r="U148" s="8">
        <f>'Jobs-Ops'!AM148</f>
        <v/>
      </c>
      <c r="V148" s="8">
        <f>'Jobs-GAAP'!AI148</f>
        <v/>
      </c>
      <c r="W148" s="8">
        <f>IFERROR(U148-V148,0)</f>
        <v/>
      </c>
      <c r="X148" s="9">
        <f>'Jobs-Ops'!AN148</f>
        <v/>
      </c>
      <c r="Y148" s="9">
        <f>'Jobs-GAAP'!AJ148</f>
        <v/>
      </c>
      <c r="Z148" s="9">
        <f>IFERROR(X148-Y148,0)</f>
        <v/>
      </c>
      <c r="AA148" s="153">
        <f>'Jobs-Ops'!AO148</f>
        <v/>
      </c>
      <c r="AB148" s="187" t="n"/>
      <c r="AC148" s="186" t="n"/>
      <c r="AD148" s="186" t="n"/>
      <c r="AE148" s="188" t="n"/>
      <c r="AF148" s="187" t="n"/>
      <c r="AG148" s="187" t="n"/>
      <c r="AH148" s="186" t="n"/>
      <c r="AI148" s="186" t="n"/>
      <c r="AJ148" s="186" t="n"/>
      <c r="AK148" s="186" t="n"/>
      <c r="AL148" s="186" t="n"/>
      <c r="AM148" s="186" t="n"/>
      <c r="AN148" s="186" t="n"/>
      <c r="AO148" s="186" t="n"/>
      <c r="AP148" s="186" t="n"/>
      <c r="AQ148" s="186" t="n"/>
      <c r="AR148" s="186" t="n"/>
      <c r="AS148" s="186" t="n"/>
      <c r="AT148" s="186" t="n"/>
      <c r="AU148" s="186" t="n"/>
      <c r="AV148" s="186" t="n"/>
      <c r="AW148" s="186" t="n"/>
      <c r="AX148" s="186" t="n"/>
      <c r="AY148" s="186" t="n"/>
      <c r="AZ148" s="186" t="n"/>
      <c r="BA148" s="186" t="n"/>
      <c r="BB148" s="186" t="n"/>
      <c r="BC148" s="186" t="n"/>
      <c r="BD148" s="190" t="n"/>
      <c r="BE148" s="186" t="n"/>
      <c r="BF148" s="186" t="n"/>
      <c r="BG148" s="186" t="n"/>
      <c r="BH148" s="186" t="n"/>
      <c r="BI148" s="186" t="n"/>
      <c r="BJ148" s="187" t="n"/>
      <c r="BK148" s="192" t="n"/>
      <c r="BL148" s="192" t="n"/>
      <c r="BM148" s="192" t="n"/>
      <c r="BN148" s="192" t="n"/>
    </row>
    <row r="149">
      <c r="A149" s="289">
        <f> 'Jobs-Ops'!A149</f>
        <v/>
      </c>
      <c r="B149" s="290">
        <f>'Jobs-Ops'!B149</f>
        <v/>
      </c>
      <c r="C149" s="290">
        <f>'Jobs-Ops'!C149</f>
        <v/>
      </c>
      <c r="D149" s="179" t="n"/>
      <c r="E149" s="181">
        <f>'Jobs-Ops'!I149</f>
        <v/>
      </c>
      <c r="F149" s="205">
        <f>'Jobs-Ops'!U149</f>
        <v/>
      </c>
      <c r="G149" s="181">
        <f>'Jobs-GAAP'!J149</f>
        <v/>
      </c>
      <c r="H149" s="205">
        <f>'Jobs-GAAP'!V149</f>
        <v/>
      </c>
      <c r="I149" s="181">
        <f>E149-G149</f>
        <v/>
      </c>
      <c r="J149" s="9">
        <f>'Jobs-Ops'!P149</f>
        <v/>
      </c>
      <c r="K149" s="9">
        <f>'Jobs-GAAP'!Q149</f>
        <v/>
      </c>
      <c r="L149" s="9">
        <f>J149-K149</f>
        <v/>
      </c>
      <c r="M149" s="186" t="n"/>
      <c r="N149" s="9">
        <f>'Jobs-Ops'!Y149</f>
        <v/>
      </c>
      <c r="O149" s="9">
        <f>'Jobs-GAAP'!Y149</f>
        <v/>
      </c>
      <c r="P149" s="9">
        <f>N149-O149</f>
        <v/>
      </c>
      <c r="Q149" s="186" t="n"/>
      <c r="R149" s="11">
        <f>'Jobs-Ops'!AL149</f>
        <v/>
      </c>
      <c r="S149" s="11">
        <f>'Jobs-GAAP'!AH149</f>
        <v/>
      </c>
      <c r="T149" s="11">
        <f>IFERROR(R149-S149,0)</f>
        <v/>
      </c>
      <c r="U149" s="8">
        <f>'Jobs-Ops'!AM149</f>
        <v/>
      </c>
      <c r="V149" s="8">
        <f>'Jobs-GAAP'!AI149</f>
        <v/>
      </c>
      <c r="W149" s="8">
        <f>IFERROR(U149-V149,0)</f>
        <v/>
      </c>
      <c r="X149" s="9">
        <f>'Jobs-Ops'!AN149</f>
        <v/>
      </c>
      <c r="Y149" s="9">
        <f>'Jobs-GAAP'!AJ149</f>
        <v/>
      </c>
      <c r="Z149" s="9">
        <f>IFERROR(X149-Y149,0)</f>
        <v/>
      </c>
      <c r="AA149" s="153">
        <f>'Jobs-Ops'!AO149</f>
        <v/>
      </c>
      <c r="AB149" s="187" t="n"/>
      <c r="AC149" s="186" t="n"/>
      <c r="AD149" s="186" t="n"/>
      <c r="AE149" s="188" t="n"/>
      <c r="AF149" s="187" t="n"/>
      <c r="AG149" s="187" t="n"/>
      <c r="AH149" s="186" t="n"/>
      <c r="AI149" s="186" t="n"/>
      <c r="AJ149" s="186" t="n"/>
      <c r="AK149" s="186" t="n"/>
      <c r="AL149" s="186" t="n"/>
      <c r="AM149" s="186" t="n"/>
      <c r="AN149" s="186" t="n"/>
      <c r="AO149" s="186" t="n"/>
      <c r="AP149" s="186" t="n"/>
      <c r="AQ149" s="186" t="n"/>
      <c r="AR149" s="186" t="n"/>
      <c r="AS149" s="186" t="n"/>
      <c r="AT149" s="186" t="n"/>
      <c r="AU149" s="186" t="n"/>
      <c r="AV149" s="186" t="n"/>
      <c r="AW149" s="186" t="n"/>
      <c r="AX149" s="186" t="n"/>
      <c r="AY149" s="186" t="n"/>
      <c r="AZ149" s="186" t="n"/>
      <c r="BA149" s="186" t="n"/>
      <c r="BB149" s="186" t="n"/>
      <c r="BC149" s="186" t="n"/>
      <c r="BD149" s="190" t="n"/>
      <c r="BE149" s="186" t="n"/>
      <c r="BF149" s="186" t="n"/>
      <c r="BG149" s="186" t="n"/>
      <c r="BH149" s="186" t="n"/>
      <c r="BI149" s="186" t="n"/>
      <c r="BJ149" s="187" t="n"/>
      <c r="BK149" s="192" t="n"/>
      <c r="BL149" s="192" t="n"/>
      <c r="BM149" s="192" t="n"/>
      <c r="BN149" s="192" t="n"/>
    </row>
    <row r="150">
      <c r="A150" s="289">
        <f> 'Jobs-Ops'!A150</f>
        <v/>
      </c>
      <c r="B150" s="290">
        <f>'Jobs-Ops'!B150</f>
        <v/>
      </c>
      <c r="C150" s="290">
        <f>'Jobs-Ops'!C150</f>
        <v/>
      </c>
      <c r="D150" s="179" t="n"/>
      <c r="E150" s="181">
        <f>'Jobs-Ops'!I150</f>
        <v/>
      </c>
      <c r="F150" s="205">
        <f>'Jobs-Ops'!U150</f>
        <v/>
      </c>
      <c r="G150" s="181">
        <f>'Jobs-GAAP'!J150</f>
        <v/>
      </c>
      <c r="H150" s="205">
        <f>'Jobs-GAAP'!V150</f>
        <v/>
      </c>
      <c r="I150" s="181">
        <f>E150-G150</f>
        <v/>
      </c>
      <c r="J150" s="9">
        <f>'Jobs-Ops'!P150</f>
        <v/>
      </c>
      <c r="K150" s="9">
        <f>'Jobs-GAAP'!Q150</f>
        <v/>
      </c>
      <c r="L150" s="9">
        <f>J150-K150</f>
        <v/>
      </c>
      <c r="M150" s="186" t="n"/>
      <c r="N150" s="9">
        <f>'Jobs-Ops'!Y150</f>
        <v/>
      </c>
      <c r="O150" s="9">
        <f>'Jobs-GAAP'!Y150</f>
        <v/>
      </c>
      <c r="P150" s="9">
        <f>N150-O150</f>
        <v/>
      </c>
      <c r="Q150" s="186" t="n"/>
      <c r="R150" s="11">
        <f>'Jobs-Ops'!AL150</f>
        <v/>
      </c>
      <c r="S150" s="11">
        <f>'Jobs-GAAP'!AH150</f>
        <v/>
      </c>
      <c r="T150" s="11">
        <f>IFERROR(R150-S150,0)</f>
        <v/>
      </c>
      <c r="U150" s="8">
        <f>'Jobs-Ops'!AM150</f>
        <v/>
      </c>
      <c r="V150" s="8">
        <f>'Jobs-GAAP'!AI150</f>
        <v/>
      </c>
      <c r="W150" s="8">
        <f>IFERROR(U150-V150,0)</f>
        <v/>
      </c>
      <c r="X150" s="9">
        <f>'Jobs-Ops'!AN150</f>
        <v/>
      </c>
      <c r="Y150" s="9">
        <f>'Jobs-GAAP'!AJ150</f>
        <v/>
      </c>
      <c r="Z150" s="9">
        <f>IFERROR(X150-Y150,0)</f>
        <v/>
      </c>
      <c r="AA150" s="153">
        <f>'Jobs-Ops'!AO150</f>
        <v/>
      </c>
      <c r="AB150" s="187" t="n"/>
      <c r="AC150" s="186" t="n"/>
      <c r="AD150" s="186" t="n"/>
      <c r="AE150" s="188" t="n"/>
      <c r="AF150" s="187" t="n"/>
      <c r="AG150" s="187" t="n"/>
      <c r="AH150" s="186" t="n"/>
      <c r="AI150" s="186" t="n"/>
      <c r="AJ150" s="186" t="n"/>
      <c r="AK150" s="186" t="n"/>
      <c r="AL150" s="186" t="n"/>
      <c r="AM150" s="186" t="n"/>
      <c r="AN150" s="186" t="n"/>
      <c r="AO150" s="186" t="n"/>
      <c r="AP150" s="186" t="n"/>
      <c r="AQ150" s="186" t="n"/>
      <c r="AR150" s="186" t="n"/>
      <c r="AS150" s="186" t="n"/>
      <c r="AT150" s="186" t="n"/>
      <c r="AU150" s="186" t="n"/>
      <c r="AV150" s="186" t="n"/>
      <c r="AW150" s="186" t="n"/>
      <c r="AX150" s="186" t="n"/>
      <c r="AY150" s="186" t="n"/>
      <c r="AZ150" s="186" t="n"/>
      <c r="BA150" s="186" t="n"/>
      <c r="BB150" s="186" t="n"/>
      <c r="BC150" s="186" t="n"/>
      <c r="BD150" s="190" t="n"/>
      <c r="BE150" s="186" t="n"/>
      <c r="BF150" s="186" t="n"/>
      <c r="BG150" s="186" t="n"/>
      <c r="BH150" s="186" t="n"/>
      <c r="BI150" s="186" t="n"/>
      <c r="BJ150" s="187" t="n"/>
      <c r="BK150" s="192" t="n"/>
      <c r="BL150" s="192" t="n"/>
      <c r="BM150" s="192" t="n"/>
      <c r="BN150" s="192" t="n"/>
    </row>
    <row r="151">
      <c r="A151" s="289">
        <f> 'Jobs-Ops'!A151</f>
        <v/>
      </c>
      <c r="B151" s="290">
        <f>'Jobs-Ops'!B151</f>
        <v/>
      </c>
      <c r="C151" s="290">
        <f>'Jobs-Ops'!C151</f>
        <v/>
      </c>
      <c r="D151" s="179" t="n"/>
      <c r="E151" s="181">
        <f>'Jobs-Ops'!I151</f>
        <v/>
      </c>
      <c r="F151" s="205">
        <f>'Jobs-Ops'!U151</f>
        <v/>
      </c>
      <c r="G151" s="181">
        <f>'Jobs-GAAP'!J151</f>
        <v/>
      </c>
      <c r="H151" s="205">
        <f>'Jobs-GAAP'!V151</f>
        <v/>
      </c>
      <c r="I151" s="181">
        <f>E151-G151</f>
        <v/>
      </c>
      <c r="J151" s="9">
        <f>'Jobs-Ops'!P151</f>
        <v/>
      </c>
      <c r="K151" s="9">
        <f>'Jobs-GAAP'!Q151</f>
        <v/>
      </c>
      <c r="L151" s="9">
        <f>J151-K151</f>
        <v/>
      </c>
      <c r="M151" s="186" t="n"/>
      <c r="N151" s="9">
        <f>'Jobs-Ops'!Y151</f>
        <v/>
      </c>
      <c r="O151" s="9">
        <f>'Jobs-GAAP'!Y151</f>
        <v/>
      </c>
      <c r="P151" s="9">
        <f>N151-O151</f>
        <v/>
      </c>
      <c r="Q151" s="186" t="n"/>
      <c r="R151" s="11">
        <f>'Jobs-Ops'!AL151</f>
        <v/>
      </c>
      <c r="S151" s="11">
        <f>'Jobs-GAAP'!AH151</f>
        <v/>
      </c>
      <c r="T151" s="11">
        <f>IFERROR(R151-S151,0)</f>
        <v/>
      </c>
      <c r="U151" s="8">
        <f>'Jobs-Ops'!AM151</f>
        <v/>
      </c>
      <c r="V151" s="8">
        <f>'Jobs-GAAP'!AI151</f>
        <v/>
      </c>
      <c r="W151" s="8">
        <f>IFERROR(U151-V151,0)</f>
        <v/>
      </c>
      <c r="X151" s="9">
        <f>'Jobs-Ops'!AN151</f>
        <v/>
      </c>
      <c r="Y151" s="9">
        <f>'Jobs-GAAP'!AJ151</f>
        <v/>
      </c>
      <c r="Z151" s="9">
        <f>IFERROR(X151-Y151,0)</f>
        <v/>
      </c>
      <c r="AA151" s="153">
        <f>'Jobs-Ops'!AO151</f>
        <v/>
      </c>
      <c r="AB151" s="187" t="n"/>
      <c r="AC151" s="186" t="n"/>
      <c r="AD151" s="186" t="n"/>
      <c r="AE151" s="188" t="n"/>
      <c r="AF151" s="187" t="n"/>
      <c r="AG151" s="187" t="n"/>
      <c r="AH151" s="186" t="n"/>
      <c r="AI151" s="186" t="n"/>
      <c r="AJ151" s="186" t="n"/>
      <c r="AK151" s="186" t="n"/>
      <c r="AL151" s="186" t="n"/>
      <c r="AM151" s="186" t="n"/>
      <c r="AN151" s="186" t="n"/>
      <c r="AO151" s="186" t="n"/>
      <c r="AP151" s="186" t="n"/>
      <c r="AQ151" s="186" t="n"/>
      <c r="AR151" s="186" t="n"/>
      <c r="AS151" s="186" t="n"/>
      <c r="AT151" s="186" t="n"/>
      <c r="AU151" s="186" t="n"/>
      <c r="AV151" s="186" t="n"/>
      <c r="AW151" s="186" t="n"/>
      <c r="AX151" s="186" t="n"/>
      <c r="AY151" s="186" t="n"/>
      <c r="AZ151" s="186" t="n"/>
      <c r="BA151" s="186" t="n"/>
      <c r="BB151" s="186" t="n"/>
      <c r="BC151" s="186" t="n"/>
      <c r="BD151" s="190" t="n"/>
      <c r="BE151" s="186" t="n"/>
      <c r="BF151" s="186" t="n"/>
      <c r="BG151" s="186" t="n"/>
      <c r="BH151" s="186" t="n"/>
      <c r="BI151" s="186" t="n"/>
      <c r="BJ151" s="187" t="n"/>
      <c r="BK151" s="192" t="n"/>
      <c r="BL151" s="192" t="n"/>
      <c r="BM151" s="192" t="n"/>
      <c r="BN151" s="192" t="n"/>
    </row>
    <row r="152">
      <c r="A152" s="289">
        <f> 'Jobs-Ops'!A152</f>
        <v/>
      </c>
      <c r="B152" s="290">
        <f>'Jobs-Ops'!B152</f>
        <v/>
      </c>
      <c r="C152" s="290">
        <f>'Jobs-Ops'!C152</f>
        <v/>
      </c>
      <c r="D152" s="179" t="n"/>
      <c r="E152" s="181">
        <f>'Jobs-Ops'!I152</f>
        <v/>
      </c>
      <c r="F152" s="205">
        <f>'Jobs-Ops'!U152</f>
        <v/>
      </c>
      <c r="G152" s="181">
        <f>'Jobs-GAAP'!J152</f>
        <v/>
      </c>
      <c r="H152" s="205">
        <f>'Jobs-GAAP'!V152</f>
        <v/>
      </c>
      <c r="I152" s="181">
        <f>E152-G152</f>
        <v/>
      </c>
      <c r="J152" s="9">
        <f>'Jobs-Ops'!P152</f>
        <v/>
      </c>
      <c r="K152" s="9">
        <f>'Jobs-GAAP'!Q152</f>
        <v/>
      </c>
      <c r="L152" s="9">
        <f>J152-K152</f>
        <v/>
      </c>
      <c r="M152" s="186" t="n"/>
      <c r="N152" s="9">
        <f>'Jobs-Ops'!Y152</f>
        <v/>
      </c>
      <c r="O152" s="9">
        <f>'Jobs-GAAP'!Y152</f>
        <v/>
      </c>
      <c r="P152" s="9">
        <f>N152-O152</f>
        <v/>
      </c>
      <c r="Q152" s="186" t="n"/>
      <c r="R152" s="11">
        <f>'Jobs-Ops'!AL152</f>
        <v/>
      </c>
      <c r="S152" s="11">
        <f>'Jobs-GAAP'!AH152</f>
        <v/>
      </c>
      <c r="T152" s="11">
        <f>IFERROR(R152-S152,0)</f>
        <v/>
      </c>
      <c r="U152" s="8">
        <f>'Jobs-Ops'!AM152</f>
        <v/>
      </c>
      <c r="V152" s="8">
        <f>'Jobs-GAAP'!AI152</f>
        <v/>
      </c>
      <c r="W152" s="8">
        <f>IFERROR(U152-V152,0)</f>
        <v/>
      </c>
      <c r="X152" s="9">
        <f>'Jobs-Ops'!AN152</f>
        <v/>
      </c>
      <c r="Y152" s="9">
        <f>'Jobs-GAAP'!AJ152</f>
        <v/>
      </c>
      <c r="Z152" s="9">
        <f>IFERROR(X152-Y152,0)</f>
        <v/>
      </c>
      <c r="AA152" s="153">
        <f>'Jobs-Ops'!AO152</f>
        <v/>
      </c>
      <c r="AB152" s="187" t="n"/>
      <c r="AC152" s="186" t="n"/>
      <c r="AD152" s="186" t="n"/>
      <c r="AE152" s="188" t="n"/>
      <c r="AF152" s="187" t="n"/>
      <c r="AG152" s="187" t="n"/>
      <c r="AH152" s="186" t="n"/>
      <c r="AI152" s="186" t="n"/>
      <c r="AJ152" s="186" t="n"/>
      <c r="AK152" s="186" t="n"/>
      <c r="AL152" s="186" t="n"/>
      <c r="AM152" s="186" t="n"/>
      <c r="AN152" s="186" t="n"/>
      <c r="AO152" s="186" t="n"/>
      <c r="AP152" s="186" t="n"/>
      <c r="AQ152" s="186" t="n"/>
      <c r="AR152" s="186" t="n"/>
      <c r="AS152" s="186" t="n"/>
      <c r="AT152" s="186" t="n"/>
      <c r="AU152" s="186" t="n"/>
      <c r="AV152" s="186" t="n"/>
      <c r="AW152" s="186" t="n"/>
      <c r="AX152" s="186" t="n"/>
      <c r="AY152" s="186" t="n"/>
      <c r="AZ152" s="186" t="n"/>
      <c r="BA152" s="186" t="n"/>
      <c r="BB152" s="186" t="n"/>
      <c r="BC152" s="186" t="n"/>
      <c r="BD152" s="190" t="n"/>
      <c r="BE152" s="186" t="n"/>
      <c r="BF152" s="186" t="n"/>
      <c r="BG152" s="186" t="n"/>
      <c r="BH152" s="186" t="n"/>
      <c r="BI152" s="186" t="n"/>
      <c r="BJ152" s="187" t="n"/>
      <c r="BK152" s="192" t="n"/>
      <c r="BL152" s="192" t="n"/>
      <c r="BM152" s="192" t="n"/>
      <c r="BN152" s="192" t="n"/>
    </row>
    <row r="153">
      <c r="A153" s="289">
        <f> 'Jobs-Ops'!A153</f>
        <v/>
      </c>
      <c r="B153" s="290">
        <f>'Jobs-Ops'!B153</f>
        <v/>
      </c>
      <c r="C153" s="290">
        <f>'Jobs-Ops'!C153</f>
        <v/>
      </c>
      <c r="D153" s="179" t="n"/>
      <c r="E153" s="181">
        <f>'Jobs-Ops'!I153</f>
        <v/>
      </c>
      <c r="F153" s="205">
        <f>'Jobs-Ops'!U153</f>
        <v/>
      </c>
      <c r="G153" s="181">
        <f>'Jobs-GAAP'!J153</f>
        <v/>
      </c>
      <c r="H153" s="205">
        <f>'Jobs-GAAP'!V153</f>
        <v/>
      </c>
      <c r="I153" s="181">
        <f>E153-G153</f>
        <v/>
      </c>
      <c r="J153" s="9">
        <f>'Jobs-Ops'!P153</f>
        <v/>
      </c>
      <c r="K153" s="9">
        <f>'Jobs-GAAP'!Q153</f>
        <v/>
      </c>
      <c r="L153" s="9">
        <f>J153-K153</f>
        <v/>
      </c>
      <c r="M153" s="186" t="n"/>
      <c r="N153" s="9">
        <f>'Jobs-Ops'!Y153</f>
        <v/>
      </c>
      <c r="O153" s="9">
        <f>'Jobs-GAAP'!Y153</f>
        <v/>
      </c>
      <c r="P153" s="9">
        <f>N153-O153</f>
        <v/>
      </c>
      <c r="Q153" s="186" t="n"/>
      <c r="R153" s="11">
        <f>'Jobs-Ops'!AL153</f>
        <v/>
      </c>
      <c r="S153" s="11">
        <f>'Jobs-GAAP'!AH153</f>
        <v/>
      </c>
      <c r="T153" s="11">
        <f>IFERROR(R153-S153,0)</f>
        <v/>
      </c>
      <c r="U153" s="8">
        <f>'Jobs-Ops'!AM153</f>
        <v/>
      </c>
      <c r="V153" s="8">
        <f>'Jobs-GAAP'!AI153</f>
        <v/>
      </c>
      <c r="W153" s="8">
        <f>IFERROR(U153-V153,0)</f>
        <v/>
      </c>
      <c r="X153" s="9">
        <f>'Jobs-Ops'!AN153</f>
        <v/>
      </c>
      <c r="Y153" s="9">
        <f>'Jobs-GAAP'!AJ153</f>
        <v/>
      </c>
      <c r="Z153" s="9">
        <f>IFERROR(X153-Y153,0)</f>
        <v/>
      </c>
      <c r="AA153" s="153">
        <f>'Jobs-Ops'!AO153</f>
        <v/>
      </c>
      <c r="AB153" s="187" t="n"/>
      <c r="AC153" s="186" t="n"/>
      <c r="AD153" s="186" t="n"/>
      <c r="AE153" s="188" t="n"/>
      <c r="AF153" s="187" t="n"/>
      <c r="AG153" s="187" t="n"/>
      <c r="AH153" s="186" t="n"/>
      <c r="AI153" s="186" t="n"/>
      <c r="AJ153" s="186" t="n"/>
      <c r="AK153" s="186" t="n"/>
      <c r="AL153" s="186" t="n"/>
      <c r="AM153" s="186" t="n"/>
      <c r="AN153" s="186" t="n"/>
      <c r="AO153" s="186" t="n"/>
      <c r="AP153" s="186" t="n"/>
      <c r="AQ153" s="186" t="n"/>
      <c r="AR153" s="186" t="n"/>
      <c r="AS153" s="186" t="n"/>
      <c r="AT153" s="186" t="n"/>
      <c r="AU153" s="186" t="n"/>
      <c r="AV153" s="186" t="n"/>
      <c r="AW153" s="186" t="n"/>
      <c r="AX153" s="186" t="n"/>
      <c r="AY153" s="186" t="n"/>
      <c r="AZ153" s="186" t="n"/>
      <c r="BA153" s="186" t="n"/>
      <c r="BB153" s="186" t="n"/>
      <c r="BC153" s="186" t="n"/>
      <c r="BD153" s="190" t="n"/>
      <c r="BE153" s="186" t="n"/>
      <c r="BF153" s="186" t="n"/>
      <c r="BG153" s="186" t="n"/>
      <c r="BH153" s="186" t="n"/>
      <c r="BI153" s="186" t="n"/>
      <c r="BJ153" s="187" t="n"/>
      <c r="BK153" s="192" t="n"/>
      <c r="BL153" s="192" t="n"/>
      <c r="BM153" s="192" t="n"/>
      <c r="BN153" s="192" t="n"/>
    </row>
    <row r="154">
      <c r="A154" s="289">
        <f> 'Jobs-Ops'!A154</f>
        <v/>
      </c>
      <c r="B154" s="290">
        <f>'Jobs-Ops'!B154</f>
        <v/>
      </c>
      <c r="C154" s="290">
        <f>'Jobs-Ops'!C154</f>
        <v/>
      </c>
      <c r="D154" s="179" t="n"/>
      <c r="E154" s="181">
        <f>'Jobs-Ops'!I154</f>
        <v/>
      </c>
      <c r="F154" s="205">
        <f>'Jobs-Ops'!U154</f>
        <v/>
      </c>
      <c r="G154" s="181">
        <f>'Jobs-GAAP'!J154</f>
        <v/>
      </c>
      <c r="H154" s="205">
        <f>'Jobs-GAAP'!V154</f>
        <v/>
      </c>
      <c r="I154" s="181">
        <f>E154-G154</f>
        <v/>
      </c>
      <c r="J154" s="9">
        <f>'Jobs-Ops'!P154</f>
        <v/>
      </c>
      <c r="K154" s="9">
        <f>'Jobs-GAAP'!Q154</f>
        <v/>
      </c>
      <c r="L154" s="9">
        <f>J154-K154</f>
        <v/>
      </c>
      <c r="M154" s="186" t="n"/>
      <c r="N154" s="9">
        <f>'Jobs-Ops'!Y154</f>
        <v/>
      </c>
      <c r="O154" s="9">
        <f>'Jobs-GAAP'!Y154</f>
        <v/>
      </c>
      <c r="P154" s="9">
        <f>N154-O154</f>
        <v/>
      </c>
      <c r="Q154" s="186" t="n"/>
      <c r="R154" s="11">
        <f>'Jobs-Ops'!AL154</f>
        <v/>
      </c>
      <c r="S154" s="11">
        <f>'Jobs-GAAP'!AH154</f>
        <v/>
      </c>
      <c r="T154" s="11">
        <f>IFERROR(R154-S154,0)</f>
        <v/>
      </c>
      <c r="U154" s="8">
        <f>'Jobs-Ops'!AM154</f>
        <v/>
      </c>
      <c r="V154" s="8">
        <f>'Jobs-GAAP'!AI154</f>
        <v/>
      </c>
      <c r="W154" s="8">
        <f>IFERROR(U154-V154,0)</f>
        <v/>
      </c>
      <c r="X154" s="9">
        <f>'Jobs-Ops'!AN154</f>
        <v/>
      </c>
      <c r="Y154" s="9">
        <f>'Jobs-GAAP'!AJ154</f>
        <v/>
      </c>
      <c r="Z154" s="9">
        <f>IFERROR(X154-Y154,0)</f>
        <v/>
      </c>
      <c r="AA154" s="153">
        <f>'Jobs-Ops'!AO154</f>
        <v/>
      </c>
      <c r="AB154" s="187" t="n"/>
      <c r="AC154" s="186" t="n"/>
      <c r="AD154" s="186" t="n"/>
      <c r="AE154" s="188" t="n"/>
      <c r="AF154" s="187" t="n"/>
      <c r="AG154" s="187" t="n"/>
      <c r="AH154" s="186" t="n"/>
      <c r="AI154" s="186" t="n"/>
      <c r="AJ154" s="186" t="n"/>
      <c r="AK154" s="186" t="n"/>
      <c r="AL154" s="186" t="n"/>
      <c r="AM154" s="186" t="n"/>
      <c r="AN154" s="186" t="n"/>
      <c r="AO154" s="186" t="n"/>
      <c r="AP154" s="186" t="n"/>
      <c r="AQ154" s="186" t="n"/>
      <c r="AR154" s="186" t="n"/>
      <c r="AS154" s="186" t="n"/>
      <c r="AT154" s="186" t="n"/>
      <c r="AU154" s="186" t="n"/>
      <c r="AV154" s="186" t="n"/>
      <c r="AW154" s="186" t="n"/>
      <c r="AX154" s="186" t="n"/>
      <c r="AY154" s="186" t="n"/>
      <c r="AZ154" s="186" t="n"/>
      <c r="BA154" s="186" t="n"/>
      <c r="BB154" s="186" t="n"/>
      <c r="BC154" s="186" t="n"/>
      <c r="BD154" s="190" t="n"/>
      <c r="BE154" s="186" t="n"/>
      <c r="BF154" s="186" t="n"/>
      <c r="BG154" s="186" t="n"/>
      <c r="BH154" s="186" t="n"/>
      <c r="BI154" s="186" t="n"/>
      <c r="BJ154" s="187" t="n"/>
      <c r="BK154" s="192" t="n"/>
      <c r="BL154" s="192" t="n"/>
      <c r="BM154" s="192" t="n"/>
      <c r="BN154" s="192" t="n"/>
    </row>
    <row r="155">
      <c r="A155" s="289">
        <f> 'Jobs-Ops'!A155</f>
        <v/>
      </c>
      <c r="B155" s="290">
        <f>'Jobs-Ops'!B155</f>
        <v/>
      </c>
      <c r="C155" s="290">
        <f>'Jobs-Ops'!C155</f>
        <v/>
      </c>
      <c r="D155" s="179" t="n"/>
      <c r="E155" s="181">
        <f>'Jobs-Ops'!I155</f>
        <v/>
      </c>
      <c r="F155" s="205">
        <f>'Jobs-Ops'!U155</f>
        <v/>
      </c>
      <c r="G155" s="181">
        <f>'Jobs-GAAP'!J155</f>
        <v/>
      </c>
      <c r="H155" s="205">
        <f>'Jobs-GAAP'!V155</f>
        <v/>
      </c>
      <c r="I155" s="181">
        <f>E155-G155</f>
        <v/>
      </c>
      <c r="J155" s="9">
        <f>'Jobs-Ops'!P155</f>
        <v/>
      </c>
      <c r="K155" s="9">
        <f>'Jobs-GAAP'!Q155</f>
        <v/>
      </c>
      <c r="L155" s="9">
        <f>J155-K155</f>
        <v/>
      </c>
      <c r="M155" s="186" t="n"/>
      <c r="N155" s="9">
        <f>'Jobs-Ops'!Y155</f>
        <v/>
      </c>
      <c r="O155" s="9">
        <f>'Jobs-GAAP'!Y155</f>
        <v/>
      </c>
      <c r="P155" s="9">
        <f>N155-O155</f>
        <v/>
      </c>
      <c r="Q155" s="186" t="n"/>
      <c r="R155" s="11">
        <f>'Jobs-Ops'!AL155</f>
        <v/>
      </c>
      <c r="S155" s="11">
        <f>'Jobs-GAAP'!AH155</f>
        <v/>
      </c>
      <c r="T155" s="11">
        <f>IFERROR(R155-S155,0)</f>
        <v/>
      </c>
      <c r="U155" s="8">
        <f>'Jobs-Ops'!AM155</f>
        <v/>
      </c>
      <c r="V155" s="8">
        <f>'Jobs-GAAP'!AI155</f>
        <v/>
      </c>
      <c r="W155" s="8">
        <f>IFERROR(U155-V155,0)</f>
        <v/>
      </c>
      <c r="X155" s="9">
        <f>'Jobs-Ops'!AN155</f>
        <v/>
      </c>
      <c r="Y155" s="9">
        <f>'Jobs-GAAP'!AJ155</f>
        <v/>
      </c>
      <c r="Z155" s="9">
        <f>IFERROR(X155-Y155,0)</f>
        <v/>
      </c>
      <c r="AA155" s="153">
        <f>'Jobs-Ops'!AO155</f>
        <v/>
      </c>
      <c r="AB155" s="187" t="n"/>
      <c r="AC155" s="186" t="n"/>
      <c r="AD155" s="186" t="n"/>
      <c r="AE155" s="188" t="n"/>
      <c r="AF155" s="187" t="n"/>
      <c r="AG155" s="187" t="n"/>
      <c r="AH155" s="186" t="n"/>
      <c r="AI155" s="186" t="n"/>
      <c r="AJ155" s="186" t="n"/>
      <c r="AK155" s="186" t="n"/>
      <c r="AL155" s="186" t="n"/>
      <c r="AM155" s="186" t="n"/>
      <c r="AN155" s="186" t="n"/>
      <c r="AO155" s="186" t="n"/>
      <c r="AP155" s="186" t="n"/>
      <c r="AQ155" s="186" t="n"/>
      <c r="AR155" s="186" t="n"/>
      <c r="AS155" s="186" t="n"/>
      <c r="AT155" s="186" t="n"/>
      <c r="AU155" s="186" t="n"/>
      <c r="AV155" s="186" t="n"/>
      <c r="AW155" s="186" t="n"/>
      <c r="AX155" s="186" t="n"/>
      <c r="AY155" s="186" t="n"/>
      <c r="AZ155" s="186" t="n"/>
      <c r="BA155" s="186" t="n"/>
      <c r="BB155" s="186" t="n"/>
      <c r="BC155" s="186" t="n"/>
      <c r="BD155" s="190" t="n"/>
      <c r="BE155" s="186" t="n"/>
      <c r="BF155" s="186" t="n"/>
      <c r="BG155" s="186" t="n"/>
      <c r="BH155" s="186" t="n"/>
      <c r="BI155" s="186" t="n"/>
      <c r="BJ155" s="187" t="n"/>
      <c r="BK155" s="192" t="n"/>
      <c r="BL155" s="192" t="n"/>
      <c r="BM155" s="192" t="n"/>
      <c r="BN155" s="192" t="n"/>
    </row>
    <row r="156">
      <c r="A156" s="289">
        <f> 'Jobs-Ops'!A156</f>
        <v/>
      </c>
      <c r="B156" s="290">
        <f>'Jobs-Ops'!B156</f>
        <v/>
      </c>
      <c r="C156" s="290">
        <f>'Jobs-Ops'!C156</f>
        <v/>
      </c>
      <c r="D156" s="179" t="n"/>
      <c r="E156" s="181">
        <f>'Jobs-Ops'!I156</f>
        <v/>
      </c>
      <c r="F156" s="205">
        <f>'Jobs-Ops'!U156</f>
        <v/>
      </c>
      <c r="G156" s="181">
        <f>'Jobs-GAAP'!J156</f>
        <v/>
      </c>
      <c r="H156" s="205">
        <f>'Jobs-GAAP'!V156</f>
        <v/>
      </c>
      <c r="I156" s="181">
        <f>E156-G156</f>
        <v/>
      </c>
      <c r="J156" s="9">
        <f>'Jobs-Ops'!P156</f>
        <v/>
      </c>
      <c r="K156" s="9">
        <f>'Jobs-GAAP'!Q156</f>
        <v/>
      </c>
      <c r="L156" s="9">
        <f>J156-K156</f>
        <v/>
      </c>
      <c r="M156" s="186" t="n"/>
      <c r="N156" s="9">
        <f>'Jobs-Ops'!Y156</f>
        <v/>
      </c>
      <c r="O156" s="9">
        <f>'Jobs-GAAP'!Y156</f>
        <v/>
      </c>
      <c r="P156" s="9">
        <f>N156-O156</f>
        <v/>
      </c>
      <c r="Q156" s="186" t="n"/>
      <c r="R156" s="11">
        <f>'Jobs-Ops'!AL156</f>
        <v/>
      </c>
      <c r="S156" s="11">
        <f>'Jobs-GAAP'!AH156</f>
        <v/>
      </c>
      <c r="T156" s="11">
        <f>IFERROR(R156-S156,0)</f>
        <v/>
      </c>
      <c r="U156" s="8">
        <f>'Jobs-Ops'!AM156</f>
        <v/>
      </c>
      <c r="V156" s="8">
        <f>'Jobs-GAAP'!AI156</f>
        <v/>
      </c>
      <c r="W156" s="8">
        <f>IFERROR(U156-V156,0)</f>
        <v/>
      </c>
      <c r="X156" s="9">
        <f>'Jobs-Ops'!AN156</f>
        <v/>
      </c>
      <c r="Y156" s="9">
        <f>'Jobs-GAAP'!AJ156</f>
        <v/>
      </c>
      <c r="Z156" s="9">
        <f>IFERROR(X156-Y156,0)</f>
        <v/>
      </c>
      <c r="AA156" s="153">
        <f>'Jobs-Ops'!AO156</f>
        <v/>
      </c>
      <c r="AB156" s="187" t="n"/>
      <c r="AC156" s="186" t="n"/>
      <c r="AD156" s="186" t="n"/>
      <c r="AE156" s="188" t="n"/>
      <c r="AF156" s="187" t="n"/>
      <c r="AG156" s="187" t="n"/>
      <c r="AH156" s="186" t="n"/>
      <c r="AI156" s="186" t="n"/>
      <c r="AJ156" s="186" t="n"/>
      <c r="AK156" s="186" t="n"/>
      <c r="AL156" s="186" t="n"/>
      <c r="AM156" s="186" t="n"/>
      <c r="AN156" s="186" t="n"/>
      <c r="AO156" s="186" t="n"/>
      <c r="AP156" s="186" t="n"/>
      <c r="AQ156" s="186" t="n"/>
      <c r="AR156" s="186" t="n"/>
      <c r="AS156" s="186" t="n"/>
      <c r="AT156" s="186" t="n"/>
      <c r="AU156" s="186" t="n"/>
      <c r="AV156" s="186" t="n"/>
      <c r="AW156" s="186" t="n"/>
      <c r="AX156" s="186" t="n"/>
      <c r="AY156" s="186" t="n"/>
      <c r="AZ156" s="186" t="n"/>
      <c r="BA156" s="186" t="n"/>
      <c r="BB156" s="186" t="n"/>
      <c r="BC156" s="186" t="n"/>
      <c r="BD156" s="190" t="n"/>
      <c r="BE156" s="186" t="n"/>
      <c r="BF156" s="186" t="n"/>
      <c r="BG156" s="186" t="n"/>
      <c r="BH156" s="186" t="n"/>
      <c r="BI156" s="186" t="n"/>
      <c r="BJ156" s="187" t="n"/>
      <c r="BK156" s="192" t="n"/>
      <c r="BL156" s="192" t="n"/>
      <c r="BM156" s="192" t="n"/>
      <c r="BN156" s="192" t="n"/>
    </row>
    <row r="157">
      <c r="A157" s="289">
        <f> 'Jobs-Ops'!A157</f>
        <v/>
      </c>
      <c r="B157" s="290">
        <f>'Jobs-Ops'!B157</f>
        <v/>
      </c>
      <c r="C157" s="290">
        <f>'Jobs-Ops'!C157</f>
        <v/>
      </c>
      <c r="D157" s="179" t="n"/>
      <c r="E157" s="181">
        <f>'Jobs-Ops'!I157</f>
        <v/>
      </c>
      <c r="F157" s="205">
        <f>'Jobs-Ops'!U157</f>
        <v/>
      </c>
      <c r="G157" s="181">
        <f>'Jobs-GAAP'!J157</f>
        <v/>
      </c>
      <c r="H157" s="205">
        <f>'Jobs-GAAP'!V157</f>
        <v/>
      </c>
      <c r="I157" s="181">
        <f>E157-G157</f>
        <v/>
      </c>
      <c r="J157" s="9">
        <f>'Jobs-Ops'!P157</f>
        <v/>
      </c>
      <c r="K157" s="9">
        <f>'Jobs-GAAP'!Q157</f>
        <v/>
      </c>
      <c r="L157" s="9">
        <f>J157-K157</f>
        <v/>
      </c>
      <c r="M157" s="186" t="n"/>
      <c r="N157" s="9">
        <f>'Jobs-Ops'!Y157</f>
        <v/>
      </c>
      <c r="O157" s="9">
        <f>'Jobs-GAAP'!Y157</f>
        <v/>
      </c>
      <c r="P157" s="9">
        <f>N157-O157</f>
        <v/>
      </c>
      <c r="Q157" s="186" t="n"/>
      <c r="R157" s="11">
        <f>'Jobs-Ops'!AL157</f>
        <v/>
      </c>
      <c r="S157" s="11">
        <f>'Jobs-GAAP'!AH157</f>
        <v/>
      </c>
      <c r="T157" s="11">
        <f>IFERROR(R157-S157,0)</f>
        <v/>
      </c>
      <c r="U157" s="8">
        <f>'Jobs-Ops'!AM157</f>
        <v/>
      </c>
      <c r="V157" s="8">
        <f>'Jobs-GAAP'!AI157</f>
        <v/>
      </c>
      <c r="W157" s="8">
        <f>IFERROR(U157-V157,0)</f>
        <v/>
      </c>
      <c r="X157" s="9">
        <f>'Jobs-Ops'!AN157</f>
        <v/>
      </c>
      <c r="Y157" s="9">
        <f>'Jobs-GAAP'!AJ157</f>
        <v/>
      </c>
      <c r="Z157" s="9">
        <f>IFERROR(X157-Y157,0)</f>
        <v/>
      </c>
      <c r="AA157" s="153">
        <f>'Jobs-Ops'!AO157</f>
        <v/>
      </c>
      <c r="AB157" s="187" t="n"/>
      <c r="AC157" s="186" t="n"/>
      <c r="AD157" s="186" t="n"/>
      <c r="AE157" s="188" t="n"/>
      <c r="AF157" s="187" t="n"/>
      <c r="AG157" s="187" t="n"/>
      <c r="AH157" s="186" t="n"/>
      <c r="AI157" s="186" t="n"/>
      <c r="AJ157" s="186" t="n"/>
      <c r="AK157" s="186" t="n"/>
      <c r="AL157" s="186" t="n"/>
      <c r="AM157" s="186" t="n"/>
      <c r="AN157" s="186" t="n"/>
      <c r="AO157" s="186" t="n"/>
      <c r="AP157" s="186" t="n"/>
      <c r="AQ157" s="186" t="n"/>
      <c r="AR157" s="186" t="n"/>
      <c r="AS157" s="186" t="n"/>
      <c r="AT157" s="186" t="n"/>
      <c r="AU157" s="186" t="n"/>
      <c r="AV157" s="186" t="n"/>
      <c r="AW157" s="186" t="n"/>
      <c r="AX157" s="186" t="n"/>
      <c r="AY157" s="186" t="n"/>
      <c r="AZ157" s="186" t="n"/>
      <c r="BA157" s="186" t="n"/>
      <c r="BB157" s="186" t="n"/>
      <c r="BC157" s="186" t="n"/>
      <c r="BD157" s="190" t="n"/>
      <c r="BE157" s="186" t="n"/>
      <c r="BF157" s="186" t="n"/>
      <c r="BG157" s="186" t="n"/>
      <c r="BH157" s="186" t="n"/>
      <c r="BI157" s="186" t="n"/>
      <c r="BJ157" s="187" t="n"/>
      <c r="BK157" s="192" t="n"/>
      <c r="BL157" s="192" t="n"/>
      <c r="BM157" s="192" t="n"/>
      <c r="BN157" s="192" t="n"/>
    </row>
    <row r="158">
      <c r="A158" s="289">
        <f> 'Jobs-Ops'!A158</f>
        <v/>
      </c>
      <c r="B158" s="290">
        <f>'Jobs-Ops'!B158</f>
        <v/>
      </c>
      <c r="C158" s="290">
        <f>'Jobs-Ops'!C158</f>
        <v/>
      </c>
      <c r="D158" s="179" t="n"/>
      <c r="E158" s="181">
        <f>'Jobs-Ops'!I158</f>
        <v/>
      </c>
      <c r="F158" s="205">
        <f>'Jobs-Ops'!U158</f>
        <v/>
      </c>
      <c r="G158" s="181">
        <f>'Jobs-GAAP'!J158</f>
        <v/>
      </c>
      <c r="H158" s="205">
        <f>'Jobs-GAAP'!V158</f>
        <v/>
      </c>
      <c r="I158" s="181">
        <f>E158-G158</f>
        <v/>
      </c>
      <c r="J158" s="9">
        <f>'Jobs-Ops'!P158</f>
        <v/>
      </c>
      <c r="K158" s="9">
        <f>'Jobs-GAAP'!Q158</f>
        <v/>
      </c>
      <c r="L158" s="9">
        <f>J158-K158</f>
        <v/>
      </c>
      <c r="M158" s="186" t="n"/>
      <c r="N158" s="9">
        <f>'Jobs-Ops'!Y158</f>
        <v/>
      </c>
      <c r="O158" s="9">
        <f>'Jobs-GAAP'!Y158</f>
        <v/>
      </c>
      <c r="P158" s="9">
        <f>N158-O158</f>
        <v/>
      </c>
      <c r="Q158" s="186" t="n"/>
      <c r="R158" s="11">
        <f>'Jobs-Ops'!AL158</f>
        <v/>
      </c>
      <c r="S158" s="11">
        <f>'Jobs-GAAP'!AH158</f>
        <v/>
      </c>
      <c r="T158" s="11">
        <f>IFERROR(R158-S158,0)</f>
        <v/>
      </c>
      <c r="U158" s="8">
        <f>'Jobs-Ops'!AM158</f>
        <v/>
      </c>
      <c r="V158" s="8">
        <f>'Jobs-GAAP'!AI158</f>
        <v/>
      </c>
      <c r="W158" s="8">
        <f>IFERROR(U158-V158,0)</f>
        <v/>
      </c>
      <c r="X158" s="9">
        <f>'Jobs-Ops'!AN158</f>
        <v/>
      </c>
      <c r="Y158" s="9">
        <f>'Jobs-GAAP'!AJ158</f>
        <v/>
      </c>
      <c r="Z158" s="9">
        <f>IFERROR(X158-Y158,0)</f>
        <v/>
      </c>
      <c r="AA158" s="153">
        <f>'Jobs-Ops'!AO158</f>
        <v/>
      </c>
      <c r="AB158" s="187" t="n"/>
      <c r="AC158" s="186" t="n"/>
      <c r="AD158" s="186" t="n"/>
      <c r="AE158" s="188" t="n"/>
      <c r="AF158" s="187" t="n"/>
      <c r="AG158" s="187" t="n"/>
      <c r="AH158" s="186" t="n"/>
      <c r="AI158" s="186" t="n"/>
      <c r="AJ158" s="186" t="n"/>
      <c r="AK158" s="186" t="n"/>
      <c r="AL158" s="186" t="n"/>
      <c r="AM158" s="186" t="n"/>
      <c r="AN158" s="186" t="n"/>
      <c r="AO158" s="186" t="n"/>
      <c r="AP158" s="186" t="n"/>
      <c r="AQ158" s="186" t="n"/>
      <c r="AR158" s="186" t="n"/>
      <c r="AS158" s="186" t="n"/>
      <c r="AT158" s="186" t="n"/>
      <c r="AU158" s="186" t="n"/>
      <c r="AV158" s="186" t="n"/>
      <c r="AW158" s="186" t="n"/>
      <c r="AX158" s="186" t="n"/>
      <c r="AY158" s="186" t="n"/>
      <c r="AZ158" s="186" t="n"/>
      <c r="BA158" s="186" t="n"/>
      <c r="BB158" s="186" t="n"/>
      <c r="BC158" s="186" t="n"/>
      <c r="BD158" s="190" t="n"/>
      <c r="BE158" s="186" t="n"/>
      <c r="BF158" s="186" t="n"/>
      <c r="BG158" s="186" t="n"/>
      <c r="BH158" s="186" t="n"/>
      <c r="BI158" s="186" t="n"/>
      <c r="BJ158" s="187" t="n"/>
      <c r="BK158" s="192" t="n"/>
      <c r="BL158" s="192" t="n"/>
      <c r="BM158" s="192" t="n"/>
      <c r="BN158" s="192" t="n"/>
    </row>
    <row r="159">
      <c r="A159" s="289">
        <f> 'Jobs-Ops'!A159</f>
        <v/>
      </c>
      <c r="B159" s="290">
        <f>'Jobs-Ops'!B159</f>
        <v/>
      </c>
      <c r="C159" s="290">
        <f>'Jobs-Ops'!C159</f>
        <v/>
      </c>
      <c r="D159" s="179" t="n"/>
      <c r="E159" s="181">
        <f>'Jobs-Ops'!I159</f>
        <v/>
      </c>
      <c r="F159" s="205">
        <f>'Jobs-Ops'!U159</f>
        <v/>
      </c>
      <c r="G159" s="181">
        <f>'Jobs-GAAP'!J159</f>
        <v/>
      </c>
      <c r="H159" s="205">
        <f>'Jobs-GAAP'!V159</f>
        <v/>
      </c>
      <c r="I159" s="181">
        <f>E159-G159</f>
        <v/>
      </c>
      <c r="J159" s="9">
        <f>'Jobs-Ops'!P159</f>
        <v/>
      </c>
      <c r="K159" s="9">
        <f>'Jobs-GAAP'!Q159</f>
        <v/>
      </c>
      <c r="L159" s="9">
        <f>J159-K159</f>
        <v/>
      </c>
      <c r="M159" s="186" t="n"/>
      <c r="N159" s="9">
        <f>'Jobs-Ops'!Y159</f>
        <v/>
      </c>
      <c r="O159" s="9">
        <f>'Jobs-GAAP'!Y159</f>
        <v/>
      </c>
      <c r="P159" s="9">
        <f>N159-O159</f>
        <v/>
      </c>
      <c r="Q159" s="186" t="n"/>
      <c r="R159" s="11">
        <f>'Jobs-Ops'!AL159</f>
        <v/>
      </c>
      <c r="S159" s="11">
        <f>'Jobs-GAAP'!AH159</f>
        <v/>
      </c>
      <c r="T159" s="11">
        <f>IFERROR(R159-S159,0)</f>
        <v/>
      </c>
      <c r="U159" s="8">
        <f>'Jobs-Ops'!AM159</f>
        <v/>
      </c>
      <c r="V159" s="8">
        <f>'Jobs-GAAP'!AI159</f>
        <v/>
      </c>
      <c r="W159" s="8">
        <f>IFERROR(U159-V159,0)</f>
        <v/>
      </c>
      <c r="X159" s="9">
        <f>'Jobs-Ops'!AN159</f>
        <v/>
      </c>
      <c r="Y159" s="9">
        <f>'Jobs-GAAP'!AJ159</f>
        <v/>
      </c>
      <c r="Z159" s="9">
        <f>IFERROR(X159-Y159,0)</f>
        <v/>
      </c>
      <c r="AA159" s="153">
        <f>'Jobs-Ops'!AO159</f>
        <v/>
      </c>
      <c r="AB159" s="187" t="n"/>
      <c r="AC159" s="186" t="n"/>
      <c r="AD159" s="186" t="n"/>
      <c r="AE159" s="188" t="n"/>
      <c r="AF159" s="187" t="n"/>
      <c r="AG159" s="187" t="n"/>
      <c r="AH159" s="186" t="n"/>
      <c r="AI159" s="186" t="n"/>
      <c r="AJ159" s="186" t="n"/>
      <c r="AK159" s="186" t="n"/>
      <c r="AL159" s="186" t="n"/>
      <c r="AM159" s="186" t="n"/>
      <c r="AN159" s="186" t="n"/>
      <c r="AO159" s="186" t="n"/>
      <c r="AP159" s="186" t="n"/>
      <c r="AQ159" s="186" t="n"/>
      <c r="AR159" s="186" t="n"/>
      <c r="AS159" s="186" t="n"/>
      <c r="AT159" s="186" t="n"/>
      <c r="AU159" s="186" t="n"/>
      <c r="AV159" s="186" t="n"/>
      <c r="AW159" s="186" t="n"/>
      <c r="AX159" s="186" t="n"/>
      <c r="AY159" s="186" t="n"/>
      <c r="AZ159" s="186" t="n"/>
      <c r="BA159" s="186" t="n"/>
      <c r="BB159" s="186" t="n"/>
      <c r="BC159" s="186" t="n"/>
      <c r="BD159" s="190" t="n"/>
      <c r="BE159" s="186" t="n"/>
      <c r="BF159" s="186" t="n"/>
      <c r="BG159" s="186" t="n"/>
      <c r="BH159" s="186" t="n"/>
      <c r="BI159" s="186" t="n"/>
      <c r="BJ159" s="187" t="n"/>
      <c r="BK159" s="192" t="n"/>
      <c r="BL159" s="192" t="n"/>
      <c r="BM159" s="192" t="n"/>
      <c r="BN159" s="192" t="n"/>
    </row>
    <row r="160">
      <c r="A160" s="289">
        <f> 'Jobs-Ops'!A160</f>
        <v/>
      </c>
      <c r="B160" s="290">
        <f>'Jobs-Ops'!B160</f>
        <v/>
      </c>
      <c r="C160" s="290">
        <f>'Jobs-Ops'!C160</f>
        <v/>
      </c>
      <c r="D160" s="179" t="n"/>
      <c r="E160" s="181">
        <f>'Jobs-Ops'!I160</f>
        <v/>
      </c>
      <c r="F160" s="205">
        <f>'Jobs-Ops'!U160</f>
        <v/>
      </c>
      <c r="G160" s="181">
        <f>'Jobs-GAAP'!J160</f>
        <v/>
      </c>
      <c r="H160" s="205">
        <f>'Jobs-GAAP'!V160</f>
        <v/>
      </c>
      <c r="I160" s="181">
        <f>E160-G160</f>
        <v/>
      </c>
      <c r="J160" s="9">
        <f>'Jobs-Ops'!P160</f>
        <v/>
      </c>
      <c r="K160" s="9">
        <f>'Jobs-GAAP'!Q160</f>
        <v/>
      </c>
      <c r="L160" s="9">
        <f>J160-K160</f>
        <v/>
      </c>
      <c r="M160" s="186" t="n"/>
      <c r="N160" s="9">
        <f>'Jobs-Ops'!Y160</f>
        <v/>
      </c>
      <c r="O160" s="9">
        <f>'Jobs-GAAP'!Y160</f>
        <v/>
      </c>
      <c r="P160" s="9">
        <f>N160-O160</f>
        <v/>
      </c>
      <c r="Q160" s="186" t="n"/>
      <c r="R160" s="11">
        <f>'Jobs-Ops'!AL160</f>
        <v/>
      </c>
      <c r="S160" s="11">
        <f>'Jobs-GAAP'!AH160</f>
        <v/>
      </c>
      <c r="T160" s="11">
        <f>IFERROR(R160-S160,0)</f>
        <v/>
      </c>
      <c r="U160" s="8">
        <f>'Jobs-Ops'!AM160</f>
        <v/>
      </c>
      <c r="V160" s="8">
        <f>'Jobs-GAAP'!AI160</f>
        <v/>
      </c>
      <c r="W160" s="8">
        <f>IFERROR(U160-V160,0)</f>
        <v/>
      </c>
      <c r="X160" s="9">
        <f>'Jobs-Ops'!AN160</f>
        <v/>
      </c>
      <c r="Y160" s="9">
        <f>'Jobs-GAAP'!AJ160</f>
        <v/>
      </c>
      <c r="Z160" s="9">
        <f>IFERROR(X160-Y160,0)</f>
        <v/>
      </c>
      <c r="AA160" s="153">
        <f>'Jobs-Ops'!AO160</f>
        <v/>
      </c>
      <c r="AB160" s="187" t="n"/>
      <c r="AC160" s="186" t="n"/>
      <c r="AD160" s="186" t="n"/>
      <c r="AE160" s="188" t="n"/>
      <c r="AF160" s="187" t="n"/>
      <c r="AG160" s="187" t="n"/>
      <c r="AH160" s="186" t="n"/>
      <c r="AI160" s="186" t="n"/>
      <c r="AJ160" s="186" t="n"/>
      <c r="AK160" s="186" t="n"/>
      <c r="AL160" s="186" t="n"/>
      <c r="AM160" s="186" t="n"/>
      <c r="AN160" s="186" t="n"/>
      <c r="AO160" s="186" t="n"/>
      <c r="AP160" s="186" t="n"/>
      <c r="AQ160" s="186" t="n"/>
      <c r="AR160" s="186" t="n"/>
      <c r="AS160" s="186" t="n"/>
      <c r="AT160" s="186" t="n"/>
      <c r="AU160" s="186" t="n"/>
      <c r="AV160" s="186" t="n"/>
      <c r="AW160" s="186" t="n"/>
      <c r="AX160" s="186" t="n"/>
      <c r="AY160" s="186" t="n"/>
      <c r="AZ160" s="186" t="n"/>
      <c r="BA160" s="186" t="n"/>
      <c r="BB160" s="186" t="n"/>
      <c r="BC160" s="186" t="n"/>
      <c r="BD160" s="190" t="n"/>
      <c r="BE160" s="186" t="n"/>
      <c r="BF160" s="186" t="n"/>
      <c r="BG160" s="186" t="n"/>
      <c r="BH160" s="186" t="n"/>
      <c r="BI160" s="186" t="n"/>
      <c r="BJ160" s="187" t="n"/>
      <c r="BK160" s="192" t="n"/>
      <c r="BL160" s="192" t="n"/>
      <c r="BM160" s="192" t="n"/>
      <c r="BN160" s="192" t="n"/>
    </row>
    <row r="161">
      <c r="A161" s="289">
        <f> 'Jobs-Ops'!A161</f>
        <v/>
      </c>
      <c r="B161" s="290">
        <f>'Jobs-Ops'!B161</f>
        <v/>
      </c>
      <c r="C161" s="290">
        <f>'Jobs-Ops'!C161</f>
        <v/>
      </c>
      <c r="D161" s="179" t="n"/>
      <c r="E161" s="181">
        <f>'Jobs-Ops'!I161</f>
        <v/>
      </c>
      <c r="F161" s="205">
        <f>'Jobs-Ops'!U161</f>
        <v/>
      </c>
      <c r="G161" s="181">
        <f>'Jobs-GAAP'!J161</f>
        <v/>
      </c>
      <c r="H161" s="205">
        <f>'Jobs-GAAP'!V161</f>
        <v/>
      </c>
      <c r="I161" s="181">
        <f>E161-G161</f>
        <v/>
      </c>
      <c r="J161" s="9">
        <f>'Jobs-Ops'!P161</f>
        <v/>
      </c>
      <c r="K161" s="9">
        <f>'Jobs-GAAP'!Q161</f>
        <v/>
      </c>
      <c r="L161" s="9">
        <f>J161-K161</f>
        <v/>
      </c>
      <c r="M161" s="186" t="n"/>
      <c r="N161" s="9">
        <f>'Jobs-Ops'!Y161</f>
        <v/>
      </c>
      <c r="O161" s="9">
        <f>'Jobs-GAAP'!Y161</f>
        <v/>
      </c>
      <c r="P161" s="9">
        <f>N161-O161</f>
        <v/>
      </c>
      <c r="Q161" s="186" t="n"/>
      <c r="R161" s="11">
        <f>'Jobs-Ops'!AL161</f>
        <v/>
      </c>
      <c r="S161" s="11">
        <f>'Jobs-GAAP'!AH161</f>
        <v/>
      </c>
      <c r="T161" s="11">
        <f>IFERROR(R161-S161,0)</f>
        <v/>
      </c>
      <c r="U161" s="8">
        <f>'Jobs-Ops'!AM161</f>
        <v/>
      </c>
      <c r="V161" s="8">
        <f>'Jobs-GAAP'!AI161</f>
        <v/>
      </c>
      <c r="W161" s="8">
        <f>IFERROR(U161-V161,0)</f>
        <v/>
      </c>
      <c r="X161" s="9">
        <f>'Jobs-Ops'!AN161</f>
        <v/>
      </c>
      <c r="Y161" s="9">
        <f>'Jobs-GAAP'!AJ161</f>
        <v/>
      </c>
      <c r="Z161" s="9">
        <f>IFERROR(X161-Y161,0)</f>
        <v/>
      </c>
      <c r="AA161" s="153">
        <f>'Jobs-Ops'!AO161</f>
        <v/>
      </c>
      <c r="AB161" s="187" t="n"/>
      <c r="AC161" s="186" t="n"/>
      <c r="AD161" s="186" t="n"/>
      <c r="AE161" s="188" t="n"/>
      <c r="AF161" s="187" t="n"/>
      <c r="AG161" s="187" t="n"/>
      <c r="AH161" s="186" t="n"/>
      <c r="AI161" s="186" t="n"/>
      <c r="AJ161" s="186" t="n"/>
      <c r="AK161" s="186" t="n"/>
      <c r="AL161" s="186" t="n"/>
      <c r="AM161" s="186" t="n"/>
      <c r="AN161" s="186" t="n"/>
      <c r="AO161" s="186" t="n"/>
      <c r="AP161" s="186" t="n"/>
      <c r="AQ161" s="186" t="n"/>
      <c r="AR161" s="186" t="n"/>
      <c r="AS161" s="186" t="n"/>
      <c r="AT161" s="186" t="n"/>
      <c r="AU161" s="186" t="n"/>
      <c r="AV161" s="186" t="n"/>
      <c r="AW161" s="186" t="n"/>
      <c r="AX161" s="186" t="n"/>
      <c r="AY161" s="186" t="n"/>
      <c r="AZ161" s="186" t="n"/>
      <c r="BA161" s="186" t="n"/>
      <c r="BB161" s="186" t="n"/>
      <c r="BC161" s="186" t="n"/>
      <c r="BD161" s="190" t="n"/>
      <c r="BE161" s="186" t="n"/>
      <c r="BF161" s="186" t="n"/>
      <c r="BG161" s="186" t="n"/>
      <c r="BH161" s="186" t="n"/>
      <c r="BI161" s="186" t="n"/>
      <c r="BJ161" s="187" t="n"/>
      <c r="BK161" s="192" t="n"/>
      <c r="BL161" s="192" t="n"/>
      <c r="BM161" s="192" t="n"/>
      <c r="BN161" s="192" t="n"/>
    </row>
    <row r="162">
      <c r="A162" s="289">
        <f> 'Jobs-Ops'!A162</f>
        <v/>
      </c>
      <c r="B162" s="290">
        <f>'Jobs-Ops'!B162</f>
        <v/>
      </c>
      <c r="C162" s="290">
        <f>'Jobs-Ops'!C162</f>
        <v/>
      </c>
      <c r="D162" s="179" t="n"/>
      <c r="E162" s="181">
        <f>'Jobs-Ops'!I162</f>
        <v/>
      </c>
      <c r="F162" s="205">
        <f>'Jobs-Ops'!U162</f>
        <v/>
      </c>
      <c r="G162" s="181">
        <f>'Jobs-GAAP'!J162</f>
        <v/>
      </c>
      <c r="H162" s="205">
        <f>'Jobs-GAAP'!V162</f>
        <v/>
      </c>
      <c r="I162" s="181">
        <f>E162-G162</f>
        <v/>
      </c>
      <c r="J162" s="9">
        <f>'Jobs-Ops'!P162</f>
        <v/>
      </c>
      <c r="K162" s="9">
        <f>'Jobs-GAAP'!Q162</f>
        <v/>
      </c>
      <c r="L162" s="9">
        <f>J162-K162</f>
        <v/>
      </c>
      <c r="M162" s="186" t="n"/>
      <c r="N162" s="9">
        <f>'Jobs-Ops'!Y162</f>
        <v/>
      </c>
      <c r="O162" s="9">
        <f>'Jobs-GAAP'!Y162</f>
        <v/>
      </c>
      <c r="P162" s="9">
        <f>N162-O162</f>
        <v/>
      </c>
      <c r="Q162" s="186" t="n"/>
      <c r="R162" s="11">
        <f>'Jobs-Ops'!AL162</f>
        <v/>
      </c>
      <c r="S162" s="11">
        <f>'Jobs-GAAP'!AH162</f>
        <v/>
      </c>
      <c r="T162" s="11">
        <f>IFERROR(R162-S162,0)</f>
        <v/>
      </c>
      <c r="U162" s="8">
        <f>'Jobs-Ops'!AM162</f>
        <v/>
      </c>
      <c r="V162" s="8">
        <f>'Jobs-GAAP'!AI162</f>
        <v/>
      </c>
      <c r="W162" s="8">
        <f>IFERROR(U162-V162,0)</f>
        <v/>
      </c>
      <c r="X162" s="9">
        <f>'Jobs-Ops'!AN162</f>
        <v/>
      </c>
      <c r="Y162" s="9">
        <f>'Jobs-GAAP'!AJ162</f>
        <v/>
      </c>
      <c r="Z162" s="9">
        <f>IFERROR(X162-Y162,0)</f>
        <v/>
      </c>
      <c r="AA162" s="153">
        <f>'Jobs-Ops'!AO162</f>
        <v/>
      </c>
      <c r="AB162" s="187" t="n"/>
      <c r="AC162" s="186" t="n"/>
      <c r="AD162" s="186" t="n"/>
      <c r="AE162" s="188" t="n"/>
      <c r="AF162" s="187" t="n"/>
      <c r="AG162" s="187" t="n"/>
      <c r="AH162" s="186" t="n"/>
      <c r="AI162" s="186" t="n"/>
      <c r="AJ162" s="186" t="n"/>
      <c r="AK162" s="186" t="n"/>
      <c r="AL162" s="186" t="n"/>
      <c r="AM162" s="186" t="n"/>
      <c r="AN162" s="186" t="n"/>
      <c r="AO162" s="186" t="n"/>
      <c r="AP162" s="186" t="n"/>
      <c r="AQ162" s="186" t="n"/>
      <c r="AR162" s="186" t="n"/>
      <c r="AS162" s="186" t="n"/>
      <c r="AT162" s="186" t="n"/>
      <c r="AU162" s="186" t="n"/>
      <c r="AV162" s="186" t="n"/>
      <c r="AW162" s="186" t="n"/>
      <c r="AX162" s="186" t="n"/>
      <c r="AY162" s="186" t="n"/>
      <c r="AZ162" s="186" t="n"/>
      <c r="BA162" s="186" t="n"/>
      <c r="BB162" s="186" t="n"/>
      <c r="BC162" s="186" t="n"/>
      <c r="BD162" s="190" t="n"/>
      <c r="BE162" s="186" t="n"/>
      <c r="BF162" s="186" t="n"/>
      <c r="BG162" s="186" t="n"/>
      <c r="BH162" s="186" t="n"/>
      <c r="BI162" s="186" t="n"/>
      <c r="BJ162" s="187" t="n"/>
      <c r="BK162" s="192" t="n"/>
      <c r="BL162" s="192" t="n"/>
      <c r="BM162" s="192" t="n"/>
      <c r="BN162" s="192" t="n"/>
    </row>
    <row r="163">
      <c r="A163" s="289">
        <f> 'Jobs-Ops'!A163</f>
        <v/>
      </c>
      <c r="B163" s="290">
        <f>'Jobs-Ops'!B163</f>
        <v/>
      </c>
      <c r="C163" s="290">
        <f>'Jobs-Ops'!C163</f>
        <v/>
      </c>
      <c r="D163" s="179" t="n"/>
      <c r="E163" s="181">
        <f>'Jobs-Ops'!I163</f>
        <v/>
      </c>
      <c r="F163" s="205">
        <f>'Jobs-Ops'!U163</f>
        <v/>
      </c>
      <c r="G163" s="181">
        <f>'Jobs-GAAP'!J163</f>
        <v/>
      </c>
      <c r="H163" s="205">
        <f>'Jobs-GAAP'!V163</f>
        <v/>
      </c>
      <c r="I163" s="181">
        <f>E163-G163</f>
        <v/>
      </c>
      <c r="J163" s="9">
        <f>'Jobs-Ops'!P163</f>
        <v/>
      </c>
      <c r="K163" s="9">
        <f>'Jobs-GAAP'!Q163</f>
        <v/>
      </c>
      <c r="L163" s="9">
        <f>J163-K163</f>
        <v/>
      </c>
      <c r="M163" s="186" t="n"/>
      <c r="N163" s="9">
        <f>'Jobs-Ops'!Y163</f>
        <v/>
      </c>
      <c r="O163" s="9">
        <f>'Jobs-GAAP'!Y163</f>
        <v/>
      </c>
      <c r="P163" s="9">
        <f>N163-O163</f>
        <v/>
      </c>
      <c r="Q163" s="186" t="n"/>
      <c r="R163" s="11">
        <f>'Jobs-Ops'!AL163</f>
        <v/>
      </c>
      <c r="S163" s="11">
        <f>'Jobs-GAAP'!AH163</f>
        <v/>
      </c>
      <c r="T163" s="11">
        <f>IFERROR(R163-S163,0)</f>
        <v/>
      </c>
      <c r="U163" s="8">
        <f>'Jobs-Ops'!AM163</f>
        <v/>
      </c>
      <c r="V163" s="8">
        <f>'Jobs-GAAP'!AI163</f>
        <v/>
      </c>
      <c r="W163" s="8">
        <f>IFERROR(U163-V163,0)</f>
        <v/>
      </c>
      <c r="X163" s="9">
        <f>'Jobs-Ops'!AN163</f>
        <v/>
      </c>
      <c r="Y163" s="9">
        <f>'Jobs-GAAP'!AJ163</f>
        <v/>
      </c>
      <c r="Z163" s="9">
        <f>IFERROR(X163-Y163,0)</f>
        <v/>
      </c>
      <c r="AA163" s="153">
        <f>'Jobs-Ops'!AO163</f>
        <v/>
      </c>
      <c r="AB163" s="187" t="n"/>
      <c r="AC163" s="186" t="n"/>
      <c r="AD163" s="186" t="n"/>
      <c r="AE163" s="188" t="n"/>
      <c r="AF163" s="187" t="n"/>
      <c r="AG163" s="187" t="n"/>
      <c r="AH163" s="186" t="n"/>
      <c r="AI163" s="186" t="n"/>
      <c r="AJ163" s="186" t="n"/>
      <c r="AK163" s="186" t="n"/>
      <c r="AL163" s="186" t="n"/>
      <c r="AM163" s="186" t="n"/>
      <c r="AN163" s="186" t="n"/>
      <c r="AO163" s="186" t="n"/>
      <c r="AP163" s="186" t="n"/>
      <c r="AQ163" s="186" t="n"/>
      <c r="AR163" s="186" t="n"/>
      <c r="AS163" s="186" t="n"/>
      <c r="AT163" s="186" t="n"/>
      <c r="AU163" s="186" t="n"/>
      <c r="AV163" s="186" t="n"/>
      <c r="AW163" s="186" t="n"/>
      <c r="AX163" s="186" t="n"/>
      <c r="AY163" s="186" t="n"/>
      <c r="AZ163" s="186" t="n"/>
      <c r="BA163" s="186" t="n"/>
      <c r="BB163" s="186" t="n"/>
      <c r="BC163" s="186" t="n"/>
      <c r="BD163" s="190" t="n"/>
      <c r="BE163" s="186" t="n"/>
      <c r="BF163" s="186" t="n"/>
      <c r="BG163" s="186" t="n"/>
      <c r="BH163" s="186" t="n"/>
      <c r="BI163" s="186" t="n"/>
      <c r="BJ163" s="187" t="n"/>
      <c r="BK163" s="192" t="n"/>
      <c r="BL163" s="192" t="n"/>
      <c r="BM163" s="192" t="n"/>
      <c r="BN163" s="192" t="n"/>
    </row>
    <row r="164">
      <c r="A164" s="289">
        <f> 'Jobs-Ops'!A164</f>
        <v/>
      </c>
      <c r="B164" s="290">
        <f>'Jobs-Ops'!B164</f>
        <v/>
      </c>
      <c r="C164" s="290">
        <f>'Jobs-Ops'!C164</f>
        <v/>
      </c>
      <c r="D164" s="179" t="n"/>
      <c r="E164" s="181">
        <f>'Jobs-Ops'!I164</f>
        <v/>
      </c>
      <c r="F164" s="205">
        <f>'Jobs-Ops'!U164</f>
        <v/>
      </c>
      <c r="G164" s="181">
        <f>'Jobs-GAAP'!J164</f>
        <v/>
      </c>
      <c r="H164" s="205">
        <f>'Jobs-GAAP'!V164</f>
        <v/>
      </c>
      <c r="I164" s="181">
        <f>E164-G164</f>
        <v/>
      </c>
      <c r="J164" s="9">
        <f>'Jobs-Ops'!P164</f>
        <v/>
      </c>
      <c r="K164" s="9">
        <f>'Jobs-GAAP'!Q164</f>
        <v/>
      </c>
      <c r="L164" s="9">
        <f>J164-K164</f>
        <v/>
      </c>
      <c r="M164" s="186" t="n"/>
      <c r="N164" s="9">
        <f>'Jobs-Ops'!Y164</f>
        <v/>
      </c>
      <c r="O164" s="9">
        <f>'Jobs-GAAP'!Y164</f>
        <v/>
      </c>
      <c r="P164" s="9">
        <f>N164-O164</f>
        <v/>
      </c>
      <c r="Q164" s="186" t="n"/>
      <c r="R164" s="11">
        <f>'Jobs-Ops'!AL164</f>
        <v/>
      </c>
      <c r="S164" s="11">
        <f>'Jobs-GAAP'!AH164</f>
        <v/>
      </c>
      <c r="T164" s="11">
        <f>IFERROR(R164-S164,0)</f>
        <v/>
      </c>
      <c r="U164" s="8">
        <f>'Jobs-Ops'!AM164</f>
        <v/>
      </c>
      <c r="V164" s="8">
        <f>'Jobs-GAAP'!AI164</f>
        <v/>
      </c>
      <c r="W164" s="8">
        <f>IFERROR(U164-V164,0)</f>
        <v/>
      </c>
      <c r="X164" s="9">
        <f>'Jobs-Ops'!AN164</f>
        <v/>
      </c>
      <c r="Y164" s="9">
        <f>'Jobs-GAAP'!AJ164</f>
        <v/>
      </c>
      <c r="Z164" s="9">
        <f>IFERROR(X164-Y164,0)</f>
        <v/>
      </c>
      <c r="AA164" s="153">
        <f>'Jobs-Ops'!AO164</f>
        <v/>
      </c>
      <c r="AB164" s="187" t="n"/>
      <c r="AC164" s="186" t="n"/>
      <c r="AD164" s="186" t="n"/>
      <c r="AE164" s="188" t="n"/>
      <c r="AF164" s="187" t="n"/>
      <c r="AG164" s="187" t="n"/>
      <c r="AH164" s="186" t="n"/>
      <c r="AI164" s="186" t="n"/>
      <c r="AJ164" s="186" t="n"/>
      <c r="AK164" s="186" t="n"/>
      <c r="AL164" s="186" t="n"/>
      <c r="AM164" s="186" t="n"/>
      <c r="AN164" s="186" t="n"/>
      <c r="AO164" s="186" t="n"/>
      <c r="AP164" s="186" t="n"/>
      <c r="AQ164" s="186" t="n"/>
      <c r="AR164" s="186" t="n"/>
      <c r="AS164" s="186" t="n"/>
      <c r="AT164" s="186" t="n"/>
      <c r="AU164" s="186" t="n"/>
      <c r="AV164" s="186" t="n"/>
      <c r="AW164" s="186" t="n"/>
      <c r="AX164" s="186" t="n"/>
      <c r="AY164" s="186" t="n"/>
      <c r="AZ164" s="186" t="n"/>
      <c r="BA164" s="186" t="n"/>
      <c r="BB164" s="186" t="n"/>
      <c r="BC164" s="186" t="n"/>
      <c r="BD164" s="190" t="n"/>
      <c r="BE164" s="186" t="n"/>
      <c r="BF164" s="186" t="n"/>
      <c r="BG164" s="186" t="n"/>
      <c r="BH164" s="186" t="n"/>
      <c r="BI164" s="186" t="n"/>
      <c r="BJ164" s="187" t="n"/>
      <c r="BK164" s="192" t="n"/>
      <c r="BL164" s="192" t="n"/>
      <c r="BM164" s="192" t="n"/>
      <c r="BN164" s="192" t="n"/>
    </row>
    <row r="165">
      <c r="A165" s="289">
        <f> 'Jobs-Ops'!A165</f>
        <v/>
      </c>
      <c r="B165" s="290">
        <f>'Jobs-Ops'!B165</f>
        <v/>
      </c>
      <c r="C165" s="290">
        <f>'Jobs-Ops'!C165</f>
        <v/>
      </c>
      <c r="D165" s="179" t="n"/>
      <c r="E165" s="181">
        <f>'Jobs-Ops'!I165</f>
        <v/>
      </c>
      <c r="F165" s="205">
        <f>'Jobs-Ops'!U165</f>
        <v/>
      </c>
      <c r="G165" s="181">
        <f>'Jobs-GAAP'!J165</f>
        <v/>
      </c>
      <c r="H165" s="205">
        <f>'Jobs-GAAP'!V165</f>
        <v/>
      </c>
      <c r="I165" s="181">
        <f>E165-G165</f>
        <v/>
      </c>
      <c r="J165" s="9">
        <f>'Jobs-Ops'!P165</f>
        <v/>
      </c>
      <c r="K165" s="9">
        <f>'Jobs-GAAP'!Q165</f>
        <v/>
      </c>
      <c r="L165" s="9">
        <f>J165-K165</f>
        <v/>
      </c>
      <c r="M165" s="186" t="n"/>
      <c r="N165" s="9">
        <f>'Jobs-Ops'!Y165</f>
        <v/>
      </c>
      <c r="O165" s="9">
        <f>'Jobs-GAAP'!Y165</f>
        <v/>
      </c>
      <c r="P165" s="9">
        <f>N165-O165</f>
        <v/>
      </c>
      <c r="Q165" s="186" t="n"/>
      <c r="R165" s="11">
        <f>'Jobs-Ops'!AL165</f>
        <v/>
      </c>
      <c r="S165" s="11">
        <f>'Jobs-GAAP'!AH165</f>
        <v/>
      </c>
      <c r="T165" s="11">
        <f>IFERROR(R165-S165,0)</f>
        <v/>
      </c>
      <c r="U165" s="8">
        <f>'Jobs-Ops'!AM165</f>
        <v/>
      </c>
      <c r="V165" s="8">
        <f>'Jobs-GAAP'!AI165</f>
        <v/>
      </c>
      <c r="W165" s="8">
        <f>IFERROR(U165-V165,0)</f>
        <v/>
      </c>
      <c r="X165" s="9">
        <f>'Jobs-Ops'!AN165</f>
        <v/>
      </c>
      <c r="Y165" s="9">
        <f>'Jobs-GAAP'!AJ165</f>
        <v/>
      </c>
      <c r="Z165" s="9">
        <f>IFERROR(X165-Y165,0)</f>
        <v/>
      </c>
      <c r="AA165" s="153">
        <f>'Jobs-Ops'!AO165</f>
        <v/>
      </c>
      <c r="AB165" s="187" t="n"/>
      <c r="AC165" s="186" t="n"/>
      <c r="AD165" s="186" t="n"/>
      <c r="AE165" s="188" t="n"/>
      <c r="AF165" s="187" t="n"/>
      <c r="AG165" s="187" t="n"/>
      <c r="AH165" s="186" t="n"/>
      <c r="AI165" s="186" t="n"/>
      <c r="AJ165" s="186" t="n"/>
      <c r="AK165" s="186" t="n"/>
      <c r="AL165" s="186" t="n"/>
      <c r="AM165" s="186" t="n"/>
      <c r="AN165" s="186" t="n"/>
      <c r="AO165" s="186" t="n"/>
      <c r="AP165" s="186" t="n"/>
      <c r="AQ165" s="186" t="n"/>
      <c r="AR165" s="186" t="n"/>
      <c r="AS165" s="186" t="n"/>
      <c r="AT165" s="186" t="n"/>
      <c r="AU165" s="186" t="n"/>
      <c r="AV165" s="186" t="n"/>
      <c r="AW165" s="186" t="n"/>
      <c r="AX165" s="186" t="n"/>
      <c r="AY165" s="186" t="n"/>
      <c r="AZ165" s="186" t="n"/>
      <c r="BA165" s="186" t="n"/>
      <c r="BB165" s="186" t="n"/>
      <c r="BC165" s="186" t="n"/>
      <c r="BD165" s="190" t="n"/>
      <c r="BE165" s="186" t="n"/>
      <c r="BF165" s="186" t="n"/>
      <c r="BG165" s="186" t="n"/>
      <c r="BH165" s="186" t="n"/>
      <c r="BI165" s="186" t="n"/>
      <c r="BJ165" s="187" t="n"/>
      <c r="BK165" s="192" t="n"/>
      <c r="BL165" s="192" t="n"/>
      <c r="BM165" s="192" t="n"/>
      <c r="BN165" s="192" t="n"/>
    </row>
    <row r="166">
      <c r="A166" s="289">
        <f> 'Jobs-Ops'!A166</f>
        <v/>
      </c>
      <c r="B166" s="290">
        <f>'Jobs-Ops'!B166</f>
        <v/>
      </c>
      <c r="C166" s="290">
        <f>'Jobs-Ops'!C166</f>
        <v/>
      </c>
      <c r="D166" s="179" t="n"/>
      <c r="E166" s="181">
        <f>'Jobs-Ops'!I166</f>
        <v/>
      </c>
      <c r="F166" s="205">
        <f>'Jobs-Ops'!U166</f>
        <v/>
      </c>
      <c r="G166" s="181">
        <f>'Jobs-GAAP'!J166</f>
        <v/>
      </c>
      <c r="H166" s="205">
        <f>'Jobs-GAAP'!V166</f>
        <v/>
      </c>
      <c r="I166" s="181">
        <f>E166-G166</f>
        <v/>
      </c>
      <c r="J166" s="9">
        <f>'Jobs-Ops'!P166</f>
        <v/>
      </c>
      <c r="K166" s="9">
        <f>'Jobs-GAAP'!Q166</f>
        <v/>
      </c>
      <c r="L166" s="9">
        <f>J166-K166</f>
        <v/>
      </c>
      <c r="M166" s="186" t="n"/>
      <c r="N166" s="9">
        <f>'Jobs-Ops'!Y166</f>
        <v/>
      </c>
      <c r="O166" s="9">
        <f>'Jobs-GAAP'!Y166</f>
        <v/>
      </c>
      <c r="P166" s="9">
        <f>N166-O166</f>
        <v/>
      </c>
      <c r="Q166" s="186" t="n"/>
      <c r="R166" s="11">
        <f>'Jobs-Ops'!AL166</f>
        <v/>
      </c>
      <c r="S166" s="11">
        <f>'Jobs-GAAP'!AH166</f>
        <v/>
      </c>
      <c r="T166" s="11">
        <f>IFERROR(R166-S166,0)</f>
        <v/>
      </c>
      <c r="U166" s="8">
        <f>'Jobs-Ops'!AM166</f>
        <v/>
      </c>
      <c r="V166" s="8">
        <f>'Jobs-GAAP'!AI166</f>
        <v/>
      </c>
      <c r="W166" s="8">
        <f>IFERROR(U166-V166,0)</f>
        <v/>
      </c>
      <c r="X166" s="9">
        <f>'Jobs-Ops'!AN166</f>
        <v/>
      </c>
      <c r="Y166" s="9">
        <f>'Jobs-GAAP'!AJ166</f>
        <v/>
      </c>
      <c r="Z166" s="9">
        <f>IFERROR(X166-Y166,0)</f>
        <v/>
      </c>
      <c r="AA166" s="153">
        <f>'Jobs-Ops'!AO166</f>
        <v/>
      </c>
      <c r="AB166" s="187" t="n"/>
      <c r="AC166" s="186" t="n"/>
      <c r="AD166" s="186" t="n"/>
      <c r="AE166" s="188" t="n"/>
      <c r="AF166" s="187" t="n"/>
      <c r="AG166" s="187" t="n"/>
      <c r="AH166" s="186" t="n"/>
      <c r="AI166" s="186" t="n"/>
      <c r="AJ166" s="186" t="n"/>
      <c r="AK166" s="186" t="n"/>
      <c r="AL166" s="186" t="n"/>
      <c r="AM166" s="186" t="n"/>
      <c r="AN166" s="186" t="n"/>
      <c r="AO166" s="186" t="n"/>
      <c r="AP166" s="186" t="n"/>
      <c r="AQ166" s="186" t="n"/>
      <c r="AR166" s="186" t="n"/>
      <c r="AS166" s="186" t="n"/>
      <c r="AT166" s="186" t="n"/>
      <c r="AU166" s="186" t="n"/>
      <c r="AV166" s="186" t="n"/>
      <c r="AW166" s="186" t="n"/>
      <c r="AX166" s="186" t="n"/>
      <c r="AY166" s="186" t="n"/>
      <c r="AZ166" s="186" t="n"/>
      <c r="BA166" s="186" t="n"/>
      <c r="BB166" s="186" t="n"/>
      <c r="BC166" s="186" t="n"/>
      <c r="BD166" s="190" t="n"/>
      <c r="BE166" s="186" t="n"/>
      <c r="BF166" s="186" t="n"/>
      <c r="BG166" s="186" t="n"/>
      <c r="BH166" s="186" t="n"/>
      <c r="BI166" s="186" t="n"/>
      <c r="BJ166" s="187" t="n"/>
      <c r="BK166" s="192" t="n"/>
      <c r="BL166" s="192" t="n"/>
      <c r="BM166" s="192" t="n"/>
      <c r="BN166" s="192" t="n"/>
    </row>
    <row r="167">
      <c r="A167" s="289">
        <f> 'Jobs-Ops'!A167</f>
        <v/>
      </c>
      <c r="B167" s="290">
        <f>'Jobs-Ops'!B167</f>
        <v/>
      </c>
      <c r="C167" s="290">
        <f>'Jobs-Ops'!C167</f>
        <v/>
      </c>
      <c r="D167" s="179" t="n"/>
      <c r="E167" s="181">
        <f>'Jobs-Ops'!I167</f>
        <v/>
      </c>
      <c r="F167" s="205">
        <f>'Jobs-Ops'!U167</f>
        <v/>
      </c>
      <c r="G167" s="181">
        <f>'Jobs-GAAP'!J167</f>
        <v/>
      </c>
      <c r="H167" s="205">
        <f>'Jobs-GAAP'!V167</f>
        <v/>
      </c>
      <c r="I167" s="181">
        <f>E167-G167</f>
        <v/>
      </c>
      <c r="J167" s="9">
        <f>'Jobs-Ops'!P167</f>
        <v/>
      </c>
      <c r="K167" s="9">
        <f>'Jobs-GAAP'!Q167</f>
        <v/>
      </c>
      <c r="L167" s="9">
        <f>J167-K167</f>
        <v/>
      </c>
      <c r="M167" s="186" t="n"/>
      <c r="N167" s="9">
        <f>'Jobs-Ops'!Y167</f>
        <v/>
      </c>
      <c r="O167" s="9">
        <f>'Jobs-GAAP'!Y167</f>
        <v/>
      </c>
      <c r="P167" s="9">
        <f>N167-O167</f>
        <v/>
      </c>
      <c r="Q167" s="186" t="n"/>
      <c r="R167" s="11">
        <f>'Jobs-Ops'!AL167</f>
        <v/>
      </c>
      <c r="S167" s="11">
        <f>'Jobs-GAAP'!AH167</f>
        <v/>
      </c>
      <c r="T167" s="11">
        <f>IFERROR(R167-S167,0)</f>
        <v/>
      </c>
      <c r="U167" s="8">
        <f>'Jobs-Ops'!AM167</f>
        <v/>
      </c>
      <c r="V167" s="8">
        <f>'Jobs-GAAP'!AI167</f>
        <v/>
      </c>
      <c r="W167" s="8">
        <f>IFERROR(U167-V167,0)</f>
        <v/>
      </c>
      <c r="X167" s="9">
        <f>'Jobs-Ops'!AN167</f>
        <v/>
      </c>
      <c r="Y167" s="9">
        <f>'Jobs-GAAP'!AJ167</f>
        <v/>
      </c>
      <c r="Z167" s="9">
        <f>IFERROR(X167-Y167,0)</f>
        <v/>
      </c>
      <c r="AA167" s="153">
        <f>'Jobs-Ops'!AO167</f>
        <v/>
      </c>
      <c r="AB167" s="187" t="n"/>
      <c r="AC167" s="186" t="n"/>
      <c r="AD167" s="186" t="n"/>
      <c r="AE167" s="188" t="n"/>
      <c r="AF167" s="187" t="n"/>
      <c r="AG167" s="187" t="n"/>
      <c r="AH167" s="186" t="n"/>
      <c r="AI167" s="186" t="n"/>
      <c r="AJ167" s="186" t="n"/>
      <c r="AK167" s="186" t="n"/>
      <c r="AL167" s="186" t="n"/>
      <c r="AM167" s="186" t="n"/>
      <c r="AN167" s="186" t="n"/>
      <c r="AO167" s="186" t="n"/>
      <c r="AP167" s="186" t="n"/>
      <c r="AQ167" s="186" t="n"/>
      <c r="AR167" s="186" t="n"/>
      <c r="AS167" s="186" t="n"/>
      <c r="AT167" s="186" t="n"/>
      <c r="AU167" s="186" t="n"/>
      <c r="AV167" s="186" t="n"/>
      <c r="AW167" s="186" t="n"/>
      <c r="AX167" s="186" t="n"/>
      <c r="AY167" s="186" t="n"/>
      <c r="AZ167" s="186" t="n"/>
      <c r="BA167" s="186" t="n"/>
      <c r="BB167" s="186" t="n"/>
      <c r="BC167" s="186" t="n"/>
      <c r="BD167" s="190" t="n"/>
      <c r="BE167" s="186" t="n"/>
      <c r="BF167" s="186" t="n"/>
      <c r="BG167" s="186" t="n"/>
      <c r="BH167" s="186" t="n"/>
      <c r="BI167" s="186" t="n"/>
      <c r="BJ167" s="187" t="n"/>
      <c r="BK167" s="192" t="n"/>
      <c r="BL167" s="192" t="n"/>
      <c r="BM167" s="192" t="n"/>
      <c r="BN167" s="192" t="n"/>
    </row>
    <row r="168">
      <c r="A168" s="289">
        <f> 'Jobs-Ops'!A168</f>
        <v/>
      </c>
      <c r="B168" s="290">
        <f>'Jobs-Ops'!B168</f>
        <v/>
      </c>
      <c r="C168" s="290">
        <f>'Jobs-Ops'!C168</f>
        <v/>
      </c>
      <c r="D168" s="179" t="n"/>
      <c r="E168" s="181">
        <f>'Jobs-Ops'!I168</f>
        <v/>
      </c>
      <c r="F168" s="205">
        <f>'Jobs-Ops'!U168</f>
        <v/>
      </c>
      <c r="G168" s="181">
        <f>'Jobs-GAAP'!J168</f>
        <v/>
      </c>
      <c r="H168" s="205">
        <f>'Jobs-GAAP'!V168</f>
        <v/>
      </c>
      <c r="I168" s="181">
        <f>E168-G168</f>
        <v/>
      </c>
      <c r="J168" s="9">
        <f>'Jobs-Ops'!P168</f>
        <v/>
      </c>
      <c r="K168" s="9">
        <f>'Jobs-GAAP'!Q168</f>
        <v/>
      </c>
      <c r="L168" s="9">
        <f>J168-K168</f>
        <v/>
      </c>
      <c r="M168" s="186" t="n"/>
      <c r="N168" s="9">
        <f>'Jobs-Ops'!Y168</f>
        <v/>
      </c>
      <c r="O168" s="9">
        <f>'Jobs-GAAP'!Y168</f>
        <v/>
      </c>
      <c r="P168" s="9">
        <f>N168-O168</f>
        <v/>
      </c>
      <c r="Q168" s="186" t="n"/>
      <c r="R168" s="11">
        <f>'Jobs-Ops'!AL168</f>
        <v/>
      </c>
      <c r="S168" s="11">
        <f>'Jobs-GAAP'!AH168</f>
        <v/>
      </c>
      <c r="T168" s="11">
        <f>IFERROR(R168-S168,0)</f>
        <v/>
      </c>
      <c r="U168" s="8">
        <f>'Jobs-Ops'!AM168</f>
        <v/>
      </c>
      <c r="V168" s="8">
        <f>'Jobs-GAAP'!AI168</f>
        <v/>
      </c>
      <c r="W168" s="8">
        <f>IFERROR(U168-V168,0)</f>
        <v/>
      </c>
      <c r="X168" s="9">
        <f>'Jobs-Ops'!AN168</f>
        <v/>
      </c>
      <c r="Y168" s="9">
        <f>'Jobs-GAAP'!AJ168</f>
        <v/>
      </c>
      <c r="Z168" s="9">
        <f>IFERROR(X168-Y168,0)</f>
        <v/>
      </c>
      <c r="AA168" s="153">
        <f>'Jobs-Ops'!AO168</f>
        <v/>
      </c>
      <c r="AB168" s="187" t="n"/>
      <c r="AC168" s="186" t="n"/>
      <c r="AD168" s="186" t="n"/>
      <c r="AE168" s="188" t="n"/>
      <c r="AF168" s="187" t="n"/>
      <c r="AG168" s="187" t="n"/>
      <c r="AH168" s="186" t="n"/>
      <c r="AI168" s="186" t="n"/>
      <c r="AJ168" s="186" t="n"/>
      <c r="AK168" s="186" t="n"/>
      <c r="AL168" s="186" t="n"/>
      <c r="AM168" s="186" t="n"/>
      <c r="AN168" s="186" t="n"/>
      <c r="AO168" s="186" t="n"/>
      <c r="AP168" s="186" t="n"/>
      <c r="AQ168" s="186" t="n"/>
      <c r="AR168" s="186" t="n"/>
      <c r="AS168" s="186" t="n"/>
      <c r="AT168" s="186" t="n"/>
      <c r="AU168" s="186" t="n"/>
      <c r="AV168" s="186" t="n"/>
      <c r="AW168" s="186" t="n"/>
      <c r="AX168" s="186" t="n"/>
      <c r="AY168" s="186" t="n"/>
      <c r="AZ168" s="186" t="n"/>
      <c r="BA168" s="186" t="n"/>
      <c r="BB168" s="186" t="n"/>
      <c r="BC168" s="186" t="n"/>
      <c r="BD168" s="190" t="n"/>
      <c r="BE168" s="186" t="n"/>
      <c r="BF168" s="186" t="n"/>
      <c r="BG168" s="186" t="n"/>
      <c r="BH168" s="186" t="n"/>
      <c r="BI168" s="186" t="n"/>
      <c r="BJ168" s="187" t="n"/>
      <c r="BK168" s="192" t="n"/>
      <c r="BL168" s="192" t="n"/>
      <c r="BM168" s="192" t="n"/>
      <c r="BN168" s="192" t="n"/>
    </row>
    <row r="169">
      <c r="A169" s="289">
        <f> 'Jobs-Ops'!A169</f>
        <v/>
      </c>
      <c r="B169" s="290">
        <f>'Jobs-Ops'!B169</f>
        <v/>
      </c>
      <c r="C169" s="290">
        <f>'Jobs-Ops'!C169</f>
        <v/>
      </c>
      <c r="D169" s="179" t="n"/>
      <c r="E169" s="181">
        <f>'Jobs-Ops'!I169</f>
        <v/>
      </c>
      <c r="F169" s="205">
        <f>'Jobs-Ops'!U169</f>
        <v/>
      </c>
      <c r="G169" s="181">
        <f>'Jobs-GAAP'!J169</f>
        <v/>
      </c>
      <c r="H169" s="205">
        <f>'Jobs-GAAP'!V169</f>
        <v/>
      </c>
      <c r="I169" s="181">
        <f>E169-G169</f>
        <v/>
      </c>
      <c r="J169" s="9">
        <f>'Jobs-Ops'!P169</f>
        <v/>
      </c>
      <c r="K169" s="9">
        <f>'Jobs-GAAP'!Q169</f>
        <v/>
      </c>
      <c r="L169" s="9">
        <f>J169-K169</f>
        <v/>
      </c>
      <c r="M169" s="186" t="n"/>
      <c r="N169" s="9">
        <f>'Jobs-Ops'!Y169</f>
        <v/>
      </c>
      <c r="O169" s="9">
        <f>'Jobs-GAAP'!Y169</f>
        <v/>
      </c>
      <c r="P169" s="9">
        <f>N169-O169</f>
        <v/>
      </c>
      <c r="Q169" s="186" t="n"/>
      <c r="R169" s="11">
        <f>'Jobs-Ops'!AL169</f>
        <v/>
      </c>
      <c r="S169" s="11">
        <f>'Jobs-GAAP'!AH169</f>
        <v/>
      </c>
      <c r="T169" s="11">
        <f>IFERROR(R169-S169,0)</f>
        <v/>
      </c>
      <c r="U169" s="8">
        <f>'Jobs-Ops'!AM169</f>
        <v/>
      </c>
      <c r="V169" s="8">
        <f>'Jobs-GAAP'!AI169</f>
        <v/>
      </c>
      <c r="W169" s="8">
        <f>IFERROR(U169-V169,0)</f>
        <v/>
      </c>
      <c r="X169" s="9">
        <f>'Jobs-Ops'!AN169</f>
        <v/>
      </c>
      <c r="Y169" s="9">
        <f>'Jobs-GAAP'!AJ169</f>
        <v/>
      </c>
      <c r="Z169" s="9">
        <f>IFERROR(X169-Y169,0)</f>
        <v/>
      </c>
      <c r="AA169" s="153">
        <f>'Jobs-Ops'!AO169</f>
        <v/>
      </c>
      <c r="AB169" s="187" t="n"/>
      <c r="AC169" s="186" t="n"/>
      <c r="AD169" s="186" t="n"/>
      <c r="AE169" s="188" t="n"/>
      <c r="AF169" s="187" t="n"/>
      <c r="AG169" s="187" t="n"/>
      <c r="AH169" s="186" t="n"/>
      <c r="AI169" s="186" t="n"/>
      <c r="AJ169" s="186" t="n"/>
      <c r="AK169" s="186" t="n"/>
      <c r="AL169" s="186" t="n"/>
      <c r="AM169" s="186" t="n"/>
      <c r="AN169" s="186" t="n"/>
      <c r="AO169" s="186" t="n"/>
      <c r="AP169" s="186" t="n"/>
      <c r="AQ169" s="186" t="n"/>
      <c r="AR169" s="186" t="n"/>
      <c r="AS169" s="186" t="n"/>
      <c r="AT169" s="186" t="n"/>
      <c r="AU169" s="186" t="n"/>
      <c r="AV169" s="186" t="n"/>
      <c r="AW169" s="186" t="n"/>
      <c r="AX169" s="186" t="n"/>
      <c r="AY169" s="186" t="n"/>
      <c r="AZ169" s="186" t="n"/>
      <c r="BA169" s="186" t="n"/>
      <c r="BB169" s="186" t="n"/>
      <c r="BC169" s="186" t="n"/>
      <c r="BD169" s="190" t="n"/>
      <c r="BE169" s="186" t="n"/>
      <c r="BF169" s="186" t="n"/>
      <c r="BG169" s="186" t="n"/>
      <c r="BH169" s="186" t="n"/>
      <c r="BI169" s="186" t="n"/>
      <c r="BJ169" s="187" t="n"/>
      <c r="BK169" s="192" t="n"/>
      <c r="BL169" s="192" t="n"/>
      <c r="BM169" s="192" t="n"/>
      <c r="BN169" s="192" t="n"/>
    </row>
    <row r="170">
      <c r="A170" s="289">
        <f> 'Jobs-Ops'!A170</f>
        <v/>
      </c>
      <c r="B170" s="290">
        <f>'Jobs-Ops'!B170</f>
        <v/>
      </c>
      <c r="C170" s="290">
        <f>'Jobs-Ops'!C170</f>
        <v/>
      </c>
      <c r="D170" s="179" t="n"/>
      <c r="E170" s="181">
        <f>'Jobs-Ops'!I170</f>
        <v/>
      </c>
      <c r="F170" s="205">
        <f>'Jobs-Ops'!U170</f>
        <v/>
      </c>
      <c r="G170" s="181">
        <f>'Jobs-GAAP'!J170</f>
        <v/>
      </c>
      <c r="H170" s="205">
        <f>'Jobs-GAAP'!V170</f>
        <v/>
      </c>
      <c r="I170" s="181">
        <f>E170-G170</f>
        <v/>
      </c>
      <c r="J170" s="9">
        <f>'Jobs-Ops'!P170</f>
        <v/>
      </c>
      <c r="K170" s="9">
        <f>'Jobs-GAAP'!Q170</f>
        <v/>
      </c>
      <c r="L170" s="9">
        <f>J170-K170</f>
        <v/>
      </c>
      <c r="M170" s="186" t="n"/>
      <c r="N170" s="9">
        <f>'Jobs-Ops'!Y170</f>
        <v/>
      </c>
      <c r="O170" s="9">
        <f>'Jobs-GAAP'!Y170</f>
        <v/>
      </c>
      <c r="P170" s="9">
        <f>N170-O170</f>
        <v/>
      </c>
      <c r="Q170" s="186" t="n"/>
      <c r="R170" s="11">
        <f>'Jobs-Ops'!AL170</f>
        <v/>
      </c>
      <c r="S170" s="11">
        <f>'Jobs-GAAP'!AH170</f>
        <v/>
      </c>
      <c r="T170" s="11">
        <f>IFERROR(R170-S170,0)</f>
        <v/>
      </c>
      <c r="U170" s="8">
        <f>'Jobs-Ops'!AM170</f>
        <v/>
      </c>
      <c r="V170" s="8">
        <f>'Jobs-GAAP'!AI170</f>
        <v/>
      </c>
      <c r="W170" s="8">
        <f>IFERROR(U170-V170,0)</f>
        <v/>
      </c>
      <c r="X170" s="9">
        <f>'Jobs-Ops'!AN170</f>
        <v/>
      </c>
      <c r="Y170" s="9">
        <f>'Jobs-GAAP'!AJ170</f>
        <v/>
      </c>
      <c r="Z170" s="9">
        <f>IFERROR(X170-Y170,0)</f>
        <v/>
      </c>
      <c r="AA170" s="153">
        <f>'Jobs-Ops'!AO170</f>
        <v/>
      </c>
      <c r="AB170" s="187" t="n"/>
      <c r="AC170" s="186" t="n"/>
      <c r="AD170" s="186" t="n"/>
      <c r="AE170" s="188" t="n"/>
      <c r="AF170" s="187" t="n"/>
      <c r="AG170" s="187" t="n"/>
      <c r="AH170" s="186" t="n"/>
      <c r="AI170" s="186" t="n"/>
      <c r="AJ170" s="186" t="n"/>
      <c r="AK170" s="186" t="n"/>
      <c r="AL170" s="186" t="n"/>
      <c r="AM170" s="186" t="n"/>
      <c r="AN170" s="186" t="n"/>
      <c r="AO170" s="186" t="n"/>
      <c r="AP170" s="186" t="n"/>
      <c r="AQ170" s="186" t="n"/>
      <c r="AR170" s="186" t="n"/>
      <c r="AS170" s="186" t="n"/>
      <c r="AT170" s="186" t="n"/>
      <c r="AU170" s="186" t="n"/>
      <c r="AV170" s="186" t="n"/>
      <c r="AW170" s="186" t="n"/>
      <c r="AX170" s="186" t="n"/>
      <c r="AY170" s="186" t="n"/>
      <c r="AZ170" s="186" t="n"/>
      <c r="BA170" s="186" t="n"/>
      <c r="BB170" s="186" t="n"/>
      <c r="BC170" s="186" t="n"/>
      <c r="BD170" s="190" t="n"/>
      <c r="BE170" s="186" t="n"/>
      <c r="BF170" s="186" t="n"/>
      <c r="BG170" s="186" t="n"/>
      <c r="BH170" s="186" t="n"/>
      <c r="BI170" s="186" t="n"/>
      <c r="BJ170" s="187" t="n"/>
      <c r="BK170" s="192" t="n"/>
      <c r="BL170" s="192" t="n"/>
      <c r="BM170" s="192" t="n"/>
      <c r="BN170" s="192" t="n"/>
    </row>
    <row r="171">
      <c r="A171" s="289">
        <f> 'Jobs-Ops'!A171</f>
        <v/>
      </c>
      <c r="B171" s="290">
        <f>'Jobs-Ops'!B171</f>
        <v/>
      </c>
      <c r="C171" s="290">
        <f>'Jobs-Ops'!C171</f>
        <v/>
      </c>
      <c r="D171" s="179" t="n"/>
      <c r="E171" s="181">
        <f>'Jobs-Ops'!I171</f>
        <v/>
      </c>
      <c r="F171" s="205">
        <f>'Jobs-Ops'!U171</f>
        <v/>
      </c>
      <c r="G171" s="181">
        <f>'Jobs-GAAP'!J171</f>
        <v/>
      </c>
      <c r="H171" s="205">
        <f>'Jobs-GAAP'!V171</f>
        <v/>
      </c>
      <c r="I171" s="181">
        <f>E171-G171</f>
        <v/>
      </c>
      <c r="J171" s="9">
        <f>'Jobs-Ops'!P171</f>
        <v/>
      </c>
      <c r="K171" s="9">
        <f>'Jobs-GAAP'!Q171</f>
        <v/>
      </c>
      <c r="L171" s="9">
        <f>J171-K171</f>
        <v/>
      </c>
      <c r="M171" s="186" t="n"/>
      <c r="N171" s="9">
        <f>'Jobs-Ops'!Y171</f>
        <v/>
      </c>
      <c r="O171" s="9">
        <f>'Jobs-GAAP'!Y171</f>
        <v/>
      </c>
      <c r="P171" s="9">
        <f>N171-O171</f>
        <v/>
      </c>
      <c r="Q171" s="186" t="n"/>
      <c r="R171" s="11">
        <f>'Jobs-Ops'!AL171</f>
        <v/>
      </c>
      <c r="S171" s="11">
        <f>'Jobs-GAAP'!AH171</f>
        <v/>
      </c>
      <c r="T171" s="11">
        <f>IFERROR(R171-S171,0)</f>
        <v/>
      </c>
      <c r="U171" s="8">
        <f>'Jobs-Ops'!AM171</f>
        <v/>
      </c>
      <c r="V171" s="8">
        <f>'Jobs-GAAP'!AI171</f>
        <v/>
      </c>
      <c r="W171" s="8">
        <f>IFERROR(U171-V171,0)</f>
        <v/>
      </c>
      <c r="X171" s="9">
        <f>'Jobs-Ops'!AN171</f>
        <v/>
      </c>
      <c r="Y171" s="9">
        <f>'Jobs-GAAP'!AJ171</f>
        <v/>
      </c>
      <c r="Z171" s="9">
        <f>IFERROR(X171-Y171,0)</f>
        <v/>
      </c>
      <c r="AA171" s="153">
        <f>'Jobs-Ops'!AO171</f>
        <v/>
      </c>
      <c r="AB171" s="187" t="n"/>
      <c r="AC171" s="186" t="n"/>
      <c r="AD171" s="186" t="n"/>
      <c r="AE171" s="188" t="n"/>
      <c r="AF171" s="187" t="n"/>
      <c r="AG171" s="187" t="n"/>
      <c r="AH171" s="186" t="n"/>
      <c r="AI171" s="186" t="n"/>
      <c r="AJ171" s="186" t="n"/>
      <c r="AK171" s="186" t="n"/>
      <c r="AL171" s="186" t="n"/>
      <c r="AM171" s="186" t="n"/>
      <c r="AN171" s="186" t="n"/>
      <c r="AO171" s="186" t="n"/>
      <c r="AP171" s="186" t="n"/>
      <c r="AQ171" s="186" t="n"/>
      <c r="AR171" s="186" t="n"/>
      <c r="AS171" s="186" t="n"/>
      <c r="AT171" s="186" t="n"/>
      <c r="AU171" s="186" t="n"/>
      <c r="AV171" s="186" t="n"/>
      <c r="AW171" s="186" t="n"/>
      <c r="AX171" s="186" t="n"/>
      <c r="AY171" s="186" t="n"/>
      <c r="AZ171" s="186" t="n"/>
      <c r="BA171" s="186" t="n"/>
      <c r="BB171" s="186" t="n"/>
      <c r="BC171" s="186" t="n"/>
      <c r="BD171" s="190" t="n"/>
      <c r="BE171" s="186" t="n"/>
      <c r="BF171" s="186" t="n"/>
      <c r="BG171" s="186" t="n"/>
      <c r="BH171" s="186" t="n"/>
      <c r="BI171" s="186" t="n"/>
      <c r="BJ171" s="187" t="n"/>
      <c r="BK171" s="192" t="n"/>
      <c r="BL171" s="192" t="n"/>
      <c r="BM171" s="192" t="n"/>
      <c r="BN171" s="192" t="n"/>
    </row>
    <row r="172">
      <c r="A172" s="289">
        <f> 'Jobs-Ops'!A172</f>
        <v/>
      </c>
      <c r="B172" s="290">
        <f>'Jobs-Ops'!B172</f>
        <v/>
      </c>
      <c r="C172" s="290">
        <f>'Jobs-Ops'!C172</f>
        <v/>
      </c>
      <c r="D172" s="179" t="n"/>
      <c r="E172" s="181">
        <f>'Jobs-Ops'!I172</f>
        <v/>
      </c>
      <c r="F172" s="205">
        <f>'Jobs-Ops'!U172</f>
        <v/>
      </c>
      <c r="G172" s="181">
        <f>'Jobs-GAAP'!J172</f>
        <v/>
      </c>
      <c r="H172" s="205">
        <f>'Jobs-GAAP'!V172</f>
        <v/>
      </c>
      <c r="I172" s="181">
        <f>E172-G172</f>
        <v/>
      </c>
      <c r="J172" s="9">
        <f>'Jobs-Ops'!P172</f>
        <v/>
      </c>
      <c r="K172" s="9">
        <f>'Jobs-GAAP'!Q172</f>
        <v/>
      </c>
      <c r="L172" s="9">
        <f>J172-K172</f>
        <v/>
      </c>
      <c r="M172" s="186" t="n"/>
      <c r="N172" s="9">
        <f>'Jobs-Ops'!Y172</f>
        <v/>
      </c>
      <c r="O172" s="9">
        <f>'Jobs-GAAP'!Y172</f>
        <v/>
      </c>
      <c r="P172" s="9">
        <f>N172-O172</f>
        <v/>
      </c>
      <c r="Q172" s="186" t="n"/>
      <c r="R172" s="11">
        <f>'Jobs-Ops'!AL172</f>
        <v/>
      </c>
      <c r="S172" s="11">
        <f>'Jobs-GAAP'!AH172</f>
        <v/>
      </c>
      <c r="T172" s="11">
        <f>IFERROR(R172-S172,0)</f>
        <v/>
      </c>
      <c r="U172" s="8">
        <f>'Jobs-Ops'!AM172</f>
        <v/>
      </c>
      <c r="V172" s="8">
        <f>'Jobs-GAAP'!AI172</f>
        <v/>
      </c>
      <c r="W172" s="8">
        <f>IFERROR(U172-V172,0)</f>
        <v/>
      </c>
      <c r="X172" s="9">
        <f>'Jobs-Ops'!AN172</f>
        <v/>
      </c>
      <c r="Y172" s="9">
        <f>'Jobs-GAAP'!AJ172</f>
        <v/>
      </c>
      <c r="Z172" s="9">
        <f>IFERROR(X172-Y172,0)</f>
        <v/>
      </c>
      <c r="AA172" s="153">
        <f>'Jobs-Ops'!AO172</f>
        <v/>
      </c>
      <c r="AB172" s="187" t="n"/>
      <c r="AC172" s="186" t="n"/>
      <c r="AD172" s="186" t="n"/>
      <c r="AE172" s="188" t="n"/>
      <c r="AF172" s="187" t="n"/>
      <c r="AG172" s="187" t="n"/>
      <c r="AH172" s="186" t="n"/>
      <c r="AI172" s="186" t="n"/>
      <c r="AJ172" s="186" t="n"/>
      <c r="AK172" s="186" t="n"/>
      <c r="AL172" s="186" t="n"/>
      <c r="AM172" s="186" t="n"/>
      <c r="AN172" s="186" t="n"/>
      <c r="AO172" s="186" t="n"/>
      <c r="AP172" s="186" t="n"/>
      <c r="AQ172" s="186" t="n"/>
      <c r="AR172" s="186" t="n"/>
      <c r="AS172" s="186" t="n"/>
      <c r="AT172" s="186" t="n"/>
      <c r="AU172" s="186" t="n"/>
      <c r="AV172" s="186" t="n"/>
      <c r="AW172" s="186" t="n"/>
      <c r="AX172" s="186" t="n"/>
      <c r="AY172" s="186" t="n"/>
      <c r="AZ172" s="186" t="n"/>
      <c r="BA172" s="186" t="n"/>
      <c r="BB172" s="186" t="n"/>
      <c r="BC172" s="186" t="n"/>
      <c r="BD172" s="190" t="n"/>
      <c r="BE172" s="186" t="n"/>
      <c r="BF172" s="186" t="n"/>
      <c r="BG172" s="186" t="n"/>
      <c r="BH172" s="186" t="n"/>
      <c r="BI172" s="186" t="n"/>
      <c r="BJ172" s="187" t="n"/>
      <c r="BK172" s="192" t="n"/>
      <c r="BL172" s="192" t="n"/>
      <c r="BM172" s="192" t="n"/>
      <c r="BN172" s="192" t="n"/>
    </row>
    <row r="173">
      <c r="A173" s="289">
        <f> 'Jobs-Ops'!A173</f>
        <v/>
      </c>
      <c r="B173" s="290">
        <f>'Jobs-Ops'!B173</f>
        <v/>
      </c>
      <c r="C173" s="290">
        <f>'Jobs-Ops'!C173</f>
        <v/>
      </c>
      <c r="D173" s="179" t="n"/>
      <c r="E173" s="181">
        <f>'Jobs-Ops'!I173</f>
        <v/>
      </c>
      <c r="F173" s="205">
        <f>'Jobs-Ops'!U173</f>
        <v/>
      </c>
      <c r="G173" s="181">
        <f>'Jobs-GAAP'!J173</f>
        <v/>
      </c>
      <c r="H173" s="205">
        <f>'Jobs-GAAP'!V173</f>
        <v/>
      </c>
      <c r="I173" s="181">
        <f>E173-G173</f>
        <v/>
      </c>
      <c r="J173" s="9">
        <f>'Jobs-Ops'!P173</f>
        <v/>
      </c>
      <c r="K173" s="9">
        <f>'Jobs-GAAP'!Q173</f>
        <v/>
      </c>
      <c r="L173" s="9">
        <f>J173-K173</f>
        <v/>
      </c>
      <c r="M173" s="186" t="n"/>
      <c r="N173" s="9">
        <f>'Jobs-Ops'!Y173</f>
        <v/>
      </c>
      <c r="O173" s="9">
        <f>'Jobs-GAAP'!Y173</f>
        <v/>
      </c>
      <c r="P173" s="9">
        <f>N173-O173</f>
        <v/>
      </c>
      <c r="Q173" s="186" t="n"/>
      <c r="R173" s="11">
        <f>'Jobs-Ops'!AL173</f>
        <v/>
      </c>
      <c r="S173" s="11">
        <f>'Jobs-GAAP'!AH173</f>
        <v/>
      </c>
      <c r="T173" s="11">
        <f>IFERROR(R173-S173,0)</f>
        <v/>
      </c>
      <c r="U173" s="8">
        <f>'Jobs-Ops'!AM173</f>
        <v/>
      </c>
      <c r="V173" s="8">
        <f>'Jobs-GAAP'!AI173</f>
        <v/>
      </c>
      <c r="W173" s="8">
        <f>IFERROR(U173-V173,0)</f>
        <v/>
      </c>
      <c r="X173" s="9">
        <f>'Jobs-Ops'!AN173</f>
        <v/>
      </c>
      <c r="Y173" s="9">
        <f>'Jobs-GAAP'!AJ173</f>
        <v/>
      </c>
      <c r="Z173" s="9">
        <f>IFERROR(X173-Y173,0)</f>
        <v/>
      </c>
      <c r="AA173" s="153">
        <f>'Jobs-Ops'!AO173</f>
        <v/>
      </c>
      <c r="AB173" s="187" t="n"/>
      <c r="AC173" s="186" t="n"/>
      <c r="AD173" s="186" t="n"/>
      <c r="AE173" s="188" t="n"/>
      <c r="AF173" s="187" t="n"/>
      <c r="AG173" s="187" t="n"/>
      <c r="AH173" s="186" t="n"/>
      <c r="AI173" s="186" t="n"/>
      <c r="AJ173" s="186" t="n"/>
      <c r="AK173" s="186" t="n"/>
      <c r="AL173" s="186" t="n"/>
      <c r="AM173" s="186" t="n"/>
      <c r="AN173" s="186" t="n"/>
      <c r="AO173" s="186" t="n"/>
      <c r="AP173" s="186" t="n"/>
      <c r="AQ173" s="186" t="n"/>
      <c r="AR173" s="186" t="n"/>
      <c r="AS173" s="186" t="n"/>
      <c r="AT173" s="186" t="n"/>
      <c r="AU173" s="186" t="n"/>
      <c r="AV173" s="186" t="n"/>
      <c r="AW173" s="186" t="n"/>
      <c r="AX173" s="186" t="n"/>
      <c r="AY173" s="186" t="n"/>
      <c r="AZ173" s="186" t="n"/>
      <c r="BA173" s="186" t="n"/>
      <c r="BB173" s="186" t="n"/>
      <c r="BC173" s="186" t="n"/>
      <c r="BD173" s="190" t="n"/>
      <c r="BE173" s="186" t="n"/>
      <c r="BF173" s="186" t="n"/>
      <c r="BG173" s="186" t="n"/>
      <c r="BH173" s="186" t="n"/>
      <c r="BI173" s="186" t="n"/>
      <c r="BJ173" s="187" t="n"/>
      <c r="BK173" s="192" t="n"/>
      <c r="BL173" s="192" t="n"/>
      <c r="BM173" s="192" t="n"/>
      <c r="BN173" s="192" t="n"/>
    </row>
    <row r="174">
      <c r="A174" s="289">
        <f> 'Jobs-Ops'!A174</f>
        <v/>
      </c>
      <c r="B174" s="290">
        <f>'Jobs-Ops'!B174</f>
        <v/>
      </c>
      <c r="C174" s="290">
        <f>'Jobs-Ops'!C174</f>
        <v/>
      </c>
      <c r="D174" s="179" t="n"/>
      <c r="E174" s="181">
        <f>'Jobs-Ops'!I174</f>
        <v/>
      </c>
      <c r="F174" s="205">
        <f>'Jobs-Ops'!U174</f>
        <v/>
      </c>
      <c r="G174" s="181">
        <f>'Jobs-GAAP'!J174</f>
        <v/>
      </c>
      <c r="H174" s="205">
        <f>'Jobs-GAAP'!V174</f>
        <v/>
      </c>
      <c r="I174" s="181">
        <f>E174-G174</f>
        <v/>
      </c>
      <c r="J174" s="9">
        <f>'Jobs-Ops'!P174</f>
        <v/>
      </c>
      <c r="K174" s="9">
        <f>'Jobs-GAAP'!Q174</f>
        <v/>
      </c>
      <c r="L174" s="9">
        <f>J174-K174</f>
        <v/>
      </c>
      <c r="M174" s="186" t="n"/>
      <c r="N174" s="9">
        <f>'Jobs-Ops'!Y174</f>
        <v/>
      </c>
      <c r="O174" s="9">
        <f>'Jobs-GAAP'!Y174</f>
        <v/>
      </c>
      <c r="P174" s="9">
        <f>N174-O174</f>
        <v/>
      </c>
      <c r="Q174" s="186" t="n"/>
      <c r="R174" s="11">
        <f>'Jobs-Ops'!AL174</f>
        <v/>
      </c>
      <c r="S174" s="11">
        <f>'Jobs-GAAP'!AH174</f>
        <v/>
      </c>
      <c r="T174" s="11">
        <f>IFERROR(R174-S174,0)</f>
        <v/>
      </c>
      <c r="U174" s="8">
        <f>'Jobs-Ops'!AM174</f>
        <v/>
      </c>
      <c r="V174" s="8">
        <f>'Jobs-GAAP'!AI174</f>
        <v/>
      </c>
      <c r="W174" s="8">
        <f>IFERROR(U174-V174,0)</f>
        <v/>
      </c>
      <c r="X174" s="9">
        <f>'Jobs-Ops'!AN174</f>
        <v/>
      </c>
      <c r="Y174" s="9">
        <f>'Jobs-GAAP'!AJ174</f>
        <v/>
      </c>
      <c r="Z174" s="9">
        <f>IFERROR(X174-Y174,0)</f>
        <v/>
      </c>
      <c r="AA174" s="153">
        <f>'Jobs-Ops'!AO174</f>
        <v/>
      </c>
      <c r="AB174" s="187" t="n"/>
      <c r="AC174" s="186" t="n"/>
      <c r="AD174" s="186" t="n"/>
      <c r="AE174" s="188" t="n"/>
      <c r="AF174" s="187" t="n"/>
      <c r="AG174" s="187" t="n"/>
      <c r="AH174" s="186" t="n"/>
      <c r="AI174" s="186" t="n"/>
      <c r="AJ174" s="186" t="n"/>
      <c r="AK174" s="186" t="n"/>
      <c r="AL174" s="186" t="n"/>
      <c r="AM174" s="186" t="n"/>
      <c r="AN174" s="186" t="n"/>
      <c r="AO174" s="186" t="n"/>
      <c r="AP174" s="186" t="n"/>
      <c r="AQ174" s="186" t="n"/>
      <c r="AR174" s="186" t="n"/>
      <c r="AS174" s="186" t="n"/>
      <c r="AT174" s="186" t="n"/>
      <c r="AU174" s="186" t="n"/>
      <c r="AV174" s="186" t="n"/>
      <c r="AW174" s="186" t="n"/>
      <c r="AX174" s="186" t="n"/>
      <c r="AY174" s="186" t="n"/>
      <c r="AZ174" s="186" t="n"/>
      <c r="BA174" s="186" t="n"/>
      <c r="BB174" s="186" t="n"/>
      <c r="BC174" s="186" t="n"/>
      <c r="BD174" s="190" t="n"/>
      <c r="BE174" s="186" t="n"/>
      <c r="BF174" s="186" t="n"/>
      <c r="BG174" s="186" t="n"/>
      <c r="BH174" s="186" t="n"/>
      <c r="BI174" s="186" t="n"/>
      <c r="BJ174" s="187" t="n"/>
      <c r="BK174" s="192" t="n"/>
      <c r="BL174" s="192" t="n"/>
      <c r="BM174" s="192" t="n"/>
      <c r="BN174" s="192" t="n"/>
    </row>
    <row r="175">
      <c r="A175" s="289">
        <f> 'Jobs-Ops'!A175</f>
        <v/>
      </c>
      <c r="B175" s="290">
        <f>'Jobs-Ops'!B175</f>
        <v/>
      </c>
      <c r="C175" s="290">
        <f>'Jobs-Ops'!C175</f>
        <v/>
      </c>
      <c r="D175" s="179" t="n"/>
      <c r="E175" s="181">
        <f>'Jobs-Ops'!I175</f>
        <v/>
      </c>
      <c r="F175" s="205">
        <f>'Jobs-Ops'!U175</f>
        <v/>
      </c>
      <c r="G175" s="181">
        <f>'Jobs-GAAP'!J175</f>
        <v/>
      </c>
      <c r="H175" s="205">
        <f>'Jobs-GAAP'!V175</f>
        <v/>
      </c>
      <c r="I175" s="181">
        <f>E175-G175</f>
        <v/>
      </c>
      <c r="J175" s="9">
        <f>'Jobs-Ops'!P175</f>
        <v/>
      </c>
      <c r="K175" s="9">
        <f>'Jobs-GAAP'!Q175</f>
        <v/>
      </c>
      <c r="L175" s="9">
        <f>J175-K175</f>
        <v/>
      </c>
      <c r="M175" s="186" t="n"/>
      <c r="N175" s="9">
        <f>'Jobs-Ops'!Y175</f>
        <v/>
      </c>
      <c r="O175" s="9">
        <f>'Jobs-GAAP'!Y175</f>
        <v/>
      </c>
      <c r="P175" s="9">
        <f>N175-O175</f>
        <v/>
      </c>
      <c r="Q175" s="186" t="n"/>
      <c r="R175" s="11">
        <f>'Jobs-Ops'!AL175</f>
        <v/>
      </c>
      <c r="S175" s="11">
        <f>'Jobs-GAAP'!AH175</f>
        <v/>
      </c>
      <c r="T175" s="11">
        <f>IFERROR(R175-S175,0)</f>
        <v/>
      </c>
      <c r="U175" s="8">
        <f>'Jobs-Ops'!AM175</f>
        <v/>
      </c>
      <c r="V175" s="8">
        <f>'Jobs-GAAP'!AI175</f>
        <v/>
      </c>
      <c r="W175" s="8">
        <f>IFERROR(U175-V175,0)</f>
        <v/>
      </c>
      <c r="X175" s="9">
        <f>'Jobs-Ops'!AN175</f>
        <v/>
      </c>
      <c r="Y175" s="9">
        <f>'Jobs-GAAP'!AJ175</f>
        <v/>
      </c>
      <c r="Z175" s="9">
        <f>IFERROR(X175-Y175,0)</f>
        <v/>
      </c>
      <c r="AA175" s="153">
        <f>'Jobs-Ops'!AO175</f>
        <v/>
      </c>
      <c r="AB175" s="187" t="n"/>
      <c r="AC175" s="186" t="n"/>
      <c r="AD175" s="186" t="n"/>
      <c r="AE175" s="188" t="n"/>
      <c r="AF175" s="187" t="n"/>
      <c r="AG175" s="187" t="n"/>
      <c r="AH175" s="186" t="n"/>
      <c r="AI175" s="186" t="n"/>
      <c r="AJ175" s="186" t="n"/>
      <c r="AK175" s="186" t="n"/>
      <c r="AL175" s="186" t="n"/>
      <c r="AM175" s="186" t="n"/>
      <c r="AN175" s="186" t="n"/>
      <c r="AO175" s="186" t="n"/>
      <c r="AP175" s="186" t="n"/>
      <c r="AQ175" s="186" t="n"/>
      <c r="AR175" s="186" t="n"/>
      <c r="AS175" s="186" t="n"/>
      <c r="AT175" s="186" t="n"/>
      <c r="AU175" s="186" t="n"/>
      <c r="AV175" s="186" t="n"/>
      <c r="AW175" s="186" t="n"/>
      <c r="AX175" s="186" t="n"/>
      <c r="AY175" s="186" t="n"/>
      <c r="AZ175" s="186" t="n"/>
      <c r="BA175" s="186" t="n"/>
      <c r="BB175" s="186" t="n"/>
      <c r="BC175" s="186" t="n"/>
      <c r="BD175" s="190" t="n"/>
      <c r="BE175" s="186" t="n"/>
      <c r="BF175" s="186" t="n"/>
      <c r="BG175" s="186" t="n"/>
      <c r="BH175" s="186" t="n"/>
      <c r="BI175" s="186" t="n"/>
      <c r="BJ175" s="187" t="n"/>
      <c r="BK175" s="192" t="n"/>
      <c r="BL175" s="192" t="n"/>
      <c r="BM175" s="192" t="n"/>
      <c r="BN175" s="192" t="n"/>
    </row>
    <row r="176">
      <c r="A176" s="289">
        <f> 'Jobs-Ops'!A176</f>
        <v/>
      </c>
      <c r="B176" s="290">
        <f>'Jobs-Ops'!B176</f>
        <v/>
      </c>
      <c r="C176" s="290">
        <f>'Jobs-Ops'!C176</f>
        <v/>
      </c>
      <c r="D176" s="179" t="n"/>
      <c r="E176" s="181">
        <f>'Jobs-Ops'!I176</f>
        <v/>
      </c>
      <c r="F176" s="205">
        <f>'Jobs-Ops'!U176</f>
        <v/>
      </c>
      <c r="G176" s="181">
        <f>'Jobs-GAAP'!J176</f>
        <v/>
      </c>
      <c r="H176" s="205">
        <f>'Jobs-GAAP'!V176</f>
        <v/>
      </c>
      <c r="I176" s="181">
        <f>E176-G176</f>
        <v/>
      </c>
      <c r="J176" s="9">
        <f>'Jobs-Ops'!P176</f>
        <v/>
      </c>
      <c r="K176" s="9">
        <f>'Jobs-GAAP'!Q176</f>
        <v/>
      </c>
      <c r="L176" s="9">
        <f>J176-K176</f>
        <v/>
      </c>
      <c r="M176" s="186" t="n"/>
      <c r="N176" s="9">
        <f>'Jobs-Ops'!Y176</f>
        <v/>
      </c>
      <c r="O176" s="9">
        <f>'Jobs-GAAP'!Y176</f>
        <v/>
      </c>
      <c r="P176" s="9">
        <f>N176-O176</f>
        <v/>
      </c>
      <c r="Q176" s="186" t="n"/>
      <c r="R176" s="11">
        <f>'Jobs-Ops'!AL176</f>
        <v/>
      </c>
      <c r="S176" s="11">
        <f>'Jobs-GAAP'!AH176</f>
        <v/>
      </c>
      <c r="T176" s="11">
        <f>IFERROR(R176-S176,0)</f>
        <v/>
      </c>
      <c r="U176" s="8">
        <f>'Jobs-Ops'!AM176</f>
        <v/>
      </c>
      <c r="V176" s="8">
        <f>'Jobs-GAAP'!AI176</f>
        <v/>
      </c>
      <c r="W176" s="8">
        <f>IFERROR(U176-V176,0)</f>
        <v/>
      </c>
      <c r="X176" s="9">
        <f>'Jobs-Ops'!AN176</f>
        <v/>
      </c>
      <c r="Y176" s="9">
        <f>'Jobs-GAAP'!AJ176</f>
        <v/>
      </c>
      <c r="Z176" s="9">
        <f>IFERROR(X176-Y176,0)</f>
        <v/>
      </c>
      <c r="AA176" s="153">
        <f>'Jobs-Ops'!AO176</f>
        <v/>
      </c>
      <c r="AB176" s="187" t="n"/>
      <c r="AC176" s="186" t="n"/>
      <c r="AD176" s="186" t="n"/>
      <c r="AE176" s="188" t="n"/>
      <c r="AF176" s="187" t="n"/>
      <c r="AG176" s="187" t="n"/>
      <c r="AH176" s="186" t="n"/>
      <c r="AI176" s="186" t="n"/>
      <c r="AJ176" s="186" t="n"/>
      <c r="AK176" s="186" t="n"/>
      <c r="AL176" s="186" t="n"/>
      <c r="AM176" s="186" t="n"/>
      <c r="AN176" s="186" t="n"/>
      <c r="AO176" s="186" t="n"/>
      <c r="AP176" s="186" t="n"/>
      <c r="AQ176" s="186" t="n"/>
      <c r="AR176" s="186" t="n"/>
      <c r="AS176" s="186" t="n"/>
      <c r="AT176" s="186" t="n"/>
      <c r="AU176" s="186" t="n"/>
      <c r="AV176" s="186" t="n"/>
      <c r="AW176" s="186" t="n"/>
      <c r="AX176" s="186" t="n"/>
      <c r="AY176" s="186" t="n"/>
      <c r="AZ176" s="186" t="n"/>
      <c r="BA176" s="186" t="n"/>
      <c r="BB176" s="186" t="n"/>
      <c r="BC176" s="186" t="n"/>
      <c r="BD176" s="190" t="n"/>
      <c r="BE176" s="186" t="n"/>
      <c r="BF176" s="186" t="n"/>
      <c r="BG176" s="186" t="n"/>
      <c r="BH176" s="186" t="n"/>
      <c r="BI176" s="186" t="n"/>
      <c r="BJ176" s="187" t="n"/>
      <c r="BK176" s="192" t="n"/>
      <c r="BL176" s="192" t="n"/>
      <c r="BM176" s="192" t="n"/>
      <c r="BN176" s="192" t="n"/>
    </row>
    <row r="177">
      <c r="A177" s="289">
        <f> 'Jobs-Ops'!A177</f>
        <v/>
      </c>
      <c r="B177" s="290">
        <f>'Jobs-Ops'!B177</f>
        <v/>
      </c>
      <c r="C177" s="290">
        <f>'Jobs-Ops'!C177</f>
        <v/>
      </c>
      <c r="D177" s="179" t="n"/>
      <c r="E177" s="181">
        <f>'Jobs-Ops'!I177</f>
        <v/>
      </c>
      <c r="F177" s="205">
        <f>'Jobs-Ops'!U177</f>
        <v/>
      </c>
      <c r="G177" s="181">
        <f>'Jobs-GAAP'!J177</f>
        <v/>
      </c>
      <c r="H177" s="205">
        <f>'Jobs-GAAP'!V177</f>
        <v/>
      </c>
      <c r="I177" s="181">
        <f>E177-G177</f>
        <v/>
      </c>
      <c r="J177" s="9">
        <f>'Jobs-Ops'!P177</f>
        <v/>
      </c>
      <c r="K177" s="9">
        <f>'Jobs-GAAP'!Q177</f>
        <v/>
      </c>
      <c r="L177" s="9">
        <f>J177-K177</f>
        <v/>
      </c>
      <c r="M177" s="186" t="n"/>
      <c r="N177" s="9">
        <f>'Jobs-Ops'!Y177</f>
        <v/>
      </c>
      <c r="O177" s="9">
        <f>'Jobs-GAAP'!Y177</f>
        <v/>
      </c>
      <c r="P177" s="9">
        <f>N177-O177</f>
        <v/>
      </c>
      <c r="Q177" s="186" t="n"/>
      <c r="R177" s="11">
        <f>'Jobs-Ops'!AL177</f>
        <v/>
      </c>
      <c r="S177" s="11">
        <f>'Jobs-GAAP'!AH177</f>
        <v/>
      </c>
      <c r="T177" s="11">
        <f>IFERROR(R177-S177,0)</f>
        <v/>
      </c>
      <c r="U177" s="8">
        <f>'Jobs-Ops'!AM177</f>
        <v/>
      </c>
      <c r="V177" s="8">
        <f>'Jobs-GAAP'!AI177</f>
        <v/>
      </c>
      <c r="W177" s="8">
        <f>IFERROR(U177-V177,0)</f>
        <v/>
      </c>
      <c r="X177" s="9">
        <f>'Jobs-Ops'!AN177</f>
        <v/>
      </c>
      <c r="Y177" s="9">
        <f>'Jobs-GAAP'!AJ177</f>
        <v/>
      </c>
      <c r="Z177" s="9">
        <f>IFERROR(X177-Y177,0)</f>
        <v/>
      </c>
      <c r="AA177" s="153">
        <f>'Jobs-Ops'!AO177</f>
        <v/>
      </c>
      <c r="AB177" s="187" t="n"/>
      <c r="AC177" s="186" t="n"/>
      <c r="AD177" s="186" t="n"/>
      <c r="AE177" s="188" t="n"/>
      <c r="AF177" s="187" t="n"/>
      <c r="AG177" s="187" t="n"/>
      <c r="AH177" s="186" t="n"/>
      <c r="AI177" s="186" t="n"/>
      <c r="AJ177" s="186" t="n"/>
      <c r="AK177" s="186" t="n"/>
      <c r="AL177" s="186" t="n"/>
      <c r="AM177" s="186" t="n"/>
      <c r="AN177" s="186" t="n"/>
      <c r="AO177" s="186" t="n"/>
      <c r="AP177" s="186" t="n"/>
      <c r="AQ177" s="186" t="n"/>
      <c r="AR177" s="186" t="n"/>
      <c r="AS177" s="186" t="n"/>
      <c r="AT177" s="186" t="n"/>
      <c r="AU177" s="186" t="n"/>
      <c r="AV177" s="186" t="n"/>
      <c r="AW177" s="186" t="n"/>
      <c r="AX177" s="186" t="n"/>
      <c r="AY177" s="186" t="n"/>
      <c r="AZ177" s="186" t="n"/>
      <c r="BA177" s="186" t="n"/>
      <c r="BB177" s="186" t="n"/>
      <c r="BC177" s="186" t="n"/>
      <c r="BD177" s="190" t="n"/>
      <c r="BE177" s="186" t="n"/>
      <c r="BF177" s="186" t="n"/>
      <c r="BG177" s="186" t="n"/>
      <c r="BH177" s="186" t="n"/>
      <c r="BI177" s="186" t="n"/>
      <c r="BJ177" s="187" t="n"/>
      <c r="BK177" s="192" t="n"/>
      <c r="BL177" s="192" t="n"/>
      <c r="BM177" s="192" t="n"/>
      <c r="BN177" s="192" t="n"/>
    </row>
    <row r="178">
      <c r="A178" s="289">
        <f> 'Jobs-Ops'!A178</f>
        <v/>
      </c>
      <c r="B178" s="290">
        <f>'Jobs-Ops'!B178</f>
        <v/>
      </c>
      <c r="C178" s="290">
        <f>'Jobs-Ops'!C178</f>
        <v/>
      </c>
      <c r="D178" s="179" t="n"/>
      <c r="E178" s="181">
        <f>'Jobs-Ops'!I178</f>
        <v/>
      </c>
      <c r="F178" s="205">
        <f>'Jobs-Ops'!U178</f>
        <v/>
      </c>
      <c r="G178" s="181">
        <f>'Jobs-GAAP'!J178</f>
        <v/>
      </c>
      <c r="H178" s="205">
        <f>'Jobs-GAAP'!V178</f>
        <v/>
      </c>
      <c r="I178" s="181">
        <f>E178-G178</f>
        <v/>
      </c>
      <c r="J178" s="9">
        <f>'Jobs-Ops'!P178</f>
        <v/>
      </c>
      <c r="K178" s="9">
        <f>'Jobs-GAAP'!Q178</f>
        <v/>
      </c>
      <c r="L178" s="9">
        <f>J178-K178</f>
        <v/>
      </c>
      <c r="M178" s="186" t="n"/>
      <c r="N178" s="9">
        <f>'Jobs-Ops'!Y178</f>
        <v/>
      </c>
      <c r="O178" s="9">
        <f>'Jobs-GAAP'!Y178</f>
        <v/>
      </c>
      <c r="P178" s="9">
        <f>N178-O178</f>
        <v/>
      </c>
      <c r="Q178" s="186" t="n"/>
      <c r="R178" s="11">
        <f>'Jobs-Ops'!AL178</f>
        <v/>
      </c>
      <c r="S178" s="11">
        <f>'Jobs-GAAP'!AH178</f>
        <v/>
      </c>
      <c r="T178" s="11">
        <f>IFERROR(R178-S178,0)</f>
        <v/>
      </c>
      <c r="U178" s="8">
        <f>'Jobs-Ops'!AM178</f>
        <v/>
      </c>
      <c r="V178" s="8">
        <f>'Jobs-GAAP'!AI178</f>
        <v/>
      </c>
      <c r="W178" s="8">
        <f>IFERROR(U178-V178,0)</f>
        <v/>
      </c>
      <c r="X178" s="9">
        <f>'Jobs-Ops'!AN178</f>
        <v/>
      </c>
      <c r="Y178" s="9">
        <f>'Jobs-GAAP'!AJ178</f>
        <v/>
      </c>
      <c r="Z178" s="9">
        <f>IFERROR(X178-Y178,0)</f>
        <v/>
      </c>
      <c r="AA178" s="153">
        <f>'Jobs-Ops'!AO178</f>
        <v/>
      </c>
      <c r="AB178" s="187" t="n"/>
      <c r="AC178" s="186" t="n"/>
      <c r="AD178" s="186" t="n"/>
      <c r="AE178" s="188" t="n"/>
      <c r="AF178" s="187" t="n"/>
      <c r="AG178" s="187" t="n"/>
      <c r="AH178" s="186" t="n"/>
      <c r="AI178" s="186" t="n"/>
      <c r="AJ178" s="186" t="n"/>
      <c r="AK178" s="186" t="n"/>
      <c r="AL178" s="186" t="n"/>
      <c r="AM178" s="186" t="n"/>
      <c r="AN178" s="186" t="n"/>
      <c r="AO178" s="186" t="n"/>
      <c r="AP178" s="186" t="n"/>
      <c r="AQ178" s="186" t="n"/>
      <c r="AR178" s="186" t="n"/>
      <c r="AS178" s="186" t="n"/>
      <c r="AT178" s="186" t="n"/>
      <c r="AU178" s="186" t="n"/>
      <c r="AV178" s="186" t="n"/>
      <c r="AW178" s="186" t="n"/>
      <c r="AX178" s="186" t="n"/>
      <c r="AY178" s="186" t="n"/>
      <c r="AZ178" s="186" t="n"/>
      <c r="BA178" s="186" t="n"/>
      <c r="BB178" s="186" t="n"/>
      <c r="BC178" s="186" t="n"/>
      <c r="BD178" s="190" t="n"/>
      <c r="BE178" s="186" t="n"/>
      <c r="BF178" s="186" t="n"/>
      <c r="BG178" s="186" t="n"/>
      <c r="BH178" s="186" t="n"/>
      <c r="BI178" s="186" t="n"/>
      <c r="BJ178" s="187" t="n"/>
      <c r="BK178" s="192" t="n"/>
      <c r="BL178" s="192" t="n"/>
      <c r="BM178" s="192" t="n"/>
      <c r="BN178" s="192" t="n"/>
    </row>
    <row r="179">
      <c r="A179" s="289">
        <f> 'Jobs-Ops'!A179</f>
        <v/>
      </c>
      <c r="B179" s="290">
        <f>'Jobs-Ops'!B179</f>
        <v/>
      </c>
      <c r="C179" s="290">
        <f>'Jobs-Ops'!C179</f>
        <v/>
      </c>
      <c r="D179" s="179" t="n"/>
      <c r="E179" s="181">
        <f>'Jobs-Ops'!I179</f>
        <v/>
      </c>
      <c r="F179" s="205">
        <f>'Jobs-Ops'!U179</f>
        <v/>
      </c>
      <c r="G179" s="181">
        <f>'Jobs-GAAP'!J179</f>
        <v/>
      </c>
      <c r="H179" s="205">
        <f>'Jobs-GAAP'!V179</f>
        <v/>
      </c>
      <c r="I179" s="181">
        <f>E179-G179</f>
        <v/>
      </c>
      <c r="J179" s="9">
        <f>'Jobs-Ops'!P179</f>
        <v/>
      </c>
      <c r="K179" s="9">
        <f>'Jobs-GAAP'!Q179</f>
        <v/>
      </c>
      <c r="L179" s="9">
        <f>J179-K179</f>
        <v/>
      </c>
      <c r="M179" s="186" t="n"/>
      <c r="N179" s="9">
        <f>'Jobs-Ops'!Y179</f>
        <v/>
      </c>
      <c r="O179" s="9">
        <f>'Jobs-GAAP'!Y179</f>
        <v/>
      </c>
      <c r="P179" s="9">
        <f>N179-O179</f>
        <v/>
      </c>
      <c r="Q179" s="186" t="n"/>
      <c r="R179" s="11">
        <f>'Jobs-Ops'!AL179</f>
        <v/>
      </c>
      <c r="S179" s="11">
        <f>'Jobs-GAAP'!AH179</f>
        <v/>
      </c>
      <c r="T179" s="11">
        <f>IFERROR(R179-S179,0)</f>
        <v/>
      </c>
      <c r="U179" s="8">
        <f>'Jobs-Ops'!AM179</f>
        <v/>
      </c>
      <c r="V179" s="8">
        <f>'Jobs-GAAP'!AI179</f>
        <v/>
      </c>
      <c r="W179" s="8">
        <f>IFERROR(U179-V179,0)</f>
        <v/>
      </c>
      <c r="X179" s="9">
        <f>'Jobs-Ops'!AN179</f>
        <v/>
      </c>
      <c r="Y179" s="9">
        <f>'Jobs-GAAP'!AJ179</f>
        <v/>
      </c>
      <c r="Z179" s="9">
        <f>IFERROR(X179-Y179,0)</f>
        <v/>
      </c>
      <c r="AA179" s="153">
        <f>'Jobs-Ops'!AO179</f>
        <v/>
      </c>
      <c r="AB179" s="187" t="n"/>
      <c r="AC179" s="186" t="n"/>
      <c r="AD179" s="186" t="n"/>
      <c r="AE179" s="188" t="n"/>
      <c r="AF179" s="187" t="n"/>
      <c r="AG179" s="187" t="n"/>
      <c r="AH179" s="186" t="n"/>
      <c r="AI179" s="186" t="n"/>
      <c r="AJ179" s="186" t="n"/>
      <c r="AK179" s="186" t="n"/>
      <c r="AL179" s="186" t="n"/>
      <c r="AM179" s="186" t="n"/>
      <c r="AN179" s="186" t="n"/>
      <c r="AO179" s="186" t="n"/>
      <c r="AP179" s="186" t="n"/>
      <c r="AQ179" s="186" t="n"/>
      <c r="AR179" s="186" t="n"/>
      <c r="AS179" s="186" t="n"/>
      <c r="AT179" s="186" t="n"/>
      <c r="AU179" s="186" t="n"/>
      <c r="AV179" s="186" t="n"/>
      <c r="AW179" s="186" t="n"/>
      <c r="AX179" s="186" t="n"/>
      <c r="AY179" s="186" t="n"/>
      <c r="AZ179" s="186" t="n"/>
      <c r="BA179" s="186" t="n"/>
      <c r="BB179" s="186" t="n"/>
      <c r="BC179" s="186" t="n"/>
      <c r="BD179" s="190" t="n"/>
      <c r="BE179" s="186" t="n"/>
      <c r="BF179" s="186" t="n"/>
      <c r="BG179" s="186" t="n"/>
      <c r="BH179" s="186" t="n"/>
      <c r="BI179" s="186" t="n"/>
      <c r="BJ179" s="187" t="n"/>
      <c r="BK179" s="192" t="n"/>
      <c r="BL179" s="192" t="n"/>
      <c r="BM179" s="192" t="n"/>
      <c r="BN179" s="192" t="n"/>
    </row>
    <row r="180">
      <c r="A180" s="289">
        <f> 'Jobs-Ops'!A180</f>
        <v/>
      </c>
      <c r="B180" s="290">
        <f>'Jobs-Ops'!B180</f>
        <v/>
      </c>
      <c r="C180" s="290">
        <f>'Jobs-Ops'!C180</f>
        <v/>
      </c>
      <c r="D180" s="179" t="n"/>
      <c r="E180" s="181">
        <f>'Jobs-Ops'!I180</f>
        <v/>
      </c>
      <c r="F180" s="205">
        <f>'Jobs-Ops'!U180</f>
        <v/>
      </c>
      <c r="G180" s="181">
        <f>'Jobs-GAAP'!J180</f>
        <v/>
      </c>
      <c r="H180" s="205">
        <f>'Jobs-GAAP'!V180</f>
        <v/>
      </c>
      <c r="I180" s="181">
        <f>E180-G180</f>
        <v/>
      </c>
      <c r="J180" s="9">
        <f>'Jobs-Ops'!P180</f>
        <v/>
      </c>
      <c r="K180" s="9">
        <f>'Jobs-GAAP'!Q180</f>
        <v/>
      </c>
      <c r="L180" s="9">
        <f>J180-K180</f>
        <v/>
      </c>
      <c r="M180" s="186" t="n"/>
      <c r="N180" s="9">
        <f>'Jobs-Ops'!Y180</f>
        <v/>
      </c>
      <c r="O180" s="9">
        <f>'Jobs-GAAP'!Y180</f>
        <v/>
      </c>
      <c r="P180" s="9">
        <f>N180-O180</f>
        <v/>
      </c>
      <c r="Q180" s="186" t="n"/>
      <c r="R180" s="11">
        <f>'Jobs-Ops'!AL180</f>
        <v/>
      </c>
      <c r="S180" s="11">
        <f>'Jobs-GAAP'!AH180</f>
        <v/>
      </c>
      <c r="T180" s="11">
        <f>IFERROR(R180-S180,0)</f>
        <v/>
      </c>
      <c r="U180" s="8">
        <f>'Jobs-Ops'!AM180</f>
        <v/>
      </c>
      <c r="V180" s="8">
        <f>'Jobs-GAAP'!AI180</f>
        <v/>
      </c>
      <c r="W180" s="8">
        <f>IFERROR(U180-V180,0)</f>
        <v/>
      </c>
      <c r="X180" s="9">
        <f>'Jobs-Ops'!AN180</f>
        <v/>
      </c>
      <c r="Y180" s="9">
        <f>'Jobs-GAAP'!AJ180</f>
        <v/>
      </c>
      <c r="Z180" s="9">
        <f>IFERROR(X180-Y180,0)</f>
        <v/>
      </c>
      <c r="AA180" s="153">
        <f>'Jobs-Ops'!AO180</f>
        <v/>
      </c>
      <c r="AB180" s="187" t="n"/>
      <c r="AC180" s="186" t="n"/>
      <c r="AD180" s="186" t="n"/>
      <c r="AE180" s="188" t="n"/>
      <c r="AF180" s="187" t="n"/>
      <c r="AG180" s="187" t="n"/>
      <c r="AH180" s="186" t="n"/>
      <c r="AI180" s="186" t="n"/>
      <c r="AJ180" s="186" t="n"/>
      <c r="AK180" s="186" t="n"/>
      <c r="AL180" s="186" t="n"/>
      <c r="AM180" s="186" t="n"/>
      <c r="AN180" s="186" t="n"/>
      <c r="AO180" s="186" t="n"/>
      <c r="AP180" s="186" t="n"/>
      <c r="AQ180" s="186" t="n"/>
      <c r="AR180" s="186" t="n"/>
      <c r="AS180" s="186" t="n"/>
      <c r="AT180" s="186" t="n"/>
      <c r="AU180" s="186" t="n"/>
      <c r="AV180" s="186" t="n"/>
      <c r="AW180" s="186" t="n"/>
      <c r="AX180" s="186" t="n"/>
      <c r="AY180" s="186" t="n"/>
      <c r="AZ180" s="186" t="n"/>
      <c r="BA180" s="186" t="n"/>
      <c r="BB180" s="186" t="n"/>
      <c r="BC180" s="186" t="n"/>
      <c r="BD180" s="190" t="n"/>
      <c r="BE180" s="186" t="n"/>
      <c r="BF180" s="186" t="n"/>
      <c r="BG180" s="186" t="n"/>
      <c r="BH180" s="186" t="n"/>
      <c r="BI180" s="186" t="n"/>
      <c r="BJ180" s="187" t="n"/>
      <c r="BK180" s="192" t="n"/>
      <c r="BL180" s="192" t="n"/>
      <c r="BM180" s="192" t="n"/>
      <c r="BN180" s="192" t="n"/>
    </row>
    <row r="181">
      <c r="A181" s="289">
        <f> 'Jobs-Ops'!A181</f>
        <v/>
      </c>
      <c r="B181" s="290">
        <f>'Jobs-Ops'!B181</f>
        <v/>
      </c>
      <c r="C181" s="290">
        <f>'Jobs-Ops'!C181</f>
        <v/>
      </c>
      <c r="D181" s="179" t="n"/>
      <c r="E181" s="181">
        <f>'Jobs-Ops'!I181</f>
        <v/>
      </c>
      <c r="F181" s="205">
        <f>'Jobs-Ops'!U181</f>
        <v/>
      </c>
      <c r="G181" s="181">
        <f>'Jobs-GAAP'!J181</f>
        <v/>
      </c>
      <c r="H181" s="205">
        <f>'Jobs-GAAP'!V181</f>
        <v/>
      </c>
      <c r="I181" s="181">
        <f>E181-G181</f>
        <v/>
      </c>
      <c r="J181" s="9">
        <f>'Jobs-Ops'!P181</f>
        <v/>
      </c>
      <c r="K181" s="9">
        <f>'Jobs-GAAP'!Q181</f>
        <v/>
      </c>
      <c r="L181" s="9">
        <f>J181-K181</f>
        <v/>
      </c>
      <c r="M181" s="186" t="n"/>
      <c r="N181" s="9">
        <f>'Jobs-Ops'!Y181</f>
        <v/>
      </c>
      <c r="O181" s="9">
        <f>'Jobs-GAAP'!Y181</f>
        <v/>
      </c>
      <c r="P181" s="9">
        <f>N181-O181</f>
        <v/>
      </c>
      <c r="Q181" s="186" t="n"/>
      <c r="R181" s="11">
        <f>'Jobs-Ops'!AL181</f>
        <v/>
      </c>
      <c r="S181" s="11">
        <f>'Jobs-GAAP'!AH181</f>
        <v/>
      </c>
      <c r="T181" s="11">
        <f>IFERROR(R181-S181,0)</f>
        <v/>
      </c>
      <c r="U181" s="8">
        <f>'Jobs-Ops'!AM181</f>
        <v/>
      </c>
      <c r="V181" s="8">
        <f>'Jobs-GAAP'!AI181</f>
        <v/>
      </c>
      <c r="W181" s="8">
        <f>IFERROR(U181-V181,0)</f>
        <v/>
      </c>
      <c r="X181" s="9">
        <f>'Jobs-Ops'!AN181</f>
        <v/>
      </c>
      <c r="Y181" s="9">
        <f>'Jobs-GAAP'!AJ181</f>
        <v/>
      </c>
      <c r="Z181" s="9">
        <f>IFERROR(X181-Y181,0)</f>
        <v/>
      </c>
      <c r="AA181" s="153">
        <f>'Jobs-Ops'!AO181</f>
        <v/>
      </c>
      <c r="AB181" s="187" t="n"/>
      <c r="AC181" s="186" t="n"/>
      <c r="AD181" s="186" t="n"/>
      <c r="AE181" s="188" t="n"/>
      <c r="AF181" s="187" t="n"/>
      <c r="AG181" s="187" t="n"/>
      <c r="AH181" s="186" t="n"/>
      <c r="AI181" s="186" t="n"/>
      <c r="AJ181" s="186" t="n"/>
      <c r="AK181" s="186" t="n"/>
      <c r="AL181" s="186" t="n"/>
      <c r="AM181" s="186" t="n"/>
      <c r="AN181" s="186" t="n"/>
      <c r="AO181" s="186" t="n"/>
      <c r="AP181" s="186" t="n"/>
      <c r="AQ181" s="186" t="n"/>
      <c r="AR181" s="186" t="n"/>
      <c r="AS181" s="186" t="n"/>
      <c r="AT181" s="186" t="n"/>
      <c r="AU181" s="186" t="n"/>
      <c r="AV181" s="186" t="n"/>
      <c r="AW181" s="186" t="n"/>
      <c r="AX181" s="186" t="n"/>
      <c r="AY181" s="186" t="n"/>
      <c r="AZ181" s="186" t="n"/>
      <c r="BA181" s="186" t="n"/>
      <c r="BB181" s="186" t="n"/>
      <c r="BC181" s="186" t="n"/>
      <c r="BD181" s="190" t="n"/>
      <c r="BE181" s="186" t="n"/>
      <c r="BF181" s="186" t="n"/>
      <c r="BG181" s="186" t="n"/>
      <c r="BH181" s="186" t="n"/>
      <c r="BI181" s="186" t="n"/>
      <c r="BJ181" s="187" t="n"/>
      <c r="BK181" s="192" t="n"/>
      <c r="BL181" s="192" t="n"/>
      <c r="BM181" s="192" t="n"/>
      <c r="BN181" s="192" t="n"/>
    </row>
    <row r="182">
      <c r="A182" s="289">
        <f> 'Jobs-Ops'!A182</f>
        <v/>
      </c>
      <c r="B182" s="290">
        <f>'Jobs-Ops'!B182</f>
        <v/>
      </c>
      <c r="C182" s="290">
        <f>'Jobs-Ops'!C182</f>
        <v/>
      </c>
      <c r="D182" s="179" t="n"/>
      <c r="E182" s="181">
        <f>'Jobs-Ops'!I182</f>
        <v/>
      </c>
      <c r="F182" s="205">
        <f>'Jobs-Ops'!U182</f>
        <v/>
      </c>
      <c r="G182" s="181">
        <f>'Jobs-GAAP'!J182</f>
        <v/>
      </c>
      <c r="H182" s="205">
        <f>'Jobs-GAAP'!V182</f>
        <v/>
      </c>
      <c r="I182" s="181">
        <f>E182-G182</f>
        <v/>
      </c>
      <c r="J182" s="9">
        <f>'Jobs-Ops'!P182</f>
        <v/>
      </c>
      <c r="K182" s="9">
        <f>'Jobs-GAAP'!Q182</f>
        <v/>
      </c>
      <c r="L182" s="9">
        <f>J182-K182</f>
        <v/>
      </c>
      <c r="M182" s="186" t="n"/>
      <c r="N182" s="9">
        <f>'Jobs-Ops'!Y182</f>
        <v/>
      </c>
      <c r="O182" s="9">
        <f>'Jobs-GAAP'!Y182</f>
        <v/>
      </c>
      <c r="P182" s="9">
        <f>N182-O182</f>
        <v/>
      </c>
      <c r="Q182" s="186" t="n"/>
      <c r="R182" s="11">
        <f>'Jobs-Ops'!AL182</f>
        <v/>
      </c>
      <c r="S182" s="11">
        <f>'Jobs-GAAP'!AH182</f>
        <v/>
      </c>
      <c r="T182" s="11">
        <f>IFERROR(R182-S182,0)</f>
        <v/>
      </c>
      <c r="U182" s="8">
        <f>'Jobs-Ops'!AM182</f>
        <v/>
      </c>
      <c r="V182" s="8">
        <f>'Jobs-GAAP'!AI182</f>
        <v/>
      </c>
      <c r="W182" s="8">
        <f>IFERROR(U182-V182,0)</f>
        <v/>
      </c>
      <c r="X182" s="9">
        <f>'Jobs-Ops'!AN182</f>
        <v/>
      </c>
      <c r="Y182" s="9">
        <f>'Jobs-GAAP'!AJ182</f>
        <v/>
      </c>
      <c r="Z182" s="9">
        <f>IFERROR(X182-Y182,0)</f>
        <v/>
      </c>
      <c r="AA182" s="153">
        <f>'Jobs-Ops'!AO182</f>
        <v/>
      </c>
      <c r="AB182" s="187" t="n"/>
      <c r="AC182" s="186" t="n"/>
      <c r="AD182" s="186" t="n"/>
      <c r="AE182" s="188" t="n"/>
      <c r="AF182" s="187" t="n"/>
      <c r="AG182" s="187" t="n"/>
      <c r="AH182" s="186" t="n"/>
      <c r="AI182" s="186" t="n"/>
      <c r="AJ182" s="186" t="n"/>
      <c r="AK182" s="186" t="n"/>
      <c r="AL182" s="186" t="n"/>
      <c r="AM182" s="186" t="n"/>
      <c r="AN182" s="186" t="n"/>
      <c r="AO182" s="186" t="n"/>
      <c r="AP182" s="186" t="n"/>
      <c r="AQ182" s="186" t="n"/>
      <c r="AR182" s="186" t="n"/>
      <c r="AS182" s="186" t="n"/>
      <c r="AT182" s="186" t="n"/>
      <c r="AU182" s="186" t="n"/>
      <c r="AV182" s="186" t="n"/>
      <c r="AW182" s="186" t="n"/>
      <c r="AX182" s="186" t="n"/>
      <c r="AY182" s="186" t="n"/>
      <c r="AZ182" s="186" t="n"/>
      <c r="BA182" s="186" t="n"/>
      <c r="BB182" s="186" t="n"/>
      <c r="BC182" s="186" t="n"/>
      <c r="BD182" s="190" t="n"/>
      <c r="BE182" s="186" t="n"/>
      <c r="BF182" s="186" t="n"/>
      <c r="BG182" s="186" t="n"/>
      <c r="BH182" s="186" t="n"/>
      <c r="BI182" s="186" t="n"/>
      <c r="BJ182" s="187" t="n"/>
      <c r="BK182" s="192" t="n"/>
      <c r="BL182" s="192" t="n"/>
      <c r="BM182" s="192" t="n"/>
      <c r="BN182" s="192" t="n"/>
    </row>
    <row r="183">
      <c r="A183" s="289">
        <f> 'Jobs-Ops'!A183</f>
        <v/>
      </c>
      <c r="B183" s="290">
        <f>'Jobs-Ops'!B183</f>
        <v/>
      </c>
      <c r="C183" s="290">
        <f>'Jobs-Ops'!C183</f>
        <v/>
      </c>
      <c r="D183" s="179" t="n"/>
      <c r="E183" s="181">
        <f>'Jobs-Ops'!I183</f>
        <v/>
      </c>
      <c r="F183" s="205">
        <f>'Jobs-Ops'!U183</f>
        <v/>
      </c>
      <c r="G183" s="181">
        <f>'Jobs-GAAP'!J183</f>
        <v/>
      </c>
      <c r="H183" s="205">
        <f>'Jobs-GAAP'!V183</f>
        <v/>
      </c>
      <c r="I183" s="181">
        <f>E183-G183</f>
        <v/>
      </c>
      <c r="J183" s="9">
        <f>'Jobs-Ops'!P183</f>
        <v/>
      </c>
      <c r="K183" s="9">
        <f>'Jobs-GAAP'!Q183</f>
        <v/>
      </c>
      <c r="L183" s="9">
        <f>J183-K183</f>
        <v/>
      </c>
      <c r="M183" s="186" t="n"/>
      <c r="N183" s="9">
        <f>'Jobs-Ops'!Y183</f>
        <v/>
      </c>
      <c r="O183" s="9">
        <f>'Jobs-GAAP'!Y183</f>
        <v/>
      </c>
      <c r="P183" s="9">
        <f>N183-O183</f>
        <v/>
      </c>
      <c r="Q183" s="186" t="n"/>
      <c r="R183" s="11">
        <f>'Jobs-Ops'!AL183</f>
        <v/>
      </c>
      <c r="S183" s="11">
        <f>'Jobs-GAAP'!AH183</f>
        <v/>
      </c>
      <c r="T183" s="11">
        <f>IFERROR(R183-S183,0)</f>
        <v/>
      </c>
      <c r="U183" s="8">
        <f>'Jobs-Ops'!AM183</f>
        <v/>
      </c>
      <c r="V183" s="8">
        <f>'Jobs-GAAP'!AI183</f>
        <v/>
      </c>
      <c r="W183" s="8">
        <f>IFERROR(U183-V183,0)</f>
        <v/>
      </c>
      <c r="X183" s="9">
        <f>'Jobs-Ops'!AN183</f>
        <v/>
      </c>
      <c r="Y183" s="9">
        <f>'Jobs-GAAP'!AJ183</f>
        <v/>
      </c>
      <c r="Z183" s="9">
        <f>IFERROR(X183-Y183,0)</f>
        <v/>
      </c>
      <c r="AA183" s="153">
        <f>'Jobs-Ops'!AO183</f>
        <v/>
      </c>
      <c r="AB183" s="187" t="n"/>
      <c r="AC183" s="186" t="n"/>
      <c r="AD183" s="186" t="n"/>
      <c r="AE183" s="188" t="n"/>
      <c r="AF183" s="187" t="n"/>
      <c r="AG183" s="187" t="n"/>
      <c r="AH183" s="186" t="n"/>
      <c r="AI183" s="186" t="n"/>
      <c r="AJ183" s="186" t="n"/>
      <c r="AK183" s="186" t="n"/>
      <c r="AL183" s="186" t="n"/>
      <c r="AM183" s="186" t="n"/>
      <c r="AN183" s="186" t="n"/>
      <c r="AO183" s="186" t="n"/>
      <c r="AP183" s="186" t="n"/>
      <c r="AQ183" s="186" t="n"/>
      <c r="AR183" s="186" t="n"/>
      <c r="AS183" s="186" t="n"/>
      <c r="AT183" s="186" t="n"/>
      <c r="AU183" s="186" t="n"/>
      <c r="AV183" s="186" t="n"/>
      <c r="AW183" s="186" t="n"/>
      <c r="AX183" s="186" t="n"/>
      <c r="AY183" s="186" t="n"/>
      <c r="AZ183" s="186" t="n"/>
      <c r="BA183" s="186" t="n"/>
      <c r="BB183" s="186" t="n"/>
      <c r="BC183" s="186" t="n"/>
      <c r="BD183" s="190" t="n"/>
      <c r="BE183" s="186" t="n"/>
      <c r="BF183" s="186" t="n"/>
      <c r="BG183" s="186" t="n"/>
      <c r="BH183" s="186" t="n"/>
      <c r="BI183" s="186" t="n"/>
      <c r="BJ183" s="187" t="n"/>
      <c r="BK183" s="192" t="n"/>
      <c r="BL183" s="192" t="n"/>
      <c r="BM183" s="192" t="n"/>
      <c r="BN183" s="192" t="n"/>
    </row>
    <row r="184">
      <c r="A184" s="289">
        <f> 'Jobs-Ops'!A184</f>
        <v/>
      </c>
      <c r="B184" s="290">
        <f>'Jobs-Ops'!B184</f>
        <v/>
      </c>
      <c r="C184" s="290">
        <f>'Jobs-Ops'!C184</f>
        <v/>
      </c>
      <c r="D184" s="179" t="n"/>
      <c r="E184" s="181">
        <f>'Jobs-Ops'!I184</f>
        <v/>
      </c>
      <c r="F184" s="205">
        <f>'Jobs-Ops'!U184</f>
        <v/>
      </c>
      <c r="G184" s="181">
        <f>'Jobs-GAAP'!J184</f>
        <v/>
      </c>
      <c r="H184" s="205">
        <f>'Jobs-GAAP'!V184</f>
        <v/>
      </c>
      <c r="I184" s="181">
        <f>E184-G184</f>
        <v/>
      </c>
      <c r="J184" s="9">
        <f>'Jobs-Ops'!P184</f>
        <v/>
      </c>
      <c r="K184" s="9">
        <f>'Jobs-GAAP'!Q184</f>
        <v/>
      </c>
      <c r="L184" s="9">
        <f>J184-K184</f>
        <v/>
      </c>
      <c r="M184" s="186" t="n"/>
      <c r="N184" s="9">
        <f>'Jobs-Ops'!Y184</f>
        <v/>
      </c>
      <c r="O184" s="9">
        <f>'Jobs-GAAP'!Y184</f>
        <v/>
      </c>
      <c r="P184" s="9">
        <f>N184-O184</f>
        <v/>
      </c>
      <c r="Q184" s="186" t="n"/>
      <c r="R184" s="11">
        <f>'Jobs-Ops'!AL184</f>
        <v/>
      </c>
      <c r="S184" s="11">
        <f>'Jobs-GAAP'!AH184</f>
        <v/>
      </c>
      <c r="T184" s="11">
        <f>IFERROR(R184-S184,0)</f>
        <v/>
      </c>
      <c r="U184" s="8">
        <f>'Jobs-Ops'!AM184</f>
        <v/>
      </c>
      <c r="V184" s="8">
        <f>'Jobs-GAAP'!AI184</f>
        <v/>
      </c>
      <c r="W184" s="8">
        <f>IFERROR(U184-V184,0)</f>
        <v/>
      </c>
      <c r="X184" s="9">
        <f>'Jobs-Ops'!AN184</f>
        <v/>
      </c>
      <c r="Y184" s="9">
        <f>'Jobs-GAAP'!AJ184</f>
        <v/>
      </c>
      <c r="Z184" s="9">
        <f>IFERROR(X184-Y184,0)</f>
        <v/>
      </c>
      <c r="AA184" s="153">
        <f>'Jobs-Ops'!AO184</f>
        <v/>
      </c>
      <c r="AB184" s="187" t="n"/>
      <c r="AC184" s="186" t="n"/>
      <c r="AD184" s="186" t="n"/>
      <c r="AE184" s="188" t="n"/>
      <c r="AF184" s="187" t="n"/>
      <c r="AG184" s="187" t="n"/>
      <c r="AH184" s="186" t="n"/>
      <c r="AI184" s="186" t="n"/>
      <c r="AJ184" s="186" t="n"/>
      <c r="AK184" s="186" t="n"/>
      <c r="AL184" s="186" t="n"/>
      <c r="AM184" s="186" t="n"/>
      <c r="AN184" s="186" t="n"/>
      <c r="AO184" s="186" t="n"/>
      <c r="AP184" s="186" t="n"/>
      <c r="AQ184" s="186" t="n"/>
      <c r="AR184" s="186" t="n"/>
      <c r="AS184" s="186" t="n"/>
      <c r="AT184" s="186" t="n"/>
      <c r="AU184" s="186" t="n"/>
      <c r="AV184" s="186" t="n"/>
      <c r="AW184" s="186" t="n"/>
      <c r="AX184" s="186" t="n"/>
      <c r="AY184" s="186" t="n"/>
      <c r="AZ184" s="186" t="n"/>
      <c r="BA184" s="186" t="n"/>
      <c r="BB184" s="186" t="n"/>
      <c r="BC184" s="186" t="n"/>
      <c r="BD184" s="190" t="n"/>
      <c r="BE184" s="186" t="n"/>
      <c r="BF184" s="186" t="n"/>
      <c r="BG184" s="186" t="n"/>
      <c r="BH184" s="186" t="n"/>
      <c r="BI184" s="186" t="n"/>
      <c r="BJ184" s="187" t="n"/>
      <c r="BK184" s="192" t="n"/>
      <c r="BL184" s="192" t="n"/>
      <c r="BM184" s="192" t="n"/>
      <c r="BN184" s="192" t="n"/>
    </row>
    <row r="185">
      <c r="A185" s="289">
        <f> 'Jobs-Ops'!A185</f>
        <v/>
      </c>
      <c r="B185" s="290">
        <f>'Jobs-Ops'!B185</f>
        <v/>
      </c>
      <c r="C185" s="290">
        <f>'Jobs-Ops'!C185</f>
        <v/>
      </c>
      <c r="D185" s="179" t="n"/>
      <c r="E185" s="181">
        <f>'Jobs-Ops'!I185</f>
        <v/>
      </c>
      <c r="F185" s="205">
        <f>'Jobs-Ops'!U185</f>
        <v/>
      </c>
      <c r="G185" s="181">
        <f>'Jobs-GAAP'!J185</f>
        <v/>
      </c>
      <c r="H185" s="205">
        <f>'Jobs-GAAP'!V185</f>
        <v/>
      </c>
      <c r="I185" s="181">
        <f>E185-G185</f>
        <v/>
      </c>
      <c r="J185" s="9">
        <f>'Jobs-Ops'!P185</f>
        <v/>
      </c>
      <c r="K185" s="9">
        <f>'Jobs-GAAP'!Q185</f>
        <v/>
      </c>
      <c r="L185" s="9">
        <f>J185-K185</f>
        <v/>
      </c>
      <c r="M185" s="186" t="n"/>
      <c r="N185" s="9">
        <f>'Jobs-Ops'!Y185</f>
        <v/>
      </c>
      <c r="O185" s="9">
        <f>'Jobs-GAAP'!Y185</f>
        <v/>
      </c>
      <c r="P185" s="9">
        <f>N185-O185</f>
        <v/>
      </c>
      <c r="Q185" s="186" t="n"/>
      <c r="R185" s="11">
        <f>'Jobs-Ops'!AL185</f>
        <v/>
      </c>
      <c r="S185" s="11">
        <f>'Jobs-GAAP'!AH185</f>
        <v/>
      </c>
      <c r="T185" s="11">
        <f>IFERROR(R185-S185,0)</f>
        <v/>
      </c>
      <c r="U185" s="8">
        <f>'Jobs-Ops'!AM185</f>
        <v/>
      </c>
      <c r="V185" s="8">
        <f>'Jobs-GAAP'!AI185</f>
        <v/>
      </c>
      <c r="W185" s="8">
        <f>IFERROR(U185-V185,0)</f>
        <v/>
      </c>
      <c r="X185" s="9">
        <f>'Jobs-Ops'!AN185</f>
        <v/>
      </c>
      <c r="Y185" s="9">
        <f>'Jobs-GAAP'!AJ185</f>
        <v/>
      </c>
      <c r="Z185" s="9">
        <f>IFERROR(X185-Y185,0)</f>
        <v/>
      </c>
      <c r="AA185" s="153">
        <f>'Jobs-Ops'!AO185</f>
        <v/>
      </c>
      <c r="AB185" s="187" t="n"/>
      <c r="AC185" s="186" t="n"/>
      <c r="AD185" s="186" t="n"/>
      <c r="AE185" s="188" t="n"/>
      <c r="AF185" s="187" t="n"/>
      <c r="AG185" s="187" t="n"/>
      <c r="AH185" s="186" t="n"/>
      <c r="AI185" s="186" t="n"/>
      <c r="AJ185" s="186" t="n"/>
      <c r="AK185" s="186" t="n"/>
      <c r="AL185" s="186" t="n"/>
      <c r="AM185" s="186" t="n"/>
      <c r="AN185" s="186" t="n"/>
      <c r="AO185" s="186" t="n"/>
      <c r="AP185" s="186" t="n"/>
      <c r="AQ185" s="186" t="n"/>
      <c r="AR185" s="186" t="n"/>
      <c r="AS185" s="186" t="n"/>
      <c r="AT185" s="186" t="n"/>
      <c r="AU185" s="186" t="n"/>
      <c r="AV185" s="186" t="n"/>
      <c r="AW185" s="186" t="n"/>
      <c r="AX185" s="186" t="n"/>
      <c r="AY185" s="186" t="n"/>
      <c r="AZ185" s="186" t="n"/>
      <c r="BA185" s="186" t="n"/>
      <c r="BB185" s="186" t="n"/>
      <c r="BC185" s="186" t="n"/>
      <c r="BD185" s="190" t="n"/>
      <c r="BE185" s="186" t="n"/>
      <c r="BF185" s="186" t="n"/>
      <c r="BG185" s="186" t="n"/>
      <c r="BH185" s="186" t="n"/>
      <c r="BI185" s="186" t="n"/>
      <c r="BJ185" s="187" t="n"/>
      <c r="BK185" s="192" t="n"/>
      <c r="BL185" s="192" t="n"/>
      <c r="BM185" s="192" t="n"/>
      <c r="BN185" s="192" t="n"/>
    </row>
    <row r="186">
      <c r="A186" s="289">
        <f> 'Jobs-Ops'!A186</f>
        <v/>
      </c>
      <c r="B186" s="290">
        <f>'Jobs-Ops'!B186</f>
        <v/>
      </c>
      <c r="C186" s="290">
        <f>'Jobs-Ops'!C186</f>
        <v/>
      </c>
      <c r="D186" s="179" t="n"/>
      <c r="E186" s="181">
        <f>'Jobs-Ops'!I186</f>
        <v/>
      </c>
      <c r="F186" s="205">
        <f>'Jobs-Ops'!U186</f>
        <v/>
      </c>
      <c r="G186" s="181">
        <f>'Jobs-GAAP'!J186</f>
        <v/>
      </c>
      <c r="H186" s="205">
        <f>'Jobs-GAAP'!V186</f>
        <v/>
      </c>
      <c r="I186" s="181">
        <f>E186-G186</f>
        <v/>
      </c>
      <c r="J186" s="9">
        <f>'Jobs-Ops'!P186</f>
        <v/>
      </c>
      <c r="K186" s="9">
        <f>'Jobs-GAAP'!Q186</f>
        <v/>
      </c>
      <c r="L186" s="9">
        <f>J186-K186</f>
        <v/>
      </c>
      <c r="M186" s="186" t="n"/>
      <c r="N186" s="9">
        <f>'Jobs-Ops'!Y186</f>
        <v/>
      </c>
      <c r="O186" s="9">
        <f>'Jobs-GAAP'!Y186</f>
        <v/>
      </c>
      <c r="P186" s="9">
        <f>N186-O186</f>
        <v/>
      </c>
      <c r="Q186" s="186" t="n"/>
      <c r="R186" s="11">
        <f>'Jobs-Ops'!AL186</f>
        <v/>
      </c>
      <c r="S186" s="11">
        <f>'Jobs-GAAP'!AH186</f>
        <v/>
      </c>
      <c r="T186" s="11">
        <f>IFERROR(R186-S186,0)</f>
        <v/>
      </c>
      <c r="U186" s="8">
        <f>'Jobs-Ops'!AM186</f>
        <v/>
      </c>
      <c r="V186" s="8">
        <f>'Jobs-GAAP'!AI186</f>
        <v/>
      </c>
      <c r="W186" s="8">
        <f>IFERROR(U186-V186,0)</f>
        <v/>
      </c>
      <c r="X186" s="9">
        <f>'Jobs-Ops'!AN186</f>
        <v/>
      </c>
      <c r="Y186" s="9">
        <f>'Jobs-GAAP'!AJ186</f>
        <v/>
      </c>
      <c r="Z186" s="9">
        <f>IFERROR(X186-Y186,0)</f>
        <v/>
      </c>
      <c r="AA186" s="153">
        <f>'Jobs-Ops'!AO186</f>
        <v/>
      </c>
      <c r="AB186" s="187" t="n"/>
      <c r="AC186" s="186" t="n"/>
      <c r="AD186" s="186" t="n"/>
      <c r="AE186" s="188" t="n"/>
      <c r="AF186" s="187" t="n"/>
      <c r="AG186" s="187" t="n"/>
      <c r="AH186" s="186" t="n"/>
      <c r="AI186" s="186" t="n"/>
      <c r="AJ186" s="186" t="n"/>
      <c r="AK186" s="186" t="n"/>
      <c r="AL186" s="186" t="n"/>
      <c r="AM186" s="186" t="n"/>
      <c r="AN186" s="186" t="n"/>
      <c r="AO186" s="186" t="n"/>
      <c r="AP186" s="186" t="n"/>
      <c r="AQ186" s="186" t="n"/>
      <c r="AR186" s="186" t="n"/>
      <c r="AS186" s="186" t="n"/>
      <c r="AT186" s="186" t="n"/>
      <c r="AU186" s="186" t="n"/>
      <c r="AV186" s="186" t="n"/>
      <c r="AW186" s="186" t="n"/>
      <c r="AX186" s="186" t="n"/>
      <c r="AY186" s="186" t="n"/>
      <c r="AZ186" s="186" t="n"/>
      <c r="BA186" s="186" t="n"/>
      <c r="BB186" s="186" t="n"/>
      <c r="BC186" s="186" t="n"/>
      <c r="BD186" s="190" t="n"/>
      <c r="BE186" s="186" t="n"/>
      <c r="BF186" s="186" t="n"/>
      <c r="BG186" s="186" t="n"/>
      <c r="BH186" s="186" t="n"/>
      <c r="BI186" s="186" t="n"/>
      <c r="BJ186" s="187" t="n"/>
      <c r="BK186" s="192" t="n"/>
      <c r="BL186" s="192" t="n"/>
      <c r="BM186" s="192" t="n"/>
      <c r="BN186" s="192" t="n"/>
    </row>
    <row r="187">
      <c r="A187" s="289">
        <f> 'Jobs-Ops'!A187</f>
        <v/>
      </c>
      <c r="B187" s="290">
        <f>'Jobs-Ops'!B187</f>
        <v/>
      </c>
      <c r="C187" s="290">
        <f>'Jobs-Ops'!C187</f>
        <v/>
      </c>
      <c r="D187" s="179" t="n"/>
      <c r="E187" s="181">
        <f>'Jobs-Ops'!I187</f>
        <v/>
      </c>
      <c r="F187" s="205">
        <f>'Jobs-Ops'!U187</f>
        <v/>
      </c>
      <c r="G187" s="181">
        <f>'Jobs-GAAP'!J187</f>
        <v/>
      </c>
      <c r="H187" s="205">
        <f>'Jobs-GAAP'!V187</f>
        <v/>
      </c>
      <c r="I187" s="181">
        <f>E187-G187</f>
        <v/>
      </c>
      <c r="J187" s="9">
        <f>'Jobs-Ops'!P187</f>
        <v/>
      </c>
      <c r="K187" s="9">
        <f>'Jobs-GAAP'!Q187</f>
        <v/>
      </c>
      <c r="L187" s="9">
        <f>J187-K187</f>
        <v/>
      </c>
      <c r="M187" s="186" t="n"/>
      <c r="N187" s="9">
        <f>'Jobs-Ops'!Y187</f>
        <v/>
      </c>
      <c r="O187" s="9">
        <f>'Jobs-GAAP'!Y187</f>
        <v/>
      </c>
      <c r="P187" s="9">
        <f>N187-O187</f>
        <v/>
      </c>
      <c r="Q187" s="186" t="n"/>
      <c r="R187" s="11">
        <f>'Jobs-Ops'!AL187</f>
        <v/>
      </c>
      <c r="S187" s="11">
        <f>'Jobs-GAAP'!AH187</f>
        <v/>
      </c>
      <c r="T187" s="11">
        <f>IFERROR(R187-S187,0)</f>
        <v/>
      </c>
      <c r="U187" s="8">
        <f>'Jobs-Ops'!AM187</f>
        <v/>
      </c>
      <c r="V187" s="8">
        <f>'Jobs-GAAP'!AI187</f>
        <v/>
      </c>
      <c r="W187" s="8">
        <f>IFERROR(U187-V187,0)</f>
        <v/>
      </c>
      <c r="X187" s="9">
        <f>'Jobs-Ops'!AN187</f>
        <v/>
      </c>
      <c r="Y187" s="9">
        <f>'Jobs-GAAP'!AJ187</f>
        <v/>
      </c>
      <c r="Z187" s="9">
        <f>IFERROR(X187-Y187,0)</f>
        <v/>
      </c>
      <c r="AA187" s="153">
        <f>'Jobs-Ops'!AO187</f>
        <v/>
      </c>
      <c r="AB187" s="187" t="n"/>
      <c r="AC187" s="186" t="n"/>
      <c r="AD187" s="186" t="n"/>
      <c r="AE187" s="188" t="n"/>
      <c r="AF187" s="187" t="n"/>
      <c r="AG187" s="187" t="n"/>
      <c r="AH187" s="186" t="n"/>
      <c r="AI187" s="186" t="n"/>
      <c r="AJ187" s="186" t="n"/>
      <c r="AK187" s="186" t="n"/>
      <c r="AL187" s="186" t="n"/>
      <c r="AM187" s="186" t="n"/>
      <c r="AN187" s="186" t="n"/>
      <c r="AO187" s="186" t="n"/>
      <c r="AP187" s="186" t="n"/>
      <c r="AQ187" s="186" t="n"/>
      <c r="AR187" s="186" t="n"/>
      <c r="AS187" s="186" t="n"/>
      <c r="AT187" s="186" t="n"/>
      <c r="AU187" s="186" t="n"/>
      <c r="AV187" s="186" t="n"/>
      <c r="AW187" s="186" t="n"/>
      <c r="AX187" s="186" t="n"/>
      <c r="AY187" s="186" t="n"/>
      <c r="AZ187" s="186" t="n"/>
      <c r="BA187" s="186" t="n"/>
      <c r="BB187" s="186" t="n"/>
      <c r="BC187" s="186" t="n"/>
      <c r="BD187" s="190" t="n"/>
      <c r="BE187" s="186" t="n"/>
      <c r="BF187" s="186" t="n"/>
      <c r="BG187" s="186" t="n"/>
      <c r="BH187" s="186" t="n"/>
      <c r="BI187" s="186" t="n"/>
      <c r="BJ187" s="187" t="n"/>
      <c r="BK187" s="192" t="n"/>
      <c r="BL187" s="192" t="n"/>
      <c r="BM187" s="192" t="n"/>
      <c r="BN187" s="192" t="n"/>
    </row>
    <row r="188">
      <c r="A188" s="289">
        <f> 'Jobs-Ops'!A188</f>
        <v/>
      </c>
      <c r="B188" s="290">
        <f>'Jobs-Ops'!B188</f>
        <v/>
      </c>
      <c r="C188" s="290">
        <f>'Jobs-Ops'!C188</f>
        <v/>
      </c>
      <c r="D188" s="179" t="n"/>
      <c r="E188" s="181">
        <f>'Jobs-Ops'!I188</f>
        <v/>
      </c>
      <c r="F188" s="205">
        <f>'Jobs-Ops'!U188</f>
        <v/>
      </c>
      <c r="G188" s="181">
        <f>'Jobs-GAAP'!J188</f>
        <v/>
      </c>
      <c r="H188" s="205">
        <f>'Jobs-GAAP'!V188</f>
        <v/>
      </c>
      <c r="I188" s="181">
        <f>E188-G188</f>
        <v/>
      </c>
      <c r="J188" s="9">
        <f>'Jobs-Ops'!P188</f>
        <v/>
      </c>
      <c r="K188" s="9">
        <f>'Jobs-GAAP'!Q188</f>
        <v/>
      </c>
      <c r="L188" s="9">
        <f>J188-K188</f>
        <v/>
      </c>
      <c r="M188" s="186" t="n"/>
      <c r="N188" s="9">
        <f>'Jobs-Ops'!Y188</f>
        <v/>
      </c>
      <c r="O188" s="9">
        <f>'Jobs-GAAP'!Y188</f>
        <v/>
      </c>
      <c r="P188" s="9">
        <f>N188-O188</f>
        <v/>
      </c>
      <c r="Q188" s="186" t="n"/>
      <c r="R188" s="11">
        <f>'Jobs-Ops'!AL188</f>
        <v/>
      </c>
      <c r="S188" s="11">
        <f>'Jobs-GAAP'!AH188</f>
        <v/>
      </c>
      <c r="T188" s="11">
        <f>IFERROR(R188-S188,0)</f>
        <v/>
      </c>
      <c r="U188" s="8">
        <f>'Jobs-Ops'!AM188</f>
        <v/>
      </c>
      <c r="V188" s="8">
        <f>'Jobs-GAAP'!AI188</f>
        <v/>
      </c>
      <c r="W188" s="8">
        <f>IFERROR(U188-V188,0)</f>
        <v/>
      </c>
      <c r="X188" s="9">
        <f>'Jobs-Ops'!AN188</f>
        <v/>
      </c>
      <c r="Y188" s="9">
        <f>'Jobs-GAAP'!AJ188</f>
        <v/>
      </c>
      <c r="Z188" s="9">
        <f>IFERROR(X188-Y188,0)</f>
        <v/>
      </c>
      <c r="AA188" s="153">
        <f>'Jobs-Ops'!AO188</f>
        <v/>
      </c>
      <c r="AB188" s="187" t="n"/>
      <c r="AC188" s="186" t="n"/>
      <c r="AD188" s="186" t="n"/>
      <c r="AE188" s="188" t="n"/>
      <c r="AF188" s="187" t="n"/>
      <c r="AG188" s="187" t="n"/>
      <c r="AH188" s="186" t="n"/>
      <c r="AI188" s="186" t="n"/>
      <c r="AJ188" s="186" t="n"/>
      <c r="AK188" s="186" t="n"/>
      <c r="AL188" s="186" t="n"/>
      <c r="AM188" s="186" t="n"/>
      <c r="AN188" s="186" t="n"/>
      <c r="AO188" s="186" t="n"/>
      <c r="AP188" s="186" t="n"/>
      <c r="AQ188" s="186" t="n"/>
      <c r="AR188" s="186" t="n"/>
      <c r="AS188" s="186" t="n"/>
      <c r="AT188" s="186" t="n"/>
      <c r="AU188" s="186" t="n"/>
      <c r="AV188" s="186" t="n"/>
      <c r="AW188" s="186" t="n"/>
      <c r="AX188" s="186" t="n"/>
      <c r="AY188" s="186" t="n"/>
      <c r="AZ188" s="186" t="n"/>
      <c r="BA188" s="186" t="n"/>
      <c r="BB188" s="186" t="n"/>
      <c r="BC188" s="186" t="n"/>
      <c r="BD188" s="190" t="n"/>
      <c r="BE188" s="186" t="n"/>
      <c r="BF188" s="186" t="n"/>
      <c r="BG188" s="186" t="n"/>
      <c r="BH188" s="186" t="n"/>
      <c r="BI188" s="186" t="n"/>
      <c r="BJ188" s="187" t="n"/>
      <c r="BK188" s="192" t="n"/>
      <c r="BL188" s="192" t="n"/>
      <c r="BM188" s="192" t="n"/>
      <c r="BN188" s="192" t="n"/>
    </row>
    <row r="189">
      <c r="A189" s="289">
        <f> 'Jobs-Ops'!A189</f>
        <v/>
      </c>
      <c r="B189" s="290">
        <f>'Jobs-Ops'!B189</f>
        <v/>
      </c>
      <c r="C189" s="290">
        <f>'Jobs-Ops'!C189</f>
        <v/>
      </c>
      <c r="D189" s="179" t="n"/>
      <c r="E189" s="181">
        <f>'Jobs-Ops'!I189</f>
        <v/>
      </c>
      <c r="F189" s="205">
        <f>'Jobs-Ops'!U189</f>
        <v/>
      </c>
      <c r="G189" s="181">
        <f>'Jobs-GAAP'!J189</f>
        <v/>
      </c>
      <c r="H189" s="205">
        <f>'Jobs-GAAP'!V189</f>
        <v/>
      </c>
      <c r="I189" s="181">
        <f>E189-G189</f>
        <v/>
      </c>
      <c r="J189" s="9">
        <f>'Jobs-Ops'!P189</f>
        <v/>
      </c>
      <c r="K189" s="9">
        <f>'Jobs-GAAP'!Q189</f>
        <v/>
      </c>
      <c r="L189" s="9">
        <f>J189-K189</f>
        <v/>
      </c>
      <c r="M189" s="186" t="n"/>
      <c r="N189" s="9">
        <f>'Jobs-Ops'!Y189</f>
        <v/>
      </c>
      <c r="O189" s="9">
        <f>'Jobs-GAAP'!Y189</f>
        <v/>
      </c>
      <c r="P189" s="9">
        <f>N189-O189</f>
        <v/>
      </c>
      <c r="Q189" s="186" t="n"/>
      <c r="R189" s="11">
        <f>'Jobs-Ops'!AL189</f>
        <v/>
      </c>
      <c r="S189" s="11">
        <f>'Jobs-GAAP'!AH189</f>
        <v/>
      </c>
      <c r="T189" s="11">
        <f>IFERROR(R189-S189,0)</f>
        <v/>
      </c>
      <c r="U189" s="8">
        <f>'Jobs-Ops'!AM189</f>
        <v/>
      </c>
      <c r="V189" s="8">
        <f>'Jobs-GAAP'!AI189</f>
        <v/>
      </c>
      <c r="W189" s="8">
        <f>IFERROR(U189-V189,0)</f>
        <v/>
      </c>
      <c r="X189" s="9">
        <f>'Jobs-Ops'!AN189</f>
        <v/>
      </c>
      <c r="Y189" s="9">
        <f>'Jobs-GAAP'!AJ189</f>
        <v/>
      </c>
      <c r="Z189" s="9">
        <f>IFERROR(X189-Y189,0)</f>
        <v/>
      </c>
      <c r="AA189" s="153">
        <f>'Jobs-Ops'!AO189</f>
        <v/>
      </c>
      <c r="AB189" s="187" t="n"/>
      <c r="AC189" s="186" t="n"/>
      <c r="AD189" s="186" t="n"/>
      <c r="AE189" s="188" t="n"/>
      <c r="AF189" s="187" t="n"/>
      <c r="AG189" s="187" t="n"/>
      <c r="AH189" s="186" t="n"/>
      <c r="AI189" s="186" t="n"/>
      <c r="AJ189" s="186" t="n"/>
      <c r="AK189" s="186" t="n"/>
      <c r="AL189" s="186" t="n"/>
      <c r="AM189" s="186" t="n"/>
      <c r="AN189" s="186" t="n"/>
      <c r="AO189" s="186" t="n"/>
      <c r="AP189" s="186" t="n"/>
      <c r="AQ189" s="186" t="n"/>
      <c r="AR189" s="186" t="n"/>
      <c r="AS189" s="186" t="n"/>
      <c r="AT189" s="186" t="n"/>
      <c r="AU189" s="186" t="n"/>
      <c r="AV189" s="186" t="n"/>
      <c r="AW189" s="186" t="n"/>
      <c r="AX189" s="186" t="n"/>
      <c r="AY189" s="186" t="n"/>
      <c r="AZ189" s="186" t="n"/>
      <c r="BA189" s="186" t="n"/>
      <c r="BB189" s="186" t="n"/>
      <c r="BC189" s="186" t="n"/>
      <c r="BD189" s="190" t="n"/>
      <c r="BE189" s="186" t="n"/>
      <c r="BF189" s="186" t="n"/>
      <c r="BG189" s="186" t="n"/>
      <c r="BH189" s="186" t="n"/>
      <c r="BI189" s="186" t="n"/>
      <c r="BJ189" s="187" t="n"/>
      <c r="BK189" s="192" t="n"/>
      <c r="BL189" s="192" t="n"/>
      <c r="BM189" s="192" t="n"/>
      <c r="BN189" s="192" t="n"/>
    </row>
    <row r="190">
      <c r="A190" s="289">
        <f> 'Jobs-Ops'!A190</f>
        <v/>
      </c>
      <c r="B190" s="290">
        <f>'Jobs-Ops'!B190</f>
        <v/>
      </c>
      <c r="C190" s="290">
        <f>'Jobs-Ops'!C190</f>
        <v/>
      </c>
      <c r="D190" s="179" t="n"/>
      <c r="E190" s="181">
        <f>'Jobs-Ops'!I190</f>
        <v/>
      </c>
      <c r="F190" s="205">
        <f>'Jobs-Ops'!U190</f>
        <v/>
      </c>
      <c r="G190" s="181">
        <f>'Jobs-GAAP'!J190</f>
        <v/>
      </c>
      <c r="H190" s="205">
        <f>'Jobs-GAAP'!V190</f>
        <v/>
      </c>
      <c r="I190" s="181">
        <f>E190-G190</f>
        <v/>
      </c>
      <c r="J190" s="9">
        <f>'Jobs-Ops'!P190</f>
        <v/>
      </c>
      <c r="K190" s="9">
        <f>'Jobs-GAAP'!Q190</f>
        <v/>
      </c>
      <c r="L190" s="9">
        <f>J190-K190</f>
        <v/>
      </c>
      <c r="M190" s="186" t="n"/>
      <c r="N190" s="9">
        <f>'Jobs-Ops'!Y190</f>
        <v/>
      </c>
      <c r="O190" s="9">
        <f>'Jobs-GAAP'!Y190</f>
        <v/>
      </c>
      <c r="P190" s="9">
        <f>N190-O190</f>
        <v/>
      </c>
      <c r="Q190" s="186" t="n"/>
      <c r="R190" s="11">
        <f>'Jobs-Ops'!AL190</f>
        <v/>
      </c>
      <c r="S190" s="11">
        <f>'Jobs-GAAP'!AH190</f>
        <v/>
      </c>
      <c r="T190" s="11">
        <f>IFERROR(R190-S190,0)</f>
        <v/>
      </c>
      <c r="U190" s="8">
        <f>'Jobs-Ops'!AM190</f>
        <v/>
      </c>
      <c r="V190" s="8">
        <f>'Jobs-GAAP'!AI190</f>
        <v/>
      </c>
      <c r="W190" s="8">
        <f>IFERROR(U190-V190,0)</f>
        <v/>
      </c>
      <c r="X190" s="9">
        <f>'Jobs-Ops'!AN190</f>
        <v/>
      </c>
      <c r="Y190" s="9">
        <f>'Jobs-GAAP'!AJ190</f>
        <v/>
      </c>
      <c r="Z190" s="9">
        <f>IFERROR(X190-Y190,0)</f>
        <v/>
      </c>
      <c r="AA190" s="153">
        <f>'Jobs-Ops'!AO190</f>
        <v/>
      </c>
      <c r="AB190" s="187" t="n"/>
      <c r="AC190" s="186" t="n"/>
      <c r="AD190" s="186" t="n"/>
      <c r="AE190" s="188" t="n"/>
      <c r="AF190" s="187" t="n"/>
      <c r="AG190" s="187" t="n"/>
      <c r="AH190" s="186" t="n"/>
      <c r="AI190" s="186" t="n"/>
      <c r="AJ190" s="186" t="n"/>
      <c r="AK190" s="186" t="n"/>
      <c r="AL190" s="186" t="n"/>
      <c r="AM190" s="186" t="n"/>
      <c r="AN190" s="186" t="n"/>
      <c r="AO190" s="186" t="n"/>
      <c r="AP190" s="186" t="n"/>
      <c r="AQ190" s="186" t="n"/>
      <c r="AR190" s="186" t="n"/>
      <c r="AS190" s="186" t="n"/>
      <c r="AT190" s="186" t="n"/>
      <c r="AU190" s="186" t="n"/>
      <c r="AV190" s="186" t="n"/>
      <c r="AW190" s="186" t="n"/>
      <c r="AX190" s="186" t="n"/>
      <c r="AY190" s="186" t="n"/>
      <c r="AZ190" s="186" t="n"/>
      <c r="BA190" s="186" t="n"/>
      <c r="BB190" s="186" t="n"/>
      <c r="BC190" s="186" t="n"/>
      <c r="BD190" s="190" t="n"/>
      <c r="BE190" s="186" t="n"/>
      <c r="BF190" s="186" t="n"/>
      <c r="BG190" s="186" t="n"/>
      <c r="BH190" s="186" t="n"/>
      <c r="BI190" s="186" t="n"/>
      <c r="BJ190" s="187" t="n"/>
      <c r="BK190" s="192" t="n"/>
      <c r="BL190" s="192" t="n"/>
      <c r="BM190" s="192" t="n"/>
      <c r="BN190" s="192" t="n"/>
    </row>
    <row r="191">
      <c r="A191" s="289">
        <f> 'Jobs-Ops'!A191</f>
        <v/>
      </c>
      <c r="B191" s="290">
        <f>'Jobs-Ops'!B191</f>
        <v/>
      </c>
      <c r="C191" s="290">
        <f>'Jobs-Ops'!C191</f>
        <v/>
      </c>
      <c r="D191" s="179" t="n"/>
      <c r="E191" s="181">
        <f>'Jobs-Ops'!I191</f>
        <v/>
      </c>
      <c r="F191" s="205">
        <f>'Jobs-Ops'!U191</f>
        <v/>
      </c>
      <c r="G191" s="181">
        <f>'Jobs-GAAP'!J191</f>
        <v/>
      </c>
      <c r="H191" s="205">
        <f>'Jobs-GAAP'!V191</f>
        <v/>
      </c>
      <c r="I191" s="181">
        <f>E191-G191</f>
        <v/>
      </c>
      <c r="J191" s="9">
        <f>'Jobs-Ops'!P191</f>
        <v/>
      </c>
      <c r="K191" s="9">
        <f>'Jobs-GAAP'!Q191</f>
        <v/>
      </c>
      <c r="L191" s="9">
        <f>J191-K191</f>
        <v/>
      </c>
      <c r="M191" s="186" t="n"/>
      <c r="N191" s="9">
        <f>'Jobs-Ops'!Y191</f>
        <v/>
      </c>
      <c r="O191" s="9">
        <f>'Jobs-GAAP'!Y191</f>
        <v/>
      </c>
      <c r="P191" s="9">
        <f>N191-O191</f>
        <v/>
      </c>
      <c r="Q191" s="186" t="n"/>
      <c r="R191" s="11">
        <f>'Jobs-Ops'!AL191</f>
        <v/>
      </c>
      <c r="S191" s="11">
        <f>'Jobs-GAAP'!AH191</f>
        <v/>
      </c>
      <c r="T191" s="11">
        <f>IFERROR(R191-S191,0)</f>
        <v/>
      </c>
      <c r="U191" s="8">
        <f>'Jobs-Ops'!AM191</f>
        <v/>
      </c>
      <c r="V191" s="8">
        <f>'Jobs-GAAP'!AI191</f>
        <v/>
      </c>
      <c r="W191" s="8">
        <f>IFERROR(U191-V191,0)</f>
        <v/>
      </c>
      <c r="X191" s="9">
        <f>'Jobs-Ops'!AN191</f>
        <v/>
      </c>
      <c r="Y191" s="9">
        <f>'Jobs-GAAP'!AJ191</f>
        <v/>
      </c>
      <c r="Z191" s="9">
        <f>IFERROR(X191-Y191,0)</f>
        <v/>
      </c>
      <c r="AA191" s="153">
        <f>'Jobs-Ops'!AO191</f>
        <v/>
      </c>
      <c r="AB191" s="187" t="n"/>
      <c r="AC191" s="186" t="n"/>
      <c r="AD191" s="186" t="n"/>
      <c r="AE191" s="188" t="n"/>
      <c r="AF191" s="187" t="n"/>
      <c r="AG191" s="187" t="n"/>
      <c r="AH191" s="186" t="n"/>
      <c r="AI191" s="186" t="n"/>
      <c r="AJ191" s="186" t="n"/>
      <c r="AK191" s="186" t="n"/>
      <c r="AL191" s="186" t="n"/>
      <c r="AM191" s="186" t="n"/>
      <c r="AN191" s="186" t="n"/>
      <c r="AO191" s="186" t="n"/>
      <c r="AP191" s="186" t="n"/>
      <c r="AQ191" s="186" t="n"/>
      <c r="AR191" s="186" t="n"/>
      <c r="AS191" s="186" t="n"/>
      <c r="AT191" s="186" t="n"/>
      <c r="AU191" s="186" t="n"/>
      <c r="AV191" s="186" t="n"/>
      <c r="AW191" s="186" t="n"/>
      <c r="AX191" s="186" t="n"/>
      <c r="AY191" s="186" t="n"/>
      <c r="AZ191" s="186" t="n"/>
      <c r="BA191" s="186" t="n"/>
      <c r="BB191" s="186" t="n"/>
      <c r="BC191" s="186" t="n"/>
      <c r="BD191" s="190" t="n"/>
      <c r="BE191" s="186" t="n"/>
      <c r="BF191" s="186" t="n"/>
      <c r="BG191" s="186" t="n"/>
      <c r="BH191" s="186" t="n"/>
      <c r="BI191" s="186" t="n"/>
      <c r="BJ191" s="187" t="n"/>
      <c r="BK191" s="192" t="n"/>
      <c r="BL191" s="192" t="n"/>
      <c r="BM191" s="192" t="n"/>
      <c r="BN191" s="192" t="n"/>
    </row>
    <row r="192">
      <c r="A192" s="289">
        <f> 'Jobs-Ops'!A192</f>
        <v/>
      </c>
      <c r="B192" s="290">
        <f>'Jobs-Ops'!B192</f>
        <v/>
      </c>
      <c r="C192" s="290">
        <f>'Jobs-Ops'!C192</f>
        <v/>
      </c>
      <c r="D192" s="179" t="n"/>
      <c r="E192" s="181">
        <f>'Jobs-Ops'!I192</f>
        <v/>
      </c>
      <c r="F192" s="205">
        <f>'Jobs-Ops'!U192</f>
        <v/>
      </c>
      <c r="G192" s="181">
        <f>'Jobs-GAAP'!J192</f>
        <v/>
      </c>
      <c r="H192" s="205">
        <f>'Jobs-GAAP'!V192</f>
        <v/>
      </c>
      <c r="I192" s="181">
        <f>E192-G192</f>
        <v/>
      </c>
      <c r="J192" s="9">
        <f>'Jobs-Ops'!P192</f>
        <v/>
      </c>
      <c r="K192" s="9">
        <f>'Jobs-GAAP'!Q192</f>
        <v/>
      </c>
      <c r="L192" s="9">
        <f>J192-K192</f>
        <v/>
      </c>
      <c r="M192" s="186" t="n"/>
      <c r="N192" s="9">
        <f>'Jobs-Ops'!Y192</f>
        <v/>
      </c>
      <c r="O192" s="9">
        <f>'Jobs-GAAP'!Y192</f>
        <v/>
      </c>
      <c r="P192" s="9">
        <f>N192-O192</f>
        <v/>
      </c>
      <c r="Q192" s="186" t="n"/>
      <c r="R192" s="11">
        <f>'Jobs-Ops'!AL192</f>
        <v/>
      </c>
      <c r="S192" s="11">
        <f>'Jobs-GAAP'!AH192</f>
        <v/>
      </c>
      <c r="T192" s="11">
        <f>IFERROR(R192-S192,0)</f>
        <v/>
      </c>
      <c r="U192" s="8">
        <f>'Jobs-Ops'!AM192</f>
        <v/>
      </c>
      <c r="V192" s="8">
        <f>'Jobs-GAAP'!AI192</f>
        <v/>
      </c>
      <c r="W192" s="8">
        <f>IFERROR(U192-V192,0)</f>
        <v/>
      </c>
      <c r="X192" s="9">
        <f>'Jobs-Ops'!AN192</f>
        <v/>
      </c>
      <c r="Y192" s="9">
        <f>'Jobs-GAAP'!AJ192</f>
        <v/>
      </c>
      <c r="Z192" s="9">
        <f>IFERROR(X192-Y192,0)</f>
        <v/>
      </c>
      <c r="AA192" s="153">
        <f>'Jobs-Ops'!AO192</f>
        <v/>
      </c>
      <c r="AB192" s="187" t="n"/>
      <c r="AC192" s="186" t="n"/>
      <c r="AD192" s="186" t="n"/>
      <c r="AE192" s="188" t="n"/>
      <c r="AF192" s="187" t="n"/>
      <c r="AG192" s="187" t="n"/>
      <c r="AH192" s="186" t="n"/>
      <c r="AI192" s="186" t="n"/>
      <c r="AJ192" s="186" t="n"/>
      <c r="AK192" s="186" t="n"/>
      <c r="AL192" s="186" t="n"/>
      <c r="AM192" s="186" t="n"/>
      <c r="AN192" s="186" t="n"/>
      <c r="AO192" s="186" t="n"/>
      <c r="AP192" s="186" t="n"/>
      <c r="AQ192" s="186" t="n"/>
      <c r="AR192" s="186" t="n"/>
      <c r="AS192" s="186" t="n"/>
      <c r="AT192" s="186" t="n"/>
      <c r="AU192" s="186" t="n"/>
      <c r="AV192" s="186" t="n"/>
      <c r="AW192" s="186" t="n"/>
      <c r="AX192" s="186" t="n"/>
      <c r="AY192" s="186" t="n"/>
      <c r="AZ192" s="186" t="n"/>
      <c r="BA192" s="186" t="n"/>
      <c r="BB192" s="186" t="n"/>
      <c r="BC192" s="186" t="n"/>
      <c r="BD192" s="190" t="n"/>
      <c r="BE192" s="186" t="n"/>
      <c r="BF192" s="186" t="n"/>
      <c r="BG192" s="186" t="n"/>
      <c r="BH192" s="186" t="n"/>
      <c r="BI192" s="186" t="n"/>
      <c r="BJ192" s="187" t="n"/>
      <c r="BK192" s="192" t="n"/>
      <c r="BL192" s="192" t="n"/>
      <c r="BM192" s="192" t="n"/>
      <c r="BN192" s="192" t="n"/>
    </row>
    <row r="193">
      <c r="A193" s="289">
        <f> 'Jobs-Ops'!A193</f>
        <v/>
      </c>
      <c r="B193" s="290">
        <f>'Jobs-Ops'!B193</f>
        <v/>
      </c>
      <c r="C193" s="290">
        <f>'Jobs-Ops'!C193</f>
        <v/>
      </c>
      <c r="D193" s="179" t="n"/>
      <c r="E193" s="181">
        <f>'Jobs-Ops'!I193</f>
        <v/>
      </c>
      <c r="F193" s="205">
        <f>'Jobs-Ops'!U193</f>
        <v/>
      </c>
      <c r="G193" s="181">
        <f>'Jobs-GAAP'!J193</f>
        <v/>
      </c>
      <c r="H193" s="205">
        <f>'Jobs-GAAP'!V193</f>
        <v/>
      </c>
      <c r="I193" s="181">
        <f>E193-G193</f>
        <v/>
      </c>
      <c r="J193" s="9">
        <f>'Jobs-Ops'!P193</f>
        <v/>
      </c>
      <c r="K193" s="9">
        <f>'Jobs-GAAP'!Q193</f>
        <v/>
      </c>
      <c r="L193" s="9">
        <f>J193-K193</f>
        <v/>
      </c>
      <c r="M193" s="186" t="n"/>
      <c r="N193" s="9">
        <f>'Jobs-Ops'!Y193</f>
        <v/>
      </c>
      <c r="O193" s="9">
        <f>'Jobs-GAAP'!Y193</f>
        <v/>
      </c>
      <c r="P193" s="9">
        <f>N193-O193</f>
        <v/>
      </c>
      <c r="Q193" s="186" t="n"/>
      <c r="R193" s="11">
        <f>'Jobs-Ops'!AL193</f>
        <v/>
      </c>
      <c r="S193" s="11">
        <f>'Jobs-GAAP'!AH193</f>
        <v/>
      </c>
      <c r="T193" s="11">
        <f>IFERROR(R193-S193,0)</f>
        <v/>
      </c>
      <c r="U193" s="8">
        <f>'Jobs-Ops'!AM193</f>
        <v/>
      </c>
      <c r="V193" s="8">
        <f>'Jobs-GAAP'!AI193</f>
        <v/>
      </c>
      <c r="W193" s="8">
        <f>IFERROR(U193-V193,0)</f>
        <v/>
      </c>
      <c r="X193" s="9">
        <f>'Jobs-Ops'!AN193</f>
        <v/>
      </c>
      <c r="Y193" s="9">
        <f>'Jobs-GAAP'!AJ193</f>
        <v/>
      </c>
      <c r="Z193" s="9">
        <f>IFERROR(X193-Y193,0)</f>
        <v/>
      </c>
      <c r="AA193" s="153">
        <f>'Jobs-Ops'!AO193</f>
        <v/>
      </c>
      <c r="AB193" s="187" t="n"/>
      <c r="AC193" s="186" t="n"/>
      <c r="AD193" s="186" t="n"/>
      <c r="AE193" s="188" t="n"/>
      <c r="AF193" s="187" t="n"/>
      <c r="AG193" s="187" t="n"/>
      <c r="AH193" s="186" t="n"/>
      <c r="AI193" s="186" t="n"/>
      <c r="AJ193" s="186" t="n"/>
      <c r="AK193" s="186" t="n"/>
      <c r="AL193" s="186" t="n"/>
      <c r="AM193" s="186" t="n"/>
      <c r="AN193" s="186" t="n"/>
      <c r="AO193" s="186" t="n"/>
      <c r="AP193" s="186" t="n"/>
      <c r="AQ193" s="186" t="n"/>
      <c r="AR193" s="186" t="n"/>
      <c r="AS193" s="186" t="n"/>
      <c r="AT193" s="186" t="n"/>
      <c r="AU193" s="186" t="n"/>
      <c r="AV193" s="186" t="n"/>
      <c r="AW193" s="186" t="n"/>
      <c r="AX193" s="186" t="n"/>
      <c r="AY193" s="186" t="n"/>
      <c r="AZ193" s="186" t="n"/>
      <c r="BA193" s="186" t="n"/>
      <c r="BB193" s="186" t="n"/>
      <c r="BC193" s="186" t="n"/>
      <c r="BD193" s="190" t="n"/>
      <c r="BE193" s="186" t="n"/>
      <c r="BF193" s="186" t="n"/>
      <c r="BG193" s="186" t="n"/>
      <c r="BH193" s="186" t="n"/>
      <c r="BI193" s="186" t="n"/>
      <c r="BJ193" s="187" t="n"/>
      <c r="BK193" s="192" t="n"/>
      <c r="BL193" s="192" t="n"/>
      <c r="BM193" s="192" t="n"/>
      <c r="BN193" s="192" t="n"/>
    </row>
    <row r="194">
      <c r="A194" s="289">
        <f> 'Jobs-Ops'!A194</f>
        <v/>
      </c>
      <c r="B194" s="290">
        <f>'Jobs-Ops'!B194</f>
        <v/>
      </c>
      <c r="C194" s="290">
        <f>'Jobs-Ops'!C194</f>
        <v/>
      </c>
      <c r="D194" s="179" t="n"/>
      <c r="E194" s="181">
        <f>'Jobs-Ops'!I194</f>
        <v/>
      </c>
      <c r="F194" s="205">
        <f>'Jobs-Ops'!U194</f>
        <v/>
      </c>
      <c r="G194" s="181">
        <f>'Jobs-GAAP'!J194</f>
        <v/>
      </c>
      <c r="H194" s="205">
        <f>'Jobs-GAAP'!V194</f>
        <v/>
      </c>
      <c r="I194" s="181">
        <f>E194-G194</f>
        <v/>
      </c>
      <c r="J194" s="9">
        <f>'Jobs-Ops'!P194</f>
        <v/>
      </c>
      <c r="K194" s="9">
        <f>'Jobs-GAAP'!Q194</f>
        <v/>
      </c>
      <c r="L194" s="9">
        <f>J194-K194</f>
        <v/>
      </c>
      <c r="M194" s="186" t="n"/>
      <c r="N194" s="9">
        <f>'Jobs-Ops'!Y194</f>
        <v/>
      </c>
      <c r="O194" s="9">
        <f>'Jobs-GAAP'!Y194</f>
        <v/>
      </c>
      <c r="P194" s="9">
        <f>N194-O194</f>
        <v/>
      </c>
      <c r="Q194" s="186" t="n"/>
      <c r="R194" s="11">
        <f>'Jobs-Ops'!AL194</f>
        <v/>
      </c>
      <c r="S194" s="11">
        <f>'Jobs-GAAP'!AH194</f>
        <v/>
      </c>
      <c r="T194" s="11">
        <f>IFERROR(R194-S194,0)</f>
        <v/>
      </c>
      <c r="U194" s="8">
        <f>'Jobs-Ops'!AM194</f>
        <v/>
      </c>
      <c r="V194" s="8">
        <f>'Jobs-GAAP'!AI194</f>
        <v/>
      </c>
      <c r="W194" s="8">
        <f>IFERROR(U194-V194,0)</f>
        <v/>
      </c>
      <c r="X194" s="9">
        <f>'Jobs-Ops'!AN194</f>
        <v/>
      </c>
      <c r="Y194" s="9">
        <f>'Jobs-GAAP'!AJ194</f>
        <v/>
      </c>
      <c r="Z194" s="9">
        <f>IFERROR(X194-Y194,0)</f>
        <v/>
      </c>
      <c r="AA194" s="153">
        <f>'Jobs-Ops'!AO194</f>
        <v/>
      </c>
      <c r="AB194" s="187" t="n"/>
      <c r="AC194" s="186" t="n"/>
      <c r="AD194" s="186" t="n"/>
      <c r="AE194" s="188" t="n"/>
      <c r="AF194" s="187" t="n"/>
      <c r="AG194" s="187" t="n"/>
      <c r="AH194" s="186" t="n"/>
      <c r="AI194" s="186" t="n"/>
      <c r="AJ194" s="186" t="n"/>
      <c r="AK194" s="186" t="n"/>
      <c r="AL194" s="186" t="n"/>
      <c r="AM194" s="186" t="n"/>
      <c r="AN194" s="186" t="n"/>
      <c r="AO194" s="186" t="n"/>
      <c r="AP194" s="186" t="n"/>
      <c r="AQ194" s="186" t="n"/>
      <c r="AR194" s="186" t="n"/>
      <c r="AS194" s="186" t="n"/>
      <c r="AT194" s="186" t="n"/>
      <c r="AU194" s="186" t="n"/>
      <c r="AV194" s="186" t="n"/>
      <c r="AW194" s="186" t="n"/>
      <c r="AX194" s="186" t="n"/>
      <c r="AY194" s="186" t="n"/>
      <c r="AZ194" s="186" t="n"/>
      <c r="BA194" s="186" t="n"/>
      <c r="BB194" s="186" t="n"/>
      <c r="BC194" s="186" t="n"/>
      <c r="BD194" s="190" t="n"/>
      <c r="BE194" s="186" t="n"/>
      <c r="BF194" s="186" t="n"/>
      <c r="BG194" s="186" t="n"/>
      <c r="BH194" s="186" t="n"/>
      <c r="BI194" s="186" t="n"/>
      <c r="BJ194" s="187" t="n"/>
      <c r="BK194" s="192" t="n"/>
      <c r="BL194" s="192" t="n"/>
      <c r="BM194" s="192" t="n"/>
      <c r="BN194" s="192" t="n"/>
    </row>
    <row r="195">
      <c r="A195" s="289">
        <f> 'Jobs-Ops'!A195</f>
        <v/>
      </c>
      <c r="B195" s="290">
        <f>'Jobs-Ops'!B195</f>
        <v/>
      </c>
      <c r="C195" s="290">
        <f>'Jobs-Ops'!C195</f>
        <v/>
      </c>
      <c r="D195" s="179" t="n"/>
      <c r="E195" s="181">
        <f>'Jobs-Ops'!I195</f>
        <v/>
      </c>
      <c r="F195" s="205">
        <f>'Jobs-Ops'!U195</f>
        <v/>
      </c>
      <c r="G195" s="181">
        <f>'Jobs-GAAP'!J195</f>
        <v/>
      </c>
      <c r="H195" s="205">
        <f>'Jobs-GAAP'!V195</f>
        <v/>
      </c>
      <c r="I195" s="181">
        <f>E195-G195</f>
        <v/>
      </c>
      <c r="J195" s="9">
        <f>'Jobs-Ops'!P195</f>
        <v/>
      </c>
      <c r="K195" s="9">
        <f>'Jobs-GAAP'!Q195</f>
        <v/>
      </c>
      <c r="L195" s="9">
        <f>J195-K195</f>
        <v/>
      </c>
      <c r="M195" s="186" t="n"/>
      <c r="N195" s="9">
        <f>'Jobs-Ops'!Y195</f>
        <v/>
      </c>
      <c r="O195" s="9">
        <f>'Jobs-GAAP'!Y195</f>
        <v/>
      </c>
      <c r="P195" s="9">
        <f>N195-O195</f>
        <v/>
      </c>
      <c r="Q195" s="186" t="n"/>
      <c r="R195" s="11">
        <f>'Jobs-Ops'!AL195</f>
        <v/>
      </c>
      <c r="S195" s="11">
        <f>'Jobs-GAAP'!AH195</f>
        <v/>
      </c>
      <c r="T195" s="11">
        <f>IFERROR(R195-S195,0)</f>
        <v/>
      </c>
      <c r="U195" s="8">
        <f>'Jobs-Ops'!AM195</f>
        <v/>
      </c>
      <c r="V195" s="8">
        <f>'Jobs-GAAP'!AI195</f>
        <v/>
      </c>
      <c r="W195" s="8">
        <f>IFERROR(U195-V195,0)</f>
        <v/>
      </c>
      <c r="X195" s="9">
        <f>'Jobs-Ops'!AN195</f>
        <v/>
      </c>
      <c r="Y195" s="9">
        <f>'Jobs-GAAP'!AJ195</f>
        <v/>
      </c>
      <c r="Z195" s="9">
        <f>IFERROR(X195-Y195,0)</f>
        <v/>
      </c>
      <c r="AA195" s="153">
        <f>'Jobs-Ops'!AO195</f>
        <v/>
      </c>
      <c r="AB195" s="187" t="n"/>
      <c r="AC195" s="186" t="n"/>
      <c r="AD195" s="186" t="n"/>
      <c r="AE195" s="188" t="n"/>
      <c r="AF195" s="187" t="n"/>
      <c r="AG195" s="187" t="n"/>
      <c r="AH195" s="186" t="n"/>
      <c r="AI195" s="186" t="n"/>
      <c r="AJ195" s="186" t="n"/>
      <c r="AK195" s="186" t="n"/>
      <c r="AL195" s="186" t="n"/>
      <c r="AM195" s="186" t="n"/>
      <c r="AN195" s="186" t="n"/>
      <c r="AO195" s="186" t="n"/>
      <c r="AP195" s="186" t="n"/>
      <c r="AQ195" s="186" t="n"/>
      <c r="AR195" s="186" t="n"/>
      <c r="AS195" s="186" t="n"/>
      <c r="AT195" s="186" t="n"/>
      <c r="AU195" s="186" t="n"/>
      <c r="AV195" s="186" t="n"/>
      <c r="AW195" s="186" t="n"/>
      <c r="AX195" s="186" t="n"/>
      <c r="AY195" s="186" t="n"/>
      <c r="AZ195" s="186" t="n"/>
      <c r="BA195" s="186" t="n"/>
      <c r="BB195" s="186" t="n"/>
      <c r="BC195" s="186" t="n"/>
      <c r="BD195" s="190" t="n"/>
      <c r="BE195" s="186" t="n"/>
      <c r="BF195" s="186" t="n"/>
      <c r="BG195" s="186" t="n"/>
      <c r="BH195" s="186" t="n"/>
      <c r="BI195" s="186" t="n"/>
      <c r="BJ195" s="187" t="n"/>
      <c r="BK195" s="192" t="n"/>
      <c r="BL195" s="192" t="n"/>
      <c r="BM195" s="192" t="n"/>
      <c r="BN195" s="192" t="n"/>
    </row>
    <row r="196">
      <c r="A196" s="289">
        <f> 'Jobs-Ops'!A196</f>
        <v/>
      </c>
      <c r="B196" s="290">
        <f>'Jobs-Ops'!B196</f>
        <v/>
      </c>
      <c r="C196" s="290">
        <f>'Jobs-Ops'!C196</f>
        <v/>
      </c>
      <c r="D196" s="179" t="n"/>
      <c r="E196" s="181">
        <f>'Jobs-Ops'!I196</f>
        <v/>
      </c>
      <c r="F196" s="205">
        <f>'Jobs-Ops'!U196</f>
        <v/>
      </c>
      <c r="G196" s="181">
        <f>'Jobs-GAAP'!J196</f>
        <v/>
      </c>
      <c r="H196" s="205">
        <f>'Jobs-GAAP'!V196</f>
        <v/>
      </c>
      <c r="I196" s="181">
        <f>E196-G196</f>
        <v/>
      </c>
      <c r="J196" s="9">
        <f>'Jobs-Ops'!P196</f>
        <v/>
      </c>
      <c r="K196" s="9">
        <f>'Jobs-GAAP'!Q196</f>
        <v/>
      </c>
      <c r="L196" s="9">
        <f>J196-K196</f>
        <v/>
      </c>
      <c r="M196" s="186" t="n"/>
      <c r="N196" s="9">
        <f>'Jobs-Ops'!Y196</f>
        <v/>
      </c>
      <c r="O196" s="9">
        <f>'Jobs-GAAP'!Y196</f>
        <v/>
      </c>
      <c r="P196" s="9">
        <f>N196-O196</f>
        <v/>
      </c>
      <c r="Q196" s="186" t="n"/>
      <c r="R196" s="11">
        <f>'Jobs-Ops'!AL196</f>
        <v/>
      </c>
      <c r="S196" s="11">
        <f>'Jobs-GAAP'!AH196</f>
        <v/>
      </c>
      <c r="T196" s="11">
        <f>IFERROR(R196-S196,0)</f>
        <v/>
      </c>
      <c r="U196" s="8">
        <f>'Jobs-Ops'!AM196</f>
        <v/>
      </c>
      <c r="V196" s="8">
        <f>'Jobs-GAAP'!AI196</f>
        <v/>
      </c>
      <c r="W196" s="8">
        <f>IFERROR(U196-V196,0)</f>
        <v/>
      </c>
      <c r="X196" s="9">
        <f>'Jobs-Ops'!AN196</f>
        <v/>
      </c>
      <c r="Y196" s="9">
        <f>'Jobs-GAAP'!AJ196</f>
        <v/>
      </c>
      <c r="Z196" s="9">
        <f>IFERROR(X196-Y196,0)</f>
        <v/>
      </c>
      <c r="AA196" s="153">
        <f>'Jobs-Ops'!AO196</f>
        <v/>
      </c>
      <c r="AB196" s="187" t="n"/>
      <c r="AC196" s="186" t="n"/>
      <c r="AD196" s="186" t="n"/>
      <c r="AE196" s="188" t="n"/>
      <c r="AF196" s="187" t="n"/>
      <c r="AG196" s="187" t="n"/>
      <c r="AH196" s="186" t="n"/>
      <c r="AI196" s="186" t="n"/>
      <c r="AJ196" s="186" t="n"/>
      <c r="AK196" s="186" t="n"/>
      <c r="AL196" s="186" t="n"/>
      <c r="AM196" s="186" t="n"/>
      <c r="AN196" s="186" t="n"/>
      <c r="AO196" s="186" t="n"/>
      <c r="AP196" s="186" t="n"/>
      <c r="AQ196" s="186" t="n"/>
      <c r="AR196" s="186" t="n"/>
      <c r="AS196" s="186" t="n"/>
      <c r="AT196" s="186" t="n"/>
      <c r="AU196" s="186" t="n"/>
      <c r="AV196" s="186" t="n"/>
      <c r="AW196" s="186" t="n"/>
      <c r="AX196" s="186" t="n"/>
      <c r="AY196" s="186" t="n"/>
      <c r="AZ196" s="186" t="n"/>
      <c r="BA196" s="186" t="n"/>
      <c r="BB196" s="186" t="n"/>
      <c r="BC196" s="186" t="n"/>
      <c r="BD196" s="190" t="n"/>
      <c r="BE196" s="186" t="n"/>
      <c r="BF196" s="186" t="n"/>
      <c r="BG196" s="186" t="n"/>
      <c r="BH196" s="186" t="n"/>
      <c r="BI196" s="186" t="n"/>
      <c r="BJ196" s="187" t="n"/>
      <c r="BK196" s="192" t="n"/>
      <c r="BL196" s="192" t="n"/>
      <c r="BM196" s="192" t="n"/>
      <c r="BN196" s="192" t="n"/>
    </row>
    <row r="197">
      <c r="A197" s="289">
        <f> 'Jobs-Ops'!A197</f>
        <v/>
      </c>
      <c r="B197" s="290">
        <f>'Jobs-Ops'!B197</f>
        <v/>
      </c>
      <c r="C197" s="290">
        <f>'Jobs-Ops'!C197</f>
        <v/>
      </c>
      <c r="D197" s="179" t="n"/>
      <c r="E197" s="181">
        <f>'Jobs-Ops'!I197</f>
        <v/>
      </c>
      <c r="F197" s="205">
        <f>'Jobs-Ops'!U197</f>
        <v/>
      </c>
      <c r="G197" s="181">
        <f>'Jobs-GAAP'!J197</f>
        <v/>
      </c>
      <c r="H197" s="205">
        <f>'Jobs-GAAP'!V197</f>
        <v/>
      </c>
      <c r="I197" s="181">
        <f>E197-G197</f>
        <v/>
      </c>
      <c r="J197" s="9">
        <f>'Jobs-Ops'!P197</f>
        <v/>
      </c>
      <c r="K197" s="9">
        <f>'Jobs-GAAP'!Q197</f>
        <v/>
      </c>
      <c r="L197" s="9">
        <f>J197-K197</f>
        <v/>
      </c>
      <c r="M197" s="186" t="n"/>
      <c r="N197" s="9">
        <f>'Jobs-Ops'!Y197</f>
        <v/>
      </c>
      <c r="O197" s="9">
        <f>'Jobs-GAAP'!Y197</f>
        <v/>
      </c>
      <c r="P197" s="9">
        <f>N197-O197</f>
        <v/>
      </c>
      <c r="Q197" s="186" t="n"/>
      <c r="R197" s="11">
        <f>'Jobs-Ops'!AL197</f>
        <v/>
      </c>
      <c r="S197" s="11">
        <f>'Jobs-GAAP'!AH197</f>
        <v/>
      </c>
      <c r="T197" s="11">
        <f>IFERROR(R197-S197,0)</f>
        <v/>
      </c>
      <c r="U197" s="8">
        <f>'Jobs-Ops'!AM197</f>
        <v/>
      </c>
      <c r="V197" s="8">
        <f>'Jobs-GAAP'!AI197</f>
        <v/>
      </c>
      <c r="W197" s="8">
        <f>IFERROR(U197-V197,0)</f>
        <v/>
      </c>
      <c r="X197" s="9">
        <f>'Jobs-Ops'!AN197</f>
        <v/>
      </c>
      <c r="Y197" s="9">
        <f>'Jobs-GAAP'!AJ197</f>
        <v/>
      </c>
      <c r="Z197" s="9">
        <f>IFERROR(X197-Y197,0)</f>
        <v/>
      </c>
      <c r="AA197" s="153">
        <f>'Jobs-Ops'!AO197</f>
        <v/>
      </c>
      <c r="AB197" s="187" t="n"/>
      <c r="AC197" s="186" t="n"/>
      <c r="AD197" s="186" t="n"/>
      <c r="AE197" s="188" t="n"/>
      <c r="AF197" s="187" t="n"/>
      <c r="AG197" s="187" t="n"/>
      <c r="AH197" s="186" t="n"/>
      <c r="AI197" s="186" t="n"/>
      <c r="AJ197" s="186" t="n"/>
      <c r="AK197" s="186" t="n"/>
      <c r="AL197" s="186" t="n"/>
      <c r="AM197" s="186" t="n"/>
      <c r="AN197" s="186" t="n"/>
      <c r="AO197" s="186" t="n"/>
      <c r="AP197" s="186" t="n"/>
      <c r="AQ197" s="186" t="n"/>
      <c r="AR197" s="186" t="n"/>
      <c r="AS197" s="186" t="n"/>
      <c r="AT197" s="186" t="n"/>
      <c r="AU197" s="186" t="n"/>
      <c r="AV197" s="186" t="n"/>
      <c r="AW197" s="186" t="n"/>
      <c r="AX197" s="186" t="n"/>
      <c r="AY197" s="186" t="n"/>
      <c r="AZ197" s="186" t="n"/>
      <c r="BA197" s="186" t="n"/>
      <c r="BB197" s="186" t="n"/>
      <c r="BC197" s="186" t="n"/>
      <c r="BD197" s="190" t="n"/>
      <c r="BE197" s="186" t="n"/>
      <c r="BF197" s="186" t="n"/>
      <c r="BG197" s="186" t="n"/>
      <c r="BH197" s="186" t="n"/>
      <c r="BI197" s="186" t="n"/>
      <c r="BJ197" s="187" t="n"/>
      <c r="BK197" s="192" t="n"/>
      <c r="BL197" s="192" t="n"/>
      <c r="BM197" s="192" t="n"/>
      <c r="BN197" s="192" t="n"/>
    </row>
    <row r="198">
      <c r="A198" s="289">
        <f> 'Jobs-Ops'!A198</f>
        <v/>
      </c>
      <c r="B198" s="290">
        <f>'Jobs-Ops'!B198</f>
        <v/>
      </c>
      <c r="C198" s="290">
        <f>'Jobs-Ops'!C198</f>
        <v/>
      </c>
      <c r="D198" s="179" t="n"/>
      <c r="E198" s="181">
        <f>'Jobs-Ops'!I198</f>
        <v/>
      </c>
      <c r="F198" s="205">
        <f>'Jobs-Ops'!U198</f>
        <v/>
      </c>
      <c r="G198" s="181">
        <f>'Jobs-GAAP'!J198</f>
        <v/>
      </c>
      <c r="H198" s="205">
        <f>'Jobs-GAAP'!V198</f>
        <v/>
      </c>
      <c r="I198" s="181">
        <f>E198-G198</f>
        <v/>
      </c>
      <c r="J198" s="9">
        <f>'Jobs-Ops'!P198</f>
        <v/>
      </c>
      <c r="K198" s="9">
        <f>'Jobs-GAAP'!Q198</f>
        <v/>
      </c>
      <c r="L198" s="9">
        <f>J198-K198</f>
        <v/>
      </c>
      <c r="M198" s="186" t="n"/>
      <c r="N198" s="9">
        <f>'Jobs-Ops'!Y198</f>
        <v/>
      </c>
      <c r="O198" s="9">
        <f>'Jobs-GAAP'!Y198</f>
        <v/>
      </c>
      <c r="P198" s="9">
        <f>N198-O198</f>
        <v/>
      </c>
      <c r="Q198" s="186" t="n"/>
      <c r="R198" s="11">
        <f>'Jobs-Ops'!AL198</f>
        <v/>
      </c>
      <c r="S198" s="11">
        <f>'Jobs-GAAP'!AH198</f>
        <v/>
      </c>
      <c r="T198" s="11">
        <f>IFERROR(R198-S198,0)</f>
        <v/>
      </c>
      <c r="U198" s="8">
        <f>'Jobs-Ops'!AM198</f>
        <v/>
      </c>
      <c r="V198" s="8">
        <f>'Jobs-GAAP'!AI198</f>
        <v/>
      </c>
      <c r="W198" s="8">
        <f>IFERROR(U198-V198,0)</f>
        <v/>
      </c>
      <c r="X198" s="9">
        <f>'Jobs-Ops'!AN198</f>
        <v/>
      </c>
      <c r="Y198" s="9">
        <f>'Jobs-GAAP'!AJ198</f>
        <v/>
      </c>
      <c r="Z198" s="9">
        <f>IFERROR(X198-Y198,0)</f>
        <v/>
      </c>
      <c r="AA198" s="153">
        <f>'Jobs-Ops'!AO198</f>
        <v/>
      </c>
      <c r="AB198" s="187" t="n"/>
      <c r="AC198" s="186" t="n"/>
      <c r="AD198" s="186" t="n"/>
      <c r="AE198" s="188" t="n"/>
      <c r="AF198" s="187" t="n"/>
      <c r="AG198" s="187" t="n"/>
      <c r="AH198" s="186" t="n"/>
      <c r="AI198" s="186" t="n"/>
      <c r="AJ198" s="186" t="n"/>
      <c r="AK198" s="186" t="n"/>
      <c r="AL198" s="186" t="n"/>
      <c r="AM198" s="186" t="n"/>
      <c r="AN198" s="186" t="n"/>
      <c r="AO198" s="186" t="n"/>
      <c r="AP198" s="186" t="n"/>
      <c r="AQ198" s="186" t="n"/>
      <c r="AR198" s="186" t="n"/>
      <c r="AS198" s="186" t="n"/>
      <c r="AT198" s="186" t="n"/>
      <c r="AU198" s="186" t="n"/>
      <c r="AV198" s="186" t="n"/>
      <c r="AW198" s="186" t="n"/>
      <c r="AX198" s="186" t="n"/>
      <c r="AY198" s="186" t="n"/>
      <c r="AZ198" s="186" t="n"/>
      <c r="BA198" s="186" t="n"/>
      <c r="BB198" s="186" t="n"/>
      <c r="BC198" s="186" t="n"/>
      <c r="BD198" s="190" t="n"/>
      <c r="BE198" s="186" t="n"/>
      <c r="BF198" s="186" t="n"/>
      <c r="BG198" s="186" t="n"/>
      <c r="BH198" s="186" t="n"/>
      <c r="BI198" s="186" t="n"/>
      <c r="BJ198" s="187" t="n"/>
      <c r="BK198" s="192" t="n"/>
      <c r="BL198" s="192" t="n"/>
      <c r="BM198" s="192" t="n"/>
      <c r="BN198" s="192" t="n"/>
    </row>
    <row r="199">
      <c r="A199" s="289">
        <f> 'Jobs-Ops'!A199</f>
        <v/>
      </c>
      <c r="B199" s="290">
        <f>'Jobs-Ops'!B199</f>
        <v/>
      </c>
      <c r="C199" s="290">
        <f>'Jobs-Ops'!C199</f>
        <v/>
      </c>
      <c r="D199" s="179" t="n"/>
      <c r="E199" s="181">
        <f>'Jobs-Ops'!I199</f>
        <v/>
      </c>
      <c r="F199" s="205">
        <f>'Jobs-Ops'!U199</f>
        <v/>
      </c>
      <c r="G199" s="181">
        <f>'Jobs-GAAP'!J199</f>
        <v/>
      </c>
      <c r="H199" s="205">
        <f>'Jobs-GAAP'!V199</f>
        <v/>
      </c>
      <c r="I199" s="181">
        <f>E199-G199</f>
        <v/>
      </c>
      <c r="J199" s="9">
        <f>'Jobs-Ops'!P199</f>
        <v/>
      </c>
      <c r="K199" s="9">
        <f>'Jobs-GAAP'!Q199</f>
        <v/>
      </c>
      <c r="L199" s="9">
        <f>J199-K199</f>
        <v/>
      </c>
      <c r="M199" s="186" t="n"/>
      <c r="N199" s="9">
        <f>'Jobs-Ops'!Y199</f>
        <v/>
      </c>
      <c r="O199" s="9">
        <f>'Jobs-GAAP'!Y199</f>
        <v/>
      </c>
      <c r="P199" s="9">
        <f>N199-O199</f>
        <v/>
      </c>
      <c r="Q199" s="186" t="n"/>
      <c r="R199" s="11">
        <f>'Jobs-Ops'!AL199</f>
        <v/>
      </c>
      <c r="S199" s="11">
        <f>'Jobs-GAAP'!AH199</f>
        <v/>
      </c>
      <c r="T199" s="11">
        <f>IFERROR(R199-S199,0)</f>
        <v/>
      </c>
      <c r="U199" s="8">
        <f>'Jobs-Ops'!AM199</f>
        <v/>
      </c>
      <c r="V199" s="8">
        <f>'Jobs-GAAP'!AI199</f>
        <v/>
      </c>
      <c r="W199" s="8">
        <f>IFERROR(U199-V199,0)</f>
        <v/>
      </c>
      <c r="X199" s="9">
        <f>'Jobs-Ops'!AN199</f>
        <v/>
      </c>
      <c r="Y199" s="9">
        <f>'Jobs-GAAP'!AJ199</f>
        <v/>
      </c>
      <c r="Z199" s="9">
        <f>IFERROR(X199-Y199,0)</f>
        <v/>
      </c>
      <c r="AA199" s="153">
        <f>'Jobs-Ops'!AO199</f>
        <v/>
      </c>
      <c r="AB199" s="187" t="n"/>
      <c r="AC199" s="186" t="n"/>
      <c r="AD199" s="186" t="n"/>
      <c r="AE199" s="188" t="n"/>
      <c r="AF199" s="187" t="n"/>
      <c r="AG199" s="187" t="n"/>
      <c r="AH199" s="186" t="n"/>
      <c r="AI199" s="186" t="n"/>
      <c r="AJ199" s="186" t="n"/>
      <c r="AK199" s="186" t="n"/>
      <c r="AL199" s="186" t="n"/>
      <c r="AM199" s="186" t="n"/>
      <c r="AN199" s="186" t="n"/>
      <c r="AO199" s="186" t="n"/>
      <c r="AP199" s="186" t="n"/>
      <c r="AQ199" s="186" t="n"/>
      <c r="AR199" s="186" t="n"/>
      <c r="AS199" s="186" t="n"/>
      <c r="AT199" s="186" t="n"/>
      <c r="AU199" s="186" t="n"/>
      <c r="AV199" s="186" t="n"/>
      <c r="AW199" s="186" t="n"/>
      <c r="AX199" s="186" t="n"/>
      <c r="AY199" s="186" t="n"/>
      <c r="AZ199" s="186" t="n"/>
      <c r="BA199" s="186" t="n"/>
      <c r="BB199" s="186" t="n"/>
      <c r="BC199" s="186" t="n"/>
      <c r="BD199" s="190" t="n"/>
      <c r="BE199" s="186" t="n"/>
      <c r="BF199" s="186" t="n"/>
      <c r="BG199" s="186" t="n"/>
      <c r="BH199" s="186" t="n"/>
      <c r="BI199" s="186" t="n"/>
      <c r="BJ199" s="187" t="n"/>
      <c r="BK199" s="192" t="n"/>
      <c r="BL199" s="192" t="n"/>
      <c r="BM199" s="192" t="n"/>
      <c r="BN199" s="192" t="n"/>
    </row>
    <row r="200">
      <c r="A200" s="289">
        <f> 'Jobs-Ops'!A200</f>
        <v/>
      </c>
      <c r="B200" s="290">
        <f>'Jobs-Ops'!B200</f>
        <v/>
      </c>
      <c r="C200" s="290">
        <f>'Jobs-Ops'!C200</f>
        <v/>
      </c>
      <c r="D200" s="179" t="n"/>
      <c r="E200" s="181">
        <f>'Jobs-Ops'!I200</f>
        <v/>
      </c>
      <c r="F200" s="205">
        <f>'Jobs-Ops'!U200</f>
        <v/>
      </c>
      <c r="G200" s="181">
        <f>'Jobs-GAAP'!J200</f>
        <v/>
      </c>
      <c r="H200" s="205">
        <f>'Jobs-GAAP'!V200</f>
        <v/>
      </c>
      <c r="I200" s="181">
        <f>E200-G200</f>
        <v/>
      </c>
      <c r="J200" s="9">
        <f>'Jobs-Ops'!P200</f>
        <v/>
      </c>
      <c r="K200" s="9">
        <f>'Jobs-GAAP'!Q200</f>
        <v/>
      </c>
      <c r="L200" s="9">
        <f>J200-K200</f>
        <v/>
      </c>
      <c r="M200" s="186" t="n"/>
      <c r="N200" s="9">
        <f>'Jobs-Ops'!Y200</f>
        <v/>
      </c>
      <c r="O200" s="9">
        <f>'Jobs-GAAP'!Y200</f>
        <v/>
      </c>
      <c r="P200" s="9">
        <f>N200-O200</f>
        <v/>
      </c>
      <c r="Q200" s="186" t="n"/>
      <c r="R200" s="11">
        <f>'Jobs-Ops'!AL200</f>
        <v/>
      </c>
      <c r="S200" s="11">
        <f>'Jobs-GAAP'!AH200</f>
        <v/>
      </c>
      <c r="T200" s="11">
        <f>IFERROR(R200-S200,0)</f>
        <v/>
      </c>
      <c r="U200" s="8">
        <f>'Jobs-Ops'!AM200</f>
        <v/>
      </c>
      <c r="V200" s="8">
        <f>'Jobs-GAAP'!AI200</f>
        <v/>
      </c>
      <c r="W200" s="8">
        <f>IFERROR(U200-V200,0)</f>
        <v/>
      </c>
      <c r="X200" s="9">
        <f>'Jobs-Ops'!AN200</f>
        <v/>
      </c>
      <c r="Y200" s="9">
        <f>'Jobs-GAAP'!AJ200</f>
        <v/>
      </c>
      <c r="Z200" s="9">
        <f>IFERROR(X200-Y200,0)</f>
        <v/>
      </c>
      <c r="AA200" s="153">
        <f>'Jobs-Ops'!AO200</f>
        <v/>
      </c>
      <c r="AB200" s="187" t="n"/>
      <c r="AC200" s="186" t="n"/>
      <c r="AD200" s="186" t="n"/>
      <c r="AE200" s="188" t="n"/>
      <c r="AF200" s="187" t="n"/>
      <c r="AG200" s="187" t="n"/>
      <c r="AH200" s="186" t="n"/>
      <c r="AI200" s="186" t="n"/>
      <c r="AJ200" s="186" t="n"/>
      <c r="AK200" s="186" t="n"/>
      <c r="AL200" s="186" t="n"/>
      <c r="AM200" s="186" t="n"/>
      <c r="AN200" s="186" t="n"/>
      <c r="AO200" s="186" t="n"/>
      <c r="AP200" s="186" t="n"/>
      <c r="AQ200" s="186" t="n"/>
      <c r="AR200" s="186" t="n"/>
      <c r="AS200" s="186" t="n"/>
      <c r="AT200" s="186" t="n"/>
      <c r="AU200" s="186" t="n"/>
      <c r="AV200" s="186" t="n"/>
      <c r="AW200" s="186" t="n"/>
      <c r="AX200" s="186" t="n"/>
      <c r="AY200" s="186" t="n"/>
      <c r="AZ200" s="186" t="n"/>
      <c r="BA200" s="186" t="n"/>
      <c r="BB200" s="186" t="n"/>
      <c r="BC200" s="186" t="n"/>
      <c r="BD200" s="190" t="n"/>
      <c r="BE200" s="186" t="n"/>
      <c r="BF200" s="186" t="n"/>
      <c r="BG200" s="186" t="n"/>
      <c r="BH200" s="186" t="n"/>
      <c r="BI200" s="186" t="n"/>
      <c r="BJ200" s="187" t="n"/>
      <c r="BK200" s="192" t="n"/>
      <c r="BL200" s="192" t="n"/>
      <c r="BM200" s="192" t="n"/>
      <c r="BN200" s="192" t="n"/>
    </row>
    <row r="201">
      <c r="A201" s="289">
        <f> 'Jobs-Ops'!A201</f>
        <v/>
      </c>
      <c r="B201" s="290">
        <f>'Jobs-Ops'!B201</f>
        <v/>
      </c>
      <c r="C201" s="290">
        <f>'Jobs-Ops'!C201</f>
        <v/>
      </c>
      <c r="D201" s="179" t="n"/>
      <c r="E201" s="181">
        <f>'Jobs-Ops'!I201</f>
        <v/>
      </c>
      <c r="F201" s="205">
        <f>'Jobs-Ops'!U201</f>
        <v/>
      </c>
      <c r="G201" s="181">
        <f>'Jobs-GAAP'!J201</f>
        <v/>
      </c>
      <c r="H201" s="205">
        <f>'Jobs-GAAP'!V201</f>
        <v/>
      </c>
      <c r="I201" s="181">
        <f>E201-G201</f>
        <v/>
      </c>
      <c r="J201" s="9">
        <f>'Jobs-Ops'!P201</f>
        <v/>
      </c>
      <c r="K201" s="9">
        <f>'Jobs-GAAP'!Q201</f>
        <v/>
      </c>
      <c r="L201" s="9">
        <f>J201-K201</f>
        <v/>
      </c>
      <c r="M201" s="186" t="n"/>
      <c r="N201" s="9">
        <f>'Jobs-Ops'!Y201</f>
        <v/>
      </c>
      <c r="O201" s="9">
        <f>'Jobs-GAAP'!Y201</f>
        <v/>
      </c>
      <c r="P201" s="9">
        <f>N201-O201</f>
        <v/>
      </c>
      <c r="Q201" s="186" t="n"/>
      <c r="R201" s="11">
        <f>'Jobs-Ops'!AL201</f>
        <v/>
      </c>
      <c r="S201" s="11">
        <f>'Jobs-GAAP'!AH201</f>
        <v/>
      </c>
      <c r="T201" s="11">
        <f>IFERROR(R201-S201,0)</f>
        <v/>
      </c>
      <c r="U201" s="8">
        <f>'Jobs-Ops'!AM201</f>
        <v/>
      </c>
      <c r="V201" s="8">
        <f>'Jobs-GAAP'!AI201</f>
        <v/>
      </c>
      <c r="W201" s="8">
        <f>IFERROR(U201-V201,0)</f>
        <v/>
      </c>
      <c r="X201" s="9">
        <f>'Jobs-Ops'!AN201</f>
        <v/>
      </c>
      <c r="Y201" s="9">
        <f>'Jobs-GAAP'!AJ201</f>
        <v/>
      </c>
      <c r="Z201" s="9">
        <f>IFERROR(X201-Y201,0)</f>
        <v/>
      </c>
      <c r="AA201" s="153">
        <f>'Jobs-Ops'!AO201</f>
        <v/>
      </c>
      <c r="AB201" s="187" t="n"/>
      <c r="AC201" s="186" t="n"/>
      <c r="AD201" s="186" t="n"/>
      <c r="AE201" s="188" t="n"/>
      <c r="AF201" s="187" t="n"/>
      <c r="AG201" s="187" t="n"/>
      <c r="AH201" s="186" t="n"/>
      <c r="AI201" s="186" t="n"/>
      <c r="AJ201" s="186" t="n"/>
      <c r="AK201" s="186" t="n"/>
      <c r="AL201" s="186" t="n"/>
      <c r="AM201" s="186" t="n"/>
      <c r="AN201" s="186" t="n"/>
      <c r="AO201" s="186" t="n"/>
      <c r="AP201" s="186" t="n"/>
      <c r="AQ201" s="186" t="n"/>
      <c r="AR201" s="186" t="n"/>
      <c r="AS201" s="186" t="n"/>
      <c r="AT201" s="186" t="n"/>
      <c r="AU201" s="186" t="n"/>
      <c r="AV201" s="186" t="n"/>
      <c r="AW201" s="186" t="n"/>
      <c r="AX201" s="186" t="n"/>
      <c r="AY201" s="186" t="n"/>
      <c r="AZ201" s="186" t="n"/>
      <c r="BA201" s="186" t="n"/>
      <c r="BB201" s="186" t="n"/>
      <c r="BC201" s="186" t="n"/>
      <c r="BD201" s="190" t="n"/>
      <c r="BE201" s="186" t="n"/>
      <c r="BF201" s="186" t="n"/>
      <c r="BG201" s="186" t="n"/>
      <c r="BH201" s="186" t="n"/>
      <c r="BI201" s="186" t="n"/>
      <c r="BJ201" s="187" t="n"/>
      <c r="BK201" s="192" t="n"/>
      <c r="BL201" s="192" t="n"/>
      <c r="BM201" s="192" t="n"/>
      <c r="BN201" s="192" t="n"/>
    </row>
    <row r="202">
      <c r="A202" s="289">
        <f> 'Jobs-Ops'!A202</f>
        <v/>
      </c>
      <c r="B202" s="290">
        <f>'Jobs-Ops'!B202</f>
        <v/>
      </c>
      <c r="C202" s="290">
        <f>'Jobs-Ops'!C202</f>
        <v/>
      </c>
      <c r="D202" s="179" t="n"/>
      <c r="E202" s="181">
        <f>'Jobs-Ops'!I202</f>
        <v/>
      </c>
      <c r="F202" s="205">
        <f>'Jobs-Ops'!U202</f>
        <v/>
      </c>
      <c r="G202" s="181">
        <f>'Jobs-GAAP'!J202</f>
        <v/>
      </c>
      <c r="H202" s="205">
        <f>'Jobs-GAAP'!V202</f>
        <v/>
      </c>
      <c r="I202" s="181">
        <f>E202-G202</f>
        <v/>
      </c>
      <c r="J202" s="9">
        <f>'Jobs-Ops'!P202</f>
        <v/>
      </c>
      <c r="K202" s="9">
        <f>'Jobs-GAAP'!Q202</f>
        <v/>
      </c>
      <c r="L202" s="9">
        <f>J202-K202</f>
        <v/>
      </c>
      <c r="M202" s="186" t="n"/>
      <c r="N202" s="9">
        <f>'Jobs-Ops'!Y202</f>
        <v/>
      </c>
      <c r="O202" s="9">
        <f>'Jobs-GAAP'!Y202</f>
        <v/>
      </c>
      <c r="P202" s="9">
        <f>N202-O202</f>
        <v/>
      </c>
      <c r="Q202" s="186" t="n"/>
      <c r="R202" s="11">
        <f>'Jobs-Ops'!AL202</f>
        <v/>
      </c>
      <c r="S202" s="11">
        <f>'Jobs-GAAP'!AH202</f>
        <v/>
      </c>
      <c r="T202" s="11">
        <f>IFERROR(R202-S202,0)</f>
        <v/>
      </c>
      <c r="U202" s="8">
        <f>'Jobs-Ops'!AM202</f>
        <v/>
      </c>
      <c r="V202" s="8">
        <f>'Jobs-GAAP'!AI202</f>
        <v/>
      </c>
      <c r="W202" s="8">
        <f>IFERROR(U202-V202,0)</f>
        <v/>
      </c>
      <c r="X202" s="9">
        <f>'Jobs-Ops'!AN202</f>
        <v/>
      </c>
      <c r="Y202" s="9">
        <f>'Jobs-GAAP'!AJ202</f>
        <v/>
      </c>
      <c r="Z202" s="9">
        <f>IFERROR(X202-Y202,0)</f>
        <v/>
      </c>
      <c r="AA202" s="153">
        <f>'Jobs-Ops'!AO202</f>
        <v/>
      </c>
      <c r="AB202" s="187" t="n"/>
      <c r="AC202" s="186" t="n"/>
      <c r="AD202" s="186" t="n"/>
      <c r="AE202" s="188" t="n"/>
      <c r="AF202" s="187" t="n"/>
      <c r="AG202" s="187" t="n"/>
      <c r="AH202" s="186" t="n"/>
      <c r="AI202" s="186" t="n"/>
      <c r="AJ202" s="186" t="n"/>
      <c r="AK202" s="186" t="n"/>
      <c r="AL202" s="186" t="n"/>
      <c r="AM202" s="186" t="n"/>
      <c r="AN202" s="186" t="n"/>
      <c r="AO202" s="186" t="n"/>
      <c r="AP202" s="186" t="n"/>
      <c r="AQ202" s="186" t="n"/>
      <c r="AR202" s="186" t="n"/>
      <c r="AS202" s="186" t="n"/>
      <c r="AT202" s="186" t="n"/>
      <c r="AU202" s="186" t="n"/>
      <c r="AV202" s="186" t="n"/>
      <c r="AW202" s="186" t="n"/>
      <c r="AX202" s="186" t="n"/>
      <c r="AY202" s="186" t="n"/>
      <c r="AZ202" s="186" t="n"/>
      <c r="BA202" s="186" t="n"/>
      <c r="BB202" s="186" t="n"/>
      <c r="BC202" s="186" t="n"/>
      <c r="BD202" s="190" t="n"/>
      <c r="BE202" s="186" t="n"/>
      <c r="BF202" s="186" t="n"/>
      <c r="BG202" s="186" t="n"/>
      <c r="BH202" s="186" t="n"/>
      <c r="BI202" s="186" t="n"/>
      <c r="BJ202" s="187" t="n"/>
      <c r="BK202" s="192" t="n"/>
      <c r="BL202" s="192" t="n"/>
      <c r="BM202" s="192" t="n"/>
      <c r="BN202" s="192" t="n"/>
    </row>
    <row r="203">
      <c r="A203" s="289">
        <f> 'Jobs-Ops'!A203</f>
        <v/>
      </c>
      <c r="B203" s="290">
        <f>'Jobs-Ops'!B203</f>
        <v/>
      </c>
      <c r="C203" s="290">
        <f>'Jobs-Ops'!C203</f>
        <v/>
      </c>
      <c r="D203" s="179" t="n"/>
      <c r="E203" s="181">
        <f>'Jobs-Ops'!I203</f>
        <v/>
      </c>
      <c r="F203" s="205">
        <f>'Jobs-Ops'!U203</f>
        <v/>
      </c>
      <c r="G203" s="181">
        <f>'Jobs-GAAP'!J203</f>
        <v/>
      </c>
      <c r="H203" s="205">
        <f>'Jobs-GAAP'!V203</f>
        <v/>
      </c>
      <c r="I203" s="181">
        <f>E203-G203</f>
        <v/>
      </c>
      <c r="J203" s="9">
        <f>'Jobs-Ops'!P203</f>
        <v/>
      </c>
      <c r="K203" s="9">
        <f>'Jobs-GAAP'!Q203</f>
        <v/>
      </c>
      <c r="L203" s="9">
        <f>J203-K203</f>
        <v/>
      </c>
      <c r="M203" s="186" t="n"/>
      <c r="N203" s="9">
        <f>'Jobs-Ops'!Y203</f>
        <v/>
      </c>
      <c r="O203" s="9">
        <f>'Jobs-GAAP'!Y203</f>
        <v/>
      </c>
      <c r="P203" s="9">
        <f>N203-O203</f>
        <v/>
      </c>
      <c r="Q203" s="186" t="n"/>
      <c r="R203" s="11">
        <f>'Jobs-Ops'!AL203</f>
        <v/>
      </c>
      <c r="S203" s="11">
        <f>'Jobs-GAAP'!AH203</f>
        <v/>
      </c>
      <c r="T203" s="11">
        <f>IFERROR(R203-S203,0)</f>
        <v/>
      </c>
      <c r="U203" s="8">
        <f>'Jobs-Ops'!AM203</f>
        <v/>
      </c>
      <c r="V203" s="8">
        <f>'Jobs-GAAP'!AI203</f>
        <v/>
      </c>
      <c r="W203" s="8">
        <f>IFERROR(U203-V203,0)</f>
        <v/>
      </c>
      <c r="X203" s="9">
        <f>'Jobs-Ops'!AN203</f>
        <v/>
      </c>
      <c r="Y203" s="9">
        <f>'Jobs-GAAP'!AJ203</f>
        <v/>
      </c>
      <c r="Z203" s="9">
        <f>IFERROR(X203-Y203,0)</f>
        <v/>
      </c>
      <c r="AA203" s="153">
        <f>'Jobs-Ops'!AO203</f>
        <v/>
      </c>
      <c r="AB203" s="187" t="n"/>
      <c r="AC203" s="186" t="n"/>
      <c r="AD203" s="186" t="n"/>
      <c r="AE203" s="188" t="n"/>
      <c r="AF203" s="187" t="n"/>
      <c r="AG203" s="187" t="n"/>
      <c r="AH203" s="186" t="n"/>
      <c r="AI203" s="186" t="n"/>
      <c r="AJ203" s="186" t="n"/>
      <c r="AK203" s="186" t="n"/>
      <c r="AL203" s="186" t="n"/>
      <c r="AM203" s="186" t="n"/>
      <c r="AN203" s="186" t="n"/>
      <c r="AO203" s="186" t="n"/>
      <c r="AP203" s="186" t="n"/>
      <c r="AQ203" s="186" t="n"/>
      <c r="AR203" s="186" t="n"/>
      <c r="AS203" s="186" t="n"/>
      <c r="AT203" s="186" t="n"/>
      <c r="AU203" s="186" t="n"/>
      <c r="AV203" s="186" t="n"/>
      <c r="AW203" s="186" t="n"/>
      <c r="AX203" s="186" t="n"/>
      <c r="AY203" s="186" t="n"/>
      <c r="AZ203" s="186" t="n"/>
      <c r="BA203" s="186" t="n"/>
      <c r="BB203" s="186" t="n"/>
      <c r="BC203" s="186" t="n"/>
      <c r="BD203" s="190" t="n"/>
      <c r="BE203" s="186" t="n"/>
      <c r="BF203" s="186" t="n"/>
      <c r="BG203" s="186" t="n"/>
      <c r="BH203" s="186" t="n"/>
      <c r="BI203" s="186" t="n"/>
      <c r="BJ203" s="187" t="n"/>
      <c r="BK203" s="192" t="n"/>
      <c r="BL203" s="192" t="n"/>
      <c r="BM203" s="192" t="n"/>
      <c r="BN203" s="192" t="n"/>
    </row>
    <row r="204">
      <c r="A204" s="289">
        <f> 'Jobs-Ops'!A204</f>
        <v/>
      </c>
      <c r="B204" s="290">
        <f>'Jobs-Ops'!B204</f>
        <v/>
      </c>
      <c r="C204" s="290">
        <f>'Jobs-Ops'!C204</f>
        <v/>
      </c>
      <c r="D204" s="179" t="n"/>
      <c r="E204" s="181">
        <f>'Jobs-Ops'!I204</f>
        <v/>
      </c>
      <c r="F204" s="205">
        <f>'Jobs-Ops'!U204</f>
        <v/>
      </c>
      <c r="G204" s="181">
        <f>'Jobs-GAAP'!J204</f>
        <v/>
      </c>
      <c r="H204" s="205">
        <f>'Jobs-GAAP'!V204</f>
        <v/>
      </c>
      <c r="I204" s="181">
        <f>E204-G204</f>
        <v/>
      </c>
      <c r="J204" s="9">
        <f>'Jobs-Ops'!P204</f>
        <v/>
      </c>
      <c r="K204" s="9">
        <f>'Jobs-GAAP'!Q204</f>
        <v/>
      </c>
      <c r="L204" s="9">
        <f>J204-K204</f>
        <v/>
      </c>
      <c r="M204" s="186" t="n"/>
      <c r="N204" s="9">
        <f>'Jobs-Ops'!Y204</f>
        <v/>
      </c>
      <c r="O204" s="9">
        <f>'Jobs-GAAP'!Y204</f>
        <v/>
      </c>
      <c r="P204" s="9">
        <f>N204-O204</f>
        <v/>
      </c>
      <c r="Q204" s="186" t="n"/>
      <c r="R204" s="11">
        <f>'Jobs-Ops'!AL204</f>
        <v/>
      </c>
      <c r="S204" s="11">
        <f>'Jobs-GAAP'!AH204</f>
        <v/>
      </c>
      <c r="T204" s="11">
        <f>IFERROR(R204-S204,0)</f>
        <v/>
      </c>
      <c r="U204" s="8">
        <f>'Jobs-Ops'!AM204</f>
        <v/>
      </c>
      <c r="V204" s="8">
        <f>'Jobs-GAAP'!AI204</f>
        <v/>
      </c>
      <c r="W204" s="8">
        <f>IFERROR(U204-V204,0)</f>
        <v/>
      </c>
      <c r="X204" s="9">
        <f>'Jobs-Ops'!AN204</f>
        <v/>
      </c>
      <c r="Y204" s="9">
        <f>'Jobs-GAAP'!AJ204</f>
        <v/>
      </c>
      <c r="Z204" s="9">
        <f>IFERROR(X204-Y204,0)</f>
        <v/>
      </c>
      <c r="AA204" s="153">
        <f>'Jobs-Ops'!AO204</f>
        <v/>
      </c>
      <c r="AB204" s="187" t="n"/>
      <c r="AC204" s="186" t="n"/>
      <c r="AD204" s="186" t="n"/>
      <c r="AE204" s="188" t="n"/>
      <c r="AF204" s="187" t="n"/>
      <c r="AG204" s="187" t="n"/>
      <c r="AH204" s="186" t="n"/>
      <c r="AI204" s="186" t="n"/>
      <c r="AJ204" s="186" t="n"/>
      <c r="AK204" s="186" t="n"/>
      <c r="AL204" s="186" t="n"/>
      <c r="AM204" s="186" t="n"/>
      <c r="AN204" s="186" t="n"/>
      <c r="AO204" s="186" t="n"/>
      <c r="AP204" s="186" t="n"/>
      <c r="AQ204" s="186" t="n"/>
      <c r="AR204" s="186" t="n"/>
      <c r="AS204" s="186" t="n"/>
      <c r="AT204" s="186" t="n"/>
      <c r="AU204" s="186" t="n"/>
      <c r="AV204" s="186" t="n"/>
      <c r="AW204" s="186" t="n"/>
      <c r="AX204" s="186" t="n"/>
      <c r="AY204" s="186" t="n"/>
      <c r="AZ204" s="186" t="n"/>
      <c r="BA204" s="186" t="n"/>
      <c r="BB204" s="186" t="n"/>
      <c r="BC204" s="186" t="n"/>
      <c r="BD204" s="190" t="n"/>
      <c r="BE204" s="186" t="n"/>
      <c r="BF204" s="186" t="n"/>
      <c r="BG204" s="186" t="n"/>
      <c r="BH204" s="186" t="n"/>
      <c r="BI204" s="186" t="n"/>
      <c r="BJ204" s="187" t="n"/>
      <c r="BK204" s="192" t="n"/>
      <c r="BL204" s="192" t="n"/>
      <c r="BM204" s="192" t="n"/>
      <c r="BN204" s="192" t="n"/>
    </row>
    <row r="205">
      <c r="A205" s="289">
        <f> 'Jobs-Ops'!A205</f>
        <v/>
      </c>
      <c r="B205" s="290">
        <f>'Jobs-Ops'!B205</f>
        <v/>
      </c>
      <c r="C205" s="290">
        <f>'Jobs-Ops'!C205</f>
        <v/>
      </c>
      <c r="D205" s="179" t="n"/>
      <c r="E205" s="181">
        <f>'Jobs-Ops'!I205</f>
        <v/>
      </c>
      <c r="F205" s="205">
        <f>'Jobs-Ops'!U205</f>
        <v/>
      </c>
      <c r="G205" s="181">
        <f>'Jobs-GAAP'!J205</f>
        <v/>
      </c>
      <c r="H205" s="205">
        <f>'Jobs-GAAP'!V205</f>
        <v/>
      </c>
      <c r="I205" s="181">
        <f>E205-G205</f>
        <v/>
      </c>
      <c r="J205" s="9">
        <f>'Jobs-Ops'!P205</f>
        <v/>
      </c>
      <c r="K205" s="9">
        <f>'Jobs-GAAP'!Q205</f>
        <v/>
      </c>
      <c r="L205" s="9">
        <f>J205-K205</f>
        <v/>
      </c>
      <c r="M205" s="186" t="n"/>
      <c r="N205" s="9">
        <f>'Jobs-Ops'!Y205</f>
        <v/>
      </c>
      <c r="O205" s="9">
        <f>'Jobs-GAAP'!Y205</f>
        <v/>
      </c>
      <c r="P205" s="9">
        <f>N205-O205</f>
        <v/>
      </c>
      <c r="Q205" s="186" t="n"/>
      <c r="R205" s="11">
        <f>'Jobs-Ops'!AL205</f>
        <v/>
      </c>
      <c r="S205" s="11">
        <f>'Jobs-GAAP'!AH205</f>
        <v/>
      </c>
      <c r="T205" s="11">
        <f>IFERROR(R205-S205,0)</f>
        <v/>
      </c>
      <c r="U205" s="8">
        <f>'Jobs-Ops'!AM205</f>
        <v/>
      </c>
      <c r="V205" s="8">
        <f>'Jobs-GAAP'!AI205</f>
        <v/>
      </c>
      <c r="W205" s="8">
        <f>IFERROR(U205-V205,0)</f>
        <v/>
      </c>
      <c r="X205" s="9">
        <f>'Jobs-Ops'!AN205</f>
        <v/>
      </c>
      <c r="Y205" s="9">
        <f>'Jobs-GAAP'!AJ205</f>
        <v/>
      </c>
      <c r="Z205" s="9">
        <f>IFERROR(X205-Y205,0)</f>
        <v/>
      </c>
      <c r="AA205" s="153">
        <f>'Jobs-Ops'!AO205</f>
        <v/>
      </c>
      <c r="AB205" s="187" t="n"/>
      <c r="AC205" s="186" t="n"/>
      <c r="AD205" s="186" t="n"/>
      <c r="AE205" s="188" t="n"/>
      <c r="AF205" s="187" t="n"/>
      <c r="AG205" s="187" t="n"/>
      <c r="AH205" s="186" t="n"/>
      <c r="AI205" s="186" t="n"/>
      <c r="AJ205" s="186" t="n"/>
      <c r="AK205" s="186" t="n"/>
      <c r="AL205" s="186" t="n"/>
      <c r="AM205" s="186" t="n"/>
      <c r="AN205" s="186" t="n"/>
      <c r="AO205" s="186" t="n"/>
      <c r="AP205" s="186" t="n"/>
      <c r="AQ205" s="186" t="n"/>
      <c r="AR205" s="186" t="n"/>
      <c r="AS205" s="186" t="n"/>
      <c r="AT205" s="186" t="n"/>
      <c r="AU205" s="186" t="n"/>
      <c r="AV205" s="186" t="n"/>
      <c r="AW205" s="186" t="n"/>
      <c r="AX205" s="186" t="n"/>
      <c r="AY205" s="186" t="n"/>
      <c r="AZ205" s="186" t="n"/>
      <c r="BA205" s="186" t="n"/>
      <c r="BB205" s="186" t="n"/>
      <c r="BC205" s="186" t="n"/>
      <c r="BD205" s="190" t="n"/>
      <c r="BE205" s="186" t="n"/>
      <c r="BF205" s="186" t="n"/>
      <c r="BG205" s="186" t="n"/>
      <c r="BH205" s="186" t="n"/>
      <c r="BI205" s="186" t="n"/>
      <c r="BJ205" s="187" t="n"/>
      <c r="BK205" s="192" t="n"/>
      <c r="BL205" s="192" t="n"/>
      <c r="BM205" s="192" t="n"/>
      <c r="BN205" s="192" t="n"/>
    </row>
    <row r="206">
      <c r="A206" s="289">
        <f> 'Jobs-Ops'!A206</f>
        <v/>
      </c>
      <c r="B206" s="290">
        <f>'Jobs-Ops'!B206</f>
        <v/>
      </c>
      <c r="C206" s="290">
        <f>'Jobs-Ops'!C206</f>
        <v/>
      </c>
      <c r="D206" s="179" t="n"/>
      <c r="E206" s="181">
        <f>'Jobs-Ops'!I206</f>
        <v/>
      </c>
      <c r="F206" s="205">
        <f>'Jobs-Ops'!U206</f>
        <v/>
      </c>
      <c r="G206" s="181">
        <f>'Jobs-GAAP'!J206</f>
        <v/>
      </c>
      <c r="H206" s="205">
        <f>'Jobs-GAAP'!V206</f>
        <v/>
      </c>
      <c r="I206" s="181">
        <f>E206-G206</f>
        <v/>
      </c>
      <c r="J206" s="9">
        <f>'Jobs-Ops'!P206</f>
        <v/>
      </c>
      <c r="K206" s="9">
        <f>'Jobs-GAAP'!Q206</f>
        <v/>
      </c>
      <c r="L206" s="9">
        <f>J206-K206</f>
        <v/>
      </c>
      <c r="M206" s="186" t="n"/>
      <c r="N206" s="9">
        <f>'Jobs-Ops'!Y206</f>
        <v/>
      </c>
      <c r="O206" s="9">
        <f>'Jobs-GAAP'!Y206</f>
        <v/>
      </c>
      <c r="P206" s="9">
        <f>N206-O206</f>
        <v/>
      </c>
      <c r="Q206" s="186" t="n"/>
      <c r="R206" s="11">
        <f>'Jobs-Ops'!AL206</f>
        <v/>
      </c>
      <c r="S206" s="11">
        <f>'Jobs-GAAP'!AH206</f>
        <v/>
      </c>
      <c r="T206" s="11">
        <f>IFERROR(R206-S206,0)</f>
        <v/>
      </c>
      <c r="U206" s="8">
        <f>'Jobs-Ops'!AM206</f>
        <v/>
      </c>
      <c r="V206" s="8">
        <f>'Jobs-GAAP'!AI206</f>
        <v/>
      </c>
      <c r="W206" s="8">
        <f>IFERROR(U206-V206,0)</f>
        <v/>
      </c>
      <c r="X206" s="9">
        <f>'Jobs-Ops'!AN206</f>
        <v/>
      </c>
      <c r="Y206" s="9">
        <f>'Jobs-GAAP'!AJ206</f>
        <v/>
      </c>
      <c r="Z206" s="9">
        <f>IFERROR(X206-Y206,0)</f>
        <v/>
      </c>
      <c r="AA206" s="153">
        <f>'Jobs-Ops'!AO206</f>
        <v/>
      </c>
      <c r="AB206" s="187" t="n"/>
      <c r="AC206" s="186" t="n"/>
      <c r="AD206" s="186" t="n"/>
      <c r="AE206" s="188" t="n"/>
      <c r="AF206" s="187" t="n"/>
      <c r="AG206" s="187" t="n"/>
      <c r="AH206" s="186" t="n"/>
      <c r="AI206" s="186" t="n"/>
      <c r="AJ206" s="186" t="n"/>
      <c r="AK206" s="186" t="n"/>
      <c r="AL206" s="186" t="n"/>
      <c r="AM206" s="186" t="n"/>
      <c r="AN206" s="186" t="n"/>
      <c r="AO206" s="186" t="n"/>
      <c r="AP206" s="186" t="n"/>
      <c r="AQ206" s="186" t="n"/>
      <c r="AR206" s="186" t="n"/>
      <c r="AS206" s="186" t="n"/>
      <c r="AT206" s="186" t="n"/>
      <c r="AU206" s="186" t="n"/>
      <c r="AV206" s="186" t="n"/>
      <c r="AW206" s="186" t="n"/>
      <c r="AX206" s="186" t="n"/>
      <c r="AY206" s="186" t="n"/>
      <c r="AZ206" s="186" t="n"/>
      <c r="BA206" s="186" t="n"/>
      <c r="BB206" s="186" t="n"/>
      <c r="BC206" s="186" t="n"/>
      <c r="BD206" s="190" t="n"/>
      <c r="BE206" s="186" t="n"/>
      <c r="BF206" s="186" t="n"/>
      <c r="BG206" s="186" t="n"/>
      <c r="BH206" s="186" t="n"/>
      <c r="BI206" s="186" t="n"/>
      <c r="BJ206" s="187" t="n"/>
      <c r="BK206" s="192" t="n"/>
      <c r="BL206" s="192" t="n"/>
      <c r="BM206" s="192" t="n"/>
      <c r="BN206" s="192" t="n"/>
    </row>
    <row r="207">
      <c r="A207" s="289">
        <f> 'Jobs-Ops'!A207</f>
        <v/>
      </c>
      <c r="B207" s="290">
        <f>'Jobs-Ops'!B207</f>
        <v/>
      </c>
      <c r="C207" s="290">
        <f>'Jobs-Ops'!C207</f>
        <v/>
      </c>
      <c r="D207" s="179" t="n"/>
      <c r="E207" s="181">
        <f>'Jobs-Ops'!I207</f>
        <v/>
      </c>
      <c r="F207" s="205">
        <f>'Jobs-Ops'!U207</f>
        <v/>
      </c>
      <c r="G207" s="181">
        <f>'Jobs-GAAP'!J207</f>
        <v/>
      </c>
      <c r="H207" s="205">
        <f>'Jobs-GAAP'!V207</f>
        <v/>
      </c>
      <c r="I207" s="181">
        <f>E207-G207</f>
        <v/>
      </c>
      <c r="J207" s="9">
        <f>'Jobs-Ops'!P207</f>
        <v/>
      </c>
      <c r="K207" s="9">
        <f>'Jobs-GAAP'!Q207</f>
        <v/>
      </c>
      <c r="L207" s="9">
        <f>J207-K207</f>
        <v/>
      </c>
      <c r="M207" s="186" t="n"/>
      <c r="N207" s="9">
        <f>'Jobs-Ops'!Y207</f>
        <v/>
      </c>
      <c r="O207" s="9">
        <f>'Jobs-GAAP'!Y207</f>
        <v/>
      </c>
      <c r="P207" s="9">
        <f>N207-O207</f>
        <v/>
      </c>
      <c r="Q207" s="186" t="n"/>
      <c r="R207" s="11">
        <f>'Jobs-Ops'!AL207</f>
        <v/>
      </c>
      <c r="S207" s="11">
        <f>'Jobs-GAAP'!AH207</f>
        <v/>
      </c>
      <c r="T207" s="11">
        <f>IFERROR(R207-S207,0)</f>
        <v/>
      </c>
      <c r="U207" s="8">
        <f>'Jobs-Ops'!AM207</f>
        <v/>
      </c>
      <c r="V207" s="8">
        <f>'Jobs-GAAP'!AI207</f>
        <v/>
      </c>
      <c r="W207" s="8">
        <f>IFERROR(U207-V207,0)</f>
        <v/>
      </c>
      <c r="X207" s="9">
        <f>'Jobs-Ops'!AN207</f>
        <v/>
      </c>
      <c r="Y207" s="9">
        <f>'Jobs-GAAP'!AJ207</f>
        <v/>
      </c>
      <c r="Z207" s="9">
        <f>IFERROR(X207-Y207,0)</f>
        <v/>
      </c>
      <c r="AA207" s="153">
        <f>'Jobs-Ops'!AO207</f>
        <v/>
      </c>
      <c r="AB207" s="187" t="n"/>
      <c r="AC207" s="186" t="n"/>
      <c r="AD207" s="186" t="n"/>
      <c r="AE207" s="188" t="n"/>
      <c r="AF207" s="187" t="n"/>
      <c r="AG207" s="187" t="n"/>
      <c r="AH207" s="186" t="n"/>
      <c r="AI207" s="186" t="n"/>
      <c r="AJ207" s="186" t="n"/>
      <c r="AK207" s="186" t="n"/>
      <c r="AL207" s="186" t="n"/>
      <c r="AM207" s="186" t="n"/>
      <c r="AN207" s="186" t="n"/>
      <c r="AO207" s="186" t="n"/>
      <c r="AP207" s="186" t="n"/>
      <c r="AQ207" s="186" t="n"/>
      <c r="AR207" s="186" t="n"/>
      <c r="AS207" s="186" t="n"/>
      <c r="AT207" s="186" t="n"/>
      <c r="AU207" s="186" t="n"/>
      <c r="AV207" s="186" t="n"/>
      <c r="AW207" s="186" t="n"/>
      <c r="AX207" s="186" t="n"/>
      <c r="AY207" s="186" t="n"/>
      <c r="AZ207" s="186" t="n"/>
      <c r="BA207" s="186" t="n"/>
      <c r="BB207" s="186" t="n"/>
      <c r="BC207" s="186" t="n"/>
      <c r="BD207" s="190" t="n"/>
      <c r="BE207" s="186" t="n"/>
      <c r="BF207" s="186" t="n"/>
      <c r="BG207" s="186" t="n"/>
      <c r="BH207" s="186" t="n"/>
      <c r="BI207" s="186" t="n"/>
      <c r="BJ207" s="187" t="n"/>
      <c r="BK207" s="192" t="n"/>
      <c r="BL207" s="192" t="n"/>
      <c r="BM207" s="192" t="n"/>
      <c r="BN207" s="192" t="n"/>
    </row>
    <row r="208">
      <c r="A208" s="289">
        <f> 'Jobs-Ops'!A208</f>
        <v/>
      </c>
      <c r="B208" s="290">
        <f>'Jobs-Ops'!B208</f>
        <v/>
      </c>
      <c r="C208" s="290">
        <f>'Jobs-Ops'!C208</f>
        <v/>
      </c>
      <c r="D208" s="179" t="n"/>
      <c r="E208" s="181">
        <f>'Jobs-Ops'!I208</f>
        <v/>
      </c>
      <c r="F208" s="205">
        <f>'Jobs-Ops'!U208</f>
        <v/>
      </c>
      <c r="G208" s="181">
        <f>'Jobs-GAAP'!J208</f>
        <v/>
      </c>
      <c r="H208" s="205">
        <f>'Jobs-GAAP'!V208</f>
        <v/>
      </c>
      <c r="I208" s="181">
        <f>E208-G208</f>
        <v/>
      </c>
      <c r="J208" s="9">
        <f>'Jobs-Ops'!P208</f>
        <v/>
      </c>
      <c r="K208" s="9">
        <f>'Jobs-GAAP'!Q208</f>
        <v/>
      </c>
      <c r="L208" s="9">
        <f>J208-K208</f>
        <v/>
      </c>
      <c r="M208" s="186" t="n"/>
      <c r="N208" s="9">
        <f>'Jobs-Ops'!Y208</f>
        <v/>
      </c>
      <c r="O208" s="9">
        <f>'Jobs-GAAP'!Y208</f>
        <v/>
      </c>
      <c r="P208" s="9">
        <f>N208-O208</f>
        <v/>
      </c>
      <c r="Q208" s="186" t="n"/>
      <c r="R208" s="11">
        <f>'Jobs-Ops'!AL208</f>
        <v/>
      </c>
      <c r="S208" s="11">
        <f>'Jobs-GAAP'!AH208</f>
        <v/>
      </c>
      <c r="T208" s="11">
        <f>IFERROR(R208-S208,0)</f>
        <v/>
      </c>
      <c r="U208" s="8">
        <f>'Jobs-Ops'!AM208</f>
        <v/>
      </c>
      <c r="V208" s="8">
        <f>'Jobs-GAAP'!AI208</f>
        <v/>
      </c>
      <c r="W208" s="8">
        <f>IFERROR(U208-V208,0)</f>
        <v/>
      </c>
      <c r="X208" s="9">
        <f>'Jobs-Ops'!AN208</f>
        <v/>
      </c>
      <c r="Y208" s="9">
        <f>'Jobs-GAAP'!AJ208</f>
        <v/>
      </c>
      <c r="Z208" s="9">
        <f>IFERROR(X208-Y208,0)</f>
        <v/>
      </c>
      <c r="AA208" s="153">
        <f>'Jobs-Ops'!AO208</f>
        <v/>
      </c>
      <c r="AB208" s="187" t="n"/>
      <c r="AC208" s="186" t="n"/>
      <c r="AD208" s="186" t="n"/>
      <c r="AE208" s="188" t="n"/>
      <c r="AF208" s="187" t="n"/>
      <c r="AG208" s="187" t="n"/>
      <c r="AH208" s="186" t="n"/>
      <c r="AI208" s="186" t="n"/>
      <c r="AJ208" s="186" t="n"/>
      <c r="AK208" s="186" t="n"/>
      <c r="AL208" s="186" t="n"/>
      <c r="AM208" s="186" t="n"/>
      <c r="AN208" s="186" t="n"/>
      <c r="AO208" s="186" t="n"/>
      <c r="AP208" s="186" t="n"/>
      <c r="AQ208" s="186" t="n"/>
      <c r="AR208" s="186" t="n"/>
      <c r="AS208" s="186" t="n"/>
      <c r="AT208" s="186" t="n"/>
      <c r="AU208" s="186" t="n"/>
      <c r="AV208" s="186" t="n"/>
      <c r="AW208" s="186" t="n"/>
      <c r="AX208" s="186" t="n"/>
      <c r="AY208" s="186" t="n"/>
      <c r="AZ208" s="186" t="n"/>
      <c r="BA208" s="186" t="n"/>
      <c r="BB208" s="186" t="n"/>
      <c r="BC208" s="186" t="n"/>
      <c r="BD208" s="190" t="n"/>
      <c r="BE208" s="186" t="n"/>
      <c r="BF208" s="186" t="n"/>
      <c r="BG208" s="186" t="n"/>
      <c r="BH208" s="186" t="n"/>
      <c r="BI208" s="186" t="n"/>
      <c r="BJ208" s="187" t="n"/>
      <c r="BK208" s="192" t="n"/>
      <c r="BL208" s="192" t="n"/>
      <c r="BM208" s="192" t="n"/>
      <c r="BN208" s="192" t="n"/>
    </row>
    <row r="209">
      <c r="A209" s="289">
        <f> 'Jobs-Ops'!A209</f>
        <v/>
      </c>
      <c r="B209" s="290">
        <f>'Jobs-Ops'!B209</f>
        <v/>
      </c>
      <c r="C209" s="290">
        <f>'Jobs-Ops'!C209</f>
        <v/>
      </c>
      <c r="D209" s="179" t="n"/>
      <c r="E209" s="181">
        <f>'Jobs-Ops'!I209</f>
        <v/>
      </c>
      <c r="F209" s="205">
        <f>'Jobs-Ops'!U209</f>
        <v/>
      </c>
      <c r="G209" s="181">
        <f>'Jobs-GAAP'!J209</f>
        <v/>
      </c>
      <c r="H209" s="205">
        <f>'Jobs-GAAP'!V209</f>
        <v/>
      </c>
      <c r="I209" s="181">
        <f>E209-G209</f>
        <v/>
      </c>
      <c r="J209" s="9">
        <f>'Jobs-Ops'!P209</f>
        <v/>
      </c>
      <c r="K209" s="9">
        <f>'Jobs-GAAP'!Q209</f>
        <v/>
      </c>
      <c r="L209" s="9">
        <f>J209-K209</f>
        <v/>
      </c>
      <c r="M209" s="186" t="n"/>
      <c r="N209" s="9">
        <f>'Jobs-Ops'!Y209</f>
        <v/>
      </c>
      <c r="O209" s="9">
        <f>'Jobs-GAAP'!Y209</f>
        <v/>
      </c>
      <c r="P209" s="9">
        <f>N209-O209</f>
        <v/>
      </c>
      <c r="Q209" s="186" t="n"/>
      <c r="R209" s="11">
        <f>'Jobs-Ops'!AL209</f>
        <v/>
      </c>
      <c r="S209" s="11">
        <f>'Jobs-GAAP'!AH209</f>
        <v/>
      </c>
      <c r="T209" s="11">
        <f>IFERROR(R209-S209,0)</f>
        <v/>
      </c>
      <c r="U209" s="8">
        <f>'Jobs-Ops'!AM209</f>
        <v/>
      </c>
      <c r="V209" s="8">
        <f>'Jobs-GAAP'!AI209</f>
        <v/>
      </c>
      <c r="W209" s="8">
        <f>IFERROR(U209-V209,0)</f>
        <v/>
      </c>
      <c r="X209" s="9">
        <f>'Jobs-Ops'!AN209</f>
        <v/>
      </c>
      <c r="Y209" s="9">
        <f>'Jobs-GAAP'!AJ209</f>
        <v/>
      </c>
      <c r="Z209" s="9">
        <f>IFERROR(X209-Y209,0)</f>
        <v/>
      </c>
      <c r="AA209" s="153">
        <f>'Jobs-Ops'!AO209</f>
        <v/>
      </c>
      <c r="AB209" s="187" t="n"/>
      <c r="AC209" s="186" t="n"/>
      <c r="AD209" s="186" t="n"/>
      <c r="AE209" s="188" t="n"/>
      <c r="AF209" s="187" t="n"/>
      <c r="AG209" s="187" t="n"/>
      <c r="AH209" s="186" t="n"/>
      <c r="AI209" s="186" t="n"/>
      <c r="AJ209" s="186" t="n"/>
      <c r="AK209" s="186" t="n"/>
      <c r="AL209" s="186" t="n"/>
      <c r="AM209" s="186" t="n"/>
      <c r="AN209" s="186" t="n"/>
      <c r="AO209" s="186" t="n"/>
      <c r="AP209" s="186" t="n"/>
      <c r="AQ209" s="186" t="n"/>
      <c r="AR209" s="186" t="n"/>
      <c r="AS209" s="186" t="n"/>
      <c r="AT209" s="186" t="n"/>
      <c r="AU209" s="186" t="n"/>
      <c r="AV209" s="186" t="n"/>
      <c r="AW209" s="186" t="n"/>
      <c r="AX209" s="186" t="n"/>
      <c r="AY209" s="186" t="n"/>
      <c r="AZ209" s="186" t="n"/>
      <c r="BA209" s="186" t="n"/>
      <c r="BB209" s="186" t="n"/>
      <c r="BC209" s="186" t="n"/>
      <c r="BD209" s="190" t="n"/>
      <c r="BE209" s="186" t="n"/>
      <c r="BF209" s="186" t="n"/>
      <c r="BG209" s="186" t="n"/>
      <c r="BH209" s="186" t="n"/>
      <c r="BI209" s="186" t="n"/>
      <c r="BJ209" s="187" t="n"/>
      <c r="BK209" s="192" t="n"/>
      <c r="BL209" s="192" t="n"/>
      <c r="BM209" s="192" t="n"/>
      <c r="BN209" s="192" t="n"/>
    </row>
    <row r="210">
      <c r="A210" s="289">
        <f> 'Jobs-Ops'!A210</f>
        <v/>
      </c>
      <c r="B210" s="290">
        <f>'Jobs-Ops'!B210</f>
        <v/>
      </c>
      <c r="C210" s="290">
        <f>'Jobs-Ops'!C210</f>
        <v/>
      </c>
      <c r="D210" s="179" t="n"/>
      <c r="E210" s="181">
        <f>'Jobs-Ops'!I210</f>
        <v/>
      </c>
      <c r="F210" s="205">
        <f>'Jobs-Ops'!U210</f>
        <v/>
      </c>
      <c r="G210" s="181">
        <f>'Jobs-GAAP'!J210</f>
        <v/>
      </c>
      <c r="H210" s="205">
        <f>'Jobs-GAAP'!V210</f>
        <v/>
      </c>
      <c r="I210" s="181">
        <f>E210-G210</f>
        <v/>
      </c>
      <c r="J210" s="9">
        <f>'Jobs-Ops'!P210</f>
        <v/>
      </c>
      <c r="K210" s="9">
        <f>'Jobs-GAAP'!Q210</f>
        <v/>
      </c>
      <c r="L210" s="9">
        <f>J210-K210</f>
        <v/>
      </c>
      <c r="M210" s="186" t="n"/>
      <c r="N210" s="9">
        <f>'Jobs-Ops'!Y210</f>
        <v/>
      </c>
      <c r="O210" s="9">
        <f>'Jobs-GAAP'!Y210</f>
        <v/>
      </c>
      <c r="P210" s="9">
        <f>N210-O210</f>
        <v/>
      </c>
      <c r="Q210" s="186" t="n"/>
      <c r="R210" s="11">
        <f>'Jobs-Ops'!AL210</f>
        <v/>
      </c>
      <c r="S210" s="11">
        <f>'Jobs-GAAP'!AH210</f>
        <v/>
      </c>
      <c r="T210" s="11">
        <f>IFERROR(R210-S210,0)</f>
        <v/>
      </c>
      <c r="U210" s="8">
        <f>'Jobs-Ops'!AM210</f>
        <v/>
      </c>
      <c r="V210" s="8">
        <f>'Jobs-GAAP'!AI210</f>
        <v/>
      </c>
      <c r="W210" s="8">
        <f>IFERROR(U210-V210,0)</f>
        <v/>
      </c>
      <c r="X210" s="9">
        <f>'Jobs-Ops'!AN210</f>
        <v/>
      </c>
      <c r="Y210" s="9">
        <f>'Jobs-GAAP'!AJ210</f>
        <v/>
      </c>
      <c r="Z210" s="9">
        <f>IFERROR(X210-Y210,0)</f>
        <v/>
      </c>
      <c r="AA210" s="153">
        <f>'Jobs-Ops'!AO210</f>
        <v/>
      </c>
      <c r="AB210" s="187" t="n"/>
      <c r="AC210" s="186" t="n"/>
      <c r="AD210" s="186" t="n"/>
      <c r="AE210" s="188" t="n"/>
      <c r="AF210" s="187" t="n"/>
      <c r="AG210" s="187" t="n"/>
      <c r="AH210" s="186" t="n"/>
      <c r="AI210" s="186" t="n"/>
      <c r="AJ210" s="186" t="n"/>
      <c r="AK210" s="186" t="n"/>
      <c r="AL210" s="186" t="n"/>
      <c r="AM210" s="186" t="n"/>
      <c r="AN210" s="186" t="n"/>
      <c r="AO210" s="186" t="n"/>
      <c r="AP210" s="186" t="n"/>
      <c r="AQ210" s="186" t="n"/>
      <c r="AR210" s="186" t="n"/>
      <c r="AS210" s="186" t="n"/>
      <c r="AT210" s="186" t="n"/>
      <c r="AU210" s="186" t="n"/>
      <c r="AV210" s="186" t="n"/>
      <c r="AW210" s="186" t="n"/>
      <c r="AX210" s="186" t="n"/>
      <c r="AY210" s="186" t="n"/>
      <c r="AZ210" s="186" t="n"/>
      <c r="BA210" s="186" t="n"/>
      <c r="BB210" s="186" t="n"/>
      <c r="BC210" s="186" t="n"/>
      <c r="BD210" s="190" t="n"/>
      <c r="BE210" s="186" t="n"/>
      <c r="BF210" s="186" t="n"/>
      <c r="BG210" s="186" t="n"/>
      <c r="BH210" s="186" t="n"/>
      <c r="BI210" s="186" t="n"/>
      <c r="BJ210" s="187" t="n"/>
      <c r="BK210" s="192" t="n"/>
      <c r="BL210" s="192" t="n"/>
      <c r="BM210" s="192" t="n"/>
      <c r="BN210" s="192" t="n"/>
    </row>
    <row r="211">
      <c r="A211" s="289">
        <f> 'Jobs-Ops'!A211</f>
        <v/>
      </c>
      <c r="B211" s="290">
        <f>'Jobs-Ops'!B211</f>
        <v/>
      </c>
      <c r="C211" s="290">
        <f>'Jobs-Ops'!C211</f>
        <v/>
      </c>
      <c r="D211" s="179" t="n"/>
      <c r="E211" s="181">
        <f>'Jobs-Ops'!I211</f>
        <v/>
      </c>
      <c r="F211" s="205">
        <f>'Jobs-Ops'!U211</f>
        <v/>
      </c>
      <c r="G211" s="181">
        <f>'Jobs-GAAP'!J211</f>
        <v/>
      </c>
      <c r="H211" s="205">
        <f>'Jobs-GAAP'!V211</f>
        <v/>
      </c>
      <c r="I211" s="181">
        <f>E211-G211</f>
        <v/>
      </c>
      <c r="J211" s="9">
        <f>'Jobs-Ops'!P211</f>
        <v/>
      </c>
      <c r="K211" s="9">
        <f>'Jobs-GAAP'!Q211</f>
        <v/>
      </c>
      <c r="L211" s="9">
        <f>J211-K211</f>
        <v/>
      </c>
      <c r="M211" s="186" t="n"/>
      <c r="N211" s="9">
        <f>'Jobs-Ops'!Y211</f>
        <v/>
      </c>
      <c r="O211" s="9">
        <f>'Jobs-GAAP'!Y211</f>
        <v/>
      </c>
      <c r="P211" s="9">
        <f>N211-O211</f>
        <v/>
      </c>
      <c r="Q211" s="186" t="n"/>
      <c r="R211" s="11">
        <f>'Jobs-Ops'!AL211</f>
        <v/>
      </c>
      <c r="S211" s="11">
        <f>'Jobs-GAAP'!AH211</f>
        <v/>
      </c>
      <c r="T211" s="11">
        <f>IFERROR(R211-S211,0)</f>
        <v/>
      </c>
      <c r="U211" s="8">
        <f>'Jobs-Ops'!AM211</f>
        <v/>
      </c>
      <c r="V211" s="8">
        <f>'Jobs-GAAP'!AI211</f>
        <v/>
      </c>
      <c r="W211" s="8">
        <f>IFERROR(U211-V211,0)</f>
        <v/>
      </c>
      <c r="X211" s="9">
        <f>'Jobs-Ops'!AN211</f>
        <v/>
      </c>
      <c r="Y211" s="9">
        <f>'Jobs-GAAP'!AJ211</f>
        <v/>
      </c>
      <c r="Z211" s="9">
        <f>IFERROR(X211-Y211,0)</f>
        <v/>
      </c>
      <c r="AA211" s="153">
        <f>'Jobs-Ops'!AO211</f>
        <v/>
      </c>
      <c r="AB211" s="187" t="n"/>
      <c r="AC211" s="186" t="n"/>
      <c r="AD211" s="186" t="n"/>
      <c r="AE211" s="188" t="n"/>
      <c r="AF211" s="187" t="n"/>
      <c r="AG211" s="187" t="n"/>
      <c r="AH211" s="186" t="n"/>
      <c r="AI211" s="186" t="n"/>
      <c r="AJ211" s="186" t="n"/>
      <c r="AK211" s="186" t="n"/>
      <c r="AL211" s="186" t="n"/>
      <c r="AM211" s="186" t="n"/>
      <c r="AN211" s="186" t="n"/>
      <c r="AO211" s="186" t="n"/>
      <c r="AP211" s="186" t="n"/>
      <c r="AQ211" s="186" t="n"/>
      <c r="AR211" s="186" t="n"/>
      <c r="AS211" s="186" t="n"/>
      <c r="AT211" s="186" t="n"/>
      <c r="AU211" s="186" t="n"/>
      <c r="AV211" s="186" t="n"/>
      <c r="AW211" s="186" t="n"/>
      <c r="AX211" s="186" t="n"/>
      <c r="AY211" s="186" t="n"/>
      <c r="AZ211" s="186" t="n"/>
      <c r="BA211" s="186" t="n"/>
      <c r="BB211" s="186" t="n"/>
      <c r="BC211" s="186" t="n"/>
      <c r="BD211" s="190" t="n"/>
      <c r="BE211" s="186" t="n"/>
      <c r="BF211" s="186" t="n"/>
      <c r="BG211" s="186" t="n"/>
      <c r="BH211" s="186" t="n"/>
      <c r="BI211" s="186" t="n"/>
      <c r="BJ211" s="187" t="n"/>
      <c r="BK211" s="192" t="n"/>
      <c r="BL211" s="192" t="n"/>
      <c r="BM211" s="192" t="n"/>
      <c r="BN211" s="192" t="n"/>
    </row>
    <row r="212">
      <c r="A212" s="289">
        <f> 'Jobs-Ops'!A212</f>
        <v/>
      </c>
      <c r="B212" s="290">
        <f>'Jobs-Ops'!B212</f>
        <v/>
      </c>
      <c r="C212" s="290">
        <f>'Jobs-Ops'!C212</f>
        <v/>
      </c>
      <c r="D212" s="179" t="n"/>
      <c r="E212" s="181">
        <f>'Jobs-Ops'!I212</f>
        <v/>
      </c>
      <c r="F212" s="205">
        <f>'Jobs-Ops'!U212</f>
        <v/>
      </c>
      <c r="G212" s="181">
        <f>'Jobs-GAAP'!J212</f>
        <v/>
      </c>
      <c r="H212" s="205">
        <f>'Jobs-GAAP'!V212</f>
        <v/>
      </c>
      <c r="I212" s="181">
        <f>E212-G212</f>
        <v/>
      </c>
      <c r="J212" s="9">
        <f>'Jobs-Ops'!P212</f>
        <v/>
      </c>
      <c r="K212" s="9">
        <f>'Jobs-GAAP'!Q212</f>
        <v/>
      </c>
      <c r="L212" s="9">
        <f>J212-K212</f>
        <v/>
      </c>
      <c r="M212" s="186" t="n"/>
      <c r="N212" s="9">
        <f>'Jobs-Ops'!Y212</f>
        <v/>
      </c>
      <c r="O212" s="9">
        <f>'Jobs-GAAP'!Y212</f>
        <v/>
      </c>
      <c r="P212" s="9">
        <f>N212-O212</f>
        <v/>
      </c>
      <c r="Q212" s="186" t="n"/>
      <c r="R212" s="11">
        <f>'Jobs-Ops'!AL212</f>
        <v/>
      </c>
      <c r="S212" s="11">
        <f>'Jobs-GAAP'!AH212</f>
        <v/>
      </c>
      <c r="T212" s="11">
        <f>IFERROR(R212-S212,0)</f>
        <v/>
      </c>
      <c r="U212" s="8">
        <f>'Jobs-Ops'!AM212</f>
        <v/>
      </c>
      <c r="V212" s="8">
        <f>'Jobs-GAAP'!AI212</f>
        <v/>
      </c>
      <c r="W212" s="8">
        <f>IFERROR(U212-V212,0)</f>
        <v/>
      </c>
      <c r="X212" s="9">
        <f>'Jobs-Ops'!AN212</f>
        <v/>
      </c>
      <c r="Y212" s="9">
        <f>'Jobs-GAAP'!AJ212</f>
        <v/>
      </c>
      <c r="Z212" s="9">
        <f>IFERROR(X212-Y212,0)</f>
        <v/>
      </c>
      <c r="AA212" s="153">
        <f>'Jobs-Ops'!AO212</f>
        <v/>
      </c>
      <c r="AB212" s="187" t="n"/>
      <c r="AC212" s="186" t="n"/>
      <c r="AD212" s="186" t="n"/>
      <c r="AE212" s="188" t="n"/>
      <c r="AF212" s="187" t="n"/>
      <c r="AG212" s="187" t="n"/>
      <c r="AH212" s="186" t="n"/>
      <c r="AI212" s="186" t="n"/>
      <c r="AJ212" s="186" t="n"/>
      <c r="AK212" s="186" t="n"/>
      <c r="AL212" s="186" t="n"/>
      <c r="AM212" s="186" t="n"/>
      <c r="AN212" s="186" t="n"/>
      <c r="AO212" s="186" t="n"/>
      <c r="AP212" s="186" t="n"/>
      <c r="AQ212" s="186" t="n"/>
      <c r="AR212" s="186" t="n"/>
      <c r="AS212" s="186" t="n"/>
      <c r="AT212" s="186" t="n"/>
      <c r="AU212" s="186" t="n"/>
      <c r="AV212" s="186" t="n"/>
      <c r="AW212" s="186" t="n"/>
      <c r="AX212" s="186" t="n"/>
      <c r="AY212" s="186" t="n"/>
      <c r="AZ212" s="186" t="n"/>
      <c r="BA212" s="186" t="n"/>
      <c r="BB212" s="186" t="n"/>
      <c r="BC212" s="186" t="n"/>
      <c r="BD212" s="190" t="n"/>
      <c r="BE212" s="186" t="n"/>
      <c r="BF212" s="186" t="n"/>
      <c r="BG212" s="186" t="n"/>
      <c r="BH212" s="186" t="n"/>
      <c r="BI212" s="186" t="n"/>
      <c r="BJ212" s="187" t="n"/>
      <c r="BK212" s="192" t="n"/>
      <c r="BL212" s="192" t="n"/>
      <c r="BM212" s="192" t="n"/>
      <c r="BN212" s="192" t="n"/>
    </row>
    <row r="213">
      <c r="A213" s="289">
        <f> 'Jobs-Ops'!A213</f>
        <v/>
      </c>
      <c r="B213" s="290">
        <f>'Jobs-Ops'!B213</f>
        <v/>
      </c>
      <c r="C213" s="290">
        <f>'Jobs-Ops'!C213</f>
        <v/>
      </c>
      <c r="D213" s="179" t="n"/>
      <c r="E213" s="181">
        <f>'Jobs-Ops'!I213</f>
        <v/>
      </c>
      <c r="F213" s="205">
        <f>'Jobs-Ops'!U213</f>
        <v/>
      </c>
      <c r="G213" s="181">
        <f>'Jobs-GAAP'!J213</f>
        <v/>
      </c>
      <c r="H213" s="205">
        <f>'Jobs-GAAP'!V213</f>
        <v/>
      </c>
      <c r="I213" s="181">
        <f>E213-G213</f>
        <v/>
      </c>
      <c r="J213" s="9">
        <f>'Jobs-Ops'!P213</f>
        <v/>
      </c>
      <c r="K213" s="9">
        <f>'Jobs-GAAP'!Q213</f>
        <v/>
      </c>
      <c r="L213" s="9">
        <f>J213-K213</f>
        <v/>
      </c>
      <c r="M213" s="186" t="n"/>
      <c r="N213" s="9">
        <f>'Jobs-Ops'!Y213</f>
        <v/>
      </c>
      <c r="O213" s="9">
        <f>'Jobs-GAAP'!Y213</f>
        <v/>
      </c>
      <c r="P213" s="9">
        <f>N213-O213</f>
        <v/>
      </c>
      <c r="Q213" s="186" t="n"/>
      <c r="R213" s="11">
        <f>'Jobs-Ops'!AL213</f>
        <v/>
      </c>
      <c r="S213" s="11">
        <f>'Jobs-GAAP'!AH213</f>
        <v/>
      </c>
      <c r="T213" s="11">
        <f>IFERROR(R213-S213,0)</f>
        <v/>
      </c>
      <c r="U213" s="8">
        <f>'Jobs-Ops'!AM213</f>
        <v/>
      </c>
      <c r="V213" s="8">
        <f>'Jobs-GAAP'!AI213</f>
        <v/>
      </c>
      <c r="W213" s="8">
        <f>IFERROR(U213-V213,0)</f>
        <v/>
      </c>
      <c r="X213" s="9">
        <f>'Jobs-Ops'!AN213</f>
        <v/>
      </c>
      <c r="Y213" s="9">
        <f>'Jobs-GAAP'!AJ213</f>
        <v/>
      </c>
      <c r="Z213" s="9">
        <f>IFERROR(X213-Y213,0)</f>
        <v/>
      </c>
      <c r="AA213" s="153">
        <f>'Jobs-Ops'!AO213</f>
        <v/>
      </c>
      <c r="AB213" s="187" t="n"/>
      <c r="AC213" s="186" t="n"/>
      <c r="AD213" s="186" t="n"/>
      <c r="AE213" s="188" t="n"/>
      <c r="AF213" s="187" t="n"/>
      <c r="AG213" s="187" t="n"/>
      <c r="AH213" s="186" t="n"/>
      <c r="AI213" s="186" t="n"/>
      <c r="AJ213" s="186" t="n"/>
      <c r="AK213" s="186" t="n"/>
      <c r="AL213" s="186" t="n"/>
      <c r="AM213" s="186" t="n"/>
      <c r="AN213" s="186" t="n"/>
      <c r="AO213" s="186" t="n"/>
      <c r="AP213" s="186" t="n"/>
      <c r="AQ213" s="186" t="n"/>
      <c r="AR213" s="186" t="n"/>
      <c r="AS213" s="186" t="n"/>
      <c r="AT213" s="186" t="n"/>
      <c r="AU213" s="186" t="n"/>
      <c r="AV213" s="186" t="n"/>
      <c r="AW213" s="186" t="n"/>
      <c r="AX213" s="186" t="n"/>
      <c r="AY213" s="186" t="n"/>
      <c r="AZ213" s="186" t="n"/>
      <c r="BA213" s="186" t="n"/>
      <c r="BB213" s="186" t="n"/>
      <c r="BC213" s="186" t="n"/>
      <c r="BD213" s="190" t="n"/>
      <c r="BE213" s="186" t="n"/>
      <c r="BF213" s="186" t="n"/>
      <c r="BG213" s="186" t="n"/>
      <c r="BH213" s="186" t="n"/>
      <c r="BI213" s="186" t="n"/>
      <c r="BJ213" s="187" t="n"/>
      <c r="BK213" s="192" t="n"/>
      <c r="BL213" s="192" t="n"/>
      <c r="BM213" s="192" t="n"/>
      <c r="BN213" s="192" t="n"/>
    </row>
    <row r="214">
      <c r="A214" s="289">
        <f> 'Jobs-Ops'!A214</f>
        <v/>
      </c>
      <c r="B214" s="290">
        <f>'Jobs-Ops'!B214</f>
        <v/>
      </c>
      <c r="C214" s="290">
        <f>'Jobs-Ops'!C214</f>
        <v/>
      </c>
      <c r="D214" s="179" t="n"/>
      <c r="E214" s="181">
        <f>'Jobs-Ops'!I214</f>
        <v/>
      </c>
      <c r="F214" s="205">
        <f>'Jobs-Ops'!U214</f>
        <v/>
      </c>
      <c r="G214" s="181">
        <f>'Jobs-GAAP'!J214</f>
        <v/>
      </c>
      <c r="H214" s="205">
        <f>'Jobs-GAAP'!V214</f>
        <v/>
      </c>
      <c r="I214" s="181">
        <f>E214-G214</f>
        <v/>
      </c>
      <c r="J214" s="9">
        <f>'Jobs-Ops'!P214</f>
        <v/>
      </c>
      <c r="K214" s="9">
        <f>'Jobs-GAAP'!Q214</f>
        <v/>
      </c>
      <c r="L214" s="9">
        <f>J214-K214</f>
        <v/>
      </c>
      <c r="M214" s="186" t="n"/>
      <c r="N214" s="9">
        <f>'Jobs-Ops'!Y214</f>
        <v/>
      </c>
      <c r="O214" s="9">
        <f>'Jobs-GAAP'!Y214</f>
        <v/>
      </c>
      <c r="P214" s="9">
        <f>N214-O214</f>
        <v/>
      </c>
      <c r="Q214" s="186" t="n"/>
      <c r="R214" s="11">
        <f>'Jobs-Ops'!AL214</f>
        <v/>
      </c>
      <c r="S214" s="11">
        <f>'Jobs-GAAP'!AH214</f>
        <v/>
      </c>
      <c r="T214" s="11">
        <f>IFERROR(R214-S214,0)</f>
        <v/>
      </c>
      <c r="U214" s="8">
        <f>'Jobs-Ops'!AM214</f>
        <v/>
      </c>
      <c r="V214" s="8">
        <f>'Jobs-GAAP'!AI214</f>
        <v/>
      </c>
      <c r="W214" s="8">
        <f>IFERROR(U214-V214,0)</f>
        <v/>
      </c>
      <c r="X214" s="9">
        <f>'Jobs-Ops'!AN214</f>
        <v/>
      </c>
      <c r="Y214" s="9">
        <f>'Jobs-GAAP'!AJ214</f>
        <v/>
      </c>
      <c r="Z214" s="9">
        <f>IFERROR(X214-Y214,0)</f>
        <v/>
      </c>
      <c r="AA214" s="153">
        <f>'Jobs-Ops'!AO214</f>
        <v/>
      </c>
      <c r="AB214" s="187" t="n"/>
      <c r="AC214" s="186" t="n"/>
      <c r="AD214" s="186" t="n"/>
      <c r="AE214" s="188" t="n"/>
      <c r="AF214" s="187" t="n"/>
      <c r="AG214" s="187" t="n"/>
      <c r="AH214" s="186" t="n"/>
      <c r="AI214" s="186" t="n"/>
      <c r="AJ214" s="186" t="n"/>
      <c r="AK214" s="186" t="n"/>
      <c r="AL214" s="186" t="n"/>
      <c r="AM214" s="186" t="n"/>
      <c r="AN214" s="186" t="n"/>
      <c r="AO214" s="186" t="n"/>
      <c r="AP214" s="186" t="n"/>
      <c r="AQ214" s="186" t="n"/>
      <c r="AR214" s="186" t="n"/>
      <c r="AS214" s="186" t="n"/>
      <c r="AT214" s="186" t="n"/>
      <c r="AU214" s="186" t="n"/>
      <c r="AV214" s="186" t="n"/>
      <c r="AW214" s="186" t="n"/>
      <c r="AX214" s="186" t="n"/>
      <c r="AY214" s="186" t="n"/>
      <c r="AZ214" s="186" t="n"/>
      <c r="BA214" s="186" t="n"/>
      <c r="BB214" s="186" t="n"/>
      <c r="BC214" s="186" t="n"/>
      <c r="BD214" s="190" t="n"/>
      <c r="BE214" s="186" t="n"/>
      <c r="BF214" s="186" t="n"/>
      <c r="BG214" s="186" t="n"/>
      <c r="BH214" s="186" t="n"/>
      <c r="BI214" s="186" t="n"/>
      <c r="BJ214" s="187" t="n"/>
      <c r="BK214" s="192" t="n"/>
      <c r="BL214" s="192" t="n"/>
      <c r="BM214" s="192" t="n"/>
      <c r="BN214" s="192" t="n"/>
    </row>
    <row r="215">
      <c r="A215" s="289">
        <f> 'Jobs-Ops'!A215</f>
        <v/>
      </c>
      <c r="B215" s="290">
        <f>'Jobs-Ops'!B215</f>
        <v/>
      </c>
      <c r="C215" s="290">
        <f>'Jobs-Ops'!C215</f>
        <v/>
      </c>
      <c r="D215" s="179" t="n"/>
      <c r="E215" s="181">
        <f>'Jobs-Ops'!I215</f>
        <v/>
      </c>
      <c r="F215" s="205">
        <f>'Jobs-Ops'!U215</f>
        <v/>
      </c>
      <c r="G215" s="181">
        <f>'Jobs-GAAP'!J215</f>
        <v/>
      </c>
      <c r="H215" s="205">
        <f>'Jobs-GAAP'!V215</f>
        <v/>
      </c>
      <c r="I215" s="181">
        <f>E215-G215</f>
        <v/>
      </c>
      <c r="J215" s="9">
        <f>'Jobs-Ops'!P215</f>
        <v/>
      </c>
      <c r="K215" s="9">
        <f>'Jobs-GAAP'!Q215</f>
        <v/>
      </c>
      <c r="L215" s="9">
        <f>J215-K215</f>
        <v/>
      </c>
      <c r="M215" s="186" t="n"/>
      <c r="N215" s="9">
        <f>'Jobs-Ops'!Y215</f>
        <v/>
      </c>
      <c r="O215" s="9">
        <f>'Jobs-GAAP'!Y215</f>
        <v/>
      </c>
      <c r="P215" s="9">
        <f>N215-O215</f>
        <v/>
      </c>
      <c r="Q215" s="186" t="n"/>
      <c r="R215" s="11">
        <f>'Jobs-Ops'!AL215</f>
        <v/>
      </c>
      <c r="S215" s="11">
        <f>'Jobs-GAAP'!AH215</f>
        <v/>
      </c>
      <c r="T215" s="11">
        <f>IFERROR(R215-S215,0)</f>
        <v/>
      </c>
      <c r="U215" s="8">
        <f>'Jobs-Ops'!AM215</f>
        <v/>
      </c>
      <c r="V215" s="8">
        <f>'Jobs-GAAP'!AI215</f>
        <v/>
      </c>
      <c r="W215" s="8">
        <f>IFERROR(U215-V215,0)</f>
        <v/>
      </c>
      <c r="X215" s="9">
        <f>'Jobs-Ops'!AN215</f>
        <v/>
      </c>
      <c r="Y215" s="9">
        <f>'Jobs-GAAP'!AJ215</f>
        <v/>
      </c>
      <c r="Z215" s="9">
        <f>IFERROR(X215-Y215,0)</f>
        <v/>
      </c>
      <c r="AA215" s="153">
        <f>'Jobs-Ops'!AO215</f>
        <v/>
      </c>
      <c r="AB215" s="187" t="n"/>
      <c r="AC215" s="186" t="n"/>
      <c r="AD215" s="186" t="n"/>
      <c r="AE215" s="188" t="n"/>
      <c r="AF215" s="187" t="n"/>
      <c r="AG215" s="187" t="n"/>
      <c r="AH215" s="186" t="n"/>
      <c r="AI215" s="186" t="n"/>
      <c r="AJ215" s="186" t="n"/>
      <c r="AK215" s="186" t="n"/>
      <c r="AL215" s="186" t="n"/>
      <c r="AM215" s="186" t="n"/>
      <c r="AN215" s="186" t="n"/>
      <c r="AO215" s="186" t="n"/>
      <c r="AP215" s="186" t="n"/>
      <c r="AQ215" s="186" t="n"/>
      <c r="AR215" s="186" t="n"/>
      <c r="AS215" s="186" t="n"/>
      <c r="AT215" s="186" t="n"/>
      <c r="AU215" s="186" t="n"/>
      <c r="AV215" s="186" t="n"/>
      <c r="AW215" s="186" t="n"/>
      <c r="AX215" s="186" t="n"/>
      <c r="AY215" s="186" t="n"/>
      <c r="AZ215" s="186" t="n"/>
      <c r="BA215" s="186" t="n"/>
      <c r="BB215" s="186" t="n"/>
      <c r="BC215" s="186" t="n"/>
      <c r="BD215" s="190" t="n"/>
      <c r="BE215" s="186" t="n"/>
      <c r="BF215" s="186" t="n"/>
      <c r="BG215" s="186" t="n"/>
      <c r="BH215" s="186" t="n"/>
      <c r="BI215" s="186" t="n"/>
      <c r="BJ215" s="187" t="n"/>
      <c r="BK215" s="192" t="n"/>
      <c r="BL215" s="192" t="n"/>
      <c r="BM215" s="192" t="n"/>
      <c r="BN215" s="192" t="n"/>
    </row>
    <row r="216">
      <c r="A216" s="289">
        <f> 'Jobs-Ops'!A216</f>
        <v/>
      </c>
      <c r="B216" s="290">
        <f>'Jobs-Ops'!B216</f>
        <v/>
      </c>
      <c r="C216" s="290">
        <f>'Jobs-Ops'!C216</f>
        <v/>
      </c>
      <c r="D216" s="179" t="n"/>
      <c r="E216" s="181">
        <f>'Jobs-Ops'!I216</f>
        <v/>
      </c>
      <c r="F216" s="205">
        <f>'Jobs-Ops'!U216</f>
        <v/>
      </c>
      <c r="G216" s="181">
        <f>'Jobs-GAAP'!J216</f>
        <v/>
      </c>
      <c r="H216" s="205">
        <f>'Jobs-GAAP'!V216</f>
        <v/>
      </c>
      <c r="I216" s="181">
        <f>E216-G216</f>
        <v/>
      </c>
      <c r="J216" s="9">
        <f>'Jobs-Ops'!P216</f>
        <v/>
      </c>
      <c r="K216" s="9">
        <f>'Jobs-GAAP'!Q216</f>
        <v/>
      </c>
      <c r="L216" s="9">
        <f>J216-K216</f>
        <v/>
      </c>
      <c r="M216" s="186" t="n"/>
      <c r="N216" s="9">
        <f>'Jobs-Ops'!Y216</f>
        <v/>
      </c>
      <c r="O216" s="9">
        <f>'Jobs-GAAP'!Y216</f>
        <v/>
      </c>
      <c r="P216" s="9">
        <f>N216-O216</f>
        <v/>
      </c>
      <c r="Q216" s="186" t="n"/>
      <c r="R216" s="11">
        <f>'Jobs-Ops'!AL216</f>
        <v/>
      </c>
      <c r="S216" s="11">
        <f>'Jobs-GAAP'!AH216</f>
        <v/>
      </c>
      <c r="T216" s="11">
        <f>IFERROR(R216-S216,0)</f>
        <v/>
      </c>
      <c r="U216" s="8">
        <f>'Jobs-Ops'!AM216</f>
        <v/>
      </c>
      <c r="V216" s="8">
        <f>'Jobs-GAAP'!AI216</f>
        <v/>
      </c>
      <c r="W216" s="8">
        <f>IFERROR(U216-V216,0)</f>
        <v/>
      </c>
      <c r="X216" s="9">
        <f>'Jobs-Ops'!AN216</f>
        <v/>
      </c>
      <c r="Y216" s="9">
        <f>'Jobs-GAAP'!AJ216</f>
        <v/>
      </c>
      <c r="Z216" s="9">
        <f>IFERROR(X216-Y216,0)</f>
        <v/>
      </c>
      <c r="AA216" s="153">
        <f>'Jobs-Ops'!AO216</f>
        <v/>
      </c>
      <c r="AB216" s="187" t="n"/>
      <c r="AC216" s="186" t="n"/>
      <c r="AD216" s="186" t="n"/>
      <c r="AE216" s="188" t="n"/>
      <c r="AF216" s="187" t="n"/>
      <c r="AG216" s="187" t="n"/>
      <c r="AH216" s="186" t="n"/>
      <c r="AI216" s="186" t="n"/>
      <c r="AJ216" s="186" t="n"/>
      <c r="AK216" s="186" t="n"/>
      <c r="AL216" s="186" t="n"/>
      <c r="AM216" s="186" t="n"/>
      <c r="AN216" s="186" t="n"/>
      <c r="AO216" s="186" t="n"/>
      <c r="AP216" s="186" t="n"/>
      <c r="AQ216" s="186" t="n"/>
      <c r="AR216" s="186" t="n"/>
      <c r="AS216" s="186" t="n"/>
      <c r="AT216" s="186" t="n"/>
      <c r="AU216" s="186" t="n"/>
      <c r="AV216" s="186" t="n"/>
      <c r="AW216" s="186" t="n"/>
      <c r="AX216" s="186" t="n"/>
      <c r="AY216" s="186" t="n"/>
      <c r="AZ216" s="186" t="n"/>
      <c r="BA216" s="186" t="n"/>
      <c r="BB216" s="186" t="n"/>
      <c r="BC216" s="186" t="n"/>
      <c r="BD216" s="190" t="n"/>
      <c r="BE216" s="186" t="n"/>
      <c r="BF216" s="186" t="n"/>
      <c r="BG216" s="186" t="n"/>
      <c r="BH216" s="186" t="n"/>
      <c r="BI216" s="186" t="n"/>
      <c r="BJ216" s="187" t="n"/>
      <c r="BK216" s="192" t="n"/>
      <c r="BL216" s="192" t="n"/>
      <c r="BM216" s="192" t="n"/>
      <c r="BN216" s="192" t="n"/>
    </row>
    <row r="217">
      <c r="A217" s="289">
        <f> 'Jobs-Ops'!A217</f>
        <v/>
      </c>
      <c r="B217" s="290">
        <f>'Jobs-Ops'!B217</f>
        <v/>
      </c>
      <c r="C217" s="290">
        <f>'Jobs-Ops'!C217</f>
        <v/>
      </c>
      <c r="D217" s="179" t="n"/>
      <c r="E217" s="181">
        <f>'Jobs-Ops'!I217</f>
        <v/>
      </c>
      <c r="F217" s="205">
        <f>'Jobs-Ops'!U217</f>
        <v/>
      </c>
      <c r="G217" s="181">
        <f>'Jobs-GAAP'!J217</f>
        <v/>
      </c>
      <c r="H217" s="205">
        <f>'Jobs-GAAP'!V217</f>
        <v/>
      </c>
      <c r="I217" s="181">
        <f>E217-G217</f>
        <v/>
      </c>
      <c r="J217" s="9">
        <f>'Jobs-Ops'!P217</f>
        <v/>
      </c>
      <c r="K217" s="9">
        <f>'Jobs-GAAP'!Q217</f>
        <v/>
      </c>
      <c r="L217" s="9">
        <f>J217-K217</f>
        <v/>
      </c>
      <c r="M217" s="186" t="n"/>
      <c r="N217" s="9">
        <f>'Jobs-Ops'!Y217</f>
        <v/>
      </c>
      <c r="O217" s="9">
        <f>'Jobs-GAAP'!Y217</f>
        <v/>
      </c>
      <c r="P217" s="9">
        <f>N217-O217</f>
        <v/>
      </c>
      <c r="Q217" s="186" t="n"/>
      <c r="R217" s="11">
        <f>'Jobs-Ops'!AL217</f>
        <v/>
      </c>
      <c r="S217" s="11">
        <f>'Jobs-GAAP'!AH217</f>
        <v/>
      </c>
      <c r="T217" s="11">
        <f>IFERROR(R217-S217,0)</f>
        <v/>
      </c>
      <c r="U217" s="8">
        <f>'Jobs-Ops'!AM217</f>
        <v/>
      </c>
      <c r="V217" s="8">
        <f>'Jobs-GAAP'!AI217</f>
        <v/>
      </c>
      <c r="W217" s="8">
        <f>IFERROR(U217-V217,0)</f>
        <v/>
      </c>
      <c r="X217" s="9">
        <f>'Jobs-Ops'!AN217</f>
        <v/>
      </c>
      <c r="Y217" s="9">
        <f>'Jobs-GAAP'!AJ217</f>
        <v/>
      </c>
      <c r="Z217" s="9">
        <f>IFERROR(X217-Y217,0)</f>
        <v/>
      </c>
      <c r="AA217" s="153">
        <f>'Jobs-Ops'!AO217</f>
        <v/>
      </c>
      <c r="AB217" s="187" t="n"/>
      <c r="AC217" s="186" t="n"/>
      <c r="AD217" s="186" t="n"/>
      <c r="AE217" s="188" t="n"/>
      <c r="AF217" s="187" t="n"/>
      <c r="AG217" s="187" t="n"/>
      <c r="AH217" s="186" t="n"/>
      <c r="AI217" s="186" t="n"/>
      <c r="AJ217" s="186" t="n"/>
      <c r="AK217" s="186" t="n"/>
      <c r="AL217" s="186" t="n"/>
      <c r="AM217" s="186" t="n"/>
      <c r="AN217" s="186" t="n"/>
      <c r="AO217" s="186" t="n"/>
      <c r="AP217" s="186" t="n"/>
      <c r="AQ217" s="186" t="n"/>
      <c r="AR217" s="186" t="n"/>
      <c r="AS217" s="186" t="n"/>
      <c r="AT217" s="186" t="n"/>
      <c r="AU217" s="186" t="n"/>
      <c r="AV217" s="186" t="n"/>
      <c r="AW217" s="186" t="n"/>
      <c r="AX217" s="186" t="n"/>
      <c r="AY217" s="186" t="n"/>
      <c r="AZ217" s="186" t="n"/>
      <c r="BA217" s="186" t="n"/>
      <c r="BB217" s="186" t="n"/>
      <c r="BC217" s="186" t="n"/>
      <c r="BD217" s="190" t="n"/>
      <c r="BE217" s="186" t="n"/>
      <c r="BF217" s="186" t="n"/>
      <c r="BG217" s="186" t="n"/>
      <c r="BH217" s="186" t="n"/>
      <c r="BI217" s="186" t="n"/>
      <c r="BJ217" s="187" t="n"/>
      <c r="BK217" s="192" t="n"/>
      <c r="BL217" s="192" t="n"/>
      <c r="BM217" s="192" t="n"/>
      <c r="BN217" s="192" t="n"/>
    </row>
    <row r="218">
      <c r="A218" s="289">
        <f> 'Jobs-Ops'!A218</f>
        <v/>
      </c>
      <c r="B218" s="290">
        <f>'Jobs-Ops'!B218</f>
        <v/>
      </c>
      <c r="C218" s="290">
        <f>'Jobs-Ops'!C218</f>
        <v/>
      </c>
      <c r="D218" s="179" t="n"/>
      <c r="E218" s="181">
        <f>'Jobs-Ops'!I218</f>
        <v/>
      </c>
      <c r="F218" s="205">
        <f>'Jobs-Ops'!U218</f>
        <v/>
      </c>
      <c r="G218" s="181">
        <f>'Jobs-GAAP'!J218</f>
        <v/>
      </c>
      <c r="H218" s="205">
        <f>'Jobs-GAAP'!V218</f>
        <v/>
      </c>
      <c r="I218" s="181">
        <f>E218-G218</f>
        <v/>
      </c>
      <c r="J218" s="9">
        <f>'Jobs-Ops'!P218</f>
        <v/>
      </c>
      <c r="K218" s="9">
        <f>'Jobs-GAAP'!Q218</f>
        <v/>
      </c>
      <c r="L218" s="9">
        <f>J218-K218</f>
        <v/>
      </c>
      <c r="M218" s="186" t="n"/>
      <c r="N218" s="9">
        <f>'Jobs-Ops'!Y218</f>
        <v/>
      </c>
      <c r="O218" s="9">
        <f>'Jobs-GAAP'!Y218</f>
        <v/>
      </c>
      <c r="P218" s="9">
        <f>N218-O218</f>
        <v/>
      </c>
      <c r="Q218" s="186" t="n"/>
      <c r="R218" s="11">
        <f>'Jobs-Ops'!AL218</f>
        <v/>
      </c>
      <c r="S218" s="11">
        <f>'Jobs-GAAP'!AH218</f>
        <v/>
      </c>
      <c r="T218" s="11">
        <f>IFERROR(R218-S218,0)</f>
        <v/>
      </c>
      <c r="U218" s="8">
        <f>'Jobs-Ops'!AM218</f>
        <v/>
      </c>
      <c r="V218" s="8">
        <f>'Jobs-GAAP'!AI218</f>
        <v/>
      </c>
      <c r="W218" s="8">
        <f>IFERROR(U218-V218,0)</f>
        <v/>
      </c>
      <c r="X218" s="9">
        <f>'Jobs-Ops'!AN218</f>
        <v/>
      </c>
      <c r="Y218" s="9">
        <f>'Jobs-GAAP'!AJ218</f>
        <v/>
      </c>
      <c r="Z218" s="9">
        <f>IFERROR(X218-Y218,0)</f>
        <v/>
      </c>
      <c r="AA218" s="153">
        <f>'Jobs-Ops'!AO218</f>
        <v/>
      </c>
      <c r="AB218" s="187" t="n"/>
      <c r="AC218" s="186" t="n"/>
      <c r="AD218" s="186" t="n"/>
      <c r="AE218" s="188" t="n"/>
      <c r="AF218" s="187" t="n"/>
      <c r="AG218" s="187" t="n"/>
      <c r="AH218" s="186" t="n"/>
      <c r="AI218" s="186" t="n"/>
      <c r="AJ218" s="186" t="n"/>
      <c r="AK218" s="186" t="n"/>
      <c r="AL218" s="186" t="n"/>
      <c r="AM218" s="186" t="n"/>
      <c r="AN218" s="186" t="n"/>
      <c r="AO218" s="186" t="n"/>
      <c r="AP218" s="186" t="n"/>
      <c r="AQ218" s="186" t="n"/>
      <c r="AR218" s="186" t="n"/>
      <c r="AS218" s="186" t="n"/>
      <c r="AT218" s="186" t="n"/>
      <c r="AU218" s="186" t="n"/>
      <c r="AV218" s="186" t="n"/>
      <c r="AW218" s="186" t="n"/>
      <c r="AX218" s="186" t="n"/>
      <c r="AY218" s="186" t="n"/>
      <c r="AZ218" s="186" t="n"/>
      <c r="BA218" s="186" t="n"/>
      <c r="BB218" s="186" t="n"/>
      <c r="BC218" s="186" t="n"/>
      <c r="BD218" s="190" t="n"/>
      <c r="BE218" s="186" t="n"/>
      <c r="BF218" s="186" t="n"/>
      <c r="BG218" s="186" t="n"/>
      <c r="BH218" s="186" t="n"/>
      <c r="BI218" s="186" t="n"/>
      <c r="BJ218" s="187" t="n"/>
      <c r="BK218" s="192" t="n"/>
      <c r="BL218" s="192" t="n"/>
      <c r="BM218" s="192" t="n"/>
      <c r="BN218" s="192" t="n"/>
    </row>
    <row r="219">
      <c r="A219" s="289">
        <f> 'Jobs-Ops'!A219</f>
        <v/>
      </c>
      <c r="B219" s="290">
        <f>'Jobs-Ops'!B219</f>
        <v/>
      </c>
      <c r="C219" s="290">
        <f>'Jobs-Ops'!C219</f>
        <v/>
      </c>
      <c r="D219" s="179" t="n"/>
      <c r="E219" s="181">
        <f>'Jobs-Ops'!I219</f>
        <v/>
      </c>
      <c r="F219" s="205">
        <f>'Jobs-Ops'!U219</f>
        <v/>
      </c>
      <c r="G219" s="181">
        <f>'Jobs-GAAP'!J219</f>
        <v/>
      </c>
      <c r="H219" s="205">
        <f>'Jobs-GAAP'!V219</f>
        <v/>
      </c>
      <c r="I219" s="181">
        <f>E219-G219</f>
        <v/>
      </c>
      <c r="J219" s="9">
        <f>'Jobs-Ops'!P219</f>
        <v/>
      </c>
      <c r="K219" s="9">
        <f>'Jobs-GAAP'!Q219</f>
        <v/>
      </c>
      <c r="L219" s="9">
        <f>J219-K219</f>
        <v/>
      </c>
      <c r="M219" s="186" t="n"/>
      <c r="N219" s="9">
        <f>'Jobs-Ops'!Y219</f>
        <v/>
      </c>
      <c r="O219" s="9">
        <f>'Jobs-GAAP'!Y219</f>
        <v/>
      </c>
      <c r="P219" s="9">
        <f>N219-O219</f>
        <v/>
      </c>
      <c r="Q219" s="186" t="n"/>
      <c r="R219" s="11">
        <f>'Jobs-Ops'!AL219</f>
        <v/>
      </c>
      <c r="S219" s="11">
        <f>'Jobs-GAAP'!AH219</f>
        <v/>
      </c>
      <c r="T219" s="11">
        <f>IFERROR(R219-S219,0)</f>
        <v/>
      </c>
      <c r="U219" s="8">
        <f>'Jobs-Ops'!AM219</f>
        <v/>
      </c>
      <c r="V219" s="8">
        <f>'Jobs-GAAP'!AI219</f>
        <v/>
      </c>
      <c r="W219" s="8">
        <f>IFERROR(U219-V219,0)</f>
        <v/>
      </c>
      <c r="X219" s="9">
        <f>'Jobs-Ops'!AN219</f>
        <v/>
      </c>
      <c r="Y219" s="9">
        <f>'Jobs-GAAP'!AJ219</f>
        <v/>
      </c>
      <c r="Z219" s="9">
        <f>IFERROR(X219-Y219,0)</f>
        <v/>
      </c>
      <c r="AA219" s="153">
        <f>'Jobs-Ops'!AO219</f>
        <v/>
      </c>
      <c r="AB219" s="187" t="n"/>
      <c r="AC219" s="186" t="n"/>
      <c r="AD219" s="186" t="n"/>
      <c r="AE219" s="188" t="n"/>
      <c r="AF219" s="187" t="n"/>
      <c r="AG219" s="187" t="n"/>
      <c r="AH219" s="186" t="n"/>
      <c r="AI219" s="186" t="n"/>
      <c r="AJ219" s="186" t="n"/>
      <c r="AK219" s="186" t="n"/>
      <c r="AL219" s="186" t="n"/>
      <c r="AM219" s="186" t="n"/>
      <c r="AN219" s="186" t="n"/>
      <c r="AO219" s="186" t="n"/>
      <c r="AP219" s="186" t="n"/>
      <c r="AQ219" s="186" t="n"/>
      <c r="AR219" s="186" t="n"/>
      <c r="AS219" s="186" t="n"/>
      <c r="AT219" s="186" t="n"/>
      <c r="AU219" s="186" t="n"/>
      <c r="AV219" s="186" t="n"/>
      <c r="AW219" s="186" t="n"/>
      <c r="AX219" s="186" t="n"/>
      <c r="AY219" s="186" t="n"/>
      <c r="AZ219" s="186" t="n"/>
      <c r="BA219" s="186" t="n"/>
      <c r="BB219" s="186" t="n"/>
      <c r="BC219" s="186" t="n"/>
      <c r="BD219" s="190" t="n"/>
      <c r="BE219" s="186" t="n"/>
      <c r="BF219" s="186" t="n"/>
      <c r="BG219" s="186" t="n"/>
      <c r="BH219" s="186" t="n"/>
      <c r="BI219" s="186" t="n"/>
      <c r="BJ219" s="187" t="n"/>
      <c r="BK219" s="192" t="n"/>
      <c r="BL219" s="192" t="n"/>
      <c r="BM219" s="192" t="n"/>
      <c r="BN219" s="192" t="n"/>
    </row>
    <row r="220">
      <c r="A220" s="289">
        <f> 'Jobs-Ops'!A220</f>
        <v/>
      </c>
      <c r="B220" s="290">
        <f>'Jobs-Ops'!B220</f>
        <v/>
      </c>
      <c r="C220" s="290">
        <f>'Jobs-Ops'!C220</f>
        <v/>
      </c>
      <c r="D220" s="179" t="n"/>
      <c r="E220" s="181">
        <f>'Jobs-Ops'!I220</f>
        <v/>
      </c>
      <c r="F220" s="205">
        <f>'Jobs-Ops'!U220</f>
        <v/>
      </c>
      <c r="G220" s="181">
        <f>'Jobs-GAAP'!J220</f>
        <v/>
      </c>
      <c r="H220" s="205">
        <f>'Jobs-GAAP'!V220</f>
        <v/>
      </c>
      <c r="I220" s="181">
        <f>E220-G220</f>
        <v/>
      </c>
      <c r="J220" s="9">
        <f>'Jobs-Ops'!P220</f>
        <v/>
      </c>
      <c r="K220" s="9">
        <f>'Jobs-GAAP'!Q220</f>
        <v/>
      </c>
      <c r="L220" s="9">
        <f>J220-K220</f>
        <v/>
      </c>
      <c r="M220" s="186" t="n"/>
      <c r="N220" s="9">
        <f>'Jobs-Ops'!Y220</f>
        <v/>
      </c>
      <c r="O220" s="9">
        <f>'Jobs-GAAP'!Y220</f>
        <v/>
      </c>
      <c r="P220" s="9">
        <f>N220-O220</f>
        <v/>
      </c>
      <c r="Q220" s="186" t="n"/>
      <c r="R220" s="11">
        <f>'Jobs-Ops'!AL220</f>
        <v/>
      </c>
      <c r="S220" s="11">
        <f>'Jobs-GAAP'!AH220</f>
        <v/>
      </c>
      <c r="T220" s="11">
        <f>IFERROR(R220-S220,0)</f>
        <v/>
      </c>
      <c r="U220" s="8">
        <f>'Jobs-Ops'!AM220</f>
        <v/>
      </c>
      <c r="V220" s="8">
        <f>'Jobs-GAAP'!AI220</f>
        <v/>
      </c>
      <c r="W220" s="8">
        <f>IFERROR(U220-V220,0)</f>
        <v/>
      </c>
      <c r="X220" s="9">
        <f>'Jobs-Ops'!AN220</f>
        <v/>
      </c>
      <c r="Y220" s="9">
        <f>'Jobs-GAAP'!AJ220</f>
        <v/>
      </c>
      <c r="Z220" s="9">
        <f>IFERROR(X220-Y220,0)</f>
        <v/>
      </c>
      <c r="AA220" s="153">
        <f>'Jobs-Ops'!AO220</f>
        <v/>
      </c>
      <c r="AB220" s="187" t="n"/>
      <c r="AC220" s="186" t="n"/>
      <c r="AD220" s="186" t="n"/>
      <c r="AE220" s="188" t="n"/>
      <c r="AF220" s="187" t="n"/>
      <c r="AG220" s="187" t="n"/>
      <c r="AH220" s="186" t="n"/>
      <c r="AI220" s="186" t="n"/>
      <c r="AJ220" s="186" t="n"/>
      <c r="AK220" s="186" t="n"/>
      <c r="AL220" s="186" t="n"/>
      <c r="AM220" s="186" t="n"/>
      <c r="AN220" s="186" t="n"/>
      <c r="AO220" s="186" t="n"/>
      <c r="AP220" s="186" t="n"/>
      <c r="AQ220" s="186" t="n"/>
      <c r="AR220" s="186" t="n"/>
      <c r="AS220" s="186" t="n"/>
      <c r="AT220" s="186" t="n"/>
      <c r="AU220" s="186" t="n"/>
      <c r="AV220" s="186" t="n"/>
      <c r="AW220" s="186" t="n"/>
      <c r="AX220" s="186" t="n"/>
      <c r="AY220" s="186" t="n"/>
      <c r="AZ220" s="186" t="n"/>
      <c r="BA220" s="186" t="n"/>
      <c r="BB220" s="186" t="n"/>
      <c r="BC220" s="186" t="n"/>
      <c r="BD220" s="190" t="n"/>
      <c r="BE220" s="186" t="n"/>
      <c r="BF220" s="186" t="n"/>
      <c r="BG220" s="186" t="n"/>
      <c r="BH220" s="186" t="n"/>
      <c r="BI220" s="186" t="n"/>
      <c r="BJ220" s="187" t="n"/>
      <c r="BK220" s="192" t="n"/>
      <c r="BL220" s="192" t="n"/>
      <c r="BM220" s="192" t="n"/>
      <c r="BN220" s="192" t="n"/>
    </row>
    <row r="221">
      <c r="A221" s="289">
        <f> 'Jobs-Ops'!A221</f>
        <v/>
      </c>
      <c r="B221" s="290">
        <f>'Jobs-Ops'!B221</f>
        <v/>
      </c>
      <c r="C221" s="290">
        <f>'Jobs-Ops'!C221</f>
        <v/>
      </c>
      <c r="D221" s="179" t="n"/>
      <c r="E221" s="181">
        <f>'Jobs-Ops'!I221</f>
        <v/>
      </c>
      <c r="F221" s="205">
        <f>'Jobs-Ops'!U221</f>
        <v/>
      </c>
      <c r="G221" s="181">
        <f>'Jobs-GAAP'!J221</f>
        <v/>
      </c>
      <c r="H221" s="205">
        <f>'Jobs-GAAP'!V221</f>
        <v/>
      </c>
      <c r="I221" s="181">
        <f>E221-G221</f>
        <v/>
      </c>
      <c r="J221" s="9">
        <f>'Jobs-Ops'!P221</f>
        <v/>
      </c>
      <c r="K221" s="9">
        <f>'Jobs-GAAP'!Q221</f>
        <v/>
      </c>
      <c r="L221" s="9">
        <f>J221-K221</f>
        <v/>
      </c>
      <c r="M221" s="186" t="n"/>
      <c r="N221" s="9">
        <f>'Jobs-Ops'!Y221</f>
        <v/>
      </c>
      <c r="O221" s="9">
        <f>'Jobs-GAAP'!Y221</f>
        <v/>
      </c>
      <c r="P221" s="9">
        <f>N221-O221</f>
        <v/>
      </c>
      <c r="Q221" s="186" t="n"/>
      <c r="R221" s="11">
        <f>'Jobs-Ops'!AL221</f>
        <v/>
      </c>
      <c r="S221" s="11">
        <f>'Jobs-GAAP'!AH221</f>
        <v/>
      </c>
      <c r="T221" s="11">
        <f>IFERROR(R221-S221,0)</f>
        <v/>
      </c>
      <c r="U221" s="8">
        <f>'Jobs-Ops'!AM221</f>
        <v/>
      </c>
      <c r="V221" s="8">
        <f>'Jobs-GAAP'!AI221</f>
        <v/>
      </c>
      <c r="W221" s="8">
        <f>IFERROR(U221-V221,0)</f>
        <v/>
      </c>
      <c r="X221" s="9">
        <f>'Jobs-Ops'!AN221</f>
        <v/>
      </c>
      <c r="Y221" s="9">
        <f>'Jobs-GAAP'!AJ221</f>
        <v/>
      </c>
      <c r="Z221" s="9">
        <f>IFERROR(X221-Y221,0)</f>
        <v/>
      </c>
      <c r="AA221" s="153">
        <f>'Jobs-Ops'!AO221</f>
        <v/>
      </c>
      <c r="AB221" s="187" t="n"/>
      <c r="AC221" s="186" t="n"/>
      <c r="AD221" s="186" t="n"/>
      <c r="AE221" s="188" t="n"/>
      <c r="AF221" s="187" t="n"/>
      <c r="AG221" s="187" t="n"/>
      <c r="AH221" s="186" t="n"/>
      <c r="AI221" s="186" t="n"/>
      <c r="AJ221" s="186" t="n"/>
      <c r="AK221" s="186" t="n"/>
      <c r="AL221" s="186" t="n"/>
      <c r="AM221" s="186" t="n"/>
      <c r="AN221" s="186" t="n"/>
      <c r="AO221" s="186" t="n"/>
      <c r="AP221" s="186" t="n"/>
      <c r="AQ221" s="186" t="n"/>
      <c r="AR221" s="186" t="n"/>
      <c r="AS221" s="186" t="n"/>
      <c r="AT221" s="186" t="n"/>
      <c r="AU221" s="186" t="n"/>
      <c r="AV221" s="186" t="n"/>
      <c r="AW221" s="186" t="n"/>
      <c r="AX221" s="186" t="n"/>
      <c r="AY221" s="186" t="n"/>
      <c r="AZ221" s="186" t="n"/>
      <c r="BA221" s="186" t="n"/>
      <c r="BB221" s="186" t="n"/>
      <c r="BC221" s="186" t="n"/>
      <c r="BD221" s="190" t="n"/>
      <c r="BE221" s="186" t="n"/>
      <c r="BF221" s="186" t="n"/>
      <c r="BG221" s="186" t="n"/>
      <c r="BH221" s="186" t="n"/>
      <c r="BI221" s="186" t="n"/>
      <c r="BJ221" s="187" t="n"/>
      <c r="BK221" s="192" t="n"/>
      <c r="BL221" s="192" t="n"/>
      <c r="BM221" s="192" t="n"/>
      <c r="BN221" s="192" t="n"/>
    </row>
    <row r="222">
      <c r="A222" s="289">
        <f> 'Jobs-Ops'!A222</f>
        <v/>
      </c>
      <c r="B222" s="290">
        <f>'Jobs-Ops'!B222</f>
        <v/>
      </c>
      <c r="C222" s="290">
        <f>'Jobs-Ops'!C222</f>
        <v/>
      </c>
      <c r="D222" s="179" t="n"/>
      <c r="E222" s="181">
        <f>'Jobs-Ops'!I222</f>
        <v/>
      </c>
      <c r="F222" s="205">
        <f>'Jobs-Ops'!U222</f>
        <v/>
      </c>
      <c r="G222" s="181">
        <f>'Jobs-GAAP'!J222</f>
        <v/>
      </c>
      <c r="H222" s="205">
        <f>'Jobs-GAAP'!V222</f>
        <v/>
      </c>
      <c r="I222" s="181">
        <f>E222-G222</f>
        <v/>
      </c>
      <c r="J222" s="9">
        <f>'Jobs-Ops'!P222</f>
        <v/>
      </c>
      <c r="K222" s="9">
        <f>'Jobs-GAAP'!Q222</f>
        <v/>
      </c>
      <c r="L222" s="9">
        <f>J222-K222</f>
        <v/>
      </c>
      <c r="M222" s="186" t="n"/>
      <c r="N222" s="9">
        <f>'Jobs-Ops'!Y222</f>
        <v/>
      </c>
      <c r="O222" s="9">
        <f>'Jobs-GAAP'!Y222</f>
        <v/>
      </c>
      <c r="P222" s="9">
        <f>N222-O222</f>
        <v/>
      </c>
      <c r="Q222" s="186" t="n"/>
      <c r="R222" s="11">
        <f>'Jobs-Ops'!AL222</f>
        <v/>
      </c>
      <c r="S222" s="11">
        <f>'Jobs-GAAP'!AH222</f>
        <v/>
      </c>
      <c r="T222" s="11">
        <f>IFERROR(R222-S222,0)</f>
        <v/>
      </c>
      <c r="U222" s="8">
        <f>'Jobs-Ops'!AM222</f>
        <v/>
      </c>
      <c r="V222" s="8">
        <f>'Jobs-GAAP'!AI222</f>
        <v/>
      </c>
      <c r="W222" s="8">
        <f>IFERROR(U222-V222,0)</f>
        <v/>
      </c>
      <c r="X222" s="9">
        <f>'Jobs-Ops'!AN222</f>
        <v/>
      </c>
      <c r="Y222" s="9">
        <f>'Jobs-GAAP'!AJ222</f>
        <v/>
      </c>
      <c r="Z222" s="9">
        <f>IFERROR(X222-Y222,0)</f>
        <v/>
      </c>
      <c r="AA222" s="153">
        <f>'Jobs-Ops'!AO222</f>
        <v/>
      </c>
      <c r="AB222" s="187" t="n"/>
      <c r="AC222" s="186" t="n"/>
      <c r="AD222" s="186" t="n"/>
      <c r="AE222" s="188" t="n"/>
      <c r="AF222" s="187" t="n"/>
      <c r="AG222" s="187" t="n"/>
      <c r="AH222" s="186" t="n"/>
      <c r="AI222" s="186" t="n"/>
      <c r="AJ222" s="186" t="n"/>
      <c r="AK222" s="186" t="n"/>
      <c r="AL222" s="186" t="n"/>
      <c r="AM222" s="186" t="n"/>
      <c r="AN222" s="186" t="n"/>
      <c r="AO222" s="186" t="n"/>
      <c r="AP222" s="186" t="n"/>
      <c r="AQ222" s="186" t="n"/>
      <c r="AR222" s="186" t="n"/>
      <c r="AS222" s="186" t="n"/>
      <c r="AT222" s="186" t="n"/>
      <c r="AU222" s="186" t="n"/>
      <c r="AV222" s="186" t="n"/>
      <c r="AW222" s="186" t="n"/>
      <c r="AX222" s="186" t="n"/>
      <c r="AY222" s="186" t="n"/>
      <c r="AZ222" s="186" t="n"/>
      <c r="BA222" s="186" t="n"/>
      <c r="BB222" s="186" t="n"/>
      <c r="BC222" s="186" t="n"/>
      <c r="BD222" s="190" t="n"/>
      <c r="BE222" s="186" t="n"/>
      <c r="BF222" s="186" t="n"/>
      <c r="BG222" s="186" t="n"/>
      <c r="BH222" s="186" t="n"/>
      <c r="BI222" s="186" t="n"/>
      <c r="BJ222" s="187" t="n"/>
      <c r="BK222" s="192" t="n"/>
      <c r="BL222" s="192" t="n"/>
      <c r="BM222" s="192" t="n"/>
      <c r="BN222" s="192" t="n"/>
    </row>
    <row r="223">
      <c r="A223" s="289">
        <f> 'Jobs-Ops'!A223</f>
        <v/>
      </c>
      <c r="B223" s="290">
        <f>'Jobs-Ops'!B223</f>
        <v/>
      </c>
      <c r="C223" s="290">
        <f>'Jobs-Ops'!C223</f>
        <v/>
      </c>
      <c r="D223" s="179" t="n"/>
      <c r="E223" s="181">
        <f>'Jobs-Ops'!I223</f>
        <v/>
      </c>
      <c r="F223" s="205">
        <f>'Jobs-Ops'!U223</f>
        <v/>
      </c>
      <c r="G223" s="181">
        <f>'Jobs-GAAP'!J223</f>
        <v/>
      </c>
      <c r="H223" s="205">
        <f>'Jobs-GAAP'!V223</f>
        <v/>
      </c>
      <c r="I223" s="181">
        <f>E223-G223</f>
        <v/>
      </c>
      <c r="J223" s="9">
        <f>'Jobs-Ops'!P223</f>
        <v/>
      </c>
      <c r="K223" s="9">
        <f>'Jobs-GAAP'!Q223</f>
        <v/>
      </c>
      <c r="L223" s="9">
        <f>J223-K223</f>
        <v/>
      </c>
      <c r="M223" s="186" t="n"/>
      <c r="N223" s="9">
        <f>'Jobs-Ops'!Y223</f>
        <v/>
      </c>
      <c r="O223" s="9">
        <f>'Jobs-GAAP'!Y223</f>
        <v/>
      </c>
      <c r="P223" s="9">
        <f>N223-O223</f>
        <v/>
      </c>
      <c r="Q223" s="186" t="n"/>
      <c r="R223" s="11">
        <f>'Jobs-Ops'!AL223</f>
        <v/>
      </c>
      <c r="S223" s="11">
        <f>'Jobs-GAAP'!AH223</f>
        <v/>
      </c>
      <c r="T223" s="11">
        <f>IFERROR(R223-S223,0)</f>
        <v/>
      </c>
      <c r="U223" s="8">
        <f>'Jobs-Ops'!AM223</f>
        <v/>
      </c>
      <c r="V223" s="8">
        <f>'Jobs-GAAP'!AI223</f>
        <v/>
      </c>
      <c r="W223" s="8">
        <f>IFERROR(U223-V223,0)</f>
        <v/>
      </c>
      <c r="X223" s="9">
        <f>'Jobs-Ops'!AN223</f>
        <v/>
      </c>
      <c r="Y223" s="9">
        <f>'Jobs-GAAP'!AJ223</f>
        <v/>
      </c>
      <c r="Z223" s="9">
        <f>IFERROR(X223-Y223,0)</f>
        <v/>
      </c>
      <c r="AA223" s="153">
        <f>'Jobs-Ops'!AO223</f>
        <v/>
      </c>
      <c r="AB223" s="187" t="n"/>
      <c r="AC223" s="186" t="n"/>
      <c r="AD223" s="186" t="n"/>
      <c r="AE223" s="188" t="n"/>
      <c r="AF223" s="187" t="n"/>
      <c r="AG223" s="187" t="n"/>
      <c r="AH223" s="186" t="n"/>
      <c r="AI223" s="186" t="n"/>
      <c r="AJ223" s="186" t="n"/>
      <c r="AK223" s="186" t="n"/>
      <c r="AL223" s="186" t="n"/>
      <c r="AM223" s="186" t="n"/>
      <c r="AN223" s="186" t="n"/>
      <c r="AO223" s="186" t="n"/>
      <c r="AP223" s="186" t="n"/>
      <c r="AQ223" s="186" t="n"/>
      <c r="AR223" s="186" t="n"/>
      <c r="AS223" s="186" t="n"/>
      <c r="AT223" s="186" t="n"/>
      <c r="AU223" s="186" t="n"/>
      <c r="AV223" s="186" t="n"/>
      <c r="AW223" s="186" t="n"/>
      <c r="AX223" s="186" t="n"/>
      <c r="AY223" s="186" t="n"/>
      <c r="AZ223" s="186" t="n"/>
      <c r="BA223" s="186" t="n"/>
      <c r="BB223" s="186" t="n"/>
      <c r="BC223" s="186" t="n"/>
      <c r="BD223" s="190" t="n"/>
      <c r="BE223" s="186" t="n"/>
      <c r="BF223" s="186" t="n"/>
      <c r="BG223" s="186" t="n"/>
      <c r="BH223" s="186" t="n"/>
      <c r="BI223" s="186" t="n"/>
      <c r="BJ223" s="187" t="n"/>
      <c r="BK223" s="192" t="n"/>
      <c r="BL223" s="192" t="n"/>
      <c r="BM223" s="192" t="n"/>
      <c r="BN223" s="192" t="n"/>
    </row>
    <row r="224">
      <c r="A224" s="289">
        <f> 'Jobs-Ops'!A224</f>
        <v/>
      </c>
      <c r="B224" s="290">
        <f>'Jobs-Ops'!B224</f>
        <v/>
      </c>
      <c r="C224" s="290">
        <f>'Jobs-Ops'!C224</f>
        <v/>
      </c>
      <c r="D224" s="179" t="n"/>
      <c r="E224" s="181">
        <f>'Jobs-Ops'!I224</f>
        <v/>
      </c>
      <c r="F224" s="205">
        <f>'Jobs-Ops'!U224</f>
        <v/>
      </c>
      <c r="G224" s="181">
        <f>'Jobs-GAAP'!J224</f>
        <v/>
      </c>
      <c r="H224" s="205">
        <f>'Jobs-GAAP'!V224</f>
        <v/>
      </c>
      <c r="I224" s="181">
        <f>E224-G224</f>
        <v/>
      </c>
      <c r="J224" s="9">
        <f>'Jobs-Ops'!P224</f>
        <v/>
      </c>
      <c r="K224" s="9">
        <f>'Jobs-GAAP'!Q224</f>
        <v/>
      </c>
      <c r="L224" s="9">
        <f>J224-K224</f>
        <v/>
      </c>
      <c r="M224" s="186" t="n"/>
      <c r="N224" s="9">
        <f>'Jobs-Ops'!Y224</f>
        <v/>
      </c>
      <c r="O224" s="9">
        <f>'Jobs-GAAP'!Y224</f>
        <v/>
      </c>
      <c r="P224" s="9">
        <f>N224-O224</f>
        <v/>
      </c>
      <c r="Q224" s="186" t="n"/>
      <c r="R224" s="11">
        <f>'Jobs-Ops'!AL224</f>
        <v/>
      </c>
      <c r="S224" s="11">
        <f>'Jobs-GAAP'!AH224</f>
        <v/>
      </c>
      <c r="T224" s="11">
        <f>IFERROR(R224-S224,0)</f>
        <v/>
      </c>
      <c r="U224" s="8">
        <f>'Jobs-Ops'!AM224</f>
        <v/>
      </c>
      <c r="V224" s="8">
        <f>'Jobs-GAAP'!AI224</f>
        <v/>
      </c>
      <c r="W224" s="8">
        <f>IFERROR(U224-V224,0)</f>
        <v/>
      </c>
      <c r="X224" s="9">
        <f>'Jobs-Ops'!AN224</f>
        <v/>
      </c>
      <c r="Y224" s="9">
        <f>'Jobs-GAAP'!AJ224</f>
        <v/>
      </c>
      <c r="Z224" s="9">
        <f>IFERROR(X224-Y224,0)</f>
        <v/>
      </c>
      <c r="AA224" s="153">
        <f>'Jobs-Ops'!AO224</f>
        <v/>
      </c>
      <c r="AB224" s="187" t="n"/>
      <c r="AC224" s="186" t="n"/>
      <c r="AD224" s="186" t="n"/>
      <c r="AE224" s="188" t="n"/>
      <c r="AF224" s="187" t="n"/>
      <c r="AG224" s="187" t="n"/>
      <c r="AH224" s="186" t="n"/>
      <c r="AI224" s="186" t="n"/>
      <c r="AJ224" s="186" t="n"/>
      <c r="AK224" s="186" t="n"/>
      <c r="AL224" s="186" t="n"/>
      <c r="AM224" s="186" t="n"/>
      <c r="AN224" s="186" t="n"/>
      <c r="AO224" s="186" t="n"/>
      <c r="AP224" s="186" t="n"/>
      <c r="AQ224" s="186" t="n"/>
      <c r="AR224" s="186" t="n"/>
      <c r="AS224" s="186" t="n"/>
      <c r="AT224" s="186" t="n"/>
      <c r="AU224" s="186" t="n"/>
      <c r="AV224" s="186" t="n"/>
      <c r="AW224" s="186" t="n"/>
      <c r="AX224" s="186" t="n"/>
      <c r="AY224" s="186" t="n"/>
      <c r="AZ224" s="186" t="n"/>
      <c r="BA224" s="186" t="n"/>
      <c r="BB224" s="186" t="n"/>
      <c r="BC224" s="186" t="n"/>
      <c r="BD224" s="190" t="n"/>
      <c r="BE224" s="186" t="n"/>
      <c r="BF224" s="186" t="n"/>
      <c r="BG224" s="186" t="n"/>
      <c r="BH224" s="186" t="n"/>
      <c r="BI224" s="186" t="n"/>
      <c r="BJ224" s="187" t="n"/>
      <c r="BK224" s="192" t="n"/>
      <c r="BL224" s="192" t="n"/>
      <c r="BM224" s="192" t="n"/>
      <c r="BN224" s="192" t="n"/>
    </row>
    <row r="225">
      <c r="A225" s="289">
        <f> 'Jobs-Ops'!A225</f>
        <v/>
      </c>
      <c r="B225" s="290">
        <f>'Jobs-Ops'!B225</f>
        <v/>
      </c>
      <c r="C225" s="290">
        <f>'Jobs-Ops'!C225</f>
        <v/>
      </c>
      <c r="D225" s="179" t="n"/>
      <c r="E225" s="181">
        <f>'Jobs-Ops'!I225</f>
        <v/>
      </c>
      <c r="F225" s="205">
        <f>'Jobs-Ops'!U225</f>
        <v/>
      </c>
      <c r="G225" s="181">
        <f>'Jobs-GAAP'!J225</f>
        <v/>
      </c>
      <c r="H225" s="205">
        <f>'Jobs-GAAP'!V225</f>
        <v/>
      </c>
      <c r="I225" s="181">
        <f>E225-G225</f>
        <v/>
      </c>
      <c r="J225" s="9">
        <f>'Jobs-Ops'!P225</f>
        <v/>
      </c>
      <c r="K225" s="9">
        <f>'Jobs-GAAP'!Q225</f>
        <v/>
      </c>
      <c r="L225" s="9">
        <f>J225-K225</f>
        <v/>
      </c>
      <c r="M225" s="186" t="n"/>
      <c r="N225" s="9">
        <f>'Jobs-Ops'!Y225</f>
        <v/>
      </c>
      <c r="O225" s="9">
        <f>'Jobs-GAAP'!Y225</f>
        <v/>
      </c>
      <c r="P225" s="9">
        <f>N225-O225</f>
        <v/>
      </c>
      <c r="Q225" s="186" t="n"/>
      <c r="R225" s="11">
        <f>'Jobs-Ops'!AL225</f>
        <v/>
      </c>
      <c r="S225" s="11">
        <f>'Jobs-GAAP'!AH225</f>
        <v/>
      </c>
      <c r="T225" s="11">
        <f>IFERROR(R225-S225,0)</f>
        <v/>
      </c>
      <c r="U225" s="8">
        <f>'Jobs-Ops'!AM225</f>
        <v/>
      </c>
      <c r="V225" s="8">
        <f>'Jobs-GAAP'!AI225</f>
        <v/>
      </c>
      <c r="W225" s="8">
        <f>IFERROR(U225-V225,0)</f>
        <v/>
      </c>
      <c r="X225" s="9">
        <f>'Jobs-Ops'!AN225</f>
        <v/>
      </c>
      <c r="Y225" s="9">
        <f>'Jobs-GAAP'!AJ225</f>
        <v/>
      </c>
      <c r="Z225" s="9">
        <f>IFERROR(X225-Y225,0)</f>
        <v/>
      </c>
      <c r="AA225" s="153">
        <f>'Jobs-Ops'!AO225</f>
        <v/>
      </c>
      <c r="AB225" s="187" t="n"/>
      <c r="AC225" s="186" t="n"/>
      <c r="AD225" s="186" t="n"/>
      <c r="AE225" s="188" t="n"/>
      <c r="AF225" s="187" t="n"/>
      <c r="AG225" s="187" t="n"/>
      <c r="AH225" s="186" t="n"/>
      <c r="AI225" s="186" t="n"/>
      <c r="AJ225" s="186" t="n"/>
      <c r="AK225" s="186" t="n"/>
      <c r="AL225" s="186" t="n"/>
      <c r="AM225" s="186" t="n"/>
      <c r="AN225" s="186" t="n"/>
      <c r="AO225" s="186" t="n"/>
      <c r="AP225" s="186" t="n"/>
      <c r="AQ225" s="186" t="n"/>
      <c r="AR225" s="186" t="n"/>
      <c r="AS225" s="186" t="n"/>
      <c r="AT225" s="186" t="n"/>
      <c r="AU225" s="186" t="n"/>
      <c r="AV225" s="186" t="n"/>
      <c r="AW225" s="186" t="n"/>
      <c r="AX225" s="186" t="n"/>
      <c r="AY225" s="186" t="n"/>
      <c r="AZ225" s="186" t="n"/>
      <c r="BA225" s="186" t="n"/>
      <c r="BB225" s="186" t="n"/>
      <c r="BC225" s="186" t="n"/>
      <c r="BD225" s="190" t="n"/>
      <c r="BE225" s="186" t="n"/>
      <c r="BF225" s="186" t="n"/>
      <c r="BG225" s="186" t="n"/>
      <c r="BH225" s="186" t="n"/>
      <c r="BI225" s="186" t="n"/>
      <c r="BJ225" s="187" t="n"/>
      <c r="BK225" s="192" t="n"/>
      <c r="BL225" s="192" t="n"/>
      <c r="BM225" s="192" t="n"/>
      <c r="BN225" s="192" t="n"/>
    </row>
    <row r="226">
      <c r="A226" s="289">
        <f> 'Jobs-Ops'!A226</f>
        <v/>
      </c>
      <c r="B226" s="290">
        <f>'Jobs-Ops'!B226</f>
        <v/>
      </c>
      <c r="C226" s="290">
        <f>'Jobs-Ops'!C226</f>
        <v/>
      </c>
      <c r="D226" s="179" t="n"/>
      <c r="E226" s="181">
        <f>'Jobs-Ops'!I226</f>
        <v/>
      </c>
      <c r="F226" s="205">
        <f>'Jobs-Ops'!U226</f>
        <v/>
      </c>
      <c r="G226" s="181">
        <f>'Jobs-GAAP'!J226</f>
        <v/>
      </c>
      <c r="H226" s="205">
        <f>'Jobs-GAAP'!V226</f>
        <v/>
      </c>
      <c r="I226" s="181">
        <f>E226-G226</f>
        <v/>
      </c>
      <c r="J226" s="9">
        <f>'Jobs-Ops'!P226</f>
        <v/>
      </c>
      <c r="K226" s="9">
        <f>'Jobs-GAAP'!Q226</f>
        <v/>
      </c>
      <c r="L226" s="9">
        <f>J226-K226</f>
        <v/>
      </c>
      <c r="M226" s="186" t="n"/>
      <c r="N226" s="9">
        <f>'Jobs-Ops'!Y226</f>
        <v/>
      </c>
      <c r="O226" s="9">
        <f>'Jobs-GAAP'!Y226</f>
        <v/>
      </c>
      <c r="P226" s="9">
        <f>N226-O226</f>
        <v/>
      </c>
      <c r="Q226" s="186" t="n"/>
      <c r="R226" s="11">
        <f>'Jobs-Ops'!AL226</f>
        <v/>
      </c>
      <c r="S226" s="11">
        <f>'Jobs-GAAP'!AH226</f>
        <v/>
      </c>
      <c r="T226" s="11">
        <f>IFERROR(R226-S226,0)</f>
        <v/>
      </c>
      <c r="U226" s="8">
        <f>'Jobs-Ops'!AM226</f>
        <v/>
      </c>
      <c r="V226" s="8">
        <f>'Jobs-GAAP'!AI226</f>
        <v/>
      </c>
      <c r="W226" s="8">
        <f>IFERROR(U226-V226,0)</f>
        <v/>
      </c>
      <c r="X226" s="9">
        <f>'Jobs-Ops'!AN226</f>
        <v/>
      </c>
      <c r="Y226" s="9">
        <f>'Jobs-GAAP'!AJ226</f>
        <v/>
      </c>
      <c r="Z226" s="9">
        <f>IFERROR(X226-Y226,0)</f>
        <v/>
      </c>
      <c r="AA226" s="153">
        <f>'Jobs-Ops'!AO226</f>
        <v/>
      </c>
      <c r="AB226" s="187" t="n"/>
      <c r="AC226" s="186" t="n"/>
      <c r="AD226" s="186" t="n"/>
      <c r="AE226" s="188" t="n"/>
      <c r="AF226" s="187" t="n"/>
      <c r="AG226" s="187" t="n"/>
      <c r="AH226" s="186" t="n"/>
      <c r="AI226" s="186" t="n"/>
      <c r="AJ226" s="186" t="n"/>
      <c r="AK226" s="186" t="n"/>
      <c r="AL226" s="186" t="n"/>
      <c r="AM226" s="186" t="n"/>
      <c r="AN226" s="186" t="n"/>
      <c r="AO226" s="186" t="n"/>
      <c r="AP226" s="186" t="n"/>
      <c r="AQ226" s="186" t="n"/>
      <c r="AR226" s="186" t="n"/>
      <c r="AS226" s="186" t="n"/>
      <c r="AT226" s="186" t="n"/>
      <c r="AU226" s="186" t="n"/>
      <c r="AV226" s="186" t="n"/>
      <c r="AW226" s="186" t="n"/>
      <c r="AX226" s="186" t="n"/>
      <c r="AY226" s="186" t="n"/>
      <c r="AZ226" s="186" t="n"/>
      <c r="BA226" s="186" t="n"/>
      <c r="BB226" s="186" t="n"/>
      <c r="BC226" s="186" t="n"/>
      <c r="BD226" s="190" t="n"/>
      <c r="BE226" s="186" t="n"/>
      <c r="BF226" s="186" t="n"/>
      <c r="BG226" s="186" t="n"/>
      <c r="BH226" s="186" t="n"/>
      <c r="BI226" s="186" t="n"/>
      <c r="BJ226" s="187" t="n"/>
      <c r="BK226" s="192" t="n"/>
      <c r="BL226" s="192" t="n"/>
      <c r="BM226" s="192" t="n"/>
      <c r="BN226" s="192" t="n"/>
    </row>
    <row r="227">
      <c r="A227" s="289">
        <f> 'Jobs-Ops'!A227</f>
        <v/>
      </c>
      <c r="B227" s="290">
        <f>'Jobs-Ops'!B227</f>
        <v/>
      </c>
      <c r="C227" s="290">
        <f>'Jobs-Ops'!C227</f>
        <v/>
      </c>
      <c r="D227" s="179" t="n"/>
      <c r="E227" s="181">
        <f>'Jobs-Ops'!I227</f>
        <v/>
      </c>
      <c r="F227" s="205">
        <f>'Jobs-Ops'!U227</f>
        <v/>
      </c>
      <c r="G227" s="181">
        <f>'Jobs-GAAP'!J227</f>
        <v/>
      </c>
      <c r="H227" s="205">
        <f>'Jobs-GAAP'!V227</f>
        <v/>
      </c>
      <c r="I227" s="181">
        <f>E227-G227</f>
        <v/>
      </c>
      <c r="J227" s="9">
        <f>'Jobs-Ops'!P227</f>
        <v/>
      </c>
      <c r="K227" s="9">
        <f>'Jobs-GAAP'!Q227</f>
        <v/>
      </c>
      <c r="L227" s="9">
        <f>J227-K227</f>
        <v/>
      </c>
      <c r="M227" s="186" t="n"/>
      <c r="N227" s="9">
        <f>'Jobs-Ops'!Y227</f>
        <v/>
      </c>
      <c r="O227" s="9">
        <f>'Jobs-GAAP'!Y227</f>
        <v/>
      </c>
      <c r="P227" s="9">
        <f>N227-O227</f>
        <v/>
      </c>
      <c r="Q227" s="186" t="n"/>
      <c r="R227" s="11">
        <f>'Jobs-Ops'!AL227</f>
        <v/>
      </c>
      <c r="S227" s="11">
        <f>'Jobs-GAAP'!AH227</f>
        <v/>
      </c>
      <c r="T227" s="11">
        <f>IFERROR(R227-S227,0)</f>
        <v/>
      </c>
      <c r="U227" s="8">
        <f>'Jobs-Ops'!AM227</f>
        <v/>
      </c>
      <c r="V227" s="8">
        <f>'Jobs-GAAP'!AI227</f>
        <v/>
      </c>
      <c r="W227" s="8">
        <f>IFERROR(U227-V227,0)</f>
        <v/>
      </c>
      <c r="X227" s="9">
        <f>'Jobs-Ops'!AN227</f>
        <v/>
      </c>
      <c r="Y227" s="9">
        <f>'Jobs-GAAP'!AJ227</f>
        <v/>
      </c>
      <c r="Z227" s="9">
        <f>IFERROR(X227-Y227,0)</f>
        <v/>
      </c>
      <c r="AA227" s="153">
        <f>'Jobs-Ops'!AO227</f>
        <v/>
      </c>
      <c r="AB227" s="187" t="n"/>
      <c r="AC227" s="186" t="n"/>
      <c r="AD227" s="186" t="n"/>
      <c r="AE227" s="188" t="n"/>
      <c r="AF227" s="187" t="n"/>
      <c r="AG227" s="187" t="n"/>
      <c r="AH227" s="186" t="n"/>
      <c r="AI227" s="186" t="n"/>
      <c r="AJ227" s="186" t="n"/>
      <c r="AK227" s="186" t="n"/>
      <c r="AL227" s="186" t="n"/>
      <c r="AM227" s="186" t="n"/>
      <c r="AN227" s="186" t="n"/>
      <c r="AO227" s="186" t="n"/>
      <c r="AP227" s="186" t="n"/>
      <c r="AQ227" s="186" t="n"/>
      <c r="AR227" s="186" t="n"/>
      <c r="AS227" s="186" t="n"/>
      <c r="AT227" s="186" t="n"/>
      <c r="AU227" s="186" t="n"/>
      <c r="AV227" s="186" t="n"/>
      <c r="AW227" s="186" t="n"/>
      <c r="AX227" s="186" t="n"/>
      <c r="AY227" s="186" t="n"/>
      <c r="AZ227" s="186" t="n"/>
      <c r="BA227" s="186" t="n"/>
      <c r="BB227" s="186" t="n"/>
      <c r="BC227" s="186" t="n"/>
      <c r="BD227" s="190" t="n"/>
      <c r="BE227" s="186" t="n"/>
      <c r="BF227" s="186" t="n"/>
      <c r="BG227" s="186" t="n"/>
      <c r="BH227" s="186" t="n"/>
      <c r="BI227" s="186" t="n"/>
      <c r="BJ227" s="187" t="n"/>
      <c r="BK227" s="192" t="n"/>
      <c r="BL227" s="192" t="n"/>
      <c r="BM227" s="192" t="n"/>
      <c r="BN227" s="192" t="n"/>
    </row>
    <row r="228">
      <c r="A228" s="289">
        <f> 'Jobs-Ops'!A228</f>
        <v/>
      </c>
      <c r="B228" s="290">
        <f>'Jobs-Ops'!B228</f>
        <v/>
      </c>
      <c r="C228" s="290">
        <f>'Jobs-Ops'!C228</f>
        <v/>
      </c>
      <c r="D228" s="179" t="n"/>
      <c r="E228" s="181">
        <f>'Jobs-Ops'!I228</f>
        <v/>
      </c>
      <c r="F228" s="205">
        <f>'Jobs-Ops'!U228</f>
        <v/>
      </c>
      <c r="G228" s="181">
        <f>'Jobs-GAAP'!J228</f>
        <v/>
      </c>
      <c r="H228" s="205">
        <f>'Jobs-GAAP'!V228</f>
        <v/>
      </c>
      <c r="I228" s="181">
        <f>E228-G228</f>
        <v/>
      </c>
      <c r="J228" s="9">
        <f>'Jobs-Ops'!P228</f>
        <v/>
      </c>
      <c r="K228" s="9">
        <f>'Jobs-GAAP'!Q228</f>
        <v/>
      </c>
      <c r="L228" s="9">
        <f>J228-K228</f>
        <v/>
      </c>
      <c r="M228" s="186" t="n"/>
      <c r="N228" s="9">
        <f>'Jobs-Ops'!Y228</f>
        <v/>
      </c>
      <c r="O228" s="9">
        <f>'Jobs-GAAP'!Y228</f>
        <v/>
      </c>
      <c r="P228" s="9">
        <f>N228-O228</f>
        <v/>
      </c>
      <c r="Q228" s="186" t="n"/>
      <c r="R228" s="11">
        <f>'Jobs-Ops'!AL228</f>
        <v/>
      </c>
      <c r="S228" s="11">
        <f>'Jobs-GAAP'!AH228</f>
        <v/>
      </c>
      <c r="T228" s="11">
        <f>IFERROR(R228-S228,0)</f>
        <v/>
      </c>
      <c r="U228" s="8">
        <f>'Jobs-Ops'!AM228</f>
        <v/>
      </c>
      <c r="V228" s="8">
        <f>'Jobs-GAAP'!AI228</f>
        <v/>
      </c>
      <c r="W228" s="8">
        <f>IFERROR(U228-V228,0)</f>
        <v/>
      </c>
      <c r="X228" s="9">
        <f>'Jobs-Ops'!AN228</f>
        <v/>
      </c>
      <c r="Y228" s="9">
        <f>'Jobs-GAAP'!AJ228</f>
        <v/>
      </c>
      <c r="Z228" s="9">
        <f>IFERROR(X228-Y228,0)</f>
        <v/>
      </c>
      <c r="AA228" s="153">
        <f>'Jobs-Ops'!AO228</f>
        <v/>
      </c>
      <c r="AB228" s="187" t="n"/>
      <c r="AC228" s="186" t="n"/>
      <c r="AD228" s="186" t="n"/>
      <c r="AE228" s="188" t="n"/>
      <c r="AF228" s="187" t="n"/>
      <c r="AG228" s="187" t="n"/>
      <c r="AH228" s="186" t="n"/>
      <c r="AI228" s="186" t="n"/>
      <c r="AJ228" s="186" t="n"/>
      <c r="AK228" s="186" t="n"/>
      <c r="AL228" s="186" t="n"/>
      <c r="AM228" s="186" t="n"/>
      <c r="AN228" s="186" t="n"/>
      <c r="AO228" s="186" t="n"/>
      <c r="AP228" s="186" t="n"/>
      <c r="AQ228" s="186" t="n"/>
      <c r="AR228" s="186" t="n"/>
      <c r="AS228" s="186" t="n"/>
      <c r="AT228" s="186" t="n"/>
      <c r="AU228" s="186" t="n"/>
      <c r="AV228" s="186" t="n"/>
      <c r="AW228" s="186" t="n"/>
      <c r="AX228" s="186" t="n"/>
      <c r="AY228" s="186" t="n"/>
      <c r="AZ228" s="186" t="n"/>
      <c r="BA228" s="186" t="n"/>
      <c r="BB228" s="186" t="n"/>
      <c r="BC228" s="186" t="n"/>
      <c r="BD228" s="190" t="n"/>
      <c r="BE228" s="186" t="n"/>
      <c r="BF228" s="186" t="n"/>
      <c r="BG228" s="186" t="n"/>
      <c r="BH228" s="186" t="n"/>
      <c r="BI228" s="186" t="n"/>
      <c r="BJ228" s="187" t="n"/>
      <c r="BK228" s="192" t="n"/>
      <c r="BL228" s="192" t="n"/>
      <c r="BM228" s="192" t="n"/>
      <c r="BN228" s="192" t="n"/>
    </row>
    <row r="229">
      <c r="A229" s="289">
        <f> 'Jobs-Ops'!A229</f>
        <v/>
      </c>
      <c r="B229" s="290">
        <f>'Jobs-Ops'!B229</f>
        <v/>
      </c>
      <c r="C229" s="290">
        <f>'Jobs-Ops'!C229</f>
        <v/>
      </c>
      <c r="D229" s="179" t="n"/>
      <c r="E229" s="181">
        <f>'Jobs-Ops'!I229</f>
        <v/>
      </c>
      <c r="F229" s="205">
        <f>'Jobs-Ops'!U229</f>
        <v/>
      </c>
      <c r="G229" s="181">
        <f>'Jobs-GAAP'!J229</f>
        <v/>
      </c>
      <c r="H229" s="205">
        <f>'Jobs-GAAP'!V229</f>
        <v/>
      </c>
      <c r="I229" s="181">
        <f>E229-G229</f>
        <v/>
      </c>
      <c r="J229" s="9">
        <f>'Jobs-Ops'!P229</f>
        <v/>
      </c>
      <c r="K229" s="9">
        <f>'Jobs-GAAP'!Q229</f>
        <v/>
      </c>
      <c r="L229" s="9">
        <f>J229-K229</f>
        <v/>
      </c>
      <c r="M229" s="186" t="n"/>
      <c r="N229" s="9">
        <f>'Jobs-Ops'!Y229</f>
        <v/>
      </c>
      <c r="O229" s="9">
        <f>'Jobs-GAAP'!Y229</f>
        <v/>
      </c>
      <c r="P229" s="9">
        <f>N229-O229</f>
        <v/>
      </c>
      <c r="Q229" s="186" t="n"/>
      <c r="R229" s="11">
        <f>'Jobs-Ops'!AL229</f>
        <v/>
      </c>
      <c r="S229" s="11">
        <f>'Jobs-GAAP'!AH229</f>
        <v/>
      </c>
      <c r="T229" s="11">
        <f>IFERROR(R229-S229,0)</f>
        <v/>
      </c>
      <c r="U229" s="8">
        <f>'Jobs-Ops'!AM229</f>
        <v/>
      </c>
      <c r="V229" s="8">
        <f>'Jobs-GAAP'!AI229</f>
        <v/>
      </c>
      <c r="W229" s="8">
        <f>IFERROR(U229-V229,0)</f>
        <v/>
      </c>
      <c r="X229" s="9">
        <f>'Jobs-Ops'!AN229</f>
        <v/>
      </c>
      <c r="Y229" s="9">
        <f>'Jobs-GAAP'!AJ229</f>
        <v/>
      </c>
      <c r="Z229" s="9">
        <f>IFERROR(X229-Y229,0)</f>
        <v/>
      </c>
      <c r="AA229" s="153">
        <f>'Jobs-Ops'!AO229</f>
        <v/>
      </c>
      <c r="AB229" s="187" t="n"/>
      <c r="AC229" s="186" t="n"/>
      <c r="AD229" s="186" t="n"/>
      <c r="AE229" s="188" t="n"/>
      <c r="AF229" s="187" t="n"/>
      <c r="AG229" s="187" t="n"/>
      <c r="AH229" s="186" t="n"/>
      <c r="AI229" s="186" t="n"/>
      <c r="AJ229" s="186" t="n"/>
      <c r="AK229" s="186" t="n"/>
      <c r="AL229" s="186" t="n"/>
      <c r="AM229" s="186" t="n"/>
      <c r="AN229" s="186" t="n"/>
      <c r="AO229" s="186" t="n"/>
      <c r="AP229" s="186" t="n"/>
      <c r="AQ229" s="186" t="n"/>
      <c r="AR229" s="186" t="n"/>
      <c r="AS229" s="186" t="n"/>
      <c r="AT229" s="186" t="n"/>
      <c r="AU229" s="186" t="n"/>
      <c r="AV229" s="186" t="n"/>
      <c r="AW229" s="186" t="n"/>
      <c r="AX229" s="186" t="n"/>
      <c r="AY229" s="186" t="n"/>
      <c r="AZ229" s="186" t="n"/>
      <c r="BA229" s="186" t="n"/>
      <c r="BB229" s="186" t="n"/>
      <c r="BC229" s="186" t="n"/>
      <c r="BD229" s="190" t="n"/>
      <c r="BE229" s="186" t="n"/>
      <c r="BF229" s="186" t="n"/>
      <c r="BG229" s="186" t="n"/>
      <c r="BH229" s="186" t="n"/>
      <c r="BI229" s="186" t="n"/>
      <c r="BJ229" s="187" t="n"/>
      <c r="BK229" s="192" t="n"/>
      <c r="BL229" s="192" t="n"/>
      <c r="BM229" s="192" t="n"/>
      <c r="BN229" s="192" t="n"/>
    </row>
    <row r="230">
      <c r="A230" s="289">
        <f> 'Jobs-Ops'!A230</f>
        <v/>
      </c>
      <c r="B230" s="290">
        <f>'Jobs-Ops'!B230</f>
        <v/>
      </c>
      <c r="C230" s="290">
        <f>'Jobs-Ops'!C230</f>
        <v/>
      </c>
      <c r="D230" s="179" t="n"/>
      <c r="E230" s="181">
        <f>'Jobs-Ops'!I230</f>
        <v/>
      </c>
      <c r="F230" s="205">
        <f>'Jobs-Ops'!U230</f>
        <v/>
      </c>
      <c r="G230" s="181">
        <f>'Jobs-GAAP'!J230</f>
        <v/>
      </c>
      <c r="H230" s="205">
        <f>'Jobs-GAAP'!V230</f>
        <v/>
      </c>
      <c r="I230" s="181">
        <f>E230-G230</f>
        <v/>
      </c>
      <c r="J230" s="9">
        <f>'Jobs-Ops'!P230</f>
        <v/>
      </c>
      <c r="K230" s="9">
        <f>'Jobs-GAAP'!Q230</f>
        <v/>
      </c>
      <c r="L230" s="9">
        <f>J230-K230</f>
        <v/>
      </c>
      <c r="M230" s="186" t="n"/>
      <c r="N230" s="9">
        <f>'Jobs-Ops'!Y230</f>
        <v/>
      </c>
      <c r="O230" s="9">
        <f>'Jobs-GAAP'!Y230</f>
        <v/>
      </c>
      <c r="P230" s="9">
        <f>N230-O230</f>
        <v/>
      </c>
      <c r="Q230" s="186" t="n"/>
      <c r="R230" s="11">
        <f>'Jobs-Ops'!AL230</f>
        <v/>
      </c>
      <c r="S230" s="11">
        <f>'Jobs-GAAP'!AH230</f>
        <v/>
      </c>
      <c r="T230" s="11">
        <f>IFERROR(R230-S230,0)</f>
        <v/>
      </c>
      <c r="U230" s="8">
        <f>'Jobs-Ops'!AM230</f>
        <v/>
      </c>
      <c r="V230" s="8">
        <f>'Jobs-GAAP'!AI230</f>
        <v/>
      </c>
      <c r="W230" s="8">
        <f>IFERROR(U230-V230,0)</f>
        <v/>
      </c>
      <c r="X230" s="9">
        <f>'Jobs-Ops'!AN230</f>
        <v/>
      </c>
      <c r="Y230" s="9">
        <f>'Jobs-GAAP'!AJ230</f>
        <v/>
      </c>
      <c r="Z230" s="9">
        <f>IFERROR(X230-Y230,0)</f>
        <v/>
      </c>
      <c r="AA230" s="153">
        <f>'Jobs-Ops'!AO230</f>
        <v/>
      </c>
      <c r="AB230" s="187" t="n"/>
      <c r="AC230" s="186" t="n"/>
      <c r="AD230" s="186" t="n"/>
      <c r="AE230" s="188" t="n"/>
      <c r="AF230" s="187" t="n"/>
      <c r="AG230" s="187" t="n"/>
      <c r="AH230" s="186" t="n"/>
      <c r="AI230" s="186" t="n"/>
      <c r="AJ230" s="186" t="n"/>
      <c r="AK230" s="186" t="n"/>
      <c r="AL230" s="186" t="n"/>
      <c r="AM230" s="186" t="n"/>
      <c r="AN230" s="186" t="n"/>
      <c r="AO230" s="186" t="n"/>
      <c r="AP230" s="186" t="n"/>
      <c r="AQ230" s="186" t="n"/>
      <c r="AR230" s="186" t="n"/>
      <c r="AS230" s="186" t="n"/>
      <c r="AT230" s="186" t="n"/>
      <c r="AU230" s="186" t="n"/>
      <c r="AV230" s="186" t="n"/>
      <c r="AW230" s="186" t="n"/>
      <c r="AX230" s="186" t="n"/>
      <c r="AY230" s="186" t="n"/>
      <c r="AZ230" s="186" t="n"/>
      <c r="BA230" s="186" t="n"/>
      <c r="BB230" s="186" t="n"/>
      <c r="BC230" s="186" t="n"/>
      <c r="BD230" s="190" t="n"/>
      <c r="BE230" s="186" t="n"/>
      <c r="BF230" s="186" t="n"/>
      <c r="BG230" s="186" t="n"/>
      <c r="BH230" s="186" t="n"/>
      <c r="BI230" s="186" t="n"/>
      <c r="BJ230" s="187" t="n"/>
      <c r="BK230" s="192" t="n"/>
      <c r="BL230" s="192" t="n"/>
      <c r="BM230" s="192" t="n"/>
      <c r="BN230" s="192" t="n"/>
    </row>
    <row r="231">
      <c r="A231" s="289">
        <f> 'Jobs-Ops'!A231</f>
        <v/>
      </c>
      <c r="B231" s="290">
        <f>'Jobs-Ops'!B231</f>
        <v/>
      </c>
      <c r="C231" s="290">
        <f>'Jobs-Ops'!C231</f>
        <v/>
      </c>
      <c r="D231" s="179" t="n"/>
      <c r="E231" s="181">
        <f>'Jobs-Ops'!I231</f>
        <v/>
      </c>
      <c r="F231" s="205">
        <f>'Jobs-Ops'!U231</f>
        <v/>
      </c>
      <c r="G231" s="181">
        <f>'Jobs-GAAP'!J231</f>
        <v/>
      </c>
      <c r="H231" s="205">
        <f>'Jobs-GAAP'!V231</f>
        <v/>
      </c>
      <c r="I231" s="181">
        <f>E231-G231</f>
        <v/>
      </c>
      <c r="J231" s="9">
        <f>'Jobs-Ops'!P231</f>
        <v/>
      </c>
      <c r="K231" s="9">
        <f>'Jobs-GAAP'!Q231</f>
        <v/>
      </c>
      <c r="L231" s="9">
        <f>J231-K231</f>
        <v/>
      </c>
      <c r="M231" s="186" t="n"/>
      <c r="N231" s="9">
        <f>'Jobs-Ops'!Y231</f>
        <v/>
      </c>
      <c r="O231" s="9">
        <f>'Jobs-GAAP'!Y231</f>
        <v/>
      </c>
      <c r="P231" s="9">
        <f>N231-O231</f>
        <v/>
      </c>
      <c r="Q231" s="186" t="n"/>
      <c r="R231" s="11">
        <f>'Jobs-Ops'!AL231</f>
        <v/>
      </c>
      <c r="S231" s="11">
        <f>'Jobs-GAAP'!AH231</f>
        <v/>
      </c>
      <c r="T231" s="11">
        <f>IFERROR(R231-S231,0)</f>
        <v/>
      </c>
      <c r="U231" s="8">
        <f>'Jobs-Ops'!AM231</f>
        <v/>
      </c>
      <c r="V231" s="8">
        <f>'Jobs-GAAP'!AI231</f>
        <v/>
      </c>
      <c r="W231" s="8">
        <f>IFERROR(U231-V231,0)</f>
        <v/>
      </c>
      <c r="X231" s="9">
        <f>'Jobs-Ops'!AN231</f>
        <v/>
      </c>
      <c r="Y231" s="9">
        <f>'Jobs-GAAP'!AJ231</f>
        <v/>
      </c>
      <c r="Z231" s="9">
        <f>IFERROR(X231-Y231,0)</f>
        <v/>
      </c>
      <c r="AA231" s="153">
        <f>'Jobs-Ops'!AO231</f>
        <v/>
      </c>
      <c r="AB231" s="187" t="n"/>
      <c r="AC231" s="186" t="n"/>
      <c r="AD231" s="186" t="n"/>
      <c r="AE231" s="188" t="n"/>
      <c r="AF231" s="187" t="n"/>
      <c r="AG231" s="187" t="n"/>
      <c r="AH231" s="186" t="n"/>
      <c r="AI231" s="186" t="n"/>
      <c r="AJ231" s="186" t="n"/>
      <c r="AK231" s="186" t="n"/>
      <c r="AL231" s="186" t="n"/>
      <c r="AM231" s="186" t="n"/>
      <c r="AN231" s="186" t="n"/>
      <c r="AO231" s="186" t="n"/>
      <c r="AP231" s="186" t="n"/>
      <c r="AQ231" s="186" t="n"/>
      <c r="AR231" s="186" t="n"/>
      <c r="AS231" s="186" t="n"/>
      <c r="AT231" s="186" t="n"/>
      <c r="AU231" s="186" t="n"/>
      <c r="AV231" s="186" t="n"/>
      <c r="AW231" s="186" t="n"/>
      <c r="AX231" s="186" t="n"/>
      <c r="AY231" s="186" t="n"/>
      <c r="AZ231" s="186" t="n"/>
      <c r="BA231" s="186" t="n"/>
      <c r="BB231" s="186" t="n"/>
      <c r="BC231" s="186" t="n"/>
      <c r="BD231" s="190" t="n"/>
      <c r="BE231" s="186" t="n"/>
      <c r="BF231" s="186" t="n"/>
      <c r="BG231" s="186" t="n"/>
      <c r="BH231" s="186" t="n"/>
      <c r="BI231" s="186" t="n"/>
      <c r="BJ231" s="187" t="n"/>
      <c r="BK231" s="192" t="n"/>
      <c r="BL231" s="192" t="n"/>
      <c r="BM231" s="192" t="n"/>
      <c r="BN231" s="192" t="n"/>
    </row>
    <row r="232">
      <c r="A232" s="289">
        <f> 'Jobs-Ops'!A232</f>
        <v/>
      </c>
      <c r="B232" s="290">
        <f>'Jobs-Ops'!B232</f>
        <v/>
      </c>
      <c r="C232" s="290">
        <f>'Jobs-Ops'!C232</f>
        <v/>
      </c>
      <c r="D232" s="179" t="n"/>
      <c r="E232" s="181">
        <f>'Jobs-Ops'!I232</f>
        <v/>
      </c>
      <c r="F232" s="205">
        <f>'Jobs-Ops'!U232</f>
        <v/>
      </c>
      <c r="G232" s="181">
        <f>'Jobs-GAAP'!J232</f>
        <v/>
      </c>
      <c r="H232" s="205">
        <f>'Jobs-GAAP'!V232</f>
        <v/>
      </c>
      <c r="I232" s="181">
        <f>E232-G232</f>
        <v/>
      </c>
      <c r="J232" s="9">
        <f>'Jobs-Ops'!P232</f>
        <v/>
      </c>
      <c r="K232" s="9">
        <f>'Jobs-GAAP'!Q232</f>
        <v/>
      </c>
      <c r="L232" s="9">
        <f>J232-K232</f>
        <v/>
      </c>
      <c r="M232" s="186" t="n"/>
      <c r="N232" s="9">
        <f>'Jobs-Ops'!Y232</f>
        <v/>
      </c>
      <c r="O232" s="9">
        <f>'Jobs-GAAP'!Y232</f>
        <v/>
      </c>
      <c r="P232" s="9">
        <f>N232-O232</f>
        <v/>
      </c>
      <c r="Q232" s="186" t="n"/>
      <c r="R232" s="11">
        <f>'Jobs-Ops'!AL232</f>
        <v/>
      </c>
      <c r="S232" s="11">
        <f>'Jobs-GAAP'!AH232</f>
        <v/>
      </c>
      <c r="T232" s="11">
        <f>IFERROR(R232-S232,0)</f>
        <v/>
      </c>
      <c r="U232" s="8">
        <f>'Jobs-Ops'!AM232</f>
        <v/>
      </c>
      <c r="V232" s="8">
        <f>'Jobs-GAAP'!AI232</f>
        <v/>
      </c>
      <c r="W232" s="8">
        <f>IFERROR(U232-V232,0)</f>
        <v/>
      </c>
      <c r="X232" s="9">
        <f>'Jobs-Ops'!AN232</f>
        <v/>
      </c>
      <c r="Y232" s="9">
        <f>'Jobs-GAAP'!AJ232</f>
        <v/>
      </c>
      <c r="Z232" s="9">
        <f>IFERROR(X232-Y232,0)</f>
        <v/>
      </c>
      <c r="AA232" s="153">
        <f>'Jobs-Ops'!AO232</f>
        <v/>
      </c>
      <c r="AB232" s="187" t="n"/>
      <c r="AC232" s="186" t="n"/>
      <c r="AD232" s="186" t="n"/>
      <c r="AE232" s="188" t="n"/>
      <c r="AF232" s="187" t="n"/>
      <c r="AG232" s="187" t="n"/>
      <c r="AH232" s="186" t="n"/>
      <c r="AI232" s="186" t="n"/>
      <c r="AJ232" s="186" t="n"/>
      <c r="AK232" s="186" t="n"/>
      <c r="AL232" s="186" t="n"/>
      <c r="AM232" s="186" t="n"/>
      <c r="AN232" s="186" t="n"/>
      <c r="AO232" s="186" t="n"/>
      <c r="AP232" s="186" t="n"/>
      <c r="AQ232" s="186" t="n"/>
      <c r="AR232" s="186" t="n"/>
      <c r="AS232" s="186" t="n"/>
      <c r="AT232" s="186" t="n"/>
      <c r="AU232" s="186" t="n"/>
      <c r="AV232" s="186" t="n"/>
      <c r="AW232" s="186" t="n"/>
      <c r="AX232" s="186" t="n"/>
      <c r="AY232" s="186" t="n"/>
      <c r="AZ232" s="186" t="n"/>
      <c r="BA232" s="186" t="n"/>
      <c r="BB232" s="186" t="n"/>
      <c r="BC232" s="186" t="n"/>
      <c r="BD232" s="190" t="n"/>
      <c r="BE232" s="186" t="n"/>
      <c r="BF232" s="186" t="n"/>
      <c r="BG232" s="186" t="n"/>
      <c r="BH232" s="186" t="n"/>
      <c r="BI232" s="186" t="n"/>
      <c r="BJ232" s="187" t="n"/>
      <c r="BK232" s="192" t="n"/>
      <c r="BL232" s="192" t="n"/>
      <c r="BM232" s="192" t="n"/>
      <c r="BN232" s="192" t="n"/>
    </row>
    <row r="233">
      <c r="A233" s="289">
        <f> 'Jobs-Ops'!A233</f>
        <v/>
      </c>
      <c r="B233" s="290">
        <f>'Jobs-Ops'!B233</f>
        <v/>
      </c>
      <c r="C233" s="290">
        <f>'Jobs-Ops'!C233</f>
        <v/>
      </c>
      <c r="D233" s="179" t="n"/>
      <c r="E233" s="181">
        <f>'Jobs-Ops'!I233</f>
        <v/>
      </c>
      <c r="F233" s="205">
        <f>'Jobs-Ops'!U233</f>
        <v/>
      </c>
      <c r="G233" s="181">
        <f>'Jobs-GAAP'!J233</f>
        <v/>
      </c>
      <c r="H233" s="205">
        <f>'Jobs-GAAP'!V233</f>
        <v/>
      </c>
      <c r="I233" s="181">
        <f>E233-G233</f>
        <v/>
      </c>
      <c r="J233" s="9">
        <f>'Jobs-Ops'!P233</f>
        <v/>
      </c>
      <c r="K233" s="9">
        <f>'Jobs-GAAP'!Q233</f>
        <v/>
      </c>
      <c r="L233" s="9">
        <f>J233-K233</f>
        <v/>
      </c>
      <c r="M233" s="186" t="n"/>
      <c r="N233" s="9">
        <f>'Jobs-Ops'!Y233</f>
        <v/>
      </c>
      <c r="O233" s="9">
        <f>'Jobs-GAAP'!Y233</f>
        <v/>
      </c>
      <c r="P233" s="9">
        <f>N233-O233</f>
        <v/>
      </c>
      <c r="Q233" s="186" t="n"/>
      <c r="R233" s="11">
        <f>'Jobs-Ops'!AL233</f>
        <v/>
      </c>
      <c r="S233" s="11">
        <f>'Jobs-GAAP'!AH233</f>
        <v/>
      </c>
      <c r="T233" s="11">
        <f>IFERROR(R233-S233,0)</f>
        <v/>
      </c>
      <c r="U233" s="8">
        <f>'Jobs-Ops'!AM233</f>
        <v/>
      </c>
      <c r="V233" s="8">
        <f>'Jobs-GAAP'!AI233</f>
        <v/>
      </c>
      <c r="W233" s="8">
        <f>IFERROR(U233-V233,0)</f>
        <v/>
      </c>
      <c r="X233" s="9">
        <f>'Jobs-Ops'!AN233</f>
        <v/>
      </c>
      <c r="Y233" s="9">
        <f>'Jobs-GAAP'!AJ233</f>
        <v/>
      </c>
      <c r="Z233" s="9">
        <f>IFERROR(X233-Y233,0)</f>
        <v/>
      </c>
      <c r="AA233" s="153">
        <f>'Jobs-Ops'!AO233</f>
        <v/>
      </c>
      <c r="AB233" s="187" t="n"/>
      <c r="AC233" s="186" t="n"/>
      <c r="AD233" s="186" t="n"/>
      <c r="AE233" s="188" t="n"/>
      <c r="AF233" s="187" t="n"/>
      <c r="AG233" s="187" t="n"/>
      <c r="AH233" s="186" t="n"/>
      <c r="AI233" s="186" t="n"/>
      <c r="AJ233" s="186" t="n"/>
      <c r="AK233" s="186" t="n"/>
      <c r="AL233" s="186" t="n"/>
      <c r="AM233" s="186" t="n"/>
      <c r="AN233" s="186" t="n"/>
      <c r="AO233" s="186" t="n"/>
      <c r="AP233" s="186" t="n"/>
      <c r="AQ233" s="186" t="n"/>
      <c r="AR233" s="186" t="n"/>
      <c r="AS233" s="186" t="n"/>
      <c r="AT233" s="186" t="n"/>
      <c r="AU233" s="186" t="n"/>
      <c r="AV233" s="186" t="n"/>
      <c r="AW233" s="186" t="n"/>
      <c r="AX233" s="186" t="n"/>
      <c r="AY233" s="186" t="n"/>
      <c r="AZ233" s="186" t="n"/>
      <c r="BA233" s="186" t="n"/>
      <c r="BB233" s="186" t="n"/>
      <c r="BC233" s="186" t="n"/>
      <c r="BD233" s="190" t="n"/>
      <c r="BE233" s="186" t="n"/>
      <c r="BF233" s="186" t="n"/>
      <c r="BG233" s="186" t="n"/>
      <c r="BH233" s="186" t="n"/>
      <c r="BI233" s="186" t="n"/>
      <c r="BJ233" s="187" t="n"/>
      <c r="BK233" s="192" t="n"/>
      <c r="BL233" s="192" t="n"/>
      <c r="BM233" s="192" t="n"/>
      <c r="BN233" s="192" t="n"/>
    </row>
    <row r="234">
      <c r="A234" s="289">
        <f> 'Jobs-Ops'!A234</f>
        <v/>
      </c>
      <c r="B234" s="290">
        <f>'Jobs-Ops'!B234</f>
        <v/>
      </c>
      <c r="C234" s="290">
        <f>'Jobs-Ops'!C234</f>
        <v/>
      </c>
      <c r="D234" s="179" t="n"/>
      <c r="E234" s="181">
        <f>'Jobs-Ops'!I234</f>
        <v/>
      </c>
      <c r="F234" s="205">
        <f>'Jobs-Ops'!U234</f>
        <v/>
      </c>
      <c r="G234" s="181">
        <f>'Jobs-GAAP'!J234</f>
        <v/>
      </c>
      <c r="H234" s="205">
        <f>'Jobs-GAAP'!V234</f>
        <v/>
      </c>
      <c r="I234" s="181">
        <f>E234-G234</f>
        <v/>
      </c>
      <c r="J234" s="9">
        <f>'Jobs-Ops'!P234</f>
        <v/>
      </c>
      <c r="K234" s="9">
        <f>'Jobs-GAAP'!Q234</f>
        <v/>
      </c>
      <c r="L234" s="9">
        <f>J234-K234</f>
        <v/>
      </c>
      <c r="M234" s="186" t="n"/>
      <c r="N234" s="9">
        <f>'Jobs-Ops'!Y234</f>
        <v/>
      </c>
      <c r="O234" s="9">
        <f>'Jobs-GAAP'!Y234</f>
        <v/>
      </c>
      <c r="P234" s="9">
        <f>N234-O234</f>
        <v/>
      </c>
      <c r="Q234" s="186" t="n"/>
      <c r="R234" s="11">
        <f>'Jobs-Ops'!AL234</f>
        <v/>
      </c>
      <c r="S234" s="11">
        <f>'Jobs-GAAP'!AH234</f>
        <v/>
      </c>
      <c r="T234" s="11">
        <f>IFERROR(R234-S234,0)</f>
        <v/>
      </c>
      <c r="U234" s="8">
        <f>'Jobs-Ops'!AM234</f>
        <v/>
      </c>
      <c r="V234" s="8">
        <f>'Jobs-GAAP'!AI234</f>
        <v/>
      </c>
      <c r="W234" s="8">
        <f>IFERROR(U234-V234,0)</f>
        <v/>
      </c>
      <c r="X234" s="9">
        <f>'Jobs-Ops'!AN234</f>
        <v/>
      </c>
      <c r="Y234" s="9">
        <f>'Jobs-GAAP'!AJ234</f>
        <v/>
      </c>
      <c r="Z234" s="9">
        <f>IFERROR(X234-Y234,0)</f>
        <v/>
      </c>
      <c r="AA234" s="153">
        <f>'Jobs-Ops'!AO234</f>
        <v/>
      </c>
      <c r="AB234" s="187" t="n"/>
      <c r="AC234" s="186" t="n"/>
      <c r="AD234" s="186" t="n"/>
      <c r="AE234" s="188" t="n"/>
      <c r="AF234" s="187" t="n"/>
      <c r="AG234" s="187" t="n"/>
      <c r="AH234" s="186" t="n"/>
      <c r="AI234" s="186" t="n"/>
      <c r="AJ234" s="186" t="n"/>
      <c r="AK234" s="186" t="n"/>
      <c r="AL234" s="186" t="n"/>
      <c r="AM234" s="186" t="n"/>
      <c r="AN234" s="186" t="n"/>
      <c r="AO234" s="186" t="n"/>
      <c r="AP234" s="186" t="n"/>
      <c r="AQ234" s="186" t="n"/>
      <c r="AR234" s="186" t="n"/>
      <c r="AS234" s="186" t="n"/>
      <c r="AT234" s="186" t="n"/>
      <c r="AU234" s="186" t="n"/>
      <c r="AV234" s="186" t="n"/>
      <c r="AW234" s="186" t="n"/>
      <c r="AX234" s="186" t="n"/>
      <c r="AY234" s="186" t="n"/>
      <c r="AZ234" s="186" t="n"/>
      <c r="BA234" s="186" t="n"/>
      <c r="BB234" s="186" t="n"/>
      <c r="BC234" s="186" t="n"/>
      <c r="BD234" s="190" t="n"/>
      <c r="BE234" s="186" t="n"/>
      <c r="BF234" s="186" t="n"/>
      <c r="BG234" s="186" t="n"/>
      <c r="BH234" s="186" t="n"/>
      <c r="BI234" s="186" t="n"/>
      <c r="BJ234" s="187" t="n"/>
      <c r="BK234" s="192" t="n"/>
      <c r="BL234" s="192" t="n"/>
      <c r="BM234" s="192" t="n"/>
      <c r="BN234" s="192" t="n"/>
    </row>
    <row r="235">
      <c r="A235" s="289">
        <f> 'Jobs-Ops'!A235</f>
        <v/>
      </c>
      <c r="B235" s="290">
        <f>'Jobs-Ops'!B235</f>
        <v/>
      </c>
      <c r="C235" s="290">
        <f>'Jobs-Ops'!C235</f>
        <v/>
      </c>
      <c r="D235" s="179" t="n"/>
      <c r="E235" s="181">
        <f>'Jobs-Ops'!I235</f>
        <v/>
      </c>
      <c r="F235" s="205">
        <f>'Jobs-Ops'!U235</f>
        <v/>
      </c>
      <c r="G235" s="181">
        <f>'Jobs-GAAP'!J235</f>
        <v/>
      </c>
      <c r="H235" s="205">
        <f>'Jobs-GAAP'!V235</f>
        <v/>
      </c>
      <c r="I235" s="181">
        <f>E235-G235</f>
        <v/>
      </c>
      <c r="J235" s="9">
        <f>'Jobs-Ops'!P235</f>
        <v/>
      </c>
      <c r="K235" s="9">
        <f>'Jobs-GAAP'!Q235</f>
        <v/>
      </c>
      <c r="L235" s="9">
        <f>J235-K235</f>
        <v/>
      </c>
      <c r="M235" s="186" t="n"/>
      <c r="N235" s="9">
        <f>'Jobs-Ops'!Y235</f>
        <v/>
      </c>
      <c r="O235" s="9">
        <f>'Jobs-GAAP'!Y235</f>
        <v/>
      </c>
      <c r="P235" s="9">
        <f>N235-O235</f>
        <v/>
      </c>
      <c r="Q235" s="186" t="n"/>
      <c r="R235" s="11">
        <f>'Jobs-Ops'!AL235</f>
        <v/>
      </c>
      <c r="S235" s="11">
        <f>'Jobs-GAAP'!AH235</f>
        <v/>
      </c>
      <c r="T235" s="11">
        <f>IFERROR(R235-S235,0)</f>
        <v/>
      </c>
      <c r="U235" s="8">
        <f>'Jobs-Ops'!AM235</f>
        <v/>
      </c>
      <c r="V235" s="8">
        <f>'Jobs-GAAP'!AI235</f>
        <v/>
      </c>
      <c r="W235" s="8">
        <f>IFERROR(U235-V235,0)</f>
        <v/>
      </c>
      <c r="X235" s="9">
        <f>'Jobs-Ops'!AN235</f>
        <v/>
      </c>
      <c r="Y235" s="9">
        <f>'Jobs-GAAP'!AJ235</f>
        <v/>
      </c>
      <c r="Z235" s="9">
        <f>IFERROR(X235-Y235,0)</f>
        <v/>
      </c>
      <c r="AA235" s="153">
        <f>'Jobs-Ops'!AO235</f>
        <v/>
      </c>
      <c r="AB235" s="187" t="n"/>
      <c r="AC235" s="186" t="n"/>
      <c r="AD235" s="186" t="n"/>
      <c r="AE235" s="188" t="n"/>
      <c r="AF235" s="187" t="n"/>
      <c r="AG235" s="187" t="n"/>
      <c r="AH235" s="186" t="n"/>
      <c r="AI235" s="186" t="n"/>
      <c r="AJ235" s="186" t="n"/>
      <c r="AK235" s="186" t="n"/>
      <c r="AL235" s="186" t="n"/>
      <c r="AM235" s="186" t="n"/>
      <c r="AN235" s="186" t="n"/>
      <c r="AO235" s="186" t="n"/>
      <c r="AP235" s="186" t="n"/>
      <c r="AQ235" s="186" t="n"/>
      <c r="AR235" s="186" t="n"/>
      <c r="AS235" s="186" t="n"/>
      <c r="AT235" s="186" t="n"/>
      <c r="AU235" s="186" t="n"/>
      <c r="AV235" s="186" t="n"/>
      <c r="AW235" s="186" t="n"/>
      <c r="AX235" s="186" t="n"/>
      <c r="AY235" s="186" t="n"/>
      <c r="AZ235" s="186" t="n"/>
      <c r="BA235" s="186" t="n"/>
      <c r="BB235" s="186" t="n"/>
      <c r="BC235" s="186" t="n"/>
      <c r="BD235" s="190" t="n"/>
      <c r="BE235" s="186" t="n"/>
      <c r="BF235" s="186" t="n"/>
      <c r="BG235" s="186" t="n"/>
      <c r="BH235" s="186" t="n"/>
      <c r="BI235" s="186" t="n"/>
      <c r="BJ235" s="187" t="n"/>
      <c r="BK235" s="192" t="n"/>
      <c r="BL235" s="192" t="n"/>
      <c r="BM235" s="192" t="n"/>
      <c r="BN235" s="192" t="n"/>
    </row>
    <row r="236">
      <c r="A236" s="289">
        <f> 'Jobs-Ops'!A236</f>
        <v/>
      </c>
      <c r="B236" s="290">
        <f>'Jobs-Ops'!B236</f>
        <v/>
      </c>
      <c r="C236" s="290">
        <f>'Jobs-Ops'!C236</f>
        <v/>
      </c>
      <c r="D236" s="179" t="n"/>
      <c r="E236" s="181">
        <f>'Jobs-Ops'!I236</f>
        <v/>
      </c>
      <c r="F236" s="205">
        <f>'Jobs-Ops'!U236</f>
        <v/>
      </c>
      <c r="G236" s="181">
        <f>'Jobs-GAAP'!J236</f>
        <v/>
      </c>
      <c r="H236" s="205">
        <f>'Jobs-GAAP'!V236</f>
        <v/>
      </c>
      <c r="I236" s="181">
        <f>E236-G236</f>
        <v/>
      </c>
      <c r="J236" s="9">
        <f>'Jobs-Ops'!P236</f>
        <v/>
      </c>
      <c r="K236" s="9">
        <f>'Jobs-GAAP'!Q236</f>
        <v/>
      </c>
      <c r="L236" s="9">
        <f>J236-K236</f>
        <v/>
      </c>
      <c r="M236" s="186" t="n"/>
      <c r="N236" s="9">
        <f>'Jobs-Ops'!Y236</f>
        <v/>
      </c>
      <c r="O236" s="9">
        <f>'Jobs-GAAP'!Y236</f>
        <v/>
      </c>
      <c r="P236" s="9">
        <f>N236-O236</f>
        <v/>
      </c>
      <c r="Q236" s="186" t="n"/>
      <c r="R236" s="11">
        <f>'Jobs-Ops'!AL236</f>
        <v/>
      </c>
      <c r="S236" s="11">
        <f>'Jobs-GAAP'!AH236</f>
        <v/>
      </c>
      <c r="T236" s="11">
        <f>IFERROR(R236-S236,0)</f>
        <v/>
      </c>
      <c r="U236" s="8">
        <f>'Jobs-Ops'!AM236</f>
        <v/>
      </c>
      <c r="V236" s="8">
        <f>'Jobs-GAAP'!AI236</f>
        <v/>
      </c>
      <c r="W236" s="8">
        <f>IFERROR(U236-V236,0)</f>
        <v/>
      </c>
      <c r="X236" s="9">
        <f>'Jobs-Ops'!AN236</f>
        <v/>
      </c>
      <c r="Y236" s="9">
        <f>'Jobs-GAAP'!AJ236</f>
        <v/>
      </c>
      <c r="Z236" s="9">
        <f>IFERROR(X236-Y236,0)</f>
        <v/>
      </c>
      <c r="AA236" s="153">
        <f>'Jobs-Ops'!AO236</f>
        <v/>
      </c>
      <c r="AB236" s="187" t="n"/>
      <c r="AC236" s="186" t="n"/>
      <c r="AD236" s="186" t="n"/>
      <c r="AE236" s="188" t="n"/>
      <c r="AF236" s="187" t="n"/>
      <c r="AG236" s="187" t="n"/>
      <c r="AH236" s="186" t="n"/>
      <c r="AI236" s="186" t="n"/>
      <c r="AJ236" s="186" t="n"/>
      <c r="AK236" s="186" t="n"/>
      <c r="AL236" s="186" t="n"/>
      <c r="AM236" s="186" t="n"/>
      <c r="AN236" s="186" t="n"/>
      <c r="AO236" s="186" t="n"/>
      <c r="AP236" s="186" t="n"/>
      <c r="AQ236" s="186" t="n"/>
      <c r="AR236" s="186" t="n"/>
      <c r="AS236" s="186" t="n"/>
      <c r="AT236" s="186" t="n"/>
      <c r="AU236" s="186" t="n"/>
      <c r="AV236" s="186" t="n"/>
      <c r="AW236" s="186" t="n"/>
      <c r="AX236" s="186" t="n"/>
      <c r="AY236" s="186" t="n"/>
      <c r="AZ236" s="186" t="n"/>
      <c r="BA236" s="186" t="n"/>
      <c r="BB236" s="186" t="n"/>
      <c r="BC236" s="186" t="n"/>
      <c r="BD236" s="190" t="n"/>
      <c r="BE236" s="186" t="n"/>
      <c r="BF236" s="186" t="n"/>
      <c r="BG236" s="186" t="n"/>
      <c r="BH236" s="186" t="n"/>
      <c r="BI236" s="186" t="n"/>
      <c r="BJ236" s="187" t="n"/>
      <c r="BK236" s="192" t="n"/>
      <c r="BL236" s="192" t="n"/>
      <c r="BM236" s="192" t="n"/>
      <c r="BN236" s="192" t="n"/>
    </row>
    <row r="237">
      <c r="A237" s="289">
        <f> 'Jobs-Ops'!A237</f>
        <v/>
      </c>
      <c r="B237" s="290">
        <f>'Jobs-Ops'!B237</f>
        <v/>
      </c>
      <c r="C237" s="290">
        <f>'Jobs-Ops'!C237</f>
        <v/>
      </c>
      <c r="D237" s="179" t="n"/>
      <c r="E237" s="181">
        <f>'Jobs-Ops'!I237</f>
        <v/>
      </c>
      <c r="F237" s="205">
        <f>'Jobs-Ops'!U237</f>
        <v/>
      </c>
      <c r="G237" s="181">
        <f>'Jobs-GAAP'!J237</f>
        <v/>
      </c>
      <c r="H237" s="205">
        <f>'Jobs-GAAP'!V237</f>
        <v/>
      </c>
      <c r="I237" s="181">
        <f>E237-G237</f>
        <v/>
      </c>
      <c r="J237" s="9">
        <f>'Jobs-Ops'!P237</f>
        <v/>
      </c>
      <c r="K237" s="9">
        <f>'Jobs-GAAP'!Q237</f>
        <v/>
      </c>
      <c r="L237" s="9">
        <f>J237-K237</f>
        <v/>
      </c>
      <c r="M237" s="186" t="n"/>
      <c r="N237" s="9">
        <f>'Jobs-Ops'!Y237</f>
        <v/>
      </c>
      <c r="O237" s="9">
        <f>'Jobs-GAAP'!Y237</f>
        <v/>
      </c>
      <c r="P237" s="9">
        <f>N237-O237</f>
        <v/>
      </c>
      <c r="Q237" s="186" t="n"/>
      <c r="R237" s="11">
        <f>'Jobs-Ops'!AL237</f>
        <v/>
      </c>
      <c r="S237" s="11">
        <f>'Jobs-GAAP'!AH237</f>
        <v/>
      </c>
      <c r="T237" s="11">
        <f>IFERROR(R237-S237,0)</f>
        <v/>
      </c>
      <c r="U237" s="8">
        <f>'Jobs-Ops'!AM237</f>
        <v/>
      </c>
      <c r="V237" s="8">
        <f>'Jobs-GAAP'!AI237</f>
        <v/>
      </c>
      <c r="W237" s="8">
        <f>IFERROR(U237-V237,0)</f>
        <v/>
      </c>
      <c r="X237" s="9">
        <f>'Jobs-Ops'!AN237</f>
        <v/>
      </c>
      <c r="Y237" s="9">
        <f>'Jobs-GAAP'!AJ237</f>
        <v/>
      </c>
      <c r="Z237" s="9">
        <f>IFERROR(X237-Y237,0)</f>
        <v/>
      </c>
      <c r="AA237" s="153">
        <f>'Jobs-Ops'!AO237</f>
        <v/>
      </c>
      <c r="AB237" s="187" t="n"/>
      <c r="AC237" s="186" t="n"/>
      <c r="AD237" s="186" t="n"/>
      <c r="AE237" s="188" t="n"/>
      <c r="AF237" s="187" t="n"/>
      <c r="AG237" s="187" t="n"/>
      <c r="AH237" s="186" t="n"/>
      <c r="AI237" s="186" t="n"/>
      <c r="AJ237" s="186" t="n"/>
      <c r="AK237" s="186" t="n"/>
      <c r="AL237" s="186" t="n"/>
      <c r="AM237" s="186" t="n"/>
      <c r="AN237" s="186" t="n"/>
      <c r="AO237" s="186" t="n"/>
      <c r="AP237" s="186" t="n"/>
      <c r="AQ237" s="186" t="n"/>
      <c r="AR237" s="186" t="n"/>
      <c r="AS237" s="186" t="n"/>
      <c r="AT237" s="186" t="n"/>
      <c r="AU237" s="186" t="n"/>
      <c r="AV237" s="186" t="n"/>
      <c r="AW237" s="186" t="n"/>
      <c r="AX237" s="186" t="n"/>
      <c r="AY237" s="186" t="n"/>
      <c r="AZ237" s="186" t="n"/>
      <c r="BA237" s="186" t="n"/>
      <c r="BB237" s="186" t="n"/>
      <c r="BC237" s="186" t="n"/>
      <c r="BD237" s="190" t="n"/>
      <c r="BE237" s="186" t="n"/>
      <c r="BF237" s="186" t="n"/>
      <c r="BG237" s="186" t="n"/>
      <c r="BH237" s="186" t="n"/>
      <c r="BI237" s="186" t="n"/>
      <c r="BJ237" s="187" t="n"/>
      <c r="BK237" s="192" t="n"/>
      <c r="BL237" s="192" t="n"/>
      <c r="BM237" s="192" t="n"/>
      <c r="BN237" s="192" t="n"/>
    </row>
    <row r="238">
      <c r="A238" s="289">
        <f> 'Jobs-Ops'!A238</f>
        <v/>
      </c>
      <c r="B238" s="290">
        <f>'Jobs-Ops'!B238</f>
        <v/>
      </c>
      <c r="C238" s="290">
        <f>'Jobs-Ops'!C238</f>
        <v/>
      </c>
      <c r="D238" s="179" t="n"/>
      <c r="E238" s="181">
        <f>'Jobs-Ops'!I238</f>
        <v/>
      </c>
      <c r="F238" s="205">
        <f>'Jobs-Ops'!U238</f>
        <v/>
      </c>
      <c r="G238" s="181">
        <f>'Jobs-GAAP'!J238</f>
        <v/>
      </c>
      <c r="H238" s="205">
        <f>'Jobs-GAAP'!V238</f>
        <v/>
      </c>
      <c r="I238" s="181">
        <f>E238-G238</f>
        <v/>
      </c>
      <c r="J238" s="9">
        <f>'Jobs-Ops'!P238</f>
        <v/>
      </c>
      <c r="K238" s="9">
        <f>'Jobs-GAAP'!Q238</f>
        <v/>
      </c>
      <c r="L238" s="9">
        <f>J238-K238</f>
        <v/>
      </c>
      <c r="M238" s="186" t="n"/>
      <c r="N238" s="9">
        <f>'Jobs-Ops'!Y238</f>
        <v/>
      </c>
      <c r="O238" s="9">
        <f>'Jobs-GAAP'!Y238</f>
        <v/>
      </c>
      <c r="P238" s="9">
        <f>N238-O238</f>
        <v/>
      </c>
      <c r="Q238" s="186" t="n"/>
      <c r="R238" s="11">
        <f>'Jobs-Ops'!AL238</f>
        <v/>
      </c>
      <c r="S238" s="11">
        <f>'Jobs-GAAP'!AH238</f>
        <v/>
      </c>
      <c r="T238" s="11">
        <f>IFERROR(R238-S238,0)</f>
        <v/>
      </c>
      <c r="U238" s="8">
        <f>'Jobs-Ops'!AM238</f>
        <v/>
      </c>
      <c r="V238" s="8">
        <f>'Jobs-GAAP'!AI238</f>
        <v/>
      </c>
      <c r="W238" s="8">
        <f>IFERROR(U238-V238,0)</f>
        <v/>
      </c>
      <c r="X238" s="9">
        <f>'Jobs-Ops'!AN238</f>
        <v/>
      </c>
      <c r="Y238" s="9">
        <f>'Jobs-GAAP'!AJ238</f>
        <v/>
      </c>
      <c r="Z238" s="9">
        <f>IFERROR(X238-Y238,0)</f>
        <v/>
      </c>
      <c r="AA238" s="153">
        <f>'Jobs-Ops'!AO238</f>
        <v/>
      </c>
      <c r="AB238" s="187" t="n"/>
      <c r="AC238" s="186" t="n"/>
      <c r="AD238" s="186" t="n"/>
      <c r="AE238" s="188" t="n"/>
      <c r="AF238" s="187" t="n"/>
      <c r="AG238" s="187" t="n"/>
      <c r="AH238" s="186" t="n"/>
      <c r="AI238" s="186" t="n"/>
      <c r="AJ238" s="186" t="n"/>
      <c r="AK238" s="186" t="n"/>
      <c r="AL238" s="186" t="n"/>
      <c r="AM238" s="186" t="n"/>
      <c r="AN238" s="186" t="n"/>
      <c r="AO238" s="186" t="n"/>
      <c r="AP238" s="186" t="n"/>
      <c r="AQ238" s="186" t="n"/>
      <c r="AR238" s="186" t="n"/>
      <c r="AS238" s="186" t="n"/>
      <c r="AT238" s="186" t="n"/>
      <c r="AU238" s="186" t="n"/>
      <c r="AV238" s="186" t="n"/>
      <c r="AW238" s="186" t="n"/>
      <c r="AX238" s="186" t="n"/>
      <c r="AY238" s="186" t="n"/>
      <c r="AZ238" s="186" t="n"/>
      <c r="BA238" s="186" t="n"/>
      <c r="BB238" s="186" t="n"/>
      <c r="BC238" s="186" t="n"/>
      <c r="BD238" s="190" t="n"/>
      <c r="BE238" s="186" t="n"/>
      <c r="BF238" s="186" t="n"/>
      <c r="BG238" s="186" t="n"/>
      <c r="BH238" s="186" t="n"/>
      <c r="BI238" s="186" t="n"/>
      <c r="BJ238" s="187" t="n"/>
      <c r="BK238" s="192" t="n"/>
      <c r="BL238" s="192" t="n"/>
      <c r="BM238" s="192" t="n"/>
      <c r="BN238" s="192" t="n"/>
    </row>
    <row r="239">
      <c r="A239" s="289">
        <f> 'Jobs-Ops'!A239</f>
        <v/>
      </c>
      <c r="B239" s="290">
        <f>'Jobs-Ops'!B239</f>
        <v/>
      </c>
      <c r="C239" s="290">
        <f>'Jobs-Ops'!C239</f>
        <v/>
      </c>
      <c r="D239" s="179" t="n"/>
      <c r="E239" s="181">
        <f>'Jobs-Ops'!I239</f>
        <v/>
      </c>
      <c r="F239" s="205">
        <f>'Jobs-Ops'!U239</f>
        <v/>
      </c>
      <c r="G239" s="181">
        <f>'Jobs-GAAP'!J239</f>
        <v/>
      </c>
      <c r="H239" s="205">
        <f>'Jobs-GAAP'!V239</f>
        <v/>
      </c>
      <c r="I239" s="181">
        <f>E239-G239</f>
        <v/>
      </c>
      <c r="J239" s="9">
        <f>'Jobs-Ops'!P239</f>
        <v/>
      </c>
      <c r="K239" s="9">
        <f>'Jobs-GAAP'!Q239</f>
        <v/>
      </c>
      <c r="L239" s="9">
        <f>J239-K239</f>
        <v/>
      </c>
      <c r="M239" s="186" t="n"/>
      <c r="N239" s="9">
        <f>'Jobs-Ops'!Y239</f>
        <v/>
      </c>
      <c r="O239" s="9">
        <f>'Jobs-GAAP'!Y239</f>
        <v/>
      </c>
      <c r="P239" s="9">
        <f>N239-O239</f>
        <v/>
      </c>
      <c r="Q239" s="186" t="n"/>
      <c r="R239" s="11">
        <f>'Jobs-Ops'!AL239</f>
        <v/>
      </c>
      <c r="S239" s="11">
        <f>'Jobs-GAAP'!AH239</f>
        <v/>
      </c>
      <c r="T239" s="11">
        <f>IFERROR(R239-S239,0)</f>
        <v/>
      </c>
      <c r="U239" s="8">
        <f>'Jobs-Ops'!AM239</f>
        <v/>
      </c>
      <c r="V239" s="8">
        <f>'Jobs-GAAP'!AI239</f>
        <v/>
      </c>
      <c r="W239" s="8">
        <f>IFERROR(U239-V239,0)</f>
        <v/>
      </c>
      <c r="X239" s="9">
        <f>'Jobs-Ops'!AN239</f>
        <v/>
      </c>
      <c r="Y239" s="9">
        <f>'Jobs-GAAP'!AJ239</f>
        <v/>
      </c>
      <c r="Z239" s="9">
        <f>IFERROR(X239-Y239,0)</f>
        <v/>
      </c>
      <c r="AA239" s="153">
        <f>'Jobs-Ops'!AO239</f>
        <v/>
      </c>
      <c r="AB239" s="187" t="n"/>
      <c r="AC239" s="186" t="n"/>
      <c r="AD239" s="186" t="n"/>
      <c r="AE239" s="188" t="n"/>
      <c r="AF239" s="187" t="n"/>
      <c r="AG239" s="187" t="n"/>
      <c r="AH239" s="186" t="n"/>
      <c r="AI239" s="186" t="n"/>
      <c r="AJ239" s="186" t="n"/>
      <c r="AK239" s="186" t="n"/>
      <c r="AL239" s="186" t="n"/>
      <c r="AM239" s="186" t="n"/>
      <c r="AN239" s="186" t="n"/>
      <c r="AO239" s="186" t="n"/>
      <c r="AP239" s="186" t="n"/>
      <c r="AQ239" s="186" t="n"/>
      <c r="AR239" s="186" t="n"/>
      <c r="AS239" s="186" t="n"/>
      <c r="AT239" s="186" t="n"/>
      <c r="AU239" s="186" t="n"/>
      <c r="AV239" s="186" t="n"/>
      <c r="AW239" s="186" t="n"/>
      <c r="AX239" s="186" t="n"/>
      <c r="AY239" s="186" t="n"/>
      <c r="AZ239" s="186" t="n"/>
      <c r="BA239" s="186" t="n"/>
      <c r="BB239" s="186" t="n"/>
      <c r="BC239" s="186" t="n"/>
      <c r="BD239" s="190" t="n"/>
      <c r="BE239" s="186" t="n"/>
      <c r="BF239" s="186" t="n"/>
      <c r="BG239" s="186" t="n"/>
      <c r="BH239" s="186" t="n"/>
      <c r="BI239" s="186" t="n"/>
      <c r="BJ239" s="187" t="n"/>
      <c r="BK239" s="192" t="n"/>
      <c r="BL239" s="192" t="n"/>
      <c r="BM239" s="192" t="n"/>
      <c r="BN239" s="192" t="n"/>
    </row>
    <row r="240">
      <c r="A240" s="289">
        <f> 'Jobs-Ops'!A240</f>
        <v/>
      </c>
      <c r="B240" s="290">
        <f>'Jobs-Ops'!B240</f>
        <v/>
      </c>
      <c r="C240" s="290">
        <f>'Jobs-Ops'!C240</f>
        <v/>
      </c>
      <c r="D240" s="179" t="n"/>
      <c r="E240" s="181">
        <f>'Jobs-Ops'!I240</f>
        <v/>
      </c>
      <c r="F240" s="205">
        <f>'Jobs-Ops'!U240</f>
        <v/>
      </c>
      <c r="G240" s="181">
        <f>'Jobs-GAAP'!J240</f>
        <v/>
      </c>
      <c r="H240" s="205">
        <f>'Jobs-GAAP'!V240</f>
        <v/>
      </c>
      <c r="I240" s="181">
        <f>E240-G240</f>
        <v/>
      </c>
      <c r="J240" s="9">
        <f>'Jobs-Ops'!P240</f>
        <v/>
      </c>
      <c r="K240" s="9">
        <f>'Jobs-GAAP'!Q240</f>
        <v/>
      </c>
      <c r="L240" s="9">
        <f>J240-K240</f>
        <v/>
      </c>
      <c r="M240" s="186" t="n"/>
      <c r="N240" s="9">
        <f>'Jobs-Ops'!Y240</f>
        <v/>
      </c>
      <c r="O240" s="9">
        <f>'Jobs-GAAP'!Y240</f>
        <v/>
      </c>
      <c r="P240" s="9">
        <f>N240-O240</f>
        <v/>
      </c>
      <c r="Q240" s="186" t="n"/>
      <c r="R240" s="11">
        <f>'Jobs-Ops'!AL240</f>
        <v/>
      </c>
      <c r="S240" s="11">
        <f>'Jobs-GAAP'!AH240</f>
        <v/>
      </c>
      <c r="T240" s="11">
        <f>IFERROR(R240-S240,0)</f>
        <v/>
      </c>
      <c r="U240" s="8">
        <f>'Jobs-Ops'!AM240</f>
        <v/>
      </c>
      <c r="V240" s="8">
        <f>'Jobs-GAAP'!AI240</f>
        <v/>
      </c>
      <c r="W240" s="8">
        <f>IFERROR(U240-V240,0)</f>
        <v/>
      </c>
      <c r="X240" s="9">
        <f>'Jobs-Ops'!AN240</f>
        <v/>
      </c>
      <c r="Y240" s="9">
        <f>'Jobs-GAAP'!AJ240</f>
        <v/>
      </c>
      <c r="Z240" s="9">
        <f>IFERROR(X240-Y240,0)</f>
        <v/>
      </c>
      <c r="AA240" s="153">
        <f>'Jobs-Ops'!AO240</f>
        <v/>
      </c>
      <c r="AB240" s="187" t="n"/>
      <c r="AC240" s="186" t="n"/>
      <c r="AD240" s="186" t="n"/>
      <c r="AE240" s="188" t="n"/>
      <c r="AF240" s="187" t="n"/>
      <c r="AG240" s="187" t="n"/>
      <c r="AH240" s="186" t="n"/>
      <c r="AI240" s="186" t="n"/>
      <c r="AJ240" s="186" t="n"/>
      <c r="AK240" s="186" t="n"/>
      <c r="AL240" s="186" t="n"/>
      <c r="AM240" s="186" t="n"/>
      <c r="AN240" s="186" t="n"/>
      <c r="AO240" s="186" t="n"/>
      <c r="AP240" s="186" t="n"/>
      <c r="AQ240" s="186" t="n"/>
      <c r="AR240" s="186" t="n"/>
      <c r="AS240" s="186" t="n"/>
      <c r="AT240" s="186" t="n"/>
      <c r="AU240" s="186" t="n"/>
      <c r="AV240" s="186" t="n"/>
      <c r="AW240" s="186" t="n"/>
      <c r="AX240" s="186" t="n"/>
      <c r="AY240" s="186" t="n"/>
      <c r="AZ240" s="186" t="n"/>
      <c r="BA240" s="186" t="n"/>
      <c r="BB240" s="186" t="n"/>
      <c r="BC240" s="186" t="n"/>
      <c r="BD240" s="190" t="n"/>
      <c r="BE240" s="186" t="n"/>
      <c r="BF240" s="186" t="n"/>
      <c r="BG240" s="186" t="n"/>
      <c r="BH240" s="186" t="n"/>
      <c r="BI240" s="186" t="n"/>
      <c r="BJ240" s="187" t="n"/>
      <c r="BK240" s="192" t="n"/>
      <c r="BL240" s="192" t="n"/>
      <c r="BM240" s="192" t="n"/>
      <c r="BN240" s="192" t="n"/>
    </row>
    <row r="241">
      <c r="A241" s="289">
        <f> 'Jobs-Ops'!A241</f>
        <v/>
      </c>
      <c r="B241" s="290">
        <f>'Jobs-Ops'!B241</f>
        <v/>
      </c>
      <c r="C241" s="290">
        <f>'Jobs-Ops'!C241</f>
        <v/>
      </c>
      <c r="D241" s="179" t="n"/>
      <c r="E241" s="181">
        <f>'Jobs-Ops'!I241</f>
        <v/>
      </c>
      <c r="F241" s="205">
        <f>'Jobs-Ops'!U241</f>
        <v/>
      </c>
      <c r="G241" s="181">
        <f>'Jobs-GAAP'!J241</f>
        <v/>
      </c>
      <c r="H241" s="205">
        <f>'Jobs-GAAP'!V241</f>
        <v/>
      </c>
      <c r="I241" s="181">
        <f>E241-G241</f>
        <v/>
      </c>
      <c r="J241" s="9">
        <f>'Jobs-Ops'!P241</f>
        <v/>
      </c>
      <c r="K241" s="9">
        <f>'Jobs-GAAP'!Q241</f>
        <v/>
      </c>
      <c r="L241" s="9">
        <f>J241-K241</f>
        <v/>
      </c>
      <c r="M241" s="186" t="n"/>
      <c r="N241" s="9">
        <f>'Jobs-Ops'!Y241</f>
        <v/>
      </c>
      <c r="O241" s="9">
        <f>'Jobs-GAAP'!Y241</f>
        <v/>
      </c>
      <c r="P241" s="9">
        <f>N241-O241</f>
        <v/>
      </c>
      <c r="Q241" s="186" t="n"/>
      <c r="R241" s="11">
        <f>'Jobs-Ops'!AL241</f>
        <v/>
      </c>
      <c r="S241" s="11">
        <f>'Jobs-GAAP'!AH241</f>
        <v/>
      </c>
      <c r="T241" s="11">
        <f>IFERROR(R241-S241,0)</f>
        <v/>
      </c>
      <c r="U241" s="8">
        <f>'Jobs-Ops'!AM241</f>
        <v/>
      </c>
      <c r="V241" s="8">
        <f>'Jobs-GAAP'!AI241</f>
        <v/>
      </c>
      <c r="W241" s="8">
        <f>IFERROR(U241-V241,0)</f>
        <v/>
      </c>
      <c r="X241" s="9">
        <f>'Jobs-Ops'!AN241</f>
        <v/>
      </c>
      <c r="Y241" s="9">
        <f>'Jobs-GAAP'!AJ241</f>
        <v/>
      </c>
      <c r="Z241" s="9">
        <f>IFERROR(X241-Y241,0)</f>
        <v/>
      </c>
      <c r="AA241" s="153">
        <f>'Jobs-Ops'!AO241</f>
        <v/>
      </c>
      <c r="AB241" s="187" t="n"/>
      <c r="AC241" s="186" t="n"/>
      <c r="AD241" s="186" t="n"/>
      <c r="AE241" s="188" t="n"/>
      <c r="AF241" s="187" t="n"/>
      <c r="AG241" s="187" t="n"/>
      <c r="AH241" s="186" t="n"/>
      <c r="AI241" s="186" t="n"/>
      <c r="AJ241" s="186" t="n"/>
      <c r="AK241" s="186" t="n"/>
      <c r="AL241" s="186" t="n"/>
      <c r="AM241" s="186" t="n"/>
      <c r="AN241" s="186" t="n"/>
      <c r="AO241" s="186" t="n"/>
      <c r="AP241" s="186" t="n"/>
      <c r="AQ241" s="186" t="n"/>
      <c r="AR241" s="186" t="n"/>
      <c r="AS241" s="186" t="n"/>
      <c r="AT241" s="186" t="n"/>
      <c r="AU241" s="186" t="n"/>
      <c r="AV241" s="186" t="n"/>
      <c r="AW241" s="186" t="n"/>
      <c r="AX241" s="186" t="n"/>
      <c r="AY241" s="186" t="n"/>
      <c r="AZ241" s="186" t="n"/>
      <c r="BA241" s="186" t="n"/>
      <c r="BB241" s="186" t="n"/>
      <c r="BC241" s="186" t="n"/>
      <c r="BD241" s="190" t="n"/>
      <c r="BE241" s="186" t="n"/>
      <c r="BF241" s="186" t="n"/>
      <c r="BG241" s="186" t="n"/>
      <c r="BH241" s="186" t="n"/>
      <c r="BI241" s="186" t="n"/>
      <c r="BJ241" s="187" t="n"/>
      <c r="BK241" s="192" t="n"/>
      <c r="BL241" s="192" t="n"/>
      <c r="BM241" s="192" t="n"/>
      <c r="BN241" s="192" t="n"/>
    </row>
    <row r="242">
      <c r="A242" s="289">
        <f> 'Jobs-Ops'!A242</f>
        <v/>
      </c>
      <c r="B242" s="290">
        <f>'Jobs-Ops'!B242</f>
        <v/>
      </c>
      <c r="C242" s="290">
        <f>'Jobs-Ops'!C242</f>
        <v/>
      </c>
      <c r="D242" s="179" t="n"/>
      <c r="E242" s="181">
        <f>'Jobs-Ops'!I242</f>
        <v/>
      </c>
      <c r="F242" s="205">
        <f>'Jobs-Ops'!U242</f>
        <v/>
      </c>
      <c r="G242" s="181">
        <f>'Jobs-GAAP'!J242</f>
        <v/>
      </c>
      <c r="H242" s="205">
        <f>'Jobs-GAAP'!V242</f>
        <v/>
      </c>
      <c r="I242" s="181">
        <f>E242-G242</f>
        <v/>
      </c>
      <c r="J242" s="9">
        <f>'Jobs-Ops'!P242</f>
        <v/>
      </c>
      <c r="K242" s="9">
        <f>'Jobs-GAAP'!Q242</f>
        <v/>
      </c>
      <c r="L242" s="9">
        <f>J242-K242</f>
        <v/>
      </c>
      <c r="M242" s="186" t="n"/>
      <c r="N242" s="9">
        <f>'Jobs-Ops'!Y242</f>
        <v/>
      </c>
      <c r="O242" s="9">
        <f>'Jobs-GAAP'!Y242</f>
        <v/>
      </c>
      <c r="P242" s="9">
        <f>N242-O242</f>
        <v/>
      </c>
      <c r="Q242" s="186" t="n"/>
      <c r="R242" s="11">
        <f>'Jobs-Ops'!AL242</f>
        <v/>
      </c>
      <c r="S242" s="11">
        <f>'Jobs-GAAP'!AH242</f>
        <v/>
      </c>
      <c r="T242" s="11">
        <f>IFERROR(R242-S242,0)</f>
        <v/>
      </c>
      <c r="U242" s="8">
        <f>'Jobs-Ops'!AM242</f>
        <v/>
      </c>
      <c r="V242" s="8">
        <f>'Jobs-GAAP'!AI242</f>
        <v/>
      </c>
      <c r="W242" s="8">
        <f>IFERROR(U242-V242,0)</f>
        <v/>
      </c>
      <c r="X242" s="9">
        <f>'Jobs-Ops'!AN242</f>
        <v/>
      </c>
      <c r="Y242" s="9">
        <f>'Jobs-GAAP'!AJ242</f>
        <v/>
      </c>
      <c r="Z242" s="9">
        <f>IFERROR(X242-Y242,0)</f>
        <v/>
      </c>
      <c r="AA242" s="153">
        <f>'Jobs-Ops'!AO242</f>
        <v/>
      </c>
      <c r="AB242" s="187" t="n"/>
      <c r="AC242" s="186" t="n"/>
      <c r="AD242" s="186" t="n"/>
      <c r="AE242" s="188" t="n"/>
      <c r="AF242" s="187" t="n"/>
      <c r="AG242" s="187" t="n"/>
      <c r="AH242" s="186" t="n"/>
      <c r="AI242" s="186" t="n"/>
      <c r="AJ242" s="186" t="n"/>
      <c r="AK242" s="186" t="n"/>
      <c r="AL242" s="186" t="n"/>
      <c r="AM242" s="186" t="n"/>
      <c r="AN242" s="186" t="n"/>
      <c r="AO242" s="186" t="n"/>
      <c r="AP242" s="186" t="n"/>
      <c r="AQ242" s="186" t="n"/>
      <c r="AR242" s="186" t="n"/>
      <c r="AS242" s="186" t="n"/>
      <c r="AT242" s="186" t="n"/>
      <c r="AU242" s="186" t="n"/>
      <c r="AV242" s="186" t="n"/>
      <c r="AW242" s="186" t="n"/>
      <c r="AX242" s="186" t="n"/>
      <c r="AY242" s="186" t="n"/>
      <c r="AZ242" s="186" t="n"/>
      <c r="BA242" s="186" t="n"/>
      <c r="BB242" s="186" t="n"/>
      <c r="BC242" s="186" t="n"/>
      <c r="BD242" s="190" t="n"/>
      <c r="BE242" s="186" t="n"/>
      <c r="BF242" s="186" t="n"/>
      <c r="BG242" s="186" t="n"/>
      <c r="BH242" s="186" t="n"/>
      <c r="BI242" s="186" t="n"/>
      <c r="BJ242" s="187" t="n"/>
      <c r="BK242" s="192" t="n"/>
      <c r="BL242" s="192" t="n"/>
      <c r="BM242" s="192" t="n"/>
      <c r="BN242" s="192" t="n"/>
    </row>
    <row r="243">
      <c r="A243" s="289">
        <f> 'Jobs-Ops'!A243</f>
        <v/>
      </c>
      <c r="B243" s="290">
        <f>'Jobs-Ops'!B243</f>
        <v/>
      </c>
      <c r="C243" s="290">
        <f>'Jobs-Ops'!C243</f>
        <v/>
      </c>
      <c r="D243" s="179" t="n"/>
      <c r="E243" s="181">
        <f>'Jobs-Ops'!I243</f>
        <v/>
      </c>
      <c r="F243" s="205">
        <f>'Jobs-Ops'!U243</f>
        <v/>
      </c>
      <c r="G243" s="181">
        <f>'Jobs-GAAP'!J243</f>
        <v/>
      </c>
      <c r="H243" s="205">
        <f>'Jobs-GAAP'!V243</f>
        <v/>
      </c>
      <c r="I243" s="181">
        <f>E243-G243</f>
        <v/>
      </c>
      <c r="J243" s="9">
        <f>'Jobs-Ops'!P243</f>
        <v/>
      </c>
      <c r="K243" s="9">
        <f>'Jobs-GAAP'!Q243</f>
        <v/>
      </c>
      <c r="L243" s="9">
        <f>J243-K243</f>
        <v/>
      </c>
      <c r="M243" s="186" t="n"/>
      <c r="N243" s="9">
        <f>'Jobs-Ops'!Y243</f>
        <v/>
      </c>
      <c r="O243" s="9">
        <f>'Jobs-GAAP'!Y243</f>
        <v/>
      </c>
      <c r="P243" s="9">
        <f>N243-O243</f>
        <v/>
      </c>
      <c r="Q243" s="186" t="n"/>
      <c r="R243" s="11">
        <f>'Jobs-Ops'!AL243</f>
        <v/>
      </c>
      <c r="S243" s="11">
        <f>'Jobs-GAAP'!AH243</f>
        <v/>
      </c>
      <c r="T243" s="11">
        <f>IFERROR(R243-S243,0)</f>
        <v/>
      </c>
      <c r="U243" s="8">
        <f>'Jobs-Ops'!AM243</f>
        <v/>
      </c>
      <c r="V243" s="8">
        <f>'Jobs-GAAP'!AI243</f>
        <v/>
      </c>
      <c r="W243" s="8">
        <f>IFERROR(U243-V243,0)</f>
        <v/>
      </c>
      <c r="X243" s="9">
        <f>'Jobs-Ops'!AN243</f>
        <v/>
      </c>
      <c r="Y243" s="9">
        <f>'Jobs-GAAP'!AJ243</f>
        <v/>
      </c>
      <c r="Z243" s="9">
        <f>IFERROR(X243-Y243,0)</f>
        <v/>
      </c>
      <c r="AA243" s="153">
        <f>'Jobs-Ops'!AO243</f>
        <v/>
      </c>
      <c r="AB243" s="187" t="n"/>
      <c r="AC243" s="186" t="n"/>
      <c r="AD243" s="186" t="n"/>
      <c r="AE243" s="188" t="n"/>
      <c r="AF243" s="187" t="n"/>
      <c r="AG243" s="187" t="n"/>
      <c r="AH243" s="186" t="n"/>
      <c r="AI243" s="186" t="n"/>
      <c r="AJ243" s="186" t="n"/>
      <c r="AK243" s="186" t="n"/>
      <c r="AL243" s="186" t="n"/>
      <c r="AM243" s="186" t="n"/>
      <c r="AN243" s="186" t="n"/>
      <c r="AO243" s="186" t="n"/>
      <c r="AP243" s="186" t="n"/>
      <c r="AQ243" s="186" t="n"/>
      <c r="AR243" s="186" t="n"/>
      <c r="AS243" s="186" t="n"/>
      <c r="AT243" s="186" t="n"/>
      <c r="AU243" s="186" t="n"/>
      <c r="AV243" s="186" t="n"/>
      <c r="AW243" s="186" t="n"/>
      <c r="AX243" s="186" t="n"/>
      <c r="AY243" s="186" t="n"/>
      <c r="AZ243" s="186" t="n"/>
      <c r="BA243" s="186" t="n"/>
      <c r="BB243" s="186" t="n"/>
      <c r="BC243" s="186" t="n"/>
      <c r="BD243" s="190" t="n"/>
      <c r="BE243" s="186" t="n"/>
      <c r="BF243" s="186" t="n"/>
      <c r="BG243" s="186" t="n"/>
      <c r="BH243" s="186" t="n"/>
      <c r="BI243" s="186" t="n"/>
      <c r="BJ243" s="187" t="n"/>
      <c r="BK243" s="192" t="n"/>
      <c r="BL243" s="192" t="n"/>
      <c r="BM243" s="192" t="n"/>
      <c r="BN243" s="192" t="n"/>
    </row>
    <row r="244">
      <c r="A244" s="289">
        <f> 'Jobs-Ops'!A244</f>
        <v/>
      </c>
      <c r="B244" s="290">
        <f>'Jobs-Ops'!B244</f>
        <v/>
      </c>
      <c r="C244" s="290">
        <f>'Jobs-Ops'!C244</f>
        <v/>
      </c>
      <c r="D244" s="179" t="n"/>
      <c r="E244" s="181">
        <f>'Jobs-Ops'!I244</f>
        <v/>
      </c>
      <c r="F244" s="205">
        <f>'Jobs-Ops'!U244</f>
        <v/>
      </c>
      <c r="G244" s="181">
        <f>'Jobs-GAAP'!J244</f>
        <v/>
      </c>
      <c r="H244" s="205">
        <f>'Jobs-GAAP'!V244</f>
        <v/>
      </c>
      <c r="I244" s="181">
        <f>E244-G244</f>
        <v/>
      </c>
      <c r="J244" s="9">
        <f>'Jobs-Ops'!P244</f>
        <v/>
      </c>
      <c r="K244" s="9">
        <f>'Jobs-GAAP'!Q244</f>
        <v/>
      </c>
      <c r="L244" s="9">
        <f>J244-K244</f>
        <v/>
      </c>
      <c r="M244" s="186" t="n"/>
      <c r="N244" s="9">
        <f>'Jobs-Ops'!Y244</f>
        <v/>
      </c>
      <c r="O244" s="9">
        <f>'Jobs-GAAP'!Y244</f>
        <v/>
      </c>
      <c r="P244" s="9">
        <f>N244-O244</f>
        <v/>
      </c>
      <c r="Q244" s="186" t="n"/>
      <c r="R244" s="11">
        <f>'Jobs-Ops'!AL244</f>
        <v/>
      </c>
      <c r="S244" s="11">
        <f>'Jobs-GAAP'!AH244</f>
        <v/>
      </c>
      <c r="T244" s="11">
        <f>IFERROR(R244-S244,0)</f>
        <v/>
      </c>
      <c r="U244" s="8">
        <f>'Jobs-Ops'!AM244</f>
        <v/>
      </c>
      <c r="V244" s="8">
        <f>'Jobs-GAAP'!AI244</f>
        <v/>
      </c>
      <c r="W244" s="8">
        <f>IFERROR(U244-V244,0)</f>
        <v/>
      </c>
      <c r="X244" s="9">
        <f>'Jobs-Ops'!AN244</f>
        <v/>
      </c>
      <c r="Y244" s="9">
        <f>'Jobs-GAAP'!AJ244</f>
        <v/>
      </c>
      <c r="Z244" s="9">
        <f>IFERROR(X244-Y244,0)</f>
        <v/>
      </c>
      <c r="AA244" s="153">
        <f>'Jobs-Ops'!AO244</f>
        <v/>
      </c>
      <c r="AB244" s="187" t="n"/>
      <c r="AC244" s="186" t="n"/>
      <c r="AD244" s="186" t="n"/>
      <c r="AE244" s="188" t="n"/>
      <c r="AF244" s="187" t="n"/>
      <c r="AG244" s="187" t="n"/>
      <c r="AH244" s="186" t="n"/>
      <c r="AI244" s="186" t="n"/>
      <c r="AJ244" s="186" t="n"/>
      <c r="AK244" s="186" t="n"/>
      <c r="AL244" s="186" t="n"/>
      <c r="AM244" s="186" t="n"/>
      <c r="AN244" s="186" t="n"/>
      <c r="AO244" s="186" t="n"/>
      <c r="AP244" s="186" t="n"/>
      <c r="AQ244" s="186" t="n"/>
      <c r="AR244" s="186" t="n"/>
      <c r="AS244" s="186" t="n"/>
      <c r="AT244" s="186" t="n"/>
      <c r="AU244" s="186" t="n"/>
      <c r="AV244" s="186" t="n"/>
      <c r="AW244" s="186" t="n"/>
      <c r="AX244" s="186" t="n"/>
      <c r="AY244" s="186" t="n"/>
      <c r="AZ244" s="186" t="n"/>
      <c r="BA244" s="186" t="n"/>
      <c r="BB244" s="186" t="n"/>
      <c r="BC244" s="186" t="n"/>
      <c r="BD244" s="190" t="n"/>
      <c r="BE244" s="186" t="n"/>
      <c r="BF244" s="186" t="n"/>
      <c r="BG244" s="186" t="n"/>
      <c r="BH244" s="186" t="n"/>
      <c r="BI244" s="186" t="n"/>
      <c r="BJ244" s="187" t="n"/>
      <c r="BK244" s="192" t="n"/>
      <c r="BL244" s="192" t="n"/>
      <c r="BM244" s="192" t="n"/>
      <c r="BN244" s="192" t="n"/>
    </row>
    <row r="245">
      <c r="A245" s="289">
        <f> 'Jobs-Ops'!A245</f>
        <v/>
      </c>
      <c r="B245" s="290">
        <f>'Jobs-Ops'!B245</f>
        <v/>
      </c>
      <c r="C245" s="290">
        <f>'Jobs-Ops'!C245</f>
        <v/>
      </c>
      <c r="D245" s="179" t="n"/>
      <c r="E245" s="181">
        <f>'Jobs-Ops'!I245</f>
        <v/>
      </c>
      <c r="F245" s="205">
        <f>'Jobs-Ops'!U245</f>
        <v/>
      </c>
      <c r="G245" s="181">
        <f>'Jobs-GAAP'!J245</f>
        <v/>
      </c>
      <c r="H245" s="205">
        <f>'Jobs-GAAP'!V245</f>
        <v/>
      </c>
      <c r="I245" s="181">
        <f>E245-G245</f>
        <v/>
      </c>
      <c r="J245" s="9">
        <f>'Jobs-Ops'!P245</f>
        <v/>
      </c>
      <c r="K245" s="9">
        <f>'Jobs-GAAP'!Q245</f>
        <v/>
      </c>
      <c r="L245" s="9">
        <f>J245-K245</f>
        <v/>
      </c>
      <c r="M245" s="186" t="n"/>
      <c r="N245" s="9">
        <f>'Jobs-Ops'!Y245</f>
        <v/>
      </c>
      <c r="O245" s="9">
        <f>'Jobs-GAAP'!Y245</f>
        <v/>
      </c>
      <c r="P245" s="9">
        <f>N245-O245</f>
        <v/>
      </c>
      <c r="Q245" s="186" t="n"/>
      <c r="R245" s="11">
        <f>'Jobs-Ops'!AL245</f>
        <v/>
      </c>
      <c r="S245" s="11">
        <f>'Jobs-GAAP'!AH245</f>
        <v/>
      </c>
      <c r="T245" s="11">
        <f>IFERROR(R245-S245,0)</f>
        <v/>
      </c>
      <c r="U245" s="8">
        <f>'Jobs-Ops'!AM245</f>
        <v/>
      </c>
      <c r="V245" s="8">
        <f>'Jobs-GAAP'!AI245</f>
        <v/>
      </c>
      <c r="W245" s="8">
        <f>IFERROR(U245-V245,0)</f>
        <v/>
      </c>
      <c r="X245" s="9">
        <f>'Jobs-Ops'!AN245</f>
        <v/>
      </c>
      <c r="Y245" s="9">
        <f>'Jobs-GAAP'!AJ245</f>
        <v/>
      </c>
      <c r="Z245" s="9">
        <f>IFERROR(X245-Y245,0)</f>
        <v/>
      </c>
      <c r="AA245" s="153">
        <f>'Jobs-Ops'!AO245</f>
        <v/>
      </c>
      <c r="AB245" s="187" t="n"/>
      <c r="AC245" s="186" t="n"/>
      <c r="AD245" s="186" t="n"/>
      <c r="AE245" s="188" t="n"/>
      <c r="AF245" s="187" t="n"/>
      <c r="AG245" s="187" t="n"/>
      <c r="AH245" s="186" t="n"/>
      <c r="AI245" s="186" t="n"/>
      <c r="AJ245" s="186" t="n"/>
      <c r="AK245" s="186" t="n"/>
      <c r="AL245" s="186" t="n"/>
      <c r="AM245" s="186" t="n"/>
      <c r="AN245" s="186" t="n"/>
      <c r="AO245" s="186" t="n"/>
      <c r="AP245" s="186" t="n"/>
      <c r="AQ245" s="186" t="n"/>
      <c r="AR245" s="186" t="n"/>
      <c r="AS245" s="186" t="n"/>
      <c r="AT245" s="186" t="n"/>
      <c r="AU245" s="186" t="n"/>
      <c r="AV245" s="186" t="n"/>
      <c r="AW245" s="186" t="n"/>
      <c r="AX245" s="186" t="n"/>
      <c r="AY245" s="186" t="n"/>
      <c r="AZ245" s="186" t="n"/>
      <c r="BA245" s="186" t="n"/>
      <c r="BB245" s="186" t="n"/>
      <c r="BC245" s="186" t="n"/>
      <c r="BD245" s="190" t="n"/>
      <c r="BE245" s="186" t="n"/>
      <c r="BF245" s="186" t="n"/>
      <c r="BG245" s="186" t="n"/>
      <c r="BH245" s="186" t="n"/>
      <c r="BI245" s="186" t="n"/>
      <c r="BJ245" s="187" t="n"/>
      <c r="BK245" s="192" t="n"/>
      <c r="BL245" s="192" t="n"/>
      <c r="BM245" s="192" t="n"/>
      <c r="BN245" s="192" t="n"/>
    </row>
    <row r="246">
      <c r="A246" s="289">
        <f> 'Jobs-Ops'!A246</f>
        <v/>
      </c>
      <c r="B246" s="290">
        <f>'Jobs-Ops'!B246</f>
        <v/>
      </c>
      <c r="C246" s="290">
        <f>'Jobs-Ops'!C246</f>
        <v/>
      </c>
      <c r="D246" s="179" t="n"/>
      <c r="E246" s="181">
        <f>'Jobs-Ops'!I246</f>
        <v/>
      </c>
      <c r="F246" s="205">
        <f>'Jobs-Ops'!U246</f>
        <v/>
      </c>
      <c r="G246" s="181">
        <f>'Jobs-GAAP'!J246</f>
        <v/>
      </c>
      <c r="H246" s="205">
        <f>'Jobs-GAAP'!V246</f>
        <v/>
      </c>
      <c r="I246" s="181">
        <f>E246-G246</f>
        <v/>
      </c>
      <c r="J246" s="9">
        <f>'Jobs-Ops'!P246</f>
        <v/>
      </c>
      <c r="K246" s="9">
        <f>'Jobs-GAAP'!Q246</f>
        <v/>
      </c>
      <c r="L246" s="9">
        <f>J246-K246</f>
        <v/>
      </c>
      <c r="M246" s="186" t="n"/>
      <c r="N246" s="9">
        <f>'Jobs-Ops'!Y246</f>
        <v/>
      </c>
      <c r="O246" s="9">
        <f>'Jobs-GAAP'!Y246</f>
        <v/>
      </c>
      <c r="P246" s="9">
        <f>N246-O246</f>
        <v/>
      </c>
      <c r="Q246" s="186" t="n"/>
      <c r="R246" s="11">
        <f>'Jobs-Ops'!AL246</f>
        <v/>
      </c>
      <c r="S246" s="11">
        <f>'Jobs-GAAP'!AH246</f>
        <v/>
      </c>
      <c r="T246" s="11">
        <f>IFERROR(R246-S246,0)</f>
        <v/>
      </c>
      <c r="U246" s="8">
        <f>'Jobs-Ops'!AM246</f>
        <v/>
      </c>
      <c r="V246" s="8">
        <f>'Jobs-GAAP'!AI246</f>
        <v/>
      </c>
      <c r="W246" s="8">
        <f>IFERROR(U246-V246,0)</f>
        <v/>
      </c>
      <c r="X246" s="9">
        <f>'Jobs-Ops'!AN246</f>
        <v/>
      </c>
      <c r="Y246" s="9">
        <f>'Jobs-GAAP'!AJ246</f>
        <v/>
      </c>
      <c r="Z246" s="9">
        <f>IFERROR(X246-Y246,0)</f>
        <v/>
      </c>
      <c r="AA246" s="153">
        <f>'Jobs-Ops'!AO246</f>
        <v/>
      </c>
      <c r="AB246" s="187" t="n"/>
      <c r="AC246" s="186" t="n"/>
      <c r="AD246" s="186" t="n"/>
      <c r="AE246" s="188" t="n"/>
      <c r="AF246" s="187" t="n"/>
      <c r="AG246" s="187" t="n"/>
      <c r="AH246" s="186" t="n"/>
      <c r="AI246" s="186" t="n"/>
      <c r="AJ246" s="186" t="n"/>
      <c r="AK246" s="186" t="n"/>
      <c r="AL246" s="186" t="n"/>
      <c r="AM246" s="186" t="n"/>
      <c r="AN246" s="186" t="n"/>
      <c r="AO246" s="186" t="n"/>
      <c r="AP246" s="186" t="n"/>
      <c r="AQ246" s="186" t="n"/>
      <c r="AR246" s="186" t="n"/>
      <c r="AS246" s="186" t="n"/>
      <c r="AT246" s="186" t="n"/>
      <c r="AU246" s="186" t="n"/>
      <c r="AV246" s="186" t="n"/>
      <c r="AW246" s="186" t="n"/>
      <c r="AX246" s="186" t="n"/>
      <c r="AY246" s="186" t="n"/>
      <c r="AZ246" s="186" t="n"/>
      <c r="BA246" s="186" t="n"/>
      <c r="BB246" s="186" t="n"/>
      <c r="BC246" s="186" t="n"/>
      <c r="BD246" s="190" t="n"/>
      <c r="BE246" s="186" t="n"/>
      <c r="BF246" s="186" t="n"/>
      <c r="BG246" s="186" t="n"/>
      <c r="BH246" s="186" t="n"/>
      <c r="BI246" s="186" t="n"/>
      <c r="BJ246" s="187" t="n"/>
      <c r="BK246" s="192" t="n"/>
      <c r="BL246" s="192" t="n"/>
      <c r="BM246" s="192" t="n"/>
      <c r="BN246" s="192" t="n"/>
    </row>
    <row r="247">
      <c r="A247" s="289">
        <f> 'Jobs-Ops'!A247</f>
        <v/>
      </c>
      <c r="B247" s="290">
        <f>'Jobs-Ops'!B247</f>
        <v/>
      </c>
      <c r="C247" s="290">
        <f>'Jobs-Ops'!C247</f>
        <v/>
      </c>
      <c r="D247" s="179" t="n"/>
      <c r="E247" s="181">
        <f>'Jobs-Ops'!I247</f>
        <v/>
      </c>
      <c r="F247" s="205">
        <f>'Jobs-Ops'!U247</f>
        <v/>
      </c>
      <c r="G247" s="181">
        <f>'Jobs-GAAP'!J247</f>
        <v/>
      </c>
      <c r="H247" s="205">
        <f>'Jobs-GAAP'!V247</f>
        <v/>
      </c>
      <c r="I247" s="181">
        <f>E247-G247</f>
        <v/>
      </c>
      <c r="J247" s="9">
        <f>'Jobs-Ops'!P247</f>
        <v/>
      </c>
      <c r="K247" s="9">
        <f>'Jobs-GAAP'!Q247</f>
        <v/>
      </c>
      <c r="L247" s="9">
        <f>J247-K247</f>
        <v/>
      </c>
      <c r="M247" s="186" t="n"/>
      <c r="N247" s="9">
        <f>'Jobs-Ops'!Y247</f>
        <v/>
      </c>
      <c r="O247" s="9">
        <f>'Jobs-GAAP'!Y247</f>
        <v/>
      </c>
      <c r="P247" s="9">
        <f>N247-O247</f>
        <v/>
      </c>
      <c r="Q247" s="186" t="n"/>
      <c r="R247" s="11">
        <f>'Jobs-Ops'!AL247</f>
        <v/>
      </c>
      <c r="S247" s="11">
        <f>'Jobs-GAAP'!AH247</f>
        <v/>
      </c>
      <c r="T247" s="11">
        <f>IFERROR(R247-S247,0)</f>
        <v/>
      </c>
      <c r="U247" s="8">
        <f>'Jobs-Ops'!AM247</f>
        <v/>
      </c>
      <c r="V247" s="8">
        <f>'Jobs-GAAP'!AI247</f>
        <v/>
      </c>
      <c r="W247" s="8">
        <f>IFERROR(U247-V247,0)</f>
        <v/>
      </c>
      <c r="X247" s="9">
        <f>'Jobs-Ops'!AN247</f>
        <v/>
      </c>
      <c r="Y247" s="9">
        <f>'Jobs-GAAP'!AJ247</f>
        <v/>
      </c>
      <c r="Z247" s="9">
        <f>IFERROR(X247-Y247,0)</f>
        <v/>
      </c>
      <c r="AA247" s="153">
        <f>'Jobs-Ops'!AO247</f>
        <v/>
      </c>
      <c r="AB247" s="187" t="n"/>
      <c r="AC247" s="186" t="n"/>
      <c r="AD247" s="186" t="n"/>
      <c r="AE247" s="188" t="n"/>
      <c r="AF247" s="187" t="n"/>
      <c r="AG247" s="187" t="n"/>
      <c r="AH247" s="186" t="n"/>
      <c r="AI247" s="186" t="n"/>
      <c r="AJ247" s="186" t="n"/>
      <c r="AK247" s="186" t="n"/>
      <c r="AL247" s="186" t="n"/>
      <c r="AM247" s="186" t="n"/>
      <c r="AN247" s="186" t="n"/>
      <c r="AO247" s="186" t="n"/>
      <c r="AP247" s="186" t="n"/>
      <c r="AQ247" s="186" t="n"/>
      <c r="AR247" s="186" t="n"/>
      <c r="AS247" s="186" t="n"/>
      <c r="AT247" s="186" t="n"/>
      <c r="AU247" s="186" t="n"/>
      <c r="AV247" s="186" t="n"/>
      <c r="AW247" s="186" t="n"/>
      <c r="AX247" s="186" t="n"/>
      <c r="AY247" s="186" t="n"/>
      <c r="AZ247" s="186" t="n"/>
      <c r="BA247" s="186" t="n"/>
      <c r="BB247" s="186" t="n"/>
      <c r="BC247" s="186" t="n"/>
      <c r="BD247" s="190" t="n"/>
      <c r="BE247" s="186" t="n"/>
      <c r="BF247" s="186" t="n"/>
      <c r="BG247" s="186" t="n"/>
      <c r="BH247" s="186" t="n"/>
      <c r="BI247" s="186" t="n"/>
      <c r="BJ247" s="187" t="n"/>
      <c r="BK247" s="192" t="n"/>
      <c r="BL247" s="192" t="n"/>
      <c r="BM247" s="192" t="n"/>
      <c r="BN247" s="192" t="n"/>
    </row>
    <row r="248">
      <c r="A248" s="289">
        <f> 'Jobs-Ops'!A248</f>
        <v/>
      </c>
      <c r="B248" s="290">
        <f>'Jobs-Ops'!B248</f>
        <v/>
      </c>
      <c r="C248" s="290">
        <f>'Jobs-Ops'!C248</f>
        <v/>
      </c>
      <c r="D248" s="179" t="n"/>
      <c r="E248" s="181">
        <f>'Jobs-Ops'!I248</f>
        <v/>
      </c>
      <c r="F248" s="205">
        <f>'Jobs-Ops'!U248</f>
        <v/>
      </c>
      <c r="G248" s="181">
        <f>'Jobs-GAAP'!J248</f>
        <v/>
      </c>
      <c r="H248" s="205">
        <f>'Jobs-GAAP'!V248</f>
        <v/>
      </c>
      <c r="I248" s="181">
        <f>E248-G248</f>
        <v/>
      </c>
      <c r="J248" s="9">
        <f>'Jobs-Ops'!P248</f>
        <v/>
      </c>
      <c r="K248" s="9">
        <f>'Jobs-GAAP'!Q248</f>
        <v/>
      </c>
      <c r="L248" s="9">
        <f>J248-K248</f>
        <v/>
      </c>
      <c r="M248" s="186" t="n"/>
      <c r="N248" s="9">
        <f>'Jobs-Ops'!Y248</f>
        <v/>
      </c>
      <c r="O248" s="9">
        <f>'Jobs-GAAP'!Y248</f>
        <v/>
      </c>
      <c r="P248" s="9">
        <f>N248-O248</f>
        <v/>
      </c>
      <c r="Q248" s="186" t="n"/>
      <c r="R248" s="11">
        <f>'Jobs-Ops'!AL248</f>
        <v/>
      </c>
      <c r="S248" s="11">
        <f>'Jobs-GAAP'!AH248</f>
        <v/>
      </c>
      <c r="T248" s="11">
        <f>IFERROR(R248-S248,0)</f>
        <v/>
      </c>
      <c r="U248" s="8">
        <f>'Jobs-Ops'!AM248</f>
        <v/>
      </c>
      <c r="V248" s="8">
        <f>'Jobs-GAAP'!AI248</f>
        <v/>
      </c>
      <c r="W248" s="8">
        <f>IFERROR(U248-V248,0)</f>
        <v/>
      </c>
      <c r="X248" s="9">
        <f>'Jobs-Ops'!AN248</f>
        <v/>
      </c>
      <c r="Y248" s="9">
        <f>'Jobs-GAAP'!AJ248</f>
        <v/>
      </c>
      <c r="Z248" s="9">
        <f>IFERROR(X248-Y248,0)</f>
        <v/>
      </c>
      <c r="AA248" s="153">
        <f>'Jobs-Ops'!AO248</f>
        <v/>
      </c>
      <c r="AB248" s="187" t="n"/>
      <c r="AC248" s="186" t="n"/>
      <c r="AD248" s="186" t="n"/>
      <c r="AE248" s="188" t="n"/>
      <c r="AF248" s="187" t="n"/>
      <c r="AG248" s="187" t="n"/>
      <c r="AH248" s="186" t="n"/>
      <c r="AI248" s="186" t="n"/>
      <c r="AJ248" s="186" t="n"/>
      <c r="AK248" s="186" t="n"/>
      <c r="AL248" s="186" t="n"/>
      <c r="AM248" s="186" t="n"/>
      <c r="AN248" s="186" t="n"/>
      <c r="AO248" s="186" t="n"/>
      <c r="AP248" s="186" t="n"/>
      <c r="AQ248" s="186" t="n"/>
      <c r="AR248" s="186" t="n"/>
      <c r="AS248" s="186" t="n"/>
      <c r="AT248" s="186" t="n"/>
      <c r="AU248" s="186" t="n"/>
      <c r="AV248" s="186" t="n"/>
      <c r="AW248" s="186" t="n"/>
      <c r="AX248" s="186" t="n"/>
      <c r="AY248" s="186" t="n"/>
      <c r="AZ248" s="186" t="n"/>
      <c r="BA248" s="186" t="n"/>
      <c r="BB248" s="186" t="n"/>
      <c r="BC248" s="186" t="n"/>
      <c r="BD248" s="190" t="n"/>
      <c r="BE248" s="186" t="n"/>
      <c r="BF248" s="186" t="n"/>
      <c r="BG248" s="186" t="n"/>
      <c r="BH248" s="186" t="n"/>
      <c r="BI248" s="186" t="n"/>
      <c r="BJ248" s="187" t="n"/>
      <c r="BK248" s="192" t="n"/>
      <c r="BL248" s="192" t="n"/>
      <c r="BM248" s="192" t="n"/>
      <c r="BN248" s="192" t="n"/>
    </row>
    <row r="249">
      <c r="A249" s="289">
        <f> 'Jobs-Ops'!A249</f>
        <v/>
      </c>
      <c r="B249" s="290">
        <f>'Jobs-Ops'!B249</f>
        <v/>
      </c>
      <c r="C249" s="290">
        <f>'Jobs-Ops'!C249</f>
        <v/>
      </c>
      <c r="D249" s="179" t="n"/>
      <c r="E249" s="181">
        <f>'Jobs-Ops'!I249</f>
        <v/>
      </c>
      <c r="F249" s="205">
        <f>'Jobs-Ops'!U249</f>
        <v/>
      </c>
      <c r="G249" s="181">
        <f>'Jobs-GAAP'!J249</f>
        <v/>
      </c>
      <c r="H249" s="205">
        <f>'Jobs-GAAP'!V249</f>
        <v/>
      </c>
      <c r="I249" s="181">
        <f>E249-G249</f>
        <v/>
      </c>
      <c r="J249" s="9">
        <f>'Jobs-Ops'!P249</f>
        <v/>
      </c>
      <c r="K249" s="9">
        <f>'Jobs-GAAP'!Q249</f>
        <v/>
      </c>
      <c r="L249" s="9">
        <f>J249-K249</f>
        <v/>
      </c>
      <c r="M249" s="186" t="n"/>
      <c r="N249" s="9">
        <f>'Jobs-Ops'!Y249</f>
        <v/>
      </c>
      <c r="O249" s="9">
        <f>'Jobs-GAAP'!Y249</f>
        <v/>
      </c>
      <c r="P249" s="9">
        <f>N249-O249</f>
        <v/>
      </c>
      <c r="Q249" s="186" t="n"/>
      <c r="R249" s="11">
        <f>'Jobs-Ops'!AL249</f>
        <v/>
      </c>
      <c r="S249" s="11">
        <f>'Jobs-GAAP'!AH249</f>
        <v/>
      </c>
      <c r="T249" s="11">
        <f>IFERROR(R249-S249,0)</f>
        <v/>
      </c>
      <c r="U249" s="8">
        <f>'Jobs-Ops'!AM249</f>
        <v/>
      </c>
      <c r="V249" s="8">
        <f>'Jobs-GAAP'!AI249</f>
        <v/>
      </c>
      <c r="W249" s="8">
        <f>IFERROR(U249-V249,0)</f>
        <v/>
      </c>
      <c r="X249" s="9">
        <f>'Jobs-Ops'!AN249</f>
        <v/>
      </c>
      <c r="Y249" s="9">
        <f>'Jobs-GAAP'!AJ249</f>
        <v/>
      </c>
      <c r="Z249" s="9">
        <f>IFERROR(X249-Y249,0)</f>
        <v/>
      </c>
      <c r="AA249" s="153">
        <f>'Jobs-Ops'!AO249</f>
        <v/>
      </c>
      <c r="AB249" s="187" t="n"/>
      <c r="AC249" s="186" t="n"/>
      <c r="AD249" s="186" t="n"/>
      <c r="AE249" s="188" t="n"/>
      <c r="AF249" s="187" t="n"/>
      <c r="AG249" s="187" t="n"/>
      <c r="AH249" s="186" t="n"/>
      <c r="AI249" s="186" t="n"/>
      <c r="AJ249" s="186" t="n"/>
      <c r="AK249" s="186" t="n"/>
      <c r="AL249" s="186" t="n"/>
      <c r="AM249" s="186" t="n"/>
      <c r="AN249" s="186" t="n"/>
      <c r="AO249" s="186" t="n"/>
      <c r="AP249" s="186" t="n"/>
      <c r="AQ249" s="186" t="n"/>
      <c r="AR249" s="186" t="n"/>
      <c r="AS249" s="186" t="n"/>
      <c r="AT249" s="186" t="n"/>
      <c r="AU249" s="186" t="n"/>
      <c r="AV249" s="186" t="n"/>
      <c r="AW249" s="186" t="n"/>
      <c r="AX249" s="186" t="n"/>
      <c r="AY249" s="186" t="n"/>
      <c r="AZ249" s="186" t="n"/>
      <c r="BA249" s="186" t="n"/>
      <c r="BB249" s="186" t="n"/>
      <c r="BC249" s="186" t="n"/>
      <c r="BD249" s="190" t="n"/>
      <c r="BE249" s="186" t="n"/>
      <c r="BF249" s="186" t="n"/>
      <c r="BG249" s="186" t="n"/>
      <c r="BH249" s="186" t="n"/>
      <c r="BI249" s="186" t="n"/>
      <c r="BJ249" s="187" t="n"/>
      <c r="BK249" s="192" t="n"/>
      <c r="BL249" s="192" t="n"/>
      <c r="BM249" s="192" t="n"/>
      <c r="BN249" s="192" t="n"/>
    </row>
    <row r="250">
      <c r="A250" s="289">
        <f> 'Jobs-Ops'!A250</f>
        <v/>
      </c>
      <c r="B250" s="290">
        <f>'Jobs-Ops'!B250</f>
        <v/>
      </c>
      <c r="C250" s="290">
        <f>'Jobs-Ops'!C250</f>
        <v/>
      </c>
      <c r="D250" s="179" t="n"/>
      <c r="E250" s="181">
        <f>'Jobs-Ops'!I250</f>
        <v/>
      </c>
      <c r="F250" s="205">
        <f>'Jobs-Ops'!U250</f>
        <v/>
      </c>
      <c r="G250" s="181">
        <f>'Jobs-GAAP'!J250</f>
        <v/>
      </c>
      <c r="H250" s="205">
        <f>'Jobs-GAAP'!V250</f>
        <v/>
      </c>
      <c r="I250" s="181">
        <f>E250-G250</f>
        <v/>
      </c>
      <c r="J250" s="9">
        <f>'Jobs-Ops'!P250</f>
        <v/>
      </c>
      <c r="K250" s="9">
        <f>'Jobs-GAAP'!Q250</f>
        <v/>
      </c>
      <c r="L250" s="9">
        <f>J250-K250</f>
        <v/>
      </c>
      <c r="M250" s="186" t="n"/>
      <c r="N250" s="9">
        <f>'Jobs-Ops'!Y250</f>
        <v/>
      </c>
      <c r="O250" s="9">
        <f>'Jobs-GAAP'!Y250</f>
        <v/>
      </c>
      <c r="P250" s="9">
        <f>N250-O250</f>
        <v/>
      </c>
      <c r="Q250" s="186" t="n"/>
      <c r="R250" s="11">
        <f>'Jobs-Ops'!AL250</f>
        <v/>
      </c>
      <c r="S250" s="11">
        <f>'Jobs-GAAP'!AH250</f>
        <v/>
      </c>
      <c r="T250" s="11">
        <f>IFERROR(R250-S250,0)</f>
        <v/>
      </c>
      <c r="U250" s="8">
        <f>'Jobs-Ops'!AM250</f>
        <v/>
      </c>
      <c r="V250" s="8">
        <f>'Jobs-GAAP'!AI250</f>
        <v/>
      </c>
      <c r="W250" s="8">
        <f>IFERROR(U250-V250,0)</f>
        <v/>
      </c>
      <c r="X250" s="9">
        <f>'Jobs-Ops'!AN250</f>
        <v/>
      </c>
      <c r="Y250" s="9">
        <f>'Jobs-GAAP'!AJ250</f>
        <v/>
      </c>
      <c r="Z250" s="9">
        <f>IFERROR(X250-Y250,0)</f>
        <v/>
      </c>
      <c r="AA250" s="153">
        <f>'Jobs-Ops'!AO250</f>
        <v/>
      </c>
      <c r="AB250" s="187" t="n"/>
      <c r="AC250" s="186" t="n"/>
      <c r="AD250" s="186" t="n"/>
      <c r="AE250" s="188" t="n"/>
      <c r="AF250" s="187" t="n"/>
      <c r="AG250" s="187" t="n"/>
      <c r="AH250" s="186" t="n"/>
      <c r="AI250" s="186" t="n"/>
      <c r="AJ250" s="186" t="n"/>
      <c r="AK250" s="186" t="n"/>
      <c r="AL250" s="186" t="n"/>
      <c r="AM250" s="186" t="n"/>
      <c r="AN250" s="186" t="n"/>
      <c r="AO250" s="186" t="n"/>
      <c r="AP250" s="186" t="n"/>
      <c r="AQ250" s="186" t="n"/>
      <c r="AR250" s="186" t="n"/>
      <c r="AS250" s="186" t="n"/>
      <c r="AT250" s="186" t="n"/>
      <c r="AU250" s="186" t="n"/>
      <c r="AV250" s="186" t="n"/>
      <c r="AW250" s="186" t="n"/>
      <c r="AX250" s="186" t="n"/>
      <c r="AY250" s="186" t="n"/>
      <c r="AZ250" s="186" t="n"/>
      <c r="BA250" s="186" t="n"/>
      <c r="BB250" s="186" t="n"/>
      <c r="BC250" s="186" t="n"/>
      <c r="BD250" s="190" t="n"/>
      <c r="BE250" s="186" t="n"/>
      <c r="BF250" s="186" t="n"/>
      <c r="BG250" s="186" t="n"/>
      <c r="BH250" s="186" t="n"/>
      <c r="BI250" s="186" t="n"/>
      <c r="BJ250" s="187" t="n"/>
      <c r="BK250" s="192" t="n"/>
      <c r="BL250" s="192" t="n"/>
      <c r="BM250" s="192" t="n"/>
      <c r="BN250" s="192" t="n"/>
    </row>
    <row r="251">
      <c r="A251" s="289">
        <f> 'Jobs-Ops'!A251</f>
        <v/>
      </c>
      <c r="B251" s="290">
        <f>'Jobs-Ops'!B251</f>
        <v/>
      </c>
      <c r="C251" s="290">
        <f>'Jobs-Ops'!C251</f>
        <v/>
      </c>
      <c r="D251" s="179" t="n"/>
      <c r="E251" s="181">
        <f>'Jobs-Ops'!I251</f>
        <v/>
      </c>
      <c r="F251" s="205">
        <f>'Jobs-Ops'!U251</f>
        <v/>
      </c>
      <c r="G251" s="181">
        <f>'Jobs-GAAP'!J251</f>
        <v/>
      </c>
      <c r="H251" s="205">
        <f>'Jobs-GAAP'!V251</f>
        <v/>
      </c>
      <c r="I251" s="181">
        <f>E251-G251</f>
        <v/>
      </c>
      <c r="J251" s="9">
        <f>'Jobs-Ops'!P251</f>
        <v/>
      </c>
      <c r="K251" s="9">
        <f>'Jobs-GAAP'!Q251</f>
        <v/>
      </c>
      <c r="L251" s="9">
        <f>J251-K251</f>
        <v/>
      </c>
      <c r="M251" s="186" t="n"/>
      <c r="N251" s="9">
        <f>'Jobs-Ops'!Y251</f>
        <v/>
      </c>
      <c r="O251" s="9">
        <f>'Jobs-GAAP'!Y251</f>
        <v/>
      </c>
      <c r="P251" s="9">
        <f>N251-O251</f>
        <v/>
      </c>
      <c r="Q251" s="186" t="n"/>
      <c r="R251" s="11">
        <f>'Jobs-Ops'!AL251</f>
        <v/>
      </c>
      <c r="S251" s="11">
        <f>'Jobs-GAAP'!AH251</f>
        <v/>
      </c>
      <c r="T251" s="11">
        <f>IFERROR(R251-S251,0)</f>
        <v/>
      </c>
      <c r="U251" s="8">
        <f>'Jobs-Ops'!AM251</f>
        <v/>
      </c>
      <c r="V251" s="8">
        <f>'Jobs-GAAP'!AI251</f>
        <v/>
      </c>
      <c r="W251" s="8">
        <f>IFERROR(U251-V251,0)</f>
        <v/>
      </c>
      <c r="X251" s="9">
        <f>'Jobs-Ops'!AN251</f>
        <v/>
      </c>
      <c r="Y251" s="9">
        <f>'Jobs-GAAP'!AJ251</f>
        <v/>
      </c>
      <c r="Z251" s="9">
        <f>IFERROR(X251-Y251,0)</f>
        <v/>
      </c>
      <c r="AA251" s="153">
        <f>'Jobs-Ops'!AO251</f>
        <v/>
      </c>
      <c r="AB251" s="187" t="n"/>
      <c r="AC251" s="186" t="n"/>
      <c r="AD251" s="186" t="n"/>
      <c r="AE251" s="188" t="n"/>
      <c r="AF251" s="187" t="n"/>
      <c r="AG251" s="187" t="n"/>
      <c r="AH251" s="186" t="n"/>
      <c r="AI251" s="186" t="n"/>
      <c r="AJ251" s="186" t="n"/>
      <c r="AK251" s="186" t="n"/>
      <c r="AL251" s="186" t="n"/>
      <c r="AM251" s="186" t="n"/>
      <c r="AN251" s="186" t="n"/>
      <c r="AO251" s="186" t="n"/>
      <c r="AP251" s="186" t="n"/>
      <c r="AQ251" s="186" t="n"/>
      <c r="AR251" s="186" t="n"/>
      <c r="AS251" s="186" t="n"/>
      <c r="AT251" s="186" t="n"/>
      <c r="AU251" s="186" t="n"/>
      <c r="AV251" s="186" t="n"/>
      <c r="AW251" s="186" t="n"/>
      <c r="AX251" s="186" t="n"/>
      <c r="AY251" s="186" t="n"/>
      <c r="AZ251" s="186" t="n"/>
      <c r="BA251" s="186" t="n"/>
      <c r="BB251" s="186" t="n"/>
      <c r="BC251" s="186" t="n"/>
      <c r="BD251" s="190" t="n"/>
      <c r="BE251" s="186" t="n"/>
      <c r="BF251" s="186" t="n"/>
      <c r="BG251" s="186" t="n"/>
      <c r="BH251" s="186" t="n"/>
      <c r="BI251" s="186" t="n"/>
      <c r="BJ251" s="187" t="n"/>
      <c r="BK251" s="192" t="n"/>
      <c r="BL251" s="192" t="n"/>
      <c r="BM251" s="192" t="n"/>
      <c r="BN251" s="192" t="n"/>
    </row>
    <row r="252">
      <c r="A252" s="289">
        <f> 'Jobs-Ops'!A252</f>
        <v/>
      </c>
      <c r="B252" s="290">
        <f>'Jobs-Ops'!B252</f>
        <v/>
      </c>
      <c r="C252" s="290">
        <f>'Jobs-Ops'!C252</f>
        <v/>
      </c>
      <c r="D252" s="179" t="n"/>
      <c r="E252" s="181">
        <f>'Jobs-Ops'!I252</f>
        <v/>
      </c>
      <c r="F252" s="205">
        <f>'Jobs-Ops'!U252</f>
        <v/>
      </c>
      <c r="G252" s="181">
        <f>'Jobs-GAAP'!J252</f>
        <v/>
      </c>
      <c r="H252" s="205">
        <f>'Jobs-GAAP'!V252</f>
        <v/>
      </c>
      <c r="I252" s="181">
        <f>E252-G252</f>
        <v/>
      </c>
      <c r="J252" s="9">
        <f>'Jobs-Ops'!P252</f>
        <v/>
      </c>
      <c r="K252" s="9">
        <f>'Jobs-GAAP'!Q252</f>
        <v/>
      </c>
      <c r="L252" s="9">
        <f>J252-K252</f>
        <v/>
      </c>
      <c r="M252" s="186" t="n"/>
      <c r="N252" s="9">
        <f>'Jobs-Ops'!Y252</f>
        <v/>
      </c>
      <c r="O252" s="9">
        <f>'Jobs-GAAP'!Y252</f>
        <v/>
      </c>
      <c r="P252" s="9">
        <f>N252-O252</f>
        <v/>
      </c>
      <c r="Q252" s="186" t="n"/>
      <c r="R252" s="11">
        <f>'Jobs-Ops'!AL252</f>
        <v/>
      </c>
      <c r="S252" s="11">
        <f>'Jobs-GAAP'!AH252</f>
        <v/>
      </c>
      <c r="T252" s="11">
        <f>IFERROR(R252-S252,0)</f>
        <v/>
      </c>
      <c r="U252" s="8">
        <f>'Jobs-Ops'!AM252</f>
        <v/>
      </c>
      <c r="V252" s="8">
        <f>'Jobs-GAAP'!AI252</f>
        <v/>
      </c>
      <c r="W252" s="8">
        <f>IFERROR(U252-V252,0)</f>
        <v/>
      </c>
      <c r="X252" s="9">
        <f>'Jobs-Ops'!AN252</f>
        <v/>
      </c>
      <c r="Y252" s="9">
        <f>'Jobs-GAAP'!AJ252</f>
        <v/>
      </c>
      <c r="Z252" s="9">
        <f>IFERROR(X252-Y252,0)</f>
        <v/>
      </c>
      <c r="AA252" s="153">
        <f>'Jobs-Ops'!AO252</f>
        <v/>
      </c>
      <c r="AB252" s="187" t="n"/>
      <c r="AC252" s="186" t="n"/>
      <c r="AD252" s="186" t="n"/>
      <c r="AE252" s="188" t="n"/>
      <c r="AF252" s="187" t="n"/>
      <c r="AG252" s="187" t="n"/>
      <c r="AH252" s="186" t="n"/>
      <c r="AI252" s="186" t="n"/>
      <c r="AJ252" s="186" t="n"/>
      <c r="AK252" s="186" t="n"/>
      <c r="AL252" s="186" t="n"/>
      <c r="AM252" s="186" t="n"/>
      <c r="AN252" s="186" t="n"/>
      <c r="AO252" s="186" t="n"/>
      <c r="AP252" s="186" t="n"/>
      <c r="AQ252" s="186" t="n"/>
      <c r="AR252" s="186" t="n"/>
      <c r="AS252" s="186" t="n"/>
      <c r="AT252" s="186" t="n"/>
      <c r="AU252" s="186" t="n"/>
      <c r="AV252" s="186" t="n"/>
      <c r="AW252" s="186" t="n"/>
      <c r="AX252" s="186" t="n"/>
      <c r="AY252" s="186" t="n"/>
      <c r="AZ252" s="186" t="n"/>
      <c r="BA252" s="186" t="n"/>
      <c r="BB252" s="186" t="n"/>
      <c r="BC252" s="186" t="n"/>
      <c r="BD252" s="190" t="n"/>
      <c r="BE252" s="186" t="n"/>
      <c r="BF252" s="186" t="n"/>
      <c r="BG252" s="186" t="n"/>
      <c r="BH252" s="186" t="n"/>
      <c r="BI252" s="186" t="n"/>
      <c r="BJ252" s="187" t="n"/>
      <c r="BK252" s="192" t="n"/>
      <c r="BL252" s="192" t="n"/>
      <c r="BM252" s="192" t="n"/>
      <c r="BN252" s="192" t="n"/>
    </row>
    <row r="253">
      <c r="A253" s="289">
        <f> 'Jobs-Ops'!A253</f>
        <v/>
      </c>
      <c r="B253" s="290">
        <f>'Jobs-Ops'!B253</f>
        <v/>
      </c>
      <c r="C253" s="290">
        <f>'Jobs-Ops'!C253</f>
        <v/>
      </c>
      <c r="D253" s="179" t="n"/>
      <c r="E253" s="181">
        <f>'Jobs-Ops'!I253</f>
        <v/>
      </c>
      <c r="F253" s="205">
        <f>'Jobs-Ops'!U253</f>
        <v/>
      </c>
      <c r="G253" s="181">
        <f>'Jobs-GAAP'!J253</f>
        <v/>
      </c>
      <c r="H253" s="205">
        <f>'Jobs-GAAP'!V253</f>
        <v/>
      </c>
      <c r="I253" s="181">
        <f>E253-G253</f>
        <v/>
      </c>
      <c r="J253" s="9">
        <f>'Jobs-Ops'!P253</f>
        <v/>
      </c>
      <c r="K253" s="9">
        <f>'Jobs-GAAP'!Q253</f>
        <v/>
      </c>
      <c r="L253" s="9">
        <f>J253-K253</f>
        <v/>
      </c>
      <c r="M253" s="186" t="n"/>
      <c r="N253" s="9">
        <f>'Jobs-Ops'!Y253</f>
        <v/>
      </c>
      <c r="O253" s="9">
        <f>'Jobs-GAAP'!Y253</f>
        <v/>
      </c>
      <c r="P253" s="9">
        <f>N253-O253</f>
        <v/>
      </c>
      <c r="Q253" s="186" t="n"/>
      <c r="R253" s="11">
        <f>'Jobs-Ops'!AL253</f>
        <v/>
      </c>
      <c r="S253" s="11">
        <f>'Jobs-GAAP'!AH253</f>
        <v/>
      </c>
      <c r="T253" s="11">
        <f>IFERROR(R253-S253,0)</f>
        <v/>
      </c>
      <c r="U253" s="8">
        <f>'Jobs-Ops'!AM253</f>
        <v/>
      </c>
      <c r="V253" s="8">
        <f>'Jobs-GAAP'!AI253</f>
        <v/>
      </c>
      <c r="W253" s="8">
        <f>IFERROR(U253-V253,0)</f>
        <v/>
      </c>
      <c r="X253" s="9">
        <f>'Jobs-Ops'!AN253</f>
        <v/>
      </c>
      <c r="Y253" s="9">
        <f>'Jobs-GAAP'!AJ253</f>
        <v/>
      </c>
      <c r="Z253" s="9">
        <f>IFERROR(X253-Y253,0)</f>
        <v/>
      </c>
      <c r="AA253" s="153">
        <f>'Jobs-Ops'!AO253</f>
        <v/>
      </c>
      <c r="AB253" s="187" t="n"/>
      <c r="AC253" s="186" t="n"/>
      <c r="AD253" s="186" t="n"/>
      <c r="AE253" s="188" t="n"/>
      <c r="AF253" s="187" t="n"/>
      <c r="AG253" s="187" t="n"/>
      <c r="AH253" s="186" t="n"/>
      <c r="AI253" s="186" t="n"/>
      <c r="AJ253" s="186" t="n"/>
      <c r="AK253" s="186" t="n"/>
      <c r="AL253" s="186" t="n"/>
      <c r="AM253" s="186" t="n"/>
      <c r="AN253" s="186" t="n"/>
      <c r="AO253" s="186" t="n"/>
      <c r="AP253" s="186" t="n"/>
      <c r="AQ253" s="186" t="n"/>
      <c r="AR253" s="186" t="n"/>
      <c r="AS253" s="186" t="n"/>
      <c r="AT253" s="186" t="n"/>
      <c r="AU253" s="186" t="n"/>
      <c r="AV253" s="186" t="n"/>
      <c r="AW253" s="186" t="n"/>
      <c r="AX253" s="186" t="n"/>
      <c r="AY253" s="186" t="n"/>
      <c r="AZ253" s="186" t="n"/>
      <c r="BA253" s="186" t="n"/>
      <c r="BB253" s="186" t="n"/>
      <c r="BC253" s="186" t="n"/>
      <c r="BD253" s="190" t="n"/>
      <c r="BE253" s="186" t="n"/>
      <c r="BF253" s="186" t="n"/>
      <c r="BG253" s="186" t="n"/>
      <c r="BH253" s="186" t="n"/>
      <c r="BI253" s="186" t="n"/>
      <c r="BJ253" s="187" t="n"/>
      <c r="BK253" s="192" t="n"/>
      <c r="BL253" s="192" t="n"/>
      <c r="BM253" s="192" t="n"/>
      <c r="BN253" s="192" t="n"/>
    </row>
    <row r="254">
      <c r="A254" s="289">
        <f> 'Jobs-Ops'!A254</f>
        <v/>
      </c>
      <c r="B254" s="290">
        <f>'Jobs-Ops'!B254</f>
        <v/>
      </c>
      <c r="C254" s="290">
        <f>'Jobs-Ops'!C254</f>
        <v/>
      </c>
      <c r="D254" s="179" t="n"/>
      <c r="E254" s="181">
        <f>'Jobs-Ops'!I254</f>
        <v/>
      </c>
      <c r="F254" s="205">
        <f>'Jobs-Ops'!U254</f>
        <v/>
      </c>
      <c r="G254" s="181">
        <f>'Jobs-GAAP'!J254</f>
        <v/>
      </c>
      <c r="H254" s="205">
        <f>'Jobs-GAAP'!V254</f>
        <v/>
      </c>
      <c r="I254" s="181">
        <f>E254-G254</f>
        <v/>
      </c>
      <c r="J254" s="9">
        <f>'Jobs-Ops'!P254</f>
        <v/>
      </c>
      <c r="K254" s="9">
        <f>'Jobs-GAAP'!Q254</f>
        <v/>
      </c>
      <c r="L254" s="9">
        <f>J254-K254</f>
        <v/>
      </c>
      <c r="M254" s="186" t="n"/>
      <c r="N254" s="9">
        <f>'Jobs-Ops'!Y254</f>
        <v/>
      </c>
      <c r="O254" s="9">
        <f>'Jobs-GAAP'!Y254</f>
        <v/>
      </c>
      <c r="P254" s="9">
        <f>N254-O254</f>
        <v/>
      </c>
      <c r="Q254" s="186" t="n"/>
      <c r="R254" s="11">
        <f>'Jobs-Ops'!AL254</f>
        <v/>
      </c>
      <c r="S254" s="11">
        <f>'Jobs-GAAP'!AH254</f>
        <v/>
      </c>
      <c r="T254" s="11">
        <f>IFERROR(R254-S254,0)</f>
        <v/>
      </c>
      <c r="U254" s="8">
        <f>'Jobs-Ops'!AM254</f>
        <v/>
      </c>
      <c r="V254" s="8">
        <f>'Jobs-GAAP'!AI254</f>
        <v/>
      </c>
      <c r="W254" s="8">
        <f>IFERROR(U254-V254,0)</f>
        <v/>
      </c>
      <c r="X254" s="9">
        <f>'Jobs-Ops'!AN254</f>
        <v/>
      </c>
      <c r="Y254" s="9">
        <f>'Jobs-GAAP'!AJ254</f>
        <v/>
      </c>
      <c r="Z254" s="9">
        <f>IFERROR(X254-Y254,0)</f>
        <v/>
      </c>
      <c r="AA254" s="153">
        <f>'Jobs-Ops'!AO254</f>
        <v/>
      </c>
      <c r="AB254" s="187" t="n"/>
      <c r="AC254" s="186" t="n"/>
      <c r="AD254" s="186" t="n"/>
      <c r="AE254" s="188" t="n"/>
      <c r="AF254" s="187" t="n"/>
      <c r="AG254" s="187" t="n"/>
      <c r="AH254" s="186" t="n"/>
      <c r="AI254" s="186" t="n"/>
      <c r="AJ254" s="186" t="n"/>
      <c r="AK254" s="186" t="n"/>
      <c r="AL254" s="186" t="n"/>
      <c r="AM254" s="186" t="n"/>
      <c r="AN254" s="186" t="n"/>
      <c r="AO254" s="186" t="n"/>
      <c r="AP254" s="186" t="n"/>
      <c r="AQ254" s="186" t="n"/>
      <c r="AR254" s="186" t="n"/>
      <c r="AS254" s="186" t="n"/>
      <c r="AT254" s="186" t="n"/>
      <c r="AU254" s="186" t="n"/>
      <c r="AV254" s="186" t="n"/>
      <c r="AW254" s="186" t="n"/>
      <c r="AX254" s="186" t="n"/>
      <c r="AY254" s="186" t="n"/>
      <c r="AZ254" s="186" t="n"/>
      <c r="BA254" s="186" t="n"/>
      <c r="BB254" s="186" t="n"/>
      <c r="BC254" s="186" t="n"/>
      <c r="BD254" s="190" t="n"/>
      <c r="BE254" s="186" t="n"/>
      <c r="BF254" s="186" t="n"/>
      <c r="BG254" s="186" t="n"/>
      <c r="BH254" s="186" t="n"/>
      <c r="BI254" s="186" t="n"/>
      <c r="BJ254" s="187" t="n"/>
      <c r="BK254" s="192" t="n"/>
      <c r="BL254" s="192" t="n"/>
      <c r="BM254" s="192" t="n"/>
      <c r="BN254" s="192" t="n"/>
    </row>
    <row r="255">
      <c r="A255" s="289">
        <f> 'Jobs-Ops'!A255</f>
        <v/>
      </c>
      <c r="B255" s="290">
        <f>'Jobs-Ops'!B255</f>
        <v/>
      </c>
      <c r="C255" s="290">
        <f>'Jobs-Ops'!C255</f>
        <v/>
      </c>
      <c r="D255" s="179" t="n"/>
      <c r="E255" s="181">
        <f>'Jobs-Ops'!I255</f>
        <v/>
      </c>
      <c r="F255" s="205">
        <f>'Jobs-Ops'!U255</f>
        <v/>
      </c>
      <c r="G255" s="181">
        <f>'Jobs-GAAP'!J255</f>
        <v/>
      </c>
      <c r="H255" s="205">
        <f>'Jobs-GAAP'!V255</f>
        <v/>
      </c>
      <c r="I255" s="181">
        <f>E255-G255</f>
        <v/>
      </c>
      <c r="J255" s="9">
        <f>'Jobs-Ops'!P255</f>
        <v/>
      </c>
      <c r="K255" s="9">
        <f>'Jobs-GAAP'!Q255</f>
        <v/>
      </c>
      <c r="L255" s="9">
        <f>J255-K255</f>
        <v/>
      </c>
      <c r="M255" s="186" t="n"/>
      <c r="N255" s="9">
        <f>'Jobs-Ops'!Y255</f>
        <v/>
      </c>
      <c r="O255" s="9">
        <f>'Jobs-GAAP'!Y255</f>
        <v/>
      </c>
      <c r="P255" s="9">
        <f>N255-O255</f>
        <v/>
      </c>
      <c r="Q255" s="186" t="n"/>
      <c r="R255" s="11">
        <f>'Jobs-Ops'!AL255</f>
        <v/>
      </c>
      <c r="S255" s="11">
        <f>'Jobs-GAAP'!AH255</f>
        <v/>
      </c>
      <c r="T255" s="11">
        <f>IFERROR(R255-S255,0)</f>
        <v/>
      </c>
      <c r="U255" s="8">
        <f>'Jobs-Ops'!AM255</f>
        <v/>
      </c>
      <c r="V255" s="8">
        <f>'Jobs-GAAP'!AI255</f>
        <v/>
      </c>
      <c r="W255" s="8">
        <f>IFERROR(U255-V255,0)</f>
        <v/>
      </c>
      <c r="X255" s="9">
        <f>'Jobs-Ops'!AN255</f>
        <v/>
      </c>
      <c r="Y255" s="9">
        <f>'Jobs-GAAP'!AJ255</f>
        <v/>
      </c>
      <c r="Z255" s="9">
        <f>IFERROR(X255-Y255,0)</f>
        <v/>
      </c>
      <c r="AA255" s="153">
        <f>'Jobs-Ops'!AO255</f>
        <v/>
      </c>
      <c r="AB255" s="187" t="n"/>
      <c r="AC255" s="186" t="n"/>
      <c r="AD255" s="186" t="n"/>
      <c r="AE255" s="188" t="n"/>
      <c r="AF255" s="187" t="n"/>
      <c r="AG255" s="187" t="n"/>
      <c r="AH255" s="186" t="n"/>
      <c r="AI255" s="186" t="n"/>
      <c r="AJ255" s="186" t="n"/>
      <c r="AK255" s="186" t="n"/>
      <c r="AL255" s="186" t="n"/>
      <c r="AM255" s="186" t="n"/>
      <c r="AN255" s="186" t="n"/>
      <c r="AO255" s="186" t="n"/>
      <c r="AP255" s="186" t="n"/>
      <c r="AQ255" s="186" t="n"/>
      <c r="AR255" s="186" t="n"/>
      <c r="AS255" s="186" t="n"/>
      <c r="AT255" s="186" t="n"/>
      <c r="AU255" s="186" t="n"/>
      <c r="AV255" s="186" t="n"/>
      <c r="AW255" s="186" t="n"/>
      <c r="AX255" s="186" t="n"/>
      <c r="AY255" s="186" t="n"/>
      <c r="AZ255" s="186" t="n"/>
      <c r="BA255" s="186" t="n"/>
      <c r="BB255" s="186" t="n"/>
      <c r="BC255" s="186" t="n"/>
      <c r="BD255" s="190" t="n"/>
      <c r="BE255" s="186" t="n"/>
      <c r="BF255" s="186" t="n"/>
      <c r="BG255" s="186" t="n"/>
      <c r="BH255" s="186" t="n"/>
      <c r="BI255" s="186" t="n"/>
      <c r="BJ255" s="187" t="n"/>
      <c r="BK255" s="192" t="n"/>
      <c r="BL255" s="192" t="n"/>
      <c r="BM255" s="192" t="n"/>
      <c r="BN255" s="192" t="n"/>
    </row>
    <row r="256">
      <c r="A256" s="289">
        <f> 'Jobs-Ops'!A256</f>
        <v/>
      </c>
      <c r="B256" s="290">
        <f>'Jobs-Ops'!B256</f>
        <v/>
      </c>
      <c r="C256" s="290">
        <f>'Jobs-Ops'!C256</f>
        <v/>
      </c>
      <c r="D256" s="179" t="n"/>
      <c r="E256" s="181">
        <f>'Jobs-Ops'!I256</f>
        <v/>
      </c>
      <c r="F256" s="205">
        <f>'Jobs-Ops'!U256</f>
        <v/>
      </c>
      <c r="G256" s="181">
        <f>'Jobs-GAAP'!J256</f>
        <v/>
      </c>
      <c r="H256" s="205">
        <f>'Jobs-GAAP'!V256</f>
        <v/>
      </c>
      <c r="I256" s="181">
        <f>E256-G256</f>
        <v/>
      </c>
      <c r="J256" s="9">
        <f>'Jobs-Ops'!P256</f>
        <v/>
      </c>
      <c r="K256" s="9">
        <f>'Jobs-GAAP'!Q256</f>
        <v/>
      </c>
      <c r="L256" s="9">
        <f>J256-K256</f>
        <v/>
      </c>
      <c r="M256" s="186" t="n"/>
      <c r="N256" s="9">
        <f>'Jobs-Ops'!Y256</f>
        <v/>
      </c>
      <c r="O256" s="9">
        <f>'Jobs-GAAP'!Y256</f>
        <v/>
      </c>
      <c r="P256" s="9">
        <f>N256-O256</f>
        <v/>
      </c>
      <c r="Q256" s="186" t="n"/>
      <c r="R256" s="11">
        <f>'Jobs-Ops'!AL256</f>
        <v/>
      </c>
      <c r="S256" s="11">
        <f>'Jobs-GAAP'!AH256</f>
        <v/>
      </c>
      <c r="T256" s="11">
        <f>IFERROR(R256-S256,0)</f>
        <v/>
      </c>
      <c r="U256" s="8">
        <f>'Jobs-Ops'!AM256</f>
        <v/>
      </c>
      <c r="V256" s="8">
        <f>'Jobs-GAAP'!AI256</f>
        <v/>
      </c>
      <c r="W256" s="8">
        <f>IFERROR(U256-V256,0)</f>
        <v/>
      </c>
      <c r="X256" s="9">
        <f>'Jobs-Ops'!AN256</f>
        <v/>
      </c>
      <c r="Y256" s="9">
        <f>'Jobs-GAAP'!AJ256</f>
        <v/>
      </c>
      <c r="Z256" s="9">
        <f>IFERROR(X256-Y256,0)</f>
        <v/>
      </c>
      <c r="AA256" s="153">
        <f>'Jobs-Ops'!AO256</f>
        <v/>
      </c>
      <c r="AB256" s="187" t="n"/>
      <c r="AC256" s="186" t="n"/>
      <c r="AD256" s="186" t="n"/>
      <c r="AE256" s="188" t="n"/>
      <c r="AF256" s="187" t="n"/>
      <c r="AG256" s="187" t="n"/>
      <c r="AH256" s="186" t="n"/>
      <c r="AI256" s="186" t="n"/>
      <c r="AJ256" s="186" t="n"/>
      <c r="AK256" s="186" t="n"/>
      <c r="AL256" s="186" t="n"/>
      <c r="AM256" s="186" t="n"/>
      <c r="AN256" s="186" t="n"/>
      <c r="AO256" s="186" t="n"/>
      <c r="AP256" s="186" t="n"/>
      <c r="AQ256" s="186" t="n"/>
      <c r="AR256" s="186" t="n"/>
      <c r="AS256" s="186" t="n"/>
      <c r="AT256" s="186" t="n"/>
      <c r="AU256" s="186" t="n"/>
      <c r="AV256" s="186" t="n"/>
      <c r="AW256" s="186" t="n"/>
      <c r="AX256" s="186" t="n"/>
      <c r="AY256" s="186" t="n"/>
      <c r="AZ256" s="186" t="n"/>
      <c r="BA256" s="186" t="n"/>
      <c r="BB256" s="186" t="n"/>
      <c r="BC256" s="186" t="n"/>
      <c r="BD256" s="190" t="n"/>
      <c r="BE256" s="186" t="n"/>
      <c r="BF256" s="186" t="n"/>
      <c r="BG256" s="186" t="n"/>
      <c r="BH256" s="186" t="n"/>
      <c r="BI256" s="186" t="n"/>
      <c r="BJ256" s="187" t="n"/>
      <c r="BK256" s="192" t="n"/>
      <c r="BL256" s="192" t="n"/>
      <c r="BM256" s="192" t="n"/>
      <c r="BN256" s="192" t="n"/>
    </row>
    <row r="257">
      <c r="A257" s="289">
        <f> 'Jobs-Ops'!A257</f>
        <v/>
      </c>
      <c r="B257" s="290">
        <f>'Jobs-Ops'!B257</f>
        <v/>
      </c>
      <c r="C257" s="290">
        <f>'Jobs-Ops'!C257</f>
        <v/>
      </c>
      <c r="D257" s="179" t="n"/>
      <c r="E257" s="181">
        <f>'Jobs-Ops'!I257</f>
        <v/>
      </c>
      <c r="F257" s="205">
        <f>'Jobs-Ops'!U257</f>
        <v/>
      </c>
      <c r="G257" s="181">
        <f>'Jobs-GAAP'!J257</f>
        <v/>
      </c>
      <c r="H257" s="205">
        <f>'Jobs-GAAP'!V257</f>
        <v/>
      </c>
      <c r="I257" s="181">
        <f>E257-G257</f>
        <v/>
      </c>
      <c r="J257" s="9">
        <f>'Jobs-Ops'!P257</f>
        <v/>
      </c>
      <c r="K257" s="9">
        <f>'Jobs-GAAP'!Q257</f>
        <v/>
      </c>
      <c r="L257" s="9">
        <f>J257-K257</f>
        <v/>
      </c>
      <c r="M257" s="186" t="n"/>
      <c r="N257" s="9">
        <f>'Jobs-Ops'!Y257</f>
        <v/>
      </c>
      <c r="O257" s="9">
        <f>'Jobs-GAAP'!Y257</f>
        <v/>
      </c>
      <c r="P257" s="9">
        <f>N257-O257</f>
        <v/>
      </c>
      <c r="Q257" s="186" t="n"/>
      <c r="R257" s="11">
        <f>'Jobs-Ops'!AL257</f>
        <v/>
      </c>
      <c r="S257" s="11">
        <f>'Jobs-GAAP'!AH257</f>
        <v/>
      </c>
      <c r="T257" s="11">
        <f>IFERROR(R257-S257,0)</f>
        <v/>
      </c>
      <c r="U257" s="8">
        <f>'Jobs-Ops'!AM257</f>
        <v/>
      </c>
      <c r="V257" s="8">
        <f>'Jobs-GAAP'!AI257</f>
        <v/>
      </c>
      <c r="W257" s="8">
        <f>IFERROR(U257-V257,0)</f>
        <v/>
      </c>
      <c r="X257" s="9">
        <f>'Jobs-Ops'!AN257</f>
        <v/>
      </c>
      <c r="Y257" s="9">
        <f>'Jobs-GAAP'!AJ257</f>
        <v/>
      </c>
      <c r="Z257" s="9">
        <f>IFERROR(X257-Y257,0)</f>
        <v/>
      </c>
      <c r="AA257" s="153">
        <f>'Jobs-Ops'!AO257</f>
        <v/>
      </c>
      <c r="AB257" s="187" t="n"/>
      <c r="AC257" s="186" t="n"/>
      <c r="AD257" s="186" t="n"/>
      <c r="AE257" s="188" t="n"/>
      <c r="AF257" s="187" t="n"/>
      <c r="AG257" s="187" t="n"/>
      <c r="AH257" s="186" t="n"/>
      <c r="AI257" s="186" t="n"/>
      <c r="AJ257" s="186" t="n"/>
      <c r="AK257" s="186" t="n"/>
      <c r="AL257" s="186" t="n"/>
      <c r="AM257" s="186" t="n"/>
      <c r="AN257" s="186" t="n"/>
      <c r="AO257" s="186" t="n"/>
      <c r="AP257" s="186" t="n"/>
      <c r="AQ257" s="186" t="n"/>
      <c r="AR257" s="186" t="n"/>
      <c r="AS257" s="186" t="n"/>
      <c r="AT257" s="186" t="n"/>
      <c r="AU257" s="186" t="n"/>
      <c r="AV257" s="186" t="n"/>
      <c r="AW257" s="186" t="n"/>
      <c r="AX257" s="186" t="n"/>
      <c r="AY257" s="186" t="n"/>
      <c r="AZ257" s="186" t="n"/>
      <c r="BA257" s="186" t="n"/>
      <c r="BB257" s="186" t="n"/>
      <c r="BC257" s="186" t="n"/>
      <c r="BD257" s="190" t="n"/>
      <c r="BE257" s="186" t="n"/>
      <c r="BF257" s="186" t="n"/>
      <c r="BG257" s="186" t="n"/>
      <c r="BH257" s="186" t="n"/>
      <c r="BI257" s="186" t="n"/>
      <c r="BJ257" s="187" t="n"/>
      <c r="BK257" s="192" t="n"/>
      <c r="BL257" s="192" t="n"/>
      <c r="BM257" s="192" t="n"/>
      <c r="BN257" s="192" t="n"/>
    </row>
    <row r="258">
      <c r="A258" s="289">
        <f> 'Jobs-Ops'!A258</f>
        <v/>
      </c>
      <c r="B258" s="290">
        <f>'Jobs-Ops'!B258</f>
        <v/>
      </c>
      <c r="C258" s="290">
        <f>'Jobs-Ops'!C258</f>
        <v/>
      </c>
      <c r="D258" s="179" t="n"/>
      <c r="E258" s="181">
        <f>'Jobs-Ops'!I258</f>
        <v/>
      </c>
      <c r="F258" s="205">
        <f>'Jobs-Ops'!U258</f>
        <v/>
      </c>
      <c r="G258" s="181">
        <f>'Jobs-GAAP'!J258</f>
        <v/>
      </c>
      <c r="H258" s="205">
        <f>'Jobs-GAAP'!V258</f>
        <v/>
      </c>
      <c r="I258" s="181">
        <f>E258-G258</f>
        <v/>
      </c>
      <c r="J258" s="9">
        <f>'Jobs-Ops'!P258</f>
        <v/>
      </c>
      <c r="K258" s="9">
        <f>'Jobs-GAAP'!Q258</f>
        <v/>
      </c>
      <c r="L258" s="9">
        <f>J258-K258</f>
        <v/>
      </c>
      <c r="M258" s="186" t="n"/>
      <c r="N258" s="9">
        <f>'Jobs-Ops'!Y258</f>
        <v/>
      </c>
      <c r="O258" s="9">
        <f>'Jobs-GAAP'!Y258</f>
        <v/>
      </c>
      <c r="P258" s="9">
        <f>N258-O258</f>
        <v/>
      </c>
      <c r="Q258" s="186" t="n"/>
      <c r="R258" s="11">
        <f>'Jobs-Ops'!AL258</f>
        <v/>
      </c>
      <c r="S258" s="11">
        <f>'Jobs-GAAP'!AH258</f>
        <v/>
      </c>
      <c r="T258" s="11">
        <f>IFERROR(R258-S258,0)</f>
        <v/>
      </c>
      <c r="U258" s="8">
        <f>'Jobs-Ops'!AM258</f>
        <v/>
      </c>
      <c r="V258" s="8">
        <f>'Jobs-GAAP'!AI258</f>
        <v/>
      </c>
      <c r="W258" s="8">
        <f>IFERROR(U258-V258,0)</f>
        <v/>
      </c>
      <c r="X258" s="9">
        <f>'Jobs-Ops'!AN258</f>
        <v/>
      </c>
      <c r="Y258" s="9">
        <f>'Jobs-GAAP'!AJ258</f>
        <v/>
      </c>
      <c r="Z258" s="9">
        <f>IFERROR(X258-Y258,0)</f>
        <v/>
      </c>
      <c r="AA258" s="153">
        <f>'Jobs-Ops'!AO258</f>
        <v/>
      </c>
      <c r="AB258" s="187" t="n"/>
      <c r="AC258" s="186" t="n"/>
      <c r="AD258" s="186" t="n"/>
      <c r="AE258" s="188" t="n"/>
      <c r="AF258" s="187" t="n"/>
      <c r="AG258" s="187" t="n"/>
      <c r="AH258" s="186" t="n"/>
      <c r="AI258" s="186" t="n"/>
      <c r="AJ258" s="186" t="n"/>
      <c r="AK258" s="186" t="n"/>
      <c r="AL258" s="186" t="n"/>
      <c r="AM258" s="186" t="n"/>
      <c r="AN258" s="186" t="n"/>
      <c r="AO258" s="186" t="n"/>
      <c r="AP258" s="186" t="n"/>
      <c r="AQ258" s="186" t="n"/>
      <c r="AR258" s="186" t="n"/>
      <c r="AS258" s="186" t="n"/>
      <c r="AT258" s="186" t="n"/>
      <c r="AU258" s="186" t="n"/>
      <c r="AV258" s="186" t="n"/>
      <c r="AW258" s="186" t="n"/>
      <c r="AX258" s="186" t="n"/>
      <c r="AY258" s="186" t="n"/>
      <c r="AZ258" s="186" t="n"/>
      <c r="BA258" s="186" t="n"/>
      <c r="BB258" s="186" t="n"/>
      <c r="BC258" s="186" t="n"/>
      <c r="BD258" s="190" t="n"/>
      <c r="BE258" s="186" t="n"/>
      <c r="BF258" s="186" t="n"/>
      <c r="BG258" s="186" t="n"/>
      <c r="BH258" s="186" t="n"/>
      <c r="BI258" s="186" t="n"/>
      <c r="BJ258" s="187" t="n"/>
      <c r="BK258" s="192" t="n"/>
      <c r="BL258" s="192" t="n"/>
      <c r="BM258" s="192" t="n"/>
      <c r="BN258" s="192" t="n"/>
    </row>
    <row r="259">
      <c r="A259" s="289">
        <f> 'Jobs-Ops'!A259</f>
        <v/>
      </c>
      <c r="B259" s="290">
        <f>'Jobs-Ops'!B259</f>
        <v/>
      </c>
      <c r="C259" s="290">
        <f>'Jobs-Ops'!C259</f>
        <v/>
      </c>
      <c r="D259" s="179" t="n"/>
      <c r="E259" s="181">
        <f>'Jobs-Ops'!I259</f>
        <v/>
      </c>
      <c r="F259" s="205">
        <f>'Jobs-Ops'!U259</f>
        <v/>
      </c>
      <c r="G259" s="181">
        <f>'Jobs-GAAP'!J259</f>
        <v/>
      </c>
      <c r="H259" s="205">
        <f>'Jobs-GAAP'!V259</f>
        <v/>
      </c>
      <c r="I259" s="181">
        <f>E259-G259</f>
        <v/>
      </c>
      <c r="J259" s="9">
        <f>'Jobs-Ops'!P259</f>
        <v/>
      </c>
      <c r="K259" s="9">
        <f>'Jobs-GAAP'!Q259</f>
        <v/>
      </c>
      <c r="L259" s="9">
        <f>J259-K259</f>
        <v/>
      </c>
      <c r="M259" s="186" t="n"/>
      <c r="N259" s="9">
        <f>'Jobs-Ops'!Y259</f>
        <v/>
      </c>
      <c r="O259" s="9">
        <f>'Jobs-GAAP'!Y259</f>
        <v/>
      </c>
      <c r="P259" s="9">
        <f>N259-O259</f>
        <v/>
      </c>
      <c r="Q259" s="186" t="n"/>
      <c r="R259" s="11">
        <f>'Jobs-Ops'!AL259</f>
        <v/>
      </c>
      <c r="S259" s="11">
        <f>'Jobs-GAAP'!AH259</f>
        <v/>
      </c>
      <c r="T259" s="11">
        <f>IFERROR(R259-S259,0)</f>
        <v/>
      </c>
      <c r="U259" s="8">
        <f>'Jobs-Ops'!AM259</f>
        <v/>
      </c>
      <c r="V259" s="8">
        <f>'Jobs-GAAP'!AI259</f>
        <v/>
      </c>
      <c r="W259" s="8">
        <f>IFERROR(U259-V259,0)</f>
        <v/>
      </c>
      <c r="X259" s="9">
        <f>'Jobs-Ops'!AN259</f>
        <v/>
      </c>
      <c r="Y259" s="9">
        <f>'Jobs-GAAP'!AJ259</f>
        <v/>
      </c>
      <c r="Z259" s="9">
        <f>IFERROR(X259-Y259,0)</f>
        <v/>
      </c>
      <c r="AA259" s="153">
        <f>'Jobs-Ops'!AO259</f>
        <v/>
      </c>
      <c r="AB259" s="187" t="n"/>
      <c r="AC259" s="186" t="n"/>
      <c r="AD259" s="186" t="n"/>
      <c r="AE259" s="188" t="n"/>
      <c r="AF259" s="187" t="n"/>
      <c r="AG259" s="187" t="n"/>
      <c r="AH259" s="186" t="n"/>
      <c r="AI259" s="186" t="n"/>
      <c r="AJ259" s="186" t="n"/>
      <c r="AK259" s="186" t="n"/>
      <c r="AL259" s="186" t="n"/>
      <c r="AM259" s="186" t="n"/>
      <c r="AN259" s="186" t="n"/>
      <c r="AO259" s="186" t="n"/>
      <c r="AP259" s="186" t="n"/>
      <c r="AQ259" s="186" t="n"/>
      <c r="AR259" s="186" t="n"/>
      <c r="AS259" s="186" t="n"/>
      <c r="AT259" s="186" t="n"/>
      <c r="AU259" s="186" t="n"/>
      <c r="AV259" s="186" t="n"/>
      <c r="AW259" s="186" t="n"/>
      <c r="AX259" s="186" t="n"/>
      <c r="AY259" s="186" t="n"/>
      <c r="AZ259" s="186" t="n"/>
      <c r="BA259" s="186" t="n"/>
      <c r="BB259" s="186" t="n"/>
      <c r="BC259" s="186" t="n"/>
      <c r="BD259" s="190" t="n"/>
      <c r="BE259" s="186" t="n"/>
      <c r="BF259" s="186" t="n"/>
      <c r="BG259" s="186" t="n"/>
      <c r="BH259" s="186" t="n"/>
      <c r="BI259" s="186" t="n"/>
      <c r="BJ259" s="187" t="n"/>
      <c r="BK259" s="192" t="n"/>
      <c r="BL259" s="192" t="n"/>
      <c r="BM259" s="192" t="n"/>
      <c r="BN259" s="192" t="n"/>
    </row>
    <row r="260">
      <c r="A260" s="289">
        <f> 'Jobs-Ops'!A260</f>
        <v/>
      </c>
      <c r="B260" s="290">
        <f>'Jobs-Ops'!B260</f>
        <v/>
      </c>
      <c r="C260" s="290">
        <f>'Jobs-Ops'!C260</f>
        <v/>
      </c>
      <c r="D260" s="179" t="n"/>
      <c r="E260" s="181">
        <f>'Jobs-Ops'!I260</f>
        <v/>
      </c>
      <c r="F260" s="205">
        <f>'Jobs-Ops'!U260</f>
        <v/>
      </c>
      <c r="G260" s="181">
        <f>'Jobs-GAAP'!J260</f>
        <v/>
      </c>
      <c r="H260" s="205">
        <f>'Jobs-GAAP'!V260</f>
        <v/>
      </c>
      <c r="I260" s="181">
        <f>E260-G260</f>
        <v/>
      </c>
      <c r="J260" s="9">
        <f>'Jobs-Ops'!P260</f>
        <v/>
      </c>
      <c r="K260" s="9">
        <f>'Jobs-GAAP'!Q260</f>
        <v/>
      </c>
      <c r="L260" s="9">
        <f>J260-K260</f>
        <v/>
      </c>
      <c r="M260" s="186" t="n"/>
      <c r="N260" s="9">
        <f>'Jobs-Ops'!Y260</f>
        <v/>
      </c>
      <c r="O260" s="9">
        <f>'Jobs-GAAP'!Y260</f>
        <v/>
      </c>
      <c r="P260" s="9">
        <f>N260-O260</f>
        <v/>
      </c>
      <c r="Q260" s="186" t="n"/>
      <c r="R260" s="11">
        <f>'Jobs-Ops'!AL260</f>
        <v/>
      </c>
      <c r="S260" s="11">
        <f>'Jobs-GAAP'!AH260</f>
        <v/>
      </c>
      <c r="T260" s="11">
        <f>IFERROR(R260-S260,0)</f>
        <v/>
      </c>
      <c r="U260" s="8">
        <f>'Jobs-Ops'!AM260</f>
        <v/>
      </c>
      <c r="V260" s="8">
        <f>'Jobs-GAAP'!AI260</f>
        <v/>
      </c>
      <c r="W260" s="8">
        <f>IFERROR(U260-V260,0)</f>
        <v/>
      </c>
      <c r="X260" s="9">
        <f>'Jobs-Ops'!AN260</f>
        <v/>
      </c>
      <c r="Y260" s="9">
        <f>'Jobs-GAAP'!AJ260</f>
        <v/>
      </c>
      <c r="Z260" s="9">
        <f>IFERROR(X260-Y260,0)</f>
        <v/>
      </c>
      <c r="AA260" s="153">
        <f>'Jobs-Ops'!AO260</f>
        <v/>
      </c>
      <c r="AB260" s="187" t="n"/>
      <c r="AC260" s="186" t="n"/>
      <c r="AD260" s="186" t="n"/>
      <c r="AE260" s="188" t="n"/>
      <c r="AF260" s="187" t="n"/>
      <c r="AG260" s="187" t="n"/>
      <c r="AH260" s="186" t="n"/>
      <c r="AI260" s="186" t="n"/>
      <c r="AJ260" s="186" t="n"/>
      <c r="AK260" s="186" t="n"/>
      <c r="AL260" s="186" t="n"/>
      <c r="AM260" s="186" t="n"/>
      <c r="AN260" s="186" t="n"/>
      <c r="AO260" s="186" t="n"/>
      <c r="AP260" s="186" t="n"/>
      <c r="AQ260" s="186" t="n"/>
      <c r="AR260" s="186" t="n"/>
      <c r="AS260" s="186" t="n"/>
      <c r="AT260" s="186" t="n"/>
      <c r="AU260" s="186" t="n"/>
      <c r="AV260" s="186" t="n"/>
      <c r="AW260" s="186" t="n"/>
      <c r="AX260" s="186" t="n"/>
      <c r="AY260" s="186" t="n"/>
      <c r="AZ260" s="186" t="n"/>
      <c r="BA260" s="186" t="n"/>
      <c r="BB260" s="186" t="n"/>
      <c r="BC260" s="186" t="n"/>
      <c r="BD260" s="190" t="n"/>
      <c r="BE260" s="186" t="n"/>
      <c r="BF260" s="186" t="n"/>
      <c r="BG260" s="186" t="n"/>
      <c r="BH260" s="186" t="n"/>
      <c r="BI260" s="186" t="n"/>
      <c r="BJ260" s="187" t="n"/>
      <c r="BK260" s="192" t="n"/>
      <c r="BL260" s="192" t="n"/>
      <c r="BM260" s="192" t="n"/>
      <c r="BN260" s="192" t="n"/>
    </row>
    <row r="261">
      <c r="A261" s="289">
        <f> 'Jobs-Ops'!A261</f>
        <v/>
      </c>
      <c r="B261" s="290">
        <f>'Jobs-Ops'!B261</f>
        <v/>
      </c>
      <c r="C261" s="290">
        <f>'Jobs-Ops'!C261</f>
        <v/>
      </c>
      <c r="D261" s="179" t="n"/>
      <c r="E261" s="181">
        <f>'Jobs-Ops'!I261</f>
        <v/>
      </c>
      <c r="F261" s="205">
        <f>'Jobs-Ops'!U261</f>
        <v/>
      </c>
      <c r="G261" s="181">
        <f>'Jobs-GAAP'!J261</f>
        <v/>
      </c>
      <c r="H261" s="205">
        <f>'Jobs-GAAP'!V261</f>
        <v/>
      </c>
      <c r="I261" s="181">
        <f>E261-G261</f>
        <v/>
      </c>
      <c r="J261" s="9">
        <f>'Jobs-Ops'!P261</f>
        <v/>
      </c>
      <c r="K261" s="9">
        <f>'Jobs-GAAP'!Q261</f>
        <v/>
      </c>
      <c r="L261" s="9">
        <f>J261-K261</f>
        <v/>
      </c>
      <c r="M261" s="186" t="n"/>
      <c r="N261" s="9">
        <f>'Jobs-Ops'!Y261</f>
        <v/>
      </c>
      <c r="O261" s="9">
        <f>'Jobs-GAAP'!Y261</f>
        <v/>
      </c>
      <c r="P261" s="9">
        <f>N261-O261</f>
        <v/>
      </c>
      <c r="Q261" s="186" t="n"/>
      <c r="R261" s="11">
        <f>'Jobs-Ops'!AL261</f>
        <v/>
      </c>
      <c r="S261" s="11">
        <f>'Jobs-GAAP'!AH261</f>
        <v/>
      </c>
      <c r="T261" s="11">
        <f>IFERROR(R261-S261,0)</f>
        <v/>
      </c>
      <c r="U261" s="8">
        <f>'Jobs-Ops'!AM261</f>
        <v/>
      </c>
      <c r="V261" s="8">
        <f>'Jobs-GAAP'!AI261</f>
        <v/>
      </c>
      <c r="W261" s="8">
        <f>IFERROR(U261-V261,0)</f>
        <v/>
      </c>
      <c r="X261" s="9">
        <f>'Jobs-Ops'!AN261</f>
        <v/>
      </c>
      <c r="Y261" s="9">
        <f>'Jobs-GAAP'!AJ261</f>
        <v/>
      </c>
      <c r="Z261" s="9">
        <f>IFERROR(X261-Y261,0)</f>
        <v/>
      </c>
      <c r="AA261" s="153">
        <f>'Jobs-Ops'!AO261</f>
        <v/>
      </c>
      <c r="AB261" s="187" t="n"/>
      <c r="AC261" s="186" t="n"/>
      <c r="AD261" s="186" t="n"/>
      <c r="AE261" s="188" t="n"/>
      <c r="AF261" s="187" t="n"/>
      <c r="AG261" s="187" t="n"/>
      <c r="AH261" s="186" t="n"/>
      <c r="AI261" s="186" t="n"/>
      <c r="AJ261" s="186" t="n"/>
      <c r="AK261" s="186" t="n"/>
      <c r="AL261" s="186" t="n"/>
      <c r="AM261" s="186" t="n"/>
      <c r="AN261" s="186" t="n"/>
      <c r="AO261" s="186" t="n"/>
      <c r="AP261" s="186" t="n"/>
      <c r="AQ261" s="186" t="n"/>
      <c r="AR261" s="186" t="n"/>
      <c r="AS261" s="186" t="n"/>
      <c r="AT261" s="186" t="n"/>
      <c r="AU261" s="186" t="n"/>
      <c r="AV261" s="186" t="n"/>
      <c r="AW261" s="186" t="n"/>
      <c r="AX261" s="186" t="n"/>
      <c r="AY261" s="186" t="n"/>
      <c r="AZ261" s="186" t="n"/>
      <c r="BA261" s="186" t="n"/>
      <c r="BB261" s="186" t="n"/>
      <c r="BC261" s="186" t="n"/>
      <c r="BD261" s="190" t="n"/>
      <c r="BE261" s="186" t="n"/>
      <c r="BF261" s="186" t="n"/>
      <c r="BG261" s="186" t="n"/>
      <c r="BH261" s="186" t="n"/>
      <c r="BI261" s="186" t="n"/>
      <c r="BJ261" s="187" t="n"/>
      <c r="BK261" s="192" t="n"/>
      <c r="BL261" s="192" t="n"/>
      <c r="BM261" s="192" t="n"/>
      <c r="BN261" s="192" t="n"/>
    </row>
    <row r="262">
      <c r="A262" s="289">
        <f> 'Jobs-Ops'!A262</f>
        <v/>
      </c>
      <c r="B262" s="290">
        <f>'Jobs-Ops'!B262</f>
        <v/>
      </c>
      <c r="C262" s="290">
        <f>'Jobs-Ops'!C262</f>
        <v/>
      </c>
      <c r="D262" s="179" t="n"/>
      <c r="E262" s="181">
        <f>'Jobs-Ops'!I262</f>
        <v/>
      </c>
      <c r="F262" s="205">
        <f>'Jobs-Ops'!U262</f>
        <v/>
      </c>
      <c r="G262" s="181">
        <f>'Jobs-GAAP'!J262</f>
        <v/>
      </c>
      <c r="H262" s="205">
        <f>'Jobs-GAAP'!V262</f>
        <v/>
      </c>
      <c r="I262" s="181">
        <f>E262-G262</f>
        <v/>
      </c>
      <c r="J262" s="9">
        <f>'Jobs-Ops'!P262</f>
        <v/>
      </c>
      <c r="K262" s="9">
        <f>'Jobs-GAAP'!Q262</f>
        <v/>
      </c>
      <c r="L262" s="9">
        <f>J262-K262</f>
        <v/>
      </c>
      <c r="M262" s="186" t="n"/>
      <c r="N262" s="9">
        <f>'Jobs-Ops'!Y262</f>
        <v/>
      </c>
      <c r="O262" s="9">
        <f>'Jobs-GAAP'!Y262</f>
        <v/>
      </c>
      <c r="P262" s="9">
        <f>N262-O262</f>
        <v/>
      </c>
      <c r="Q262" s="186" t="n"/>
      <c r="R262" s="11">
        <f>'Jobs-Ops'!AL262</f>
        <v/>
      </c>
      <c r="S262" s="11">
        <f>'Jobs-GAAP'!AH262</f>
        <v/>
      </c>
      <c r="T262" s="11">
        <f>IFERROR(R262-S262,0)</f>
        <v/>
      </c>
      <c r="U262" s="8">
        <f>'Jobs-Ops'!AM262</f>
        <v/>
      </c>
      <c r="V262" s="8">
        <f>'Jobs-GAAP'!AI262</f>
        <v/>
      </c>
      <c r="W262" s="8">
        <f>IFERROR(U262-V262,0)</f>
        <v/>
      </c>
      <c r="X262" s="9">
        <f>'Jobs-Ops'!AN262</f>
        <v/>
      </c>
      <c r="Y262" s="9">
        <f>'Jobs-GAAP'!AJ262</f>
        <v/>
      </c>
      <c r="Z262" s="9">
        <f>IFERROR(X262-Y262,0)</f>
        <v/>
      </c>
      <c r="AA262" s="153">
        <f>'Jobs-Ops'!AO262</f>
        <v/>
      </c>
      <c r="AB262" s="187" t="n"/>
      <c r="AC262" s="186" t="n"/>
      <c r="AD262" s="186" t="n"/>
      <c r="AE262" s="188" t="n"/>
      <c r="AF262" s="187" t="n"/>
      <c r="AG262" s="187" t="n"/>
      <c r="AH262" s="186" t="n"/>
      <c r="AI262" s="186" t="n"/>
      <c r="AJ262" s="186" t="n"/>
      <c r="AK262" s="186" t="n"/>
      <c r="AL262" s="186" t="n"/>
      <c r="AM262" s="186" t="n"/>
      <c r="AN262" s="186" t="n"/>
      <c r="AO262" s="186" t="n"/>
      <c r="AP262" s="186" t="n"/>
      <c r="AQ262" s="186" t="n"/>
      <c r="AR262" s="186" t="n"/>
      <c r="AS262" s="186" t="n"/>
      <c r="AT262" s="186" t="n"/>
      <c r="AU262" s="186" t="n"/>
      <c r="AV262" s="186" t="n"/>
      <c r="AW262" s="186" t="n"/>
      <c r="AX262" s="186" t="n"/>
      <c r="AY262" s="186" t="n"/>
      <c r="AZ262" s="186" t="n"/>
      <c r="BA262" s="186" t="n"/>
      <c r="BB262" s="186" t="n"/>
      <c r="BC262" s="186" t="n"/>
      <c r="BD262" s="190" t="n"/>
      <c r="BE262" s="186" t="n"/>
      <c r="BF262" s="186" t="n"/>
      <c r="BG262" s="186" t="n"/>
      <c r="BH262" s="186" t="n"/>
      <c r="BI262" s="186" t="n"/>
      <c r="BJ262" s="187" t="n"/>
      <c r="BK262" s="192" t="n"/>
      <c r="BL262" s="192" t="n"/>
      <c r="BM262" s="192" t="n"/>
      <c r="BN262" s="192" t="n"/>
    </row>
    <row r="263">
      <c r="A263" s="289">
        <f> 'Jobs-Ops'!A263</f>
        <v/>
      </c>
      <c r="B263" s="290">
        <f>'Jobs-Ops'!B263</f>
        <v/>
      </c>
      <c r="C263" s="290">
        <f>'Jobs-Ops'!C263</f>
        <v/>
      </c>
      <c r="D263" s="179" t="n"/>
      <c r="E263" s="181">
        <f>'Jobs-Ops'!I263</f>
        <v/>
      </c>
      <c r="F263" s="205">
        <f>'Jobs-Ops'!U263</f>
        <v/>
      </c>
      <c r="G263" s="181">
        <f>'Jobs-GAAP'!J263</f>
        <v/>
      </c>
      <c r="H263" s="205">
        <f>'Jobs-GAAP'!V263</f>
        <v/>
      </c>
      <c r="I263" s="181">
        <f>E263-G263</f>
        <v/>
      </c>
      <c r="J263" s="9">
        <f>'Jobs-Ops'!P263</f>
        <v/>
      </c>
      <c r="K263" s="9">
        <f>'Jobs-GAAP'!Q263</f>
        <v/>
      </c>
      <c r="L263" s="9">
        <f>J263-K263</f>
        <v/>
      </c>
      <c r="M263" s="186" t="n"/>
      <c r="N263" s="9">
        <f>'Jobs-Ops'!Y263</f>
        <v/>
      </c>
      <c r="O263" s="9">
        <f>'Jobs-GAAP'!Y263</f>
        <v/>
      </c>
      <c r="P263" s="9">
        <f>N263-O263</f>
        <v/>
      </c>
      <c r="Q263" s="186" t="n"/>
      <c r="R263" s="11">
        <f>'Jobs-Ops'!AL263</f>
        <v/>
      </c>
      <c r="S263" s="11">
        <f>'Jobs-GAAP'!AH263</f>
        <v/>
      </c>
      <c r="T263" s="11">
        <f>IFERROR(R263-S263,0)</f>
        <v/>
      </c>
      <c r="U263" s="8">
        <f>'Jobs-Ops'!AM263</f>
        <v/>
      </c>
      <c r="V263" s="8">
        <f>'Jobs-GAAP'!AI263</f>
        <v/>
      </c>
      <c r="W263" s="8">
        <f>IFERROR(U263-V263,0)</f>
        <v/>
      </c>
      <c r="X263" s="9">
        <f>'Jobs-Ops'!AN263</f>
        <v/>
      </c>
      <c r="Y263" s="9">
        <f>'Jobs-GAAP'!AJ263</f>
        <v/>
      </c>
      <c r="Z263" s="9">
        <f>IFERROR(X263-Y263,0)</f>
        <v/>
      </c>
      <c r="AA263" s="153">
        <f>'Jobs-Ops'!AO263</f>
        <v/>
      </c>
      <c r="AB263" s="187" t="n"/>
      <c r="AC263" s="186" t="n"/>
      <c r="AD263" s="186" t="n"/>
      <c r="AE263" s="188" t="n"/>
      <c r="AF263" s="187" t="n"/>
      <c r="AG263" s="187" t="n"/>
      <c r="AH263" s="186" t="n"/>
      <c r="AI263" s="186" t="n"/>
      <c r="AJ263" s="186" t="n"/>
      <c r="AK263" s="186" t="n"/>
      <c r="AL263" s="186" t="n"/>
      <c r="AM263" s="186" t="n"/>
      <c r="AN263" s="186" t="n"/>
      <c r="AO263" s="186" t="n"/>
      <c r="AP263" s="186" t="n"/>
      <c r="AQ263" s="186" t="n"/>
      <c r="AR263" s="186" t="n"/>
      <c r="AS263" s="186" t="n"/>
      <c r="AT263" s="186" t="n"/>
      <c r="AU263" s="186" t="n"/>
      <c r="AV263" s="186" t="n"/>
      <c r="AW263" s="186" t="n"/>
      <c r="AX263" s="186" t="n"/>
      <c r="AY263" s="186" t="n"/>
      <c r="AZ263" s="186" t="n"/>
      <c r="BA263" s="186" t="n"/>
      <c r="BB263" s="186" t="n"/>
      <c r="BC263" s="186" t="n"/>
      <c r="BD263" s="190" t="n"/>
      <c r="BE263" s="186" t="n"/>
      <c r="BF263" s="186" t="n"/>
      <c r="BG263" s="186" t="n"/>
      <c r="BH263" s="186" t="n"/>
      <c r="BI263" s="186" t="n"/>
      <c r="BJ263" s="187" t="n"/>
      <c r="BK263" s="192" t="n"/>
      <c r="BL263" s="192" t="n"/>
      <c r="BM263" s="192" t="n"/>
      <c r="BN263" s="192" t="n"/>
    </row>
    <row r="264">
      <c r="A264" s="289">
        <f> 'Jobs-Ops'!A264</f>
        <v/>
      </c>
      <c r="B264" s="290">
        <f>'Jobs-Ops'!B264</f>
        <v/>
      </c>
      <c r="C264" s="290">
        <f>'Jobs-Ops'!C264</f>
        <v/>
      </c>
      <c r="D264" s="179" t="n"/>
      <c r="E264" s="181">
        <f>'Jobs-Ops'!I264</f>
        <v/>
      </c>
      <c r="F264" s="205">
        <f>'Jobs-Ops'!U264</f>
        <v/>
      </c>
      <c r="G264" s="181">
        <f>'Jobs-GAAP'!J264</f>
        <v/>
      </c>
      <c r="H264" s="205">
        <f>'Jobs-GAAP'!V264</f>
        <v/>
      </c>
      <c r="I264" s="181">
        <f>E264-G264</f>
        <v/>
      </c>
      <c r="J264" s="9">
        <f>'Jobs-Ops'!P264</f>
        <v/>
      </c>
      <c r="K264" s="9">
        <f>'Jobs-GAAP'!Q264</f>
        <v/>
      </c>
      <c r="L264" s="9">
        <f>J264-K264</f>
        <v/>
      </c>
      <c r="M264" s="186" t="n"/>
      <c r="N264" s="9">
        <f>'Jobs-Ops'!Y264</f>
        <v/>
      </c>
      <c r="O264" s="9">
        <f>'Jobs-GAAP'!Y264</f>
        <v/>
      </c>
      <c r="P264" s="9">
        <f>N264-O264</f>
        <v/>
      </c>
      <c r="Q264" s="186" t="n"/>
      <c r="R264" s="11">
        <f>'Jobs-Ops'!AL264</f>
        <v/>
      </c>
      <c r="S264" s="11">
        <f>'Jobs-GAAP'!AH264</f>
        <v/>
      </c>
      <c r="T264" s="11">
        <f>IFERROR(R264-S264,0)</f>
        <v/>
      </c>
      <c r="U264" s="8">
        <f>'Jobs-Ops'!AM264</f>
        <v/>
      </c>
      <c r="V264" s="8">
        <f>'Jobs-GAAP'!AI264</f>
        <v/>
      </c>
      <c r="W264" s="8">
        <f>IFERROR(U264-V264,0)</f>
        <v/>
      </c>
      <c r="X264" s="9">
        <f>'Jobs-Ops'!AN264</f>
        <v/>
      </c>
      <c r="Y264" s="9">
        <f>'Jobs-GAAP'!AJ264</f>
        <v/>
      </c>
      <c r="Z264" s="9">
        <f>IFERROR(X264-Y264,0)</f>
        <v/>
      </c>
      <c r="AA264" s="153">
        <f>'Jobs-Ops'!AO264</f>
        <v/>
      </c>
      <c r="AB264" s="187" t="n"/>
      <c r="AC264" s="186" t="n"/>
      <c r="AD264" s="186" t="n"/>
      <c r="AE264" s="188" t="n"/>
      <c r="AF264" s="187" t="n"/>
      <c r="AG264" s="187" t="n"/>
      <c r="AH264" s="186" t="n"/>
      <c r="AI264" s="186" t="n"/>
      <c r="AJ264" s="186" t="n"/>
      <c r="AK264" s="186" t="n"/>
      <c r="AL264" s="186" t="n"/>
      <c r="AM264" s="186" t="n"/>
      <c r="AN264" s="186" t="n"/>
      <c r="AO264" s="186" t="n"/>
      <c r="AP264" s="186" t="n"/>
      <c r="AQ264" s="186" t="n"/>
      <c r="AR264" s="186" t="n"/>
      <c r="AS264" s="186" t="n"/>
      <c r="AT264" s="186" t="n"/>
      <c r="AU264" s="186" t="n"/>
      <c r="AV264" s="186" t="n"/>
      <c r="AW264" s="186" t="n"/>
      <c r="AX264" s="186" t="n"/>
      <c r="AY264" s="186" t="n"/>
      <c r="AZ264" s="186" t="n"/>
      <c r="BA264" s="186" t="n"/>
      <c r="BB264" s="186" t="n"/>
      <c r="BC264" s="186" t="n"/>
      <c r="BD264" s="190" t="n"/>
      <c r="BE264" s="186" t="n"/>
      <c r="BF264" s="186" t="n"/>
      <c r="BG264" s="186" t="n"/>
      <c r="BH264" s="186" t="n"/>
      <c r="BI264" s="186" t="n"/>
      <c r="BJ264" s="187" t="n"/>
      <c r="BK264" s="192" t="n"/>
      <c r="BL264" s="192" t="n"/>
      <c r="BM264" s="192" t="n"/>
      <c r="BN264" s="192" t="n"/>
    </row>
    <row r="265">
      <c r="A265" s="289">
        <f> 'Jobs-Ops'!A265</f>
        <v/>
      </c>
      <c r="B265" s="290">
        <f>'Jobs-Ops'!B265</f>
        <v/>
      </c>
      <c r="C265" s="290">
        <f>'Jobs-Ops'!C265</f>
        <v/>
      </c>
      <c r="D265" s="179" t="n"/>
      <c r="E265" s="181">
        <f>'Jobs-Ops'!I265</f>
        <v/>
      </c>
      <c r="F265" s="205">
        <f>'Jobs-Ops'!U265</f>
        <v/>
      </c>
      <c r="G265" s="181">
        <f>'Jobs-GAAP'!J265</f>
        <v/>
      </c>
      <c r="H265" s="205">
        <f>'Jobs-GAAP'!V265</f>
        <v/>
      </c>
      <c r="I265" s="181">
        <f>E265-G265</f>
        <v/>
      </c>
      <c r="J265" s="9">
        <f>'Jobs-Ops'!P265</f>
        <v/>
      </c>
      <c r="K265" s="9">
        <f>'Jobs-GAAP'!Q265</f>
        <v/>
      </c>
      <c r="L265" s="9">
        <f>J265-K265</f>
        <v/>
      </c>
      <c r="M265" s="186" t="n"/>
      <c r="N265" s="9">
        <f>'Jobs-Ops'!Y265</f>
        <v/>
      </c>
      <c r="O265" s="9">
        <f>'Jobs-GAAP'!Y265</f>
        <v/>
      </c>
      <c r="P265" s="9">
        <f>N265-O265</f>
        <v/>
      </c>
      <c r="Q265" s="186" t="n"/>
      <c r="R265" s="11">
        <f>'Jobs-Ops'!AL265</f>
        <v/>
      </c>
      <c r="S265" s="11">
        <f>'Jobs-GAAP'!AH265</f>
        <v/>
      </c>
      <c r="T265" s="11">
        <f>IFERROR(R265-S265,0)</f>
        <v/>
      </c>
      <c r="U265" s="8">
        <f>'Jobs-Ops'!AM265</f>
        <v/>
      </c>
      <c r="V265" s="8">
        <f>'Jobs-GAAP'!AI265</f>
        <v/>
      </c>
      <c r="W265" s="8">
        <f>IFERROR(U265-V265,0)</f>
        <v/>
      </c>
      <c r="X265" s="9">
        <f>'Jobs-Ops'!AN265</f>
        <v/>
      </c>
      <c r="Y265" s="9">
        <f>'Jobs-GAAP'!AJ265</f>
        <v/>
      </c>
      <c r="Z265" s="9">
        <f>IFERROR(X265-Y265,0)</f>
        <v/>
      </c>
      <c r="AA265" s="153">
        <f>'Jobs-Ops'!AO265</f>
        <v/>
      </c>
      <c r="AB265" s="187" t="n"/>
      <c r="AC265" s="186" t="n"/>
      <c r="AD265" s="186" t="n"/>
      <c r="AE265" s="188" t="n"/>
      <c r="AF265" s="187" t="n"/>
      <c r="AG265" s="187" t="n"/>
      <c r="AH265" s="186" t="n"/>
      <c r="AI265" s="186" t="n"/>
      <c r="AJ265" s="186" t="n"/>
      <c r="AK265" s="186" t="n"/>
      <c r="AL265" s="186" t="n"/>
      <c r="AM265" s="186" t="n"/>
      <c r="AN265" s="186" t="n"/>
      <c r="AO265" s="186" t="n"/>
      <c r="AP265" s="186" t="n"/>
      <c r="AQ265" s="186" t="n"/>
      <c r="AR265" s="186" t="n"/>
      <c r="AS265" s="186" t="n"/>
      <c r="AT265" s="186" t="n"/>
      <c r="AU265" s="186" t="n"/>
      <c r="AV265" s="186" t="n"/>
      <c r="AW265" s="186" t="n"/>
      <c r="AX265" s="186" t="n"/>
      <c r="AY265" s="186" t="n"/>
      <c r="AZ265" s="186" t="n"/>
      <c r="BA265" s="186" t="n"/>
      <c r="BB265" s="186" t="n"/>
      <c r="BC265" s="186" t="n"/>
      <c r="BD265" s="190" t="n"/>
      <c r="BE265" s="186" t="n"/>
      <c r="BF265" s="186" t="n"/>
      <c r="BG265" s="186" t="n"/>
      <c r="BH265" s="186" t="n"/>
      <c r="BI265" s="186" t="n"/>
      <c r="BJ265" s="187" t="n"/>
      <c r="BK265" s="192" t="n"/>
      <c r="BL265" s="192" t="n"/>
      <c r="BM265" s="192" t="n"/>
      <c r="BN265" s="192" t="n"/>
    </row>
    <row r="266">
      <c r="A266" s="289">
        <f> 'Jobs-Ops'!A266</f>
        <v/>
      </c>
      <c r="B266" s="290">
        <f>'Jobs-Ops'!B266</f>
        <v/>
      </c>
      <c r="C266" s="290">
        <f>'Jobs-Ops'!C266</f>
        <v/>
      </c>
      <c r="D266" s="179" t="n"/>
      <c r="E266" s="181">
        <f>'Jobs-Ops'!I266</f>
        <v/>
      </c>
      <c r="F266" s="205">
        <f>'Jobs-Ops'!U266</f>
        <v/>
      </c>
      <c r="G266" s="181">
        <f>'Jobs-GAAP'!J266</f>
        <v/>
      </c>
      <c r="H266" s="205">
        <f>'Jobs-GAAP'!V266</f>
        <v/>
      </c>
      <c r="I266" s="181">
        <f>E266-G266</f>
        <v/>
      </c>
      <c r="J266" s="9">
        <f>'Jobs-Ops'!P266</f>
        <v/>
      </c>
      <c r="K266" s="9">
        <f>'Jobs-GAAP'!Q266</f>
        <v/>
      </c>
      <c r="L266" s="9">
        <f>J266-K266</f>
        <v/>
      </c>
      <c r="M266" s="186" t="n"/>
      <c r="N266" s="9">
        <f>'Jobs-Ops'!Y266</f>
        <v/>
      </c>
      <c r="O266" s="9">
        <f>'Jobs-GAAP'!Y266</f>
        <v/>
      </c>
      <c r="P266" s="9">
        <f>N266-O266</f>
        <v/>
      </c>
      <c r="Q266" s="186" t="n"/>
      <c r="R266" s="11">
        <f>'Jobs-Ops'!AL266</f>
        <v/>
      </c>
      <c r="S266" s="11">
        <f>'Jobs-GAAP'!AH266</f>
        <v/>
      </c>
      <c r="T266" s="11">
        <f>IFERROR(R266-S266,0)</f>
        <v/>
      </c>
      <c r="U266" s="8">
        <f>'Jobs-Ops'!AM266</f>
        <v/>
      </c>
      <c r="V266" s="8">
        <f>'Jobs-GAAP'!AI266</f>
        <v/>
      </c>
      <c r="W266" s="8">
        <f>IFERROR(U266-V266,0)</f>
        <v/>
      </c>
      <c r="X266" s="9">
        <f>'Jobs-Ops'!AN266</f>
        <v/>
      </c>
      <c r="Y266" s="9">
        <f>'Jobs-GAAP'!AJ266</f>
        <v/>
      </c>
      <c r="Z266" s="9">
        <f>IFERROR(X266-Y266,0)</f>
        <v/>
      </c>
      <c r="AA266" s="153">
        <f>'Jobs-Ops'!AO266</f>
        <v/>
      </c>
      <c r="AB266" s="187" t="n"/>
      <c r="AC266" s="186" t="n"/>
      <c r="AD266" s="186" t="n"/>
      <c r="AE266" s="188" t="n"/>
      <c r="AF266" s="187" t="n"/>
      <c r="AG266" s="187" t="n"/>
      <c r="AH266" s="186" t="n"/>
      <c r="AI266" s="186" t="n"/>
      <c r="AJ266" s="186" t="n"/>
      <c r="AK266" s="186" t="n"/>
      <c r="AL266" s="186" t="n"/>
      <c r="AM266" s="186" t="n"/>
      <c r="AN266" s="186" t="n"/>
      <c r="AO266" s="186" t="n"/>
      <c r="AP266" s="186" t="n"/>
      <c r="AQ266" s="186" t="n"/>
      <c r="AR266" s="186" t="n"/>
      <c r="AS266" s="186" t="n"/>
      <c r="AT266" s="186" t="n"/>
      <c r="AU266" s="186" t="n"/>
      <c r="AV266" s="186" t="n"/>
      <c r="AW266" s="186" t="n"/>
      <c r="AX266" s="186" t="n"/>
      <c r="AY266" s="186" t="n"/>
      <c r="AZ266" s="186" t="n"/>
      <c r="BA266" s="186" t="n"/>
      <c r="BB266" s="186" t="n"/>
      <c r="BC266" s="186" t="n"/>
      <c r="BD266" s="190" t="n"/>
      <c r="BE266" s="186" t="n"/>
      <c r="BF266" s="186" t="n"/>
      <c r="BG266" s="186" t="n"/>
      <c r="BH266" s="186" t="n"/>
      <c r="BI266" s="186" t="n"/>
      <c r="BJ266" s="187" t="n"/>
      <c r="BK266" s="192" t="n"/>
      <c r="BL266" s="192" t="n"/>
      <c r="BM266" s="192" t="n"/>
      <c r="BN266" s="192" t="n"/>
    </row>
    <row r="267">
      <c r="A267" s="289">
        <f> 'Jobs-Ops'!A267</f>
        <v/>
      </c>
      <c r="B267" s="290">
        <f>'Jobs-Ops'!B267</f>
        <v/>
      </c>
      <c r="C267" s="290">
        <f>'Jobs-Ops'!C267</f>
        <v/>
      </c>
      <c r="D267" s="179" t="n"/>
      <c r="E267" s="181">
        <f>'Jobs-Ops'!I267</f>
        <v/>
      </c>
      <c r="F267" s="205">
        <f>'Jobs-Ops'!U267</f>
        <v/>
      </c>
      <c r="G267" s="181">
        <f>'Jobs-GAAP'!J267</f>
        <v/>
      </c>
      <c r="H267" s="205">
        <f>'Jobs-GAAP'!V267</f>
        <v/>
      </c>
      <c r="I267" s="181">
        <f>E267-G267</f>
        <v/>
      </c>
      <c r="J267" s="9">
        <f>'Jobs-Ops'!P267</f>
        <v/>
      </c>
      <c r="K267" s="9">
        <f>'Jobs-GAAP'!Q267</f>
        <v/>
      </c>
      <c r="L267" s="9">
        <f>J267-K267</f>
        <v/>
      </c>
      <c r="M267" s="186" t="n"/>
      <c r="N267" s="9">
        <f>'Jobs-Ops'!Y267</f>
        <v/>
      </c>
      <c r="O267" s="9">
        <f>'Jobs-GAAP'!Y267</f>
        <v/>
      </c>
      <c r="P267" s="9">
        <f>N267-O267</f>
        <v/>
      </c>
      <c r="Q267" s="186" t="n"/>
      <c r="R267" s="11">
        <f>'Jobs-Ops'!AL267</f>
        <v/>
      </c>
      <c r="S267" s="11">
        <f>'Jobs-GAAP'!AH267</f>
        <v/>
      </c>
      <c r="T267" s="11">
        <f>IFERROR(R267-S267,0)</f>
        <v/>
      </c>
      <c r="U267" s="8">
        <f>'Jobs-Ops'!AM267</f>
        <v/>
      </c>
      <c r="V267" s="8">
        <f>'Jobs-GAAP'!AI267</f>
        <v/>
      </c>
      <c r="W267" s="8">
        <f>IFERROR(U267-V267,0)</f>
        <v/>
      </c>
      <c r="X267" s="9">
        <f>'Jobs-Ops'!AN267</f>
        <v/>
      </c>
      <c r="Y267" s="9">
        <f>'Jobs-GAAP'!AJ267</f>
        <v/>
      </c>
      <c r="Z267" s="9">
        <f>IFERROR(X267-Y267,0)</f>
        <v/>
      </c>
      <c r="AA267" s="153">
        <f>'Jobs-Ops'!AO267</f>
        <v/>
      </c>
      <c r="AB267" s="187" t="n"/>
      <c r="AC267" s="186" t="n"/>
      <c r="AD267" s="186" t="n"/>
      <c r="AE267" s="188" t="n"/>
      <c r="AF267" s="187" t="n"/>
      <c r="AG267" s="187" t="n"/>
      <c r="AH267" s="186" t="n"/>
      <c r="AI267" s="186" t="n"/>
      <c r="AJ267" s="186" t="n"/>
      <c r="AK267" s="186" t="n"/>
      <c r="AL267" s="186" t="n"/>
      <c r="AM267" s="186" t="n"/>
      <c r="AN267" s="186" t="n"/>
      <c r="AO267" s="186" t="n"/>
      <c r="AP267" s="186" t="n"/>
      <c r="AQ267" s="186" t="n"/>
      <c r="AR267" s="186" t="n"/>
      <c r="AS267" s="186" t="n"/>
      <c r="AT267" s="186" t="n"/>
      <c r="AU267" s="186" t="n"/>
      <c r="AV267" s="186" t="n"/>
      <c r="AW267" s="186" t="n"/>
      <c r="AX267" s="186" t="n"/>
      <c r="AY267" s="186" t="n"/>
      <c r="AZ267" s="186" t="n"/>
      <c r="BA267" s="186" t="n"/>
      <c r="BB267" s="186" t="n"/>
      <c r="BC267" s="186" t="n"/>
      <c r="BD267" s="190" t="n"/>
      <c r="BE267" s="186" t="n"/>
      <c r="BF267" s="186" t="n"/>
      <c r="BG267" s="186" t="n"/>
      <c r="BH267" s="186" t="n"/>
      <c r="BI267" s="186" t="n"/>
      <c r="BJ267" s="187" t="n"/>
      <c r="BK267" s="192" t="n"/>
      <c r="BL267" s="192" t="n"/>
      <c r="BM267" s="192" t="n"/>
      <c r="BN267" s="192" t="n"/>
    </row>
    <row r="268">
      <c r="A268" s="289">
        <f> 'Jobs-Ops'!A268</f>
        <v/>
      </c>
      <c r="B268" s="290">
        <f>'Jobs-Ops'!B268</f>
        <v/>
      </c>
      <c r="C268" s="290">
        <f>'Jobs-Ops'!C268</f>
        <v/>
      </c>
      <c r="D268" s="179" t="n"/>
      <c r="E268" s="181">
        <f>'Jobs-Ops'!I268</f>
        <v/>
      </c>
      <c r="F268" s="205">
        <f>'Jobs-Ops'!U268</f>
        <v/>
      </c>
      <c r="G268" s="181">
        <f>'Jobs-GAAP'!J268</f>
        <v/>
      </c>
      <c r="H268" s="205">
        <f>'Jobs-GAAP'!V268</f>
        <v/>
      </c>
      <c r="I268" s="181">
        <f>E268-G268</f>
        <v/>
      </c>
      <c r="J268" s="9">
        <f>'Jobs-Ops'!P268</f>
        <v/>
      </c>
      <c r="K268" s="9">
        <f>'Jobs-GAAP'!Q268</f>
        <v/>
      </c>
      <c r="L268" s="9">
        <f>J268-K268</f>
        <v/>
      </c>
      <c r="M268" s="186" t="n"/>
      <c r="N268" s="9">
        <f>'Jobs-Ops'!Y268</f>
        <v/>
      </c>
      <c r="O268" s="9">
        <f>'Jobs-GAAP'!Y268</f>
        <v/>
      </c>
      <c r="P268" s="9">
        <f>N268-O268</f>
        <v/>
      </c>
      <c r="Q268" s="186" t="n"/>
      <c r="R268" s="11">
        <f>'Jobs-Ops'!AL268</f>
        <v/>
      </c>
      <c r="S268" s="11">
        <f>'Jobs-GAAP'!AH268</f>
        <v/>
      </c>
      <c r="T268" s="11">
        <f>IFERROR(R268-S268,0)</f>
        <v/>
      </c>
      <c r="U268" s="8">
        <f>'Jobs-Ops'!AM268</f>
        <v/>
      </c>
      <c r="V268" s="8">
        <f>'Jobs-GAAP'!AI268</f>
        <v/>
      </c>
      <c r="W268" s="8">
        <f>IFERROR(U268-V268,0)</f>
        <v/>
      </c>
      <c r="X268" s="9">
        <f>'Jobs-Ops'!AN268</f>
        <v/>
      </c>
      <c r="Y268" s="9">
        <f>'Jobs-GAAP'!AJ268</f>
        <v/>
      </c>
      <c r="Z268" s="9">
        <f>IFERROR(X268-Y268,0)</f>
        <v/>
      </c>
      <c r="AA268" s="153">
        <f>'Jobs-Ops'!AO268</f>
        <v/>
      </c>
      <c r="AB268" s="187" t="n"/>
      <c r="AC268" s="186" t="n"/>
      <c r="AD268" s="186" t="n"/>
      <c r="AE268" s="188" t="n"/>
      <c r="AF268" s="187" t="n"/>
      <c r="AG268" s="187" t="n"/>
      <c r="AH268" s="186" t="n"/>
      <c r="AI268" s="186" t="n"/>
      <c r="AJ268" s="186" t="n"/>
      <c r="AK268" s="186" t="n"/>
      <c r="AL268" s="186" t="n"/>
      <c r="AM268" s="186" t="n"/>
      <c r="AN268" s="186" t="n"/>
      <c r="AO268" s="186" t="n"/>
      <c r="AP268" s="186" t="n"/>
      <c r="AQ268" s="186" t="n"/>
      <c r="AR268" s="186" t="n"/>
      <c r="AS268" s="186" t="n"/>
      <c r="AT268" s="186" t="n"/>
      <c r="AU268" s="186" t="n"/>
      <c r="AV268" s="186" t="n"/>
      <c r="AW268" s="186" t="n"/>
      <c r="AX268" s="186" t="n"/>
      <c r="AY268" s="186" t="n"/>
      <c r="AZ268" s="186" t="n"/>
      <c r="BA268" s="186" t="n"/>
      <c r="BB268" s="186" t="n"/>
      <c r="BC268" s="186" t="n"/>
      <c r="BD268" s="190" t="n"/>
      <c r="BE268" s="186" t="n"/>
      <c r="BF268" s="186" t="n"/>
      <c r="BG268" s="186" t="n"/>
      <c r="BH268" s="186" t="n"/>
      <c r="BI268" s="186" t="n"/>
      <c r="BJ268" s="187" t="n"/>
      <c r="BK268" s="192" t="n"/>
      <c r="BL268" s="192" t="n"/>
      <c r="BM268" s="192" t="n"/>
      <c r="BN268" s="192" t="n"/>
    </row>
    <row r="269">
      <c r="A269" s="289">
        <f> 'Jobs-Ops'!A269</f>
        <v/>
      </c>
      <c r="B269" s="290">
        <f>'Jobs-Ops'!B269</f>
        <v/>
      </c>
      <c r="C269" s="290">
        <f>'Jobs-Ops'!C269</f>
        <v/>
      </c>
      <c r="D269" s="179" t="n"/>
      <c r="E269" s="181">
        <f>'Jobs-Ops'!I269</f>
        <v/>
      </c>
      <c r="F269" s="205">
        <f>'Jobs-Ops'!U269</f>
        <v/>
      </c>
      <c r="G269" s="181">
        <f>'Jobs-GAAP'!J269</f>
        <v/>
      </c>
      <c r="H269" s="205">
        <f>'Jobs-GAAP'!V269</f>
        <v/>
      </c>
      <c r="I269" s="181">
        <f>E269-G269</f>
        <v/>
      </c>
      <c r="J269" s="9">
        <f>'Jobs-Ops'!P269</f>
        <v/>
      </c>
      <c r="K269" s="9">
        <f>'Jobs-GAAP'!Q269</f>
        <v/>
      </c>
      <c r="L269" s="9">
        <f>J269-K269</f>
        <v/>
      </c>
      <c r="M269" s="186" t="n"/>
      <c r="N269" s="9">
        <f>'Jobs-Ops'!Y269</f>
        <v/>
      </c>
      <c r="O269" s="9">
        <f>'Jobs-GAAP'!Y269</f>
        <v/>
      </c>
      <c r="P269" s="9">
        <f>N269-O269</f>
        <v/>
      </c>
      <c r="Q269" s="186" t="n"/>
      <c r="R269" s="11">
        <f>'Jobs-Ops'!AL269</f>
        <v/>
      </c>
      <c r="S269" s="11">
        <f>'Jobs-GAAP'!AH269</f>
        <v/>
      </c>
      <c r="T269" s="11">
        <f>IFERROR(R269-S269,0)</f>
        <v/>
      </c>
      <c r="U269" s="8">
        <f>'Jobs-Ops'!AM269</f>
        <v/>
      </c>
      <c r="V269" s="8">
        <f>'Jobs-GAAP'!AI269</f>
        <v/>
      </c>
      <c r="W269" s="8">
        <f>IFERROR(U269-V269,0)</f>
        <v/>
      </c>
      <c r="X269" s="9">
        <f>'Jobs-Ops'!AN269</f>
        <v/>
      </c>
      <c r="Y269" s="9">
        <f>'Jobs-GAAP'!AJ269</f>
        <v/>
      </c>
      <c r="Z269" s="9">
        <f>IFERROR(X269-Y269,0)</f>
        <v/>
      </c>
      <c r="AA269" s="153">
        <f>'Jobs-Ops'!AO269</f>
        <v/>
      </c>
      <c r="AB269" s="187" t="n"/>
      <c r="AC269" s="186" t="n"/>
      <c r="AD269" s="186" t="n"/>
      <c r="AE269" s="188" t="n"/>
      <c r="AF269" s="187" t="n"/>
      <c r="AG269" s="187" t="n"/>
      <c r="AH269" s="186" t="n"/>
      <c r="AI269" s="186" t="n"/>
      <c r="AJ269" s="186" t="n"/>
      <c r="AK269" s="186" t="n"/>
      <c r="AL269" s="186" t="n"/>
      <c r="AM269" s="186" t="n"/>
      <c r="AN269" s="186" t="n"/>
      <c r="AO269" s="186" t="n"/>
      <c r="AP269" s="186" t="n"/>
      <c r="AQ269" s="186" t="n"/>
      <c r="AR269" s="186" t="n"/>
      <c r="AS269" s="186" t="n"/>
      <c r="AT269" s="186" t="n"/>
      <c r="AU269" s="186" t="n"/>
      <c r="AV269" s="186" t="n"/>
      <c r="AW269" s="186" t="n"/>
      <c r="AX269" s="186" t="n"/>
      <c r="AY269" s="186" t="n"/>
      <c r="AZ269" s="186" t="n"/>
      <c r="BA269" s="186" t="n"/>
      <c r="BB269" s="186" t="n"/>
      <c r="BC269" s="186" t="n"/>
      <c r="BD269" s="190" t="n"/>
      <c r="BE269" s="186" t="n"/>
      <c r="BF269" s="186" t="n"/>
      <c r="BG269" s="186" t="n"/>
      <c r="BH269" s="186" t="n"/>
      <c r="BI269" s="186" t="n"/>
      <c r="BJ269" s="187" t="n"/>
      <c r="BK269" s="192" t="n"/>
      <c r="BL269" s="192" t="n"/>
      <c r="BM269" s="192" t="n"/>
      <c r="BN269" s="192" t="n"/>
    </row>
    <row r="270">
      <c r="A270" s="289">
        <f> 'Jobs-Ops'!A270</f>
        <v/>
      </c>
      <c r="B270" s="290">
        <f>'Jobs-Ops'!B270</f>
        <v/>
      </c>
      <c r="C270" s="290">
        <f>'Jobs-Ops'!C270</f>
        <v/>
      </c>
      <c r="D270" s="179" t="n"/>
      <c r="E270" s="181">
        <f>'Jobs-Ops'!I270</f>
        <v/>
      </c>
      <c r="F270" s="205">
        <f>'Jobs-Ops'!U270</f>
        <v/>
      </c>
      <c r="G270" s="181">
        <f>'Jobs-GAAP'!J270</f>
        <v/>
      </c>
      <c r="H270" s="205">
        <f>'Jobs-GAAP'!V270</f>
        <v/>
      </c>
      <c r="I270" s="181">
        <f>E270-G270</f>
        <v/>
      </c>
      <c r="J270" s="9">
        <f>'Jobs-Ops'!P270</f>
        <v/>
      </c>
      <c r="K270" s="9">
        <f>'Jobs-GAAP'!Q270</f>
        <v/>
      </c>
      <c r="L270" s="9">
        <f>J270-K270</f>
        <v/>
      </c>
      <c r="M270" s="186" t="n"/>
      <c r="N270" s="9">
        <f>'Jobs-Ops'!Y270</f>
        <v/>
      </c>
      <c r="O270" s="9">
        <f>'Jobs-GAAP'!Y270</f>
        <v/>
      </c>
      <c r="P270" s="9">
        <f>N270-O270</f>
        <v/>
      </c>
      <c r="Q270" s="186" t="n"/>
      <c r="R270" s="11">
        <f>'Jobs-Ops'!AL270</f>
        <v/>
      </c>
      <c r="S270" s="11">
        <f>'Jobs-GAAP'!AH270</f>
        <v/>
      </c>
      <c r="T270" s="11">
        <f>IFERROR(R270-S270,0)</f>
        <v/>
      </c>
      <c r="U270" s="8">
        <f>'Jobs-Ops'!AM270</f>
        <v/>
      </c>
      <c r="V270" s="8">
        <f>'Jobs-GAAP'!AI270</f>
        <v/>
      </c>
      <c r="W270" s="8">
        <f>IFERROR(U270-V270,0)</f>
        <v/>
      </c>
      <c r="X270" s="9">
        <f>'Jobs-Ops'!AN270</f>
        <v/>
      </c>
      <c r="Y270" s="9">
        <f>'Jobs-GAAP'!AJ270</f>
        <v/>
      </c>
      <c r="Z270" s="9">
        <f>IFERROR(X270-Y270,0)</f>
        <v/>
      </c>
      <c r="AA270" s="153">
        <f>'Jobs-Ops'!AO270</f>
        <v/>
      </c>
      <c r="AB270" s="187" t="n"/>
      <c r="AC270" s="186" t="n"/>
      <c r="AD270" s="186" t="n"/>
      <c r="AE270" s="188" t="n"/>
      <c r="AF270" s="187" t="n"/>
      <c r="AG270" s="187" t="n"/>
      <c r="AH270" s="186" t="n"/>
      <c r="AI270" s="186" t="n"/>
      <c r="AJ270" s="186" t="n"/>
      <c r="AK270" s="186" t="n"/>
      <c r="AL270" s="186" t="n"/>
      <c r="AM270" s="186" t="n"/>
      <c r="AN270" s="186" t="n"/>
      <c r="AO270" s="186" t="n"/>
      <c r="AP270" s="186" t="n"/>
      <c r="AQ270" s="186" t="n"/>
      <c r="AR270" s="186" t="n"/>
      <c r="AS270" s="186" t="n"/>
      <c r="AT270" s="186" t="n"/>
      <c r="AU270" s="186" t="n"/>
      <c r="AV270" s="186" t="n"/>
      <c r="AW270" s="186" t="n"/>
      <c r="AX270" s="186" t="n"/>
      <c r="AY270" s="186" t="n"/>
      <c r="AZ270" s="186" t="n"/>
      <c r="BA270" s="186" t="n"/>
      <c r="BB270" s="186" t="n"/>
      <c r="BC270" s="186" t="n"/>
      <c r="BD270" s="190" t="n"/>
      <c r="BE270" s="186" t="n"/>
      <c r="BF270" s="186" t="n"/>
      <c r="BG270" s="186" t="n"/>
      <c r="BH270" s="186" t="n"/>
      <c r="BI270" s="186" t="n"/>
      <c r="BJ270" s="187" t="n"/>
      <c r="BK270" s="192" t="n"/>
      <c r="BL270" s="192" t="n"/>
      <c r="BM270" s="192" t="n"/>
      <c r="BN270" s="192" t="n"/>
    </row>
    <row r="271">
      <c r="A271" s="289">
        <f> 'Jobs-Ops'!A271</f>
        <v/>
      </c>
      <c r="B271" s="290">
        <f>'Jobs-Ops'!B271</f>
        <v/>
      </c>
      <c r="C271" s="290">
        <f>'Jobs-Ops'!C271</f>
        <v/>
      </c>
      <c r="D271" s="179" t="n"/>
      <c r="E271" s="181">
        <f>'Jobs-Ops'!I271</f>
        <v/>
      </c>
      <c r="F271" s="205">
        <f>'Jobs-Ops'!U271</f>
        <v/>
      </c>
      <c r="G271" s="181">
        <f>'Jobs-GAAP'!J271</f>
        <v/>
      </c>
      <c r="H271" s="205">
        <f>'Jobs-GAAP'!V271</f>
        <v/>
      </c>
      <c r="I271" s="181">
        <f>E271-G271</f>
        <v/>
      </c>
      <c r="J271" s="9">
        <f>'Jobs-Ops'!P271</f>
        <v/>
      </c>
      <c r="K271" s="9">
        <f>'Jobs-GAAP'!Q271</f>
        <v/>
      </c>
      <c r="L271" s="9">
        <f>J271-K271</f>
        <v/>
      </c>
      <c r="M271" s="186" t="n"/>
      <c r="N271" s="9">
        <f>'Jobs-Ops'!Y271</f>
        <v/>
      </c>
      <c r="O271" s="9">
        <f>'Jobs-GAAP'!Y271</f>
        <v/>
      </c>
      <c r="P271" s="9">
        <f>N271-O271</f>
        <v/>
      </c>
      <c r="Q271" s="186" t="n"/>
      <c r="R271" s="11">
        <f>'Jobs-Ops'!AL271</f>
        <v/>
      </c>
      <c r="S271" s="11">
        <f>'Jobs-GAAP'!AH271</f>
        <v/>
      </c>
      <c r="T271" s="11">
        <f>IFERROR(R271-S271,0)</f>
        <v/>
      </c>
      <c r="U271" s="8">
        <f>'Jobs-Ops'!AM271</f>
        <v/>
      </c>
      <c r="V271" s="8">
        <f>'Jobs-GAAP'!AI271</f>
        <v/>
      </c>
      <c r="W271" s="8">
        <f>IFERROR(U271-V271,0)</f>
        <v/>
      </c>
      <c r="X271" s="9">
        <f>'Jobs-Ops'!AN271</f>
        <v/>
      </c>
      <c r="Y271" s="9">
        <f>'Jobs-GAAP'!AJ271</f>
        <v/>
      </c>
      <c r="Z271" s="9">
        <f>IFERROR(X271-Y271,0)</f>
        <v/>
      </c>
      <c r="AA271" s="153">
        <f>'Jobs-Ops'!AO271</f>
        <v/>
      </c>
      <c r="AB271" s="187" t="n"/>
      <c r="AC271" s="186" t="n"/>
      <c r="AD271" s="186" t="n"/>
      <c r="AE271" s="188" t="n"/>
      <c r="AF271" s="187" t="n"/>
      <c r="AG271" s="187" t="n"/>
      <c r="AH271" s="186" t="n"/>
      <c r="AI271" s="186" t="n"/>
      <c r="AJ271" s="186" t="n"/>
      <c r="AK271" s="186" t="n"/>
      <c r="AL271" s="186" t="n"/>
      <c r="AM271" s="186" t="n"/>
      <c r="AN271" s="186" t="n"/>
      <c r="AO271" s="186" t="n"/>
      <c r="AP271" s="186" t="n"/>
      <c r="AQ271" s="186" t="n"/>
      <c r="AR271" s="186" t="n"/>
      <c r="AS271" s="186" t="n"/>
      <c r="AT271" s="186" t="n"/>
      <c r="AU271" s="186" t="n"/>
      <c r="AV271" s="186" t="n"/>
      <c r="AW271" s="186" t="n"/>
      <c r="AX271" s="186" t="n"/>
      <c r="AY271" s="186" t="n"/>
      <c r="AZ271" s="186" t="n"/>
      <c r="BA271" s="186" t="n"/>
      <c r="BB271" s="186" t="n"/>
      <c r="BC271" s="186" t="n"/>
      <c r="BD271" s="190" t="n"/>
      <c r="BE271" s="186" t="n"/>
      <c r="BF271" s="186" t="n"/>
      <c r="BG271" s="186" t="n"/>
      <c r="BH271" s="186" t="n"/>
      <c r="BI271" s="186" t="n"/>
      <c r="BJ271" s="187" t="n"/>
      <c r="BK271" s="192" t="n"/>
      <c r="BL271" s="192" t="n"/>
      <c r="BM271" s="192" t="n"/>
      <c r="BN271" s="192" t="n"/>
    </row>
    <row r="272">
      <c r="A272" s="289">
        <f> 'Jobs-Ops'!A272</f>
        <v/>
      </c>
      <c r="B272" s="290">
        <f>'Jobs-Ops'!B272</f>
        <v/>
      </c>
      <c r="C272" s="290">
        <f>'Jobs-Ops'!C272</f>
        <v/>
      </c>
      <c r="D272" s="179" t="n"/>
      <c r="E272" s="181">
        <f>'Jobs-Ops'!I272</f>
        <v/>
      </c>
      <c r="F272" s="205">
        <f>'Jobs-Ops'!U272</f>
        <v/>
      </c>
      <c r="G272" s="181">
        <f>'Jobs-GAAP'!J272</f>
        <v/>
      </c>
      <c r="H272" s="205">
        <f>'Jobs-GAAP'!V272</f>
        <v/>
      </c>
      <c r="I272" s="181">
        <f>E272-G272</f>
        <v/>
      </c>
      <c r="J272" s="9">
        <f>'Jobs-Ops'!P272</f>
        <v/>
      </c>
      <c r="K272" s="9">
        <f>'Jobs-GAAP'!Q272</f>
        <v/>
      </c>
      <c r="L272" s="9">
        <f>J272-K272</f>
        <v/>
      </c>
      <c r="M272" s="186" t="n"/>
      <c r="N272" s="9">
        <f>'Jobs-Ops'!Y272</f>
        <v/>
      </c>
      <c r="O272" s="9">
        <f>'Jobs-GAAP'!Y272</f>
        <v/>
      </c>
      <c r="P272" s="9">
        <f>N272-O272</f>
        <v/>
      </c>
      <c r="Q272" s="186" t="n"/>
      <c r="R272" s="11">
        <f>'Jobs-Ops'!AL272</f>
        <v/>
      </c>
      <c r="S272" s="11">
        <f>'Jobs-GAAP'!AH272</f>
        <v/>
      </c>
      <c r="T272" s="11">
        <f>IFERROR(R272-S272,0)</f>
        <v/>
      </c>
      <c r="U272" s="8">
        <f>'Jobs-Ops'!AM272</f>
        <v/>
      </c>
      <c r="V272" s="8">
        <f>'Jobs-GAAP'!AI272</f>
        <v/>
      </c>
      <c r="W272" s="8">
        <f>IFERROR(U272-V272,0)</f>
        <v/>
      </c>
      <c r="X272" s="9">
        <f>'Jobs-Ops'!AN272</f>
        <v/>
      </c>
      <c r="Y272" s="9">
        <f>'Jobs-GAAP'!AJ272</f>
        <v/>
      </c>
      <c r="Z272" s="9">
        <f>IFERROR(X272-Y272,0)</f>
        <v/>
      </c>
      <c r="AA272" s="153">
        <f>'Jobs-Ops'!AO272</f>
        <v/>
      </c>
      <c r="AB272" s="187" t="n"/>
      <c r="AC272" s="186" t="n"/>
      <c r="AD272" s="186" t="n"/>
      <c r="AE272" s="188" t="n"/>
      <c r="AF272" s="187" t="n"/>
      <c r="AG272" s="187" t="n"/>
      <c r="AH272" s="186" t="n"/>
      <c r="AI272" s="186" t="n"/>
      <c r="AJ272" s="186" t="n"/>
      <c r="AK272" s="186" t="n"/>
      <c r="AL272" s="186" t="n"/>
      <c r="AM272" s="186" t="n"/>
      <c r="AN272" s="186" t="n"/>
      <c r="AO272" s="186" t="n"/>
      <c r="AP272" s="186" t="n"/>
      <c r="AQ272" s="186" t="n"/>
      <c r="AR272" s="186" t="n"/>
      <c r="AS272" s="186" t="n"/>
      <c r="AT272" s="186" t="n"/>
      <c r="AU272" s="186" t="n"/>
      <c r="AV272" s="186" t="n"/>
      <c r="AW272" s="186" t="n"/>
      <c r="AX272" s="186" t="n"/>
      <c r="AY272" s="186" t="n"/>
      <c r="AZ272" s="186" t="n"/>
      <c r="BA272" s="186" t="n"/>
      <c r="BB272" s="186" t="n"/>
      <c r="BC272" s="186" t="n"/>
      <c r="BD272" s="190" t="n"/>
      <c r="BE272" s="186" t="n"/>
      <c r="BF272" s="186" t="n"/>
      <c r="BG272" s="186" t="n"/>
      <c r="BH272" s="186" t="n"/>
      <c r="BI272" s="186" t="n"/>
      <c r="BJ272" s="187" t="n"/>
      <c r="BK272" s="192" t="n"/>
      <c r="BL272" s="192" t="n"/>
      <c r="BM272" s="192" t="n"/>
      <c r="BN272" s="192" t="n"/>
    </row>
    <row r="273">
      <c r="A273" s="289">
        <f> 'Jobs-Ops'!A273</f>
        <v/>
      </c>
      <c r="B273" s="290">
        <f>'Jobs-Ops'!B273</f>
        <v/>
      </c>
      <c r="C273" s="290">
        <f>'Jobs-Ops'!C273</f>
        <v/>
      </c>
      <c r="D273" s="179" t="n"/>
      <c r="E273" s="181">
        <f>'Jobs-Ops'!I273</f>
        <v/>
      </c>
      <c r="F273" s="205">
        <f>'Jobs-Ops'!U273</f>
        <v/>
      </c>
      <c r="G273" s="181">
        <f>'Jobs-GAAP'!J273</f>
        <v/>
      </c>
      <c r="H273" s="205">
        <f>'Jobs-GAAP'!V273</f>
        <v/>
      </c>
      <c r="I273" s="181">
        <f>E273-G273</f>
        <v/>
      </c>
      <c r="J273" s="9">
        <f>'Jobs-Ops'!P273</f>
        <v/>
      </c>
      <c r="K273" s="9">
        <f>'Jobs-GAAP'!Q273</f>
        <v/>
      </c>
      <c r="L273" s="9">
        <f>J273-K273</f>
        <v/>
      </c>
      <c r="M273" s="186" t="n"/>
      <c r="N273" s="9">
        <f>'Jobs-Ops'!Y273</f>
        <v/>
      </c>
      <c r="O273" s="9">
        <f>'Jobs-GAAP'!Y273</f>
        <v/>
      </c>
      <c r="P273" s="9">
        <f>N273-O273</f>
        <v/>
      </c>
      <c r="Q273" s="186" t="n"/>
      <c r="R273" s="11">
        <f>'Jobs-Ops'!AL273</f>
        <v/>
      </c>
      <c r="S273" s="11">
        <f>'Jobs-GAAP'!AH273</f>
        <v/>
      </c>
      <c r="T273" s="11">
        <f>IFERROR(R273-S273,0)</f>
        <v/>
      </c>
      <c r="U273" s="8">
        <f>'Jobs-Ops'!AM273</f>
        <v/>
      </c>
      <c r="V273" s="8">
        <f>'Jobs-GAAP'!AI273</f>
        <v/>
      </c>
      <c r="W273" s="8">
        <f>IFERROR(U273-V273,0)</f>
        <v/>
      </c>
      <c r="X273" s="9">
        <f>'Jobs-Ops'!AN273</f>
        <v/>
      </c>
      <c r="Y273" s="9">
        <f>'Jobs-GAAP'!AJ273</f>
        <v/>
      </c>
      <c r="Z273" s="9">
        <f>IFERROR(X273-Y273,0)</f>
        <v/>
      </c>
      <c r="AA273" s="153">
        <f>'Jobs-Ops'!AO273</f>
        <v/>
      </c>
      <c r="AB273" s="187" t="n"/>
      <c r="AC273" s="186" t="n"/>
      <c r="AD273" s="186" t="n"/>
      <c r="AE273" s="188" t="n"/>
      <c r="AF273" s="187" t="n"/>
      <c r="AG273" s="187" t="n"/>
      <c r="AH273" s="186" t="n"/>
      <c r="AI273" s="186" t="n"/>
      <c r="AJ273" s="186" t="n"/>
      <c r="AK273" s="186" t="n"/>
      <c r="AL273" s="186" t="n"/>
      <c r="AM273" s="186" t="n"/>
      <c r="AN273" s="186" t="n"/>
      <c r="AO273" s="186" t="n"/>
      <c r="AP273" s="186" t="n"/>
      <c r="AQ273" s="186" t="n"/>
      <c r="AR273" s="186" t="n"/>
      <c r="AS273" s="186" t="n"/>
      <c r="AT273" s="186" t="n"/>
      <c r="AU273" s="186" t="n"/>
      <c r="AV273" s="186" t="n"/>
      <c r="AW273" s="186" t="n"/>
      <c r="AX273" s="186" t="n"/>
      <c r="AY273" s="186" t="n"/>
      <c r="AZ273" s="186" t="n"/>
      <c r="BA273" s="186" t="n"/>
      <c r="BB273" s="186" t="n"/>
      <c r="BC273" s="186" t="n"/>
      <c r="BD273" s="190" t="n"/>
      <c r="BE273" s="186" t="n"/>
      <c r="BF273" s="186" t="n"/>
      <c r="BG273" s="186" t="n"/>
      <c r="BH273" s="186" t="n"/>
      <c r="BI273" s="186" t="n"/>
      <c r="BJ273" s="187" t="n"/>
      <c r="BK273" s="192" t="n"/>
      <c r="BL273" s="192" t="n"/>
      <c r="BM273" s="192" t="n"/>
      <c r="BN273" s="192" t="n"/>
    </row>
    <row r="274">
      <c r="A274" s="289">
        <f> 'Jobs-Ops'!A274</f>
        <v/>
      </c>
      <c r="B274" s="290">
        <f>'Jobs-Ops'!B274</f>
        <v/>
      </c>
      <c r="C274" s="290">
        <f>'Jobs-Ops'!C274</f>
        <v/>
      </c>
      <c r="D274" s="179" t="n"/>
      <c r="E274" s="181">
        <f>'Jobs-Ops'!I274</f>
        <v/>
      </c>
      <c r="F274" s="205">
        <f>'Jobs-Ops'!U274</f>
        <v/>
      </c>
      <c r="G274" s="181">
        <f>'Jobs-GAAP'!J274</f>
        <v/>
      </c>
      <c r="H274" s="205">
        <f>'Jobs-GAAP'!V274</f>
        <v/>
      </c>
      <c r="I274" s="181">
        <f>E274-G274</f>
        <v/>
      </c>
      <c r="J274" s="9">
        <f>'Jobs-Ops'!P274</f>
        <v/>
      </c>
      <c r="K274" s="9">
        <f>'Jobs-GAAP'!Q274</f>
        <v/>
      </c>
      <c r="L274" s="9">
        <f>J274-K274</f>
        <v/>
      </c>
      <c r="M274" s="186" t="n"/>
      <c r="N274" s="9">
        <f>'Jobs-Ops'!Y274</f>
        <v/>
      </c>
      <c r="O274" s="9">
        <f>'Jobs-GAAP'!Y274</f>
        <v/>
      </c>
      <c r="P274" s="9">
        <f>N274-O274</f>
        <v/>
      </c>
      <c r="Q274" s="186" t="n"/>
      <c r="R274" s="11">
        <f>'Jobs-Ops'!AL274</f>
        <v/>
      </c>
      <c r="S274" s="11">
        <f>'Jobs-GAAP'!AH274</f>
        <v/>
      </c>
      <c r="T274" s="11">
        <f>IFERROR(R274-S274,0)</f>
        <v/>
      </c>
      <c r="U274" s="8">
        <f>'Jobs-Ops'!AM274</f>
        <v/>
      </c>
      <c r="V274" s="8">
        <f>'Jobs-GAAP'!AI274</f>
        <v/>
      </c>
      <c r="W274" s="8">
        <f>IFERROR(U274-V274,0)</f>
        <v/>
      </c>
      <c r="X274" s="9">
        <f>'Jobs-Ops'!AN274</f>
        <v/>
      </c>
      <c r="Y274" s="9">
        <f>'Jobs-GAAP'!AJ274</f>
        <v/>
      </c>
      <c r="Z274" s="9">
        <f>IFERROR(X274-Y274,0)</f>
        <v/>
      </c>
      <c r="AA274" s="153">
        <f>'Jobs-Ops'!AO274</f>
        <v/>
      </c>
      <c r="AB274" s="187" t="n"/>
      <c r="AC274" s="186" t="n"/>
      <c r="AD274" s="186" t="n"/>
      <c r="AE274" s="188" t="n"/>
      <c r="AF274" s="187" t="n"/>
      <c r="AG274" s="187" t="n"/>
      <c r="AH274" s="186" t="n"/>
      <c r="AI274" s="186" t="n"/>
      <c r="AJ274" s="186" t="n"/>
      <c r="AK274" s="186" t="n"/>
      <c r="AL274" s="186" t="n"/>
      <c r="AM274" s="186" t="n"/>
      <c r="AN274" s="186" t="n"/>
      <c r="AO274" s="186" t="n"/>
      <c r="AP274" s="186" t="n"/>
      <c r="AQ274" s="186" t="n"/>
      <c r="AR274" s="186" t="n"/>
      <c r="AS274" s="186" t="n"/>
      <c r="AT274" s="186" t="n"/>
      <c r="AU274" s="186" t="n"/>
      <c r="AV274" s="186" t="n"/>
      <c r="AW274" s="186" t="n"/>
      <c r="AX274" s="186" t="n"/>
      <c r="AY274" s="186" t="n"/>
      <c r="AZ274" s="186" t="n"/>
      <c r="BA274" s="186" t="n"/>
      <c r="BB274" s="186" t="n"/>
      <c r="BC274" s="186" t="n"/>
      <c r="BD274" s="190" t="n"/>
      <c r="BE274" s="186" t="n"/>
      <c r="BF274" s="186" t="n"/>
      <c r="BG274" s="186" t="n"/>
      <c r="BH274" s="186" t="n"/>
      <c r="BI274" s="186" t="n"/>
      <c r="BJ274" s="187" t="n"/>
      <c r="BK274" s="192" t="n"/>
      <c r="BL274" s="192" t="n"/>
      <c r="BM274" s="192" t="n"/>
      <c r="BN274" s="192" t="n"/>
    </row>
    <row r="275">
      <c r="A275" s="289">
        <f> 'Jobs-Ops'!A275</f>
        <v/>
      </c>
      <c r="B275" s="290">
        <f>'Jobs-Ops'!B275</f>
        <v/>
      </c>
      <c r="C275" s="290">
        <f>'Jobs-Ops'!C275</f>
        <v/>
      </c>
      <c r="D275" s="179" t="n"/>
      <c r="E275" s="181">
        <f>'Jobs-Ops'!I275</f>
        <v/>
      </c>
      <c r="F275" s="205">
        <f>'Jobs-Ops'!U275</f>
        <v/>
      </c>
      <c r="G275" s="181">
        <f>'Jobs-GAAP'!J275</f>
        <v/>
      </c>
      <c r="H275" s="205">
        <f>'Jobs-GAAP'!V275</f>
        <v/>
      </c>
      <c r="I275" s="181">
        <f>E275-G275</f>
        <v/>
      </c>
      <c r="J275" s="9">
        <f>'Jobs-Ops'!P275</f>
        <v/>
      </c>
      <c r="K275" s="9">
        <f>'Jobs-GAAP'!Q275</f>
        <v/>
      </c>
      <c r="L275" s="9">
        <f>J275-K275</f>
        <v/>
      </c>
      <c r="M275" s="186" t="n"/>
      <c r="N275" s="9">
        <f>'Jobs-Ops'!Y275</f>
        <v/>
      </c>
      <c r="O275" s="9">
        <f>'Jobs-GAAP'!Y275</f>
        <v/>
      </c>
      <c r="P275" s="9">
        <f>N275-O275</f>
        <v/>
      </c>
      <c r="Q275" s="186" t="n"/>
      <c r="R275" s="11">
        <f>'Jobs-Ops'!AL275</f>
        <v/>
      </c>
      <c r="S275" s="11">
        <f>'Jobs-GAAP'!AH275</f>
        <v/>
      </c>
      <c r="T275" s="11">
        <f>IFERROR(R275-S275,0)</f>
        <v/>
      </c>
      <c r="U275" s="8">
        <f>'Jobs-Ops'!AM275</f>
        <v/>
      </c>
      <c r="V275" s="8">
        <f>'Jobs-GAAP'!AI275</f>
        <v/>
      </c>
      <c r="W275" s="8">
        <f>IFERROR(U275-V275,0)</f>
        <v/>
      </c>
      <c r="X275" s="9">
        <f>'Jobs-Ops'!AN275</f>
        <v/>
      </c>
      <c r="Y275" s="9">
        <f>'Jobs-GAAP'!AJ275</f>
        <v/>
      </c>
      <c r="Z275" s="9">
        <f>IFERROR(X275-Y275,0)</f>
        <v/>
      </c>
      <c r="AA275" s="153">
        <f>'Jobs-Ops'!AO275</f>
        <v/>
      </c>
      <c r="AB275" s="187" t="n"/>
      <c r="AC275" s="186" t="n"/>
      <c r="AD275" s="186" t="n"/>
      <c r="AE275" s="188" t="n"/>
      <c r="AF275" s="187" t="n"/>
      <c r="AG275" s="187" t="n"/>
      <c r="AH275" s="186" t="n"/>
      <c r="AI275" s="186" t="n"/>
      <c r="AJ275" s="186" t="n"/>
      <c r="AK275" s="186" t="n"/>
      <c r="AL275" s="186" t="n"/>
      <c r="AM275" s="186" t="n"/>
      <c r="AN275" s="186" t="n"/>
      <c r="AO275" s="186" t="n"/>
      <c r="AP275" s="186" t="n"/>
      <c r="AQ275" s="186" t="n"/>
      <c r="AR275" s="186" t="n"/>
      <c r="AS275" s="186" t="n"/>
      <c r="AT275" s="186" t="n"/>
      <c r="AU275" s="186" t="n"/>
      <c r="AV275" s="186" t="n"/>
      <c r="AW275" s="186" t="n"/>
      <c r="AX275" s="186" t="n"/>
      <c r="AY275" s="186" t="n"/>
      <c r="AZ275" s="186" t="n"/>
      <c r="BA275" s="186" t="n"/>
      <c r="BB275" s="186" t="n"/>
      <c r="BC275" s="186" t="n"/>
      <c r="BD275" s="190" t="n"/>
      <c r="BE275" s="186" t="n"/>
      <c r="BF275" s="186" t="n"/>
      <c r="BG275" s="186" t="n"/>
      <c r="BH275" s="186" t="n"/>
      <c r="BI275" s="186" t="n"/>
      <c r="BJ275" s="187" t="n"/>
      <c r="BK275" s="192" t="n"/>
      <c r="BL275" s="192" t="n"/>
      <c r="BM275" s="192" t="n"/>
      <c r="BN275" s="192" t="n"/>
    </row>
    <row r="276">
      <c r="A276" s="289">
        <f> 'Jobs-Ops'!A276</f>
        <v/>
      </c>
      <c r="B276" s="290">
        <f>'Jobs-Ops'!B276</f>
        <v/>
      </c>
      <c r="C276" s="290">
        <f>'Jobs-Ops'!C276</f>
        <v/>
      </c>
      <c r="D276" s="179" t="n"/>
      <c r="E276" s="181">
        <f>'Jobs-Ops'!I276</f>
        <v/>
      </c>
      <c r="F276" s="205">
        <f>'Jobs-Ops'!U276</f>
        <v/>
      </c>
      <c r="G276" s="181">
        <f>'Jobs-GAAP'!J276</f>
        <v/>
      </c>
      <c r="H276" s="205">
        <f>'Jobs-GAAP'!V276</f>
        <v/>
      </c>
      <c r="I276" s="181">
        <f>E276-G276</f>
        <v/>
      </c>
      <c r="J276" s="9">
        <f>'Jobs-Ops'!P276</f>
        <v/>
      </c>
      <c r="K276" s="9">
        <f>'Jobs-GAAP'!Q276</f>
        <v/>
      </c>
      <c r="L276" s="9">
        <f>J276-K276</f>
        <v/>
      </c>
      <c r="M276" s="186" t="n"/>
      <c r="N276" s="9">
        <f>'Jobs-Ops'!Y276</f>
        <v/>
      </c>
      <c r="O276" s="9">
        <f>'Jobs-GAAP'!Y276</f>
        <v/>
      </c>
      <c r="P276" s="9">
        <f>N276-O276</f>
        <v/>
      </c>
      <c r="Q276" s="186" t="n"/>
      <c r="R276" s="11">
        <f>'Jobs-Ops'!AL276</f>
        <v/>
      </c>
      <c r="S276" s="11">
        <f>'Jobs-GAAP'!AH276</f>
        <v/>
      </c>
      <c r="T276" s="11">
        <f>IFERROR(R276-S276,0)</f>
        <v/>
      </c>
      <c r="U276" s="8">
        <f>'Jobs-Ops'!AM276</f>
        <v/>
      </c>
      <c r="V276" s="8">
        <f>'Jobs-GAAP'!AI276</f>
        <v/>
      </c>
      <c r="W276" s="8">
        <f>IFERROR(U276-V276,0)</f>
        <v/>
      </c>
      <c r="X276" s="9">
        <f>'Jobs-Ops'!AN276</f>
        <v/>
      </c>
      <c r="Y276" s="9">
        <f>'Jobs-GAAP'!AJ276</f>
        <v/>
      </c>
      <c r="Z276" s="9">
        <f>IFERROR(X276-Y276,0)</f>
        <v/>
      </c>
      <c r="AA276" s="153">
        <f>'Jobs-Ops'!AO276</f>
        <v/>
      </c>
      <c r="AB276" s="187" t="n"/>
      <c r="AC276" s="186" t="n"/>
      <c r="AD276" s="186" t="n"/>
      <c r="AE276" s="188" t="n"/>
      <c r="AF276" s="187" t="n"/>
      <c r="AG276" s="187" t="n"/>
      <c r="AH276" s="186" t="n"/>
      <c r="AI276" s="186" t="n"/>
      <c r="AJ276" s="186" t="n"/>
      <c r="AK276" s="186" t="n"/>
      <c r="AL276" s="186" t="n"/>
      <c r="AM276" s="186" t="n"/>
      <c r="AN276" s="186" t="n"/>
      <c r="AO276" s="186" t="n"/>
      <c r="AP276" s="186" t="n"/>
      <c r="AQ276" s="186" t="n"/>
      <c r="AR276" s="186" t="n"/>
      <c r="AS276" s="186" t="n"/>
      <c r="AT276" s="186" t="n"/>
      <c r="AU276" s="186" t="n"/>
      <c r="AV276" s="186" t="n"/>
      <c r="AW276" s="186" t="n"/>
      <c r="AX276" s="186" t="n"/>
      <c r="AY276" s="186" t="n"/>
      <c r="AZ276" s="186" t="n"/>
      <c r="BA276" s="186" t="n"/>
      <c r="BB276" s="186" t="n"/>
      <c r="BC276" s="186" t="n"/>
      <c r="BD276" s="190" t="n"/>
      <c r="BE276" s="186" t="n"/>
      <c r="BF276" s="186" t="n"/>
      <c r="BG276" s="186" t="n"/>
      <c r="BH276" s="186" t="n"/>
      <c r="BI276" s="186" t="n"/>
      <c r="BJ276" s="187" t="n"/>
      <c r="BK276" s="192" t="n"/>
      <c r="BL276" s="192" t="n"/>
      <c r="BM276" s="192" t="n"/>
      <c r="BN276" s="192" t="n"/>
    </row>
    <row r="277">
      <c r="A277" s="289">
        <f> 'Jobs-Ops'!A277</f>
        <v/>
      </c>
      <c r="B277" s="290">
        <f>'Jobs-Ops'!B277</f>
        <v/>
      </c>
      <c r="C277" s="290">
        <f>'Jobs-Ops'!C277</f>
        <v/>
      </c>
      <c r="D277" s="179" t="n"/>
      <c r="E277" s="181">
        <f>'Jobs-Ops'!I277</f>
        <v/>
      </c>
      <c r="F277" s="205">
        <f>'Jobs-Ops'!U277</f>
        <v/>
      </c>
      <c r="G277" s="181">
        <f>'Jobs-GAAP'!J277</f>
        <v/>
      </c>
      <c r="H277" s="205">
        <f>'Jobs-GAAP'!V277</f>
        <v/>
      </c>
      <c r="I277" s="181">
        <f>E277-G277</f>
        <v/>
      </c>
      <c r="J277" s="9">
        <f>'Jobs-Ops'!P277</f>
        <v/>
      </c>
      <c r="K277" s="9">
        <f>'Jobs-GAAP'!Q277</f>
        <v/>
      </c>
      <c r="L277" s="9">
        <f>J277-K277</f>
        <v/>
      </c>
      <c r="M277" s="186" t="n"/>
      <c r="N277" s="9">
        <f>'Jobs-Ops'!Y277</f>
        <v/>
      </c>
      <c r="O277" s="9">
        <f>'Jobs-GAAP'!Y277</f>
        <v/>
      </c>
      <c r="P277" s="9">
        <f>N277-O277</f>
        <v/>
      </c>
      <c r="Q277" s="186" t="n"/>
      <c r="R277" s="11">
        <f>'Jobs-Ops'!AL277</f>
        <v/>
      </c>
      <c r="S277" s="11">
        <f>'Jobs-GAAP'!AH277</f>
        <v/>
      </c>
      <c r="T277" s="11">
        <f>IFERROR(R277-S277,0)</f>
        <v/>
      </c>
      <c r="U277" s="8">
        <f>'Jobs-Ops'!AM277</f>
        <v/>
      </c>
      <c r="V277" s="8">
        <f>'Jobs-GAAP'!AI277</f>
        <v/>
      </c>
      <c r="W277" s="8">
        <f>IFERROR(U277-V277,0)</f>
        <v/>
      </c>
      <c r="X277" s="9">
        <f>'Jobs-Ops'!AN277</f>
        <v/>
      </c>
      <c r="Y277" s="9">
        <f>'Jobs-GAAP'!AJ277</f>
        <v/>
      </c>
      <c r="Z277" s="9">
        <f>IFERROR(X277-Y277,0)</f>
        <v/>
      </c>
      <c r="AA277" s="153">
        <f>'Jobs-Ops'!AO277</f>
        <v/>
      </c>
      <c r="AB277" s="187" t="n"/>
      <c r="AC277" s="186" t="n"/>
      <c r="AD277" s="186" t="n"/>
      <c r="AE277" s="188" t="n"/>
      <c r="AF277" s="187" t="n"/>
      <c r="AG277" s="187" t="n"/>
      <c r="AH277" s="186" t="n"/>
      <c r="AI277" s="186" t="n"/>
      <c r="AJ277" s="186" t="n"/>
      <c r="AK277" s="186" t="n"/>
      <c r="AL277" s="186" t="n"/>
      <c r="AM277" s="186" t="n"/>
      <c r="AN277" s="186" t="n"/>
      <c r="AO277" s="186" t="n"/>
      <c r="AP277" s="186" t="n"/>
      <c r="AQ277" s="186" t="n"/>
      <c r="AR277" s="186" t="n"/>
      <c r="AS277" s="186" t="n"/>
      <c r="AT277" s="186" t="n"/>
      <c r="AU277" s="186" t="n"/>
      <c r="AV277" s="186" t="n"/>
      <c r="AW277" s="186" t="n"/>
      <c r="AX277" s="186" t="n"/>
      <c r="AY277" s="186" t="n"/>
      <c r="AZ277" s="186" t="n"/>
      <c r="BA277" s="186" t="n"/>
      <c r="BB277" s="186" t="n"/>
      <c r="BC277" s="186" t="n"/>
      <c r="BD277" s="190" t="n"/>
      <c r="BE277" s="186" t="n"/>
      <c r="BF277" s="186" t="n"/>
      <c r="BG277" s="186" t="n"/>
      <c r="BH277" s="186" t="n"/>
      <c r="BI277" s="186" t="n"/>
      <c r="BJ277" s="187" t="n"/>
      <c r="BK277" s="192" t="n"/>
      <c r="BL277" s="192" t="n"/>
      <c r="BM277" s="192" t="n"/>
      <c r="BN277" s="192" t="n"/>
    </row>
    <row r="278">
      <c r="A278" s="289">
        <f> 'Jobs-Ops'!A278</f>
        <v/>
      </c>
      <c r="B278" s="290">
        <f>'Jobs-Ops'!B278</f>
        <v/>
      </c>
      <c r="C278" s="290">
        <f>'Jobs-Ops'!C278</f>
        <v/>
      </c>
      <c r="D278" s="179" t="n"/>
      <c r="E278" s="181">
        <f>'Jobs-Ops'!I278</f>
        <v/>
      </c>
      <c r="F278" s="205">
        <f>'Jobs-Ops'!U278</f>
        <v/>
      </c>
      <c r="G278" s="181">
        <f>'Jobs-GAAP'!J278</f>
        <v/>
      </c>
      <c r="H278" s="205">
        <f>'Jobs-GAAP'!V278</f>
        <v/>
      </c>
      <c r="I278" s="181">
        <f>E278-G278</f>
        <v/>
      </c>
      <c r="J278" s="9">
        <f>'Jobs-Ops'!P278</f>
        <v/>
      </c>
      <c r="K278" s="9">
        <f>'Jobs-GAAP'!Q278</f>
        <v/>
      </c>
      <c r="L278" s="9">
        <f>J278-K278</f>
        <v/>
      </c>
      <c r="M278" s="186" t="n"/>
      <c r="N278" s="9">
        <f>'Jobs-Ops'!Y278</f>
        <v/>
      </c>
      <c r="O278" s="9">
        <f>'Jobs-GAAP'!Y278</f>
        <v/>
      </c>
      <c r="P278" s="9">
        <f>N278-O278</f>
        <v/>
      </c>
      <c r="Q278" s="186" t="n"/>
      <c r="R278" s="11">
        <f>'Jobs-Ops'!AL278</f>
        <v/>
      </c>
      <c r="S278" s="11">
        <f>'Jobs-GAAP'!AH278</f>
        <v/>
      </c>
      <c r="T278" s="11">
        <f>IFERROR(R278-S278,0)</f>
        <v/>
      </c>
      <c r="U278" s="8">
        <f>'Jobs-Ops'!AM278</f>
        <v/>
      </c>
      <c r="V278" s="8">
        <f>'Jobs-GAAP'!AI278</f>
        <v/>
      </c>
      <c r="W278" s="8">
        <f>IFERROR(U278-V278,0)</f>
        <v/>
      </c>
      <c r="X278" s="9">
        <f>'Jobs-Ops'!AN278</f>
        <v/>
      </c>
      <c r="Y278" s="9">
        <f>'Jobs-GAAP'!AJ278</f>
        <v/>
      </c>
      <c r="Z278" s="9">
        <f>IFERROR(X278-Y278,0)</f>
        <v/>
      </c>
      <c r="AA278" s="153">
        <f>'Jobs-Ops'!AO278</f>
        <v/>
      </c>
      <c r="AB278" s="187" t="n"/>
      <c r="AC278" s="186" t="n"/>
      <c r="AD278" s="186" t="n"/>
      <c r="AE278" s="188" t="n"/>
      <c r="AF278" s="187" t="n"/>
      <c r="AG278" s="187" t="n"/>
      <c r="AH278" s="186" t="n"/>
      <c r="AI278" s="186" t="n"/>
      <c r="AJ278" s="186" t="n"/>
      <c r="AK278" s="186" t="n"/>
      <c r="AL278" s="186" t="n"/>
      <c r="AM278" s="186" t="n"/>
      <c r="AN278" s="186" t="n"/>
      <c r="AO278" s="186" t="n"/>
      <c r="AP278" s="186" t="n"/>
      <c r="AQ278" s="186" t="n"/>
      <c r="AR278" s="186" t="n"/>
      <c r="AS278" s="186" t="n"/>
      <c r="AT278" s="186" t="n"/>
      <c r="AU278" s="186" t="n"/>
      <c r="AV278" s="186" t="n"/>
      <c r="AW278" s="186" t="n"/>
      <c r="AX278" s="186" t="n"/>
      <c r="AY278" s="186" t="n"/>
      <c r="AZ278" s="186" t="n"/>
      <c r="BA278" s="186" t="n"/>
      <c r="BB278" s="186" t="n"/>
      <c r="BC278" s="186" t="n"/>
      <c r="BD278" s="190" t="n"/>
      <c r="BE278" s="186" t="n"/>
      <c r="BF278" s="186" t="n"/>
      <c r="BG278" s="186" t="n"/>
      <c r="BH278" s="186" t="n"/>
      <c r="BI278" s="186" t="n"/>
      <c r="BJ278" s="187" t="n"/>
      <c r="BK278" s="192" t="n"/>
      <c r="BL278" s="192" t="n"/>
      <c r="BM278" s="192" t="n"/>
      <c r="BN278" s="192" t="n"/>
    </row>
    <row r="279">
      <c r="A279" s="289">
        <f> 'Jobs-Ops'!A279</f>
        <v/>
      </c>
      <c r="B279" s="290">
        <f>'Jobs-Ops'!B279</f>
        <v/>
      </c>
      <c r="C279" s="290">
        <f>'Jobs-Ops'!C279</f>
        <v/>
      </c>
      <c r="D279" s="179" t="n"/>
      <c r="E279" s="181">
        <f>'Jobs-Ops'!I279</f>
        <v/>
      </c>
      <c r="F279" s="205">
        <f>'Jobs-Ops'!U279</f>
        <v/>
      </c>
      <c r="G279" s="181">
        <f>'Jobs-GAAP'!J279</f>
        <v/>
      </c>
      <c r="H279" s="205">
        <f>'Jobs-GAAP'!V279</f>
        <v/>
      </c>
      <c r="I279" s="181">
        <f>E279-G279</f>
        <v/>
      </c>
      <c r="J279" s="9">
        <f>'Jobs-Ops'!P279</f>
        <v/>
      </c>
      <c r="K279" s="9">
        <f>'Jobs-GAAP'!Q279</f>
        <v/>
      </c>
      <c r="L279" s="9">
        <f>J279-K279</f>
        <v/>
      </c>
      <c r="M279" s="186" t="n"/>
      <c r="N279" s="9">
        <f>'Jobs-Ops'!Y279</f>
        <v/>
      </c>
      <c r="O279" s="9">
        <f>'Jobs-GAAP'!Y279</f>
        <v/>
      </c>
      <c r="P279" s="9">
        <f>N279-O279</f>
        <v/>
      </c>
      <c r="Q279" s="186" t="n"/>
      <c r="R279" s="11">
        <f>'Jobs-Ops'!AL279</f>
        <v/>
      </c>
      <c r="S279" s="11">
        <f>'Jobs-GAAP'!AH279</f>
        <v/>
      </c>
      <c r="T279" s="11">
        <f>IFERROR(R279-S279,0)</f>
        <v/>
      </c>
      <c r="U279" s="8">
        <f>'Jobs-Ops'!AM279</f>
        <v/>
      </c>
      <c r="V279" s="8">
        <f>'Jobs-GAAP'!AI279</f>
        <v/>
      </c>
      <c r="W279" s="8">
        <f>IFERROR(U279-V279,0)</f>
        <v/>
      </c>
      <c r="X279" s="9">
        <f>'Jobs-Ops'!AN279</f>
        <v/>
      </c>
      <c r="Y279" s="9">
        <f>'Jobs-GAAP'!AJ279</f>
        <v/>
      </c>
      <c r="Z279" s="9">
        <f>IFERROR(X279-Y279,0)</f>
        <v/>
      </c>
      <c r="AA279" s="153">
        <f>'Jobs-Ops'!AO279</f>
        <v/>
      </c>
      <c r="AB279" s="187" t="n"/>
      <c r="AC279" s="186" t="n"/>
      <c r="AD279" s="186" t="n"/>
      <c r="AE279" s="188" t="n"/>
      <c r="AF279" s="187" t="n"/>
      <c r="AG279" s="187" t="n"/>
      <c r="AH279" s="186" t="n"/>
      <c r="AI279" s="186" t="n"/>
      <c r="AJ279" s="186" t="n"/>
      <c r="AK279" s="186" t="n"/>
      <c r="AL279" s="186" t="n"/>
      <c r="AM279" s="186" t="n"/>
      <c r="AN279" s="186" t="n"/>
      <c r="AO279" s="186" t="n"/>
      <c r="AP279" s="186" t="n"/>
      <c r="AQ279" s="186" t="n"/>
      <c r="AR279" s="186" t="n"/>
      <c r="AS279" s="186" t="n"/>
      <c r="AT279" s="186" t="n"/>
      <c r="AU279" s="186" t="n"/>
      <c r="AV279" s="186" t="n"/>
      <c r="AW279" s="186" t="n"/>
      <c r="AX279" s="186" t="n"/>
      <c r="AY279" s="186" t="n"/>
      <c r="AZ279" s="186" t="n"/>
      <c r="BA279" s="186" t="n"/>
      <c r="BB279" s="186" t="n"/>
      <c r="BC279" s="186" t="n"/>
      <c r="BD279" s="190" t="n"/>
      <c r="BE279" s="186" t="n"/>
      <c r="BF279" s="186" t="n"/>
      <c r="BG279" s="186" t="n"/>
      <c r="BH279" s="186" t="n"/>
      <c r="BI279" s="186" t="n"/>
      <c r="BJ279" s="187" t="n"/>
      <c r="BK279" s="192" t="n"/>
      <c r="BL279" s="192" t="n"/>
      <c r="BM279" s="192" t="n"/>
      <c r="BN279" s="192" t="n"/>
    </row>
    <row r="280">
      <c r="A280" s="289">
        <f> 'Jobs-Ops'!A280</f>
        <v/>
      </c>
      <c r="B280" s="290">
        <f>'Jobs-Ops'!B280</f>
        <v/>
      </c>
      <c r="C280" s="290">
        <f>'Jobs-Ops'!C280</f>
        <v/>
      </c>
      <c r="D280" s="179" t="n"/>
      <c r="E280" s="181">
        <f>'Jobs-Ops'!I280</f>
        <v/>
      </c>
      <c r="F280" s="205">
        <f>'Jobs-Ops'!U280</f>
        <v/>
      </c>
      <c r="G280" s="181">
        <f>'Jobs-GAAP'!J280</f>
        <v/>
      </c>
      <c r="H280" s="205">
        <f>'Jobs-GAAP'!V280</f>
        <v/>
      </c>
      <c r="I280" s="181">
        <f>E280-G280</f>
        <v/>
      </c>
      <c r="J280" s="9">
        <f>'Jobs-Ops'!P280</f>
        <v/>
      </c>
      <c r="K280" s="9">
        <f>'Jobs-GAAP'!Q280</f>
        <v/>
      </c>
      <c r="L280" s="9">
        <f>J280-K280</f>
        <v/>
      </c>
      <c r="M280" s="186" t="n"/>
      <c r="N280" s="9">
        <f>'Jobs-Ops'!Y280</f>
        <v/>
      </c>
      <c r="O280" s="9">
        <f>'Jobs-GAAP'!Y280</f>
        <v/>
      </c>
      <c r="P280" s="9">
        <f>N280-O280</f>
        <v/>
      </c>
      <c r="Q280" s="186" t="n"/>
      <c r="R280" s="11">
        <f>'Jobs-Ops'!AL280</f>
        <v/>
      </c>
      <c r="S280" s="11">
        <f>'Jobs-GAAP'!AH280</f>
        <v/>
      </c>
      <c r="T280" s="11">
        <f>IFERROR(R280-S280,0)</f>
        <v/>
      </c>
      <c r="U280" s="8">
        <f>'Jobs-Ops'!AM280</f>
        <v/>
      </c>
      <c r="V280" s="8">
        <f>'Jobs-GAAP'!AI280</f>
        <v/>
      </c>
      <c r="W280" s="8">
        <f>IFERROR(U280-V280,0)</f>
        <v/>
      </c>
      <c r="X280" s="9">
        <f>'Jobs-Ops'!AN280</f>
        <v/>
      </c>
      <c r="Y280" s="9">
        <f>'Jobs-GAAP'!AJ280</f>
        <v/>
      </c>
      <c r="Z280" s="9">
        <f>IFERROR(X280-Y280,0)</f>
        <v/>
      </c>
      <c r="AA280" s="153">
        <f>'Jobs-Ops'!AO280</f>
        <v/>
      </c>
      <c r="AB280" s="187" t="n"/>
      <c r="AC280" s="186" t="n"/>
      <c r="AD280" s="186" t="n"/>
      <c r="AE280" s="188" t="n"/>
      <c r="AF280" s="187" t="n"/>
      <c r="AG280" s="187" t="n"/>
      <c r="AH280" s="186" t="n"/>
      <c r="AI280" s="186" t="n"/>
      <c r="AJ280" s="186" t="n"/>
      <c r="AK280" s="186" t="n"/>
      <c r="AL280" s="186" t="n"/>
      <c r="AM280" s="186" t="n"/>
      <c r="AN280" s="186" t="n"/>
      <c r="AO280" s="186" t="n"/>
      <c r="AP280" s="186" t="n"/>
      <c r="AQ280" s="186" t="n"/>
      <c r="AR280" s="186" t="n"/>
      <c r="AS280" s="186" t="n"/>
      <c r="AT280" s="186" t="n"/>
      <c r="AU280" s="186" t="n"/>
      <c r="AV280" s="186" t="n"/>
      <c r="AW280" s="186" t="n"/>
      <c r="AX280" s="186" t="n"/>
      <c r="AY280" s="186" t="n"/>
      <c r="AZ280" s="186" t="n"/>
      <c r="BA280" s="186" t="n"/>
      <c r="BB280" s="186" t="n"/>
      <c r="BC280" s="186" t="n"/>
      <c r="BD280" s="190" t="n"/>
      <c r="BE280" s="186" t="n"/>
      <c r="BF280" s="186" t="n"/>
      <c r="BG280" s="186" t="n"/>
      <c r="BH280" s="186" t="n"/>
      <c r="BI280" s="186" t="n"/>
      <c r="BJ280" s="187" t="n"/>
      <c r="BK280" s="192" t="n"/>
      <c r="BL280" s="192" t="n"/>
      <c r="BM280" s="192" t="n"/>
      <c r="BN280" s="192" t="n"/>
    </row>
    <row r="281">
      <c r="A281" s="289">
        <f> 'Jobs-Ops'!A281</f>
        <v/>
      </c>
      <c r="B281" s="290">
        <f>'Jobs-Ops'!B281</f>
        <v/>
      </c>
      <c r="C281" s="290">
        <f>'Jobs-Ops'!C281</f>
        <v/>
      </c>
      <c r="D281" s="179" t="n"/>
      <c r="E281" s="181">
        <f>'Jobs-Ops'!I281</f>
        <v/>
      </c>
      <c r="F281" s="205">
        <f>'Jobs-Ops'!U281</f>
        <v/>
      </c>
      <c r="G281" s="181">
        <f>'Jobs-GAAP'!J281</f>
        <v/>
      </c>
      <c r="H281" s="205">
        <f>'Jobs-GAAP'!V281</f>
        <v/>
      </c>
      <c r="I281" s="181">
        <f>E281-G281</f>
        <v/>
      </c>
      <c r="J281" s="9">
        <f>'Jobs-Ops'!P281</f>
        <v/>
      </c>
      <c r="K281" s="9">
        <f>'Jobs-GAAP'!Q281</f>
        <v/>
      </c>
      <c r="L281" s="9">
        <f>J281-K281</f>
        <v/>
      </c>
      <c r="M281" s="186" t="n"/>
      <c r="N281" s="9">
        <f>'Jobs-Ops'!Y281</f>
        <v/>
      </c>
      <c r="O281" s="9">
        <f>'Jobs-GAAP'!Y281</f>
        <v/>
      </c>
      <c r="P281" s="9">
        <f>N281-O281</f>
        <v/>
      </c>
      <c r="Q281" s="186" t="n"/>
      <c r="R281" s="11">
        <f>'Jobs-Ops'!AL281</f>
        <v/>
      </c>
      <c r="S281" s="11">
        <f>'Jobs-GAAP'!AH281</f>
        <v/>
      </c>
      <c r="T281" s="11">
        <f>IFERROR(R281-S281,0)</f>
        <v/>
      </c>
      <c r="U281" s="8">
        <f>'Jobs-Ops'!AM281</f>
        <v/>
      </c>
      <c r="V281" s="8">
        <f>'Jobs-GAAP'!AI281</f>
        <v/>
      </c>
      <c r="W281" s="8">
        <f>IFERROR(U281-V281,0)</f>
        <v/>
      </c>
      <c r="X281" s="9">
        <f>'Jobs-Ops'!AN281</f>
        <v/>
      </c>
      <c r="Y281" s="9">
        <f>'Jobs-GAAP'!AJ281</f>
        <v/>
      </c>
      <c r="Z281" s="9">
        <f>IFERROR(X281-Y281,0)</f>
        <v/>
      </c>
      <c r="AA281" s="153">
        <f>'Jobs-Ops'!AO281</f>
        <v/>
      </c>
      <c r="AB281" s="187" t="n"/>
      <c r="AC281" s="186" t="n"/>
      <c r="AD281" s="186" t="n"/>
      <c r="AE281" s="188" t="n"/>
      <c r="AF281" s="187" t="n"/>
      <c r="AG281" s="187" t="n"/>
      <c r="AH281" s="186" t="n"/>
      <c r="AI281" s="186" t="n"/>
      <c r="AJ281" s="186" t="n"/>
      <c r="AK281" s="186" t="n"/>
      <c r="AL281" s="186" t="n"/>
      <c r="AM281" s="186" t="n"/>
      <c r="AN281" s="186" t="n"/>
      <c r="AO281" s="186" t="n"/>
      <c r="AP281" s="186" t="n"/>
      <c r="AQ281" s="186" t="n"/>
      <c r="AR281" s="186" t="n"/>
      <c r="AS281" s="186" t="n"/>
      <c r="AT281" s="186" t="n"/>
      <c r="AU281" s="186" t="n"/>
      <c r="AV281" s="186" t="n"/>
      <c r="AW281" s="186" t="n"/>
      <c r="AX281" s="186" t="n"/>
      <c r="AY281" s="186" t="n"/>
      <c r="AZ281" s="186" t="n"/>
      <c r="BA281" s="186" t="n"/>
      <c r="BB281" s="186" t="n"/>
      <c r="BC281" s="186" t="n"/>
      <c r="BD281" s="190" t="n"/>
      <c r="BE281" s="186" t="n"/>
      <c r="BF281" s="186" t="n"/>
      <c r="BG281" s="186" t="n"/>
      <c r="BH281" s="186" t="n"/>
      <c r="BI281" s="186" t="n"/>
      <c r="BJ281" s="187" t="n"/>
      <c r="BK281" s="192" t="n"/>
      <c r="BL281" s="192" t="n"/>
      <c r="BM281" s="192" t="n"/>
      <c r="BN281" s="192" t="n"/>
    </row>
    <row r="282">
      <c r="A282" s="289">
        <f> 'Jobs-Ops'!A282</f>
        <v/>
      </c>
      <c r="B282" s="290">
        <f>'Jobs-Ops'!B282</f>
        <v/>
      </c>
      <c r="C282" s="290">
        <f>'Jobs-Ops'!C282</f>
        <v/>
      </c>
      <c r="D282" s="179" t="n"/>
      <c r="E282" s="181">
        <f>'Jobs-Ops'!I282</f>
        <v/>
      </c>
      <c r="F282" s="205">
        <f>'Jobs-Ops'!U282</f>
        <v/>
      </c>
      <c r="G282" s="181">
        <f>'Jobs-GAAP'!J282</f>
        <v/>
      </c>
      <c r="H282" s="205">
        <f>'Jobs-GAAP'!V282</f>
        <v/>
      </c>
      <c r="I282" s="181">
        <f>E282-G282</f>
        <v/>
      </c>
      <c r="J282" s="9">
        <f>'Jobs-Ops'!P282</f>
        <v/>
      </c>
      <c r="K282" s="9">
        <f>'Jobs-GAAP'!Q282</f>
        <v/>
      </c>
      <c r="L282" s="9">
        <f>J282-K282</f>
        <v/>
      </c>
      <c r="M282" s="186" t="n"/>
      <c r="N282" s="9">
        <f>'Jobs-Ops'!Y282</f>
        <v/>
      </c>
      <c r="O282" s="9">
        <f>'Jobs-GAAP'!Y282</f>
        <v/>
      </c>
      <c r="P282" s="9">
        <f>N282-O282</f>
        <v/>
      </c>
      <c r="Q282" s="186" t="n"/>
      <c r="R282" s="11">
        <f>'Jobs-Ops'!AL282</f>
        <v/>
      </c>
      <c r="S282" s="11">
        <f>'Jobs-GAAP'!AH282</f>
        <v/>
      </c>
      <c r="T282" s="11">
        <f>IFERROR(R282-S282,0)</f>
        <v/>
      </c>
      <c r="U282" s="8">
        <f>'Jobs-Ops'!AM282</f>
        <v/>
      </c>
      <c r="V282" s="8">
        <f>'Jobs-GAAP'!AI282</f>
        <v/>
      </c>
      <c r="W282" s="8">
        <f>IFERROR(U282-V282,0)</f>
        <v/>
      </c>
      <c r="X282" s="9">
        <f>'Jobs-Ops'!AN282</f>
        <v/>
      </c>
      <c r="Y282" s="9">
        <f>'Jobs-GAAP'!AJ282</f>
        <v/>
      </c>
      <c r="Z282" s="9">
        <f>IFERROR(X282-Y282,0)</f>
        <v/>
      </c>
      <c r="AA282" s="153">
        <f>'Jobs-Ops'!AO282</f>
        <v/>
      </c>
      <c r="AB282" s="187" t="n"/>
      <c r="AC282" s="186" t="n"/>
      <c r="AD282" s="186" t="n"/>
      <c r="AE282" s="188" t="n"/>
      <c r="AF282" s="187" t="n"/>
      <c r="AG282" s="187" t="n"/>
      <c r="AH282" s="186" t="n"/>
      <c r="AI282" s="186" t="n"/>
      <c r="AJ282" s="186" t="n"/>
      <c r="AK282" s="186" t="n"/>
      <c r="AL282" s="186" t="n"/>
      <c r="AM282" s="186" t="n"/>
      <c r="AN282" s="186" t="n"/>
      <c r="AO282" s="186" t="n"/>
      <c r="AP282" s="186" t="n"/>
      <c r="AQ282" s="186" t="n"/>
      <c r="AR282" s="186" t="n"/>
      <c r="AS282" s="186" t="n"/>
      <c r="AT282" s="186" t="n"/>
      <c r="AU282" s="186" t="n"/>
      <c r="AV282" s="186" t="n"/>
      <c r="AW282" s="186" t="n"/>
      <c r="AX282" s="186" t="n"/>
      <c r="AY282" s="186" t="n"/>
      <c r="AZ282" s="186" t="n"/>
      <c r="BA282" s="186" t="n"/>
      <c r="BB282" s="186" t="n"/>
      <c r="BC282" s="186" t="n"/>
      <c r="BD282" s="190" t="n"/>
      <c r="BE282" s="186" t="n"/>
      <c r="BF282" s="186" t="n"/>
      <c r="BG282" s="186" t="n"/>
      <c r="BH282" s="186" t="n"/>
      <c r="BI282" s="186" t="n"/>
      <c r="BJ282" s="187" t="n"/>
      <c r="BK282" s="192" t="n"/>
      <c r="BL282" s="192" t="n"/>
      <c r="BM282" s="192" t="n"/>
      <c r="BN282" s="192" t="n"/>
    </row>
    <row r="283">
      <c r="A283" s="289">
        <f> 'Jobs-Ops'!A283</f>
        <v/>
      </c>
      <c r="B283" s="290">
        <f>'Jobs-Ops'!B283</f>
        <v/>
      </c>
      <c r="C283" s="290">
        <f>'Jobs-Ops'!C283</f>
        <v/>
      </c>
      <c r="D283" s="179" t="n"/>
      <c r="E283" s="181">
        <f>'Jobs-Ops'!I283</f>
        <v/>
      </c>
      <c r="F283" s="205">
        <f>'Jobs-Ops'!U283</f>
        <v/>
      </c>
      <c r="G283" s="181">
        <f>'Jobs-GAAP'!J283</f>
        <v/>
      </c>
      <c r="H283" s="205">
        <f>'Jobs-GAAP'!V283</f>
        <v/>
      </c>
      <c r="I283" s="181">
        <f>E283-G283</f>
        <v/>
      </c>
      <c r="J283" s="9">
        <f>'Jobs-Ops'!P283</f>
        <v/>
      </c>
      <c r="K283" s="9">
        <f>'Jobs-GAAP'!Q283</f>
        <v/>
      </c>
      <c r="L283" s="9">
        <f>J283-K283</f>
        <v/>
      </c>
      <c r="M283" s="186" t="n"/>
      <c r="N283" s="9">
        <f>'Jobs-Ops'!Y283</f>
        <v/>
      </c>
      <c r="O283" s="9">
        <f>'Jobs-GAAP'!Y283</f>
        <v/>
      </c>
      <c r="P283" s="9">
        <f>N283-O283</f>
        <v/>
      </c>
      <c r="Q283" s="186" t="n"/>
      <c r="R283" s="11">
        <f>'Jobs-Ops'!AL283</f>
        <v/>
      </c>
      <c r="S283" s="11">
        <f>'Jobs-GAAP'!AH283</f>
        <v/>
      </c>
      <c r="T283" s="11">
        <f>IFERROR(R283-S283,0)</f>
        <v/>
      </c>
      <c r="U283" s="8">
        <f>'Jobs-Ops'!AM283</f>
        <v/>
      </c>
      <c r="V283" s="8">
        <f>'Jobs-GAAP'!AI283</f>
        <v/>
      </c>
      <c r="W283" s="8">
        <f>IFERROR(U283-V283,0)</f>
        <v/>
      </c>
      <c r="X283" s="9">
        <f>'Jobs-Ops'!AN283</f>
        <v/>
      </c>
      <c r="Y283" s="9">
        <f>'Jobs-GAAP'!AJ283</f>
        <v/>
      </c>
      <c r="Z283" s="9">
        <f>IFERROR(X283-Y283,0)</f>
        <v/>
      </c>
      <c r="AA283" s="153">
        <f>'Jobs-Ops'!AO283</f>
        <v/>
      </c>
      <c r="AB283" s="187" t="n"/>
      <c r="AC283" s="186" t="n"/>
      <c r="AD283" s="186" t="n"/>
      <c r="AE283" s="188" t="n"/>
      <c r="AF283" s="187" t="n"/>
      <c r="AG283" s="187" t="n"/>
      <c r="AH283" s="186" t="n"/>
      <c r="AI283" s="186" t="n"/>
      <c r="AJ283" s="186" t="n"/>
      <c r="AK283" s="186" t="n"/>
      <c r="AL283" s="186" t="n"/>
      <c r="AM283" s="186" t="n"/>
      <c r="AN283" s="186" t="n"/>
      <c r="AO283" s="186" t="n"/>
      <c r="AP283" s="186" t="n"/>
      <c r="AQ283" s="186" t="n"/>
      <c r="AR283" s="186" t="n"/>
      <c r="AS283" s="186" t="n"/>
      <c r="AT283" s="186" t="n"/>
      <c r="AU283" s="186" t="n"/>
      <c r="AV283" s="186" t="n"/>
      <c r="AW283" s="186" t="n"/>
      <c r="AX283" s="186" t="n"/>
      <c r="AY283" s="186" t="n"/>
      <c r="AZ283" s="186" t="n"/>
      <c r="BA283" s="186" t="n"/>
      <c r="BB283" s="186" t="n"/>
      <c r="BC283" s="186" t="n"/>
      <c r="BD283" s="190" t="n"/>
      <c r="BE283" s="186" t="n"/>
      <c r="BF283" s="186" t="n"/>
      <c r="BG283" s="186" t="n"/>
      <c r="BH283" s="186" t="n"/>
      <c r="BI283" s="186" t="n"/>
      <c r="BJ283" s="187" t="n"/>
      <c r="BK283" s="192" t="n"/>
      <c r="BL283" s="192" t="n"/>
      <c r="BM283" s="192" t="n"/>
      <c r="BN283" s="192" t="n"/>
    </row>
    <row r="284">
      <c r="A284" s="289">
        <f> 'Jobs-Ops'!A284</f>
        <v/>
      </c>
      <c r="B284" s="290">
        <f>'Jobs-Ops'!B284</f>
        <v/>
      </c>
      <c r="C284" s="290">
        <f>'Jobs-Ops'!C284</f>
        <v/>
      </c>
      <c r="D284" s="179" t="n"/>
      <c r="E284" s="181">
        <f>'Jobs-Ops'!I284</f>
        <v/>
      </c>
      <c r="F284" s="205">
        <f>'Jobs-Ops'!U284</f>
        <v/>
      </c>
      <c r="G284" s="181">
        <f>'Jobs-GAAP'!J284</f>
        <v/>
      </c>
      <c r="H284" s="205">
        <f>'Jobs-GAAP'!V284</f>
        <v/>
      </c>
      <c r="I284" s="181">
        <f>E284-G284</f>
        <v/>
      </c>
      <c r="J284" s="9">
        <f>'Jobs-Ops'!P284</f>
        <v/>
      </c>
      <c r="K284" s="9">
        <f>'Jobs-GAAP'!Q284</f>
        <v/>
      </c>
      <c r="L284" s="9">
        <f>J284-K284</f>
        <v/>
      </c>
      <c r="M284" s="186" t="n"/>
      <c r="N284" s="9">
        <f>'Jobs-Ops'!Y284</f>
        <v/>
      </c>
      <c r="O284" s="9">
        <f>'Jobs-GAAP'!Y284</f>
        <v/>
      </c>
      <c r="P284" s="9">
        <f>N284-O284</f>
        <v/>
      </c>
      <c r="Q284" s="186" t="n"/>
      <c r="R284" s="11">
        <f>'Jobs-Ops'!AL284</f>
        <v/>
      </c>
      <c r="S284" s="11">
        <f>'Jobs-GAAP'!AH284</f>
        <v/>
      </c>
      <c r="T284" s="11">
        <f>IFERROR(R284-S284,0)</f>
        <v/>
      </c>
      <c r="U284" s="8">
        <f>'Jobs-Ops'!AM284</f>
        <v/>
      </c>
      <c r="V284" s="8">
        <f>'Jobs-GAAP'!AI284</f>
        <v/>
      </c>
      <c r="W284" s="8">
        <f>IFERROR(U284-V284,0)</f>
        <v/>
      </c>
      <c r="X284" s="9">
        <f>'Jobs-Ops'!AN284</f>
        <v/>
      </c>
      <c r="Y284" s="9">
        <f>'Jobs-GAAP'!AJ284</f>
        <v/>
      </c>
      <c r="Z284" s="9">
        <f>IFERROR(X284-Y284,0)</f>
        <v/>
      </c>
      <c r="AA284" s="153">
        <f>'Jobs-Ops'!AO284</f>
        <v/>
      </c>
      <c r="AB284" s="187" t="n"/>
      <c r="AC284" s="186" t="n"/>
      <c r="AD284" s="186" t="n"/>
      <c r="AE284" s="188" t="n"/>
      <c r="AF284" s="187" t="n"/>
      <c r="AG284" s="187" t="n"/>
      <c r="AH284" s="186" t="n"/>
      <c r="AI284" s="186" t="n"/>
      <c r="AJ284" s="186" t="n"/>
      <c r="AK284" s="186" t="n"/>
      <c r="AL284" s="186" t="n"/>
      <c r="AM284" s="186" t="n"/>
      <c r="AN284" s="186" t="n"/>
      <c r="AO284" s="186" t="n"/>
      <c r="AP284" s="186" t="n"/>
      <c r="AQ284" s="186" t="n"/>
      <c r="AR284" s="186" t="n"/>
      <c r="AS284" s="186" t="n"/>
      <c r="AT284" s="186" t="n"/>
      <c r="AU284" s="186" t="n"/>
      <c r="AV284" s="186" t="n"/>
      <c r="AW284" s="186" t="n"/>
      <c r="AX284" s="186" t="n"/>
      <c r="AY284" s="186" t="n"/>
      <c r="AZ284" s="186" t="n"/>
      <c r="BA284" s="186" t="n"/>
      <c r="BB284" s="186" t="n"/>
      <c r="BC284" s="186" t="n"/>
      <c r="BD284" s="190" t="n"/>
      <c r="BE284" s="186" t="n"/>
      <c r="BF284" s="186" t="n"/>
      <c r="BG284" s="186" t="n"/>
      <c r="BH284" s="186" t="n"/>
      <c r="BI284" s="186" t="n"/>
      <c r="BJ284" s="187" t="n"/>
      <c r="BK284" s="192" t="n"/>
      <c r="BL284" s="192" t="n"/>
      <c r="BM284" s="192" t="n"/>
      <c r="BN284" s="192" t="n"/>
    </row>
    <row r="285">
      <c r="A285" s="289">
        <f> 'Jobs-Ops'!A285</f>
        <v/>
      </c>
      <c r="B285" s="290">
        <f>'Jobs-Ops'!B285</f>
        <v/>
      </c>
      <c r="C285" s="290">
        <f>'Jobs-Ops'!C285</f>
        <v/>
      </c>
      <c r="D285" s="179" t="n"/>
      <c r="E285" s="181">
        <f>'Jobs-Ops'!I285</f>
        <v/>
      </c>
      <c r="F285" s="205">
        <f>'Jobs-Ops'!U285</f>
        <v/>
      </c>
      <c r="G285" s="181">
        <f>'Jobs-GAAP'!J285</f>
        <v/>
      </c>
      <c r="H285" s="205">
        <f>'Jobs-GAAP'!V285</f>
        <v/>
      </c>
      <c r="I285" s="181">
        <f>E285-G285</f>
        <v/>
      </c>
      <c r="J285" s="9">
        <f>'Jobs-Ops'!P285</f>
        <v/>
      </c>
      <c r="K285" s="9">
        <f>'Jobs-GAAP'!Q285</f>
        <v/>
      </c>
      <c r="L285" s="9">
        <f>J285-K285</f>
        <v/>
      </c>
      <c r="M285" s="186" t="n"/>
      <c r="N285" s="9">
        <f>'Jobs-Ops'!Y285</f>
        <v/>
      </c>
      <c r="O285" s="9">
        <f>'Jobs-GAAP'!Y285</f>
        <v/>
      </c>
      <c r="P285" s="9">
        <f>N285-O285</f>
        <v/>
      </c>
      <c r="Q285" s="186" t="n"/>
      <c r="R285" s="11">
        <f>'Jobs-Ops'!AL285</f>
        <v/>
      </c>
      <c r="S285" s="11">
        <f>'Jobs-GAAP'!AH285</f>
        <v/>
      </c>
      <c r="T285" s="11">
        <f>IFERROR(R285-S285,0)</f>
        <v/>
      </c>
      <c r="U285" s="8">
        <f>'Jobs-Ops'!AM285</f>
        <v/>
      </c>
      <c r="V285" s="8">
        <f>'Jobs-GAAP'!AI285</f>
        <v/>
      </c>
      <c r="W285" s="8">
        <f>IFERROR(U285-V285,0)</f>
        <v/>
      </c>
      <c r="X285" s="9">
        <f>'Jobs-Ops'!AN285</f>
        <v/>
      </c>
      <c r="Y285" s="9">
        <f>'Jobs-GAAP'!AJ285</f>
        <v/>
      </c>
      <c r="Z285" s="9">
        <f>IFERROR(X285-Y285,0)</f>
        <v/>
      </c>
      <c r="AA285" s="153">
        <f>'Jobs-Ops'!AO285</f>
        <v/>
      </c>
      <c r="AB285" s="187" t="n"/>
      <c r="AC285" s="186" t="n"/>
      <c r="AD285" s="186" t="n"/>
      <c r="AE285" s="188" t="n"/>
      <c r="AF285" s="187" t="n"/>
      <c r="AG285" s="187" t="n"/>
      <c r="AH285" s="186" t="n"/>
      <c r="AI285" s="186" t="n"/>
      <c r="AJ285" s="186" t="n"/>
      <c r="AK285" s="186" t="n"/>
      <c r="AL285" s="186" t="n"/>
      <c r="AM285" s="186" t="n"/>
      <c r="AN285" s="186" t="n"/>
      <c r="AO285" s="186" t="n"/>
      <c r="AP285" s="186" t="n"/>
      <c r="AQ285" s="186" t="n"/>
      <c r="AR285" s="186" t="n"/>
      <c r="AS285" s="186" t="n"/>
      <c r="AT285" s="186" t="n"/>
      <c r="AU285" s="186" t="n"/>
      <c r="AV285" s="186" t="n"/>
      <c r="AW285" s="186" t="n"/>
      <c r="AX285" s="186" t="n"/>
      <c r="AY285" s="186" t="n"/>
      <c r="AZ285" s="186" t="n"/>
      <c r="BA285" s="186" t="n"/>
      <c r="BB285" s="186" t="n"/>
      <c r="BC285" s="186" t="n"/>
      <c r="BD285" s="190" t="n"/>
      <c r="BE285" s="186" t="n"/>
      <c r="BF285" s="186" t="n"/>
      <c r="BG285" s="186" t="n"/>
      <c r="BH285" s="186" t="n"/>
      <c r="BI285" s="186" t="n"/>
      <c r="BJ285" s="187" t="n"/>
      <c r="BK285" s="192" t="n"/>
      <c r="BL285" s="192" t="n"/>
      <c r="BM285" s="192" t="n"/>
      <c r="BN285" s="192" t="n"/>
    </row>
    <row r="286">
      <c r="A286" s="289">
        <f> 'Jobs-Ops'!A286</f>
        <v/>
      </c>
      <c r="B286" s="290">
        <f>'Jobs-Ops'!B286</f>
        <v/>
      </c>
      <c r="C286" s="290">
        <f>'Jobs-Ops'!C286</f>
        <v/>
      </c>
      <c r="D286" s="179" t="n"/>
      <c r="E286" s="181">
        <f>'Jobs-Ops'!I286</f>
        <v/>
      </c>
      <c r="F286" s="205">
        <f>'Jobs-Ops'!U286</f>
        <v/>
      </c>
      <c r="G286" s="181">
        <f>'Jobs-GAAP'!J286</f>
        <v/>
      </c>
      <c r="H286" s="205">
        <f>'Jobs-GAAP'!V286</f>
        <v/>
      </c>
      <c r="I286" s="181">
        <f>E286-G286</f>
        <v/>
      </c>
      <c r="J286" s="9">
        <f>'Jobs-Ops'!P286</f>
        <v/>
      </c>
      <c r="K286" s="9">
        <f>'Jobs-GAAP'!Q286</f>
        <v/>
      </c>
      <c r="L286" s="9">
        <f>J286-K286</f>
        <v/>
      </c>
      <c r="M286" s="186" t="n"/>
      <c r="N286" s="9">
        <f>'Jobs-Ops'!Y286</f>
        <v/>
      </c>
      <c r="O286" s="9">
        <f>'Jobs-GAAP'!Y286</f>
        <v/>
      </c>
      <c r="P286" s="9">
        <f>N286-O286</f>
        <v/>
      </c>
      <c r="Q286" s="186" t="n"/>
      <c r="R286" s="11">
        <f>'Jobs-Ops'!AL286</f>
        <v/>
      </c>
      <c r="S286" s="11">
        <f>'Jobs-GAAP'!AH286</f>
        <v/>
      </c>
      <c r="T286" s="11">
        <f>IFERROR(R286-S286,0)</f>
        <v/>
      </c>
      <c r="U286" s="8">
        <f>'Jobs-Ops'!AM286</f>
        <v/>
      </c>
      <c r="V286" s="8">
        <f>'Jobs-GAAP'!AI286</f>
        <v/>
      </c>
      <c r="W286" s="8">
        <f>IFERROR(U286-V286,0)</f>
        <v/>
      </c>
      <c r="X286" s="9">
        <f>'Jobs-Ops'!AN286</f>
        <v/>
      </c>
      <c r="Y286" s="9">
        <f>'Jobs-GAAP'!AJ286</f>
        <v/>
      </c>
      <c r="Z286" s="9">
        <f>IFERROR(X286-Y286,0)</f>
        <v/>
      </c>
      <c r="AA286" s="153">
        <f>'Jobs-Ops'!AO286</f>
        <v/>
      </c>
      <c r="AB286" s="187" t="n"/>
      <c r="AC286" s="186" t="n"/>
      <c r="AD286" s="186" t="n"/>
      <c r="AE286" s="188" t="n"/>
      <c r="AF286" s="187" t="n"/>
      <c r="AG286" s="187" t="n"/>
      <c r="AH286" s="186" t="n"/>
      <c r="AI286" s="186" t="n"/>
      <c r="AJ286" s="186" t="n"/>
      <c r="AK286" s="186" t="n"/>
      <c r="AL286" s="186" t="n"/>
      <c r="AM286" s="186" t="n"/>
      <c r="AN286" s="186" t="n"/>
      <c r="AO286" s="186" t="n"/>
      <c r="AP286" s="186" t="n"/>
      <c r="AQ286" s="186" t="n"/>
      <c r="AR286" s="186" t="n"/>
      <c r="AS286" s="186" t="n"/>
      <c r="AT286" s="186" t="n"/>
      <c r="AU286" s="186" t="n"/>
      <c r="AV286" s="186" t="n"/>
      <c r="AW286" s="186" t="n"/>
      <c r="AX286" s="186" t="n"/>
      <c r="AY286" s="186" t="n"/>
      <c r="AZ286" s="186" t="n"/>
      <c r="BA286" s="186" t="n"/>
      <c r="BB286" s="186" t="n"/>
      <c r="BC286" s="186" t="n"/>
      <c r="BD286" s="190" t="n"/>
      <c r="BE286" s="186" t="n"/>
      <c r="BF286" s="186" t="n"/>
      <c r="BG286" s="186" t="n"/>
      <c r="BH286" s="186" t="n"/>
      <c r="BI286" s="186" t="n"/>
      <c r="BJ286" s="187" t="n"/>
      <c r="BK286" s="192" t="n"/>
      <c r="BL286" s="192" t="n"/>
      <c r="BM286" s="192" t="n"/>
      <c r="BN286" s="192" t="n"/>
    </row>
    <row r="287">
      <c r="A287" s="289">
        <f> 'Jobs-Ops'!A287</f>
        <v/>
      </c>
      <c r="B287" s="290">
        <f>'Jobs-Ops'!B287</f>
        <v/>
      </c>
      <c r="C287" s="290">
        <f>'Jobs-Ops'!C287</f>
        <v/>
      </c>
      <c r="D287" s="179" t="n"/>
      <c r="E287" s="181">
        <f>'Jobs-Ops'!I287</f>
        <v/>
      </c>
      <c r="F287" s="205">
        <f>'Jobs-Ops'!U287</f>
        <v/>
      </c>
      <c r="G287" s="181">
        <f>'Jobs-GAAP'!J287</f>
        <v/>
      </c>
      <c r="H287" s="205">
        <f>'Jobs-GAAP'!V287</f>
        <v/>
      </c>
      <c r="I287" s="181">
        <f>E287-G287</f>
        <v/>
      </c>
      <c r="J287" s="9">
        <f>'Jobs-Ops'!P287</f>
        <v/>
      </c>
      <c r="K287" s="9">
        <f>'Jobs-GAAP'!Q287</f>
        <v/>
      </c>
      <c r="L287" s="9">
        <f>J287-K287</f>
        <v/>
      </c>
      <c r="M287" s="186" t="n"/>
      <c r="N287" s="9">
        <f>'Jobs-Ops'!Y287</f>
        <v/>
      </c>
      <c r="O287" s="9">
        <f>'Jobs-GAAP'!Y287</f>
        <v/>
      </c>
      <c r="P287" s="9">
        <f>N287-O287</f>
        <v/>
      </c>
      <c r="Q287" s="186" t="n"/>
      <c r="R287" s="11">
        <f>'Jobs-Ops'!AL287</f>
        <v/>
      </c>
      <c r="S287" s="11">
        <f>'Jobs-GAAP'!AH287</f>
        <v/>
      </c>
      <c r="T287" s="11">
        <f>IFERROR(R287-S287,0)</f>
        <v/>
      </c>
      <c r="U287" s="8">
        <f>'Jobs-Ops'!AM287</f>
        <v/>
      </c>
      <c r="V287" s="8">
        <f>'Jobs-GAAP'!AI287</f>
        <v/>
      </c>
      <c r="W287" s="8">
        <f>IFERROR(U287-V287,0)</f>
        <v/>
      </c>
      <c r="X287" s="9">
        <f>'Jobs-Ops'!AN287</f>
        <v/>
      </c>
      <c r="Y287" s="9">
        <f>'Jobs-GAAP'!AJ287</f>
        <v/>
      </c>
      <c r="Z287" s="9">
        <f>IFERROR(X287-Y287,0)</f>
        <v/>
      </c>
      <c r="AA287" s="153">
        <f>'Jobs-Ops'!AO287</f>
        <v/>
      </c>
      <c r="AB287" s="187" t="n"/>
      <c r="AC287" s="186" t="n"/>
      <c r="AD287" s="186" t="n"/>
      <c r="AE287" s="188" t="n"/>
      <c r="AF287" s="187" t="n"/>
      <c r="AG287" s="187" t="n"/>
      <c r="AH287" s="186" t="n"/>
      <c r="AI287" s="186" t="n"/>
      <c r="AJ287" s="186" t="n"/>
      <c r="AK287" s="186" t="n"/>
      <c r="AL287" s="186" t="n"/>
      <c r="AM287" s="186" t="n"/>
      <c r="AN287" s="186" t="n"/>
      <c r="AO287" s="186" t="n"/>
      <c r="AP287" s="186" t="n"/>
      <c r="AQ287" s="186" t="n"/>
      <c r="AR287" s="186" t="n"/>
      <c r="AS287" s="186" t="n"/>
      <c r="AT287" s="186" t="n"/>
      <c r="AU287" s="186" t="n"/>
      <c r="AV287" s="186" t="n"/>
      <c r="AW287" s="186" t="n"/>
      <c r="AX287" s="186" t="n"/>
      <c r="AY287" s="186" t="n"/>
      <c r="AZ287" s="186" t="n"/>
      <c r="BA287" s="186" t="n"/>
      <c r="BB287" s="186" t="n"/>
      <c r="BC287" s="186" t="n"/>
      <c r="BD287" s="190" t="n"/>
      <c r="BE287" s="186" t="n"/>
      <c r="BF287" s="186" t="n"/>
      <c r="BG287" s="186" t="n"/>
      <c r="BH287" s="186" t="n"/>
      <c r="BI287" s="186" t="n"/>
      <c r="BJ287" s="187" t="n"/>
      <c r="BK287" s="192" t="n"/>
      <c r="BL287" s="192" t="n"/>
      <c r="BM287" s="192" t="n"/>
      <c r="BN287" s="192" t="n"/>
    </row>
    <row r="288">
      <c r="A288" s="289">
        <f> 'Jobs-Ops'!A288</f>
        <v/>
      </c>
      <c r="B288" s="290">
        <f>'Jobs-Ops'!B288</f>
        <v/>
      </c>
      <c r="C288" s="290">
        <f>'Jobs-Ops'!C288</f>
        <v/>
      </c>
      <c r="D288" s="179" t="n"/>
      <c r="E288" s="181">
        <f>'Jobs-Ops'!I288</f>
        <v/>
      </c>
      <c r="F288" s="205">
        <f>'Jobs-Ops'!U288</f>
        <v/>
      </c>
      <c r="G288" s="181">
        <f>'Jobs-GAAP'!J288</f>
        <v/>
      </c>
      <c r="H288" s="205">
        <f>'Jobs-GAAP'!V288</f>
        <v/>
      </c>
      <c r="I288" s="181">
        <f>E288-G288</f>
        <v/>
      </c>
      <c r="J288" s="9">
        <f>'Jobs-Ops'!P288</f>
        <v/>
      </c>
      <c r="K288" s="9">
        <f>'Jobs-GAAP'!Q288</f>
        <v/>
      </c>
      <c r="L288" s="9">
        <f>J288-K288</f>
        <v/>
      </c>
      <c r="M288" s="186" t="n"/>
      <c r="N288" s="9">
        <f>'Jobs-Ops'!Y288</f>
        <v/>
      </c>
      <c r="O288" s="9">
        <f>'Jobs-GAAP'!Y288</f>
        <v/>
      </c>
      <c r="P288" s="9">
        <f>N288-O288</f>
        <v/>
      </c>
      <c r="Q288" s="186" t="n"/>
      <c r="R288" s="11">
        <f>'Jobs-Ops'!AL288</f>
        <v/>
      </c>
      <c r="S288" s="11">
        <f>'Jobs-GAAP'!AH288</f>
        <v/>
      </c>
      <c r="T288" s="11">
        <f>IFERROR(R288-S288,0)</f>
        <v/>
      </c>
      <c r="U288" s="8">
        <f>'Jobs-Ops'!AM288</f>
        <v/>
      </c>
      <c r="V288" s="8">
        <f>'Jobs-GAAP'!AI288</f>
        <v/>
      </c>
      <c r="W288" s="8">
        <f>IFERROR(U288-V288,0)</f>
        <v/>
      </c>
      <c r="X288" s="9">
        <f>'Jobs-Ops'!AN288</f>
        <v/>
      </c>
      <c r="Y288" s="9">
        <f>'Jobs-GAAP'!AJ288</f>
        <v/>
      </c>
      <c r="Z288" s="9">
        <f>IFERROR(X288-Y288,0)</f>
        <v/>
      </c>
      <c r="AA288" s="153">
        <f>'Jobs-Ops'!AO288</f>
        <v/>
      </c>
      <c r="AB288" s="187" t="n"/>
      <c r="AC288" s="186" t="n"/>
      <c r="AD288" s="186" t="n"/>
      <c r="AE288" s="188" t="n"/>
      <c r="AF288" s="187" t="n"/>
      <c r="AG288" s="187" t="n"/>
      <c r="AH288" s="186" t="n"/>
      <c r="AI288" s="186" t="n"/>
      <c r="AJ288" s="186" t="n"/>
      <c r="AK288" s="186" t="n"/>
      <c r="AL288" s="186" t="n"/>
      <c r="AM288" s="186" t="n"/>
      <c r="AN288" s="186" t="n"/>
      <c r="AO288" s="186" t="n"/>
      <c r="AP288" s="186" t="n"/>
      <c r="AQ288" s="186" t="n"/>
      <c r="AR288" s="186" t="n"/>
      <c r="AS288" s="186" t="n"/>
      <c r="AT288" s="186" t="n"/>
      <c r="AU288" s="186" t="n"/>
      <c r="AV288" s="186" t="n"/>
      <c r="AW288" s="186" t="n"/>
      <c r="AX288" s="186" t="n"/>
      <c r="AY288" s="186" t="n"/>
      <c r="AZ288" s="186" t="n"/>
      <c r="BA288" s="186" t="n"/>
      <c r="BB288" s="186" t="n"/>
      <c r="BC288" s="186" t="n"/>
      <c r="BD288" s="190" t="n"/>
      <c r="BE288" s="186" t="n"/>
      <c r="BF288" s="186" t="n"/>
      <c r="BG288" s="186" t="n"/>
      <c r="BH288" s="186" t="n"/>
      <c r="BI288" s="186" t="n"/>
      <c r="BJ288" s="187" t="n"/>
      <c r="BK288" s="192" t="n"/>
      <c r="BL288" s="192" t="n"/>
      <c r="BM288" s="192" t="n"/>
      <c r="BN288" s="192" t="n"/>
    </row>
    <row r="289">
      <c r="A289" s="289">
        <f> 'Jobs-Ops'!A289</f>
        <v/>
      </c>
      <c r="B289" s="290">
        <f>'Jobs-Ops'!B289</f>
        <v/>
      </c>
      <c r="C289" s="290">
        <f>'Jobs-Ops'!C289</f>
        <v/>
      </c>
      <c r="D289" s="179" t="n"/>
      <c r="E289" s="181">
        <f>'Jobs-Ops'!I289</f>
        <v/>
      </c>
      <c r="F289" s="205">
        <f>'Jobs-Ops'!U289</f>
        <v/>
      </c>
      <c r="G289" s="181">
        <f>'Jobs-GAAP'!J289</f>
        <v/>
      </c>
      <c r="H289" s="205">
        <f>'Jobs-GAAP'!V289</f>
        <v/>
      </c>
      <c r="I289" s="181">
        <f>E289-G289</f>
        <v/>
      </c>
      <c r="J289" s="9">
        <f>'Jobs-Ops'!P289</f>
        <v/>
      </c>
      <c r="K289" s="9">
        <f>'Jobs-GAAP'!Q289</f>
        <v/>
      </c>
      <c r="L289" s="9">
        <f>J289-K289</f>
        <v/>
      </c>
      <c r="M289" s="186" t="n"/>
      <c r="N289" s="9">
        <f>'Jobs-Ops'!Y289</f>
        <v/>
      </c>
      <c r="O289" s="9">
        <f>'Jobs-GAAP'!Y289</f>
        <v/>
      </c>
      <c r="P289" s="9">
        <f>N289-O289</f>
        <v/>
      </c>
      <c r="Q289" s="186" t="n"/>
      <c r="R289" s="11">
        <f>'Jobs-Ops'!AL289</f>
        <v/>
      </c>
      <c r="S289" s="11">
        <f>'Jobs-GAAP'!AH289</f>
        <v/>
      </c>
      <c r="T289" s="11">
        <f>IFERROR(R289-S289,0)</f>
        <v/>
      </c>
      <c r="U289" s="8">
        <f>'Jobs-Ops'!AM289</f>
        <v/>
      </c>
      <c r="V289" s="8">
        <f>'Jobs-GAAP'!AI289</f>
        <v/>
      </c>
      <c r="W289" s="8">
        <f>IFERROR(U289-V289,0)</f>
        <v/>
      </c>
      <c r="X289" s="9">
        <f>'Jobs-Ops'!AN289</f>
        <v/>
      </c>
      <c r="Y289" s="9">
        <f>'Jobs-GAAP'!AJ289</f>
        <v/>
      </c>
      <c r="Z289" s="9">
        <f>IFERROR(X289-Y289,0)</f>
        <v/>
      </c>
      <c r="AA289" s="153">
        <f>'Jobs-Ops'!AO289</f>
        <v/>
      </c>
      <c r="AB289" s="187" t="n"/>
      <c r="AC289" s="186" t="n"/>
      <c r="AD289" s="186" t="n"/>
      <c r="AE289" s="188" t="n"/>
      <c r="AF289" s="187" t="n"/>
      <c r="AG289" s="187" t="n"/>
      <c r="AH289" s="186" t="n"/>
      <c r="AI289" s="186" t="n"/>
      <c r="AJ289" s="186" t="n"/>
      <c r="AK289" s="186" t="n"/>
      <c r="AL289" s="186" t="n"/>
      <c r="AM289" s="186" t="n"/>
      <c r="AN289" s="186" t="n"/>
      <c r="AO289" s="186" t="n"/>
      <c r="AP289" s="186" t="n"/>
      <c r="AQ289" s="186" t="n"/>
      <c r="AR289" s="186" t="n"/>
      <c r="AS289" s="186" t="n"/>
      <c r="AT289" s="186" t="n"/>
      <c r="AU289" s="186" t="n"/>
      <c r="AV289" s="186" t="n"/>
      <c r="AW289" s="186" t="n"/>
      <c r="AX289" s="186" t="n"/>
      <c r="AY289" s="186" t="n"/>
      <c r="AZ289" s="186" t="n"/>
      <c r="BA289" s="186" t="n"/>
      <c r="BB289" s="186" t="n"/>
      <c r="BC289" s="186" t="n"/>
      <c r="BD289" s="190" t="n"/>
      <c r="BE289" s="186" t="n"/>
      <c r="BF289" s="186" t="n"/>
      <c r="BG289" s="186" t="n"/>
      <c r="BH289" s="186" t="n"/>
      <c r="BI289" s="186" t="n"/>
      <c r="BJ289" s="187" t="n"/>
      <c r="BK289" s="192" t="n"/>
      <c r="BL289" s="192" t="n"/>
      <c r="BM289" s="192" t="n"/>
      <c r="BN289" s="192" t="n"/>
    </row>
    <row r="290">
      <c r="A290" s="289">
        <f> 'Jobs-Ops'!A290</f>
        <v/>
      </c>
      <c r="B290" s="290">
        <f>'Jobs-Ops'!B290</f>
        <v/>
      </c>
      <c r="C290" s="290">
        <f>'Jobs-Ops'!C290</f>
        <v/>
      </c>
      <c r="D290" s="179" t="n"/>
      <c r="E290" s="181">
        <f>'Jobs-Ops'!I290</f>
        <v/>
      </c>
      <c r="F290" s="205">
        <f>'Jobs-Ops'!U290</f>
        <v/>
      </c>
      <c r="G290" s="181">
        <f>'Jobs-GAAP'!J290</f>
        <v/>
      </c>
      <c r="H290" s="205">
        <f>'Jobs-GAAP'!V290</f>
        <v/>
      </c>
      <c r="I290" s="181">
        <f>E290-G290</f>
        <v/>
      </c>
      <c r="J290" s="9">
        <f>'Jobs-Ops'!P290</f>
        <v/>
      </c>
      <c r="K290" s="9">
        <f>'Jobs-GAAP'!Q290</f>
        <v/>
      </c>
      <c r="L290" s="9">
        <f>J290-K290</f>
        <v/>
      </c>
      <c r="M290" s="186" t="n"/>
      <c r="N290" s="9">
        <f>'Jobs-Ops'!Y290</f>
        <v/>
      </c>
      <c r="O290" s="9">
        <f>'Jobs-GAAP'!Y290</f>
        <v/>
      </c>
      <c r="P290" s="9">
        <f>N290-O290</f>
        <v/>
      </c>
      <c r="Q290" s="186" t="n"/>
      <c r="R290" s="11">
        <f>'Jobs-Ops'!AL290</f>
        <v/>
      </c>
      <c r="S290" s="11">
        <f>'Jobs-GAAP'!AH290</f>
        <v/>
      </c>
      <c r="T290" s="11">
        <f>IFERROR(R290-S290,0)</f>
        <v/>
      </c>
      <c r="U290" s="8">
        <f>'Jobs-Ops'!AM290</f>
        <v/>
      </c>
      <c r="V290" s="8">
        <f>'Jobs-GAAP'!AI290</f>
        <v/>
      </c>
      <c r="W290" s="8">
        <f>IFERROR(U290-V290,0)</f>
        <v/>
      </c>
      <c r="X290" s="9">
        <f>'Jobs-Ops'!AN290</f>
        <v/>
      </c>
      <c r="Y290" s="9">
        <f>'Jobs-GAAP'!AJ290</f>
        <v/>
      </c>
      <c r="Z290" s="9">
        <f>IFERROR(X290-Y290,0)</f>
        <v/>
      </c>
      <c r="AA290" s="153">
        <f>'Jobs-Ops'!AO290</f>
        <v/>
      </c>
      <c r="AB290" s="187" t="n"/>
      <c r="AC290" s="186" t="n"/>
      <c r="AD290" s="186" t="n"/>
      <c r="AE290" s="188" t="n"/>
      <c r="AF290" s="187" t="n"/>
      <c r="AG290" s="187" t="n"/>
      <c r="AH290" s="186" t="n"/>
      <c r="AI290" s="186" t="n"/>
      <c r="AJ290" s="186" t="n"/>
      <c r="AK290" s="186" t="n"/>
      <c r="AL290" s="186" t="n"/>
      <c r="AM290" s="186" t="n"/>
      <c r="AN290" s="186" t="n"/>
      <c r="AO290" s="186" t="n"/>
      <c r="AP290" s="186" t="n"/>
      <c r="AQ290" s="186" t="n"/>
      <c r="AR290" s="186" t="n"/>
      <c r="AS290" s="186" t="n"/>
      <c r="AT290" s="186" t="n"/>
      <c r="AU290" s="186" t="n"/>
      <c r="AV290" s="186" t="n"/>
      <c r="AW290" s="186" t="n"/>
      <c r="AX290" s="186" t="n"/>
      <c r="AY290" s="186" t="n"/>
      <c r="AZ290" s="186" t="n"/>
      <c r="BA290" s="186" t="n"/>
      <c r="BB290" s="186" t="n"/>
      <c r="BC290" s="186" t="n"/>
      <c r="BD290" s="190" t="n"/>
      <c r="BE290" s="186" t="n"/>
      <c r="BF290" s="186" t="n"/>
      <c r="BG290" s="186" t="n"/>
      <c r="BH290" s="186" t="n"/>
      <c r="BI290" s="186" t="n"/>
      <c r="BJ290" s="187" t="n"/>
      <c r="BK290" s="192" t="n"/>
      <c r="BL290" s="192" t="n"/>
      <c r="BM290" s="192" t="n"/>
      <c r="BN290" s="192" t="n"/>
    </row>
    <row r="291">
      <c r="A291" s="289">
        <f> 'Jobs-Ops'!A291</f>
        <v/>
      </c>
      <c r="B291" s="290">
        <f>'Jobs-Ops'!B291</f>
        <v/>
      </c>
      <c r="C291" s="290">
        <f>'Jobs-Ops'!C291</f>
        <v/>
      </c>
      <c r="D291" s="179" t="n"/>
      <c r="E291" s="181">
        <f>'Jobs-Ops'!I291</f>
        <v/>
      </c>
      <c r="F291" s="205">
        <f>'Jobs-Ops'!U291</f>
        <v/>
      </c>
      <c r="G291" s="181">
        <f>'Jobs-GAAP'!J291</f>
        <v/>
      </c>
      <c r="H291" s="205">
        <f>'Jobs-GAAP'!V291</f>
        <v/>
      </c>
      <c r="I291" s="181">
        <f>E291-G291</f>
        <v/>
      </c>
      <c r="J291" s="9">
        <f>'Jobs-Ops'!P291</f>
        <v/>
      </c>
      <c r="K291" s="9">
        <f>'Jobs-GAAP'!Q291</f>
        <v/>
      </c>
      <c r="L291" s="9">
        <f>J291-K291</f>
        <v/>
      </c>
      <c r="M291" s="186" t="n"/>
      <c r="N291" s="9">
        <f>'Jobs-Ops'!Y291</f>
        <v/>
      </c>
      <c r="O291" s="9">
        <f>'Jobs-GAAP'!Y291</f>
        <v/>
      </c>
      <c r="P291" s="9">
        <f>N291-O291</f>
        <v/>
      </c>
      <c r="Q291" s="186" t="n"/>
      <c r="R291" s="11">
        <f>'Jobs-Ops'!AL291</f>
        <v/>
      </c>
      <c r="S291" s="11">
        <f>'Jobs-GAAP'!AH291</f>
        <v/>
      </c>
      <c r="T291" s="11">
        <f>IFERROR(R291-S291,0)</f>
        <v/>
      </c>
      <c r="U291" s="8">
        <f>'Jobs-Ops'!AM291</f>
        <v/>
      </c>
      <c r="V291" s="8">
        <f>'Jobs-GAAP'!AI291</f>
        <v/>
      </c>
      <c r="W291" s="8">
        <f>IFERROR(U291-V291,0)</f>
        <v/>
      </c>
      <c r="X291" s="9">
        <f>'Jobs-Ops'!AN291</f>
        <v/>
      </c>
      <c r="Y291" s="9">
        <f>'Jobs-GAAP'!AJ291</f>
        <v/>
      </c>
      <c r="Z291" s="9">
        <f>IFERROR(X291-Y291,0)</f>
        <v/>
      </c>
      <c r="AA291" s="153">
        <f>'Jobs-Ops'!AO291</f>
        <v/>
      </c>
      <c r="AB291" s="187" t="n"/>
      <c r="AC291" s="186" t="n"/>
      <c r="AD291" s="186" t="n"/>
      <c r="AE291" s="188" t="n"/>
      <c r="AF291" s="187" t="n"/>
      <c r="AG291" s="187" t="n"/>
      <c r="AH291" s="186" t="n"/>
      <c r="AI291" s="186" t="n"/>
      <c r="AJ291" s="186" t="n"/>
      <c r="AK291" s="186" t="n"/>
      <c r="AL291" s="186" t="n"/>
      <c r="AM291" s="186" t="n"/>
      <c r="AN291" s="186" t="n"/>
      <c r="AO291" s="186" t="n"/>
      <c r="AP291" s="186" t="n"/>
      <c r="AQ291" s="186" t="n"/>
      <c r="AR291" s="186" t="n"/>
      <c r="AS291" s="186" t="n"/>
      <c r="AT291" s="186" t="n"/>
      <c r="AU291" s="186" t="n"/>
      <c r="AV291" s="186" t="n"/>
      <c r="AW291" s="186" t="n"/>
      <c r="AX291" s="186" t="n"/>
      <c r="AY291" s="186" t="n"/>
      <c r="AZ291" s="186" t="n"/>
      <c r="BA291" s="186" t="n"/>
      <c r="BB291" s="186" t="n"/>
      <c r="BC291" s="186" t="n"/>
      <c r="BD291" s="190" t="n"/>
      <c r="BE291" s="186" t="n"/>
      <c r="BF291" s="186" t="n"/>
      <c r="BG291" s="186" t="n"/>
      <c r="BH291" s="186" t="n"/>
      <c r="BI291" s="186" t="n"/>
      <c r="BJ291" s="187" t="n"/>
      <c r="BK291" s="192" t="n"/>
      <c r="BL291" s="192" t="n"/>
      <c r="BM291" s="192" t="n"/>
      <c r="BN291" s="192" t="n"/>
    </row>
    <row r="292">
      <c r="A292" s="289">
        <f> 'Jobs-Ops'!A292</f>
        <v/>
      </c>
      <c r="B292" s="290">
        <f>'Jobs-Ops'!B292</f>
        <v/>
      </c>
      <c r="C292" s="290">
        <f>'Jobs-Ops'!C292</f>
        <v/>
      </c>
      <c r="D292" s="179" t="n"/>
      <c r="E292" s="181">
        <f>'Jobs-Ops'!I292</f>
        <v/>
      </c>
      <c r="F292" s="205">
        <f>'Jobs-Ops'!U292</f>
        <v/>
      </c>
      <c r="G292" s="181">
        <f>'Jobs-GAAP'!J292</f>
        <v/>
      </c>
      <c r="H292" s="205">
        <f>'Jobs-GAAP'!V292</f>
        <v/>
      </c>
      <c r="I292" s="181">
        <f>E292-G292</f>
        <v/>
      </c>
      <c r="J292" s="9">
        <f>'Jobs-Ops'!P292</f>
        <v/>
      </c>
      <c r="K292" s="9">
        <f>'Jobs-GAAP'!Q292</f>
        <v/>
      </c>
      <c r="L292" s="9">
        <f>J292-K292</f>
        <v/>
      </c>
      <c r="M292" s="186" t="n"/>
      <c r="N292" s="9">
        <f>'Jobs-Ops'!Y292</f>
        <v/>
      </c>
      <c r="O292" s="9">
        <f>'Jobs-GAAP'!Y292</f>
        <v/>
      </c>
      <c r="P292" s="9">
        <f>N292-O292</f>
        <v/>
      </c>
      <c r="Q292" s="186" t="n"/>
      <c r="R292" s="11">
        <f>'Jobs-Ops'!AL292</f>
        <v/>
      </c>
      <c r="S292" s="11">
        <f>'Jobs-GAAP'!AH292</f>
        <v/>
      </c>
      <c r="T292" s="11">
        <f>IFERROR(R292-S292,0)</f>
        <v/>
      </c>
      <c r="U292" s="8">
        <f>'Jobs-Ops'!AM292</f>
        <v/>
      </c>
      <c r="V292" s="8">
        <f>'Jobs-GAAP'!AI292</f>
        <v/>
      </c>
      <c r="W292" s="8">
        <f>IFERROR(U292-V292,0)</f>
        <v/>
      </c>
      <c r="X292" s="9">
        <f>'Jobs-Ops'!AN292</f>
        <v/>
      </c>
      <c r="Y292" s="9">
        <f>'Jobs-GAAP'!AJ292</f>
        <v/>
      </c>
      <c r="Z292" s="9">
        <f>IFERROR(X292-Y292,0)</f>
        <v/>
      </c>
      <c r="AA292" s="153">
        <f>'Jobs-Ops'!AO292</f>
        <v/>
      </c>
      <c r="AB292" s="187" t="n"/>
      <c r="AC292" s="186" t="n"/>
      <c r="AD292" s="186" t="n"/>
      <c r="AE292" s="188" t="n"/>
      <c r="AF292" s="187" t="n"/>
      <c r="AG292" s="187" t="n"/>
      <c r="AH292" s="186" t="n"/>
      <c r="AI292" s="186" t="n"/>
      <c r="AJ292" s="186" t="n"/>
      <c r="AK292" s="186" t="n"/>
      <c r="AL292" s="186" t="n"/>
      <c r="AM292" s="186" t="n"/>
      <c r="AN292" s="186" t="n"/>
      <c r="AO292" s="186" t="n"/>
      <c r="AP292" s="186" t="n"/>
      <c r="AQ292" s="186" t="n"/>
      <c r="AR292" s="186" t="n"/>
      <c r="AS292" s="186" t="n"/>
      <c r="AT292" s="186" t="n"/>
      <c r="AU292" s="186" t="n"/>
      <c r="AV292" s="186" t="n"/>
      <c r="AW292" s="186" t="n"/>
      <c r="AX292" s="186" t="n"/>
      <c r="AY292" s="186" t="n"/>
      <c r="AZ292" s="186" t="n"/>
      <c r="BA292" s="186" t="n"/>
      <c r="BB292" s="186" t="n"/>
      <c r="BC292" s="186" t="n"/>
      <c r="BD292" s="190" t="n"/>
      <c r="BE292" s="186" t="n"/>
      <c r="BF292" s="186" t="n"/>
      <c r="BG292" s="186" t="n"/>
      <c r="BH292" s="186" t="n"/>
      <c r="BI292" s="186" t="n"/>
      <c r="BJ292" s="187" t="n"/>
      <c r="BK292" s="192" t="n"/>
      <c r="BL292" s="192" t="n"/>
      <c r="BM292" s="192" t="n"/>
      <c r="BN292" s="192" t="n"/>
    </row>
    <row r="293">
      <c r="A293" s="289">
        <f> 'Jobs-Ops'!A293</f>
        <v/>
      </c>
      <c r="B293" s="290">
        <f>'Jobs-Ops'!B293</f>
        <v/>
      </c>
      <c r="C293" s="290">
        <f>'Jobs-Ops'!C293</f>
        <v/>
      </c>
      <c r="D293" s="179" t="n"/>
      <c r="E293" s="181">
        <f>'Jobs-Ops'!I293</f>
        <v/>
      </c>
      <c r="F293" s="205">
        <f>'Jobs-Ops'!U293</f>
        <v/>
      </c>
      <c r="G293" s="181">
        <f>'Jobs-GAAP'!J293</f>
        <v/>
      </c>
      <c r="H293" s="205">
        <f>'Jobs-GAAP'!V293</f>
        <v/>
      </c>
      <c r="I293" s="181">
        <f>E293-G293</f>
        <v/>
      </c>
      <c r="J293" s="9">
        <f>'Jobs-Ops'!P293</f>
        <v/>
      </c>
      <c r="K293" s="9">
        <f>'Jobs-GAAP'!Q293</f>
        <v/>
      </c>
      <c r="L293" s="9">
        <f>J293-K293</f>
        <v/>
      </c>
      <c r="M293" s="186" t="n"/>
      <c r="N293" s="9">
        <f>'Jobs-Ops'!Y293</f>
        <v/>
      </c>
      <c r="O293" s="9">
        <f>'Jobs-GAAP'!Y293</f>
        <v/>
      </c>
      <c r="P293" s="9">
        <f>N293-O293</f>
        <v/>
      </c>
      <c r="Q293" s="186" t="n"/>
      <c r="R293" s="11">
        <f>'Jobs-Ops'!AL293</f>
        <v/>
      </c>
      <c r="S293" s="11">
        <f>'Jobs-GAAP'!AH293</f>
        <v/>
      </c>
      <c r="T293" s="11">
        <f>IFERROR(R293-S293,0)</f>
        <v/>
      </c>
      <c r="U293" s="8">
        <f>'Jobs-Ops'!AM293</f>
        <v/>
      </c>
      <c r="V293" s="8">
        <f>'Jobs-GAAP'!AI293</f>
        <v/>
      </c>
      <c r="W293" s="8">
        <f>IFERROR(U293-V293,0)</f>
        <v/>
      </c>
      <c r="X293" s="9">
        <f>'Jobs-Ops'!AN293</f>
        <v/>
      </c>
      <c r="Y293" s="9">
        <f>'Jobs-GAAP'!AJ293</f>
        <v/>
      </c>
      <c r="Z293" s="9">
        <f>IFERROR(X293-Y293,0)</f>
        <v/>
      </c>
      <c r="AA293" s="153">
        <f>'Jobs-Ops'!AO293</f>
        <v/>
      </c>
      <c r="AB293" s="187" t="n"/>
      <c r="AC293" s="186" t="n"/>
      <c r="AD293" s="186" t="n"/>
      <c r="AE293" s="188" t="n"/>
      <c r="AF293" s="187" t="n"/>
      <c r="AG293" s="187" t="n"/>
      <c r="AH293" s="186" t="n"/>
      <c r="AI293" s="186" t="n"/>
      <c r="AJ293" s="186" t="n"/>
      <c r="AK293" s="186" t="n"/>
      <c r="AL293" s="186" t="n"/>
      <c r="AM293" s="186" t="n"/>
      <c r="AN293" s="186" t="n"/>
      <c r="AO293" s="186" t="n"/>
      <c r="AP293" s="186" t="n"/>
      <c r="AQ293" s="186" t="n"/>
      <c r="AR293" s="186" t="n"/>
      <c r="AS293" s="186" t="n"/>
      <c r="AT293" s="186" t="n"/>
      <c r="AU293" s="186" t="n"/>
      <c r="AV293" s="186" t="n"/>
      <c r="AW293" s="186" t="n"/>
      <c r="AX293" s="186" t="n"/>
      <c r="AY293" s="186" t="n"/>
      <c r="AZ293" s="186" t="n"/>
      <c r="BA293" s="186" t="n"/>
      <c r="BB293" s="186" t="n"/>
      <c r="BC293" s="186" t="n"/>
      <c r="BD293" s="190" t="n"/>
      <c r="BE293" s="186" t="n"/>
      <c r="BF293" s="186" t="n"/>
      <c r="BG293" s="186" t="n"/>
      <c r="BH293" s="186" t="n"/>
      <c r="BI293" s="186" t="n"/>
      <c r="BJ293" s="187" t="n"/>
      <c r="BK293" s="192" t="n"/>
      <c r="BL293" s="192" t="n"/>
      <c r="BM293" s="192" t="n"/>
      <c r="BN293" s="192" t="n"/>
    </row>
    <row r="294">
      <c r="A294" s="289">
        <f> 'Jobs-Ops'!A294</f>
        <v/>
      </c>
      <c r="B294" s="290">
        <f>'Jobs-Ops'!B294</f>
        <v/>
      </c>
      <c r="C294" s="290">
        <f>'Jobs-Ops'!C294</f>
        <v/>
      </c>
      <c r="D294" s="179" t="n"/>
      <c r="E294" s="181">
        <f>'Jobs-Ops'!I294</f>
        <v/>
      </c>
      <c r="F294" s="205">
        <f>'Jobs-Ops'!U294</f>
        <v/>
      </c>
      <c r="G294" s="181">
        <f>'Jobs-GAAP'!J294</f>
        <v/>
      </c>
      <c r="H294" s="205">
        <f>'Jobs-GAAP'!V294</f>
        <v/>
      </c>
      <c r="I294" s="181">
        <f>E294-G294</f>
        <v/>
      </c>
      <c r="J294" s="9">
        <f>'Jobs-Ops'!P294</f>
        <v/>
      </c>
      <c r="K294" s="9">
        <f>'Jobs-GAAP'!Q294</f>
        <v/>
      </c>
      <c r="L294" s="9">
        <f>J294-K294</f>
        <v/>
      </c>
      <c r="M294" s="186" t="n"/>
      <c r="N294" s="9">
        <f>'Jobs-Ops'!Y294</f>
        <v/>
      </c>
      <c r="O294" s="9">
        <f>'Jobs-GAAP'!Y294</f>
        <v/>
      </c>
      <c r="P294" s="9">
        <f>N294-O294</f>
        <v/>
      </c>
      <c r="Q294" s="186" t="n"/>
      <c r="R294" s="11">
        <f>'Jobs-Ops'!AL294</f>
        <v/>
      </c>
      <c r="S294" s="11">
        <f>'Jobs-GAAP'!AH294</f>
        <v/>
      </c>
      <c r="T294" s="11">
        <f>IFERROR(R294-S294,0)</f>
        <v/>
      </c>
      <c r="U294" s="8">
        <f>'Jobs-Ops'!AM294</f>
        <v/>
      </c>
      <c r="V294" s="8">
        <f>'Jobs-GAAP'!AI294</f>
        <v/>
      </c>
      <c r="W294" s="8">
        <f>IFERROR(U294-V294,0)</f>
        <v/>
      </c>
      <c r="X294" s="9">
        <f>'Jobs-Ops'!AN294</f>
        <v/>
      </c>
      <c r="Y294" s="9">
        <f>'Jobs-GAAP'!AJ294</f>
        <v/>
      </c>
      <c r="Z294" s="9">
        <f>IFERROR(X294-Y294,0)</f>
        <v/>
      </c>
      <c r="AA294" s="153">
        <f>'Jobs-Ops'!AO294</f>
        <v/>
      </c>
      <c r="AB294" s="187" t="n"/>
      <c r="AC294" s="186" t="n"/>
      <c r="AD294" s="186" t="n"/>
      <c r="AE294" s="188" t="n"/>
      <c r="AF294" s="187" t="n"/>
      <c r="AG294" s="187" t="n"/>
      <c r="AH294" s="186" t="n"/>
      <c r="AI294" s="186" t="n"/>
      <c r="AJ294" s="186" t="n"/>
      <c r="AK294" s="186" t="n"/>
      <c r="AL294" s="186" t="n"/>
      <c r="AM294" s="186" t="n"/>
      <c r="AN294" s="186" t="n"/>
      <c r="AO294" s="186" t="n"/>
      <c r="AP294" s="186" t="n"/>
      <c r="AQ294" s="186" t="n"/>
      <c r="AR294" s="186" t="n"/>
      <c r="AS294" s="186" t="n"/>
      <c r="AT294" s="186" t="n"/>
      <c r="AU294" s="186" t="n"/>
      <c r="AV294" s="186" t="n"/>
      <c r="AW294" s="186" t="n"/>
      <c r="AX294" s="186" t="n"/>
      <c r="AY294" s="186" t="n"/>
      <c r="AZ294" s="186" t="n"/>
      <c r="BA294" s="186" t="n"/>
      <c r="BB294" s="186" t="n"/>
      <c r="BC294" s="186" t="n"/>
      <c r="BD294" s="190" t="n"/>
      <c r="BE294" s="186" t="n"/>
      <c r="BF294" s="186" t="n"/>
      <c r="BG294" s="186" t="n"/>
      <c r="BH294" s="186" t="n"/>
      <c r="BI294" s="186" t="n"/>
      <c r="BJ294" s="187" t="n"/>
      <c r="BK294" s="192" t="n"/>
      <c r="BL294" s="192" t="n"/>
      <c r="BM294" s="192" t="n"/>
      <c r="BN294" s="192" t="n"/>
    </row>
    <row r="295">
      <c r="A295" s="289">
        <f> 'Jobs-Ops'!A295</f>
        <v/>
      </c>
      <c r="B295" s="290">
        <f>'Jobs-Ops'!B295</f>
        <v/>
      </c>
      <c r="C295" s="290">
        <f>'Jobs-Ops'!C295</f>
        <v/>
      </c>
      <c r="D295" s="179" t="n"/>
      <c r="E295" s="181">
        <f>'Jobs-Ops'!I295</f>
        <v/>
      </c>
      <c r="F295" s="205">
        <f>'Jobs-Ops'!U295</f>
        <v/>
      </c>
      <c r="G295" s="181">
        <f>'Jobs-GAAP'!J295</f>
        <v/>
      </c>
      <c r="H295" s="205">
        <f>'Jobs-GAAP'!V295</f>
        <v/>
      </c>
      <c r="I295" s="181">
        <f>E295-G295</f>
        <v/>
      </c>
      <c r="J295" s="9">
        <f>'Jobs-Ops'!P295</f>
        <v/>
      </c>
      <c r="K295" s="9">
        <f>'Jobs-GAAP'!Q295</f>
        <v/>
      </c>
      <c r="L295" s="9">
        <f>J295-K295</f>
        <v/>
      </c>
      <c r="M295" s="186" t="n"/>
      <c r="N295" s="9">
        <f>'Jobs-Ops'!Y295</f>
        <v/>
      </c>
      <c r="O295" s="9">
        <f>'Jobs-GAAP'!Y295</f>
        <v/>
      </c>
      <c r="P295" s="9">
        <f>N295-O295</f>
        <v/>
      </c>
      <c r="Q295" s="186" t="n"/>
      <c r="R295" s="11">
        <f>'Jobs-Ops'!AL295</f>
        <v/>
      </c>
      <c r="S295" s="11">
        <f>'Jobs-GAAP'!AH295</f>
        <v/>
      </c>
      <c r="T295" s="11">
        <f>IFERROR(R295-S295,0)</f>
        <v/>
      </c>
      <c r="U295" s="8">
        <f>'Jobs-Ops'!AM295</f>
        <v/>
      </c>
      <c r="V295" s="8">
        <f>'Jobs-GAAP'!AI295</f>
        <v/>
      </c>
      <c r="W295" s="8">
        <f>IFERROR(U295-V295,0)</f>
        <v/>
      </c>
      <c r="X295" s="9">
        <f>'Jobs-Ops'!AN295</f>
        <v/>
      </c>
      <c r="Y295" s="9">
        <f>'Jobs-GAAP'!AJ295</f>
        <v/>
      </c>
      <c r="Z295" s="9">
        <f>IFERROR(X295-Y295,0)</f>
        <v/>
      </c>
      <c r="AA295" s="153">
        <f>'Jobs-Ops'!AO295</f>
        <v/>
      </c>
      <c r="AB295" s="187" t="n"/>
      <c r="AC295" s="186" t="n"/>
      <c r="AD295" s="186" t="n"/>
      <c r="AE295" s="188" t="n"/>
      <c r="AF295" s="187" t="n"/>
      <c r="AG295" s="187" t="n"/>
      <c r="AH295" s="186" t="n"/>
      <c r="AI295" s="186" t="n"/>
      <c r="AJ295" s="186" t="n"/>
      <c r="AK295" s="186" t="n"/>
      <c r="AL295" s="186" t="n"/>
      <c r="AM295" s="186" t="n"/>
      <c r="AN295" s="186" t="n"/>
      <c r="AO295" s="186" t="n"/>
      <c r="AP295" s="186" t="n"/>
      <c r="AQ295" s="186" t="n"/>
      <c r="AR295" s="186" t="n"/>
      <c r="AS295" s="186" t="n"/>
      <c r="AT295" s="186" t="n"/>
      <c r="AU295" s="186" t="n"/>
      <c r="AV295" s="186" t="n"/>
      <c r="AW295" s="186" t="n"/>
      <c r="AX295" s="186" t="n"/>
      <c r="AY295" s="186" t="n"/>
      <c r="AZ295" s="186" t="n"/>
      <c r="BA295" s="186" t="n"/>
      <c r="BB295" s="186" t="n"/>
      <c r="BC295" s="186" t="n"/>
      <c r="BD295" s="190" t="n"/>
      <c r="BE295" s="186" t="n"/>
      <c r="BF295" s="186" t="n"/>
      <c r="BG295" s="186" t="n"/>
      <c r="BH295" s="186" t="n"/>
      <c r="BI295" s="186" t="n"/>
      <c r="BJ295" s="187" t="n"/>
      <c r="BK295" s="192" t="n"/>
      <c r="BL295" s="192" t="n"/>
      <c r="BM295" s="192" t="n"/>
      <c r="BN295" s="192" t="n"/>
    </row>
    <row r="296">
      <c r="A296" s="289">
        <f> 'Jobs-Ops'!A296</f>
        <v/>
      </c>
      <c r="B296" s="290">
        <f>'Jobs-Ops'!B296</f>
        <v/>
      </c>
      <c r="C296" s="290">
        <f>'Jobs-Ops'!C296</f>
        <v/>
      </c>
      <c r="D296" s="179" t="n"/>
      <c r="E296" s="181">
        <f>'Jobs-Ops'!I296</f>
        <v/>
      </c>
      <c r="F296" s="205">
        <f>'Jobs-Ops'!U296</f>
        <v/>
      </c>
      <c r="G296" s="181">
        <f>'Jobs-GAAP'!J296</f>
        <v/>
      </c>
      <c r="H296" s="205">
        <f>'Jobs-GAAP'!V296</f>
        <v/>
      </c>
      <c r="I296" s="181">
        <f>E296-G296</f>
        <v/>
      </c>
      <c r="J296" s="9">
        <f>'Jobs-Ops'!P296</f>
        <v/>
      </c>
      <c r="K296" s="9">
        <f>'Jobs-GAAP'!Q296</f>
        <v/>
      </c>
      <c r="L296" s="9">
        <f>J296-K296</f>
        <v/>
      </c>
      <c r="M296" s="186" t="n"/>
      <c r="N296" s="9">
        <f>'Jobs-Ops'!Y296</f>
        <v/>
      </c>
      <c r="O296" s="9">
        <f>'Jobs-GAAP'!Y296</f>
        <v/>
      </c>
      <c r="P296" s="9">
        <f>N296-O296</f>
        <v/>
      </c>
      <c r="Q296" s="186" t="n"/>
      <c r="R296" s="11">
        <f>'Jobs-Ops'!AL296</f>
        <v/>
      </c>
      <c r="S296" s="11">
        <f>'Jobs-GAAP'!AH296</f>
        <v/>
      </c>
      <c r="T296" s="11">
        <f>IFERROR(R296-S296,0)</f>
        <v/>
      </c>
      <c r="U296" s="8">
        <f>'Jobs-Ops'!AM296</f>
        <v/>
      </c>
      <c r="V296" s="8">
        <f>'Jobs-GAAP'!AI296</f>
        <v/>
      </c>
      <c r="W296" s="8">
        <f>IFERROR(U296-V296,0)</f>
        <v/>
      </c>
      <c r="X296" s="9">
        <f>'Jobs-Ops'!AN296</f>
        <v/>
      </c>
      <c r="Y296" s="9">
        <f>'Jobs-GAAP'!AJ296</f>
        <v/>
      </c>
      <c r="Z296" s="9">
        <f>IFERROR(X296-Y296,0)</f>
        <v/>
      </c>
      <c r="AA296" s="153">
        <f>'Jobs-Ops'!AO296</f>
        <v/>
      </c>
      <c r="AB296" s="187" t="n"/>
      <c r="AC296" s="186" t="n"/>
      <c r="AD296" s="186" t="n"/>
      <c r="AE296" s="188" t="n"/>
      <c r="AF296" s="187" t="n"/>
      <c r="AG296" s="187" t="n"/>
      <c r="AH296" s="186" t="n"/>
      <c r="AI296" s="186" t="n"/>
      <c r="AJ296" s="186" t="n"/>
      <c r="AK296" s="186" t="n"/>
      <c r="AL296" s="186" t="n"/>
      <c r="AM296" s="186" t="n"/>
      <c r="AN296" s="186" t="n"/>
      <c r="AO296" s="186" t="n"/>
      <c r="AP296" s="186" t="n"/>
      <c r="AQ296" s="186" t="n"/>
      <c r="AR296" s="186" t="n"/>
      <c r="AS296" s="186" t="n"/>
      <c r="AT296" s="186" t="n"/>
      <c r="AU296" s="186" t="n"/>
      <c r="AV296" s="186" t="n"/>
      <c r="AW296" s="186" t="n"/>
      <c r="AX296" s="186" t="n"/>
      <c r="AY296" s="186" t="n"/>
      <c r="AZ296" s="186" t="n"/>
      <c r="BA296" s="186" t="n"/>
      <c r="BB296" s="186" t="n"/>
      <c r="BC296" s="186" t="n"/>
      <c r="BD296" s="190" t="n"/>
      <c r="BE296" s="186" t="n"/>
      <c r="BF296" s="186" t="n"/>
      <c r="BG296" s="186" t="n"/>
      <c r="BH296" s="186" t="n"/>
      <c r="BI296" s="186" t="n"/>
      <c r="BJ296" s="187" t="n"/>
      <c r="BK296" s="192" t="n"/>
      <c r="BL296" s="192" t="n"/>
      <c r="BM296" s="192" t="n"/>
      <c r="BN296" s="192" t="n"/>
    </row>
    <row r="297">
      <c r="A297" s="289">
        <f> 'Jobs-Ops'!A297</f>
        <v/>
      </c>
      <c r="B297" s="290">
        <f>'Jobs-Ops'!B297</f>
        <v/>
      </c>
      <c r="C297" s="290">
        <f>'Jobs-Ops'!C297</f>
        <v/>
      </c>
      <c r="D297" s="179" t="n"/>
      <c r="E297" s="181">
        <f>'Jobs-Ops'!I297</f>
        <v/>
      </c>
      <c r="F297" s="205">
        <f>'Jobs-Ops'!U297</f>
        <v/>
      </c>
      <c r="G297" s="181">
        <f>'Jobs-GAAP'!J297</f>
        <v/>
      </c>
      <c r="H297" s="205">
        <f>'Jobs-GAAP'!V297</f>
        <v/>
      </c>
      <c r="I297" s="181">
        <f>E297-G297</f>
        <v/>
      </c>
      <c r="J297" s="9">
        <f>'Jobs-Ops'!P297</f>
        <v/>
      </c>
      <c r="K297" s="9">
        <f>'Jobs-GAAP'!Q297</f>
        <v/>
      </c>
      <c r="L297" s="9">
        <f>J297-K297</f>
        <v/>
      </c>
      <c r="M297" s="186" t="n"/>
      <c r="N297" s="9">
        <f>'Jobs-Ops'!Y297</f>
        <v/>
      </c>
      <c r="O297" s="9">
        <f>'Jobs-GAAP'!Y297</f>
        <v/>
      </c>
      <c r="P297" s="9">
        <f>N297-O297</f>
        <v/>
      </c>
      <c r="Q297" s="186" t="n"/>
      <c r="R297" s="11">
        <f>'Jobs-Ops'!AL297</f>
        <v/>
      </c>
      <c r="S297" s="11">
        <f>'Jobs-GAAP'!AH297</f>
        <v/>
      </c>
      <c r="T297" s="11">
        <f>IFERROR(R297-S297,0)</f>
        <v/>
      </c>
      <c r="U297" s="8">
        <f>'Jobs-Ops'!AM297</f>
        <v/>
      </c>
      <c r="V297" s="8">
        <f>'Jobs-GAAP'!AI297</f>
        <v/>
      </c>
      <c r="W297" s="8">
        <f>IFERROR(U297-V297,0)</f>
        <v/>
      </c>
      <c r="X297" s="9">
        <f>'Jobs-Ops'!AN297</f>
        <v/>
      </c>
      <c r="Y297" s="9">
        <f>'Jobs-GAAP'!AJ297</f>
        <v/>
      </c>
      <c r="Z297" s="9">
        <f>IFERROR(X297-Y297,0)</f>
        <v/>
      </c>
      <c r="AA297" s="153">
        <f>'Jobs-Ops'!AO297</f>
        <v/>
      </c>
      <c r="AB297" s="187" t="n"/>
      <c r="AC297" s="186" t="n"/>
      <c r="AD297" s="186" t="n"/>
      <c r="AE297" s="188" t="n"/>
      <c r="AF297" s="187" t="n"/>
      <c r="AG297" s="187" t="n"/>
      <c r="AH297" s="186" t="n"/>
      <c r="AI297" s="186" t="n"/>
      <c r="AJ297" s="186" t="n"/>
      <c r="AK297" s="186" t="n"/>
      <c r="AL297" s="186" t="n"/>
      <c r="AM297" s="186" t="n"/>
      <c r="AN297" s="186" t="n"/>
      <c r="AO297" s="186" t="n"/>
      <c r="AP297" s="186" t="n"/>
      <c r="AQ297" s="186" t="n"/>
      <c r="AR297" s="186" t="n"/>
      <c r="AS297" s="186" t="n"/>
      <c r="AT297" s="186" t="n"/>
      <c r="AU297" s="186" t="n"/>
      <c r="AV297" s="186" t="n"/>
      <c r="AW297" s="186" t="n"/>
      <c r="AX297" s="186" t="n"/>
      <c r="AY297" s="186" t="n"/>
      <c r="AZ297" s="186" t="n"/>
      <c r="BA297" s="186" t="n"/>
      <c r="BB297" s="186" t="n"/>
      <c r="BC297" s="186" t="n"/>
      <c r="BD297" s="190" t="n"/>
      <c r="BE297" s="186" t="n"/>
      <c r="BF297" s="186" t="n"/>
      <c r="BG297" s="186" t="n"/>
      <c r="BH297" s="186" t="n"/>
      <c r="BI297" s="186" t="n"/>
      <c r="BJ297" s="187" t="n"/>
      <c r="BK297" s="192" t="n"/>
      <c r="BL297" s="192" t="n"/>
      <c r="BM297" s="192" t="n"/>
      <c r="BN297" s="192" t="n"/>
    </row>
    <row r="298">
      <c r="A298" s="289">
        <f> 'Jobs-Ops'!A298</f>
        <v/>
      </c>
      <c r="B298" s="290">
        <f>'Jobs-Ops'!B298</f>
        <v/>
      </c>
      <c r="C298" s="290">
        <f>'Jobs-Ops'!C298</f>
        <v/>
      </c>
      <c r="D298" s="179" t="n"/>
      <c r="E298" s="181">
        <f>'Jobs-Ops'!I298</f>
        <v/>
      </c>
      <c r="F298" s="205">
        <f>'Jobs-Ops'!U298</f>
        <v/>
      </c>
      <c r="G298" s="181">
        <f>'Jobs-GAAP'!J298</f>
        <v/>
      </c>
      <c r="H298" s="205">
        <f>'Jobs-GAAP'!V298</f>
        <v/>
      </c>
      <c r="I298" s="181">
        <f>E298-G298</f>
        <v/>
      </c>
      <c r="J298" s="9">
        <f>'Jobs-Ops'!P298</f>
        <v/>
      </c>
      <c r="K298" s="9">
        <f>'Jobs-GAAP'!Q298</f>
        <v/>
      </c>
      <c r="L298" s="9">
        <f>J298-K298</f>
        <v/>
      </c>
      <c r="M298" s="186" t="n"/>
      <c r="N298" s="9">
        <f>'Jobs-Ops'!Y298</f>
        <v/>
      </c>
      <c r="O298" s="9">
        <f>'Jobs-GAAP'!Y298</f>
        <v/>
      </c>
      <c r="P298" s="9">
        <f>N298-O298</f>
        <v/>
      </c>
      <c r="Q298" s="186" t="n"/>
      <c r="R298" s="11">
        <f>'Jobs-Ops'!AL298</f>
        <v/>
      </c>
      <c r="S298" s="11">
        <f>'Jobs-GAAP'!AH298</f>
        <v/>
      </c>
      <c r="T298" s="11">
        <f>IFERROR(R298-S298,0)</f>
        <v/>
      </c>
      <c r="U298" s="8">
        <f>'Jobs-Ops'!AM298</f>
        <v/>
      </c>
      <c r="V298" s="8">
        <f>'Jobs-GAAP'!AI298</f>
        <v/>
      </c>
      <c r="W298" s="8">
        <f>IFERROR(U298-V298,0)</f>
        <v/>
      </c>
      <c r="X298" s="9">
        <f>'Jobs-Ops'!AN298</f>
        <v/>
      </c>
      <c r="Y298" s="9">
        <f>'Jobs-GAAP'!AJ298</f>
        <v/>
      </c>
      <c r="Z298" s="9">
        <f>IFERROR(X298-Y298,0)</f>
        <v/>
      </c>
      <c r="AA298" s="153">
        <f>'Jobs-Ops'!AO298</f>
        <v/>
      </c>
      <c r="AB298" s="187" t="n"/>
      <c r="AC298" s="186" t="n"/>
      <c r="AD298" s="186" t="n"/>
      <c r="AE298" s="188" t="n"/>
      <c r="AF298" s="187" t="n"/>
      <c r="AG298" s="187" t="n"/>
      <c r="AH298" s="186" t="n"/>
      <c r="AI298" s="186" t="n"/>
      <c r="AJ298" s="186" t="n"/>
      <c r="AK298" s="186" t="n"/>
      <c r="AL298" s="186" t="n"/>
      <c r="AM298" s="186" t="n"/>
      <c r="AN298" s="186" t="n"/>
      <c r="AO298" s="186" t="n"/>
      <c r="AP298" s="186" t="n"/>
      <c r="AQ298" s="186" t="n"/>
      <c r="AR298" s="186" t="n"/>
      <c r="AS298" s="186" t="n"/>
      <c r="AT298" s="186" t="n"/>
      <c r="AU298" s="186" t="n"/>
      <c r="AV298" s="186" t="n"/>
      <c r="AW298" s="186" t="n"/>
      <c r="AX298" s="186" t="n"/>
      <c r="AY298" s="186" t="n"/>
      <c r="AZ298" s="186" t="n"/>
      <c r="BA298" s="186" t="n"/>
      <c r="BB298" s="186" t="n"/>
      <c r="BC298" s="186" t="n"/>
      <c r="BD298" s="190" t="n"/>
      <c r="BE298" s="186" t="n"/>
      <c r="BF298" s="186" t="n"/>
      <c r="BG298" s="186" t="n"/>
      <c r="BH298" s="186" t="n"/>
      <c r="BI298" s="186" t="n"/>
      <c r="BJ298" s="187" t="n"/>
      <c r="BK298" s="192" t="n"/>
      <c r="BL298" s="192" t="n"/>
      <c r="BM298" s="192" t="n"/>
      <c r="BN298" s="192" t="n"/>
    </row>
    <row r="299">
      <c r="A299" s="289">
        <f> 'Jobs-Ops'!A299</f>
        <v/>
      </c>
      <c r="B299" s="290">
        <f>'Jobs-Ops'!B299</f>
        <v/>
      </c>
      <c r="C299" s="290">
        <f>'Jobs-Ops'!C299</f>
        <v/>
      </c>
      <c r="D299" s="179" t="n"/>
      <c r="E299" s="181">
        <f>'Jobs-Ops'!I299</f>
        <v/>
      </c>
      <c r="F299" s="205">
        <f>'Jobs-Ops'!U299</f>
        <v/>
      </c>
      <c r="G299" s="181">
        <f>'Jobs-GAAP'!J299</f>
        <v/>
      </c>
      <c r="H299" s="205">
        <f>'Jobs-GAAP'!V299</f>
        <v/>
      </c>
      <c r="I299" s="181">
        <f>E299-G299</f>
        <v/>
      </c>
      <c r="J299" s="9">
        <f>'Jobs-Ops'!P299</f>
        <v/>
      </c>
      <c r="K299" s="9">
        <f>'Jobs-GAAP'!Q299</f>
        <v/>
      </c>
      <c r="L299" s="9">
        <f>J299-K299</f>
        <v/>
      </c>
      <c r="M299" s="186" t="n"/>
      <c r="N299" s="9">
        <f>'Jobs-Ops'!Y299</f>
        <v/>
      </c>
      <c r="O299" s="9">
        <f>'Jobs-GAAP'!Y299</f>
        <v/>
      </c>
      <c r="P299" s="9">
        <f>N299-O299</f>
        <v/>
      </c>
      <c r="Q299" s="186" t="n"/>
      <c r="R299" s="11">
        <f>'Jobs-Ops'!AL299</f>
        <v/>
      </c>
      <c r="S299" s="11">
        <f>'Jobs-GAAP'!AH299</f>
        <v/>
      </c>
      <c r="T299" s="11">
        <f>IFERROR(R299-S299,0)</f>
        <v/>
      </c>
      <c r="U299" s="8">
        <f>'Jobs-Ops'!AM299</f>
        <v/>
      </c>
      <c r="V299" s="8">
        <f>'Jobs-GAAP'!AI299</f>
        <v/>
      </c>
      <c r="W299" s="8">
        <f>IFERROR(U299-V299,0)</f>
        <v/>
      </c>
      <c r="X299" s="9">
        <f>'Jobs-Ops'!AN299</f>
        <v/>
      </c>
      <c r="Y299" s="9">
        <f>'Jobs-GAAP'!AJ299</f>
        <v/>
      </c>
      <c r="Z299" s="9">
        <f>IFERROR(X299-Y299,0)</f>
        <v/>
      </c>
      <c r="AA299" s="153">
        <f>'Jobs-Ops'!AO299</f>
        <v/>
      </c>
      <c r="AB299" s="187" t="n"/>
      <c r="AC299" s="186" t="n"/>
      <c r="AD299" s="186" t="n"/>
      <c r="AE299" s="188" t="n"/>
      <c r="AF299" s="187" t="n"/>
      <c r="AG299" s="187" t="n"/>
      <c r="AH299" s="186" t="n"/>
      <c r="AI299" s="186" t="n"/>
      <c r="AJ299" s="186" t="n"/>
      <c r="AK299" s="186" t="n"/>
      <c r="AL299" s="186" t="n"/>
      <c r="AM299" s="186" t="n"/>
      <c r="AN299" s="186" t="n"/>
      <c r="AO299" s="186" t="n"/>
      <c r="AP299" s="186" t="n"/>
      <c r="AQ299" s="186" t="n"/>
      <c r="AR299" s="186" t="n"/>
      <c r="AS299" s="186" t="n"/>
      <c r="AT299" s="186" t="n"/>
      <c r="AU299" s="186" t="n"/>
      <c r="AV299" s="186" t="n"/>
      <c r="AW299" s="186" t="n"/>
      <c r="AX299" s="186" t="n"/>
      <c r="AY299" s="186" t="n"/>
      <c r="AZ299" s="186" t="n"/>
      <c r="BA299" s="186" t="n"/>
      <c r="BB299" s="186" t="n"/>
      <c r="BC299" s="186" t="n"/>
      <c r="BD299" s="190" t="n"/>
      <c r="BE299" s="186" t="n"/>
      <c r="BF299" s="186" t="n"/>
      <c r="BG299" s="186" t="n"/>
      <c r="BH299" s="186" t="n"/>
      <c r="BI299" s="186" t="n"/>
      <c r="BJ299" s="187" t="n"/>
      <c r="BK299" s="192" t="n"/>
      <c r="BL299" s="192" t="n"/>
      <c r="BM299" s="192" t="n"/>
      <c r="BN299" s="192" t="n"/>
    </row>
    <row r="300">
      <c r="A300" s="289">
        <f> 'Jobs-Ops'!A300</f>
        <v/>
      </c>
      <c r="B300" s="290">
        <f>'Jobs-Ops'!B300</f>
        <v/>
      </c>
      <c r="C300" s="290">
        <f>'Jobs-Ops'!C300</f>
        <v/>
      </c>
      <c r="D300" s="179" t="n"/>
      <c r="E300" s="181">
        <f>'Jobs-Ops'!I300</f>
        <v/>
      </c>
      <c r="F300" s="205">
        <f>'Jobs-Ops'!U300</f>
        <v/>
      </c>
      <c r="G300" s="181">
        <f>'Jobs-GAAP'!J300</f>
        <v/>
      </c>
      <c r="H300" s="205">
        <f>'Jobs-GAAP'!V300</f>
        <v/>
      </c>
      <c r="I300" s="181">
        <f>E300-G300</f>
        <v/>
      </c>
      <c r="J300" s="9">
        <f>'Jobs-Ops'!P300</f>
        <v/>
      </c>
      <c r="K300" s="9">
        <f>'Jobs-GAAP'!Q300</f>
        <v/>
      </c>
      <c r="L300" s="9">
        <f>J300-K300</f>
        <v/>
      </c>
      <c r="M300" s="186" t="n"/>
      <c r="N300" s="9">
        <f>'Jobs-Ops'!Y300</f>
        <v/>
      </c>
      <c r="O300" s="9">
        <f>'Jobs-GAAP'!Y300</f>
        <v/>
      </c>
      <c r="P300" s="9">
        <f>N300-O300</f>
        <v/>
      </c>
      <c r="Q300" s="186" t="n"/>
      <c r="R300" s="11">
        <f>'Jobs-Ops'!AL300</f>
        <v/>
      </c>
      <c r="S300" s="11">
        <f>'Jobs-GAAP'!AH300</f>
        <v/>
      </c>
      <c r="T300" s="11">
        <f>IFERROR(R300-S300,0)</f>
        <v/>
      </c>
      <c r="U300" s="8">
        <f>'Jobs-Ops'!AM300</f>
        <v/>
      </c>
      <c r="V300" s="8">
        <f>'Jobs-GAAP'!AI300</f>
        <v/>
      </c>
      <c r="W300" s="8">
        <f>IFERROR(U300-V300,0)</f>
        <v/>
      </c>
      <c r="X300" s="9">
        <f>'Jobs-Ops'!AN300</f>
        <v/>
      </c>
      <c r="Y300" s="9">
        <f>'Jobs-GAAP'!AJ300</f>
        <v/>
      </c>
      <c r="Z300" s="9">
        <f>IFERROR(X300-Y300,0)</f>
        <v/>
      </c>
      <c r="AA300" s="153">
        <f>'Jobs-Ops'!AO300</f>
        <v/>
      </c>
      <c r="AB300" s="187" t="n"/>
      <c r="AC300" s="186" t="n"/>
      <c r="AD300" s="186" t="n"/>
      <c r="AE300" s="188" t="n"/>
      <c r="AF300" s="187" t="n"/>
      <c r="AG300" s="187" t="n"/>
      <c r="AH300" s="186" t="n"/>
      <c r="AI300" s="186" t="n"/>
      <c r="AJ300" s="186" t="n"/>
      <c r="AK300" s="186" t="n"/>
      <c r="AL300" s="186" t="n"/>
      <c r="AM300" s="186" t="n"/>
      <c r="AN300" s="186" t="n"/>
      <c r="AO300" s="186" t="n"/>
      <c r="AP300" s="186" t="n"/>
      <c r="AQ300" s="186" t="n"/>
      <c r="AR300" s="186" t="n"/>
      <c r="AS300" s="186" t="n"/>
      <c r="AT300" s="186" t="n"/>
      <c r="AU300" s="186" t="n"/>
      <c r="AV300" s="186" t="n"/>
      <c r="AW300" s="186" t="n"/>
      <c r="AX300" s="186" t="n"/>
      <c r="AY300" s="186" t="n"/>
      <c r="AZ300" s="186" t="n"/>
      <c r="BA300" s="186" t="n"/>
      <c r="BB300" s="186" t="n"/>
      <c r="BC300" s="186" t="n"/>
      <c r="BD300" s="190" t="n"/>
      <c r="BE300" s="186" t="n"/>
      <c r="BF300" s="186" t="n"/>
      <c r="BG300" s="186" t="n"/>
      <c r="BH300" s="186" t="n"/>
      <c r="BI300" s="186" t="n"/>
      <c r="BJ300" s="187" t="n"/>
      <c r="BK300" s="192" t="n"/>
      <c r="BL300" s="192" t="n"/>
      <c r="BM300" s="192" t="n"/>
      <c r="BN300" s="192" t="n"/>
    </row>
    <row r="301">
      <c r="A301" s="289">
        <f> 'Jobs-Ops'!A301</f>
        <v/>
      </c>
      <c r="B301" s="290">
        <f>'Jobs-Ops'!B301</f>
        <v/>
      </c>
      <c r="C301" s="290">
        <f>'Jobs-Ops'!C301</f>
        <v/>
      </c>
      <c r="D301" s="179" t="n"/>
      <c r="E301" s="181">
        <f>'Jobs-Ops'!I301</f>
        <v/>
      </c>
      <c r="F301" s="205">
        <f>'Jobs-Ops'!U301</f>
        <v/>
      </c>
      <c r="G301" s="181">
        <f>'Jobs-GAAP'!J301</f>
        <v/>
      </c>
      <c r="H301" s="205">
        <f>'Jobs-GAAP'!V301</f>
        <v/>
      </c>
      <c r="I301" s="181">
        <f>E301-G301</f>
        <v/>
      </c>
      <c r="J301" s="9">
        <f>'Jobs-Ops'!P301</f>
        <v/>
      </c>
      <c r="K301" s="9">
        <f>'Jobs-GAAP'!Q301</f>
        <v/>
      </c>
      <c r="L301" s="9">
        <f>J301-K301</f>
        <v/>
      </c>
      <c r="M301" s="186" t="n"/>
      <c r="N301" s="9">
        <f>'Jobs-Ops'!Y301</f>
        <v/>
      </c>
      <c r="O301" s="9">
        <f>'Jobs-GAAP'!Y301</f>
        <v/>
      </c>
      <c r="P301" s="9">
        <f>N301-O301</f>
        <v/>
      </c>
      <c r="Q301" s="186" t="n"/>
      <c r="R301" s="11">
        <f>'Jobs-Ops'!AL301</f>
        <v/>
      </c>
      <c r="S301" s="11">
        <f>'Jobs-GAAP'!AH301</f>
        <v/>
      </c>
      <c r="T301" s="11">
        <f>IFERROR(R301-S301,0)</f>
        <v/>
      </c>
      <c r="U301" s="8">
        <f>'Jobs-Ops'!AM301</f>
        <v/>
      </c>
      <c r="V301" s="8">
        <f>'Jobs-GAAP'!AI301</f>
        <v/>
      </c>
      <c r="W301" s="8">
        <f>IFERROR(U301-V301,0)</f>
        <v/>
      </c>
      <c r="X301" s="9">
        <f>'Jobs-Ops'!AN301</f>
        <v/>
      </c>
      <c r="Y301" s="9">
        <f>'Jobs-GAAP'!AJ301</f>
        <v/>
      </c>
      <c r="Z301" s="9">
        <f>IFERROR(X301-Y301,0)</f>
        <v/>
      </c>
      <c r="AA301" s="153">
        <f>'Jobs-Ops'!AO301</f>
        <v/>
      </c>
      <c r="AB301" s="187" t="n"/>
      <c r="AC301" s="186" t="n"/>
      <c r="AD301" s="186" t="n"/>
      <c r="AE301" s="188" t="n"/>
      <c r="AF301" s="187" t="n"/>
      <c r="AG301" s="187" t="n"/>
      <c r="AH301" s="186" t="n"/>
      <c r="AI301" s="186" t="n"/>
      <c r="AJ301" s="186" t="n"/>
      <c r="AK301" s="186" t="n"/>
      <c r="AL301" s="186" t="n"/>
      <c r="AM301" s="186" t="n"/>
      <c r="AN301" s="186" t="n"/>
      <c r="AO301" s="186" t="n"/>
      <c r="AP301" s="186" t="n"/>
      <c r="AQ301" s="186" t="n"/>
      <c r="AR301" s="186" t="n"/>
      <c r="AS301" s="186" t="n"/>
      <c r="AT301" s="186" t="n"/>
      <c r="AU301" s="186" t="n"/>
      <c r="AV301" s="186" t="n"/>
      <c r="AW301" s="186" t="n"/>
      <c r="AX301" s="186" t="n"/>
      <c r="AY301" s="186" t="n"/>
      <c r="AZ301" s="186" t="n"/>
      <c r="BA301" s="186" t="n"/>
      <c r="BB301" s="186" t="n"/>
      <c r="BC301" s="186" t="n"/>
      <c r="BD301" s="190" t="n"/>
      <c r="BE301" s="186" t="n"/>
      <c r="BF301" s="186" t="n"/>
      <c r="BG301" s="186" t="n"/>
      <c r="BH301" s="186" t="n"/>
      <c r="BI301" s="186" t="n"/>
      <c r="BJ301" s="187" t="n"/>
      <c r="BK301" s="192" t="n"/>
      <c r="BL301" s="192" t="n"/>
      <c r="BM301" s="192" t="n"/>
      <c r="BN301" s="192" t="n"/>
    </row>
    <row r="302">
      <c r="A302" s="289">
        <f> 'Jobs-Ops'!A302</f>
        <v/>
      </c>
      <c r="B302" s="290">
        <f>'Jobs-Ops'!B302</f>
        <v/>
      </c>
      <c r="C302" s="290">
        <f>'Jobs-Ops'!C302</f>
        <v/>
      </c>
      <c r="D302" s="179" t="n"/>
      <c r="E302" s="181">
        <f>'Jobs-Ops'!I302</f>
        <v/>
      </c>
      <c r="F302" s="205">
        <f>'Jobs-Ops'!U302</f>
        <v/>
      </c>
      <c r="G302" s="181">
        <f>'Jobs-GAAP'!J302</f>
        <v/>
      </c>
      <c r="H302" s="205">
        <f>'Jobs-GAAP'!V302</f>
        <v/>
      </c>
      <c r="I302" s="181">
        <f>E302-G302</f>
        <v/>
      </c>
      <c r="J302" s="9">
        <f>'Jobs-Ops'!P302</f>
        <v/>
      </c>
      <c r="K302" s="9">
        <f>'Jobs-GAAP'!Q302</f>
        <v/>
      </c>
      <c r="L302" s="9">
        <f>J302-K302</f>
        <v/>
      </c>
      <c r="M302" s="186" t="n"/>
      <c r="N302" s="9">
        <f>'Jobs-Ops'!Y302</f>
        <v/>
      </c>
      <c r="O302" s="9">
        <f>'Jobs-GAAP'!Y302</f>
        <v/>
      </c>
      <c r="P302" s="9">
        <f>N302-O302</f>
        <v/>
      </c>
      <c r="Q302" s="186" t="n"/>
      <c r="R302" s="11">
        <f>'Jobs-Ops'!AL302</f>
        <v/>
      </c>
      <c r="S302" s="11">
        <f>'Jobs-GAAP'!AH302</f>
        <v/>
      </c>
      <c r="T302" s="11">
        <f>IFERROR(R302-S302,0)</f>
        <v/>
      </c>
      <c r="U302" s="8">
        <f>'Jobs-Ops'!AM302</f>
        <v/>
      </c>
      <c r="V302" s="8">
        <f>'Jobs-GAAP'!AI302</f>
        <v/>
      </c>
      <c r="W302" s="8">
        <f>IFERROR(U302-V302,0)</f>
        <v/>
      </c>
      <c r="X302" s="9">
        <f>'Jobs-Ops'!AN302</f>
        <v/>
      </c>
      <c r="Y302" s="9">
        <f>'Jobs-GAAP'!AJ302</f>
        <v/>
      </c>
      <c r="Z302" s="9">
        <f>IFERROR(X302-Y302,0)</f>
        <v/>
      </c>
      <c r="AA302" s="153">
        <f>'Jobs-Ops'!AO302</f>
        <v/>
      </c>
      <c r="AB302" s="187" t="n"/>
      <c r="AC302" s="186" t="n"/>
      <c r="AD302" s="186" t="n"/>
      <c r="AE302" s="188" t="n"/>
      <c r="AF302" s="187" t="n"/>
      <c r="AG302" s="187" t="n"/>
      <c r="AH302" s="186" t="n"/>
      <c r="AI302" s="186" t="n"/>
      <c r="AJ302" s="186" t="n"/>
      <c r="AK302" s="186" t="n"/>
      <c r="AL302" s="186" t="n"/>
      <c r="AM302" s="186" t="n"/>
      <c r="AN302" s="186" t="n"/>
      <c r="AO302" s="186" t="n"/>
      <c r="AP302" s="186" t="n"/>
      <c r="AQ302" s="186" t="n"/>
      <c r="AR302" s="186" t="n"/>
      <c r="AS302" s="186" t="n"/>
      <c r="AT302" s="186" t="n"/>
      <c r="AU302" s="186" t="n"/>
      <c r="AV302" s="186" t="n"/>
      <c r="AW302" s="186" t="n"/>
      <c r="AX302" s="186" t="n"/>
      <c r="AY302" s="186" t="n"/>
      <c r="AZ302" s="186" t="n"/>
      <c r="BA302" s="186" t="n"/>
      <c r="BB302" s="186" t="n"/>
      <c r="BC302" s="186" t="n"/>
      <c r="BD302" s="190" t="n"/>
      <c r="BE302" s="186" t="n"/>
      <c r="BF302" s="186" t="n"/>
      <c r="BG302" s="186" t="n"/>
      <c r="BH302" s="186" t="n"/>
      <c r="BI302" s="186" t="n"/>
      <c r="BJ302" s="187" t="n"/>
      <c r="BK302" s="192" t="n"/>
      <c r="BL302" s="192" t="n"/>
      <c r="BM302" s="192" t="n"/>
      <c r="BN302" s="192" t="n"/>
    </row>
    <row r="303">
      <c r="A303" s="289">
        <f> 'Jobs-Ops'!A303</f>
        <v/>
      </c>
      <c r="B303" s="290">
        <f>'Jobs-Ops'!B303</f>
        <v/>
      </c>
      <c r="C303" s="290">
        <f>'Jobs-Ops'!C303</f>
        <v/>
      </c>
      <c r="D303" s="179" t="n"/>
      <c r="E303" s="181">
        <f>'Jobs-Ops'!I303</f>
        <v/>
      </c>
      <c r="F303" s="205">
        <f>'Jobs-Ops'!U303</f>
        <v/>
      </c>
      <c r="G303" s="181">
        <f>'Jobs-GAAP'!J303</f>
        <v/>
      </c>
      <c r="H303" s="205">
        <f>'Jobs-GAAP'!V303</f>
        <v/>
      </c>
      <c r="I303" s="181">
        <f>E303-G303</f>
        <v/>
      </c>
      <c r="J303" s="9">
        <f>'Jobs-Ops'!P303</f>
        <v/>
      </c>
      <c r="K303" s="9">
        <f>'Jobs-GAAP'!Q303</f>
        <v/>
      </c>
      <c r="L303" s="9">
        <f>J303-K303</f>
        <v/>
      </c>
      <c r="M303" s="186" t="n"/>
      <c r="N303" s="9">
        <f>'Jobs-Ops'!Y303</f>
        <v/>
      </c>
      <c r="O303" s="9">
        <f>'Jobs-GAAP'!Y303</f>
        <v/>
      </c>
      <c r="P303" s="9">
        <f>N303-O303</f>
        <v/>
      </c>
      <c r="Q303" s="186" t="n"/>
      <c r="R303" s="11">
        <f>'Jobs-Ops'!AL303</f>
        <v/>
      </c>
      <c r="S303" s="11">
        <f>'Jobs-GAAP'!AH303</f>
        <v/>
      </c>
      <c r="T303" s="11">
        <f>IFERROR(R303-S303,0)</f>
        <v/>
      </c>
      <c r="U303" s="8">
        <f>'Jobs-Ops'!AM303</f>
        <v/>
      </c>
      <c r="V303" s="8">
        <f>'Jobs-GAAP'!AI303</f>
        <v/>
      </c>
      <c r="W303" s="8">
        <f>IFERROR(U303-V303,0)</f>
        <v/>
      </c>
      <c r="X303" s="9">
        <f>'Jobs-Ops'!AN303</f>
        <v/>
      </c>
      <c r="Y303" s="9">
        <f>'Jobs-GAAP'!AJ303</f>
        <v/>
      </c>
      <c r="Z303" s="9">
        <f>IFERROR(X303-Y303,0)</f>
        <v/>
      </c>
      <c r="AA303" s="153">
        <f>'Jobs-Ops'!AO303</f>
        <v/>
      </c>
      <c r="AB303" s="187" t="n"/>
      <c r="AC303" s="186" t="n"/>
      <c r="AD303" s="186" t="n"/>
      <c r="AE303" s="188" t="n"/>
      <c r="AF303" s="187" t="n"/>
      <c r="AG303" s="187" t="n"/>
      <c r="AH303" s="186" t="n"/>
      <c r="AI303" s="186" t="n"/>
      <c r="AJ303" s="186" t="n"/>
      <c r="AK303" s="186" t="n"/>
      <c r="AL303" s="186" t="n"/>
      <c r="AM303" s="186" t="n"/>
      <c r="AN303" s="186" t="n"/>
      <c r="AO303" s="186" t="n"/>
      <c r="AP303" s="186" t="n"/>
      <c r="AQ303" s="186" t="n"/>
      <c r="AR303" s="186" t="n"/>
      <c r="AS303" s="186" t="n"/>
      <c r="AT303" s="186" t="n"/>
      <c r="AU303" s="186" t="n"/>
      <c r="AV303" s="186" t="n"/>
      <c r="AW303" s="186" t="n"/>
      <c r="AX303" s="186" t="n"/>
      <c r="AY303" s="186" t="n"/>
      <c r="AZ303" s="186" t="n"/>
      <c r="BA303" s="186" t="n"/>
      <c r="BB303" s="186" t="n"/>
      <c r="BC303" s="186" t="n"/>
      <c r="BD303" s="190" t="n"/>
      <c r="BE303" s="186" t="n"/>
      <c r="BF303" s="186" t="n"/>
      <c r="BG303" s="186" t="n"/>
      <c r="BH303" s="186" t="n"/>
      <c r="BI303" s="186" t="n"/>
      <c r="BJ303" s="187" t="n"/>
      <c r="BK303" s="192" t="n"/>
      <c r="BL303" s="192" t="n"/>
      <c r="BM303" s="192" t="n"/>
      <c r="BN303" s="192" t="n"/>
    </row>
    <row r="304">
      <c r="A304" s="289">
        <f> 'Jobs-Ops'!A304</f>
        <v/>
      </c>
      <c r="B304" s="290">
        <f>'Jobs-Ops'!B304</f>
        <v/>
      </c>
      <c r="C304" s="290">
        <f>'Jobs-Ops'!C304</f>
        <v/>
      </c>
      <c r="D304" s="179" t="n"/>
      <c r="E304" s="181">
        <f>'Jobs-Ops'!I304</f>
        <v/>
      </c>
      <c r="F304" s="205">
        <f>'Jobs-Ops'!U304</f>
        <v/>
      </c>
      <c r="G304" s="181">
        <f>'Jobs-GAAP'!J304</f>
        <v/>
      </c>
      <c r="H304" s="205">
        <f>'Jobs-GAAP'!V304</f>
        <v/>
      </c>
      <c r="I304" s="181">
        <f>E304-G304</f>
        <v/>
      </c>
      <c r="J304" s="9">
        <f>'Jobs-Ops'!P304</f>
        <v/>
      </c>
      <c r="K304" s="9">
        <f>'Jobs-GAAP'!Q304</f>
        <v/>
      </c>
      <c r="L304" s="9">
        <f>J304-K304</f>
        <v/>
      </c>
      <c r="M304" s="186" t="n"/>
      <c r="N304" s="9">
        <f>'Jobs-Ops'!Y304</f>
        <v/>
      </c>
      <c r="O304" s="9">
        <f>'Jobs-GAAP'!Y304</f>
        <v/>
      </c>
      <c r="P304" s="9">
        <f>N304-O304</f>
        <v/>
      </c>
      <c r="Q304" s="186" t="n"/>
      <c r="R304" s="11">
        <f>'Jobs-Ops'!AL304</f>
        <v/>
      </c>
      <c r="S304" s="11">
        <f>'Jobs-GAAP'!AH304</f>
        <v/>
      </c>
      <c r="T304" s="11">
        <f>IFERROR(R304-S304,0)</f>
        <v/>
      </c>
      <c r="U304" s="8">
        <f>'Jobs-Ops'!AM304</f>
        <v/>
      </c>
      <c r="V304" s="8">
        <f>'Jobs-GAAP'!AI304</f>
        <v/>
      </c>
      <c r="W304" s="8">
        <f>IFERROR(U304-V304,0)</f>
        <v/>
      </c>
      <c r="X304" s="9">
        <f>'Jobs-Ops'!AN304</f>
        <v/>
      </c>
      <c r="Y304" s="9">
        <f>'Jobs-GAAP'!AJ304</f>
        <v/>
      </c>
      <c r="Z304" s="9">
        <f>IFERROR(X304-Y304,0)</f>
        <v/>
      </c>
      <c r="AA304" s="153">
        <f>'Jobs-Ops'!AO304</f>
        <v/>
      </c>
      <c r="AB304" s="187" t="n"/>
      <c r="AC304" s="186" t="n"/>
      <c r="AD304" s="186" t="n"/>
      <c r="AE304" s="188" t="n"/>
      <c r="AF304" s="187" t="n"/>
      <c r="AG304" s="187" t="n"/>
      <c r="AH304" s="186" t="n"/>
      <c r="AI304" s="186" t="n"/>
      <c r="AJ304" s="186" t="n"/>
      <c r="AK304" s="186" t="n"/>
      <c r="AL304" s="186" t="n"/>
      <c r="AM304" s="186" t="n"/>
      <c r="AN304" s="186" t="n"/>
      <c r="AO304" s="186" t="n"/>
      <c r="AP304" s="186" t="n"/>
      <c r="AQ304" s="186" t="n"/>
      <c r="AR304" s="186" t="n"/>
      <c r="AS304" s="186" t="n"/>
      <c r="AT304" s="186" t="n"/>
      <c r="AU304" s="186" t="n"/>
      <c r="AV304" s="186" t="n"/>
      <c r="AW304" s="186" t="n"/>
      <c r="AX304" s="186" t="n"/>
      <c r="AY304" s="186" t="n"/>
      <c r="AZ304" s="186" t="n"/>
      <c r="BA304" s="186" t="n"/>
      <c r="BB304" s="186" t="n"/>
      <c r="BC304" s="186" t="n"/>
      <c r="BD304" s="190" t="n"/>
      <c r="BE304" s="186" t="n"/>
      <c r="BF304" s="186" t="n"/>
      <c r="BG304" s="186" t="n"/>
      <c r="BH304" s="186" t="n"/>
      <c r="BI304" s="186" t="n"/>
      <c r="BJ304" s="187" t="n"/>
      <c r="BK304" s="192" t="n"/>
      <c r="BL304" s="192" t="n"/>
      <c r="BM304" s="192" t="n"/>
      <c r="BN304" s="192" t="n"/>
    </row>
    <row r="305">
      <c r="A305" s="289">
        <f> 'Jobs-Ops'!A305</f>
        <v/>
      </c>
      <c r="B305" s="290">
        <f>'Jobs-Ops'!B305</f>
        <v/>
      </c>
      <c r="C305" s="290">
        <f>'Jobs-Ops'!C305</f>
        <v/>
      </c>
      <c r="D305" s="179" t="n"/>
      <c r="E305" s="181">
        <f>'Jobs-Ops'!I305</f>
        <v/>
      </c>
      <c r="F305" s="205">
        <f>'Jobs-Ops'!U305</f>
        <v/>
      </c>
      <c r="G305" s="181">
        <f>'Jobs-GAAP'!J305</f>
        <v/>
      </c>
      <c r="H305" s="205">
        <f>'Jobs-GAAP'!V305</f>
        <v/>
      </c>
      <c r="I305" s="181">
        <f>E305-G305</f>
        <v/>
      </c>
      <c r="J305" s="9">
        <f>'Jobs-Ops'!P305</f>
        <v/>
      </c>
      <c r="K305" s="9">
        <f>'Jobs-GAAP'!Q305</f>
        <v/>
      </c>
      <c r="L305" s="9">
        <f>J305-K305</f>
        <v/>
      </c>
      <c r="M305" s="186" t="n"/>
      <c r="N305" s="9">
        <f>'Jobs-Ops'!Y305</f>
        <v/>
      </c>
      <c r="O305" s="9">
        <f>'Jobs-GAAP'!Y305</f>
        <v/>
      </c>
      <c r="P305" s="9">
        <f>N305-O305</f>
        <v/>
      </c>
      <c r="Q305" s="186" t="n"/>
      <c r="R305" s="11">
        <f>'Jobs-Ops'!AL305</f>
        <v/>
      </c>
      <c r="S305" s="11">
        <f>'Jobs-GAAP'!AH305</f>
        <v/>
      </c>
      <c r="T305" s="11">
        <f>IFERROR(R305-S305,0)</f>
        <v/>
      </c>
      <c r="U305" s="8">
        <f>'Jobs-Ops'!AM305</f>
        <v/>
      </c>
      <c r="V305" s="8">
        <f>'Jobs-GAAP'!AI305</f>
        <v/>
      </c>
      <c r="W305" s="8">
        <f>IFERROR(U305-V305,0)</f>
        <v/>
      </c>
      <c r="X305" s="9">
        <f>'Jobs-Ops'!AN305</f>
        <v/>
      </c>
      <c r="Y305" s="9">
        <f>'Jobs-GAAP'!AJ305</f>
        <v/>
      </c>
      <c r="Z305" s="9">
        <f>IFERROR(X305-Y305,0)</f>
        <v/>
      </c>
      <c r="AA305" s="153">
        <f>'Jobs-Ops'!AO305</f>
        <v/>
      </c>
      <c r="AB305" s="187" t="n"/>
      <c r="AC305" s="186" t="n"/>
      <c r="AD305" s="186" t="n"/>
      <c r="AE305" s="188" t="n"/>
      <c r="AF305" s="187" t="n"/>
      <c r="AG305" s="187" t="n"/>
      <c r="AH305" s="186" t="n"/>
      <c r="AI305" s="186" t="n"/>
      <c r="AJ305" s="186" t="n"/>
      <c r="AK305" s="186" t="n"/>
      <c r="AL305" s="186" t="n"/>
      <c r="AM305" s="186" t="n"/>
      <c r="AN305" s="186" t="n"/>
      <c r="AO305" s="186" t="n"/>
      <c r="AP305" s="186" t="n"/>
      <c r="AQ305" s="186" t="n"/>
      <c r="AR305" s="186" t="n"/>
      <c r="AS305" s="186" t="n"/>
      <c r="AT305" s="186" t="n"/>
      <c r="AU305" s="186" t="n"/>
      <c r="AV305" s="186" t="n"/>
      <c r="AW305" s="186" t="n"/>
      <c r="AX305" s="186" t="n"/>
      <c r="AY305" s="186" t="n"/>
      <c r="AZ305" s="186" t="n"/>
      <c r="BA305" s="186" t="n"/>
      <c r="BB305" s="186" t="n"/>
      <c r="BC305" s="186" t="n"/>
      <c r="BD305" s="190" t="n"/>
      <c r="BE305" s="186" t="n"/>
      <c r="BF305" s="186" t="n"/>
      <c r="BG305" s="186" t="n"/>
      <c r="BH305" s="186" t="n"/>
      <c r="BI305" s="186" t="n"/>
      <c r="BJ305" s="187" t="n"/>
      <c r="BK305" s="192" t="n"/>
      <c r="BL305" s="192" t="n"/>
      <c r="BM305" s="192" t="n"/>
      <c r="BN305" s="192" t="n"/>
    </row>
    <row r="306">
      <c r="A306" s="289">
        <f> 'Jobs-Ops'!A306</f>
        <v/>
      </c>
      <c r="B306" s="290">
        <f>'Jobs-Ops'!B306</f>
        <v/>
      </c>
      <c r="C306" s="290">
        <f>'Jobs-Ops'!C306</f>
        <v/>
      </c>
      <c r="D306" s="179" t="n"/>
      <c r="E306" s="181">
        <f>'Jobs-Ops'!I306</f>
        <v/>
      </c>
      <c r="F306" s="205">
        <f>'Jobs-Ops'!U306</f>
        <v/>
      </c>
      <c r="G306" s="181">
        <f>'Jobs-GAAP'!J306</f>
        <v/>
      </c>
      <c r="H306" s="205">
        <f>'Jobs-GAAP'!V306</f>
        <v/>
      </c>
      <c r="I306" s="181">
        <f>E306-G306</f>
        <v/>
      </c>
      <c r="J306" s="9">
        <f>'Jobs-Ops'!P306</f>
        <v/>
      </c>
      <c r="K306" s="9">
        <f>'Jobs-GAAP'!Q306</f>
        <v/>
      </c>
      <c r="L306" s="9">
        <f>J306-K306</f>
        <v/>
      </c>
      <c r="M306" s="186" t="n"/>
      <c r="N306" s="9">
        <f>'Jobs-Ops'!Y306</f>
        <v/>
      </c>
      <c r="O306" s="9">
        <f>'Jobs-GAAP'!Y306</f>
        <v/>
      </c>
      <c r="P306" s="9">
        <f>N306-O306</f>
        <v/>
      </c>
      <c r="Q306" s="186" t="n"/>
      <c r="R306" s="11">
        <f>'Jobs-Ops'!AL306</f>
        <v/>
      </c>
      <c r="S306" s="11">
        <f>'Jobs-GAAP'!AH306</f>
        <v/>
      </c>
      <c r="T306" s="11">
        <f>IFERROR(R306-S306,0)</f>
        <v/>
      </c>
      <c r="U306" s="8">
        <f>'Jobs-Ops'!AM306</f>
        <v/>
      </c>
      <c r="V306" s="8">
        <f>'Jobs-GAAP'!AI306</f>
        <v/>
      </c>
      <c r="W306" s="8">
        <f>IFERROR(U306-V306,0)</f>
        <v/>
      </c>
      <c r="X306" s="9">
        <f>'Jobs-Ops'!AN306</f>
        <v/>
      </c>
      <c r="Y306" s="9">
        <f>'Jobs-GAAP'!AJ306</f>
        <v/>
      </c>
      <c r="Z306" s="9">
        <f>IFERROR(X306-Y306,0)</f>
        <v/>
      </c>
      <c r="AA306" s="153">
        <f>'Jobs-Ops'!AO306</f>
        <v/>
      </c>
      <c r="AB306" s="187" t="n"/>
      <c r="AC306" s="186" t="n"/>
      <c r="AD306" s="186" t="n"/>
      <c r="AE306" s="188" t="n"/>
      <c r="AF306" s="187" t="n"/>
      <c r="AG306" s="187" t="n"/>
      <c r="AH306" s="186" t="n"/>
      <c r="AI306" s="186" t="n"/>
      <c r="AJ306" s="186" t="n"/>
      <c r="AK306" s="186" t="n"/>
      <c r="AL306" s="186" t="n"/>
      <c r="AM306" s="186" t="n"/>
      <c r="AN306" s="186" t="n"/>
      <c r="AO306" s="186" t="n"/>
      <c r="AP306" s="186" t="n"/>
      <c r="AQ306" s="186" t="n"/>
      <c r="AR306" s="186" t="n"/>
      <c r="AS306" s="186" t="n"/>
      <c r="AT306" s="186" t="n"/>
      <c r="AU306" s="186" t="n"/>
      <c r="AV306" s="186" t="n"/>
      <c r="AW306" s="186" t="n"/>
      <c r="AX306" s="186" t="n"/>
      <c r="AY306" s="186" t="n"/>
      <c r="AZ306" s="186" t="n"/>
      <c r="BA306" s="186" t="n"/>
      <c r="BB306" s="186" t="n"/>
      <c r="BC306" s="186" t="n"/>
      <c r="BD306" s="190" t="n"/>
      <c r="BE306" s="186" t="n"/>
      <c r="BF306" s="186" t="n"/>
      <c r="BG306" s="186" t="n"/>
      <c r="BH306" s="186" t="n"/>
      <c r="BI306" s="186" t="n"/>
      <c r="BJ306" s="187" t="n"/>
      <c r="BK306" s="192" t="n"/>
      <c r="BL306" s="192" t="n"/>
      <c r="BM306" s="192" t="n"/>
      <c r="BN306" s="192" t="n"/>
    </row>
    <row r="307">
      <c r="A307" s="289">
        <f> 'Jobs-Ops'!A307</f>
        <v/>
      </c>
      <c r="B307" s="290">
        <f>'Jobs-Ops'!B307</f>
        <v/>
      </c>
      <c r="C307" s="290">
        <f>'Jobs-Ops'!C307</f>
        <v/>
      </c>
      <c r="D307" s="179" t="n"/>
      <c r="E307" s="181">
        <f>'Jobs-Ops'!I307</f>
        <v/>
      </c>
      <c r="F307" s="205">
        <f>'Jobs-Ops'!U307</f>
        <v/>
      </c>
      <c r="G307" s="181">
        <f>'Jobs-GAAP'!J307</f>
        <v/>
      </c>
      <c r="H307" s="205">
        <f>'Jobs-GAAP'!V307</f>
        <v/>
      </c>
      <c r="I307" s="181">
        <f>E307-G307</f>
        <v/>
      </c>
      <c r="J307" s="9">
        <f>'Jobs-Ops'!P307</f>
        <v/>
      </c>
      <c r="K307" s="9">
        <f>'Jobs-GAAP'!Q307</f>
        <v/>
      </c>
      <c r="L307" s="9">
        <f>J307-K307</f>
        <v/>
      </c>
      <c r="M307" s="186" t="n"/>
      <c r="N307" s="9">
        <f>'Jobs-Ops'!Y307</f>
        <v/>
      </c>
      <c r="O307" s="9">
        <f>'Jobs-GAAP'!Y307</f>
        <v/>
      </c>
      <c r="P307" s="9">
        <f>N307-O307</f>
        <v/>
      </c>
      <c r="Q307" s="186" t="n"/>
      <c r="R307" s="11">
        <f>'Jobs-Ops'!AL307</f>
        <v/>
      </c>
      <c r="S307" s="11">
        <f>'Jobs-GAAP'!AH307</f>
        <v/>
      </c>
      <c r="T307" s="11">
        <f>IFERROR(R307-S307,0)</f>
        <v/>
      </c>
      <c r="U307" s="8">
        <f>'Jobs-Ops'!AM307</f>
        <v/>
      </c>
      <c r="V307" s="8">
        <f>'Jobs-GAAP'!AI307</f>
        <v/>
      </c>
      <c r="W307" s="8">
        <f>IFERROR(U307-V307,0)</f>
        <v/>
      </c>
      <c r="X307" s="9">
        <f>'Jobs-Ops'!AN307</f>
        <v/>
      </c>
      <c r="Y307" s="9">
        <f>'Jobs-GAAP'!AJ307</f>
        <v/>
      </c>
      <c r="Z307" s="9">
        <f>IFERROR(X307-Y307,0)</f>
        <v/>
      </c>
      <c r="AA307" s="153">
        <f>'Jobs-Ops'!AO307</f>
        <v/>
      </c>
      <c r="AB307" s="187" t="n"/>
      <c r="AC307" s="186" t="n"/>
      <c r="AD307" s="186" t="n"/>
      <c r="AE307" s="188" t="n"/>
      <c r="AF307" s="187" t="n"/>
      <c r="AG307" s="187" t="n"/>
      <c r="AH307" s="186" t="n"/>
      <c r="AI307" s="186" t="n"/>
      <c r="AJ307" s="186" t="n"/>
      <c r="AK307" s="186" t="n"/>
      <c r="AL307" s="186" t="n"/>
      <c r="AM307" s="186" t="n"/>
      <c r="AN307" s="186" t="n"/>
      <c r="AO307" s="186" t="n"/>
      <c r="AP307" s="186" t="n"/>
      <c r="AQ307" s="186" t="n"/>
      <c r="AR307" s="186" t="n"/>
      <c r="AS307" s="186" t="n"/>
      <c r="AT307" s="186" t="n"/>
      <c r="AU307" s="186" t="n"/>
      <c r="AV307" s="186" t="n"/>
      <c r="AW307" s="186" t="n"/>
      <c r="AX307" s="186" t="n"/>
      <c r="AY307" s="186" t="n"/>
      <c r="AZ307" s="186" t="n"/>
      <c r="BA307" s="186" t="n"/>
      <c r="BB307" s="186" t="n"/>
      <c r="BC307" s="186" t="n"/>
      <c r="BD307" s="190" t="n"/>
      <c r="BE307" s="186" t="n"/>
      <c r="BF307" s="186" t="n"/>
      <c r="BG307" s="186" t="n"/>
      <c r="BH307" s="186" t="n"/>
      <c r="BI307" s="186" t="n"/>
      <c r="BJ307" s="187" t="n"/>
      <c r="BK307" s="192" t="n"/>
      <c r="BL307" s="192" t="n"/>
      <c r="BM307" s="192" t="n"/>
      <c r="BN307" s="192" t="n"/>
    </row>
    <row r="308">
      <c r="A308" s="289">
        <f> 'Jobs-Ops'!A308</f>
        <v/>
      </c>
      <c r="B308" s="290">
        <f>'Jobs-Ops'!B308</f>
        <v/>
      </c>
      <c r="C308" s="290">
        <f>'Jobs-Ops'!C308</f>
        <v/>
      </c>
      <c r="D308" s="179" t="n"/>
      <c r="E308" s="181">
        <f>'Jobs-Ops'!I308</f>
        <v/>
      </c>
      <c r="F308" s="205">
        <f>'Jobs-Ops'!U308</f>
        <v/>
      </c>
      <c r="G308" s="181">
        <f>'Jobs-GAAP'!J308</f>
        <v/>
      </c>
      <c r="H308" s="205">
        <f>'Jobs-GAAP'!V308</f>
        <v/>
      </c>
      <c r="I308" s="181">
        <f>E308-G308</f>
        <v/>
      </c>
      <c r="J308" s="9">
        <f>'Jobs-Ops'!P308</f>
        <v/>
      </c>
      <c r="K308" s="9">
        <f>'Jobs-GAAP'!Q308</f>
        <v/>
      </c>
      <c r="L308" s="9">
        <f>J308-K308</f>
        <v/>
      </c>
      <c r="M308" s="186" t="n"/>
      <c r="N308" s="9">
        <f>'Jobs-Ops'!Y308</f>
        <v/>
      </c>
      <c r="O308" s="9">
        <f>'Jobs-GAAP'!Y308</f>
        <v/>
      </c>
      <c r="P308" s="9">
        <f>N308-O308</f>
        <v/>
      </c>
      <c r="Q308" s="186" t="n"/>
      <c r="R308" s="11">
        <f>'Jobs-Ops'!AL308</f>
        <v/>
      </c>
      <c r="S308" s="11">
        <f>'Jobs-GAAP'!AH308</f>
        <v/>
      </c>
      <c r="T308" s="11">
        <f>IFERROR(R308-S308,0)</f>
        <v/>
      </c>
      <c r="U308" s="8">
        <f>'Jobs-Ops'!AM308</f>
        <v/>
      </c>
      <c r="V308" s="8">
        <f>'Jobs-GAAP'!AI308</f>
        <v/>
      </c>
      <c r="W308" s="8">
        <f>IFERROR(U308-V308,0)</f>
        <v/>
      </c>
      <c r="X308" s="9">
        <f>'Jobs-Ops'!AN308</f>
        <v/>
      </c>
      <c r="Y308" s="9">
        <f>'Jobs-GAAP'!AJ308</f>
        <v/>
      </c>
      <c r="Z308" s="9">
        <f>IFERROR(X308-Y308,0)</f>
        <v/>
      </c>
      <c r="AA308" s="153">
        <f>'Jobs-Ops'!AO308</f>
        <v/>
      </c>
      <c r="AB308" s="187" t="n"/>
      <c r="AC308" s="186" t="n"/>
      <c r="AD308" s="186" t="n"/>
      <c r="AE308" s="188" t="n"/>
      <c r="AF308" s="187" t="n"/>
      <c r="AG308" s="187" t="n"/>
      <c r="AH308" s="186" t="n"/>
      <c r="AI308" s="186" t="n"/>
      <c r="AJ308" s="186" t="n"/>
      <c r="AK308" s="186" t="n"/>
      <c r="AL308" s="186" t="n"/>
      <c r="AM308" s="186" t="n"/>
      <c r="AN308" s="186" t="n"/>
      <c r="AO308" s="186" t="n"/>
      <c r="AP308" s="186" t="n"/>
      <c r="AQ308" s="186" t="n"/>
      <c r="AR308" s="186" t="n"/>
      <c r="AS308" s="186" t="n"/>
      <c r="AT308" s="186" t="n"/>
      <c r="AU308" s="186" t="n"/>
      <c r="AV308" s="186" t="n"/>
      <c r="AW308" s="186" t="n"/>
      <c r="AX308" s="186" t="n"/>
      <c r="AY308" s="186" t="n"/>
      <c r="AZ308" s="186" t="n"/>
      <c r="BA308" s="186" t="n"/>
      <c r="BB308" s="186" t="n"/>
      <c r="BC308" s="186" t="n"/>
      <c r="BD308" s="190" t="n"/>
      <c r="BE308" s="186" t="n"/>
      <c r="BF308" s="186" t="n"/>
      <c r="BG308" s="186" t="n"/>
      <c r="BH308" s="186" t="n"/>
      <c r="BI308" s="186" t="n"/>
      <c r="BJ308" s="187" t="n"/>
      <c r="BK308" s="192" t="n"/>
      <c r="BL308" s="192" t="n"/>
      <c r="BM308" s="192" t="n"/>
      <c r="BN308" s="192" t="n"/>
    </row>
    <row r="309">
      <c r="A309" s="289">
        <f> 'Jobs-Ops'!A309</f>
        <v/>
      </c>
      <c r="B309" s="290">
        <f>'Jobs-Ops'!B309</f>
        <v/>
      </c>
      <c r="C309" s="290">
        <f>'Jobs-Ops'!C309</f>
        <v/>
      </c>
      <c r="D309" s="179" t="n"/>
      <c r="E309" s="181">
        <f>'Jobs-Ops'!I309</f>
        <v/>
      </c>
      <c r="F309" s="205">
        <f>'Jobs-Ops'!U309</f>
        <v/>
      </c>
      <c r="G309" s="181">
        <f>'Jobs-GAAP'!J309</f>
        <v/>
      </c>
      <c r="H309" s="205">
        <f>'Jobs-GAAP'!V309</f>
        <v/>
      </c>
      <c r="I309" s="181">
        <f>E309-G309</f>
        <v/>
      </c>
      <c r="J309" s="9">
        <f>'Jobs-Ops'!P309</f>
        <v/>
      </c>
      <c r="K309" s="9">
        <f>'Jobs-GAAP'!Q309</f>
        <v/>
      </c>
      <c r="L309" s="9">
        <f>J309-K309</f>
        <v/>
      </c>
      <c r="M309" s="186" t="n"/>
      <c r="N309" s="9">
        <f>'Jobs-Ops'!Y309</f>
        <v/>
      </c>
      <c r="O309" s="9">
        <f>'Jobs-GAAP'!Y309</f>
        <v/>
      </c>
      <c r="P309" s="9">
        <f>N309-O309</f>
        <v/>
      </c>
      <c r="Q309" s="186" t="n"/>
      <c r="R309" s="11">
        <f>'Jobs-Ops'!AL309</f>
        <v/>
      </c>
      <c r="S309" s="11">
        <f>'Jobs-GAAP'!AH309</f>
        <v/>
      </c>
      <c r="T309" s="11">
        <f>IFERROR(R309-S309,0)</f>
        <v/>
      </c>
      <c r="U309" s="8">
        <f>'Jobs-Ops'!AM309</f>
        <v/>
      </c>
      <c r="V309" s="8">
        <f>'Jobs-GAAP'!AI309</f>
        <v/>
      </c>
      <c r="W309" s="8">
        <f>IFERROR(U309-V309,0)</f>
        <v/>
      </c>
      <c r="X309" s="9">
        <f>'Jobs-Ops'!AN309</f>
        <v/>
      </c>
      <c r="Y309" s="9">
        <f>'Jobs-GAAP'!AJ309</f>
        <v/>
      </c>
      <c r="Z309" s="9">
        <f>IFERROR(X309-Y309,0)</f>
        <v/>
      </c>
      <c r="AA309" s="153">
        <f>'Jobs-Ops'!AO309</f>
        <v/>
      </c>
      <c r="AB309" s="187" t="n"/>
      <c r="AC309" s="186" t="n"/>
      <c r="AD309" s="186" t="n"/>
      <c r="AE309" s="188" t="n"/>
      <c r="AF309" s="187" t="n"/>
      <c r="AG309" s="187" t="n"/>
      <c r="AH309" s="186" t="n"/>
      <c r="AI309" s="186" t="n"/>
      <c r="AJ309" s="186" t="n"/>
      <c r="AK309" s="186" t="n"/>
      <c r="AL309" s="186" t="n"/>
      <c r="AM309" s="186" t="n"/>
      <c r="AN309" s="186" t="n"/>
      <c r="AO309" s="186" t="n"/>
      <c r="AP309" s="186" t="n"/>
      <c r="AQ309" s="186" t="n"/>
      <c r="AR309" s="186" t="n"/>
      <c r="AS309" s="186" t="n"/>
      <c r="AT309" s="186" t="n"/>
      <c r="AU309" s="186" t="n"/>
      <c r="AV309" s="186" t="n"/>
      <c r="AW309" s="186" t="n"/>
      <c r="AX309" s="186" t="n"/>
      <c r="AY309" s="186" t="n"/>
      <c r="AZ309" s="186" t="n"/>
      <c r="BA309" s="186" t="n"/>
      <c r="BB309" s="186" t="n"/>
      <c r="BC309" s="186" t="n"/>
      <c r="BD309" s="190" t="n"/>
      <c r="BE309" s="186" t="n"/>
      <c r="BF309" s="186" t="n"/>
      <c r="BG309" s="186" t="n"/>
      <c r="BH309" s="186" t="n"/>
      <c r="BI309" s="186" t="n"/>
      <c r="BJ309" s="187" t="n"/>
      <c r="BK309" s="192" t="n"/>
      <c r="BL309" s="192" t="n"/>
      <c r="BM309" s="192" t="n"/>
      <c r="BN309" s="192" t="n"/>
    </row>
    <row r="310">
      <c r="A310" s="289">
        <f> 'Jobs-Ops'!A310</f>
        <v/>
      </c>
      <c r="B310" s="290">
        <f>'Jobs-Ops'!B310</f>
        <v/>
      </c>
      <c r="C310" s="290">
        <f>'Jobs-Ops'!C310</f>
        <v/>
      </c>
      <c r="D310" s="179" t="n"/>
      <c r="E310" s="181">
        <f>'Jobs-Ops'!I310</f>
        <v/>
      </c>
      <c r="F310" s="205">
        <f>'Jobs-Ops'!U310</f>
        <v/>
      </c>
      <c r="G310" s="181">
        <f>'Jobs-GAAP'!J310</f>
        <v/>
      </c>
      <c r="H310" s="205">
        <f>'Jobs-GAAP'!V310</f>
        <v/>
      </c>
      <c r="I310" s="181">
        <f>E310-G310</f>
        <v/>
      </c>
      <c r="J310" s="9">
        <f>'Jobs-Ops'!P310</f>
        <v/>
      </c>
      <c r="K310" s="9">
        <f>'Jobs-GAAP'!Q310</f>
        <v/>
      </c>
      <c r="L310" s="9">
        <f>J310-K310</f>
        <v/>
      </c>
      <c r="M310" s="186" t="n"/>
      <c r="N310" s="9">
        <f>'Jobs-Ops'!Y310</f>
        <v/>
      </c>
      <c r="O310" s="9">
        <f>'Jobs-GAAP'!Y310</f>
        <v/>
      </c>
      <c r="P310" s="9">
        <f>N310-O310</f>
        <v/>
      </c>
      <c r="Q310" s="186" t="n"/>
      <c r="R310" s="11">
        <f>'Jobs-Ops'!AL310</f>
        <v/>
      </c>
      <c r="S310" s="11">
        <f>'Jobs-GAAP'!AH310</f>
        <v/>
      </c>
      <c r="T310" s="11">
        <f>IFERROR(R310-S310,0)</f>
        <v/>
      </c>
      <c r="U310" s="8">
        <f>'Jobs-Ops'!AM310</f>
        <v/>
      </c>
      <c r="V310" s="8">
        <f>'Jobs-GAAP'!AI310</f>
        <v/>
      </c>
      <c r="W310" s="8">
        <f>IFERROR(U310-V310,0)</f>
        <v/>
      </c>
      <c r="X310" s="9">
        <f>'Jobs-Ops'!AN310</f>
        <v/>
      </c>
      <c r="Y310" s="9">
        <f>'Jobs-GAAP'!AJ310</f>
        <v/>
      </c>
      <c r="Z310" s="9">
        <f>IFERROR(X310-Y310,0)</f>
        <v/>
      </c>
      <c r="AA310" s="153">
        <f>'Jobs-Ops'!AO310</f>
        <v/>
      </c>
      <c r="AB310" s="187" t="n"/>
      <c r="AC310" s="186" t="n"/>
      <c r="AD310" s="186" t="n"/>
      <c r="AE310" s="188" t="n"/>
      <c r="AF310" s="187" t="n"/>
      <c r="AG310" s="187" t="n"/>
      <c r="AH310" s="186" t="n"/>
      <c r="AI310" s="186" t="n"/>
      <c r="AJ310" s="186" t="n"/>
      <c r="AK310" s="186" t="n"/>
      <c r="AL310" s="186" t="n"/>
      <c r="AM310" s="186" t="n"/>
      <c r="AN310" s="186" t="n"/>
      <c r="AO310" s="186" t="n"/>
      <c r="AP310" s="186" t="n"/>
      <c r="AQ310" s="186" t="n"/>
      <c r="AR310" s="186" t="n"/>
      <c r="AS310" s="186" t="n"/>
      <c r="AT310" s="186" t="n"/>
      <c r="AU310" s="186" t="n"/>
      <c r="AV310" s="186" t="n"/>
      <c r="AW310" s="186" t="n"/>
      <c r="AX310" s="186" t="n"/>
      <c r="AY310" s="186" t="n"/>
      <c r="AZ310" s="186" t="n"/>
      <c r="BA310" s="186" t="n"/>
      <c r="BB310" s="186" t="n"/>
      <c r="BC310" s="186" t="n"/>
      <c r="BD310" s="190" t="n"/>
      <c r="BE310" s="186" t="n"/>
      <c r="BF310" s="186" t="n"/>
      <c r="BG310" s="186" t="n"/>
      <c r="BH310" s="186" t="n"/>
      <c r="BI310" s="186" t="n"/>
      <c r="BJ310" s="187" t="n"/>
      <c r="BK310" s="192" t="n"/>
      <c r="BL310" s="192" t="n"/>
      <c r="BM310" s="192" t="n"/>
      <c r="BN310" s="192" t="n"/>
    </row>
    <row r="311">
      <c r="A311" s="289">
        <f> 'Jobs-Ops'!A311</f>
        <v/>
      </c>
      <c r="B311" s="290">
        <f>'Jobs-Ops'!B311</f>
        <v/>
      </c>
      <c r="C311" s="290">
        <f>'Jobs-Ops'!C311</f>
        <v/>
      </c>
      <c r="D311" s="179" t="n"/>
      <c r="E311" s="181">
        <f>'Jobs-Ops'!I311</f>
        <v/>
      </c>
      <c r="F311" s="205">
        <f>'Jobs-Ops'!U311</f>
        <v/>
      </c>
      <c r="G311" s="181">
        <f>'Jobs-GAAP'!J311</f>
        <v/>
      </c>
      <c r="H311" s="205">
        <f>'Jobs-GAAP'!V311</f>
        <v/>
      </c>
      <c r="I311" s="181">
        <f>E311-G311</f>
        <v/>
      </c>
      <c r="J311" s="9">
        <f>'Jobs-Ops'!P311</f>
        <v/>
      </c>
      <c r="K311" s="9">
        <f>'Jobs-GAAP'!Q311</f>
        <v/>
      </c>
      <c r="L311" s="9">
        <f>J311-K311</f>
        <v/>
      </c>
      <c r="M311" s="186" t="n"/>
      <c r="N311" s="9">
        <f>'Jobs-Ops'!Y311</f>
        <v/>
      </c>
      <c r="O311" s="9">
        <f>'Jobs-GAAP'!Y311</f>
        <v/>
      </c>
      <c r="P311" s="9">
        <f>N311-O311</f>
        <v/>
      </c>
      <c r="Q311" s="186" t="n"/>
      <c r="R311" s="11">
        <f>'Jobs-Ops'!AL311</f>
        <v/>
      </c>
      <c r="S311" s="11">
        <f>'Jobs-GAAP'!AH311</f>
        <v/>
      </c>
      <c r="T311" s="11">
        <f>IFERROR(R311-S311,0)</f>
        <v/>
      </c>
      <c r="U311" s="8">
        <f>'Jobs-Ops'!AM311</f>
        <v/>
      </c>
      <c r="V311" s="8">
        <f>'Jobs-GAAP'!AI311</f>
        <v/>
      </c>
      <c r="W311" s="8">
        <f>IFERROR(U311-V311,0)</f>
        <v/>
      </c>
      <c r="X311" s="9">
        <f>'Jobs-Ops'!AN311</f>
        <v/>
      </c>
      <c r="Y311" s="9">
        <f>'Jobs-GAAP'!AJ311</f>
        <v/>
      </c>
      <c r="Z311" s="9">
        <f>IFERROR(X311-Y311,0)</f>
        <v/>
      </c>
      <c r="AA311" s="153">
        <f>'Jobs-Ops'!AO311</f>
        <v/>
      </c>
      <c r="AB311" s="187" t="n"/>
      <c r="AC311" s="186" t="n"/>
      <c r="AD311" s="186" t="n"/>
      <c r="AE311" s="188" t="n"/>
      <c r="AF311" s="187" t="n"/>
      <c r="AG311" s="187" t="n"/>
      <c r="AH311" s="186" t="n"/>
      <c r="AI311" s="186" t="n"/>
      <c r="AJ311" s="186" t="n"/>
      <c r="AK311" s="186" t="n"/>
      <c r="AL311" s="186" t="n"/>
      <c r="AM311" s="186" t="n"/>
      <c r="AN311" s="186" t="n"/>
      <c r="AO311" s="186" t="n"/>
      <c r="AP311" s="186" t="n"/>
      <c r="AQ311" s="186" t="n"/>
      <c r="AR311" s="186" t="n"/>
      <c r="AS311" s="186" t="n"/>
      <c r="AT311" s="186" t="n"/>
      <c r="AU311" s="186" t="n"/>
      <c r="AV311" s="186" t="n"/>
      <c r="AW311" s="186" t="n"/>
      <c r="AX311" s="186" t="n"/>
      <c r="AY311" s="186" t="n"/>
      <c r="AZ311" s="186" t="n"/>
      <c r="BA311" s="186" t="n"/>
      <c r="BB311" s="186" t="n"/>
      <c r="BC311" s="186" t="n"/>
      <c r="BD311" s="190" t="n"/>
      <c r="BE311" s="186" t="n"/>
      <c r="BF311" s="186" t="n"/>
      <c r="BG311" s="186" t="n"/>
      <c r="BH311" s="186" t="n"/>
      <c r="BI311" s="186" t="n"/>
      <c r="BJ311" s="187" t="n"/>
      <c r="BK311" s="192" t="n"/>
      <c r="BL311" s="192" t="n"/>
      <c r="BM311" s="192" t="n"/>
      <c r="BN311" s="192" t="n"/>
    </row>
    <row r="312">
      <c r="A312" s="289">
        <f> 'Jobs-Ops'!A312</f>
        <v/>
      </c>
      <c r="B312" s="290">
        <f>'Jobs-Ops'!B312</f>
        <v/>
      </c>
      <c r="C312" s="290">
        <f>'Jobs-Ops'!C312</f>
        <v/>
      </c>
      <c r="D312" s="179" t="n"/>
      <c r="E312" s="181">
        <f>'Jobs-Ops'!I312</f>
        <v/>
      </c>
      <c r="F312" s="205">
        <f>'Jobs-Ops'!U312</f>
        <v/>
      </c>
      <c r="G312" s="181">
        <f>'Jobs-GAAP'!J312</f>
        <v/>
      </c>
      <c r="H312" s="205">
        <f>'Jobs-GAAP'!V312</f>
        <v/>
      </c>
      <c r="I312" s="181">
        <f>E312-G312</f>
        <v/>
      </c>
      <c r="J312" s="9">
        <f>'Jobs-Ops'!P312</f>
        <v/>
      </c>
      <c r="K312" s="9">
        <f>'Jobs-GAAP'!Q312</f>
        <v/>
      </c>
      <c r="L312" s="9">
        <f>J312-K312</f>
        <v/>
      </c>
      <c r="M312" s="186" t="n"/>
      <c r="N312" s="9">
        <f>'Jobs-Ops'!Y312</f>
        <v/>
      </c>
      <c r="O312" s="9">
        <f>'Jobs-GAAP'!Y312</f>
        <v/>
      </c>
      <c r="P312" s="9">
        <f>N312-O312</f>
        <v/>
      </c>
      <c r="Q312" s="186" t="n"/>
      <c r="R312" s="11">
        <f>'Jobs-Ops'!AL312</f>
        <v/>
      </c>
      <c r="S312" s="11">
        <f>'Jobs-GAAP'!AH312</f>
        <v/>
      </c>
      <c r="T312" s="11">
        <f>IFERROR(R312-S312,0)</f>
        <v/>
      </c>
      <c r="U312" s="8">
        <f>'Jobs-Ops'!AM312</f>
        <v/>
      </c>
      <c r="V312" s="8">
        <f>'Jobs-GAAP'!AI312</f>
        <v/>
      </c>
      <c r="W312" s="8">
        <f>IFERROR(U312-V312,0)</f>
        <v/>
      </c>
      <c r="X312" s="9">
        <f>'Jobs-Ops'!AN312</f>
        <v/>
      </c>
      <c r="Y312" s="9">
        <f>'Jobs-GAAP'!AJ312</f>
        <v/>
      </c>
      <c r="Z312" s="9">
        <f>IFERROR(X312-Y312,0)</f>
        <v/>
      </c>
      <c r="AA312" s="153">
        <f>'Jobs-Ops'!AO312</f>
        <v/>
      </c>
      <c r="AB312" s="187" t="n"/>
      <c r="AC312" s="186" t="n"/>
      <c r="AD312" s="186" t="n"/>
      <c r="AE312" s="188" t="n"/>
      <c r="AF312" s="187" t="n"/>
      <c r="AG312" s="187" t="n"/>
      <c r="AH312" s="186" t="n"/>
      <c r="AI312" s="186" t="n"/>
      <c r="AJ312" s="186" t="n"/>
      <c r="AK312" s="186" t="n"/>
      <c r="AL312" s="186" t="n"/>
      <c r="AM312" s="186" t="n"/>
      <c r="AN312" s="186" t="n"/>
      <c r="AO312" s="186" t="n"/>
      <c r="AP312" s="186" t="n"/>
      <c r="AQ312" s="186" t="n"/>
      <c r="AR312" s="186" t="n"/>
      <c r="AS312" s="186" t="n"/>
      <c r="AT312" s="186" t="n"/>
      <c r="AU312" s="186" t="n"/>
      <c r="AV312" s="186" t="n"/>
      <c r="AW312" s="186" t="n"/>
      <c r="AX312" s="186" t="n"/>
      <c r="AY312" s="186" t="n"/>
      <c r="AZ312" s="186" t="n"/>
      <c r="BA312" s="186" t="n"/>
      <c r="BB312" s="186" t="n"/>
      <c r="BC312" s="186" t="n"/>
      <c r="BD312" s="190" t="n"/>
      <c r="BE312" s="186" t="n"/>
      <c r="BF312" s="186" t="n"/>
      <c r="BG312" s="186" t="n"/>
      <c r="BH312" s="186" t="n"/>
      <c r="BI312" s="186" t="n"/>
      <c r="BJ312" s="187" t="n"/>
      <c r="BK312" s="192" t="n"/>
      <c r="BL312" s="192" t="n"/>
      <c r="BM312" s="192" t="n"/>
      <c r="BN312" s="192" t="n"/>
    </row>
    <row r="313">
      <c r="A313" s="289">
        <f> 'Jobs-Ops'!A313</f>
        <v/>
      </c>
      <c r="B313" s="290">
        <f>'Jobs-Ops'!B313</f>
        <v/>
      </c>
      <c r="C313" s="290">
        <f>'Jobs-Ops'!C313</f>
        <v/>
      </c>
      <c r="D313" s="179" t="n"/>
      <c r="E313" s="181">
        <f>'Jobs-Ops'!I313</f>
        <v/>
      </c>
      <c r="F313" s="205">
        <f>'Jobs-Ops'!U313</f>
        <v/>
      </c>
      <c r="G313" s="181">
        <f>'Jobs-GAAP'!J313</f>
        <v/>
      </c>
      <c r="H313" s="205">
        <f>'Jobs-GAAP'!V313</f>
        <v/>
      </c>
      <c r="I313" s="181">
        <f>E313-G313</f>
        <v/>
      </c>
      <c r="J313" s="9">
        <f>'Jobs-Ops'!P313</f>
        <v/>
      </c>
      <c r="K313" s="9">
        <f>'Jobs-GAAP'!Q313</f>
        <v/>
      </c>
      <c r="L313" s="9">
        <f>J313-K313</f>
        <v/>
      </c>
      <c r="M313" s="186" t="n"/>
      <c r="N313" s="9">
        <f>'Jobs-Ops'!Y313</f>
        <v/>
      </c>
      <c r="O313" s="9">
        <f>'Jobs-GAAP'!Y313</f>
        <v/>
      </c>
      <c r="P313" s="9">
        <f>N313-O313</f>
        <v/>
      </c>
      <c r="Q313" s="186" t="n"/>
      <c r="R313" s="11">
        <f>'Jobs-Ops'!AL313</f>
        <v/>
      </c>
      <c r="S313" s="11">
        <f>'Jobs-GAAP'!AH313</f>
        <v/>
      </c>
      <c r="T313" s="11">
        <f>IFERROR(R313-S313,0)</f>
        <v/>
      </c>
      <c r="U313" s="8">
        <f>'Jobs-Ops'!AM313</f>
        <v/>
      </c>
      <c r="V313" s="8">
        <f>'Jobs-GAAP'!AI313</f>
        <v/>
      </c>
      <c r="W313" s="8">
        <f>IFERROR(U313-V313,0)</f>
        <v/>
      </c>
      <c r="X313" s="9">
        <f>'Jobs-Ops'!AN313</f>
        <v/>
      </c>
      <c r="Y313" s="9">
        <f>'Jobs-GAAP'!AJ313</f>
        <v/>
      </c>
      <c r="Z313" s="9">
        <f>IFERROR(X313-Y313,0)</f>
        <v/>
      </c>
      <c r="AA313" s="153">
        <f>'Jobs-Ops'!AO313</f>
        <v/>
      </c>
      <c r="AB313" s="187" t="n"/>
      <c r="AC313" s="186" t="n"/>
      <c r="AD313" s="186" t="n"/>
      <c r="AE313" s="188" t="n"/>
      <c r="AF313" s="187" t="n"/>
      <c r="AG313" s="187" t="n"/>
      <c r="AH313" s="186" t="n"/>
      <c r="AI313" s="186" t="n"/>
      <c r="AJ313" s="186" t="n"/>
      <c r="AK313" s="186" t="n"/>
      <c r="AL313" s="186" t="n"/>
      <c r="AM313" s="186" t="n"/>
      <c r="AN313" s="186" t="n"/>
      <c r="AO313" s="186" t="n"/>
      <c r="AP313" s="186" t="n"/>
      <c r="AQ313" s="186" t="n"/>
      <c r="AR313" s="186" t="n"/>
      <c r="AS313" s="186" t="n"/>
      <c r="AT313" s="186" t="n"/>
      <c r="AU313" s="186" t="n"/>
      <c r="AV313" s="186" t="n"/>
      <c r="AW313" s="186" t="n"/>
      <c r="AX313" s="186" t="n"/>
      <c r="AY313" s="186" t="n"/>
      <c r="AZ313" s="186" t="n"/>
      <c r="BA313" s="186" t="n"/>
      <c r="BB313" s="186" t="n"/>
      <c r="BC313" s="186" t="n"/>
      <c r="BD313" s="190" t="n"/>
      <c r="BE313" s="186" t="n"/>
      <c r="BF313" s="186" t="n"/>
      <c r="BG313" s="186" t="n"/>
      <c r="BH313" s="186" t="n"/>
      <c r="BI313" s="186" t="n"/>
      <c r="BJ313" s="187" t="n"/>
      <c r="BK313" s="192" t="n"/>
      <c r="BL313" s="192" t="n"/>
      <c r="BM313" s="192" t="n"/>
      <c r="BN313" s="192" t="n"/>
    </row>
    <row r="314">
      <c r="A314" s="289">
        <f> 'Jobs-Ops'!A314</f>
        <v/>
      </c>
      <c r="B314" s="290">
        <f>'Jobs-Ops'!B314</f>
        <v/>
      </c>
      <c r="C314" s="290">
        <f>'Jobs-Ops'!C314</f>
        <v/>
      </c>
      <c r="D314" s="179" t="n"/>
      <c r="E314" s="181">
        <f>'Jobs-Ops'!I314</f>
        <v/>
      </c>
      <c r="F314" s="205">
        <f>'Jobs-Ops'!U314</f>
        <v/>
      </c>
      <c r="G314" s="181">
        <f>'Jobs-GAAP'!J314</f>
        <v/>
      </c>
      <c r="H314" s="205">
        <f>'Jobs-GAAP'!V314</f>
        <v/>
      </c>
      <c r="I314" s="181">
        <f>E314-G314</f>
        <v/>
      </c>
      <c r="J314" s="9">
        <f>'Jobs-Ops'!P314</f>
        <v/>
      </c>
      <c r="K314" s="9">
        <f>'Jobs-GAAP'!Q314</f>
        <v/>
      </c>
      <c r="L314" s="9">
        <f>J314-K314</f>
        <v/>
      </c>
      <c r="M314" s="186" t="n"/>
      <c r="N314" s="9">
        <f>'Jobs-Ops'!Y314</f>
        <v/>
      </c>
      <c r="O314" s="9">
        <f>'Jobs-GAAP'!Y314</f>
        <v/>
      </c>
      <c r="P314" s="9">
        <f>N314-O314</f>
        <v/>
      </c>
      <c r="Q314" s="186" t="n"/>
      <c r="R314" s="11">
        <f>'Jobs-Ops'!AL314</f>
        <v/>
      </c>
      <c r="S314" s="11">
        <f>'Jobs-GAAP'!AH314</f>
        <v/>
      </c>
      <c r="T314" s="11">
        <f>IFERROR(R314-S314,0)</f>
        <v/>
      </c>
      <c r="U314" s="8">
        <f>'Jobs-Ops'!AM314</f>
        <v/>
      </c>
      <c r="V314" s="8">
        <f>'Jobs-GAAP'!AI314</f>
        <v/>
      </c>
      <c r="W314" s="8">
        <f>IFERROR(U314-V314,0)</f>
        <v/>
      </c>
      <c r="X314" s="9">
        <f>'Jobs-Ops'!AN314</f>
        <v/>
      </c>
      <c r="Y314" s="9">
        <f>'Jobs-GAAP'!AJ314</f>
        <v/>
      </c>
      <c r="Z314" s="9">
        <f>IFERROR(X314-Y314,0)</f>
        <v/>
      </c>
      <c r="AA314" s="153">
        <f>'Jobs-Ops'!AO314</f>
        <v/>
      </c>
      <c r="AB314" s="187" t="n"/>
      <c r="AC314" s="186" t="n"/>
      <c r="AD314" s="186" t="n"/>
      <c r="AE314" s="188" t="n"/>
      <c r="AF314" s="187" t="n"/>
      <c r="AG314" s="187" t="n"/>
      <c r="AH314" s="186" t="n"/>
      <c r="AI314" s="186" t="n"/>
      <c r="AJ314" s="186" t="n"/>
      <c r="AK314" s="186" t="n"/>
      <c r="AL314" s="186" t="n"/>
      <c r="AM314" s="186" t="n"/>
      <c r="AN314" s="186" t="n"/>
      <c r="AO314" s="186" t="n"/>
      <c r="AP314" s="186" t="n"/>
      <c r="AQ314" s="186" t="n"/>
      <c r="AR314" s="186" t="n"/>
      <c r="AS314" s="186" t="n"/>
      <c r="AT314" s="186" t="n"/>
      <c r="AU314" s="186" t="n"/>
      <c r="AV314" s="186" t="n"/>
      <c r="AW314" s="186" t="n"/>
      <c r="AX314" s="186" t="n"/>
      <c r="AY314" s="186" t="n"/>
      <c r="AZ314" s="186" t="n"/>
      <c r="BA314" s="186" t="n"/>
      <c r="BB314" s="186" t="n"/>
      <c r="BC314" s="186" t="n"/>
      <c r="BD314" s="190" t="n"/>
      <c r="BE314" s="186" t="n"/>
      <c r="BF314" s="186" t="n"/>
      <c r="BG314" s="186" t="n"/>
      <c r="BH314" s="186" t="n"/>
      <c r="BI314" s="186" t="n"/>
      <c r="BJ314" s="187" t="n"/>
      <c r="BK314" s="192" t="n"/>
      <c r="BL314" s="192" t="n"/>
      <c r="BM314" s="192" t="n"/>
      <c r="BN314" s="192" t="n"/>
    </row>
    <row r="315">
      <c r="A315" s="289">
        <f> 'Jobs-Ops'!A315</f>
        <v/>
      </c>
      <c r="B315" s="290">
        <f>'Jobs-Ops'!B315</f>
        <v/>
      </c>
      <c r="C315" s="290">
        <f>'Jobs-Ops'!C315</f>
        <v/>
      </c>
      <c r="D315" s="179" t="n"/>
      <c r="E315" s="181">
        <f>'Jobs-Ops'!I315</f>
        <v/>
      </c>
      <c r="F315" s="205">
        <f>'Jobs-Ops'!U315</f>
        <v/>
      </c>
      <c r="G315" s="181">
        <f>'Jobs-GAAP'!J315</f>
        <v/>
      </c>
      <c r="H315" s="205">
        <f>'Jobs-GAAP'!V315</f>
        <v/>
      </c>
      <c r="I315" s="181">
        <f>E315-G315</f>
        <v/>
      </c>
      <c r="J315" s="9">
        <f>'Jobs-Ops'!P315</f>
        <v/>
      </c>
      <c r="K315" s="9">
        <f>'Jobs-GAAP'!Q315</f>
        <v/>
      </c>
      <c r="L315" s="9">
        <f>J315-K315</f>
        <v/>
      </c>
      <c r="M315" s="186" t="n"/>
      <c r="N315" s="9">
        <f>'Jobs-Ops'!Y315</f>
        <v/>
      </c>
      <c r="O315" s="9">
        <f>'Jobs-GAAP'!Y315</f>
        <v/>
      </c>
      <c r="P315" s="9">
        <f>N315-O315</f>
        <v/>
      </c>
      <c r="Q315" s="186" t="n"/>
      <c r="R315" s="11">
        <f>'Jobs-Ops'!AL315</f>
        <v/>
      </c>
      <c r="S315" s="11">
        <f>'Jobs-GAAP'!AH315</f>
        <v/>
      </c>
      <c r="T315" s="11">
        <f>IFERROR(R315-S315,0)</f>
        <v/>
      </c>
      <c r="U315" s="8">
        <f>'Jobs-Ops'!AM315</f>
        <v/>
      </c>
      <c r="V315" s="8">
        <f>'Jobs-GAAP'!AI315</f>
        <v/>
      </c>
      <c r="W315" s="8">
        <f>IFERROR(U315-V315,0)</f>
        <v/>
      </c>
      <c r="X315" s="9">
        <f>'Jobs-Ops'!AN315</f>
        <v/>
      </c>
      <c r="Y315" s="9">
        <f>'Jobs-GAAP'!AJ315</f>
        <v/>
      </c>
      <c r="Z315" s="9">
        <f>IFERROR(X315-Y315,0)</f>
        <v/>
      </c>
      <c r="AA315" s="153">
        <f>'Jobs-Ops'!AO315</f>
        <v/>
      </c>
      <c r="AB315" s="187" t="n"/>
      <c r="AC315" s="186" t="n"/>
      <c r="AD315" s="186" t="n"/>
      <c r="AE315" s="188" t="n"/>
      <c r="AF315" s="187" t="n"/>
      <c r="AG315" s="187" t="n"/>
      <c r="AH315" s="186" t="n"/>
      <c r="AI315" s="186" t="n"/>
      <c r="AJ315" s="186" t="n"/>
      <c r="AK315" s="186" t="n"/>
      <c r="AL315" s="186" t="n"/>
      <c r="AM315" s="186" t="n"/>
      <c r="AN315" s="186" t="n"/>
      <c r="AO315" s="186" t="n"/>
      <c r="AP315" s="186" t="n"/>
      <c r="AQ315" s="186" t="n"/>
      <c r="AR315" s="186" t="n"/>
      <c r="AS315" s="186" t="n"/>
      <c r="AT315" s="186" t="n"/>
      <c r="AU315" s="186" t="n"/>
      <c r="AV315" s="186" t="n"/>
      <c r="AW315" s="186" t="n"/>
      <c r="AX315" s="186" t="n"/>
      <c r="AY315" s="186" t="n"/>
      <c r="AZ315" s="186" t="n"/>
      <c r="BA315" s="186" t="n"/>
      <c r="BB315" s="186" t="n"/>
      <c r="BC315" s="186" t="n"/>
      <c r="BD315" s="190" t="n"/>
      <c r="BE315" s="186" t="n"/>
      <c r="BF315" s="186" t="n"/>
      <c r="BG315" s="186" t="n"/>
      <c r="BH315" s="186" t="n"/>
      <c r="BI315" s="186" t="n"/>
      <c r="BJ315" s="187" t="n"/>
      <c r="BK315" s="192" t="n"/>
      <c r="BL315" s="192" t="n"/>
      <c r="BM315" s="192" t="n"/>
      <c r="BN315" s="192" t="n"/>
    </row>
    <row r="316">
      <c r="A316" s="289">
        <f> 'Jobs-Ops'!A316</f>
        <v/>
      </c>
      <c r="B316" s="290">
        <f>'Jobs-Ops'!B316</f>
        <v/>
      </c>
      <c r="C316" s="290">
        <f>'Jobs-Ops'!C316</f>
        <v/>
      </c>
      <c r="D316" s="179" t="n"/>
      <c r="E316" s="181">
        <f>'Jobs-Ops'!I316</f>
        <v/>
      </c>
      <c r="F316" s="205">
        <f>'Jobs-Ops'!U316</f>
        <v/>
      </c>
      <c r="G316" s="181">
        <f>'Jobs-GAAP'!J316</f>
        <v/>
      </c>
      <c r="H316" s="205">
        <f>'Jobs-GAAP'!V316</f>
        <v/>
      </c>
      <c r="I316" s="181">
        <f>E316-G316</f>
        <v/>
      </c>
      <c r="J316" s="9">
        <f>'Jobs-Ops'!P316</f>
        <v/>
      </c>
      <c r="K316" s="9">
        <f>'Jobs-GAAP'!Q316</f>
        <v/>
      </c>
      <c r="L316" s="9">
        <f>J316-K316</f>
        <v/>
      </c>
      <c r="M316" s="186" t="n"/>
      <c r="N316" s="9">
        <f>'Jobs-Ops'!Y316</f>
        <v/>
      </c>
      <c r="O316" s="9">
        <f>'Jobs-GAAP'!Y316</f>
        <v/>
      </c>
      <c r="P316" s="9">
        <f>N316-O316</f>
        <v/>
      </c>
      <c r="Q316" s="186" t="n"/>
      <c r="R316" s="11">
        <f>'Jobs-Ops'!AL316</f>
        <v/>
      </c>
      <c r="S316" s="11">
        <f>'Jobs-GAAP'!AH316</f>
        <v/>
      </c>
      <c r="T316" s="11">
        <f>IFERROR(R316-S316,0)</f>
        <v/>
      </c>
      <c r="U316" s="8">
        <f>'Jobs-Ops'!AM316</f>
        <v/>
      </c>
      <c r="V316" s="8">
        <f>'Jobs-GAAP'!AI316</f>
        <v/>
      </c>
      <c r="W316" s="8">
        <f>IFERROR(U316-V316,0)</f>
        <v/>
      </c>
      <c r="X316" s="9">
        <f>'Jobs-Ops'!AN316</f>
        <v/>
      </c>
      <c r="Y316" s="9">
        <f>'Jobs-GAAP'!AJ316</f>
        <v/>
      </c>
      <c r="Z316" s="9">
        <f>IFERROR(X316-Y316,0)</f>
        <v/>
      </c>
      <c r="AA316" s="153">
        <f>'Jobs-Ops'!AO316</f>
        <v/>
      </c>
      <c r="AB316" s="187" t="n"/>
      <c r="AC316" s="186" t="n"/>
      <c r="AD316" s="186" t="n"/>
      <c r="AE316" s="188" t="n"/>
      <c r="AF316" s="187" t="n"/>
      <c r="AG316" s="187" t="n"/>
      <c r="AH316" s="186" t="n"/>
      <c r="AI316" s="186" t="n"/>
      <c r="AJ316" s="186" t="n"/>
      <c r="AK316" s="186" t="n"/>
      <c r="AL316" s="186" t="n"/>
      <c r="AM316" s="186" t="n"/>
      <c r="AN316" s="186" t="n"/>
      <c r="AO316" s="186" t="n"/>
      <c r="AP316" s="186" t="n"/>
      <c r="AQ316" s="186" t="n"/>
      <c r="AR316" s="186" t="n"/>
      <c r="AS316" s="186" t="n"/>
      <c r="AT316" s="186" t="n"/>
      <c r="AU316" s="186" t="n"/>
      <c r="AV316" s="186" t="n"/>
      <c r="AW316" s="186" t="n"/>
      <c r="AX316" s="186" t="n"/>
      <c r="AY316" s="186" t="n"/>
      <c r="AZ316" s="186" t="n"/>
      <c r="BA316" s="186" t="n"/>
      <c r="BB316" s="186" t="n"/>
      <c r="BC316" s="186" t="n"/>
      <c r="BD316" s="190" t="n"/>
      <c r="BE316" s="186" t="n"/>
      <c r="BF316" s="186" t="n"/>
      <c r="BG316" s="186" t="n"/>
      <c r="BH316" s="186" t="n"/>
      <c r="BI316" s="186" t="n"/>
      <c r="BJ316" s="187" t="n"/>
      <c r="BK316" s="192" t="n"/>
      <c r="BL316" s="192" t="n"/>
      <c r="BM316" s="192" t="n"/>
      <c r="BN316" s="192" t="n"/>
    </row>
    <row r="317">
      <c r="A317" s="289">
        <f> 'Jobs-Ops'!A317</f>
        <v/>
      </c>
      <c r="B317" s="290">
        <f>'Jobs-Ops'!B317</f>
        <v/>
      </c>
      <c r="C317" s="290">
        <f>'Jobs-Ops'!C317</f>
        <v/>
      </c>
      <c r="D317" s="179" t="n"/>
      <c r="E317" s="181">
        <f>'Jobs-Ops'!I317</f>
        <v/>
      </c>
      <c r="F317" s="205">
        <f>'Jobs-Ops'!U317</f>
        <v/>
      </c>
      <c r="G317" s="181">
        <f>'Jobs-GAAP'!J317</f>
        <v/>
      </c>
      <c r="H317" s="205">
        <f>'Jobs-GAAP'!V317</f>
        <v/>
      </c>
      <c r="I317" s="181">
        <f>E317-G317</f>
        <v/>
      </c>
      <c r="J317" s="9">
        <f>'Jobs-Ops'!P317</f>
        <v/>
      </c>
      <c r="K317" s="9">
        <f>'Jobs-GAAP'!Q317</f>
        <v/>
      </c>
      <c r="L317" s="9">
        <f>J317-K317</f>
        <v/>
      </c>
      <c r="M317" s="186" t="n"/>
      <c r="N317" s="9">
        <f>'Jobs-Ops'!Y317</f>
        <v/>
      </c>
      <c r="O317" s="9">
        <f>'Jobs-GAAP'!Y317</f>
        <v/>
      </c>
      <c r="P317" s="9">
        <f>N317-O317</f>
        <v/>
      </c>
      <c r="Q317" s="186" t="n"/>
      <c r="R317" s="11">
        <f>'Jobs-Ops'!AL317</f>
        <v/>
      </c>
      <c r="S317" s="11">
        <f>'Jobs-GAAP'!AH317</f>
        <v/>
      </c>
      <c r="T317" s="11">
        <f>IFERROR(R317-S317,0)</f>
        <v/>
      </c>
      <c r="U317" s="8">
        <f>'Jobs-Ops'!AM317</f>
        <v/>
      </c>
      <c r="V317" s="8">
        <f>'Jobs-GAAP'!AI317</f>
        <v/>
      </c>
      <c r="W317" s="8">
        <f>IFERROR(U317-V317,0)</f>
        <v/>
      </c>
      <c r="X317" s="9">
        <f>'Jobs-Ops'!AN317</f>
        <v/>
      </c>
      <c r="Y317" s="9">
        <f>'Jobs-GAAP'!AJ317</f>
        <v/>
      </c>
      <c r="Z317" s="9">
        <f>IFERROR(X317-Y317,0)</f>
        <v/>
      </c>
      <c r="AA317" s="153">
        <f>'Jobs-Ops'!AO317</f>
        <v/>
      </c>
      <c r="AB317" s="187" t="n"/>
      <c r="AC317" s="186" t="n"/>
      <c r="AD317" s="186" t="n"/>
      <c r="AE317" s="188" t="n"/>
      <c r="AF317" s="187" t="n"/>
      <c r="AG317" s="187" t="n"/>
      <c r="AH317" s="186" t="n"/>
      <c r="AI317" s="186" t="n"/>
      <c r="AJ317" s="186" t="n"/>
      <c r="AK317" s="186" t="n"/>
      <c r="AL317" s="186" t="n"/>
      <c r="AM317" s="186" t="n"/>
      <c r="AN317" s="186" t="n"/>
      <c r="AO317" s="186" t="n"/>
      <c r="AP317" s="186" t="n"/>
      <c r="AQ317" s="186" t="n"/>
      <c r="AR317" s="186" t="n"/>
      <c r="AS317" s="186" t="n"/>
      <c r="AT317" s="186" t="n"/>
      <c r="AU317" s="186" t="n"/>
      <c r="AV317" s="186" t="n"/>
      <c r="AW317" s="186" t="n"/>
      <c r="AX317" s="186" t="n"/>
      <c r="AY317" s="186" t="n"/>
      <c r="AZ317" s="186" t="n"/>
      <c r="BA317" s="186" t="n"/>
      <c r="BB317" s="186" t="n"/>
      <c r="BC317" s="186" t="n"/>
      <c r="BD317" s="190" t="n"/>
      <c r="BE317" s="186" t="n"/>
      <c r="BF317" s="186" t="n"/>
      <c r="BG317" s="186" t="n"/>
      <c r="BH317" s="186" t="n"/>
      <c r="BI317" s="186" t="n"/>
      <c r="BJ317" s="187" t="n"/>
      <c r="BK317" s="192" t="n"/>
      <c r="BL317" s="192" t="n"/>
      <c r="BM317" s="192" t="n"/>
      <c r="BN317" s="192" t="n"/>
    </row>
    <row r="318">
      <c r="A318" s="289">
        <f> 'Jobs-Ops'!A318</f>
        <v/>
      </c>
      <c r="B318" s="290">
        <f>'Jobs-Ops'!B318</f>
        <v/>
      </c>
      <c r="C318" s="290">
        <f>'Jobs-Ops'!C318</f>
        <v/>
      </c>
      <c r="D318" s="179" t="n"/>
      <c r="E318" s="181">
        <f>'Jobs-Ops'!I318</f>
        <v/>
      </c>
      <c r="F318" s="205">
        <f>'Jobs-Ops'!U318</f>
        <v/>
      </c>
      <c r="G318" s="181">
        <f>'Jobs-GAAP'!J318</f>
        <v/>
      </c>
      <c r="H318" s="205">
        <f>'Jobs-GAAP'!V318</f>
        <v/>
      </c>
      <c r="I318" s="181">
        <f>E318-G318</f>
        <v/>
      </c>
      <c r="J318" s="9">
        <f>'Jobs-Ops'!P318</f>
        <v/>
      </c>
      <c r="K318" s="9">
        <f>'Jobs-GAAP'!Q318</f>
        <v/>
      </c>
      <c r="L318" s="9">
        <f>J318-K318</f>
        <v/>
      </c>
      <c r="M318" s="186" t="n"/>
      <c r="N318" s="9">
        <f>'Jobs-Ops'!Y318</f>
        <v/>
      </c>
      <c r="O318" s="9">
        <f>'Jobs-GAAP'!Y318</f>
        <v/>
      </c>
      <c r="P318" s="9">
        <f>N318-O318</f>
        <v/>
      </c>
      <c r="Q318" s="186" t="n"/>
      <c r="R318" s="11">
        <f>'Jobs-Ops'!AL318</f>
        <v/>
      </c>
      <c r="S318" s="11">
        <f>'Jobs-GAAP'!AH318</f>
        <v/>
      </c>
      <c r="T318" s="11">
        <f>IFERROR(R318-S318,0)</f>
        <v/>
      </c>
      <c r="U318" s="8">
        <f>'Jobs-Ops'!AM318</f>
        <v/>
      </c>
      <c r="V318" s="8">
        <f>'Jobs-GAAP'!AI318</f>
        <v/>
      </c>
      <c r="W318" s="8">
        <f>IFERROR(U318-V318,0)</f>
        <v/>
      </c>
      <c r="X318" s="9">
        <f>'Jobs-Ops'!AN318</f>
        <v/>
      </c>
      <c r="Y318" s="9">
        <f>'Jobs-GAAP'!AJ318</f>
        <v/>
      </c>
      <c r="Z318" s="9">
        <f>IFERROR(X318-Y318,0)</f>
        <v/>
      </c>
      <c r="AA318" s="153">
        <f>'Jobs-Ops'!AO318</f>
        <v/>
      </c>
      <c r="AB318" s="187" t="n"/>
      <c r="AC318" s="186" t="n"/>
      <c r="AD318" s="186" t="n"/>
      <c r="AE318" s="188" t="n"/>
      <c r="AF318" s="187" t="n"/>
      <c r="AG318" s="187" t="n"/>
      <c r="AH318" s="186" t="n"/>
      <c r="AI318" s="186" t="n"/>
      <c r="AJ318" s="186" t="n"/>
      <c r="AK318" s="186" t="n"/>
      <c r="AL318" s="186" t="n"/>
      <c r="AM318" s="186" t="n"/>
      <c r="AN318" s="186" t="n"/>
      <c r="AO318" s="186" t="n"/>
      <c r="AP318" s="186" t="n"/>
      <c r="AQ318" s="186" t="n"/>
      <c r="AR318" s="186" t="n"/>
      <c r="AS318" s="186" t="n"/>
      <c r="AT318" s="186" t="n"/>
      <c r="AU318" s="186" t="n"/>
      <c r="AV318" s="186" t="n"/>
      <c r="AW318" s="186" t="n"/>
      <c r="AX318" s="186" t="n"/>
      <c r="AY318" s="186" t="n"/>
      <c r="AZ318" s="186" t="n"/>
      <c r="BA318" s="186" t="n"/>
      <c r="BB318" s="186" t="n"/>
      <c r="BC318" s="186" t="n"/>
      <c r="BD318" s="190" t="n"/>
      <c r="BE318" s="186" t="n"/>
      <c r="BF318" s="186" t="n"/>
      <c r="BG318" s="186" t="n"/>
      <c r="BH318" s="186" t="n"/>
      <c r="BI318" s="186" t="n"/>
      <c r="BJ318" s="187" t="n"/>
      <c r="BK318" s="192" t="n"/>
      <c r="BL318" s="192" t="n"/>
      <c r="BM318" s="192" t="n"/>
      <c r="BN318" s="192" t="n"/>
    </row>
    <row r="319">
      <c r="A319" s="289">
        <f> 'Jobs-Ops'!A319</f>
        <v/>
      </c>
      <c r="B319" s="290">
        <f>'Jobs-Ops'!B319</f>
        <v/>
      </c>
      <c r="C319" s="290">
        <f>'Jobs-Ops'!C319</f>
        <v/>
      </c>
      <c r="D319" s="179" t="n"/>
      <c r="E319" s="181">
        <f>'Jobs-Ops'!I319</f>
        <v/>
      </c>
      <c r="F319" s="205">
        <f>'Jobs-Ops'!U319</f>
        <v/>
      </c>
      <c r="G319" s="181">
        <f>'Jobs-GAAP'!J319</f>
        <v/>
      </c>
      <c r="H319" s="205">
        <f>'Jobs-GAAP'!V319</f>
        <v/>
      </c>
      <c r="I319" s="181">
        <f>E319-G319</f>
        <v/>
      </c>
      <c r="J319" s="9">
        <f>'Jobs-Ops'!P319</f>
        <v/>
      </c>
      <c r="K319" s="9">
        <f>'Jobs-GAAP'!Q319</f>
        <v/>
      </c>
      <c r="L319" s="9">
        <f>J319-K319</f>
        <v/>
      </c>
      <c r="M319" s="186" t="n"/>
      <c r="N319" s="9">
        <f>'Jobs-Ops'!Y319</f>
        <v/>
      </c>
      <c r="O319" s="9">
        <f>'Jobs-GAAP'!Y319</f>
        <v/>
      </c>
      <c r="P319" s="9">
        <f>N319-O319</f>
        <v/>
      </c>
      <c r="Q319" s="186" t="n"/>
      <c r="R319" s="11">
        <f>'Jobs-Ops'!AL319</f>
        <v/>
      </c>
      <c r="S319" s="11">
        <f>'Jobs-GAAP'!AH319</f>
        <v/>
      </c>
      <c r="T319" s="11">
        <f>IFERROR(R319-S319,0)</f>
        <v/>
      </c>
      <c r="U319" s="8">
        <f>'Jobs-Ops'!AM319</f>
        <v/>
      </c>
      <c r="V319" s="8">
        <f>'Jobs-GAAP'!AI319</f>
        <v/>
      </c>
      <c r="W319" s="8">
        <f>IFERROR(U319-V319,0)</f>
        <v/>
      </c>
      <c r="X319" s="9">
        <f>'Jobs-Ops'!AN319</f>
        <v/>
      </c>
      <c r="Y319" s="9">
        <f>'Jobs-GAAP'!AJ319</f>
        <v/>
      </c>
      <c r="Z319" s="9">
        <f>IFERROR(X319-Y319,0)</f>
        <v/>
      </c>
      <c r="AA319" s="153">
        <f>'Jobs-Ops'!AO319</f>
        <v/>
      </c>
      <c r="AB319" s="187" t="n"/>
      <c r="AC319" s="186" t="n"/>
      <c r="AD319" s="186" t="n"/>
      <c r="AE319" s="188" t="n"/>
      <c r="AF319" s="187" t="n"/>
      <c r="AG319" s="187" t="n"/>
      <c r="AH319" s="186" t="n"/>
      <c r="AI319" s="186" t="n"/>
      <c r="AJ319" s="186" t="n"/>
      <c r="AK319" s="186" t="n"/>
      <c r="AL319" s="186" t="n"/>
      <c r="AM319" s="186" t="n"/>
      <c r="AN319" s="186" t="n"/>
      <c r="AO319" s="186" t="n"/>
      <c r="AP319" s="186" t="n"/>
      <c r="AQ319" s="186" t="n"/>
      <c r="AR319" s="186" t="n"/>
      <c r="AS319" s="186" t="n"/>
      <c r="AT319" s="186" t="n"/>
      <c r="AU319" s="186" t="n"/>
      <c r="AV319" s="186" t="n"/>
      <c r="AW319" s="186" t="n"/>
      <c r="AX319" s="186" t="n"/>
      <c r="AY319" s="186" t="n"/>
      <c r="AZ319" s="186" t="n"/>
      <c r="BA319" s="186" t="n"/>
      <c r="BB319" s="186" t="n"/>
      <c r="BC319" s="186" t="n"/>
      <c r="BD319" s="190" t="n"/>
      <c r="BE319" s="186" t="n"/>
      <c r="BF319" s="186" t="n"/>
      <c r="BG319" s="186" t="n"/>
      <c r="BH319" s="186" t="n"/>
      <c r="BI319" s="186" t="n"/>
      <c r="BJ319" s="187" t="n"/>
      <c r="BK319" s="192" t="n"/>
      <c r="BL319" s="192" t="n"/>
      <c r="BM319" s="192" t="n"/>
      <c r="BN319" s="192" t="n"/>
    </row>
    <row r="320">
      <c r="A320" s="289">
        <f> 'Jobs-Ops'!A320</f>
        <v/>
      </c>
      <c r="B320" s="290">
        <f>'Jobs-Ops'!B320</f>
        <v/>
      </c>
      <c r="C320" s="290">
        <f>'Jobs-Ops'!C320</f>
        <v/>
      </c>
      <c r="D320" s="179" t="n"/>
      <c r="E320" s="181">
        <f>'Jobs-Ops'!I320</f>
        <v/>
      </c>
      <c r="F320" s="205">
        <f>'Jobs-Ops'!U320</f>
        <v/>
      </c>
      <c r="G320" s="181">
        <f>'Jobs-GAAP'!J320</f>
        <v/>
      </c>
      <c r="H320" s="205">
        <f>'Jobs-GAAP'!V320</f>
        <v/>
      </c>
      <c r="I320" s="181">
        <f>E320-G320</f>
        <v/>
      </c>
      <c r="J320" s="9">
        <f>'Jobs-Ops'!P320</f>
        <v/>
      </c>
      <c r="K320" s="9">
        <f>'Jobs-GAAP'!Q320</f>
        <v/>
      </c>
      <c r="L320" s="9">
        <f>J320-K320</f>
        <v/>
      </c>
      <c r="M320" s="186" t="n"/>
      <c r="N320" s="9">
        <f>'Jobs-Ops'!Y320</f>
        <v/>
      </c>
      <c r="O320" s="9">
        <f>'Jobs-GAAP'!Y320</f>
        <v/>
      </c>
      <c r="P320" s="9">
        <f>N320-O320</f>
        <v/>
      </c>
      <c r="Q320" s="186" t="n"/>
      <c r="R320" s="11">
        <f>'Jobs-Ops'!AL320</f>
        <v/>
      </c>
      <c r="S320" s="11">
        <f>'Jobs-GAAP'!AH320</f>
        <v/>
      </c>
      <c r="T320" s="11">
        <f>IFERROR(R320-S320,0)</f>
        <v/>
      </c>
      <c r="U320" s="8">
        <f>'Jobs-Ops'!AM320</f>
        <v/>
      </c>
      <c r="V320" s="8">
        <f>'Jobs-GAAP'!AI320</f>
        <v/>
      </c>
      <c r="W320" s="8">
        <f>IFERROR(U320-V320,0)</f>
        <v/>
      </c>
      <c r="X320" s="9">
        <f>'Jobs-Ops'!AN320</f>
        <v/>
      </c>
      <c r="Y320" s="9">
        <f>'Jobs-GAAP'!AJ320</f>
        <v/>
      </c>
      <c r="Z320" s="9">
        <f>IFERROR(X320-Y320,0)</f>
        <v/>
      </c>
      <c r="AA320" s="153">
        <f>'Jobs-Ops'!AO320</f>
        <v/>
      </c>
      <c r="AB320" s="187" t="n"/>
      <c r="AC320" s="186" t="n"/>
      <c r="AD320" s="186" t="n"/>
      <c r="AE320" s="188" t="n"/>
      <c r="AF320" s="187" t="n"/>
      <c r="AG320" s="187" t="n"/>
      <c r="AH320" s="186" t="n"/>
      <c r="AI320" s="186" t="n"/>
      <c r="AJ320" s="186" t="n"/>
      <c r="AK320" s="186" t="n"/>
      <c r="AL320" s="186" t="n"/>
      <c r="AM320" s="186" t="n"/>
      <c r="AN320" s="186" t="n"/>
      <c r="AO320" s="186" t="n"/>
      <c r="AP320" s="186" t="n"/>
      <c r="AQ320" s="186" t="n"/>
      <c r="AR320" s="186" t="n"/>
      <c r="AS320" s="186" t="n"/>
      <c r="AT320" s="186" t="n"/>
      <c r="AU320" s="186" t="n"/>
      <c r="AV320" s="186" t="n"/>
      <c r="AW320" s="186" t="n"/>
      <c r="AX320" s="186" t="n"/>
      <c r="AY320" s="186" t="n"/>
      <c r="AZ320" s="186" t="n"/>
      <c r="BA320" s="186" t="n"/>
      <c r="BB320" s="186" t="n"/>
      <c r="BC320" s="186" t="n"/>
      <c r="BD320" s="190" t="n"/>
      <c r="BE320" s="186" t="n"/>
      <c r="BF320" s="186" t="n"/>
      <c r="BG320" s="186" t="n"/>
      <c r="BH320" s="186" t="n"/>
      <c r="BI320" s="186" t="n"/>
      <c r="BJ320" s="187" t="n"/>
      <c r="BK320" s="192" t="n"/>
      <c r="BL320" s="192" t="n"/>
      <c r="BM320" s="192" t="n"/>
      <c r="BN320" s="192" t="n"/>
    </row>
    <row r="321">
      <c r="A321" s="289">
        <f> 'Jobs-Ops'!A321</f>
        <v/>
      </c>
      <c r="B321" s="290">
        <f>'Jobs-Ops'!B321</f>
        <v/>
      </c>
      <c r="C321" s="290">
        <f>'Jobs-Ops'!C321</f>
        <v/>
      </c>
      <c r="D321" s="179" t="n"/>
      <c r="E321" s="181">
        <f>'Jobs-Ops'!I321</f>
        <v/>
      </c>
      <c r="F321" s="205">
        <f>'Jobs-Ops'!U321</f>
        <v/>
      </c>
      <c r="G321" s="181">
        <f>'Jobs-GAAP'!J321</f>
        <v/>
      </c>
      <c r="H321" s="205">
        <f>'Jobs-GAAP'!V321</f>
        <v/>
      </c>
      <c r="I321" s="181">
        <f>E321-G321</f>
        <v/>
      </c>
      <c r="J321" s="9">
        <f>'Jobs-Ops'!P321</f>
        <v/>
      </c>
      <c r="K321" s="9">
        <f>'Jobs-GAAP'!Q321</f>
        <v/>
      </c>
      <c r="L321" s="9">
        <f>J321-K321</f>
        <v/>
      </c>
      <c r="M321" s="186" t="n"/>
      <c r="N321" s="9">
        <f>'Jobs-Ops'!Y321</f>
        <v/>
      </c>
      <c r="O321" s="9">
        <f>'Jobs-GAAP'!Y321</f>
        <v/>
      </c>
      <c r="P321" s="9">
        <f>N321-O321</f>
        <v/>
      </c>
      <c r="Q321" s="186" t="n"/>
      <c r="R321" s="11">
        <f>'Jobs-Ops'!AL321</f>
        <v/>
      </c>
      <c r="S321" s="11">
        <f>'Jobs-GAAP'!AH321</f>
        <v/>
      </c>
      <c r="T321" s="11">
        <f>IFERROR(R321-S321,0)</f>
        <v/>
      </c>
      <c r="U321" s="8">
        <f>'Jobs-Ops'!AM321</f>
        <v/>
      </c>
      <c r="V321" s="8">
        <f>'Jobs-GAAP'!AI321</f>
        <v/>
      </c>
      <c r="W321" s="8">
        <f>IFERROR(U321-V321,0)</f>
        <v/>
      </c>
      <c r="X321" s="9">
        <f>'Jobs-Ops'!AN321</f>
        <v/>
      </c>
      <c r="Y321" s="9">
        <f>'Jobs-GAAP'!AJ321</f>
        <v/>
      </c>
      <c r="Z321" s="9">
        <f>IFERROR(X321-Y321,0)</f>
        <v/>
      </c>
      <c r="AA321" s="153">
        <f>'Jobs-Ops'!AO321</f>
        <v/>
      </c>
      <c r="AB321" s="187" t="n"/>
      <c r="AC321" s="186" t="n"/>
      <c r="AD321" s="186" t="n"/>
      <c r="AE321" s="188" t="n"/>
      <c r="AF321" s="187" t="n"/>
      <c r="AG321" s="187" t="n"/>
      <c r="AH321" s="186" t="n"/>
      <c r="AI321" s="186" t="n"/>
      <c r="AJ321" s="186" t="n"/>
      <c r="AK321" s="186" t="n"/>
      <c r="AL321" s="186" t="n"/>
      <c r="AM321" s="186" t="n"/>
      <c r="AN321" s="186" t="n"/>
      <c r="AO321" s="186" t="n"/>
      <c r="AP321" s="186" t="n"/>
      <c r="AQ321" s="186" t="n"/>
      <c r="AR321" s="186" t="n"/>
      <c r="AS321" s="186" t="n"/>
      <c r="AT321" s="186" t="n"/>
      <c r="AU321" s="186" t="n"/>
      <c r="AV321" s="186" t="n"/>
      <c r="AW321" s="186" t="n"/>
      <c r="AX321" s="186" t="n"/>
      <c r="AY321" s="186" t="n"/>
      <c r="AZ321" s="186" t="n"/>
      <c r="BA321" s="186" t="n"/>
      <c r="BB321" s="186" t="n"/>
      <c r="BC321" s="186" t="n"/>
      <c r="BD321" s="190" t="n"/>
      <c r="BE321" s="186" t="n"/>
      <c r="BF321" s="186" t="n"/>
      <c r="BG321" s="186" t="n"/>
      <c r="BH321" s="186" t="n"/>
      <c r="BI321" s="186" t="n"/>
      <c r="BJ321" s="187" t="n"/>
      <c r="BK321" s="192" t="n"/>
      <c r="BL321" s="192" t="n"/>
      <c r="BM321" s="192" t="n"/>
      <c r="BN321" s="192" t="n"/>
    </row>
    <row r="322">
      <c r="A322" s="289">
        <f> 'Jobs-Ops'!A322</f>
        <v/>
      </c>
      <c r="B322" s="290">
        <f>'Jobs-Ops'!B322</f>
        <v/>
      </c>
      <c r="C322" s="290">
        <f>'Jobs-Ops'!C322</f>
        <v/>
      </c>
      <c r="D322" s="179" t="n"/>
      <c r="E322" s="181">
        <f>'Jobs-Ops'!I322</f>
        <v/>
      </c>
      <c r="F322" s="205">
        <f>'Jobs-Ops'!U322</f>
        <v/>
      </c>
      <c r="G322" s="181">
        <f>'Jobs-GAAP'!J322</f>
        <v/>
      </c>
      <c r="H322" s="205">
        <f>'Jobs-GAAP'!V322</f>
        <v/>
      </c>
      <c r="I322" s="181">
        <f>E322-G322</f>
        <v/>
      </c>
      <c r="J322" s="9">
        <f>'Jobs-Ops'!P322</f>
        <v/>
      </c>
      <c r="K322" s="9">
        <f>'Jobs-GAAP'!Q322</f>
        <v/>
      </c>
      <c r="L322" s="9">
        <f>J322-K322</f>
        <v/>
      </c>
      <c r="M322" s="186" t="n"/>
      <c r="N322" s="9">
        <f>'Jobs-Ops'!Y322</f>
        <v/>
      </c>
      <c r="O322" s="9">
        <f>'Jobs-GAAP'!Y322</f>
        <v/>
      </c>
      <c r="P322" s="9">
        <f>N322-O322</f>
        <v/>
      </c>
      <c r="Q322" s="186" t="n"/>
      <c r="R322" s="11">
        <f>'Jobs-Ops'!AL322</f>
        <v/>
      </c>
      <c r="S322" s="11">
        <f>'Jobs-GAAP'!AH322</f>
        <v/>
      </c>
      <c r="T322" s="11">
        <f>IFERROR(R322-S322,0)</f>
        <v/>
      </c>
      <c r="U322" s="8">
        <f>'Jobs-Ops'!AM322</f>
        <v/>
      </c>
      <c r="V322" s="8">
        <f>'Jobs-GAAP'!AI322</f>
        <v/>
      </c>
      <c r="W322" s="8">
        <f>IFERROR(U322-V322,0)</f>
        <v/>
      </c>
      <c r="X322" s="9">
        <f>'Jobs-Ops'!AN322</f>
        <v/>
      </c>
      <c r="Y322" s="9">
        <f>'Jobs-GAAP'!AJ322</f>
        <v/>
      </c>
      <c r="Z322" s="9">
        <f>IFERROR(X322-Y322,0)</f>
        <v/>
      </c>
      <c r="AA322" s="153">
        <f>'Jobs-Ops'!AO322</f>
        <v/>
      </c>
      <c r="AB322" s="187" t="n"/>
      <c r="AC322" s="186" t="n"/>
      <c r="AD322" s="186" t="n"/>
      <c r="AE322" s="188" t="n"/>
      <c r="AF322" s="187" t="n"/>
      <c r="AG322" s="187" t="n"/>
      <c r="AH322" s="186" t="n"/>
      <c r="AI322" s="186" t="n"/>
      <c r="AJ322" s="186" t="n"/>
      <c r="AK322" s="186" t="n"/>
      <c r="AL322" s="186" t="n"/>
      <c r="AM322" s="186" t="n"/>
      <c r="AN322" s="186" t="n"/>
      <c r="AO322" s="186" t="n"/>
      <c r="AP322" s="186" t="n"/>
      <c r="AQ322" s="186" t="n"/>
      <c r="AR322" s="186" t="n"/>
      <c r="AS322" s="186" t="n"/>
      <c r="AT322" s="186" t="n"/>
      <c r="AU322" s="186" t="n"/>
      <c r="AV322" s="186" t="n"/>
      <c r="AW322" s="186" t="n"/>
      <c r="AX322" s="186" t="n"/>
      <c r="AY322" s="186" t="n"/>
      <c r="AZ322" s="186" t="n"/>
      <c r="BA322" s="186" t="n"/>
      <c r="BB322" s="186" t="n"/>
      <c r="BC322" s="186" t="n"/>
      <c r="BD322" s="190" t="n"/>
      <c r="BE322" s="186" t="n"/>
      <c r="BF322" s="186" t="n"/>
      <c r="BG322" s="186" t="n"/>
      <c r="BH322" s="186" t="n"/>
      <c r="BI322" s="186" t="n"/>
      <c r="BJ322" s="187" t="n"/>
      <c r="BK322" s="192" t="n"/>
      <c r="BL322" s="192" t="n"/>
      <c r="BM322" s="192" t="n"/>
      <c r="BN322" s="192" t="n"/>
    </row>
    <row r="323">
      <c r="A323" s="289">
        <f> 'Jobs-Ops'!A323</f>
        <v/>
      </c>
      <c r="B323" s="290">
        <f>'Jobs-Ops'!B323</f>
        <v/>
      </c>
      <c r="C323" s="290">
        <f>'Jobs-Ops'!C323</f>
        <v/>
      </c>
      <c r="D323" s="179" t="n"/>
      <c r="E323" s="181">
        <f>'Jobs-Ops'!I323</f>
        <v/>
      </c>
      <c r="F323" s="205">
        <f>'Jobs-Ops'!U323</f>
        <v/>
      </c>
      <c r="G323" s="181">
        <f>'Jobs-GAAP'!J323</f>
        <v/>
      </c>
      <c r="H323" s="205">
        <f>'Jobs-GAAP'!V323</f>
        <v/>
      </c>
      <c r="I323" s="181">
        <f>E323-G323</f>
        <v/>
      </c>
      <c r="J323" s="9">
        <f>'Jobs-Ops'!P323</f>
        <v/>
      </c>
      <c r="K323" s="9">
        <f>'Jobs-GAAP'!Q323</f>
        <v/>
      </c>
      <c r="L323" s="9">
        <f>J323-K323</f>
        <v/>
      </c>
      <c r="M323" s="186" t="n"/>
      <c r="N323" s="9">
        <f>'Jobs-Ops'!Y323</f>
        <v/>
      </c>
      <c r="O323" s="9">
        <f>'Jobs-GAAP'!Y323</f>
        <v/>
      </c>
      <c r="P323" s="9">
        <f>N323-O323</f>
        <v/>
      </c>
      <c r="Q323" s="186" t="n"/>
      <c r="R323" s="11">
        <f>'Jobs-Ops'!AL323</f>
        <v/>
      </c>
      <c r="S323" s="11">
        <f>'Jobs-GAAP'!AH323</f>
        <v/>
      </c>
      <c r="T323" s="11">
        <f>IFERROR(R323-S323,0)</f>
        <v/>
      </c>
      <c r="U323" s="8">
        <f>'Jobs-Ops'!AM323</f>
        <v/>
      </c>
      <c r="V323" s="8">
        <f>'Jobs-GAAP'!AI323</f>
        <v/>
      </c>
      <c r="W323" s="8">
        <f>IFERROR(U323-V323,0)</f>
        <v/>
      </c>
      <c r="X323" s="9">
        <f>'Jobs-Ops'!AN323</f>
        <v/>
      </c>
      <c r="Y323" s="9">
        <f>'Jobs-GAAP'!AJ323</f>
        <v/>
      </c>
      <c r="Z323" s="9">
        <f>IFERROR(X323-Y323,0)</f>
        <v/>
      </c>
      <c r="AA323" s="153">
        <f>'Jobs-Ops'!AO323</f>
        <v/>
      </c>
      <c r="AB323" s="187" t="n"/>
      <c r="AC323" s="186" t="n"/>
      <c r="AD323" s="186" t="n"/>
      <c r="AE323" s="188" t="n"/>
      <c r="AF323" s="187" t="n"/>
      <c r="AG323" s="187" t="n"/>
      <c r="AH323" s="186" t="n"/>
      <c r="AI323" s="186" t="n"/>
      <c r="AJ323" s="186" t="n"/>
      <c r="AK323" s="186" t="n"/>
      <c r="AL323" s="186" t="n"/>
      <c r="AM323" s="186" t="n"/>
      <c r="AN323" s="186" t="n"/>
      <c r="AO323" s="186" t="n"/>
      <c r="AP323" s="186" t="n"/>
      <c r="AQ323" s="186" t="n"/>
      <c r="AR323" s="186" t="n"/>
      <c r="AS323" s="186" t="n"/>
      <c r="AT323" s="186" t="n"/>
      <c r="AU323" s="186" t="n"/>
      <c r="AV323" s="186" t="n"/>
      <c r="AW323" s="186" t="n"/>
      <c r="AX323" s="186" t="n"/>
      <c r="AY323" s="186" t="n"/>
      <c r="AZ323" s="186" t="n"/>
      <c r="BA323" s="186" t="n"/>
      <c r="BB323" s="186" t="n"/>
      <c r="BC323" s="186" t="n"/>
      <c r="BD323" s="190" t="n"/>
      <c r="BE323" s="186" t="n"/>
      <c r="BF323" s="186" t="n"/>
      <c r="BG323" s="186" t="n"/>
      <c r="BH323" s="186" t="n"/>
      <c r="BI323" s="186" t="n"/>
      <c r="BJ323" s="187" t="n"/>
      <c r="BK323" s="192" t="n"/>
      <c r="BL323" s="192" t="n"/>
      <c r="BM323" s="192" t="n"/>
      <c r="BN323" s="192" t="n"/>
    </row>
    <row r="324">
      <c r="A324" s="289">
        <f> 'Jobs-Ops'!A324</f>
        <v/>
      </c>
      <c r="B324" s="290">
        <f>'Jobs-Ops'!B324</f>
        <v/>
      </c>
      <c r="C324" s="290">
        <f>'Jobs-Ops'!C324</f>
        <v/>
      </c>
      <c r="D324" s="179" t="n"/>
      <c r="E324" s="181">
        <f>'Jobs-Ops'!I324</f>
        <v/>
      </c>
      <c r="F324" s="205">
        <f>'Jobs-Ops'!U324</f>
        <v/>
      </c>
      <c r="G324" s="181">
        <f>'Jobs-GAAP'!J324</f>
        <v/>
      </c>
      <c r="H324" s="205">
        <f>'Jobs-GAAP'!V324</f>
        <v/>
      </c>
      <c r="I324" s="181">
        <f>E324-G324</f>
        <v/>
      </c>
      <c r="J324" s="9">
        <f>'Jobs-Ops'!P324</f>
        <v/>
      </c>
      <c r="K324" s="9">
        <f>'Jobs-GAAP'!Q324</f>
        <v/>
      </c>
      <c r="L324" s="9">
        <f>J324-K324</f>
        <v/>
      </c>
      <c r="M324" s="186" t="n"/>
      <c r="N324" s="9">
        <f>'Jobs-Ops'!Y324</f>
        <v/>
      </c>
      <c r="O324" s="9">
        <f>'Jobs-GAAP'!Y324</f>
        <v/>
      </c>
      <c r="P324" s="9">
        <f>N324-O324</f>
        <v/>
      </c>
      <c r="Q324" s="186" t="n"/>
      <c r="R324" s="11">
        <f>'Jobs-Ops'!AL324</f>
        <v/>
      </c>
      <c r="S324" s="11">
        <f>'Jobs-GAAP'!AH324</f>
        <v/>
      </c>
      <c r="T324" s="11">
        <f>IFERROR(R324-S324,0)</f>
        <v/>
      </c>
      <c r="U324" s="8">
        <f>'Jobs-Ops'!AM324</f>
        <v/>
      </c>
      <c r="V324" s="8">
        <f>'Jobs-GAAP'!AI324</f>
        <v/>
      </c>
      <c r="W324" s="8">
        <f>IFERROR(U324-V324,0)</f>
        <v/>
      </c>
      <c r="X324" s="9">
        <f>'Jobs-Ops'!AN324</f>
        <v/>
      </c>
      <c r="Y324" s="9">
        <f>'Jobs-GAAP'!AJ324</f>
        <v/>
      </c>
      <c r="Z324" s="9">
        <f>IFERROR(X324-Y324,0)</f>
        <v/>
      </c>
      <c r="AA324" s="153">
        <f>'Jobs-Ops'!AO324</f>
        <v/>
      </c>
      <c r="AB324" s="187" t="n"/>
      <c r="AC324" s="186" t="n"/>
      <c r="AD324" s="186" t="n"/>
      <c r="AE324" s="188" t="n"/>
      <c r="AF324" s="187" t="n"/>
      <c r="AG324" s="187" t="n"/>
      <c r="AH324" s="186" t="n"/>
      <c r="AI324" s="186" t="n"/>
      <c r="AJ324" s="186" t="n"/>
      <c r="AK324" s="186" t="n"/>
      <c r="AL324" s="186" t="n"/>
      <c r="AM324" s="186" t="n"/>
      <c r="AN324" s="186" t="n"/>
      <c r="AO324" s="186" t="n"/>
      <c r="AP324" s="186" t="n"/>
      <c r="AQ324" s="186" t="n"/>
      <c r="AR324" s="186" t="n"/>
      <c r="AS324" s="186" t="n"/>
      <c r="AT324" s="186" t="n"/>
      <c r="AU324" s="186" t="n"/>
      <c r="AV324" s="186" t="n"/>
      <c r="AW324" s="186" t="n"/>
      <c r="AX324" s="186" t="n"/>
      <c r="AY324" s="186" t="n"/>
      <c r="AZ324" s="186" t="n"/>
      <c r="BA324" s="186" t="n"/>
      <c r="BB324" s="186" t="n"/>
      <c r="BC324" s="186" t="n"/>
      <c r="BD324" s="190" t="n"/>
      <c r="BE324" s="186" t="n"/>
      <c r="BF324" s="186" t="n"/>
      <c r="BG324" s="186" t="n"/>
      <c r="BH324" s="186" t="n"/>
      <c r="BI324" s="186" t="n"/>
      <c r="BJ324" s="187" t="n"/>
      <c r="BK324" s="192" t="n"/>
      <c r="BL324" s="192" t="n"/>
      <c r="BM324" s="192" t="n"/>
      <c r="BN324" s="192" t="n"/>
    </row>
    <row r="325">
      <c r="A325" s="289">
        <f> 'Jobs-Ops'!A325</f>
        <v/>
      </c>
      <c r="B325" s="290">
        <f>'Jobs-Ops'!B325</f>
        <v/>
      </c>
      <c r="C325" s="290">
        <f>'Jobs-Ops'!C325</f>
        <v/>
      </c>
      <c r="D325" s="179" t="n"/>
      <c r="E325" s="181">
        <f>'Jobs-Ops'!I325</f>
        <v/>
      </c>
      <c r="F325" s="205">
        <f>'Jobs-Ops'!U325</f>
        <v/>
      </c>
      <c r="G325" s="181">
        <f>'Jobs-GAAP'!J325</f>
        <v/>
      </c>
      <c r="H325" s="205">
        <f>'Jobs-GAAP'!V325</f>
        <v/>
      </c>
      <c r="I325" s="181">
        <f>E325-G325</f>
        <v/>
      </c>
      <c r="J325" s="9">
        <f>'Jobs-Ops'!P325</f>
        <v/>
      </c>
      <c r="K325" s="9">
        <f>'Jobs-GAAP'!Q325</f>
        <v/>
      </c>
      <c r="L325" s="9">
        <f>J325-K325</f>
        <v/>
      </c>
      <c r="M325" s="186" t="n"/>
      <c r="N325" s="9">
        <f>'Jobs-Ops'!Y325</f>
        <v/>
      </c>
      <c r="O325" s="9">
        <f>'Jobs-GAAP'!Y325</f>
        <v/>
      </c>
      <c r="P325" s="9">
        <f>N325-O325</f>
        <v/>
      </c>
      <c r="Q325" s="186" t="n"/>
      <c r="R325" s="11">
        <f>'Jobs-Ops'!AL325</f>
        <v/>
      </c>
      <c r="S325" s="11">
        <f>'Jobs-GAAP'!AH325</f>
        <v/>
      </c>
      <c r="T325" s="11">
        <f>IFERROR(R325-S325,0)</f>
        <v/>
      </c>
      <c r="U325" s="8">
        <f>'Jobs-Ops'!AM325</f>
        <v/>
      </c>
      <c r="V325" s="8">
        <f>'Jobs-GAAP'!AI325</f>
        <v/>
      </c>
      <c r="W325" s="8">
        <f>IFERROR(U325-V325,0)</f>
        <v/>
      </c>
      <c r="X325" s="9">
        <f>'Jobs-Ops'!AN325</f>
        <v/>
      </c>
      <c r="Y325" s="9">
        <f>'Jobs-GAAP'!AJ325</f>
        <v/>
      </c>
      <c r="Z325" s="9">
        <f>IFERROR(X325-Y325,0)</f>
        <v/>
      </c>
      <c r="AA325" s="153">
        <f>'Jobs-Ops'!AO325</f>
        <v/>
      </c>
      <c r="AB325" s="187" t="n"/>
      <c r="AC325" s="186" t="n"/>
      <c r="AD325" s="186" t="n"/>
      <c r="AE325" s="188" t="n"/>
      <c r="AF325" s="187" t="n"/>
      <c r="AG325" s="187" t="n"/>
      <c r="AH325" s="186" t="n"/>
      <c r="AI325" s="186" t="n"/>
      <c r="AJ325" s="186" t="n"/>
      <c r="AK325" s="186" t="n"/>
      <c r="AL325" s="186" t="n"/>
      <c r="AM325" s="186" t="n"/>
      <c r="AN325" s="186" t="n"/>
      <c r="AO325" s="186" t="n"/>
      <c r="AP325" s="186" t="n"/>
      <c r="AQ325" s="186" t="n"/>
      <c r="AR325" s="186" t="n"/>
      <c r="AS325" s="186" t="n"/>
      <c r="AT325" s="186" t="n"/>
      <c r="AU325" s="186" t="n"/>
      <c r="AV325" s="186" t="n"/>
      <c r="AW325" s="186" t="n"/>
      <c r="AX325" s="186" t="n"/>
      <c r="AY325" s="186" t="n"/>
      <c r="AZ325" s="186" t="n"/>
      <c r="BA325" s="186" t="n"/>
      <c r="BB325" s="186" t="n"/>
      <c r="BC325" s="186" t="n"/>
      <c r="BD325" s="190" t="n"/>
      <c r="BE325" s="186" t="n"/>
      <c r="BF325" s="186" t="n"/>
      <c r="BG325" s="186" t="n"/>
      <c r="BH325" s="186" t="n"/>
      <c r="BI325" s="186" t="n"/>
      <c r="BJ325" s="187" t="n"/>
      <c r="BK325" s="192" t="n"/>
      <c r="BL325" s="192" t="n"/>
      <c r="BM325" s="192" t="n"/>
      <c r="BN325" s="192" t="n"/>
    </row>
    <row r="326">
      <c r="A326" s="289">
        <f> 'Jobs-Ops'!A326</f>
        <v/>
      </c>
      <c r="B326" s="290">
        <f>'Jobs-Ops'!B326</f>
        <v/>
      </c>
      <c r="C326" s="290">
        <f>'Jobs-Ops'!C326</f>
        <v/>
      </c>
      <c r="D326" s="179" t="n"/>
      <c r="E326" s="181">
        <f>'Jobs-Ops'!I326</f>
        <v/>
      </c>
      <c r="F326" s="205">
        <f>'Jobs-Ops'!U326</f>
        <v/>
      </c>
      <c r="G326" s="181">
        <f>'Jobs-GAAP'!J326</f>
        <v/>
      </c>
      <c r="H326" s="205">
        <f>'Jobs-GAAP'!V326</f>
        <v/>
      </c>
      <c r="I326" s="181">
        <f>E326-G326</f>
        <v/>
      </c>
      <c r="J326" s="9">
        <f>'Jobs-Ops'!P326</f>
        <v/>
      </c>
      <c r="K326" s="9">
        <f>'Jobs-GAAP'!Q326</f>
        <v/>
      </c>
      <c r="L326" s="9">
        <f>J326-K326</f>
        <v/>
      </c>
      <c r="M326" s="186" t="n"/>
      <c r="N326" s="9">
        <f>'Jobs-Ops'!Y326</f>
        <v/>
      </c>
      <c r="O326" s="9">
        <f>'Jobs-GAAP'!Y326</f>
        <v/>
      </c>
      <c r="P326" s="9">
        <f>N326-O326</f>
        <v/>
      </c>
      <c r="Q326" s="186" t="n"/>
      <c r="R326" s="11">
        <f>'Jobs-Ops'!AL326</f>
        <v/>
      </c>
      <c r="S326" s="11">
        <f>'Jobs-GAAP'!AH326</f>
        <v/>
      </c>
      <c r="T326" s="11">
        <f>IFERROR(R326-S326,0)</f>
        <v/>
      </c>
      <c r="U326" s="8">
        <f>'Jobs-Ops'!AM326</f>
        <v/>
      </c>
      <c r="V326" s="8">
        <f>'Jobs-GAAP'!AI326</f>
        <v/>
      </c>
      <c r="W326" s="8">
        <f>IFERROR(U326-V326,0)</f>
        <v/>
      </c>
      <c r="X326" s="9">
        <f>'Jobs-Ops'!AN326</f>
        <v/>
      </c>
      <c r="Y326" s="9">
        <f>'Jobs-GAAP'!AJ326</f>
        <v/>
      </c>
      <c r="Z326" s="9">
        <f>IFERROR(X326-Y326,0)</f>
        <v/>
      </c>
      <c r="AA326" s="153">
        <f>'Jobs-Ops'!AO326</f>
        <v/>
      </c>
      <c r="AB326" s="187" t="n"/>
      <c r="AC326" s="186" t="n"/>
      <c r="AD326" s="186" t="n"/>
      <c r="AE326" s="188" t="n"/>
      <c r="AF326" s="187" t="n"/>
      <c r="AG326" s="187" t="n"/>
      <c r="AH326" s="186" t="n"/>
      <c r="AI326" s="186" t="n"/>
      <c r="AJ326" s="186" t="n"/>
      <c r="AK326" s="186" t="n"/>
      <c r="AL326" s="186" t="n"/>
      <c r="AM326" s="186" t="n"/>
      <c r="AN326" s="186" t="n"/>
      <c r="AO326" s="186" t="n"/>
      <c r="AP326" s="186" t="n"/>
      <c r="AQ326" s="186" t="n"/>
      <c r="AR326" s="186" t="n"/>
      <c r="AS326" s="186" t="n"/>
      <c r="AT326" s="186" t="n"/>
      <c r="AU326" s="186" t="n"/>
      <c r="AV326" s="186" t="n"/>
      <c r="AW326" s="186" t="n"/>
      <c r="AX326" s="186" t="n"/>
      <c r="AY326" s="186" t="n"/>
      <c r="AZ326" s="186" t="n"/>
      <c r="BA326" s="186" t="n"/>
      <c r="BB326" s="186" t="n"/>
      <c r="BC326" s="186" t="n"/>
      <c r="BD326" s="190" t="n"/>
      <c r="BE326" s="186" t="n"/>
      <c r="BF326" s="186" t="n"/>
      <c r="BG326" s="186" t="n"/>
      <c r="BH326" s="186" t="n"/>
      <c r="BI326" s="186" t="n"/>
      <c r="BJ326" s="187" t="n"/>
      <c r="BK326" s="192" t="n"/>
      <c r="BL326" s="192" t="n"/>
      <c r="BM326" s="192" t="n"/>
      <c r="BN326" s="192" t="n"/>
    </row>
    <row r="327">
      <c r="A327" s="289">
        <f> 'Jobs-Ops'!A327</f>
        <v/>
      </c>
      <c r="B327" s="290">
        <f>'Jobs-Ops'!B327</f>
        <v/>
      </c>
      <c r="C327" s="290">
        <f>'Jobs-Ops'!C327</f>
        <v/>
      </c>
      <c r="D327" s="179" t="n"/>
      <c r="E327" s="181">
        <f>'Jobs-Ops'!I327</f>
        <v/>
      </c>
      <c r="F327" s="205">
        <f>'Jobs-Ops'!U327</f>
        <v/>
      </c>
      <c r="G327" s="181">
        <f>'Jobs-GAAP'!J327</f>
        <v/>
      </c>
      <c r="H327" s="205">
        <f>'Jobs-GAAP'!V327</f>
        <v/>
      </c>
      <c r="I327" s="181">
        <f>E327-G327</f>
        <v/>
      </c>
      <c r="J327" s="9">
        <f>'Jobs-Ops'!P327</f>
        <v/>
      </c>
      <c r="K327" s="9">
        <f>'Jobs-GAAP'!Q327</f>
        <v/>
      </c>
      <c r="L327" s="9">
        <f>J327-K327</f>
        <v/>
      </c>
      <c r="M327" s="186" t="n"/>
      <c r="N327" s="9">
        <f>'Jobs-Ops'!Y327</f>
        <v/>
      </c>
      <c r="O327" s="9">
        <f>'Jobs-GAAP'!Y327</f>
        <v/>
      </c>
      <c r="P327" s="9">
        <f>N327-O327</f>
        <v/>
      </c>
      <c r="Q327" s="186" t="n"/>
      <c r="R327" s="11">
        <f>'Jobs-Ops'!AL327</f>
        <v/>
      </c>
      <c r="S327" s="11">
        <f>'Jobs-GAAP'!AH327</f>
        <v/>
      </c>
      <c r="T327" s="11">
        <f>IFERROR(R327-S327,0)</f>
        <v/>
      </c>
      <c r="U327" s="8">
        <f>'Jobs-Ops'!AM327</f>
        <v/>
      </c>
      <c r="V327" s="8">
        <f>'Jobs-GAAP'!AI327</f>
        <v/>
      </c>
      <c r="W327" s="8">
        <f>IFERROR(U327-V327,0)</f>
        <v/>
      </c>
      <c r="X327" s="9">
        <f>'Jobs-Ops'!AN327</f>
        <v/>
      </c>
      <c r="Y327" s="9">
        <f>'Jobs-GAAP'!AJ327</f>
        <v/>
      </c>
      <c r="Z327" s="9">
        <f>IFERROR(X327-Y327,0)</f>
        <v/>
      </c>
      <c r="AA327" s="153">
        <f>'Jobs-Ops'!AO327</f>
        <v/>
      </c>
      <c r="AB327" s="187" t="n"/>
      <c r="AC327" s="186" t="n"/>
      <c r="AD327" s="186" t="n"/>
      <c r="AE327" s="188" t="n"/>
      <c r="AF327" s="187" t="n"/>
      <c r="AG327" s="187" t="n"/>
      <c r="AH327" s="186" t="n"/>
      <c r="AI327" s="186" t="n"/>
      <c r="AJ327" s="186" t="n"/>
      <c r="AK327" s="186" t="n"/>
      <c r="AL327" s="186" t="n"/>
      <c r="AM327" s="186" t="n"/>
      <c r="AN327" s="186" t="n"/>
      <c r="AO327" s="186" t="n"/>
      <c r="AP327" s="186" t="n"/>
      <c r="AQ327" s="186" t="n"/>
      <c r="AR327" s="186" t="n"/>
      <c r="AS327" s="186" t="n"/>
      <c r="AT327" s="186" t="n"/>
      <c r="AU327" s="186" t="n"/>
      <c r="AV327" s="186" t="n"/>
      <c r="AW327" s="186" t="n"/>
      <c r="AX327" s="186" t="n"/>
      <c r="AY327" s="186" t="n"/>
      <c r="AZ327" s="186" t="n"/>
      <c r="BA327" s="186" t="n"/>
      <c r="BB327" s="186" t="n"/>
      <c r="BC327" s="186" t="n"/>
      <c r="BD327" s="190" t="n"/>
      <c r="BE327" s="186" t="n"/>
      <c r="BF327" s="186" t="n"/>
      <c r="BG327" s="186" t="n"/>
      <c r="BH327" s="186" t="n"/>
      <c r="BI327" s="186" t="n"/>
      <c r="BJ327" s="187" t="n"/>
      <c r="BK327" s="192" t="n"/>
      <c r="BL327" s="192" t="n"/>
      <c r="BM327" s="192" t="n"/>
      <c r="BN327" s="192" t="n"/>
    </row>
    <row r="328">
      <c r="A328" s="289">
        <f> 'Jobs-Ops'!A328</f>
        <v/>
      </c>
      <c r="B328" s="290">
        <f>'Jobs-Ops'!B328</f>
        <v/>
      </c>
      <c r="C328" s="290">
        <f>'Jobs-Ops'!C328</f>
        <v/>
      </c>
      <c r="D328" s="179" t="n"/>
      <c r="E328" s="181">
        <f>'Jobs-Ops'!I328</f>
        <v/>
      </c>
      <c r="F328" s="205">
        <f>'Jobs-Ops'!U328</f>
        <v/>
      </c>
      <c r="G328" s="181">
        <f>'Jobs-GAAP'!J328</f>
        <v/>
      </c>
      <c r="H328" s="205">
        <f>'Jobs-GAAP'!V328</f>
        <v/>
      </c>
      <c r="I328" s="181">
        <f>E328-G328</f>
        <v/>
      </c>
      <c r="J328" s="9">
        <f>'Jobs-Ops'!P328</f>
        <v/>
      </c>
      <c r="K328" s="9">
        <f>'Jobs-GAAP'!Q328</f>
        <v/>
      </c>
      <c r="L328" s="9">
        <f>J328-K328</f>
        <v/>
      </c>
      <c r="M328" s="186" t="n"/>
      <c r="N328" s="9">
        <f>'Jobs-Ops'!Y328</f>
        <v/>
      </c>
      <c r="O328" s="9">
        <f>'Jobs-GAAP'!Y328</f>
        <v/>
      </c>
      <c r="P328" s="9">
        <f>N328-O328</f>
        <v/>
      </c>
      <c r="Q328" s="186" t="n"/>
      <c r="R328" s="11">
        <f>'Jobs-Ops'!AL328</f>
        <v/>
      </c>
      <c r="S328" s="11">
        <f>'Jobs-GAAP'!AH328</f>
        <v/>
      </c>
      <c r="T328" s="11">
        <f>IFERROR(R328-S328,0)</f>
        <v/>
      </c>
      <c r="U328" s="8">
        <f>'Jobs-Ops'!AM328</f>
        <v/>
      </c>
      <c r="V328" s="8">
        <f>'Jobs-GAAP'!AI328</f>
        <v/>
      </c>
      <c r="W328" s="8">
        <f>IFERROR(U328-V328,0)</f>
        <v/>
      </c>
      <c r="X328" s="9">
        <f>'Jobs-Ops'!AN328</f>
        <v/>
      </c>
      <c r="Y328" s="9">
        <f>'Jobs-GAAP'!AJ328</f>
        <v/>
      </c>
      <c r="Z328" s="9">
        <f>IFERROR(X328-Y328,0)</f>
        <v/>
      </c>
      <c r="AA328" s="153">
        <f>'Jobs-Ops'!AO328</f>
        <v/>
      </c>
      <c r="AB328" s="187" t="n"/>
      <c r="AC328" s="186" t="n"/>
      <c r="AD328" s="186" t="n"/>
      <c r="AE328" s="188" t="n"/>
      <c r="AF328" s="187" t="n"/>
      <c r="AG328" s="187" t="n"/>
      <c r="AH328" s="186" t="n"/>
      <c r="AI328" s="186" t="n"/>
      <c r="AJ328" s="186" t="n"/>
      <c r="AK328" s="186" t="n"/>
      <c r="AL328" s="186" t="n"/>
      <c r="AM328" s="186" t="n"/>
      <c r="AN328" s="186" t="n"/>
      <c r="AO328" s="186" t="n"/>
      <c r="AP328" s="186" t="n"/>
      <c r="AQ328" s="186" t="n"/>
      <c r="AR328" s="186" t="n"/>
      <c r="AS328" s="186" t="n"/>
      <c r="AT328" s="186" t="n"/>
      <c r="AU328" s="186" t="n"/>
      <c r="AV328" s="186" t="n"/>
      <c r="AW328" s="186" t="n"/>
      <c r="AX328" s="186" t="n"/>
      <c r="AY328" s="186" t="n"/>
      <c r="AZ328" s="186" t="n"/>
      <c r="BA328" s="186" t="n"/>
      <c r="BB328" s="186" t="n"/>
      <c r="BC328" s="186" t="n"/>
      <c r="BD328" s="190" t="n"/>
      <c r="BE328" s="186" t="n"/>
      <c r="BF328" s="186" t="n"/>
      <c r="BG328" s="186" t="n"/>
      <c r="BH328" s="186" t="n"/>
      <c r="BI328" s="186" t="n"/>
      <c r="BJ328" s="187" t="n"/>
      <c r="BK328" s="192" t="n"/>
      <c r="BL328" s="192" t="n"/>
      <c r="BM328" s="192" t="n"/>
      <c r="BN328" s="192" t="n"/>
    </row>
    <row r="329">
      <c r="A329" s="289">
        <f> 'Jobs-Ops'!A329</f>
        <v/>
      </c>
      <c r="B329" s="290">
        <f>'Jobs-Ops'!B329</f>
        <v/>
      </c>
      <c r="C329" s="290">
        <f>'Jobs-Ops'!C329</f>
        <v/>
      </c>
      <c r="D329" s="179" t="n"/>
      <c r="E329" s="181">
        <f>'Jobs-Ops'!I329</f>
        <v/>
      </c>
      <c r="F329" s="205">
        <f>'Jobs-Ops'!U329</f>
        <v/>
      </c>
      <c r="G329" s="181">
        <f>'Jobs-GAAP'!J329</f>
        <v/>
      </c>
      <c r="H329" s="205">
        <f>'Jobs-GAAP'!V329</f>
        <v/>
      </c>
      <c r="I329" s="181">
        <f>E329-G329</f>
        <v/>
      </c>
      <c r="J329" s="9">
        <f>'Jobs-Ops'!P329</f>
        <v/>
      </c>
      <c r="K329" s="9">
        <f>'Jobs-GAAP'!Q329</f>
        <v/>
      </c>
      <c r="L329" s="9">
        <f>J329-K329</f>
        <v/>
      </c>
      <c r="M329" s="186" t="n"/>
      <c r="N329" s="9">
        <f>'Jobs-Ops'!Y329</f>
        <v/>
      </c>
      <c r="O329" s="9">
        <f>'Jobs-GAAP'!Y329</f>
        <v/>
      </c>
      <c r="P329" s="9">
        <f>N329-O329</f>
        <v/>
      </c>
      <c r="Q329" s="186" t="n"/>
      <c r="R329" s="11">
        <f>'Jobs-Ops'!AL329</f>
        <v/>
      </c>
      <c r="S329" s="11">
        <f>'Jobs-GAAP'!AH329</f>
        <v/>
      </c>
      <c r="T329" s="11">
        <f>IFERROR(R329-S329,0)</f>
        <v/>
      </c>
      <c r="U329" s="8">
        <f>'Jobs-Ops'!AM329</f>
        <v/>
      </c>
      <c r="V329" s="8">
        <f>'Jobs-GAAP'!AI329</f>
        <v/>
      </c>
      <c r="W329" s="8">
        <f>IFERROR(U329-V329,0)</f>
        <v/>
      </c>
      <c r="X329" s="9">
        <f>'Jobs-Ops'!AN329</f>
        <v/>
      </c>
      <c r="Y329" s="9">
        <f>'Jobs-GAAP'!AJ329</f>
        <v/>
      </c>
      <c r="Z329" s="9">
        <f>IFERROR(X329-Y329,0)</f>
        <v/>
      </c>
      <c r="AA329" s="153">
        <f>'Jobs-Ops'!AO329</f>
        <v/>
      </c>
      <c r="AB329" s="187" t="n"/>
      <c r="AC329" s="186" t="n"/>
      <c r="AD329" s="186" t="n"/>
      <c r="AE329" s="188" t="n"/>
      <c r="AF329" s="187" t="n"/>
      <c r="AG329" s="187" t="n"/>
      <c r="AH329" s="186" t="n"/>
      <c r="AI329" s="186" t="n"/>
      <c r="AJ329" s="186" t="n"/>
      <c r="AK329" s="186" t="n"/>
      <c r="AL329" s="186" t="n"/>
      <c r="AM329" s="186" t="n"/>
      <c r="AN329" s="186" t="n"/>
      <c r="AO329" s="186" t="n"/>
      <c r="AP329" s="186" t="n"/>
      <c r="AQ329" s="186" t="n"/>
      <c r="AR329" s="186" t="n"/>
      <c r="AS329" s="186" t="n"/>
      <c r="AT329" s="186" t="n"/>
      <c r="AU329" s="186" t="n"/>
      <c r="AV329" s="186" t="n"/>
      <c r="AW329" s="186" t="n"/>
      <c r="AX329" s="186" t="n"/>
      <c r="AY329" s="186" t="n"/>
      <c r="AZ329" s="186" t="n"/>
      <c r="BA329" s="186" t="n"/>
      <c r="BB329" s="186" t="n"/>
      <c r="BC329" s="186" t="n"/>
      <c r="BD329" s="190" t="n"/>
      <c r="BE329" s="186" t="n"/>
      <c r="BF329" s="186" t="n"/>
      <c r="BG329" s="186" t="n"/>
      <c r="BH329" s="186" t="n"/>
      <c r="BI329" s="186" t="n"/>
      <c r="BJ329" s="187" t="n"/>
      <c r="BK329" s="192" t="n"/>
      <c r="BL329" s="192" t="n"/>
      <c r="BM329" s="192" t="n"/>
      <c r="BN329" s="192" t="n"/>
    </row>
    <row r="330">
      <c r="A330" s="289">
        <f> 'Jobs-Ops'!A330</f>
        <v/>
      </c>
      <c r="B330" s="290">
        <f>'Jobs-Ops'!B330</f>
        <v/>
      </c>
      <c r="C330" s="290">
        <f>'Jobs-Ops'!C330</f>
        <v/>
      </c>
      <c r="D330" s="179" t="n"/>
      <c r="E330" s="181">
        <f>'Jobs-Ops'!I330</f>
        <v/>
      </c>
      <c r="F330" s="205">
        <f>'Jobs-Ops'!U330</f>
        <v/>
      </c>
      <c r="G330" s="181">
        <f>'Jobs-GAAP'!J330</f>
        <v/>
      </c>
      <c r="H330" s="205">
        <f>'Jobs-GAAP'!V330</f>
        <v/>
      </c>
      <c r="I330" s="181">
        <f>E330-G330</f>
        <v/>
      </c>
      <c r="J330" s="9">
        <f>'Jobs-Ops'!P330</f>
        <v/>
      </c>
      <c r="K330" s="9">
        <f>'Jobs-GAAP'!Q330</f>
        <v/>
      </c>
      <c r="L330" s="9">
        <f>J330-K330</f>
        <v/>
      </c>
      <c r="M330" s="186" t="n"/>
      <c r="N330" s="9">
        <f>'Jobs-Ops'!Y330</f>
        <v/>
      </c>
      <c r="O330" s="9">
        <f>'Jobs-GAAP'!Y330</f>
        <v/>
      </c>
      <c r="P330" s="9">
        <f>N330-O330</f>
        <v/>
      </c>
      <c r="Q330" s="186" t="n"/>
      <c r="R330" s="11">
        <f>'Jobs-Ops'!AL330</f>
        <v/>
      </c>
      <c r="S330" s="11">
        <f>'Jobs-GAAP'!AH330</f>
        <v/>
      </c>
      <c r="T330" s="11">
        <f>IFERROR(R330-S330,0)</f>
        <v/>
      </c>
      <c r="U330" s="8">
        <f>'Jobs-Ops'!AM330</f>
        <v/>
      </c>
      <c r="V330" s="8">
        <f>'Jobs-GAAP'!AI330</f>
        <v/>
      </c>
      <c r="W330" s="8">
        <f>IFERROR(U330-V330,0)</f>
        <v/>
      </c>
      <c r="X330" s="9">
        <f>'Jobs-Ops'!AN330</f>
        <v/>
      </c>
      <c r="Y330" s="9">
        <f>'Jobs-GAAP'!AJ330</f>
        <v/>
      </c>
      <c r="Z330" s="9">
        <f>IFERROR(X330-Y330,0)</f>
        <v/>
      </c>
      <c r="AA330" s="153">
        <f>'Jobs-Ops'!AO330</f>
        <v/>
      </c>
      <c r="AB330" s="187" t="n"/>
      <c r="AC330" s="186" t="n"/>
      <c r="AD330" s="186" t="n"/>
      <c r="AE330" s="188" t="n"/>
      <c r="AF330" s="187" t="n"/>
      <c r="AG330" s="187" t="n"/>
      <c r="AH330" s="186" t="n"/>
      <c r="AI330" s="186" t="n"/>
      <c r="AJ330" s="186" t="n"/>
      <c r="AK330" s="186" t="n"/>
      <c r="AL330" s="186" t="n"/>
      <c r="AM330" s="186" t="n"/>
      <c r="AN330" s="186" t="n"/>
      <c r="AO330" s="186" t="n"/>
      <c r="AP330" s="186" t="n"/>
      <c r="AQ330" s="186" t="n"/>
      <c r="AR330" s="186" t="n"/>
      <c r="AS330" s="186" t="n"/>
      <c r="AT330" s="186" t="n"/>
      <c r="AU330" s="186" t="n"/>
      <c r="AV330" s="186" t="n"/>
      <c r="AW330" s="186" t="n"/>
      <c r="AX330" s="186" t="n"/>
      <c r="AY330" s="186" t="n"/>
      <c r="AZ330" s="186" t="n"/>
      <c r="BA330" s="186" t="n"/>
      <c r="BB330" s="186" t="n"/>
      <c r="BC330" s="186" t="n"/>
      <c r="BD330" s="190" t="n"/>
      <c r="BE330" s="186" t="n"/>
      <c r="BF330" s="186" t="n"/>
      <c r="BG330" s="186" t="n"/>
      <c r="BH330" s="186" t="n"/>
      <c r="BI330" s="186" t="n"/>
      <c r="BJ330" s="187" t="n"/>
      <c r="BK330" s="192" t="n"/>
      <c r="BL330" s="192" t="n"/>
      <c r="BM330" s="192" t="n"/>
      <c r="BN330" s="192" t="n"/>
    </row>
    <row r="331">
      <c r="A331" s="289">
        <f> 'Jobs-Ops'!A331</f>
        <v/>
      </c>
      <c r="B331" s="290">
        <f>'Jobs-Ops'!B331</f>
        <v/>
      </c>
      <c r="C331" s="290">
        <f>'Jobs-Ops'!C331</f>
        <v/>
      </c>
      <c r="D331" s="179" t="n"/>
      <c r="E331" s="181">
        <f>'Jobs-Ops'!I331</f>
        <v/>
      </c>
      <c r="F331" s="205">
        <f>'Jobs-Ops'!U331</f>
        <v/>
      </c>
      <c r="G331" s="181">
        <f>'Jobs-GAAP'!J331</f>
        <v/>
      </c>
      <c r="H331" s="205">
        <f>'Jobs-GAAP'!V331</f>
        <v/>
      </c>
      <c r="I331" s="181">
        <f>E331-G331</f>
        <v/>
      </c>
      <c r="J331" s="9">
        <f>'Jobs-Ops'!P331</f>
        <v/>
      </c>
      <c r="K331" s="9">
        <f>'Jobs-GAAP'!Q331</f>
        <v/>
      </c>
      <c r="L331" s="9">
        <f>J331-K331</f>
        <v/>
      </c>
      <c r="M331" s="186" t="n"/>
      <c r="N331" s="9">
        <f>'Jobs-Ops'!Y331</f>
        <v/>
      </c>
      <c r="O331" s="9">
        <f>'Jobs-GAAP'!Y331</f>
        <v/>
      </c>
      <c r="P331" s="9">
        <f>N331-O331</f>
        <v/>
      </c>
      <c r="Q331" s="186" t="n"/>
      <c r="R331" s="11">
        <f>'Jobs-Ops'!AL331</f>
        <v/>
      </c>
      <c r="S331" s="11">
        <f>'Jobs-GAAP'!AH331</f>
        <v/>
      </c>
      <c r="T331" s="11">
        <f>IFERROR(R331-S331,0)</f>
        <v/>
      </c>
      <c r="U331" s="8">
        <f>'Jobs-Ops'!AM331</f>
        <v/>
      </c>
      <c r="V331" s="8">
        <f>'Jobs-GAAP'!AI331</f>
        <v/>
      </c>
      <c r="W331" s="8">
        <f>IFERROR(U331-V331,0)</f>
        <v/>
      </c>
      <c r="X331" s="9">
        <f>'Jobs-Ops'!AN331</f>
        <v/>
      </c>
      <c r="Y331" s="9">
        <f>'Jobs-GAAP'!AJ331</f>
        <v/>
      </c>
      <c r="Z331" s="9">
        <f>IFERROR(X331-Y331,0)</f>
        <v/>
      </c>
      <c r="AA331" s="153">
        <f>'Jobs-Ops'!AO331</f>
        <v/>
      </c>
      <c r="AB331" s="187" t="n"/>
      <c r="AC331" s="186" t="n"/>
      <c r="AD331" s="186" t="n"/>
      <c r="AE331" s="188" t="n"/>
      <c r="AF331" s="187" t="n"/>
      <c r="AG331" s="187" t="n"/>
      <c r="AH331" s="186" t="n"/>
      <c r="AI331" s="186" t="n"/>
      <c r="AJ331" s="186" t="n"/>
      <c r="AK331" s="186" t="n"/>
      <c r="AL331" s="186" t="n"/>
      <c r="AM331" s="186" t="n"/>
      <c r="AN331" s="186" t="n"/>
      <c r="AO331" s="186" t="n"/>
      <c r="AP331" s="186" t="n"/>
      <c r="AQ331" s="186" t="n"/>
      <c r="AR331" s="186" t="n"/>
      <c r="AS331" s="186" t="n"/>
      <c r="AT331" s="186" t="n"/>
      <c r="AU331" s="186" t="n"/>
      <c r="AV331" s="186" t="n"/>
      <c r="AW331" s="186" t="n"/>
      <c r="AX331" s="186" t="n"/>
      <c r="AY331" s="186" t="n"/>
      <c r="AZ331" s="186" t="n"/>
      <c r="BA331" s="186" t="n"/>
      <c r="BB331" s="186" t="n"/>
      <c r="BC331" s="186" t="n"/>
      <c r="BD331" s="190" t="n"/>
      <c r="BE331" s="186" t="n"/>
      <c r="BF331" s="186" t="n"/>
      <c r="BG331" s="186" t="n"/>
      <c r="BH331" s="186" t="n"/>
      <c r="BI331" s="186" t="n"/>
      <c r="BJ331" s="187" t="n"/>
      <c r="BK331" s="192" t="n"/>
      <c r="BL331" s="192" t="n"/>
      <c r="BM331" s="192" t="n"/>
      <c r="BN331" s="192" t="n"/>
    </row>
    <row r="332">
      <c r="A332" s="289">
        <f> 'Jobs-Ops'!A332</f>
        <v/>
      </c>
      <c r="B332" s="290">
        <f>'Jobs-Ops'!B332</f>
        <v/>
      </c>
      <c r="C332" s="290">
        <f>'Jobs-Ops'!C332</f>
        <v/>
      </c>
      <c r="D332" s="179" t="n"/>
      <c r="E332" s="181">
        <f>'Jobs-Ops'!I332</f>
        <v/>
      </c>
      <c r="F332" s="205">
        <f>'Jobs-Ops'!U332</f>
        <v/>
      </c>
      <c r="G332" s="181">
        <f>'Jobs-GAAP'!J332</f>
        <v/>
      </c>
      <c r="H332" s="205">
        <f>'Jobs-GAAP'!V332</f>
        <v/>
      </c>
      <c r="I332" s="181">
        <f>E332-G332</f>
        <v/>
      </c>
      <c r="J332" s="9">
        <f>'Jobs-Ops'!P332</f>
        <v/>
      </c>
      <c r="K332" s="9">
        <f>'Jobs-GAAP'!Q332</f>
        <v/>
      </c>
      <c r="L332" s="9">
        <f>J332-K332</f>
        <v/>
      </c>
      <c r="M332" s="186" t="n"/>
      <c r="N332" s="9">
        <f>'Jobs-Ops'!Y332</f>
        <v/>
      </c>
      <c r="O332" s="9">
        <f>'Jobs-GAAP'!Y332</f>
        <v/>
      </c>
      <c r="P332" s="9">
        <f>N332-O332</f>
        <v/>
      </c>
      <c r="Q332" s="186" t="n"/>
      <c r="R332" s="11">
        <f>'Jobs-Ops'!AL332</f>
        <v/>
      </c>
      <c r="S332" s="11">
        <f>'Jobs-GAAP'!AH332</f>
        <v/>
      </c>
      <c r="T332" s="11">
        <f>IFERROR(R332-S332,0)</f>
        <v/>
      </c>
      <c r="U332" s="8">
        <f>'Jobs-Ops'!AM332</f>
        <v/>
      </c>
      <c r="V332" s="8">
        <f>'Jobs-GAAP'!AI332</f>
        <v/>
      </c>
      <c r="W332" s="8">
        <f>IFERROR(U332-V332,0)</f>
        <v/>
      </c>
      <c r="X332" s="9">
        <f>'Jobs-Ops'!AN332</f>
        <v/>
      </c>
      <c r="Y332" s="9">
        <f>'Jobs-GAAP'!AJ332</f>
        <v/>
      </c>
      <c r="Z332" s="9">
        <f>IFERROR(X332-Y332,0)</f>
        <v/>
      </c>
      <c r="AA332" s="153">
        <f>'Jobs-Ops'!AO332</f>
        <v/>
      </c>
      <c r="AB332" s="187" t="n"/>
      <c r="AC332" s="186" t="n"/>
      <c r="AD332" s="186" t="n"/>
      <c r="AE332" s="188" t="n"/>
      <c r="AF332" s="187" t="n"/>
      <c r="AG332" s="187" t="n"/>
      <c r="AH332" s="186" t="n"/>
      <c r="AI332" s="186" t="n"/>
      <c r="AJ332" s="186" t="n"/>
      <c r="AK332" s="186" t="n"/>
      <c r="AL332" s="186" t="n"/>
      <c r="AM332" s="186" t="n"/>
      <c r="AN332" s="186" t="n"/>
      <c r="AO332" s="186" t="n"/>
      <c r="AP332" s="186" t="n"/>
      <c r="AQ332" s="186" t="n"/>
      <c r="AR332" s="186" t="n"/>
      <c r="AS332" s="186" t="n"/>
      <c r="AT332" s="186" t="n"/>
      <c r="AU332" s="186" t="n"/>
      <c r="AV332" s="186" t="n"/>
      <c r="AW332" s="186" t="n"/>
      <c r="AX332" s="186" t="n"/>
      <c r="AY332" s="186" t="n"/>
      <c r="AZ332" s="186" t="n"/>
      <c r="BA332" s="186" t="n"/>
      <c r="BB332" s="186" t="n"/>
      <c r="BC332" s="186" t="n"/>
      <c r="BD332" s="190" t="n"/>
      <c r="BE332" s="186" t="n"/>
      <c r="BF332" s="186" t="n"/>
      <c r="BG332" s="186" t="n"/>
      <c r="BH332" s="186" t="n"/>
      <c r="BI332" s="186" t="n"/>
      <c r="BJ332" s="187" t="n"/>
      <c r="BK332" s="192" t="n"/>
      <c r="BL332" s="192" t="n"/>
      <c r="BM332" s="192" t="n"/>
      <c r="BN332" s="192" t="n"/>
    </row>
    <row r="333">
      <c r="A333" s="289">
        <f> 'Jobs-Ops'!A333</f>
        <v/>
      </c>
      <c r="B333" s="290">
        <f>'Jobs-Ops'!B333</f>
        <v/>
      </c>
      <c r="C333" s="290">
        <f>'Jobs-Ops'!C333</f>
        <v/>
      </c>
      <c r="D333" s="179" t="n"/>
      <c r="E333" s="181">
        <f>'Jobs-Ops'!I333</f>
        <v/>
      </c>
      <c r="F333" s="205">
        <f>'Jobs-Ops'!U333</f>
        <v/>
      </c>
      <c r="G333" s="181">
        <f>'Jobs-GAAP'!J333</f>
        <v/>
      </c>
      <c r="H333" s="205">
        <f>'Jobs-GAAP'!V333</f>
        <v/>
      </c>
      <c r="I333" s="181">
        <f>E333-G333</f>
        <v/>
      </c>
      <c r="J333" s="9">
        <f>'Jobs-Ops'!P333</f>
        <v/>
      </c>
      <c r="K333" s="9">
        <f>'Jobs-GAAP'!Q333</f>
        <v/>
      </c>
      <c r="L333" s="9">
        <f>J333-K333</f>
        <v/>
      </c>
      <c r="M333" s="186" t="n"/>
      <c r="N333" s="9">
        <f>'Jobs-Ops'!Y333</f>
        <v/>
      </c>
      <c r="O333" s="9">
        <f>'Jobs-GAAP'!Y333</f>
        <v/>
      </c>
      <c r="P333" s="9">
        <f>N333-O333</f>
        <v/>
      </c>
      <c r="Q333" s="186" t="n"/>
      <c r="R333" s="11">
        <f>'Jobs-Ops'!AL333</f>
        <v/>
      </c>
      <c r="S333" s="11">
        <f>'Jobs-GAAP'!AH333</f>
        <v/>
      </c>
      <c r="T333" s="11">
        <f>IFERROR(R333-S333,0)</f>
        <v/>
      </c>
      <c r="U333" s="8">
        <f>'Jobs-Ops'!AM333</f>
        <v/>
      </c>
      <c r="V333" s="8">
        <f>'Jobs-GAAP'!AI333</f>
        <v/>
      </c>
      <c r="W333" s="8">
        <f>IFERROR(U333-V333,0)</f>
        <v/>
      </c>
      <c r="X333" s="9">
        <f>'Jobs-Ops'!AN333</f>
        <v/>
      </c>
      <c r="Y333" s="9">
        <f>'Jobs-GAAP'!AJ333</f>
        <v/>
      </c>
      <c r="Z333" s="9">
        <f>IFERROR(X333-Y333,0)</f>
        <v/>
      </c>
      <c r="AA333" s="153">
        <f>'Jobs-Ops'!AO333</f>
        <v/>
      </c>
      <c r="AB333" s="187" t="n"/>
      <c r="AC333" s="186" t="n"/>
      <c r="AD333" s="186" t="n"/>
      <c r="AE333" s="188" t="n"/>
      <c r="AF333" s="187" t="n"/>
      <c r="AG333" s="187" t="n"/>
      <c r="AH333" s="186" t="n"/>
      <c r="AI333" s="186" t="n"/>
      <c r="AJ333" s="186" t="n"/>
      <c r="AK333" s="186" t="n"/>
      <c r="AL333" s="186" t="n"/>
      <c r="AM333" s="186" t="n"/>
      <c r="AN333" s="186" t="n"/>
      <c r="AO333" s="186" t="n"/>
      <c r="AP333" s="186" t="n"/>
      <c r="AQ333" s="186" t="n"/>
      <c r="AR333" s="186" t="n"/>
      <c r="AS333" s="186" t="n"/>
      <c r="AT333" s="186" t="n"/>
      <c r="AU333" s="186" t="n"/>
      <c r="AV333" s="186" t="n"/>
      <c r="AW333" s="186" t="n"/>
      <c r="AX333" s="186" t="n"/>
      <c r="AY333" s="186" t="n"/>
      <c r="AZ333" s="186" t="n"/>
      <c r="BA333" s="186" t="n"/>
      <c r="BB333" s="186" t="n"/>
      <c r="BC333" s="186" t="n"/>
      <c r="BD333" s="190" t="n"/>
      <c r="BE333" s="186" t="n"/>
      <c r="BF333" s="186" t="n"/>
      <c r="BG333" s="186" t="n"/>
      <c r="BH333" s="186" t="n"/>
      <c r="BI333" s="186" t="n"/>
      <c r="BJ333" s="187" t="n"/>
      <c r="BK333" s="192" t="n"/>
      <c r="BL333" s="192" t="n"/>
      <c r="BM333" s="192" t="n"/>
      <c r="BN333" s="192" t="n"/>
    </row>
    <row r="334">
      <c r="A334" s="289">
        <f> 'Jobs-Ops'!A334</f>
        <v/>
      </c>
      <c r="B334" s="290">
        <f>'Jobs-Ops'!B334</f>
        <v/>
      </c>
      <c r="C334" s="290">
        <f>'Jobs-Ops'!C334</f>
        <v/>
      </c>
      <c r="D334" s="179" t="n"/>
      <c r="E334" s="181">
        <f>'Jobs-Ops'!I334</f>
        <v/>
      </c>
      <c r="F334" s="205">
        <f>'Jobs-Ops'!U334</f>
        <v/>
      </c>
      <c r="G334" s="181">
        <f>'Jobs-GAAP'!J334</f>
        <v/>
      </c>
      <c r="H334" s="205">
        <f>'Jobs-GAAP'!V334</f>
        <v/>
      </c>
      <c r="I334" s="181">
        <f>E334-G334</f>
        <v/>
      </c>
      <c r="J334" s="9">
        <f>'Jobs-Ops'!P334</f>
        <v/>
      </c>
      <c r="K334" s="9">
        <f>'Jobs-GAAP'!Q334</f>
        <v/>
      </c>
      <c r="L334" s="9">
        <f>J334-K334</f>
        <v/>
      </c>
      <c r="M334" s="186" t="n"/>
      <c r="N334" s="9">
        <f>'Jobs-Ops'!Y334</f>
        <v/>
      </c>
      <c r="O334" s="9">
        <f>'Jobs-GAAP'!Y334</f>
        <v/>
      </c>
      <c r="P334" s="9">
        <f>N334-O334</f>
        <v/>
      </c>
      <c r="Q334" s="186" t="n"/>
      <c r="R334" s="11">
        <f>'Jobs-Ops'!AL334</f>
        <v/>
      </c>
      <c r="S334" s="11">
        <f>'Jobs-GAAP'!AH334</f>
        <v/>
      </c>
      <c r="T334" s="11">
        <f>IFERROR(R334-S334,0)</f>
        <v/>
      </c>
      <c r="U334" s="8">
        <f>'Jobs-Ops'!AM334</f>
        <v/>
      </c>
      <c r="V334" s="8">
        <f>'Jobs-GAAP'!AI334</f>
        <v/>
      </c>
      <c r="W334" s="8">
        <f>IFERROR(U334-V334,0)</f>
        <v/>
      </c>
      <c r="X334" s="9">
        <f>'Jobs-Ops'!AN334</f>
        <v/>
      </c>
      <c r="Y334" s="9">
        <f>'Jobs-GAAP'!AJ334</f>
        <v/>
      </c>
      <c r="Z334" s="9">
        <f>IFERROR(X334-Y334,0)</f>
        <v/>
      </c>
      <c r="AA334" s="153">
        <f>'Jobs-Ops'!AO334</f>
        <v/>
      </c>
      <c r="AB334" s="187" t="n"/>
      <c r="AC334" s="186" t="n"/>
      <c r="AD334" s="186" t="n"/>
      <c r="AE334" s="188" t="n"/>
      <c r="AF334" s="187" t="n"/>
      <c r="AG334" s="187" t="n"/>
      <c r="AH334" s="186" t="n"/>
      <c r="AI334" s="186" t="n"/>
      <c r="AJ334" s="186" t="n"/>
      <c r="AK334" s="186" t="n"/>
      <c r="AL334" s="186" t="n"/>
      <c r="AM334" s="186" t="n"/>
      <c r="AN334" s="186" t="n"/>
      <c r="AO334" s="186" t="n"/>
      <c r="AP334" s="186" t="n"/>
      <c r="AQ334" s="186" t="n"/>
      <c r="AR334" s="186" t="n"/>
      <c r="AS334" s="186" t="n"/>
      <c r="AT334" s="186" t="n"/>
      <c r="AU334" s="186" t="n"/>
      <c r="AV334" s="186" t="n"/>
      <c r="AW334" s="186" t="n"/>
      <c r="AX334" s="186" t="n"/>
      <c r="AY334" s="186" t="n"/>
      <c r="AZ334" s="186" t="n"/>
      <c r="BA334" s="186" t="n"/>
      <c r="BB334" s="186" t="n"/>
      <c r="BC334" s="186" t="n"/>
      <c r="BD334" s="190" t="n"/>
      <c r="BE334" s="186" t="n"/>
      <c r="BF334" s="186" t="n"/>
      <c r="BG334" s="186" t="n"/>
      <c r="BH334" s="186" t="n"/>
      <c r="BI334" s="186" t="n"/>
      <c r="BJ334" s="187" t="n"/>
      <c r="BK334" s="192" t="n"/>
      <c r="BL334" s="192" t="n"/>
      <c r="BM334" s="192" t="n"/>
      <c r="BN334" s="192" t="n"/>
    </row>
    <row r="335">
      <c r="A335" s="289">
        <f> 'Jobs-Ops'!A335</f>
        <v/>
      </c>
      <c r="B335" s="290">
        <f>'Jobs-Ops'!B335</f>
        <v/>
      </c>
      <c r="C335" s="290">
        <f>'Jobs-Ops'!C335</f>
        <v/>
      </c>
      <c r="D335" s="179" t="n"/>
      <c r="E335" s="181">
        <f>'Jobs-Ops'!I335</f>
        <v/>
      </c>
      <c r="F335" s="205">
        <f>'Jobs-Ops'!U335</f>
        <v/>
      </c>
      <c r="G335" s="181">
        <f>'Jobs-GAAP'!J335</f>
        <v/>
      </c>
      <c r="H335" s="205">
        <f>'Jobs-GAAP'!V335</f>
        <v/>
      </c>
      <c r="I335" s="181">
        <f>E335-G335</f>
        <v/>
      </c>
      <c r="J335" s="9">
        <f>'Jobs-Ops'!P335</f>
        <v/>
      </c>
      <c r="K335" s="9">
        <f>'Jobs-GAAP'!Q335</f>
        <v/>
      </c>
      <c r="L335" s="9">
        <f>J335-K335</f>
        <v/>
      </c>
      <c r="M335" s="186" t="n"/>
      <c r="N335" s="9">
        <f>'Jobs-Ops'!Y335</f>
        <v/>
      </c>
      <c r="O335" s="9">
        <f>'Jobs-GAAP'!Y335</f>
        <v/>
      </c>
      <c r="P335" s="9">
        <f>N335-O335</f>
        <v/>
      </c>
      <c r="Q335" s="186" t="n"/>
      <c r="R335" s="11">
        <f>'Jobs-Ops'!AL335</f>
        <v/>
      </c>
      <c r="S335" s="11">
        <f>'Jobs-GAAP'!AH335</f>
        <v/>
      </c>
      <c r="T335" s="11">
        <f>IFERROR(R335-S335,0)</f>
        <v/>
      </c>
      <c r="U335" s="8">
        <f>'Jobs-Ops'!AM335</f>
        <v/>
      </c>
      <c r="V335" s="8">
        <f>'Jobs-GAAP'!AI335</f>
        <v/>
      </c>
      <c r="W335" s="8">
        <f>IFERROR(U335-V335,0)</f>
        <v/>
      </c>
      <c r="X335" s="9">
        <f>'Jobs-Ops'!AN335</f>
        <v/>
      </c>
      <c r="Y335" s="9">
        <f>'Jobs-GAAP'!AJ335</f>
        <v/>
      </c>
      <c r="Z335" s="9">
        <f>IFERROR(X335-Y335,0)</f>
        <v/>
      </c>
      <c r="AA335" s="153">
        <f>'Jobs-Ops'!AO335</f>
        <v/>
      </c>
      <c r="AB335" s="187" t="n"/>
      <c r="AC335" s="186" t="n"/>
      <c r="AD335" s="186" t="n"/>
      <c r="AE335" s="188" t="n"/>
      <c r="AF335" s="187" t="n"/>
      <c r="AG335" s="187" t="n"/>
      <c r="AH335" s="186" t="n"/>
      <c r="AI335" s="186" t="n"/>
      <c r="AJ335" s="186" t="n"/>
      <c r="AK335" s="186" t="n"/>
      <c r="AL335" s="186" t="n"/>
      <c r="AM335" s="186" t="n"/>
      <c r="AN335" s="186" t="n"/>
      <c r="AO335" s="186" t="n"/>
      <c r="AP335" s="186" t="n"/>
      <c r="AQ335" s="186" t="n"/>
      <c r="AR335" s="186" t="n"/>
      <c r="AS335" s="186" t="n"/>
      <c r="AT335" s="186" t="n"/>
      <c r="AU335" s="186" t="n"/>
      <c r="AV335" s="186" t="n"/>
      <c r="AW335" s="186" t="n"/>
      <c r="AX335" s="186" t="n"/>
      <c r="AY335" s="186" t="n"/>
      <c r="AZ335" s="186" t="n"/>
      <c r="BA335" s="186" t="n"/>
      <c r="BB335" s="186" t="n"/>
      <c r="BC335" s="186" t="n"/>
      <c r="BD335" s="190" t="n"/>
      <c r="BE335" s="186" t="n"/>
      <c r="BF335" s="186" t="n"/>
      <c r="BG335" s="186" t="n"/>
      <c r="BH335" s="186" t="n"/>
      <c r="BI335" s="186" t="n"/>
      <c r="BJ335" s="187" t="n"/>
      <c r="BK335" s="192" t="n"/>
      <c r="BL335" s="192" t="n"/>
      <c r="BM335" s="192" t="n"/>
      <c r="BN335" s="192" t="n"/>
    </row>
    <row r="336">
      <c r="A336" s="289">
        <f> 'Jobs-Ops'!A336</f>
        <v/>
      </c>
      <c r="B336" s="290">
        <f>'Jobs-Ops'!B336</f>
        <v/>
      </c>
      <c r="C336" s="290">
        <f>'Jobs-Ops'!C336</f>
        <v/>
      </c>
      <c r="D336" s="179" t="n"/>
      <c r="E336" s="181">
        <f>'Jobs-Ops'!I336</f>
        <v/>
      </c>
      <c r="F336" s="205">
        <f>'Jobs-Ops'!U336</f>
        <v/>
      </c>
      <c r="G336" s="181">
        <f>'Jobs-GAAP'!J336</f>
        <v/>
      </c>
      <c r="H336" s="205">
        <f>'Jobs-GAAP'!V336</f>
        <v/>
      </c>
      <c r="I336" s="181">
        <f>E336-G336</f>
        <v/>
      </c>
      <c r="J336" s="9">
        <f>'Jobs-Ops'!P336</f>
        <v/>
      </c>
      <c r="K336" s="9">
        <f>'Jobs-GAAP'!Q336</f>
        <v/>
      </c>
      <c r="L336" s="9">
        <f>J336-K336</f>
        <v/>
      </c>
      <c r="M336" s="186" t="n"/>
      <c r="N336" s="9">
        <f>'Jobs-Ops'!Y336</f>
        <v/>
      </c>
      <c r="O336" s="9">
        <f>'Jobs-GAAP'!Y336</f>
        <v/>
      </c>
      <c r="P336" s="9">
        <f>N336-O336</f>
        <v/>
      </c>
      <c r="Q336" s="186" t="n"/>
      <c r="R336" s="11">
        <f>'Jobs-Ops'!AL336</f>
        <v/>
      </c>
      <c r="S336" s="11">
        <f>'Jobs-GAAP'!AH336</f>
        <v/>
      </c>
      <c r="T336" s="11">
        <f>IFERROR(R336-S336,0)</f>
        <v/>
      </c>
      <c r="U336" s="8">
        <f>'Jobs-Ops'!AM336</f>
        <v/>
      </c>
      <c r="V336" s="8">
        <f>'Jobs-GAAP'!AI336</f>
        <v/>
      </c>
      <c r="W336" s="8">
        <f>IFERROR(U336-V336,0)</f>
        <v/>
      </c>
      <c r="X336" s="9">
        <f>'Jobs-Ops'!AN336</f>
        <v/>
      </c>
      <c r="Y336" s="9">
        <f>'Jobs-GAAP'!AJ336</f>
        <v/>
      </c>
      <c r="Z336" s="9">
        <f>IFERROR(X336-Y336,0)</f>
        <v/>
      </c>
      <c r="AA336" s="153">
        <f>'Jobs-Ops'!AO336</f>
        <v/>
      </c>
      <c r="AB336" s="187" t="n"/>
      <c r="AC336" s="186" t="n"/>
      <c r="AD336" s="186" t="n"/>
      <c r="AE336" s="188" t="n"/>
      <c r="AF336" s="187" t="n"/>
      <c r="AG336" s="187" t="n"/>
      <c r="AH336" s="186" t="n"/>
      <c r="AI336" s="186" t="n"/>
      <c r="AJ336" s="186" t="n"/>
      <c r="AK336" s="186" t="n"/>
      <c r="AL336" s="186" t="n"/>
      <c r="AM336" s="186" t="n"/>
      <c r="AN336" s="186" t="n"/>
      <c r="AO336" s="186" t="n"/>
      <c r="AP336" s="186" t="n"/>
      <c r="AQ336" s="186" t="n"/>
      <c r="AR336" s="186" t="n"/>
      <c r="AS336" s="186" t="n"/>
      <c r="AT336" s="186" t="n"/>
      <c r="AU336" s="186" t="n"/>
      <c r="AV336" s="186" t="n"/>
      <c r="AW336" s="186" t="n"/>
      <c r="AX336" s="186" t="n"/>
      <c r="AY336" s="186" t="n"/>
      <c r="AZ336" s="186" t="n"/>
      <c r="BA336" s="186" t="n"/>
      <c r="BB336" s="186" t="n"/>
      <c r="BC336" s="186" t="n"/>
      <c r="BD336" s="190" t="n"/>
      <c r="BE336" s="186" t="n"/>
      <c r="BF336" s="186" t="n"/>
      <c r="BG336" s="186" t="n"/>
      <c r="BH336" s="186" t="n"/>
      <c r="BI336" s="186" t="n"/>
      <c r="BJ336" s="187" t="n"/>
      <c r="BK336" s="192" t="n"/>
      <c r="BL336" s="192" t="n"/>
      <c r="BM336" s="192" t="n"/>
      <c r="BN336" s="192" t="n"/>
    </row>
    <row r="337">
      <c r="A337" s="289">
        <f> 'Jobs-Ops'!A337</f>
        <v/>
      </c>
      <c r="B337" s="290">
        <f>'Jobs-Ops'!B337</f>
        <v/>
      </c>
      <c r="C337" s="290">
        <f>'Jobs-Ops'!C337</f>
        <v/>
      </c>
      <c r="D337" s="179" t="n"/>
      <c r="E337" s="181">
        <f>'Jobs-Ops'!I337</f>
        <v/>
      </c>
      <c r="F337" s="205">
        <f>'Jobs-Ops'!U337</f>
        <v/>
      </c>
      <c r="G337" s="181">
        <f>'Jobs-GAAP'!J337</f>
        <v/>
      </c>
      <c r="H337" s="205">
        <f>'Jobs-GAAP'!V337</f>
        <v/>
      </c>
      <c r="I337" s="181">
        <f>E337-G337</f>
        <v/>
      </c>
      <c r="J337" s="9">
        <f>'Jobs-Ops'!P337</f>
        <v/>
      </c>
      <c r="K337" s="9">
        <f>'Jobs-GAAP'!Q337</f>
        <v/>
      </c>
      <c r="L337" s="9">
        <f>J337-K337</f>
        <v/>
      </c>
      <c r="M337" s="186" t="n"/>
      <c r="N337" s="9">
        <f>'Jobs-Ops'!Y337</f>
        <v/>
      </c>
      <c r="O337" s="9">
        <f>'Jobs-GAAP'!Y337</f>
        <v/>
      </c>
      <c r="P337" s="9">
        <f>N337-O337</f>
        <v/>
      </c>
      <c r="Q337" s="186" t="n"/>
      <c r="R337" s="11">
        <f>'Jobs-Ops'!AL337</f>
        <v/>
      </c>
      <c r="S337" s="11">
        <f>'Jobs-GAAP'!AH337</f>
        <v/>
      </c>
      <c r="T337" s="11">
        <f>IFERROR(R337-S337,0)</f>
        <v/>
      </c>
      <c r="U337" s="8">
        <f>'Jobs-Ops'!AM337</f>
        <v/>
      </c>
      <c r="V337" s="8">
        <f>'Jobs-GAAP'!AI337</f>
        <v/>
      </c>
      <c r="W337" s="8">
        <f>IFERROR(U337-V337,0)</f>
        <v/>
      </c>
      <c r="X337" s="9">
        <f>'Jobs-Ops'!AN337</f>
        <v/>
      </c>
      <c r="Y337" s="9">
        <f>'Jobs-GAAP'!AJ337</f>
        <v/>
      </c>
      <c r="Z337" s="9">
        <f>IFERROR(X337-Y337,0)</f>
        <v/>
      </c>
      <c r="AA337" s="153">
        <f>'Jobs-Ops'!AO337</f>
        <v/>
      </c>
      <c r="AB337" s="187" t="n"/>
      <c r="AC337" s="186" t="n"/>
      <c r="AD337" s="186" t="n"/>
      <c r="AE337" s="188" t="n"/>
      <c r="AF337" s="187" t="n"/>
      <c r="AG337" s="187" t="n"/>
      <c r="AH337" s="186" t="n"/>
      <c r="AI337" s="186" t="n"/>
      <c r="AJ337" s="186" t="n"/>
      <c r="AK337" s="186" t="n"/>
      <c r="AL337" s="186" t="n"/>
      <c r="AM337" s="186" t="n"/>
      <c r="AN337" s="186" t="n"/>
      <c r="AO337" s="186" t="n"/>
      <c r="AP337" s="186" t="n"/>
      <c r="AQ337" s="186" t="n"/>
      <c r="AR337" s="186" t="n"/>
      <c r="AS337" s="186" t="n"/>
      <c r="AT337" s="186" t="n"/>
      <c r="AU337" s="186" t="n"/>
      <c r="AV337" s="186" t="n"/>
      <c r="AW337" s="186" t="n"/>
      <c r="AX337" s="186" t="n"/>
      <c r="AY337" s="186" t="n"/>
      <c r="AZ337" s="186" t="n"/>
      <c r="BA337" s="186" t="n"/>
      <c r="BB337" s="186" t="n"/>
      <c r="BC337" s="186" t="n"/>
      <c r="BD337" s="190" t="n"/>
      <c r="BE337" s="186" t="n"/>
      <c r="BF337" s="186" t="n"/>
      <c r="BG337" s="186" t="n"/>
      <c r="BH337" s="186" t="n"/>
      <c r="BI337" s="186" t="n"/>
      <c r="BJ337" s="187" t="n"/>
      <c r="BK337" s="192" t="n"/>
      <c r="BL337" s="192" t="n"/>
      <c r="BM337" s="192" t="n"/>
      <c r="BN337" s="192" t="n"/>
    </row>
    <row r="338">
      <c r="A338" s="289">
        <f> 'Jobs-Ops'!A338</f>
        <v/>
      </c>
      <c r="B338" s="290">
        <f>'Jobs-Ops'!B338</f>
        <v/>
      </c>
      <c r="C338" s="290">
        <f>'Jobs-Ops'!C338</f>
        <v/>
      </c>
      <c r="D338" s="179" t="n"/>
      <c r="E338" s="181">
        <f>'Jobs-Ops'!I338</f>
        <v/>
      </c>
      <c r="F338" s="205">
        <f>'Jobs-Ops'!U338</f>
        <v/>
      </c>
      <c r="G338" s="181">
        <f>'Jobs-GAAP'!J338</f>
        <v/>
      </c>
      <c r="H338" s="205">
        <f>'Jobs-GAAP'!V338</f>
        <v/>
      </c>
      <c r="I338" s="181">
        <f>E338-G338</f>
        <v/>
      </c>
      <c r="J338" s="9">
        <f>'Jobs-Ops'!P338</f>
        <v/>
      </c>
      <c r="K338" s="9">
        <f>'Jobs-GAAP'!Q338</f>
        <v/>
      </c>
      <c r="L338" s="9">
        <f>J338-K338</f>
        <v/>
      </c>
      <c r="M338" s="186" t="n"/>
      <c r="N338" s="9">
        <f>'Jobs-Ops'!Y338</f>
        <v/>
      </c>
      <c r="O338" s="9">
        <f>'Jobs-GAAP'!Y338</f>
        <v/>
      </c>
      <c r="P338" s="9">
        <f>N338-O338</f>
        <v/>
      </c>
      <c r="Q338" s="186" t="n"/>
      <c r="R338" s="11">
        <f>'Jobs-Ops'!AL338</f>
        <v/>
      </c>
      <c r="S338" s="11">
        <f>'Jobs-GAAP'!AH338</f>
        <v/>
      </c>
      <c r="T338" s="11">
        <f>IFERROR(R338-S338,0)</f>
        <v/>
      </c>
      <c r="U338" s="8">
        <f>'Jobs-Ops'!AM338</f>
        <v/>
      </c>
      <c r="V338" s="8">
        <f>'Jobs-GAAP'!AI338</f>
        <v/>
      </c>
      <c r="W338" s="8">
        <f>IFERROR(U338-V338,0)</f>
        <v/>
      </c>
      <c r="X338" s="9">
        <f>'Jobs-Ops'!AN338</f>
        <v/>
      </c>
      <c r="Y338" s="9">
        <f>'Jobs-GAAP'!AJ338</f>
        <v/>
      </c>
      <c r="Z338" s="9">
        <f>IFERROR(X338-Y338,0)</f>
        <v/>
      </c>
      <c r="AA338" s="153">
        <f>'Jobs-Ops'!AO338</f>
        <v/>
      </c>
      <c r="AB338" s="187" t="n"/>
      <c r="AC338" s="186" t="n"/>
      <c r="AD338" s="186" t="n"/>
      <c r="AE338" s="188" t="n"/>
      <c r="AF338" s="187" t="n"/>
      <c r="AG338" s="187" t="n"/>
      <c r="AH338" s="186" t="n"/>
      <c r="AI338" s="186" t="n"/>
      <c r="AJ338" s="186" t="n"/>
      <c r="AK338" s="186" t="n"/>
      <c r="AL338" s="186" t="n"/>
      <c r="AM338" s="186" t="n"/>
      <c r="AN338" s="186" t="n"/>
      <c r="AO338" s="186" t="n"/>
      <c r="AP338" s="186" t="n"/>
      <c r="AQ338" s="186" t="n"/>
      <c r="AR338" s="186" t="n"/>
      <c r="AS338" s="186" t="n"/>
      <c r="AT338" s="186" t="n"/>
      <c r="AU338" s="186" t="n"/>
      <c r="AV338" s="186" t="n"/>
      <c r="AW338" s="186" t="n"/>
      <c r="AX338" s="186" t="n"/>
      <c r="AY338" s="186" t="n"/>
      <c r="AZ338" s="186" t="n"/>
      <c r="BA338" s="186" t="n"/>
      <c r="BB338" s="186" t="n"/>
      <c r="BC338" s="186" t="n"/>
      <c r="BD338" s="190" t="n"/>
      <c r="BE338" s="186" t="n"/>
      <c r="BF338" s="186" t="n"/>
      <c r="BG338" s="186" t="n"/>
      <c r="BH338" s="186" t="n"/>
      <c r="BI338" s="186" t="n"/>
      <c r="BJ338" s="187" t="n"/>
      <c r="BK338" s="192" t="n"/>
      <c r="BL338" s="192" t="n"/>
      <c r="BM338" s="192" t="n"/>
      <c r="BN338" s="192" t="n"/>
    </row>
    <row r="339">
      <c r="A339" s="289">
        <f> 'Jobs-Ops'!A339</f>
        <v/>
      </c>
      <c r="B339" s="290">
        <f>'Jobs-Ops'!B339</f>
        <v/>
      </c>
      <c r="C339" s="290">
        <f>'Jobs-Ops'!C339</f>
        <v/>
      </c>
      <c r="D339" s="179" t="n"/>
      <c r="E339" s="181">
        <f>'Jobs-Ops'!I339</f>
        <v/>
      </c>
      <c r="F339" s="205">
        <f>'Jobs-Ops'!U339</f>
        <v/>
      </c>
      <c r="G339" s="181">
        <f>'Jobs-GAAP'!J339</f>
        <v/>
      </c>
      <c r="H339" s="205">
        <f>'Jobs-GAAP'!V339</f>
        <v/>
      </c>
      <c r="I339" s="181">
        <f>E339-G339</f>
        <v/>
      </c>
      <c r="J339" s="9">
        <f>'Jobs-Ops'!P339</f>
        <v/>
      </c>
      <c r="K339" s="9">
        <f>'Jobs-GAAP'!Q339</f>
        <v/>
      </c>
      <c r="L339" s="9">
        <f>J339-K339</f>
        <v/>
      </c>
      <c r="M339" s="186" t="n"/>
      <c r="N339" s="9">
        <f>'Jobs-Ops'!Y339</f>
        <v/>
      </c>
      <c r="O339" s="9">
        <f>'Jobs-GAAP'!Y339</f>
        <v/>
      </c>
      <c r="P339" s="9">
        <f>N339-O339</f>
        <v/>
      </c>
      <c r="Q339" s="186" t="n"/>
      <c r="R339" s="11">
        <f>'Jobs-Ops'!AL339</f>
        <v/>
      </c>
      <c r="S339" s="11">
        <f>'Jobs-GAAP'!AH339</f>
        <v/>
      </c>
      <c r="T339" s="11">
        <f>IFERROR(R339-S339,0)</f>
        <v/>
      </c>
      <c r="U339" s="8">
        <f>'Jobs-Ops'!AM339</f>
        <v/>
      </c>
      <c r="V339" s="8">
        <f>'Jobs-GAAP'!AI339</f>
        <v/>
      </c>
      <c r="W339" s="8">
        <f>IFERROR(U339-V339,0)</f>
        <v/>
      </c>
      <c r="X339" s="9">
        <f>'Jobs-Ops'!AN339</f>
        <v/>
      </c>
      <c r="Y339" s="9">
        <f>'Jobs-GAAP'!AJ339</f>
        <v/>
      </c>
      <c r="Z339" s="9">
        <f>IFERROR(X339-Y339,0)</f>
        <v/>
      </c>
      <c r="AA339" s="153">
        <f>'Jobs-Ops'!AO339</f>
        <v/>
      </c>
      <c r="AB339" s="187" t="n"/>
      <c r="AC339" s="186" t="n"/>
      <c r="AD339" s="186" t="n"/>
      <c r="AE339" s="188" t="n"/>
      <c r="AF339" s="187" t="n"/>
      <c r="AG339" s="187" t="n"/>
      <c r="AH339" s="186" t="n"/>
      <c r="AI339" s="186" t="n"/>
      <c r="AJ339" s="186" t="n"/>
      <c r="AK339" s="186" t="n"/>
      <c r="AL339" s="186" t="n"/>
      <c r="AM339" s="186" t="n"/>
      <c r="AN339" s="186" t="n"/>
      <c r="AO339" s="186" t="n"/>
      <c r="AP339" s="186" t="n"/>
      <c r="AQ339" s="186" t="n"/>
      <c r="AR339" s="186" t="n"/>
      <c r="AS339" s="186" t="n"/>
      <c r="AT339" s="186" t="n"/>
      <c r="AU339" s="186" t="n"/>
      <c r="AV339" s="186" t="n"/>
      <c r="AW339" s="186" t="n"/>
      <c r="AX339" s="186" t="n"/>
      <c r="AY339" s="186" t="n"/>
      <c r="AZ339" s="186" t="n"/>
      <c r="BA339" s="186" t="n"/>
      <c r="BB339" s="186" t="n"/>
      <c r="BC339" s="186" t="n"/>
      <c r="BD339" s="190" t="n"/>
      <c r="BE339" s="186" t="n"/>
      <c r="BF339" s="186" t="n"/>
      <c r="BG339" s="186" t="n"/>
      <c r="BH339" s="186" t="n"/>
      <c r="BI339" s="186" t="n"/>
      <c r="BJ339" s="187" t="n"/>
      <c r="BK339" s="192" t="n"/>
      <c r="BL339" s="192" t="n"/>
      <c r="BM339" s="192" t="n"/>
      <c r="BN339" s="192" t="n"/>
    </row>
    <row r="340">
      <c r="A340" s="289">
        <f> 'Jobs-Ops'!A340</f>
        <v/>
      </c>
      <c r="B340" s="291">
        <f>'Jobs-Ops'!B340</f>
        <v/>
      </c>
      <c r="C340" s="290">
        <f>'Jobs-Ops'!C340</f>
        <v/>
      </c>
      <c r="D340" s="179" t="n"/>
      <c r="E340" s="181">
        <f>'Jobs-Ops'!I340</f>
        <v/>
      </c>
      <c r="F340" s="205">
        <f>'Jobs-Ops'!U340</f>
        <v/>
      </c>
      <c r="G340" s="181">
        <f>'Jobs-GAAP'!J340</f>
        <v/>
      </c>
      <c r="H340" s="205">
        <f>'Jobs-GAAP'!V340</f>
        <v/>
      </c>
      <c r="I340" s="181">
        <f>E340-G340</f>
        <v/>
      </c>
      <c r="J340" s="9">
        <f>'Jobs-Ops'!P340</f>
        <v/>
      </c>
      <c r="K340" s="9">
        <f>'Jobs-GAAP'!Q340</f>
        <v/>
      </c>
      <c r="L340" s="9">
        <f>J340-K340</f>
        <v/>
      </c>
      <c r="M340" s="186" t="n"/>
      <c r="N340" s="9">
        <f>'Jobs-Ops'!Y340</f>
        <v/>
      </c>
      <c r="O340" s="9">
        <f>'Jobs-GAAP'!Y340</f>
        <v/>
      </c>
      <c r="P340" s="9">
        <f>N340-O340</f>
        <v/>
      </c>
      <c r="Q340" s="186" t="n"/>
      <c r="R340" s="11">
        <f>'Jobs-Ops'!AL340</f>
        <v/>
      </c>
      <c r="S340" s="11">
        <f>'Jobs-GAAP'!AH340</f>
        <v/>
      </c>
      <c r="T340" s="11">
        <f>IFERROR(R340-S340,0)</f>
        <v/>
      </c>
      <c r="U340" s="8">
        <f>'Jobs-Ops'!AM340</f>
        <v/>
      </c>
      <c r="V340" s="8">
        <f>'Jobs-GAAP'!AI340</f>
        <v/>
      </c>
      <c r="W340" s="8">
        <f>IFERROR(U340-V340,0)</f>
        <v/>
      </c>
      <c r="X340" s="9">
        <f>'Jobs-Ops'!AN340</f>
        <v/>
      </c>
      <c r="Y340" s="9">
        <f>'Jobs-GAAP'!AJ340</f>
        <v/>
      </c>
      <c r="Z340" s="9">
        <f>IFERROR(X340-Y340,0)</f>
        <v/>
      </c>
      <c r="AA340" s="153">
        <f>'Jobs-Ops'!AO340</f>
        <v/>
      </c>
      <c r="AB340" s="187" t="n"/>
      <c r="AC340" s="186" t="n"/>
      <c r="AD340" s="186" t="n"/>
      <c r="AE340" s="188" t="n"/>
      <c r="AF340" s="187" t="n"/>
      <c r="AG340" s="187" t="n"/>
      <c r="AH340" s="186" t="n"/>
      <c r="AI340" s="186" t="n"/>
      <c r="AJ340" s="186" t="n"/>
      <c r="AK340" s="186" t="n"/>
      <c r="AL340" s="186" t="n"/>
      <c r="AM340" s="186" t="n"/>
      <c r="AN340" s="186" t="n"/>
      <c r="AO340" s="186" t="n"/>
      <c r="AP340" s="186" t="n"/>
      <c r="AQ340" s="186" t="n"/>
      <c r="AR340" s="186" t="n"/>
      <c r="AS340" s="186" t="n"/>
      <c r="AT340" s="186" t="n"/>
      <c r="AU340" s="186" t="n"/>
      <c r="AV340" s="186" t="n"/>
      <c r="AW340" s="186" t="n"/>
      <c r="AX340" s="186" t="n"/>
      <c r="AY340" s="186" t="n"/>
      <c r="AZ340" s="186" t="n"/>
      <c r="BA340" s="186" t="n"/>
      <c r="BB340" s="186" t="n"/>
      <c r="BC340" s="186" t="n"/>
      <c r="BD340" s="190" t="n"/>
      <c r="BE340" s="186" t="n"/>
      <c r="BF340" s="186" t="n"/>
      <c r="BG340" s="186" t="n"/>
      <c r="BH340" s="186" t="n"/>
      <c r="BI340" s="186" t="n"/>
      <c r="BJ340" s="187" t="n"/>
      <c r="BK340" s="192" t="n"/>
      <c r="BL340" s="192" t="n"/>
      <c r="BM340" s="192" t="n"/>
      <c r="BN340" s="192" t="n"/>
    </row>
    <row r="341">
      <c r="A341" s="289">
        <f> 'Jobs-Ops'!A341</f>
        <v/>
      </c>
      <c r="B341" s="291">
        <f>'Jobs-Ops'!B341</f>
        <v/>
      </c>
      <c r="C341" s="290">
        <f>'Jobs-Ops'!C341</f>
        <v/>
      </c>
      <c r="D341" s="179" t="n"/>
      <c r="E341" s="181">
        <f>'Jobs-Ops'!I341</f>
        <v/>
      </c>
      <c r="F341" s="205">
        <f>'Jobs-Ops'!U341</f>
        <v/>
      </c>
      <c r="G341" s="181">
        <f>'Jobs-GAAP'!J341</f>
        <v/>
      </c>
      <c r="H341" s="205">
        <f>'Jobs-GAAP'!V341</f>
        <v/>
      </c>
      <c r="I341" s="181">
        <f>E341-G341</f>
        <v/>
      </c>
      <c r="J341" s="9">
        <f>'Jobs-Ops'!P341</f>
        <v/>
      </c>
      <c r="K341" s="9">
        <f>'Jobs-GAAP'!Q341</f>
        <v/>
      </c>
      <c r="L341" s="9">
        <f>J341-K341</f>
        <v/>
      </c>
      <c r="M341" s="186" t="n"/>
      <c r="N341" s="9">
        <f>'Jobs-Ops'!Y341</f>
        <v/>
      </c>
      <c r="O341" s="9">
        <f>'Jobs-GAAP'!Y341</f>
        <v/>
      </c>
      <c r="P341" s="9">
        <f>N341-O341</f>
        <v/>
      </c>
      <c r="Q341" s="186" t="n"/>
      <c r="R341" s="11">
        <f>'Jobs-Ops'!AL341</f>
        <v/>
      </c>
      <c r="S341" s="11">
        <f>'Jobs-GAAP'!AH341</f>
        <v/>
      </c>
      <c r="T341" s="11">
        <f>IFERROR(R341-S341,0)</f>
        <v/>
      </c>
      <c r="U341" s="8">
        <f>'Jobs-Ops'!AM341</f>
        <v/>
      </c>
      <c r="V341" s="8">
        <f>'Jobs-GAAP'!AI341</f>
        <v/>
      </c>
      <c r="W341" s="8">
        <f>IFERROR(U341-V341,0)</f>
        <v/>
      </c>
      <c r="X341" s="9">
        <f>'Jobs-Ops'!AN341</f>
        <v/>
      </c>
      <c r="Y341" s="9">
        <f>'Jobs-GAAP'!AJ341</f>
        <v/>
      </c>
      <c r="Z341" s="9">
        <f>IFERROR(X341-Y341,0)</f>
        <v/>
      </c>
      <c r="AA341" s="153">
        <f>'Jobs-Ops'!AO341</f>
        <v/>
      </c>
      <c r="AB341" s="187" t="n"/>
      <c r="AC341" s="186" t="n"/>
      <c r="AD341" s="186" t="n"/>
      <c r="AE341" s="188" t="n"/>
      <c r="AF341" s="187" t="n"/>
      <c r="AG341" s="187" t="n"/>
      <c r="AH341" s="186" t="n"/>
      <c r="AI341" s="186" t="n"/>
      <c r="AJ341" s="186" t="n"/>
      <c r="AK341" s="186" t="n"/>
      <c r="AL341" s="186" t="n"/>
      <c r="AM341" s="186" t="n"/>
      <c r="AN341" s="186" t="n"/>
      <c r="AO341" s="186" t="n"/>
      <c r="AP341" s="186" t="n"/>
      <c r="AQ341" s="186" t="n"/>
      <c r="AR341" s="186" t="n"/>
      <c r="AS341" s="186" t="n"/>
      <c r="AT341" s="186" t="n"/>
      <c r="AU341" s="186" t="n"/>
      <c r="AV341" s="186" t="n"/>
      <c r="AW341" s="186" t="n"/>
      <c r="AX341" s="186" t="n"/>
      <c r="AY341" s="186" t="n"/>
      <c r="AZ341" s="186" t="n"/>
      <c r="BA341" s="186" t="n"/>
      <c r="BB341" s="186" t="n"/>
      <c r="BC341" s="186" t="n"/>
      <c r="BD341" s="190" t="n"/>
      <c r="BE341" s="186" t="n"/>
      <c r="BF341" s="186" t="n"/>
      <c r="BG341" s="186" t="n"/>
      <c r="BH341" s="186" t="n"/>
      <c r="BI341" s="186" t="n"/>
      <c r="BJ341" s="187" t="n"/>
      <c r="BK341" s="192" t="n"/>
      <c r="BL341" s="192" t="n"/>
      <c r="BM341" s="192" t="n"/>
      <c r="BN341" s="192" t="n"/>
    </row>
    <row r="342">
      <c r="A342" s="289">
        <f> 'Jobs-Ops'!A342</f>
        <v/>
      </c>
      <c r="B342" s="291">
        <f>'Jobs-Ops'!B342</f>
        <v/>
      </c>
      <c r="C342" s="290">
        <f>'Jobs-Ops'!C342</f>
        <v/>
      </c>
      <c r="D342" s="179" t="n"/>
      <c r="E342" s="181">
        <f>'Jobs-Ops'!I342</f>
        <v/>
      </c>
      <c r="F342" s="205">
        <f>'Jobs-Ops'!U342</f>
        <v/>
      </c>
      <c r="G342" s="181">
        <f>'Jobs-GAAP'!J342</f>
        <v/>
      </c>
      <c r="H342" s="205">
        <f>'Jobs-GAAP'!V342</f>
        <v/>
      </c>
      <c r="I342" s="181">
        <f>E342-G342</f>
        <v/>
      </c>
      <c r="J342" s="9">
        <f>'Jobs-Ops'!P342</f>
        <v/>
      </c>
      <c r="K342" s="9">
        <f>'Jobs-GAAP'!Q342</f>
        <v/>
      </c>
      <c r="L342" s="9">
        <f>J342-K342</f>
        <v/>
      </c>
      <c r="M342" s="186" t="n"/>
      <c r="N342" s="9">
        <f>'Jobs-Ops'!Y342</f>
        <v/>
      </c>
      <c r="O342" s="9">
        <f>'Jobs-GAAP'!Y342</f>
        <v/>
      </c>
      <c r="P342" s="9">
        <f>N342-O342</f>
        <v/>
      </c>
      <c r="Q342" s="186" t="n"/>
      <c r="R342" s="11">
        <f>'Jobs-Ops'!AL342</f>
        <v/>
      </c>
      <c r="S342" s="11">
        <f>'Jobs-GAAP'!AH342</f>
        <v/>
      </c>
      <c r="T342" s="11">
        <f>IFERROR(R342-S342,0)</f>
        <v/>
      </c>
      <c r="U342" s="8">
        <f>'Jobs-Ops'!AM342</f>
        <v/>
      </c>
      <c r="V342" s="8">
        <f>'Jobs-GAAP'!AI342</f>
        <v/>
      </c>
      <c r="W342" s="8">
        <f>IFERROR(U342-V342,0)</f>
        <v/>
      </c>
      <c r="X342" s="9">
        <f>'Jobs-Ops'!AN342</f>
        <v/>
      </c>
      <c r="Y342" s="9">
        <f>'Jobs-GAAP'!AJ342</f>
        <v/>
      </c>
      <c r="Z342" s="9">
        <f>IFERROR(X342-Y342,0)</f>
        <v/>
      </c>
      <c r="AA342" s="153">
        <f>'Jobs-Ops'!AO342</f>
        <v/>
      </c>
      <c r="AB342" s="187" t="n"/>
      <c r="AC342" s="186" t="n"/>
      <c r="AD342" s="186" t="n"/>
      <c r="AE342" s="188" t="n"/>
      <c r="AF342" s="187" t="n"/>
      <c r="AG342" s="187" t="n"/>
      <c r="AH342" s="186" t="n"/>
      <c r="AI342" s="186" t="n"/>
      <c r="AJ342" s="186" t="n"/>
      <c r="AK342" s="186" t="n"/>
      <c r="AL342" s="186" t="n"/>
      <c r="AM342" s="186" t="n"/>
      <c r="AN342" s="186" t="n"/>
      <c r="AO342" s="186" t="n"/>
      <c r="AP342" s="186" t="n"/>
      <c r="AQ342" s="186" t="n"/>
      <c r="AR342" s="186" t="n"/>
      <c r="AS342" s="186" t="n"/>
      <c r="AT342" s="186" t="n"/>
      <c r="AU342" s="186" t="n"/>
      <c r="AV342" s="186" t="n"/>
      <c r="AW342" s="186" t="n"/>
      <c r="AX342" s="186" t="n"/>
      <c r="AY342" s="186" t="n"/>
      <c r="AZ342" s="186" t="n"/>
      <c r="BA342" s="186" t="n"/>
      <c r="BB342" s="186" t="n"/>
      <c r="BC342" s="186" t="n"/>
      <c r="BD342" s="190" t="n"/>
      <c r="BE342" s="186" t="n"/>
      <c r="BF342" s="186" t="n"/>
      <c r="BG342" s="186" t="n"/>
      <c r="BH342" s="186" t="n"/>
      <c r="BI342" s="186" t="n"/>
      <c r="BJ342" s="187" t="n"/>
      <c r="BK342" s="192" t="n"/>
      <c r="BL342" s="192" t="n"/>
      <c r="BM342" s="192" t="n"/>
      <c r="BN342" s="192" t="n"/>
    </row>
    <row r="343">
      <c r="A343" s="289">
        <f> 'Jobs-Ops'!A343</f>
        <v/>
      </c>
      <c r="B343" s="290">
        <f>'Jobs-Ops'!B343</f>
        <v/>
      </c>
      <c r="C343" s="290">
        <f>'Jobs-Ops'!C343</f>
        <v/>
      </c>
      <c r="D343" s="179" t="n"/>
      <c r="E343" s="181">
        <f>'Jobs-Ops'!I343</f>
        <v/>
      </c>
      <c r="F343" s="205">
        <f>'Jobs-Ops'!U343</f>
        <v/>
      </c>
      <c r="G343" s="181">
        <f>'Jobs-GAAP'!J343</f>
        <v/>
      </c>
      <c r="H343" s="205">
        <f>'Jobs-GAAP'!V343</f>
        <v/>
      </c>
      <c r="I343" s="181">
        <f>E343-G343</f>
        <v/>
      </c>
      <c r="J343" s="9">
        <f>'Jobs-Ops'!P343</f>
        <v/>
      </c>
      <c r="K343" s="9">
        <f>'Jobs-GAAP'!Q343</f>
        <v/>
      </c>
      <c r="L343" s="9">
        <f>J343-K343</f>
        <v/>
      </c>
      <c r="M343" s="186" t="n"/>
      <c r="N343" s="9">
        <f>'Jobs-Ops'!Y343</f>
        <v/>
      </c>
      <c r="O343" s="9">
        <f>'Jobs-GAAP'!Y343</f>
        <v/>
      </c>
      <c r="P343" s="9">
        <f>N343-O343</f>
        <v/>
      </c>
      <c r="Q343" s="186" t="n"/>
      <c r="R343" s="11">
        <f>'Jobs-Ops'!AL343</f>
        <v/>
      </c>
      <c r="S343" s="11">
        <f>'Jobs-GAAP'!AH343</f>
        <v/>
      </c>
      <c r="T343" s="11">
        <f>IFERROR(R343-S343,0)</f>
        <v/>
      </c>
      <c r="U343" s="8">
        <f>'Jobs-Ops'!AM343</f>
        <v/>
      </c>
      <c r="V343" s="8">
        <f>'Jobs-GAAP'!AI343</f>
        <v/>
      </c>
      <c r="W343" s="8">
        <f>IFERROR(U343-V343,0)</f>
        <v/>
      </c>
      <c r="X343" s="9">
        <f>'Jobs-Ops'!AN343</f>
        <v/>
      </c>
      <c r="Y343" s="9">
        <f>'Jobs-GAAP'!AJ343</f>
        <v/>
      </c>
      <c r="Z343" s="9">
        <f>IFERROR(X343-Y343,0)</f>
        <v/>
      </c>
      <c r="AA343" s="153">
        <f>'Jobs-Ops'!AO343</f>
        <v/>
      </c>
      <c r="AB343" s="187" t="n"/>
      <c r="AC343" s="186" t="n"/>
      <c r="AD343" s="186" t="n"/>
      <c r="AE343" s="188" t="n"/>
      <c r="AF343" s="187" t="n"/>
      <c r="AG343" s="187" t="n"/>
      <c r="AH343" s="186" t="n"/>
      <c r="AI343" s="186" t="n"/>
      <c r="AJ343" s="186" t="n"/>
      <c r="AK343" s="186" t="n"/>
      <c r="AL343" s="186" t="n"/>
      <c r="AM343" s="186" t="n"/>
      <c r="AN343" s="186" t="n"/>
      <c r="AO343" s="186" t="n"/>
      <c r="AP343" s="186" t="n"/>
      <c r="AQ343" s="186" t="n"/>
      <c r="AR343" s="186" t="n"/>
      <c r="AS343" s="186" t="n"/>
      <c r="AT343" s="186" t="n"/>
      <c r="AU343" s="186" t="n"/>
      <c r="AV343" s="186" t="n"/>
      <c r="AW343" s="186" t="n"/>
      <c r="AX343" s="186" t="n"/>
      <c r="AY343" s="186" t="n"/>
      <c r="AZ343" s="186" t="n"/>
      <c r="BA343" s="186" t="n"/>
      <c r="BB343" s="186" t="n"/>
      <c r="BC343" s="186" t="n"/>
      <c r="BD343" s="190" t="n"/>
      <c r="BE343" s="186" t="n"/>
      <c r="BF343" s="186" t="n"/>
      <c r="BG343" s="186" t="n"/>
      <c r="BH343" s="186" t="n"/>
      <c r="BI343" s="186" t="n"/>
      <c r="BJ343" s="187" t="n"/>
      <c r="BK343" s="192" t="n"/>
      <c r="BL343" s="192" t="n"/>
      <c r="BM343" s="192" t="n"/>
      <c r="BN343" s="192" t="n"/>
    </row>
    <row r="344">
      <c r="A344" s="289">
        <f> 'Jobs-Ops'!A344</f>
        <v/>
      </c>
      <c r="B344" s="290">
        <f>'Jobs-Ops'!B344</f>
        <v/>
      </c>
      <c r="C344" s="290">
        <f>'Jobs-Ops'!C344</f>
        <v/>
      </c>
      <c r="D344" s="179" t="n"/>
      <c r="E344" s="181">
        <f>'Jobs-Ops'!I344</f>
        <v/>
      </c>
      <c r="F344" s="205">
        <f>'Jobs-Ops'!U344</f>
        <v/>
      </c>
      <c r="G344" s="181">
        <f>'Jobs-GAAP'!J344</f>
        <v/>
      </c>
      <c r="H344" s="205">
        <f>'Jobs-GAAP'!V344</f>
        <v/>
      </c>
      <c r="I344" s="181">
        <f>E344-G344</f>
        <v/>
      </c>
      <c r="J344" s="9">
        <f>'Jobs-Ops'!P344</f>
        <v/>
      </c>
      <c r="K344" s="9">
        <f>'Jobs-GAAP'!Q344</f>
        <v/>
      </c>
      <c r="L344" s="9">
        <f>J344-K344</f>
        <v/>
      </c>
      <c r="M344" s="186" t="n"/>
      <c r="N344" s="9">
        <f>'Jobs-Ops'!Y344</f>
        <v/>
      </c>
      <c r="O344" s="9">
        <f>'Jobs-GAAP'!Y344</f>
        <v/>
      </c>
      <c r="P344" s="9">
        <f>N344-O344</f>
        <v/>
      </c>
      <c r="Q344" s="186" t="n"/>
      <c r="R344" s="11">
        <f>'Jobs-Ops'!AL344</f>
        <v/>
      </c>
      <c r="S344" s="11">
        <f>'Jobs-GAAP'!AH344</f>
        <v/>
      </c>
      <c r="T344" s="11">
        <f>IFERROR(R344-S344,0)</f>
        <v/>
      </c>
      <c r="U344" s="8">
        <f>'Jobs-Ops'!AM344</f>
        <v/>
      </c>
      <c r="V344" s="8">
        <f>'Jobs-GAAP'!AI344</f>
        <v/>
      </c>
      <c r="W344" s="8">
        <f>IFERROR(U344-V344,0)</f>
        <v/>
      </c>
      <c r="X344" s="9">
        <f>'Jobs-Ops'!AN344</f>
        <v/>
      </c>
      <c r="Y344" s="9">
        <f>'Jobs-GAAP'!AJ344</f>
        <v/>
      </c>
      <c r="Z344" s="9">
        <f>IFERROR(X344-Y344,0)</f>
        <v/>
      </c>
      <c r="AA344" s="153">
        <f>'Jobs-Ops'!AO344</f>
        <v/>
      </c>
      <c r="AB344" s="187" t="n"/>
      <c r="AC344" s="186" t="n"/>
      <c r="AD344" s="186" t="n"/>
      <c r="AE344" s="188" t="n"/>
      <c r="AF344" s="187" t="n"/>
      <c r="AG344" s="187" t="n"/>
      <c r="AH344" s="186" t="n"/>
      <c r="AI344" s="186" t="n"/>
      <c r="AJ344" s="186" t="n"/>
      <c r="AK344" s="186" t="n"/>
      <c r="AL344" s="186" t="n"/>
      <c r="AM344" s="186" t="n"/>
      <c r="AN344" s="186" t="n"/>
      <c r="AO344" s="186" t="n"/>
      <c r="AP344" s="186" t="n"/>
      <c r="AQ344" s="186" t="n"/>
      <c r="AR344" s="186" t="n"/>
      <c r="AS344" s="186" t="n"/>
      <c r="AT344" s="186" t="n"/>
      <c r="AU344" s="186" t="n"/>
      <c r="AV344" s="186" t="n"/>
      <c r="AW344" s="186" t="n"/>
      <c r="AX344" s="186" t="n"/>
      <c r="AY344" s="186" t="n"/>
      <c r="AZ344" s="186" t="n"/>
      <c r="BA344" s="186" t="n"/>
      <c r="BB344" s="186" t="n"/>
      <c r="BC344" s="186" t="n"/>
      <c r="BD344" s="190" t="n"/>
      <c r="BE344" s="186" t="n"/>
      <c r="BF344" s="186" t="n"/>
      <c r="BG344" s="186" t="n"/>
      <c r="BH344" s="186" t="n"/>
      <c r="BI344" s="186" t="n"/>
      <c r="BJ344" s="187" t="n"/>
      <c r="BK344" s="192" t="n"/>
      <c r="BL344" s="192" t="n"/>
      <c r="BM344" s="192" t="n"/>
      <c r="BN344" s="192" t="n"/>
    </row>
    <row r="345">
      <c r="A345" s="289">
        <f> 'Jobs-Ops'!A345</f>
        <v/>
      </c>
      <c r="B345" s="290">
        <f>'Jobs-Ops'!B345</f>
        <v/>
      </c>
      <c r="C345" s="290">
        <f>'Jobs-Ops'!C345</f>
        <v/>
      </c>
      <c r="D345" s="179" t="n"/>
      <c r="E345" s="181">
        <f>'Jobs-Ops'!I345</f>
        <v/>
      </c>
      <c r="F345" s="205">
        <f>'Jobs-Ops'!U345</f>
        <v/>
      </c>
      <c r="G345" s="181">
        <f>'Jobs-GAAP'!J345</f>
        <v/>
      </c>
      <c r="H345" s="205">
        <f>'Jobs-GAAP'!V345</f>
        <v/>
      </c>
      <c r="I345" s="181">
        <f>E345-G345</f>
        <v/>
      </c>
      <c r="J345" s="9">
        <f>'Jobs-Ops'!P345</f>
        <v/>
      </c>
      <c r="K345" s="9">
        <f>'Jobs-GAAP'!Q345</f>
        <v/>
      </c>
      <c r="L345" s="9">
        <f>J345-K345</f>
        <v/>
      </c>
      <c r="M345" s="186" t="n"/>
      <c r="N345" s="9">
        <f>'Jobs-Ops'!Y345</f>
        <v/>
      </c>
      <c r="O345" s="9">
        <f>'Jobs-GAAP'!Y345</f>
        <v/>
      </c>
      <c r="P345" s="9">
        <f>N345-O345</f>
        <v/>
      </c>
      <c r="Q345" s="186" t="n"/>
      <c r="R345" s="11">
        <f>'Jobs-Ops'!AL345</f>
        <v/>
      </c>
      <c r="S345" s="11">
        <f>'Jobs-GAAP'!AH345</f>
        <v/>
      </c>
      <c r="T345" s="11">
        <f>IFERROR(R345-S345,0)</f>
        <v/>
      </c>
      <c r="U345" s="8">
        <f>'Jobs-Ops'!AM345</f>
        <v/>
      </c>
      <c r="V345" s="8">
        <f>'Jobs-GAAP'!AI345</f>
        <v/>
      </c>
      <c r="W345" s="8">
        <f>IFERROR(U345-V345,0)</f>
        <v/>
      </c>
      <c r="X345" s="9">
        <f>'Jobs-Ops'!AN345</f>
        <v/>
      </c>
      <c r="Y345" s="9">
        <f>'Jobs-GAAP'!AJ345</f>
        <v/>
      </c>
      <c r="Z345" s="9">
        <f>IFERROR(X345-Y345,0)</f>
        <v/>
      </c>
      <c r="AA345" s="153">
        <f>'Jobs-Ops'!AO345</f>
        <v/>
      </c>
      <c r="AB345" s="187" t="n"/>
      <c r="AC345" s="186" t="n"/>
      <c r="AD345" s="186" t="n"/>
      <c r="AE345" s="188" t="n"/>
      <c r="AF345" s="187" t="n"/>
      <c r="AG345" s="187" t="n"/>
      <c r="AH345" s="186" t="n"/>
      <c r="AI345" s="186" t="n"/>
      <c r="AJ345" s="186" t="n"/>
      <c r="AK345" s="186" t="n"/>
      <c r="AL345" s="186" t="n"/>
      <c r="AM345" s="186" t="n"/>
      <c r="AN345" s="186" t="n"/>
      <c r="AO345" s="186" t="n"/>
      <c r="AP345" s="186" t="n"/>
      <c r="AQ345" s="186" t="n"/>
      <c r="AR345" s="186" t="n"/>
      <c r="AS345" s="186" t="n"/>
      <c r="AT345" s="186" t="n"/>
      <c r="AU345" s="186" t="n"/>
      <c r="AV345" s="186" t="n"/>
      <c r="AW345" s="186" t="n"/>
      <c r="AX345" s="186" t="n"/>
      <c r="AY345" s="186" t="n"/>
      <c r="AZ345" s="186" t="n"/>
      <c r="BA345" s="186" t="n"/>
      <c r="BB345" s="186" t="n"/>
      <c r="BC345" s="186" t="n"/>
      <c r="BD345" s="190" t="n"/>
      <c r="BE345" s="186" t="n"/>
      <c r="BF345" s="186" t="n"/>
      <c r="BG345" s="186" t="n"/>
      <c r="BH345" s="186" t="n"/>
      <c r="BI345" s="186" t="n"/>
      <c r="BJ345" s="187" t="n"/>
      <c r="BK345" s="192" t="n"/>
      <c r="BL345" s="192" t="n"/>
      <c r="BM345" s="192" t="n"/>
      <c r="BN345" s="192" t="n"/>
    </row>
    <row r="346">
      <c r="A346" s="289">
        <f> 'Jobs-Ops'!A346</f>
        <v/>
      </c>
      <c r="B346" s="290">
        <f>'Jobs-Ops'!B346</f>
        <v/>
      </c>
      <c r="C346" s="290">
        <f>'Jobs-Ops'!C346</f>
        <v/>
      </c>
      <c r="D346" s="179" t="n"/>
      <c r="E346" s="181">
        <f>'Jobs-Ops'!I346</f>
        <v/>
      </c>
      <c r="F346" s="205">
        <f>'Jobs-Ops'!U346</f>
        <v/>
      </c>
      <c r="G346" s="181">
        <f>'Jobs-GAAP'!J346</f>
        <v/>
      </c>
      <c r="H346" s="205">
        <f>'Jobs-GAAP'!V346</f>
        <v/>
      </c>
      <c r="I346" s="181">
        <f>E346-G346</f>
        <v/>
      </c>
      <c r="J346" s="9">
        <f>'Jobs-Ops'!P346</f>
        <v/>
      </c>
      <c r="K346" s="9">
        <f>'Jobs-GAAP'!Q346</f>
        <v/>
      </c>
      <c r="L346" s="9">
        <f>J346-K346</f>
        <v/>
      </c>
      <c r="M346" s="186" t="n"/>
      <c r="N346" s="9">
        <f>'Jobs-Ops'!Y346</f>
        <v/>
      </c>
      <c r="O346" s="9">
        <f>'Jobs-GAAP'!Y346</f>
        <v/>
      </c>
      <c r="P346" s="9">
        <f>N346-O346</f>
        <v/>
      </c>
      <c r="Q346" s="186" t="n"/>
      <c r="R346" s="11">
        <f>'Jobs-Ops'!AL346</f>
        <v/>
      </c>
      <c r="S346" s="11">
        <f>'Jobs-GAAP'!AH346</f>
        <v/>
      </c>
      <c r="T346" s="11">
        <f>IFERROR(R346-S346,0)</f>
        <v/>
      </c>
      <c r="U346" s="8">
        <f>'Jobs-Ops'!AM346</f>
        <v/>
      </c>
      <c r="V346" s="8">
        <f>'Jobs-GAAP'!AI346</f>
        <v/>
      </c>
      <c r="W346" s="8">
        <f>IFERROR(U346-V346,0)</f>
        <v/>
      </c>
      <c r="X346" s="9">
        <f>'Jobs-Ops'!AN346</f>
        <v/>
      </c>
      <c r="Y346" s="9">
        <f>'Jobs-GAAP'!AJ346</f>
        <v/>
      </c>
      <c r="Z346" s="9">
        <f>IFERROR(X346-Y346,0)</f>
        <v/>
      </c>
      <c r="AA346" s="153">
        <f>'Jobs-Ops'!AO346</f>
        <v/>
      </c>
      <c r="AB346" s="187" t="n"/>
      <c r="AC346" s="186" t="n"/>
      <c r="AD346" s="186" t="n"/>
      <c r="AE346" s="188" t="n"/>
      <c r="AF346" s="187" t="n"/>
      <c r="AG346" s="187" t="n"/>
      <c r="AH346" s="186" t="n"/>
      <c r="AI346" s="186" t="n"/>
      <c r="AJ346" s="186" t="n"/>
      <c r="AK346" s="186" t="n"/>
      <c r="AL346" s="186" t="n"/>
      <c r="AM346" s="186" t="n"/>
      <c r="AN346" s="186" t="n"/>
      <c r="AO346" s="186" t="n"/>
      <c r="AP346" s="186" t="n"/>
      <c r="AQ346" s="186" t="n"/>
      <c r="AR346" s="186" t="n"/>
      <c r="AS346" s="186" t="n"/>
      <c r="AT346" s="186" t="n"/>
      <c r="AU346" s="186" t="n"/>
      <c r="AV346" s="186" t="n"/>
      <c r="AW346" s="186" t="n"/>
      <c r="AX346" s="186" t="n"/>
      <c r="AY346" s="186" t="n"/>
      <c r="AZ346" s="186" t="n"/>
      <c r="BA346" s="186" t="n"/>
      <c r="BB346" s="186" t="n"/>
      <c r="BC346" s="186" t="n"/>
      <c r="BD346" s="190" t="n"/>
      <c r="BE346" s="186" t="n"/>
      <c r="BF346" s="186" t="n"/>
      <c r="BG346" s="186" t="n"/>
      <c r="BH346" s="186" t="n"/>
      <c r="BI346" s="186" t="n"/>
      <c r="BJ346" s="187" t="n"/>
      <c r="BK346" s="192" t="n"/>
      <c r="BL346" s="192" t="n"/>
      <c r="BM346" s="192" t="n"/>
      <c r="BN346" s="192" t="n"/>
    </row>
    <row r="347">
      <c r="A347" s="289">
        <f> 'Jobs-Ops'!A347</f>
        <v/>
      </c>
      <c r="B347" s="290">
        <f>'Jobs-Ops'!B347</f>
        <v/>
      </c>
      <c r="C347" s="290">
        <f>'Jobs-Ops'!C347</f>
        <v/>
      </c>
      <c r="D347" s="179" t="n"/>
      <c r="E347" s="181">
        <f>'Jobs-Ops'!I347</f>
        <v/>
      </c>
      <c r="F347" s="205">
        <f>'Jobs-Ops'!U347</f>
        <v/>
      </c>
      <c r="G347" s="181">
        <f>'Jobs-GAAP'!J347</f>
        <v/>
      </c>
      <c r="H347" s="205">
        <f>'Jobs-GAAP'!V347</f>
        <v/>
      </c>
      <c r="I347" s="181">
        <f>E347-G347</f>
        <v/>
      </c>
      <c r="J347" s="9">
        <f>'Jobs-Ops'!P347</f>
        <v/>
      </c>
      <c r="K347" s="9">
        <f>'Jobs-GAAP'!Q347</f>
        <v/>
      </c>
      <c r="L347" s="9">
        <f>J347-K347</f>
        <v/>
      </c>
      <c r="M347" s="186" t="n"/>
      <c r="N347" s="9">
        <f>'Jobs-Ops'!Y347</f>
        <v/>
      </c>
      <c r="O347" s="9">
        <f>'Jobs-GAAP'!Y347</f>
        <v/>
      </c>
      <c r="P347" s="9">
        <f>N347-O347</f>
        <v/>
      </c>
      <c r="Q347" s="186" t="n"/>
      <c r="R347" s="11">
        <f>'Jobs-Ops'!AL347</f>
        <v/>
      </c>
      <c r="S347" s="11">
        <f>'Jobs-GAAP'!AH347</f>
        <v/>
      </c>
      <c r="T347" s="11">
        <f>IFERROR(R347-S347,0)</f>
        <v/>
      </c>
      <c r="U347" s="8">
        <f>'Jobs-Ops'!AM347</f>
        <v/>
      </c>
      <c r="V347" s="8">
        <f>'Jobs-GAAP'!AI347</f>
        <v/>
      </c>
      <c r="W347" s="8">
        <f>IFERROR(U347-V347,0)</f>
        <v/>
      </c>
      <c r="X347" s="9">
        <f>'Jobs-Ops'!AN347</f>
        <v/>
      </c>
      <c r="Y347" s="9">
        <f>'Jobs-GAAP'!AJ347</f>
        <v/>
      </c>
      <c r="Z347" s="9">
        <f>IFERROR(X347-Y347,0)</f>
        <v/>
      </c>
      <c r="AA347" s="153">
        <f>'Jobs-Ops'!AO347</f>
        <v/>
      </c>
      <c r="AB347" s="187" t="n"/>
      <c r="AC347" s="186" t="n"/>
      <c r="AD347" s="186" t="n"/>
      <c r="AE347" s="188" t="n"/>
      <c r="AF347" s="187" t="n"/>
      <c r="AG347" s="187" t="n"/>
      <c r="AH347" s="186" t="n"/>
      <c r="AI347" s="186" t="n"/>
      <c r="AJ347" s="186" t="n"/>
      <c r="AK347" s="186" t="n"/>
      <c r="AL347" s="186" t="n"/>
      <c r="AM347" s="186" t="n"/>
      <c r="AN347" s="186" t="n"/>
      <c r="AO347" s="186" t="n"/>
      <c r="AP347" s="186" t="n"/>
      <c r="AQ347" s="186" t="n"/>
      <c r="AR347" s="186" t="n"/>
      <c r="AS347" s="186" t="n"/>
      <c r="AT347" s="186" t="n"/>
      <c r="AU347" s="186" t="n"/>
      <c r="AV347" s="186" t="n"/>
      <c r="AW347" s="186" t="n"/>
      <c r="AX347" s="186" t="n"/>
      <c r="AY347" s="186" t="n"/>
      <c r="AZ347" s="186" t="n"/>
      <c r="BA347" s="186" t="n"/>
      <c r="BB347" s="186" t="n"/>
      <c r="BC347" s="186" t="n"/>
      <c r="BD347" s="190" t="n"/>
      <c r="BE347" s="186" t="n"/>
      <c r="BF347" s="186" t="n"/>
      <c r="BG347" s="186" t="n"/>
      <c r="BH347" s="186" t="n"/>
      <c r="BI347" s="186" t="n"/>
      <c r="BJ347" s="187" t="n"/>
      <c r="BK347" s="192" t="n"/>
      <c r="BL347" s="192" t="n"/>
      <c r="BM347" s="192" t="n"/>
      <c r="BN347" s="192" t="n"/>
    </row>
    <row r="348">
      <c r="A348" s="289">
        <f> 'Jobs-Ops'!A348</f>
        <v/>
      </c>
      <c r="B348" s="290">
        <f>'Jobs-Ops'!B348</f>
        <v/>
      </c>
      <c r="C348" s="290">
        <f>'Jobs-Ops'!C348</f>
        <v/>
      </c>
      <c r="D348" s="179" t="n"/>
      <c r="E348" s="181">
        <f>'Jobs-Ops'!I348</f>
        <v/>
      </c>
      <c r="F348" s="205">
        <f>'Jobs-Ops'!U348</f>
        <v/>
      </c>
      <c r="G348" s="181">
        <f>'Jobs-GAAP'!J348</f>
        <v/>
      </c>
      <c r="H348" s="205">
        <f>'Jobs-GAAP'!V348</f>
        <v/>
      </c>
      <c r="I348" s="181">
        <f>E348-G348</f>
        <v/>
      </c>
      <c r="J348" s="9">
        <f>'Jobs-Ops'!P348</f>
        <v/>
      </c>
      <c r="K348" s="9">
        <f>'Jobs-GAAP'!Q348</f>
        <v/>
      </c>
      <c r="L348" s="9">
        <f>J348-K348</f>
        <v/>
      </c>
      <c r="M348" s="186" t="n"/>
      <c r="N348" s="9">
        <f>'Jobs-Ops'!Y348</f>
        <v/>
      </c>
      <c r="O348" s="9">
        <f>'Jobs-GAAP'!Y348</f>
        <v/>
      </c>
      <c r="P348" s="9">
        <f>N348-O348</f>
        <v/>
      </c>
      <c r="Q348" s="186" t="n"/>
      <c r="R348" s="11">
        <f>'Jobs-Ops'!AL348</f>
        <v/>
      </c>
      <c r="S348" s="11">
        <f>'Jobs-GAAP'!AH348</f>
        <v/>
      </c>
      <c r="T348" s="11">
        <f>IFERROR(R348-S348,0)</f>
        <v/>
      </c>
      <c r="U348" s="8">
        <f>'Jobs-Ops'!AM348</f>
        <v/>
      </c>
      <c r="V348" s="8">
        <f>'Jobs-GAAP'!AI348</f>
        <v/>
      </c>
      <c r="W348" s="8">
        <f>IFERROR(U348-V348,0)</f>
        <v/>
      </c>
      <c r="X348" s="9">
        <f>'Jobs-Ops'!AN348</f>
        <v/>
      </c>
      <c r="Y348" s="9">
        <f>'Jobs-GAAP'!AJ348</f>
        <v/>
      </c>
      <c r="Z348" s="9">
        <f>IFERROR(X348-Y348,0)</f>
        <v/>
      </c>
      <c r="AA348" s="153">
        <f>'Jobs-Ops'!AO348</f>
        <v/>
      </c>
      <c r="AB348" s="187" t="n"/>
      <c r="AC348" s="186" t="n"/>
      <c r="AD348" s="186" t="n"/>
      <c r="AE348" s="188" t="n"/>
      <c r="AF348" s="187" t="n"/>
      <c r="AG348" s="187" t="n"/>
      <c r="AH348" s="186" t="n"/>
      <c r="AI348" s="186" t="n"/>
      <c r="AJ348" s="186" t="n"/>
      <c r="AK348" s="186" t="n"/>
      <c r="AL348" s="186" t="n"/>
      <c r="AM348" s="186" t="n"/>
      <c r="AN348" s="186" t="n"/>
      <c r="AO348" s="186" t="n"/>
      <c r="AP348" s="186" t="n"/>
      <c r="AQ348" s="186" t="n"/>
      <c r="AR348" s="186" t="n"/>
      <c r="AS348" s="186" t="n"/>
      <c r="AT348" s="186" t="n"/>
      <c r="AU348" s="186" t="n"/>
      <c r="AV348" s="186" t="n"/>
      <c r="AW348" s="186" t="n"/>
      <c r="AX348" s="186" t="n"/>
      <c r="AY348" s="186" t="n"/>
      <c r="AZ348" s="186" t="n"/>
      <c r="BA348" s="186" t="n"/>
      <c r="BB348" s="186" t="n"/>
      <c r="BC348" s="186" t="n"/>
      <c r="BD348" s="190" t="n"/>
      <c r="BE348" s="186" t="n"/>
      <c r="BF348" s="186" t="n"/>
      <c r="BG348" s="186" t="n"/>
      <c r="BH348" s="186" t="n"/>
      <c r="BI348" s="186" t="n"/>
      <c r="BJ348" s="187" t="n"/>
      <c r="BK348" s="192" t="n"/>
      <c r="BL348" s="192" t="n"/>
      <c r="BM348" s="192" t="n"/>
      <c r="BN348" s="192" t="n"/>
    </row>
    <row r="349">
      <c r="A349" s="289">
        <f> 'Jobs-Ops'!A349</f>
        <v/>
      </c>
      <c r="B349" s="290">
        <f>'Jobs-Ops'!B349</f>
        <v/>
      </c>
      <c r="C349" s="290">
        <f>'Jobs-Ops'!C349</f>
        <v/>
      </c>
      <c r="D349" s="179" t="n"/>
      <c r="E349" s="181">
        <f>'Jobs-Ops'!I349</f>
        <v/>
      </c>
      <c r="F349" s="205">
        <f>'Jobs-Ops'!U349</f>
        <v/>
      </c>
      <c r="G349" s="181">
        <f>'Jobs-GAAP'!J349</f>
        <v/>
      </c>
      <c r="H349" s="205">
        <f>'Jobs-GAAP'!V349</f>
        <v/>
      </c>
      <c r="I349" s="181">
        <f>E349-G349</f>
        <v/>
      </c>
      <c r="J349" s="9">
        <f>'Jobs-Ops'!P349</f>
        <v/>
      </c>
      <c r="K349" s="9">
        <f>'Jobs-GAAP'!Q349</f>
        <v/>
      </c>
      <c r="L349" s="9">
        <f>J349-K349</f>
        <v/>
      </c>
      <c r="M349" s="186" t="n"/>
      <c r="N349" s="9">
        <f>'Jobs-Ops'!Y349</f>
        <v/>
      </c>
      <c r="O349" s="9">
        <f>'Jobs-GAAP'!Y349</f>
        <v/>
      </c>
      <c r="P349" s="9">
        <f>N349-O349</f>
        <v/>
      </c>
      <c r="Q349" s="186" t="n"/>
      <c r="R349" s="11">
        <f>'Jobs-Ops'!AL349</f>
        <v/>
      </c>
      <c r="S349" s="11">
        <f>'Jobs-GAAP'!AH349</f>
        <v/>
      </c>
      <c r="T349" s="11">
        <f>IFERROR(R349-S349,0)</f>
        <v/>
      </c>
      <c r="U349" s="8">
        <f>'Jobs-Ops'!AM349</f>
        <v/>
      </c>
      <c r="V349" s="8">
        <f>'Jobs-GAAP'!AI349</f>
        <v/>
      </c>
      <c r="W349" s="8">
        <f>IFERROR(U349-V349,0)</f>
        <v/>
      </c>
      <c r="X349" s="9">
        <f>'Jobs-Ops'!AN349</f>
        <v/>
      </c>
      <c r="Y349" s="9">
        <f>'Jobs-GAAP'!AJ349</f>
        <v/>
      </c>
      <c r="Z349" s="9">
        <f>IFERROR(X349-Y349,0)</f>
        <v/>
      </c>
      <c r="AA349" s="153">
        <f>'Jobs-Ops'!AO349</f>
        <v/>
      </c>
      <c r="AB349" s="187" t="n"/>
      <c r="AC349" s="186" t="n"/>
      <c r="AD349" s="186" t="n"/>
      <c r="AE349" s="188" t="n"/>
      <c r="AF349" s="187" t="n"/>
      <c r="AG349" s="187" t="n"/>
      <c r="AH349" s="186" t="n"/>
      <c r="AI349" s="186" t="n"/>
      <c r="AJ349" s="186" t="n"/>
      <c r="AK349" s="186" t="n"/>
      <c r="AL349" s="186" t="n"/>
      <c r="AM349" s="186" t="n"/>
      <c r="AN349" s="186" t="n"/>
      <c r="AO349" s="186" t="n"/>
      <c r="AP349" s="186" t="n"/>
      <c r="AQ349" s="186" t="n"/>
      <c r="AR349" s="186" t="n"/>
      <c r="AS349" s="186" t="n"/>
      <c r="AT349" s="186" t="n"/>
      <c r="AU349" s="186" t="n"/>
      <c r="AV349" s="186" t="n"/>
      <c r="AW349" s="186" t="n"/>
      <c r="AX349" s="186" t="n"/>
      <c r="AY349" s="186" t="n"/>
      <c r="AZ349" s="186" t="n"/>
      <c r="BA349" s="186" t="n"/>
      <c r="BB349" s="186" t="n"/>
      <c r="BC349" s="186" t="n"/>
      <c r="BD349" s="190" t="n"/>
      <c r="BE349" s="186" t="n"/>
      <c r="BF349" s="186" t="n"/>
      <c r="BG349" s="186" t="n"/>
      <c r="BH349" s="186" t="n"/>
      <c r="BI349" s="186" t="n"/>
      <c r="BJ349" s="187" t="n"/>
      <c r="BK349" s="192" t="n"/>
      <c r="BL349" s="192" t="n"/>
      <c r="BM349" s="192" t="n"/>
      <c r="BN349" s="192" t="n"/>
    </row>
    <row r="350">
      <c r="A350" s="289">
        <f> 'Jobs-Ops'!A350</f>
        <v/>
      </c>
      <c r="B350" s="290">
        <f>'Jobs-Ops'!B350</f>
        <v/>
      </c>
      <c r="C350" s="290">
        <f>'Jobs-Ops'!C350</f>
        <v/>
      </c>
      <c r="D350" s="179" t="n"/>
      <c r="E350" s="181">
        <f>'Jobs-Ops'!I350</f>
        <v/>
      </c>
      <c r="F350" s="205">
        <f>'Jobs-Ops'!U350</f>
        <v/>
      </c>
      <c r="G350" s="181">
        <f>'Jobs-GAAP'!J350</f>
        <v/>
      </c>
      <c r="H350" s="205">
        <f>'Jobs-GAAP'!V350</f>
        <v/>
      </c>
      <c r="I350" s="181">
        <f>E350-G350</f>
        <v/>
      </c>
      <c r="J350" s="9">
        <f>'Jobs-Ops'!P350</f>
        <v/>
      </c>
      <c r="K350" s="9">
        <f>'Jobs-GAAP'!Q350</f>
        <v/>
      </c>
      <c r="L350" s="9">
        <f>J350-K350</f>
        <v/>
      </c>
      <c r="M350" s="186" t="n"/>
      <c r="N350" s="9">
        <f>'Jobs-Ops'!Y350</f>
        <v/>
      </c>
      <c r="O350" s="9">
        <f>'Jobs-GAAP'!Y350</f>
        <v/>
      </c>
      <c r="P350" s="9">
        <f>N350-O350</f>
        <v/>
      </c>
      <c r="Q350" s="186" t="n"/>
      <c r="R350" s="11">
        <f>'Jobs-Ops'!AL350</f>
        <v/>
      </c>
      <c r="S350" s="11">
        <f>'Jobs-GAAP'!AH350</f>
        <v/>
      </c>
      <c r="T350" s="11">
        <f>IFERROR(R350-S350,0)</f>
        <v/>
      </c>
      <c r="U350" s="8">
        <f>'Jobs-Ops'!AM350</f>
        <v/>
      </c>
      <c r="V350" s="8">
        <f>'Jobs-GAAP'!AI350</f>
        <v/>
      </c>
      <c r="W350" s="8">
        <f>IFERROR(U350-V350,0)</f>
        <v/>
      </c>
      <c r="X350" s="9">
        <f>'Jobs-Ops'!AN350</f>
        <v/>
      </c>
      <c r="Y350" s="9">
        <f>'Jobs-GAAP'!AJ350</f>
        <v/>
      </c>
      <c r="Z350" s="9">
        <f>IFERROR(X350-Y350,0)</f>
        <v/>
      </c>
      <c r="AA350" s="153">
        <f>'Jobs-Ops'!AO350</f>
        <v/>
      </c>
      <c r="AB350" s="187" t="n"/>
      <c r="AC350" s="186" t="n"/>
      <c r="AD350" s="186" t="n"/>
      <c r="AE350" s="188" t="n"/>
      <c r="AF350" s="187" t="n"/>
      <c r="AG350" s="187" t="n"/>
      <c r="AH350" s="186" t="n"/>
      <c r="AI350" s="186" t="n"/>
      <c r="AJ350" s="186" t="n"/>
      <c r="AK350" s="186" t="n"/>
      <c r="AL350" s="186" t="n"/>
      <c r="AM350" s="186" t="n"/>
      <c r="AN350" s="186" t="n"/>
      <c r="AO350" s="186" t="n"/>
      <c r="AP350" s="186" t="n"/>
      <c r="AQ350" s="186" t="n"/>
      <c r="AR350" s="186" t="n"/>
      <c r="AS350" s="186" t="n"/>
      <c r="AT350" s="186" t="n"/>
      <c r="AU350" s="186" t="n"/>
      <c r="AV350" s="186" t="n"/>
      <c r="AW350" s="186" t="n"/>
      <c r="AX350" s="186" t="n"/>
      <c r="AY350" s="186" t="n"/>
      <c r="AZ350" s="186" t="n"/>
      <c r="BA350" s="186" t="n"/>
      <c r="BB350" s="186" t="n"/>
      <c r="BC350" s="186" t="n"/>
      <c r="BD350" s="190" t="n"/>
      <c r="BE350" s="186" t="n"/>
      <c r="BF350" s="186" t="n"/>
      <c r="BG350" s="186" t="n"/>
      <c r="BH350" s="186" t="n"/>
      <c r="BI350" s="186" t="n"/>
      <c r="BJ350" s="187" t="n"/>
      <c r="BK350" s="192" t="n"/>
      <c r="BL350" s="192" t="n"/>
      <c r="BM350" s="192" t="n"/>
      <c r="BN350" s="192" t="n"/>
    </row>
    <row r="351">
      <c r="A351" s="289">
        <f> 'Jobs-Ops'!A351</f>
        <v/>
      </c>
      <c r="B351" s="290">
        <f>'Jobs-Ops'!B351</f>
        <v/>
      </c>
      <c r="C351" s="290">
        <f>'Jobs-Ops'!C351</f>
        <v/>
      </c>
      <c r="D351" s="179" t="n"/>
      <c r="E351" s="181">
        <f>'Jobs-Ops'!I351</f>
        <v/>
      </c>
      <c r="F351" s="205">
        <f>'Jobs-Ops'!U351</f>
        <v/>
      </c>
      <c r="G351" s="181">
        <f>'Jobs-GAAP'!J351</f>
        <v/>
      </c>
      <c r="H351" s="205">
        <f>'Jobs-GAAP'!V351</f>
        <v/>
      </c>
      <c r="I351" s="181">
        <f>E351-G351</f>
        <v/>
      </c>
      <c r="J351" s="9">
        <f>'Jobs-Ops'!P351</f>
        <v/>
      </c>
      <c r="K351" s="9">
        <f>'Jobs-GAAP'!Q351</f>
        <v/>
      </c>
      <c r="L351" s="9">
        <f>J351-K351</f>
        <v/>
      </c>
      <c r="M351" s="186" t="n"/>
      <c r="N351" s="9">
        <f>'Jobs-Ops'!Y351</f>
        <v/>
      </c>
      <c r="O351" s="9">
        <f>'Jobs-GAAP'!Y351</f>
        <v/>
      </c>
      <c r="P351" s="9">
        <f>N351-O351</f>
        <v/>
      </c>
      <c r="Q351" s="186" t="n"/>
      <c r="R351" s="11">
        <f>'Jobs-Ops'!AL351</f>
        <v/>
      </c>
      <c r="S351" s="11">
        <f>'Jobs-GAAP'!AH351</f>
        <v/>
      </c>
      <c r="T351" s="11">
        <f>IFERROR(R351-S351,0)</f>
        <v/>
      </c>
      <c r="U351" s="8">
        <f>'Jobs-Ops'!AM351</f>
        <v/>
      </c>
      <c r="V351" s="8">
        <f>'Jobs-GAAP'!AI351</f>
        <v/>
      </c>
      <c r="W351" s="8">
        <f>IFERROR(U351-V351,0)</f>
        <v/>
      </c>
      <c r="X351" s="9">
        <f>'Jobs-Ops'!AN351</f>
        <v/>
      </c>
      <c r="Y351" s="9">
        <f>'Jobs-GAAP'!AJ351</f>
        <v/>
      </c>
      <c r="Z351" s="9">
        <f>IFERROR(X351-Y351,0)</f>
        <v/>
      </c>
      <c r="AA351" s="153">
        <f>'Jobs-Ops'!AO351</f>
        <v/>
      </c>
      <c r="AB351" s="187" t="n"/>
      <c r="AC351" s="186" t="n"/>
      <c r="AD351" s="186" t="n"/>
      <c r="AE351" s="188" t="n"/>
      <c r="AF351" s="187" t="n"/>
      <c r="AG351" s="187" t="n"/>
      <c r="AH351" s="186" t="n"/>
      <c r="AI351" s="186" t="n"/>
      <c r="AJ351" s="186" t="n"/>
      <c r="AK351" s="186" t="n"/>
      <c r="AL351" s="186" t="n"/>
      <c r="AM351" s="186" t="n"/>
      <c r="AN351" s="186" t="n"/>
      <c r="AO351" s="186" t="n"/>
      <c r="AP351" s="186" t="n"/>
      <c r="AQ351" s="186" t="n"/>
      <c r="AR351" s="186" t="n"/>
      <c r="AS351" s="186" t="n"/>
      <c r="AT351" s="186" t="n"/>
      <c r="AU351" s="186" t="n"/>
      <c r="AV351" s="186" t="n"/>
      <c r="AW351" s="186" t="n"/>
      <c r="AX351" s="186" t="n"/>
      <c r="AY351" s="186" t="n"/>
      <c r="AZ351" s="186" t="n"/>
      <c r="BA351" s="186" t="n"/>
      <c r="BB351" s="186" t="n"/>
      <c r="BC351" s="186" t="n"/>
      <c r="BD351" s="190" t="n"/>
      <c r="BE351" s="186" t="n"/>
      <c r="BF351" s="186" t="n"/>
      <c r="BG351" s="186" t="n"/>
      <c r="BH351" s="186" t="n"/>
      <c r="BI351" s="186" t="n"/>
      <c r="BJ351" s="187" t="n"/>
      <c r="BK351" s="192" t="n"/>
      <c r="BL351" s="192" t="n"/>
      <c r="BM351" s="192" t="n"/>
      <c r="BN351" s="192" t="n"/>
    </row>
    <row r="352">
      <c r="A352" s="289">
        <f> 'Jobs-Ops'!A352</f>
        <v/>
      </c>
      <c r="B352" s="290">
        <f>'Jobs-Ops'!B352</f>
        <v/>
      </c>
      <c r="C352" s="290">
        <f>'Jobs-Ops'!C352</f>
        <v/>
      </c>
      <c r="D352" s="179" t="n"/>
      <c r="E352" s="181">
        <f>'Jobs-Ops'!I352</f>
        <v/>
      </c>
      <c r="F352" s="205">
        <f>'Jobs-Ops'!U352</f>
        <v/>
      </c>
      <c r="G352" s="181">
        <f>'Jobs-GAAP'!J352</f>
        <v/>
      </c>
      <c r="H352" s="205">
        <f>'Jobs-GAAP'!V352</f>
        <v/>
      </c>
      <c r="I352" s="181">
        <f>E352-G352</f>
        <v/>
      </c>
      <c r="J352" s="9">
        <f>'Jobs-Ops'!P352</f>
        <v/>
      </c>
      <c r="K352" s="9">
        <f>'Jobs-GAAP'!Q352</f>
        <v/>
      </c>
      <c r="L352" s="9">
        <f>J352-K352</f>
        <v/>
      </c>
      <c r="M352" s="186" t="n"/>
      <c r="N352" s="9">
        <f>'Jobs-Ops'!Y352</f>
        <v/>
      </c>
      <c r="O352" s="9">
        <f>'Jobs-GAAP'!Y352</f>
        <v/>
      </c>
      <c r="P352" s="9">
        <f>N352-O352</f>
        <v/>
      </c>
      <c r="Q352" s="186" t="n"/>
      <c r="R352" s="11">
        <f>'Jobs-Ops'!AL352</f>
        <v/>
      </c>
      <c r="S352" s="11">
        <f>'Jobs-GAAP'!AH352</f>
        <v/>
      </c>
      <c r="T352" s="11">
        <f>IFERROR(R352-S352,0)</f>
        <v/>
      </c>
      <c r="U352" s="8">
        <f>'Jobs-Ops'!AM352</f>
        <v/>
      </c>
      <c r="V352" s="8">
        <f>'Jobs-GAAP'!AI352</f>
        <v/>
      </c>
      <c r="W352" s="8">
        <f>IFERROR(U352-V352,0)</f>
        <v/>
      </c>
      <c r="X352" s="9">
        <f>'Jobs-Ops'!AN352</f>
        <v/>
      </c>
      <c r="Y352" s="9">
        <f>'Jobs-GAAP'!AJ352</f>
        <v/>
      </c>
      <c r="Z352" s="9">
        <f>IFERROR(X352-Y352,0)</f>
        <v/>
      </c>
      <c r="AA352" s="153">
        <f>'Jobs-Ops'!AO352</f>
        <v/>
      </c>
      <c r="AB352" s="187" t="n"/>
      <c r="AC352" s="186" t="n"/>
      <c r="AD352" s="186" t="n"/>
      <c r="AE352" s="188" t="n"/>
      <c r="AF352" s="187" t="n"/>
      <c r="AG352" s="187" t="n"/>
      <c r="AH352" s="186" t="n"/>
      <c r="AI352" s="186" t="n"/>
      <c r="AJ352" s="186" t="n"/>
      <c r="AK352" s="186" t="n"/>
      <c r="AL352" s="186" t="n"/>
      <c r="AM352" s="186" t="n"/>
      <c r="AN352" s="186" t="n"/>
      <c r="AO352" s="186" t="n"/>
      <c r="AP352" s="186" t="n"/>
      <c r="AQ352" s="186" t="n"/>
      <c r="AR352" s="186" t="n"/>
      <c r="AS352" s="186" t="n"/>
      <c r="AT352" s="186" t="n"/>
      <c r="AU352" s="186" t="n"/>
      <c r="AV352" s="186" t="n"/>
      <c r="AW352" s="186" t="n"/>
      <c r="AX352" s="186" t="n"/>
      <c r="AY352" s="186" t="n"/>
      <c r="AZ352" s="186" t="n"/>
      <c r="BA352" s="186" t="n"/>
      <c r="BB352" s="186" t="n"/>
      <c r="BC352" s="186" t="n"/>
      <c r="BD352" s="190" t="n"/>
      <c r="BE352" s="186" t="n"/>
      <c r="BF352" s="186" t="n"/>
      <c r="BG352" s="186" t="n"/>
      <c r="BH352" s="186" t="n"/>
      <c r="BI352" s="186" t="n"/>
      <c r="BJ352" s="187" t="n"/>
      <c r="BK352" s="192" t="n"/>
      <c r="BL352" s="192" t="n"/>
      <c r="BM352" s="192" t="n"/>
      <c r="BN352" s="192" t="n"/>
    </row>
    <row r="353">
      <c r="A353" s="289">
        <f> 'Jobs-Ops'!A353</f>
        <v/>
      </c>
      <c r="B353" s="290">
        <f>'Jobs-Ops'!B353</f>
        <v/>
      </c>
      <c r="C353" s="290">
        <f>'Jobs-Ops'!C353</f>
        <v/>
      </c>
      <c r="D353" s="179" t="n"/>
      <c r="E353" s="181">
        <f>'Jobs-Ops'!I353</f>
        <v/>
      </c>
      <c r="F353" s="205">
        <f>'Jobs-Ops'!U353</f>
        <v/>
      </c>
      <c r="G353" s="181">
        <f>'Jobs-GAAP'!J353</f>
        <v/>
      </c>
      <c r="H353" s="205">
        <f>'Jobs-GAAP'!V353</f>
        <v/>
      </c>
      <c r="I353" s="181">
        <f>E353-G353</f>
        <v/>
      </c>
      <c r="J353" s="9">
        <f>'Jobs-Ops'!P353</f>
        <v/>
      </c>
      <c r="K353" s="9">
        <f>'Jobs-GAAP'!Q353</f>
        <v/>
      </c>
      <c r="L353" s="9">
        <f>J353-K353</f>
        <v/>
      </c>
      <c r="M353" s="186" t="n"/>
      <c r="N353" s="9">
        <f>'Jobs-Ops'!Y353</f>
        <v/>
      </c>
      <c r="O353" s="9">
        <f>'Jobs-GAAP'!Y353</f>
        <v/>
      </c>
      <c r="P353" s="9">
        <f>N353-O353</f>
        <v/>
      </c>
      <c r="Q353" s="186" t="n"/>
      <c r="R353" s="11">
        <f>'Jobs-Ops'!AL353</f>
        <v/>
      </c>
      <c r="S353" s="11">
        <f>'Jobs-GAAP'!AH353</f>
        <v/>
      </c>
      <c r="T353" s="11">
        <f>IFERROR(R353-S353,0)</f>
        <v/>
      </c>
      <c r="U353" s="8">
        <f>'Jobs-Ops'!AM353</f>
        <v/>
      </c>
      <c r="V353" s="8">
        <f>'Jobs-GAAP'!AI353</f>
        <v/>
      </c>
      <c r="W353" s="8">
        <f>IFERROR(U353-V353,0)</f>
        <v/>
      </c>
      <c r="X353" s="9">
        <f>'Jobs-Ops'!AN353</f>
        <v/>
      </c>
      <c r="Y353" s="9">
        <f>'Jobs-GAAP'!AJ353</f>
        <v/>
      </c>
      <c r="Z353" s="9">
        <f>IFERROR(X353-Y353,0)</f>
        <v/>
      </c>
      <c r="AA353" s="153">
        <f>'Jobs-Ops'!AO353</f>
        <v/>
      </c>
      <c r="AB353" s="187" t="n"/>
      <c r="AC353" s="186" t="n"/>
      <c r="AD353" s="186" t="n"/>
      <c r="AE353" s="188" t="n"/>
      <c r="AF353" s="187" t="n"/>
      <c r="AG353" s="187" t="n"/>
      <c r="AH353" s="186" t="n"/>
      <c r="AI353" s="186" t="n"/>
      <c r="AJ353" s="186" t="n"/>
      <c r="AK353" s="186" t="n"/>
      <c r="AL353" s="186" t="n"/>
      <c r="AM353" s="186" t="n"/>
      <c r="AN353" s="186" t="n"/>
      <c r="AO353" s="186" t="n"/>
      <c r="AP353" s="186" t="n"/>
      <c r="AQ353" s="186" t="n"/>
      <c r="AR353" s="186" t="n"/>
      <c r="AS353" s="186" t="n"/>
      <c r="AT353" s="186" t="n"/>
      <c r="AU353" s="186" t="n"/>
      <c r="AV353" s="186" t="n"/>
      <c r="AW353" s="186" t="n"/>
      <c r="AX353" s="186" t="n"/>
      <c r="AY353" s="186" t="n"/>
      <c r="AZ353" s="186" t="n"/>
      <c r="BA353" s="186" t="n"/>
      <c r="BB353" s="186" t="n"/>
      <c r="BC353" s="186" t="n"/>
      <c r="BD353" s="190" t="n"/>
      <c r="BE353" s="186" t="n"/>
      <c r="BF353" s="186" t="n"/>
      <c r="BG353" s="186" t="n"/>
      <c r="BH353" s="186" t="n"/>
      <c r="BI353" s="186" t="n"/>
      <c r="BJ353" s="187" t="n"/>
      <c r="BK353" s="192" t="n"/>
      <c r="BL353" s="192" t="n"/>
      <c r="BM353" s="192" t="n"/>
      <c r="BN353" s="192" t="n"/>
    </row>
    <row r="354">
      <c r="A354" s="289">
        <f> 'Jobs-Ops'!A354</f>
        <v/>
      </c>
      <c r="B354" s="290">
        <f>'Jobs-Ops'!B354</f>
        <v/>
      </c>
      <c r="C354" s="290">
        <f>'Jobs-Ops'!C354</f>
        <v/>
      </c>
      <c r="D354" s="179" t="n"/>
      <c r="E354" s="181">
        <f>'Jobs-Ops'!I354</f>
        <v/>
      </c>
      <c r="F354" s="205">
        <f>'Jobs-Ops'!U354</f>
        <v/>
      </c>
      <c r="G354" s="181">
        <f>'Jobs-GAAP'!J354</f>
        <v/>
      </c>
      <c r="H354" s="205">
        <f>'Jobs-GAAP'!V354</f>
        <v/>
      </c>
      <c r="I354" s="181">
        <f>E354-G354</f>
        <v/>
      </c>
      <c r="J354" s="9">
        <f>'Jobs-Ops'!P354</f>
        <v/>
      </c>
      <c r="K354" s="9">
        <f>'Jobs-GAAP'!Q354</f>
        <v/>
      </c>
      <c r="L354" s="9">
        <f>J354-K354</f>
        <v/>
      </c>
      <c r="M354" s="186" t="n"/>
      <c r="N354" s="9">
        <f>'Jobs-Ops'!Y354</f>
        <v/>
      </c>
      <c r="O354" s="9">
        <f>'Jobs-GAAP'!Y354</f>
        <v/>
      </c>
      <c r="P354" s="9">
        <f>N354-O354</f>
        <v/>
      </c>
      <c r="Q354" s="186" t="n"/>
      <c r="R354" s="11">
        <f>'Jobs-Ops'!AL354</f>
        <v/>
      </c>
      <c r="S354" s="11">
        <f>'Jobs-GAAP'!AH354</f>
        <v/>
      </c>
      <c r="T354" s="11">
        <f>IFERROR(R354-S354,0)</f>
        <v/>
      </c>
      <c r="U354" s="8">
        <f>'Jobs-Ops'!AM354</f>
        <v/>
      </c>
      <c r="V354" s="8">
        <f>'Jobs-GAAP'!AI354</f>
        <v/>
      </c>
      <c r="W354" s="8">
        <f>IFERROR(U354-V354,0)</f>
        <v/>
      </c>
      <c r="X354" s="9">
        <f>'Jobs-Ops'!AN354</f>
        <v/>
      </c>
      <c r="Y354" s="9">
        <f>'Jobs-GAAP'!AJ354</f>
        <v/>
      </c>
      <c r="Z354" s="9">
        <f>IFERROR(X354-Y354,0)</f>
        <v/>
      </c>
      <c r="AA354" s="153">
        <f>'Jobs-Ops'!AO354</f>
        <v/>
      </c>
      <c r="AB354" s="187" t="n"/>
      <c r="AC354" s="186" t="n"/>
      <c r="AD354" s="186" t="n"/>
      <c r="AE354" s="188" t="n"/>
      <c r="AF354" s="187" t="n"/>
      <c r="AG354" s="187" t="n"/>
      <c r="AH354" s="186" t="n"/>
      <c r="AI354" s="186" t="n"/>
      <c r="AJ354" s="186" t="n"/>
      <c r="AK354" s="186" t="n"/>
      <c r="AL354" s="186" t="n"/>
      <c r="AM354" s="186" t="n"/>
      <c r="AN354" s="186" t="n"/>
      <c r="AO354" s="186" t="n"/>
      <c r="AP354" s="186" t="n"/>
      <c r="AQ354" s="186" t="n"/>
      <c r="AR354" s="186" t="n"/>
      <c r="AS354" s="186" t="n"/>
      <c r="AT354" s="186" t="n"/>
      <c r="AU354" s="186" t="n"/>
      <c r="AV354" s="186" t="n"/>
      <c r="AW354" s="186" t="n"/>
      <c r="AX354" s="186" t="n"/>
      <c r="AY354" s="186" t="n"/>
      <c r="AZ354" s="186" t="n"/>
      <c r="BA354" s="186" t="n"/>
      <c r="BB354" s="186" t="n"/>
      <c r="BC354" s="186" t="n"/>
      <c r="BD354" s="190" t="n"/>
      <c r="BE354" s="186" t="n"/>
      <c r="BF354" s="186" t="n"/>
      <c r="BG354" s="186" t="n"/>
      <c r="BH354" s="186" t="n"/>
      <c r="BI354" s="186" t="n"/>
      <c r="BJ354" s="187" t="n"/>
      <c r="BK354" s="192" t="n"/>
      <c r="BL354" s="192" t="n"/>
      <c r="BM354" s="192" t="n"/>
      <c r="BN354" s="192" t="n"/>
    </row>
    <row r="355">
      <c r="A355" s="289">
        <f> 'Jobs-Ops'!A355</f>
        <v/>
      </c>
      <c r="B355" s="290">
        <f>'Jobs-Ops'!B355</f>
        <v/>
      </c>
      <c r="C355" s="290">
        <f>'Jobs-Ops'!C355</f>
        <v/>
      </c>
      <c r="D355" s="179" t="n"/>
      <c r="E355" s="181">
        <f>'Jobs-Ops'!I355</f>
        <v/>
      </c>
      <c r="F355" s="205">
        <f>'Jobs-Ops'!U355</f>
        <v/>
      </c>
      <c r="G355" s="181">
        <f>'Jobs-GAAP'!J355</f>
        <v/>
      </c>
      <c r="H355" s="205">
        <f>'Jobs-GAAP'!V355</f>
        <v/>
      </c>
      <c r="I355" s="181">
        <f>E355-G355</f>
        <v/>
      </c>
      <c r="J355" s="9">
        <f>'Jobs-Ops'!P355</f>
        <v/>
      </c>
      <c r="K355" s="9">
        <f>'Jobs-GAAP'!Q355</f>
        <v/>
      </c>
      <c r="L355" s="9">
        <f>J355-K355</f>
        <v/>
      </c>
      <c r="M355" s="186" t="n"/>
      <c r="N355" s="9">
        <f>'Jobs-Ops'!Y355</f>
        <v/>
      </c>
      <c r="O355" s="9">
        <f>'Jobs-GAAP'!Y355</f>
        <v/>
      </c>
      <c r="P355" s="9">
        <f>N355-O355</f>
        <v/>
      </c>
      <c r="Q355" s="186" t="n"/>
      <c r="R355" s="11">
        <f>'Jobs-Ops'!AL355</f>
        <v/>
      </c>
      <c r="S355" s="11">
        <f>'Jobs-GAAP'!AH355</f>
        <v/>
      </c>
      <c r="T355" s="11">
        <f>IFERROR(R355-S355,0)</f>
        <v/>
      </c>
      <c r="U355" s="8">
        <f>'Jobs-Ops'!AM355</f>
        <v/>
      </c>
      <c r="V355" s="8">
        <f>'Jobs-GAAP'!AI355</f>
        <v/>
      </c>
      <c r="W355" s="8">
        <f>IFERROR(U355-V355,0)</f>
        <v/>
      </c>
      <c r="X355" s="9">
        <f>'Jobs-Ops'!AN355</f>
        <v/>
      </c>
      <c r="Y355" s="9">
        <f>'Jobs-GAAP'!AJ355</f>
        <v/>
      </c>
      <c r="Z355" s="9">
        <f>IFERROR(X355-Y355,0)</f>
        <v/>
      </c>
      <c r="AA355" s="153">
        <f>'Jobs-Ops'!AO355</f>
        <v/>
      </c>
      <c r="AB355" s="187" t="n"/>
      <c r="AC355" s="186" t="n"/>
      <c r="AD355" s="186" t="n"/>
      <c r="AE355" s="188" t="n"/>
      <c r="AF355" s="187" t="n"/>
      <c r="AG355" s="187" t="n"/>
      <c r="AH355" s="186" t="n"/>
      <c r="AI355" s="186" t="n"/>
      <c r="AJ355" s="186" t="n"/>
      <c r="AK355" s="186" t="n"/>
      <c r="AL355" s="186" t="n"/>
      <c r="AM355" s="186" t="n"/>
      <c r="AN355" s="186" t="n"/>
      <c r="AO355" s="186" t="n"/>
      <c r="AP355" s="186" t="n"/>
      <c r="AQ355" s="186" t="n"/>
      <c r="AR355" s="186" t="n"/>
      <c r="AS355" s="186" t="n"/>
      <c r="AT355" s="186" t="n"/>
      <c r="AU355" s="186" t="n"/>
      <c r="AV355" s="186" t="n"/>
      <c r="AW355" s="186" t="n"/>
      <c r="AX355" s="186" t="n"/>
      <c r="AY355" s="186" t="n"/>
      <c r="AZ355" s="186" t="n"/>
      <c r="BA355" s="186" t="n"/>
      <c r="BB355" s="186" t="n"/>
      <c r="BC355" s="186" t="n"/>
      <c r="BD355" s="190" t="n"/>
      <c r="BE355" s="186" t="n"/>
      <c r="BF355" s="186" t="n"/>
      <c r="BG355" s="186" t="n"/>
      <c r="BH355" s="186" t="n"/>
      <c r="BI355" s="186" t="n"/>
      <c r="BJ355" s="187" t="n"/>
      <c r="BK355" s="192" t="n"/>
      <c r="BL355" s="192" t="n"/>
      <c r="BM355" s="192" t="n"/>
      <c r="BN355" s="192" t="n"/>
    </row>
    <row r="356">
      <c r="A356" s="289">
        <f> 'Jobs-Ops'!A356</f>
        <v/>
      </c>
      <c r="B356" s="290">
        <f>'Jobs-Ops'!B356</f>
        <v/>
      </c>
      <c r="C356" s="290">
        <f>'Jobs-Ops'!C356</f>
        <v/>
      </c>
      <c r="D356" s="179" t="n"/>
      <c r="E356" s="181">
        <f>'Jobs-Ops'!I356</f>
        <v/>
      </c>
      <c r="F356" s="205">
        <f>'Jobs-Ops'!U356</f>
        <v/>
      </c>
      <c r="G356" s="181">
        <f>'Jobs-GAAP'!J356</f>
        <v/>
      </c>
      <c r="H356" s="205">
        <f>'Jobs-GAAP'!V356</f>
        <v/>
      </c>
      <c r="I356" s="181">
        <f>E356-G356</f>
        <v/>
      </c>
      <c r="J356" s="9">
        <f>'Jobs-Ops'!P356</f>
        <v/>
      </c>
      <c r="K356" s="9">
        <f>'Jobs-GAAP'!Q356</f>
        <v/>
      </c>
      <c r="L356" s="9">
        <f>J356-K356</f>
        <v/>
      </c>
      <c r="M356" s="186" t="n"/>
      <c r="N356" s="9">
        <f>'Jobs-Ops'!Y356</f>
        <v/>
      </c>
      <c r="O356" s="9">
        <f>'Jobs-GAAP'!Y356</f>
        <v/>
      </c>
      <c r="P356" s="9">
        <f>N356-O356</f>
        <v/>
      </c>
      <c r="Q356" s="186" t="n"/>
      <c r="R356" s="11">
        <f>'Jobs-Ops'!AL356</f>
        <v/>
      </c>
      <c r="S356" s="11">
        <f>'Jobs-GAAP'!AH356</f>
        <v/>
      </c>
      <c r="T356" s="11">
        <f>IFERROR(R356-S356,0)</f>
        <v/>
      </c>
      <c r="U356" s="8">
        <f>'Jobs-Ops'!AM356</f>
        <v/>
      </c>
      <c r="V356" s="8">
        <f>'Jobs-GAAP'!AI356</f>
        <v/>
      </c>
      <c r="W356" s="8">
        <f>IFERROR(U356-V356,0)</f>
        <v/>
      </c>
      <c r="X356" s="9">
        <f>'Jobs-Ops'!AN356</f>
        <v/>
      </c>
      <c r="Y356" s="9">
        <f>'Jobs-GAAP'!AJ356</f>
        <v/>
      </c>
      <c r="Z356" s="9">
        <f>IFERROR(X356-Y356,0)</f>
        <v/>
      </c>
      <c r="AA356" s="153">
        <f>'Jobs-Ops'!AO356</f>
        <v/>
      </c>
      <c r="AB356" s="187" t="n"/>
      <c r="AC356" s="186" t="n"/>
      <c r="AD356" s="186" t="n"/>
      <c r="AE356" s="188" t="n"/>
      <c r="AF356" s="187" t="n"/>
      <c r="AG356" s="187" t="n"/>
      <c r="AH356" s="186" t="n"/>
      <c r="AI356" s="186" t="n"/>
      <c r="AJ356" s="186" t="n"/>
      <c r="AK356" s="186" t="n"/>
      <c r="AL356" s="186" t="n"/>
      <c r="AM356" s="186" t="n"/>
      <c r="AN356" s="186" t="n"/>
      <c r="AO356" s="186" t="n"/>
      <c r="AP356" s="186" t="n"/>
      <c r="AQ356" s="186" t="n"/>
      <c r="AR356" s="186" t="n"/>
      <c r="AS356" s="186" t="n"/>
      <c r="AT356" s="186" t="n"/>
      <c r="AU356" s="186" t="n"/>
      <c r="AV356" s="186" t="n"/>
      <c r="AW356" s="186" t="n"/>
      <c r="AX356" s="186" t="n"/>
      <c r="AY356" s="186" t="n"/>
      <c r="AZ356" s="186" t="n"/>
      <c r="BA356" s="186" t="n"/>
      <c r="BB356" s="186" t="n"/>
      <c r="BC356" s="186" t="n"/>
      <c r="BD356" s="190" t="n"/>
      <c r="BE356" s="186" t="n"/>
      <c r="BF356" s="186" t="n"/>
      <c r="BG356" s="186" t="n"/>
      <c r="BH356" s="186" t="n"/>
      <c r="BI356" s="186" t="n"/>
      <c r="BJ356" s="187" t="n"/>
      <c r="BK356" s="192" t="n"/>
      <c r="BL356" s="192" t="n"/>
      <c r="BM356" s="192" t="n"/>
      <c r="BN356" s="192" t="n"/>
    </row>
    <row r="357">
      <c r="A357" s="289">
        <f> 'Jobs-Ops'!A357</f>
        <v/>
      </c>
      <c r="B357" s="290">
        <f>'Jobs-Ops'!B357</f>
        <v/>
      </c>
      <c r="C357" s="290">
        <f>'Jobs-Ops'!C357</f>
        <v/>
      </c>
      <c r="D357" s="179" t="n"/>
      <c r="E357" s="181">
        <f>'Jobs-Ops'!I357</f>
        <v/>
      </c>
      <c r="F357" s="205">
        <f>'Jobs-Ops'!U357</f>
        <v/>
      </c>
      <c r="G357" s="181">
        <f>'Jobs-GAAP'!J357</f>
        <v/>
      </c>
      <c r="H357" s="205">
        <f>'Jobs-GAAP'!V357</f>
        <v/>
      </c>
      <c r="I357" s="181">
        <f>E357-G357</f>
        <v/>
      </c>
      <c r="J357" s="9">
        <f>'Jobs-Ops'!P357</f>
        <v/>
      </c>
      <c r="K357" s="9">
        <f>'Jobs-GAAP'!Q357</f>
        <v/>
      </c>
      <c r="L357" s="9">
        <f>J357-K357</f>
        <v/>
      </c>
      <c r="M357" s="186" t="n"/>
      <c r="N357" s="9">
        <f>'Jobs-Ops'!Y357</f>
        <v/>
      </c>
      <c r="O357" s="9">
        <f>'Jobs-GAAP'!Y357</f>
        <v/>
      </c>
      <c r="P357" s="9">
        <f>N357-O357</f>
        <v/>
      </c>
      <c r="Q357" s="186" t="n"/>
      <c r="R357" s="11">
        <f>'Jobs-Ops'!AL357</f>
        <v/>
      </c>
      <c r="S357" s="11">
        <f>'Jobs-GAAP'!AH357</f>
        <v/>
      </c>
      <c r="T357" s="11">
        <f>IFERROR(R357-S357,0)</f>
        <v/>
      </c>
      <c r="U357" s="8">
        <f>'Jobs-Ops'!AM357</f>
        <v/>
      </c>
      <c r="V357" s="8">
        <f>'Jobs-GAAP'!AI357</f>
        <v/>
      </c>
      <c r="W357" s="8">
        <f>IFERROR(U357-V357,0)</f>
        <v/>
      </c>
      <c r="X357" s="9">
        <f>'Jobs-Ops'!AN357</f>
        <v/>
      </c>
      <c r="Y357" s="9">
        <f>'Jobs-GAAP'!AJ357</f>
        <v/>
      </c>
      <c r="Z357" s="9">
        <f>IFERROR(X357-Y357,0)</f>
        <v/>
      </c>
      <c r="AA357" s="153">
        <f>'Jobs-Ops'!AO357</f>
        <v/>
      </c>
      <c r="AB357" s="187" t="n"/>
      <c r="AC357" s="186" t="n"/>
      <c r="AD357" s="186" t="n"/>
      <c r="AE357" s="188" t="n"/>
      <c r="AF357" s="187" t="n"/>
      <c r="AG357" s="187" t="n"/>
      <c r="AH357" s="186" t="n"/>
      <c r="AI357" s="186" t="n"/>
      <c r="AJ357" s="186" t="n"/>
      <c r="AK357" s="186" t="n"/>
      <c r="AL357" s="186" t="n"/>
      <c r="AM357" s="186" t="n"/>
      <c r="AN357" s="186" t="n"/>
      <c r="AO357" s="186" t="n"/>
      <c r="AP357" s="186" t="n"/>
      <c r="AQ357" s="186" t="n"/>
      <c r="AR357" s="186" t="n"/>
      <c r="AS357" s="186" t="n"/>
      <c r="AT357" s="186" t="n"/>
      <c r="AU357" s="186" t="n"/>
      <c r="AV357" s="186" t="n"/>
      <c r="AW357" s="186" t="n"/>
      <c r="AX357" s="186" t="n"/>
      <c r="AY357" s="186" t="n"/>
      <c r="AZ357" s="186" t="n"/>
      <c r="BA357" s="186" t="n"/>
      <c r="BB357" s="186" t="n"/>
      <c r="BC357" s="186" t="n"/>
      <c r="BD357" s="190" t="n"/>
      <c r="BE357" s="186" t="n"/>
      <c r="BF357" s="186" t="n"/>
      <c r="BG357" s="186" t="n"/>
      <c r="BH357" s="186" t="n"/>
      <c r="BI357" s="186" t="n"/>
      <c r="BJ357" s="187" t="n"/>
      <c r="BK357" s="192" t="n"/>
      <c r="BL357" s="192" t="n"/>
      <c r="BM357" s="192" t="n"/>
      <c r="BN357" s="192" t="n"/>
    </row>
    <row r="358">
      <c r="A358" s="289">
        <f> 'Jobs-Ops'!A358</f>
        <v/>
      </c>
      <c r="B358" s="290">
        <f>'Jobs-Ops'!B358</f>
        <v/>
      </c>
      <c r="C358" s="290">
        <f>'Jobs-Ops'!C358</f>
        <v/>
      </c>
      <c r="D358" s="179" t="n"/>
      <c r="E358" s="181">
        <f>'Jobs-Ops'!I358</f>
        <v/>
      </c>
      <c r="F358" s="205">
        <f>'Jobs-Ops'!U358</f>
        <v/>
      </c>
      <c r="G358" s="181">
        <f>'Jobs-GAAP'!J358</f>
        <v/>
      </c>
      <c r="H358" s="205">
        <f>'Jobs-GAAP'!V358</f>
        <v/>
      </c>
      <c r="I358" s="181">
        <f>E358-G358</f>
        <v/>
      </c>
      <c r="J358" s="9">
        <f>'Jobs-Ops'!P358</f>
        <v/>
      </c>
      <c r="K358" s="9">
        <f>'Jobs-GAAP'!Q358</f>
        <v/>
      </c>
      <c r="L358" s="9">
        <f>J358-K358</f>
        <v/>
      </c>
      <c r="M358" s="186" t="n"/>
      <c r="N358" s="9">
        <f>'Jobs-Ops'!Y358</f>
        <v/>
      </c>
      <c r="O358" s="9">
        <f>'Jobs-GAAP'!Y358</f>
        <v/>
      </c>
      <c r="P358" s="9">
        <f>N358-O358</f>
        <v/>
      </c>
      <c r="Q358" s="186" t="n"/>
      <c r="R358" s="11">
        <f>'Jobs-Ops'!AL358</f>
        <v/>
      </c>
      <c r="S358" s="11">
        <f>'Jobs-GAAP'!AH358</f>
        <v/>
      </c>
      <c r="T358" s="11">
        <f>IFERROR(R358-S358,0)</f>
        <v/>
      </c>
      <c r="U358" s="8">
        <f>'Jobs-Ops'!AM358</f>
        <v/>
      </c>
      <c r="V358" s="8">
        <f>'Jobs-GAAP'!AI358</f>
        <v/>
      </c>
      <c r="W358" s="8">
        <f>IFERROR(U358-V358,0)</f>
        <v/>
      </c>
      <c r="X358" s="9">
        <f>'Jobs-Ops'!AN358</f>
        <v/>
      </c>
      <c r="Y358" s="9">
        <f>'Jobs-GAAP'!AJ358</f>
        <v/>
      </c>
      <c r="Z358" s="9">
        <f>IFERROR(X358-Y358,0)</f>
        <v/>
      </c>
      <c r="AA358" s="153">
        <f>'Jobs-Ops'!AO358</f>
        <v/>
      </c>
      <c r="AB358" s="187" t="n"/>
      <c r="AC358" s="186" t="n"/>
      <c r="AD358" s="186" t="n"/>
      <c r="AE358" s="188" t="n"/>
      <c r="AF358" s="187" t="n"/>
      <c r="AG358" s="187" t="n"/>
      <c r="AH358" s="186" t="n"/>
      <c r="AI358" s="186" t="n"/>
      <c r="AJ358" s="186" t="n"/>
      <c r="AK358" s="186" t="n"/>
      <c r="AL358" s="186" t="n"/>
      <c r="AM358" s="186" t="n"/>
      <c r="AN358" s="186" t="n"/>
      <c r="AO358" s="186" t="n"/>
      <c r="AP358" s="186" t="n"/>
      <c r="AQ358" s="186" t="n"/>
      <c r="AR358" s="186" t="n"/>
      <c r="AS358" s="186" t="n"/>
      <c r="AT358" s="186" t="n"/>
      <c r="AU358" s="186" t="n"/>
      <c r="AV358" s="186" t="n"/>
      <c r="AW358" s="186" t="n"/>
      <c r="AX358" s="186" t="n"/>
      <c r="AY358" s="186" t="n"/>
      <c r="AZ358" s="186" t="n"/>
      <c r="BA358" s="186" t="n"/>
      <c r="BB358" s="186" t="n"/>
      <c r="BC358" s="186" t="n"/>
      <c r="BD358" s="190" t="n"/>
      <c r="BE358" s="186" t="n"/>
      <c r="BF358" s="186" t="n"/>
      <c r="BG358" s="186" t="n"/>
      <c r="BH358" s="186" t="n"/>
      <c r="BI358" s="186" t="n"/>
      <c r="BJ358" s="187" t="n"/>
      <c r="BK358" s="192" t="n"/>
      <c r="BL358" s="192" t="n"/>
      <c r="BM358" s="192" t="n"/>
      <c r="BN358" s="192" t="n"/>
    </row>
    <row r="359">
      <c r="A359" s="289">
        <f> 'Jobs-Ops'!A359</f>
        <v/>
      </c>
      <c r="B359" s="290">
        <f>'Jobs-Ops'!B359</f>
        <v/>
      </c>
      <c r="C359" s="290">
        <f>'Jobs-Ops'!C359</f>
        <v/>
      </c>
      <c r="D359" s="179" t="n"/>
      <c r="E359" s="181">
        <f>'Jobs-Ops'!I359</f>
        <v/>
      </c>
      <c r="F359" s="205">
        <f>'Jobs-Ops'!U359</f>
        <v/>
      </c>
      <c r="G359" s="181">
        <f>'Jobs-GAAP'!J359</f>
        <v/>
      </c>
      <c r="H359" s="205">
        <f>'Jobs-GAAP'!V359</f>
        <v/>
      </c>
      <c r="I359" s="181">
        <f>E359-G359</f>
        <v/>
      </c>
      <c r="J359" s="9">
        <f>'Jobs-Ops'!P359</f>
        <v/>
      </c>
      <c r="K359" s="9">
        <f>'Jobs-GAAP'!Q359</f>
        <v/>
      </c>
      <c r="L359" s="9">
        <f>J359-K359</f>
        <v/>
      </c>
      <c r="M359" s="186" t="n"/>
      <c r="N359" s="9">
        <f>'Jobs-Ops'!Y359</f>
        <v/>
      </c>
      <c r="O359" s="9">
        <f>'Jobs-GAAP'!Y359</f>
        <v/>
      </c>
      <c r="P359" s="9">
        <f>N359-O359</f>
        <v/>
      </c>
      <c r="Q359" s="186" t="n"/>
      <c r="R359" s="11">
        <f>'Jobs-Ops'!AL359</f>
        <v/>
      </c>
      <c r="S359" s="11">
        <f>'Jobs-GAAP'!AH359</f>
        <v/>
      </c>
      <c r="T359" s="11">
        <f>IFERROR(R359-S359,0)</f>
        <v/>
      </c>
      <c r="U359" s="8">
        <f>'Jobs-Ops'!AM359</f>
        <v/>
      </c>
      <c r="V359" s="8">
        <f>'Jobs-GAAP'!AI359</f>
        <v/>
      </c>
      <c r="W359" s="8">
        <f>IFERROR(U359-V359,0)</f>
        <v/>
      </c>
      <c r="X359" s="9">
        <f>'Jobs-Ops'!AN359</f>
        <v/>
      </c>
      <c r="Y359" s="9">
        <f>'Jobs-GAAP'!AJ359</f>
        <v/>
      </c>
      <c r="Z359" s="9">
        <f>IFERROR(X359-Y359,0)</f>
        <v/>
      </c>
      <c r="AA359" s="153">
        <f>'Jobs-Ops'!AO359</f>
        <v/>
      </c>
      <c r="AB359" s="187" t="n"/>
      <c r="AC359" s="186" t="n"/>
      <c r="AD359" s="186" t="n"/>
      <c r="AE359" s="188" t="n"/>
      <c r="AF359" s="187" t="n"/>
      <c r="AG359" s="187" t="n"/>
      <c r="AH359" s="186" t="n"/>
      <c r="AI359" s="186" t="n"/>
      <c r="AJ359" s="186" t="n"/>
      <c r="AK359" s="186" t="n"/>
      <c r="AL359" s="186" t="n"/>
      <c r="AM359" s="186" t="n"/>
      <c r="AN359" s="186" t="n"/>
      <c r="AO359" s="186" t="n"/>
      <c r="AP359" s="186" t="n"/>
      <c r="AQ359" s="186" t="n"/>
      <c r="AR359" s="186" t="n"/>
      <c r="AS359" s="186" t="n"/>
      <c r="AT359" s="186" t="n"/>
      <c r="AU359" s="186" t="n"/>
      <c r="AV359" s="186" t="n"/>
      <c r="AW359" s="186" t="n"/>
      <c r="AX359" s="186" t="n"/>
      <c r="AY359" s="186" t="n"/>
      <c r="AZ359" s="186" t="n"/>
      <c r="BA359" s="186" t="n"/>
      <c r="BB359" s="186" t="n"/>
      <c r="BC359" s="186" t="n"/>
      <c r="BD359" s="190" t="n"/>
      <c r="BE359" s="186" t="n"/>
      <c r="BF359" s="186" t="n"/>
      <c r="BG359" s="186" t="n"/>
      <c r="BH359" s="186" t="n"/>
      <c r="BI359" s="186" t="n"/>
      <c r="BJ359" s="187" t="n"/>
      <c r="BK359" s="192" t="n"/>
      <c r="BL359" s="192" t="n"/>
      <c r="BM359" s="192" t="n"/>
      <c r="BN359" s="192" t="n"/>
    </row>
    <row r="360">
      <c r="A360" s="289">
        <f> 'Jobs-Ops'!A360</f>
        <v/>
      </c>
      <c r="B360" s="290">
        <f>'Jobs-Ops'!B360</f>
        <v/>
      </c>
      <c r="C360" s="290">
        <f>'Jobs-Ops'!C360</f>
        <v/>
      </c>
      <c r="D360" s="179" t="n"/>
      <c r="E360" s="181">
        <f>'Jobs-Ops'!I360</f>
        <v/>
      </c>
      <c r="F360" s="205">
        <f>'Jobs-Ops'!U360</f>
        <v/>
      </c>
      <c r="G360" s="181">
        <f>'Jobs-GAAP'!J360</f>
        <v/>
      </c>
      <c r="H360" s="205">
        <f>'Jobs-GAAP'!V360</f>
        <v/>
      </c>
      <c r="I360" s="181">
        <f>E360-G360</f>
        <v/>
      </c>
      <c r="J360" s="9">
        <f>'Jobs-Ops'!P360</f>
        <v/>
      </c>
      <c r="K360" s="9">
        <f>'Jobs-GAAP'!Q360</f>
        <v/>
      </c>
      <c r="L360" s="9">
        <f>J360-K360</f>
        <v/>
      </c>
      <c r="M360" s="186" t="n"/>
      <c r="N360" s="9">
        <f>'Jobs-Ops'!Y360</f>
        <v/>
      </c>
      <c r="O360" s="9">
        <f>'Jobs-GAAP'!Y360</f>
        <v/>
      </c>
      <c r="P360" s="9">
        <f>N360-O360</f>
        <v/>
      </c>
      <c r="Q360" s="186" t="n"/>
      <c r="R360" s="11">
        <f>'Jobs-Ops'!AL360</f>
        <v/>
      </c>
      <c r="S360" s="11">
        <f>'Jobs-GAAP'!AH360</f>
        <v/>
      </c>
      <c r="T360" s="11">
        <f>IFERROR(R360-S360,0)</f>
        <v/>
      </c>
      <c r="U360" s="8">
        <f>'Jobs-Ops'!AM360</f>
        <v/>
      </c>
      <c r="V360" s="8">
        <f>'Jobs-GAAP'!AI360</f>
        <v/>
      </c>
      <c r="W360" s="8">
        <f>IFERROR(U360-V360,0)</f>
        <v/>
      </c>
      <c r="X360" s="9">
        <f>'Jobs-Ops'!AN360</f>
        <v/>
      </c>
      <c r="Y360" s="9">
        <f>'Jobs-GAAP'!AJ360</f>
        <v/>
      </c>
      <c r="Z360" s="9">
        <f>IFERROR(X360-Y360,0)</f>
        <v/>
      </c>
      <c r="AA360" s="153">
        <f>'Jobs-Ops'!AO360</f>
        <v/>
      </c>
      <c r="AB360" s="187" t="n"/>
      <c r="AC360" s="186" t="n"/>
      <c r="AD360" s="186" t="n"/>
      <c r="AE360" s="188" t="n"/>
      <c r="AF360" s="187" t="n"/>
      <c r="AG360" s="187" t="n"/>
      <c r="AH360" s="186" t="n"/>
      <c r="AI360" s="186" t="n"/>
      <c r="AJ360" s="186" t="n"/>
      <c r="AK360" s="186" t="n"/>
      <c r="AL360" s="186" t="n"/>
      <c r="AM360" s="186" t="n"/>
      <c r="AN360" s="186" t="n"/>
      <c r="AO360" s="186" t="n"/>
      <c r="AP360" s="186" t="n"/>
      <c r="AQ360" s="186" t="n"/>
      <c r="AR360" s="186" t="n"/>
      <c r="AS360" s="186" t="n"/>
      <c r="AT360" s="186" t="n"/>
      <c r="AU360" s="186" t="n"/>
      <c r="AV360" s="186" t="n"/>
      <c r="AW360" s="186" t="n"/>
      <c r="AX360" s="186" t="n"/>
      <c r="AY360" s="186" t="n"/>
      <c r="AZ360" s="186" t="n"/>
      <c r="BA360" s="186" t="n"/>
      <c r="BB360" s="186" t="n"/>
      <c r="BC360" s="186" t="n"/>
      <c r="BD360" s="190" t="n"/>
      <c r="BE360" s="186" t="n"/>
      <c r="BF360" s="186" t="n"/>
      <c r="BG360" s="186" t="n"/>
      <c r="BH360" s="186" t="n"/>
      <c r="BI360" s="186" t="n"/>
      <c r="BJ360" s="187" t="n"/>
      <c r="BK360" s="192" t="n"/>
      <c r="BL360" s="192" t="n"/>
      <c r="BM360" s="192" t="n"/>
      <c r="BN360" s="192" t="n"/>
    </row>
    <row r="361">
      <c r="A361" s="289">
        <f> 'Jobs-Ops'!A361</f>
        <v/>
      </c>
      <c r="B361" s="290">
        <f>'Jobs-Ops'!B361</f>
        <v/>
      </c>
      <c r="C361" s="290">
        <f>'Jobs-Ops'!C361</f>
        <v/>
      </c>
      <c r="D361" s="179" t="n"/>
      <c r="E361" s="181">
        <f>'Jobs-Ops'!I361</f>
        <v/>
      </c>
      <c r="F361" s="205">
        <f>'Jobs-Ops'!U361</f>
        <v/>
      </c>
      <c r="G361" s="181">
        <f>'Jobs-GAAP'!J361</f>
        <v/>
      </c>
      <c r="H361" s="205">
        <f>'Jobs-GAAP'!V361</f>
        <v/>
      </c>
      <c r="I361" s="181">
        <f>E361-G361</f>
        <v/>
      </c>
      <c r="J361" s="9">
        <f>'Jobs-Ops'!P361</f>
        <v/>
      </c>
      <c r="K361" s="9">
        <f>'Jobs-GAAP'!Q361</f>
        <v/>
      </c>
      <c r="L361" s="9">
        <f>J361-K361</f>
        <v/>
      </c>
      <c r="M361" s="186" t="n"/>
      <c r="N361" s="9">
        <f>'Jobs-Ops'!Y361</f>
        <v/>
      </c>
      <c r="O361" s="9">
        <f>'Jobs-GAAP'!Y361</f>
        <v/>
      </c>
      <c r="P361" s="9">
        <f>N361-O361</f>
        <v/>
      </c>
      <c r="Q361" s="186" t="n"/>
      <c r="R361" s="11">
        <f>'Jobs-Ops'!AL361</f>
        <v/>
      </c>
      <c r="S361" s="11">
        <f>'Jobs-GAAP'!AH361</f>
        <v/>
      </c>
      <c r="T361" s="11">
        <f>IFERROR(R361-S361,0)</f>
        <v/>
      </c>
      <c r="U361" s="8">
        <f>'Jobs-Ops'!AM361</f>
        <v/>
      </c>
      <c r="V361" s="8">
        <f>'Jobs-GAAP'!AI361</f>
        <v/>
      </c>
      <c r="W361" s="8">
        <f>IFERROR(U361-V361,0)</f>
        <v/>
      </c>
      <c r="X361" s="9">
        <f>'Jobs-Ops'!AN361</f>
        <v/>
      </c>
      <c r="Y361" s="9">
        <f>'Jobs-GAAP'!AJ361</f>
        <v/>
      </c>
      <c r="Z361" s="9">
        <f>IFERROR(X361-Y361,0)</f>
        <v/>
      </c>
      <c r="AA361" s="153">
        <f>'Jobs-Ops'!AO361</f>
        <v/>
      </c>
      <c r="AB361" s="187" t="n"/>
      <c r="AC361" s="186" t="n"/>
      <c r="AD361" s="186" t="n"/>
      <c r="AE361" s="188" t="n"/>
      <c r="AF361" s="187" t="n"/>
      <c r="AG361" s="187" t="n"/>
      <c r="AH361" s="186" t="n"/>
      <c r="AI361" s="186" t="n"/>
      <c r="AJ361" s="186" t="n"/>
      <c r="AK361" s="186" t="n"/>
      <c r="AL361" s="186" t="n"/>
      <c r="AM361" s="186" t="n"/>
      <c r="AN361" s="186" t="n"/>
      <c r="AO361" s="186" t="n"/>
      <c r="AP361" s="186" t="n"/>
      <c r="AQ361" s="186" t="n"/>
      <c r="AR361" s="186" t="n"/>
      <c r="AS361" s="186" t="n"/>
      <c r="AT361" s="186" t="n"/>
      <c r="AU361" s="186" t="n"/>
      <c r="AV361" s="186" t="n"/>
      <c r="AW361" s="186" t="n"/>
      <c r="AX361" s="186" t="n"/>
      <c r="AY361" s="186" t="n"/>
      <c r="AZ361" s="186" t="n"/>
      <c r="BA361" s="186" t="n"/>
      <c r="BB361" s="186" t="n"/>
      <c r="BC361" s="186" t="n"/>
      <c r="BD361" s="190" t="n"/>
      <c r="BE361" s="186" t="n"/>
      <c r="BF361" s="186" t="n"/>
      <c r="BG361" s="186" t="n"/>
      <c r="BH361" s="186" t="n"/>
      <c r="BI361" s="186" t="n"/>
      <c r="BJ361" s="187" t="n"/>
      <c r="BK361" s="192" t="n"/>
      <c r="BL361" s="192" t="n"/>
      <c r="BM361" s="192" t="n"/>
      <c r="BN361" s="192" t="n"/>
    </row>
    <row r="362">
      <c r="A362" s="289">
        <f> 'Jobs-Ops'!A362</f>
        <v/>
      </c>
      <c r="B362" s="290">
        <f>'Jobs-Ops'!B362</f>
        <v/>
      </c>
      <c r="C362" s="290">
        <f>'Jobs-Ops'!C362</f>
        <v/>
      </c>
      <c r="D362" s="179" t="n"/>
      <c r="E362" s="181">
        <f>'Jobs-Ops'!I362</f>
        <v/>
      </c>
      <c r="F362" s="205">
        <f>'Jobs-Ops'!U362</f>
        <v/>
      </c>
      <c r="G362" s="181">
        <f>'Jobs-GAAP'!J362</f>
        <v/>
      </c>
      <c r="H362" s="205">
        <f>'Jobs-GAAP'!V362</f>
        <v/>
      </c>
      <c r="I362" s="181">
        <f>E362-G362</f>
        <v/>
      </c>
      <c r="J362" s="9">
        <f>'Jobs-Ops'!P362</f>
        <v/>
      </c>
      <c r="K362" s="9">
        <f>'Jobs-GAAP'!Q362</f>
        <v/>
      </c>
      <c r="L362" s="9">
        <f>J362-K362</f>
        <v/>
      </c>
      <c r="M362" s="186" t="n"/>
      <c r="N362" s="9">
        <f>'Jobs-Ops'!Y362</f>
        <v/>
      </c>
      <c r="O362" s="9">
        <f>'Jobs-GAAP'!Y362</f>
        <v/>
      </c>
      <c r="P362" s="9">
        <f>N362-O362</f>
        <v/>
      </c>
      <c r="Q362" s="186" t="n"/>
      <c r="R362" s="11">
        <f>'Jobs-Ops'!AL362</f>
        <v/>
      </c>
      <c r="S362" s="11">
        <f>'Jobs-GAAP'!AH362</f>
        <v/>
      </c>
      <c r="T362" s="11">
        <f>IFERROR(R362-S362,0)</f>
        <v/>
      </c>
      <c r="U362" s="8">
        <f>'Jobs-Ops'!AM362</f>
        <v/>
      </c>
      <c r="V362" s="8">
        <f>'Jobs-GAAP'!AI362</f>
        <v/>
      </c>
      <c r="W362" s="8">
        <f>IFERROR(U362-V362,0)</f>
        <v/>
      </c>
      <c r="X362" s="9">
        <f>'Jobs-Ops'!AN362</f>
        <v/>
      </c>
      <c r="Y362" s="9">
        <f>'Jobs-GAAP'!AJ362</f>
        <v/>
      </c>
      <c r="Z362" s="9">
        <f>IFERROR(X362-Y362,0)</f>
        <v/>
      </c>
      <c r="AA362" s="153">
        <f>'Jobs-Ops'!AO362</f>
        <v/>
      </c>
      <c r="AB362" s="187" t="n"/>
      <c r="AC362" s="186" t="n"/>
      <c r="AD362" s="186" t="n"/>
      <c r="AE362" s="188" t="n"/>
      <c r="AF362" s="187" t="n"/>
      <c r="AG362" s="187" t="n"/>
      <c r="AH362" s="186" t="n"/>
      <c r="AI362" s="186" t="n"/>
      <c r="AJ362" s="186" t="n"/>
      <c r="AK362" s="186" t="n"/>
      <c r="AL362" s="186" t="n"/>
      <c r="AM362" s="186" t="n"/>
      <c r="AN362" s="186" t="n"/>
      <c r="AO362" s="186" t="n"/>
      <c r="AP362" s="186" t="n"/>
      <c r="AQ362" s="186" t="n"/>
      <c r="AR362" s="186" t="n"/>
      <c r="AS362" s="186" t="n"/>
      <c r="AT362" s="186" t="n"/>
      <c r="AU362" s="186" t="n"/>
      <c r="AV362" s="186" t="n"/>
      <c r="AW362" s="186" t="n"/>
      <c r="AX362" s="186" t="n"/>
      <c r="AY362" s="186" t="n"/>
      <c r="AZ362" s="186" t="n"/>
      <c r="BA362" s="186" t="n"/>
      <c r="BB362" s="186" t="n"/>
      <c r="BC362" s="186" t="n"/>
      <c r="BD362" s="190" t="n"/>
      <c r="BE362" s="186" t="n"/>
      <c r="BF362" s="186" t="n"/>
      <c r="BG362" s="186" t="n"/>
      <c r="BH362" s="186" t="n"/>
      <c r="BI362" s="186" t="n"/>
      <c r="BJ362" s="187" t="n"/>
      <c r="BK362" s="192" t="n"/>
      <c r="BL362" s="192" t="n"/>
      <c r="BM362" s="192" t="n"/>
      <c r="BN362" s="192" t="n"/>
    </row>
    <row r="363">
      <c r="A363" s="289">
        <f> 'Jobs-Ops'!A363</f>
        <v/>
      </c>
      <c r="B363" s="290">
        <f>'Jobs-Ops'!B363</f>
        <v/>
      </c>
      <c r="C363" s="290">
        <f>'Jobs-Ops'!C363</f>
        <v/>
      </c>
      <c r="D363" s="179" t="n"/>
      <c r="E363" s="181">
        <f>'Jobs-Ops'!I363</f>
        <v/>
      </c>
      <c r="F363" s="205">
        <f>'Jobs-Ops'!U363</f>
        <v/>
      </c>
      <c r="G363" s="181">
        <f>'Jobs-GAAP'!J363</f>
        <v/>
      </c>
      <c r="H363" s="205">
        <f>'Jobs-GAAP'!V363</f>
        <v/>
      </c>
      <c r="I363" s="181">
        <f>E363-G363</f>
        <v/>
      </c>
      <c r="J363" s="9">
        <f>'Jobs-Ops'!P363</f>
        <v/>
      </c>
      <c r="K363" s="9">
        <f>'Jobs-GAAP'!Q363</f>
        <v/>
      </c>
      <c r="L363" s="9">
        <f>J363-K363</f>
        <v/>
      </c>
      <c r="M363" s="186" t="n"/>
      <c r="N363" s="9">
        <f>'Jobs-Ops'!Y363</f>
        <v/>
      </c>
      <c r="O363" s="9">
        <f>'Jobs-GAAP'!Y363</f>
        <v/>
      </c>
      <c r="P363" s="9">
        <f>N363-O363</f>
        <v/>
      </c>
      <c r="Q363" s="186" t="n"/>
      <c r="R363" s="11">
        <f>'Jobs-Ops'!AL363</f>
        <v/>
      </c>
      <c r="S363" s="11">
        <f>'Jobs-GAAP'!AH363</f>
        <v/>
      </c>
      <c r="T363" s="11">
        <f>IFERROR(R363-S363,0)</f>
        <v/>
      </c>
      <c r="U363" s="8">
        <f>'Jobs-Ops'!AM363</f>
        <v/>
      </c>
      <c r="V363" s="8">
        <f>'Jobs-GAAP'!AI363</f>
        <v/>
      </c>
      <c r="W363" s="8">
        <f>IFERROR(U363-V363,0)</f>
        <v/>
      </c>
      <c r="X363" s="9">
        <f>'Jobs-Ops'!AN363</f>
        <v/>
      </c>
      <c r="Y363" s="9">
        <f>'Jobs-GAAP'!AJ363</f>
        <v/>
      </c>
      <c r="Z363" s="9">
        <f>IFERROR(X363-Y363,0)</f>
        <v/>
      </c>
      <c r="AA363" s="153">
        <f>'Jobs-Ops'!AO363</f>
        <v/>
      </c>
      <c r="AB363" s="187" t="n"/>
      <c r="AC363" s="186" t="n"/>
      <c r="AD363" s="186" t="n"/>
      <c r="AE363" s="188" t="n"/>
      <c r="AF363" s="187" t="n"/>
      <c r="AG363" s="187" t="n"/>
      <c r="AH363" s="186" t="n"/>
      <c r="AI363" s="186" t="n"/>
      <c r="AJ363" s="186" t="n"/>
      <c r="AK363" s="186" t="n"/>
      <c r="AL363" s="186" t="n"/>
      <c r="AM363" s="186" t="n"/>
      <c r="AN363" s="186" t="n"/>
      <c r="AO363" s="186" t="n"/>
      <c r="AP363" s="186" t="n"/>
      <c r="AQ363" s="186" t="n"/>
      <c r="AR363" s="186" t="n"/>
      <c r="AS363" s="186" t="n"/>
      <c r="AT363" s="186" t="n"/>
      <c r="AU363" s="186" t="n"/>
      <c r="AV363" s="186" t="n"/>
      <c r="AW363" s="186" t="n"/>
      <c r="AX363" s="186" t="n"/>
      <c r="AY363" s="186" t="n"/>
      <c r="AZ363" s="186" t="n"/>
      <c r="BA363" s="186" t="n"/>
      <c r="BB363" s="186" t="n"/>
      <c r="BC363" s="186" t="n"/>
      <c r="BD363" s="190" t="n"/>
      <c r="BE363" s="186" t="n"/>
      <c r="BF363" s="186" t="n"/>
      <c r="BG363" s="186" t="n"/>
      <c r="BH363" s="186" t="n"/>
      <c r="BI363" s="186" t="n"/>
      <c r="BJ363" s="187" t="n"/>
      <c r="BK363" s="192" t="n"/>
      <c r="BL363" s="192" t="n"/>
      <c r="BM363" s="192" t="n"/>
      <c r="BN363" s="192" t="n"/>
    </row>
    <row r="364">
      <c r="A364" s="289">
        <f> 'Jobs-Ops'!A364</f>
        <v/>
      </c>
      <c r="B364" s="290">
        <f>'Jobs-Ops'!B364</f>
        <v/>
      </c>
      <c r="C364" s="290">
        <f>'Jobs-Ops'!C364</f>
        <v/>
      </c>
      <c r="D364" s="179" t="n"/>
      <c r="E364" s="181">
        <f>'Jobs-Ops'!I364</f>
        <v/>
      </c>
      <c r="F364" s="205">
        <f>'Jobs-Ops'!U364</f>
        <v/>
      </c>
      <c r="G364" s="181">
        <f>'Jobs-GAAP'!J364</f>
        <v/>
      </c>
      <c r="H364" s="205">
        <f>'Jobs-GAAP'!V364</f>
        <v/>
      </c>
      <c r="I364" s="181">
        <f>E364-G364</f>
        <v/>
      </c>
      <c r="J364" s="9">
        <f>'Jobs-Ops'!P364</f>
        <v/>
      </c>
      <c r="K364" s="9">
        <f>'Jobs-GAAP'!Q364</f>
        <v/>
      </c>
      <c r="L364" s="9">
        <f>J364-K364</f>
        <v/>
      </c>
      <c r="M364" s="186" t="n"/>
      <c r="N364" s="9">
        <f>'Jobs-Ops'!Y364</f>
        <v/>
      </c>
      <c r="O364" s="9">
        <f>'Jobs-GAAP'!Y364</f>
        <v/>
      </c>
      <c r="P364" s="9">
        <f>N364-O364</f>
        <v/>
      </c>
      <c r="Q364" s="186" t="n"/>
      <c r="R364" s="11">
        <f>'Jobs-Ops'!AL364</f>
        <v/>
      </c>
      <c r="S364" s="11">
        <f>'Jobs-GAAP'!AH364</f>
        <v/>
      </c>
      <c r="T364" s="11">
        <f>IFERROR(R364-S364,0)</f>
        <v/>
      </c>
      <c r="U364" s="8">
        <f>'Jobs-Ops'!AM364</f>
        <v/>
      </c>
      <c r="V364" s="8">
        <f>'Jobs-GAAP'!AI364</f>
        <v/>
      </c>
      <c r="W364" s="8">
        <f>IFERROR(U364-V364,0)</f>
        <v/>
      </c>
      <c r="X364" s="9">
        <f>'Jobs-Ops'!AN364</f>
        <v/>
      </c>
      <c r="Y364" s="9">
        <f>'Jobs-GAAP'!AJ364</f>
        <v/>
      </c>
      <c r="Z364" s="9">
        <f>IFERROR(X364-Y364,0)</f>
        <v/>
      </c>
      <c r="AA364" s="153">
        <f>'Jobs-Ops'!AO364</f>
        <v/>
      </c>
      <c r="AB364" s="187" t="n"/>
      <c r="AC364" s="186" t="n"/>
      <c r="AD364" s="186" t="n"/>
      <c r="AE364" s="188" t="n"/>
      <c r="AF364" s="187" t="n"/>
      <c r="AG364" s="187" t="n"/>
      <c r="AH364" s="186" t="n"/>
      <c r="AI364" s="186" t="n"/>
      <c r="AJ364" s="186" t="n"/>
      <c r="AK364" s="186" t="n"/>
      <c r="AL364" s="186" t="n"/>
      <c r="AM364" s="186" t="n"/>
      <c r="AN364" s="186" t="n"/>
      <c r="AO364" s="186" t="n"/>
      <c r="AP364" s="186" t="n"/>
      <c r="AQ364" s="186" t="n"/>
      <c r="AR364" s="186" t="n"/>
      <c r="AS364" s="186" t="n"/>
      <c r="AT364" s="186" t="n"/>
      <c r="AU364" s="186" t="n"/>
      <c r="AV364" s="186" t="n"/>
      <c r="AW364" s="186" t="n"/>
      <c r="AX364" s="186" t="n"/>
      <c r="AY364" s="186" t="n"/>
      <c r="AZ364" s="186" t="n"/>
      <c r="BA364" s="186" t="n"/>
      <c r="BB364" s="186" t="n"/>
      <c r="BC364" s="186" t="n"/>
      <c r="BD364" s="190" t="n"/>
      <c r="BE364" s="186" t="n"/>
      <c r="BF364" s="186" t="n"/>
      <c r="BG364" s="186" t="n"/>
      <c r="BH364" s="186" t="n"/>
      <c r="BI364" s="186" t="n"/>
      <c r="BJ364" s="187" t="n"/>
      <c r="BK364" s="192" t="n"/>
      <c r="BL364" s="192" t="n"/>
      <c r="BM364" s="192" t="n"/>
      <c r="BN364" s="192" t="n"/>
    </row>
    <row r="365">
      <c r="A365" s="289">
        <f> 'Jobs-Ops'!A365</f>
        <v/>
      </c>
      <c r="B365" s="290">
        <f>'Jobs-Ops'!B365</f>
        <v/>
      </c>
      <c r="C365" s="290">
        <f>'Jobs-Ops'!C365</f>
        <v/>
      </c>
      <c r="D365" s="179" t="n"/>
      <c r="E365" s="181">
        <f>'Jobs-Ops'!I365</f>
        <v/>
      </c>
      <c r="F365" s="205">
        <f>'Jobs-Ops'!U365</f>
        <v/>
      </c>
      <c r="G365" s="181">
        <f>'Jobs-GAAP'!J365</f>
        <v/>
      </c>
      <c r="H365" s="205">
        <f>'Jobs-GAAP'!V365</f>
        <v/>
      </c>
      <c r="I365" s="181">
        <f>E365-G365</f>
        <v/>
      </c>
      <c r="J365" s="9">
        <f>'Jobs-Ops'!P365</f>
        <v/>
      </c>
      <c r="K365" s="9">
        <f>'Jobs-GAAP'!Q365</f>
        <v/>
      </c>
      <c r="L365" s="9">
        <f>J365-K365</f>
        <v/>
      </c>
      <c r="M365" s="186" t="n"/>
      <c r="N365" s="9">
        <f>'Jobs-Ops'!Y365</f>
        <v/>
      </c>
      <c r="O365" s="9">
        <f>'Jobs-GAAP'!Y365</f>
        <v/>
      </c>
      <c r="P365" s="9">
        <f>N365-O365</f>
        <v/>
      </c>
      <c r="Q365" s="186" t="n"/>
      <c r="R365" s="11">
        <f>'Jobs-Ops'!AL365</f>
        <v/>
      </c>
      <c r="S365" s="11">
        <f>'Jobs-GAAP'!AH365</f>
        <v/>
      </c>
      <c r="T365" s="11">
        <f>IFERROR(R365-S365,0)</f>
        <v/>
      </c>
      <c r="U365" s="8">
        <f>'Jobs-Ops'!AM365</f>
        <v/>
      </c>
      <c r="V365" s="8">
        <f>'Jobs-GAAP'!AI365</f>
        <v/>
      </c>
      <c r="W365" s="8">
        <f>IFERROR(U365-V365,0)</f>
        <v/>
      </c>
      <c r="X365" s="9">
        <f>'Jobs-Ops'!AN365</f>
        <v/>
      </c>
      <c r="Y365" s="9">
        <f>'Jobs-GAAP'!AJ365</f>
        <v/>
      </c>
      <c r="Z365" s="9">
        <f>IFERROR(X365-Y365,0)</f>
        <v/>
      </c>
      <c r="AA365" s="153">
        <f>'Jobs-Ops'!AO365</f>
        <v/>
      </c>
      <c r="AB365" s="187" t="n"/>
      <c r="AC365" s="186" t="n"/>
      <c r="AD365" s="186" t="n"/>
      <c r="AE365" s="188" t="n"/>
      <c r="AF365" s="187" t="n"/>
      <c r="AG365" s="187" t="n"/>
      <c r="AH365" s="186" t="n"/>
      <c r="AI365" s="186" t="n"/>
      <c r="AJ365" s="186" t="n"/>
      <c r="AK365" s="186" t="n"/>
      <c r="AL365" s="186" t="n"/>
      <c r="AM365" s="186" t="n"/>
      <c r="AN365" s="186" t="n"/>
      <c r="AO365" s="186" t="n"/>
      <c r="AP365" s="186" t="n"/>
      <c r="AQ365" s="186" t="n"/>
      <c r="AR365" s="186" t="n"/>
      <c r="AS365" s="186" t="n"/>
      <c r="AT365" s="186" t="n"/>
      <c r="AU365" s="186" t="n"/>
      <c r="AV365" s="186" t="n"/>
      <c r="AW365" s="186" t="n"/>
      <c r="AX365" s="186" t="n"/>
      <c r="AY365" s="186" t="n"/>
      <c r="AZ365" s="186" t="n"/>
      <c r="BA365" s="186" t="n"/>
      <c r="BB365" s="186" t="n"/>
      <c r="BC365" s="186" t="n"/>
      <c r="BD365" s="190" t="n"/>
      <c r="BE365" s="186" t="n"/>
      <c r="BF365" s="186" t="n"/>
      <c r="BG365" s="186" t="n"/>
      <c r="BH365" s="186" t="n"/>
      <c r="BI365" s="186" t="n"/>
      <c r="BJ365" s="187" t="n"/>
      <c r="BK365" s="192" t="n"/>
      <c r="BL365" s="192" t="n"/>
      <c r="BM365" s="192" t="n"/>
      <c r="BN365" s="192" t="n"/>
    </row>
    <row r="366">
      <c r="A366" s="289">
        <f> 'Jobs-Ops'!A366</f>
        <v/>
      </c>
      <c r="B366" s="290">
        <f>'Jobs-Ops'!B366</f>
        <v/>
      </c>
      <c r="C366" s="290">
        <f>'Jobs-Ops'!C366</f>
        <v/>
      </c>
      <c r="D366" s="179" t="n"/>
      <c r="E366" s="181">
        <f>'Jobs-Ops'!I366</f>
        <v/>
      </c>
      <c r="F366" s="205">
        <f>'Jobs-Ops'!U366</f>
        <v/>
      </c>
      <c r="G366" s="181">
        <f>'Jobs-GAAP'!J366</f>
        <v/>
      </c>
      <c r="H366" s="205">
        <f>'Jobs-GAAP'!V366</f>
        <v/>
      </c>
      <c r="I366" s="181">
        <f>E366-G366</f>
        <v/>
      </c>
      <c r="J366" s="9">
        <f>'Jobs-Ops'!P366</f>
        <v/>
      </c>
      <c r="K366" s="9">
        <f>'Jobs-GAAP'!Q366</f>
        <v/>
      </c>
      <c r="L366" s="9">
        <f>J366-K366</f>
        <v/>
      </c>
      <c r="M366" s="186" t="n"/>
      <c r="N366" s="9">
        <f>'Jobs-Ops'!Y366</f>
        <v/>
      </c>
      <c r="O366" s="9">
        <f>'Jobs-GAAP'!Y366</f>
        <v/>
      </c>
      <c r="P366" s="9">
        <f>N366-O366</f>
        <v/>
      </c>
      <c r="Q366" s="186" t="n"/>
      <c r="R366" s="11">
        <f>'Jobs-Ops'!AL366</f>
        <v/>
      </c>
      <c r="S366" s="11">
        <f>'Jobs-GAAP'!AH366</f>
        <v/>
      </c>
      <c r="T366" s="11">
        <f>IFERROR(R366-S366,0)</f>
        <v/>
      </c>
      <c r="U366" s="8">
        <f>'Jobs-Ops'!AM366</f>
        <v/>
      </c>
      <c r="V366" s="8">
        <f>'Jobs-GAAP'!AI366</f>
        <v/>
      </c>
      <c r="W366" s="8">
        <f>IFERROR(U366-V366,0)</f>
        <v/>
      </c>
      <c r="X366" s="9">
        <f>'Jobs-Ops'!AN366</f>
        <v/>
      </c>
      <c r="Y366" s="9">
        <f>'Jobs-GAAP'!AJ366</f>
        <v/>
      </c>
      <c r="Z366" s="9">
        <f>IFERROR(X366-Y366,0)</f>
        <v/>
      </c>
      <c r="AA366" s="153">
        <f>'Jobs-Ops'!AO366</f>
        <v/>
      </c>
      <c r="AB366" s="187" t="n"/>
      <c r="AC366" s="186" t="n"/>
      <c r="AD366" s="186" t="n"/>
      <c r="AE366" s="188" t="n"/>
      <c r="AF366" s="187" t="n"/>
      <c r="AG366" s="187" t="n"/>
      <c r="AH366" s="186" t="n"/>
      <c r="AI366" s="186" t="n"/>
      <c r="AJ366" s="186" t="n"/>
      <c r="AK366" s="186" t="n"/>
      <c r="AL366" s="186" t="n"/>
      <c r="AM366" s="186" t="n"/>
      <c r="AN366" s="186" t="n"/>
      <c r="AO366" s="186" t="n"/>
      <c r="AP366" s="186" t="n"/>
      <c r="AQ366" s="186" t="n"/>
      <c r="AR366" s="186" t="n"/>
      <c r="AS366" s="186" t="n"/>
      <c r="AT366" s="186" t="n"/>
      <c r="AU366" s="186" t="n"/>
      <c r="AV366" s="186" t="n"/>
      <c r="AW366" s="186" t="n"/>
      <c r="AX366" s="186" t="n"/>
      <c r="AY366" s="186" t="n"/>
      <c r="AZ366" s="186" t="n"/>
      <c r="BA366" s="186" t="n"/>
      <c r="BB366" s="186" t="n"/>
      <c r="BC366" s="186" t="n"/>
      <c r="BD366" s="190" t="n"/>
      <c r="BE366" s="186" t="n"/>
      <c r="BF366" s="186" t="n"/>
      <c r="BG366" s="186" t="n"/>
      <c r="BH366" s="186" t="n"/>
      <c r="BI366" s="186" t="n"/>
      <c r="BJ366" s="187" t="n"/>
      <c r="BK366" s="192" t="n"/>
      <c r="BL366" s="192" t="n"/>
      <c r="BM366" s="192" t="n"/>
      <c r="BN366" s="192" t="n"/>
    </row>
    <row r="367">
      <c r="A367" s="289">
        <f> 'Jobs-Ops'!A367</f>
        <v/>
      </c>
      <c r="B367" s="290">
        <f>'Jobs-Ops'!B367</f>
        <v/>
      </c>
      <c r="C367" s="290">
        <f>'Jobs-Ops'!C367</f>
        <v/>
      </c>
      <c r="D367" s="179" t="n"/>
      <c r="E367" s="181">
        <f>'Jobs-Ops'!I367</f>
        <v/>
      </c>
      <c r="F367" s="205">
        <f>'Jobs-Ops'!U367</f>
        <v/>
      </c>
      <c r="G367" s="181">
        <f>'Jobs-GAAP'!J367</f>
        <v/>
      </c>
      <c r="H367" s="205">
        <f>'Jobs-GAAP'!V367</f>
        <v/>
      </c>
      <c r="I367" s="181">
        <f>E367-G367</f>
        <v/>
      </c>
      <c r="J367" s="9">
        <f>'Jobs-Ops'!P367</f>
        <v/>
      </c>
      <c r="K367" s="9">
        <f>'Jobs-GAAP'!Q367</f>
        <v/>
      </c>
      <c r="L367" s="9">
        <f>J367-K367</f>
        <v/>
      </c>
      <c r="M367" s="186" t="n"/>
      <c r="N367" s="9">
        <f>'Jobs-Ops'!Y367</f>
        <v/>
      </c>
      <c r="O367" s="9">
        <f>'Jobs-GAAP'!Y367</f>
        <v/>
      </c>
      <c r="P367" s="9">
        <f>N367-O367</f>
        <v/>
      </c>
      <c r="Q367" s="186" t="n"/>
      <c r="R367" s="11">
        <f>'Jobs-Ops'!AL367</f>
        <v/>
      </c>
      <c r="S367" s="11">
        <f>'Jobs-GAAP'!AH367</f>
        <v/>
      </c>
      <c r="T367" s="11">
        <f>IFERROR(R367-S367,0)</f>
        <v/>
      </c>
      <c r="U367" s="8">
        <f>'Jobs-Ops'!AM367</f>
        <v/>
      </c>
      <c r="V367" s="8">
        <f>'Jobs-GAAP'!AI367</f>
        <v/>
      </c>
      <c r="W367" s="8">
        <f>IFERROR(U367-V367,0)</f>
        <v/>
      </c>
      <c r="X367" s="9">
        <f>'Jobs-Ops'!AN367</f>
        <v/>
      </c>
      <c r="Y367" s="9">
        <f>'Jobs-GAAP'!AJ367</f>
        <v/>
      </c>
      <c r="Z367" s="9">
        <f>IFERROR(X367-Y367,0)</f>
        <v/>
      </c>
      <c r="AA367" s="153">
        <f>'Jobs-Ops'!AO367</f>
        <v/>
      </c>
      <c r="AB367" s="187" t="n"/>
      <c r="AC367" s="186" t="n"/>
      <c r="AD367" s="186" t="n"/>
      <c r="AE367" s="188" t="n"/>
      <c r="AF367" s="187" t="n"/>
      <c r="AG367" s="187" t="n"/>
      <c r="AH367" s="186" t="n"/>
      <c r="AI367" s="186" t="n"/>
      <c r="AJ367" s="186" t="n"/>
      <c r="AK367" s="186" t="n"/>
      <c r="AL367" s="186" t="n"/>
      <c r="AM367" s="186" t="n"/>
      <c r="AN367" s="186" t="n"/>
      <c r="AO367" s="186" t="n"/>
      <c r="AP367" s="186" t="n"/>
      <c r="AQ367" s="186" t="n"/>
      <c r="AR367" s="186" t="n"/>
      <c r="AS367" s="186" t="n"/>
      <c r="AT367" s="186" t="n"/>
      <c r="AU367" s="186" t="n"/>
      <c r="AV367" s="186" t="n"/>
      <c r="AW367" s="186" t="n"/>
      <c r="AX367" s="186" t="n"/>
      <c r="AY367" s="186" t="n"/>
      <c r="AZ367" s="186" t="n"/>
      <c r="BA367" s="186" t="n"/>
      <c r="BB367" s="186" t="n"/>
      <c r="BC367" s="186" t="n"/>
      <c r="BD367" s="190" t="n"/>
      <c r="BE367" s="186" t="n"/>
      <c r="BF367" s="186" t="n"/>
      <c r="BG367" s="186" t="n"/>
      <c r="BH367" s="186" t="n"/>
      <c r="BI367" s="186" t="n"/>
      <c r="BJ367" s="187" t="n"/>
      <c r="BK367" s="192" t="n"/>
      <c r="BL367" s="192" t="n"/>
      <c r="BM367" s="192" t="n"/>
      <c r="BN367" s="192" t="n"/>
    </row>
    <row r="368">
      <c r="A368" s="289">
        <f> 'Jobs-Ops'!A368</f>
        <v/>
      </c>
      <c r="B368" s="290">
        <f>'Jobs-Ops'!B368</f>
        <v/>
      </c>
      <c r="C368" s="290">
        <f>'Jobs-Ops'!C368</f>
        <v/>
      </c>
      <c r="D368" s="179" t="n"/>
      <c r="E368" s="181">
        <f>'Jobs-Ops'!I368</f>
        <v/>
      </c>
      <c r="F368" s="205">
        <f>'Jobs-Ops'!U368</f>
        <v/>
      </c>
      <c r="G368" s="181">
        <f>'Jobs-GAAP'!J368</f>
        <v/>
      </c>
      <c r="H368" s="205">
        <f>'Jobs-GAAP'!V368</f>
        <v/>
      </c>
      <c r="I368" s="181">
        <f>E368-G368</f>
        <v/>
      </c>
      <c r="J368" s="9">
        <f>'Jobs-Ops'!P368</f>
        <v/>
      </c>
      <c r="K368" s="9">
        <f>'Jobs-GAAP'!Q368</f>
        <v/>
      </c>
      <c r="L368" s="9">
        <f>J368-K368</f>
        <v/>
      </c>
      <c r="M368" s="186" t="n"/>
      <c r="N368" s="9">
        <f>'Jobs-Ops'!Y368</f>
        <v/>
      </c>
      <c r="O368" s="9">
        <f>'Jobs-GAAP'!Y368</f>
        <v/>
      </c>
      <c r="P368" s="9">
        <f>N368-O368</f>
        <v/>
      </c>
      <c r="Q368" s="186" t="n"/>
      <c r="R368" s="11">
        <f>'Jobs-Ops'!AL368</f>
        <v/>
      </c>
      <c r="S368" s="11">
        <f>'Jobs-GAAP'!AH368</f>
        <v/>
      </c>
      <c r="T368" s="11">
        <f>IFERROR(R368-S368,0)</f>
        <v/>
      </c>
      <c r="U368" s="8">
        <f>'Jobs-Ops'!AM368</f>
        <v/>
      </c>
      <c r="V368" s="8">
        <f>'Jobs-GAAP'!AI368</f>
        <v/>
      </c>
      <c r="W368" s="8">
        <f>IFERROR(U368-V368,0)</f>
        <v/>
      </c>
      <c r="X368" s="9">
        <f>'Jobs-Ops'!AN368</f>
        <v/>
      </c>
      <c r="Y368" s="9">
        <f>'Jobs-GAAP'!AJ368</f>
        <v/>
      </c>
      <c r="Z368" s="9">
        <f>IFERROR(X368-Y368,0)</f>
        <v/>
      </c>
      <c r="AA368" s="153">
        <f>'Jobs-Ops'!AO368</f>
        <v/>
      </c>
      <c r="AB368" s="187" t="n"/>
      <c r="AC368" s="186" t="n"/>
      <c r="AD368" s="186" t="n"/>
      <c r="AE368" s="188" t="n"/>
      <c r="AF368" s="187" t="n"/>
      <c r="AG368" s="187" t="n"/>
      <c r="AH368" s="186" t="n"/>
      <c r="AI368" s="186" t="n"/>
      <c r="AJ368" s="186" t="n"/>
      <c r="AK368" s="186" t="n"/>
      <c r="AL368" s="186" t="n"/>
      <c r="AM368" s="186" t="n"/>
      <c r="AN368" s="186" t="n"/>
      <c r="AO368" s="186" t="n"/>
      <c r="AP368" s="186" t="n"/>
      <c r="AQ368" s="186" t="n"/>
      <c r="AR368" s="186" t="n"/>
      <c r="AS368" s="186" t="n"/>
      <c r="AT368" s="186" t="n"/>
      <c r="AU368" s="186" t="n"/>
      <c r="AV368" s="186" t="n"/>
      <c r="AW368" s="186" t="n"/>
      <c r="AX368" s="186" t="n"/>
      <c r="AY368" s="186" t="n"/>
      <c r="AZ368" s="186" t="n"/>
      <c r="BA368" s="186" t="n"/>
      <c r="BB368" s="186" t="n"/>
      <c r="BC368" s="186" t="n"/>
      <c r="BD368" s="190" t="n"/>
      <c r="BE368" s="186" t="n"/>
      <c r="BF368" s="186" t="n"/>
      <c r="BG368" s="186" t="n"/>
      <c r="BH368" s="186" t="n"/>
      <c r="BI368" s="186" t="n"/>
      <c r="BJ368" s="187" t="n"/>
      <c r="BK368" s="192" t="n"/>
      <c r="BL368" s="192" t="n"/>
      <c r="BM368" s="192" t="n"/>
      <c r="BN368" s="192" t="n"/>
    </row>
    <row r="369">
      <c r="A369" s="289">
        <f> 'Jobs-Ops'!A369</f>
        <v/>
      </c>
      <c r="B369" s="290">
        <f>'Jobs-Ops'!B369</f>
        <v/>
      </c>
      <c r="C369" s="290">
        <f>'Jobs-Ops'!C369</f>
        <v/>
      </c>
      <c r="D369" s="179" t="n"/>
      <c r="E369" s="181">
        <f>'Jobs-Ops'!I369</f>
        <v/>
      </c>
      <c r="F369" s="205">
        <f>'Jobs-Ops'!U369</f>
        <v/>
      </c>
      <c r="G369" s="181">
        <f>'Jobs-GAAP'!J369</f>
        <v/>
      </c>
      <c r="H369" s="205">
        <f>'Jobs-GAAP'!V369</f>
        <v/>
      </c>
      <c r="I369" s="181">
        <f>E369-G369</f>
        <v/>
      </c>
      <c r="J369" s="9">
        <f>'Jobs-Ops'!P369</f>
        <v/>
      </c>
      <c r="K369" s="9">
        <f>'Jobs-GAAP'!Q369</f>
        <v/>
      </c>
      <c r="L369" s="9">
        <f>J369-K369</f>
        <v/>
      </c>
      <c r="M369" s="186" t="n"/>
      <c r="N369" s="9">
        <f>'Jobs-Ops'!Y369</f>
        <v/>
      </c>
      <c r="O369" s="9">
        <f>'Jobs-GAAP'!Y369</f>
        <v/>
      </c>
      <c r="P369" s="9">
        <f>N369-O369</f>
        <v/>
      </c>
      <c r="Q369" s="186" t="n"/>
      <c r="R369" s="11">
        <f>'Jobs-Ops'!AL369</f>
        <v/>
      </c>
      <c r="S369" s="11">
        <f>'Jobs-GAAP'!AH369</f>
        <v/>
      </c>
      <c r="T369" s="11">
        <f>IFERROR(R369-S369,0)</f>
        <v/>
      </c>
      <c r="U369" s="8">
        <f>'Jobs-Ops'!AM369</f>
        <v/>
      </c>
      <c r="V369" s="8">
        <f>'Jobs-GAAP'!AI369</f>
        <v/>
      </c>
      <c r="W369" s="8">
        <f>IFERROR(U369-V369,0)</f>
        <v/>
      </c>
      <c r="X369" s="9">
        <f>'Jobs-Ops'!AN369</f>
        <v/>
      </c>
      <c r="Y369" s="9">
        <f>'Jobs-GAAP'!AJ369</f>
        <v/>
      </c>
      <c r="Z369" s="9">
        <f>IFERROR(X369-Y369,0)</f>
        <v/>
      </c>
      <c r="AA369" s="153">
        <f>'Jobs-Ops'!AO369</f>
        <v/>
      </c>
      <c r="AB369" s="187" t="n"/>
      <c r="AC369" s="186" t="n"/>
      <c r="AD369" s="186" t="n"/>
      <c r="AE369" s="188" t="n"/>
      <c r="AF369" s="187" t="n"/>
      <c r="AG369" s="187" t="n"/>
      <c r="AH369" s="186" t="n"/>
      <c r="AI369" s="186" t="n"/>
      <c r="AJ369" s="186" t="n"/>
      <c r="AK369" s="186" t="n"/>
      <c r="AL369" s="186" t="n"/>
      <c r="AM369" s="186" t="n"/>
      <c r="AN369" s="186" t="n"/>
      <c r="AO369" s="186" t="n"/>
      <c r="AP369" s="186" t="n"/>
      <c r="AQ369" s="186" t="n"/>
      <c r="AR369" s="186" t="n"/>
      <c r="AS369" s="186" t="n"/>
      <c r="AT369" s="186" t="n"/>
      <c r="AU369" s="186" t="n"/>
      <c r="AV369" s="186" t="n"/>
      <c r="AW369" s="186" t="n"/>
      <c r="AX369" s="186" t="n"/>
      <c r="AY369" s="186" t="n"/>
      <c r="AZ369" s="186" t="n"/>
      <c r="BA369" s="186" t="n"/>
      <c r="BB369" s="186" t="n"/>
      <c r="BC369" s="186" t="n"/>
      <c r="BD369" s="190" t="n"/>
      <c r="BE369" s="186" t="n"/>
      <c r="BF369" s="186" t="n"/>
      <c r="BG369" s="186" t="n"/>
      <c r="BH369" s="186" t="n"/>
      <c r="BI369" s="186" t="n"/>
      <c r="BJ369" s="187" t="n"/>
      <c r="BK369" s="192" t="n"/>
      <c r="BL369" s="192" t="n"/>
      <c r="BM369" s="192" t="n"/>
      <c r="BN369" s="192" t="n"/>
    </row>
    <row r="370">
      <c r="A370" s="289">
        <f> 'Jobs-Ops'!A370</f>
        <v/>
      </c>
      <c r="B370" s="290">
        <f>'Jobs-Ops'!B370</f>
        <v/>
      </c>
      <c r="C370" s="290">
        <f>'Jobs-Ops'!C370</f>
        <v/>
      </c>
      <c r="D370" s="179" t="n"/>
      <c r="E370" s="181">
        <f>'Jobs-Ops'!I370</f>
        <v/>
      </c>
      <c r="F370" s="205">
        <f>'Jobs-Ops'!U370</f>
        <v/>
      </c>
      <c r="G370" s="181">
        <f>'Jobs-GAAP'!J370</f>
        <v/>
      </c>
      <c r="H370" s="205">
        <f>'Jobs-GAAP'!V370</f>
        <v/>
      </c>
      <c r="I370" s="181">
        <f>E370-G370</f>
        <v/>
      </c>
      <c r="J370" s="9">
        <f>'Jobs-Ops'!P370</f>
        <v/>
      </c>
      <c r="K370" s="9">
        <f>'Jobs-GAAP'!Q370</f>
        <v/>
      </c>
      <c r="L370" s="9">
        <f>J370-K370</f>
        <v/>
      </c>
      <c r="M370" s="186" t="n"/>
      <c r="N370" s="9">
        <f>'Jobs-Ops'!Y370</f>
        <v/>
      </c>
      <c r="O370" s="9">
        <f>'Jobs-GAAP'!Y370</f>
        <v/>
      </c>
      <c r="P370" s="9">
        <f>N370-O370</f>
        <v/>
      </c>
      <c r="Q370" s="186" t="n"/>
      <c r="R370" s="11">
        <f>'Jobs-Ops'!AL370</f>
        <v/>
      </c>
      <c r="S370" s="11">
        <f>'Jobs-GAAP'!AH370</f>
        <v/>
      </c>
      <c r="T370" s="11">
        <f>IFERROR(R370-S370,0)</f>
        <v/>
      </c>
      <c r="U370" s="8">
        <f>'Jobs-Ops'!AM370</f>
        <v/>
      </c>
      <c r="V370" s="8">
        <f>'Jobs-GAAP'!AI370</f>
        <v/>
      </c>
      <c r="W370" s="8">
        <f>IFERROR(U370-V370,0)</f>
        <v/>
      </c>
      <c r="X370" s="9">
        <f>'Jobs-Ops'!AN370</f>
        <v/>
      </c>
      <c r="Y370" s="9">
        <f>'Jobs-GAAP'!AJ370</f>
        <v/>
      </c>
      <c r="Z370" s="9">
        <f>IFERROR(X370-Y370,0)</f>
        <v/>
      </c>
      <c r="AA370" s="153">
        <f>'Jobs-Ops'!AO370</f>
        <v/>
      </c>
      <c r="AB370" s="187" t="n"/>
      <c r="AC370" s="186" t="n"/>
      <c r="AD370" s="186" t="n"/>
      <c r="AE370" s="188" t="n"/>
      <c r="AF370" s="187" t="n"/>
      <c r="AG370" s="187" t="n"/>
      <c r="AH370" s="186" t="n"/>
      <c r="AI370" s="186" t="n"/>
      <c r="AJ370" s="186" t="n"/>
      <c r="AK370" s="186" t="n"/>
      <c r="AL370" s="186" t="n"/>
      <c r="AM370" s="186" t="n"/>
      <c r="AN370" s="186" t="n"/>
      <c r="AO370" s="186" t="n"/>
      <c r="AP370" s="186" t="n"/>
      <c r="AQ370" s="186" t="n"/>
      <c r="AR370" s="186" t="n"/>
      <c r="AS370" s="186" t="n"/>
      <c r="AT370" s="186" t="n"/>
      <c r="AU370" s="186" t="n"/>
      <c r="AV370" s="186" t="n"/>
      <c r="AW370" s="186" t="n"/>
      <c r="AX370" s="186" t="n"/>
      <c r="AY370" s="186" t="n"/>
      <c r="AZ370" s="186" t="n"/>
      <c r="BA370" s="186" t="n"/>
      <c r="BB370" s="186" t="n"/>
      <c r="BC370" s="186" t="n"/>
      <c r="BD370" s="190" t="n"/>
      <c r="BE370" s="186" t="n"/>
      <c r="BF370" s="186" t="n"/>
      <c r="BG370" s="186" t="n"/>
      <c r="BH370" s="186" t="n"/>
      <c r="BI370" s="186" t="n"/>
      <c r="BJ370" s="187" t="n"/>
      <c r="BK370" s="192" t="n"/>
      <c r="BL370" s="192" t="n"/>
      <c r="BM370" s="192" t="n"/>
      <c r="BN370" s="192" t="n"/>
    </row>
    <row r="371">
      <c r="A371" s="289">
        <f> 'Jobs-Ops'!A371</f>
        <v/>
      </c>
      <c r="B371" s="290">
        <f>'Jobs-Ops'!B371</f>
        <v/>
      </c>
      <c r="C371" s="290">
        <f>'Jobs-Ops'!C371</f>
        <v/>
      </c>
      <c r="D371" s="179" t="n"/>
      <c r="E371" s="181">
        <f>'Jobs-Ops'!I371</f>
        <v/>
      </c>
      <c r="F371" s="205">
        <f>'Jobs-Ops'!U371</f>
        <v/>
      </c>
      <c r="G371" s="181">
        <f>'Jobs-GAAP'!J371</f>
        <v/>
      </c>
      <c r="H371" s="205">
        <f>'Jobs-GAAP'!V371</f>
        <v/>
      </c>
      <c r="I371" s="181">
        <f>E371-G371</f>
        <v/>
      </c>
      <c r="J371" s="9">
        <f>'Jobs-Ops'!P371</f>
        <v/>
      </c>
      <c r="K371" s="9">
        <f>'Jobs-GAAP'!Q371</f>
        <v/>
      </c>
      <c r="L371" s="9">
        <f>J371-K371</f>
        <v/>
      </c>
      <c r="M371" s="186" t="n"/>
      <c r="N371" s="9">
        <f>'Jobs-Ops'!Y371</f>
        <v/>
      </c>
      <c r="O371" s="9">
        <f>'Jobs-GAAP'!Y371</f>
        <v/>
      </c>
      <c r="P371" s="9">
        <f>N371-O371</f>
        <v/>
      </c>
      <c r="Q371" s="186" t="n"/>
      <c r="R371" s="11">
        <f>'Jobs-Ops'!AL371</f>
        <v/>
      </c>
      <c r="S371" s="11">
        <f>'Jobs-GAAP'!AH371</f>
        <v/>
      </c>
      <c r="T371" s="11">
        <f>IFERROR(R371-S371,0)</f>
        <v/>
      </c>
      <c r="U371" s="8">
        <f>'Jobs-Ops'!AM371</f>
        <v/>
      </c>
      <c r="V371" s="8">
        <f>'Jobs-GAAP'!AI371</f>
        <v/>
      </c>
      <c r="W371" s="8">
        <f>IFERROR(U371-V371,0)</f>
        <v/>
      </c>
      <c r="X371" s="9">
        <f>'Jobs-Ops'!AN371</f>
        <v/>
      </c>
      <c r="Y371" s="9">
        <f>'Jobs-GAAP'!AJ371</f>
        <v/>
      </c>
      <c r="Z371" s="9">
        <f>IFERROR(X371-Y371,0)</f>
        <v/>
      </c>
      <c r="AA371" s="153">
        <f>'Jobs-Ops'!AO371</f>
        <v/>
      </c>
      <c r="AB371" s="187" t="n"/>
      <c r="AC371" s="186" t="n"/>
      <c r="AD371" s="186" t="n"/>
      <c r="AE371" s="188" t="n"/>
      <c r="AF371" s="187" t="n"/>
      <c r="AG371" s="187" t="n"/>
      <c r="AH371" s="186" t="n"/>
      <c r="AI371" s="186" t="n"/>
      <c r="AJ371" s="186" t="n"/>
      <c r="AK371" s="186" t="n"/>
      <c r="AL371" s="186" t="n"/>
      <c r="AM371" s="186" t="n"/>
      <c r="AN371" s="186" t="n"/>
      <c r="AO371" s="186" t="n"/>
      <c r="AP371" s="186" t="n"/>
      <c r="AQ371" s="186" t="n"/>
      <c r="AR371" s="186" t="n"/>
      <c r="AS371" s="186" t="n"/>
      <c r="AT371" s="186" t="n"/>
      <c r="AU371" s="186" t="n"/>
      <c r="AV371" s="186" t="n"/>
      <c r="AW371" s="186" t="n"/>
      <c r="AX371" s="186" t="n"/>
      <c r="AY371" s="186" t="n"/>
      <c r="AZ371" s="186" t="n"/>
      <c r="BA371" s="186" t="n"/>
      <c r="BB371" s="186" t="n"/>
      <c r="BC371" s="186" t="n"/>
      <c r="BD371" s="190" t="n"/>
      <c r="BE371" s="186" t="n"/>
      <c r="BF371" s="186" t="n"/>
      <c r="BG371" s="186" t="n"/>
      <c r="BH371" s="186" t="n"/>
      <c r="BI371" s="186" t="n"/>
      <c r="BJ371" s="187" t="n"/>
      <c r="BK371" s="192" t="n"/>
      <c r="BL371" s="192" t="n"/>
      <c r="BM371" s="192" t="n"/>
      <c r="BN371" s="192" t="n"/>
    </row>
    <row r="372">
      <c r="A372" s="289">
        <f> 'Jobs-Ops'!A372</f>
        <v/>
      </c>
      <c r="B372" s="290">
        <f>'Jobs-Ops'!B372</f>
        <v/>
      </c>
      <c r="C372" s="290">
        <f>'Jobs-Ops'!C372</f>
        <v/>
      </c>
      <c r="D372" s="179" t="n"/>
      <c r="E372" s="181">
        <f>'Jobs-Ops'!I372</f>
        <v/>
      </c>
      <c r="F372" s="205">
        <f>'Jobs-Ops'!U372</f>
        <v/>
      </c>
      <c r="G372" s="181">
        <f>'Jobs-GAAP'!J372</f>
        <v/>
      </c>
      <c r="H372" s="205">
        <f>'Jobs-GAAP'!V372</f>
        <v/>
      </c>
      <c r="I372" s="181">
        <f>E372-G372</f>
        <v/>
      </c>
      <c r="J372" s="9">
        <f>'Jobs-Ops'!P372</f>
        <v/>
      </c>
      <c r="K372" s="9">
        <f>'Jobs-GAAP'!Q372</f>
        <v/>
      </c>
      <c r="L372" s="9">
        <f>J372-K372</f>
        <v/>
      </c>
      <c r="M372" s="186" t="n"/>
      <c r="N372" s="9">
        <f>'Jobs-Ops'!Y372</f>
        <v/>
      </c>
      <c r="O372" s="9">
        <f>'Jobs-GAAP'!Y372</f>
        <v/>
      </c>
      <c r="P372" s="9">
        <f>N372-O372</f>
        <v/>
      </c>
      <c r="Q372" s="186" t="n"/>
      <c r="R372" s="11">
        <f>'Jobs-Ops'!AL372</f>
        <v/>
      </c>
      <c r="S372" s="11">
        <f>'Jobs-GAAP'!AH372</f>
        <v/>
      </c>
      <c r="T372" s="11">
        <f>IFERROR(R372-S372,0)</f>
        <v/>
      </c>
      <c r="U372" s="8">
        <f>'Jobs-Ops'!AM372</f>
        <v/>
      </c>
      <c r="V372" s="8">
        <f>'Jobs-GAAP'!AI372</f>
        <v/>
      </c>
      <c r="W372" s="8">
        <f>IFERROR(U372-V372,0)</f>
        <v/>
      </c>
      <c r="X372" s="9">
        <f>'Jobs-Ops'!AN372</f>
        <v/>
      </c>
      <c r="Y372" s="9">
        <f>'Jobs-GAAP'!AJ372</f>
        <v/>
      </c>
      <c r="Z372" s="9">
        <f>IFERROR(X372-Y372,0)</f>
        <v/>
      </c>
      <c r="AA372" s="153">
        <f>'Jobs-Ops'!AO372</f>
        <v/>
      </c>
      <c r="AB372" s="187" t="n"/>
      <c r="AC372" s="186" t="n"/>
      <c r="AD372" s="186" t="n"/>
      <c r="AE372" s="188" t="n"/>
      <c r="AF372" s="187" t="n"/>
      <c r="AG372" s="187" t="n"/>
      <c r="AH372" s="186" t="n"/>
      <c r="AI372" s="186" t="n"/>
      <c r="AJ372" s="186" t="n"/>
      <c r="AK372" s="186" t="n"/>
      <c r="AL372" s="186" t="n"/>
      <c r="AM372" s="186" t="n"/>
      <c r="AN372" s="186" t="n"/>
      <c r="AO372" s="186" t="n"/>
      <c r="AP372" s="186" t="n"/>
      <c r="AQ372" s="186" t="n"/>
      <c r="AR372" s="186" t="n"/>
      <c r="AS372" s="186" t="n"/>
      <c r="AT372" s="186" t="n"/>
      <c r="AU372" s="186" t="n"/>
      <c r="AV372" s="186" t="n"/>
      <c r="AW372" s="186" t="n"/>
      <c r="AX372" s="186" t="n"/>
      <c r="AY372" s="186" t="n"/>
      <c r="AZ372" s="186" t="n"/>
      <c r="BA372" s="186" t="n"/>
      <c r="BB372" s="186" t="n"/>
      <c r="BC372" s="186" t="n"/>
      <c r="BD372" s="190" t="n"/>
      <c r="BE372" s="186" t="n"/>
      <c r="BF372" s="186" t="n"/>
      <c r="BG372" s="186" t="n"/>
      <c r="BH372" s="186" t="n"/>
      <c r="BI372" s="186" t="n"/>
      <c r="BJ372" s="187" t="n"/>
      <c r="BK372" s="192" t="n"/>
      <c r="BL372" s="192" t="n"/>
      <c r="BM372" s="192" t="n"/>
      <c r="BN372" s="192" t="n"/>
    </row>
    <row r="373">
      <c r="A373" s="289">
        <f> 'Jobs-Ops'!A373</f>
        <v/>
      </c>
      <c r="B373" s="290">
        <f>'Jobs-Ops'!B373</f>
        <v/>
      </c>
      <c r="C373" s="290">
        <f>'Jobs-Ops'!C373</f>
        <v/>
      </c>
      <c r="D373" s="179" t="n"/>
      <c r="E373" s="181">
        <f>'Jobs-Ops'!I373</f>
        <v/>
      </c>
      <c r="F373" s="205">
        <f>'Jobs-Ops'!U373</f>
        <v/>
      </c>
      <c r="G373" s="181">
        <f>'Jobs-GAAP'!J373</f>
        <v/>
      </c>
      <c r="H373" s="205">
        <f>'Jobs-GAAP'!V373</f>
        <v/>
      </c>
      <c r="I373" s="181">
        <f>E373-G373</f>
        <v/>
      </c>
      <c r="J373" s="9">
        <f>'Jobs-Ops'!P373</f>
        <v/>
      </c>
      <c r="K373" s="9">
        <f>'Jobs-GAAP'!Q373</f>
        <v/>
      </c>
      <c r="L373" s="9">
        <f>J373-K373</f>
        <v/>
      </c>
      <c r="M373" s="186" t="n"/>
      <c r="N373" s="9">
        <f>'Jobs-Ops'!Y373</f>
        <v/>
      </c>
      <c r="O373" s="9">
        <f>'Jobs-GAAP'!Y373</f>
        <v/>
      </c>
      <c r="P373" s="9">
        <f>N373-O373</f>
        <v/>
      </c>
      <c r="Q373" s="186" t="n"/>
      <c r="R373" s="11">
        <f>'Jobs-Ops'!AL373</f>
        <v/>
      </c>
      <c r="S373" s="11">
        <f>'Jobs-GAAP'!AH373</f>
        <v/>
      </c>
      <c r="T373" s="11">
        <f>IFERROR(R373-S373,0)</f>
        <v/>
      </c>
      <c r="U373" s="8">
        <f>'Jobs-Ops'!AM373</f>
        <v/>
      </c>
      <c r="V373" s="8">
        <f>'Jobs-GAAP'!AI373</f>
        <v/>
      </c>
      <c r="W373" s="8">
        <f>IFERROR(U373-V373,0)</f>
        <v/>
      </c>
      <c r="X373" s="9">
        <f>'Jobs-Ops'!AN373</f>
        <v/>
      </c>
      <c r="Y373" s="9">
        <f>'Jobs-GAAP'!AJ373</f>
        <v/>
      </c>
      <c r="Z373" s="9">
        <f>IFERROR(X373-Y373,0)</f>
        <v/>
      </c>
      <c r="AA373" s="153">
        <f>'Jobs-Ops'!AO373</f>
        <v/>
      </c>
      <c r="AB373" s="187" t="n"/>
      <c r="AC373" s="186" t="n"/>
      <c r="AD373" s="186" t="n"/>
      <c r="AE373" s="188" t="n"/>
      <c r="AF373" s="187" t="n"/>
      <c r="AG373" s="187" t="n"/>
      <c r="AH373" s="186" t="n"/>
      <c r="AI373" s="186" t="n"/>
      <c r="AJ373" s="186" t="n"/>
      <c r="AK373" s="186" t="n"/>
      <c r="AL373" s="186" t="n"/>
      <c r="AM373" s="186" t="n"/>
      <c r="AN373" s="186" t="n"/>
      <c r="AO373" s="186" t="n"/>
      <c r="AP373" s="186" t="n"/>
      <c r="AQ373" s="186" t="n"/>
      <c r="AR373" s="186" t="n"/>
      <c r="AS373" s="186" t="n"/>
      <c r="AT373" s="186" t="n"/>
      <c r="AU373" s="186" t="n"/>
      <c r="AV373" s="186" t="n"/>
      <c r="AW373" s="186" t="n"/>
      <c r="AX373" s="186" t="n"/>
      <c r="AY373" s="186" t="n"/>
      <c r="AZ373" s="186" t="n"/>
      <c r="BA373" s="186" t="n"/>
      <c r="BB373" s="186" t="n"/>
      <c r="BC373" s="186" t="n"/>
      <c r="BD373" s="190" t="n"/>
      <c r="BE373" s="186" t="n"/>
      <c r="BF373" s="186" t="n"/>
      <c r="BG373" s="186" t="n"/>
      <c r="BH373" s="186" t="n"/>
      <c r="BI373" s="186" t="n"/>
      <c r="BJ373" s="187" t="n"/>
      <c r="BK373" s="192" t="n"/>
      <c r="BL373" s="192" t="n"/>
      <c r="BM373" s="192" t="n"/>
      <c r="BN373" s="192" t="n"/>
    </row>
    <row r="374">
      <c r="A374" s="289">
        <f> 'Jobs-Ops'!A374</f>
        <v/>
      </c>
      <c r="B374" s="290">
        <f>'Jobs-Ops'!B374</f>
        <v/>
      </c>
      <c r="C374" s="290">
        <f>'Jobs-Ops'!C374</f>
        <v/>
      </c>
      <c r="D374" s="179" t="n"/>
      <c r="E374" s="181">
        <f>'Jobs-Ops'!I374</f>
        <v/>
      </c>
      <c r="F374" s="205">
        <f>'Jobs-Ops'!U374</f>
        <v/>
      </c>
      <c r="G374" s="181">
        <f>'Jobs-GAAP'!J374</f>
        <v/>
      </c>
      <c r="H374" s="205">
        <f>'Jobs-GAAP'!V374</f>
        <v/>
      </c>
      <c r="I374" s="181">
        <f>E374-G374</f>
        <v/>
      </c>
      <c r="J374" s="9">
        <f>'Jobs-Ops'!P374</f>
        <v/>
      </c>
      <c r="K374" s="9">
        <f>'Jobs-GAAP'!Q374</f>
        <v/>
      </c>
      <c r="L374" s="9">
        <f>J374-K374</f>
        <v/>
      </c>
      <c r="M374" s="186" t="n"/>
      <c r="N374" s="9">
        <f>'Jobs-Ops'!Y374</f>
        <v/>
      </c>
      <c r="O374" s="9">
        <f>'Jobs-GAAP'!Y374</f>
        <v/>
      </c>
      <c r="P374" s="9">
        <f>N374-O374</f>
        <v/>
      </c>
      <c r="Q374" s="186" t="n"/>
      <c r="R374" s="11">
        <f>'Jobs-Ops'!AL374</f>
        <v/>
      </c>
      <c r="S374" s="11">
        <f>'Jobs-GAAP'!AH374</f>
        <v/>
      </c>
      <c r="T374" s="11">
        <f>IFERROR(R374-S374,0)</f>
        <v/>
      </c>
      <c r="U374" s="8">
        <f>'Jobs-Ops'!AM374</f>
        <v/>
      </c>
      <c r="V374" s="8">
        <f>'Jobs-GAAP'!AI374</f>
        <v/>
      </c>
      <c r="W374" s="8">
        <f>IFERROR(U374-V374,0)</f>
        <v/>
      </c>
      <c r="X374" s="9">
        <f>'Jobs-Ops'!AN374</f>
        <v/>
      </c>
      <c r="Y374" s="9">
        <f>'Jobs-GAAP'!AJ374</f>
        <v/>
      </c>
      <c r="Z374" s="9">
        <f>IFERROR(X374-Y374,0)</f>
        <v/>
      </c>
      <c r="AA374" s="153">
        <f>'Jobs-Ops'!AO374</f>
        <v/>
      </c>
      <c r="AB374" s="187" t="n"/>
      <c r="AC374" s="186" t="n"/>
      <c r="AD374" s="186" t="n"/>
      <c r="AE374" s="188" t="n"/>
      <c r="AF374" s="187" t="n"/>
      <c r="AG374" s="187" t="n"/>
      <c r="AH374" s="186" t="n"/>
      <c r="AI374" s="186" t="n"/>
      <c r="AJ374" s="186" t="n"/>
      <c r="AK374" s="186" t="n"/>
      <c r="AL374" s="186" t="n"/>
      <c r="AM374" s="186" t="n"/>
      <c r="AN374" s="186" t="n"/>
      <c r="AO374" s="186" t="n"/>
      <c r="AP374" s="186" t="n"/>
      <c r="AQ374" s="186" t="n"/>
      <c r="AR374" s="186" t="n"/>
      <c r="AS374" s="186" t="n"/>
      <c r="AT374" s="186" t="n"/>
      <c r="AU374" s="186" t="n"/>
      <c r="AV374" s="186" t="n"/>
      <c r="AW374" s="186" t="n"/>
      <c r="AX374" s="186" t="n"/>
      <c r="AY374" s="186" t="n"/>
      <c r="AZ374" s="186" t="n"/>
      <c r="BA374" s="186" t="n"/>
      <c r="BB374" s="186" t="n"/>
      <c r="BC374" s="186" t="n"/>
      <c r="BD374" s="190" t="n"/>
      <c r="BE374" s="186" t="n"/>
      <c r="BF374" s="186" t="n"/>
      <c r="BG374" s="186" t="n"/>
      <c r="BH374" s="186" t="n"/>
      <c r="BI374" s="186" t="n"/>
      <c r="BJ374" s="187" t="n"/>
      <c r="BK374" s="192" t="n"/>
      <c r="BL374" s="192" t="n"/>
      <c r="BM374" s="192" t="n"/>
      <c r="BN374" s="192" t="n"/>
    </row>
    <row r="375">
      <c r="A375" s="289">
        <f> 'Jobs-Ops'!A375</f>
        <v/>
      </c>
      <c r="B375" s="290">
        <f>'Jobs-Ops'!B375</f>
        <v/>
      </c>
      <c r="C375" s="290">
        <f>'Jobs-Ops'!C375</f>
        <v/>
      </c>
      <c r="D375" s="179" t="n"/>
      <c r="E375" s="181">
        <f>'Jobs-Ops'!I375</f>
        <v/>
      </c>
      <c r="F375" s="205">
        <f>'Jobs-Ops'!U375</f>
        <v/>
      </c>
      <c r="G375" s="181">
        <f>'Jobs-GAAP'!J375</f>
        <v/>
      </c>
      <c r="H375" s="205">
        <f>'Jobs-GAAP'!V375</f>
        <v/>
      </c>
      <c r="I375" s="181">
        <f>E375-G375</f>
        <v/>
      </c>
      <c r="J375" s="9">
        <f>'Jobs-Ops'!P375</f>
        <v/>
      </c>
      <c r="K375" s="9">
        <f>'Jobs-GAAP'!Q375</f>
        <v/>
      </c>
      <c r="L375" s="9">
        <f>J375-K375</f>
        <v/>
      </c>
      <c r="M375" s="186" t="n"/>
      <c r="N375" s="9">
        <f>'Jobs-Ops'!Y375</f>
        <v/>
      </c>
      <c r="O375" s="9">
        <f>'Jobs-GAAP'!Y375</f>
        <v/>
      </c>
      <c r="P375" s="9">
        <f>N375-O375</f>
        <v/>
      </c>
      <c r="Q375" s="186" t="n"/>
      <c r="R375" s="11">
        <f>'Jobs-Ops'!AL375</f>
        <v/>
      </c>
      <c r="S375" s="11">
        <f>'Jobs-GAAP'!AH375</f>
        <v/>
      </c>
      <c r="T375" s="11">
        <f>IFERROR(R375-S375,0)</f>
        <v/>
      </c>
      <c r="U375" s="8">
        <f>'Jobs-Ops'!AM375</f>
        <v/>
      </c>
      <c r="V375" s="8">
        <f>'Jobs-GAAP'!AI375</f>
        <v/>
      </c>
      <c r="W375" s="8">
        <f>IFERROR(U375-V375,0)</f>
        <v/>
      </c>
      <c r="X375" s="9">
        <f>'Jobs-Ops'!AN375</f>
        <v/>
      </c>
      <c r="Y375" s="9">
        <f>'Jobs-GAAP'!AJ375</f>
        <v/>
      </c>
      <c r="Z375" s="9">
        <f>IFERROR(X375-Y375,0)</f>
        <v/>
      </c>
      <c r="AA375" s="153">
        <f>'Jobs-Ops'!AO375</f>
        <v/>
      </c>
      <c r="AB375" s="187" t="n"/>
      <c r="AC375" s="186" t="n"/>
      <c r="AD375" s="186" t="n"/>
      <c r="AE375" s="188" t="n"/>
      <c r="AF375" s="187" t="n"/>
      <c r="AG375" s="187" t="n"/>
      <c r="AH375" s="186" t="n"/>
      <c r="AI375" s="186" t="n"/>
      <c r="AJ375" s="186" t="n"/>
      <c r="AK375" s="186" t="n"/>
      <c r="AL375" s="186" t="n"/>
      <c r="AM375" s="186" t="n"/>
      <c r="AN375" s="186" t="n"/>
      <c r="AO375" s="186" t="n"/>
      <c r="AP375" s="186" t="n"/>
      <c r="AQ375" s="186" t="n"/>
      <c r="AR375" s="186" t="n"/>
      <c r="AS375" s="186" t="n"/>
      <c r="AT375" s="186" t="n"/>
      <c r="AU375" s="186" t="n"/>
      <c r="AV375" s="186" t="n"/>
      <c r="AW375" s="186" t="n"/>
      <c r="AX375" s="186" t="n"/>
      <c r="AY375" s="186" t="n"/>
      <c r="AZ375" s="186" t="n"/>
      <c r="BA375" s="186" t="n"/>
      <c r="BB375" s="186" t="n"/>
      <c r="BC375" s="186" t="n"/>
      <c r="BD375" s="190" t="n"/>
      <c r="BE375" s="186" t="n"/>
      <c r="BF375" s="186" t="n"/>
      <c r="BG375" s="186" t="n"/>
      <c r="BH375" s="186" t="n"/>
      <c r="BI375" s="186" t="n"/>
      <c r="BJ375" s="187" t="n"/>
      <c r="BK375" s="192" t="n"/>
      <c r="BL375" s="192" t="n"/>
      <c r="BM375" s="192" t="n"/>
      <c r="BN375" s="192" t="n"/>
    </row>
    <row r="376">
      <c r="A376" s="289">
        <f> 'Jobs-Ops'!A376</f>
        <v/>
      </c>
      <c r="B376" s="290">
        <f>'Jobs-Ops'!B376</f>
        <v/>
      </c>
      <c r="C376" s="290">
        <f>'Jobs-Ops'!C376</f>
        <v/>
      </c>
      <c r="D376" s="179" t="n"/>
      <c r="E376" s="181">
        <f>'Jobs-Ops'!I376</f>
        <v/>
      </c>
      <c r="F376" s="205">
        <f>'Jobs-Ops'!U376</f>
        <v/>
      </c>
      <c r="G376" s="181">
        <f>'Jobs-GAAP'!J376</f>
        <v/>
      </c>
      <c r="H376" s="205">
        <f>'Jobs-GAAP'!V376</f>
        <v/>
      </c>
      <c r="I376" s="181">
        <f>E376-G376</f>
        <v/>
      </c>
      <c r="J376" s="9">
        <f>'Jobs-Ops'!P376</f>
        <v/>
      </c>
      <c r="K376" s="9">
        <f>'Jobs-GAAP'!Q376</f>
        <v/>
      </c>
      <c r="L376" s="9">
        <f>J376-K376</f>
        <v/>
      </c>
      <c r="M376" s="186" t="n"/>
      <c r="N376" s="9">
        <f>'Jobs-Ops'!Y376</f>
        <v/>
      </c>
      <c r="O376" s="9">
        <f>'Jobs-GAAP'!Y376</f>
        <v/>
      </c>
      <c r="P376" s="9">
        <f>N376-O376</f>
        <v/>
      </c>
      <c r="Q376" s="186" t="n"/>
      <c r="R376" s="11">
        <f>'Jobs-Ops'!AL376</f>
        <v/>
      </c>
      <c r="S376" s="11">
        <f>'Jobs-GAAP'!AH376</f>
        <v/>
      </c>
      <c r="T376" s="11">
        <f>IFERROR(R376-S376,0)</f>
        <v/>
      </c>
      <c r="U376" s="8">
        <f>'Jobs-Ops'!AM376</f>
        <v/>
      </c>
      <c r="V376" s="8">
        <f>'Jobs-GAAP'!AI376</f>
        <v/>
      </c>
      <c r="W376" s="8">
        <f>IFERROR(U376-V376,0)</f>
        <v/>
      </c>
      <c r="X376" s="9">
        <f>'Jobs-Ops'!AN376</f>
        <v/>
      </c>
      <c r="Y376" s="9">
        <f>'Jobs-GAAP'!AJ376</f>
        <v/>
      </c>
      <c r="Z376" s="9">
        <f>IFERROR(X376-Y376,0)</f>
        <v/>
      </c>
      <c r="AA376" s="153">
        <f>'Jobs-Ops'!AO376</f>
        <v/>
      </c>
      <c r="AB376" s="187" t="n"/>
      <c r="AC376" s="186" t="n"/>
      <c r="AD376" s="186" t="n"/>
      <c r="AE376" s="188" t="n"/>
      <c r="AF376" s="187" t="n"/>
      <c r="AG376" s="187" t="n"/>
      <c r="AH376" s="186" t="n"/>
      <c r="AI376" s="186" t="n"/>
      <c r="AJ376" s="186" t="n"/>
      <c r="AK376" s="186" t="n"/>
      <c r="AL376" s="186" t="n"/>
      <c r="AM376" s="186" t="n"/>
      <c r="AN376" s="186" t="n"/>
      <c r="AO376" s="186" t="n"/>
      <c r="AP376" s="186" t="n"/>
      <c r="AQ376" s="186" t="n"/>
      <c r="AR376" s="186" t="n"/>
      <c r="AS376" s="186" t="n"/>
      <c r="AT376" s="186" t="n"/>
      <c r="AU376" s="186" t="n"/>
      <c r="AV376" s="186" t="n"/>
      <c r="AW376" s="186" t="n"/>
      <c r="AX376" s="186" t="n"/>
      <c r="AY376" s="186" t="n"/>
      <c r="AZ376" s="186" t="n"/>
      <c r="BA376" s="186" t="n"/>
      <c r="BB376" s="186" t="n"/>
      <c r="BC376" s="186" t="n"/>
      <c r="BD376" s="190" t="n"/>
      <c r="BE376" s="186" t="n"/>
      <c r="BF376" s="186" t="n"/>
      <c r="BG376" s="186" t="n"/>
      <c r="BH376" s="186" t="n"/>
      <c r="BI376" s="186" t="n"/>
      <c r="BJ376" s="187" t="n"/>
      <c r="BK376" s="192" t="n"/>
      <c r="BL376" s="192" t="n"/>
      <c r="BM376" s="192" t="n"/>
      <c r="BN376" s="192" t="n"/>
    </row>
    <row r="377">
      <c r="A377" s="289">
        <f> 'Jobs-Ops'!A377</f>
        <v/>
      </c>
      <c r="B377" s="290">
        <f>'Jobs-Ops'!B377</f>
        <v/>
      </c>
      <c r="C377" s="290">
        <f>'Jobs-Ops'!C377</f>
        <v/>
      </c>
      <c r="D377" s="179" t="n"/>
      <c r="E377" s="181">
        <f>'Jobs-Ops'!I377</f>
        <v/>
      </c>
      <c r="F377" s="205">
        <f>'Jobs-Ops'!U377</f>
        <v/>
      </c>
      <c r="G377" s="181">
        <f>'Jobs-GAAP'!J377</f>
        <v/>
      </c>
      <c r="H377" s="205">
        <f>'Jobs-GAAP'!V377</f>
        <v/>
      </c>
      <c r="I377" s="181">
        <f>E377-G377</f>
        <v/>
      </c>
      <c r="J377" s="9">
        <f>'Jobs-Ops'!P377</f>
        <v/>
      </c>
      <c r="K377" s="9">
        <f>'Jobs-GAAP'!Q377</f>
        <v/>
      </c>
      <c r="L377" s="9">
        <f>J377-K377</f>
        <v/>
      </c>
      <c r="M377" s="186" t="n"/>
      <c r="N377" s="9">
        <f>'Jobs-Ops'!Y377</f>
        <v/>
      </c>
      <c r="O377" s="9">
        <f>'Jobs-GAAP'!Y377</f>
        <v/>
      </c>
      <c r="P377" s="9">
        <f>N377-O377</f>
        <v/>
      </c>
      <c r="Q377" s="186" t="n"/>
      <c r="R377" s="11">
        <f>'Jobs-Ops'!AL377</f>
        <v/>
      </c>
      <c r="S377" s="11">
        <f>'Jobs-GAAP'!AH377</f>
        <v/>
      </c>
      <c r="T377" s="11">
        <f>IFERROR(R377-S377,0)</f>
        <v/>
      </c>
      <c r="U377" s="8">
        <f>'Jobs-Ops'!AM377</f>
        <v/>
      </c>
      <c r="V377" s="8">
        <f>'Jobs-GAAP'!AI377</f>
        <v/>
      </c>
      <c r="W377" s="8">
        <f>IFERROR(U377-V377,0)</f>
        <v/>
      </c>
      <c r="X377" s="9">
        <f>'Jobs-Ops'!AN377</f>
        <v/>
      </c>
      <c r="Y377" s="9">
        <f>'Jobs-GAAP'!AJ377</f>
        <v/>
      </c>
      <c r="Z377" s="9">
        <f>IFERROR(X377-Y377,0)</f>
        <v/>
      </c>
      <c r="AA377" s="153">
        <f>'Jobs-Ops'!AO377</f>
        <v/>
      </c>
      <c r="AB377" s="187" t="n"/>
      <c r="AC377" s="186" t="n"/>
      <c r="AD377" s="186" t="n"/>
      <c r="AE377" s="188" t="n"/>
      <c r="AF377" s="187" t="n"/>
      <c r="AG377" s="187" t="n"/>
      <c r="AH377" s="186" t="n"/>
      <c r="AI377" s="186" t="n"/>
      <c r="AJ377" s="186" t="n"/>
      <c r="AK377" s="186" t="n"/>
      <c r="AL377" s="186" t="n"/>
      <c r="AM377" s="186" t="n"/>
      <c r="AN377" s="186" t="n"/>
      <c r="AO377" s="186" t="n"/>
      <c r="AP377" s="186" t="n"/>
      <c r="AQ377" s="186" t="n"/>
      <c r="AR377" s="186" t="n"/>
      <c r="AS377" s="186" t="n"/>
      <c r="AT377" s="186" t="n"/>
      <c r="AU377" s="186" t="n"/>
      <c r="AV377" s="186" t="n"/>
      <c r="AW377" s="186" t="n"/>
      <c r="AX377" s="186" t="n"/>
      <c r="AY377" s="186" t="n"/>
      <c r="AZ377" s="186" t="n"/>
      <c r="BA377" s="186" t="n"/>
      <c r="BB377" s="186" t="n"/>
      <c r="BC377" s="186" t="n"/>
      <c r="BD377" s="190" t="n"/>
      <c r="BE377" s="186" t="n"/>
      <c r="BF377" s="186" t="n"/>
      <c r="BG377" s="186" t="n"/>
      <c r="BH377" s="186" t="n"/>
      <c r="BI377" s="186" t="n"/>
      <c r="BJ377" s="187" t="n"/>
      <c r="BK377" s="192" t="n"/>
      <c r="BL377" s="192" t="n"/>
      <c r="BM377" s="192" t="n"/>
      <c r="BN377" s="192" t="n"/>
    </row>
    <row r="378">
      <c r="A378" s="289">
        <f> 'Jobs-Ops'!A378</f>
        <v/>
      </c>
      <c r="B378" s="290">
        <f>'Jobs-Ops'!B378</f>
        <v/>
      </c>
      <c r="C378" s="290">
        <f>'Jobs-Ops'!C378</f>
        <v/>
      </c>
      <c r="D378" s="179" t="n"/>
      <c r="E378" s="181">
        <f>'Jobs-Ops'!I378</f>
        <v/>
      </c>
      <c r="F378" s="205">
        <f>'Jobs-Ops'!U378</f>
        <v/>
      </c>
      <c r="G378" s="181">
        <f>'Jobs-GAAP'!J378</f>
        <v/>
      </c>
      <c r="H378" s="205">
        <f>'Jobs-GAAP'!V378</f>
        <v/>
      </c>
      <c r="I378" s="181">
        <f>E378-G378</f>
        <v/>
      </c>
      <c r="J378" s="9">
        <f>'Jobs-Ops'!P378</f>
        <v/>
      </c>
      <c r="K378" s="9">
        <f>'Jobs-GAAP'!Q378</f>
        <v/>
      </c>
      <c r="L378" s="9">
        <f>J378-K378</f>
        <v/>
      </c>
      <c r="M378" s="186" t="n"/>
      <c r="N378" s="9">
        <f>'Jobs-Ops'!Y378</f>
        <v/>
      </c>
      <c r="O378" s="9">
        <f>'Jobs-GAAP'!Y378</f>
        <v/>
      </c>
      <c r="P378" s="9">
        <f>N378-O378</f>
        <v/>
      </c>
      <c r="Q378" s="186" t="n"/>
      <c r="R378" s="11">
        <f>'Jobs-Ops'!AL378</f>
        <v/>
      </c>
      <c r="S378" s="11">
        <f>'Jobs-GAAP'!AH378</f>
        <v/>
      </c>
      <c r="T378" s="11">
        <f>IFERROR(R378-S378,0)</f>
        <v/>
      </c>
      <c r="U378" s="8">
        <f>'Jobs-Ops'!AM378</f>
        <v/>
      </c>
      <c r="V378" s="8">
        <f>'Jobs-GAAP'!AI378</f>
        <v/>
      </c>
      <c r="W378" s="8">
        <f>IFERROR(U378-V378,0)</f>
        <v/>
      </c>
      <c r="X378" s="9">
        <f>'Jobs-Ops'!AN378</f>
        <v/>
      </c>
      <c r="Y378" s="9">
        <f>'Jobs-GAAP'!AJ378</f>
        <v/>
      </c>
      <c r="Z378" s="9">
        <f>IFERROR(X378-Y378,0)</f>
        <v/>
      </c>
      <c r="AA378" s="153">
        <f>'Jobs-Ops'!AO378</f>
        <v/>
      </c>
      <c r="AB378" s="187" t="n"/>
      <c r="AC378" s="186" t="n"/>
      <c r="AD378" s="186" t="n"/>
      <c r="AE378" s="188" t="n"/>
      <c r="AF378" s="187" t="n"/>
      <c r="AG378" s="187" t="n"/>
      <c r="AH378" s="186" t="n"/>
      <c r="AI378" s="186" t="n"/>
      <c r="AJ378" s="186" t="n"/>
      <c r="AK378" s="186" t="n"/>
      <c r="AL378" s="186" t="n"/>
      <c r="AM378" s="186" t="n"/>
      <c r="AN378" s="186" t="n"/>
      <c r="AO378" s="186" t="n"/>
      <c r="AP378" s="186" t="n"/>
      <c r="AQ378" s="186" t="n"/>
      <c r="AR378" s="186" t="n"/>
      <c r="AS378" s="186" t="n"/>
      <c r="AT378" s="186" t="n"/>
      <c r="AU378" s="186" t="n"/>
      <c r="AV378" s="186" t="n"/>
      <c r="AW378" s="186" t="n"/>
      <c r="AX378" s="186" t="n"/>
      <c r="AY378" s="186" t="n"/>
      <c r="AZ378" s="186" t="n"/>
      <c r="BA378" s="186" t="n"/>
      <c r="BB378" s="186" t="n"/>
      <c r="BC378" s="186" t="n"/>
      <c r="BD378" s="190" t="n"/>
      <c r="BE378" s="186" t="n"/>
      <c r="BF378" s="186" t="n"/>
      <c r="BG378" s="186" t="n"/>
      <c r="BH378" s="186" t="n"/>
      <c r="BI378" s="186" t="n"/>
      <c r="BJ378" s="187" t="n"/>
      <c r="BK378" s="192" t="n"/>
      <c r="BL378" s="192" t="n"/>
      <c r="BM378" s="192" t="n"/>
      <c r="BN378" s="192" t="n"/>
    </row>
    <row r="379">
      <c r="A379" s="289">
        <f> 'Jobs-Ops'!A379</f>
        <v/>
      </c>
      <c r="B379" s="290">
        <f>'Jobs-Ops'!B379</f>
        <v/>
      </c>
      <c r="C379" s="290">
        <f>'Jobs-Ops'!C379</f>
        <v/>
      </c>
      <c r="D379" s="179" t="n"/>
      <c r="E379" s="181">
        <f>'Jobs-Ops'!I379</f>
        <v/>
      </c>
      <c r="F379" s="205">
        <f>'Jobs-Ops'!U379</f>
        <v/>
      </c>
      <c r="G379" s="181">
        <f>'Jobs-GAAP'!J379</f>
        <v/>
      </c>
      <c r="H379" s="205">
        <f>'Jobs-GAAP'!V379</f>
        <v/>
      </c>
      <c r="I379" s="181">
        <f>E379-G379</f>
        <v/>
      </c>
      <c r="J379" s="9">
        <f>'Jobs-Ops'!P379</f>
        <v/>
      </c>
      <c r="K379" s="9">
        <f>'Jobs-GAAP'!Q379</f>
        <v/>
      </c>
      <c r="L379" s="9">
        <f>J379-K379</f>
        <v/>
      </c>
      <c r="M379" s="186" t="n"/>
      <c r="N379" s="9">
        <f>'Jobs-Ops'!Y379</f>
        <v/>
      </c>
      <c r="O379" s="9">
        <f>'Jobs-GAAP'!Y379</f>
        <v/>
      </c>
      <c r="P379" s="9">
        <f>N379-O379</f>
        <v/>
      </c>
      <c r="Q379" s="186" t="n"/>
      <c r="R379" s="11">
        <f>'Jobs-Ops'!AL379</f>
        <v/>
      </c>
      <c r="S379" s="11">
        <f>'Jobs-GAAP'!AH379</f>
        <v/>
      </c>
      <c r="T379" s="11">
        <f>IFERROR(R379-S379,0)</f>
        <v/>
      </c>
      <c r="U379" s="8">
        <f>'Jobs-Ops'!AM379</f>
        <v/>
      </c>
      <c r="V379" s="8">
        <f>'Jobs-GAAP'!AI379</f>
        <v/>
      </c>
      <c r="W379" s="8">
        <f>IFERROR(U379-V379,0)</f>
        <v/>
      </c>
      <c r="X379" s="9">
        <f>'Jobs-Ops'!AN379</f>
        <v/>
      </c>
      <c r="Y379" s="9">
        <f>'Jobs-GAAP'!AJ379</f>
        <v/>
      </c>
      <c r="Z379" s="9">
        <f>IFERROR(X379-Y379,0)</f>
        <v/>
      </c>
      <c r="AA379" s="153">
        <f>'Jobs-Ops'!AO379</f>
        <v/>
      </c>
      <c r="AB379" s="187" t="n"/>
      <c r="AC379" s="186" t="n"/>
      <c r="AD379" s="186" t="n"/>
      <c r="AE379" s="188" t="n"/>
      <c r="AF379" s="187" t="n"/>
      <c r="AG379" s="187" t="n"/>
      <c r="AH379" s="186" t="n"/>
      <c r="AI379" s="186" t="n"/>
      <c r="AJ379" s="186" t="n"/>
      <c r="AK379" s="186" t="n"/>
      <c r="AL379" s="186" t="n"/>
      <c r="AM379" s="186" t="n"/>
      <c r="AN379" s="186" t="n"/>
      <c r="AO379" s="186" t="n"/>
      <c r="AP379" s="186" t="n"/>
      <c r="AQ379" s="186" t="n"/>
      <c r="AR379" s="186" t="n"/>
      <c r="AS379" s="186" t="n"/>
      <c r="AT379" s="186" t="n"/>
      <c r="AU379" s="186" t="n"/>
      <c r="AV379" s="186" t="n"/>
      <c r="AW379" s="186" t="n"/>
      <c r="AX379" s="186" t="n"/>
      <c r="AY379" s="186" t="n"/>
      <c r="AZ379" s="186" t="n"/>
      <c r="BA379" s="186" t="n"/>
      <c r="BB379" s="186" t="n"/>
      <c r="BC379" s="186" t="n"/>
      <c r="BD379" s="190" t="n"/>
      <c r="BE379" s="186" t="n"/>
      <c r="BF379" s="186" t="n"/>
      <c r="BG379" s="186" t="n"/>
      <c r="BH379" s="186" t="n"/>
      <c r="BI379" s="186" t="n"/>
      <c r="BJ379" s="187" t="n"/>
      <c r="BK379" s="192" t="n"/>
      <c r="BL379" s="192" t="n"/>
      <c r="BM379" s="192" t="n"/>
      <c r="BN379" s="192" t="n"/>
    </row>
    <row r="380">
      <c r="A380" s="289">
        <f> 'Jobs-Ops'!A380</f>
        <v/>
      </c>
      <c r="B380" s="290">
        <f>'Jobs-Ops'!B380</f>
        <v/>
      </c>
      <c r="C380" s="290">
        <f>'Jobs-Ops'!C380</f>
        <v/>
      </c>
      <c r="D380" s="179" t="n"/>
      <c r="E380" s="181">
        <f>'Jobs-Ops'!I380</f>
        <v/>
      </c>
      <c r="F380" s="205">
        <f>'Jobs-Ops'!U380</f>
        <v/>
      </c>
      <c r="G380" s="181">
        <f>'Jobs-GAAP'!J380</f>
        <v/>
      </c>
      <c r="H380" s="205">
        <f>'Jobs-GAAP'!V380</f>
        <v/>
      </c>
      <c r="I380" s="181">
        <f>E380-G380</f>
        <v/>
      </c>
      <c r="J380" s="9">
        <f>'Jobs-Ops'!P380</f>
        <v/>
      </c>
      <c r="K380" s="9">
        <f>'Jobs-GAAP'!Q380</f>
        <v/>
      </c>
      <c r="L380" s="9">
        <f>J380-K380</f>
        <v/>
      </c>
      <c r="M380" s="186" t="n"/>
      <c r="N380" s="9">
        <f>'Jobs-Ops'!Y380</f>
        <v/>
      </c>
      <c r="O380" s="9">
        <f>'Jobs-GAAP'!Y380</f>
        <v/>
      </c>
      <c r="P380" s="9">
        <f>N380-O380</f>
        <v/>
      </c>
      <c r="Q380" s="186" t="n"/>
      <c r="R380" s="11">
        <f>'Jobs-Ops'!AL380</f>
        <v/>
      </c>
      <c r="S380" s="11">
        <f>'Jobs-GAAP'!AH380</f>
        <v/>
      </c>
      <c r="T380" s="11">
        <f>IFERROR(R380-S380,0)</f>
        <v/>
      </c>
      <c r="U380" s="8">
        <f>'Jobs-Ops'!AM380</f>
        <v/>
      </c>
      <c r="V380" s="8">
        <f>'Jobs-GAAP'!AI380</f>
        <v/>
      </c>
      <c r="W380" s="8">
        <f>IFERROR(U380-V380,0)</f>
        <v/>
      </c>
      <c r="X380" s="9">
        <f>'Jobs-Ops'!AN380</f>
        <v/>
      </c>
      <c r="Y380" s="9">
        <f>'Jobs-GAAP'!AJ380</f>
        <v/>
      </c>
      <c r="Z380" s="9">
        <f>IFERROR(X380-Y380,0)</f>
        <v/>
      </c>
      <c r="AA380" s="153">
        <f>'Jobs-Ops'!AO380</f>
        <v/>
      </c>
      <c r="AB380" s="187" t="n"/>
      <c r="AC380" s="186" t="n"/>
      <c r="AD380" s="186" t="n"/>
      <c r="AE380" s="188" t="n"/>
      <c r="AF380" s="187" t="n"/>
      <c r="AG380" s="187" t="n"/>
      <c r="AH380" s="186" t="n"/>
      <c r="AI380" s="186" t="n"/>
      <c r="AJ380" s="186" t="n"/>
      <c r="AK380" s="186" t="n"/>
      <c r="AL380" s="186" t="n"/>
      <c r="AM380" s="186" t="n"/>
      <c r="AN380" s="186" t="n"/>
      <c r="AO380" s="186" t="n"/>
      <c r="AP380" s="186" t="n"/>
      <c r="AQ380" s="186" t="n"/>
      <c r="AR380" s="186" t="n"/>
      <c r="AS380" s="186" t="n"/>
      <c r="AT380" s="186" t="n"/>
      <c r="AU380" s="186" t="n"/>
      <c r="AV380" s="186" t="n"/>
      <c r="AW380" s="186" t="n"/>
      <c r="AX380" s="186" t="n"/>
      <c r="AY380" s="186" t="n"/>
      <c r="AZ380" s="186" t="n"/>
      <c r="BA380" s="186" t="n"/>
      <c r="BB380" s="186" t="n"/>
      <c r="BC380" s="186" t="n"/>
      <c r="BD380" s="190" t="n"/>
      <c r="BE380" s="186" t="n"/>
      <c r="BF380" s="186" t="n"/>
      <c r="BG380" s="186" t="n"/>
      <c r="BH380" s="186" t="n"/>
      <c r="BI380" s="186" t="n"/>
      <c r="BJ380" s="187" t="n"/>
      <c r="BK380" s="192" t="n"/>
      <c r="BL380" s="192" t="n"/>
      <c r="BM380" s="192" t="n"/>
      <c r="BN380" s="192" t="n"/>
    </row>
    <row r="381">
      <c r="A381" s="289">
        <f> 'Jobs-Ops'!A381</f>
        <v/>
      </c>
      <c r="B381" s="290">
        <f>'Jobs-Ops'!B381</f>
        <v/>
      </c>
      <c r="C381" s="290">
        <f>'Jobs-Ops'!C381</f>
        <v/>
      </c>
      <c r="D381" s="179" t="n"/>
      <c r="E381" s="181">
        <f>'Jobs-Ops'!I381</f>
        <v/>
      </c>
      <c r="F381" s="205">
        <f>'Jobs-Ops'!U381</f>
        <v/>
      </c>
      <c r="G381" s="181">
        <f>'Jobs-GAAP'!J381</f>
        <v/>
      </c>
      <c r="H381" s="205">
        <f>'Jobs-GAAP'!V381</f>
        <v/>
      </c>
      <c r="I381" s="181">
        <f>E381-G381</f>
        <v/>
      </c>
      <c r="J381" s="9">
        <f>'Jobs-Ops'!P381</f>
        <v/>
      </c>
      <c r="K381" s="9">
        <f>'Jobs-GAAP'!Q381</f>
        <v/>
      </c>
      <c r="L381" s="9">
        <f>J381-K381</f>
        <v/>
      </c>
      <c r="M381" s="186" t="n"/>
      <c r="N381" s="9">
        <f>'Jobs-Ops'!Y381</f>
        <v/>
      </c>
      <c r="O381" s="9">
        <f>'Jobs-GAAP'!Y381</f>
        <v/>
      </c>
      <c r="P381" s="9">
        <f>N381-O381</f>
        <v/>
      </c>
      <c r="Q381" s="186" t="n"/>
      <c r="R381" s="11">
        <f>'Jobs-Ops'!AL381</f>
        <v/>
      </c>
      <c r="S381" s="11">
        <f>'Jobs-GAAP'!AH381</f>
        <v/>
      </c>
      <c r="T381" s="11">
        <f>IFERROR(R381-S381,0)</f>
        <v/>
      </c>
      <c r="U381" s="8">
        <f>'Jobs-Ops'!AM381</f>
        <v/>
      </c>
      <c r="V381" s="8">
        <f>'Jobs-GAAP'!AI381</f>
        <v/>
      </c>
      <c r="W381" s="8">
        <f>IFERROR(U381-V381,0)</f>
        <v/>
      </c>
      <c r="X381" s="9">
        <f>'Jobs-Ops'!AN381</f>
        <v/>
      </c>
      <c r="Y381" s="9">
        <f>'Jobs-GAAP'!AJ381</f>
        <v/>
      </c>
      <c r="Z381" s="9">
        <f>IFERROR(X381-Y381,0)</f>
        <v/>
      </c>
      <c r="AA381" s="153">
        <f>'Jobs-Ops'!AO381</f>
        <v/>
      </c>
      <c r="AB381" s="187" t="n"/>
      <c r="AC381" s="186" t="n"/>
      <c r="AD381" s="186" t="n"/>
      <c r="AE381" s="188" t="n"/>
      <c r="AF381" s="187" t="n"/>
      <c r="AG381" s="187" t="n"/>
      <c r="AH381" s="186" t="n"/>
      <c r="AI381" s="186" t="n"/>
      <c r="AJ381" s="186" t="n"/>
      <c r="AK381" s="186" t="n"/>
      <c r="AL381" s="186" t="n"/>
      <c r="AM381" s="186" t="n"/>
      <c r="AN381" s="186" t="n"/>
      <c r="AO381" s="186" t="n"/>
      <c r="AP381" s="186" t="n"/>
      <c r="AQ381" s="186" t="n"/>
      <c r="AR381" s="186" t="n"/>
      <c r="AS381" s="186" t="n"/>
      <c r="AT381" s="186" t="n"/>
      <c r="AU381" s="186" t="n"/>
      <c r="AV381" s="186" t="n"/>
      <c r="AW381" s="186" t="n"/>
      <c r="AX381" s="186" t="n"/>
      <c r="AY381" s="186" t="n"/>
      <c r="AZ381" s="186" t="n"/>
      <c r="BA381" s="186" t="n"/>
      <c r="BB381" s="186" t="n"/>
      <c r="BC381" s="186" t="n"/>
      <c r="BD381" s="190" t="n"/>
      <c r="BE381" s="186" t="n"/>
      <c r="BF381" s="186" t="n"/>
      <c r="BG381" s="186" t="n"/>
      <c r="BH381" s="186" t="n"/>
      <c r="BI381" s="186" t="n"/>
      <c r="BJ381" s="187" t="n"/>
      <c r="BK381" s="192" t="n"/>
      <c r="BL381" s="192" t="n"/>
      <c r="BM381" s="192" t="n"/>
      <c r="BN381" s="192" t="n"/>
    </row>
    <row r="382">
      <c r="A382" s="289">
        <f> 'Jobs-Ops'!A382</f>
        <v/>
      </c>
      <c r="B382" s="290">
        <f>'Jobs-Ops'!B382</f>
        <v/>
      </c>
      <c r="C382" s="290">
        <f>'Jobs-Ops'!C382</f>
        <v/>
      </c>
      <c r="D382" s="179" t="n"/>
      <c r="E382" s="181">
        <f>'Jobs-Ops'!I382</f>
        <v/>
      </c>
      <c r="F382" s="205">
        <f>'Jobs-Ops'!U382</f>
        <v/>
      </c>
      <c r="G382" s="181">
        <f>'Jobs-GAAP'!J382</f>
        <v/>
      </c>
      <c r="H382" s="205">
        <f>'Jobs-GAAP'!V382</f>
        <v/>
      </c>
      <c r="I382" s="181">
        <f>E382-G382</f>
        <v/>
      </c>
      <c r="J382" s="9">
        <f>'Jobs-Ops'!P382</f>
        <v/>
      </c>
      <c r="K382" s="9">
        <f>'Jobs-GAAP'!Q382</f>
        <v/>
      </c>
      <c r="L382" s="9">
        <f>J382-K382</f>
        <v/>
      </c>
      <c r="M382" s="186" t="n"/>
      <c r="N382" s="9">
        <f>'Jobs-Ops'!Y382</f>
        <v/>
      </c>
      <c r="O382" s="9">
        <f>'Jobs-GAAP'!Y382</f>
        <v/>
      </c>
      <c r="P382" s="9">
        <f>N382-O382</f>
        <v/>
      </c>
      <c r="Q382" s="186" t="n"/>
      <c r="R382" s="11">
        <f>'Jobs-Ops'!AL382</f>
        <v/>
      </c>
      <c r="S382" s="11">
        <f>'Jobs-GAAP'!AH382</f>
        <v/>
      </c>
      <c r="T382" s="11">
        <f>IFERROR(R382-S382,0)</f>
        <v/>
      </c>
      <c r="U382" s="8">
        <f>'Jobs-Ops'!AM382</f>
        <v/>
      </c>
      <c r="V382" s="8">
        <f>'Jobs-GAAP'!AI382</f>
        <v/>
      </c>
      <c r="W382" s="8">
        <f>IFERROR(U382-V382,0)</f>
        <v/>
      </c>
      <c r="X382" s="9">
        <f>'Jobs-Ops'!AN382</f>
        <v/>
      </c>
      <c r="Y382" s="9">
        <f>'Jobs-GAAP'!AJ382</f>
        <v/>
      </c>
      <c r="Z382" s="9">
        <f>IFERROR(X382-Y382,0)</f>
        <v/>
      </c>
      <c r="AA382" s="153">
        <f>'Jobs-Ops'!AO382</f>
        <v/>
      </c>
      <c r="AB382" s="187" t="n"/>
      <c r="AC382" s="186" t="n"/>
      <c r="AD382" s="186" t="n"/>
      <c r="AE382" s="188" t="n"/>
      <c r="AF382" s="187" t="n"/>
      <c r="AG382" s="187" t="n"/>
      <c r="AH382" s="186" t="n"/>
      <c r="AI382" s="186" t="n"/>
      <c r="AJ382" s="186" t="n"/>
      <c r="AK382" s="186" t="n"/>
      <c r="AL382" s="186" t="n"/>
      <c r="AM382" s="186" t="n"/>
      <c r="AN382" s="186" t="n"/>
      <c r="AO382" s="186" t="n"/>
      <c r="AP382" s="186" t="n"/>
      <c r="AQ382" s="186" t="n"/>
      <c r="AR382" s="186" t="n"/>
      <c r="AS382" s="186" t="n"/>
      <c r="AT382" s="186" t="n"/>
      <c r="AU382" s="186" t="n"/>
      <c r="AV382" s="186" t="n"/>
      <c r="AW382" s="186" t="n"/>
      <c r="AX382" s="186" t="n"/>
      <c r="AY382" s="186" t="n"/>
      <c r="AZ382" s="186" t="n"/>
      <c r="BA382" s="186" t="n"/>
      <c r="BB382" s="186" t="n"/>
      <c r="BC382" s="186" t="n"/>
      <c r="BD382" s="190" t="n"/>
      <c r="BE382" s="186" t="n"/>
      <c r="BF382" s="186" t="n"/>
      <c r="BG382" s="186" t="n"/>
      <c r="BH382" s="186" t="n"/>
      <c r="BI382" s="186" t="n"/>
      <c r="BJ382" s="187" t="n"/>
      <c r="BK382" s="192" t="n"/>
      <c r="BL382" s="192" t="n"/>
      <c r="BM382" s="192" t="n"/>
      <c r="BN382" s="192" t="n"/>
    </row>
    <row r="383">
      <c r="A383" s="289">
        <f> 'Jobs-Ops'!A383</f>
        <v/>
      </c>
      <c r="B383" s="290">
        <f>'Jobs-Ops'!B383</f>
        <v/>
      </c>
      <c r="C383" s="290">
        <f>'Jobs-Ops'!C383</f>
        <v/>
      </c>
      <c r="D383" s="179" t="n"/>
      <c r="E383" s="181">
        <f>'Jobs-Ops'!I383</f>
        <v/>
      </c>
      <c r="F383" s="205">
        <f>'Jobs-Ops'!U383</f>
        <v/>
      </c>
      <c r="G383" s="181">
        <f>'Jobs-GAAP'!J383</f>
        <v/>
      </c>
      <c r="H383" s="205">
        <f>'Jobs-GAAP'!V383</f>
        <v/>
      </c>
      <c r="I383" s="181">
        <f>E383-G383</f>
        <v/>
      </c>
      <c r="J383" s="9">
        <f>'Jobs-Ops'!P383</f>
        <v/>
      </c>
      <c r="K383" s="9">
        <f>'Jobs-GAAP'!Q383</f>
        <v/>
      </c>
      <c r="L383" s="9">
        <f>J383-K383</f>
        <v/>
      </c>
      <c r="M383" s="186" t="n"/>
      <c r="N383" s="9">
        <f>'Jobs-Ops'!Y383</f>
        <v/>
      </c>
      <c r="O383" s="9">
        <f>'Jobs-GAAP'!Y383</f>
        <v/>
      </c>
      <c r="P383" s="9">
        <f>N383-O383</f>
        <v/>
      </c>
      <c r="Q383" s="186" t="n"/>
      <c r="R383" s="11">
        <f>'Jobs-Ops'!AL383</f>
        <v/>
      </c>
      <c r="S383" s="11">
        <f>'Jobs-GAAP'!AH383</f>
        <v/>
      </c>
      <c r="T383" s="11">
        <f>IFERROR(R383-S383,0)</f>
        <v/>
      </c>
      <c r="U383" s="8">
        <f>'Jobs-Ops'!AM383</f>
        <v/>
      </c>
      <c r="V383" s="8">
        <f>'Jobs-GAAP'!AI383</f>
        <v/>
      </c>
      <c r="W383" s="8">
        <f>IFERROR(U383-V383,0)</f>
        <v/>
      </c>
      <c r="X383" s="9">
        <f>'Jobs-Ops'!AN383</f>
        <v/>
      </c>
      <c r="Y383" s="9">
        <f>'Jobs-GAAP'!AJ383</f>
        <v/>
      </c>
      <c r="Z383" s="9">
        <f>IFERROR(X383-Y383,0)</f>
        <v/>
      </c>
      <c r="AA383" s="153">
        <f>'Jobs-Ops'!AO383</f>
        <v/>
      </c>
      <c r="AB383" s="187" t="n"/>
      <c r="AC383" s="186" t="n"/>
      <c r="AD383" s="186" t="n"/>
      <c r="AE383" s="188" t="n"/>
      <c r="AF383" s="187" t="n"/>
      <c r="AG383" s="187" t="n"/>
      <c r="AH383" s="186" t="n"/>
      <c r="AI383" s="186" t="n"/>
      <c r="AJ383" s="186" t="n"/>
      <c r="AK383" s="186" t="n"/>
      <c r="AL383" s="186" t="n"/>
      <c r="AM383" s="186" t="n"/>
      <c r="AN383" s="186" t="n"/>
      <c r="AO383" s="186" t="n"/>
      <c r="AP383" s="186" t="n"/>
      <c r="AQ383" s="186" t="n"/>
      <c r="AR383" s="186" t="n"/>
      <c r="AS383" s="186" t="n"/>
      <c r="AT383" s="186" t="n"/>
      <c r="AU383" s="186" t="n"/>
      <c r="AV383" s="186" t="n"/>
      <c r="AW383" s="186" t="n"/>
      <c r="AX383" s="186" t="n"/>
      <c r="AY383" s="186" t="n"/>
      <c r="AZ383" s="186" t="n"/>
      <c r="BA383" s="186" t="n"/>
      <c r="BB383" s="186" t="n"/>
      <c r="BC383" s="186" t="n"/>
      <c r="BD383" s="190" t="n"/>
      <c r="BE383" s="186" t="n"/>
      <c r="BF383" s="186" t="n"/>
      <c r="BG383" s="186" t="n"/>
      <c r="BH383" s="186" t="n"/>
      <c r="BI383" s="186" t="n"/>
      <c r="BJ383" s="187" t="n"/>
      <c r="BK383" s="192" t="n"/>
      <c r="BL383" s="192" t="n"/>
      <c r="BM383" s="192" t="n"/>
      <c r="BN383" s="192" t="n"/>
    </row>
    <row r="384">
      <c r="A384" s="289">
        <f> 'Jobs-Ops'!A384</f>
        <v/>
      </c>
      <c r="B384" s="290">
        <f>'Jobs-Ops'!B384</f>
        <v/>
      </c>
      <c r="C384" s="290">
        <f>'Jobs-Ops'!C384</f>
        <v/>
      </c>
      <c r="D384" s="179" t="n"/>
      <c r="E384" s="181">
        <f>'Jobs-Ops'!I384</f>
        <v/>
      </c>
      <c r="F384" s="205">
        <f>'Jobs-Ops'!U384</f>
        <v/>
      </c>
      <c r="G384" s="181">
        <f>'Jobs-GAAP'!J384</f>
        <v/>
      </c>
      <c r="H384" s="205">
        <f>'Jobs-GAAP'!V384</f>
        <v/>
      </c>
      <c r="I384" s="181">
        <f>E384-G384</f>
        <v/>
      </c>
      <c r="J384" s="9">
        <f>'Jobs-Ops'!P384</f>
        <v/>
      </c>
      <c r="K384" s="9">
        <f>'Jobs-GAAP'!Q384</f>
        <v/>
      </c>
      <c r="L384" s="9">
        <f>J384-K384</f>
        <v/>
      </c>
      <c r="M384" s="186" t="n"/>
      <c r="N384" s="9">
        <f>'Jobs-Ops'!Y384</f>
        <v/>
      </c>
      <c r="O384" s="9">
        <f>'Jobs-GAAP'!Y384</f>
        <v/>
      </c>
      <c r="P384" s="9">
        <f>N384-O384</f>
        <v/>
      </c>
      <c r="Q384" s="186" t="n"/>
      <c r="R384" s="11">
        <f>'Jobs-Ops'!AL384</f>
        <v/>
      </c>
      <c r="S384" s="11">
        <f>'Jobs-GAAP'!AH384</f>
        <v/>
      </c>
      <c r="T384" s="11">
        <f>IFERROR(R384-S384,0)</f>
        <v/>
      </c>
      <c r="U384" s="8">
        <f>'Jobs-Ops'!AM384</f>
        <v/>
      </c>
      <c r="V384" s="8">
        <f>'Jobs-GAAP'!AI384</f>
        <v/>
      </c>
      <c r="W384" s="8">
        <f>IFERROR(U384-V384,0)</f>
        <v/>
      </c>
      <c r="X384" s="9">
        <f>'Jobs-Ops'!AN384</f>
        <v/>
      </c>
      <c r="Y384" s="9">
        <f>'Jobs-GAAP'!AJ384</f>
        <v/>
      </c>
      <c r="Z384" s="9">
        <f>IFERROR(X384-Y384,0)</f>
        <v/>
      </c>
      <c r="AA384" s="153">
        <f>'Jobs-Ops'!AO384</f>
        <v/>
      </c>
      <c r="AB384" s="187" t="n"/>
      <c r="AC384" s="186" t="n"/>
      <c r="AD384" s="186" t="n"/>
      <c r="AE384" s="188" t="n"/>
      <c r="AF384" s="187" t="n"/>
      <c r="AG384" s="187" t="n"/>
      <c r="AH384" s="186" t="n"/>
      <c r="AI384" s="186" t="n"/>
      <c r="AJ384" s="186" t="n"/>
      <c r="AK384" s="186" t="n"/>
      <c r="AL384" s="186" t="n"/>
      <c r="AM384" s="186" t="n"/>
      <c r="AN384" s="186" t="n"/>
      <c r="AO384" s="186" t="n"/>
      <c r="AP384" s="186" t="n"/>
      <c r="AQ384" s="186" t="n"/>
      <c r="AR384" s="186" t="n"/>
      <c r="AS384" s="186" t="n"/>
      <c r="AT384" s="186" t="n"/>
      <c r="AU384" s="186" t="n"/>
      <c r="AV384" s="186" t="n"/>
      <c r="AW384" s="186" t="n"/>
      <c r="AX384" s="186" t="n"/>
      <c r="AY384" s="186" t="n"/>
      <c r="AZ384" s="186" t="n"/>
      <c r="BA384" s="186" t="n"/>
      <c r="BB384" s="186" t="n"/>
      <c r="BC384" s="186" t="n"/>
      <c r="BD384" s="190" t="n"/>
      <c r="BE384" s="186" t="n"/>
      <c r="BF384" s="186" t="n"/>
      <c r="BG384" s="186" t="n"/>
      <c r="BH384" s="186" t="n"/>
      <c r="BI384" s="186" t="n"/>
      <c r="BJ384" s="187" t="n"/>
      <c r="BK384" s="192" t="n"/>
      <c r="BL384" s="192" t="n"/>
      <c r="BM384" s="192" t="n"/>
      <c r="BN384" s="192" t="n"/>
    </row>
    <row r="385">
      <c r="A385" s="289">
        <f> 'Jobs-Ops'!A385</f>
        <v/>
      </c>
      <c r="B385" s="290">
        <f>'Jobs-Ops'!B385</f>
        <v/>
      </c>
      <c r="C385" s="290">
        <f>'Jobs-Ops'!C385</f>
        <v/>
      </c>
      <c r="D385" s="179" t="n"/>
      <c r="E385" s="181">
        <f>'Jobs-Ops'!I385</f>
        <v/>
      </c>
      <c r="F385" s="205">
        <f>'Jobs-Ops'!U385</f>
        <v/>
      </c>
      <c r="G385" s="181">
        <f>'Jobs-GAAP'!J385</f>
        <v/>
      </c>
      <c r="H385" s="205">
        <f>'Jobs-GAAP'!V385</f>
        <v/>
      </c>
      <c r="I385" s="181">
        <f>E385-G385</f>
        <v/>
      </c>
      <c r="J385" s="9">
        <f>'Jobs-Ops'!P385</f>
        <v/>
      </c>
      <c r="K385" s="9">
        <f>'Jobs-GAAP'!Q385</f>
        <v/>
      </c>
      <c r="L385" s="9">
        <f>J385-K385</f>
        <v/>
      </c>
      <c r="M385" s="186" t="n"/>
      <c r="N385" s="9">
        <f>'Jobs-Ops'!Y385</f>
        <v/>
      </c>
      <c r="O385" s="9">
        <f>'Jobs-GAAP'!Y385</f>
        <v/>
      </c>
      <c r="P385" s="9">
        <f>N385-O385</f>
        <v/>
      </c>
      <c r="Q385" s="186" t="n"/>
      <c r="R385" s="11">
        <f>'Jobs-Ops'!AL385</f>
        <v/>
      </c>
      <c r="S385" s="11">
        <f>'Jobs-GAAP'!AH385</f>
        <v/>
      </c>
      <c r="T385" s="11">
        <f>IFERROR(R385-S385,0)</f>
        <v/>
      </c>
      <c r="U385" s="8">
        <f>'Jobs-Ops'!AM385</f>
        <v/>
      </c>
      <c r="V385" s="8">
        <f>'Jobs-GAAP'!AI385</f>
        <v/>
      </c>
      <c r="W385" s="8">
        <f>IFERROR(U385-V385,0)</f>
        <v/>
      </c>
      <c r="X385" s="9">
        <f>'Jobs-Ops'!AN385</f>
        <v/>
      </c>
      <c r="Y385" s="9">
        <f>'Jobs-GAAP'!AJ385</f>
        <v/>
      </c>
      <c r="Z385" s="9">
        <f>IFERROR(X385-Y385,0)</f>
        <v/>
      </c>
      <c r="AA385" s="153">
        <f>'Jobs-Ops'!AO385</f>
        <v/>
      </c>
      <c r="AB385" s="187" t="n"/>
      <c r="AC385" s="186" t="n"/>
      <c r="AD385" s="186" t="n"/>
      <c r="AE385" s="188" t="n"/>
      <c r="AF385" s="187" t="n"/>
      <c r="AG385" s="187" t="n"/>
      <c r="AH385" s="186" t="n"/>
      <c r="AI385" s="186" t="n"/>
      <c r="AJ385" s="186" t="n"/>
      <c r="AK385" s="186" t="n"/>
      <c r="AL385" s="186" t="n"/>
      <c r="AM385" s="186" t="n"/>
      <c r="AN385" s="186" t="n"/>
      <c r="AO385" s="186" t="n"/>
      <c r="AP385" s="186" t="n"/>
      <c r="AQ385" s="186" t="n"/>
      <c r="AR385" s="186" t="n"/>
      <c r="AS385" s="186" t="n"/>
      <c r="AT385" s="186" t="n"/>
      <c r="AU385" s="186" t="n"/>
      <c r="AV385" s="186" t="n"/>
      <c r="AW385" s="186" t="n"/>
      <c r="AX385" s="186" t="n"/>
      <c r="AY385" s="186" t="n"/>
      <c r="AZ385" s="186" t="n"/>
      <c r="BA385" s="186" t="n"/>
      <c r="BB385" s="186" t="n"/>
      <c r="BC385" s="186" t="n"/>
      <c r="BD385" s="190" t="n"/>
      <c r="BE385" s="186" t="n"/>
      <c r="BF385" s="186" t="n"/>
      <c r="BG385" s="186" t="n"/>
      <c r="BH385" s="186" t="n"/>
      <c r="BI385" s="186" t="n"/>
      <c r="BJ385" s="187" t="n"/>
      <c r="BK385" s="192" t="n"/>
      <c r="BL385" s="192" t="n"/>
      <c r="BM385" s="192" t="n"/>
      <c r="BN385" s="192" t="n"/>
    </row>
    <row r="386">
      <c r="A386" s="289">
        <f> 'Jobs-Ops'!A386</f>
        <v/>
      </c>
      <c r="B386" s="290">
        <f>'Jobs-Ops'!B386</f>
        <v/>
      </c>
      <c r="C386" s="290">
        <f>'Jobs-Ops'!C386</f>
        <v/>
      </c>
      <c r="D386" s="179" t="n"/>
      <c r="E386" s="181">
        <f>'Jobs-Ops'!I386</f>
        <v/>
      </c>
      <c r="F386" s="205">
        <f>'Jobs-Ops'!U386</f>
        <v/>
      </c>
      <c r="G386" s="181">
        <f>'Jobs-GAAP'!J386</f>
        <v/>
      </c>
      <c r="H386" s="205">
        <f>'Jobs-GAAP'!V386</f>
        <v/>
      </c>
      <c r="I386" s="181">
        <f>E386-G386</f>
        <v/>
      </c>
      <c r="J386" s="9">
        <f>'Jobs-Ops'!P386</f>
        <v/>
      </c>
      <c r="K386" s="9">
        <f>'Jobs-GAAP'!Q386</f>
        <v/>
      </c>
      <c r="L386" s="9">
        <f>J386-K386</f>
        <v/>
      </c>
      <c r="M386" s="186" t="n"/>
      <c r="N386" s="9">
        <f>'Jobs-Ops'!Y386</f>
        <v/>
      </c>
      <c r="O386" s="9">
        <f>'Jobs-GAAP'!Y386</f>
        <v/>
      </c>
      <c r="P386" s="9">
        <f>N386-O386</f>
        <v/>
      </c>
      <c r="Q386" s="186" t="n"/>
      <c r="R386" s="11">
        <f>'Jobs-Ops'!AL386</f>
        <v/>
      </c>
      <c r="S386" s="11">
        <f>'Jobs-GAAP'!AH386</f>
        <v/>
      </c>
      <c r="T386" s="11">
        <f>IFERROR(R386-S386,0)</f>
        <v/>
      </c>
      <c r="U386" s="8">
        <f>'Jobs-Ops'!AM386</f>
        <v/>
      </c>
      <c r="V386" s="8">
        <f>'Jobs-GAAP'!AI386</f>
        <v/>
      </c>
      <c r="W386" s="8">
        <f>IFERROR(U386-V386,0)</f>
        <v/>
      </c>
      <c r="X386" s="9">
        <f>'Jobs-Ops'!AN386</f>
        <v/>
      </c>
      <c r="Y386" s="9">
        <f>'Jobs-GAAP'!AJ386</f>
        <v/>
      </c>
      <c r="Z386" s="9">
        <f>IFERROR(X386-Y386,0)</f>
        <v/>
      </c>
      <c r="AA386" s="153">
        <f>'Jobs-Ops'!AO386</f>
        <v/>
      </c>
      <c r="AB386" s="187" t="n"/>
      <c r="AC386" s="186" t="n"/>
      <c r="AD386" s="186" t="n"/>
      <c r="AE386" s="188" t="n"/>
      <c r="AF386" s="187" t="n"/>
      <c r="AG386" s="187" t="n"/>
      <c r="AH386" s="186" t="n"/>
      <c r="AI386" s="186" t="n"/>
      <c r="AJ386" s="186" t="n"/>
      <c r="AK386" s="186" t="n"/>
      <c r="AL386" s="186" t="n"/>
      <c r="AM386" s="186" t="n"/>
      <c r="AN386" s="186" t="n"/>
      <c r="AO386" s="186" t="n"/>
      <c r="AP386" s="186" t="n"/>
      <c r="AQ386" s="186" t="n"/>
      <c r="AR386" s="186" t="n"/>
      <c r="AS386" s="186" t="n"/>
      <c r="AT386" s="186" t="n"/>
      <c r="AU386" s="186" t="n"/>
      <c r="AV386" s="186" t="n"/>
      <c r="AW386" s="186" t="n"/>
      <c r="AX386" s="186" t="n"/>
      <c r="AY386" s="186" t="n"/>
      <c r="AZ386" s="186" t="n"/>
      <c r="BA386" s="186" t="n"/>
      <c r="BB386" s="186" t="n"/>
      <c r="BC386" s="186" t="n"/>
      <c r="BD386" s="190" t="n"/>
      <c r="BE386" s="186" t="n"/>
      <c r="BF386" s="186" t="n"/>
      <c r="BG386" s="186" t="n"/>
      <c r="BH386" s="186" t="n"/>
      <c r="BI386" s="186" t="n"/>
      <c r="BJ386" s="187" t="n"/>
      <c r="BK386" s="192" t="n"/>
      <c r="BL386" s="192" t="n"/>
      <c r="BM386" s="192" t="n"/>
      <c r="BN386" s="192" t="n"/>
    </row>
    <row r="387">
      <c r="A387" s="289">
        <f> 'Jobs-Ops'!A387</f>
        <v/>
      </c>
      <c r="B387" s="290">
        <f>'Jobs-Ops'!B387</f>
        <v/>
      </c>
      <c r="C387" s="290">
        <f>'Jobs-Ops'!C387</f>
        <v/>
      </c>
      <c r="D387" s="179" t="n"/>
      <c r="E387" s="181">
        <f>'Jobs-Ops'!I387</f>
        <v/>
      </c>
      <c r="F387" s="205">
        <f>'Jobs-Ops'!U387</f>
        <v/>
      </c>
      <c r="G387" s="181">
        <f>'Jobs-GAAP'!J387</f>
        <v/>
      </c>
      <c r="H387" s="205">
        <f>'Jobs-GAAP'!V387</f>
        <v/>
      </c>
      <c r="I387" s="181">
        <f>E387-G387</f>
        <v/>
      </c>
      <c r="J387" s="9">
        <f>'Jobs-Ops'!P387</f>
        <v/>
      </c>
      <c r="K387" s="9">
        <f>'Jobs-GAAP'!Q387</f>
        <v/>
      </c>
      <c r="L387" s="9">
        <f>J387-K387</f>
        <v/>
      </c>
      <c r="M387" s="186" t="n"/>
      <c r="N387" s="9">
        <f>'Jobs-Ops'!Y387</f>
        <v/>
      </c>
      <c r="O387" s="9">
        <f>'Jobs-GAAP'!Y387</f>
        <v/>
      </c>
      <c r="P387" s="9">
        <f>N387-O387</f>
        <v/>
      </c>
      <c r="Q387" s="186" t="n"/>
      <c r="R387" s="11">
        <f>'Jobs-Ops'!AL387</f>
        <v/>
      </c>
      <c r="S387" s="11">
        <f>'Jobs-GAAP'!AH387</f>
        <v/>
      </c>
      <c r="T387" s="11">
        <f>IFERROR(R387-S387,0)</f>
        <v/>
      </c>
      <c r="U387" s="8">
        <f>'Jobs-Ops'!AM387</f>
        <v/>
      </c>
      <c r="V387" s="8">
        <f>'Jobs-GAAP'!AI387</f>
        <v/>
      </c>
      <c r="W387" s="8">
        <f>IFERROR(U387-V387,0)</f>
        <v/>
      </c>
      <c r="X387" s="9">
        <f>'Jobs-Ops'!AN387</f>
        <v/>
      </c>
      <c r="Y387" s="9">
        <f>'Jobs-GAAP'!AJ387</f>
        <v/>
      </c>
      <c r="Z387" s="9">
        <f>IFERROR(X387-Y387,0)</f>
        <v/>
      </c>
      <c r="AA387" s="153">
        <f>'Jobs-Ops'!AO387</f>
        <v/>
      </c>
      <c r="AB387" s="187" t="n"/>
      <c r="AC387" s="186" t="n"/>
      <c r="AD387" s="186" t="n"/>
      <c r="AE387" s="188" t="n"/>
      <c r="AF387" s="187" t="n"/>
      <c r="AG387" s="187" t="n"/>
      <c r="AH387" s="186" t="n"/>
      <c r="AI387" s="186" t="n"/>
      <c r="AJ387" s="186" t="n"/>
      <c r="AK387" s="186" t="n"/>
      <c r="AL387" s="186" t="n"/>
      <c r="AM387" s="186" t="n"/>
      <c r="AN387" s="186" t="n"/>
      <c r="AO387" s="186" t="n"/>
      <c r="AP387" s="186" t="n"/>
      <c r="AQ387" s="186" t="n"/>
      <c r="AR387" s="186" t="n"/>
      <c r="AS387" s="186" t="n"/>
      <c r="AT387" s="186" t="n"/>
      <c r="AU387" s="186" t="n"/>
      <c r="AV387" s="186" t="n"/>
      <c r="AW387" s="186" t="n"/>
      <c r="AX387" s="186" t="n"/>
      <c r="AY387" s="186" t="n"/>
      <c r="AZ387" s="186" t="n"/>
      <c r="BA387" s="186" t="n"/>
      <c r="BB387" s="186" t="n"/>
      <c r="BC387" s="186" t="n"/>
      <c r="BD387" s="190" t="n"/>
      <c r="BE387" s="186" t="n"/>
      <c r="BF387" s="186" t="n"/>
      <c r="BG387" s="186" t="n"/>
      <c r="BH387" s="186" t="n"/>
      <c r="BI387" s="186" t="n"/>
      <c r="BJ387" s="187" t="n"/>
      <c r="BK387" s="192" t="n"/>
      <c r="BL387" s="192" t="n"/>
      <c r="BM387" s="192" t="n"/>
      <c r="BN387" s="192" t="n"/>
    </row>
    <row r="388">
      <c r="A388" s="289">
        <f> 'Jobs-Ops'!A388</f>
        <v/>
      </c>
      <c r="B388" s="290">
        <f>'Jobs-Ops'!B388</f>
        <v/>
      </c>
      <c r="C388" s="290">
        <f>'Jobs-Ops'!C388</f>
        <v/>
      </c>
      <c r="D388" s="179" t="n"/>
      <c r="E388" s="181">
        <f>'Jobs-Ops'!I388</f>
        <v/>
      </c>
      <c r="F388" s="205">
        <f>'Jobs-Ops'!U388</f>
        <v/>
      </c>
      <c r="G388" s="181">
        <f>'Jobs-GAAP'!J388</f>
        <v/>
      </c>
      <c r="H388" s="205">
        <f>'Jobs-GAAP'!V388</f>
        <v/>
      </c>
      <c r="I388" s="181">
        <f>E388-G388</f>
        <v/>
      </c>
      <c r="J388" s="9">
        <f>'Jobs-Ops'!P388</f>
        <v/>
      </c>
      <c r="K388" s="9">
        <f>'Jobs-GAAP'!Q388</f>
        <v/>
      </c>
      <c r="L388" s="9">
        <f>J388-K388</f>
        <v/>
      </c>
      <c r="M388" s="186" t="n"/>
      <c r="N388" s="9">
        <f>'Jobs-Ops'!Y388</f>
        <v/>
      </c>
      <c r="O388" s="9">
        <f>'Jobs-GAAP'!Y388</f>
        <v/>
      </c>
      <c r="P388" s="9">
        <f>N388-O388</f>
        <v/>
      </c>
      <c r="Q388" s="186" t="n"/>
      <c r="R388" s="11">
        <f>'Jobs-Ops'!AL388</f>
        <v/>
      </c>
      <c r="S388" s="11">
        <f>'Jobs-GAAP'!AH388</f>
        <v/>
      </c>
      <c r="T388" s="11">
        <f>IFERROR(R388-S388,0)</f>
        <v/>
      </c>
      <c r="U388" s="8">
        <f>'Jobs-Ops'!AM388</f>
        <v/>
      </c>
      <c r="V388" s="8">
        <f>'Jobs-GAAP'!AI388</f>
        <v/>
      </c>
      <c r="W388" s="8">
        <f>IFERROR(U388-V388,0)</f>
        <v/>
      </c>
      <c r="X388" s="9">
        <f>'Jobs-Ops'!AN388</f>
        <v/>
      </c>
      <c r="Y388" s="9">
        <f>'Jobs-GAAP'!AJ388</f>
        <v/>
      </c>
      <c r="Z388" s="9">
        <f>IFERROR(X388-Y388,0)</f>
        <v/>
      </c>
      <c r="AA388" s="153">
        <f>'Jobs-Ops'!AO388</f>
        <v/>
      </c>
      <c r="AB388" s="187" t="n"/>
      <c r="AC388" s="186" t="n"/>
      <c r="AD388" s="186" t="n"/>
      <c r="AE388" s="188" t="n"/>
      <c r="AF388" s="187" t="n"/>
      <c r="AG388" s="187" t="n"/>
      <c r="AH388" s="186" t="n"/>
      <c r="AI388" s="186" t="n"/>
      <c r="AJ388" s="186" t="n"/>
      <c r="AK388" s="186" t="n"/>
      <c r="AL388" s="186" t="n"/>
      <c r="AM388" s="186" t="n"/>
      <c r="AN388" s="186" t="n"/>
      <c r="AO388" s="186" t="n"/>
      <c r="AP388" s="186" t="n"/>
      <c r="AQ388" s="186" t="n"/>
      <c r="AR388" s="186" t="n"/>
      <c r="AS388" s="186" t="n"/>
      <c r="AT388" s="186" t="n"/>
      <c r="AU388" s="186" t="n"/>
      <c r="AV388" s="186" t="n"/>
      <c r="AW388" s="186" t="n"/>
      <c r="AX388" s="186" t="n"/>
      <c r="AY388" s="186" t="n"/>
      <c r="AZ388" s="186" t="n"/>
      <c r="BA388" s="186" t="n"/>
      <c r="BB388" s="186" t="n"/>
      <c r="BC388" s="186" t="n"/>
      <c r="BD388" s="190" t="n"/>
      <c r="BE388" s="186" t="n"/>
      <c r="BF388" s="186" t="n"/>
      <c r="BG388" s="186" t="n"/>
      <c r="BH388" s="186" t="n"/>
      <c r="BI388" s="186" t="n"/>
      <c r="BJ388" s="187" t="n"/>
      <c r="BK388" s="192" t="n"/>
      <c r="BL388" s="192" t="n"/>
      <c r="BM388" s="192" t="n"/>
      <c r="BN388" s="192" t="n"/>
    </row>
    <row r="389">
      <c r="A389" s="289">
        <f> 'Jobs-Ops'!A389</f>
        <v/>
      </c>
      <c r="B389" s="290">
        <f>'Jobs-Ops'!B389</f>
        <v/>
      </c>
      <c r="C389" s="290">
        <f>'Jobs-Ops'!C389</f>
        <v/>
      </c>
      <c r="D389" s="179" t="n"/>
      <c r="E389" s="181">
        <f>'Jobs-Ops'!I389</f>
        <v/>
      </c>
      <c r="F389" s="205">
        <f>'Jobs-Ops'!U389</f>
        <v/>
      </c>
      <c r="G389" s="181">
        <f>'Jobs-GAAP'!J389</f>
        <v/>
      </c>
      <c r="H389" s="205">
        <f>'Jobs-GAAP'!V389</f>
        <v/>
      </c>
      <c r="I389" s="181">
        <f>E389-G389</f>
        <v/>
      </c>
      <c r="J389" s="9">
        <f>'Jobs-Ops'!P389</f>
        <v/>
      </c>
      <c r="K389" s="9">
        <f>'Jobs-GAAP'!Q389</f>
        <v/>
      </c>
      <c r="L389" s="9">
        <f>J389-K389</f>
        <v/>
      </c>
      <c r="M389" s="186" t="n"/>
      <c r="N389" s="9">
        <f>'Jobs-Ops'!Y389</f>
        <v/>
      </c>
      <c r="O389" s="9">
        <f>'Jobs-GAAP'!Y389</f>
        <v/>
      </c>
      <c r="P389" s="9">
        <f>N389-O389</f>
        <v/>
      </c>
      <c r="Q389" s="186" t="n"/>
      <c r="R389" s="11">
        <f>'Jobs-Ops'!AL389</f>
        <v/>
      </c>
      <c r="S389" s="11">
        <f>'Jobs-GAAP'!AH389</f>
        <v/>
      </c>
      <c r="T389" s="11">
        <f>IFERROR(R389-S389,0)</f>
        <v/>
      </c>
      <c r="U389" s="8">
        <f>'Jobs-Ops'!AM389</f>
        <v/>
      </c>
      <c r="V389" s="8">
        <f>'Jobs-GAAP'!AI389</f>
        <v/>
      </c>
      <c r="W389" s="8">
        <f>IFERROR(U389-V389,0)</f>
        <v/>
      </c>
      <c r="X389" s="9">
        <f>'Jobs-Ops'!AN389</f>
        <v/>
      </c>
      <c r="Y389" s="9">
        <f>'Jobs-GAAP'!AJ389</f>
        <v/>
      </c>
      <c r="Z389" s="9">
        <f>IFERROR(X389-Y389,0)</f>
        <v/>
      </c>
      <c r="AA389" s="153">
        <f>'Jobs-Ops'!AO389</f>
        <v/>
      </c>
      <c r="AB389" s="187" t="n"/>
      <c r="AC389" s="186" t="n"/>
      <c r="AD389" s="186" t="n"/>
      <c r="AE389" s="188" t="n"/>
      <c r="AF389" s="187" t="n"/>
      <c r="AG389" s="187" t="n"/>
      <c r="AH389" s="186" t="n"/>
      <c r="AI389" s="186" t="n"/>
      <c r="AJ389" s="186" t="n"/>
      <c r="AK389" s="186" t="n"/>
      <c r="AL389" s="186" t="n"/>
      <c r="AM389" s="186" t="n"/>
      <c r="AN389" s="186" t="n"/>
      <c r="AO389" s="186" t="n"/>
      <c r="AP389" s="186" t="n"/>
      <c r="AQ389" s="186" t="n"/>
      <c r="AR389" s="186" t="n"/>
      <c r="AS389" s="186" t="n"/>
      <c r="AT389" s="186" t="n"/>
      <c r="AU389" s="186" t="n"/>
      <c r="AV389" s="186" t="n"/>
      <c r="AW389" s="186" t="n"/>
      <c r="AX389" s="186" t="n"/>
      <c r="AY389" s="186" t="n"/>
      <c r="AZ389" s="186" t="n"/>
      <c r="BA389" s="186" t="n"/>
      <c r="BB389" s="186" t="n"/>
      <c r="BC389" s="186" t="n"/>
      <c r="BD389" s="190" t="n"/>
      <c r="BE389" s="186" t="n"/>
      <c r="BF389" s="186" t="n"/>
      <c r="BG389" s="186" t="n"/>
      <c r="BH389" s="186" t="n"/>
      <c r="BI389" s="186" t="n"/>
      <c r="BJ389" s="187" t="n"/>
      <c r="BK389" s="192" t="n"/>
      <c r="BL389" s="192" t="n"/>
      <c r="BM389" s="192" t="n"/>
      <c r="BN389" s="192" t="n"/>
    </row>
    <row r="390">
      <c r="A390" s="289">
        <f> 'Jobs-Ops'!A390</f>
        <v/>
      </c>
      <c r="B390" s="290">
        <f>'Jobs-Ops'!B390</f>
        <v/>
      </c>
      <c r="C390" s="290">
        <f>'Jobs-Ops'!C390</f>
        <v/>
      </c>
      <c r="D390" s="179" t="n"/>
      <c r="E390" s="181">
        <f>'Jobs-Ops'!I390</f>
        <v/>
      </c>
      <c r="F390" s="205">
        <f>'Jobs-Ops'!U390</f>
        <v/>
      </c>
      <c r="G390" s="181">
        <f>'Jobs-GAAP'!J390</f>
        <v/>
      </c>
      <c r="H390" s="205">
        <f>'Jobs-GAAP'!V390</f>
        <v/>
      </c>
      <c r="I390" s="181">
        <f>E390-G390</f>
        <v/>
      </c>
      <c r="J390" s="9">
        <f>'Jobs-Ops'!P390</f>
        <v/>
      </c>
      <c r="K390" s="9">
        <f>'Jobs-GAAP'!Q390</f>
        <v/>
      </c>
      <c r="L390" s="9">
        <f>J390-K390</f>
        <v/>
      </c>
      <c r="M390" s="186" t="n"/>
      <c r="N390" s="9">
        <f>'Jobs-Ops'!Y390</f>
        <v/>
      </c>
      <c r="O390" s="9">
        <f>'Jobs-GAAP'!Y390</f>
        <v/>
      </c>
      <c r="P390" s="9">
        <f>N390-O390</f>
        <v/>
      </c>
      <c r="Q390" s="186" t="n"/>
      <c r="R390" s="11">
        <f>'Jobs-Ops'!AL390</f>
        <v/>
      </c>
      <c r="S390" s="11">
        <f>'Jobs-GAAP'!AH390</f>
        <v/>
      </c>
      <c r="T390" s="11">
        <f>IFERROR(R390-S390,0)</f>
        <v/>
      </c>
      <c r="U390" s="8">
        <f>'Jobs-Ops'!AM390</f>
        <v/>
      </c>
      <c r="V390" s="8">
        <f>'Jobs-GAAP'!AI390</f>
        <v/>
      </c>
      <c r="W390" s="8">
        <f>IFERROR(U390-V390,0)</f>
        <v/>
      </c>
      <c r="X390" s="9">
        <f>'Jobs-Ops'!AN390</f>
        <v/>
      </c>
      <c r="Y390" s="9">
        <f>'Jobs-GAAP'!AJ390</f>
        <v/>
      </c>
      <c r="Z390" s="9">
        <f>IFERROR(X390-Y390,0)</f>
        <v/>
      </c>
      <c r="AA390" s="153">
        <f>'Jobs-Ops'!AO390</f>
        <v/>
      </c>
      <c r="AB390" s="187" t="n"/>
      <c r="AC390" s="186" t="n"/>
      <c r="AD390" s="186" t="n"/>
      <c r="AE390" s="188" t="n"/>
      <c r="AF390" s="187" t="n"/>
      <c r="AG390" s="187" t="n"/>
      <c r="AH390" s="186" t="n"/>
      <c r="AI390" s="186" t="n"/>
      <c r="AJ390" s="186" t="n"/>
      <c r="AK390" s="186" t="n"/>
      <c r="AL390" s="186" t="n"/>
      <c r="AM390" s="186" t="n"/>
      <c r="AN390" s="186" t="n"/>
      <c r="AO390" s="186" t="n"/>
      <c r="AP390" s="186" t="n"/>
      <c r="AQ390" s="186" t="n"/>
      <c r="AR390" s="186" t="n"/>
      <c r="AS390" s="186" t="n"/>
      <c r="AT390" s="186" t="n"/>
      <c r="AU390" s="186" t="n"/>
      <c r="AV390" s="186" t="n"/>
      <c r="AW390" s="186" t="n"/>
      <c r="AX390" s="186" t="n"/>
      <c r="AY390" s="186" t="n"/>
      <c r="AZ390" s="186" t="n"/>
      <c r="BA390" s="186" t="n"/>
      <c r="BB390" s="186" t="n"/>
      <c r="BC390" s="186" t="n"/>
      <c r="BD390" s="190" t="n"/>
      <c r="BE390" s="186" t="n"/>
      <c r="BF390" s="186" t="n"/>
      <c r="BG390" s="186" t="n"/>
      <c r="BH390" s="186" t="n"/>
      <c r="BI390" s="186" t="n"/>
      <c r="BJ390" s="187" t="n"/>
      <c r="BK390" s="192" t="n"/>
      <c r="BL390" s="192" t="n"/>
      <c r="BM390" s="192" t="n"/>
      <c r="BN390" s="192" t="n"/>
    </row>
    <row r="391">
      <c r="A391" s="289">
        <f> 'Jobs-Ops'!A391</f>
        <v/>
      </c>
      <c r="B391" s="290">
        <f>'Jobs-Ops'!B391</f>
        <v/>
      </c>
      <c r="C391" s="290">
        <f>'Jobs-Ops'!C391</f>
        <v/>
      </c>
      <c r="D391" s="179" t="n"/>
      <c r="E391" s="181">
        <f>'Jobs-Ops'!I391</f>
        <v/>
      </c>
      <c r="F391" s="205">
        <f>'Jobs-Ops'!U391</f>
        <v/>
      </c>
      <c r="G391" s="181">
        <f>'Jobs-GAAP'!J391</f>
        <v/>
      </c>
      <c r="H391" s="205">
        <f>'Jobs-GAAP'!V391</f>
        <v/>
      </c>
      <c r="I391" s="181">
        <f>E391-G391</f>
        <v/>
      </c>
      <c r="J391" s="9">
        <f>'Jobs-Ops'!P391</f>
        <v/>
      </c>
      <c r="K391" s="9">
        <f>'Jobs-GAAP'!Q391</f>
        <v/>
      </c>
      <c r="L391" s="9">
        <f>J391-K391</f>
        <v/>
      </c>
      <c r="M391" s="186" t="n"/>
      <c r="N391" s="9">
        <f>'Jobs-Ops'!Y391</f>
        <v/>
      </c>
      <c r="O391" s="9">
        <f>'Jobs-GAAP'!Y391</f>
        <v/>
      </c>
      <c r="P391" s="9">
        <f>N391-O391</f>
        <v/>
      </c>
      <c r="Q391" s="186" t="n"/>
      <c r="R391" s="11">
        <f>'Jobs-Ops'!AL391</f>
        <v/>
      </c>
      <c r="S391" s="11">
        <f>'Jobs-GAAP'!AH391</f>
        <v/>
      </c>
      <c r="T391" s="11">
        <f>IFERROR(R391-S391,0)</f>
        <v/>
      </c>
      <c r="U391" s="8">
        <f>'Jobs-Ops'!AM391</f>
        <v/>
      </c>
      <c r="V391" s="8">
        <f>'Jobs-GAAP'!AI391</f>
        <v/>
      </c>
      <c r="W391" s="8">
        <f>IFERROR(U391-V391,0)</f>
        <v/>
      </c>
      <c r="X391" s="9">
        <f>'Jobs-Ops'!AN391</f>
        <v/>
      </c>
      <c r="Y391" s="9">
        <f>'Jobs-GAAP'!AJ391</f>
        <v/>
      </c>
      <c r="Z391" s="9">
        <f>IFERROR(X391-Y391,0)</f>
        <v/>
      </c>
      <c r="AA391" s="153">
        <f>'Jobs-Ops'!AO391</f>
        <v/>
      </c>
      <c r="AB391" s="187" t="n"/>
      <c r="AC391" s="186" t="n"/>
      <c r="AD391" s="186" t="n"/>
      <c r="AE391" s="188" t="n"/>
      <c r="AF391" s="187" t="n"/>
      <c r="AG391" s="187" t="n"/>
      <c r="AH391" s="186" t="n"/>
      <c r="AI391" s="186" t="n"/>
      <c r="AJ391" s="186" t="n"/>
      <c r="AK391" s="186" t="n"/>
      <c r="AL391" s="186" t="n"/>
      <c r="AM391" s="186" t="n"/>
      <c r="AN391" s="186" t="n"/>
      <c r="AO391" s="186" t="n"/>
      <c r="AP391" s="186" t="n"/>
      <c r="AQ391" s="186" t="n"/>
      <c r="AR391" s="186" t="n"/>
      <c r="AS391" s="186" t="n"/>
      <c r="AT391" s="186" t="n"/>
      <c r="AU391" s="186" t="n"/>
      <c r="AV391" s="186" t="n"/>
      <c r="AW391" s="186" t="n"/>
      <c r="AX391" s="186" t="n"/>
      <c r="AY391" s="186" t="n"/>
      <c r="AZ391" s="186" t="n"/>
      <c r="BA391" s="186" t="n"/>
      <c r="BB391" s="186" t="n"/>
      <c r="BC391" s="186" t="n"/>
      <c r="BD391" s="190" t="n"/>
      <c r="BE391" s="186" t="n"/>
      <c r="BF391" s="186" t="n"/>
      <c r="BG391" s="186" t="n"/>
      <c r="BH391" s="186" t="n"/>
      <c r="BI391" s="186" t="n"/>
      <c r="BJ391" s="187" t="n"/>
      <c r="BK391" s="192" t="n"/>
      <c r="BL391" s="192" t="n"/>
      <c r="BM391" s="192" t="n"/>
      <c r="BN391" s="192" t="n"/>
    </row>
    <row r="392">
      <c r="A392" s="289">
        <f> 'Jobs-Ops'!A392</f>
        <v/>
      </c>
      <c r="B392" s="290">
        <f>'Jobs-Ops'!B392</f>
        <v/>
      </c>
      <c r="C392" s="290">
        <f>'Jobs-Ops'!C392</f>
        <v/>
      </c>
      <c r="D392" s="179" t="n"/>
      <c r="E392" s="181">
        <f>'Jobs-Ops'!I392</f>
        <v/>
      </c>
      <c r="F392" s="205">
        <f>'Jobs-Ops'!U392</f>
        <v/>
      </c>
      <c r="G392" s="181">
        <f>'Jobs-GAAP'!J392</f>
        <v/>
      </c>
      <c r="H392" s="205">
        <f>'Jobs-GAAP'!V392</f>
        <v/>
      </c>
      <c r="I392" s="181">
        <f>E392-G392</f>
        <v/>
      </c>
      <c r="J392" s="9">
        <f>'Jobs-Ops'!P392</f>
        <v/>
      </c>
      <c r="K392" s="9">
        <f>'Jobs-GAAP'!Q392</f>
        <v/>
      </c>
      <c r="L392" s="9">
        <f>J392-K392</f>
        <v/>
      </c>
      <c r="M392" s="186" t="n"/>
      <c r="N392" s="9">
        <f>'Jobs-Ops'!Y392</f>
        <v/>
      </c>
      <c r="O392" s="9">
        <f>'Jobs-GAAP'!Y392</f>
        <v/>
      </c>
      <c r="P392" s="9">
        <f>N392-O392</f>
        <v/>
      </c>
      <c r="Q392" s="186" t="n"/>
      <c r="R392" s="11">
        <f>'Jobs-Ops'!AL392</f>
        <v/>
      </c>
      <c r="S392" s="11">
        <f>'Jobs-GAAP'!AH392</f>
        <v/>
      </c>
      <c r="T392" s="11">
        <f>IFERROR(R392-S392,0)</f>
        <v/>
      </c>
      <c r="U392" s="8">
        <f>'Jobs-Ops'!AM392</f>
        <v/>
      </c>
      <c r="V392" s="8">
        <f>'Jobs-GAAP'!AI392</f>
        <v/>
      </c>
      <c r="W392" s="8">
        <f>IFERROR(U392-V392,0)</f>
        <v/>
      </c>
      <c r="X392" s="9">
        <f>'Jobs-Ops'!AN392</f>
        <v/>
      </c>
      <c r="Y392" s="9">
        <f>'Jobs-GAAP'!AJ392</f>
        <v/>
      </c>
      <c r="Z392" s="9">
        <f>IFERROR(X392-Y392,0)</f>
        <v/>
      </c>
      <c r="AA392" s="153">
        <f>'Jobs-Ops'!AO392</f>
        <v/>
      </c>
      <c r="AB392" s="187" t="n"/>
      <c r="AC392" s="186" t="n"/>
      <c r="AD392" s="186" t="n"/>
      <c r="AE392" s="188" t="n"/>
      <c r="AF392" s="187" t="n"/>
      <c r="AG392" s="187" t="n"/>
      <c r="AH392" s="186" t="n"/>
      <c r="AI392" s="186" t="n"/>
      <c r="AJ392" s="186" t="n"/>
      <c r="AK392" s="186" t="n"/>
      <c r="AL392" s="186" t="n"/>
      <c r="AM392" s="186" t="n"/>
      <c r="AN392" s="186" t="n"/>
      <c r="AO392" s="186" t="n"/>
      <c r="AP392" s="186" t="n"/>
      <c r="AQ392" s="186" t="n"/>
      <c r="AR392" s="186" t="n"/>
      <c r="AS392" s="186" t="n"/>
      <c r="AT392" s="186" t="n"/>
      <c r="AU392" s="186" t="n"/>
      <c r="AV392" s="186" t="n"/>
      <c r="AW392" s="186" t="n"/>
      <c r="AX392" s="186" t="n"/>
      <c r="AY392" s="186" t="n"/>
      <c r="AZ392" s="186" t="n"/>
      <c r="BA392" s="186" t="n"/>
      <c r="BB392" s="186" t="n"/>
      <c r="BC392" s="186" t="n"/>
      <c r="BD392" s="190" t="n"/>
      <c r="BE392" s="186" t="n"/>
      <c r="BF392" s="186" t="n"/>
      <c r="BG392" s="186" t="n"/>
      <c r="BH392" s="186" t="n"/>
      <c r="BI392" s="186" t="n"/>
      <c r="BJ392" s="187" t="n"/>
      <c r="BK392" s="192" t="n"/>
      <c r="BL392" s="192" t="n"/>
      <c r="BM392" s="192" t="n"/>
      <c r="BN392" s="192" t="n"/>
    </row>
    <row r="393">
      <c r="A393" s="289">
        <f> 'Jobs-Ops'!A393</f>
        <v/>
      </c>
      <c r="B393" s="290">
        <f>'Jobs-Ops'!B393</f>
        <v/>
      </c>
      <c r="C393" s="290">
        <f>'Jobs-Ops'!C393</f>
        <v/>
      </c>
      <c r="D393" s="179" t="n"/>
      <c r="E393" s="181">
        <f>'Jobs-Ops'!I393</f>
        <v/>
      </c>
      <c r="F393" s="205">
        <f>'Jobs-Ops'!U393</f>
        <v/>
      </c>
      <c r="G393" s="181">
        <f>'Jobs-GAAP'!J393</f>
        <v/>
      </c>
      <c r="H393" s="205">
        <f>'Jobs-GAAP'!V393</f>
        <v/>
      </c>
      <c r="I393" s="181">
        <f>E393-G393</f>
        <v/>
      </c>
      <c r="J393" s="9">
        <f>'Jobs-Ops'!P393</f>
        <v/>
      </c>
      <c r="K393" s="9">
        <f>'Jobs-GAAP'!Q393</f>
        <v/>
      </c>
      <c r="L393" s="9">
        <f>J393-K393</f>
        <v/>
      </c>
      <c r="M393" s="186" t="n"/>
      <c r="N393" s="9">
        <f>'Jobs-Ops'!Y393</f>
        <v/>
      </c>
      <c r="O393" s="9">
        <f>'Jobs-GAAP'!Y393</f>
        <v/>
      </c>
      <c r="P393" s="9">
        <f>N393-O393</f>
        <v/>
      </c>
      <c r="Q393" s="186" t="n"/>
      <c r="R393" s="11">
        <f>'Jobs-Ops'!AL393</f>
        <v/>
      </c>
      <c r="S393" s="11">
        <f>'Jobs-GAAP'!AH393</f>
        <v/>
      </c>
      <c r="T393" s="11">
        <f>IFERROR(R393-S393,0)</f>
        <v/>
      </c>
      <c r="U393" s="8">
        <f>'Jobs-Ops'!AM393</f>
        <v/>
      </c>
      <c r="V393" s="8">
        <f>'Jobs-GAAP'!AI393</f>
        <v/>
      </c>
      <c r="W393" s="8">
        <f>IFERROR(U393-V393,0)</f>
        <v/>
      </c>
      <c r="X393" s="9">
        <f>'Jobs-Ops'!AN393</f>
        <v/>
      </c>
      <c r="Y393" s="9">
        <f>'Jobs-GAAP'!AJ393</f>
        <v/>
      </c>
      <c r="Z393" s="9">
        <f>IFERROR(X393-Y393,0)</f>
        <v/>
      </c>
      <c r="AA393" s="153">
        <f>'Jobs-Ops'!AO393</f>
        <v/>
      </c>
      <c r="AB393" s="187" t="n"/>
      <c r="AC393" s="186" t="n"/>
      <c r="AD393" s="186" t="n"/>
      <c r="AE393" s="188" t="n"/>
      <c r="AF393" s="187" t="n"/>
      <c r="AG393" s="187" t="n"/>
      <c r="AH393" s="186" t="n"/>
      <c r="AI393" s="186" t="n"/>
      <c r="AJ393" s="186" t="n"/>
      <c r="AK393" s="186" t="n"/>
      <c r="AL393" s="186" t="n"/>
      <c r="AM393" s="186" t="n"/>
      <c r="AN393" s="186" t="n"/>
      <c r="AO393" s="186" t="n"/>
      <c r="AP393" s="186" t="n"/>
      <c r="AQ393" s="186" t="n"/>
      <c r="AR393" s="186" t="n"/>
      <c r="AS393" s="186" t="n"/>
      <c r="AT393" s="186" t="n"/>
      <c r="AU393" s="186" t="n"/>
      <c r="AV393" s="186" t="n"/>
      <c r="AW393" s="186" t="n"/>
      <c r="AX393" s="186" t="n"/>
      <c r="AY393" s="186" t="n"/>
      <c r="AZ393" s="186" t="n"/>
      <c r="BA393" s="186" t="n"/>
      <c r="BB393" s="186" t="n"/>
      <c r="BC393" s="186" t="n"/>
      <c r="BD393" s="190" t="n"/>
      <c r="BE393" s="186" t="n"/>
      <c r="BF393" s="186" t="n"/>
      <c r="BG393" s="186" t="n"/>
      <c r="BH393" s="186" t="n"/>
      <c r="BI393" s="186" t="n"/>
      <c r="BJ393" s="187" t="n"/>
      <c r="BK393" s="192" t="n"/>
      <c r="BL393" s="192" t="n"/>
      <c r="BM393" s="192" t="n"/>
      <c r="BN393" s="192" t="n"/>
    </row>
    <row r="394">
      <c r="A394" s="289">
        <f> 'Jobs-Ops'!A394</f>
        <v/>
      </c>
      <c r="B394" s="290">
        <f>'Jobs-Ops'!B394</f>
        <v/>
      </c>
      <c r="C394" s="290">
        <f>'Jobs-Ops'!C394</f>
        <v/>
      </c>
      <c r="D394" s="179" t="n"/>
      <c r="E394" s="181">
        <f>'Jobs-Ops'!I394</f>
        <v/>
      </c>
      <c r="F394" s="205">
        <f>'Jobs-Ops'!U394</f>
        <v/>
      </c>
      <c r="G394" s="181">
        <f>'Jobs-GAAP'!J394</f>
        <v/>
      </c>
      <c r="H394" s="205">
        <f>'Jobs-GAAP'!V394</f>
        <v/>
      </c>
      <c r="I394" s="181">
        <f>E394-G394</f>
        <v/>
      </c>
      <c r="J394" s="9">
        <f>'Jobs-Ops'!P394</f>
        <v/>
      </c>
      <c r="K394" s="9">
        <f>'Jobs-GAAP'!Q394</f>
        <v/>
      </c>
      <c r="L394" s="9">
        <f>J394-K394</f>
        <v/>
      </c>
      <c r="M394" s="186" t="n"/>
      <c r="N394" s="9">
        <f>'Jobs-Ops'!Y394</f>
        <v/>
      </c>
      <c r="O394" s="9">
        <f>'Jobs-GAAP'!Y394</f>
        <v/>
      </c>
      <c r="P394" s="9">
        <f>N394-O394</f>
        <v/>
      </c>
      <c r="Q394" s="186" t="n"/>
      <c r="R394" s="11">
        <f>'Jobs-Ops'!AL394</f>
        <v/>
      </c>
      <c r="S394" s="11">
        <f>'Jobs-GAAP'!AH394</f>
        <v/>
      </c>
      <c r="T394" s="11">
        <f>IFERROR(R394-S394,0)</f>
        <v/>
      </c>
      <c r="U394" s="8">
        <f>'Jobs-Ops'!AM394</f>
        <v/>
      </c>
      <c r="V394" s="8">
        <f>'Jobs-GAAP'!AI394</f>
        <v/>
      </c>
      <c r="W394" s="8">
        <f>IFERROR(U394-V394,0)</f>
        <v/>
      </c>
      <c r="X394" s="9">
        <f>'Jobs-Ops'!AN394</f>
        <v/>
      </c>
      <c r="Y394" s="9">
        <f>'Jobs-GAAP'!AJ394</f>
        <v/>
      </c>
      <c r="Z394" s="9">
        <f>IFERROR(X394-Y394,0)</f>
        <v/>
      </c>
      <c r="AA394" s="153">
        <f>'Jobs-Ops'!AO394</f>
        <v/>
      </c>
      <c r="AB394" s="187" t="n"/>
      <c r="AC394" s="186" t="n"/>
      <c r="AD394" s="186" t="n"/>
      <c r="AE394" s="188" t="n"/>
      <c r="AF394" s="187" t="n"/>
      <c r="AG394" s="187" t="n"/>
      <c r="AH394" s="186" t="n"/>
      <c r="AI394" s="186" t="n"/>
      <c r="AJ394" s="186" t="n"/>
      <c r="AK394" s="186" t="n"/>
      <c r="AL394" s="186" t="n"/>
      <c r="AM394" s="186" t="n"/>
      <c r="AN394" s="186" t="n"/>
      <c r="AO394" s="186" t="n"/>
      <c r="AP394" s="186" t="n"/>
      <c r="AQ394" s="186" t="n"/>
      <c r="AR394" s="186" t="n"/>
      <c r="AS394" s="186" t="n"/>
      <c r="AT394" s="186" t="n"/>
      <c r="AU394" s="186" t="n"/>
      <c r="AV394" s="186" t="n"/>
      <c r="AW394" s="186" t="n"/>
      <c r="AX394" s="186" t="n"/>
      <c r="AY394" s="186" t="n"/>
      <c r="AZ394" s="186" t="n"/>
      <c r="BA394" s="186" t="n"/>
      <c r="BB394" s="186" t="n"/>
      <c r="BC394" s="186" t="n"/>
      <c r="BD394" s="190" t="n"/>
      <c r="BE394" s="186" t="n"/>
      <c r="BF394" s="186" t="n"/>
      <c r="BG394" s="186" t="n"/>
      <c r="BH394" s="186" t="n"/>
      <c r="BI394" s="186" t="n"/>
      <c r="BJ394" s="187" t="n"/>
      <c r="BK394" s="192" t="n"/>
      <c r="BL394" s="192" t="n"/>
      <c r="BM394" s="192" t="n"/>
      <c r="BN394" s="192" t="n"/>
    </row>
    <row r="395">
      <c r="A395" s="289">
        <f> 'Jobs-Ops'!A395</f>
        <v/>
      </c>
      <c r="B395" s="290">
        <f>'Jobs-Ops'!B395</f>
        <v/>
      </c>
      <c r="C395" s="290">
        <f>'Jobs-Ops'!C395</f>
        <v/>
      </c>
      <c r="D395" s="179" t="n"/>
      <c r="E395" s="181">
        <f>'Jobs-Ops'!I395</f>
        <v/>
      </c>
      <c r="F395" s="205">
        <f>'Jobs-Ops'!U395</f>
        <v/>
      </c>
      <c r="G395" s="181">
        <f>'Jobs-GAAP'!J395</f>
        <v/>
      </c>
      <c r="H395" s="205">
        <f>'Jobs-GAAP'!V395</f>
        <v/>
      </c>
      <c r="I395" s="181">
        <f>E395-G395</f>
        <v/>
      </c>
      <c r="J395" s="9">
        <f>'Jobs-Ops'!P395</f>
        <v/>
      </c>
      <c r="K395" s="9">
        <f>'Jobs-GAAP'!Q395</f>
        <v/>
      </c>
      <c r="L395" s="9">
        <f>J395-K395</f>
        <v/>
      </c>
      <c r="M395" s="186" t="n"/>
      <c r="N395" s="9">
        <f>'Jobs-Ops'!Y395</f>
        <v/>
      </c>
      <c r="O395" s="9">
        <f>'Jobs-GAAP'!Y395</f>
        <v/>
      </c>
      <c r="P395" s="9">
        <f>N395-O395</f>
        <v/>
      </c>
      <c r="Q395" s="186" t="n"/>
      <c r="R395" s="11">
        <f>'Jobs-Ops'!AL395</f>
        <v/>
      </c>
      <c r="S395" s="11">
        <f>'Jobs-GAAP'!AH395</f>
        <v/>
      </c>
      <c r="T395" s="11">
        <f>IFERROR(R395-S395,0)</f>
        <v/>
      </c>
      <c r="U395" s="8">
        <f>'Jobs-Ops'!AM395</f>
        <v/>
      </c>
      <c r="V395" s="8">
        <f>'Jobs-GAAP'!AI395</f>
        <v/>
      </c>
      <c r="W395" s="8">
        <f>IFERROR(U395-V395,0)</f>
        <v/>
      </c>
      <c r="X395" s="9">
        <f>'Jobs-Ops'!AN395</f>
        <v/>
      </c>
      <c r="Y395" s="9">
        <f>'Jobs-GAAP'!AJ395</f>
        <v/>
      </c>
      <c r="Z395" s="9">
        <f>IFERROR(X395-Y395,0)</f>
        <v/>
      </c>
      <c r="AA395" s="153">
        <f>'Jobs-Ops'!AO395</f>
        <v/>
      </c>
      <c r="AB395" s="187" t="n"/>
      <c r="AC395" s="186" t="n"/>
      <c r="AD395" s="186" t="n"/>
      <c r="AE395" s="188" t="n"/>
      <c r="AF395" s="187" t="n"/>
      <c r="AG395" s="187" t="n"/>
      <c r="AH395" s="186" t="n"/>
      <c r="AI395" s="186" t="n"/>
      <c r="AJ395" s="186" t="n"/>
      <c r="AK395" s="186" t="n"/>
      <c r="AL395" s="186" t="n"/>
      <c r="AM395" s="186" t="n"/>
      <c r="AN395" s="186" t="n"/>
      <c r="AO395" s="186" t="n"/>
      <c r="AP395" s="186" t="n"/>
      <c r="AQ395" s="186" t="n"/>
      <c r="AR395" s="186" t="n"/>
      <c r="AS395" s="186" t="n"/>
      <c r="AT395" s="186" t="n"/>
      <c r="AU395" s="186" t="n"/>
      <c r="AV395" s="186" t="n"/>
      <c r="AW395" s="186" t="n"/>
      <c r="AX395" s="186" t="n"/>
      <c r="AY395" s="186" t="n"/>
      <c r="AZ395" s="186" t="n"/>
      <c r="BA395" s="186" t="n"/>
      <c r="BB395" s="186" t="n"/>
      <c r="BC395" s="186" t="n"/>
      <c r="BD395" s="190" t="n"/>
      <c r="BE395" s="186" t="n"/>
      <c r="BF395" s="186" t="n"/>
      <c r="BG395" s="186" t="n"/>
      <c r="BH395" s="186" t="n"/>
      <c r="BI395" s="186" t="n"/>
      <c r="BJ395" s="187" t="n"/>
      <c r="BK395" s="192" t="n"/>
      <c r="BL395" s="192" t="n"/>
      <c r="BM395" s="192" t="n"/>
      <c r="BN395" s="192" t="n"/>
    </row>
    <row r="396">
      <c r="A396" s="289">
        <f> 'Jobs-Ops'!A396</f>
        <v/>
      </c>
      <c r="B396" s="290">
        <f>'Jobs-Ops'!B396</f>
        <v/>
      </c>
      <c r="C396" s="290">
        <f>'Jobs-Ops'!C396</f>
        <v/>
      </c>
      <c r="D396" s="179" t="n"/>
      <c r="E396" s="181">
        <f>'Jobs-Ops'!I396</f>
        <v/>
      </c>
      <c r="F396" s="205">
        <f>'Jobs-Ops'!U396</f>
        <v/>
      </c>
      <c r="G396" s="181">
        <f>'Jobs-GAAP'!J396</f>
        <v/>
      </c>
      <c r="H396" s="205">
        <f>'Jobs-GAAP'!V396</f>
        <v/>
      </c>
      <c r="I396" s="181">
        <f>E396-G396</f>
        <v/>
      </c>
      <c r="J396" s="9">
        <f>'Jobs-Ops'!P396</f>
        <v/>
      </c>
      <c r="K396" s="9">
        <f>'Jobs-GAAP'!Q396</f>
        <v/>
      </c>
      <c r="L396" s="9">
        <f>J396-K396</f>
        <v/>
      </c>
      <c r="M396" s="186" t="n"/>
      <c r="N396" s="9">
        <f>'Jobs-Ops'!Y396</f>
        <v/>
      </c>
      <c r="O396" s="9">
        <f>'Jobs-GAAP'!Y396</f>
        <v/>
      </c>
      <c r="P396" s="9">
        <f>N396-O396</f>
        <v/>
      </c>
      <c r="Q396" s="186" t="n"/>
      <c r="R396" s="11">
        <f>'Jobs-Ops'!AL396</f>
        <v/>
      </c>
      <c r="S396" s="11">
        <f>'Jobs-GAAP'!AH396</f>
        <v/>
      </c>
      <c r="T396" s="11">
        <f>IFERROR(R396-S396,0)</f>
        <v/>
      </c>
      <c r="U396" s="8">
        <f>'Jobs-Ops'!AM396</f>
        <v/>
      </c>
      <c r="V396" s="8">
        <f>'Jobs-GAAP'!AI396</f>
        <v/>
      </c>
      <c r="W396" s="8">
        <f>IFERROR(U396-V396,0)</f>
        <v/>
      </c>
      <c r="X396" s="9">
        <f>'Jobs-Ops'!AN396</f>
        <v/>
      </c>
      <c r="Y396" s="9">
        <f>'Jobs-GAAP'!AJ396</f>
        <v/>
      </c>
      <c r="Z396" s="9">
        <f>IFERROR(X396-Y396,0)</f>
        <v/>
      </c>
      <c r="AA396" s="153">
        <f>'Jobs-Ops'!AO396</f>
        <v/>
      </c>
      <c r="AB396" s="187" t="n"/>
      <c r="AC396" s="186" t="n"/>
      <c r="AD396" s="186" t="n"/>
      <c r="AE396" s="188" t="n"/>
      <c r="AF396" s="187" t="n"/>
      <c r="AG396" s="187" t="n"/>
      <c r="AH396" s="186" t="n"/>
      <c r="AI396" s="186" t="n"/>
      <c r="AJ396" s="186" t="n"/>
      <c r="AK396" s="186" t="n"/>
      <c r="AL396" s="186" t="n"/>
      <c r="AM396" s="186" t="n"/>
      <c r="AN396" s="186" t="n"/>
      <c r="AO396" s="186" t="n"/>
      <c r="AP396" s="186" t="n"/>
      <c r="AQ396" s="186" t="n"/>
      <c r="AR396" s="186" t="n"/>
      <c r="AS396" s="186" t="n"/>
      <c r="AT396" s="186" t="n"/>
      <c r="AU396" s="186" t="n"/>
      <c r="AV396" s="186" t="n"/>
      <c r="AW396" s="186" t="n"/>
      <c r="AX396" s="186" t="n"/>
      <c r="AY396" s="186" t="n"/>
      <c r="AZ396" s="186" t="n"/>
      <c r="BA396" s="186" t="n"/>
      <c r="BB396" s="186" t="n"/>
      <c r="BC396" s="186" t="n"/>
      <c r="BD396" s="190" t="n"/>
      <c r="BE396" s="186" t="n"/>
      <c r="BF396" s="186" t="n"/>
      <c r="BG396" s="186" t="n"/>
      <c r="BH396" s="186" t="n"/>
      <c r="BI396" s="186" t="n"/>
      <c r="BJ396" s="187" t="n"/>
      <c r="BK396" s="192" t="n"/>
      <c r="BL396" s="192" t="n"/>
      <c r="BM396" s="192" t="n"/>
      <c r="BN396" s="192" t="n"/>
    </row>
    <row r="397">
      <c r="A397" s="289">
        <f> 'Jobs-Ops'!A397</f>
        <v/>
      </c>
      <c r="B397" s="290">
        <f>'Jobs-Ops'!B397</f>
        <v/>
      </c>
      <c r="C397" s="290">
        <f>'Jobs-Ops'!C397</f>
        <v/>
      </c>
      <c r="D397" s="179" t="n"/>
      <c r="E397" s="181">
        <f>'Jobs-Ops'!I397</f>
        <v/>
      </c>
      <c r="F397" s="205">
        <f>'Jobs-Ops'!U397</f>
        <v/>
      </c>
      <c r="G397" s="181">
        <f>'Jobs-GAAP'!J397</f>
        <v/>
      </c>
      <c r="H397" s="205">
        <f>'Jobs-GAAP'!V397</f>
        <v/>
      </c>
      <c r="I397" s="181">
        <f>E397-G397</f>
        <v/>
      </c>
      <c r="J397" s="9">
        <f>'Jobs-Ops'!P397</f>
        <v/>
      </c>
      <c r="K397" s="9">
        <f>'Jobs-GAAP'!Q397</f>
        <v/>
      </c>
      <c r="L397" s="9">
        <f>J397-K397</f>
        <v/>
      </c>
      <c r="M397" s="186" t="n"/>
      <c r="N397" s="9">
        <f>'Jobs-Ops'!Y397</f>
        <v/>
      </c>
      <c r="O397" s="9">
        <f>'Jobs-GAAP'!Y397</f>
        <v/>
      </c>
      <c r="P397" s="9">
        <f>N397-O397</f>
        <v/>
      </c>
      <c r="Q397" s="186" t="n"/>
      <c r="R397" s="11">
        <f>'Jobs-Ops'!AL397</f>
        <v/>
      </c>
      <c r="S397" s="11">
        <f>'Jobs-GAAP'!AH397</f>
        <v/>
      </c>
      <c r="T397" s="11">
        <f>IFERROR(R397-S397,0)</f>
        <v/>
      </c>
      <c r="U397" s="8">
        <f>'Jobs-Ops'!AM397</f>
        <v/>
      </c>
      <c r="V397" s="8">
        <f>'Jobs-GAAP'!AI397</f>
        <v/>
      </c>
      <c r="W397" s="8">
        <f>IFERROR(U397-V397,0)</f>
        <v/>
      </c>
      <c r="X397" s="9">
        <f>'Jobs-Ops'!AN397</f>
        <v/>
      </c>
      <c r="Y397" s="9">
        <f>'Jobs-GAAP'!AJ397</f>
        <v/>
      </c>
      <c r="Z397" s="9">
        <f>IFERROR(X397-Y397,0)</f>
        <v/>
      </c>
      <c r="AA397" s="153">
        <f>'Jobs-Ops'!AO397</f>
        <v/>
      </c>
      <c r="AB397" s="187" t="n"/>
      <c r="AC397" s="186" t="n"/>
      <c r="AD397" s="186" t="n"/>
      <c r="AE397" s="188" t="n"/>
      <c r="AF397" s="187" t="n"/>
      <c r="AG397" s="187" t="n"/>
      <c r="AH397" s="186" t="n"/>
      <c r="AI397" s="186" t="n"/>
      <c r="AJ397" s="186" t="n"/>
      <c r="AK397" s="186" t="n"/>
      <c r="AL397" s="186" t="n"/>
      <c r="AM397" s="186" t="n"/>
      <c r="AN397" s="186" t="n"/>
      <c r="AO397" s="186" t="n"/>
      <c r="AP397" s="186" t="n"/>
      <c r="AQ397" s="186" t="n"/>
      <c r="AR397" s="186" t="n"/>
      <c r="AS397" s="186" t="n"/>
      <c r="AT397" s="186" t="n"/>
      <c r="AU397" s="186" t="n"/>
      <c r="AV397" s="186" t="n"/>
      <c r="AW397" s="186" t="n"/>
      <c r="AX397" s="186" t="n"/>
      <c r="AY397" s="186" t="n"/>
      <c r="AZ397" s="186" t="n"/>
      <c r="BA397" s="186" t="n"/>
      <c r="BB397" s="186" t="n"/>
      <c r="BC397" s="186" t="n"/>
      <c r="BD397" s="190" t="n"/>
      <c r="BE397" s="186" t="n"/>
      <c r="BF397" s="186" t="n"/>
      <c r="BG397" s="186" t="n"/>
      <c r="BH397" s="186" t="n"/>
      <c r="BI397" s="186" t="n"/>
      <c r="BJ397" s="187" t="n"/>
      <c r="BK397" s="192" t="n"/>
      <c r="BL397" s="192" t="n"/>
      <c r="BM397" s="192" t="n"/>
      <c r="BN397" s="192" t="n"/>
    </row>
    <row r="398">
      <c r="A398" s="289">
        <f> 'Jobs-Ops'!A398</f>
        <v/>
      </c>
      <c r="B398" s="290">
        <f>'Jobs-Ops'!B398</f>
        <v/>
      </c>
      <c r="C398" s="290">
        <f>'Jobs-Ops'!C398</f>
        <v/>
      </c>
      <c r="D398" s="179" t="n"/>
      <c r="E398" s="181">
        <f>'Jobs-Ops'!I398</f>
        <v/>
      </c>
      <c r="F398" s="205">
        <f>'Jobs-Ops'!U398</f>
        <v/>
      </c>
      <c r="G398" s="181">
        <f>'Jobs-GAAP'!J398</f>
        <v/>
      </c>
      <c r="H398" s="205">
        <f>'Jobs-GAAP'!V398</f>
        <v/>
      </c>
      <c r="I398" s="181">
        <f>E398-G398</f>
        <v/>
      </c>
      <c r="J398" s="9">
        <f>'Jobs-Ops'!P398</f>
        <v/>
      </c>
      <c r="K398" s="9">
        <f>'Jobs-GAAP'!Q398</f>
        <v/>
      </c>
      <c r="L398" s="9">
        <f>J398-K398</f>
        <v/>
      </c>
      <c r="M398" s="186" t="n"/>
      <c r="N398" s="9">
        <f>'Jobs-Ops'!Y398</f>
        <v/>
      </c>
      <c r="O398" s="9">
        <f>'Jobs-GAAP'!Y398</f>
        <v/>
      </c>
      <c r="P398" s="9">
        <f>N398-O398</f>
        <v/>
      </c>
      <c r="Q398" s="186" t="n"/>
      <c r="R398" s="11">
        <f>'Jobs-Ops'!AL398</f>
        <v/>
      </c>
      <c r="S398" s="11">
        <f>'Jobs-GAAP'!AH398</f>
        <v/>
      </c>
      <c r="T398" s="11">
        <f>IFERROR(R398-S398,0)</f>
        <v/>
      </c>
      <c r="U398" s="8">
        <f>'Jobs-Ops'!AM398</f>
        <v/>
      </c>
      <c r="V398" s="8">
        <f>'Jobs-GAAP'!AI398</f>
        <v/>
      </c>
      <c r="W398" s="8">
        <f>IFERROR(U398-V398,0)</f>
        <v/>
      </c>
      <c r="X398" s="9">
        <f>'Jobs-Ops'!AN398</f>
        <v/>
      </c>
      <c r="Y398" s="9">
        <f>'Jobs-GAAP'!AJ398</f>
        <v/>
      </c>
      <c r="Z398" s="9">
        <f>IFERROR(X398-Y398,0)</f>
        <v/>
      </c>
      <c r="AA398" s="153">
        <f>'Jobs-Ops'!AO398</f>
        <v/>
      </c>
      <c r="AB398" s="187" t="n"/>
      <c r="AC398" s="186" t="n"/>
      <c r="AD398" s="186" t="n"/>
      <c r="AE398" s="188" t="n"/>
      <c r="AF398" s="187" t="n"/>
      <c r="AG398" s="187" t="n"/>
      <c r="AH398" s="186" t="n"/>
      <c r="AI398" s="186" t="n"/>
      <c r="AJ398" s="186" t="n"/>
      <c r="AK398" s="186" t="n"/>
      <c r="AL398" s="186" t="n"/>
      <c r="AM398" s="186" t="n"/>
      <c r="AN398" s="186" t="n"/>
      <c r="AO398" s="186" t="n"/>
      <c r="AP398" s="186" t="n"/>
      <c r="AQ398" s="186" t="n"/>
      <c r="AR398" s="186" t="n"/>
      <c r="AS398" s="186" t="n"/>
      <c r="AT398" s="186" t="n"/>
      <c r="AU398" s="186" t="n"/>
      <c r="AV398" s="186" t="n"/>
      <c r="AW398" s="186" t="n"/>
      <c r="AX398" s="186" t="n"/>
      <c r="AY398" s="186" t="n"/>
      <c r="AZ398" s="186" t="n"/>
      <c r="BA398" s="186" t="n"/>
      <c r="BB398" s="186" t="n"/>
      <c r="BC398" s="186" t="n"/>
      <c r="BD398" s="190" t="n"/>
      <c r="BE398" s="186" t="n"/>
      <c r="BF398" s="186" t="n"/>
      <c r="BG398" s="186" t="n"/>
      <c r="BH398" s="186" t="n"/>
      <c r="BI398" s="186" t="n"/>
      <c r="BJ398" s="187" t="n"/>
      <c r="BK398" s="192" t="n"/>
      <c r="BL398" s="192" t="n"/>
      <c r="BM398" s="192" t="n"/>
      <c r="BN398" s="192" t="n"/>
    </row>
    <row r="399">
      <c r="A399" s="289">
        <f> 'Jobs-Ops'!A399</f>
        <v/>
      </c>
      <c r="B399" s="290">
        <f>'Jobs-Ops'!B399</f>
        <v/>
      </c>
      <c r="C399" s="290">
        <f>'Jobs-Ops'!C399</f>
        <v/>
      </c>
      <c r="D399" s="179" t="n"/>
      <c r="E399" s="181">
        <f>'Jobs-Ops'!I399</f>
        <v/>
      </c>
      <c r="F399" s="205">
        <f>'Jobs-Ops'!U399</f>
        <v/>
      </c>
      <c r="G399" s="181">
        <f>'Jobs-GAAP'!J399</f>
        <v/>
      </c>
      <c r="H399" s="205">
        <f>'Jobs-GAAP'!V399</f>
        <v/>
      </c>
      <c r="I399" s="181">
        <f>E399-G399</f>
        <v/>
      </c>
      <c r="J399" s="9">
        <f>'Jobs-Ops'!P399</f>
        <v/>
      </c>
      <c r="K399" s="9">
        <f>'Jobs-GAAP'!Q399</f>
        <v/>
      </c>
      <c r="L399" s="9">
        <f>J399-K399</f>
        <v/>
      </c>
      <c r="M399" s="186" t="n"/>
      <c r="N399" s="9">
        <f>'Jobs-Ops'!Y399</f>
        <v/>
      </c>
      <c r="O399" s="9">
        <f>'Jobs-GAAP'!Y399</f>
        <v/>
      </c>
      <c r="P399" s="9">
        <f>N399-O399</f>
        <v/>
      </c>
      <c r="Q399" s="186" t="n"/>
      <c r="R399" s="11">
        <f>'Jobs-Ops'!AL399</f>
        <v/>
      </c>
      <c r="S399" s="11">
        <f>'Jobs-GAAP'!AH399</f>
        <v/>
      </c>
      <c r="T399" s="11">
        <f>IFERROR(R399-S399,0)</f>
        <v/>
      </c>
      <c r="U399" s="8">
        <f>'Jobs-Ops'!AM399</f>
        <v/>
      </c>
      <c r="V399" s="8">
        <f>'Jobs-GAAP'!AI399</f>
        <v/>
      </c>
      <c r="W399" s="8">
        <f>IFERROR(U399-V399,0)</f>
        <v/>
      </c>
      <c r="X399" s="9">
        <f>'Jobs-Ops'!AN399</f>
        <v/>
      </c>
      <c r="Y399" s="9">
        <f>'Jobs-GAAP'!AJ399</f>
        <v/>
      </c>
      <c r="Z399" s="9">
        <f>IFERROR(X399-Y399,0)</f>
        <v/>
      </c>
      <c r="AA399" s="153">
        <f>'Jobs-Ops'!AO399</f>
        <v/>
      </c>
      <c r="AB399" s="187" t="n"/>
      <c r="AC399" s="186" t="n"/>
      <c r="AD399" s="186" t="n"/>
      <c r="AE399" s="188" t="n"/>
      <c r="AF399" s="187" t="n"/>
      <c r="AG399" s="187" t="n"/>
      <c r="AH399" s="186" t="n"/>
      <c r="AI399" s="186" t="n"/>
      <c r="AJ399" s="186" t="n"/>
      <c r="AK399" s="186" t="n"/>
      <c r="AL399" s="186" t="n"/>
      <c r="AM399" s="186" t="n"/>
      <c r="AN399" s="186" t="n"/>
      <c r="AO399" s="186" t="n"/>
      <c r="AP399" s="186" t="n"/>
      <c r="AQ399" s="186" t="n"/>
      <c r="AR399" s="186" t="n"/>
      <c r="AS399" s="186" t="n"/>
      <c r="AT399" s="186" t="n"/>
      <c r="AU399" s="186" t="n"/>
      <c r="AV399" s="186" t="n"/>
      <c r="AW399" s="186" t="n"/>
      <c r="AX399" s="186" t="n"/>
      <c r="AY399" s="186" t="n"/>
      <c r="AZ399" s="186" t="n"/>
      <c r="BA399" s="186" t="n"/>
      <c r="BB399" s="186" t="n"/>
      <c r="BC399" s="186" t="n"/>
      <c r="BD399" s="190" t="n"/>
      <c r="BE399" s="186" t="n"/>
      <c r="BF399" s="186" t="n"/>
      <c r="BG399" s="186" t="n"/>
      <c r="BH399" s="186" t="n"/>
      <c r="BI399" s="186" t="n"/>
      <c r="BJ399" s="187" t="n"/>
      <c r="BK399" s="192" t="n"/>
      <c r="BL399" s="192" t="n"/>
      <c r="BM399" s="192" t="n"/>
      <c r="BN399" s="192" t="n"/>
    </row>
    <row r="400">
      <c r="A400" s="289">
        <f> 'Jobs-Ops'!A400</f>
        <v/>
      </c>
      <c r="B400" s="290">
        <f>'Jobs-Ops'!B400</f>
        <v/>
      </c>
      <c r="C400" s="290">
        <f>'Jobs-Ops'!C400</f>
        <v/>
      </c>
      <c r="D400" s="179" t="n"/>
      <c r="E400" s="181">
        <f>'Jobs-Ops'!I400</f>
        <v/>
      </c>
      <c r="F400" s="205">
        <f>'Jobs-Ops'!U400</f>
        <v/>
      </c>
      <c r="G400" s="181">
        <f>'Jobs-GAAP'!J400</f>
        <v/>
      </c>
      <c r="H400" s="205">
        <f>'Jobs-GAAP'!V400</f>
        <v/>
      </c>
      <c r="I400" s="181">
        <f>E400-G400</f>
        <v/>
      </c>
      <c r="J400" s="9">
        <f>'Jobs-Ops'!P400</f>
        <v/>
      </c>
      <c r="K400" s="9">
        <f>'Jobs-GAAP'!Q400</f>
        <v/>
      </c>
      <c r="L400" s="9">
        <f>J400-K400</f>
        <v/>
      </c>
      <c r="M400" s="186" t="n"/>
      <c r="N400" s="9">
        <f>'Jobs-Ops'!Y400</f>
        <v/>
      </c>
      <c r="O400" s="9">
        <f>'Jobs-GAAP'!Y400</f>
        <v/>
      </c>
      <c r="P400" s="9">
        <f>N400-O400</f>
        <v/>
      </c>
      <c r="Q400" s="186" t="n"/>
      <c r="R400" s="11">
        <f>'Jobs-Ops'!AL400</f>
        <v/>
      </c>
      <c r="S400" s="11">
        <f>'Jobs-GAAP'!AH400</f>
        <v/>
      </c>
      <c r="T400" s="11">
        <f>IFERROR(R400-S400,0)</f>
        <v/>
      </c>
      <c r="U400" s="8">
        <f>'Jobs-Ops'!AM400</f>
        <v/>
      </c>
      <c r="V400" s="8">
        <f>'Jobs-GAAP'!AI400</f>
        <v/>
      </c>
      <c r="W400" s="8">
        <f>IFERROR(U400-V400,0)</f>
        <v/>
      </c>
      <c r="X400" s="9">
        <f>'Jobs-Ops'!AN400</f>
        <v/>
      </c>
      <c r="Y400" s="9">
        <f>'Jobs-GAAP'!AJ400</f>
        <v/>
      </c>
      <c r="Z400" s="9">
        <f>IFERROR(X400-Y400,0)</f>
        <v/>
      </c>
      <c r="AA400" s="153">
        <f>'Jobs-Ops'!AO400</f>
        <v/>
      </c>
      <c r="AB400" s="187" t="n"/>
      <c r="AC400" s="186" t="n"/>
      <c r="AD400" s="186" t="n"/>
      <c r="AE400" s="188" t="n"/>
      <c r="AF400" s="187" t="n"/>
      <c r="AG400" s="187" t="n"/>
      <c r="AH400" s="186" t="n"/>
      <c r="AI400" s="186" t="n"/>
      <c r="AJ400" s="186" t="n"/>
      <c r="AK400" s="186" t="n"/>
      <c r="AL400" s="186" t="n"/>
      <c r="AM400" s="186" t="n"/>
      <c r="AN400" s="186" t="n"/>
      <c r="AO400" s="186" t="n"/>
      <c r="AP400" s="186" t="n"/>
      <c r="AQ400" s="186" t="n"/>
      <c r="AR400" s="186" t="n"/>
      <c r="AS400" s="186" t="n"/>
      <c r="AT400" s="186" t="n"/>
      <c r="AU400" s="186" t="n"/>
      <c r="AV400" s="186" t="n"/>
      <c r="AW400" s="186" t="n"/>
      <c r="AX400" s="186" t="n"/>
      <c r="AY400" s="186" t="n"/>
      <c r="AZ400" s="186" t="n"/>
      <c r="BA400" s="186" t="n"/>
      <c r="BB400" s="186" t="n"/>
      <c r="BC400" s="186" t="n"/>
      <c r="BD400" s="190" t="n"/>
      <c r="BE400" s="186" t="n"/>
      <c r="BF400" s="186" t="n"/>
      <c r="BG400" s="186" t="n"/>
      <c r="BH400" s="186" t="n"/>
      <c r="BI400" s="186" t="n"/>
      <c r="BJ400" s="187" t="n"/>
      <c r="BK400" s="192" t="n"/>
      <c r="BL400" s="192" t="n"/>
      <c r="BM400" s="192" t="n"/>
      <c r="BN400" s="192" t="n"/>
    </row>
    <row r="401">
      <c r="A401" s="289">
        <f> 'Jobs-Ops'!A401</f>
        <v/>
      </c>
      <c r="B401" s="290">
        <f>'Jobs-Ops'!B401</f>
        <v/>
      </c>
      <c r="C401" s="290">
        <f>'Jobs-Ops'!C401</f>
        <v/>
      </c>
      <c r="D401" s="179" t="n"/>
      <c r="E401" s="181">
        <f>'Jobs-Ops'!I401</f>
        <v/>
      </c>
      <c r="F401" s="205">
        <f>'Jobs-Ops'!U401</f>
        <v/>
      </c>
      <c r="G401" s="181">
        <f>'Jobs-GAAP'!J401</f>
        <v/>
      </c>
      <c r="H401" s="205">
        <f>'Jobs-GAAP'!V401</f>
        <v/>
      </c>
      <c r="I401" s="181">
        <f>E401-G401</f>
        <v/>
      </c>
      <c r="J401" s="9">
        <f>'Jobs-Ops'!P401</f>
        <v/>
      </c>
      <c r="K401" s="9">
        <f>'Jobs-GAAP'!Q401</f>
        <v/>
      </c>
      <c r="L401" s="9">
        <f>J401-K401</f>
        <v/>
      </c>
      <c r="M401" s="186" t="n"/>
      <c r="N401" s="9">
        <f>'Jobs-Ops'!Y401</f>
        <v/>
      </c>
      <c r="O401" s="9">
        <f>'Jobs-GAAP'!Y401</f>
        <v/>
      </c>
      <c r="P401" s="9">
        <f>N401-O401</f>
        <v/>
      </c>
      <c r="Q401" s="186" t="n"/>
      <c r="R401" s="11">
        <f>'Jobs-Ops'!AL401</f>
        <v/>
      </c>
      <c r="S401" s="11">
        <f>'Jobs-GAAP'!AH401</f>
        <v/>
      </c>
      <c r="T401" s="11">
        <f>IFERROR(R401-S401,0)</f>
        <v/>
      </c>
      <c r="U401" s="8">
        <f>'Jobs-Ops'!AM401</f>
        <v/>
      </c>
      <c r="V401" s="8">
        <f>'Jobs-GAAP'!AI401</f>
        <v/>
      </c>
      <c r="W401" s="8">
        <f>IFERROR(U401-V401,0)</f>
        <v/>
      </c>
      <c r="X401" s="9">
        <f>'Jobs-Ops'!AN401</f>
        <v/>
      </c>
      <c r="Y401" s="9">
        <f>'Jobs-GAAP'!AJ401</f>
        <v/>
      </c>
      <c r="Z401" s="9">
        <f>IFERROR(X401-Y401,0)</f>
        <v/>
      </c>
      <c r="AA401" s="153">
        <f>'Jobs-Ops'!AO401</f>
        <v/>
      </c>
      <c r="AB401" s="187" t="n"/>
      <c r="AC401" s="186" t="n"/>
      <c r="AD401" s="186" t="n"/>
      <c r="AE401" s="188" t="n"/>
      <c r="AF401" s="187" t="n"/>
      <c r="AG401" s="187" t="n"/>
      <c r="AH401" s="186" t="n"/>
      <c r="AI401" s="186" t="n"/>
      <c r="AJ401" s="186" t="n"/>
      <c r="AK401" s="186" t="n"/>
      <c r="AL401" s="186" t="n"/>
      <c r="AM401" s="186" t="n"/>
      <c r="AN401" s="186" t="n"/>
      <c r="AO401" s="186" t="n"/>
      <c r="AP401" s="186" t="n"/>
      <c r="AQ401" s="186" t="n"/>
      <c r="AR401" s="186" t="n"/>
      <c r="AS401" s="186" t="n"/>
      <c r="AT401" s="186" t="n"/>
      <c r="AU401" s="186" t="n"/>
      <c r="AV401" s="186" t="n"/>
      <c r="AW401" s="186" t="n"/>
      <c r="AX401" s="186" t="n"/>
      <c r="AY401" s="186" t="n"/>
      <c r="AZ401" s="186" t="n"/>
      <c r="BA401" s="186" t="n"/>
      <c r="BB401" s="186" t="n"/>
      <c r="BC401" s="186" t="n"/>
      <c r="BD401" s="190" t="n"/>
      <c r="BE401" s="186" t="n"/>
      <c r="BF401" s="186" t="n"/>
      <c r="BG401" s="186" t="n"/>
      <c r="BH401" s="186" t="n"/>
      <c r="BI401" s="186" t="n"/>
      <c r="BJ401" s="187" t="n"/>
      <c r="BK401" s="192" t="n"/>
      <c r="BL401" s="192" t="n"/>
      <c r="BM401" s="192" t="n"/>
      <c r="BN401" s="192" t="n"/>
    </row>
    <row r="402">
      <c r="A402" s="289">
        <f> 'Jobs-Ops'!A402</f>
        <v/>
      </c>
      <c r="B402" s="290">
        <f>'Jobs-Ops'!B402</f>
        <v/>
      </c>
      <c r="C402" s="290">
        <f>'Jobs-Ops'!C402</f>
        <v/>
      </c>
      <c r="D402" s="179" t="n"/>
      <c r="E402" s="181">
        <f>'Jobs-Ops'!I402</f>
        <v/>
      </c>
      <c r="F402" s="205">
        <f>'Jobs-Ops'!U402</f>
        <v/>
      </c>
      <c r="G402" s="181">
        <f>'Jobs-GAAP'!J402</f>
        <v/>
      </c>
      <c r="H402" s="205">
        <f>'Jobs-GAAP'!V402</f>
        <v/>
      </c>
      <c r="I402" s="181">
        <f>E402-G402</f>
        <v/>
      </c>
      <c r="J402" s="9">
        <f>'Jobs-Ops'!P402</f>
        <v/>
      </c>
      <c r="K402" s="9">
        <f>'Jobs-GAAP'!Q402</f>
        <v/>
      </c>
      <c r="L402" s="9">
        <f>J402-K402</f>
        <v/>
      </c>
      <c r="M402" s="186" t="n"/>
      <c r="N402" s="9">
        <f>'Jobs-Ops'!Y402</f>
        <v/>
      </c>
      <c r="O402" s="9">
        <f>'Jobs-GAAP'!Y402</f>
        <v/>
      </c>
      <c r="P402" s="9">
        <f>N402-O402</f>
        <v/>
      </c>
      <c r="Q402" s="186" t="n"/>
      <c r="R402" s="11">
        <f>'Jobs-Ops'!AL402</f>
        <v/>
      </c>
      <c r="S402" s="11">
        <f>'Jobs-GAAP'!AH402</f>
        <v/>
      </c>
      <c r="T402" s="11">
        <f>IFERROR(R402-S402,0)</f>
        <v/>
      </c>
      <c r="U402" s="8">
        <f>'Jobs-Ops'!AM402</f>
        <v/>
      </c>
      <c r="V402" s="8">
        <f>'Jobs-GAAP'!AI402</f>
        <v/>
      </c>
      <c r="W402" s="8">
        <f>IFERROR(U402-V402,0)</f>
        <v/>
      </c>
      <c r="X402" s="9">
        <f>'Jobs-Ops'!AN402</f>
        <v/>
      </c>
      <c r="Y402" s="9">
        <f>'Jobs-GAAP'!AJ402</f>
        <v/>
      </c>
      <c r="Z402" s="9">
        <f>IFERROR(X402-Y402,0)</f>
        <v/>
      </c>
      <c r="AA402" s="153">
        <f>'Jobs-Ops'!AO402</f>
        <v/>
      </c>
      <c r="AB402" s="187" t="n"/>
      <c r="AC402" s="186" t="n"/>
      <c r="AD402" s="186" t="n"/>
      <c r="AE402" s="188" t="n"/>
      <c r="AF402" s="187" t="n"/>
      <c r="AG402" s="187" t="n"/>
      <c r="AH402" s="186" t="n"/>
      <c r="AI402" s="186" t="n"/>
      <c r="AJ402" s="186" t="n"/>
      <c r="AK402" s="186" t="n"/>
      <c r="AL402" s="186" t="n"/>
      <c r="AM402" s="186" t="n"/>
      <c r="AN402" s="186" t="n"/>
      <c r="AO402" s="186" t="n"/>
      <c r="AP402" s="186" t="n"/>
      <c r="AQ402" s="186" t="n"/>
      <c r="AR402" s="186" t="n"/>
      <c r="AS402" s="186" t="n"/>
      <c r="AT402" s="186" t="n"/>
      <c r="AU402" s="186" t="n"/>
      <c r="AV402" s="186" t="n"/>
      <c r="AW402" s="186" t="n"/>
      <c r="AX402" s="186" t="n"/>
      <c r="AY402" s="186" t="n"/>
      <c r="AZ402" s="186" t="n"/>
      <c r="BA402" s="186" t="n"/>
      <c r="BB402" s="186" t="n"/>
      <c r="BC402" s="186" t="n"/>
      <c r="BD402" s="190" t="n"/>
      <c r="BE402" s="186" t="n"/>
      <c r="BF402" s="186" t="n"/>
      <c r="BG402" s="186" t="n"/>
      <c r="BH402" s="186" t="n"/>
      <c r="BI402" s="186" t="n"/>
      <c r="BJ402" s="187" t="n"/>
      <c r="BK402" s="192" t="n"/>
      <c r="BL402" s="192" t="n"/>
      <c r="BM402" s="192" t="n"/>
      <c r="BN402" s="192" t="n"/>
    </row>
    <row r="403">
      <c r="A403" s="289">
        <f> 'Jobs-Ops'!A403</f>
        <v/>
      </c>
      <c r="B403" s="290">
        <f>'Jobs-Ops'!B403</f>
        <v/>
      </c>
      <c r="C403" s="290">
        <f>'Jobs-Ops'!C403</f>
        <v/>
      </c>
      <c r="D403" s="179" t="n"/>
      <c r="E403" s="181">
        <f>'Jobs-Ops'!I403</f>
        <v/>
      </c>
      <c r="F403" s="205">
        <f>'Jobs-Ops'!U403</f>
        <v/>
      </c>
      <c r="G403" s="181">
        <f>'Jobs-GAAP'!J403</f>
        <v/>
      </c>
      <c r="H403" s="205">
        <f>'Jobs-GAAP'!V403</f>
        <v/>
      </c>
      <c r="I403" s="181">
        <f>E403-G403</f>
        <v/>
      </c>
      <c r="J403" s="9">
        <f>'Jobs-Ops'!P403</f>
        <v/>
      </c>
      <c r="K403" s="9">
        <f>'Jobs-GAAP'!Q403</f>
        <v/>
      </c>
      <c r="L403" s="9">
        <f>J403-K403</f>
        <v/>
      </c>
      <c r="M403" s="186" t="n"/>
      <c r="N403" s="9">
        <f>'Jobs-Ops'!Y403</f>
        <v/>
      </c>
      <c r="O403" s="9">
        <f>'Jobs-GAAP'!Y403</f>
        <v/>
      </c>
      <c r="P403" s="9">
        <f>N403-O403</f>
        <v/>
      </c>
      <c r="Q403" s="186" t="n"/>
      <c r="R403" s="11">
        <f>'Jobs-Ops'!AL403</f>
        <v/>
      </c>
      <c r="S403" s="11">
        <f>'Jobs-GAAP'!AH403</f>
        <v/>
      </c>
      <c r="T403" s="11">
        <f>IFERROR(R403-S403,0)</f>
        <v/>
      </c>
      <c r="U403" s="8">
        <f>'Jobs-Ops'!AM403</f>
        <v/>
      </c>
      <c r="V403" s="8">
        <f>'Jobs-GAAP'!AI403</f>
        <v/>
      </c>
      <c r="W403" s="8">
        <f>IFERROR(U403-V403,0)</f>
        <v/>
      </c>
      <c r="X403" s="9">
        <f>'Jobs-Ops'!AN403</f>
        <v/>
      </c>
      <c r="Y403" s="9">
        <f>'Jobs-GAAP'!AJ403</f>
        <v/>
      </c>
      <c r="Z403" s="9">
        <f>IFERROR(X403-Y403,0)</f>
        <v/>
      </c>
      <c r="AA403" s="153">
        <f>'Jobs-Ops'!AO403</f>
        <v/>
      </c>
      <c r="AB403" s="187" t="n"/>
      <c r="AC403" s="186" t="n"/>
      <c r="AD403" s="186" t="n"/>
      <c r="AE403" s="188" t="n"/>
      <c r="AF403" s="187" t="n"/>
      <c r="AG403" s="187" t="n"/>
      <c r="AH403" s="186" t="n"/>
      <c r="AI403" s="186" t="n"/>
      <c r="AJ403" s="186" t="n"/>
      <c r="AK403" s="186" t="n"/>
      <c r="AL403" s="186" t="n"/>
      <c r="AM403" s="186" t="n"/>
      <c r="AN403" s="186" t="n"/>
      <c r="AO403" s="186" t="n"/>
      <c r="AP403" s="186" t="n"/>
      <c r="AQ403" s="186" t="n"/>
      <c r="AR403" s="186" t="n"/>
      <c r="AS403" s="186" t="n"/>
      <c r="AT403" s="186" t="n"/>
      <c r="AU403" s="186" t="n"/>
      <c r="AV403" s="186" t="n"/>
      <c r="AW403" s="186" t="n"/>
      <c r="AX403" s="186" t="n"/>
      <c r="AY403" s="186" t="n"/>
      <c r="AZ403" s="186" t="n"/>
      <c r="BA403" s="186" t="n"/>
      <c r="BB403" s="186" t="n"/>
      <c r="BC403" s="186" t="n"/>
      <c r="BD403" s="190" t="n"/>
      <c r="BE403" s="186" t="n"/>
      <c r="BF403" s="186" t="n"/>
      <c r="BG403" s="186" t="n"/>
      <c r="BH403" s="186" t="n"/>
      <c r="BI403" s="186" t="n"/>
      <c r="BJ403" s="187" t="n"/>
      <c r="BK403" s="192" t="n"/>
      <c r="BL403" s="192" t="n"/>
      <c r="BM403" s="192" t="n"/>
      <c r="BN403" s="192" t="n"/>
    </row>
    <row r="404">
      <c r="A404" s="289">
        <f> 'Jobs-Ops'!A404</f>
        <v/>
      </c>
      <c r="B404" s="290">
        <f>'Jobs-Ops'!B404</f>
        <v/>
      </c>
      <c r="C404" s="290">
        <f>'Jobs-Ops'!C404</f>
        <v/>
      </c>
      <c r="D404" s="179" t="n"/>
      <c r="E404" s="181">
        <f>'Jobs-Ops'!I404</f>
        <v/>
      </c>
      <c r="F404" s="205">
        <f>'Jobs-Ops'!U404</f>
        <v/>
      </c>
      <c r="G404" s="181">
        <f>'Jobs-GAAP'!J404</f>
        <v/>
      </c>
      <c r="H404" s="205">
        <f>'Jobs-GAAP'!V404</f>
        <v/>
      </c>
      <c r="I404" s="181">
        <f>E404-G404</f>
        <v/>
      </c>
      <c r="J404" s="9">
        <f>'Jobs-Ops'!P404</f>
        <v/>
      </c>
      <c r="K404" s="9">
        <f>'Jobs-GAAP'!Q404</f>
        <v/>
      </c>
      <c r="L404" s="9">
        <f>J404-K404</f>
        <v/>
      </c>
      <c r="M404" s="186" t="n"/>
      <c r="N404" s="9">
        <f>'Jobs-Ops'!Y404</f>
        <v/>
      </c>
      <c r="O404" s="9">
        <f>'Jobs-GAAP'!Y404</f>
        <v/>
      </c>
      <c r="P404" s="9">
        <f>N404-O404</f>
        <v/>
      </c>
      <c r="Q404" s="186" t="n"/>
      <c r="R404" s="11">
        <f>'Jobs-Ops'!AL404</f>
        <v/>
      </c>
      <c r="S404" s="11">
        <f>'Jobs-GAAP'!AH404</f>
        <v/>
      </c>
      <c r="T404" s="11">
        <f>IFERROR(R404-S404,0)</f>
        <v/>
      </c>
      <c r="U404" s="8">
        <f>'Jobs-Ops'!AM404</f>
        <v/>
      </c>
      <c r="V404" s="8">
        <f>'Jobs-GAAP'!AI404</f>
        <v/>
      </c>
      <c r="W404" s="8">
        <f>IFERROR(U404-V404,0)</f>
        <v/>
      </c>
      <c r="X404" s="9">
        <f>'Jobs-Ops'!AN404</f>
        <v/>
      </c>
      <c r="Y404" s="9">
        <f>'Jobs-GAAP'!AJ404</f>
        <v/>
      </c>
      <c r="Z404" s="9">
        <f>IFERROR(X404-Y404,0)</f>
        <v/>
      </c>
      <c r="AA404" s="153">
        <f>'Jobs-Ops'!AO404</f>
        <v/>
      </c>
      <c r="AB404" s="187" t="n"/>
      <c r="AC404" s="186" t="n"/>
      <c r="AD404" s="186" t="n"/>
      <c r="AE404" s="188" t="n"/>
      <c r="AF404" s="187" t="n"/>
      <c r="AG404" s="187" t="n"/>
      <c r="AH404" s="186" t="n"/>
      <c r="AI404" s="186" t="n"/>
      <c r="AJ404" s="186" t="n"/>
      <c r="AK404" s="186" t="n"/>
      <c r="AL404" s="186" t="n"/>
      <c r="AM404" s="186" t="n"/>
      <c r="AN404" s="186" t="n"/>
      <c r="AO404" s="186" t="n"/>
      <c r="AP404" s="186" t="n"/>
      <c r="AQ404" s="186" t="n"/>
      <c r="AR404" s="186" t="n"/>
      <c r="AS404" s="186" t="n"/>
      <c r="AT404" s="186" t="n"/>
      <c r="AU404" s="186" t="n"/>
      <c r="AV404" s="186" t="n"/>
      <c r="AW404" s="186" t="n"/>
      <c r="AX404" s="186" t="n"/>
      <c r="AY404" s="186" t="n"/>
      <c r="AZ404" s="186" t="n"/>
      <c r="BA404" s="186" t="n"/>
      <c r="BB404" s="186" t="n"/>
      <c r="BC404" s="186" t="n"/>
      <c r="BD404" s="190" t="n"/>
      <c r="BE404" s="186" t="n"/>
      <c r="BF404" s="186" t="n"/>
      <c r="BG404" s="186" t="n"/>
      <c r="BH404" s="186" t="n"/>
      <c r="BI404" s="186" t="n"/>
      <c r="BJ404" s="187" t="n"/>
      <c r="BK404" s="192" t="n"/>
      <c r="BL404" s="192" t="n"/>
      <c r="BM404" s="192" t="n"/>
      <c r="BN404" s="192" t="n"/>
    </row>
    <row r="405">
      <c r="A405" s="289">
        <f> 'Jobs-Ops'!A405</f>
        <v/>
      </c>
      <c r="B405" s="290">
        <f>'Jobs-Ops'!B405</f>
        <v/>
      </c>
      <c r="C405" s="290">
        <f>'Jobs-Ops'!C405</f>
        <v/>
      </c>
      <c r="D405" s="179" t="n"/>
      <c r="E405" s="181">
        <f>'Jobs-Ops'!I405</f>
        <v/>
      </c>
      <c r="F405" s="205">
        <f>'Jobs-Ops'!U405</f>
        <v/>
      </c>
      <c r="G405" s="181">
        <f>'Jobs-GAAP'!J405</f>
        <v/>
      </c>
      <c r="H405" s="205">
        <f>'Jobs-GAAP'!V405</f>
        <v/>
      </c>
      <c r="I405" s="181">
        <f>E405-G405</f>
        <v/>
      </c>
      <c r="J405" s="9">
        <f>'Jobs-Ops'!P405</f>
        <v/>
      </c>
      <c r="K405" s="9">
        <f>'Jobs-GAAP'!Q405</f>
        <v/>
      </c>
      <c r="L405" s="9">
        <f>J405-K405</f>
        <v/>
      </c>
      <c r="M405" s="186" t="n"/>
      <c r="N405" s="9">
        <f>'Jobs-Ops'!Y405</f>
        <v/>
      </c>
      <c r="O405" s="9">
        <f>'Jobs-GAAP'!Y405</f>
        <v/>
      </c>
      <c r="P405" s="9">
        <f>N405-O405</f>
        <v/>
      </c>
      <c r="Q405" s="186" t="n"/>
      <c r="R405" s="11">
        <f>'Jobs-Ops'!AL405</f>
        <v/>
      </c>
      <c r="S405" s="11">
        <f>'Jobs-GAAP'!AH405</f>
        <v/>
      </c>
      <c r="T405" s="11">
        <f>IFERROR(R405-S405,0)</f>
        <v/>
      </c>
      <c r="U405" s="8">
        <f>'Jobs-Ops'!AM405</f>
        <v/>
      </c>
      <c r="V405" s="8">
        <f>'Jobs-GAAP'!AI405</f>
        <v/>
      </c>
      <c r="W405" s="8">
        <f>IFERROR(U405-V405,0)</f>
        <v/>
      </c>
      <c r="X405" s="9">
        <f>'Jobs-Ops'!AN405</f>
        <v/>
      </c>
      <c r="Y405" s="9">
        <f>'Jobs-GAAP'!AJ405</f>
        <v/>
      </c>
      <c r="Z405" s="9">
        <f>IFERROR(X405-Y405,0)</f>
        <v/>
      </c>
      <c r="AA405" s="153">
        <f>'Jobs-Ops'!AO405</f>
        <v/>
      </c>
      <c r="AB405" s="187" t="n"/>
      <c r="AC405" s="186" t="n"/>
      <c r="AD405" s="186" t="n"/>
      <c r="AE405" s="188" t="n"/>
      <c r="AF405" s="187" t="n"/>
      <c r="AG405" s="187" t="n"/>
      <c r="AH405" s="186" t="n"/>
      <c r="AI405" s="186" t="n"/>
      <c r="AJ405" s="186" t="n"/>
      <c r="AK405" s="186" t="n"/>
      <c r="AL405" s="186" t="n"/>
      <c r="AM405" s="186" t="n"/>
      <c r="AN405" s="186" t="n"/>
      <c r="AO405" s="186" t="n"/>
      <c r="AP405" s="186" t="n"/>
      <c r="AQ405" s="186" t="n"/>
      <c r="AR405" s="186" t="n"/>
      <c r="AS405" s="186" t="n"/>
      <c r="AT405" s="186" t="n"/>
      <c r="AU405" s="186" t="n"/>
      <c r="AV405" s="186" t="n"/>
      <c r="AW405" s="186" t="n"/>
      <c r="AX405" s="186" t="n"/>
      <c r="AY405" s="186" t="n"/>
      <c r="AZ405" s="186" t="n"/>
      <c r="BA405" s="186" t="n"/>
      <c r="BB405" s="186" t="n"/>
      <c r="BC405" s="186" t="n"/>
      <c r="BD405" s="190" t="n"/>
      <c r="BE405" s="186" t="n"/>
      <c r="BF405" s="186" t="n"/>
      <c r="BG405" s="186" t="n"/>
      <c r="BH405" s="186" t="n"/>
      <c r="BI405" s="186" t="n"/>
      <c r="BJ405" s="187" t="n"/>
      <c r="BK405" s="192" t="n"/>
      <c r="BL405" s="192" t="n"/>
      <c r="BM405" s="192" t="n"/>
      <c r="BN405" s="192" t="n"/>
    </row>
    <row r="406">
      <c r="A406" s="289">
        <f> 'Jobs-Ops'!A406</f>
        <v/>
      </c>
      <c r="B406" s="290">
        <f>'Jobs-Ops'!B406</f>
        <v/>
      </c>
      <c r="C406" s="290">
        <f>'Jobs-Ops'!C406</f>
        <v/>
      </c>
      <c r="D406" s="179" t="n"/>
      <c r="E406" s="181">
        <f>'Jobs-Ops'!I406</f>
        <v/>
      </c>
      <c r="F406" s="205">
        <f>'Jobs-Ops'!U406</f>
        <v/>
      </c>
      <c r="G406" s="181">
        <f>'Jobs-GAAP'!J406</f>
        <v/>
      </c>
      <c r="H406" s="205">
        <f>'Jobs-GAAP'!V406</f>
        <v/>
      </c>
      <c r="I406" s="181">
        <f>E406-G406</f>
        <v/>
      </c>
      <c r="J406" s="9">
        <f>'Jobs-Ops'!P406</f>
        <v/>
      </c>
      <c r="K406" s="9">
        <f>'Jobs-GAAP'!Q406</f>
        <v/>
      </c>
      <c r="L406" s="9">
        <f>J406-K406</f>
        <v/>
      </c>
      <c r="M406" s="186" t="n"/>
      <c r="N406" s="9">
        <f>'Jobs-Ops'!Y406</f>
        <v/>
      </c>
      <c r="O406" s="9">
        <f>'Jobs-GAAP'!Y406</f>
        <v/>
      </c>
      <c r="P406" s="9">
        <f>N406-O406</f>
        <v/>
      </c>
      <c r="Q406" s="186" t="n"/>
      <c r="R406" s="11">
        <f>'Jobs-Ops'!AL406</f>
        <v/>
      </c>
      <c r="S406" s="11">
        <f>'Jobs-GAAP'!AH406</f>
        <v/>
      </c>
      <c r="T406" s="11">
        <f>IFERROR(R406-S406,0)</f>
        <v/>
      </c>
      <c r="U406" s="8">
        <f>'Jobs-Ops'!AM406</f>
        <v/>
      </c>
      <c r="V406" s="8">
        <f>'Jobs-GAAP'!AI406</f>
        <v/>
      </c>
      <c r="W406" s="8">
        <f>IFERROR(U406-V406,0)</f>
        <v/>
      </c>
      <c r="X406" s="9">
        <f>'Jobs-Ops'!AN406</f>
        <v/>
      </c>
      <c r="Y406" s="9">
        <f>'Jobs-GAAP'!AJ406</f>
        <v/>
      </c>
      <c r="Z406" s="9">
        <f>IFERROR(X406-Y406,0)</f>
        <v/>
      </c>
      <c r="AA406" s="153">
        <f>'Jobs-Ops'!AO406</f>
        <v/>
      </c>
      <c r="AB406" s="187" t="n"/>
      <c r="AC406" s="186" t="n"/>
      <c r="AD406" s="186" t="n"/>
      <c r="AE406" s="188" t="n"/>
      <c r="AF406" s="187" t="n"/>
      <c r="AG406" s="187" t="n"/>
      <c r="AH406" s="186" t="n"/>
      <c r="AI406" s="186" t="n"/>
      <c r="AJ406" s="186" t="n"/>
      <c r="AK406" s="186" t="n"/>
      <c r="AL406" s="186" t="n"/>
      <c r="AM406" s="186" t="n"/>
      <c r="AN406" s="186" t="n"/>
      <c r="AO406" s="186" t="n"/>
      <c r="AP406" s="186" t="n"/>
      <c r="AQ406" s="186" t="n"/>
      <c r="AR406" s="186" t="n"/>
      <c r="AS406" s="186" t="n"/>
      <c r="AT406" s="186" t="n"/>
      <c r="AU406" s="186" t="n"/>
      <c r="AV406" s="186" t="n"/>
      <c r="AW406" s="186" t="n"/>
      <c r="AX406" s="186" t="n"/>
      <c r="AY406" s="186" t="n"/>
      <c r="AZ406" s="186" t="n"/>
      <c r="BA406" s="186" t="n"/>
      <c r="BB406" s="186" t="n"/>
      <c r="BC406" s="186" t="n"/>
      <c r="BD406" s="190" t="n"/>
      <c r="BE406" s="186" t="n"/>
      <c r="BF406" s="186" t="n"/>
      <c r="BG406" s="186" t="n"/>
      <c r="BH406" s="186" t="n"/>
      <c r="BI406" s="186" t="n"/>
      <c r="BJ406" s="187" t="n"/>
      <c r="BK406" s="192" t="n"/>
      <c r="BL406" s="192" t="n"/>
      <c r="BM406" s="192" t="n"/>
      <c r="BN406" s="192" t="n"/>
    </row>
    <row r="407">
      <c r="A407" s="289">
        <f> 'Jobs-Ops'!A407</f>
        <v/>
      </c>
      <c r="B407" s="290">
        <f>'Jobs-Ops'!B407</f>
        <v/>
      </c>
      <c r="C407" s="290">
        <f>'Jobs-Ops'!C407</f>
        <v/>
      </c>
      <c r="D407" s="179" t="n"/>
      <c r="E407" s="181">
        <f>'Jobs-Ops'!I407</f>
        <v/>
      </c>
      <c r="F407" s="205">
        <f>'Jobs-Ops'!U407</f>
        <v/>
      </c>
      <c r="G407" s="181">
        <f>'Jobs-GAAP'!J407</f>
        <v/>
      </c>
      <c r="H407" s="205">
        <f>'Jobs-GAAP'!V407</f>
        <v/>
      </c>
      <c r="I407" s="181">
        <f>E407-G407</f>
        <v/>
      </c>
      <c r="J407" s="9">
        <f>'Jobs-Ops'!P407</f>
        <v/>
      </c>
      <c r="K407" s="9">
        <f>'Jobs-GAAP'!Q407</f>
        <v/>
      </c>
      <c r="L407" s="9">
        <f>J407-K407</f>
        <v/>
      </c>
      <c r="M407" s="186" t="n"/>
      <c r="N407" s="9">
        <f>'Jobs-Ops'!Y407</f>
        <v/>
      </c>
      <c r="O407" s="9">
        <f>'Jobs-GAAP'!Y407</f>
        <v/>
      </c>
      <c r="P407" s="9">
        <f>N407-O407</f>
        <v/>
      </c>
      <c r="Q407" s="186" t="n"/>
      <c r="R407" s="11">
        <f>'Jobs-Ops'!AL407</f>
        <v/>
      </c>
      <c r="S407" s="11">
        <f>'Jobs-GAAP'!AH407</f>
        <v/>
      </c>
      <c r="T407" s="11">
        <f>IFERROR(R407-S407,0)</f>
        <v/>
      </c>
      <c r="U407" s="8">
        <f>'Jobs-Ops'!AM407</f>
        <v/>
      </c>
      <c r="V407" s="8">
        <f>'Jobs-GAAP'!AI407</f>
        <v/>
      </c>
      <c r="W407" s="8">
        <f>IFERROR(U407-V407,0)</f>
        <v/>
      </c>
      <c r="X407" s="9">
        <f>'Jobs-Ops'!AN407</f>
        <v/>
      </c>
      <c r="Y407" s="9">
        <f>'Jobs-GAAP'!AJ407</f>
        <v/>
      </c>
      <c r="Z407" s="9">
        <f>IFERROR(X407-Y407,0)</f>
        <v/>
      </c>
      <c r="AA407" s="153">
        <f>'Jobs-Ops'!AO407</f>
        <v/>
      </c>
      <c r="AB407" s="187" t="n"/>
      <c r="AC407" s="186" t="n"/>
      <c r="AD407" s="186" t="n"/>
      <c r="AE407" s="188" t="n"/>
      <c r="AF407" s="187" t="n"/>
      <c r="AG407" s="187" t="n"/>
      <c r="AH407" s="186" t="n"/>
      <c r="AI407" s="186" t="n"/>
      <c r="AJ407" s="186" t="n"/>
      <c r="AK407" s="186" t="n"/>
      <c r="AL407" s="186" t="n"/>
      <c r="AM407" s="186" t="n"/>
      <c r="AN407" s="186" t="n"/>
      <c r="AO407" s="186" t="n"/>
      <c r="AP407" s="186" t="n"/>
      <c r="AQ407" s="186" t="n"/>
      <c r="AR407" s="186" t="n"/>
      <c r="AS407" s="186" t="n"/>
      <c r="AT407" s="186" t="n"/>
      <c r="AU407" s="186" t="n"/>
      <c r="AV407" s="186" t="n"/>
      <c r="AW407" s="186" t="n"/>
      <c r="AX407" s="186" t="n"/>
      <c r="AY407" s="186" t="n"/>
      <c r="AZ407" s="186" t="n"/>
      <c r="BA407" s="186" t="n"/>
      <c r="BB407" s="186" t="n"/>
      <c r="BC407" s="186" t="n"/>
      <c r="BD407" s="190" t="n"/>
      <c r="BE407" s="186" t="n"/>
      <c r="BF407" s="186" t="n"/>
      <c r="BG407" s="186" t="n"/>
      <c r="BH407" s="186" t="n"/>
      <c r="BI407" s="186" t="n"/>
      <c r="BJ407" s="187" t="n"/>
      <c r="BK407" s="192" t="n"/>
      <c r="BL407" s="192" t="n"/>
      <c r="BM407" s="192" t="n"/>
      <c r="BN407" s="192" t="n"/>
    </row>
    <row r="408">
      <c r="A408" s="289">
        <f> 'Jobs-Ops'!A408</f>
        <v/>
      </c>
      <c r="B408" s="290">
        <f>'Jobs-Ops'!B408</f>
        <v/>
      </c>
      <c r="C408" s="290">
        <f>'Jobs-Ops'!C408</f>
        <v/>
      </c>
      <c r="D408" s="179" t="n"/>
      <c r="E408" s="181">
        <f>'Jobs-Ops'!I408</f>
        <v/>
      </c>
      <c r="F408" s="205">
        <f>'Jobs-Ops'!U408</f>
        <v/>
      </c>
      <c r="G408" s="181">
        <f>'Jobs-GAAP'!J408</f>
        <v/>
      </c>
      <c r="H408" s="205">
        <f>'Jobs-GAAP'!V408</f>
        <v/>
      </c>
      <c r="I408" s="181">
        <f>E408-G408</f>
        <v/>
      </c>
      <c r="J408" s="9">
        <f>'Jobs-Ops'!P408</f>
        <v/>
      </c>
      <c r="K408" s="9">
        <f>'Jobs-GAAP'!Q408</f>
        <v/>
      </c>
      <c r="L408" s="9">
        <f>J408-K408</f>
        <v/>
      </c>
      <c r="M408" s="186" t="n"/>
      <c r="N408" s="9">
        <f>'Jobs-Ops'!Y408</f>
        <v/>
      </c>
      <c r="O408" s="9">
        <f>'Jobs-GAAP'!Y408</f>
        <v/>
      </c>
      <c r="P408" s="9">
        <f>N408-O408</f>
        <v/>
      </c>
      <c r="Q408" s="186" t="n"/>
      <c r="R408" s="11">
        <f>'Jobs-Ops'!AL408</f>
        <v/>
      </c>
      <c r="S408" s="11">
        <f>'Jobs-GAAP'!AH408</f>
        <v/>
      </c>
      <c r="T408" s="11">
        <f>IFERROR(R408-S408,0)</f>
        <v/>
      </c>
      <c r="U408" s="8">
        <f>'Jobs-Ops'!AM408</f>
        <v/>
      </c>
      <c r="V408" s="8">
        <f>'Jobs-GAAP'!AI408</f>
        <v/>
      </c>
      <c r="W408" s="8">
        <f>IFERROR(U408-V408,0)</f>
        <v/>
      </c>
      <c r="X408" s="9">
        <f>'Jobs-Ops'!AN408</f>
        <v/>
      </c>
      <c r="Y408" s="9">
        <f>'Jobs-GAAP'!AJ408</f>
        <v/>
      </c>
      <c r="Z408" s="9">
        <f>IFERROR(X408-Y408,0)</f>
        <v/>
      </c>
      <c r="AA408" s="153">
        <f>'Jobs-Ops'!AO408</f>
        <v/>
      </c>
      <c r="AB408" s="187" t="n"/>
      <c r="AC408" s="186" t="n"/>
      <c r="AD408" s="186" t="n"/>
      <c r="AE408" s="188" t="n"/>
      <c r="AF408" s="187" t="n"/>
      <c r="AG408" s="187" t="n"/>
      <c r="AH408" s="186" t="n"/>
      <c r="AI408" s="186" t="n"/>
      <c r="AJ408" s="186" t="n"/>
      <c r="AK408" s="186" t="n"/>
      <c r="AL408" s="186" t="n"/>
      <c r="AM408" s="186" t="n"/>
      <c r="AN408" s="186" t="n"/>
      <c r="AO408" s="186" t="n"/>
      <c r="AP408" s="186" t="n"/>
      <c r="AQ408" s="186" t="n"/>
      <c r="AR408" s="186" t="n"/>
      <c r="AS408" s="186" t="n"/>
      <c r="AT408" s="186" t="n"/>
      <c r="AU408" s="186" t="n"/>
      <c r="AV408" s="186" t="n"/>
      <c r="AW408" s="186" t="n"/>
      <c r="AX408" s="186" t="n"/>
      <c r="AY408" s="186" t="n"/>
      <c r="AZ408" s="186" t="n"/>
      <c r="BA408" s="186" t="n"/>
      <c r="BB408" s="186" t="n"/>
      <c r="BC408" s="186" t="n"/>
      <c r="BD408" s="190" t="n"/>
      <c r="BE408" s="186" t="n"/>
      <c r="BF408" s="186" t="n"/>
      <c r="BG408" s="186" t="n"/>
      <c r="BH408" s="186" t="n"/>
      <c r="BI408" s="186" t="n"/>
      <c r="BJ408" s="187" t="n"/>
      <c r="BK408" s="192" t="n"/>
      <c r="BL408" s="192" t="n"/>
      <c r="BM408" s="192" t="n"/>
      <c r="BN408" s="192" t="n"/>
    </row>
    <row r="409">
      <c r="A409" s="289">
        <f> 'Jobs-Ops'!A409</f>
        <v/>
      </c>
      <c r="B409" s="290">
        <f>'Jobs-Ops'!B409</f>
        <v/>
      </c>
      <c r="C409" s="290">
        <f>'Jobs-Ops'!C409</f>
        <v/>
      </c>
      <c r="D409" s="179" t="n"/>
      <c r="E409" s="181">
        <f>'Jobs-Ops'!I409</f>
        <v/>
      </c>
      <c r="F409" s="205">
        <f>'Jobs-Ops'!U409</f>
        <v/>
      </c>
      <c r="G409" s="181">
        <f>'Jobs-GAAP'!J409</f>
        <v/>
      </c>
      <c r="H409" s="205">
        <f>'Jobs-GAAP'!V409</f>
        <v/>
      </c>
      <c r="I409" s="181">
        <f>E409-G409</f>
        <v/>
      </c>
      <c r="J409" s="9">
        <f>'Jobs-Ops'!P409</f>
        <v/>
      </c>
      <c r="K409" s="9">
        <f>'Jobs-GAAP'!Q409</f>
        <v/>
      </c>
      <c r="L409" s="9">
        <f>J409-K409</f>
        <v/>
      </c>
      <c r="M409" s="186" t="n"/>
      <c r="N409" s="9">
        <f>'Jobs-Ops'!Y409</f>
        <v/>
      </c>
      <c r="O409" s="9">
        <f>'Jobs-GAAP'!Y409</f>
        <v/>
      </c>
      <c r="P409" s="9">
        <f>N409-O409</f>
        <v/>
      </c>
      <c r="Q409" s="186" t="n"/>
      <c r="R409" s="11">
        <f>'Jobs-Ops'!AL409</f>
        <v/>
      </c>
      <c r="S409" s="11">
        <f>'Jobs-GAAP'!AH409</f>
        <v/>
      </c>
      <c r="T409" s="11">
        <f>IFERROR(R409-S409,0)</f>
        <v/>
      </c>
      <c r="U409" s="8">
        <f>'Jobs-Ops'!AM409</f>
        <v/>
      </c>
      <c r="V409" s="8">
        <f>'Jobs-GAAP'!AI409</f>
        <v/>
      </c>
      <c r="W409" s="8">
        <f>IFERROR(U409-V409,0)</f>
        <v/>
      </c>
      <c r="X409" s="9">
        <f>'Jobs-Ops'!AN409</f>
        <v/>
      </c>
      <c r="Y409" s="9">
        <f>'Jobs-GAAP'!AJ409</f>
        <v/>
      </c>
      <c r="Z409" s="9">
        <f>IFERROR(X409-Y409,0)</f>
        <v/>
      </c>
      <c r="AA409" s="153">
        <f>'Jobs-Ops'!AO409</f>
        <v/>
      </c>
      <c r="AB409" s="187" t="n"/>
      <c r="AC409" s="186" t="n"/>
      <c r="AD409" s="186" t="n"/>
      <c r="AE409" s="188" t="n"/>
      <c r="AF409" s="187" t="n"/>
      <c r="AG409" s="187" t="n"/>
      <c r="AH409" s="186" t="n"/>
      <c r="AI409" s="186" t="n"/>
      <c r="AJ409" s="186" t="n"/>
      <c r="AK409" s="186" t="n"/>
      <c r="AL409" s="186" t="n"/>
      <c r="AM409" s="186" t="n"/>
      <c r="AN409" s="186" t="n"/>
      <c r="AO409" s="186" t="n"/>
      <c r="AP409" s="186" t="n"/>
      <c r="AQ409" s="186" t="n"/>
      <c r="AR409" s="186" t="n"/>
      <c r="AS409" s="186" t="n"/>
      <c r="AT409" s="186" t="n"/>
      <c r="AU409" s="186" t="n"/>
      <c r="AV409" s="186" t="n"/>
      <c r="AW409" s="186" t="n"/>
      <c r="AX409" s="186" t="n"/>
      <c r="AY409" s="186" t="n"/>
      <c r="AZ409" s="186" t="n"/>
      <c r="BA409" s="186" t="n"/>
      <c r="BB409" s="186" t="n"/>
      <c r="BC409" s="186" t="n"/>
      <c r="BD409" s="190" t="n"/>
      <c r="BE409" s="186" t="n"/>
      <c r="BF409" s="186" t="n"/>
      <c r="BG409" s="186" t="n"/>
      <c r="BH409" s="186" t="n"/>
      <c r="BI409" s="186" t="n"/>
      <c r="BJ409" s="187" t="n"/>
      <c r="BK409" s="192" t="n"/>
      <c r="BL409" s="192" t="n"/>
      <c r="BM409" s="192" t="n"/>
      <c r="BN409" s="192" t="n"/>
    </row>
    <row r="410">
      <c r="A410" s="289">
        <f> 'Jobs-Ops'!A410</f>
        <v/>
      </c>
      <c r="B410" s="290">
        <f>'Jobs-Ops'!B410</f>
        <v/>
      </c>
      <c r="C410" s="290">
        <f>'Jobs-Ops'!C410</f>
        <v/>
      </c>
      <c r="D410" s="179" t="n"/>
      <c r="E410" s="181">
        <f>'Jobs-Ops'!I410</f>
        <v/>
      </c>
      <c r="F410" s="205">
        <f>'Jobs-Ops'!U410</f>
        <v/>
      </c>
      <c r="G410" s="181">
        <f>'Jobs-GAAP'!J410</f>
        <v/>
      </c>
      <c r="H410" s="205">
        <f>'Jobs-GAAP'!V410</f>
        <v/>
      </c>
      <c r="I410" s="181">
        <f>E410-G410</f>
        <v/>
      </c>
      <c r="J410" s="9">
        <f>'Jobs-Ops'!P410</f>
        <v/>
      </c>
      <c r="K410" s="9">
        <f>'Jobs-GAAP'!Q410</f>
        <v/>
      </c>
      <c r="L410" s="9">
        <f>J410-K410</f>
        <v/>
      </c>
      <c r="M410" s="186" t="n"/>
      <c r="N410" s="9">
        <f>'Jobs-Ops'!Y410</f>
        <v/>
      </c>
      <c r="O410" s="9">
        <f>'Jobs-GAAP'!Y410</f>
        <v/>
      </c>
      <c r="P410" s="9">
        <f>N410-O410</f>
        <v/>
      </c>
      <c r="Q410" s="186" t="n"/>
      <c r="R410" s="11">
        <f>'Jobs-Ops'!AL410</f>
        <v/>
      </c>
      <c r="S410" s="11">
        <f>'Jobs-GAAP'!AH410</f>
        <v/>
      </c>
      <c r="T410" s="11">
        <f>IFERROR(R410-S410,0)</f>
        <v/>
      </c>
      <c r="U410" s="8">
        <f>'Jobs-Ops'!AM410</f>
        <v/>
      </c>
      <c r="V410" s="8">
        <f>'Jobs-GAAP'!AI410</f>
        <v/>
      </c>
      <c r="W410" s="8">
        <f>IFERROR(U410-V410,0)</f>
        <v/>
      </c>
      <c r="X410" s="9">
        <f>'Jobs-Ops'!AN410</f>
        <v/>
      </c>
      <c r="Y410" s="9">
        <f>'Jobs-GAAP'!AJ410</f>
        <v/>
      </c>
      <c r="Z410" s="9">
        <f>IFERROR(X410-Y410,0)</f>
        <v/>
      </c>
      <c r="AA410" s="153">
        <f>'Jobs-Ops'!AO410</f>
        <v/>
      </c>
      <c r="AB410" s="187" t="n"/>
      <c r="AC410" s="186" t="n"/>
      <c r="AD410" s="186" t="n"/>
      <c r="AE410" s="188" t="n"/>
      <c r="AF410" s="187" t="n"/>
      <c r="AG410" s="187" t="n"/>
      <c r="AH410" s="186" t="n"/>
      <c r="AI410" s="186" t="n"/>
      <c r="AJ410" s="186" t="n"/>
      <c r="AK410" s="186" t="n"/>
      <c r="AL410" s="186" t="n"/>
      <c r="AM410" s="186" t="n"/>
      <c r="AN410" s="186" t="n"/>
      <c r="AO410" s="186" t="n"/>
      <c r="AP410" s="186" t="n"/>
      <c r="AQ410" s="186" t="n"/>
      <c r="AR410" s="186" t="n"/>
      <c r="AS410" s="186" t="n"/>
      <c r="AT410" s="186" t="n"/>
      <c r="AU410" s="186" t="n"/>
      <c r="AV410" s="186" t="n"/>
      <c r="AW410" s="186" t="n"/>
      <c r="AX410" s="186" t="n"/>
      <c r="AY410" s="186" t="n"/>
      <c r="AZ410" s="186" t="n"/>
      <c r="BA410" s="186" t="n"/>
      <c r="BB410" s="186" t="n"/>
      <c r="BC410" s="186" t="n"/>
      <c r="BD410" s="190" t="n"/>
      <c r="BE410" s="186" t="n"/>
      <c r="BF410" s="186" t="n"/>
      <c r="BG410" s="186" t="n"/>
      <c r="BH410" s="186" t="n"/>
      <c r="BI410" s="186" t="n"/>
      <c r="BJ410" s="187" t="n"/>
      <c r="BK410" s="192" t="n"/>
      <c r="BL410" s="192" t="n"/>
      <c r="BM410" s="192" t="n"/>
      <c r="BN410" s="192" t="n"/>
    </row>
    <row r="411">
      <c r="A411" s="289">
        <f> 'Jobs-Ops'!A411</f>
        <v/>
      </c>
      <c r="B411" s="290">
        <f>'Jobs-Ops'!B411</f>
        <v/>
      </c>
      <c r="C411" s="290">
        <f>'Jobs-Ops'!C411</f>
        <v/>
      </c>
      <c r="D411" s="179" t="n"/>
      <c r="E411" s="181">
        <f>'Jobs-Ops'!I411</f>
        <v/>
      </c>
      <c r="F411" s="205">
        <f>'Jobs-Ops'!U411</f>
        <v/>
      </c>
      <c r="G411" s="181">
        <f>'Jobs-GAAP'!J411</f>
        <v/>
      </c>
      <c r="H411" s="205">
        <f>'Jobs-GAAP'!V411</f>
        <v/>
      </c>
      <c r="I411" s="181">
        <f>E411-G411</f>
        <v/>
      </c>
      <c r="J411" s="9">
        <f>'Jobs-Ops'!P411</f>
        <v/>
      </c>
      <c r="K411" s="9">
        <f>'Jobs-GAAP'!Q411</f>
        <v/>
      </c>
      <c r="L411" s="9">
        <f>J411-K411</f>
        <v/>
      </c>
      <c r="M411" s="186" t="n"/>
      <c r="N411" s="9">
        <f>'Jobs-Ops'!Y411</f>
        <v/>
      </c>
      <c r="O411" s="9">
        <f>'Jobs-GAAP'!Y411</f>
        <v/>
      </c>
      <c r="P411" s="9">
        <f>N411-O411</f>
        <v/>
      </c>
      <c r="Q411" s="186" t="n"/>
      <c r="R411" s="11">
        <f>'Jobs-Ops'!AL411</f>
        <v/>
      </c>
      <c r="S411" s="11">
        <f>'Jobs-GAAP'!AH411</f>
        <v/>
      </c>
      <c r="T411" s="11">
        <f>IFERROR(R411-S411,0)</f>
        <v/>
      </c>
      <c r="U411" s="8">
        <f>'Jobs-Ops'!AM411</f>
        <v/>
      </c>
      <c r="V411" s="8">
        <f>'Jobs-GAAP'!AI411</f>
        <v/>
      </c>
      <c r="W411" s="8">
        <f>IFERROR(U411-V411,0)</f>
        <v/>
      </c>
      <c r="X411" s="9">
        <f>'Jobs-Ops'!AN411</f>
        <v/>
      </c>
      <c r="Y411" s="9">
        <f>'Jobs-GAAP'!AJ411</f>
        <v/>
      </c>
      <c r="Z411" s="9">
        <f>IFERROR(X411-Y411,0)</f>
        <v/>
      </c>
      <c r="AA411" s="153">
        <f>'Jobs-Ops'!AO411</f>
        <v/>
      </c>
      <c r="AB411" s="187" t="n"/>
      <c r="AC411" s="186" t="n"/>
      <c r="AD411" s="186" t="n"/>
      <c r="AE411" s="188" t="n"/>
      <c r="AF411" s="187" t="n"/>
      <c r="AG411" s="187" t="n"/>
      <c r="AH411" s="186" t="n"/>
      <c r="AI411" s="186" t="n"/>
      <c r="AJ411" s="186" t="n"/>
      <c r="AK411" s="186" t="n"/>
      <c r="AL411" s="186" t="n"/>
      <c r="AM411" s="186" t="n"/>
      <c r="AN411" s="186" t="n"/>
      <c r="AO411" s="186" t="n"/>
      <c r="AP411" s="186" t="n"/>
      <c r="AQ411" s="186" t="n"/>
      <c r="AR411" s="186" t="n"/>
      <c r="AS411" s="186" t="n"/>
      <c r="AT411" s="186" t="n"/>
      <c r="AU411" s="186" t="n"/>
      <c r="AV411" s="186" t="n"/>
      <c r="AW411" s="186" t="n"/>
      <c r="AX411" s="186" t="n"/>
      <c r="AY411" s="186" t="n"/>
      <c r="AZ411" s="186" t="n"/>
      <c r="BA411" s="186" t="n"/>
      <c r="BB411" s="186" t="n"/>
      <c r="BC411" s="186" t="n"/>
      <c r="BD411" s="190" t="n"/>
      <c r="BE411" s="186" t="n"/>
      <c r="BF411" s="186" t="n"/>
      <c r="BG411" s="186" t="n"/>
      <c r="BH411" s="186" t="n"/>
      <c r="BI411" s="186" t="n"/>
      <c r="BJ411" s="187" t="n"/>
      <c r="BK411" s="192" t="n"/>
      <c r="BL411" s="192" t="n"/>
      <c r="BM411" s="192" t="n"/>
      <c r="BN411" s="192" t="n"/>
    </row>
    <row r="412">
      <c r="A412" s="289">
        <f> 'Jobs-Ops'!A412</f>
        <v/>
      </c>
      <c r="B412" s="290">
        <f>'Jobs-Ops'!B412</f>
        <v/>
      </c>
      <c r="C412" s="290">
        <f>'Jobs-Ops'!C412</f>
        <v/>
      </c>
      <c r="D412" s="179" t="n"/>
      <c r="E412" s="181">
        <f>'Jobs-Ops'!I412</f>
        <v/>
      </c>
      <c r="F412" s="205">
        <f>'Jobs-Ops'!U412</f>
        <v/>
      </c>
      <c r="G412" s="181">
        <f>'Jobs-GAAP'!J412</f>
        <v/>
      </c>
      <c r="H412" s="205">
        <f>'Jobs-GAAP'!V412</f>
        <v/>
      </c>
      <c r="I412" s="181">
        <f>E412-G412</f>
        <v/>
      </c>
      <c r="J412" s="9">
        <f>'Jobs-Ops'!P412</f>
        <v/>
      </c>
      <c r="K412" s="9">
        <f>'Jobs-GAAP'!Q412</f>
        <v/>
      </c>
      <c r="L412" s="9">
        <f>J412-K412</f>
        <v/>
      </c>
      <c r="M412" s="186" t="n"/>
      <c r="N412" s="9">
        <f>'Jobs-Ops'!Y412</f>
        <v/>
      </c>
      <c r="O412" s="9">
        <f>'Jobs-GAAP'!Y412</f>
        <v/>
      </c>
      <c r="P412" s="9">
        <f>N412-O412</f>
        <v/>
      </c>
      <c r="Q412" s="186" t="n"/>
      <c r="R412" s="11">
        <f>'Jobs-Ops'!AL412</f>
        <v/>
      </c>
      <c r="S412" s="11">
        <f>'Jobs-GAAP'!AH412</f>
        <v/>
      </c>
      <c r="T412" s="11">
        <f>IFERROR(R412-S412,0)</f>
        <v/>
      </c>
      <c r="U412" s="8">
        <f>'Jobs-Ops'!AM412</f>
        <v/>
      </c>
      <c r="V412" s="8">
        <f>'Jobs-GAAP'!AI412</f>
        <v/>
      </c>
      <c r="W412" s="8">
        <f>IFERROR(U412-V412,0)</f>
        <v/>
      </c>
      <c r="X412" s="9">
        <f>'Jobs-Ops'!AN412</f>
        <v/>
      </c>
      <c r="Y412" s="9">
        <f>'Jobs-GAAP'!AJ412</f>
        <v/>
      </c>
      <c r="Z412" s="9">
        <f>IFERROR(X412-Y412,0)</f>
        <v/>
      </c>
      <c r="AA412" s="153">
        <f>'Jobs-Ops'!AO412</f>
        <v/>
      </c>
      <c r="AB412" s="187" t="n"/>
      <c r="AC412" s="186" t="n"/>
      <c r="AD412" s="186" t="n"/>
      <c r="AE412" s="188" t="n"/>
      <c r="AF412" s="187" t="n"/>
      <c r="AG412" s="187" t="n"/>
      <c r="AH412" s="186" t="n"/>
      <c r="AI412" s="186" t="n"/>
      <c r="AJ412" s="186" t="n"/>
      <c r="AK412" s="186" t="n"/>
      <c r="AL412" s="186" t="n"/>
      <c r="AM412" s="186" t="n"/>
      <c r="AN412" s="186" t="n"/>
      <c r="AO412" s="186" t="n"/>
      <c r="AP412" s="186" t="n"/>
      <c r="AQ412" s="186" t="n"/>
      <c r="AR412" s="186" t="n"/>
      <c r="AS412" s="186" t="n"/>
      <c r="AT412" s="186" t="n"/>
      <c r="AU412" s="186" t="n"/>
      <c r="AV412" s="186" t="n"/>
      <c r="AW412" s="186" t="n"/>
      <c r="AX412" s="186" t="n"/>
      <c r="AY412" s="186" t="n"/>
      <c r="AZ412" s="186" t="n"/>
      <c r="BA412" s="186" t="n"/>
      <c r="BB412" s="186" t="n"/>
      <c r="BC412" s="186" t="n"/>
      <c r="BD412" s="190" t="n"/>
      <c r="BE412" s="186" t="n"/>
      <c r="BF412" s="186" t="n"/>
      <c r="BG412" s="186" t="n"/>
      <c r="BH412" s="186" t="n"/>
      <c r="BI412" s="186" t="n"/>
      <c r="BJ412" s="187" t="n"/>
      <c r="BK412" s="192" t="n"/>
      <c r="BL412" s="192" t="n"/>
      <c r="BM412" s="192" t="n"/>
      <c r="BN412" s="192" t="n"/>
    </row>
    <row r="413">
      <c r="A413" s="289">
        <f> 'Jobs-Ops'!A413</f>
        <v/>
      </c>
      <c r="B413" s="290">
        <f>'Jobs-Ops'!B413</f>
        <v/>
      </c>
      <c r="C413" s="290">
        <f>'Jobs-Ops'!C413</f>
        <v/>
      </c>
      <c r="D413" s="179" t="n"/>
      <c r="E413" s="181">
        <f>'Jobs-Ops'!I413</f>
        <v/>
      </c>
      <c r="F413" s="205">
        <f>'Jobs-Ops'!U413</f>
        <v/>
      </c>
      <c r="G413" s="181">
        <f>'Jobs-GAAP'!J413</f>
        <v/>
      </c>
      <c r="H413" s="205">
        <f>'Jobs-GAAP'!V413</f>
        <v/>
      </c>
      <c r="I413" s="181">
        <f>E413-G413</f>
        <v/>
      </c>
      <c r="J413" s="9">
        <f>'Jobs-Ops'!P413</f>
        <v/>
      </c>
      <c r="K413" s="9">
        <f>'Jobs-GAAP'!Q413</f>
        <v/>
      </c>
      <c r="L413" s="9">
        <f>J413-K413</f>
        <v/>
      </c>
      <c r="M413" s="186" t="n"/>
      <c r="N413" s="9">
        <f>'Jobs-Ops'!Y413</f>
        <v/>
      </c>
      <c r="O413" s="9">
        <f>'Jobs-GAAP'!Y413</f>
        <v/>
      </c>
      <c r="P413" s="9">
        <f>N413-O413</f>
        <v/>
      </c>
      <c r="Q413" s="186" t="n"/>
      <c r="R413" s="11">
        <f>'Jobs-Ops'!AL413</f>
        <v/>
      </c>
      <c r="S413" s="11">
        <f>'Jobs-GAAP'!AH413</f>
        <v/>
      </c>
      <c r="T413" s="11">
        <f>IFERROR(R413-S413,0)</f>
        <v/>
      </c>
      <c r="U413" s="8">
        <f>'Jobs-Ops'!AM413</f>
        <v/>
      </c>
      <c r="V413" s="8">
        <f>'Jobs-GAAP'!AI413</f>
        <v/>
      </c>
      <c r="W413" s="8">
        <f>IFERROR(U413-V413,0)</f>
        <v/>
      </c>
      <c r="X413" s="9">
        <f>'Jobs-Ops'!AN413</f>
        <v/>
      </c>
      <c r="Y413" s="9">
        <f>'Jobs-GAAP'!AJ413</f>
        <v/>
      </c>
      <c r="Z413" s="9">
        <f>IFERROR(X413-Y413,0)</f>
        <v/>
      </c>
      <c r="AA413" s="153">
        <f>'Jobs-Ops'!AO413</f>
        <v/>
      </c>
      <c r="AB413" s="187" t="n"/>
      <c r="AC413" s="186" t="n"/>
      <c r="AD413" s="186" t="n"/>
      <c r="AE413" s="188" t="n"/>
      <c r="AF413" s="187" t="n"/>
      <c r="AG413" s="187" t="n"/>
      <c r="AH413" s="186" t="n"/>
      <c r="AI413" s="186" t="n"/>
      <c r="AJ413" s="186" t="n"/>
      <c r="AK413" s="186" t="n"/>
      <c r="AL413" s="186" t="n"/>
      <c r="AM413" s="186" t="n"/>
      <c r="AN413" s="186" t="n"/>
      <c r="AO413" s="186" t="n"/>
      <c r="AP413" s="186" t="n"/>
      <c r="AQ413" s="186" t="n"/>
      <c r="AR413" s="186" t="n"/>
      <c r="AS413" s="186" t="n"/>
      <c r="AT413" s="186" t="n"/>
      <c r="AU413" s="186" t="n"/>
      <c r="AV413" s="186" t="n"/>
      <c r="AW413" s="186" t="n"/>
      <c r="AX413" s="186" t="n"/>
      <c r="AY413" s="186" t="n"/>
      <c r="AZ413" s="186" t="n"/>
      <c r="BA413" s="186" t="n"/>
      <c r="BB413" s="186" t="n"/>
      <c r="BC413" s="186" t="n"/>
      <c r="BD413" s="190" t="n"/>
      <c r="BE413" s="186" t="n"/>
      <c r="BF413" s="186" t="n"/>
      <c r="BG413" s="186" t="n"/>
      <c r="BH413" s="186" t="n"/>
      <c r="BI413" s="186" t="n"/>
      <c r="BJ413" s="187" t="n"/>
      <c r="BK413" s="192" t="n"/>
      <c r="BL413" s="192" t="n"/>
      <c r="BM413" s="192" t="n"/>
      <c r="BN413" s="192" t="n"/>
    </row>
    <row r="414">
      <c r="A414" s="289">
        <f> 'Jobs-Ops'!A414</f>
        <v/>
      </c>
      <c r="B414" s="290">
        <f>'Jobs-Ops'!B414</f>
        <v/>
      </c>
      <c r="C414" s="290">
        <f>'Jobs-Ops'!C414</f>
        <v/>
      </c>
      <c r="D414" s="179" t="n"/>
      <c r="E414" s="181">
        <f>'Jobs-Ops'!I414</f>
        <v/>
      </c>
      <c r="F414" s="205">
        <f>'Jobs-Ops'!U414</f>
        <v/>
      </c>
      <c r="G414" s="181">
        <f>'Jobs-GAAP'!J414</f>
        <v/>
      </c>
      <c r="H414" s="205">
        <f>'Jobs-GAAP'!V414</f>
        <v/>
      </c>
      <c r="I414" s="181">
        <f>E414-G414</f>
        <v/>
      </c>
      <c r="J414" s="9">
        <f>'Jobs-Ops'!P414</f>
        <v/>
      </c>
      <c r="K414" s="9">
        <f>'Jobs-GAAP'!Q414</f>
        <v/>
      </c>
      <c r="L414" s="9">
        <f>J414-K414</f>
        <v/>
      </c>
      <c r="M414" s="186" t="n"/>
      <c r="N414" s="9">
        <f>'Jobs-Ops'!Y414</f>
        <v/>
      </c>
      <c r="O414" s="9">
        <f>'Jobs-GAAP'!Y414</f>
        <v/>
      </c>
      <c r="P414" s="9">
        <f>N414-O414</f>
        <v/>
      </c>
      <c r="Q414" s="186" t="n"/>
      <c r="R414" s="11">
        <f>'Jobs-Ops'!AL414</f>
        <v/>
      </c>
      <c r="S414" s="11">
        <f>'Jobs-GAAP'!AH414</f>
        <v/>
      </c>
      <c r="T414" s="11">
        <f>IFERROR(R414-S414,0)</f>
        <v/>
      </c>
      <c r="U414" s="8">
        <f>'Jobs-Ops'!AM414</f>
        <v/>
      </c>
      <c r="V414" s="8">
        <f>'Jobs-GAAP'!AI414</f>
        <v/>
      </c>
      <c r="W414" s="8">
        <f>IFERROR(U414-V414,0)</f>
        <v/>
      </c>
      <c r="X414" s="9">
        <f>'Jobs-Ops'!AN414</f>
        <v/>
      </c>
      <c r="Y414" s="9">
        <f>'Jobs-GAAP'!AJ414</f>
        <v/>
      </c>
      <c r="Z414" s="9">
        <f>IFERROR(X414-Y414,0)</f>
        <v/>
      </c>
      <c r="AA414" s="153">
        <f>'Jobs-Ops'!AO414</f>
        <v/>
      </c>
      <c r="AB414" s="187" t="n"/>
      <c r="AC414" s="186" t="n"/>
      <c r="AD414" s="186" t="n"/>
      <c r="AE414" s="188" t="n"/>
      <c r="AF414" s="187" t="n"/>
      <c r="AG414" s="187" t="n"/>
      <c r="AH414" s="186" t="n"/>
      <c r="AI414" s="186" t="n"/>
      <c r="AJ414" s="186" t="n"/>
      <c r="AK414" s="186" t="n"/>
      <c r="AL414" s="186" t="n"/>
      <c r="AM414" s="186" t="n"/>
      <c r="AN414" s="186" t="n"/>
      <c r="AO414" s="186" t="n"/>
      <c r="AP414" s="186" t="n"/>
      <c r="AQ414" s="186" t="n"/>
      <c r="AR414" s="186" t="n"/>
      <c r="AS414" s="186" t="n"/>
      <c r="AT414" s="186" t="n"/>
      <c r="AU414" s="186" t="n"/>
      <c r="AV414" s="186" t="n"/>
      <c r="AW414" s="186" t="n"/>
      <c r="AX414" s="186" t="n"/>
      <c r="AY414" s="186" t="n"/>
      <c r="AZ414" s="186" t="n"/>
      <c r="BA414" s="186" t="n"/>
      <c r="BB414" s="186" t="n"/>
      <c r="BC414" s="186" t="n"/>
      <c r="BD414" s="190" t="n"/>
      <c r="BE414" s="186" t="n"/>
      <c r="BF414" s="186" t="n"/>
      <c r="BG414" s="186" t="n"/>
      <c r="BH414" s="186" t="n"/>
      <c r="BI414" s="186" t="n"/>
      <c r="BJ414" s="187" t="n"/>
      <c r="BK414" s="192" t="n"/>
      <c r="BL414" s="192" t="n"/>
      <c r="BM414" s="192" t="n"/>
      <c r="BN414" s="192" t="n"/>
    </row>
    <row r="415">
      <c r="A415" s="289">
        <f> 'Jobs-Ops'!A415</f>
        <v/>
      </c>
      <c r="B415" s="290">
        <f>'Jobs-Ops'!B415</f>
        <v/>
      </c>
      <c r="C415" s="290">
        <f>'Jobs-Ops'!C415</f>
        <v/>
      </c>
      <c r="D415" s="179" t="n"/>
      <c r="E415" s="181">
        <f>'Jobs-Ops'!I415</f>
        <v/>
      </c>
      <c r="F415" s="205">
        <f>'Jobs-Ops'!U415</f>
        <v/>
      </c>
      <c r="G415" s="181">
        <f>'Jobs-GAAP'!J415</f>
        <v/>
      </c>
      <c r="H415" s="205">
        <f>'Jobs-GAAP'!V415</f>
        <v/>
      </c>
      <c r="I415" s="181">
        <f>E415-G415</f>
        <v/>
      </c>
      <c r="J415" s="9">
        <f>'Jobs-Ops'!P415</f>
        <v/>
      </c>
      <c r="K415" s="9">
        <f>'Jobs-GAAP'!Q415</f>
        <v/>
      </c>
      <c r="L415" s="9">
        <f>J415-K415</f>
        <v/>
      </c>
      <c r="M415" s="186" t="n"/>
      <c r="N415" s="9">
        <f>'Jobs-Ops'!Y415</f>
        <v/>
      </c>
      <c r="O415" s="9">
        <f>'Jobs-GAAP'!Y415</f>
        <v/>
      </c>
      <c r="P415" s="9">
        <f>N415-O415</f>
        <v/>
      </c>
      <c r="Q415" s="186" t="n"/>
      <c r="R415" s="11">
        <f>'Jobs-Ops'!AL415</f>
        <v/>
      </c>
      <c r="S415" s="11">
        <f>'Jobs-GAAP'!AH415</f>
        <v/>
      </c>
      <c r="T415" s="11">
        <f>IFERROR(R415-S415,0)</f>
        <v/>
      </c>
      <c r="U415" s="8">
        <f>'Jobs-Ops'!AM415</f>
        <v/>
      </c>
      <c r="V415" s="8">
        <f>'Jobs-GAAP'!AI415</f>
        <v/>
      </c>
      <c r="W415" s="8">
        <f>IFERROR(U415-V415,0)</f>
        <v/>
      </c>
      <c r="X415" s="9">
        <f>'Jobs-Ops'!AN415</f>
        <v/>
      </c>
      <c r="Y415" s="9">
        <f>'Jobs-GAAP'!AJ415</f>
        <v/>
      </c>
      <c r="Z415" s="9">
        <f>IFERROR(X415-Y415,0)</f>
        <v/>
      </c>
      <c r="AA415" s="153">
        <f>'Jobs-Ops'!AO415</f>
        <v/>
      </c>
      <c r="AB415" s="187" t="n"/>
      <c r="AC415" s="186" t="n"/>
      <c r="AD415" s="186" t="n"/>
      <c r="AE415" s="188" t="n"/>
      <c r="AF415" s="187" t="n"/>
      <c r="AG415" s="187" t="n"/>
      <c r="AH415" s="186" t="n"/>
      <c r="AI415" s="186" t="n"/>
      <c r="AJ415" s="186" t="n"/>
      <c r="AK415" s="186" t="n"/>
      <c r="AL415" s="186" t="n"/>
      <c r="AM415" s="186" t="n"/>
      <c r="AN415" s="186" t="n"/>
      <c r="AO415" s="186" t="n"/>
      <c r="AP415" s="186" t="n"/>
      <c r="AQ415" s="186" t="n"/>
      <c r="AR415" s="186" t="n"/>
      <c r="AS415" s="186" t="n"/>
      <c r="AT415" s="186" t="n"/>
      <c r="AU415" s="186" t="n"/>
      <c r="AV415" s="186" t="n"/>
      <c r="AW415" s="186" t="n"/>
      <c r="AX415" s="186" t="n"/>
      <c r="AY415" s="186" t="n"/>
      <c r="AZ415" s="186" t="n"/>
      <c r="BA415" s="186" t="n"/>
      <c r="BB415" s="186" t="n"/>
      <c r="BC415" s="186" t="n"/>
      <c r="BD415" s="190" t="n"/>
      <c r="BE415" s="186" t="n"/>
      <c r="BF415" s="186" t="n"/>
      <c r="BG415" s="186" t="n"/>
      <c r="BH415" s="186" t="n"/>
      <c r="BI415" s="186" t="n"/>
      <c r="BJ415" s="187" t="n"/>
      <c r="BK415" s="192" t="n"/>
      <c r="BL415" s="192" t="n"/>
      <c r="BM415" s="192" t="n"/>
      <c r="BN415" s="192" t="n"/>
    </row>
    <row r="416">
      <c r="A416" s="289">
        <f> 'Jobs-Ops'!A416</f>
        <v/>
      </c>
      <c r="B416" s="290">
        <f>'Jobs-Ops'!B416</f>
        <v/>
      </c>
      <c r="C416" s="290">
        <f>'Jobs-Ops'!C416</f>
        <v/>
      </c>
      <c r="D416" s="179" t="n"/>
      <c r="E416" s="181">
        <f>'Jobs-Ops'!I416</f>
        <v/>
      </c>
      <c r="F416" s="205">
        <f>'Jobs-Ops'!U416</f>
        <v/>
      </c>
      <c r="G416" s="181">
        <f>'Jobs-GAAP'!J416</f>
        <v/>
      </c>
      <c r="H416" s="205">
        <f>'Jobs-GAAP'!V416</f>
        <v/>
      </c>
      <c r="I416" s="181">
        <f>E416-G416</f>
        <v/>
      </c>
      <c r="J416" s="9">
        <f>'Jobs-Ops'!P416</f>
        <v/>
      </c>
      <c r="K416" s="9">
        <f>'Jobs-GAAP'!Q416</f>
        <v/>
      </c>
      <c r="L416" s="9">
        <f>J416-K416</f>
        <v/>
      </c>
      <c r="M416" s="186" t="n"/>
      <c r="N416" s="9">
        <f>'Jobs-Ops'!Y416</f>
        <v/>
      </c>
      <c r="O416" s="9">
        <f>'Jobs-GAAP'!Y416</f>
        <v/>
      </c>
      <c r="P416" s="9">
        <f>N416-O416</f>
        <v/>
      </c>
      <c r="Q416" s="186" t="n"/>
      <c r="R416" s="11">
        <f>'Jobs-Ops'!AL416</f>
        <v/>
      </c>
      <c r="S416" s="11">
        <f>'Jobs-GAAP'!AH416</f>
        <v/>
      </c>
      <c r="T416" s="11">
        <f>IFERROR(R416-S416,0)</f>
        <v/>
      </c>
      <c r="U416" s="8">
        <f>'Jobs-Ops'!AM416</f>
        <v/>
      </c>
      <c r="V416" s="8">
        <f>'Jobs-GAAP'!AI416</f>
        <v/>
      </c>
      <c r="W416" s="8">
        <f>IFERROR(U416-V416,0)</f>
        <v/>
      </c>
      <c r="X416" s="9">
        <f>'Jobs-Ops'!AN416</f>
        <v/>
      </c>
      <c r="Y416" s="9">
        <f>'Jobs-GAAP'!AJ416</f>
        <v/>
      </c>
      <c r="Z416" s="9">
        <f>IFERROR(X416-Y416,0)</f>
        <v/>
      </c>
      <c r="AA416" s="153">
        <f>'Jobs-Ops'!AO416</f>
        <v/>
      </c>
      <c r="AB416" s="187" t="n"/>
      <c r="AC416" s="186" t="n"/>
      <c r="AD416" s="186" t="n"/>
      <c r="AE416" s="188" t="n"/>
      <c r="AF416" s="187" t="n"/>
      <c r="AG416" s="187" t="n"/>
      <c r="AH416" s="186" t="n"/>
      <c r="AI416" s="186" t="n"/>
      <c r="AJ416" s="186" t="n"/>
      <c r="AK416" s="186" t="n"/>
      <c r="AL416" s="186" t="n"/>
      <c r="AM416" s="186" t="n"/>
      <c r="AN416" s="186" t="n"/>
      <c r="AO416" s="186" t="n"/>
      <c r="AP416" s="186" t="n"/>
      <c r="AQ416" s="186" t="n"/>
      <c r="AR416" s="186" t="n"/>
      <c r="AS416" s="186" t="n"/>
      <c r="AT416" s="186" t="n"/>
      <c r="AU416" s="186" t="n"/>
      <c r="AV416" s="186" t="n"/>
      <c r="AW416" s="186" t="n"/>
      <c r="AX416" s="186" t="n"/>
      <c r="AY416" s="186" t="n"/>
      <c r="AZ416" s="186" t="n"/>
      <c r="BA416" s="186" t="n"/>
      <c r="BB416" s="186" t="n"/>
      <c r="BC416" s="186" t="n"/>
      <c r="BD416" s="190" t="n"/>
      <c r="BE416" s="186" t="n"/>
      <c r="BF416" s="186" t="n"/>
      <c r="BG416" s="186" t="n"/>
      <c r="BH416" s="186" t="n"/>
      <c r="BI416" s="186" t="n"/>
      <c r="BJ416" s="187" t="n"/>
      <c r="BK416" s="192" t="n"/>
      <c r="BL416" s="192" t="n"/>
      <c r="BM416" s="192" t="n"/>
      <c r="BN416" s="192" t="n"/>
    </row>
    <row r="417">
      <c r="A417" s="289">
        <f> 'Jobs-Ops'!A417</f>
        <v/>
      </c>
      <c r="B417" s="290">
        <f>'Jobs-Ops'!B417</f>
        <v/>
      </c>
      <c r="C417" s="290">
        <f>'Jobs-Ops'!C417</f>
        <v/>
      </c>
      <c r="D417" s="179" t="n"/>
      <c r="E417" s="181">
        <f>'Jobs-Ops'!I417</f>
        <v/>
      </c>
      <c r="F417" s="205">
        <f>'Jobs-Ops'!U417</f>
        <v/>
      </c>
      <c r="G417" s="181">
        <f>'Jobs-GAAP'!J417</f>
        <v/>
      </c>
      <c r="H417" s="205">
        <f>'Jobs-GAAP'!V417</f>
        <v/>
      </c>
      <c r="I417" s="181">
        <f>E417-G417</f>
        <v/>
      </c>
      <c r="J417" s="9">
        <f>'Jobs-Ops'!P417</f>
        <v/>
      </c>
      <c r="K417" s="9">
        <f>'Jobs-GAAP'!Q417</f>
        <v/>
      </c>
      <c r="L417" s="9">
        <f>J417-K417</f>
        <v/>
      </c>
      <c r="M417" s="186" t="n"/>
      <c r="N417" s="9">
        <f>'Jobs-Ops'!Y417</f>
        <v/>
      </c>
      <c r="O417" s="9">
        <f>'Jobs-GAAP'!Y417</f>
        <v/>
      </c>
      <c r="P417" s="9">
        <f>N417-O417</f>
        <v/>
      </c>
      <c r="Q417" s="186" t="n"/>
      <c r="R417" s="11">
        <f>'Jobs-Ops'!AL417</f>
        <v/>
      </c>
      <c r="S417" s="11">
        <f>'Jobs-GAAP'!AH417</f>
        <v/>
      </c>
      <c r="T417" s="11">
        <f>IFERROR(R417-S417,0)</f>
        <v/>
      </c>
      <c r="U417" s="8">
        <f>'Jobs-Ops'!AM417</f>
        <v/>
      </c>
      <c r="V417" s="8">
        <f>'Jobs-GAAP'!AI417</f>
        <v/>
      </c>
      <c r="W417" s="8">
        <f>IFERROR(U417-V417,0)</f>
        <v/>
      </c>
      <c r="X417" s="9">
        <f>'Jobs-Ops'!AN417</f>
        <v/>
      </c>
      <c r="Y417" s="9">
        <f>'Jobs-GAAP'!AJ417</f>
        <v/>
      </c>
      <c r="Z417" s="9">
        <f>IFERROR(X417-Y417,0)</f>
        <v/>
      </c>
      <c r="AA417" s="153">
        <f>'Jobs-Ops'!AO417</f>
        <v/>
      </c>
      <c r="AB417" s="187" t="n"/>
      <c r="AC417" s="186" t="n"/>
      <c r="AD417" s="186" t="n"/>
      <c r="AE417" s="188" t="n"/>
      <c r="AF417" s="187" t="n"/>
      <c r="AG417" s="187" t="n"/>
      <c r="AH417" s="186" t="n"/>
      <c r="AI417" s="186" t="n"/>
      <c r="AJ417" s="186" t="n"/>
      <c r="AK417" s="186" t="n"/>
      <c r="AL417" s="186" t="n"/>
      <c r="AM417" s="186" t="n"/>
      <c r="AN417" s="186" t="n"/>
      <c r="AO417" s="186" t="n"/>
      <c r="AP417" s="186" t="n"/>
      <c r="AQ417" s="186" t="n"/>
      <c r="AR417" s="186" t="n"/>
      <c r="AS417" s="186" t="n"/>
      <c r="AT417" s="186" t="n"/>
      <c r="AU417" s="186" t="n"/>
      <c r="AV417" s="186" t="n"/>
      <c r="AW417" s="186" t="n"/>
      <c r="AX417" s="186" t="n"/>
      <c r="AY417" s="186" t="n"/>
      <c r="AZ417" s="186" t="n"/>
      <c r="BA417" s="186" t="n"/>
      <c r="BB417" s="186" t="n"/>
      <c r="BC417" s="186" t="n"/>
      <c r="BD417" s="190" t="n"/>
      <c r="BE417" s="186" t="n"/>
      <c r="BF417" s="186" t="n"/>
      <c r="BG417" s="186" t="n"/>
      <c r="BH417" s="186" t="n"/>
      <c r="BI417" s="186" t="n"/>
      <c r="BJ417" s="187" t="n"/>
      <c r="BK417" s="192" t="n"/>
      <c r="BL417" s="192" t="n"/>
      <c r="BM417" s="192" t="n"/>
      <c r="BN417" s="192" t="n"/>
    </row>
    <row r="418">
      <c r="A418" s="289">
        <f> 'Jobs-Ops'!A418</f>
        <v/>
      </c>
      <c r="B418" s="290">
        <f>'Jobs-Ops'!B418</f>
        <v/>
      </c>
      <c r="C418" s="290">
        <f>'Jobs-Ops'!C418</f>
        <v/>
      </c>
      <c r="D418" s="179" t="n"/>
      <c r="E418" s="181">
        <f>'Jobs-Ops'!I418</f>
        <v/>
      </c>
      <c r="F418" s="205">
        <f>'Jobs-Ops'!U418</f>
        <v/>
      </c>
      <c r="G418" s="181">
        <f>'Jobs-GAAP'!J418</f>
        <v/>
      </c>
      <c r="H418" s="205">
        <f>'Jobs-GAAP'!V418</f>
        <v/>
      </c>
      <c r="I418" s="181">
        <f>E418-G418</f>
        <v/>
      </c>
      <c r="J418" s="9">
        <f>'Jobs-Ops'!P418</f>
        <v/>
      </c>
      <c r="K418" s="9">
        <f>'Jobs-GAAP'!Q418</f>
        <v/>
      </c>
      <c r="L418" s="9">
        <f>J418-K418</f>
        <v/>
      </c>
      <c r="M418" s="186" t="n"/>
      <c r="N418" s="9">
        <f>'Jobs-Ops'!Y418</f>
        <v/>
      </c>
      <c r="O418" s="9">
        <f>'Jobs-GAAP'!Y418</f>
        <v/>
      </c>
      <c r="P418" s="9">
        <f>N418-O418</f>
        <v/>
      </c>
      <c r="Q418" s="186" t="n"/>
      <c r="R418" s="11">
        <f>'Jobs-Ops'!AL418</f>
        <v/>
      </c>
      <c r="S418" s="11">
        <f>'Jobs-GAAP'!AH418</f>
        <v/>
      </c>
      <c r="T418" s="11">
        <f>IFERROR(R418-S418,0)</f>
        <v/>
      </c>
      <c r="U418" s="8">
        <f>'Jobs-Ops'!AM418</f>
        <v/>
      </c>
      <c r="V418" s="8">
        <f>'Jobs-GAAP'!AI418</f>
        <v/>
      </c>
      <c r="W418" s="8">
        <f>IFERROR(U418-V418,0)</f>
        <v/>
      </c>
      <c r="X418" s="9">
        <f>'Jobs-Ops'!AN418</f>
        <v/>
      </c>
      <c r="Y418" s="9">
        <f>'Jobs-GAAP'!AJ418</f>
        <v/>
      </c>
      <c r="Z418" s="9">
        <f>IFERROR(X418-Y418,0)</f>
        <v/>
      </c>
      <c r="AA418" s="153">
        <f>'Jobs-Ops'!AO418</f>
        <v/>
      </c>
      <c r="AB418" s="187" t="n"/>
      <c r="AC418" s="186" t="n"/>
      <c r="AD418" s="186" t="n"/>
      <c r="AE418" s="188" t="n"/>
      <c r="AF418" s="187" t="n"/>
      <c r="AG418" s="187" t="n"/>
      <c r="AH418" s="186" t="n"/>
      <c r="AI418" s="186" t="n"/>
      <c r="AJ418" s="186" t="n"/>
      <c r="AK418" s="186" t="n"/>
      <c r="AL418" s="186" t="n"/>
      <c r="AM418" s="186" t="n"/>
      <c r="AN418" s="186" t="n"/>
      <c r="AO418" s="186" t="n"/>
      <c r="AP418" s="186" t="n"/>
      <c r="AQ418" s="186" t="n"/>
      <c r="AR418" s="186" t="n"/>
      <c r="AS418" s="186" t="n"/>
      <c r="AT418" s="186" t="n"/>
      <c r="AU418" s="186" t="n"/>
      <c r="AV418" s="186" t="n"/>
      <c r="AW418" s="186" t="n"/>
      <c r="AX418" s="186" t="n"/>
      <c r="AY418" s="186" t="n"/>
      <c r="AZ418" s="186" t="n"/>
      <c r="BA418" s="186" t="n"/>
      <c r="BB418" s="186" t="n"/>
      <c r="BC418" s="186" t="n"/>
      <c r="BD418" s="190" t="n"/>
      <c r="BE418" s="186" t="n"/>
      <c r="BF418" s="186" t="n"/>
      <c r="BG418" s="186" t="n"/>
      <c r="BH418" s="186" t="n"/>
      <c r="BI418" s="186" t="n"/>
      <c r="BJ418" s="187" t="n"/>
      <c r="BK418" s="192" t="n"/>
      <c r="BL418" s="192" t="n"/>
      <c r="BM418" s="192" t="n"/>
      <c r="BN418" s="192" t="n"/>
    </row>
    <row r="419">
      <c r="A419" s="289">
        <f> 'Jobs-Ops'!A419</f>
        <v/>
      </c>
      <c r="B419" s="290">
        <f>'Jobs-Ops'!B419</f>
        <v/>
      </c>
      <c r="C419" s="290">
        <f>'Jobs-Ops'!C419</f>
        <v/>
      </c>
      <c r="D419" s="179" t="n"/>
      <c r="E419" s="181">
        <f>'Jobs-Ops'!I419</f>
        <v/>
      </c>
      <c r="F419" s="205">
        <f>'Jobs-Ops'!U419</f>
        <v/>
      </c>
      <c r="G419" s="181">
        <f>'Jobs-GAAP'!J419</f>
        <v/>
      </c>
      <c r="H419" s="205">
        <f>'Jobs-GAAP'!V419</f>
        <v/>
      </c>
      <c r="I419" s="181">
        <f>E419-G419</f>
        <v/>
      </c>
      <c r="J419" s="9">
        <f>'Jobs-Ops'!P419</f>
        <v/>
      </c>
      <c r="K419" s="9">
        <f>'Jobs-GAAP'!Q419</f>
        <v/>
      </c>
      <c r="L419" s="9">
        <f>J419-K419</f>
        <v/>
      </c>
      <c r="M419" s="186" t="n"/>
      <c r="N419" s="9">
        <f>'Jobs-Ops'!Y419</f>
        <v/>
      </c>
      <c r="O419" s="9">
        <f>'Jobs-GAAP'!Y419</f>
        <v/>
      </c>
      <c r="P419" s="9">
        <f>N419-O419</f>
        <v/>
      </c>
      <c r="Q419" s="186" t="n"/>
      <c r="R419" s="11">
        <f>'Jobs-Ops'!AL419</f>
        <v/>
      </c>
      <c r="S419" s="11">
        <f>'Jobs-GAAP'!AH419</f>
        <v/>
      </c>
      <c r="T419" s="11">
        <f>IFERROR(R419-S419,0)</f>
        <v/>
      </c>
      <c r="U419" s="8">
        <f>'Jobs-Ops'!AM419</f>
        <v/>
      </c>
      <c r="V419" s="8">
        <f>'Jobs-GAAP'!AI419</f>
        <v/>
      </c>
      <c r="W419" s="8">
        <f>IFERROR(U419-V419,0)</f>
        <v/>
      </c>
      <c r="X419" s="9">
        <f>'Jobs-Ops'!AN419</f>
        <v/>
      </c>
      <c r="Y419" s="9">
        <f>'Jobs-GAAP'!AJ419</f>
        <v/>
      </c>
      <c r="Z419" s="9">
        <f>IFERROR(X419-Y419,0)</f>
        <v/>
      </c>
      <c r="AA419" s="153">
        <f>'Jobs-Ops'!AO419</f>
        <v/>
      </c>
      <c r="AB419" s="187" t="n"/>
      <c r="AC419" s="186" t="n"/>
      <c r="AD419" s="186" t="n"/>
      <c r="AE419" s="188" t="n"/>
      <c r="AF419" s="187" t="n"/>
      <c r="AG419" s="187" t="n"/>
      <c r="AH419" s="186" t="n"/>
      <c r="AI419" s="186" t="n"/>
      <c r="AJ419" s="186" t="n"/>
      <c r="AK419" s="186" t="n"/>
      <c r="AL419" s="186" t="n"/>
      <c r="AM419" s="186" t="n"/>
      <c r="AN419" s="186" t="n"/>
      <c r="AO419" s="186" t="n"/>
      <c r="AP419" s="186" t="n"/>
      <c r="AQ419" s="186" t="n"/>
      <c r="AR419" s="186" t="n"/>
      <c r="AS419" s="186" t="n"/>
      <c r="AT419" s="186" t="n"/>
      <c r="AU419" s="186" t="n"/>
      <c r="AV419" s="186" t="n"/>
      <c r="AW419" s="186" t="n"/>
      <c r="AX419" s="186" t="n"/>
      <c r="AY419" s="186" t="n"/>
      <c r="AZ419" s="186" t="n"/>
      <c r="BA419" s="186" t="n"/>
      <c r="BB419" s="186" t="n"/>
      <c r="BC419" s="186" t="n"/>
      <c r="BD419" s="190" t="n"/>
      <c r="BE419" s="186" t="n"/>
      <c r="BF419" s="186" t="n"/>
      <c r="BG419" s="186" t="n"/>
      <c r="BH419" s="186" t="n"/>
      <c r="BI419" s="186" t="n"/>
      <c r="BJ419" s="187" t="n"/>
      <c r="BK419" s="192" t="n"/>
      <c r="BL419" s="192" t="n"/>
      <c r="BM419" s="192" t="n"/>
      <c r="BN419" s="192" t="n"/>
    </row>
    <row r="420">
      <c r="A420" s="289">
        <f> 'Jobs-Ops'!A420</f>
        <v/>
      </c>
      <c r="B420" s="290">
        <f>'Jobs-Ops'!B420</f>
        <v/>
      </c>
      <c r="C420" s="290">
        <f>'Jobs-Ops'!C420</f>
        <v/>
      </c>
      <c r="D420" s="179" t="n"/>
      <c r="E420" s="181">
        <f>'Jobs-Ops'!I420</f>
        <v/>
      </c>
      <c r="F420" s="205">
        <f>'Jobs-Ops'!U420</f>
        <v/>
      </c>
      <c r="G420" s="181">
        <f>'Jobs-GAAP'!J420</f>
        <v/>
      </c>
      <c r="H420" s="205">
        <f>'Jobs-GAAP'!V420</f>
        <v/>
      </c>
      <c r="I420" s="181">
        <f>E420-G420</f>
        <v/>
      </c>
      <c r="J420" s="9">
        <f>'Jobs-Ops'!P420</f>
        <v/>
      </c>
      <c r="K420" s="9">
        <f>'Jobs-GAAP'!Q420</f>
        <v/>
      </c>
      <c r="L420" s="9">
        <f>J420-K420</f>
        <v/>
      </c>
      <c r="M420" s="186" t="n"/>
      <c r="N420" s="9">
        <f>'Jobs-Ops'!Y420</f>
        <v/>
      </c>
      <c r="O420" s="9">
        <f>'Jobs-GAAP'!Y420</f>
        <v/>
      </c>
      <c r="P420" s="9">
        <f>N420-O420</f>
        <v/>
      </c>
      <c r="Q420" s="186" t="n"/>
      <c r="R420" s="11">
        <f>'Jobs-Ops'!AL420</f>
        <v/>
      </c>
      <c r="S420" s="11">
        <f>'Jobs-GAAP'!AH420</f>
        <v/>
      </c>
      <c r="T420" s="11">
        <f>IFERROR(R420-S420,0)</f>
        <v/>
      </c>
      <c r="U420" s="8">
        <f>'Jobs-Ops'!AM420</f>
        <v/>
      </c>
      <c r="V420" s="8">
        <f>'Jobs-GAAP'!AI420</f>
        <v/>
      </c>
      <c r="W420" s="8">
        <f>IFERROR(U420-V420,0)</f>
        <v/>
      </c>
      <c r="X420" s="9">
        <f>'Jobs-Ops'!AN420</f>
        <v/>
      </c>
      <c r="Y420" s="9">
        <f>'Jobs-GAAP'!AJ420</f>
        <v/>
      </c>
      <c r="Z420" s="9">
        <f>IFERROR(X420-Y420,0)</f>
        <v/>
      </c>
      <c r="AA420" s="153">
        <f>'Jobs-Ops'!AO420</f>
        <v/>
      </c>
      <c r="AB420" s="187" t="n"/>
      <c r="AC420" s="186" t="n"/>
      <c r="AD420" s="186" t="n"/>
      <c r="AE420" s="188" t="n"/>
      <c r="AF420" s="187" t="n"/>
      <c r="AG420" s="187" t="n"/>
      <c r="AH420" s="186" t="n"/>
      <c r="AI420" s="186" t="n"/>
      <c r="AJ420" s="186" t="n"/>
      <c r="AK420" s="186" t="n"/>
      <c r="AL420" s="186" t="n"/>
      <c r="AM420" s="186" t="n"/>
      <c r="AN420" s="186" t="n"/>
      <c r="AO420" s="186" t="n"/>
      <c r="AP420" s="186" t="n"/>
      <c r="AQ420" s="186" t="n"/>
      <c r="AR420" s="186" t="n"/>
      <c r="AS420" s="186" t="n"/>
      <c r="AT420" s="186" t="n"/>
      <c r="AU420" s="186" t="n"/>
      <c r="AV420" s="186" t="n"/>
      <c r="AW420" s="186" t="n"/>
      <c r="AX420" s="186" t="n"/>
      <c r="AY420" s="186" t="n"/>
      <c r="AZ420" s="186" t="n"/>
      <c r="BA420" s="186" t="n"/>
      <c r="BB420" s="186" t="n"/>
      <c r="BC420" s="186" t="n"/>
      <c r="BD420" s="190" t="n"/>
      <c r="BE420" s="186" t="n"/>
      <c r="BF420" s="186" t="n"/>
      <c r="BG420" s="186" t="n"/>
      <c r="BH420" s="186" t="n"/>
      <c r="BI420" s="186" t="n"/>
      <c r="BJ420" s="187" t="n"/>
      <c r="BK420" s="192" t="n"/>
      <c r="BL420" s="192" t="n"/>
      <c r="BM420" s="192" t="n"/>
      <c r="BN420" s="192" t="n"/>
    </row>
    <row r="421">
      <c r="A421" s="289">
        <f> 'Jobs-Ops'!A421</f>
        <v/>
      </c>
      <c r="B421" s="290">
        <f>'Jobs-Ops'!B421</f>
        <v/>
      </c>
      <c r="C421" s="290">
        <f>'Jobs-Ops'!C421</f>
        <v/>
      </c>
      <c r="D421" s="179" t="n"/>
      <c r="E421" s="181">
        <f>'Jobs-Ops'!I421</f>
        <v/>
      </c>
      <c r="F421" s="205">
        <f>'Jobs-Ops'!U421</f>
        <v/>
      </c>
      <c r="G421" s="181">
        <f>'Jobs-GAAP'!J421</f>
        <v/>
      </c>
      <c r="H421" s="205">
        <f>'Jobs-GAAP'!V421</f>
        <v/>
      </c>
      <c r="I421" s="181">
        <f>E421-G421</f>
        <v/>
      </c>
      <c r="J421" s="9">
        <f>'Jobs-Ops'!P421</f>
        <v/>
      </c>
      <c r="K421" s="9">
        <f>'Jobs-GAAP'!Q421</f>
        <v/>
      </c>
      <c r="L421" s="9">
        <f>J421-K421</f>
        <v/>
      </c>
      <c r="M421" s="186" t="n"/>
      <c r="N421" s="9">
        <f>'Jobs-Ops'!Y421</f>
        <v/>
      </c>
      <c r="O421" s="9">
        <f>'Jobs-GAAP'!Y421</f>
        <v/>
      </c>
      <c r="P421" s="9">
        <f>N421-O421</f>
        <v/>
      </c>
      <c r="Q421" s="186" t="n"/>
      <c r="R421" s="11">
        <f>'Jobs-Ops'!AL421</f>
        <v/>
      </c>
      <c r="S421" s="11">
        <f>'Jobs-GAAP'!AH421</f>
        <v/>
      </c>
      <c r="T421" s="11">
        <f>IFERROR(R421-S421,0)</f>
        <v/>
      </c>
      <c r="U421" s="8">
        <f>'Jobs-Ops'!AM421</f>
        <v/>
      </c>
      <c r="V421" s="8">
        <f>'Jobs-GAAP'!AI421</f>
        <v/>
      </c>
      <c r="W421" s="8">
        <f>IFERROR(U421-V421,0)</f>
        <v/>
      </c>
      <c r="X421" s="9">
        <f>'Jobs-Ops'!AN421</f>
        <v/>
      </c>
      <c r="Y421" s="9">
        <f>'Jobs-GAAP'!AJ421</f>
        <v/>
      </c>
      <c r="Z421" s="9">
        <f>IFERROR(X421-Y421,0)</f>
        <v/>
      </c>
      <c r="AA421" s="153">
        <f>'Jobs-Ops'!AO421</f>
        <v/>
      </c>
      <c r="AB421" s="187" t="n"/>
      <c r="AC421" s="186" t="n"/>
      <c r="AD421" s="186" t="n"/>
      <c r="AE421" s="188" t="n"/>
      <c r="AF421" s="187" t="n"/>
      <c r="AG421" s="187" t="n"/>
      <c r="AH421" s="186" t="n"/>
      <c r="AI421" s="186" t="n"/>
      <c r="AJ421" s="186" t="n"/>
      <c r="AK421" s="186" t="n"/>
      <c r="AL421" s="186" t="n"/>
      <c r="AM421" s="186" t="n"/>
      <c r="AN421" s="186" t="n"/>
      <c r="AO421" s="186" t="n"/>
      <c r="AP421" s="186" t="n"/>
      <c r="AQ421" s="186" t="n"/>
      <c r="AR421" s="186" t="n"/>
      <c r="AS421" s="186" t="n"/>
      <c r="AT421" s="186" t="n"/>
      <c r="AU421" s="186" t="n"/>
      <c r="AV421" s="186" t="n"/>
      <c r="AW421" s="186" t="n"/>
      <c r="AX421" s="186" t="n"/>
      <c r="AY421" s="186" t="n"/>
      <c r="AZ421" s="186" t="n"/>
      <c r="BA421" s="186" t="n"/>
      <c r="BB421" s="186" t="n"/>
      <c r="BC421" s="186" t="n"/>
      <c r="BD421" s="190" t="n"/>
      <c r="BE421" s="186" t="n"/>
      <c r="BF421" s="186" t="n"/>
      <c r="BG421" s="186" t="n"/>
      <c r="BH421" s="186" t="n"/>
      <c r="BI421" s="186" t="n"/>
      <c r="BJ421" s="187" t="n"/>
      <c r="BK421" s="192" t="n"/>
      <c r="BL421" s="192" t="n"/>
      <c r="BM421" s="192" t="n"/>
      <c r="BN421" s="192" t="n"/>
    </row>
    <row r="422">
      <c r="A422" s="289">
        <f> 'Jobs-Ops'!A422</f>
        <v/>
      </c>
      <c r="B422" s="290">
        <f>'Jobs-Ops'!B422</f>
        <v/>
      </c>
      <c r="C422" s="290">
        <f>'Jobs-Ops'!C422</f>
        <v/>
      </c>
      <c r="D422" s="179" t="n"/>
      <c r="E422" s="181">
        <f>'Jobs-Ops'!I422</f>
        <v/>
      </c>
      <c r="F422" s="205">
        <f>'Jobs-Ops'!U422</f>
        <v/>
      </c>
      <c r="G422" s="181">
        <f>'Jobs-GAAP'!J422</f>
        <v/>
      </c>
      <c r="H422" s="205">
        <f>'Jobs-GAAP'!V422</f>
        <v/>
      </c>
      <c r="I422" s="181">
        <f>E422-G422</f>
        <v/>
      </c>
      <c r="J422" s="9">
        <f>'Jobs-Ops'!P422</f>
        <v/>
      </c>
      <c r="K422" s="9">
        <f>'Jobs-GAAP'!Q422</f>
        <v/>
      </c>
      <c r="L422" s="9">
        <f>J422-K422</f>
        <v/>
      </c>
      <c r="M422" s="186" t="n"/>
      <c r="N422" s="9">
        <f>'Jobs-Ops'!Y422</f>
        <v/>
      </c>
      <c r="O422" s="9">
        <f>'Jobs-GAAP'!Y422</f>
        <v/>
      </c>
      <c r="P422" s="9">
        <f>N422-O422</f>
        <v/>
      </c>
      <c r="Q422" s="186" t="n"/>
      <c r="R422" s="11">
        <f>'Jobs-Ops'!AL422</f>
        <v/>
      </c>
      <c r="S422" s="11">
        <f>'Jobs-GAAP'!AH422</f>
        <v/>
      </c>
      <c r="T422" s="11">
        <f>IFERROR(R422-S422,0)</f>
        <v/>
      </c>
      <c r="U422" s="8">
        <f>'Jobs-Ops'!AM422</f>
        <v/>
      </c>
      <c r="V422" s="8">
        <f>'Jobs-GAAP'!AI422</f>
        <v/>
      </c>
      <c r="W422" s="8">
        <f>IFERROR(U422-V422,0)</f>
        <v/>
      </c>
      <c r="X422" s="9">
        <f>'Jobs-Ops'!AN422</f>
        <v/>
      </c>
      <c r="Y422" s="9">
        <f>'Jobs-GAAP'!AJ422</f>
        <v/>
      </c>
      <c r="Z422" s="9">
        <f>IFERROR(X422-Y422,0)</f>
        <v/>
      </c>
      <c r="AA422" s="153">
        <f>'Jobs-Ops'!AO422</f>
        <v/>
      </c>
      <c r="AB422" s="187" t="n"/>
      <c r="AC422" s="186" t="n"/>
      <c r="AD422" s="186" t="n"/>
      <c r="AE422" s="188" t="n"/>
      <c r="AF422" s="187" t="n"/>
      <c r="AG422" s="187" t="n"/>
      <c r="AH422" s="186" t="n"/>
      <c r="AI422" s="186" t="n"/>
      <c r="AJ422" s="186" t="n"/>
      <c r="AK422" s="186" t="n"/>
      <c r="AL422" s="186" t="n"/>
      <c r="AM422" s="186" t="n"/>
      <c r="AN422" s="186" t="n"/>
      <c r="AO422" s="186" t="n"/>
      <c r="AP422" s="186" t="n"/>
      <c r="AQ422" s="186" t="n"/>
      <c r="AR422" s="186" t="n"/>
      <c r="AS422" s="186" t="n"/>
      <c r="AT422" s="186" t="n"/>
      <c r="AU422" s="186" t="n"/>
      <c r="AV422" s="186" t="n"/>
      <c r="AW422" s="186" t="n"/>
      <c r="AX422" s="186" t="n"/>
      <c r="AY422" s="186" t="n"/>
      <c r="AZ422" s="186" t="n"/>
      <c r="BA422" s="186" t="n"/>
      <c r="BB422" s="186" t="n"/>
      <c r="BC422" s="186" t="n"/>
      <c r="BD422" s="190" t="n"/>
      <c r="BE422" s="186" t="n"/>
      <c r="BF422" s="186" t="n"/>
      <c r="BG422" s="186" t="n"/>
      <c r="BH422" s="186" t="n"/>
      <c r="BI422" s="186" t="n"/>
      <c r="BJ422" s="187" t="n"/>
      <c r="BK422" s="192" t="n"/>
      <c r="BL422" s="192" t="n"/>
      <c r="BM422" s="192" t="n"/>
      <c r="BN422" s="192" t="n"/>
    </row>
    <row r="423">
      <c r="A423" s="289">
        <f> 'Jobs-Ops'!A423</f>
        <v/>
      </c>
      <c r="B423" s="290">
        <f>'Jobs-Ops'!B423</f>
        <v/>
      </c>
      <c r="C423" s="290">
        <f>'Jobs-Ops'!C423</f>
        <v/>
      </c>
      <c r="D423" s="179" t="n"/>
      <c r="E423" s="181">
        <f>'Jobs-Ops'!I423</f>
        <v/>
      </c>
      <c r="F423" s="205">
        <f>'Jobs-Ops'!U423</f>
        <v/>
      </c>
      <c r="G423" s="181">
        <f>'Jobs-GAAP'!J423</f>
        <v/>
      </c>
      <c r="H423" s="205">
        <f>'Jobs-GAAP'!V423</f>
        <v/>
      </c>
      <c r="I423" s="181">
        <f>E423-G423</f>
        <v/>
      </c>
      <c r="J423" s="9">
        <f>'Jobs-Ops'!P423</f>
        <v/>
      </c>
      <c r="K423" s="9">
        <f>'Jobs-GAAP'!Q423</f>
        <v/>
      </c>
      <c r="L423" s="9">
        <f>J423-K423</f>
        <v/>
      </c>
      <c r="M423" s="186" t="n"/>
      <c r="N423" s="9">
        <f>'Jobs-Ops'!Y423</f>
        <v/>
      </c>
      <c r="O423" s="9">
        <f>'Jobs-GAAP'!Y423</f>
        <v/>
      </c>
      <c r="P423" s="9">
        <f>N423-O423</f>
        <v/>
      </c>
      <c r="Q423" s="186" t="n"/>
      <c r="R423" s="11">
        <f>'Jobs-Ops'!AL423</f>
        <v/>
      </c>
      <c r="S423" s="11">
        <f>'Jobs-GAAP'!AH423</f>
        <v/>
      </c>
      <c r="T423" s="11">
        <f>IFERROR(R423-S423,0)</f>
        <v/>
      </c>
      <c r="U423" s="8">
        <f>'Jobs-Ops'!AM423</f>
        <v/>
      </c>
      <c r="V423" s="8">
        <f>'Jobs-GAAP'!AI423</f>
        <v/>
      </c>
      <c r="W423" s="8">
        <f>IFERROR(U423-V423,0)</f>
        <v/>
      </c>
      <c r="X423" s="9">
        <f>'Jobs-Ops'!AN423</f>
        <v/>
      </c>
      <c r="Y423" s="9">
        <f>'Jobs-GAAP'!AJ423</f>
        <v/>
      </c>
      <c r="Z423" s="9">
        <f>IFERROR(X423-Y423,0)</f>
        <v/>
      </c>
      <c r="AA423" s="153">
        <f>'Jobs-Ops'!AO423</f>
        <v/>
      </c>
      <c r="AB423" s="187" t="n"/>
      <c r="AC423" s="186" t="n"/>
      <c r="AD423" s="186" t="n"/>
      <c r="AE423" s="188" t="n"/>
      <c r="AF423" s="187" t="n"/>
      <c r="AG423" s="187" t="n"/>
      <c r="AH423" s="186" t="n"/>
      <c r="AI423" s="186" t="n"/>
      <c r="AJ423" s="186" t="n"/>
      <c r="AK423" s="186" t="n"/>
      <c r="AL423" s="186" t="n"/>
      <c r="AM423" s="186" t="n"/>
      <c r="AN423" s="186" t="n"/>
      <c r="AO423" s="186" t="n"/>
      <c r="AP423" s="186" t="n"/>
      <c r="AQ423" s="186" t="n"/>
      <c r="AR423" s="186" t="n"/>
      <c r="AS423" s="186" t="n"/>
      <c r="AT423" s="186" t="n"/>
      <c r="AU423" s="186" t="n"/>
      <c r="AV423" s="186" t="n"/>
      <c r="AW423" s="186" t="n"/>
      <c r="AX423" s="186" t="n"/>
      <c r="AY423" s="186" t="n"/>
      <c r="AZ423" s="186" t="n"/>
      <c r="BA423" s="186" t="n"/>
      <c r="BB423" s="186" t="n"/>
      <c r="BC423" s="186" t="n"/>
      <c r="BD423" s="190" t="n"/>
      <c r="BE423" s="186" t="n"/>
      <c r="BF423" s="186" t="n"/>
      <c r="BG423" s="186" t="n"/>
      <c r="BH423" s="186" t="n"/>
      <c r="BI423" s="186" t="n"/>
      <c r="BJ423" s="187" t="n"/>
      <c r="BK423" s="192" t="n"/>
      <c r="BL423" s="192" t="n"/>
      <c r="BM423" s="192" t="n"/>
      <c r="BN423" s="192" t="n"/>
    </row>
    <row r="424">
      <c r="A424" s="289">
        <f> 'Jobs-Ops'!A424</f>
        <v/>
      </c>
      <c r="B424" s="290">
        <f>'Jobs-Ops'!B424</f>
        <v/>
      </c>
      <c r="C424" s="290">
        <f>'Jobs-Ops'!C424</f>
        <v/>
      </c>
      <c r="D424" s="179" t="n"/>
      <c r="E424" s="181">
        <f>'Jobs-Ops'!I424</f>
        <v/>
      </c>
      <c r="F424" s="205">
        <f>'Jobs-Ops'!U424</f>
        <v/>
      </c>
      <c r="G424" s="181">
        <f>'Jobs-GAAP'!J424</f>
        <v/>
      </c>
      <c r="H424" s="205">
        <f>'Jobs-GAAP'!V424</f>
        <v/>
      </c>
      <c r="I424" s="181">
        <f>E424-G424</f>
        <v/>
      </c>
      <c r="J424" s="9">
        <f>'Jobs-Ops'!P424</f>
        <v/>
      </c>
      <c r="K424" s="9">
        <f>'Jobs-GAAP'!Q424</f>
        <v/>
      </c>
      <c r="L424" s="9">
        <f>J424-K424</f>
        <v/>
      </c>
      <c r="M424" s="186" t="n"/>
      <c r="N424" s="9">
        <f>'Jobs-Ops'!Y424</f>
        <v/>
      </c>
      <c r="O424" s="9">
        <f>'Jobs-GAAP'!Y424</f>
        <v/>
      </c>
      <c r="P424" s="9">
        <f>N424-O424</f>
        <v/>
      </c>
      <c r="Q424" s="186" t="n"/>
      <c r="R424" s="11">
        <f>'Jobs-Ops'!AL424</f>
        <v/>
      </c>
      <c r="S424" s="11">
        <f>'Jobs-GAAP'!AH424</f>
        <v/>
      </c>
      <c r="T424" s="11">
        <f>IFERROR(R424-S424,0)</f>
        <v/>
      </c>
      <c r="U424" s="8">
        <f>'Jobs-Ops'!AM424</f>
        <v/>
      </c>
      <c r="V424" s="8">
        <f>'Jobs-GAAP'!AI424</f>
        <v/>
      </c>
      <c r="W424" s="8">
        <f>IFERROR(U424-V424,0)</f>
        <v/>
      </c>
      <c r="X424" s="9">
        <f>'Jobs-Ops'!AN424</f>
        <v/>
      </c>
      <c r="Y424" s="9">
        <f>'Jobs-GAAP'!AJ424</f>
        <v/>
      </c>
      <c r="Z424" s="9">
        <f>IFERROR(X424-Y424,0)</f>
        <v/>
      </c>
      <c r="AA424" s="153">
        <f>'Jobs-Ops'!AO424</f>
        <v/>
      </c>
      <c r="AB424" s="187" t="n"/>
      <c r="AC424" s="186" t="n"/>
      <c r="AD424" s="186" t="n"/>
      <c r="AE424" s="188" t="n"/>
      <c r="AF424" s="187" t="n"/>
      <c r="AG424" s="187" t="n"/>
      <c r="AH424" s="186" t="n"/>
      <c r="AI424" s="186" t="n"/>
      <c r="AJ424" s="186" t="n"/>
      <c r="AK424" s="186" t="n"/>
      <c r="AL424" s="186" t="n"/>
      <c r="AM424" s="186" t="n"/>
      <c r="AN424" s="186" t="n"/>
      <c r="AO424" s="186" t="n"/>
      <c r="AP424" s="186" t="n"/>
      <c r="AQ424" s="186" t="n"/>
      <c r="AR424" s="186" t="n"/>
      <c r="AS424" s="186" t="n"/>
      <c r="AT424" s="186" t="n"/>
      <c r="AU424" s="186" t="n"/>
      <c r="AV424" s="186" t="n"/>
      <c r="AW424" s="186" t="n"/>
      <c r="AX424" s="186" t="n"/>
      <c r="AY424" s="186" t="n"/>
      <c r="AZ424" s="186" t="n"/>
      <c r="BA424" s="186" t="n"/>
      <c r="BB424" s="186" t="n"/>
      <c r="BC424" s="186" t="n"/>
      <c r="BD424" s="190" t="n"/>
      <c r="BE424" s="186" t="n"/>
      <c r="BF424" s="186" t="n"/>
      <c r="BG424" s="186" t="n"/>
      <c r="BH424" s="186" t="n"/>
      <c r="BI424" s="186" t="n"/>
      <c r="BJ424" s="187" t="n"/>
      <c r="BK424" s="192" t="n"/>
      <c r="BL424" s="192" t="n"/>
      <c r="BM424" s="192" t="n"/>
      <c r="BN424" s="192" t="n"/>
    </row>
    <row r="425">
      <c r="A425" s="289">
        <f> 'Jobs-Ops'!A425</f>
        <v/>
      </c>
      <c r="B425" s="290">
        <f>'Jobs-Ops'!B425</f>
        <v/>
      </c>
      <c r="C425" s="290">
        <f>'Jobs-Ops'!C425</f>
        <v/>
      </c>
      <c r="D425" s="179" t="n"/>
      <c r="E425" s="181">
        <f>'Jobs-Ops'!I425</f>
        <v/>
      </c>
      <c r="F425" s="205">
        <f>'Jobs-Ops'!U425</f>
        <v/>
      </c>
      <c r="G425" s="181">
        <f>'Jobs-GAAP'!J425</f>
        <v/>
      </c>
      <c r="H425" s="205">
        <f>'Jobs-GAAP'!V425</f>
        <v/>
      </c>
      <c r="I425" s="181">
        <f>E425-G425</f>
        <v/>
      </c>
      <c r="J425" s="9">
        <f>'Jobs-Ops'!P425</f>
        <v/>
      </c>
      <c r="K425" s="9">
        <f>'Jobs-GAAP'!Q425</f>
        <v/>
      </c>
      <c r="L425" s="9">
        <f>J425-K425</f>
        <v/>
      </c>
      <c r="M425" s="186" t="n"/>
      <c r="N425" s="9">
        <f>'Jobs-Ops'!Y425</f>
        <v/>
      </c>
      <c r="O425" s="9">
        <f>'Jobs-GAAP'!Y425</f>
        <v/>
      </c>
      <c r="P425" s="9">
        <f>N425-O425</f>
        <v/>
      </c>
      <c r="Q425" s="186" t="n"/>
      <c r="R425" s="11">
        <f>'Jobs-Ops'!AL425</f>
        <v/>
      </c>
      <c r="S425" s="11">
        <f>'Jobs-GAAP'!AH425</f>
        <v/>
      </c>
      <c r="T425" s="11">
        <f>IFERROR(R425-S425,0)</f>
        <v/>
      </c>
      <c r="U425" s="8">
        <f>'Jobs-Ops'!AM425</f>
        <v/>
      </c>
      <c r="V425" s="8">
        <f>'Jobs-GAAP'!AI425</f>
        <v/>
      </c>
      <c r="W425" s="8">
        <f>IFERROR(U425-V425,0)</f>
        <v/>
      </c>
      <c r="X425" s="9">
        <f>'Jobs-Ops'!AN425</f>
        <v/>
      </c>
      <c r="Y425" s="9">
        <f>'Jobs-GAAP'!AJ425</f>
        <v/>
      </c>
      <c r="Z425" s="9">
        <f>IFERROR(X425-Y425,0)</f>
        <v/>
      </c>
      <c r="AA425" s="153">
        <f>'Jobs-Ops'!AO425</f>
        <v/>
      </c>
      <c r="AB425" s="187" t="n"/>
      <c r="AC425" s="186" t="n"/>
      <c r="AD425" s="186" t="n"/>
      <c r="AE425" s="188" t="n"/>
      <c r="AF425" s="187" t="n"/>
      <c r="AG425" s="187" t="n"/>
      <c r="AH425" s="186" t="n"/>
      <c r="AI425" s="186" t="n"/>
      <c r="AJ425" s="186" t="n"/>
      <c r="AK425" s="186" t="n"/>
      <c r="AL425" s="186" t="n"/>
      <c r="AM425" s="186" t="n"/>
      <c r="AN425" s="186" t="n"/>
      <c r="AO425" s="186" t="n"/>
      <c r="AP425" s="186" t="n"/>
      <c r="AQ425" s="186" t="n"/>
      <c r="AR425" s="186" t="n"/>
      <c r="AS425" s="186" t="n"/>
      <c r="AT425" s="186" t="n"/>
      <c r="AU425" s="186" t="n"/>
      <c r="AV425" s="186" t="n"/>
      <c r="AW425" s="186" t="n"/>
      <c r="AX425" s="186" t="n"/>
      <c r="AY425" s="186" t="n"/>
      <c r="AZ425" s="186" t="n"/>
      <c r="BA425" s="186" t="n"/>
      <c r="BB425" s="186" t="n"/>
      <c r="BC425" s="186" t="n"/>
      <c r="BD425" s="190" t="n"/>
      <c r="BE425" s="186" t="n"/>
      <c r="BF425" s="186" t="n"/>
      <c r="BG425" s="186" t="n"/>
      <c r="BH425" s="186" t="n"/>
      <c r="BI425" s="186" t="n"/>
      <c r="BJ425" s="187" t="n"/>
      <c r="BK425" s="192" t="n"/>
      <c r="BL425" s="192" t="n"/>
      <c r="BM425" s="192" t="n"/>
      <c r="BN425" s="192" t="n"/>
    </row>
    <row r="426">
      <c r="A426" s="289">
        <f> 'Jobs-Ops'!A426</f>
        <v/>
      </c>
      <c r="B426" s="290">
        <f>'Jobs-Ops'!B426</f>
        <v/>
      </c>
      <c r="C426" s="290">
        <f>'Jobs-Ops'!C426</f>
        <v/>
      </c>
      <c r="D426" s="179" t="n"/>
      <c r="E426" s="181">
        <f>'Jobs-Ops'!I426</f>
        <v/>
      </c>
      <c r="F426" s="205">
        <f>'Jobs-Ops'!U426</f>
        <v/>
      </c>
      <c r="G426" s="181">
        <f>'Jobs-GAAP'!J426</f>
        <v/>
      </c>
      <c r="H426" s="205">
        <f>'Jobs-GAAP'!V426</f>
        <v/>
      </c>
      <c r="I426" s="181">
        <f>E426-G426</f>
        <v/>
      </c>
      <c r="J426" s="9">
        <f>'Jobs-Ops'!P426</f>
        <v/>
      </c>
      <c r="K426" s="9">
        <f>'Jobs-GAAP'!Q426</f>
        <v/>
      </c>
      <c r="L426" s="9">
        <f>J426-K426</f>
        <v/>
      </c>
      <c r="M426" s="186" t="n"/>
      <c r="N426" s="9">
        <f>'Jobs-Ops'!Y426</f>
        <v/>
      </c>
      <c r="O426" s="9">
        <f>'Jobs-GAAP'!Y426</f>
        <v/>
      </c>
      <c r="P426" s="9">
        <f>N426-O426</f>
        <v/>
      </c>
      <c r="Q426" s="186" t="n"/>
      <c r="R426" s="11">
        <f>'Jobs-Ops'!AL426</f>
        <v/>
      </c>
      <c r="S426" s="11">
        <f>'Jobs-GAAP'!AH426</f>
        <v/>
      </c>
      <c r="T426" s="11">
        <f>IFERROR(R426-S426,0)</f>
        <v/>
      </c>
      <c r="U426" s="8">
        <f>'Jobs-Ops'!AM426</f>
        <v/>
      </c>
      <c r="V426" s="8">
        <f>'Jobs-GAAP'!AI426</f>
        <v/>
      </c>
      <c r="W426" s="8">
        <f>IFERROR(U426-V426,0)</f>
        <v/>
      </c>
      <c r="X426" s="9">
        <f>'Jobs-Ops'!AN426</f>
        <v/>
      </c>
      <c r="Y426" s="9">
        <f>'Jobs-GAAP'!AJ426</f>
        <v/>
      </c>
      <c r="Z426" s="9">
        <f>IFERROR(X426-Y426,0)</f>
        <v/>
      </c>
      <c r="AA426" s="153">
        <f>'Jobs-Ops'!AO426</f>
        <v/>
      </c>
      <c r="AB426" s="187" t="n"/>
      <c r="AC426" s="186" t="n"/>
      <c r="AD426" s="186" t="n"/>
      <c r="AE426" s="188" t="n"/>
      <c r="AF426" s="187" t="n"/>
      <c r="AG426" s="187" t="n"/>
      <c r="AH426" s="186" t="n"/>
      <c r="AI426" s="186" t="n"/>
      <c r="AJ426" s="186" t="n"/>
      <c r="AK426" s="186" t="n"/>
      <c r="AL426" s="186" t="n"/>
      <c r="AM426" s="186" t="n"/>
      <c r="AN426" s="186" t="n"/>
      <c r="AO426" s="186" t="n"/>
      <c r="AP426" s="186" t="n"/>
      <c r="AQ426" s="186" t="n"/>
      <c r="AR426" s="186" t="n"/>
      <c r="AS426" s="186" t="n"/>
      <c r="AT426" s="186" t="n"/>
      <c r="AU426" s="186" t="n"/>
      <c r="AV426" s="186" t="n"/>
      <c r="AW426" s="186" t="n"/>
      <c r="AX426" s="186" t="n"/>
      <c r="AY426" s="186" t="n"/>
      <c r="AZ426" s="186" t="n"/>
      <c r="BA426" s="186" t="n"/>
      <c r="BB426" s="186" t="n"/>
      <c r="BC426" s="186" t="n"/>
      <c r="BD426" s="190" t="n"/>
      <c r="BE426" s="186" t="n"/>
      <c r="BF426" s="186" t="n"/>
      <c r="BG426" s="186" t="n"/>
      <c r="BH426" s="186" t="n"/>
      <c r="BI426" s="186" t="n"/>
      <c r="BJ426" s="187" t="n"/>
      <c r="BK426" s="192" t="n"/>
      <c r="BL426" s="192" t="n"/>
      <c r="BM426" s="192" t="n"/>
      <c r="BN426" s="192" t="n"/>
    </row>
    <row r="427">
      <c r="A427" s="289">
        <f> 'Jobs-Ops'!A427</f>
        <v/>
      </c>
      <c r="B427" s="290">
        <f>'Jobs-Ops'!B427</f>
        <v/>
      </c>
      <c r="C427" s="290">
        <f>'Jobs-Ops'!C427</f>
        <v/>
      </c>
      <c r="D427" s="179" t="n"/>
      <c r="E427" s="181">
        <f>'Jobs-Ops'!I427</f>
        <v/>
      </c>
      <c r="F427" s="205">
        <f>'Jobs-Ops'!U427</f>
        <v/>
      </c>
      <c r="G427" s="181">
        <f>'Jobs-GAAP'!J427</f>
        <v/>
      </c>
      <c r="H427" s="205">
        <f>'Jobs-GAAP'!V427</f>
        <v/>
      </c>
      <c r="I427" s="181">
        <f>E427-G427</f>
        <v/>
      </c>
      <c r="J427" s="9">
        <f>'Jobs-Ops'!P427</f>
        <v/>
      </c>
      <c r="K427" s="9">
        <f>'Jobs-GAAP'!Q427</f>
        <v/>
      </c>
      <c r="L427" s="9">
        <f>J427-K427</f>
        <v/>
      </c>
      <c r="M427" s="186" t="n"/>
      <c r="N427" s="9">
        <f>'Jobs-Ops'!Y427</f>
        <v/>
      </c>
      <c r="O427" s="9">
        <f>'Jobs-GAAP'!Y427</f>
        <v/>
      </c>
      <c r="P427" s="9">
        <f>N427-O427</f>
        <v/>
      </c>
      <c r="Q427" s="186" t="n"/>
      <c r="R427" s="11">
        <f>'Jobs-Ops'!AL427</f>
        <v/>
      </c>
      <c r="S427" s="11">
        <f>'Jobs-GAAP'!AH427</f>
        <v/>
      </c>
      <c r="T427" s="11">
        <f>IFERROR(R427-S427,0)</f>
        <v/>
      </c>
      <c r="U427" s="8">
        <f>'Jobs-Ops'!AM427</f>
        <v/>
      </c>
      <c r="V427" s="8">
        <f>'Jobs-GAAP'!AI427</f>
        <v/>
      </c>
      <c r="W427" s="8">
        <f>IFERROR(U427-V427,0)</f>
        <v/>
      </c>
      <c r="X427" s="9">
        <f>'Jobs-Ops'!AN427</f>
        <v/>
      </c>
      <c r="Y427" s="9">
        <f>'Jobs-GAAP'!AJ427</f>
        <v/>
      </c>
      <c r="Z427" s="9">
        <f>IFERROR(X427-Y427,0)</f>
        <v/>
      </c>
      <c r="AA427" s="153">
        <f>'Jobs-Ops'!AO427</f>
        <v/>
      </c>
      <c r="AB427" s="187" t="n"/>
      <c r="AC427" s="186" t="n"/>
      <c r="AD427" s="186" t="n"/>
      <c r="AE427" s="188" t="n"/>
      <c r="AF427" s="187" t="n"/>
      <c r="AG427" s="187" t="n"/>
      <c r="AH427" s="186" t="n"/>
      <c r="AI427" s="186" t="n"/>
      <c r="AJ427" s="186" t="n"/>
      <c r="AK427" s="186" t="n"/>
      <c r="AL427" s="186" t="n"/>
      <c r="AM427" s="186" t="n"/>
      <c r="AN427" s="186" t="n"/>
      <c r="AO427" s="186" t="n"/>
      <c r="AP427" s="186" t="n"/>
      <c r="AQ427" s="186" t="n"/>
      <c r="AR427" s="186" t="n"/>
      <c r="AS427" s="186" t="n"/>
      <c r="AT427" s="186" t="n"/>
      <c r="AU427" s="186" t="n"/>
      <c r="AV427" s="186" t="n"/>
      <c r="AW427" s="186" t="n"/>
      <c r="AX427" s="186" t="n"/>
      <c r="AY427" s="186" t="n"/>
      <c r="AZ427" s="186" t="n"/>
      <c r="BA427" s="186" t="n"/>
      <c r="BB427" s="186" t="n"/>
      <c r="BC427" s="186" t="n"/>
      <c r="BD427" s="190" t="n"/>
      <c r="BE427" s="186" t="n"/>
      <c r="BF427" s="186" t="n"/>
      <c r="BG427" s="186" t="n"/>
      <c r="BH427" s="186" t="n"/>
      <c r="BI427" s="186" t="n"/>
      <c r="BJ427" s="187" t="n"/>
      <c r="BK427" s="192" t="n"/>
      <c r="BL427" s="192" t="n"/>
      <c r="BM427" s="192" t="n"/>
      <c r="BN427" s="192" t="n"/>
    </row>
    <row r="428">
      <c r="A428" s="289">
        <f> 'Jobs-Ops'!A428</f>
        <v/>
      </c>
      <c r="B428" s="290">
        <f>'Jobs-Ops'!B428</f>
        <v/>
      </c>
      <c r="C428" s="290">
        <f>'Jobs-Ops'!C428</f>
        <v/>
      </c>
      <c r="D428" s="179" t="n"/>
      <c r="E428" s="181">
        <f>'Jobs-Ops'!I428</f>
        <v/>
      </c>
      <c r="F428" s="205">
        <f>'Jobs-Ops'!U428</f>
        <v/>
      </c>
      <c r="G428" s="181">
        <f>'Jobs-GAAP'!J428</f>
        <v/>
      </c>
      <c r="H428" s="205">
        <f>'Jobs-GAAP'!V428</f>
        <v/>
      </c>
      <c r="I428" s="181">
        <f>E428-G428</f>
        <v/>
      </c>
      <c r="J428" s="9">
        <f>'Jobs-Ops'!P428</f>
        <v/>
      </c>
      <c r="K428" s="9">
        <f>'Jobs-GAAP'!Q428</f>
        <v/>
      </c>
      <c r="L428" s="9">
        <f>J428-K428</f>
        <v/>
      </c>
      <c r="M428" s="186" t="n"/>
      <c r="N428" s="9">
        <f>'Jobs-Ops'!Y428</f>
        <v/>
      </c>
      <c r="O428" s="9">
        <f>'Jobs-GAAP'!Y428</f>
        <v/>
      </c>
      <c r="P428" s="9">
        <f>N428-O428</f>
        <v/>
      </c>
      <c r="Q428" s="186" t="n"/>
      <c r="R428" s="11">
        <f>'Jobs-Ops'!AL428</f>
        <v/>
      </c>
      <c r="S428" s="11">
        <f>'Jobs-GAAP'!AH428</f>
        <v/>
      </c>
      <c r="T428" s="11">
        <f>IFERROR(R428-S428,0)</f>
        <v/>
      </c>
      <c r="U428" s="8">
        <f>'Jobs-Ops'!AM428</f>
        <v/>
      </c>
      <c r="V428" s="8">
        <f>'Jobs-GAAP'!AI428</f>
        <v/>
      </c>
      <c r="W428" s="8">
        <f>IFERROR(U428-V428,0)</f>
        <v/>
      </c>
      <c r="X428" s="9">
        <f>'Jobs-Ops'!AN428</f>
        <v/>
      </c>
      <c r="Y428" s="9">
        <f>'Jobs-GAAP'!AJ428</f>
        <v/>
      </c>
      <c r="Z428" s="9">
        <f>IFERROR(X428-Y428,0)</f>
        <v/>
      </c>
      <c r="AA428" s="153">
        <f>'Jobs-Ops'!AO428</f>
        <v/>
      </c>
      <c r="AB428" s="187" t="n"/>
      <c r="AC428" s="186" t="n"/>
      <c r="AD428" s="186" t="n"/>
      <c r="AE428" s="188" t="n"/>
      <c r="AF428" s="187" t="n"/>
      <c r="AG428" s="187" t="n"/>
      <c r="AH428" s="186" t="n"/>
      <c r="AI428" s="186" t="n"/>
      <c r="AJ428" s="186" t="n"/>
      <c r="AK428" s="186" t="n"/>
      <c r="AL428" s="186" t="n"/>
      <c r="AM428" s="186" t="n"/>
      <c r="AN428" s="186" t="n"/>
      <c r="AO428" s="186" t="n"/>
      <c r="AP428" s="186" t="n"/>
      <c r="AQ428" s="186" t="n"/>
      <c r="AR428" s="186" t="n"/>
      <c r="AS428" s="186" t="n"/>
      <c r="AT428" s="186" t="n"/>
      <c r="AU428" s="186" t="n"/>
      <c r="AV428" s="186" t="n"/>
      <c r="AW428" s="186" t="n"/>
      <c r="AX428" s="186" t="n"/>
      <c r="AY428" s="186" t="n"/>
      <c r="AZ428" s="186" t="n"/>
      <c r="BA428" s="186" t="n"/>
      <c r="BB428" s="186" t="n"/>
      <c r="BC428" s="186" t="n"/>
      <c r="BD428" s="190" t="n"/>
      <c r="BE428" s="186" t="n"/>
      <c r="BF428" s="186" t="n"/>
      <c r="BG428" s="186" t="n"/>
      <c r="BH428" s="186" t="n"/>
      <c r="BI428" s="186" t="n"/>
      <c r="BJ428" s="187" t="n"/>
      <c r="BK428" s="192" t="n"/>
      <c r="BL428" s="192" t="n"/>
      <c r="BM428" s="192" t="n"/>
      <c r="BN428" s="192" t="n"/>
    </row>
    <row r="429">
      <c r="A429" s="289">
        <f> 'Jobs-Ops'!A429</f>
        <v/>
      </c>
      <c r="B429" s="290">
        <f>'Jobs-Ops'!B429</f>
        <v/>
      </c>
      <c r="C429" s="290">
        <f>'Jobs-Ops'!C429</f>
        <v/>
      </c>
      <c r="D429" s="179" t="n"/>
      <c r="E429" s="181">
        <f>'Jobs-Ops'!I429</f>
        <v/>
      </c>
      <c r="F429" s="205">
        <f>'Jobs-Ops'!U429</f>
        <v/>
      </c>
      <c r="G429" s="181">
        <f>'Jobs-GAAP'!J429</f>
        <v/>
      </c>
      <c r="H429" s="205">
        <f>'Jobs-GAAP'!V429</f>
        <v/>
      </c>
      <c r="I429" s="181">
        <f>E429-G429</f>
        <v/>
      </c>
      <c r="J429" s="9">
        <f>'Jobs-Ops'!P429</f>
        <v/>
      </c>
      <c r="K429" s="9">
        <f>'Jobs-GAAP'!Q429</f>
        <v/>
      </c>
      <c r="L429" s="9">
        <f>J429-K429</f>
        <v/>
      </c>
      <c r="M429" s="186" t="n"/>
      <c r="N429" s="9">
        <f>'Jobs-Ops'!Y429</f>
        <v/>
      </c>
      <c r="O429" s="9">
        <f>'Jobs-GAAP'!Y429</f>
        <v/>
      </c>
      <c r="P429" s="9">
        <f>N429-O429</f>
        <v/>
      </c>
      <c r="Q429" s="186" t="n"/>
      <c r="R429" s="11">
        <f>'Jobs-Ops'!AL429</f>
        <v/>
      </c>
      <c r="S429" s="11">
        <f>'Jobs-GAAP'!AH429</f>
        <v/>
      </c>
      <c r="T429" s="11">
        <f>IFERROR(R429-S429,0)</f>
        <v/>
      </c>
      <c r="U429" s="8">
        <f>'Jobs-Ops'!AM429</f>
        <v/>
      </c>
      <c r="V429" s="8">
        <f>'Jobs-GAAP'!AI429</f>
        <v/>
      </c>
      <c r="W429" s="8">
        <f>IFERROR(U429-V429,0)</f>
        <v/>
      </c>
      <c r="X429" s="9">
        <f>'Jobs-Ops'!AN429</f>
        <v/>
      </c>
      <c r="Y429" s="9">
        <f>'Jobs-GAAP'!AJ429</f>
        <v/>
      </c>
      <c r="Z429" s="9">
        <f>IFERROR(X429-Y429,0)</f>
        <v/>
      </c>
      <c r="AA429" s="153">
        <f>'Jobs-Ops'!AO429</f>
        <v/>
      </c>
      <c r="AB429" s="187" t="n"/>
      <c r="AC429" s="186" t="n"/>
      <c r="AD429" s="186" t="n"/>
      <c r="AE429" s="188" t="n"/>
      <c r="AF429" s="187" t="n"/>
      <c r="AG429" s="187" t="n"/>
      <c r="AH429" s="186" t="n"/>
      <c r="AI429" s="186" t="n"/>
      <c r="AJ429" s="186" t="n"/>
      <c r="AK429" s="186" t="n"/>
      <c r="AL429" s="186" t="n"/>
      <c r="AM429" s="186" t="n"/>
      <c r="AN429" s="186" t="n"/>
      <c r="AO429" s="186" t="n"/>
      <c r="AP429" s="186" t="n"/>
      <c r="AQ429" s="186" t="n"/>
      <c r="AR429" s="186" t="n"/>
      <c r="AS429" s="186" t="n"/>
      <c r="AT429" s="186" t="n"/>
      <c r="AU429" s="186" t="n"/>
      <c r="AV429" s="186" t="n"/>
      <c r="AW429" s="186" t="n"/>
      <c r="AX429" s="186" t="n"/>
      <c r="AY429" s="186" t="n"/>
      <c r="AZ429" s="186" t="n"/>
      <c r="BA429" s="186" t="n"/>
      <c r="BB429" s="186" t="n"/>
      <c r="BC429" s="186" t="n"/>
      <c r="BD429" s="190" t="n"/>
      <c r="BE429" s="186" t="n"/>
      <c r="BF429" s="186" t="n"/>
      <c r="BG429" s="186" t="n"/>
      <c r="BH429" s="186" t="n"/>
      <c r="BI429" s="186" t="n"/>
      <c r="BJ429" s="187" t="n"/>
      <c r="BK429" s="192" t="n"/>
      <c r="BL429" s="192" t="n"/>
      <c r="BM429" s="192" t="n"/>
      <c r="BN429" s="192" t="n"/>
    </row>
    <row r="430">
      <c r="A430" s="289">
        <f> 'Jobs-Ops'!A430</f>
        <v/>
      </c>
      <c r="B430" s="290">
        <f>'Jobs-Ops'!B430</f>
        <v/>
      </c>
      <c r="C430" s="290">
        <f>'Jobs-Ops'!C430</f>
        <v/>
      </c>
      <c r="D430" s="179" t="n"/>
      <c r="E430" s="181">
        <f>'Jobs-Ops'!I430</f>
        <v/>
      </c>
      <c r="F430" s="205">
        <f>'Jobs-Ops'!U430</f>
        <v/>
      </c>
      <c r="G430" s="181">
        <f>'Jobs-GAAP'!J430</f>
        <v/>
      </c>
      <c r="H430" s="205">
        <f>'Jobs-GAAP'!V430</f>
        <v/>
      </c>
      <c r="I430" s="181">
        <f>E430-G430</f>
        <v/>
      </c>
      <c r="J430" s="9">
        <f>'Jobs-Ops'!P430</f>
        <v/>
      </c>
      <c r="K430" s="9">
        <f>'Jobs-GAAP'!Q430</f>
        <v/>
      </c>
      <c r="L430" s="9">
        <f>J430-K430</f>
        <v/>
      </c>
      <c r="M430" s="186" t="n"/>
      <c r="N430" s="9">
        <f>'Jobs-Ops'!Y430</f>
        <v/>
      </c>
      <c r="O430" s="9">
        <f>'Jobs-GAAP'!Y430</f>
        <v/>
      </c>
      <c r="P430" s="9">
        <f>N430-O430</f>
        <v/>
      </c>
      <c r="Q430" s="186" t="n"/>
      <c r="R430" s="11">
        <f>'Jobs-Ops'!AL430</f>
        <v/>
      </c>
      <c r="S430" s="11">
        <f>'Jobs-GAAP'!AH430</f>
        <v/>
      </c>
      <c r="T430" s="11">
        <f>IFERROR(R430-S430,0)</f>
        <v/>
      </c>
      <c r="U430" s="8">
        <f>'Jobs-Ops'!AM430</f>
        <v/>
      </c>
      <c r="V430" s="8">
        <f>'Jobs-GAAP'!AI430</f>
        <v/>
      </c>
      <c r="W430" s="8">
        <f>IFERROR(U430-V430,0)</f>
        <v/>
      </c>
      <c r="X430" s="9">
        <f>'Jobs-Ops'!AN430</f>
        <v/>
      </c>
      <c r="Y430" s="9">
        <f>'Jobs-GAAP'!AJ430</f>
        <v/>
      </c>
      <c r="Z430" s="9">
        <f>IFERROR(X430-Y430,0)</f>
        <v/>
      </c>
      <c r="AA430" s="153">
        <f>'Jobs-Ops'!AO430</f>
        <v/>
      </c>
      <c r="AB430" s="187" t="n"/>
      <c r="AC430" s="186" t="n"/>
      <c r="AD430" s="186" t="n"/>
      <c r="AE430" s="188" t="n"/>
      <c r="AF430" s="187" t="n"/>
      <c r="AG430" s="187" t="n"/>
      <c r="AH430" s="186" t="n"/>
      <c r="AI430" s="186" t="n"/>
      <c r="AJ430" s="186" t="n"/>
      <c r="AK430" s="186" t="n"/>
      <c r="AL430" s="186" t="n"/>
      <c r="AM430" s="186" t="n"/>
      <c r="AN430" s="186" t="n"/>
      <c r="AO430" s="186" t="n"/>
      <c r="AP430" s="186" t="n"/>
      <c r="AQ430" s="186" t="n"/>
      <c r="AR430" s="186" t="n"/>
      <c r="AS430" s="186" t="n"/>
      <c r="AT430" s="186" t="n"/>
      <c r="AU430" s="186" t="n"/>
      <c r="AV430" s="186" t="n"/>
      <c r="AW430" s="186" t="n"/>
      <c r="AX430" s="186" t="n"/>
      <c r="AY430" s="186" t="n"/>
      <c r="AZ430" s="186" t="n"/>
      <c r="BA430" s="186" t="n"/>
      <c r="BB430" s="186" t="n"/>
      <c r="BC430" s="186" t="n"/>
      <c r="BD430" s="190" t="n"/>
      <c r="BE430" s="186" t="n"/>
      <c r="BF430" s="186" t="n"/>
      <c r="BG430" s="186" t="n"/>
      <c r="BH430" s="186" t="n"/>
      <c r="BI430" s="186" t="n"/>
      <c r="BJ430" s="187" t="n"/>
      <c r="BK430" s="192" t="n"/>
      <c r="BL430" s="192" t="n"/>
      <c r="BM430" s="192" t="n"/>
      <c r="BN430" s="192" t="n"/>
    </row>
    <row r="431">
      <c r="A431" s="289">
        <f> 'Jobs-Ops'!A431</f>
        <v/>
      </c>
      <c r="B431" s="290">
        <f>'Jobs-Ops'!B431</f>
        <v/>
      </c>
      <c r="C431" s="290">
        <f>'Jobs-Ops'!C431</f>
        <v/>
      </c>
      <c r="D431" s="179" t="n"/>
      <c r="E431" s="181">
        <f>'Jobs-Ops'!I431</f>
        <v/>
      </c>
      <c r="F431" s="205">
        <f>'Jobs-Ops'!U431</f>
        <v/>
      </c>
      <c r="G431" s="181">
        <f>'Jobs-GAAP'!J431</f>
        <v/>
      </c>
      <c r="H431" s="205">
        <f>'Jobs-GAAP'!V431</f>
        <v/>
      </c>
      <c r="I431" s="181">
        <f>E431-G431</f>
        <v/>
      </c>
      <c r="J431" s="9">
        <f>'Jobs-Ops'!P431</f>
        <v/>
      </c>
      <c r="K431" s="9">
        <f>'Jobs-GAAP'!Q431</f>
        <v/>
      </c>
      <c r="L431" s="9">
        <f>J431-K431</f>
        <v/>
      </c>
      <c r="M431" s="186" t="n"/>
      <c r="N431" s="9">
        <f>'Jobs-Ops'!Y431</f>
        <v/>
      </c>
      <c r="O431" s="9">
        <f>'Jobs-GAAP'!Y431</f>
        <v/>
      </c>
      <c r="P431" s="9">
        <f>N431-O431</f>
        <v/>
      </c>
      <c r="Q431" s="186" t="n"/>
      <c r="R431" s="11">
        <f>'Jobs-Ops'!AL431</f>
        <v/>
      </c>
      <c r="S431" s="11">
        <f>'Jobs-GAAP'!AH431</f>
        <v/>
      </c>
      <c r="T431" s="11">
        <f>IFERROR(R431-S431,0)</f>
        <v/>
      </c>
      <c r="U431" s="8">
        <f>'Jobs-Ops'!AM431</f>
        <v/>
      </c>
      <c r="V431" s="8">
        <f>'Jobs-GAAP'!AI431</f>
        <v/>
      </c>
      <c r="W431" s="8">
        <f>IFERROR(U431-V431,0)</f>
        <v/>
      </c>
      <c r="X431" s="9">
        <f>'Jobs-Ops'!AN431</f>
        <v/>
      </c>
      <c r="Y431" s="9">
        <f>'Jobs-GAAP'!AJ431</f>
        <v/>
      </c>
      <c r="Z431" s="9">
        <f>IFERROR(X431-Y431,0)</f>
        <v/>
      </c>
      <c r="AA431" s="153">
        <f>'Jobs-Ops'!AO431</f>
        <v/>
      </c>
      <c r="AB431" s="187" t="n"/>
      <c r="AC431" s="186" t="n"/>
      <c r="AD431" s="186" t="n"/>
      <c r="AE431" s="188" t="n"/>
      <c r="AF431" s="187" t="n"/>
      <c r="AG431" s="187" t="n"/>
      <c r="AH431" s="186" t="n"/>
      <c r="AI431" s="186" t="n"/>
      <c r="AJ431" s="186" t="n"/>
      <c r="AK431" s="186" t="n"/>
      <c r="AL431" s="186" t="n"/>
      <c r="AM431" s="186" t="n"/>
      <c r="AN431" s="186" t="n"/>
      <c r="AO431" s="186" t="n"/>
      <c r="AP431" s="186" t="n"/>
      <c r="AQ431" s="186" t="n"/>
      <c r="AR431" s="186" t="n"/>
      <c r="AS431" s="186" t="n"/>
      <c r="AT431" s="186" t="n"/>
      <c r="AU431" s="186" t="n"/>
      <c r="AV431" s="186" t="n"/>
      <c r="AW431" s="186" t="n"/>
      <c r="AX431" s="186" t="n"/>
      <c r="AY431" s="186" t="n"/>
      <c r="AZ431" s="186" t="n"/>
      <c r="BA431" s="186" t="n"/>
      <c r="BB431" s="186" t="n"/>
      <c r="BC431" s="186" t="n"/>
      <c r="BD431" s="190" t="n"/>
      <c r="BE431" s="186" t="n"/>
      <c r="BF431" s="186" t="n"/>
      <c r="BG431" s="186" t="n"/>
      <c r="BH431" s="186" t="n"/>
      <c r="BI431" s="186" t="n"/>
      <c r="BJ431" s="187" t="n"/>
      <c r="BK431" s="192" t="n"/>
      <c r="BL431" s="192" t="n"/>
      <c r="BM431" s="192" t="n"/>
      <c r="BN431" s="192" t="n"/>
    </row>
    <row r="432">
      <c r="A432" s="289">
        <f> 'Jobs-Ops'!A432</f>
        <v/>
      </c>
      <c r="B432" s="290">
        <f>'Jobs-Ops'!B432</f>
        <v/>
      </c>
      <c r="C432" s="290">
        <f>'Jobs-Ops'!C432</f>
        <v/>
      </c>
      <c r="D432" s="179" t="n"/>
      <c r="E432" s="181">
        <f>'Jobs-Ops'!I432</f>
        <v/>
      </c>
      <c r="F432" s="205">
        <f>'Jobs-Ops'!U432</f>
        <v/>
      </c>
      <c r="G432" s="181">
        <f>'Jobs-GAAP'!J432</f>
        <v/>
      </c>
      <c r="H432" s="205">
        <f>'Jobs-GAAP'!V432</f>
        <v/>
      </c>
      <c r="I432" s="181">
        <f>E432-G432</f>
        <v/>
      </c>
      <c r="J432" s="9">
        <f>'Jobs-Ops'!P432</f>
        <v/>
      </c>
      <c r="K432" s="9">
        <f>'Jobs-GAAP'!Q432</f>
        <v/>
      </c>
      <c r="L432" s="9">
        <f>J432-K432</f>
        <v/>
      </c>
      <c r="M432" s="186" t="n"/>
      <c r="N432" s="9">
        <f>'Jobs-Ops'!Y432</f>
        <v/>
      </c>
      <c r="O432" s="9">
        <f>'Jobs-GAAP'!Y432</f>
        <v/>
      </c>
      <c r="P432" s="9">
        <f>N432-O432</f>
        <v/>
      </c>
      <c r="Q432" s="186" t="n"/>
      <c r="R432" s="11">
        <f>'Jobs-Ops'!AL432</f>
        <v/>
      </c>
      <c r="S432" s="11">
        <f>'Jobs-GAAP'!AH432</f>
        <v/>
      </c>
      <c r="T432" s="11">
        <f>IFERROR(R432-S432,0)</f>
        <v/>
      </c>
      <c r="U432" s="8">
        <f>'Jobs-Ops'!AM432</f>
        <v/>
      </c>
      <c r="V432" s="8">
        <f>'Jobs-GAAP'!AI432</f>
        <v/>
      </c>
      <c r="W432" s="8">
        <f>IFERROR(U432-V432,0)</f>
        <v/>
      </c>
      <c r="X432" s="9">
        <f>'Jobs-Ops'!AN432</f>
        <v/>
      </c>
      <c r="Y432" s="9">
        <f>'Jobs-GAAP'!AJ432</f>
        <v/>
      </c>
      <c r="Z432" s="9">
        <f>IFERROR(X432-Y432,0)</f>
        <v/>
      </c>
      <c r="AA432" s="153">
        <f>'Jobs-Ops'!AO432</f>
        <v/>
      </c>
      <c r="AB432" s="187" t="n"/>
      <c r="AC432" s="186" t="n"/>
      <c r="AD432" s="186" t="n"/>
      <c r="AE432" s="188" t="n"/>
      <c r="AF432" s="187" t="n"/>
      <c r="AG432" s="187" t="n"/>
      <c r="AH432" s="186" t="n"/>
      <c r="AI432" s="186" t="n"/>
      <c r="AJ432" s="186" t="n"/>
      <c r="AK432" s="186" t="n"/>
      <c r="AL432" s="186" t="n"/>
      <c r="AM432" s="186" t="n"/>
      <c r="AN432" s="186" t="n"/>
      <c r="AO432" s="186" t="n"/>
      <c r="AP432" s="186" t="n"/>
      <c r="AQ432" s="186" t="n"/>
      <c r="AR432" s="186" t="n"/>
      <c r="AS432" s="186" t="n"/>
      <c r="AT432" s="186" t="n"/>
      <c r="AU432" s="186" t="n"/>
      <c r="AV432" s="186" t="n"/>
      <c r="AW432" s="186" t="n"/>
      <c r="AX432" s="186" t="n"/>
      <c r="AY432" s="186" t="n"/>
      <c r="AZ432" s="186" t="n"/>
      <c r="BA432" s="186" t="n"/>
      <c r="BB432" s="186" t="n"/>
      <c r="BC432" s="186" t="n"/>
      <c r="BD432" s="190" t="n"/>
      <c r="BE432" s="186" t="n"/>
      <c r="BF432" s="186" t="n"/>
      <c r="BG432" s="186" t="n"/>
      <c r="BH432" s="186" t="n"/>
      <c r="BI432" s="186" t="n"/>
      <c r="BJ432" s="187" t="n"/>
      <c r="BK432" s="192" t="n"/>
      <c r="BL432" s="192" t="n"/>
      <c r="BM432" s="192" t="n"/>
      <c r="BN432" s="192" t="n"/>
    </row>
    <row r="433">
      <c r="A433" s="289">
        <f> 'Jobs-Ops'!A433</f>
        <v/>
      </c>
      <c r="B433" s="290">
        <f>'Jobs-Ops'!B433</f>
        <v/>
      </c>
      <c r="C433" s="290">
        <f>'Jobs-Ops'!C433</f>
        <v/>
      </c>
      <c r="D433" s="179" t="n"/>
      <c r="E433" s="181">
        <f>'Jobs-Ops'!I433</f>
        <v/>
      </c>
      <c r="F433" s="205">
        <f>'Jobs-Ops'!U433</f>
        <v/>
      </c>
      <c r="G433" s="181">
        <f>'Jobs-GAAP'!J433</f>
        <v/>
      </c>
      <c r="H433" s="205">
        <f>'Jobs-GAAP'!V433</f>
        <v/>
      </c>
      <c r="I433" s="181">
        <f>E433-G433</f>
        <v/>
      </c>
      <c r="J433" s="9">
        <f>'Jobs-Ops'!P433</f>
        <v/>
      </c>
      <c r="K433" s="9">
        <f>'Jobs-GAAP'!Q433</f>
        <v/>
      </c>
      <c r="L433" s="9">
        <f>J433-K433</f>
        <v/>
      </c>
      <c r="M433" s="186" t="n"/>
      <c r="N433" s="9">
        <f>'Jobs-Ops'!Y433</f>
        <v/>
      </c>
      <c r="O433" s="9">
        <f>'Jobs-GAAP'!Y433</f>
        <v/>
      </c>
      <c r="P433" s="9">
        <f>N433-O433</f>
        <v/>
      </c>
      <c r="Q433" s="186" t="n"/>
      <c r="R433" s="11">
        <f>'Jobs-Ops'!AL433</f>
        <v/>
      </c>
      <c r="S433" s="11">
        <f>'Jobs-GAAP'!AH433</f>
        <v/>
      </c>
      <c r="T433" s="11">
        <f>IFERROR(R433-S433,0)</f>
        <v/>
      </c>
      <c r="U433" s="8">
        <f>'Jobs-Ops'!AM433</f>
        <v/>
      </c>
      <c r="V433" s="8">
        <f>'Jobs-GAAP'!AI433</f>
        <v/>
      </c>
      <c r="W433" s="8">
        <f>IFERROR(U433-V433,0)</f>
        <v/>
      </c>
      <c r="X433" s="9">
        <f>'Jobs-Ops'!AN433</f>
        <v/>
      </c>
      <c r="Y433" s="9">
        <f>'Jobs-GAAP'!AJ433</f>
        <v/>
      </c>
      <c r="Z433" s="9">
        <f>IFERROR(X433-Y433,0)</f>
        <v/>
      </c>
      <c r="AA433" s="153">
        <f>'Jobs-Ops'!AO433</f>
        <v/>
      </c>
      <c r="AB433" s="187" t="n"/>
      <c r="AC433" s="186" t="n"/>
      <c r="AD433" s="186" t="n"/>
      <c r="AE433" s="188" t="n"/>
      <c r="AF433" s="187" t="n"/>
      <c r="AG433" s="187" t="n"/>
      <c r="AH433" s="186" t="n"/>
      <c r="AI433" s="186" t="n"/>
      <c r="AJ433" s="186" t="n"/>
      <c r="AK433" s="186" t="n"/>
      <c r="AL433" s="186" t="n"/>
      <c r="AM433" s="186" t="n"/>
      <c r="AN433" s="186" t="n"/>
      <c r="AO433" s="186" t="n"/>
      <c r="AP433" s="186" t="n"/>
      <c r="AQ433" s="186" t="n"/>
      <c r="AR433" s="186" t="n"/>
      <c r="AS433" s="186" t="n"/>
      <c r="AT433" s="186" t="n"/>
      <c r="AU433" s="186" t="n"/>
      <c r="AV433" s="186" t="n"/>
      <c r="AW433" s="186" t="n"/>
      <c r="AX433" s="186" t="n"/>
      <c r="AY433" s="186" t="n"/>
      <c r="AZ433" s="186" t="n"/>
      <c r="BA433" s="186" t="n"/>
      <c r="BB433" s="186" t="n"/>
      <c r="BC433" s="186" t="n"/>
      <c r="BD433" s="190" t="n"/>
      <c r="BE433" s="186" t="n"/>
      <c r="BF433" s="186" t="n"/>
      <c r="BG433" s="186" t="n"/>
      <c r="BH433" s="186" t="n"/>
      <c r="BI433" s="186" t="n"/>
      <c r="BJ433" s="187" t="n"/>
      <c r="BK433" s="192" t="n"/>
      <c r="BL433" s="192" t="n"/>
      <c r="BM433" s="192" t="n"/>
      <c r="BN433" s="192" t="n"/>
    </row>
    <row r="434">
      <c r="A434" s="289">
        <f> 'Jobs-Ops'!A434</f>
        <v/>
      </c>
      <c r="B434" s="290">
        <f>'Jobs-Ops'!B434</f>
        <v/>
      </c>
      <c r="C434" s="290">
        <f>'Jobs-Ops'!C434</f>
        <v/>
      </c>
      <c r="D434" s="179" t="n"/>
      <c r="E434" s="181">
        <f>'Jobs-Ops'!I434</f>
        <v/>
      </c>
      <c r="F434" s="205">
        <f>'Jobs-Ops'!U434</f>
        <v/>
      </c>
      <c r="G434" s="181">
        <f>'Jobs-GAAP'!J434</f>
        <v/>
      </c>
      <c r="H434" s="205">
        <f>'Jobs-GAAP'!V434</f>
        <v/>
      </c>
      <c r="I434" s="181">
        <f>E434-G434</f>
        <v/>
      </c>
      <c r="J434" s="9">
        <f>'Jobs-Ops'!P434</f>
        <v/>
      </c>
      <c r="K434" s="9">
        <f>'Jobs-GAAP'!Q434</f>
        <v/>
      </c>
      <c r="L434" s="9">
        <f>J434-K434</f>
        <v/>
      </c>
      <c r="M434" s="186" t="n"/>
      <c r="N434" s="9">
        <f>'Jobs-Ops'!Y434</f>
        <v/>
      </c>
      <c r="O434" s="9">
        <f>'Jobs-GAAP'!Y434</f>
        <v/>
      </c>
      <c r="P434" s="9">
        <f>N434-O434</f>
        <v/>
      </c>
      <c r="Q434" s="186" t="n"/>
      <c r="R434" s="11">
        <f>'Jobs-Ops'!AL434</f>
        <v/>
      </c>
      <c r="S434" s="11">
        <f>'Jobs-GAAP'!AH434</f>
        <v/>
      </c>
      <c r="T434" s="11">
        <f>IFERROR(R434-S434,0)</f>
        <v/>
      </c>
      <c r="U434" s="8">
        <f>'Jobs-Ops'!AM434</f>
        <v/>
      </c>
      <c r="V434" s="8">
        <f>'Jobs-GAAP'!AI434</f>
        <v/>
      </c>
      <c r="W434" s="8">
        <f>IFERROR(U434-V434,0)</f>
        <v/>
      </c>
      <c r="X434" s="9">
        <f>'Jobs-Ops'!AN434</f>
        <v/>
      </c>
      <c r="Y434" s="9">
        <f>'Jobs-GAAP'!AJ434</f>
        <v/>
      </c>
      <c r="Z434" s="9">
        <f>IFERROR(X434-Y434,0)</f>
        <v/>
      </c>
      <c r="AA434" s="153">
        <f>'Jobs-Ops'!AO434</f>
        <v/>
      </c>
      <c r="AB434" s="187" t="n"/>
      <c r="AC434" s="186" t="n"/>
      <c r="AD434" s="186" t="n"/>
      <c r="AE434" s="188" t="n"/>
      <c r="AF434" s="187" t="n"/>
      <c r="AG434" s="187" t="n"/>
      <c r="AH434" s="186" t="n"/>
      <c r="AI434" s="186" t="n"/>
      <c r="AJ434" s="186" t="n"/>
      <c r="AK434" s="186" t="n"/>
      <c r="AL434" s="186" t="n"/>
      <c r="AM434" s="186" t="n"/>
      <c r="AN434" s="186" t="n"/>
      <c r="AO434" s="186" t="n"/>
      <c r="AP434" s="186" t="n"/>
      <c r="AQ434" s="186" t="n"/>
      <c r="AR434" s="186" t="n"/>
      <c r="AS434" s="186" t="n"/>
      <c r="AT434" s="186" t="n"/>
      <c r="AU434" s="186" t="n"/>
      <c r="AV434" s="186" t="n"/>
      <c r="AW434" s="186" t="n"/>
      <c r="AX434" s="186" t="n"/>
      <c r="AY434" s="186" t="n"/>
      <c r="AZ434" s="186" t="n"/>
      <c r="BA434" s="186" t="n"/>
      <c r="BB434" s="186" t="n"/>
      <c r="BC434" s="186" t="n"/>
      <c r="BD434" s="190" t="n"/>
      <c r="BE434" s="186" t="n"/>
      <c r="BF434" s="186" t="n"/>
      <c r="BG434" s="186" t="n"/>
      <c r="BH434" s="186" t="n"/>
      <c r="BI434" s="186" t="n"/>
      <c r="BJ434" s="187" t="n"/>
      <c r="BK434" s="192" t="n"/>
      <c r="BL434" s="192" t="n"/>
      <c r="BM434" s="192" t="n"/>
      <c r="BN434" s="192" t="n"/>
    </row>
    <row r="435">
      <c r="A435" s="289">
        <f> 'Jobs-Ops'!A435</f>
        <v/>
      </c>
      <c r="B435" s="290">
        <f>'Jobs-Ops'!B435</f>
        <v/>
      </c>
      <c r="C435" s="290">
        <f>'Jobs-Ops'!C435</f>
        <v/>
      </c>
      <c r="D435" s="179" t="n"/>
      <c r="E435" s="181">
        <f>'Jobs-Ops'!I435</f>
        <v/>
      </c>
      <c r="F435" s="205">
        <f>'Jobs-Ops'!U435</f>
        <v/>
      </c>
      <c r="G435" s="181">
        <f>'Jobs-GAAP'!J435</f>
        <v/>
      </c>
      <c r="H435" s="205">
        <f>'Jobs-GAAP'!V435</f>
        <v/>
      </c>
      <c r="I435" s="181">
        <f>E435-G435</f>
        <v/>
      </c>
      <c r="J435" s="9">
        <f>'Jobs-Ops'!P435</f>
        <v/>
      </c>
      <c r="K435" s="9">
        <f>'Jobs-GAAP'!Q435</f>
        <v/>
      </c>
      <c r="L435" s="9">
        <f>J435-K435</f>
        <v/>
      </c>
      <c r="M435" s="186" t="n"/>
      <c r="N435" s="9">
        <f>'Jobs-Ops'!Y435</f>
        <v/>
      </c>
      <c r="O435" s="9">
        <f>'Jobs-GAAP'!Y435</f>
        <v/>
      </c>
      <c r="P435" s="9">
        <f>N435-O435</f>
        <v/>
      </c>
      <c r="Q435" s="186" t="n"/>
      <c r="R435" s="11">
        <f>'Jobs-Ops'!AL435</f>
        <v/>
      </c>
      <c r="S435" s="11">
        <f>'Jobs-GAAP'!AH435</f>
        <v/>
      </c>
      <c r="T435" s="11">
        <f>IFERROR(R435-S435,0)</f>
        <v/>
      </c>
      <c r="U435" s="8">
        <f>'Jobs-Ops'!AM435</f>
        <v/>
      </c>
      <c r="V435" s="8">
        <f>'Jobs-GAAP'!AI435</f>
        <v/>
      </c>
      <c r="W435" s="8">
        <f>IFERROR(U435-V435,0)</f>
        <v/>
      </c>
      <c r="X435" s="9">
        <f>'Jobs-Ops'!AN435</f>
        <v/>
      </c>
      <c r="Y435" s="9">
        <f>'Jobs-GAAP'!AJ435</f>
        <v/>
      </c>
      <c r="Z435" s="9">
        <f>IFERROR(X435-Y435,0)</f>
        <v/>
      </c>
      <c r="AA435" s="153">
        <f>'Jobs-Ops'!AO435</f>
        <v/>
      </c>
      <c r="AB435" s="187" t="n"/>
      <c r="AC435" s="186" t="n"/>
      <c r="AD435" s="186" t="n"/>
      <c r="AE435" s="188" t="n"/>
      <c r="AF435" s="187" t="n"/>
      <c r="AG435" s="187" t="n"/>
      <c r="AH435" s="186" t="n"/>
      <c r="AI435" s="186" t="n"/>
      <c r="AJ435" s="186" t="n"/>
      <c r="AK435" s="186" t="n"/>
      <c r="AL435" s="186" t="n"/>
      <c r="AM435" s="186" t="n"/>
      <c r="AN435" s="186" t="n"/>
      <c r="AO435" s="186" t="n"/>
      <c r="AP435" s="186" t="n"/>
      <c r="AQ435" s="186" t="n"/>
      <c r="AR435" s="186" t="n"/>
      <c r="AS435" s="186" t="n"/>
      <c r="AT435" s="186" t="n"/>
      <c r="AU435" s="186" t="n"/>
      <c r="AV435" s="186" t="n"/>
      <c r="AW435" s="186" t="n"/>
      <c r="AX435" s="186" t="n"/>
      <c r="AY435" s="186" t="n"/>
      <c r="AZ435" s="186" t="n"/>
      <c r="BA435" s="186" t="n"/>
      <c r="BB435" s="186" t="n"/>
      <c r="BC435" s="186" t="n"/>
      <c r="BD435" s="190" t="n"/>
      <c r="BE435" s="186" t="n"/>
      <c r="BF435" s="186" t="n"/>
      <c r="BG435" s="186" t="n"/>
      <c r="BH435" s="186" t="n"/>
      <c r="BI435" s="186" t="n"/>
      <c r="BJ435" s="187" t="n"/>
      <c r="BK435" s="192" t="n"/>
      <c r="BL435" s="192" t="n"/>
      <c r="BM435" s="192" t="n"/>
      <c r="BN435" s="192" t="n"/>
    </row>
    <row r="436">
      <c r="A436" s="289">
        <f> 'Jobs-Ops'!A436</f>
        <v/>
      </c>
      <c r="B436" s="290">
        <f>'Jobs-Ops'!B436</f>
        <v/>
      </c>
      <c r="C436" s="290">
        <f>'Jobs-Ops'!C436</f>
        <v/>
      </c>
      <c r="D436" s="179" t="n"/>
      <c r="E436" s="181">
        <f>'Jobs-Ops'!I436</f>
        <v/>
      </c>
      <c r="F436" s="205">
        <f>'Jobs-Ops'!U436</f>
        <v/>
      </c>
      <c r="G436" s="181">
        <f>'Jobs-GAAP'!J436</f>
        <v/>
      </c>
      <c r="H436" s="205">
        <f>'Jobs-GAAP'!V436</f>
        <v/>
      </c>
      <c r="I436" s="181">
        <f>E436-G436</f>
        <v/>
      </c>
      <c r="J436" s="9">
        <f>'Jobs-Ops'!P436</f>
        <v/>
      </c>
      <c r="K436" s="9">
        <f>'Jobs-GAAP'!Q436</f>
        <v/>
      </c>
      <c r="L436" s="9">
        <f>J436-K436</f>
        <v/>
      </c>
      <c r="M436" s="186" t="n"/>
      <c r="N436" s="9">
        <f>'Jobs-Ops'!Y436</f>
        <v/>
      </c>
      <c r="O436" s="9">
        <f>'Jobs-GAAP'!Y436</f>
        <v/>
      </c>
      <c r="P436" s="9">
        <f>N436-O436</f>
        <v/>
      </c>
      <c r="Q436" s="186" t="n"/>
      <c r="R436" s="11">
        <f>'Jobs-Ops'!AL436</f>
        <v/>
      </c>
      <c r="S436" s="11">
        <f>'Jobs-GAAP'!AH436</f>
        <v/>
      </c>
      <c r="T436" s="11">
        <f>IFERROR(R436-S436,0)</f>
        <v/>
      </c>
      <c r="U436" s="8">
        <f>'Jobs-Ops'!AM436</f>
        <v/>
      </c>
      <c r="V436" s="8">
        <f>'Jobs-GAAP'!AI436</f>
        <v/>
      </c>
      <c r="W436" s="8">
        <f>IFERROR(U436-V436,0)</f>
        <v/>
      </c>
      <c r="X436" s="9">
        <f>'Jobs-Ops'!AN436</f>
        <v/>
      </c>
      <c r="Y436" s="9">
        <f>'Jobs-GAAP'!AJ436</f>
        <v/>
      </c>
      <c r="Z436" s="9">
        <f>IFERROR(X436-Y436,0)</f>
        <v/>
      </c>
      <c r="AA436" s="153">
        <f>'Jobs-Ops'!AO436</f>
        <v/>
      </c>
      <c r="AB436" s="187" t="n"/>
      <c r="AC436" s="186" t="n"/>
      <c r="AD436" s="186" t="n"/>
      <c r="AE436" s="188" t="n"/>
      <c r="AF436" s="187" t="n"/>
      <c r="AG436" s="187" t="n"/>
      <c r="AH436" s="186" t="n"/>
      <c r="AI436" s="186" t="n"/>
      <c r="AJ436" s="186" t="n"/>
      <c r="AK436" s="186" t="n"/>
      <c r="AL436" s="186" t="n"/>
      <c r="AM436" s="186" t="n"/>
      <c r="AN436" s="186" t="n"/>
      <c r="AO436" s="186" t="n"/>
      <c r="AP436" s="186" t="n"/>
      <c r="AQ436" s="186" t="n"/>
      <c r="AR436" s="186" t="n"/>
      <c r="AS436" s="186" t="n"/>
      <c r="AT436" s="186" t="n"/>
      <c r="AU436" s="186" t="n"/>
      <c r="AV436" s="186" t="n"/>
      <c r="AW436" s="186" t="n"/>
      <c r="AX436" s="186" t="n"/>
      <c r="AY436" s="186" t="n"/>
      <c r="AZ436" s="186" t="n"/>
      <c r="BA436" s="186" t="n"/>
      <c r="BB436" s="186" t="n"/>
      <c r="BC436" s="186" t="n"/>
      <c r="BD436" s="190" t="n"/>
      <c r="BE436" s="186" t="n"/>
      <c r="BF436" s="186" t="n"/>
      <c r="BG436" s="186" t="n"/>
      <c r="BH436" s="186" t="n"/>
      <c r="BI436" s="186" t="n"/>
      <c r="BJ436" s="187" t="n"/>
      <c r="BK436" s="192" t="n"/>
      <c r="BL436" s="192" t="n"/>
      <c r="BM436" s="192" t="n"/>
      <c r="BN436" s="192" t="n"/>
    </row>
    <row r="437">
      <c r="A437" s="289">
        <f> 'Jobs-Ops'!A437</f>
        <v/>
      </c>
      <c r="B437" s="290">
        <f>'Jobs-Ops'!B437</f>
        <v/>
      </c>
      <c r="C437" s="290">
        <f>'Jobs-Ops'!C437</f>
        <v/>
      </c>
      <c r="D437" s="179" t="n"/>
      <c r="E437" s="181">
        <f>'Jobs-Ops'!I437</f>
        <v/>
      </c>
      <c r="F437" s="205">
        <f>'Jobs-Ops'!U437</f>
        <v/>
      </c>
      <c r="G437" s="181">
        <f>'Jobs-GAAP'!J437</f>
        <v/>
      </c>
      <c r="H437" s="205">
        <f>'Jobs-GAAP'!V437</f>
        <v/>
      </c>
      <c r="I437" s="181">
        <f>E437-G437</f>
        <v/>
      </c>
      <c r="J437" s="9">
        <f>'Jobs-Ops'!P437</f>
        <v/>
      </c>
      <c r="K437" s="9">
        <f>'Jobs-GAAP'!Q437</f>
        <v/>
      </c>
      <c r="L437" s="9">
        <f>J437-K437</f>
        <v/>
      </c>
      <c r="M437" s="186" t="n"/>
      <c r="N437" s="9">
        <f>'Jobs-Ops'!Y437</f>
        <v/>
      </c>
      <c r="O437" s="9">
        <f>'Jobs-GAAP'!Y437</f>
        <v/>
      </c>
      <c r="P437" s="9">
        <f>N437-O437</f>
        <v/>
      </c>
      <c r="Q437" s="186" t="n"/>
      <c r="R437" s="11">
        <f>'Jobs-Ops'!AL437</f>
        <v/>
      </c>
      <c r="S437" s="11">
        <f>'Jobs-GAAP'!AH437</f>
        <v/>
      </c>
      <c r="T437" s="11">
        <f>IFERROR(R437-S437,0)</f>
        <v/>
      </c>
      <c r="U437" s="8">
        <f>'Jobs-Ops'!AM437</f>
        <v/>
      </c>
      <c r="V437" s="8">
        <f>'Jobs-GAAP'!AI437</f>
        <v/>
      </c>
      <c r="W437" s="8">
        <f>IFERROR(U437-V437,0)</f>
        <v/>
      </c>
      <c r="X437" s="9">
        <f>'Jobs-Ops'!AN437</f>
        <v/>
      </c>
      <c r="Y437" s="9">
        <f>'Jobs-GAAP'!AJ437</f>
        <v/>
      </c>
      <c r="Z437" s="9">
        <f>IFERROR(X437-Y437,0)</f>
        <v/>
      </c>
      <c r="AA437" s="153">
        <f>'Jobs-Ops'!AO437</f>
        <v/>
      </c>
      <c r="AB437" s="187" t="n"/>
      <c r="AC437" s="186" t="n"/>
      <c r="AD437" s="186" t="n"/>
      <c r="AE437" s="188" t="n"/>
      <c r="AF437" s="187" t="n"/>
      <c r="AG437" s="187" t="n"/>
      <c r="AH437" s="186" t="n"/>
      <c r="AI437" s="186" t="n"/>
      <c r="AJ437" s="186" t="n"/>
      <c r="AK437" s="186" t="n"/>
      <c r="AL437" s="186" t="n"/>
      <c r="AM437" s="186" t="n"/>
      <c r="AN437" s="186" t="n"/>
      <c r="AO437" s="186" t="n"/>
      <c r="AP437" s="186" t="n"/>
      <c r="AQ437" s="186" t="n"/>
      <c r="AR437" s="186" t="n"/>
      <c r="AS437" s="186" t="n"/>
      <c r="AT437" s="186" t="n"/>
      <c r="AU437" s="186" t="n"/>
      <c r="AV437" s="186" t="n"/>
      <c r="AW437" s="186" t="n"/>
      <c r="AX437" s="186" t="n"/>
      <c r="AY437" s="186" t="n"/>
      <c r="AZ437" s="186" t="n"/>
      <c r="BA437" s="186" t="n"/>
      <c r="BB437" s="186" t="n"/>
      <c r="BC437" s="186" t="n"/>
      <c r="BD437" s="190" t="n"/>
      <c r="BE437" s="186" t="n"/>
      <c r="BF437" s="186" t="n"/>
      <c r="BG437" s="186" t="n"/>
      <c r="BH437" s="186" t="n"/>
      <c r="BI437" s="186" t="n"/>
      <c r="BJ437" s="187" t="n"/>
      <c r="BK437" s="192" t="n"/>
      <c r="BL437" s="192" t="n"/>
      <c r="BM437" s="192" t="n"/>
      <c r="BN437" s="192" t="n"/>
    </row>
    <row r="438">
      <c r="AB438" s="74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W438" s="77" t="n"/>
      <c r="AX438" s="77" t="n"/>
      <c r="AY438" s="77" t="n"/>
      <c r="AZ438" s="77" t="n"/>
      <c r="BA438" s="77" t="n"/>
      <c r="BB438" s="77" t="n"/>
      <c r="BC438" s="77" t="n"/>
      <c r="BD438" s="77" t="n"/>
    </row>
    <row r="439">
      <c r="C439" s="13" t="n"/>
      <c r="D439" s="13" t="n"/>
      <c r="E439" s="13" t="n"/>
      <c r="F439" s="13" t="n"/>
      <c r="G439" s="13" t="n"/>
      <c r="H439" s="13" t="n"/>
      <c r="I439" s="13" t="n"/>
      <c r="AB439" s="74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W439" s="77" t="n"/>
      <c r="AX439" s="77" t="n"/>
      <c r="AY439" s="77" t="n"/>
      <c r="AZ439" s="77" t="n"/>
      <c r="BA439" s="77" t="n"/>
      <c r="BB439" s="77" t="n"/>
      <c r="BC439" s="77" t="n"/>
      <c r="BD439" s="77" t="n"/>
    </row>
    <row r="440">
      <c r="AB440" s="74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W440" s="77" t="n"/>
      <c r="AX440" s="77" t="n"/>
      <c r="AY440" s="77" t="n"/>
      <c r="AZ440" s="77" t="n"/>
      <c r="BA440" s="77" t="n"/>
      <c r="BB440" s="77" t="n"/>
      <c r="BC440" s="77" t="n"/>
      <c r="BD440" s="77" t="n"/>
    </row>
    <row r="441">
      <c r="C441" s="13" t="n"/>
      <c r="D441" s="13" t="n"/>
      <c r="E441" s="13" t="n"/>
      <c r="F441" s="13" t="n"/>
      <c r="G441" s="13" t="n"/>
      <c r="H441" s="13" t="n"/>
      <c r="I441" s="13" t="n"/>
      <c r="AB441" s="74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W441" s="77" t="n"/>
      <c r="AX441" s="77" t="n"/>
      <c r="AY441" s="77" t="n"/>
      <c r="AZ441" s="77" t="n"/>
      <c r="BA441" s="77" t="n"/>
      <c r="BB441" s="77" t="n"/>
      <c r="BC441" s="77" t="n"/>
      <c r="BD441" s="77" t="n"/>
    </row>
    <row r="442">
      <c r="AB442" s="74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W442" s="77" t="n"/>
      <c r="AX442" s="77" t="n"/>
      <c r="AY442" s="77" t="n"/>
      <c r="AZ442" s="77" t="n"/>
      <c r="BA442" s="77" t="n"/>
      <c r="BB442" s="77" t="n"/>
      <c r="BC442" s="77" t="n"/>
      <c r="BD442" s="77" t="n"/>
    </row>
    <row r="443">
      <c r="C443" s="13" t="n"/>
      <c r="D443" s="13" t="n"/>
      <c r="E443" s="13" t="n"/>
      <c r="F443" s="13" t="n"/>
      <c r="G443" s="13" t="n"/>
      <c r="H443" s="13" t="n"/>
      <c r="I443" s="13" t="n"/>
      <c r="AB443" s="74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W443" s="77" t="n"/>
      <c r="AX443" s="77" t="n"/>
      <c r="AY443" s="77" t="n"/>
      <c r="AZ443" s="77" t="n"/>
      <c r="BA443" s="77" t="n"/>
      <c r="BB443" s="77" t="n"/>
      <c r="BC443" s="77" t="n"/>
      <c r="BD443" s="77" t="n"/>
    </row>
    <row r="444">
      <c r="AB444" s="74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W444" s="77" t="n"/>
      <c r="AX444" s="77" t="n"/>
      <c r="AY444" s="77" t="n"/>
      <c r="AZ444" s="77" t="n"/>
      <c r="BA444" s="77" t="n"/>
      <c r="BB444" s="77" t="n"/>
      <c r="BC444" s="77" t="n"/>
      <c r="BD444" s="77" t="n"/>
    </row>
    <row r="445">
      <c r="C445" s="13" t="n"/>
      <c r="D445" s="13" t="n"/>
      <c r="E445" s="13" t="n"/>
      <c r="F445" s="13" t="n"/>
      <c r="G445" s="13" t="n"/>
      <c r="H445" s="13" t="n"/>
      <c r="I445" s="13" t="n"/>
      <c r="AB445" s="74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W445" s="77" t="n"/>
      <c r="AX445" s="77" t="n"/>
      <c r="AY445" s="77" t="n"/>
      <c r="AZ445" s="77" t="n"/>
      <c r="BA445" s="77" t="n"/>
      <c r="BB445" s="77" t="n"/>
      <c r="BC445" s="77" t="n"/>
      <c r="BD445" s="77" t="n"/>
    </row>
    <row r="446">
      <c r="AB446" s="74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W446" s="77" t="n"/>
      <c r="AX446" s="77" t="n"/>
      <c r="AY446" s="77" t="n"/>
      <c r="AZ446" s="77" t="n"/>
      <c r="BA446" s="77" t="n"/>
      <c r="BB446" s="77" t="n"/>
      <c r="BC446" s="77" t="n"/>
      <c r="BD446" s="77" t="n"/>
    </row>
    <row r="447">
      <c r="C447" s="13" t="n"/>
      <c r="D447" s="13" t="n"/>
      <c r="E447" s="13" t="n"/>
      <c r="F447" s="13" t="n"/>
      <c r="G447" s="13" t="n"/>
      <c r="H447" s="13" t="n"/>
      <c r="I447" s="13" t="n"/>
      <c r="AB447" s="74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W447" s="77" t="n"/>
      <c r="AX447" s="77" t="n"/>
      <c r="AY447" s="77" t="n"/>
      <c r="AZ447" s="77" t="n"/>
      <c r="BA447" s="77" t="n"/>
      <c r="BB447" s="77" t="n"/>
      <c r="BC447" s="77" t="n"/>
      <c r="BD447" s="77" t="n"/>
    </row>
    <row r="448">
      <c r="AB448" s="74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W448" s="77" t="n"/>
      <c r="AX448" s="77" t="n"/>
      <c r="AY448" s="77" t="n"/>
      <c r="AZ448" s="77" t="n"/>
      <c r="BA448" s="77" t="n"/>
      <c r="BB448" s="77" t="n"/>
      <c r="BC448" s="77" t="n"/>
      <c r="BD448" s="77" t="n"/>
    </row>
    <row r="449">
      <c r="B449" s="6" t="n"/>
      <c r="C449" s="13" t="n"/>
      <c r="D449" s="13" t="n"/>
      <c r="J449" s="15" t="n"/>
      <c r="K449" s="15" t="n"/>
      <c r="L449" s="15" t="n"/>
      <c r="M449" s="15" t="n"/>
      <c r="Q449" s="15" t="n"/>
      <c r="AB449" s="74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W449" s="77" t="n"/>
      <c r="AX449" s="77" t="n"/>
      <c r="AY449" s="77" t="n"/>
      <c r="AZ449" s="77" t="n"/>
      <c r="BA449" s="77" t="n"/>
      <c r="BB449" s="77" t="n"/>
      <c r="BC449" s="77" t="n"/>
      <c r="BD449" s="77" t="n"/>
    </row>
    <row r="450">
      <c r="AB450" s="74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W450" s="77" t="n"/>
      <c r="AX450" s="77" t="n"/>
      <c r="AY450" s="77" t="n"/>
      <c r="AZ450" s="77" t="n"/>
      <c r="BA450" s="77" t="n"/>
      <c r="BB450" s="77" t="n"/>
      <c r="BC450" s="77" t="n"/>
      <c r="BD450" s="77" t="n"/>
    </row>
    <row r="451">
      <c r="B451" s="7" t="n"/>
      <c r="C451" s="13" t="n"/>
      <c r="D451" s="13" t="n"/>
      <c r="E451" s="13" t="n"/>
      <c r="F451" s="13" t="n"/>
      <c r="G451" s="13" t="n"/>
      <c r="H451" s="13" t="n"/>
      <c r="I451" s="13" t="n"/>
      <c r="AB451" s="74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W451" s="77" t="n"/>
      <c r="AX451" s="77" t="n"/>
      <c r="AY451" s="77" t="n"/>
      <c r="AZ451" s="77" t="n"/>
      <c r="BA451" s="77" t="n"/>
      <c r="BB451" s="77" t="n"/>
      <c r="BC451" s="77" t="n"/>
      <c r="BD451" s="77" t="n"/>
    </row>
    <row r="452">
      <c r="AB452" s="74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W452" s="77" t="n"/>
      <c r="AX452" s="77" t="n"/>
      <c r="AY452" s="77" t="n"/>
      <c r="AZ452" s="77" t="n"/>
      <c r="BA452" s="77" t="n"/>
      <c r="BB452" s="77" t="n"/>
      <c r="BC452" s="77" t="n"/>
      <c r="BD452" s="77" t="n"/>
    </row>
    <row r="453">
      <c r="C453" s="13" t="n"/>
      <c r="D453" s="13" t="n"/>
      <c r="E453" s="13" t="n"/>
      <c r="F453" s="13" t="n"/>
      <c r="G453" s="13" t="n"/>
      <c r="H453" s="13" t="n"/>
      <c r="I453" s="13" t="n"/>
      <c r="AB453" s="74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W453" s="77" t="n"/>
      <c r="AX453" s="77" t="n"/>
      <c r="AY453" s="77" t="n"/>
      <c r="AZ453" s="77" t="n"/>
      <c r="BA453" s="77" t="n"/>
      <c r="BB453" s="77" t="n"/>
      <c r="BC453" s="77" t="n"/>
      <c r="BD453" s="77" t="n"/>
    </row>
    <row r="454">
      <c r="AB454" s="74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W454" s="77" t="n"/>
      <c r="AX454" s="77" t="n"/>
      <c r="AY454" s="77" t="n"/>
      <c r="AZ454" s="77" t="n"/>
      <c r="BA454" s="77" t="n"/>
      <c r="BB454" s="77" t="n"/>
      <c r="BC454" s="77" t="n"/>
      <c r="BD454" s="77" t="n"/>
    </row>
    <row r="455">
      <c r="C455" s="13" t="n"/>
      <c r="D455" s="13" t="n"/>
      <c r="E455" s="13" t="n"/>
      <c r="F455" s="13" t="n"/>
      <c r="G455" s="13" t="n"/>
      <c r="H455" s="13" t="n"/>
      <c r="I455" s="13" t="n"/>
      <c r="AB455" s="74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W455" s="77" t="n"/>
      <c r="AX455" s="77" t="n"/>
      <c r="AY455" s="77" t="n"/>
      <c r="AZ455" s="77" t="n"/>
      <c r="BA455" s="77" t="n"/>
      <c r="BB455" s="77" t="n"/>
      <c r="BC455" s="77" t="n"/>
      <c r="BD455" s="77" t="n"/>
    </row>
    <row r="456">
      <c r="AB456" s="74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W456" s="77" t="n"/>
      <c r="AX456" s="77" t="n"/>
      <c r="AY456" s="77" t="n"/>
      <c r="AZ456" s="77" t="n"/>
      <c r="BA456" s="77" t="n"/>
      <c r="BB456" s="77" t="n"/>
      <c r="BC456" s="77" t="n"/>
      <c r="BD456" s="77" t="n"/>
    </row>
    <row r="457">
      <c r="C457" s="13" t="n"/>
      <c r="D457" s="13" t="n"/>
      <c r="E457" s="13" t="n"/>
      <c r="F457" s="13" t="n"/>
      <c r="G457" s="13" t="n"/>
      <c r="H457" s="13" t="n"/>
      <c r="I457" s="13" t="n"/>
      <c r="AB457" s="74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W457" s="77" t="n"/>
      <c r="AX457" s="77" t="n"/>
      <c r="AY457" s="77" t="n"/>
      <c r="AZ457" s="77" t="n"/>
      <c r="BA457" s="77" t="n"/>
      <c r="BB457" s="77" t="n"/>
      <c r="BC457" s="77" t="n"/>
      <c r="BD457" s="77" t="n"/>
    </row>
    <row r="458">
      <c r="AB458" s="74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W458" s="77" t="n"/>
      <c r="AX458" s="77" t="n"/>
      <c r="AY458" s="77" t="n"/>
      <c r="AZ458" s="77" t="n"/>
      <c r="BA458" s="77" t="n"/>
      <c r="BB458" s="77" t="n"/>
      <c r="BC458" s="77" t="n"/>
      <c r="BD458" s="77" t="n"/>
    </row>
    <row r="459">
      <c r="C459" s="13" t="n"/>
      <c r="D459" s="13" t="n"/>
      <c r="E459" s="13" t="n"/>
      <c r="F459" s="13" t="n"/>
      <c r="G459" s="13" t="n"/>
      <c r="H459" s="13" t="n"/>
      <c r="I459" s="13" t="n"/>
      <c r="AB459" s="74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W459" s="77" t="n"/>
      <c r="AX459" s="77" t="n"/>
      <c r="AY459" s="77" t="n"/>
      <c r="AZ459" s="77" t="n"/>
      <c r="BA459" s="77" t="n"/>
      <c r="BB459" s="77" t="n"/>
      <c r="BC459" s="77" t="n"/>
      <c r="BD459" s="77" t="n"/>
    </row>
    <row r="460">
      <c r="AB460" s="74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W460" s="77" t="n"/>
      <c r="AX460" s="77" t="n"/>
      <c r="AY460" s="77" t="n"/>
      <c r="AZ460" s="77" t="n"/>
      <c r="BA460" s="77" t="n"/>
      <c r="BB460" s="77" t="n"/>
      <c r="BC460" s="77" t="n"/>
      <c r="BD460" s="77" t="n"/>
    </row>
    <row r="461">
      <c r="C461" s="13" t="n"/>
      <c r="D461" s="13" t="n"/>
      <c r="E461" s="13" t="n"/>
      <c r="F461" s="13" t="n"/>
      <c r="G461" s="13" t="n"/>
      <c r="H461" s="13" t="n"/>
      <c r="I461" s="13" t="n"/>
      <c r="AB461" s="74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W461" s="77" t="n"/>
      <c r="AX461" s="77" t="n"/>
      <c r="AY461" s="77" t="n"/>
      <c r="AZ461" s="77" t="n"/>
      <c r="BA461" s="77" t="n"/>
      <c r="BB461" s="77" t="n"/>
      <c r="BC461" s="77" t="n"/>
      <c r="BD461" s="77" t="n"/>
    </row>
    <row r="462">
      <c r="AB462" s="74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W462" s="77" t="n"/>
      <c r="AX462" s="77" t="n"/>
      <c r="AY462" s="77" t="n"/>
      <c r="AZ462" s="77" t="n"/>
      <c r="BA462" s="77" t="n"/>
      <c r="BB462" s="77" t="n"/>
      <c r="BC462" s="77" t="n"/>
      <c r="BD462" s="77" t="n"/>
    </row>
    <row r="463">
      <c r="C463" s="13" t="n"/>
      <c r="D463" s="13" t="n"/>
      <c r="E463" s="13" t="n"/>
      <c r="F463" s="13" t="n"/>
      <c r="G463" s="13" t="n"/>
      <c r="H463" s="13" t="n"/>
      <c r="I463" s="13" t="n"/>
      <c r="AB463" s="74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W463" s="77" t="n"/>
      <c r="AX463" s="77" t="n"/>
      <c r="AY463" s="77" t="n"/>
      <c r="AZ463" s="77" t="n"/>
      <c r="BA463" s="77" t="n"/>
      <c r="BB463" s="77" t="n"/>
      <c r="BC463" s="77" t="n"/>
      <c r="BD463" s="77" t="n"/>
    </row>
    <row r="464">
      <c r="B464" s="6" t="n"/>
      <c r="J464" s="15" t="n"/>
      <c r="K464" s="15" t="n"/>
      <c r="L464" s="15" t="n"/>
      <c r="M464" s="15" t="n"/>
      <c r="Q464" s="15" t="n"/>
      <c r="AB464" s="74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W464" s="77" t="n"/>
      <c r="AX464" s="77" t="n"/>
      <c r="AY464" s="77" t="n"/>
      <c r="AZ464" s="77" t="n"/>
      <c r="BA464" s="77" t="n"/>
      <c r="BB464" s="77" t="n"/>
      <c r="BC464" s="77" t="n"/>
      <c r="BD464" s="77" t="n"/>
    </row>
    <row r="465">
      <c r="C465" s="13" t="n"/>
      <c r="D465" s="13" t="n"/>
      <c r="E465" s="13" t="n"/>
      <c r="F465" s="13" t="n"/>
      <c r="G465" s="13" t="n"/>
      <c r="H465" s="13" t="n"/>
      <c r="I465" s="13" t="n"/>
      <c r="AB465" s="74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W465" s="77" t="n"/>
      <c r="AX465" s="77" t="n"/>
      <c r="AY465" s="77" t="n"/>
      <c r="AZ465" s="77" t="n"/>
      <c r="BA465" s="77" t="n"/>
      <c r="BB465" s="77" t="n"/>
      <c r="BC465" s="77" t="n"/>
      <c r="BD465" s="77" t="n"/>
    </row>
    <row r="466">
      <c r="B466" s="6" t="n"/>
      <c r="J466" s="15" t="n"/>
      <c r="K466" s="15" t="n"/>
      <c r="L466" s="15" t="n"/>
      <c r="M466" s="15" t="n"/>
      <c r="Q466" s="15" t="n"/>
      <c r="AB466" s="74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W466" s="77" t="n"/>
      <c r="AX466" s="77" t="n"/>
      <c r="AY466" s="77" t="n"/>
      <c r="AZ466" s="77" t="n"/>
      <c r="BA466" s="77" t="n"/>
      <c r="BB466" s="77" t="n"/>
      <c r="BC466" s="77" t="n"/>
      <c r="BD466" s="77" t="n"/>
    </row>
    <row r="467">
      <c r="C467" s="13" t="n"/>
      <c r="D467" s="13" t="n"/>
      <c r="E467" s="13" t="n"/>
      <c r="F467" s="13" t="n"/>
      <c r="G467" s="13" t="n"/>
      <c r="H467" s="13" t="n"/>
      <c r="I467" s="13" t="n"/>
      <c r="AB467" s="74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W467" s="77" t="n"/>
      <c r="AX467" s="77" t="n"/>
      <c r="AY467" s="77" t="n"/>
      <c r="AZ467" s="77" t="n"/>
      <c r="BA467" s="77" t="n"/>
      <c r="BB467" s="77" t="n"/>
      <c r="BC467" s="77" t="n"/>
      <c r="BD467" s="77" t="n"/>
    </row>
    <row r="468">
      <c r="AB468" s="74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W468" s="77" t="n"/>
      <c r="AX468" s="77" t="n"/>
      <c r="AY468" s="77" t="n"/>
      <c r="AZ468" s="77" t="n"/>
      <c r="BA468" s="77" t="n"/>
      <c r="BB468" s="77" t="n"/>
      <c r="BC468" s="77" t="n"/>
      <c r="BD468" s="77" t="n"/>
    </row>
    <row r="469">
      <c r="C469" s="13" t="n"/>
      <c r="D469" s="13" t="n"/>
      <c r="E469" s="13" t="n"/>
      <c r="F469" s="13" t="n"/>
      <c r="G469" s="13" t="n"/>
      <c r="H469" s="13" t="n"/>
      <c r="I469" s="13" t="n"/>
      <c r="AB469" s="74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W469" s="77" t="n"/>
      <c r="AX469" s="77" t="n"/>
      <c r="AY469" s="77" t="n"/>
      <c r="AZ469" s="77" t="n"/>
      <c r="BA469" s="77" t="n"/>
      <c r="BB469" s="77" t="n"/>
      <c r="BC469" s="77" t="n"/>
      <c r="BD469" s="77" t="n"/>
    </row>
    <row r="470">
      <c r="AB470" s="74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W470" s="77" t="n"/>
      <c r="AX470" s="77" t="n"/>
      <c r="AY470" s="77" t="n"/>
      <c r="AZ470" s="77" t="n"/>
      <c r="BA470" s="77" t="n"/>
      <c r="BB470" s="77" t="n"/>
      <c r="BC470" s="77" t="n"/>
      <c r="BD470" s="77" t="n"/>
    </row>
    <row r="471">
      <c r="C471" s="13" t="n"/>
      <c r="D471" s="13" t="n"/>
      <c r="E471" s="13" t="n"/>
      <c r="F471" s="13" t="n"/>
      <c r="G471" s="13" t="n"/>
      <c r="H471" s="13" t="n"/>
      <c r="I471" s="13" t="n"/>
      <c r="AB471" s="74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W471" s="77" t="n"/>
      <c r="AX471" s="77" t="n"/>
      <c r="AY471" s="77" t="n"/>
      <c r="AZ471" s="77" t="n"/>
      <c r="BA471" s="77" t="n"/>
      <c r="BB471" s="77" t="n"/>
      <c r="BC471" s="77" t="n"/>
      <c r="BD471" s="77" t="n"/>
    </row>
    <row r="472">
      <c r="AB472" s="74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W472" s="77" t="n"/>
      <c r="AX472" s="77" t="n"/>
      <c r="AY472" s="77" t="n"/>
      <c r="AZ472" s="77" t="n"/>
      <c r="BA472" s="77" t="n"/>
      <c r="BB472" s="77" t="n"/>
      <c r="BC472" s="77" t="n"/>
      <c r="BD472" s="77" t="n"/>
    </row>
    <row r="473">
      <c r="C473" s="13" t="n"/>
      <c r="D473" s="13" t="n"/>
      <c r="E473" s="13" t="n"/>
      <c r="F473" s="13" t="n"/>
      <c r="G473" s="13" t="n"/>
      <c r="H473" s="13" t="n"/>
      <c r="I473" s="13" t="n"/>
      <c r="AB473" s="74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W473" s="77" t="n"/>
      <c r="AX473" s="77" t="n"/>
      <c r="AY473" s="77" t="n"/>
      <c r="AZ473" s="77" t="n"/>
      <c r="BA473" s="77" t="n"/>
      <c r="BB473" s="77" t="n"/>
      <c r="BC473" s="77" t="n"/>
      <c r="BD473" s="77" t="n"/>
    </row>
    <row r="474">
      <c r="AB474" s="74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W474" s="77" t="n"/>
      <c r="AX474" s="77" t="n"/>
      <c r="AY474" s="77" t="n"/>
      <c r="AZ474" s="77" t="n"/>
      <c r="BA474" s="77" t="n"/>
      <c r="BB474" s="77" t="n"/>
      <c r="BC474" s="77" t="n"/>
      <c r="BD474" s="77" t="n"/>
    </row>
    <row r="475">
      <c r="C475" s="13" t="n"/>
      <c r="D475" s="13" t="n"/>
      <c r="E475" s="13" t="n"/>
      <c r="F475" s="13" t="n"/>
      <c r="G475" s="13" t="n"/>
      <c r="H475" s="13" t="n"/>
      <c r="I475" s="13" t="n"/>
      <c r="AB475" s="74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W475" s="77" t="n"/>
      <c r="AX475" s="77" t="n"/>
      <c r="AY475" s="77" t="n"/>
      <c r="AZ475" s="77" t="n"/>
      <c r="BA475" s="77" t="n"/>
      <c r="BB475" s="77" t="n"/>
      <c r="BC475" s="77" t="n"/>
      <c r="BD475" s="77" t="n"/>
    </row>
    <row r="476">
      <c r="AB476" s="74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W476" s="77" t="n"/>
      <c r="AX476" s="77" t="n"/>
      <c r="AY476" s="77" t="n"/>
      <c r="AZ476" s="77" t="n"/>
      <c r="BA476" s="77" t="n"/>
      <c r="BB476" s="77" t="n"/>
      <c r="BC476" s="77" t="n"/>
      <c r="BD476" s="77" t="n"/>
    </row>
    <row r="477">
      <c r="C477" s="13" t="n"/>
      <c r="D477" s="13" t="n"/>
      <c r="E477" s="13" t="n"/>
      <c r="F477" s="13" t="n"/>
      <c r="G477" s="13" t="n"/>
      <c r="H477" s="13" t="n"/>
      <c r="I477" s="13" t="n"/>
      <c r="AB477" s="74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W477" s="77" t="n"/>
      <c r="AX477" s="77" t="n"/>
      <c r="AY477" s="77" t="n"/>
      <c r="AZ477" s="77" t="n"/>
      <c r="BA477" s="77" t="n"/>
      <c r="BB477" s="77" t="n"/>
      <c r="BC477" s="77" t="n"/>
      <c r="BD477" s="77" t="n"/>
    </row>
    <row r="478">
      <c r="AB478" s="74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W478" s="77" t="n"/>
      <c r="AX478" s="77" t="n"/>
      <c r="AY478" s="77" t="n"/>
      <c r="AZ478" s="77" t="n"/>
      <c r="BA478" s="77" t="n"/>
      <c r="BB478" s="77" t="n"/>
      <c r="BC478" s="77" t="n"/>
      <c r="BD478" s="77" t="n"/>
    </row>
    <row r="479">
      <c r="C479" s="13" t="n"/>
      <c r="D479" s="13" t="n"/>
      <c r="E479" s="13" t="n"/>
      <c r="F479" s="13" t="n"/>
      <c r="G479" s="13" t="n"/>
      <c r="H479" s="13" t="n"/>
      <c r="I479" s="13" t="n"/>
      <c r="AB479" s="74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W479" s="77" t="n"/>
      <c r="AX479" s="77" t="n"/>
      <c r="AY479" s="77" t="n"/>
      <c r="AZ479" s="77" t="n"/>
      <c r="BA479" s="77" t="n"/>
      <c r="BB479" s="77" t="n"/>
      <c r="BC479" s="77" t="n"/>
      <c r="BD479" s="77" t="n"/>
    </row>
    <row r="480">
      <c r="AB480" s="74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W480" s="77" t="n"/>
      <c r="AX480" s="77" t="n"/>
      <c r="AY480" s="77" t="n"/>
      <c r="AZ480" s="77" t="n"/>
      <c r="BA480" s="77" t="n"/>
      <c r="BB480" s="77" t="n"/>
      <c r="BC480" s="77" t="n"/>
      <c r="BD480" s="77" t="n"/>
    </row>
    <row r="481">
      <c r="C481" s="13" t="n"/>
      <c r="D481" s="13" t="n"/>
      <c r="E481" s="13" t="n"/>
      <c r="F481" s="13" t="n"/>
      <c r="G481" s="13" t="n"/>
      <c r="H481" s="13" t="n"/>
      <c r="I481" s="13" t="n"/>
      <c r="AB481" s="74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W481" s="77" t="n"/>
      <c r="AX481" s="77" t="n"/>
      <c r="AY481" s="77" t="n"/>
      <c r="AZ481" s="77" t="n"/>
      <c r="BA481" s="77" t="n"/>
      <c r="BB481" s="77" t="n"/>
      <c r="BC481" s="77" t="n"/>
      <c r="BD481" s="77" t="n"/>
    </row>
    <row r="482">
      <c r="AB482" s="74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W482" s="77" t="n"/>
      <c r="AX482" s="77" t="n"/>
      <c r="AY482" s="77" t="n"/>
      <c r="AZ482" s="77" t="n"/>
      <c r="BA482" s="77" t="n"/>
      <c r="BB482" s="77" t="n"/>
      <c r="BC482" s="77" t="n"/>
      <c r="BD482" s="77" t="n"/>
    </row>
    <row r="483">
      <c r="C483" s="13" t="n"/>
      <c r="D483" s="13" t="n"/>
      <c r="E483" s="13" t="n"/>
      <c r="F483" s="13" t="n"/>
      <c r="G483" s="13" t="n"/>
      <c r="H483" s="13" t="n"/>
      <c r="I483" s="13" t="n"/>
      <c r="AB483" s="74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W483" s="77" t="n"/>
      <c r="AX483" s="77" t="n"/>
      <c r="AY483" s="77" t="n"/>
      <c r="AZ483" s="77" t="n"/>
      <c r="BA483" s="77" t="n"/>
      <c r="BB483" s="77" t="n"/>
      <c r="BC483" s="77" t="n"/>
      <c r="BD483" s="77" t="n"/>
    </row>
    <row r="484">
      <c r="AB484" s="74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W484" s="77" t="n"/>
      <c r="AX484" s="77" t="n"/>
      <c r="AY484" s="77" t="n"/>
      <c r="AZ484" s="77" t="n"/>
      <c r="BA484" s="77" t="n"/>
      <c r="BB484" s="77" t="n"/>
      <c r="BC484" s="77" t="n"/>
      <c r="BD484" s="77" t="n"/>
    </row>
    <row r="485">
      <c r="C485" s="13" t="n"/>
      <c r="D485" s="13" t="n"/>
      <c r="E485" s="13" t="n"/>
      <c r="F485" s="13" t="n"/>
      <c r="G485" s="13" t="n"/>
      <c r="H485" s="13" t="n"/>
      <c r="I485" s="13" t="n"/>
      <c r="AB485" s="74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W485" s="77" t="n"/>
      <c r="AX485" s="77" t="n"/>
      <c r="AY485" s="77" t="n"/>
      <c r="AZ485" s="77" t="n"/>
      <c r="BA485" s="77" t="n"/>
      <c r="BB485" s="77" t="n"/>
      <c r="BC485" s="77" t="n"/>
      <c r="BD485" s="77" t="n"/>
    </row>
    <row r="486">
      <c r="AB486" s="74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W486" s="77" t="n"/>
      <c r="AX486" s="77" t="n"/>
      <c r="AY486" s="77" t="n"/>
      <c r="AZ486" s="77" t="n"/>
      <c r="BA486" s="77" t="n"/>
      <c r="BB486" s="77" t="n"/>
      <c r="BC486" s="77" t="n"/>
      <c r="BD486" s="77" t="n"/>
    </row>
    <row r="487">
      <c r="C487" s="13" t="n"/>
      <c r="D487" s="13" t="n"/>
      <c r="E487" s="13" t="n"/>
      <c r="F487" s="13" t="n"/>
      <c r="G487" s="13" t="n"/>
      <c r="H487" s="13" t="n"/>
      <c r="I487" s="13" t="n"/>
      <c r="AB487" s="74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W487" s="77" t="n"/>
      <c r="AX487" s="77" t="n"/>
      <c r="AY487" s="77" t="n"/>
      <c r="AZ487" s="77" t="n"/>
      <c r="BA487" s="77" t="n"/>
      <c r="BB487" s="77" t="n"/>
      <c r="BC487" s="77" t="n"/>
      <c r="BD487" s="77" t="n"/>
    </row>
    <row r="488">
      <c r="AB488" s="74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W488" s="77" t="n"/>
      <c r="AX488" s="77" t="n"/>
      <c r="AY488" s="77" t="n"/>
      <c r="AZ488" s="77" t="n"/>
      <c r="BA488" s="77" t="n"/>
      <c r="BB488" s="77" t="n"/>
      <c r="BC488" s="77" t="n"/>
      <c r="BD488" s="77" t="n"/>
    </row>
    <row r="489">
      <c r="C489" s="13" t="n"/>
      <c r="D489" s="13" t="n"/>
      <c r="E489" s="13" t="n"/>
      <c r="F489" s="13" t="n"/>
      <c r="G489" s="13" t="n"/>
      <c r="H489" s="13" t="n"/>
      <c r="I489" s="13" t="n"/>
      <c r="AB489" s="74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W489" s="77" t="n"/>
      <c r="AX489" s="77" t="n"/>
      <c r="AY489" s="77" t="n"/>
      <c r="AZ489" s="77" t="n"/>
      <c r="BA489" s="77" t="n"/>
      <c r="BB489" s="77" t="n"/>
      <c r="BC489" s="77" t="n"/>
      <c r="BD489" s="77" t="n"/>
    </row>
    <row r="490">
      <c r="AB490" s="74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W490" s="77" t="n"/>
      <c r="AX490" s="77" t="n"/>
      <c r="AY490" s="77" t="n"/>
      <c r="AZ490" s="77" t="n"/>
      <c r="BA490" s="77" t="n"/>
      <c r="BB490" s="77" t="n"/>
      <c r="BC490" s="77" t="n"/>
      <c r="BD490" s="77" t="n"/>
    </row>
    <row r="491">
      <c r="C491" s="13" t="n"/>
      <c r="D491" s="13" t="n"/>
      <c r="E491" s="13" t="n"/>
      <c r="F491" s="13" t="n"/>
      <c r="G491" s="13" t="n"/>
      <c r="H491" s="13" t="n"/>
      <c r="I491" s="13" t="n"/>
      <c r="AB491" s="74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W491" s="77" t="n"/>
      <c r="AX491" s="77" t="n"/>
      <c r="AY491" s="77" t="n"/>
      <c r="AZ491" s="77" t="n"/>
      <c r="BA491" s="77" t="n"/>
      <c r="BB491" s="77" t="n"/>
      <c r="BC491" s="77" t="n"/>
      <c r="BD491" s="77" t="n"/>
    </row>
    <row r="492">
      <c r="AB492" s="74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W492" s="77" t="n"/>
      <c r="AX492" s="77" t="n"/>
      <c r="AY492" s="77" t="n"/>
      <c r="AZ492" s="77" t="n"/>
      <c r="BA492" s="77" t="n"/>
      <c r="BB492" s="77" t="n"/>
      <c r="BC492" s="77" t="n"/>
      <c r="BD492" s="77" t="n"/>
    </row>
    <row r="493">
      <c r="C493" s="13" t="n"/>
      <c r="D493" s="13" t="n"/>
      <c r="E493" s="13" t="n"/>
      <c r="F493" s="13" t="n"/>
      <c r="G493" s="13" t="n"/>
      <c r="H493" s="13" t="n"/>
      <c r="I493" s="13" t="n"/>
      <c r="AB493" s="74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W493" s="77" t="n"/>
      <c r="AX493" s="77" t="n"/>
      <c r="AY493" s="77" t="n"/>
      <c r="AZ493" s="77" t="n"/>
      <c r="BA493" s="77" t="n"/>
      <c r="BB493" s="77" t="n"/>
      <c r="BC493" s="77" t="n"/>
      <c r="BD493" s="77" t="n"/>
    </row>
    <row r="494">
      <c r="AB494" s="74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W494" s="77" t="n"/>
      <c r="AX494" s="77" t="n"/>
      <c r="AY494" s="77" t="n"/>
      <c r="AZ494" s="77" t="n"/>
      <c r="BA494" s="77" t="n"/>
      <c r="BB494" s="77" t="n"/>
      <c r="BC494" s="77" t="n"/>
      <c r="BD494" s="77" t="n"/>
    </row>
    <row r="495">
      <c r="C495" s="13" t="n"/>
      <c r="D495" s="13" t="n"/>
      <c r="E495" s="13" t="n"/>
      <c r="F495" s="13" t="n"/>
      <c r="G495" s="13" t="n"/>
      <c r="H495" s="13" t="n"/>
      <c r="I495" s="13" t="n"/>
      <c r="AB495" s="74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W495" s="77" t="n"/>
      <c r="AX495" s="77" t="n"/>
      <c r="AY495" s="77" t="n"/>
      <c r="AZ495" s="77" t="n"/>
      <c r="BA495" s="77" t="n"/>
      <c r="BB495" s="77" t="n"/>
      <c r="BC495" s="77" t="n"/>
      <c r="BD495" s="77" t="n"/>
    </row>
    <row r="496">
      <c r="AB496" s="74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W496" s="77" t="n"/>
      <c r="AX496" s="77" t="n"/>
      <c r="AY496" s="77" t="n"/>
      <c r="AZ496" s="77" t="n"/>
      <c r="BA496" s="77" t="n"/>
      <c r="BB496" s="77" t="n"/>
      <c r="BC496" s="77" t="n"/>
      <c r="BD496" s="77" t="n"/>
    </row>
    <row r="497">
      <c r="C497" s="13" t="n"/>
      <c r="D497" s="13" t="n"/>
      <c r="E497" s="13" t="n"/>
      <c r="F497" s="13" t="n"/>
      <c r="G497" s="13" t="n"/>
      <c r="H497" s="13" t="n"/>
      <c r="I497" s="13" t="n"/>
      <c r="AB497" s="74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W497" s="77" t="n"/>
      <c r="AX497" s="77" t="n"/>
      <c r="AY497" s="77" t="n"/>
      <c r="AZ497" s="77" t="n"/>
      <c r="BA497" s="77" t="n"/>
      <c r="BB497" s="77" t="n"/>
      <c r="BC497" s="77" t="n"/>
      <c r="BD497" s="77" t="n"/>
    </row>
    <row r="498">
      <c r="AB498" s="74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W498" s="77" t="n"/>
      <c r="AX498" s="77" t="n"/>
      <c r="AY498" s="77" t="n"/>
      <c r="AZ498" s="77" t="n"/>
      <c r="BA498" s="77" t="n"/>
      <c r="BB498" s="77" t="n"/>
      <c r="BC498" s="77" t="n"/>
      <c r="BD498" s="77" t="n"/>
    </row>
    <row r="499">
      <c r="C499" s="13" t="n"/>
      <c r="D499" s="13" t="n"/>
      <c r="E499" s="13" t="n"/>
      <c r="F499" s="13" t="n"/>
      <c r="G499" s="13" t="n"/>
      <c r="H499" s="13" t="n"/>
      <c r="I499" s="13" t="n"/>
      <c r="AB499" s="74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W499" s="77" t="n"/>
      <c r="AX499" s="77" t="n"/>
      <c r="AY499" s="77" t="n"/>
      <c r="AZ499" s="77" t="n"/>
      <c r="BA499" s="77" t="n"/>
      <c r="BB499" s="77" t="n"/>
      <c r="BC499" s="77" t="n"/>
      <c r="BD499" s="77" t="n"/>
    </row>
    <row r="500">
      <c r="AB500" s="74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W500" s="77" t="n"/>
      <c r="AX500" s="77" t="n"/>
      <c r="AY500" s="77" t="n"/>
      <c r="AZ500" s="77" t="n"/>
      <c r="BA500" s="77" t="n"/>
      <c r="BB500" s="77" t="n"/>
      <c r="BC500" s="77" t="n"/>
      <c r="BD500" s="77" t="n"/>
    </row>
    <row r="501">
      <c r="AB501" s="74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W501" s="77" t="n"/>
      <c r="AX501" s="77" t="n"/>
      <c r="AY501" s="77" t="n"/>
      <c r="AZ501" s="77" t="n"/>
      <c r="BA501" s="77" t="n"/>
      <c r="BB501" s="77" t="n"/>
      <c r="BC501" s="77" t="n"/>
      <c r="BD501" s="77" t="n"/>
    </row>
    <row r="502">
      <c r="AB502" s="74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W502" s="77" t="n"/>
      <c r="AX502" s="77" t="n"/>
      <c r="AY502" s="77" t="n"/>
      <c r="AZ502" s="77" t="n"/>
      <c r="BA502" s="77" t="n"/>
      <c r="BB502" s="77" t="n"/>
      <c r="BC502" s="77" t="n"/>
      <c r="BD502" s="77" t="n"/>
    </row>
    <row r="503">
      <c r="AB503" s="74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W503" s="77" t="n"/>
      <c r="AX503" s="77" t="n"/>
      <c r="AY503" s="77" t="n"/>
      <c r="AZ503" s="77" t="n"/>
      <c r="BA503" s="77" t="n"/>
      <c r="BB503" s="77" t="n"/>
      <c r="BC503" s="77" t="n"/>
      <c r="BD503" s="77" t="n"/>
    </row>
    <row r="504">
      <c r="AB504" s="74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W504" s="77" t="n"/>
      <c r="AX504" s="77" t="n"/>
      <c r="AY504" s="77" t="n"/>
      <c r="AZ504" s="77" t="n"/>
      <c r="BA504" s="77" t="n"/>
      <c r="BB504" s="77" t="n"/>
      <c r="BC504" s="77" t="n"/>
      <c r="BD504" s="77" t="n"/>
    </row>
    <row r="505">
      <c r="AB505" s="74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W505" s="77" t="n"/>
      <c r="AX505" s="77" t="n"/>
      <c r="AY505" s="77" t="n"/>
      <c r="AZ505" s="77" t="n"/>
      <c r="BA505" s="77" t="n"/>
      <c r="BB505" s="77" t="n"/>
      <c r="BC505" s="77" t="n"/>
      <c r="BD505" s="77" t="n"/>
    </row>
    <row r="506">
      <c r="AB506" s="74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W506" s="77" t="n"/>
      <c r="AX506" s="77" t="n"/>
      <c r="AY506" s="77" t="n"/>
      <c r="AZ506" s="77" t="n"/>
      <c r="BA506" s="77" t="n"/>
      <c r="BB506" s="77" t="n"/>
      <c r="BC506" s="77" t="n"/>
      <c r="BD506" s="77" t="n"/>
    </row>
    <row r="507">
      <c r="AB507" s="74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W507" s="77" t="n"/>
      <c r="AX507" s="77" t="n"/>
      <c r="AY507" s="77" t="n"/>
      <c r="AZ507" s="77" t="n"/>
      <c r="BA507" s="77" t="n"/>
      <c r="BB507" s="77" t="n"/>
      <c r="BC507" s="77" t="n"/>
      <c r="BD507" s="77" t="n"/>
    </row>
    <row r="508">
      <c r="AB508" s="74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W508" s="77" t="n"/>
      <c r="AX508" s="77" t="n"/>
      <c r="AY508" s="77" t="n"/>
      <c r="AZ508" s="77" t="n"/>
      <c r="BA508" s="77" t="n"/>
      <c r="BB508" s="77" t="n"/>
      <c r="BC508" s="77" t="n"/>
      <c r="BD508" s="77" t="n"/>
    </row>
    <row r="509">
      <c r="AB509" s="74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W509" s="77" t="n"/>
      <c r="AX509" s="77" t="n"/>
      <c r="AY509" s="77" t="n"/>
      <c r="AZ509" s="77" t="n"/>
      <c r="BA509" s="77" t="n"/>
      <c r="BB509" s="77" t="n"/>
      <c r="BC509" s="77" t="n"/>
      <c r="BD509" s="77" t="n"/>
    </row>
    <row r="510">
      <c r="AB510" s="74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W510" s="77" t="n"/>
      <c r="AX510" s="77" t="n"/>
      <c r="AY510" s="77" t="n"/>
      <c r="AZ510" s="77" t="n"/>
      <c r="BA510" s="77" t="n"/>
      <c r="BB510" s="77" t="n"/>
      <c r="BC510" s="77" t="n"/>
      <c r="BD510" s="77" t="n"/>
    </row>
    <row r="511">
      <c r="AB511" s="74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W511" s="77" t="n"/>
      <c r="AX511" s="77" t="n"/>
      <c r="AY511" s="77" t="n"/>
      <c r="AZ511" s="77" t="n"/>
      <c r="BA511" s="77" t="n"/>
      <c r="BB511" s="77" t="n"/>
      <c r="BC511" s="77" t="n"/>
      <c r="BD511" s="77" t="n"/>
    </row>
    <row r="512">
      <c r="AB512" s="74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W512" s="77" t="n"/>
      <c r="AX512" s="77" t="n"/>
      <c r="AY512" s="77" t="n"/>
      <c r="AZ512" s="77" t="n"/>
      <c r="BA512" s="77" t="n"/>
      <c r="BB512" s="77" t="n"/>
      <c r="BC512" s="77" t="n"/>
      <c r="BD512" s="77" t="n"/>
    </row>
    <row r="513">
      <c r="AB513" s="74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W513" s="77" t="n"/>
      <c r="AX513" s="77" t="n"/>
      <c r="AY513" s="77" t="n"/>
      <c r="AZ513" s="77" t="n"/>
      <c r="BA513" s="77" t="n"/>
      <c r="BB513" s="77" t="n"/>
      <c r="BC513" s="77" t="n"/>
      <c r="BD513" s="77" t="n"/>
    </row>
    <row r="514">
      <c r="AB514" s="74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W514" s="77" t="n"/>
      <c r="AX514" s="77" t="n"/>
      <c r="AY514" s="77" t="n"/>
      <c r="AZ514" s="77" t="n"/>
      <c r="BA514" s="77" t="n"/>
      <c r="BB514" s="77" t="n"/>
      <c r="BC514" s="77" t="n"/>
      <c r="BD514" s="77" t="n"/>
    </row>
    <row r="515">
      <c r="AB515" s="74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W515" s="77" t="n"/>
      <c r="AX515" s="77" t="n"/>
      <c r="AY515" s="77" t="n"/>
      <c r="AZ515" s="77" t="n"/>
      <c r="BA515" s="77" t="n"/>
      <c r="BB515" s="77" t="n"/>
      <c r="BC515" s="77" t="n"/>
      <c r="BD515" s="77" t="n"/>
    </row>
    <row r="516">
      <c r="AB516" s="74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W516" s="77" t="n"/>
      <c r="AX516" s="77" t="n"/>
      <c r="AY516" s="77" t="n"/>
      <c r="AZ516" s="77" t="n"/>
      <c r="BA516" s="77" t="n"/>
      <c r="BB516" s="77" t="n"/>
      <c r="BC516" s="77" t="n"/>
      <c r="BD516" s="77" t="n"/>
    </row>
    <row r="517">
      <c r="AB517" s="74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W517" s="77" t="n"/>
      <c r="AX517" s="77" t="n"/>
      <c r="AY517" s="77" t="n"/>
      <c r="AZ517" s="77" t="n"/>
      <c r="BA517" s="77" t="n"/>
      <c r="BB517" s="77" t="n"/>
      <c r="BC517" s="77" t="n"/>
      <c r="BD517" s="77" t="n"/>
    </row>
    <row r="518">
      <c r="AB518" s="74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W518" s="77" t="n"/>
      <c r="AX518" s="77" t="n"/>
      <c r="AY518" s="77" t="n"/>
      <c r="AZ518" s="77" t="n"/>
      <c r="BA518" s="77" t="n"/>
      <c r="BB518" s="77" t="n"/>
      <c r="BC518" s="77" t="n"/>
      <c r="BD518" s="77" t="n"/>
    </row>
    <row r="519">
      <c r="AB519" s="74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W519" s="77" t="n"/>
      <c r="AX519" s="77" t="n"/>
      <c r="AY519" s="77" t="n"/>
      <c r="AZ519" s="77" t="n"/>
      <c r="BA519" s="77" t="n"/>
      <c r="BB519" s="77" t="n"/>
      <c r="BC519" s="77" t="n"/>
      <c r="BD519" s="77" t="n"/>
    </row>
    <row r="520">
      <c r="AB520" s="74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W520" s="77" t="n"/>
      <c r="AX520" s="77" t="n"/>
      <c r="AY520" s="77" t="n"/>
      <c r="AZ520" s="77" t="n"/>
      <c r="BA520" s="77" t="n"/>
      <c r="BB520" s="77" t="n"/>
      <c r="BC520" s="77" t="n"/>
      <c r="BD520" s="77" t="n"/>
    </row>
    <row r="521">
      <c r="AB521" s="74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W521" s="77" t="n"/>
      <c r="AX521" s="77" t="n"/>
      <c r="AY521" s="77" t="n"/>
      <c r="AZ521" s="77" t="n"/>
      <c r="BA521" s="77" t="n"/>
      <c r="BB521" s="77" t="n"/>
      <c r="BC521" s="77" t="n"/>
      <c r="BD521" s="77" t="n"/>
    </row>
    <row r="522">
      <c r="AB522" s="74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W522" s="77" t="n"/>
      <c r="AX522" s="77" t="n"/>
      <c r="AY522" s="77" t="n"/>
      <c r="AZ522" s="77" t="n"/>
      <c r="BA522" s="77" t="n"/>
      <c r="BB522" s="77" t="n"/>
      <c r="BC522" s="77" t="n"/>
      <c r="BD522" s="77" t="n"/>
    </row>
    <row r="523">
      <c r="AB523" s="74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W523" s="77" t="n"/>
      <c r="AX523" s="77" t="n"/>
      <c r="AY523" s="77" t="n"/>
      <c r="AZ523" s="77" t="n"/>
      <c r="BA523" s="77" t="n"/>
      <c r="BB523" s="77" t="n"/>
      <c r="BC523" s="77" t="n"/>
      <c r="BD523" s="77" t="n"/>
    </row>
    <row r="524">
      <c r="AB524" s="74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W524" s="77" t="n"/>
      <c r="AX524" s="77" t="n"/>
      <c r="AY524" s="77" t="n"/>
      <c r="AZ524" s="77" t="n"/>
      <c r="BA524" s="77" t="n"/>
      <c r="BB524" s="77" t="n"/>
      <c r="BC524" s="77" t="n"/>
      <c r="BD524" s="77" t="n"/>
    </row>
    <row r="525">
      <c r="AB525" s="74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W525" s="77" t="n"/>
      <c r="AX525" s="77" t="n"/>
      <c r="AY525" s="77" t="n"/>
      <c r="AZ525" s="77" t="n"/>
      <c r="BA525" s="77" t="n"/>
      <c r="BB525" s="77" t="n"/>
      <c r="BC525" s="77" t="n"/>
      <c r="BD525" s="77" t="n"/>
    </row>
    <row r="526">
      <c r="AB526" s="74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W526" s="77" t="n"/>
      <c r="AX526" s="77" t="n"/>
      <c r="AY526" s="77" t="n"/>
      <c r="AZ526" s="77" t="n"/>
      <c r="BA526" s="77" t="n"/>
      <c r="BB526" s="77" t="n"/>
      <c r="BC526" s="77" t="n"/>
      <c r="BD526" s="77" t="n"/>
    </row>
    <row r="527">
      <c r="AB527" s="74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W527" s="77" t="n"/>
      <c r="AX527" s="77" t="n"/>
      <c r="AY527" s="77" t="n"/>
      <c r="AZ527" s="77" t="n"/>
      <c r="BA527" s="77" t="n"/>
      <c r="BB527" s="77" t="n"/>
      <c r="BC527" s="77" t="n"/>
      <c r="BD527" s="77" t="n"/>
    </row>
    <row r="528">
      <c r="AB528" s="74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W528" s="77" t="n"/>
      <c r="AX528" s="77" t="n"/>
      <c r="AY528" s="77" t="n"/>
      <c r="AZ528" s="77" t="n"/>
      <c r="BA528" s="77" t="n"/>
      <c r="BB528" s="77" t="n"/>
      <c r="BC528" s="77" t="n"/>
      <c r="BD528" s="77" t="n"/>
    </row>
    <row r="529">
      <c r="AB529" s="74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W529" s="77" t="n"/>
      <c r="AX529" s="77" t="n"/>
      <c r="AY529" s="77" t="n"/>
      <c r="AZ529" s="77" t="n"/>
      <c r="BA529" s="77" t="n"/>
      <c r="BB529" s="77" t="n"/>
      <c r="BC529" s="77" t="n"/>
      <c r="BD529" s="77" t="n"/>
    </row>
    <row r="530">
      <c r="AB530" s="74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W530" s="77" t="n"/>
      <c r="AX530" s="77" t="n"/>
      <c r="AY530" s="77" t="n"/>
      <c r="AZ530" s="77" t="n"/>
      <c r="BA530" s="77" t="n"/>
      <c r="BB530" s="77" t="n"/>
      <c r="BC530" s="77" t="n"/>
      <c r="BD530" s="77" t="n"/>
    </row>
    <row r="531">
      <c r="AB531" s="74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W531" s="77" t="n"/>
      <c r="AX531" s="77" t="n"/>
      <c r="AY531" s="77" t="n"/>
      <c r="AZ531" s="77" t="n"/>
      <c r="BA531" s="77" t="n"/>
      <c r="BB531" s="77" t="n"/>
      <c r="BC531" s="77" t="n"/>
      <c r="BD531" s="77" t="n"/>
    </row>
    <row r="532">
      <c r="AB532" s="74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W532" s="77" t="n"/>
      <c r="AX532" s="77" t="n"/>
      <c r="AY532" s="77" t="n"/>
      <c r="AZ532" s="77" t="n"/>
      <c r="BA532" s="77" t="n"/>
      <c r="BB532" s="77" t="n"/>
      <c r="BC532" s="77" t="n"/>
      <c r="BD532" s="77" t="n"/>
    </row>
    <row r="533">
      <c r="AB533" s="74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W533" s="77" t="n"/>
      <c r="AX533" s="77" t="n"/>
      <c r="AY533" s="77" t="n"/>
      <c r="AZ533" s="77" t="n"/>
      <c r="BA533" s="77" t="n"/>
      <c r="BB533" s="77" t="n"/>
      <c r="BC533" s="77" t="n"/>
      <c r="BD533" s="77" t="n"/>
    </row>
    <row r="534">
      <c r="AB534" s="74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W534" s="77" t="n"/>
      <c r="AX534" s="77" t="n"/>
      <c r="AY534" s="77" t="n"/>
      <c r="AZ534" s="77" t="n"/>
      <c r="BA534" s="77" t="n"/>
      <c r="BB534" s="77" t="n"/>
      <c r="BC534" s="77" t="n"/>
      <c r="BD534" s="77" t="n"/>
    </row>
    <row r="535">
      <c r="AB535" s="74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W535" s="77" t="n"/>
      <c r="AX535" s="77" t="n"/>
      <c r="AY535" s="77" t="n"/>
      <c r="AZ535" s="77" t="n"/>
      <c r="BA535" s="77" t="n"/>
      <c r="BB535" s="77" t="n"/>
      <c r="BC535" s="77" t="n"/>
      <c r="BD535" s="77" t="n"/>
    </row>
    <row r="536">
      <c r="AB536" s="74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W536" s="77" t="n"/>
      <c r="AX536" s="77" t="n"/>
      <c r="AY536" s="77" t="n"/>
      <c r="AZ536" s="77" t="n"/>
      <c r="BA536" s="77" t="n"/>
      <c r="BB536" s="77" t="n"/>
      <c r="BC536" s="77" t="n"/>
      <c r="BD536" s="77" t="n"/>
    </row>
    <row r="537">
      <c r="AB537" s="74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W537" s="77" t="n"/>
      <c r="AX537" s="77" t="n"/>
      <c r="AY537" s="77" t="n"/>
      <c r="AZ537" s="77" t="n"/>
      <c r="BA537" s="77" t="n"/>
      <c r="BB537" s="77" t="n"/>
      <c r="BC537" s="77" t="n"/>
      <c r="BD537" s="77" t="n"/>
    </row>
    <row r="538">
      <c r="AB538" s="74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W538" s="77" t="n"/>
      <c r="AX538" s="77" t="n"/>
      <c r="AY538" s="77" t="n"/>
      <c r="AZ538" s="77" t="n"/>
      <c r="BA538" s="77" t="n"/>
      <c r="BB538" s="77" t="n"/>
      <c r="BC538" s="77" t="n"/>
      <c r="BD538" s="77" t="n"/>
    </row>
    <row r="539">
      <c r="AB539" s="74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W539" s="77" t="n"/>
      <c r="AX539" s="77" t="n"/>
      <c r="AY539" s="77" t="n"/>
      <c r="AZ539" s="77" t="n"/>
      <c r="BA539" s="77" t="n"/>
      <c r="BB539" s="77" t="n"/>
      <c r="BC539" s="77" t="n"/>
      <c r="BD539" s="77" t="n"/>
    </row>
    <row r="540">
      <c r="AB540" s="74" t="n"/>
      <c r="AC540" s="77" t="n"/>
      <c r="AD540" s="77" t="n"/>
      <c r="AE540" s="77" t="n"/>
      <c r="AF540" s="77" t="n"/>
      <c r="AG540" s="77" t="n"/>
      <c r="AH540" s="77" t="n"/>
      <c r="AI540" s="77" t="n"/>
      <c r="AJ540" s="77" t="n"/>
      <c r="AK540" s="77" t="n"/>
      <c r="AL540" s="77" t="n"/>
      <c r="AM540" s="77" t="n"/>
      <c r="AN540" s="77" t="n"/>
      <c r="AO540" s="77" t="n"/>
      <c r="AP540" s="77" t="n"/>
      <c r="AQ540" s="77" t="n"/>
      <c r="AR540" s="77" t="n"/>
      <c r="AS540" s="77" t="n"/>
      <c r="AT540" s="77" t="n"/>
      <c r="AU540" s="77" t="n"/>
      <c r="AV540" s="77" t="n"/>
      <c r="AW540" s="77" t="n"/>
      <c r="AX540" s="77" t="n"/>
      <c r="AY540" s="77" t="n"/>
      <c r="AZ540" s="77" t="n"/>
      <c r="BA540" s="77" t="n"/>
      <c r="BB540" s="77" t="n"/>
      <c r="BC540" s="77" t="n"/>
      <c r="BD540" s="77" t="n"/>
    </row>
    <row r="541">
      <c r="AB541" s="74" t="n"/>
      <c r="AC541" s="77" t="n"/>
      <c r="AD541" s="77" t="n"/>
      <c r="AE541" s="77" t="n"/>
      <c r="AF541" s="77" t="n"/>
      <c r="AG541" s="77" t="n"/>
      <c r="AH541" s="77" t="n"/>
      <c r="AI541" s="77" t="n"/>
      <c r="AJ541" s="77" t="n"/>
      <c r="AK541" s="77" t="n"/>
      <c r="AL541" s="77" t="n"/>
      <c r="AM541" s="77" t="n"/>
      <c r="AN541" s="77" t="n"/>
      <c r="AO541" s="77" t="n"/>
      <c r="AP541" s="77" t="n"/>
      <c r="AQ541" s="77" t="n"/>
      <c r="AR541" s="77" t="n"/>
      <c r="AS541" s="77" t="n"/>
      <c r="AT541" s="77" t="n"/>
      <c r="AU541" s="77" t="n"/>
      <c r="AV541" s="77" t="n"/>
      <c r="AW541" s="77" t="n"/>
      <c r="AX541" s="77" t="n"/>
      <c r="AY541" s="77" t="n"/>
      <c r="AZ541" s="77" t="n"/>
      <c r="BA541" s="77" t="n"/>
      <c r="BB541" s="77" t="n"/>
      <c r="BC541" s="77" t="n"/>
      <c r="BD541" s="77" t="n"/>
    </row>
    <row r="542">
      <c r="AB542" s="74" t="n"/>
      <c r="AC542" s="77" t="n"/>
      <c r="AD542" s="77" t="n"/>
      <c r="AE542" s="77" t="n"/>
      <c r="AF542" s="77" t="n"/>
      <c r="AG542" s="77" t="n"/>
      <c r="AH542" s="77" t="n"/>
      <c r="AI542" s="77" t="n"/>
      <c r="AJ542" s="77" t="n"/>
      <c r="AK542" s="77" t="n"/>
      <c r="AL542" s="77" t="n"/>
      <c r="AM542" s="77" t="n"/>
      <c r="AN542" s="77" t="n"/>
      <c r="AO542" s="77" t="n"/>
      <c r="AP542" s="77" t="n"/>
      <c r="AQ542" s="77" t="n"/>
      <c r="AR542" s="77" t="n"/>
      <c r="AS542" s="77" t="n"/>
      <c r="AT542" s="77" t="n"/>
      <c r="AU542" s="77" t="n"/>
      <c r="AV542" s="77" t="n"/>
      <c r="AW542" s="77" t="n"/>
      <c r="AX542" s="77" t="n"/>
      <c r="AY542" s="77" t="n"/>
      <c r="AZ542" s="77" t="n"/>
      <c r="BA542" s="77" t="n"/>
      <c r="BB542" s="77" t="n"/>
      <c r="BC542" s="77" t="n"/>
      <c r="BD542" s="77" t="n"/>
    </row>
    <row r="543">
      <c r="AB543" s="74" t="n"/>
      <c r="AC543" s="77" t="n"/>
      <c r="AD543" s="77" t="n"/>
      <c r="AE543" s="77" t="n"/>
      <c r="AF543" s="77" t="n"/>
      <c r="AG543" s="77" t="n"/>
      <c r="AH543" s="77" t="n"/>
      <c r="AI543" s="77" t="n"/>
      <c r="AJ543" s="77" t="n"/>
      <c r="AK543" s="77" t="n"/>
      <c r="AL543" s="77" t="n"/>
      <c r="AM543" s="77" t="n"/>
      <c r="AN543" s="77" t="n"/>
      <c r="AO543" s="77" t="n"/>
      <c r="AP543" s="77" t="n"/>
      <c r="AQ543" s="77" t="n"/>
      <c r="AR543" s="77" t="n"/>
      <c r="AS543" s="77" t="n"/>
      <c r="AT543" s="77" t="n"/>
      <c r="AU543" s="77" t="n"/>
      <c r="AV543" s="77" t="n"/>
      <c r="AW543" s="77" t="n"/>
      <c r="AX543" s="77" t="n"/>
      <c r="AY543" s="77" t="n"/>
      <c r="AZ543" s="77" t="n"/>
      <c r="BA543" s="77" t="n"/>
      <c r="BB543" s="77" t="n"/>
      <c r="BC543" s="77" t="n"/>
      <c r="BD543" s="77" t="n"/>
    </row>
    <row r="544">
      <c r="AB544" s="74" t="n"/>
      <c r="AC544" s="77" t="n"/>
      <c r="AD544" s="77" t="n"/>
      <c r="AE544" s="77" t="n"/>
      <c r="AF544" s="77" t="n"/>
      <c r="AG544" s="77" t="n"/>
      <c r="AH544" s="77" t="n"/>
      <c r="AI544" s="77" t="n"/>
      <c r="AJ544" s="77" t="n"/>
      <c r="AK544" s="77" t="n"/>
      <c r="AL544" s="77" t="n"/>
      <c r="AM544" s="77" t="n"/>
      <c r="AN544" s="77" t="n"/>
      <c r="AO544" s="77" t="n"/>
      <c r="AP544" s="77" t="n"/>
      <c r="AQ544" s="77" t="n"/>
      <c r="AR544" s="77" t="n"/>
      <c r="AS544" s="77" t="n"/>
      <c r="AT544" s="77" t="n"/>
      <c r="AU544" s="77" t="n"/>
      <c r="AV544" s="77" t="n"/>
      <c r="AW544" s="77" t="n"/>
      <c r="AX544" s="77" t="n"/>
      <c r="AY544" s="77" t="n"/>
      <c r="AZ544" s="77" t="n"/>
      <c r="BA544" s="77" t="n"/>
      <c r="BB544" s="77" t="n"/>
      <c r="BC544" s="77" t="n"/>
      <c r="BD544" s="77" t="n"/>
    </row>
    <row r="545">
      <c r="AB545" s="74" t="n"/>
      <c r="AC545" s="77" t="n"/>
      <c r="AD545" s="77" t="n"/>
      <c r="AE545" s="77" t="n"/>
      <c r="AF545" s="77" t="n"/>
      <c r="AG545" s="77" t="n"/>
      <c r="AH545" s="77" t="n"/>
      <c r="AI545" s="77" t="n"/>
      <c r="AJ545" s="77" t="n"/>
      <c r="AK545" s="77" t="n"/>
      <c r="AL545" s="77" t="n"/>
      <c r="AM545" s="77" t="n"/>
      <c r="AN545" s="77" t="n"/>
      <c r="AO545" s="77" t="n"/>
      <c r="AP545" s="77" t="n"/>
      <c r="AQ545" s="77" t="n"/>
      <c r="AR545" s="77" t="n"/>
      <c r="AS545" s="77" t="n"/>
      <c r="AT545" s="77" t="n"/>
      <c r="AU545" s="77" t="n"/>
      <c r="AV545" s="77" t="n"/>
      <c r="AW545" s="77" t="n"/>
      <c r="AX545" s="77" t="n"/>
      <c r="AY545" s="77" t="n"/>
      <c r="AZ545" s="77" t="n"/>
      <c r="BA545" s="77" t="n"/>
      <c r="BB545" s="77" t="n"/>
      <c r="BC545" s="77" t="n"/>
      <c r="BD545" s="77" t="n"/>
    </row>
    <row r="546">
      <c r="AB546" s="74" t="n"/>
      <c r="AC546" s="77" t="n"/>
      <c r="AD546" s="77" t="n"/>
      <c r="AE546" s="77" t="n"/>
      <c r="AF546" s="77" t="n"/>
      <c r="AG546" s="77" t="n"/>
      <c r="AH546" s="77" t="n"/>
      <c r="AI546" s="77" t="n"/>
      <c r="AJ546" s="77" t="n"/>
      <c r="AK546" s="77" t="n"/>
      <c r="AL546" s="77" t="n"/>
      <c r="AM546" s="77" t="n"/>
      <c r="AN546" s="77" t="n"/>
      <c r="AO546" s="77" t="n"/>
      <c r="AP546" s="77" t="n"/>
      <c r="AQ546" s="77" t="n"/>
      <c r="AR546" s="77" t="n"/>
      <c r="AS546" s="77" t="n"/>
      <c r="AT546" s="77" t="n"/>
      <c r="AU546" s="77" t="n"/>
      <c r="AV546" s="77" t="n"/>
      <c r="AW546" s="77" t="n"/>
      <c r="AX546" s="77" t="n"/>
      <c r="AY546" s="77" t="n"/>
      <c r="AZ546" s="77" t="n"/>
      <c r="BA546" s="77" t="n"/>
      <c r="BB546" s="77" t="n"/>
      <c r="BC546" s="77" t="n"/>
      <c r="BD546" s="77" t="n"/>
    </row>
    <row r="547">
      <c r="AB547" s="74" t="n"/>
      <c r="AC547" s="77" t="n"/>
      <c r="AD547" s="77" t="n"/>
      <c r="AE547" s="77" t="n"/>
      <c r="AF547" s="77" t="n"/>
      <c r="AG547" s="77" t="n"/>
      <c r="AH547" s="77" t="n"/>
      <c r="AI547" s="77" t="n"/>
      <c r="AJ547" s="77" t="n"/>
      <c r="AK547" s="77" t="n"/>
      <c r="AL547" s="77" t="n"/>
      <c r="AM547" s="77" t="n"/>
      <c r="AN547" s="77" t="n"/>
      <c r="AO547" s="77" t="n"/>
      <c r="AP547" s="77" t="n"/>
      <c r="AQ547" s="77" t="n"/>
      <c r="AR547" s="77" t="n"/>
      <c r="AS547" s="77" t="n"/>
      <c r="AT547" s="77" t="n"/>
      <c r="AU547" s="77" t="n"/>
      <c r="AV547" s="77" t="n"/>
      <c r="AW547" s="77" t="n"/>
      <c r="AX547" s="77" t="n"/>
      <c r="AY547" s="77" t="n"/>
      <c r="AZ547" s="77" t="n"/>
      <c r="BA547" s="77" t="n"/>
      <c r="BB547" s="77" t="n"/>
      <c r="BC547" s="77" t="n"/>
      <c r="BD547" s="77" t="n"/>
    </row>
    <row r="548">
      <c r="AB548" s="74" t="n"/>
      <c r="AC548" s="77" t="n"/>
      <c r="AD548" s="77" t="n"/>
      <c r="AE548" s="77" t="n"/>
      <c r="AF548" s="77" t="n"/>
      <c r="AG548" s="77" t="n"/>
      <c r="AH548" s="77" t="n"/>
      <c r="AI548" s="77" t="n"/>
      <c r="AJ548" s="77" t="n"/>
      <c r="AK548" s="77" t="n"/>
      <c r="AL548" s="77" t="n"/>
      <c r="AM548" s="77" t="n"/>
      <c r="AN548" s="77" t="n"/>
      <c r="AO548" s="77" t="n"/>
      <c r="AP548" s="77" t="n"/>
      <c r="AQ548" s="77" t="n"/>
      <c r="AR548" s="77" t="n"/>
      <c r="AS548" s="77" t="n"/>
      <c r="AT548" s="77" t="n"/>
      <c r="AU548" s="77" t="n"/>
      <c r="AV548" s="77" t="n"/>
      <c r="AW548" s="77" t="n"/>
      <c r="AX548" s="77" t="n"/>
      <c r="AY548" s="77" t="n"/>
      <c r="AZ548" s="77" t="n"/>
      <c r="BA548" s="77" t="n"/>
      <c r="BB548" s="77" t="n"/>
      <c r="BC548" s="77" t="n"/>
      <c r="BD548" s="77" t="n"/>
    </row>
    <row r="549">
      <c r="AB549" s="74" t="n"/>
      <c r="AC549" s="77" t="n"/>
      <c r="AD549" s="77" t="n"/>
      <c r="AE549" s="77" t="n"/>
      <c r="AF549" s="77" t="n"/>
      <c r="AG549" s="77" t="n"/>
      <c r="AH549" s="77" t="n"/>
      <c r="AI549" s="77" t="n"/>
      <c r="AJ549" s="77" t="n"/>
      <c r="AK549" s="77" t="n"/>
      <c r="AL549" s="77" t="n"/>
      <c r="AM549" s="77" t="n"/>
      <c r="AN549" s="77" t="n"/>
      <c r="AO549" s="77" t="n"/>
      <c r="AP549" s="77" t="n"/>
      <c r="AQ549" s="77" t="n"/>
      <c r="AR549" s="77" t="n"/>
      <c r="AS549" s="77" t="n"/>
      <c r="AT549" s="77" t="n"/>
      <c r="AU549" s="77" t="n"/>
      <c r="AV549" s="77" t="n"/>
      <c r="AW549" s="77" t="n"/>
      <c r="AX549" s="77" t="n"/>
      <c r="AY549" s="77" t="n"/>
      <c r="AZ549" s="77" t="n"/>
      <c r="BA549" s="77" t="n"/>
      <c r="BB549" s="77" t="n"/>
      <c r="BC549" s="77" t="n"/>
      <c r="BD549" s="77" t="n"/>
    </row>
    <row r="550">
      <c r="AB550" s="74" t="n"/>
      <c r="AC550" s="77" t="n"/>
      <c r="AD550" s="77" t="n"/>
      <c r="AE550" s="77" t="n"/>
      <c r="AF550" s="77" t="n"/>
      <c r="AG550" s="77" t="n"/>
      <c r="AH550" s="77" t="n"/>
      <c r="AI550" s="77" t="n"/>
      <c r="AJ550" s="77" t="n"/>
      <c r="AK550" s="77" t="n"/>
      <c r="AL550" s="77" t="n"/>
      <c r="AM550" s="77" t="n"/>
      <c r="AN550" s="77" t="n"/>
      <c r="AO550" s="77" t="n"/>
      <c r="AP550" s="77" t="n"/>
      <c r="AQ550" s="77" t="n"/>
      <c r="AR550" s="77" t="n"/>
      <c r="AS550" s="77" t="n"/>
      <c r="AT550" s="77" t="n"/>
      <c r="AU550" s="77" t="n"/>
      <c r="AV550" s="77" t="n"/>
      <c r="AW550" s="77" t="n"/>
      <c r="AX550" s="77" t="n"/>
      <c r="AY550" s="77" t="n"/>
      <c r="AZ550" s="77" t="n"/>
      <c r="BA550" s="77" t="n"/>
      <c r="BB550" s="77" t="n"/>
      <c r="BC550" s="77" t="n"/>
      <c r="BD550" s="77" t="n"/>
    </row>
    <row r="551">
      <c r="AB551" s="74" t="n"/>
      <c r="AC551" s="77" t="n"/>
      <c r="AD551" s="77" t="n"/>
      <c r="AE551" s="77" t="n"/>
      <c r="AF551" s="77" t="n"/>
      <c r="AG551" s="77" t="n"/>
      <c r="AH551" s="77" t="n"/>
      <c r="AI551" s="77" t="n"/>
      <c r="AJ551" s="77" t="n"/>
      <c r="AK551" s="77" t="n"/>
      <c r="AL551" s="77" t="n"/>
      <c r="AM551" s="77" t="n"/>
      <c r="AN551" s="77" t="n"/>
      <c r="AO551" s="77" t="n"/>
      <c r="AP551" s="77" t="n"/>
      <c r="AQ551" s="77" t="n"/>
      <c r="AR551" s="77" t="n"/>
      <c r="AS551" s="77" t="n"/>
      <c r="AT551" s="77" t="n"/>
      <c r="AU551" s="77" t="n"/>
      <c r="AV551" s="77" t="n"/>
      <c r="AW551" s="77" t="n"/>
      <c r="AX551" s="77" t="n"/>
      <c r="AY551" s="77" t="n"/>
      <c r="AZ551" s="77" t="n"/>
      <c r="BA551" s="77" t="n"/>
      <c r="BB551" s="77" t="n"/>
      <c r="BC551" s="77" t="n"/>
      <c r="BD551" s="77" t="n"/>
    </row>
    <row r="552">
      <c r="AB552" s="74" t="n"/>
      <c r="AC552" s="77" t="n"/>
      <c r="AD552" s="77" t="n"/>
      <c r="AE552" s="77" t="n"/>
      <c r="AF552" s="77" t="n"/>
      <c r="AG552" s="77" t="n"/>
      <c r="AH552" s="77" t="n"/>
      <c r="AI552" s="77" t="n"/>
      <c r="AJ552" s="77" t="n"/>
      <c r="AK552" s="77" t="n"/>
      <c r="AL552" s="77" t="n"/>
      <c r="AM552" s="77" t="n"/>
      <c r="AN552" s="77" t="n"/>
      <c r="AO552" s="77" t="n"/>
      <c r="AP552" s="77" t="n"/>
      <c r="AQ552" s="77" t="n"/>
      <c r="AR552" s="77" t="n"/>
      <c r="AS552" s="77" t="n"/>
      <c r="AT552" s="77" t="n"/>
      <c r="AU552" s="77" t="n"/>
      <c r="AV552" s="77" t="n"/>
      <c r="AW552" s="77" t="n"/>
      <c r="AX552" s="77" t="n"/>
      <c r="AY552" s="77" t="n"/>
      <c r="AZ552" s="77" t="n"/>
      <c r="BA552" s="77" t="n"/>
      <c r="BB552" s="77" t="n"/>
      <c r="BC552" s="77" t="n"/>
      <c r="BD552" s="77" t="n"/>
    </row>
    <row r="553">
      <c r="AB553" s="74" t="n"/>
      <c r="AC553" s="77" t="n"/>
      <c r="AD553" s="77" t="n"/>
      <c r="AE553" s="77" t="n"/>
      <c r="AF553" s="77" t="n"/>
      <c r="AG553" s="77" t="n"/>
      <c r="AH553" s="77" t="n"/>
      <c r="AI553" s="77" t="n"/>
      <c r="AJ553" s="77" t="n"/>
      <c r="AK553" s="77" t="n"/>
      <c r="AL553" s="77" t="n"/>
      <c r="AM553" s="77" t="n"/>
      <c r="AN553" s="77" t="n"/>
      <c r="AO553" s="77" t="n"/>
      <c r="AP553" s="77" t="n"/>
      <c r="AQ553" s="77" t="n"/>
      <c r="AR553" s="77" t="n"/>
      <c r="AS553" s="77" t="n"/>
      <c r="AT553" s="77" t="n"/>
      <c r="AU553" s="77" t="n"/>
      <c r="AV553" s="77" t="n"/>
      <c r="AW553" s="77" t="n"/>
      <c r="AX553" s="77" t="n"/>
      <c r="AY553" s="77" t="n"/>
      <c r="AZ553" s="77" t="n"/>
      <c r="BA553" s="77" t="n"/>
      <c r="BB553" s="77" t="n"/>
      <c r="BC553" s="77" t="n"/>
      <c r="BD553" s="77" t="n"/>
    </row>
    <row r="554">
      <c r="AB554" s="74" t="n"/>
      <c r="AC554" s="77" t="n"/>
      <c r="AD554" s="77" t="n"/>
      <c r="AE554" s="77" t="n"/>
      <c r="AF554" s="77" t="n"/>
      <c r="AG554" s="77" t="n"/>
      <c r="AH554" s="77" t="n"/>
      <c r="AI554" s="77" t="n"/>
      <c r="AJ554" s="77" t="n"/>
      <c r="AK554" s="77" t="n"/>
      <c r="AL554" s="77" t="n"/>
      <c r="AM554" s="77" t="n"/>
      <c r="AN554" s="77" t="n"/>
      <c r="AO554" s="77" t="n"/>
      <c r="AP554" s="77" t="n"/>
      <c r="AQ554" s="77" t="n"/>
      <c r="AR554" s="77" t="n"/>
      <c r="AS554" s="77" t="n"/>
      <c r="AT554" s="77" t="n"/>
      <c r="AU554" s="77" t="n"/>
      <c r="AV554" s="77" t="n"/>
      <c r="AW554" s="77" t="n"/>
      <c r="AX554" s="77" t="n"/>
      <c r="AY554" s="77" t="n"/>
      <c r="AZ554" s="77" t="n"/>
      <c r="BA554" s="77" t="n"/>
      <c r="BB554" s="77" t="n"/>
      <c r="BC554" s="77" t="n"/>
      <c r="BD554" s="77" t="n"/>
    </row>
    <row r="555">
      <c r="AB555" s="74" t="n"/>
      <c r="AC555" s="77" t="n"/>
      <c r="AD555" s="77" t="n"/>
      <c r="AE555" s="77" t="n"/>
      <c r="AF555" s="77" t="n"/>
      <c r="AG555" s="77" t="n"/>
      <c r="AH555" s="77" t="n"/>
      <c r="AI555" s="77" t="n"/>
      <c r="AJ555" s="77" t="n"/>
      <c r="AK555" s="77" t="n"/>
      <c r="AL555" s="77" t="n"/>
      <c r="AM555" s="77" t="n"/>
      <c r="AN555" s="77" t="n"/>
      <c r="AO555" s="77" t="n"/>
      <c r="AP555" s="77" t="n"/>
      <c r="AQ555" s="77" t="n"/>
      <c r="AR555" s="77" t="n"/>
      <c r="AS555" s="77" t="n"/>
      <c r="AT555" s="77" t="n"/>
      <c r="AU555" s="77" t="n"/>
      <c r="AV555" s="77" t="n"/>
      <c r="AW555" s="77" t="n"/>
      <c r="AX555" s="77" t="n"/>
      <c r="AY555" s="77" t="n"/>
      <c r="AZ555" s="77" t="n"/>
      <c r="BA555" s="77" t="n"/>
      <c r="BB555" s="77" t="n"/>
      <c r="BC555" s="77" t="n"/>
      <c r="BD555" s="77" t="n"/>
    </row>
    <row r="556">
      <c r="AB556" s="74" t="n"/>
      <c r="AC556" s="77" t="n"/>
      <c r="AD556" s="77" t="n"/>
      <c r="AE556" s="77" t="n"/>
      <c r="AF556" s="77" t="n"/>
      <c r="AG556" s="77" t="n"/>
      <c r="AH556" s="77" t="n"/>
      <c r="AI556" s="77" t="n"/>
      <c r="AJ556" s="77" t="n"/>
      <c r="AK556" s="77" t="n"/>
      <c r="AL556" s="77" t="n"/>
      <c r="AM556" s="77" t="n"/>
      <c r="AN556" s="77" t="n"/>
      <c r="AO556" s="77" t="n"/>
      <c r="AP556" s="77" t="n"/>
      <c r="AQ556" s="77" t="n"/>
      <c r="AR556" s="77" t="n"/>
      <c r="AS556" s="77" t="n"/>
      <c r="AT556" s="77" t="n"/>
      <c r="AU556" s="77" t="n"/>
      <c r="AV556" s="77" t="n"/>
      <c r="AW556" s="77" t="n"/>
      <c r="AX556" s="77" t="n"/>
      <c r="AY556" s="77" t="n"/>
      <c r="AZ556" s="77" t="n"/>
      <c r="BA556" s="77" t="n"/>
      <c r="BB556" s="77" t="n"/>
      <c r="BC556" s="77" t="n"/>
      <c r="BD556" s="77" t="n"/>
    </row>
    <row r="557">
      <c r="AB557" s="74" t="n"/>
      <c r="AC557" s="77" t="n"/>
      <c r="AD557" s="77" t="n"/>
      <c r="AE557" s="77" t="n"/>
      <c r="AF557" s="77" t="n"/>
      <c r="AG557" s="77" t="n"/>
      <c r="AH557" s="77" t="n"/>
      <c r="AI557" s="77" t="n"/>
      <c r="AJ557" s="77" t="n"/>
      <c r="AK557" s="77" t="n"/>
      <c r="AL557" s="77" t="n"/>
      <c r="AM557" s="77" t="n"/>
      <c r="AN557" s="77" t="n"/>
      <c r="AO557" s="77" t="n"/>
      <c r="AP557" s="77" t="n"/>
      <c r="AQ557" s="77" t="n"/>
      <c r="AR557" s="77" t="n"/>
      <c r="AS557" s="77" t="n"/>
      <c r="AT557" s="77" t="n"/>
      <c r="AU557" s="77" t="n"/>
      <c r="AV557" s="77" t="n"/>
      <c r="AW557" s="77" t="n"/>
      <c r="AX557" s="77" t="n"/>
      <c r="AY557" s="77" t="n"/>
      <c r="AZ557" s="77" t="n"/>
      <c r="BA557" s="77" t="n"/>
      <c r="BB557" s="77" t="n"/>
      <c r="BC557" s="77" t="n"/>
      <c r="BD557" s="77" t="n"/>
    </row>
    <row r="558">
      <c r="AB558" s="74" t="n"/>
      <c r="AC558" s="77" t="n"/>
      <c r="AD558" s="77" t="n"/>
      <c r="AE558" s="77" t="n"/>
      <c r="AF558" s="77" t="n"/>
      <c r="AG558" s="77" t="n"/>
      <c r="AH558" s="77" t="n"/>
      <c r="AI558" s="77" t="n"/>
      <c r="AJ558" s="77" t="n"/>
      <c r="AK558" s="77" t="n"/>
      <c r="AL558" s="77" t="n"/>
      <c r="AM558" s="77" t="n"/>
      <c r="AN558" s="77" t="n"/>
      <c r="AO558" s="77" t="n"/>
      <c r="AP558" s="77" t="n"/>
      <c r="AQ558" s="77" t="n"/>
      <c r="AR558" s="77" t="n"/>
      <c r="AS558" s="77" t="n"/>
      <c r="AT558" s="77" t="n"/>
      <c r="AU558" s="77" t="n"/>
      <c r="AV558" s="77" t="n"/>
      <c r="AW558" s="77" t="n"/>
      <c r="AX558" s="77" t="n"/>
      <c r="AY558" s="77" t="n"/>
      <c r="AZ558" s="77" t="n"/>
      <c r="BA558" s="77" t="n"/>
      <c r="BB558" s="77" t="n"/>
      <c r="BC558" s="77" t="n"/>
      <c r="BD558" s="77" t="n"/>
    </row>
    <row r="559">
      <c r="AB559" s="74" t="n"/>
      <c r="AC559" s="77" t="n"/>
      <c r="AD559" s="77" t="n"/>
      <c r="AE559" s="77" t="n"/>
      <c r="AF559" s="77" t="n"/>
      <c r="AG559" s="77" t="n"/>
      <c r="AH559" s="77" t="n"/>
      <c r="AI559" s="77" t="n"/>
      <c r="AJ559" s="77" t="n"/>
      <c r="AK559" s="77" t="n"/>
      <c r="AL559" s="77" t="n"/>
      <c r="AM559" s="77" t="n"/>
      <c r="AN559" s="77" t="n"/>
      <c r="AO559" s="77" t="n"/>
      <c r="AP559" s="77" t="n"/>
      <c r="AQ559" s="77" t="n"/>
      <c r="AR559" s="77" t="n"/>
      <c r="AS559" s="77" t="n"/>
      <c r="AT559" s="77" t="n"/>
      <c r="AU559" s="77" t="n"/>
      <c r="AV559" s="77" t="n"/>
      <c r="AW559" s="77" t="n"/>
      <c r="AX559" s="77" t="n"/>
      <c r="AY559" s="77" t="n"/>
      <c r="AZ559" s="77" t="n"/>
      <c r="BA559" s="77" t="n"/>
      <c r="BB559" s="77" t="n"/>
      <c r="BC559" s="77" t="n"/>
      <c r="BD559" s="77" t="n"/>
    </row>
    <row r="560">
      <c r="AB560" s="74" t="n"/>
      <c r="AC560" s="77" t="n"/>
      <c r="AD560" s="77" t="n"/>
      <c r="AE560" s="77" t="n"/>
      <c r="AF560" s="77" t="n"/>
      <c r="AG560" s="77" t="n"/>
      <c r="AH560" s="77" t="n"/>
      <c r="AI560" s="77" t="n"/>
      <c r="AJ560" s="77" t="n"/>
      <c r="AK560" s="77" t="n"/>
      <c r="AL560" s="77" t="n"/>
      <c r="AM560" s="77" t="n"/>
      <c r="AN560" s="77" t="n"/>
      <c r="AO560" s="77" t="n"/>
      <c r="AP560" s="77" t="n"/>
      <c r="AQ560" s="77" t="n"/>
      <c r="AR560" s="77" t="n"/>
      <c r="AS560" s="77" t="n"/>
      <c r="AT560" s="77" t="n"/>
      <c r="AU560" s="77" t="n"/>
      <c r="AV560" s="77" t="n"/>
      <c r="AW560" s="77" t="n"/>
      <c r="AX560" s="77" t="n"/>
      <c r="AY560" s="77" t="n"/>
      <c r="AZ560" s="77" t="n"/>
      <c r="BA560" s="77" t="n"/>
      <c r="BB560" s="77" t="n"/>
      <c r="BC560" s="77" t="n"/>
      <c r="BD560" s="77" t="n"/>
    </row>
    <row r="561">
      <c r="AB561" s="74" t="n"/>
      <c r="AC561" s="77" t="n"/>
      <c r="AD561" s="77" t="n"/>
      <c r="AE561" s="77" t="n"/>
      <c r="AF561" s="77" t="n"/>
      <c r="AG561" s="77" t="n"/>
      <c r="AH561" s="77" t="n"/>
      <c r="AI561" s="77" t="n"/>
      <c r="AJ561" s="77" t="n"/>
      <c r="AK561" s="77" t="n"/>
      <c r="AL561" s="77" t="n"/>
      <c r="AM561" s="77" t="n"/>
      <c r="AN561" s="77" t="n"/>
      <c r="AO561" s="77" t="n"/>
      <c r="AP561" s="77" t="n"/>
      <c r="AQ561" s="77" t="n"/>
      <c r="AR561" s="77" t="n"/>
      <c r="AS561" s="77" t="n"/>
      <c r="AT561" s="77" t="n"/>
      <c r="AU561" s="77" t="n"/>
      <c r="AV561" s="77" t="n"/>
      <c r="AW561" s="77" t="n"/>
      <c r="AX561" s="77" t="n"/>
      <c r="AY561" s="77" t="n"/>
      <c r="AZ561" s="77" t="n"/>
      <c r="BA561" s="77" t="n"/>
      <c r="BB561" s="77" t="n"/>
      <c r="BC561" s="77" t="n"/>
      <c r="BD561" s="77" t="n"/>
    </row>
    <row r="562">
      <c r="AB562" s="74" t="n"/>
      <c r="AC562" s="77" t="n"/>
      <c r="AD562" s="77" t="n"/>
      <c r="AE562" s="77" t="n"/>
      <c r="AF562" s="77" t="n"/>
      <c r="AG562" s="77" t="n"/>
      <c r="AH562" s="77" t="n"/>
      <c r="AI562" s="77" t="n"/>
      <c r="AJ562" s="77" t="n"/>
      <c r="AK562" s="77" t="n"/>
      <c r="AL562" s="77" t="n"/>
      <c r="AM562" s="77" t="n"/>
      <c r="AN562" s="77" t="n"/>
      <c r="AO562" s="77" t="n"/>
      <c r="AP562" s="77" t="n"/>
      <c r="AQ562" s="77" t="n"/>
      <c r="AR562" s="77" t="n"/>
      <c r="AS562" s="77" t="n"/>
      <c r="AT562" s="77" t="n"/>
      <c r="AU562" s="77" t="n"/>
      <c r="AV562" s="77" t="n"/>
      <c r="AW562" s="77" t="n"/>
      <c r="AX562" s="77" t="n"/>
      <c r="AY562" s="77" t="n"/>
      <c r="AZ562" s="77" t="n"/>
      <c r="BA562" s="77" t="n"/>
      <c r="BB562" s="77" t="n"/>
      <c r="BC562" s="77" t="n"/>
      <c r="BD562" s="77" t="n"/>
    </row>
    <row r="563">
      <c r="AB563" s="74" t="n"/>
      <c r="AC563" s="77" t="n"/>
      <c r="AD563" s="77" t="n"/>
      <c r="AE563" s="77" t="n"/>
      <c r="AF563" s="77" t="n"/>
      <c r="AG563" s="77" t="n"/>
      <c r="AH563" s="77" t="n"/>
      <c r="AI563" s="77" t="n"/>
      <c r="AJ563" s="77" t="n"/>
      <c r="AK563" s="77" t="n"/>
      <c r="AL563" s="77" t="n"/>
      <c r="AM563" s="77" t="n"/>
      <c r="AN563" s="77" t="n"/>
      <c r="AO563" s="77" t="n"/>
      <c r="AP563" s="77" t="n"/>
      <c r="AQ563" s="77" t="n"/>
      <c r="AR563" s="77" t="n"/>
      <c r="AS563" s="77" t="n"/>
      <c r="AT563" s="77" t="n"/>
      <c r="AU563" s="77" t="n"/>
      <c r="AV563" s="77" t="n"/>
      <c r="AW563" s="77" t="n"/>
      <c r="AX563" s="77" t="n"/>
      <c r="AY563" s="77" t="n"/>
      <c r="AZ563" s="77" t="n"/>
      <c r="BA563" s="77" t="n"/>
      <c r="BB563" s="77" t="n"/>
      <c r="BC563" s="77" t="n"/>
      <c r="BD563" s="77" t="n"/>
    </row>
    <row r="564">
      <c r="AB564" s="74" t="n"/>
      <c r="AC564" s="77" t="n"/>
      <c r="AD564" s="77" t="n"/>
      <c r="AE564" s="77" t="n"/>
      <c r="AF564" s="77" t="n"/>
      <c r="AG564" s="77" t="n"/>
      <c r="AH564" s="77" t="n"/>
      <c r="AI564" s="77" t="n"/>
      <c r="AJ564" s="77" t="n"/>
      <c r="AK564" s="77" t="n"/>
      <c r="AL564" s="77" t="n"/>
      <c r="AM564" s="77" t="n"/>
      <c r="AN564" s="77" t="n"/>
      <c r="AO564" s="77" t="n"/>
      <c r="AP564" s="77" t="n"/>
      <c r="AQ564" s="77" t="n"/>
      <c r="AR564" s="77" t="n"/>
      <c r="AS564" s="77" t="n"/>
      <c r="AT564" s="77" t="n"/>
      <c r="AU564" s="77" t="n"/>
      <c r="AV564" s="77" t="n"/>
      <c r="AW564" s="77" t="n"/>
      <c r="AX564" s="77" t="n"/>
      <c r="AY564" s="77" t="n"/>
      <c r="AZ564" s="77" t="n"/>
      <c r="BA564" s="77" t="n"/>
      <c r="BB564" s="77" t="n"/>
      <c r="BC564" s="77" t="n"/>
      <c r="BD564" s="77" t="n"/>
    </row>
    <row r="565">
      <c r="AB565" s="74" t="n"/>
      <c r="AC565" s="77" t="n"/>
      <c r="AD565" s="77" t="n"/>
      <c r="AE565" s="77" t="n"/>
      <c r="AF565" s="77" t="n"/>
      <c r="AG565" s="77" t="n"/>
      <c r="AH565" s="77" t="n"/>
      <c r="AI565" s="77" t="n"/>
      <c r="AJ565" s="77" t="n"/>
      <c r="AK565" s="77" t="n"/>
      <c r="AL565" s="77" t="n"/>
      <c r="AM565" s="77" t="n"/>
      <c r="AN565" s="77" t="n"/>
      <c r="AO565" s="77" t="n"/>
      <c r="AP565" s="77" t="n"/>
      <c r="AQ565" s="77" t="n"/>
      <c r="AR565" s="77" t="n"/>
      <c r="AS565" s="77" t="n"/>
      <c r="AT565" s="77" t="n"/>
      <c r="AU565" s="77" t="n"/>
      <c r="AV565" s="77" t="n"/>
      <c r="AW565" s="77" t="n"/>
      <c r="AX565" s="77" t="n"/>
      <c r="AY565" s="77" t="n"/>
      <c r="AZ565" s="77" t="n"/>
      <c r="BA565" s="77" t="n"/>
      <c r="BB565" s="77" t="n"/>
      <c r="BC565" s="77" t="n"/>
      <c r="BD565" s="77" t="n"/>
    </row>
    <row r="566">
      <c r="AB566" s="74" t="n"/>
      <c r="AC566" s="77" t="n"/>
      <c r="AD566" s="77" t="n"/>
      <c r="AE566" s="77" t="n"/>
      <c r="AF566" s="77" t="n"/>
      <c r="AG566" s="77" t="n"/>
      <c r="AH566" s="77" t="n"/>
      <c r="AI566" s="77" t="n"/>
      <c r="AJ566" s="77" t="n"/>
      <c r="AK566" s="77" t="n"/>
      <c r="AL566" s="77" t="n"/>
      <c r="AM566" s="77" t="n"/>
      <c r="AN566" s="77" t="n"/>
      <c r="AO566" s="77" t="n"/>
      <c r="AP566" s="77" t="n"/>
      <c r="AQ566" s="77" t="n"/>
      <c r="AR566" s="77" t="n"/>
      <c r="AS566" s="77" t="n"/>
      <c r="AT566" s="77" t="n"/>
      <c r="AU566" s="77" t="n"/>
      <c r="AV566" s="77" t="n"/>
      <c r="AW566" s="77" t="n"/>
      <c r="AX566" s="77" t="n"/>
      <c r="AY566" s="77" t="n"/>
      <c r="AZ566" s="77" t="n"/>
      <c r="BA566" s="77" t="n"/>
      <c r="BB566" s="77" t="n"/>
      <c r="BC566" s="77" t="n"/>
      <c r="BD566" s="77" t="n"/>
    </row>
    <row r="567">
      <c r="AB567" s="74" t="n"/>
      <c r="AC567" s="77" t="n"/>
      <c r="AD567" s="77" t="n"/>
      <c r="AE567" s="77" t="n"/>
      <c r="AF567" s="77" t="n"/>
      <c r="AG567" s="77" t="n"/>
      <c r="AH567" s="77" t="n"/>
      <c r="AI567" s="77" t="n"/>
      <c r="AJ567" s="77" t="n"/>
      <c r="AK567" s="77" t="n"/>
      <c r="AL567" s="77" t="n"/>
      <c r="AM567" s="77" t="n"/>
      <c r="AN567" s="77" t="n"/>
      <c r="AO567" s="77" t="n"/>
      <c r="AP567" s="77" t="n"/>
      <c r="AQ567" s="77" t="n"/>
      <c r="AR567" s="77" t="n"/>
      <c r="AS567" s="77" t="n"/>
      <c r="AT567" s="77" t="n"/>
      <c r="AU567" s="77" t="n"/>
      <c r="AV567" s="77" t="n"/>
      <c r="AW567" s="77" t="n"/>
      <c r="AX567" s="77" t="n"/>
      <c r="AY567" s="77" t="n"/>
      <c r="AZ567" s="77" t="n"/>
      <c r="BA567" s="77" t="n"/>
      <c r="BB567" s="77" t="n"/>
      <c r="BC567" s="77" t="n"/>
      <c r="BD567" s="77" t="n"/>
    </row>
    <row r="568">
      <c r="AB568" s="74" t="n"/>
      <c r="AC568" s="77" t="n"/>
      <c r="AD568" s="77" t="n"/>
      <c r="AE568" s="77" t="n"/>
      <c r="AF568" s="77" t="n"/>
      <c r="AG568" s="77" t="n"/>
      <c r="AH568" s="77" t="n"/>
      <c r="AI568" s="77" t="n"/>
      <c r="AJ568" s="77" t="n"/>
      <c r="AK568" s="77" t="n"/>
      <c r="AL568" s="77" t="n"/>
      <c r="AM568" s="77" t="n"/>
      <c r="AN568" s="77" t="n"/>
      <c r="AO568" s="77" t="n"/>
      <c r="AP568" s="77" t="n"/>
      <c r="AQ568" s="77" t="n"/>
      <c r="AR568" s="77" t="n"/>
      <c r="AS568" s="77" t="n"/>
      <c r="AT568" s="77" t="n"/>
      <c r="AU568" s="77" t="n"/>
      <c r="AV568" s="77" t="n"/>
      <c r="AW568" s="77" t="n"/>
      <c r="AX568" s="77" t="n"/>
      <c r="AY568" s="77" t="n"/>
      <c r="AZ568" s="77" t="n"/>
      <c r="BA568" s="77" t="n"/>
      <c r="BB568" s="77" t="n"/>
      <c r="BC568" s="77" t="n"/>
      <c r="BD568" s="77" t="n"/>
    </row>
    <row r="569">
      <c r="AB569" s="74" t="n"/>
      <c r="AC569" s="77" t="n"/>
      <c r="AD569" s="77" t="n"/>
      <c r="AE569" s="77" t="n"/>
      <c r="AF569" s="77" t="n"/>
      <c r="AG569" s="77" t="n"/>
      <c r="AH569" s="77" t="n"/>
      <c r="AI569" s="77" t="n"/>
      <c r="AJ569" s="77" t="n"/>
      <c r="AK569" s="77" t="n"/>
      <c r="AL569" s="77" t="n"/>
      <c r="AM569" s="77" t="n"/>
      <c r="AN569" s="77" t="n"/>
      <c r="AO569" s="77" t="n"/>
      <c r="AP569" s="77" t="n"/>
      <c r="AQ569" s="77" t="n"/>
      <c r="AR569" s="77" t="n"/>
      <c r="AS569" s="77" t="n"/>
      <c r="AT569" s="77" t="n"/>
      <c r="AU569" s="77" t="n"/>
      <c r="AV569" s="77" t="n"/>
      <c r="AW569" s="77" t="n"/>
      <c r="AX569" s="77" t="n"/>
      <c r="AY569" s="77" t="n"/>
      <c r="AZ569" s="77" t="n"/>
      <c r="BA569" s="77" t="n"/>
      <c r="BB569" s="77" t="n"/>
      <c r="BC569" s="77" t="n"/>
      <c r="BD569" s="77" t="n"/>
    </row>
    <row r="570">
      <c r="AB570" s="74" t="n"/>
      <c r="AC570" s="77" t="n"/>
      <c r="AD570" s="77" t="n"/>
      <c r="AE570" s="77" t="n"/>
      <c r="AF570" s="77" t="n"/>
      <c r="AG570" s="77" t="n"/>
      <c r="AH570" s="77" t="n"/>
      <c r="AI570" s="77" t="n"/>
      <c r="AJ570" s="77" t="n"/>
      <c r="AK570" s="77" t="n"/>
      <c r="AL570" s="77" t="n"/>
      <c r="AM570" s="77" t="n"/>
      <c r="AN570" s="77" t="n"/>
      <c r="AO570" s="77" t="n"/>
      <c r="AP570" s="77" t="n"/>
      <c r="AQ570" s="77" t="n"/>
      <c r="AR570" s="77" t="n"/>
      <c r="AS570" s="77" t="n"/>
      <c r="AT570" s="77" t="n"/>
      <c r="AU570" s="77" t="n"/>
      <c r="AV570" s="77" t="n"/>
      <c r="AW570" s="77" t="n"/>
      <c r="AX570" s="77" t="n"/>
      <c r="AY570" s="77" t="n"/>
      <c r="AZ570" s="77" t="n"/>
      <c r="BA570" s="77" t="n"/>
      <c r="BB570" s="77" t="n"/>
      <c r="BC570" s="77" t="n"/>
      <c r="BD570" s="77" t="n"/>
    </row>
    <row r="571">
      <c r="AB571" s="74" t="n"/>
      <c r="AC571" s="77" t="n"/>
      <c r="AD571" s="77" t="n"/>
      <c r="AE571" s="77" t="n"/>
      <c r="AF571" s="77" t="n"/>
      <c r="AG571" s="77" t="n"/>
      <c r="AH571" s="77" t="n"/>
      <c r="AI571" s="77" t="n"/>
      <c r="AJ571" s="77" t="n"/>
      <c r="AK571" s="77" t="n"/>
      <c r="AL571" s="77" t="n"/>
      <c r="AM571" s="77" t="n"/>
      <c r="AN571" s="77" t="n"/>
      <c r="AO571" s="77" t="n"/>
      <c r="AP571" s="77" t="n"/>
      <c r="AQ571" s="77" t="n"/>
      <c r="AR571" s="77" t="n"/>
      <c r="AS571" s="77" t="n"/>
      <c r="AT571" s="77" t="n"/>
      <c r="AU571" s="77" t="n"/>
      <c r="AV571" s="77" t="n"/>
      <c r="AW571" s="77" t="n"/>
      <c r="AX571" s="77" t="n"/>
      <c r="AY571" s="77" t="n"/>
      <c r="AZ571" s="77" t="n"/>
      <c r="BA571" s="77" t="n"/>
      <c r="BB571" s="77" t="n"/>
      <c r="BC571" s="77" t="n"/>
      <c r="BD571" s="77" t="n"/>
    </row>
    <row r="572">
      <c r="AB572" s="74" t="n"/>
      <c r="AC572" s="77" t="n"/>
      <c r="AD572" s="77" t="n"/>
      <c r="AE572" s="77" t="n"/>
      <c r="AF572" s="77" t="n"/>
      <c r="AG572" s="77" t="n"/>
      <c r="AH572" s="77" t="n"/>
      <c r="AI572" s="77" t="n"/>
      <c r="AJ572" s="77" t="n"/>
      <c r="AK572" s="77" t="n"/>
      <c r="AL572" s="77" t="n"/>
      <c r="AM572" s="77" t="n"/>
      <c r="AN572" s="77" t="n"/>
      <c r="AO572" s="77" t="n"/>
      <c r="AP572" s="77" t="n"/>
      <c r="AQ572" s="77" t="n"/>
      <c r="AR572" s="77" t="n"/>
      <c r="AS572" s="77" t="n"/>
      <c r="AT572" s="77" t="n"/>
      <c r="AU572" s="77" t="n"/>
      <c r="AV572" s="77" t="n"/>
      <c r="AW572" s="77" t="n"/>
      <c r="AX572" s="77" t="n"/>
      <c r="AY572" s="77" t="n"/>
      <c r="AZ572" s="77" t="n"/>
      <c r="BA572" s="77" t="n"/>
      <c r="BB572" s="77" t="n"/>
      <c r="BC572" s="77" t="n"/>
      <c r="BD572" s="77" t="n"/>
    </row>
    <row r="573">
      <c r="AB573" s="74" t="n"/>
      <c r="AC573" s="77" t="n"/>
      <c r="AD573" s="77" t="n"/>
      <c r="AE573" s="77" t="n"/>
      <c r="AF573" s="77" t="n"/>
      <c r="AG573" s="77" t="n"/>
      <c r="AH573" s="77" t="n"/>
      <c r="AI573" s="77" t="n"/>
      <c r="AJ573" s="77" t="n"/>
      <c r="AK573" s="77" t="n"/>
      <c r="AL573" s="77" t="n"/>
      <c r="AM573" s="77" t="n"/>
      <c r="AN573" s="77" t="n"/>
      <c r="AO573" s="77" t="n"/>
      <c r="AP573" s="77" t="n"/>
      <c r="AQ573" s="77" t="n"/>
      <c r="AR573" s="77" t="n"/>
      <c r="AS573" s="77" t="n"/>
      <c r="AT573" s="77" t="n"/>
      <c r="AU573" s="77" t="n"/>
      <c r="AV573" s="77" t="n"/>
      <c r="AW573" s="77" t="n"/>
      <c r="AX573" s="77" t="n"/>
      <c r="AY573" s="77" t="n"/>
      <c r="AZ573" s="77" t="n"/>
      <c r="BA573" s="77" t="n"/>
      <c r="BB573" s="77" t="n"/>
      <c r="BC573" s="77" t="n"/>
      <c r="BD573" s="77" t="n"/>
    </row>
    <row r="574">
      <c r="AB574" s="74" t="n"/>
      <c r="AC574" s="77" t="n"/>
      <c r="AD574" s="77" t="n"/>
      <c r="AE574" s="77" t="n"/>
      <c r="AF574" s="77" t="n"/>
      <c r="AG574" s="77" t="n"/>
      <c r="AH574" s="77" t="n"/>
      <c r="AI574" s="77" t="n"/>
      <c r="AJ574" s="77" t="n"/>
      <c r="AK574" s="77" t="n"/>
      <c r="AL574" s="77" t="n"/>
      <c r="AM574" s="77" t="n"/>
      <c r="AN574" s="77" t="n"/>
      <c r="AO574" s="77" t="n"/>
      <c r="AP574" s="77" t="n"/>
      <c r="AQ574" s="77" t="n"/>
      <c r="AR574" s="77" t="n"/>
      <c r="AS574" s="77" t="n"/>
      <c r="AT574" s="77" t="n"/>
      <c r="AU574" s="77" t="n"/>
      <c r="AV574" s="77" t="n"/>
      <c r="AW574" s="77" t="n"/>
      <c r="AX574" s="77" t="n"/>
      <c r="AY574" s="77" t="n"/>
      <c r="AZ574" s="77" t="n"/>
      <c r="BA574" s="77" t="n"/>
      <c r="BB574" s="77" t="n"/>
      <c r="BC574" s="77" t="n"/>
      <c r="BD574" s="77" t="n"/>
    </row>
    <row r="575">
      <c r="AB575" s="74" t="n"/>
      <c r="AC575" s="77" t="n"/>
      <c r="AD575" s="77" t="n"/>
      <c r="AE575" s="77" t="n"/>
      <c r="AF575" s="77" t="n"/>
      <c r="AG575" s="77" t="n"/>
      <c r="AH575" s="77" t="n"/>
      <c r="AI575" s="77" t="n"/>
      <c r="AJ575" s="77" t="n"/>
      <c r="AK575" s="77" t="n"/>
      <c r="AL575" s="77" t="n"/>
      <c r="AM575" s="77" t="n"/>
      <c r="AN575" s="77" t="n"/>
      <c r="AO575" s="77" t="n"/>
      <c r="AP575" s="77" t="n"/>
      <c r="AQ575" s="77" t="n"/>
      <c r="AR575" s="77" t="n"/>
      <c r="AS575" s="77" t="n"/>
      <c r="AT575" s="77" t="n"/>
      <c r="AU575" s="77" t="n"/>
      <c r="AV575" s="77" t="n"/>
      <c r="AW575" s="77" t="n"/>
      <c r="AX575" s="77" t="n"/>
      <c r="AY575" s="77" t="n"/>
      <c r="AZ575" s="77" t="n"/>
      <c r="BA575" s="77" t="n"/>
      <c r="BB575" s="77" t="n"/>
      <c r="BC575" s="77" t="n"/>
      <c r="BD575" s="77" t="n"/>
    </row>
    <row r="576">
      <c r="AB576" s="74" t="n"/>
      <c r="AC576" s="77" t="n"/>
      <c r="AD576" s="77" t="n"/>
      <c r="AE576" s="77" t="n"/>
      <c r="AF576" s="77" t="n"/>
      <c r="AG576" s="77" t="n"/>
      <c r="AH576" s="77" t="n"/>
      <c r="AI576" s="77" t="n"/>
      <c r="AJ576" s="77" t="n"/>
      <c r="AK576" s="77" t="n"/>
      <c r="AL576" s="77" t="n"/>
      <c r="AM576" s="77" t="n"/>
      <c r="AN576" s="77" t="n"/>
      <c r="AO576" s="77" t="n"/>
      <c r="AP576" s="77" t="n"/>
      <c r="AQ576" s="77" t="n"/>
      <c r="AR576" s="77" t="n"/>
      <c r="AS576" s="77" t="n"/>
      <c r="AT576" s="77" t="n"/>
      <c r="AU576" s="77" t="n"/>
      <c r="AV576" s="77" t="n"/>
      <c r="AW576" s="77" t="n"/>
      <c r="AX576" s="77" t="n"/>
      <c r="AY576" s="77" t="n"/>
      <c r="AZ576" s="77" t="n"/>
      <c r="BA576" s="77" t="n"/>
      <c r="BB576" s="77" t="n"/>
      <c r="BC576" s="77" t="n"/>
      <c r="BD576" s="77" t="n"/>
    </row>
    <row r="577">
      <c r="AB577" s="74" t="n"/>
      <c r="AC577" s="77" t="n"/>
      <c r="AD577" s="77" t="n"/>
      <c r="AE577" s="77" t="n"/>
      <c r="AF577" s="77" t="n"/>
      <c r="AG577" s="77" t="n"/>
      <c r="AH577" s="77" t="n"/>
      <c r="AI577" s="77" t="n"/>
      <c r="AJ577" s="77" t="n"/>
      <c r="AK577" s="77" t="n"/>
      <c r="AL577" s="77" t="n"/>
      <c r="AM577" s="77" t="n"/>
      <c r="AN577" s="77" t="n"/>
      <c r="AO577" s="77" t="n"/>
      <c r="AP577" s="77" t="n"/>
      <c r="AQ577" s="77" t="n"/>
      <c r="AR577" s="77" t="n"/>
      <c r="AS577" s="77" t="n"/>
      <c r="AT577" s="77" t="n"/>
      <c r="AU577" s="77" t="n"/>
      <c r="AV577" s="77" t="n"/>
      <c r="AW577" s="77" t="n"/>
      <c r="AX577" s="77" t="n"/>
      <c r="AY577" s="77" t="n"/>
      <c r="AZ577" s="77" t="n"/>
      <c r="BA577" s="77" t="n"/>
      <c r="BB577" s="77" t="n"/>
      <c r="BC577" s="77" t="n"/>
      <c r="BD577" s="77" t="n"/>
    </row>
    <row r="578">
      <c r="AB578" s="74" t="n"/>
      <c r="AC578" s="77" t="n"/>
      <c r="AD578" s="77" t="n"/>
      <c r="AE578" s="77" t="n"/>
      <c r="AF578" s="77" t="n"/>
      <c r="AG578" s="77" t="n"/>
      <c r="AH578" s="77" t="n"/>
      <c r="AI578" s="77" t="n"/>
      <c r="AJ578" s="77" t="n"/>
      <c r="AK578" s="77" t="n"/>
      <c r="AL578" s="77" t="n"/>
      <c r="AM578" s="77" t="n"/>
      <c r="AN578" s="77" t="n"/>
      <c r="AO578" s="77" t="n"/>
      <c r="AP578" s="77" t="n"/>
      <c r="AQ578" s="77" t="n"/>
      <c r="AR578" s="77" t="n"/>
      <c r="AS578" s="77" t="n"/>
      <c r="AT578" s="77" t="n"/>
      <c r="AU578" s="77" t="n"/>
      <c r="AV578" s="77" t="n"/>
      <c r="AW578" s="77" t="n"/>
      <c r="AX578" s="77" t="n"/>
      <c r="AY578" s="77" t="n"/>
      <c r="AZ578" s="77" t="n"/>
      <c r="BA578" s="77" t="n"/>
      <c r="BB578" s="77" t="n"/>
      <c r="BC578" s="77" t="n"/>
      <c r="BD578" s="77" t="n"/>
    </row>
    <row r="579">
      <c r="AB579" s="74" t="n"/>
      <c r="AC579" s="77" t="n"/>
      <c r="AD579" s="77" t="n"/>
      <c r="AE579" s="77" t="n"/>
      <c r="AF579" s="77" t="n"/>
      <c r="AG579" s="77" t="n"/>
      <c r="AH579" s="77" t="n"/>
      <c r="AI579" s="77" t="n"/>
      <c r="AJ579" s="77" t="n"/>
      <c r="AK579" s="77" t="n"/>
      <c r="AL579" s="77" t="n"/>
      <c r="AM579" s="77" t="n"/>
      <c r="AN579" s="77" t="n"/>
      <c r="AO579" s="77" t="n"/>
      <c r="AP579" s="77" t="n"/>
      <c r="AQ579" s="77" t="n"/>
      <c r="AR579" s="77" t="n"/>
      <c r="AS579" s="77" t="n"/>
      <c r="AT579" s="77" t="n"/>
      <c r="AU579" s="77" t="n"/>
      <c r="AV579" s="77" t="n"/>
      <c r="AW579" s="77" t="n"/>
      <c r="AX579" s="77" t="n"/>
      <c r="AY579" s="77" t="n"/>
      <c r="AZ579" s="77" t="n"/>
      <c r="BA579" s="77" t="n"/>
      <c r="BB579" s="77" t="n"/>
      <c r="BC579" s="77" t="n"/>
      <c r="BD579" s="77" t="n"/>
    </row>
    <row r="580">
      <c r="AB580" s="74" t="n"/>
      <c r="AC580" s="77" t="n"/>
      <c r="AD580" s="77" t="n"/>
      <c r="AE580" s="77" t="n"/>
      <c r="AF580" s="77" t="n"/>
      <c r="AG580" s="77" t="n"/>
      <c r="AH580" s="77" t="n"/>
      <c r="AI580" s="77" t="n"/>
      <c r="AJ580" s="77" t="n"/>
      <c r="AK580" s="77" t="n"/>
      <c r="AL580" s="77" t="n"/>
      <c r="AM580" s="77" t="n"/>
      <c r="AN580" s="77" t="n"/>
      <c r="AO580" s="77" t="n"/>
      <c r="AP580" s="77" t="n"/>
      <c r="AQ580" s="77" t="n"/>
      <c r="AR580" s="77" t="n"/>
      <c r="AS580" s="77" t="n"/>
      <c r="AT580" s="77" t="n"/>
      <c r="AU580" s="77" t="n"/>
      <c r="AV580" s="77" t="n"/>
      <c r="AW580" s="77" t="n"/>
      <c r="AX580" s="77" t="n"/>
      <c r="AY580" s="77" t="n"/>
      <c r="AZ580" s="77" t="n"/>
      <c r="BA580" s="77" t="n"/>
      <c r="BB580" s="77" t="n"/>
      <c r="BC580" s="77" t="n"/>
      <c r="BD580" s="77" t="n"/>
    </row>
    <row r="581">
      <c r="AB581" s="74" t="n"/>
      <c r="AC581" s="77" t="n"/>
      <c r="AD581" s="77" t="n"/>
      <c r="AE581" s="77" t="n"/>
      <c r="AF581" s="77" t="n"/>
      <c r="AG581" s="77" t="n"/>
      <c r="AH581" s="77" t="n"/>
      <c r="AI581" s="77" t="n"/>
      <c r="AJ581" s="77" t="n"/>
      <c r="AK581" s="77" t="n"/>
      <c r="AL581" s="77" t="n"/>
      <c r="AM581" s="77" t="n"/>
      <c r="AN581" s="77" t="n"/>
      <c r="AO581" s="77" t="n"/>
      <c r="AP581" s="77" t="n"/>
      <c r="AQ581" s="77" t="n"/>
      <c r="AR581" s="77" t="n"/>
      <c r="AS581" s="77" t="n"/>
      <c r="AT581" s="77" t="n"/>
      <c r="AU581" s="77" t="n"/>
      <c r="AV581" s="77" t="n"/>
      <c r="AW581" s="77" t="n"/>
      <c r="AX581" s="77" t="n"/>
      <c r="AY581" s="77" t="n"/>
      <c r="AZ581" s="77" t="n"/>
      <c r="BA581" s="77" t="n"/>
      <c r="BB581" s="77" t="n"/>
      <c r="BC581" s="77" t="n"/>
      <c r="BD581" s="77" t="n"/>
    </row>
    <row r="582">
      <c r="AB582" s="74" t="n"/>
      <c r="AC582" s="77" t="n"/>
      <c r="AD582" s="77" t="n"/>
      <c r="AE582" s="77" t="n"/>
      <c r="AF582" s="77" t="n"/>
      <c r="AG582" s="77" t="n"/>
      <c r="AH582" s="77" t="n"/>
      <c r="AI582" s="77" t="n"/>
      <c r="AJ582" s="77" t="n"/>
      <c r="AK582" s="77" t="n"/>
      <c r="AL582" s="77" t="n"/>
      <c r="AM582" s="77" t="n"/>
      <c r="AN582" s="77" t="n"/>
      <c r="AO582" s="77" t="n"/>
      <c r="AP582" s="77" t="n"/>
      <c r="AQ582" s="77" t="n"/>
      <c r="AR582" s="77" t="n"/>
      <c r="AS582" s="77" t="n"/>
      <c r="AT582" s="77" t="n"/>
      <c r="AU582" s="77" t="n"/>
      <c r="AV582" s="77" t="n"/>
      <c r="AW582" s="77" t="n"/>
      <c r="AX582" s="77" t="n"/>
      <c r="AY582" s="77" t="n"/>
      <c r="AZ582" s="77" t="n"/>
      <c r="BA582" s="77" t="n"/>
      <c r="BB582" s="77" t="n"/>
      <c r="BC582" s="77" t="n"/>
      <c r="BD582" s="77" t="n"/>
    </row>
    <row r="583">
      <c r="AB583" s="74" t="n"/>
      <c r="AC583" s="77" t="n"/>
      <c r="AD583" s="77" t="n"/>
      <c r="AE583" s="77" t="n"/>
      <c r="AF583" s="77" t="n"/>
      <c r="AG583" s="77" t="n"/>
      <c r="AH583" s="77" t="n"/>
      <c r="AI583" s="77" t="n"/>
      <c r="AJ583" s="77" t="n"/>
      <c r="AK583" s="77" t="n"/>
      <c r="AL583" s="77" t="n"/>
      <c r="AM583" s="77" t="n"/>
      <c r="AN583" s="77" t="n"/>
      <c r="AO583" s="77" t="n"/>
      <c r="AP583" s="77" t="n"/>
      <c r="AQ583" s="77" t="n"/>
      <c r="AR583" s="77" t="n"/>
      <c r="AS583" s="77" t="n"/>
      <c r="AT583" s="77" t="n"/>
      <c r="AU583" s="77" t="n"/>
      <c r="AV583" s="77" t="n"/>
      <c r="AW583" s="77" t="n"/>
      <c r="AX583" s="77" t="n"/>
      <c r="AY583" s="77" t="n"/>
      <c r="AZ583" s="77" t="n"/>
      <c r="BA583" s="77" t="n"/>
      <c r="BB583" s="77" t="n"/>
      <c r="BC583" s="77" t="n"/>
      <c r="BD583" s="77" t="n"/>
    </row>
    <row r="584">
      <c r="AB584" s="74" t="n"/>
      <c r="AC584" s="77" t="n"/>
      <c r="AD584" s="77" t="n"/>
      <c r="AE584" s="77" t="n"/>
      <c r="AF584" s="77" t="n"/>
      <c r="AG584" s="77" t="n"/>
      <c r="AH584" s="77" t="n"/>
      <c r="AI584" s="77" t="n"/>
      <c r="AJ584" s="77" t="n"/>
      <c r="AK584" s="77" t="n"/>
      <c r="AL584" s="77" t="n"/>
      <c r="AM584" s="77" t="n"/>
      <c r="AN584" s="77" t="n"/>
      <c r="AO584" s="77" t="n"/>
      <c r="AP584" s="77" t="n"/>
      <c r="AQ584" s="77" t="n"/>
      <c r="AR584" s="77" t="n"/>
      <c r="AS584" s="77" t="n"/>
      <c r="AT584" s="77" t="n"/>
      <c r="AU584" s="77" t="n"/>
      <c r="AV584" s="77" t="n"/>
      <c r="AW584" s="77" t="n"/>
      <c r="AX584" s="77" t="n"/>
      <c r="AY584" s="77" t="n"/>
      <c r="AZ584" s="77" t="n"/>
      <c r="BA584" s="77" t="n"/>
      <c r="BB584" s="77" t="n"/>
      <c r="BC584" s="77" t="n"/>
      <c r="BD584" s="77" t="n"/>
    </row>
    <row r="585">
      <c r="AB585" s="74" t="n"/>
      <c r="AC585" s="77" t="n"/>
      <c r="AD585" s="77" t="n"/>
      <c r="AE585" s="77" t="n"/>
      <c r="AF585" s="77" t="n"/>
      <c r="AG585" s="77" t="n"/>
      <c r="AH585" s="77" t="n"/>
      <c r="AI585" s="77" t="n"/>
      <c r="AJ585" s="77" t="n"/>
      <c r="AK585" s="77" t="n"/>
      <c r="AL585" s="77" t="n"/>
      <c r="AM585" s="77" t="n"/>
      <c r="AN585" s="77" t="n"/>
      <c r="AO585" s="77" t="n"/>
      <c r="AP585" s="77" t="n"/>
      <c r="AQ585" s="77" t="n"/>
      <c r="AR585" s="77" t="n"/>
      <c r="AS585" s="77" t="n"/>
      <c r="AT585" s="77" t="n"/>
      <c r="AU585" s="77" t="n"/>
      <c r="AV585" s="77" t="n"/>
      <c r="AW585" s="77" t="n"/>
      <c r="AX585" s="77" t="n"/>
      <c r="AY585" s="77" t="n"/>
      <c r="AZ585" s="77" t="n"/>
      <c r="BA585" s="77" t="n"/>
      <c r="BB585" s="77" t="n"/>
      <c r="BC585" s="77" t="n"/>
      <c r="BD585" s="77" t="n"/>
    </row>
    <row r="586">
      <c r="AB586" s="74" t="n"/>
      <c r="AC586" s="77" t="n"/>
      <c r="AD586" s="77" t="n"/>
      <c r="AE586" s="77" t="n"/>
      <c r="AF586" s="77" t="n"/>
      <c r="AG586" s="77" t="n"/>
      <c r="AH586" s="77" t="n"/>
      <c r="AI586" s="77" t="n"/>
      <c r="AJ586" s="77" t="n"/>
      <c r="AK586" s="77" t="n"/>
      <c r="AL586" s="77" t="n"/>
      <c r="AM586" s="77" t="n"/>
      <c r="AN586" s="77" t="n"/>
      <c r="AO586" s="77" t="n"/>
      <c r="AP586" s="77" t="n"/>
      <c r="AQ586" s="77" t="n"/>
      <c r="AR586" s="77" t="n"/>
      <c r="AS586" s="77" t="n"/>
      <c r="AT586" s="77" t="n"/>
      <c r="AU586" s="77" t="n"/>
      <c r="AV586" s="77" t="n"/>
      <c r="AW586" s="77" t="n"/>
      <c r="AX586" s="77" t="n"/>
      <c r="AY586" s="77" t="n"/>
      <c r="AZ586" s="77" t="n"/>
      <c r="BA586" s="77" t="n"/>
      <c r="BB586" s="77" t="n"/>
      <c r="BC586" s="77" t="n"/>
      <c r="BD586" s="77" t="n"/>
    </row>
    <row r="587">
      <c r="AB587" s="74" t="n"/>
      <c r="AC587" s="77" t="n"/>
      <c r="AD587" s="77" t="n"/>
      <c r="AE587" s="77" t="n"/>
      <c r="AF587" s="77" t="n"/>
      <c r="AG587" s="77" t="n"/>
      <c r="AH587" s="77" t="n"/>
      <c r="AI587" s="77" t="n"/>
      <c r="AJ587" s="77" t="n"/>
      <c r="AK587" s="77" t="n"/>
      <c r="AL587" s="77" t="n"/>
      <c r="AM587" s="77" t="n"/>
      <c r="AN587" s="77" t="n"/>
      <c r="AO587" s="77" t="n"/>
      <c r="AP587" s="77" t="n"/>
      <c r="AQ587" s="77" t="n"/>
      <c r="AR587" s="77" t="n"/>
      <c r="AS587" s="77" t="n"/>
      <c r="AT587" s="77" t="n"/>
      <c r="AU587" s="77" t="n"/>
      <c r="AV587" s="77" t="n"/>
      <c r="AW587" s="77" t="n"/>
      <c r="AX587" s="77" t="n"/>
      <c r="AY587" s="77" t="n"/>
      <c r="AZ587" s="77" t="n"/>
      <c r="BA587" s="77" t="n"/>
      <c r="BB587" s="77" t="n"/>
      <c r="BC587" s="77" t="n"/>
      <c r="BD587" s="77" t="n"/>
    </row>
    <row r="588">
      <c r="AB588" s="74" t="n"/>
      <c r="AC588" s="77" t="n"/>
      <c r="AD588" s="77" t="n"/>
      <c r="AE588" s="77" t="n"/>
      <c r="AF588" s="77" t="n"/>
      <c r="AG588" s="77" t="n"/>
      <c r="AH588" s="77" t="n"/>
      <c r="AI588" s="77" t="n"/>
      <c r="AJ588" s="77" t="n"/>
      <c r="AK588" s="77" t="n"/>
      <c r="AL588" s="77" t="n"/>
      <c r="AM588" s="77" t="n"/>
      <c r="AN588" s="77" t="n"/>
      <c r="AO588" s="77" t="n"/>
      <c r="AP588" s="77" t="n"/>
      <c r="AQ588" s="77" t="n"/>
      <c r="AR588" s="77" t="n"/>
      <c r="AS588" s="77" t="n"/>
      <c r="AT588" s="77" t="n"/>
      <c r="AU588" s="77" t="n"/>
      <c r="AV588" s="77" t="n"/>
      <c r="AW588" s="77" t="n"/>
      <c r="AX588" s="77" t="n"/>
      <c r="AY588" s="77" t="n"/>
      <c r="AZ588" s="77" t="n"/>
      <c r="BA588" s="77" t="n"/>
      <c r="BB588" s="77" t="n"/>
      <c r="BC588" s="77" t="n"/>
      <c r="BD588" s="77" t="n"/>
    </row>
    <row r="589">
      <c r="AB589" s="74" t="n"/>
      <c r="AC589" s="77" t="n"/>
      <c r="AD589" s="77" t="n"/>
      <c r="AE589" s="77" t="n"/>
      <c r="AF589" s="77" t="n"/>
      <c r="AG589" s="77" t="n"/>
      <c r="AH589" s="77" t="n"/>
      <c r="AI589" s="77" t="n"/>
      <c r="AJ589" s="77" t="n"/>
      <c r="AK589" s="77" t="n"/>
      <c r="AL589" s="77" t="n"/>
      <c r="AM589" s="77" t="n"/>
      <c r="AN589" s="77" t="n"/>
      <c r="AO589" s="77" t="n"/>
      <c r="AP589" s="77" t="n"/>
      <c r="AQ589" s="77" t="n"/>
      <c r="AR589" s="77" t="n"/>
      <c r="AS589" s="77" t="n"/>
      <c r="AT589" s="77" t="n"/>
      <c r="AU589" s="77" t="n"/>
      <c r="AV589" s="77" t="n"/>
      <c r="AW589" s="77" t="n"/>
      <c r="AX589" s="77" t="n"/>
      <c r="AY589" s="77" t="n"/>
      <c r="AZ589" s="77" t="n"/>
      <c r="BA589" s="77" t="n"/>
      <c r="BB589" s="77" t="n"/>
      <c r="BC589" s="77" t="n"/>
      <c r="BD589" s="77" t="n"/>
    </row>
    <row r="590">
      <c r="AB590" s="74" t="n"/>
      <c r="AC590" s="77" t="n"/>
      <c r="AD590" s="77" t="n"/>
      <c r="AE590" s="77" t="n"/>
      <c r="AF590" s="77" t="n"/>
      <c r="AG590" s="77" t="n"/>
      <c r="AH590" s="77" t="n"/>
      <c r="AI590" s="77" t="n"/>
      <c r="AJ590" s="77" t="n"/>
      <c r="AK590" s="77" t="n"/>
      <c r="AL590" s="77" t="n"/>
      <c r="AM590" s="77" t="n"/>
      <c r="AN590" s="77" t="n"/>
      <c r="AO590" s="77" t="n"/>
      <c r="AP590" s="77" t="n"/>
      <c r="AQ590" s="77" t="n"/>
      <c r="AR590" s="77" t="n"/>
      <c r="AS590" s="77" t="n"/>
      <c r="AT590" s="77" t="n"/>
      <c r="AU590" s="77" t="n"/>
      <c r="AV590" s="77" t="n"/>
      <c r="AW590" s="77" t="n"/>
      <c r="AX590" s="77" t="n"/>
      <c r="AY590" s="77" t="n"/>
      <c r="AZ590" s="77" t="n"/>
      <c r="BA590" s="77" t="n"/>
      <c r="BB590" s="77" t="n"/>
      <c r="BC590" s="77" t="n"/>
      <c r="BD590" s="77" t="n"/>
    </row>
    <row r="591">
      <c r="AB591" s="74" t="n"/>
      <c r="AC591" s="77" t="n"/>
      <c r="AD591" s="77" t="n"/>
      <c r="AE591" s="77" t="n"/>
      <c r="AF591" s="77" t="n"/>
      <c r="AG591" s="77" t="n"/>
      <c r="AH591" s="77" t="n"/>
      <c r="AI591" s="77" t="n"/>
      <c r="AJ591" s="77" t="n"/>
      <c r="AK591" s="77" t="n"/>
      <c r="AL591" s="77" t="n"/>
      <c r="AM591" s="77" t="n"/>
      <c r="AN591" s="77" t="n"/>
      <c r="AO591" s="77" t="n"/>
      <c r="AP591" s="77" t="n"/>
      <c r="AQ591" s="77" t="n"/>
      <c r="AR591" s="77" t="n"/>
      <c r="AS591" s="77" t="n"/>
      <c r="AT591" s="77" t="n"/>
      <c r="AU591" s="77" t="n"/>
      <c r="AV591" s="77" t="n"/>
      <c r="AW591" s="77" t="n"/>
      <c r="AX591" s="77" t="n"/>
      <c r="AY591" s="77" t="n"/>
      <c r="AZ591" s="77" t="n"/>
      <c r="BA591" s="77" t="n"/>
      <c r="BB591" s="77" t="n"/>
      <c r="BC591" s="77" t="n"/>
      <c r="BD591" s="77" t="n"/>
    </row>
    <row r="592">
      <c r="AB592" s="74" t="n"/>
      <c r="AC592" s="77" t="n"/>
      <c r="AD592" s="77" t="n"/>
      <c r="AE592" s="77" t="n"/>
      <c r="AF592" s="77" t="n"/>
      <c r="AG592" s="77" t="n"/>
      <c r="AH592" s="77" t="n"/>
      <c r="AI592" s="77" t="n"/>
      <c r="AJ592" s="77" t="n"/>
      <c r="AK592" s="77" t="n"/>
      <c r="AL592" s="77" t="n"/>
      <c r="AM592" s="77" t="n"/>
      <c r="AN592" s="77" t="n"/>
      <c r="AO592" s="77" t="n"/>
      <c r="AP592" s="77" t="n"/>
      <c r="AQ592" s="77" t="n"/>
      <c r="AR592" s="77" t="n"/>
      <c r="AS592" s="77" t="n"/>
      <c r="AT592" s="77" t="n"/>
      <c r="AU592" s="77" t="n"/>
      <c r="AV592" s="77" t="n"/>
      <c r="AW592" s="77" t="n"/>
      <c r="AX592" s="77" t="n"/>
      <c r="AY592" s="77" t="n"/>
      <c r="AZ592" s="77" t="n"/>
      <c r="BA592" s="77" t="n"/>
      <c r="BB592" s="77" t="n"/>
      <c r="BC592" s="77" t="n"/>
      <c r="BD592" s="77" t="n"/>
    </row>
    <row r="593">
      <c r="AB593" s="74" t="n"/>
      <c r="AC593" s="77" t="n"/>
      <c r="AD593" s="77" t="n"/>
      <c r="AE593" s="77" t="n"/>
      <c r="AF593" s="77" t="n"/>
      <c r="AG593" s="77" t="n"/>
      <c r="AH593" s="77" t="n"/>
      <c r="AI593" s="77" t="n"/>
      <c r="AJ593" s="77" t="n"/>
      <c r="AK593" s="77" t="n"/>
      <c r="AL593" s="77" t="n"/>
      <c r="AM593" s="77" t="n"/>
      <c r="AN593" s="77" t="n"/>
      <c r="AO593" s="77" t="n"/>
      <c r="AP593" s="77" t="n"/>
      <c r="AQ593" s="77" t="n"/>
      <c r="AR593" s="77" t="n"/>
      <c r="AS593" s="77" t="n"/>
      <c r="AT593" s="77" t="n"/>
      <c r="AU593" s="77" t="n"/>
      <c r="AV593" s="77" t="n"/>
      <c r="AW593" s="77" t="n"/>
      <c r="AX593" s="77" t="n"/>
      <c r="AY593" s="77" t="n"/>
      <c r="AZ593" s="77" t="n"/>
      <c r="BA593" s="77" t="n"/>
      <c r="BB593" s="77" t="n"/>
      <c r="BC593" s="77" t="n"/>
      <c r="BD593" s="77" t="n"/>
    </row>
    <row r="594">
      <c r="AB594" s="74" t="n"/>
      <c r="AC594" s="77" t="n"/>
      <c r="AD594" s="77" t="n"/>
      <c r="AE594" s="77" t="n"/>
      <c r="AF594" s="77" t="n"/>
      <c r="AG594" s="77" t="n"/>
      <c r="AH594" s="77" t="n"/>
      <c r="AI594" s="77" t="n"/>
      <c r="AJ594" s="77" t="n"/>
      <c r="AK594" s="77" t="n"/>
      <c r="AL594" s="77" t="n"/>
      <c r="AM594" s="77" t="n"/>
      <c r="AN594" s="77" t="n"/>
      <c r="AO594" s="77" t="n"/>
      <c r="AP594" s="77" t="n"/>
      <c r="AQ594" s="77" t="n"/>
      <c r="AR594" s="77" t="n"/>
      <c r="AS594" s="77" t="n"/>
      <c r="AT594" s="77" t="n"/>
      <c r="AU594" s="77" t="n"/>
      <c r="AV594" s="77" t="n"/>
      <c r="AW594" s="77" t="n"/>
      <c r="AX594" s="77" t="n"/>
      <c r="AY594" s="77" t="n"/>
      <c r="AZ594" s="77" t="n"/>
      <c r="BA594" s="77" t="n"/>
      <c r="BB594" s="77" t="n"/>
      <c r="BC594" s="77" t="n"/>
      <c r="BD594" s="77" t="n"/>
    </row>
    <row r="595">
      <c r="AB595" s="74" t="n"/>
      <c r="AC595" s="77" t="n"/>
      <c r="AD595" s="77" t="n"/>
      <c r="AE595" s="77" t="n"/>
      <c r="AF595" s="77" t="n"/>
      <c r="AG595" s="77" t="n"/>
      <c r="AH595" s="77" t="n"/>
      <c r="AI595" s="77" t="n"/>
      <c r="AJ595" s="77" t="n"/>
      <c r="AK595" s="77" t="n"/>
      <c r="AL595" s="77" t="n"/>
      <c r="AM595" s="77" t="n"/>
      <c r="AN595" s="77" t="n"/>
      <c r="AO595" s="77" t="n"/>
      <c r="AP595" s="77" t="n"/>
      <c r="AQ595" s="77" t="n"/>
      <c r="AR595" s="77" t="n"/>
      <c r="AS595" s="77" t="n"/>
      <c r="AT595" s="77" t="n"/>
      <c r="AU595" s="77" t="n"/>
      <c r="AV595" s="77" t="n"/>
      <c r="AW595" s="77" t="n"/>
      <c r="AX595" s="77" t="n"/>
      <c r="AY595" s="77" t="n"/>
      <c r="AZ595" s="77" t="n"/>
      <c r="BA595" s="77" t="n"/>
      <c r="BB595" s="77" t="n"/>
      <c r="BC595" s="77" t="n"/>
      <c r="BD595" s="77" t="n"/>
    </row>
    <row r="596">
      <c r="AB596" s="74" t="n"/>
      <c r="AC596" s="77" t="n"/>
      <c r="AD596" s="77" t="n"/>
      <c r="AE596" s="77" t="n"/>
      <c r="AF596" s="77" t="n"/>
      <c r="AG596" s="77" t="n"/>
      <c r="AH596" s="77" t="n"/>
      <c r="AI596" s="77" t="n"/>
      <c r="AJ596" s="77" t="n"/>
      <c r="AK596" s="77" t="n"/>
      <c r="AL596" s="77" t="n"/>
      <c r="AM596" s="77" t="n"/>
      <c r="AN596" s="77" t="n"/>
      <c r="AO596" s="77" t="n"/>
      <c r="AP596" s="77" t="n"/>
      <c r="AQ596" s="77" t="n"/>
      <c r="AR596" s="77" t="n"/>
      <c r="AS596" s="77" t="n"/>
      <c r="AT596" s="77" t="n"/>
      <c r="AU596" s="77" t="n"/>
      <c r="AV596" s="77" t="n"/>
      <c r="AW596" s="77" t="n"/>
      <c r="AX596" s="77" t="n"/>
      <c r="AY596" s="77" t="n"/>
      <c r="AZ596" s="77" t="n"/>
      <c r="BA596" s="77" t="n"/>
      <c r="BB596" s="77" t="n"/>
      <c r="BC596" s="77" t="n"/>
      <c r="BD596" s="77" t="n"/>
    </row>
    <row r="597">
      <c r="AB597" s="74" t="n"/>
      <c r="AC597" s="77" t="n"/>
      <c r="AD597" s="77" t="n"/>
      <c r="AE597" s="77" t="n"/>
      <c r="AF597" s="77" t="n"/>
      <c r="AG597" s="77" t="n"/>
      <c r="AH597" s="77" t="n"/>
      <c r="AI597" s="77" t="n"/>
      <c r="AJ597" s="77" t="n"/>
      <c r="AK597" s="77" t="n"/>
      <c r="AL597" s="77" t="n"/>
      <c r="AM597" s="77" t="n"/>
      <c r="AN597" s="77" t="n"/>
      <c r="AO597" s="77" t="n"/>
      <c r="AP597" s="77" t="n"/>
      <c r="AQ597" s="77" t="n"/>
      <c r="AR597" s="77" t="n"/>
      <c r="AS597" s="77" t="n"/>
      <c r="AT597" s="77" t="n"/>
      <c r="AU597" s="77" t="n"/>
      <c r="AV597" s="77" t="n"/>
      <c r="AW597" s="77" t="n"/>
      <c r="AX597" s="77" t="n"/>
      <c r="AY597" s="77" t="n"/>
      <c r="AZ597" s="77" t="n"/>
      <c r="BA597" s="77" t="n"/>
      <c r="BB597" s="77" t="n"/>
      <c r="BC597" s="77" t="n"/>
      <c r="BD597" s="77" t="n"/>
    </row>
    <row r="598">
      <c r="AB598" s="74" t="n"/>
      <c r="AC598" s="77" t="n"/>
      <c r="AD598" s="77" t="n"/>
      <c r="AE598" s="77" t="n"/>
      <c r="AF598" s="77" t="n"/>
      <c r="AG598" s="77" t="n"/>
      <c r="AH598" s="77" t="n"/>
      <c r="AI598" s="77" t="n"/>
      <c r="AJ598" s="77" t="n"/>
      <c r="AK598" s="77" t="n"/>
      <c r="AL598" s="77" t="n"/>
      <c r="AM598" s="77" t="n"/>
      <c r="AN598" s="77" t="n"/>
      <c r="AO598" s="77" t="n"/>
      <c r="AP598" s="77" t="n"/>
      <c r="AQ598" s="77" t="n"/>
      <c r="AR598" s="77" t="n"/>
      <c r="AS598" s="77" t="n"/>
      <c r="AT598" s="77" t="n"/>
      <c r="AU598" s="77" t="n"/>
      <c r="AV598" s="77" t="n"/>
      <c r="AW598" s="77" t="n"/>
      <c r="AX598" s="77" t="n"/>
      <c r="AY598" s="77" t="n"/>
      <c r="AZ598" s="77" t="n"/>
      <c r="BA598" s="77" t="n"/>
      <c r="BB598" s="77" t="n"/>
      <c r="BC598" s="77" t="n"/>
      <c r="BD598" s="77" t="n"/>
    </row>
    <row r="599">
      <c r="AB599" s="74" t="n"/>
      <c r="AC599" s="77" t="n"/>
      <c r="AD599" s="77" t="n"/>
      <c r="AE599" s="77" t="n"/>
      <c r="AF599" s="77" t="n"/>
      <c r="AG599" s="77" t="n"/>
      <c r="AH599" s="77" t="n"/>
      <c r="AI599" s="77" t="n"/>
      <c r="AJ599" s="77" t="n"/>
      <c r="AK599" s="77" t="n"/>
      <c r="AL599" s="77" t="n"/>
      <c r="AM599" s="77" t="n"/>
      <c r="AN599" s="77" t="n"/>
      <c r="AO599" s="77" t="n"/>
      <c r="AP599" s="77" t="n"/>
      <c r="AQ599" s="77" t="n"/>
      <c r="AR599" s="77" t="n"/>
      <c r="AS599" s="77" t="n"/>
      <c r="AT599" s="77" t="n"/>
      <c r="AU599" s="77" t="n"/>
      <c r="AV599" s="77" t="n"/>
      <c r="AW599" s="77" t="n"/>
      <c r="AX599" s="77" t="n"/>
      <c r="AY599" s="77" t="n"/>
      <c r="AZ599" s="77" t="n"/>
      <c r="BA599" s="77" t="n"/>
      <c r="BB599" s="77" t="n"/>
      <c r="BC599" s="77" t="n"/>
      <c r="BD599" s="77" t="n"/>
    </row>
    <row r="600">
      <c r="AB600" s="74" t="n"/>
      <c r="AC600" s="77" t="n"/>
      <c r="AD600" s="77" t="n"/>
      <c r="AE600" s="77" t="n"/>
      <c r="AF600" s="77" t="n"/>
      <c r="AG600" s="77" t="n"/>
      <c r="AH600" s="77" t="n"/>
      <c r="AI600" s="77" t="n"/>
      <c r="AJ600" s="77" t="n"/>
      <c r="AK600" s="77" t="n"/>
      <c r="AL600" s="77" t="n"/>
      <c r="AM600" s="77" t="n"/>
      <c r="AN600" s="77" t="n"/>
      <c r="AO600" s="77" t="n"/>
      <c r="AP600" s="77" t="n"/>
      <c r="AQ600" s="77" t="n"/>
      <c r="AR600" s="77" t="n"/>
      <c r="AS600" s="77" t="n"/>
      <c r="AT600" s="77" t="n"/>
      <c r="AU600" s="77" t="n"/>
      <c r="AV600" s="77" t="n"/>
      <c r="AW600" s="77" t="n"/>
      <c r="AX600" s="77" t="n"/>
      <c r="AY600" s="77" t="n"/>
      <c r="AZ600" s="77" t="n"/>
      <c r="BA600" s="77" t="n"/>
      <c r="BB600" s="77" t="n"/>
      <c r="BC600" s="77" t="n"/>
      <c r="BD600" s="77" t="n"/>
    </row>
    <row r="601">
      <c r="AB601" s="74" t="n"/>
      <c r="AC601" s="77" t="n"/>
      <c r="AD601" s="77" t="n"/>
      <c r="AE601" s="77" t="n"/>
      <c r="AF601" s="77" t="n"/>
      <c r="AG601" s="77" t="n"/>
      <c r="AH601" s="77" t="n"/>
      <c r="AI601" s="77" t="n"/>
      <c r="AJ601" s="77" t="n"/>
      <c r="AK601" s="77" t="n"/>
      <c r="AL601" s="77" t="n"/>
      <c r="AM601" s="77" t="n"/>
      <c r="AN601" s="77" t="n"/>
      <c r="AO601" s="77" t="n"/>
      <c r="AP601" s="77" t="n"/>
      <c r="AQ601" s="77" t="n"/>
      <c r="AR601" s="77" t="n"/>
      <c r="AS601" s="77" t="n"/>
      <c r="AT601" s="77" t="n"/>
      <c r="AU601" s="77" t="n"/>
      <c r="AV601" s="77" t="n"/>
      <c r="AW601" s="77" t="n"/>
      <c r="AX601" s="77" t="n"/>
      <c r="AY601" s="77" t="n"/>
      <c r="AZ601" s="77" t="n"/>
      <c r="BA601" s="77" t="n"/>
      <c r="BB601" s="77" t="n"/>
      <c r="BC601" s="77" t="n"/>
      <c r="BD601" s="77" t="n"/>
    </row>
    <row r="602">
      <c r="AB602" s="74" t="n"/>
      <c r="AC602" s="77" t="n"/>
      <c r="AD602" s="77" t="n"/>
      <c r="AE602" s="77" t="n"/>
      <c r="AF602" s="77" t="n"/>
      <c r="AG602" s="77" t="n"/>
      <c r="AH602" s="77" t="n"/>
      <c r="AI602" s="77" t="n"/>
      <c r="AJ602" s="77" t="n"/>
      <c r="AK602" s="77" t="n"/>
      <c r="AL602" s="77" t="n"/>
      <c r="AM602" s="77" t="n"/>
      <c r="AN602" s="77" t="n"/>
      <c r="AO602" s="77" t="n"/>
      <c r="AP602" s="77" t="n"/>
      <c r="AQ602" s="77" t="n"/>
      <c r="AR602" s="77" t="n"/>
      <c r="AS602" s="77" t="n"/>
      <c r="AT602" s="77" t="n"/>
      <c r="AU602" s="77" t="n"/>
      <c r="AV602" s="77" t="n"/>
      <c r="AW602" s="77" t="n"/>
      <c r="AX602" s="77" t="n"/>
      <c r="AY602" s="77" t="n"/>
      <c r="AZ602" s="77" t="n"/>
      <c r="BA602" s="77" t="n"/>
      <c r="BB602" s="77" t="n"/>
      <c r="BC602" s="77" t="n"/>
      <c r="BD602" s="77" t="n"/>
    </row>
    <row r="603">
      <c r="AB603" s="74" t="n"/>
      <c r="AC603" s="77" t="n"/>
      <c r="AD603" s="77" t="n"/>
      <c r="AE603" s="77" t="n"/>
      <c r="AF603" s="77" t="n"/>
      <c r="AG603" s="77" t="n"/>
      <c r="AH603" s="77" t="n"/>
      <c r="AI603" s="77" t="n"/>
      <c r="AJ603" s="77" t="n"/>
      <c r="AK603" s="77" t="n"/>
      <c r="AL603" s="77" t="n"/>
      <c r="AM603" s="77" t="n"/>
      <c r="AN603" s="77" t="n"/>
      <c r="AO603" s="77" t="n"/>
      <c r="AP603" s="77" t="n"/>
      <c r="AQ603" s="77" t="n"/>
      <c r="AR603" s="77" t="n"/>
      <c r="AS603" s="77" t="n"/>
      <c r="AT603" s="77" t="n"/>
      <c r="AU603" s="77" t="n"/>
      <c r="AV603" s="77" t="n"/>
      <c r="AW603" s="77" t="n"/>
      <c r="AX603" s="77" t="n"/>
      <c r="AY603" s="77" t="n"/>
      <c r="AZ603" s="77" t="n"/>
      <c r="BA603" s="77" t="n"/>
      <c r="BB603" s="77" t="n"/>
      <c r="BC603" s="77" t="n"/>
      <c r="BD603" s="77" t="n"/>
    </row>
    <row r="604">
      <c r="AB604" s="74" t="n"/>
      <c r="AC604" s="77" t="n"/>
      <c r="AD604" s="77" t="n"/>
      <c r="AE604" s="77" t="n"/>
      <c r="AF604" s="77" t="n"/>
      <c r="AG604" s="77" t="n"/>
      <c r="AH604" s="77" t="n"/>
      <c r="AI604" s="77" t="n"/>
      <c r="AJ604" s="77" t="n"/>
      <c r="AK604" s="77" t="n"/>
      <c r="AL604" s="77" t="n"/>
      <c r="AM604" s="77" t="n"/>
      <c r="AN604" s="77" t="n"/>
      <c r="AO604" s="77" t="n"/>
      <c r="AP604" s="77" t="n"/>
      <c r="AQ604" s="77" t="n"/>
      <c r="AR604" s="77" t="n"/>
      <c r="AS604" s="77" t="n"/>
      <c r="AT604" s="77" t="n"/>
      <c r="AU604" s="77" t="n"/>
      <c r="AV604" s="77" t="n"/>
      <c r="AW604" s="77" t="n"/>
      <c r="AX604" s="77" t="n"/>
      <c r="AY604" s="77" t="n"/>
      <c r="AZ604" s="77" t="n"/>
      <c r="BA604" s="77" t="n"/>
      <c r="BB604" s="77" t="n"/>
      <c r="BC604" s="77" t="n"/>
      <c r="BD604" s="77" t="n"/>
    </row>
    <row r="605">
      <c r="AB605" s="74" t="n"/>
      <c r="AC605" s="77" t="n"/>
      <c r="AD605" s="77" t="n"/>
      <c r="AE605" s="77" t="n"/>
      <c r="AF605" s="77" t="n"/>
      <c r="AG605" s="77" t="n"/>
      <c r="AH605" s="77" t="n"/>
      <c r="AI605" s="77" t="n"/>
      <c r="AJ605" s="77" t="n"/>
      <c r="AK605" s="77" t="n"/>
      <c r="AL605" s="77" t="n"/>
      <c r="AM605" s="77" t="n"/>
      <c r="AN605" s="77" t="n"/>
      <c r="AO605" s="77" t="n"/>
      <c r="AP605" s="77" t="n"/>
      <c r="AQ605" s="77" t="n"/>
      <c r="AR605" s="77" t="n"/>
      <c r="AS605" s="77" t="n"/>
      <c r="AT605" s="77" t="n"/>
      <c r="AU605" s="77" t="n"/>
      <c r="AV605" s="77" t="n"/>
      <c r="AW605" s="77" t="n"/>
      <c r="AX605" s="77" t="n"/>
      <c r="AY605" s="77" t="n"/>
      <c r="AZ605" s="77" t="n"/>
      <c r="BA605" s="77" t="n"/>
      <c r="BB605" s="77" t="n"/>
      <c r="BC605" s="77" t="n"/>
      <c r="BD605" s="77" t="n"/>
    </row>
    <row r="606">
      <c r="AB606" s="74" t="n"/>
      <c r="AC606" s="77" t="n"/>
      <c r="AD606" s="77" t="n"/>
      <c r="AE606" s="77" t="n"/>
      <c r="AF606" s="77" t="n"/>
      <c r="AG606" s="77" t="n"/>
      <c r="AH606" s="77" t="n"/>
      <c r="AI606" s="77" t="n"/>
      <c r="AJ606" s="77" t="n"/>
      <c r="AK606" s="77" t="n"/>
      <c r="AL606" s="77" t="n"/>
      <c r="AM606" s="77" t="n"/>
      <c r="AN606" s="77" t="n"/>
      <c r="AO606" s="77" t="n"/>
      <c r="AP606" s="77" t="n"/>
      <c r="AQ606" s="77" t="n"/>
      <c r="AR606" s="77" t="n"/>
      <c r="AS606" s="77" t="n"/>
      <c r="AT606" s="77" t="n"/>
      <c r="AU606" s="77" t="n"/>
      <c r="AV606" s="77" t="n"/>
      <c r="AW606" s="77" t="n"/>
      <c r="AX606" s="77" t="n"/>
      <c r="AY606" s="77" t="n"/>
      <c r="AZ606" s="77" t="n"/>
      <c r="BA606" s="77" t="n"/>
      <c r="BB606" s="77" t="n"/>
      <c r="BC606" s="77" t="n"/>
      <c r="BD606" s="77" t="n"/>
    </row>
    <row r="607">
      <c r="AB607" s="74" t="n"/>
      <c r="AC607" s="77" t="n"/>
      <c r="AD607" s="77" t="n"/>
      <c r="AE607" s="77" t="n"/>
      <c r="AF607" s="77" t="n"/>
      <c r="AG607" s="77" t="n"/>
      <c r="AH607" s="77" t="n"/>
      <c r="AI607" s="77" t="n"/>
      <c r="AJ607" s="77" t="n"/>
      <c r="AK607" s="77" t="n"/>
      <c r="AL607" s="77" t="n"/>
      <c r="AM607" s="77" t="n"/>
      <c r="AN607" s="77" t="n"/>
      <c r="AO607" s="77" t="n"/>
      <c r="AP607" s="77" t="n"/>
      <c r="AQ607" s="77" t="n"/>
      <c r="AR607" s="77" t="n"/>
      <c r="AS607" s="77" t="n"/>
      <c r="AT607" s="77" t="n"/>
      <c r="AU607" s="77" t="n"/>
      <c r="AV607" s="77" t="n"/>
      <c r="AW607" s="77" t="n"/>
      <c r="AX607" s="77" t="n"/>
      <c r="AY607" s="77" t="n"/>
      <c r="AZ607" s="77" t="n"/>
      <c r="BA607" s="77" t="n"/>
      <c r="BB607" s="77" t="n"/>
      <c r="BC607" s="77" t="n"/>
      <c r="BD607" s="77" t="n"/>
    </row>
    <row r="608">
      <c r="AB608" s="74" t="n"/>
      <c r="AC608" s="77" t="n"/>
      <c r="AD608" s="77" t="n"/>
      <c r="AE608" s="77" t="n"/>
      <c r="AF608" s="77" t="n"/>
      <c r="AG608" s="77" t="n"/>
      <c r="AH608" s="77" t="n"/>
      <c r="AI608" s="77" t="n"/>
      <c r="AJ608" s="77" t="n"/>
      <c r="AK608" s="77" t="n"/>
      <c r="AL608" s="77" t="n"/>
      <c r="AM608" s="77" t="n"/>
      <c r="AN608" s="77" t="n"/>
      <c r="AO608" s="77" t="n"/>
      <c r="AP608" s="77" t="n"/>
      <c r="AQ608" s="77" t="n"/>
      <c r="AR608" s="77" t="n"/>
      <c r="AS608" s="77" t="n"/>
      <c r="AT608" s="77" t="n"/>
      <c r="AU608" s="77" t="n"/>
      <c r="AV608" s="77" t="n"/>
      <c r="AW608" s="77" t="n"/>
      <c r="AX608" s="77" t="n"/>
      <c r="AY608" s="77" t="n"/>
      <c r="AZ608" s="77" t="n"/>
      <c r="BA608" s="77" t="n"/>
      <c r="BB608" s="77" t="n"/>
      <c r="BC608" s="77" t="n"/>
      <c r="BD608" s="77" t="n"/>
    </row>
    <row r="609">
      <c r="AB609" s="74" t="n"/>
      <c r="AC609" s="77" t="n"/>
      <c r="AD609" s="77" t="n"/>
      <c r="AE609" s="77" t="n"/>
      <c r="AF609" s="77" t="n"/>
      <c r="AG609" s="77" t="n"/>
      <c r="AH609" s="77" t="n"/>
      <c r="AI609" s="77" t="n"/>
      <c r="AJ609" s="77" t="n"/>
      <c r="AK609" s="77" t="n"/>
      <c r="AL609" s="77" t="n"/>
      <c r="AM609" s="77" t="n"/>
      <c r="AN609" s="77" t="n"/>
      <c r="AO609" s="77" t="n"/>
      <c r="AP609" s="77" t="n"/>
      <c r="AQ609" s="77" t="n"/>
      <c r="AR609" s="77" t="n"/>
      <c r="AS609" s="77" t="n"/>
      <c r="AT609" s="77" t="n"/>
      <c r="AU609" s="77" t="n"/>
      <c r="AV609" s="77" t="n"/>
      <c r="AW609" s="77" t="n"/>
      <c r="AX609" s="77" t="n"/>
      <c r="AY609" s="77" t="n"/>
      <c r="AZ609" s="77" t="n"/>
      <c r="BA609" s="77" t="n"/>
      <c r="BB609" s="77" t="n"/>
      <c r="BC609" s="77" t="n"/>
      <c r="BD609" s="77" t="n"/>
    </row>
    <row r="610">
      <c r="AB610" s="74" t="n"/>
      <c r="AC610" s="77" t="n"/>
      <c r="AD610" s="77" t="n"/>
      <c r="AE610" s="77" t="n"/>
      <c r="AF610" s="77" t="n"/>
      <c r="AG610" s="77" t="n"/>
      <c r="AH610" s="77" t="n"/>
      <c r="AI610" s="77" t="n"/>
      <c r="AJ610" s="77" t="n"/>
      <c r="AK610" s="77" t="n"/>
      <c r="AL610" s="77" t="n"/>
      <c r="AM610" s="77" t="n"/>
      <c r="AN610" s="77" t="n"/>
      <c r="AO610" s="77" t="n"/>
      <c r="AP610" s="77" t="n"/>
      <c r="AQ610" s="77" t="n"/>
      <c r="AR610" s="77" t="n"/>
      <c r="AS610" s="77" t="n"/>
      <c r="AT610" s="77" t="n"/>
      <c r="AU610" s="77" t="n"/>
      <c r="AV610" s="77" t="n"/>
      <c r="AW610" s="77" t="n"/>
      <c r="AX610" s="77" t="n"/>
      <c r="AY610" s="77" t="n"/>
      <c r="AZ610" s="77" t="n"/>
      <c r="BA610" s="77" t="n"/>
      <c r="BB610" s="77" t="n"/>
      <c r="BC610" s="77" t="n"/>
      <c r="BD610" s="77" t="n"/>
    </row>
    <row r="611">
      <c r="AB611" s="74" t="n"/>
      <c r="AC611" s="77" t="n"/>
      <c r="AD611" s="77" t="n"/>
      <c r="AE611" s="77" t="n"/>
      <c r="AF611" s="77" t="n"/>
      <c r="AG611" s="77" t="n"/>
      <c r="AH611" s="77" t="n"/>
      <c r="AI611" s="77" t="n"/>
      <c r="AJ611" s="77" t="n"/>
      <c r="AK611" s="77" t="n"/>
      <c r="AL611" s="77" t="n"/>
      <c r="AM611" s="77" t="n"/>
      <c r="AN611" s="77" t="n"/>
      <c r="AO611" s="77" t="n"/>
      <c r="AP611" s="77" t="n"/>
      <c r="AQ611" s="77" t="n"/>
      <c r="AR611" s="77" t="n"/>
      <c r="AS611" s="77" t="n"/>
      <c r="AT611" s="77" t="n"/>
      <c r="AU611" s="77" t="n"/>
      <c r="AV611" s="77" t="n"/>
      <c r="AW611" s="77" t="n"/>
      <c r="AX611" s="77" t="n"/>
      <c r="AY611" s="77" t="n"/>
      <c r="AZ611" s="77" t="n"/>
      <c r="BA611" s="77" t="n"/>
      <c r="BB611" s="77" t="n"/>
      <c r="BC611" s="77" t="n"/>
      <c r="BD611" s="77" t="n"/>
    </row>
    <row r="612">
      <c r="AB612" s="74" t="n"/>
      <c r="AC612" s="77" t="n"/>
      <c r="AD612" s="77" t="n"/>
      <c r="AE612" s="77" t="n"/>
      <c r="AF612" s="77" t="n"/>
      <c r="AG612" s="77" t="n"/>
      <c r="AH612" s="77" t="n"/>
      <c r="AI612" s="77" t="n"/>
      <c r="AJ612" s="77" t="n"/>
      <c r="AK612" s="77" t="n"/>
      <c r="AL612" s="77" t="n"/>
      <c r="AM612" s="77" t="n"/>
      <c r="AN612" s="77" t="n"/>
      <c r="AO612" s="77" t="n"/>
      <c r="AP612" s="77" t="n"/>
      <c r="AQ612" s="77" t="n"/>
      <c r="AR612" s="77" t="n"/>
      <c r="AS612" s="77" t="n"/>
      <c r="AT612" s="77" t="n"/>
      <c r="AU612" s="77" t="n"/>
      <c r="AV612" s="77" t="n"/>
      <c r="AW612" s="77" t="n"/>
      <c r="AX612" s="77" t="n"/>
      <c r="AY612" s="77" t="n"/>
      <c r="AZ612" s="77" t="n"/>
      <c r="BA612" s="77" t="n"/>
      <c r="BB612" s="77" t="n"/>
      <c r="BC612" s="77" t="n"/>
      <c r="BD612" s="77" t="n"/>
    </row>
    <row r="613">
      <c r="AB613" s="74" t="n"/>
      <c r="AC613" s="77" t="n"/>
      <c r="AD613" s="77" t="n"/>
      <c r="AE613" s="77" t="n"/>
      <c r="AF613" s="77" t="n"/>
      <c r="AG613" s="77" t="n"/>
      <c r="AH613" s="77" t="n"/>
      <c r="AI613" s="77" t="n"/>
      <c r="AJ613" s="77" t="n"/>
      <c r="AK613" s="77" t="n"/>
      <c r="AL613" s="77" t="n"/>
      <c r="AM613" s="77" t="n"/>
      <c r="AN613" s="77" t="n"/>
      <c r="AO613" s="77" t="n"/>
      <c r="AP613" s="77" t="n"/>
      <c r="AQ613" s="77" t="n"/>
      <c r="AR613" s="77" t="n"/>
      <c r="AS613" s="77" t="n"/>
      <c r="AT613" s="77" t="n"/>
      <c r="AU613" s="77" t="n"/>
      <c r="AV613" s="77" t="n"/>
      <c r="AW613" s="77" t="n"/>
      <c r="AX613" s="77" t="n"/>
      <c r="AY613" s="77" t="n"/>
      <c r="AZ613" s="77" t="n"/>
      <c r="BA613" s="77" t="n"/>
      <c r="BB613" s="77" t="n"/>
      <c r="BC613" s="77" t="n"/>
      <c r="BD613" s="77" t="n"/>
    </row>
    <row r="614">
      <c r="AB614" s="74" t="n"/>
      <c r="AC614" s="77" t="n"/>
      <c r="AD614" s="77" t="n"/>
      <c r="AE614" s="77" t="n"/>
      <c r="AF614" s="77" t="n"/>
      <c r="AG614" s="77" t="n"/>
      <c r="AH614" s="77" t="n"/>
      <c r="AI614" s="77" t="n"/>
      <c r="AJ614" s="77" t="n"/>
      <c r="AK614" s="77" t="n"/>
      <c r="AL614" s="77" t="n"/>
      <c r="AM614" s="77" t="n"/>
      <c r="AN614" s="77" t="n"/>
      <c r="AO614" s="77" t="n"/>
      <c r="AP614" s="77" t="n"/>
      <c r="AQ614" s="77" t="n"/>
      <c r="AR614" s="77" t="n"/>
      <c r="AS614" s="77" t="n"/>
      <c r="AT614" s="77" t="n"/>
      <c r="AU614" s="77" t="n"/>
      <c r="AV614" s="77" t="n"/>
      <c r="AW614" s="77" t="n"/>
      <c r="AX614" s="77" t="n"/>
      <c r="AY614" s="77" t="n"/>
      <c r="AZ614" s="77" t="n"/>
      <c r="BA614" s="77" t="n"/>
      <c r="BB614" s="77" t="n"/>
      <c r="BC614" s="77" t="n"/>
      <c r="BD614" s="77" t="n"/>
    </row>
    <row r="615">
      <c r="AB615" s="74" t="n"/>
      <c r="AC615" s="77" t="n"/>
      <c r="AD615" s="77" t="n"/>
      <c r="AE615" s="77" t="n"/>
      <c r="AF615" s="77" t="n"/>
      <c r="AG615" s="77" t="n"/>
      <c r="AH615" s="77" t="n"/>
      <c r="AI615" s="77" t="n"/>
      <c r="AJ615" s="77" t="n"/>
      <c r="AK615" s="77" t="n"/>
      <c r="AL615" s="77" t="n"/>
      <c r="AM615" s="77" t="n"/>
      <c r="AN615" s="77" t="n"/>
      <c r="AO615" s="77" t="n"/>
      <c r="AP615" s="77" t="n"/>
      <c r="AQ615" s="77" t="n"/>
      <c r="AR615" s="77" t="n"/>
      <c r="AS615" s="77" t="n"/>
      <c r="AT615" s="77" t="n"/>
      <c r="AU615" s="77" t="n"/>
      <c r="AV615" s="77" t="n"/>
      <c r="AW615" s="77" t="n"/>
      <c r="AX615" s="77" t="n"/>
      <c r="AY615" s="77" t="n"/>
      <c r="AZ615" s="77" t="n"/>
      <c r="BA615" s="77" t="n"/>
      <c r="BB615" s="77" t="n"/>
      <c r="BC615" s="77" t="n"/>
      <c r="BD615" s="77" t="n"/>
    </row>
    <row r="616">
      <c r="AB616" s="74" t="n"/>
      <c r="AC616" s="77" t="n"/>
      <c r="AD616" s="77" t="n"/>
      <c r="AE616" s="77" t="n"/>
      <c r="AF616" s="77" t="n"/>
      <c r="AG616" s="77" t="n"/>
      <c r="AH616" s="77" t="n"/>
      <c r="AI616" s="77" t="n"/>
      <c r="AJ616" s="77" t="n"/>
      <c r="AK616" s="77" t="n"/>
      <c r="AL616" s="77" t="n"/>
      <c r="AM616" s="77" t="n"/>
      <c r="AN616" s="77" t="n"/>
      <c r="AO616" s="77" t="n"/>
      <c r="AP616" s="77" t="n"/>
      <c r="AQ616" s="77" t="n"/>
      <c r="AR616" s="77" t="n"/>
      <c r="AS616" s="77" t="n"/>
      <c r="AT616" s="77" t="n"/>
      <c r="AU616" s="77" t="n"/>
      <c r="AV616" s="77" t="n"/>
      <c r="AW616" s="77" t="n"/>
      <c r="AX616" s="77" t="n"/>
      <c r="AY616" s="77" t="n"/>
      <c r="AZ616" s="77" t="n"/>
      <c r="BA616" s="77" t="n"/>
      <c r="BB616" s="77" t="n"/>
      <c r="BC616" s="77" t="n"/>
      <c r="BD616" s="77" t="n"/>
    </row>
    <row r="617">
      <c r="AB617" s="74" t="n"/>
      <c r="AC617" s="77" t="n"/>
      <c r="AD617" s="77" t="n"/>
      <c r="AE617" s="77" t="n"/>
      <c r="AF617" s="77" t="n"/>
      <c r="AG617" s="77" t="n"/>
      <c r="AH617" s="77" t="n"/>
      <c r="AI617" s="77" t="n"/>
      <c r="AJ617" s="77" t="n"/>
      <c r="AK617" s="77" t="n"/>
      <c r="AL617" s="77" t="n"/>
      <c r="AM617" s="77" t="n"/>
      <c r="AN617" s="77" t="n"/>
      <c r="AO617" s="77" t="n"/>
      <c r="AP617" s="77" t="n"/>
      <c r="AQ617" s="77" t="n"/>
      <c r="AR617" s="77" t="n"/>
      <c r="AS617" s="77" t="n"/>
      <c r="AT617" s="77" t="n"/>
      <c r="AU617" s="77" t="n"/>
      <c r="AV617" s="77" t="n"/>
      <c r="AW617" s="77" t="n"/>
      <c r="AX617" s="77" t="n"/>
      <c r="AY617" s="77" t="n"/>
      <c r="AZ617" s="77" t="n"/>
      <c r="BA617" s="77" t="n"/>
      <c r="BB617" s="77" t="n"/>
      <c r="BC617" s="77" t="n"/>
      <c r="BD617" s="77" t="n"/>
    </row>
    <row r="618">
      <c r="AB618" s="74" t="n"/>
      <c r="AC618" s="77" t="n"/>
      <c r="AD618" s="77" t="n"/>
      <c r="AE618" s="77" t="n"/>
      <c r="AF618" s="77" t="n"/>
      <c r="AG618" s="77" t="n"/>
      <c r="AH618" s="77" t="n"/>
      <c r="AI618" s="77" t="n"/>
      <c r="AJ618" s="77" t="n"/>
      <c r="AK618" s="77" t="n"/>
      <c r="AL618" s="77" t="n"/>
      <c r="AM618" s="77" t="n"/>
      <c r="AN618" s="77" t="n"/>
      <c r="AO618" s="77" t="n"/>
      <c r="AP618" s="77" t="n"/>
      <c r="AQ618" s="77" t="n"/>
      <c r="AR618" s="77" t="n"/>
      <c r="AS618" s="77" t="n"/>
      <c r="AT618" s="77" t="n"/>
      <c r="AU618" s="77" t="n"/>
      <c r="AV618" s="77" t="n"/>
      <c r="AW618" s="77" t="n"/>
      <c r="AX618" s="77" t="n"/>
      <c r="AY618" s="77" t="n"/>
      <c r="AZ618" s="77" t="n"/>
      <c r="BA618" s="77" t="n"/>
      <c r="BB618" s="77" t="n"/>
      <c r="BC618" s="77" t="n"/>
      <c r="BD618" s="77" t="n"/>
    </row>
    <row r="619">
      <c r="AB619" s="74" t="n"/>
      <c r="AC619" s="77" t="n"/>
      <c r="AD619" s="77" t="n"/>
      <c r="AE619" s="77" t="n"/>
      <c r="AF619" s="77" t="n"/>
      <c r="AG619" s="77" t="n"/>
      <c r="AH619" s="77" t="n"/>
      <c r="AI619" s="77" t="n"/>
      <c r="AJ619" s="77" t="n"/>
      <c r="AK619" s="77" t="n"/>
      <c r="AL619" s="77" t="n"/>
      <c r="AM619" s="77" t="n"/>
      <c r="AN619" s="77" t="n"/>
      <c r="AO619" s="77" t="n"/>
      <c r="AP619" s="77" t="n"/>
      <c r="AQ619" s="77" t="n"/>
      <c r="AR619" s="77" t="n"/>
      <c r="AS619" s="77" t="n"/>
      <c r="AT619" s="77" t="n"/>
      <c r="AU619" s="77" t="n"/>
      <c r="AV619" s="77" t="n"/>
      <c r="AW619" s="77" t="n"/>
      <c r="AX619" s="77" t="n"/>
      <c r="AY619" s="77" t="n"/>
      <c r="AZ619" s="77" t="n"/>
      <c r="BA619" s="77" t="n"/>
      <c r="BB619" s="77" t="n"/>
      <c r="BC619" s="77" t="n"/>
      <c r="BD619" s="77" t="n"/>
    </row>
    <row r="620">
      <c r="AB620" s="74" t="n"/>
      <c r="AC620" s="77" t="n"/>
      <c r="AD620" s="77" t="n"/>
      <c r="AE620" s="77" t="n"/>
      <c r="AF620" s="77" t="n"/>
      <c r="AG620" s="77" t="n"/>
      <c r="AH620" s="77" t="n"/>
      <c r="AI620" s="77" t="n"/>
      <c r="AJ620" s="77" t="n"/>
      <c r="AK620" s="77" t="n"/>
      <c r="AL620" s="77" t="n"/>
      <c r="AM620" s="77" t="n"/>
      <c r="AN620" s="77" t="n"/>
      <c r="AO620" s="77" t="n"/>
      <c r="AP620" s="77" t="n"/>
      <c r="AQ620" s="77" t="n"/>
      <c r="AR620" s="77" t="n"/>
      <c r="AS620" s="77" t="n"/>
      <c r="AT620" s="77" t="n"/>
      <c r="AU620" s="77" t="n"/>
      <c r="AV620" s="77" t="n"/>
      <c r="AW620" s="77" t="n"/>
      <c r="AX620" s="77" t="n"/>
      <c r="AY620" s="77" t="n"/>
      <c r="AZ620" s="77" t="n"/>
      <c r="BA620" s="77" t="n"/>
      <c r="BB620" s="77" t="n"/>
      <c r="BC620" s="77" t="n"/>
      <c r="BD620" s="77" t="n"/>
    </row>
    <row r="621">
      <c r="AB621" s="74" t="n"/>
      <c r="AC621" s="77" t="n"/>
      <c r="AD621" s="77" t="n"/>
      <c r="AE621" s="77" t="n"/>
      <c r="AF621" s="77" t="n"/>
      <c r="AG621" s="77" t="n"/>
      <c r="AH621" s="77" t="n"/>
      <c r="AI621" s="77" t="n"/>
      <c r="AJ621" s="77" t="n"/>
      <c r="AK621" s="77" t="n"/>
      <c r="AL621" s="77" t="n"/>
      <c r="AM621" s="77" t="n"/>
      <c r="AN621" s="77" t="n"/>
      <c r="AO621" s="77" t="n"/>
      <c r="AP621" s="77" t="n"/>
      <c r="AQ621" s="77" t="n"/>
      <c r="AR621" s="77" t="n"/>
      <c r="AS621" s="77" t="n"/>
      <c r="AT621" s="77" t="n"/>
      <c r="AU621" s="77" t="n"/>
      <c r="AV621" s="77" t="n"/>
      <c r="AW621" s="77" t="n"/>
      <c r="AX621" s="77" t="n"/>
      <c r="AY621" s="77" t="n"/>
      <c r="AZ621" s="77" t="n"/>
      <c r="BA621" s="77" t="n"/>
      <c r="BB621" s="77" t="n"/>
      <c r="BC621" s="77" t="n"/>
      <c r="BD621" s="77" t="n"/>
    </row>
    <row r="622">
      <c r="AB622" s="74" t="n"/>
      <c r="AC622" s="77" t="n"/>
      <c r="AD622" s="77" t="n"/>
      <c r="AE622" s="77" t="n"/>
      <c r="AF622" s="77" t="n"/>
      <c r="AG622" s="77" t="n"/>
      <c r="AH622" s="77" t="n"/>
      <c r="AI622" s="77" t="n"/>
      <c r="AJ622" s="77" t="n"/>
      <c r="AK622" s="77" t="n"/>
      <c r="AL622" s="77" t="n"/>
      <c r="AM622" s="77" t="n"/>
      <c r="AN622" s="77" t="n"/>
      <c r="AO622" s="77" t="n"/>
      <c r="AP622" s="77" t="n"/>
      <c r="AQ622" s="77" t="n"/>
      <c r="AR622" s="77" t="n"/>
      <c r="AS622" s="77" t="n"/>
      <c r="AT622" s="77" t="n"/>
      <c r="AU622" s="77" t="n"/>
      <c r="AV622" s="77" t="n"/>
      <c r="AW622" s="77" t="n"/>
      <c r="AX622" s="77" t="n"/>
      <c r="AY622" s="77" t="n"/>
      <c r="AZ622" s="77" t="n"/>
      <c r="BA622" s="77" t="n"/>
      <c r="BB622" s="77" t="n"/>
      <c r="BC622" s="77" t="n"/>
      <c r="BD622" s="77" t="n"/>
    </row>
    <row r="623">
      <c r="AB623" s="74" t="n"/>
      <c r="AC623" s="77" t="n"/>
      <c r="AD623" s="77" t="n"/>
      <c r="AE623" s="77" t="n"/>
      <c r="AF623" s="77" t="n"/>
      <c r="AG623" s="77" t="n"/>
      <c r="AH623" s="77" t="n"/>
      <c r="AI623" s="77" t="n"/>
      <c r="AJ623" s="77" t="n"/>
      <c r="AK623" s="77" t="n"/>
      <c r="AL623" s="77" t="n"/>
      <c r="AM623" s="77" t="n"/>
      <c r="AN623" s="77" t="n"/>
      <c r="AO623" s="77" t="n"/>
      <c r="AP623" s="77" t="n"/>
      <c r="AQ623" s="77" t="n"/>
      <c r="AR623" s="77" t="n"/>
      <c r="AS623" s="77" t="n"/>
      <c r="AT623" s="77" t="n"/>
      <c r="AU623" s="77" t="n"/>
      <c r="AV623" s="77" t="n"/>
      <c r="AW623" s="77" t="n"/>
      <c r="AX623" s="77" t="n"/>
      <c r="AY623" s="77" t="n"/>
      <c r="AZ623" s="77" t="n"/>
      <c r="BA623" s="77" t="n"/>
      <c r="BB623" s="77" t="n"/>
      <c r="BC623" s="77" t="n"/>
      <c r="BD623" s="77" t="n"/>
    </row>
    <row r="624">
      <c r="AB624" s="74" t="n"/>
      <c r="AC624" s="77" t="n"/>
      <c r="AD624" s="77" t="n"/>
      <c r="AE624" s="77" t="n"/>
      <c r="AF624" s="77" t="n"/>
      <c r="AG624" s="77" t="n"/>
      <c r="AH624" s="77" t="n"/>
      <c r="AI624" s="77" t="n"/>
      <c r="AJ624" s="77" t="n"/>
      <c r="AK624" s="77" t="n"/>
      <c r="AL624" s="77" t="n"/>
      <c r="AM624" s="77" t="n"/>
      <c r="AN624" s="77" t="n"/>
      <c r="AO624" s="77" t="n"/>
      <c r="AP624" s="77" t="n"/>
      <c r="AQ624" s="77" t="n"/>
      <c r="AR624" s="77" t="n"/>
      <c r="AS624" s="77" t="n"/>
      <c r="AT624" s="77" t="n"/>
      <c r="AU624" s="77" t="n"/>
      <c r="AV624" s="77" t="n"/>
      <c r="AW624" s="77" t="n"/>
      <c r="AX624" s="77" t="n"/>
      <c r="AY624" s="77" t="n"/>
      <c r="AZ624" s="77" t="n"/>
      <c r="BA624" s="77" t="n"/>
      <c r="BB624" s="77" t="n"/>
      <c r="BC624" s="77" t="n"/>
      <c r="BD624" s="77" t="n"/>
    </row>
    <row r="625">
      <c r="AB625" s="74" t="n"/>
      <c r="AC625" s="77" t="n"/>
      <c r="AD625" s="77" t="n"/>
      <c r="AE625" s="77" t="n"/>
      <c r="AF625" s="77" t="n"/>
      <c r="AG625" s="77" t="n"/>
      <c r="AH625" s="77" t="n"/>
      <c r="AI625" s="77" t="n"/>
      <c r="AJ625" s="77" t="n"/>
      <c r="AK625" s="77" t="n"/>
      <c r="AL625" s="77" t="n"/>
      <c r="AM625" s="77" t="n"/>
      <c r="AN625" s="77" t="n"/>
      <c r="AO625" s="77" t="n"/>
      <c r="AP625" s="77" t="n"/>
      <c r="AQ625" s="77" t="n"/>
      <c r="AR625" s="77" t="n"/>
      <c r="AS625" s="77" t="n"/>
      <c r="AT625" s="77" t="n"/>
      <c r="AU625" s="77" t="n"/>
      <c r="AV625" s="77" t="n"/>
      <c r="AW625" s="77" t="n"/>
      <c r="AX625" s="77" t="n"/>
      <c r="AY625" s="77" t="n"/>
      <c r="AZ625" s="77" t="n"/>
      <c r="BA625" s="77" t="n"/>
      <c r="BB625" s="77" t="n"/>
      <c r="BC625" s="77" t="n"/>
      <c r="BD625" s="77" t="n"/>
    </row>
    <row r="626">
      <c r="AB626" s="74" t="n"/>
      <c r="AC626" s="77" t="n"/>
      <c r="AD626" s="77" t="n"/>
      <c r="AE626" s="77" t="n"/>
      <c r="AF626" s="77" t="n"/>
      <c r="AG626" s="77" t="n"/>
      <c r="AH626" s="77" t="n"/>
      <c r="AI626" s="77" t="n"/>
      <c r="AJ626" s="77" t="n"/>
      <c r="AK626" s="77" t="n"/>
      <c r="AL626" s="77" t="n"/>
      <c r="AM626" s="77" t="n"/>
      <c r="AN626" s="77" t="n"/>
      <c r="AO626" s="77" t="n"/>
      <c r="AP626" s="77" t="n"/>
      <c r="AQ626" s="77" t="n"/>
      <c r="AR626" s="77" t="n"/>
      <c r="AS626" s="77" t="n"/>
      <c r="AT626" s="77" t="n"/>
      <c r="AU626" s="77" t="n"/>
      <c r="AV626" s="77" t="n"/>
      <c r="AW626" s="77" t="n"/>
      <c r="AX626" s="77" t="n"/>
      <c r="AY626" s="77" t="n"/>
      <c r="AZ626" s="77" t="n"/>
      <c r="BA626" s="77" t="n"/>
      <c r="BB626" s="77" t="n"/>
      <c r="BC626" s="77" t="n"/>
      <c r="BD626" s="77" t="n"/>
    </row>
    <row r="627">
      <c r="AB627" s="74" t="n"/>
      <c r="AC627" s="77" t="n"/>
      <c r="AD627" s="77" t="n"/>
      <c r="AE627" s="77" t="n"/>
      <c r="AF627" s="77" t="n"/>
      <c r="AG627" s="77" t="n"/>
      <c r="AH627" s="77" t="n"/>
      <c r="AI627" s="77" t="n"/>
      <c r="AJ627" s="77" t="n"/>
      <c r="AK627" s="77" t="n"/>
      <c r="AL627" s="77" t="n"/>
      <c r="AM627" s="77" t="n"/>
      <c r="AN627" s="77" t="n"/>
      <c r="AO627" s="77" t="n"/>
      <c r="AP627" s="77" t="n"/>
      <c r="AQ627" s="77" t="n"/>
      <c r="AR627" s="77" t="n"/>
      <c r="AS627" s="77" t="n"/>
      <c r="AT627" s="77" t="n"/>
      <c r="AU627" s="77" t="n"/>
      <c r="AV627" s="77" t="n"/>
      <c r="AW627" s="77" t="n"/>
      <c r="AX627" s="77" t="n"/>
      <c r="AY627" s="77" t="n"/>
      <c r="AZ627" s="77" t="n"/>
      <c r="BA627" s="77" t="n"/>
      <c r="BB627" s="77" t="n"/>
      <c r="BC627" s="77" t="n"/>
      <c r="BD627" s="77" t="n"/>
    </row>
    <row r="628">
      <c r="AB628" s="74" t="n"/>
      <c r="AC628" s="77" t="n"/>
      <c r="AD628" s="77" t="n"/>
      <c r="AE628" s="77" t="n"/>
      <c r="AF628" s="77" t="n"/>
      <c r="AG628" s="77" t="n"/>
      <c r="AH628" s="77" t="n"/>
      <c r="AI628" s="77" t="n"/>
      <c r="AJ628" s="77" t="n"/>
      <c r="AK628" s="77" t="n"/>
      <c r="AL628" s="77" t="n"/>
      <c r="AM628" s="77" t="n"/>
      <c r="AN628" s="77" t="n"/>
      <c r="AO628" s="77" t="n"/>
      <c r="AP628" s="77" t="n"/>
      <c r="AQ628" s="77" t="n"/>
      <c r="AR628" s="77" t="n"/>
      <c r="AS628" s="77" t="n"/>
      <c r="AT628" s="77" t="n"/>
      <c r="AU628" s="77" t="n"/>
      <c r="AV628" s="77" t="n"/>
      <c r="AW628" s="77" t="n"/>
      <c r="AX628" s="77" t="n"/>
      <c r="AY628" s="77" t="n"/>
      <c r="AZ628" s="77" t="n"/>
      <c r="BA628" s="77" t="n"/>
      <c r="BB628" s="77" t="n"/>
      <c r="BC628" s="77" t="n"/>
      <c r="BD628" s="77" t="n"/>
    </row>
    <row r="629">
      <c r="AB629" s="74" t="n"/>
      <c r="AC629" s="77" t="n"/>
      <c r="AD629" s="77" t="n"/>
      <c r="AE629" s="77" t="n"/>
      <c r="AF629" s="77" t="n"/>
      <c r="AG629" s="77" t="n"/>
      <c r="AH629" s="77" t="n"/>
      <c r="AI629" s="77" t="n"/>
      <c r="AJ629" s="77" t="n"/>
      <c r="AK629" s="77" t="n"/>
      <c r="AL629" s="77" t="n"/>
      <c r="AM629" s="77" t="n"/>
      <c r="AN629" s="77" t="n"/>
      <c r="AO629" s="77" t="n"/>
      <c r="AP629" s="77" t="n"/>
      <c r="AQ629" s="77" t="n"/>
      <c r="AR629" s="77" t="n"/>
      <c r="AS629" s="77" t="n"/>
      <c r="AT629" s="77" t="n"/>
      <c r="AU629" s="77" t="n"/>
      <c r="AV629" s="77" t="n"/>
      <c r="AW629" s="77" t="n"/>
      <c r="AX629" s="77" t="n"/>
      <c r="AY629" s="77" t="n"/>
      <c r="AZ629" s="77" t="n"/>
      <c r="BA629" s="77" t="n"/>
      <c r="BB629" s="77" t="n"/>
      <c r="BC629" s="77" t="n"/>
      <c r="BD629" s="77" t="n"/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dWQXfTHLdCtBnmycNd7rwA==" formatRows="0" sort="1" spinCount="100000" hashValue="tyLMFiR3YtSRbWAwqM4vTXWfPqJY78/tt4nCOwZpcULc4eXFLTenZkZfUO7tuOjT/cH1N9KFfxf6DIPe5h/FjA=="/>
  <mergeCells count="29">
    <mergeCell ref="N2:P2"/>
    <mergeCell ref="AA3:AA5"/>
    <mergeCell ref="P3:P5"/>
    <mergeCell ref="R3:R5"/>
    <mergeCell ref="J3:J5"/>
    <mergeCell ref="V3:V5"/>
    <mergeCell ref="K3:K5"/>
    <mergeCell ref="A2:C2"/>
    <mergeCell ref="R2:AA2"/>
    <mergeCell ref="H3:H5"/>
    <mergeCell ref="T3:T5"/>
    <mergeCell ref="C3:C5"/>
    <mergeCell ref="E3:E5"/>
    <mergeCell ref="B3:B5"/>
    <mergeCell ref="Y3:Y5"/>
    <mergeCell ref="S3:S5"/>
    <mergeCell ref="O3:O5"/>
    <mergeCell ref="N3:N5"/>
    <mergeCell ref="E2:L2"/>
    <mergeCell ref="F3:F5"/>
    <mergeCell ref="I3:I5"/>
    <mergeCell ref="Z3:Z5"/>
    <mergeCell ref="L3:L5"/>
    <mergeCell ref="X3:X5"/>
    <mergeCell ref="A3:A5"/>
    <mergeCell ref="G3:G5"/>
    <mergeCell ref="D3:D5"/>
    <mergeCell ref="U3:U5"/>
    <mergeCell ref="W3:W5"/>
  </mergeCells>
  <pageMargins left="0.7" right="0.7" top="0.75" bottom="0.75" header="0.3" footer="0.3"/>
  <pageSetup orientation="portrait" scale="10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14">
    <outlinePr summaryBelow="1" summaryRight="1"/>
    <pageSetUpPr/>
  </sheetPr>
  <dimension ref="A1:AS654"/>
  <sheetViews>
    <sheetView topLeftCell="A2" zoomScaleNormal="100" workbookViewId="0">
      <selection activeCell="A7" sqref="A7:AG26"/>
    </sheetView>
  </sheetViews>
  <sheetFormatPr baseColWidth="8" defaultRowHeight="13.2"/>
  <cols>
    <col width="15.5546875" customWidth="1" min="1" max="1"/>
    <col width="14.44140625" customWidth="1" min="2" max="3"/>
    <col width="25.21875" customWidth="1" min="4" max="4"/>
    <col width="21.88671875" customWidth="1" min="5" max="5"/>
    <col width="16.33203125" customWidth="1" min="6" max="6"/>
    <col width="3.21875" customWidth="1" min="7" max="7"/>
    <col width="8.21875" customWidth="1" min="8" max="8"/>
    <col width="14.21875" customWidth="1" min="9" max="12"/>
    <col width="2.88671875" customWidth="1" min="13" max="13"/>
    <col width="14.109375" customWidth="1" min="14" max="14"/>
    <col width="14.88671875" customWidth="1" min="15" max="15"/>
    <col width="13.88671875" customWidth="1" min="16" max="16"/>
    <col width="14.6640625" customWidth="1" min="17" max="17"/>
    <col width="3.44140625" customWidth="1" min="18" max="18"/>
    <col width="15.5546875" customWidth="1" min="19" max="21"/>
    <col width="3" customWidth="1" min="22" max="22"/>
    <col width="15.6640625" customWidth="1" min="23" max="25"/>
    <col width="2.88671875" customWidth="1" min="26" max="26"/>
    <col width="14.77734375" customWidth="1" min="27" max="29"/>
    <col width="3.21875" customWidth="1" min="30" max="30"/>
    <col width="12.109375" customWidth="1" min="31" max="33"/>
    <col width="2.88671875" customWidth="1" min="34" max="34"/>
    <col width="8.88671875" customWidth="1" min="35" max="35"/>
    <col width="13.33203125" bestFit="1" customWidth="1" min="38" max="38"/>
    <col width="16.77734375" customWidth="1" min="39" max="39"/>
    <col width="16.33203125" bestFit="1" customWidth="1" min="40" max="40"/>
    <col width="16.109375" bestFit="1" customWidth="1" min="41" max="41"/>
    <col width="17.44140625" bestFit="1" customWidth="1" min="42" max="42"/>
    <col width="20.5546875" customWidth="1" min="43" max="43"/>
    <col width="13.6640625" bestFit="1" customWidth="1" min="44" max="44"/>
    <col width="8.88671875" customWidth="1" style="20" min="45" max="45"/>
  </cols>
  <sheetData>
    <row r="1" hidden="1" ht="17.4" customHeight="1">
      <c r="A1" s="31" t="inlineStr">
        <is>
          <t>COLJVMMJobNo</t>
        </is>
      </c>
      <c r="B1" s="31" t="inlineStr">
        <is>
          <t>COLJVJobNo</t>
        </is>
      </c>
      <c r="C1" s="31" t="inlineStr">
        <is>
          <t>COLJVSupJobNo</t>
        </is>
      </c>
      <c r="D1" s="31" t="inlineStr">
        <is>
          <t>COLJVJobDesc</t>
        </is>
      </c>
      <c r="E1" s="31" t="inlineStr">
        <is>
          <t>COLJVPartners</t>
        </is>
      </c>
      <c r="F1" s="31" t="inlineStr">
        <is>
          <t>COLJVSharePct</t>
        </is>
      </c>
      <c r="H1" t="inlineStr">
        <is>
          <t>COLDone</t>
        </is>
      </c>
      <c r="I1" s="1" t="inlineStr">
        <is>
          <t>COLJVCurContAmt</t>
        </is>
      </c>
      <c r="J1" s="1" t="inlineStr">
        <is>
          <t>COLJVOvrRevProj</t>
        </is>
      </c>
      <c r="K1" s="1" t="inlineStr">
        <is>
          <t>COLJVOvrCostProj</t>
        </is>
      </c>
      <c r="L1" s="1" t="inlineStr">
        <is>
          <t>COLJVProjProfit</t>
        </is>
      </c>
      <c r="M1" s="107" t="n"/>
      <c r="N1" s="1" t="inlineStr">
        <is>
          <t>CLJVOJTDPctComp</t>
        </is>
      </c>
      <c r="O1" s="1" t="inlineStr">
        <is>
          <t>COLJVJTDEarnedRev</t>
        </is>
      </c>
      <c r="P1" s="1" t="inlineStr">
        <is>
          <t>COLJVJTDCost</t>
        </is>
      </c>
      <c r="Q1" s="1" t="inlineStr">
        <is>
          <t>COLJVOJTDProfit</t>
        </is>
      </c>
      <c r="R1" s="107" t="n"/>
      <c r="S1" s="1" t="inlineStr">
        <is>
          <t>COLJVAPYRev</t>
        </is>
      </c>
      <c r="T1" s="1" t="inlineStr">
        <is>
          <t>COLJVAPYCost</t>
        </is>
      </c>
      <c r="U1" s="1" t="inlineStr">
        <is>
          <t>COLJVAPYCalcProfit</t>
        </is>
      </c>
      <c r="V1" s="107" t="n"/>
      <c r="W1" s="1" t="inlineStr">
        <is>
          <t>COLJVCYRev</t>
        </is>
      </c>
      <c r="X1" s="1" t="inlineStr">
        <is>
          <t>COLJVCYCost</t>
        </is>
      </c>
      <c r="Y1" s="1" t="inlineStr">
        <is>
          <t>COLJVCYCalcProfit</t>
        </is>
      </c>
      <c r="Z1" s="107" t="n"/>
      <c r="AA1" s="1" t="inlineStr">
        <is>
          <t>COLJVBRev</t>
        </is>
      </c>
      <c r="AB1" s="1" t="inlineStr">
        <is>
          <t>COLJVBCost</t>
        </is>
      </c>
      <c r="AC1" s="1" t="inlineStr">
        <is>
          <t>COLJVBProfit</t>
        </is>
      </c>
      <c r="AD1" s="107" t="n"/>
      <c r="AE1" s="68" t="inlineStr">
        <is>
          <t>COLJVBILLBillings</t>
        </is>
      </c>
      <c r="AF1" s="68" t="inlineStr">
        <is>
          <t>COLJVBILLRevExBill</t>
        </is>
      </c>
      <c r="AG1" s="68" t="inlineStr">
        <is>
          <t>COLJVBILLBillExRev</t>
        </is>
      </c>
      <c r="AH1" s="107" t="n"/>
      <c r="AL1" s="1" t="inlineStr">
        <is>
          <t>COLJVZudChg</t>
        </is>
      </c>
      <c r="AM1" s="1" t="inlineStr">
        <is>
          <t>COLJVZJTDER</t>
        </is>
      </c>
      <c r="AN1" s="1" t="inlineStr">
        <is>
          <t>COLJVZOJTDCost</t>
        </is>
      </c>
      <c r="AO1" s="1" t="inlineStr">
        <is>
          <t>COLJVZJTDER2</t>
        </is>
      </c>
      <c r="AP1" s="1" t="inlineStr">
        <is>
          <t>COLJVZOJTDCost2</t>
        </is>
      </c>
      <c r="AQ1" t="inlineStr">
        <is>
          <t>COLZUserName</t>
        </is>
      </c>
      <c r="AR1" t="inlineStr">
        <is>
          <t>COLZBatchSeq</t>
        </is>
      </c>
      <c r="AS1" s="20" t="inlineStr">
        <is>
          <t>COLZRowVersion</t>
        </is>
      </c>
    </row>
    <row r="2" ht="13.2" customHeight="1">
      <c r="A2" s="292" t="inlineStr">
        <is>
          <t>O P S  J O I N T  V E N T U R E  S U M M A R Y</t>
        </is>
      </c>
      <c r="B2" s="263" t="n"/>
      <c r="C2" s="263" t="n"/>
      <c r="D2" s="263" t="n"/>
      <c r="E2" s="263" t="n"/>
      <c r="F2" s="264" t="n"/>
      <c r="G2" s="132" t="inlineStr">
        <is>
          <t>-</t>
        </is>
      </c>
      <c r="H2" s="292" t="inlineStr">
        <is>
          <t>J O B   A T   C O M P L E T  I O N</t>
        </is>
      </c>
      <c r="I2" s="263" t="n"/>
      <c r="J2" s="263" t="n"/>
      <c r="K2" s="263" t="n"/>
      <c r="L2" s="264" t="n"/>
      <c r="M2" s="26" t="n"/>
      <c r="N2" s="247" t="inlineStr">
        <is>
          <t>J O B   T O   D A T E</t>
        </is>
      </c>
      <c r="O2" s="263" t="n"/>
      <c r="P2" s="263" t="n"/>
      <c r="Q2" s="263" t="n"/>
      <c r="R2" s="133" t="inlineStr">
        <is>
          <t>-</t>
        </is>
      </c>
      <c r="S2" s="292" t="inlineStr">
        <is>
          <t>A L L   P R I O R   Y E A R S   C O M B I N E D</t>
        </is>
      </c>
      <c r="T2" s="263" t="n"/>
      <c r="U2" s="264" t="n"/>
      <c r="V2" s="133" t="inlineStr">
        <is>
          <t>-</t>
        </is>
      </c>
      <c r="W2" s="292" t="inlineStr">
        <is>
          <t>C U R R E N T   Y E A R</t>
        </is>
      </c>
      <c r="X2" s="263" t="n"/>
      <c r="Y2" s="264" t="n"/>
      <c r="Z2" s="133" t="inlineStr">
        <is>
          <t>-</t>
        </is>
      </c>
      <c r="AA2" s="292" t="inlineStr">
        <is>
          <t>B A C K L O G</t>
        </is>
      </c>
      <c r="AB2" s="263" t="n"/>
      <c r="AC2" s="264" t="n"/>
      <c r="AD2" s="134" t="inlineStr">
        <is>
          <t>-</t>
        </is>
      </c>
      <c r="AE2" s="265" t="inlineStr">
        <is>
          <t>B I L L I N G S  ( G A A P )</t>
        </is>
      </c>
      <c r="AF2" s="263" t="n"/>
      <c r="AG2" s="264" t="n"/>
      <c r="AM2" s="1" t="n"/>
    </row>
    <row r="3" ht="55.2" customHeight="1">
      <c r="A3" s="123" t="inlineStr">
        <is>
          <t>JV Job Number
from Managing Member</t>
        </is>
      </c>
      <c r="B3" s="123" t="inlineStr">
        <is>
          <t>Related Internal Job Numbers</t>
        </is>
      </c>
      <c r="C3" s="123" t="inlineStr">
        <is>
          <t>Supervision Internal Job Number</t>
        </is>
      </c>
      <c r="D3" s="123" t="inlineStr">
        <is>
          <t>JV Job Description</t>
        </is>
      </c>
      <c r="E3" s="123" t="inlineStr">
        <is>
          <t>JV Partner(s)</t>
        </is>
      </c>
      <c r="F3" s="123" t="inlineStr">
        <is>
          <t>Our
JV Share
Percentage</t>
        </is>
      </c>
      <c r="G3" s="40" t="n"/>
      <c r="H3" s="41" t="inlineStr">
        <is>
          <t>Done</t>
        </is>
      </c>
      <c r="I3" s="41" t="inlineStr">
        <is>
          <t>Current Contract
Amount</t>
        </is>
      </c>
      <c r="J3" s="41" t="inlineStr">
        <is>
          <t>Projected Revenue</t>
        </is>
      </c>
      <c r="K3" s="41" t="inlineStr">
        <is>
          <t>Projected Cost</t>
        </is>
      </c>
      <c r="L3" s="42" t="inlineStr">
        <is>
          <t>Projected
Profit</t>
        </is>
      </c>
      <c r="M3" s="40" t="n"/>
      <c r="N3" s="44" t="inlineStr">
        <is>
          <t>Ops JTD % Complete</t>
        </is>
      </c>
      <c r="O3" s="43" t="inlineStr">
        <is>
          <t>JTD Earned Revenue</t>
        </is>
      </c>
      <c r="P3" s="43" t="inlineStr">
        <is>
          <t>JTD Cost</t>
        </is>
      </c>
      <c r="Q3" s="42" t="inlineStr">
        <is>
          <t>Ops JTD
Profit</t>
        </is>
      </c>
      <c r="R3" s="129" t="n"/>
      <c r="S3" s="45" t="inlineStr">
        <is>
          <t>Prior
Year
Revenue</t>
        </is>
      </c>
      <c r="T3" s="46" t="inlineStr">
        <is>
          <t>Prior
Year
Cost</t>
        </is>
      </c>
      <c r="U3" s="42" t="inlineStr">
        <is>
          <t>Prior Year
Profit</t>
        </is>
      </c>
      <c r="V3" s="129" t="n"/>
      <c r="W3" s="45" t="inlineStr">
        <is>
          <t>Current
Year
Revenue</t>
        </is>
      </c>
      <c r="X3" s="46" t="inlineStr">
        <is>
          <t>Current
Year
Cost</t>
        </is>
      </c>
      <c r="Y3" s="42" t="inlineStr">
        <is>
          <t>Current Year
Profit</t>
        </is>
      </c>
      <c r="Z3" s="129" t="n"/>
      <c r="AA3" s="45" t="inlineStr">
        <is>
          <t>Remaining Revenue</t>
        </is>
      </c>
      <c r="AB3" s="46" t="inlineStr">
        <is>
          <t>Remaining
Cost</t>
        </is>
      </c>
      <c r="AC3" s="42" t="inlineStr">
        <is>
          <t>Remaining Profit</t>
        </is>
      </c>
      <c r="AD3" s="129" t="n"/>
      <c r="AE3" s="43" t="inlineStr">
        <is>
          <t>JTD Billings</t>
        </is>
      </c>
      <c r="AF3" s="239" t="inlineStr">
        <is>
          <t>GAAP Revenue in Excess of Billing</t>
        </is>
      </c>
      <c r="AG3" s="239" t="inlineStr">
        <is>
          <t>GAAP Billings in Excess of Revenue</t>
        </is>
      </c>
      <c r="AH3" s="27" t="n"/>
      <c r="AI3" s="27" t="n"/>
      <c r="AJ3" s="27" t="n"/>
      <c r="AK3" s="27" t="n"/>
      <c r="AL3" s="27" t="n"/>
      <c r="AM3" s="27" t="n"/>
      <c r="AN3" s="27" t="n"/>
      <c r="AO3" s="47" t="n"/>
      <c r="AP3" t="inlineStr">
        <is>
          <t>OpsJTDCost</t>
        </is>
      </c>
    </row>
    <row r="4" ht="13.2" customHeight="1">
      <c r="A4" s="124" t="n"/>
      <c r="B4" s="125" t="n"/>
      <c r="C4" s="125" t="n"/>
      <c r="D4" s="125" t="n"/>
      <c r="E4" s="124" t="n"/>
      <c r="F4" s="126" t="n"/>
      <c r="G4" s="21" t="n"/>
      <c r="H4" s="131" t="n"/>
      <c r="I4" s="35" t="n"/>
      <c r="J4" s="35" t="n"/>
      <c r="K4" s="35" t="n"/>
      <c r="L4" s="143">
        <f>IF(A4&lt;&gt;"",J4-K4,0)</f>
        <v/>
      </c>
      <c r="M4" s="21" t="n"/>
      <c r="N4" s="293">
        <f>IF(A4&lt;&gt;"",IF(K4&lt;&gt;0,P4/K4,0),0)</f>
        <v/>
      </c>
      <c r="O4" s="35">
        <f>IF(K4&lt;&gt;0,IF((P4/K4)&gt;0.1,(P4/K4)*J4,0),0)</f>
        <v/>
      </c>
      <c r="P4" s="35" t="n"/>
      <c r="Q4" s="143">
        <f>IF(A4&lt;&gt;"",O4-P4,0)</f>
        <v/>
      </c>
      <c r="R4" s="21" t="n"/>
      <c r="S4" s="110" t="n"/>
      <c r="T4" s="111" t="n"/>
      <c r="U4" s="143">
        <f>IF(A4&lt;&gt;"",S4-T4,0)</f>
        <v/>
      </c>
      <c r="V4" s="39" t="n"/>
      <c r="W4" s="110">
        <f>IF(A4&lt;&gt;"",O4-S4,0)</f>
        <v/>
      </c>
      <c r="X4" s="111">
        <f>IF(A4&lt;&gt;"",P4-T4,0)</f>
        <v/>
      </c>
      <c r="Y4" s="143">
        <f>IF(A4&lt;&gt;"",W4-X4,0)</f>
        <v/>
      </c>
      <c r="Z4" s="39" t="n"/>
      <c r="AA4" s="110">
        <f>IF(A4&lt;&gt;"",J4-O4,0)</f>
        <v/>
      </c>
      <c r="AB4" s="111">
        <f>IF(A4&lt;&gt;"",K4-P4,0)</f>
        <v/>
      </c>
      <c r="AC4" s="143">
        <f>IF(A4&lt;&gt;"",AA4-AB4,0)</f>
        <v/>
      </c>
      <c r="AE4" s="35" t="n"/>
      <c r="AF4" s="67">
        <f>IF(L4&lt;&gt; "",IF(O4-AE4&gt;=0,O4-AE4,0),0)</f>
        <v/>
      </c>
      <c r="AG4" s="67">
        <f>IF(L4&lt;&gt; "",IF(O4-AE4&lt;=0,O4-AE4,0),0)</f>
        <v/>
      </c>
    </row>
    <row r="5" ht="24.6" customHeight="1">
      <c r="A5" s="294" t="inlineStr">
        <is>
          <t>JV Full Value</t>
        </is>
      </c>
      <c r="B5" s="263" t="n"/>
      <c r="C5" s="263" t="n"/>
      <c r="D5" s="263" t="n"/>
      <c r="E5" s="263" t="n"/>
      <c r="F5" s="264" t="n"/>
      <c r="G5" s="21" t="n"/>
      <c r="H5" s="131" t="n"/>
      <c r="I5" s="35" t="n"/>
      <c r="J5" s="35" t="n"/>
      <c r="K5" s="35" t="n"/>
      <c r="L5" s="143" t="n"/>
      <c r="M5" s="21" t="n"/>
      <c r="N5" s="293" t="n"/>
      <c r="O5" s="35">
        <f>IF(K5&lt;&gt;0,IF((P5/K5)&gt;0.1,(P5/K5)*J5,0),0)</f>
        <v/>
      </c>
      <c r="P5" s="35" t="n"/>
      <c r="Q5" s="143" t="n"/>
      <c r="R5" s="21" t="n"/>
      <c r="S5" s="110" t="n"/>
      <c r="T5" s="111" t="n"/>
      <c r="U5" s="143" t="n"/>
      <c r="V5" s="39" t="n"/>
      <c r="W5" s="110" t="n"/>
      <c r="X5" s="111" t="n"/>
      <c r="Y5" s="143" t="n"/>
      <c r="Z5" s="39" t="n"/>
      <c r="AA5" s="110" t="n"/>
      <c r="AB5" s="111" t="n"/>
      <c r="AC5" s="143" t="n"/>
      <c r="AE5" s="35" t="n"/>
      <c r="AF5" s="67" t="n"/>
      <c r="AG5" s="67" t="n"/>
      <c r="AH5" s="1" t="n"/>
    </row>
    <row r="6" ht="13.2" customHeight="1">
      <c r="A6" s="125" t="n"/>
      <c r="B6" s="125" t="n"/>
      <c r="C6" s="125" t="n"/>
      <c r="D6" s="125" t="n"/>
      <c r="E6" s="124" t="n"/>
      <c r="F6" s="139" t="n"/>
      <c r="G6" s="21" t="n"/>
      <c r="H6" s="131" t="n"/>
      <c r="I6" s="35" t="n"/>
      <c r="J6" s="35" t="n"/>
      <c r="K6" s="35" t="n"/>
      <c r="L6" s="143" t="n"/>
      <c r="M6" s="21" t="n"/>
      <c r="N6" s="293" t="n"/>
      <c r="O6" s="35">
        <f>IF(K6&lt;&gt;0,IF((P6/K6)&gt;0.1,(P6/K6)*J6,0),0)</f>
        <v/>
      </c>
      <c r="P6" s="35" t="n"/>
      <c r="Q6" s="143" t="n"/>
      <c r="R6" s="21" t="n"/>
      <c r="S6" s="110" t="n"/>
      <c r="T6" s="111" t="n"/>
      <c r="U6" s="143" t="n"/>
      <c r="V6" s="39" t="n"/>
      <c r="W6" s="110" t="n"/>
      <c r="X6" s="111" t="n"/>
      <c r="Y6" s="143" t="n"/>
      <c r="Z6" s="39" t="n"/>
      <c r="AA6" s="110" t="n"/>
      <c r="AB6" s="111" t="n"/>
      <c r="AC6" s="143" t="n"/>
      <c r="AE6" s="35" t="n"/>
      <c r="AF6" s="67" t="n"/>
      <c r="AG6" s="67" t="n"/>
      <c r="AH6" s="1" t="n"/>
    </row>
    <row r="7" ht="13.2" customHeight="1">
      <c r="A7" s="124" t="n"/>
      <c r="B7" s="125" t="n"/>
      <c r="C7" s="125" t="n"/>
      <c r="D7" s="125" t="n"/>
      <c r="E7" s="124" t="n"/>
      <c r="F7" s="126" t="n"/>
      <c r="G7" s="21" t="n"/>
      <c r="H7" s="131" t="n"/>
      <c r="I7" s="35" t="n"/>
      <c r="J7" s="35" t="n"/>
      <c r="K7" s="35" t="n"/>
      <c r="L7" s="143">
        <f>IF(A7&lt;&gt;"",J7-K7,0)</f>
        <v/>
      </c>
      <c r="M7" s="21" t="n"/>
      <c r="N7" s="293">
        <f>IF(A7&lt;&gt;"",IF(K7&lt;&gt;0,P7/K7,0),0)</f>
        <v/>
      </c>
      <c r="O7" s="35">
        <f>IF(K7&lt;&gt;0,IF((P7/K7)&gt;0.1,(P7/K7)*J7,0),0)</f>
        <v/>
      </c>
      <c r="P7" s="35" t="n"/>
      <c r="Q7" s="143">
        <f>IF(A7&lt;&gt;"",O7-P7,0)</f>
        <v/>
      </c>
      <c r="R7" s="21" t="n"/>
      <c r="S7" s="110" t="n"/>
      <c r="T7" s="111" t="n"/>
      <c r="U7" s="143">
        <f>IF(A7&lt;&gt;"",S7-T7,0)</f>
        <v/>
      </c>
      <c r="V7" s="39" t="n"/>
      <c r="W7" s="110">
        <f>IF(A7&lt;&gt;"",O7-S7,0)</f>
        <v/>
      </c>
      <c r="X7" s="111">
        <f>IF(A7&lt;&gt;"",P7-T7,0)</f>
        <v/>
      </c>
      <c r="Y7" s="143">
        <f>IF(A7&lt;&gt;"",W7-X7,0)</f>
        <v/>
      </c>
      <c r="Z7" s="39" t="n"/>
      <c r="AA7" s="110">
        <f>IF(A7&lt;&gt;"",J7-O7,0)</f>
        <v/>
      </c>
      <c r="AB7" s="111">
        <f>IF(A7&lt;&gt;"",K7-P7,0)</f>
        <v/>
      </c>
      <c r="AC7" s="143">
        <f>IF(A7&lt;&gt;"",AA7-AB7,0)</f>
        <v/>
      </c>
      <c r="AE7" s="35" t="n"/>
      <c r="AF7" s="67">
        <f>IF(L7&lt;&gt; "",IF(O7-AE7&gt;=0,O7-AE7,0),0)</f>
        <v/>
      </c>
      <c r="AG7" s="67">
        <f>IF(L7&lt;&gt; "",IF(O7-AE7&lt;=0,O7-AE7,0),0)</f>
        <v/>
      </c>
      <c r="AH7" s="1" t="n"/>
      <c r="AR7" t="n">
        <v>1</v>
      </c>
      <c r="AS7" s="20" t="inlineStr">
        <is>
          <t>000000000001419D</t>
        </is>
      </c>
    </row>
    <row r="8" ht="13.2" customHeight="1">
      <c r="A8" s="124" t="n"/>
      <c r="B8" s="125" t="n"/>
      <c r="C8" s="125" t="n"/>
      <c r="D8" s="125" t="n"/>
      <c r="E8" s="124" t="n"/>
      <c r="F8" s="126" t="n"/>
      <c r="G8" s="21" t="n"/>
      <c r="H8" s="131" t="n"/>
      <c r="I8" s="35" t="n"/>
      <c r="J8" s="35" t="n"/>
      <c r="K8" s="35" t="n"/>
      <c r="L8" s="143">
        <f>IF(A8&lt;&gt;"",J8-K8,0)</f>
        <v/>
      </c>
      <c r="M8" s="21" t="n"/>
      <c r="N8" s="293">
        <f>IF(A8&lt;&gt;"",IF(K8&lt;&gt;0,P8/K8,0),0)</f>
        <v/>
      </c>
      <c r="O8" s="35">
        <f>IF(K8&lt;&gt;0,IF((P8/K8)&gt;0.1,(P8/K8)*J8,0),0)</f>
        <v/>
      </c>
      <c r="P8" s="35" t="n"/>
      <c r="Q8" s="143">
        <f>IF(A8&lt;&gt;"",O8-P8,0)</f>
        <v/>
      </c>
      <c r="R8" s="21" t="n"/>
      <c r="S8" s="110" t="n"/>
      <c r="T8" s="111" t="n"/>
      <c r="U8" s="143">
        <f>IF(A8&lt;&gt;"",S8-T8,0)</f>
        <v/>
      </c>
      <c r="V8" s="39" t="n"/>
      <c r="W8" s="110">
        <f>IF(A8&lt;&gt;"",O8-S8,0)</f>
        <v/>
      </c>
      <c r="X8" s="111">
        <f>IF(A8&lt;&gt;"",P8-T8,0)</f>
        <v/>
      </c>
      <c r="Y8" s="143">
        <f>IF(A8&lt;&gt;"",W8-X8,0)</f>
        <v/>
      </c>
      <c r="Z8" s="39" t="n"/>
      <c r="AA8" s="110">
        <f>IF(A8&lt;&gt;"",J8-O8,0)</f>
        <v/>
      </c>
      <c r="AB8" s="111">
        <f>IF(A8&lt;&gt;"",K8-P8,0)</f>
        <v/>
      </c>
      <c r="AC8" s="143">
        <f>IF(A8&lt;&gt;"",AA8-AB8,0)</f>
        <v/>
      </c>
      <c r="AE8" s="35" t="n"/>
      <c r="AF8" s="67">
        <f>IF(L8&lt;&gt; "",IF(O8-AE8&gt;=0,O8-AE8,0),0)</f>
        <v/>
      </c>
      <c r="AG8" s="67">
        <f>IF(L8&lt;&gt; "",IF(O8-AE8&lt;=0,O8-AE8,0),0)</f>
        <v/>
      </c>
      <c r="AH8" s="1" t="n"/>
      <c r="AI8" s="2" t="n"/>
      <c r="AJ8" s="2" t="n"/>
      <c r="AK8" s="2" t="n"/>
      <c r="AL8" s="2" t="n"/>
      <c r="AM8" s="2" t="n"/>
      <c r="AR8" t="n">
        <v>2</v>
      </c>
      <c r="AS8" s="20" t="inlineStr">
        <is>
          <t>000000000001419E</t>
        </is>
      </c>
    </row>
    <row r="9" ht="13.2" customHeight="1">
      <c r="A9" s="124" t="n"/>
      <c r="B9" s="125" t="n"/>
      <c r="C9" s="125" t="n"/>
      <c r="D9" s="125" t="n"/>
      <c r="E9" s="124" t="n"/>
      <c r="F9" s="126" t="n"/>
      <c r="G9" s="21" t="n"/>
      <c r="H9" s="131" t="n"/>
      <c r="I9" s="35" t="n"/>
      <c r="J9" s="35" t="n"/>
      <c r="K9" s="35" t="n"/>
      <c r="L9" s="143">
        <f>IF(A9&lt;&gt;"",J9-K9,0)</f>
        <v/>
      </c>
      <c r="M9" s="21" t="n"/>
      <c r="N9" s="293">
        <f>IF(A9&lt;&gt;"",IF(K9&lt;&gt;0,P9/K9,0),0)</f>
        <v/>
      </c>
      <c r="O9" s="35">
        <f>IF(K9&lt;&gt;0,IF((P9/K9)&gt;0.1,(P9/K9)*J9,0),0)</f>
        <v/>
      </c>
      <c r="P9" s="35" t="n"/>
      <c r="Q9" s="143">
        <f>IF(A9&lt;&gt;"",O9-P9,0)</f>
        <v/>
      </c>
      <c r="R9" s="21" t="n"/>
      <c r="S9" s="110" t="n"/>
      <c r="T9" s="111" t="n"/>
      <c r="U9" s="143">
        <f>IF(A9&lt;&gt;"",S9-T9,0)</f>
        <v/>
      </c>
      <c r="V9" s="39" t="n"/>
      <c r="W9" s="110">
        <f>IF(A9&lt;&gt;"",O9-S9,0)</f>
        <v/>
      </c>
      <c r="X9" s="111">
        <f>IF(A9&lt;&gt;"",P9-T9,0)</f>
        <v/>
      </c>
      <c r="Y9" s="143">
        <f>IF(A9&lt;&gt;"",W9-X9,0)</f>
        <v/>
      </c>
      <c r="Z9" s="39" t="n"/>
      <c r="AA9" s="110">
        <f>IF(A9&lt;&gt;"",J9-O9,0)</f>
        <v/>
      </c>
      <c r="AB9" s="111">
        <f>IF(A9&lt;&gt;"",K9-P9,0)</f>
        <v/>
      </c>
      <c r="AC9" s="143">
        <f>IF(A9&lt;&gt;"",AA9-AB9,0)</f>
        <v/>
      </c>
      <c r="AE9" s="35" t="n"/>
      <c r="AF9" s="67">
        <f>IF(L9&lt;&gt; "",IF(O9-AE9&gt;=0,O9-AE9,0),0)</f>
        <v/>
      </c>
      <c r="AG9" s="67">
        <f>IF(L9&lt;&gt; "",IF(O9-AE9&lt;=0,O9-AE9,0),0)</f>
        <v/>
      </c>
      <c r="AH9" s="1" t="n"/>
      <c r="AR9" t="n">
        <v>3</v>
      </c>
      <c r="AS9" s="20" t="inlineStr">
        <is>
          <t>000000000001419F</t>
        </is>
      </c>
    </row>
    <row r="10" ht="13.2" customHeight="1">
      <c r="A10" s="124" t="n"/>
      <c r="B10" s="125" t="n"/>
      <c r="C10" s="125" t="n"/>
      <c r="D10" s="125" t="n"/>
      <c r="E10" s="124" t="n"/>
      <c r="F10" s="126" t="n"/>
      <c r="G10" s="21" t="n"/>
      <c r="H10" s="131" t="n"/>
      <c r="I10" s="35" t="n"/>
      <c r="J10" s="35" t="n"/>
      <c r="K10" s="35" t="n"/>
      <c r="L10" s="143">
        <f>IF(A10&lt;&gt;"",J10-K10,0)</f>
        <v/>
      </c>
      <c r="M10" s="21" t="n"/>
      <c r="N10" s="293">
        <f>IF(A10&lt;&gt;"",IF(K10&lt;&gt;0,P10/K10,0),0)</f>
        <v/>
      </c>
      <c r="O10" s="35">
        <f>IF(K10&lt;&gt;0,IF((P10/K10)&gt;0.1,(P10/K10)*J10,0),0)</f>
        <v/>
      </c>
      <c r="P10" s="35" t="n"/>
      <c r="Q10" s="143">
        <f>IF(A10&lt;&gt;"",O10-P10,0)</f>
        <v/>
      </c>
      <c r="R10" s="21" t="n"/>
      <c r="S10" s="110" t="n"/>
      <c r="T10" s="111" t="n"/>
      <c r="U10" s="143">
        <f>IF(A10&lt;&gt;"",S10-T10,0)</f>
        <v/>
      </c>
      <c r="V10" s="39" t="n"/>
      <c r="W10" s="110">
        <f>IF(A10&lt;&gt;"",O10-S10,0)</f>
        <v/>
      </c>
      <c r="X10" s="111">
        <f>IF(A10&lt;&gt;"",P10-T10,0)</f>
        <v/>
      </c>
      <c r="Y10" s="143">
        <f>IF(A10&lt;&gt;"",W10-X10,0)</f>
        <v/>
      </c>
      <c r="Z10" s="39" t="n"/>
      <c r="AA10" s="110">
        <f>IF(A10&lt;&gt;"",J10-O10,0)</f>
        <v/>
      </c>
      <c r="AB10" s="111">
        <f>IF(A10&lt;&gt;"",K10-P10,0)</f>
        <v/>
      </c>
      <c r="AC10" s="143">
        <f>IF(A10&lt;&gt;"",AA10-AB10,0)</f>
        <v/>
      </c>
      <c r="AE10" s="35" t="n"/>
      <c r="AF10" s="67">
        <f>IF(L10&lt;&gt; "",IF(O10-AE10&gt;=0,O10-AE10,0),0)</f>
        <v/>
      </c>
      <c r="AG10" s="67">
        <f>IF(L10&lt;&gt; "",IF(O10-AE10&lt;=0,O10-AE10,0),0)</f>
        <v/>
      </c>
      <c r="AH10" s="1" t="n"/>
      <c r="AI10" s="2" t="n"/>
      <c r="AJ10" s="2" t="n"/>
      <c r="AK10" s="2" t="n"/>
      <c r="AL10" s="2" t="n"/>
      <c r="AM10" s="2" t="n"/>
      <c r="AR10" t="n">
        <v>4</v>
      </c>
      <c r="AS10" s="20" t="inlineStr">
        <is>
          <t>00000000000141A0</t>
        </is>
      </c>
    </row>
    <row r="11" ht="13.2" customHeight="1">
      <c r="A11" s="124" t="n"/>
      <c r="B11" s="125" t="n"/>
      <c r="C11" s="125" t="n"/>
      <c r="D11" s="125" t="n"/>
      <c r="E11" s="124" t="n"/>
      <c r="F11" s="126" t="n"/>
      <c r="G11" s="21" t="n"/>
      <c r="H11" s="131" t="n"/>
      <c r="I11" s="35" t="n"/>
      <c r="J11" s="35" t="n"/>
      <c r="K11" s="35" t="n"/>
      <c r="L11" s="143">
        <f>IF(A11&lt;&gt;"",J11-K11,0)</f>
        <v/>
      </c>
      <c r="M11" s="21" t="n"/>
      <c r="N11" s="293">
        <f>IF(A11&lt;&gt;"",IF(K11&lt;&gt;0,P11/K11,0),0)</f>
        <v/>
      </c>
      <c r="O11" s="35">
        <f>IF(K11&lt;&gt;0,IF((P11/K11)&gt;0.1,(P11/K11)*J11,0),0)</f>
        <v/>
      </c>
      <c r="P11" s="35" t="n"/>
      <c r="Q11" s="143">
        <f>IF(A11&lt;&gt;"",O11-P11,0)</f>
        <v/>
      </c>
      <c r="R11" s="21" t="n"/>
      <c r="S11" s="110" t="n"/>
      <c r="T11" s="111" t="n"/>
      <c r="U11" s="143">
        <f>IF(A11&lt;&gt;"",S11-T11,0)</f>
        <v/>
      </c>
      <c r="V11" s="39" t="n"/>
      <c r="W11" s="110">
        <f>IF(A11&lt;&gt;"",O11-S11,0)</f>
        <v/>
      </c>
      <c r="X11" s="111">
        <f>IF(A11&lt;&gt;"",P11-T11,0)</f>
        <v/>
      </c>
      <c r="Y11" s="143">
        <f>IF(A11&lt;&gt;"",W11-X11,0)</f>
        <v/>
      </c>
      <c r="Z11" s="39" t="n"/>
      <c r="AA11" s="110">
        <f>IF(A11&lt;&gt;"",J11-O11,0)</f>
        <v/>
      </c>
      <c r="AB11" s="111">
        <f>IF(A11&lt;&gt;"",K11-P11,0)</f>
        <v/>
      </c>
      <c r="AC11" s="143">
        <f>IF(A11&lt;&gt;"",AA11-AB11,0)</f>
        <v/>
      </c>
      <c r="AE11" s="35" t="n"/>
      <c r="AF11" s="67">
        <f>IF(L11&lt;&gt; "",IF(O11-AE11&gt;=0,O11-AE11,0),0)</f>
        <v/>
      </c>
      <c r="AG11" s="67">
        <f>IF(L11&lt;&gt; "",IF(O11-AE11&lt;=0,O11-AE11,0),0)</f>
        <v/>
      </c>
      <c r="AH11" s="1" t="n"/>
      <c r="AL11" s="1" t="n"/>
      <c r="AM11" s="1" t="n"/>
      <c r="AR11" t="n">
        <v>5</v>
      </c>
      <c r="AS11" s="20" t="inlineStr">
        <is>
          <t>00000000000141A1</t>
        </is>
      </c>
    </row>
    <row r="12" ht="13.2" customHeight="1">
      <c r="A12" s="124" t="n"/>
      <c r="B12" s="125" t="n"/>
      <c r="C12" s="125" t="n"/>
      <c r="D12" s="125" t="n"/>
      <c r="E12" s="124" t="n"/>
      <c r="F12" s="126" t="n"/>
      <c r="G12" s="21" t="n"/>
      <c r="H12" s="131" t="n"/>
      <c r="I12" s="35" t="n"/>
      <c r="J12" s="35" t="n"/>
      <c r="K12" s="35" t="n"/>
      <c r="L12" s="143">
        <f>IF(A12&lt;&gt;"",J12-K12,0)</f>
        <v/>
      </c>
      <c r="M12" s="21" t="n"/>
      <c r="N12" s="293">
        <f>IF(A12&lt;&gt;"",IF(K12&lt;&gt;0,P12/K12,0),0)</f>
        <v/>
      </c>
      <c r="O12" s="35">
        <f>IF(K12&lt;&gt;0,IF((P12/K12)&gt;0.1,(P12/K12)*J12,0),0)</f>
        <v/>
      </c>
      <c r="P12" s="35" t="n"/>
      <c r="Q12" s="143">
        <f>IF(A12&lt;&gt;"",O12-P12,0)</f>
        <v/>
      </c>
      <c r="R12" s="21" t="n"/>
      <c r="S12" s="110" t="n"/>
      <c r="T12" s="111" t="n"/>
      <c r="U12" s="143">
        <f>IF(A12&lt;&gt;"",S12-T12,0)</f>
        <v/>
      </c>
      <c r="V12" s="39" t="n"/>
      <c r="W12" s="110">
        <f>IF(A12&lt;&gt;"",O12-S12,0)</f>
        <v/>
      </c>
      <c r="X12" s="111">
        <f>IF(A12&lt;&gt;"",P12-T12,0)</f>
        <v/>
      </c>
      <c r="Y12" s="143">
        <f>IF(A12&lt;&gt;"",W12-X12,0)</f>
        <v/>
      </c>
      <c r="Z12" s="39" t="n"/>
      <c r="AA12" s="110">
        <f>IF(A12&lt;&gt;"",J12-O12,0)</f>
        <v/>
      </c>
      <c r="AB12" s="111">
        <f>IF(A12&lt;&gt;"",K12-P12,0)</f>
        <v/>
      </c>
      <c r="AC12" s="143">
        <f>IF(A12&lt;&gt;"",AA12-AB12,0)</f>
        <v/>
      </c>
      <c r="AE12" s="35" t="n"/>
      <c r="AF12" s="67">
        <f>IF(L12&lt;&gt; "",IF(O12-AE12&gt;=0,O12-AE12,0),0)</f>
        <v/>
      </c>
      <c r="AG12" s="67">
        <f>IF(L12&lt;&gt; "",IF(O12-AE12&lt;=0,O12-AE12,0),0)</f>
        <v/>
      </c>
      <c r="AH12" s="1" t="n"/>
      <c r="AL12" s="1" t="n"/>
      <c r="AM12" s="1" t="n"/>
      <c r="AR12" t="n">
        <v>1</v>
      </c>
      <c r="AS12" s="20" t="inlineStr">
        <is>
          <t>0000000000013521</t>
        </is>
      </c>
    </row>
    <row r="13" ht="13.2" customHeight="1">
      <c r="A13" s="124" t="n"/>
      <c r="B13" s="125" t="n"/>
      <c r="C13" s="125" t="n"/>
      <c r="D13" s="125" t="n"/>
      <c r="E13" s="124" t="n"/>
      <c r="F13" s="126" t="n"/>
      <c r="G13" s="21" t="n"/>
      <c r="H13" s="131" t="n"/>
      <c r="I13" s="35" t="n"/>
      <c r="J13" s="35" t="n"/>
      <c r="K13" s="35" t="n"/>
      <c r="L13" s="143">
        <f>IF(A13&lt;&gt;"",J13-K13,0)</f>
        <v/>
      </c>
      <c r="M13" s="21" t="n"/>
      <c r="N13" s="293">
        <f>IF(A13&lt;&gt;"",IF(K13&lt;&gt;0,P13/K13,0),0)</f>
        <v/>
      </c>
      <c r="O13" s="35">
        <f>IF(K13&lt;&gt;0,IF((P13/K13)&gt;0.1,(P13/K13)*J13,0),0)</f>
        <v/>
      </c>
      <c r="P13" s="35" t="n"/>
      <c r="Q13" s="143">
        <f>IF(A13&lt;&gt;"",O13-P13,0)</f>
        <v/>
      </c>
      <c r="R13" s="21" t="n"/>
      <c r="S13" s="110" t="n"/>
      <c r="T13" s="111" t="n"/>
      <c r="U13" s="143">
        <f>IF(A13&lt;&gt;"",S13-T13,0)</f>
        <v/>
      </c>
      <c r="V13" s="39" t="n"/>
      <c r="W13" s="110">
        <f>IF(A13&lt;&gt;"",O13-S13,0)</f>
        <v/>
      </c>
      <c r="X13" s="111">
        <f>IF(A13&lt;&gt;"",P13-T13,0)</f>
        <v/>
      </c>
      <c r="Y13" s="143">
        <f>IF(A13&lt;&gt;"",W13-X13,0)</f>
        <v/>
      </c>
      <c r="Z13" s="39" t="n"/>
      <c r="AA13" s="110">
        <f>IF(A13&lt;&gt;"",J13-O13,0)</f>
        <v/>
      </c>
      <c r="AB13" s="111">
        <f>IF(A13&lt;&gt;"",K13-P13,0)</f>
        <v/>
      </c>
      <c r="AC13" s="143">
        <f>IF(A13&lt;&gt;"",AA13-AB13,0)</f>
        <v/>
      </c>
      <c r="AE13" s="35" t="n"/>
      <c r="AF13" s="67">
        <f>IF(L13&lt;&gt; "",IF(O13-AE13&gt;=0,O13-AE13,0),0)</f>
        <v/>
      </c>
      <c r="AG13" s="67">
        <f>IF(L13&lt;&gt; "",IF(O13-AE13&lt;=0,O13-AE13,0),0)</f>
        <v/>
      </c>
      <c r="AH13" s="1" t="n"/>
      <c r="AL13" s="1" t="n"/>
      <c r="AM13" s="1" t="n"/>
      <c r="AR13" t="n">
        <v>1</v>
      </c>
      <c r="AS13" s="20" t="inlineStr">
        <is>
          <t>0000000000013648</t>
        </is>
      </c>
    </row>
    <row r="14" ht="13.2" customHeight="1">
      <c r="A14" s="124" t="n"/>
      <c r="B14" s="125" t="n"/>
      <c r="C14" s="125" t="n"/>
      <c r="D14" s="125" t="n"/>
      <c r="E14" s="124" t="n"/>
      <c r="F14" s="126" t="n"/>
      <c r="G14" s="21" t="n"/>
      <c r="H14" s="131" t="n"/>
      <c r="I14" s="35" t="n"/>
      <c r="J14" s="35" t="n"/>
      <c r="K14" s="35" t="n"/>
      <c r="L14" s="143">
        <f>IF(A14&lt;&gt;"",J14-K14,0)</f>
        <v/>
      </c>
      <c r="M14" s="21" t="n"/>
      <c r="N14" s="293">
        <f>IF(A14&lt;&gt;"",IF(K14&lt;&gt;0,P14/K14,0),0)</f>
        <v/>
      </c>
      <c r="O14" s="35">
        <f>IF(K14&lt;&gt;0,IF((P14/K14)&gt;0.1,(P14/K14)*J14,0),0)</f>
        <v/>
      </c>
      <c r="P14" s="35" t="n"/>
      <c r="Q14" s="143">
        <f>IF(A14&lt;&gt;"",O14-P14,0)</f>
        <v/>
      </c>
      <c r="R14" s="21" t="n"/>
      <c r="S14" s="110" t="n"/>
      <c r="T14" s="111" t="n"/>
      <c r="U14" s="143">
        <f>IF(A14&lt;&gt;"",S14-T14,0)</f>
        <v/>
      </c>
      <c r="V14" s="39" t="n"/>
      <c r="W14" s="110">
        <f>IF(A14&lt;&gt;"",O14-S14,0)</f>
        <v/>
      </c>
      <c r="X14" s="111">
        <f>IF(A14&lt;&gt;"",P14-T14,0)</f>
        <v/>
      </c>
      <c r="Y14" s="143">
        <f>IF(A14&lt;&gt;"",W14-X14,0)</f>
        <v/>
      </c>
      <c r="Z14" s="39" t="n"/>
      <c r="AA14" s="110">
        <f>IF(A14&lt;&gt;"",J14-O14,0)</f>
        <v/>
      </c>
      <c r="AB14" s="111">
        <f>IF(A14&lt;&gt;"",K14-P14,0)</f>
        <v/>
      </c>
      <c r="AC14" s="143">
        <f>IF(A14&lt;&gt;"",AA14-AB14,0)</f>
        <v/>
      </c>
      <c r="AE14" s="35" t="n"/>
      <c r="AF14" s="67">
        <f>IF(L14&lt;&gt; "",IF(O14-AE14&gt;=0,O14-AE14,0),0)</f>
        <v/>
      </c>
      <c r="AG14" s="67">
        <f>IF(L14&lt;&gt; "",IF(O14-AE14&lt;=0,O14-AE14,0),0)</f>
        <v/>
      </c>
      <c r="AH14" s="1" t="n"/>
      <c r="AL14" s="1" t="n"/>
      <c r="AM14" s="1" t="n"/>
      <c r="AR14" t="n">
        <v>1</v>
      </c>
      <c r="AS14" s="20" t="inlineStr">
        <is>
          <t>000000000001363E</t>
        </is>
      </c>
    </row>
    <row r="15" ht="13.2" customHeight="1">
      <c r="A15" s="124" t="n"/>
      <c r="B15" s="125" t="n"/>
      <c r="C15" s="125" t="n"/>
      <c r="D15" s="125" t="n"/>
      <c r="E15" s="124" t="n"/>
      <c r="F15" s="126" t="n"/>
      <c r="G15" s="21" t="n"/>
      <c r="H15" s="131" t="n"/>
      <c r="I15" s="35" t="n"/>
      <c r="J15" s="35" t="n"/>
      <c r="K15" s="35" t="n"/>
      <c r="L15" s="143">
        <f>IF(A15&lt;&gt;"",J15-K15,0)</f>
        <v/>
      </c>
      <c r="M15" s="21" t="n"/>
      <c r="N15" s="293">
        <f>IF(A15&lt;&gt;"",IF(K15&lt;&gt;0,P15/K15,0),0)</f>
        <v/>
      </c>
      <c r="O15" s="35">
        <f>IF(K15&lt;&gt;0,IF((P15/K15)&gt;0.1,(P15/K15)*J15,0),0)</f>
        <v/>
      </c>
      <c r="P15" s="35" t="n"/>
      <c r="Q15" s="143">
        <f>IF(A15&lt;&gt;"",O15-P15,0)</f>
        <v/>
      </c>
      <c r="R15" s="21" t="n"/>
      <c r="S15" s="110" t="n"/>
      <c r="T15" s="111" t="n"/>
      <c r="U15" s="143">
        <f>IF(A15&lt;&gt;"",S15-T15,0)</f>
        <v/>
      </c>
      <c r="V15" s="39" t="n"/>
      <c r="W15" s="110">
        <f>IF(A15&lt;&gt;"",O15-S15,0)</f>
        <v/>
      </c>
      <c r="X15" s="111">
        <f>IF(A15&lt;&gt;"",P15-T15,0)</f>
        <v/>
      </c>
      <c r="Y15" s="143">
        <f>IF(A15&lt;&gt;"",W15-X15,0)</f>
        <v/>
      </c>
      <c r="Z15" s="39" t="n"/>
      <c r="AA15" s="110">
        <f>IF(A15&lt;&gt;"",J15-O15,0)</f>
        <v/>
      </c>
      <c r="AB15" s="111">
        <f>IF(A15&lt;&gt;"",K15-P15,0)</f>
        <v/>
      </c>
      <c r="AC15" s="143">
        <f>IF(A15&lt;&gt;"",AA15-AB15,0)</f>
        <v/>
      </c>
      <c r="AE15" s="35" t="n"/>
      <c r="AF15" s="67">
        <f>IF(L15&lt;&gt; "",IF(O15-AE15&gt;=0,O15-AE15,0),0)</f>
        <v/>
      </c>
      <c r="AG15" s="67">
        <f>IF(L15&lt;&gt; "",IF(O15-AE15&lt;=0,O15-AE15,0),0)</f>
        <v/>
      </c>
      <c r="AH15" s="1" t="n"/>
      <c r="AL15" s="1" t="n"/>
      <c r="AM15" s="1" t="n"/>
      <c r="AR15" t="n">
        <v>1</v>
      </c>
      <c r="AS15" s="20" t="inlineStr">
        <is>
          <t>000000000001340E</t>
        </is>
      </c>
    </row>
    <row r="16" ht="13.2" customHeight="1">
      <c r="A16" s="124" t="n"/>
      <c r="B16" s="125" t="n"/>
      <c r="C16" s="125" t="n"/>
      <c r="D16" s="125" t="n"/>
      <c r="E16" s="124" t="n"/>
      <c r="F16" s="126" t="n"/>
      <c r="G16" s="21" t="n"/>
      <c r="H16" s="131" t="n"/>
      <c r="I16" s="35" t="n"/>
      <c r="J16" s="35" t="n"/>
      <c r="K16" s="35" t="n"/>
      <c r="L16" s="143">
        <f>IF(A16&lt;&gt;"",J16-K16,0)</f>
        <v/>
      </c>
      <c r="M16" s="21" t="n"/>
      <c r="N16" s="293">
        <f>IF(A16&lt;&gt;"",IF(K16&lt;&gt;0,P16/K16,0),0)</f>
        <v/>
      </c>
      <c r="O16" s="35">
        <f>IF(K16&lt;&gt;0,IF((P16/K16)&gt;0.1,(P16/K16)*J16,0),0)</f>
        <v/>
      </c>
      <c r="P16" s="35" t="n"/>
      <c r="Q16" s="143">
        <f>IF(A16&lt;&gt;"",O16-P16,0)</f>
        <v/>
      </c>
      <c r="R16" s="21" t="n"/>
      <c r="S16" s="110" t="n"/>
      <c r="T16" s="111" t="n"/>
      <c r="U16" s="143">
        <f>IF(A16&lt;&gt;"",S16-T16,0)</f>
        <v/>
      </c>
      <c r="V16" s="39" t="n"/>
      <c r="W16" s="110">
        <f>IF(A16&lt;&gt;"",O16-S16,0)</f>
        <v/>
      </c>
      <c r="X16" s="111">
        <f>IF(A16&lt;&gt;"",P16-T16,0)</f>
        <v/>
      </c>
      <c r="Y16" s="143">
        <f>IF(A16&lt;&gt;"",W16-X16,0)</f>
        <v/>
      </c>
      <c r="Z16" s="39" t="n"/>
      <c r="AA16" s="110">
        <f>IF(A16&lt;&gt;"",J16-O16,0)</f>
        <v/>
      </c>
      <c r="AB16" s="111">
        <f>IF(A16&lt;&gt;"",K16-P16,0)</f>
        <v/>
      </c>
      <c r="AC16" s="143">
        <f>IF(A16&lt;&gt;"",AA16-AB16,0)</f>
        <v/>
      </c>
      <c r="AE16" s="35" t="n"/>
      <c r="AF16" s="67">
        <f>IF(L16&lt;&gt; "",IF(O16-AE16&gt;=0,O16-AE16,0),0)</f>
        <v/>
      </c>
      <c r="AG16" s="67">
        <f>IF(L16&lt;&gt; "",IF(O16-AE16&lt;=0,O16-AE16,0),0)</f>
        <v/>
      </c>
      <c r="AH16" s="1" t="n"/>
      <c r="AL16" s="1" t="n"/>
      <c r="AM16" s="1" t="n"/>
      <c r="AR16" t="n">
        <v>1</v>
      </c>
      <c r="AS16" s="20" t="inlineStr">
        <is>
          <t>0000000000013634</t>
        </is>
      </c>
    </row>
    <row r="17" ht="13.2" customHeight="1">
      <c r="A17" s="124" t="n"/>
      <c r="B17" s="125" t="n"/>
      <c r="C17" s="125" t="n"/>
      <c r="D17" s="125" t="n"/>
      <c r="E17" s="124" t="n"/>
      <c r="F17" s="126" t="n"/>
      <c r="G17" s="21" t="n"/>
      <c r="H17" s="131" t="n"/>
      <c r="I17" s="35" t="n"/>
      <c r="J17" s="35" t="n"/>
      <c r="K17" s="35" t="n"/>
      <c r="L17" s="143">
        <f>IF(A17&lt;&gt;"",J17-K17,0)</f>
        <v/>
      </c>
      <c r="M17" s="21" t="n"/>
      <c r="N17" s="293">
        <f>IF(A17&lt;&gt;"",IF(K17&lt;&gt;0,P17/K17,0),0)</f>
        <v/>
      </c>
      <c r="O17" s="35">
        <f>IF(K17&lt;&gt;0,IF((P17/K17)&gt;0.1,(P17/K17)*J17,0),0)</f>
        <v/>
      </c>
      <c r="P17" s="35" t="n"/>
      <c r="Q17" s="143">
        <f>IF(A17&lt;&gt;"",O17-P17,0)</f>
        <v/>
      </c>
      <c r="R17" s="21" t="n"/>
      <c r="S17" s="110" t="n"/>
      <c r="T17" s="111" t="n"/>
      <c r="U17" s="143">
        <f>IF(A17&lt;&gt;"",S17-T17,0)</f>
        <v/>
      </c>
      <c r="V17" s="39" t="n"/>
      <c r="W17" s="110">
        <f>IF(A17&lt;&gt;"",O17-S17,0)</f>
        <v/>
      </c>
      <c r="X17" s="111">
        <f>IF(A17&lt;&gt;"",P17-T17,0)</f>
        <v/>
      </c>
      <c r="Y17" s="143">
        <f>IF(A17&lt;&gt;"",W17-X17,0)</f>
        <v/>
      </c>
      <c r="Z17" s="39" t="n"/>
      <c r="AA17" s="110">
        <f>IF(A17&lt;&gt;"",J17-O17,0)</f>
        <v/>
      </c>
      <c r="AB17" s="111">
        <f>IF(A17&lt;&gt;"",K17-P17,0)</f>
        <v/>
      </c>
      <c r="AC17" s="143">
        <f>IF(A17&lt;&gt;"",AA17-AB17,0)</f>
        <v/>
      </c>
      <c r="AE17" s="35" t="n"/>
      <c r="AF17" s="67">
        <f>IF(L17&lt;&gt; "",IF(O17-AE17&gt;=0,O17-AE17,0),0)</f>
        <v/>
      </c>
      <c r="AG17" s="67">
        <f>IF(L17&lt;&gt; "",IF(O17-AE17&lt;=0,O17-AE17,0),0)</f>
        <v/>
      </c>
      <c r="AH17" s="1" t="n"/>
      <c r="AL17" s="1" t="n"/>
      <c r="AM17" s="1" t="n"/>
      <c r="AR17" t="n">
        <v>1</v>
      </c>
      <c r="AS17" s="20" t="inlineStr">
        <is>
          <t>0000000000013521</t>
        </is>
      </c>
    </row>
    <row r="18" ht="13.2" customHeight="1">
      <c r="A18" s="124" t="n"/>
      <c r="B18" s="125" t="n"/>
      <c r="C18" s="125" t="n"/>
      <c r="D18" s="125" t="n"/>
      <c r="E18" s="124" t="n"/>
      <c r="F18" s="126" t="n"/>
      <c r="G18" s="21" t="n"/>
      <c r="H18" s="131" t="n"/>
      <c r="I18" s="35" t="n"/>
      <c r="J18" s="35" t="n"/>
      <c r="K18" s="35" t="n"/>
      <c r="L18" s="143">
        <f>IF(A18&lt;&gt;"",J18-K18,0)</f>
        <v/>
      </c>
      <c r="M18" s="21" t="n"/>
      <c r="N18" s="293">
        <f>IF(A18&lt;&gt;"",IF(K18&lt;&gt;0,P18/K18,0),0)</f>
        <v/>
      </c>
      <c r="O18" s="35">
        <f>IF(K18&lt;&gt;0,IF((P18/K18)&gt;0.1,(P18/K18)*J18,0),0)</f>
        <v/>
      </c>
      <c r="P18" s="35" t="n"/>
      <c r="Q18" s="143">
        <f>IF(A18&lt;&gt;"",O18-P18,0)</f>
        <v/>
      </c>
      <c r="R18" s="21" t="n"/>
      <c r="S18" s="110" t="n"/>
      <c r="T18" s="111" t="n"/>
      <c r="U18" s="143">
        <f>IF(A18&lt;&gt;"",S18-T18,0)</f>
        <v/>
      </c>
      <c r="V18" s="39" t="n"/>
      <c r="W18" s="110">
        <f>IF(A18&lt;&gt;"",O18-S18,0)</f>
        <v/>
      </c>
      <c r="X18" s="111">
        <f>IF(A18&lt;&gt;"",P18-T18,0)</f>
        <v/>
      </c>
      <c r="Y18" s="143">
        <f>IF(A18&lt;&gt;"",W18-X18,0)</f>
        <v/>
      </c>
      <c r="Z18" s="39" t="n"/>
      <c r="AA18" s="110">
        <f>IF(A18&lt;&gt;"",J18-O18,0)</f>
        <v/>
      </c>
      <c r="AB18" s="111">
        <f>IF(A18&lt;&gt;"",K18-P18,0)</f>
        <v/>
      </c>
      <c r="AC18" s="143">
        <f>IF(A18&lt;&gt;"",AA18-AB18,0)</f>
        <v/>
      </c>
      <c r="AE18" s="35" t="n"/>
      <c r="AF18" s="67">
        <f>IF(L18&lt;&gt; "",IF(O18-AE18&gt;=0,O18-AE18,0),0)</f>
        <v/>
      </c>
      <c r="AG18" s="67">
        <f>IF(L18&lt;&gt; "",IF(O18-AE18&lt;=0,O18-AE18,0),0)</f>
        <v/>
      </c>
      <c r="AH18" s="1" t="n"/>
      <c r="AL18" s="1" t="n"/>
      <c r="AM18" s="1" t="n"/>
      <c r="AR18" t="n">
        <v>1</v>
      </c>
      <c r="AS18" s="20" t="inlineStr">
        <is>
          <t>0000000000013648</t>
        </is>
      </c>
    </row>
    <row r="19" ht="13.2" customHeight="1">
      <c r="A19" s="124" t="n"/>
      <c r="B19" s="125" t="n"/>
      <c r="C19" s="125" t="n"/>
      <c r="D19" s="125" t="n"/>
      <c r="E19" s="124" t="n"/>
      <c r="F19" s="126" t="n"/>
      <c r="G19" s="21" t="n"/>
      <c r="H19" s="131" t="n"/>
      <c r="I19" s="35" t="n"/>
      <c r="J19" s="35" t="n"/>
      <c r="K19" s="35" t="n"/>
      <c r="L19" s="143">
        <f>IF(A19&lt;&gt;"",J19-K19,0)</f>
        <v/>
      </c>
      <c r="M19" s="21" t="n"/>
      <c r="N19" s="293">
        <f>IF(A19&lt;&gt;"",IF(K19&lt;&gt;0,P19/K19,0),0)</f>
        <v/>
      </c>
      <c r="O19" s="35">
        <f>IF(K19&lt;&gt;0,IF((P19/K19)&gt;0.1,(P19/K19)*J19,0),0)</f>
        <v/>
      </c>
      <c r="P19" s="35" t="n"/>
      <c r="Q19" s="143">
        <f>IF(A19&lt;&gt;"",O19-P19,0)</f>
        <v/>
      </c>
      <c r="R19" s="21" t="n"/>
      <c r="S19" s="110" t="n"/>
      <c r="T19" s="111" t="n"/>
      <c r="U19" s="143">
        <f>IF(A19&lt;&gt;"",S19-T19,0)</f>
        <v/>
      </c>
      <c r="V19" s="39" t="n"/>
      <c r="W19" s="110">
        <f>IF(A19&lt;&gt;"",O19-S19,0)</f>
        <v/>
      </c>
      <c r="X19" s="111">
        <f>IF(A19&lt;&gt;"",P19-T19,0)</f>
        <v/>
      </c>
      <c r="Y19" s="143">
        <f>IF(A19&lt;&gt;"",W19-X19,0)</f>
        <v/>
      </c>
      <c r="Z19" s="39" t="n"/>
      <c r="AA19" s="110">
        <f>IF(A19&lt;&gt;"",J19-O19,0)</f>
        <v/>
      </c>
      <c r="AB19" s="111">
        <f>IF(A19&lt;&gt;"",K19-P19,0)</f>
        <v/>
      </c>
      <c r="AC19" s="143">
        <f>IF(A19&lt;&gt;"",AA19-AB19,0)</f>
        <v/>
      </c>
      <c r="AE19" s="35" t="n"/>
      <c r="AF19" s="67">
        <f>IF(L19&lt;&gt; "",IF(O19-AE19&gt;=0,O19-AE19,0),0)</f>
        <v/>
      </c>
      <c r="AG19" s="67">
        <f>IF(L19&lt;&gt; "",IF(O19-AE19&lt;=0,O19-AE19,0),0)</f>
        <v/>
      </c>
      <c r="AH19" s="1" t="n"/>
      <c r="AL19" s="1" t="n"/>
      <c r="AM19" s="1" t="n"/>
      <c r="AR19" t="n">
        <v>1</v>
      </c>
      <c r="AS19" s="20" t="inlineStr">
        <is>
          <t>000000000001363E</t>
        </is>
      </c>
    </row>
    <row r="20" ht="13.2" customHeight="1">
      <c r="A20" s="124" t="n"/>
      <c r="B20" s="125" t="n"/>
      <c r="C20" s="125" t="n"/>
      <c r="D20" s="125" t="n"/>
      <c r="E20" s="124" t="n"/>
      <c r="F20" s="126" t="n"/>
      <c r="G20" s="21" t="n"/>
      <c r="H20" s="131" t="n"/>
      <c r="I20" s="35" t="n"/>
      <c r="J20" s="35" t="n"/>
      <c r="K20" s="35" t="n"/>
      <c r="L20" s="143">
        <f>IF(A20&lt;&gt;"",J20-K20,0)</f>
        <v/>
      </c>
      <c r="M20" s="21" t="n"/>
      <c r="N20" s="293">
        <f>IF(A20&lt;&gt;"",IF(K20&lt;&gt;0,P20/K20,0),0)</f>
        <v/>
      </c>
      <c r="O20" s="35">
        <f>IF(K20&lt;&gt;0,IF((P20/K20)&gt;0.1,(P20/K20)*J20,0),0)</f>
        <v/>
      </c>
      <c r="P20" s="35" t="n"/>
      <c r="Q20" s="143">
        <f>IF(A20&lt;&gt;"",O20-P20,0)</f>
        <v/>
      </c>
      <c r="R20" s="21" t="n"/>
      <c r="S20" s="110" t="n"/>
      <c r="T20" s="111" t="n"/>
      <c r="U20" s="143">
        <f>IF(A20&lt;&gt;"",S20-T20,0)</f>
        <v/>
      </c>
      <c r="V20" s="39" t="n"/>
      <c r="W20" s="110">
        <f>IF(A20&lt;&gt;"",O20-S20,0)</f>
        <v/>
      </c>
      <c r="X20" s="111">
        <f>IF(A20&lt;&gt;"",P20-T20,0)</f>
        <v/>
      </c>
      <c r="Y20" s="143">
        <f>IF(A20&lt;&gt;"",W20-X20,0)</f>
        <v/>
      </c>
      <c r="Z20" s="39" t="n"/>
      <c r="AA20" s="110">
        <f>IF(A20&lt;&gt;"",J20-O20,0)</f>
        <v/>
      </c>
      <c r="AB20" s="111">
        <f>IF(A20&lt;&gt;"",K20-P20,0)</f>
        <v/>
      </c>
      <c r="AC20" s="143">
        <f>IF(A20&lt;&gt;"",AA20-AB20,0)</f>
        <v/>
      </c>
      <c r="AE20" s="35" t="n"/>
      <c r="AF20" s="67">
        <f>IF(L20&lt;&gt; "",IF(O20-AE20&gt;=0,O20-AE20,0),0)</f>
        <v/>
      </c>
      <c r="AG20" s="67">
        <f>IF(L20&lt;&gt; "",IF(O20-AE20&lt;=0,O20-AE20,0),0)</f>
        <v/>
      </c>
      <c r="AH20" s="1" t="n"/>
      <c r="AL20" s="1" t="n"/>
      <c r="AM20" s="1" t="n"/>
      <c r="AR20" t="n">
        <v>1</v>
      </c>
      <c r="AS20" s="20" t="inlineStr">
        <is>
          <t>000000000001340E</t>
        </is>
      </c>
    </row>
    <row r="21" ht="13.2" customHeight="1">
      <c r="A21" s="124" t="n"/>
      <c r="B21" s="125" t="n"/>
      <c r="C21" s="125" t="n"/>
      <c r="D21" s="125" t="n"/>
      <c r="E21" s="124" t="n"/>
      <c r="F21" s="126" t="n"/>
      <c r="G21" s="21" t="n"/>
      <c r="H21" s="131" t="n"/>
      <c r="I21" s="35" t="n"/>
      <c r="J21" s="35" t="n"/>
      <c r="K21" s="35" t="n"/>
      <c r="L21" s="143">
        <f>IF(A21&lt;&gt;"",J21-K21,0)</f>
        <v/>
      </c>
      <c r="M21" s="21" t="n"/>
      <c r="N21" s="293">
        <f>IF(A21&lt;&gt;"",IF(K21&lt;&gt;0,P21/K21,0),0)</f>
        <v/>
      </c>
      <c r="O21" s="35">
        <f>IF(K21&lt;&gt;0,IF((P21/K21)&gt;0.1,(P21/K21)*J21,0),0)</f>
        <v/>
      </c>
      <c r="P21" s="35" t="n"/>
      <c r="Q21" s="143">
        <f>IF(A21&lt;&gt;"",O21-P21,0)</f>
        <v/>
      </c>
      <c r="R21" s="21" t="n"/>
      <c r="S21" s="110" t="n"/>
      <c r="T21" s="111" t="n"/>
      <c r="U21" s="143">
        <f>IF(A21&lt;&gt;"",S21-T21,0)</f>
        <v/>
      </c>
      <c r="V21" s="39" t="n"/>
      <c r="W21" s="110">
        <f>IF(A21&lt;&gt;"",O21-S21,0)</f>
        <v/>
      </c>
      <c r="X21" s="111">
        <f>IF(A21&lt;&gt;"",P21-T21,0)</f>
        <v/>
      </c>
      <c r="Y21" s="143">
        <f>IF(A21&lt;&gt;"",W21-X21,0)</f>
        <v/>
      </c>
      <c r="Z21" s="39" t="n"/>
      <c r="AA21" s="110">
        <f>IF(A21&lt;&gt;"",J21-O21,0)</f>
        <v/>
      </c>
      <c r="AB21" s="111">
        <f>IF(A21&lt;&gt;"",K21-P21,0)</f>
        <v/>
      </c>
      <c r="AC21" s="143">
        <f>IF(A21&lt;&gt;"",AA21-AB21,0)</f>
        <v/>
      </c>
      <c r="AE21" s="35" t="n"/>
      <c r="AF21" s="67">
        <f>IF(L21&lt;&gt; "",IF(O21-AE21&gt;=0,O21-AE21,0),0)</f>
        <v/>
      </c>
      <c r="AG21" s="67">
        <f>IF(L21&lt;&gt; "",IF(O21-AE21&lt;=0,O21-AE21,0),0)</f>
        <v/>
      </c>
      <c r="AH21" s="1" t="n"/>
      <c r="AL21" s="1" t="n"/>
      <c r="AM21" s="1" t="n"/>
      <c r="AR21" t="n">
        <v>1</v>
      </c>
      <c r="AS21" s="20" t="inlineStr">
        <is>
          <t>0000000000013634</t>
        </is>
      </c>
    </row>
    <row r="22" ht="13.2" customHeight="1">
      <c r="A22" s="124" t="n"/>
      <c r="B22" s="125" t="n"/>
      <c r="C22" s="125" t="n"/>
      <c r="D22" s="125" t="n"/>
      <c r="E22" s="124" t="n"/>
      <c r="F22" s="126" t="n"/>
      <c r="G22" s="21" t="n"/>
      <c r="H22" s="131" t="n"/>
      <c r="I22" s="35" t="n"/>
      <c r="J22" s="35" t="n"/>
      <c r="K22" s="35" t="n"/>
      <c r="L22" s="143">
        <f>IF(A22&lt;&gt;"",J22-K22,0)</f>
        <v/>
      </c>
      <c r="M22" s="21" t="n"/>
      <c r="N22" s="293">
        <f>IF(A22&lt;&gt;"",IF(K22&lt;&gt;0,P22/K22,0),0)</f>
        <v/>
      </c>
      <c r="O22" s="35">
        <f>IF(K22&lt;&gt;0,IF((P22/K22)&gt;0.1,(P22/K22)*J22,0),0)</f>
        <v/>
      </c>
      <c r="P22" s="35" t="n"/>
      <c r="Q22" s="143">
        <f>IF(A22&lt;&gt;"",O22-P22,0)</f>
        <v/>
      </c>
      <c r="R22" s="21" t="n"/>
      <c r="S22" s="110" t="n"/>
      <c r="T22" s="111" t="n"/>
      <c r="U22" s="143">
        <f>IF(A22&lt;&gt;"",S22-T22,0)</f>
        <v/>
      </c>
      <c r="V22" s="39" t="n"/>
      <c r="W22" s="110">
        <f>IF(A22&lt;&gt;"",O22-S22,0)</f>
        <v/>
      </c>
      <c r="X22" s="111">
        <f>IF(A22&lt;&gt;"",P22-T22,0)</f>
        <v/>
      </c>
      <c r="Y22" s="143">
        <f>IF(A22&lt;&gt;"",W22-X22,0)</f>
        <v/>
      </c>
      <c r="Z22" s="39" t="n"/>
      <c r="AA22" s="110">
        <f>IF(A22&lt;&gt;"",J22-O22,0)</f>
        <v/>
      </c>
      <c r="AB22" s="111">
        <f>IF(A22&lt;&gt;"",K22-P22,0)</f>
        <v/>
      </c>
      <c r="AC22" s="143">
        <f>IF(A22&lt;&gt;"",AA22-AB22,0)</f>
        <v/>
      </c>
      <c r="AE22" s="35" t="n"/>
      <c r="AF22" s="67">
        <f>IF(L22&lt;&gt; "",IF(O22-AE22&gt;=0,O22-AE22,0),0)</f>
        <v/>
      </c>
      <c r="AG22" s="67">
        <f>IF(L22&lt;&gt; "",IF(O22-AE22&lt;=0,O22-AE22,0),0)</f>
        <v/>
      </c>
      <c r="AH22" s="1" t="n"/>
      <c r="AL22" s="1" t="n"/>
      <c r="AM22" s="1" t="n"/>
      <c r="AR22" t="n">
        <v>1</v>
      </c>
      <c r="AS22" s="20" t="inlineStr">
        <is>
          <t>0000000000013521</t>
        </is>
      </c>
    </row>
    <row r="23" ht="13.2" customHeight="1">
      <c r="A23" s="124" t="n"/>
      <c r="B23" s="125" t="n"/>
      <c r="C23" s="125" t="n"/>
      <c r="D23" s="125" t="n"/>
      <c r="E23" s="124" t="n"/>
      <c r="F23" s="126" t="n"/>
      <c r="G23" s="21" t="n"/>
      <c r="H23" s="131" t="n"/>
      <c r="I23" s="35" t="n"/>
      <c r="J23" s="35" t="n"/>
      <c r="K23" s="35" t="n"/>
      <c r="L23" s="143">
        <f>IF(A23&lt;&gt;"",J23-K23,0)</f>
        <v/>
      </c>
      <c r="M23" s="21" t="n"/>
      <c r="N23" s="293">
        <f>IF(A23&lt;&gt;"",IF(K23&lt;&gt;0,P23/K23,0),0)</f>
        <v/>
      </c>
      <c r="O23" s="35">
        <f>IF(K23&lt;&gt;0,IF((P23/K23)&gt;0.1,(P23/K23)*J23,0),0)</f>
        <v/>
      </c>
      <c r="P23" s="35" t="n"/>
      <c r="Q23" s="143">
        <f>IF(A23&lt;&gt;"",O23-P23,0)</f>
        <v/>
      </c>
      <c r="R23" s="21" t="n"/>
      <c r="S23" s="110" t="n"/>
      <c r="T23" s="111" t="n"/>
      <c r="U23" s="143">
        <f>IF(A23&lt;&gt;"",S23-T23,0)</f>
        <v/>
      </c>
      <c r="V23" s="39" t="n"/>
      <c r="W23" s="110">
        <f>IF(A23&lt;&gt;"",O23-S23,0)</f>
        <v/>
      </c>
      <c r="X23" s="111">
        <f>IF(A23&lt;&gt;"",P23-T23,0)</f>
        <v/>
      </c>
      <c r="Y23" s="143">
        <f>IF(A23&lt;&gt;"",W23-X23,0)</f>
        <v/>
      </c>
      <c r="Z23" s="39" t="n"/>
      <c r="AA23" s="110">
        <f>IF(A23&lt;&gt;"",J23-O23,0)</f>
        <v/>
      </c>
      <c r="AB23" s="111">
        <f>IF(A23&lt;&gt;"",K23-P23,0)</f>
        <v/>
      </c>
      <c r="AC23" s="143">
        <f>IF(A23&lt;&gt;"",AA23-AB23,0)</f>
        <v/>
      </c>
      <c r="AE23" s="35" t="n"/>
      <c r="AF23" s="67">
        <f>IF(L23&lt;&gt; "",IF(O23-AE23&gt;=0,O23-AE23,0),0)</f>
        <v/>
      </c>
      <c r="AG23" s="67">
        <f>IF(L23&lt;&gt; "",IF(O23-AE23&lt;=0,O23-AE23,0),0)</f>
        <v/>
      </c>
      <c r="AH23" s="1" t="n"/>
      <c r="AL23" s="1" t="n"/>
      <c r="AM23" s="1" t="n"/>
      <c r="AR23" t="n">
        <v>1</v>
      </c>
      <c r="AS23" s="20" t="inlineStr">
        <is>
          <t>0000000000013648</t>
        </is>
      </c>
    </row>
    <row r="24" ht="13.2" customHeight="1">
      <c r="A24" s="124" t="n"/>
      <c r="B24" s="125" t="n"/>
      <c r="C24" s="125" t="n"/>
      <c r="D24" s="125" t="n"/>
      <c r="E24" s="124" t="n"/>
      <c r="F24" s="126" t="n"/>
      <c r="G24" s="21" t="n"/>
      <c r="H24" s="131" t="n"/>
      <c r="I24" s="35" t="n"/>
      <c r="J24" s="35" t="n"/>
      <c r="K24" s="35" t="n"/>
      <c r="L24" s="143">
        <f>IF(A24&lt;&gt;"",J24-K24,0)</f>
        <v/>
      </c>
      <c r="M24" s="21" t="n"/>
      <c r="N24" s="293">
        <f>IF(A24&lt;&gt;"",IF(K24&lt;&gt;0,P24/K24,0),0)</f>
        <v/>
      </c>
      <c r="O24" s="35">
        <f>IF(K24&lt;&gt;0,IF((P24/K24)&gt;0.1,(P24/K24)*J24,0),0)</f>
        <v/>
      </c>
      <c r="P24" s="35" t="n"/>
      <c r="Q24" s="143">
        <f>IF(A24&lt;&gt;"",O24-P24,0)</f>
        <v/>
      </c>
      <c r="R24" s="21" t="n"/>
      <c r="S24" s="110" t="n"/>
      <c r="T24" s="111" t="n"/>
      <c r="U24" s="143">
        <f>IF(A24&lt;&gt;"",S24-T24,0)</f>
        <v/>
      </c>
      <c r="V24" s="39" t="n"/>
      <c r="W24" s="110">
        <f>IF(A24&lt;&gt;"",O24-S24,0)</f>
        <v/>
      </c>
      <c r="X24" s="111">
        <f>IF(A24&lt;&gt;"",P24-T24,0)</f>
        <v/>
      </c>
      <c r="Y24" s="143">
        <f>IF(A24&lt;&gt;"",W24-X24,0)</f>
        <v/>
      </c>
      <c r="Z24" s="39" t="n"/>
      <c r="AA24" s="110">
        <f>IF(A24&lt;&gt;"",J24-O24,0)</f>
        <v/>
      </c>
      <c r="AB24" s="111">
        <f>IF(A24&lt;&gt;"",K24-P24,0)</f>
        <v/>
      </c>
      <c r="AC24" s="143">
        <f>IF(A24&lt;&gt;"",AA24-AB24,0)</f>
        <v/>
      </c>
      <c r="AE24" s="35" t="n"/>
      <c r="AF24" s="67">
        <f>IF(L24&lt;&gt; "",IF(O24-AE24&gt;=0,O24-AE24,0),0)</f>
        <v/>
      </c>
      <c r="AG24" s="67">
        <f>IF(L24&lt;&gt; "",IF(O24-AE24&lt;=0,O24-AE24,0),0)</f>
        <v/>
      </c>
      <c r="AH24" s="1" t="n"/>
      <c r="AL24" s="1" t="n"/>
      <c r="AM24" s="1" t="n"/>
      <c r="AR24" t="n">
        <v>1</v>
      </c>
      <c r="AS24" s="20" t="inlineStr">
        <is>
          <t>000000000001363E</t>
        </is>
      </c>
    </row>
    <row r="25" ht="13.2" customHeight="1">
      <c r="A25" s="124" t="n"/>
      <c r="B25" s="125" t="n"/>
      <c r="C25" s="125" t="n"/>
      <c r="D25" s="125" t="n"/>
      <c r="E25" s="124" t="n"/>
      <c r="F25" s="126" t="n"/>
      <c r="G25" s="21" t="n"/>
      <c r="H25" s="131" t="n"/>
      <c r="I25" s="35" t="n"/>
      <c r="J25" s="35" t="n"/>
      <c r="K25" s="35" t="n"/>
      <c r="L25" s="143">
        <f>IF(A25&lt;&gt;"",J25-K25,0)</f>
        <v/>
      </c>
      <c r="M25" s="21" t="n"/>
      <c r="N25" s="293">
        <f>IF(A25&lt;&gt;"",IF(K25&lt;&gt;0,P25/K25,0),0)</f>
        <v/>
      </c>
      <c r="O25" s="35">
        <f>IF(K25&lt;&gt;0,IF((P25/K25)&gt;0.1,(P25/K25)*J25,0),0)</f>
        <v/>
      </c>
      <c r="P25" s="35" t="n"/>
      <c r="Q25" s="143">
        <f>IF(A25&lt;&gt;"",O25-P25,0)</f>
        <v/>
      </c>
      <c r="R25" s="21" t="n"/>
      <c r="S25" s="110" t="n"/>
      <c r="T25" s="111" t="n"/>
      <c r="U25" s="143">
        <f>IF(A25&lt;&gt;"",S25-T25,0)</f>
        <v/>
      </c>
      <c r="V25" s="39" t="n"/>
      <c r="W25" s="110">
        <f>IF(A25&lt;&gt;"",O25-S25,0)</f>
        <v/>
      </c>
      <c r="X25" s="111">
        <f>IF(A25&lt;&gt;"",P25-T25,0)</f>
        <v/>
      </c>
      <c r="Y25" s="143">
        <f>IF(A25&lt;&gt;"",W25-X25,0)</f>
        <v/>
      </c>
      <c r="Z25" s="39" t="n"/>
      <c r="AA25" s="110">
        <f>IF(A25&lt;&gt;"",J25-O25,0)</f>
        <v/>
      </c>
      <c r="AB25" s="111">
        <f>IF(A25&lt;&gt;"",K25-P25,0)</f>
        <v/>
      </c>
      <c r="AC25" s="143">
        <f>IF(A25&lt;&gt;"",AA25-AB25,0)</f>
        <v/>
      </c>
      <c r="AE25" s="35" t="n"/>
      <c r="AF25" s="67">
        <f>IF(L25&lt;&gt; "",IF(O25-AE25&gt;=0,O25-AE25,0),0)</f>
        <v/>
      </c>
      <c r="AG25" s="67">
        <f>IF(L25&lt;&gt; "",IF(O25-AE25&lt;=0,O25-AE25,0),0)</f>
        <v/>
      </c>
      <c r="AH25" s="1" t="n"/>
      <c r="AL25" s="1" t="n"/>
      <c r="AM25" s="1" t="n"/>
      <c r="AR25" t="n">
        <v>1</v>
      </c>
      <c r="AS25" s="20" t="inlineStr">
        <is>
          <t>000000000001340E</t>
        </is>
      </c>
    </row>
    <row r="26" ht="13.2" customHeight="1">
      <c r="A26" s="124" t="n"/>
      <c r="B26" s="125" t="n"/>
      <c r="C26" s="125" t="n"/>
      <c r="D26" s="125" t="n"/>
      <c r="E26" s="124" t="n"/>
      <c r="F26" s="126" t="n"/>
      <c r="G26" s="21" t="n"/>
      <c r="H26" s="131" t="n"/>
      <c r="I26" s="35" t="n"/>
      <c r="J26" s="35" t="n"/>
      <c r="K26" s="35" t="n"/>
      <c r="L26" s="143">
        <f>IF(A26&lt;&gt;"",J26-K26,0)</f>
        <v/>
      </c>
      <c r="M26" s="21" t="n"/>
      <c r="N26" s="293">
        <f>IF(A26&lt;&gt;"",IF(K26&lt;&gt;0,P26/K26,0),0)</f>
        <v/>
      </c>
      <c r="O26" s="35">
        <f>IF(K26&lt;&gt;0,IF((P26/K26)&gt;0.1,(P26/K26)*J26,0),0)</f>
        <v/>
      </c>
      <c r="P26" s="35" t="n"/>
      <c r="Q26" s="143">
        <f>IF(A26&lt;&gt;"",O26-P26,0)</f>
        <v/>
      </c>
      <c r="R26" s="21" t="n"/>
      <c r="S26" s="110" t="n"/>
      <c r="T26" s="111" t="n"/>
      <c r="U26" s="143">
        <f>IF(A26&lt;&gt;"",S26-T26,0)</f>
        <v/>
      </c>
      <c r="V26" s="39" t="n"/>
      <c r="W26" s="110">
        <f>IF(A26&lt;&gt;"",O26-S26,0)</f>
        <v/>
      </c>
      <c r="X26" s="111">
        <f>IF(A26&lt;&gt;"",P26-T26,0)</f>
        <v/>
      </c>
      <c r="Y26" s="143">
        <f>IF(A26&lt;&gt;"",W26-X26,0)</f>
        <v/>
      </c>
      <c r="Z26" s="39" t="n"/>
      <c r="AA26" s="110">
        <f>IF(A26&lt;&gt;"",J26-O26,0)</f>
        <v/>
      </c>
      <c r="AB26" s="111">
        <f>IF(A26&lt;&gt;"",K26-P26,0)</f>
        <v/>
      </c>
      <c r="AC26" s="143">
        <f>IF(A26&lt;&gt;"",AA26-AB26,0)</f>
        <v/>
      </c>
      <c r="AE26" s="35" t="n"/>
      <c r="AF26" s="67">
        <f>IF(L26&lt;&gt; "",IF(O26-AE26&gt;=0,O26-AE26,0),0)</f>
        <v/>
      </c>
      <c r="AG26" s="67">
        <f>IF(L26&lt;&gt; "",IF(O26-AE26&lt;=0,O26-AE26,0),0)</f>
        <v/>
      </c>
      <c r="AH26" s="1" t="n"/>
      <c r="AL26" s="1" t="n"/>
      <c r="AM26" s="1" t="n"/>
      <c r="AR26" t="n">
        <v>1</v>
      </c>
      <c r="AS26" s="20" t="inlineStr">
        <is>
          <t>0000000000013634</t>
        </is>
      </c>
    </row>
    <row r="27" ht="27" customHeight="1">
      <c r="A27" s="294" t="n">
        <v>551090</v>
      </c>
      <c r="B27" s="263" t="n"/>
      <c r="C27" s="263" t="n"/>
      <c r="D27" s="263" t="n"/>
      <c r="E27" s="263" t="n"/>
      <c r="F27" s="264" t="n"/>
      <c r="G27" s="21" t="n"/>
      <c r="H27" s="144" t="n"/>
      <c r="I27" s="145" t="n"/>
      <c r="J27" s="145" t="n"/>
      <c r="K27" s="145" t="n"/>
      <c r="L27" s="143" t="n"/>
      <c r="M27" s="21" t="n"/>
      <c r="N27" s="293" t="n"/>
      <c r="O27" s="145" t="n"/>
      <c r="P27" s="145" t="n"/>
      <c r="Q27" s="143" t="n"/>
      <c r="R27" s="21" t="n"/>
      <c r="S27" s="110" t="n"/>
      <c r="T27" s="111" t="n"/>
      <c r="U27" s="143" t="n"/>
      <c r="V27" s="39" t="n"/>
      <c r="W27" s="110" t="n"/>
      <c r="X27" s="111" t="n"/>
      <c r="Y27" s="143" t="n"/>
      <c r="Z27" s="39" t="n"/>
      <c r="AA27" s="110" t="n"/>
      <c r="AB27" s="111" t="n"/>
      <c r="AC27" s="143" t="n"/>
      <c r="AE27" s="145" t="n"/>
      <c r="AF27" s="67" t="n"/>
      <c r="AG27" s="67" t="n"/>
      <c r="AH27" s="1" t="n"/>
      <c r="AL27" s="1" t="n"/>
      <c r="AM27" s="1" t="n"/>
      <c r="AR27" t="n">
        <v>1</v>
      </c>
      <c r="AS27" s="20" t="inlineStr">
        <is>
          <t>0000000000013521</t>
        </is>
      </c>
    </row>
    <row r="28" ht="13.2" customHeight="1">
      <c r="A28" s="124" t="n">
        <v>551090</v>
      </c>
      <c r="B28" s="125" t="inlineStr">
        <is>
          <t>55.1090.</t>
        </is>
      </c>
      <c r="C28" s="125" t="n"/>
      <c r="D28" s="125" t="inlineStr">
        <is>
          <t>LADWP Silverlake Storage Replacement Project</t>
        </is>
      </c>
      <c r="E28" s="124" t="inlineStr">
        <is>
          <t>Webcor, Obayashi, &amp; Lyles</t>
        </is>
      </c>
      <c r="F28" s="126" t="n">
        <v>0.25</v>
      </c>
      <c r="G28" s="21" t="n"/>
      <c r="H28" s="144" t="n"/>
      <c r="I28" s="145" t="n"/>
      <c r="J28" s="145" t="n"/>
      <c r="K28" s="145" t="n"/>
      <c r="L28" s="143">
        <f>IF(A28&lt;&gt;"",J28-K28,0)</f>
        <v/>
      </c>
      <c r="M28" s="21" t="n"/>
      <c r="N28" s="293">
        <f>IF(A28&lt;&gt;"",IF(K28&lt;&gt;0,P28/K28,0),0)</f>
        <v/>
      </c>
      <c r="O28" s="145">
        <f>IF(AND(N28&lt;&gt;"",J28&lt;&gt; ""),N28*J28,0)</f>
        <v/>
      </c>
      <c r="P28" s="145" t="n"/>
      <c r="Q28" s="143">
        <f>IF(A28&lt;&gt;"",O28-P28,0)</f>
        <v/>
      </c>
      <c r="R28" s="21" t="n"/>
      <c r="S28" s="110" t="n"/>
      <c r="T28" s="111" t="n"/>
      <c r="U28" s="143">
        <f>IF(A28&lt;&gt;"",S28-T28,0)</f>
        <v/>
      </c>
      <c r="V28" s="39" t="n"/>
      <c r="W28" s="110">
        <f>IF(A28&lt;&gt;"",O28-S28,0)</f>
        <v/>
      </c>
      <c r="X28" s="111">
        <f>IF(A28&lt;&gt;"",P28-T28,0)</f>
        <v/>
      </c>
      <c r="Y28" s="143">
        <f>IF(A28&lt;&gt;"",W28-X28,0)</f>
        <v/>
      </c>
      <c r="Z28" s="39" t="n"/>
      <c r="AA28" s="110">
        <f>IF(A28&lt;&gt;"",J28-O28,0)</f>
        <v/>
      </c>
      <c r="AB28" s="111">
        <f>IF(A28&lt;&gt;"",K28-P28,0)</f>
        <v/>
      </c>
      <c r="AC28" s="143">
        <f>IF(A28&lt;&gt;"",AA28-AB28,0)</f>
        <v/>
      </c>
      <c r="AE28" s="145" t="n"/>
      <c r="AF28" s="67">
        <f>IF(L28&lt;&gt; "",IF(O28-AE28&gt;=0,O28-AE28,0),0)</f>
        <v/>
      </c>
      <c r="AG28" s="67">
        <f>IF(L28&lt;&gt; "",IF(O28-AE28&lt;=0,O28-AE28,0),0)</f>
        <v/>
      </c>
      <c r="AH28" s="1" t="n"/>
      <c r="AL28" s="1" t="n"/>
      <c r="AM28" s="1" t="n"/>
      <c r="AR28" t="n">
        <v>1</v>
      </c>
      <c r="AS28" s="20" t="inlineStr">
        <is>
          <t>0000000000013648</t>
        </is>
      </c>
    </row>
    <row r="29" ht="13.2" customHeight="1">
      <c r="A29" s="295" t="n">
        <v>551090</v>
      </c>
      <c r="B29" s="295" t="inlineStr">
        <is>
          <t>55.1090.</t>
        </is>
      </c>
      <c r="C29" s="295" t="n"/>
      <c r="D29" s="295" t="inlineStr">
        <is>
          <t>LADWP Silverlake Storage Replacement Project</t>
        </is>
      </c>
      <c r="E29" s="296" t="inlineStr">
        <is>
          <t>Webcor, Obayashi, &amp; Lyles</t>
        </is>
      </c>
      <c r="F29" s="126" t="n">
        <v>0.25</v>
      </c>
      <c r="G29" s="21" t="n"/>
      <c r="H29" s="144" t="n"/>
      <c r="I29" s="145" t="n"/>
      <c r="J29" s="145" t="n"/>
      <c r="K29" s="145" t="n"/>
      <c r="L29" s="143">
        <f>IF(A29&lt;&gt;"",J29-K29,0)</f>
        <v/>
      </c>
      <c r="M29" s="21" t="n"/>
      <c r="N29" s="293">
        <f>N7</f>
        <v/>
      </c>
      <c r="O29" s="145">
        <f>O7*F7</f>
        <v/>
      </c>
      <c r="P29" s="145" t="n"/>
      <c r="Q29" s="143">
        <f>IF(A29&lt;&gt;"",O29-P29,0)</f>
        <v/>
      </c>
      <c r="R29" s="21" t="n"/>
      <c r="S29" s="110" t="n"/>
      <c r="T29" s="111" t="n"/>
      <c r="U29" s="143">
        <f>U7*F7</f>
        <v/>
      </c>
      <c r="V29" s="39" t="n"/>
      <c r="W29" s="110">
        <f>IF(A29&lt;&gt;"",O29-S29,0)</f>
        <v/>
      </c>
      <c r="X29" s="111">
        <f>IF(A29&lt;&gt;"",P29-T29,0)</f>
        <v/>
      </c>
      <c r="Y29" s="143">
        <f>IF(A29&lt;&gt;"",W29-X29,0)</f>
        <v/>
      </c>
      <c r="Z29" s="39" t="n"/>
      <c r="AA29" s="110">
        <f>IF(A29&lt;&gt;"",J29-O29,0)</f>
        <v/>
      </c>
      <c r="AB29" s="111">
        <f>IF(A29&lt;&gt;"",K29-P29,0)</f>
        <v/>
      </c>
      <c r="AC29" s="143">
        <f>IF(A29&lt;&gt;"",AA29-AB29,0)</f>
        <v/>
      </c>
      <c r="AE29" s="145" t="n"/>
      <c r="AF29" s="67">
        <f>IF(L29&lt;&gt; "",IF(O29-AE29&gt;=0,O29-AE29,0),0)</f>
        <v/>
      </c>
      <c r="AG29" s="67">
        <f>IF(L29&lt;&gt; "",IF(O29-AE29&lt;=0,O29-AE29,0),0)</f>
        <v/>
      </c>
      <c r="AH29" s="1" t="n"/>
      <c r="AL29" s="1" t="n"/>
      <c r="AM29" s="1" t="n"/>
      <c r="AR29" t="n">
        <v>1</v>
      </c>
      <c r="AS29" s="20" t="inlineStr">
        <is>
          <t>000000000001363E</t>
        </is>
      </c>
    </row>
    <row r="30" ht="13.2" customHeight="1">
      <c r="A30" s="295" t="n">
        <v>551090</v>
      </c>
      <c r="B30" s="295" t="inlineStr">
        <is>
          <t>55.1090.</t>
        </is>
      </c>
      <c r="C30" s="295" t="n"/>
      <c r="D30" s="295" t="inlineStr">
        <is>
          <t>LADWP Silverlake Storage Replacement Project</t>
        </is>
      </c>
      <c r="E30" s="296" t="inlineStr">
        <is>
          <t>Webcor, Obayashi, &amp; Lyles</t>
        </is>
      </c>
      <c r="F30" s="126" t="n">
        <v>0.25</v>
      </c>
      <c r="G30" s="21" t="n"/>
      <c r="H30" s="144" t="n"/>
      <c r="I30" s="145" t="n"/>
      <c r="J30" s="145" t="n"/>
      <c r="K30" s="145" t="n"/>
      <c r="L30" s="143">
        <f>IF(A30&lt;&gt;"",J30-K30,0)</f>
        <v/>
      </c>
      <c r="M30" s="21" t="n"/>
      <c r="N30" s="293">
        <f>N8</f>
        <v/>
      </c>
      <c r="O30" s="145">
        <f>O8*F8</f>
        <v/>
      </c>
      <c r="P30" s="145" t="n"/>
      <c r="Q30" s="143">
        <f>IF(A30&lt;&gt;"",O30-P30,0)</f>
        <v/>
      </c>
      <c r="R30" s="21" t="n"/>
      <c r="S30" s="110" t="n"/>
      <c r="T30" s="111" t="n"/>
      <c r="U30" s="143">
        <f>U8*F8</f>
        <v/>
      </c>
      <c r="V30" s="39" t="n"/>
      <c r="W30" s="110">
        <f>IF(A30&lt;&gt;"",O30-S30,0)</f>
        <v/>
      </c>
      <c r="X30" s="111">
        <f>IF(A30&lt;&gt;"",P30-T30,0)</f>
        <v/>
      </c>
      <c r="Y30" s="143">
        <f>IF(A30&lt;&gt;"",W30-X30,0)</f>
        <v/>
      </c>
      <c r="Z30" s="39" t="n"/>
      <c r="AA30" s="110">
        <f>IF(A30&lt;&gt;"",J30-O30,0)</f>
        <v/>
      </c>
      <c r="AB30" s="111">
        <f>IF(A30&lt;&gt;"",K30-P30,0)</f>
        <v/>
      </c>
      <c r="AC30" s="143">
        <f>IF(A30&lt;&gt;"",AA30-AB30,0)</f>
        <v/>
      </c>
      <c r="AE30" s="145" t="n"/>
      <c r="AF30" s="67">
        <f>IF(L30&lt;&gt; "",IF(O30-AE30&gt;=0,O30-AE30,0),0)</f>
        <v/>
      </c>
      <c r="AG30" s="67">
        <f>IF(L30&lt;&gt; "",IF(O30-AE30&lt;=0,O30-AE30,0),0)</f>
        <v/>
      </c>
      <c r="AH30" s="1" t="n"/>
      <c r="AL30" s="1" t="n"/>
      <c r="AM30" s="1" t="n"/>
      <c r="AR30" t="n">
        <v>1</v>
      </c>
      <c r="AS30" s="20" t="inlineStr">
        <is>
          <t>000000000001340E</t>
        </is>
      </c>
    </row>
    <row r="31" ht="13.2" customHeight="1">
      <c r="A31" s="295" t="n">
        <v>551090</v>
      </c>
      <c r="B31" s="295" t="inlineStr">
        <is>
          <t>55.1090.</t>
        </is>
      </c>
      <c r="C31" s="295" t="n"/>
      <c r="D31" s="295" t="inlineStr">
        <is>
          <t>LADWP Silverlake Storage Replacement Project</t>
        </is>
      </c>
      <c r="E31" s="296" t="inlineStr">
        <is>
          <t>Webcor, Obayashi, &amp; Lyles</t>
        </is>
      </c>
      <c r="F31" s="126" t="n">
        <v>0.25</v>
      </c>
      <c r="G31" s="21" t="n"/>
      <c r="H31" s="144" t="n"/>
      <c r="I31" s="145" t="n"/>
      <c r="J31" s="145" t="n"/>
      <c r="K31" s="145" t="n"/>
      <c r="L31" s="143">
        <f>IF(A31&lt;&gt;"",J31-K31,0)</f>
        <v/>
      </c>
      <c r="M31" s="21" t="n"/>
      <c r="N31" s="293">
        <f>N9</f>
        <v/>
      </c>
      <c r="O31" s="145">
        <f>O9*F9</f>
        <v/>
      </c>
      <c r="P31" s="145" t="n"/>
      <c r="Q31" s="143">
        <f>IF(A31&lt;&gt;"",O31-P31,0)</f>
        <v/>
      </c>
      <c r="R31" s="21" t="n"/>
      <c r="S31" s="110" t="n"/>
      <c r="T31" s="111" t="n"/>
      <c r="U31" s="143">
        <f>U9*F9</f>
        <v/>
      </c>
      <c r="V31" s="39" t="n"/>
      <c r="W31" s="110">
        <f>IF(A31&lt;&gt;"",O31-S31,0)</f>
        <v/>
      </c>
      <c r="X31" s="111">
        <f>IF(A31&lt;&gt;"",P31-T31,0)</f>
        <v/>
      </c>
      <c r="Y31" s="143">
        <f>IF(A31&lt;&gt;"",W31-X31,0)</f>
        <v/>
      </c>
      <c r="Z31" s="39" t="n"/>
      <c r="AA31" s="110">
        <f>IF(A31&lt;&gt;"",J31-O31,0)</f>
        <v/>
      </c>
      <c r="AB31" s="111">
        <f>IF(A31&lt;&gt;"",K31-P31,0)</f>
        <v/>
      </c>
      <c r="AC31" s="143">
        <f>IF(A31&lt;&gt;"",AA31-AB31,0)</f>
        <v/>
      </c>
      <c r="AE31" s="145" t="n"/>
      <c r="AF31" s="67">
        <f>IF(L31&lt;&gt; "",IF(O31-AE31&gt;=0,O31-AE31,0),0)</f>
        <v/>
      </c>
      <c r="AG31" s="67">
        <f>IF(L31&lt;&gt; "",IF(O31-AE31&lt;=0,O31-AE31,0),0)</f>
        <v/>
      </c>
      <c r="AH31" s="1" t="n"/>
      <c r="AL31" s="1" t="n"/>
      <c r="AM31" s="1" t="n"/>
      <c r="AR31" t="n">
        <v>1</v>
      </c>
      <c r="AS31" s="20" t="inlineStr">
        <is>
          <t>0000000000013634</t>
        </is>
      </c>
    </row>
    <row r="32" ht="13.2" customHeight="1">
      <c r="A32" s="295" t="n">
        <v>60604672</v>
      </c>
      <c r="B32" s="295" t="inlineStr">
        <is>
          <t>51.1108.</t>
        </is>
      </c>
      <c r="C32" s="295" t="inlineStr">
        <is>
          <t>51.1109.</t>
        </is>
      </c>
      <c r="D32" s="295" t="inlineStr">
        <is>
          <t>Stockton - RWCF Phase 2A/2B</t>
        </is>
      </c>
      <c r="E32" s="296" t="inlineStr">
        <is>
          <t>AECOM Infrastructure &amp; WML</t>
        </is>
      </c>
      <c r="F32" s="126" t="n">
        <v>0.5</v>
      </c>
      <c r="G32" s="21" t="n"/>
      <c r="H32" s="144" t="n"/>
      <c r="I32" s="145" t="n"/>
      <c r="J32" s="145" t="n"/>
      <c r="K32" s="145" t="n"/>
      <c r="L32" s="143">
        <f>IF(A32&lt;&gt;"",J32-K32,0)</f>
        <v/>
      </c>
      <c r="M32" s="21" t="n"/>
      <c r="N32" s="293">
        <f>N10</f>
        <v/>
      </c>
      <c r="O32" s="145">
        <f>O10*F10</f>
        <v/>
      </c>
      <c r="P32" s="145" t="n"/>
      <c r="Q32" s="143">
        <f>IF(A32&lt;&gt;"",O32-P32,0)</f>
        <v/>
      </c>
      <c r="R32" s="21" t="n"/>
      <c r="S32" s="110" t="n"/>
      <c r="T32" s="111" t="n"/>
      <c r="U32" s="143">
        <f>U10*F10</f>
        <v/>
      </c>
      <c r="V32" s="39" t="n"/>
      <c r="W32" s="110">
        <f>IF(A32&lt;&gt;"",O32-S32,0)</f>
        <v/>
      </c>
      <c r="X32" s="111">
        <f>IF(A32&lt;&gt;"",P32-T32,0)</f>
        <v/>
      </c>
      <c r="Y32" s="143">
        <f>IF(A32&lt;&gt;"",W32-X32,0)</f>
        <v/>
      </c>
      <c r="Z32" s="39" t="n"/>
      <c r="AA32" s="110">
        <f>IF(A32&lt;&gt;"",J32-O32,0)</f>
        <v/>
      </c>
      <c r="AB32" s="111">
        <f>IF(A32&lt;&gt;"",K32-P32,0)</f>
        <v/>
      </c>
      <c r="AC32" s="143">
        <f>IF(A32&lt;&gt;"",AA32-AB32,0)</f>
        <v/>
      </c>
      <c r="AE32" s="145" t="n"/>
      <c r="AF32" s="67">
        <f>IF(L32&lt;&gt; "",IF(O32-AE32&gt;=0,O32-AE32,0),0)</f>
        <v/>
      </c>
      <c r="AG32" s="67">
        <f>IF(L32&lt;&gt; "",IF(O32-AE32&lt;=0,O32-AE32,0),0)</f>
        <v/>
      </c>
      <c r="AH32" s="1" t="n"/>
      <c r="AL32" s="1" t="n"/>
      <c r="AM32" s="1" t="n"/>
      <c r="AR32" t="n">
        <v>2</v>
      </c>
      <c r="AS32" s="20" t="inlineStr">
        <is>
          <t>0000000000013522</t>
        </is>
      </c>
    </row>
    <row r="33" ht="13.2" customHeight="1">
      <c r="A33" s="295" t="n">
        <v>60604672</v>
      </c>
      <c r="B33" s="295" t="inlineStr">
        <is>
          <t>51.1108.</t>
        </is>
      </c>
      <c r="C33" s="295" t="inlineStr">
        <is>
          <t>51.1109.</t>
        </is>
      </c>
      <c r="D33" s="295" t="inlineStr">
        <is>
          <t>Stockton - RWCF Phase 2A/2B</t>
        </is>
      </c>
      <c r="E33" s="296" t="inlineStr">
        <is>
          <t>AECOM Infrastructure &amp; WML</t>
        </is>
      </c>
      <c r="F33" s="126" t="n">
        <v>0.5</v>
      </c>
      <c r="G33" s="21" t="n"/>
      <c r="H33" s="144" t="n"/>
      <c r="I33" s="145" t="n"/>
      <c r="J33" s="145" t="n"/>
      <c r="K33" s="145" t="n"/>
      <c r="L33" s="143">
        <f>IF(A33&lt;&gt;"",J33-K33,0)</f>
        <v/>
      </c>
      <c r="M33" s="21" t="n"/>
      <c r="N33" s="293">
        <f>N11</f>
        <v/>
      </c>
      <c r="O33" s="145">
        <f>O11*F11</f>
        <v/>
      </c>
      <c r="P33" s="145" t="n"/>
      <c r="Q33" s="143">
        <f>IF(A33&lt;&gt;"",O33-P33,0)</f>
        <v/>
      </c>
      <c r="R33" s="21" t="n"/>
      <c r="S33" s="110" t="n"/>
      <c r="T33" s="111" t="n"/>
      <c r="U33" s="143">
        <f>U11*F11</f>
        <v/>
      </c>
      <c r="V33" s="39" t="n"/>
      <c r="W33" s="110">
        <f>IF(A33&lt;&gt;"",O33-S33,0)</f>
        <v/>
      </c>
      <c r="X33" s="111">
        <f>IF(A33&lt;&gt;"",P33-T33,0)</f>
        <v/>
      </c>
      <c r="Y33" s="143">
        <f>IF(A33&lt;&gt;"",W33-X33,0)</f>
        <v/>
      </c>
      <c r="Z33" s="39" t="n"/>
      <c r="AA33" s="110">
        <f>IF(A33&lt;&gt;"",J33-O33,0)</f>
        <v/>
      </c>
      <c r="AB33" s="111">
        <f>IF(A33&lt;&gt;"",K33-P33,0)</f>
        <v/>
      </c>
      <c r="AC33" s="143">
        <f>IF(A33&lt;&gt;"",AA33-AB33,0)</f>
        <v/>
      </c>
      <c r="AE33" s="145" t="n"/>
      <c r="AF33" s="67">
        <f>IF(L33&lt;&gt; "",IF(O33-AE33&gt;=0,O33-AE33,0),0)</f>
        <v/>
      </c>
      <c r="AG33" s="67">
        <f>IF(L33&lt;&gt; "",IF(O33-AE33&lt;=0,O33-AE33,0),0)</f>
        <v/>
      </c>
      <c r="AH33" s="1" t="n"/>
      <c r="AL33" s="1" t="n"/>
      <c r="AM33" s="1" t="n"/>
      <c r="AR33" t="n">
        <v>2</v>
      </c>
      <c r="AS33" s="20" t="inlineStr">
        <is>
          <t>0000000000013649</t>
        </is>
      </c>
    </row>
    <row r="34" ht="13.2" customHeight="1">
      <c r="A34" s="295" t="n">
        <v>60604672</v>
      </c>
      <c r="B34" s="295" t="inlineStr">
        <is>
          <t>51.1108.</t>
        </is>
      </c>
      <c r="C34" s="295" t="inlineStr">
        <is>
          <t>51.1109.</t>
        </is>
      </c>
      <c r="D34" s="295" t="inlineStr">
        <is>
          <t>Stockton - RWCF Phase 2A/2B</t>
        </is>
      </c>
      <c r="E34" s="296" t="inlineStr">
        <is>
          <t>AECOM Infrastructure &amp; WML</t>
        </is>
      </c>
      <c r="F34" s="126" t="n">
        <v>0.5</v>
      </c>
      <c r="G34" s="21" t="n"/>
      <c r="H34" s="144" t="n"/>
      <c r="I34" s="145" t="n"/>
      <c r="J34" s="145" t="n"/>
      <c r="K34" s="145" t="n"/>
      <c r="L34" s="143">
        <f>IF(A34&lt;&gt;"",J34-K34,0)</f>
        <v/>
      </c>
      <c r="M34" s="21" t="n"/>
      <c r="N34" s="293">
        <f>N12</f>
        <v/>
      </c>
      <c r="O34" s="145">
        <f>O12*F12</f>
        <v/>
      </c>
      <c r="P34" s="145" t="n"/>
      <c r="Q34" s="143">
        <f>IF(A34&lt;&gt;"",O34-P34,0)</f>
        <v/>
      </c>
      <c r="R34" s="21" t="n"/>
      <c r="S34" s="110" t="n"/>
      <c r="T34" s="111" t="n"/>
      <c r="U34" s="143">
        <f>U12*F12</f>
        <v/>
      </c>
      <c r="V34" s="39" t="n"/>
      <c r="W34" s="110">
        <f>IF(A34&lt;&gt;"",O34-S34,0)</f>
        <v/>
      </c>
      <c r="X34" s="111">
        <f>IF(A34&lt;&gt;"",P34-T34,0)</f>
        <v/>
      </c>
      <c r="Y34" s="143">
        <f>IF(A34&lt;&gt;"",W34-X34,0)</f>
        <v/>
      </c>
      <c r="Z34" s="39" t="n"/>
      <c r="AA34" s="110">
        <f>IF(A34&lt;&gt;"",J34-O34,0)</f>
        <v/>
      </c>
      <c r="AB34" s="111">
        <f>IF(A34&lt;&gt;"",K34-P34,0)</f>
        <v/>
      </c>
      <c r="AC34" s="143">
        <f>IF(A34&lt;&gt;"",AA34-AB34,0)</f>
        <v/>
      </c>
      <c r="AE34" s="145" t="n"/>
      <c r="AF34" s="67">
        <f>IF(L34&lt;&gt; "",IF(O34-AE34&gt;=0,O34-AE34,0),0)</f>
        <v/>
      </c>
      <c r="AG34" s="67">
        <f>IF(L34&lt;&gt; "",IF(O34-AE34&lt;=0,O34-AE34,0),0)</f>
        <v/>
      </c>
      <c r="AH34" s="1" t="n"/>
      <c r="AL34" s="1" t="n"/>
      <c r="AM34" s="1" t="n"/>
      <c r="AR34" t="n">
        <v>2</v>
      </c>
      <c r="AS34" s="20" t="inlineStr">
        <is>
          <t>000000000001363F</t>
        </is>
      </c>
    </row>
    <row r="35" ht="13.2" customHeight="1">
      <c r="A35" s="295" t="n">
        <v>60604672</v>
      </c>
      <c r="B35" s="295" t="inlineStr">
        <is>
          <t>51.1108.</t>
        </is>
      </c>
      <c r="C35" s="295" t="inlineStr">
        <is>
          <t>51.1109.</t>
        </is>
      </c>
      <c r="D35" s="295" t="inlineStr">
        <is>
          <t>Stockton - RWCF Phase 2A/2B</t>
        </is>
      </c>
      <c r="E35" s="296" t="inlineStr">
        <is>
          <t>AECOM Infrastructure &amp; WML</t>
        </is>
      </c>
      <c r="F35" s="126" t="n">
        <v>0.5</v>
      </c>
      <c r="G35" s="21" t="n"/>
      <c r="H35" s="144" t="n"/>
      <c r="I35" s="145" t="n"/>
      <c r="J35" s="145" t="n"/>
      <c r="K35" s="145" t="n"/>
      <c r="L35" s="143">
        <f>IF(A35&lt;&gt;"",J35-K35,0)</f>
        <v/>
      </c>
      <c r="M35" s="21" t="n"/>
      <c r="N35" s="293">
        <f>N13</f>
        <v/>
      </c>
      <c r="O35" s="145">
        <f>O13*F13</f>
        <v/>
      </c>
      <c r="P35" s="145" t="n"/>
      <c r="Q35" s="143">
        <f>IF(A35&lt;&gt;"",O35-P35,0)</f>
        <v/>
      </c>
      <c r="R35" s="21" t="n"/>
      <c r="S35" s="110" t="n"/>
      <c r="T35" s="111" t="n"/>
      <c r="U35" s="143">
        <f>U13*F13</f>
        <v/>
      </c>
      <c r="V35" s="39" t="n"/>
      <c r="W35" s="110">
        <f>IF(A35&lt;&gt;"",O35-S35,0)</f>
        <v/>
      </c>
      <c r="X35" s="111">
        <f>IF(A35&lt;&gt;"",P35-T35,0)</f>
        <v/>
      </c>
      <c r="Y35" s="143">
        <f>IF(A35&lt;&gt;"",W35-X35,0)</f>
        <v/>
      </c>
      <c r="Z35" s="39" t="n"/>
      <c r="AA35" s="110">
        <f>IF(A35&lt;&gt;"",J35-O35,0)</f>
        <v/>
      </c>
      <c r="AB35" s="111">
        <f>IF(A35&lt;&gt;"",K35-P35,0)</f>
        <v/>
      </c>
      <c r="AC35" s="143">
        <f>IF(A35&lt;&gt;"",AA35-AB35,0)</f>
        <v/>
      </c>
      <c r="AE35" s="145" t="n"/>
      <c r="AF35" s="67">
        <f>IF(L35&lt;&gt; "",IF(O35-AE35&gt;=0,O35-AE35,0),0)</f>
        <v/>
      </c>
      <c r="AG35" s="67">
        <f>IF(L35&lt;&gt; "",IF(O35-AE35&lt;=0,O35-AE35,0),0)</f>
        <v/>
      </c>
      <c r="AH35" s="1" t="n"/>
      <c r="AL35" s="1" t="n"/>
      <c r="AM35" s="1" t="n"/>
      <c r="AR35" t="n">
        <v>2</v>
      </c>
      <c r="AS35" s="20" t="inlineStr">
        <is>
          <t>000000000001340F</t>
        </is>
      </c>
    </row>
    <row r="36" ht="13.2" customHeight="1">
      <c r="A36" s="295" t="n">
        <v>60604672</v>
      </c>
      <c r="B36" s="295" t="inlineStr">
        <is>
          <t>51.1108.</t>
        </is>
      </c>
      <c r="C36" s="295" t="inlineStr">
        <is>
          <t>51.1109.</t>
        </is>
      </c>
      <c r="D36" s="295" t="inlineStr">
        <is>
          <t>Stockton - RWCF Phase 2A/2B</t>
        </is>
      </c>
      <c r="E36" s="296" t="inlineStr">
        <is>
          <t>AECOM Infrastructure &amp; WML</t>
        </is>
      </c>
      <c r="F36" s="126" t="n">
        <v>0.5</v>
      </c>
      <c r="G36" s="21" t="n"/>
      <c r="H36" s="144" t="n"/>
      <c r="I36" s="145" t="n"/>
      <c r="J36" s="145" t="n"/>
      <c r="K36" s="145" t="n"/>
      <c r="L36" s="143">
        <f>IF(A36&lt;&gt;"",J36-K36,0)</f>
        <v/>
      </c>
      <c r="M36" s="21" t="n"/>
      <c r="N36" s="293">
        <f>N14</f>
        <v/>
      </c>
      <c r="O36" s="145">
        <f>O14*F14</f>
        <v/>
      </c>
      <c r="P36" s="145" t="n"/>
      <c r="Q36" s="143">
        <f>IF(A36&lt;&gt;"",O36-P36,0)</f>
        <v/>
      </c>
      <c r="R36" s="21" t="n"/>
      <c r="S36" s="110" t="n"/>
      <c r="T36" s="111" t="n"/>
      <c r="U36" s="143">
        <f>U14*F14</f>
        <v/>
      </c>
      <c r="V36" s="39" t="n"/>
      <c r="W36" s="110">
        <f>IF(A36&lt;&gt;"",O36-S36,0)</f>
        <v/>
      </c>
      <c r="X36" s="111">
        <f>IF(A36&lt;&gt;"",P36-T36,0)</f>
        <v/>
      </c>
      <c r="Y36" s="143">
        <f>IF(A36&lt;&gt;"",W36-X36,0)</f>
        <v/>
      </c>
      <c r="Z36" s="39" t="n"/>
      <c r="AA36" s="110">
        <f>IF(A36&lt;&gt;"",J36-O36,0)</f>
        <v/>
      </c>
      <c r="AB36" s="111">
        <f>IF(A36&lt;&gt;"",K36-P36,0)</f>
        <v/>
      </c>
      <c r="AC36" s="143">
        <f>IF(A36&lt;&gt;"",AA36-AB36,0)</f>
        <v/>
      </c>
      <c r="AE36" s="145" t="n"/>
      <c r="AF36" s="67">
        <f>IF(L36&lt;&gt; "",IF(O36-AE36&gt;=0,O36-AE36,0),0)</f>
        <v/>
      </c>
      <c r="AG36" s="67">
        <f>IF(L36&lt;&gt; "",IF(O36-AE36&lt;=0,O36-AE36,0),0)</f>
        <v/>
      </c>
      <c r="AH36" s="1" t="n"/>
      <c r="AL36" s="1" t="n"/>
      <c r="AM36" s="1" t="n"/>
      <c r="AR36" t="n">
        <v>2</v>
      </c>
      <c r="AS36" s="20" t="inlineStr">
        <is>
          <t>0000000000013635</t>
        </is>
      </c>
    </row>
    <row r="37" ht="13.2" customHeight="1">
      <c r="A37" s="295" t="n">
        <v>60604672</v>
      </c>
      <c r="B37" s="295" t="inlineStr">
        <is>
          <t>51.1108.</t>
        </is>
      </c>
      <c r="C37" s="295" t="inlineStr">
        <is>
          <t>51.1109.</t>
        </is>
      </c>
      <c r="D37" s="295" t="inlineStr">
        <is>
          <t>Stockton - RWCF Phase 2A/2B</t>
        </is>
      </c>
      <c r="E37" s="296" t="inlineStr">
        <is>
          <t>AECOM Infrastructure &amp; WML</t>
        </is>
      </c>
      <c r="F37" s="126" t="n">
        <v>0.5</v>
      </c>
      <c r="G37" s="21" t="n"/>
      <c r="H37" s="144" t="n"/>
      <c r="I37" s="145" t="n"/>
      <c r="J37" s="145" t="n"/>
      <c r="K37" s="145" t="n"/>
      <c r="L37" s="143">
        <f>IF(A37&lt;&gt;"",J37-K37,0)</f>
        <v/>
      </c>
      <c r="M37" s="21" t="n"/>
      <c r="N37" s="293">
        <f>N15</f>
        <v/>
      </c>
      <c r="O37" s="145">
        <f>O15*F15</f>
        <v/>
      </c>
      <c r="P37" s="145" t="n"/>
      <c r="Q37" s="143">
        <f>IF(A37&lt;&gt;"",O37-P37,0)</f>
        <v/>
      </c>
      <c r="R37" s="21" t="n"/>
      <c r="S37" s="110" t="n"/>
      <c r="T37" s="111" t="n"/>
      <c r="U37" s="143">
        <f>U15*F15</f>
        <v/>
      </c>
      <c r="V37" s="39" t="n"/>
      <c r="W37" s="110">
        <f>IF(A37&lt;&gt;"",O37-S37,0)</f>
        <v/>
      </c>
      <c r="X37" s="111">
        <f>IF(A37&lt;&gt;"",P37-T37,0)</f>
        <v/>
      </c>
      <c r="Y37" s="143">
        <f>IF(A37&lt;&gt;"",W37-X37,0)</f>
        <v/>
      </c>
      <c r="Z37" s="39" t="n"/>
      <c r="AA37" s="110">
        <f>IF(A37&lt;&gt;"",J37-O37,0)</f>
        <v/>
      </c>
      <c r="AB37" s="111">
        <f>IF(A37&lt;&gt;"",K37-P37,0)</f>
        <v/>
      </c>
      <c r="AC37" s="143">
        <f>IF(A37&lt;&gt;"",AA37-AB37,0)</f>
        <v/>
      </c>
      <c r="AE37" s="145" t="n"/>
      <c r="AF37" s="67">
        <f>IF(L37&lt;&gt; "",IF(O37-AE37&gt;=0,O37-AE37,0),0)</f>
        <v/>
      </c>
      <c r="AG37" s="67">
        <f>IF(L37&lt;&gt; "",IF(O37-AE37&lt;=0,O37-AE37,0),0)</f>
        <v/>
      </c>
      <c r="AH37" s="1" t="n"/>
      <c r="AL37" s="1" t="n"/>
      <c r="AM37" s="1" t="n"/>
      <c r="AR37" t="n">
        <v>2</v>
      </c>
      <c r="AS37" s="20" t="inlineStr">
        <is>
          <t>0000000000013522</t>
        </is>
      </c>
    </row>
    <row r="38" ht="13.2" customHeight="1">
      <c r="A38" s="295" t="n">
        <v>60604672</v>
      </c>
      <c r="B38" s="295" t="inlineStr">
        <is>
          <t>51.1108.</t>
        </is>
      </c>
      <c r="C38" s="295" t="inlineStr">
        <is>
          <t>51.1109.</t>
        </is>
      </c>
      <c r="D38" s="295" t="inlineStr">
        <is>
          <t>Stockton - RWCF Phase 2A/2B</t>
        </is>
      </c>
      <c r="E38" s="296" t="inlineStr">
        <is>
          <t>AECOM Infrastructure &amp; WML</t>
        </is>
      </c>
      <c r="F38" s="126" t="n">
        <v>0.5</v>
      </c>
      <c r="G38" s="21" t="n"/>
      <c r="H38" s="144" t="n"/>
      <c r="I38" s="145" t="n"/>
      <c r="J38" s="145" t="n"/>
      <c r="K38" s="145" t="n"/>
      <c r="L38" s="143">
        <f>IF(A38&lt;&gt;"",J38-K38,0)</f>
        <v/>
      </c>
      <c r="M38" s="21" t="n"/>
      <c r="N38" s="293">
        <f>N16</f>
        <v/>
      </c>
      <c r="O38" s="145">
        <f>O16*F16</f>
        <v/>
      </c>
      <c r="P38" s="145" t="n"/>
      <c r="Q38" s="143">
        <f>IF(A38&lt;&gt;"",O38-P38,0)</f>
        <v/>
      </c>
      <c r="R38" s="21" t="n"/>
      <c r="S38" s="110" t="n"/>
      <c r="T38" s="111" t="n"/>
      <c r="U38" s="143">
        <f>U16*F16</f>
        <v/>
      </c>
      <c r="V38" s="39" t="n"/>
      <c r="W38" s="110">
        <f>IF(A38&lt;&gt;"",O38-S38,0)</f>
        <v/>
      </c>
      <c r="X38" s="111">
        <f>IF(A38&lt;&gt;"",P38-T38,0)</f>
        <v/>
      </c>
      <c r="Y38" s="143">
        <f>IF(A38&lt;&gt;"",W38-X38,0)</f>
        <v/>
      </c>
      <c r="Z38" s="39" t="n"/>
      <c r="AA38" s="110">
        <f>IF(A38&lt;&gt;"",J38-O38,0)</f>
        <v/>
      </c>
      <c r="AB38" s="111">
        <f>IF(A38&lt;&gt;"",K38-P38,0)</f>
        <v/>
      </c>
      <c r="AC38" s="143">
        <f>IF(A38&lt;&gt;"",AA38-AB38,0)</f>
        <v/>
      </c>
      <c r="AE38" s="145" t="n"/>
      <c r="AF38" s="67">
        <f>IF(L38&lt;&gt; "",IF(O38-AE38&gt;=0,O38-AE38,0),0)</f>
        <v/>
      </c>
      <c r="AG38" s="67">
        <f>IF(L38&lt;&gt; "",IF(O38-AE38&lt;=0,O38-AE38,0),0)</f>
        <v/>
      </c>
      <c r="AH38" s="1" t="n"/>
      <c r="AL38" s="1" t="n"/>
      <c r="AM38" s="1" t="n"/>
      <c r="AR38" t="n">
        <v>2</v>
      </c>
      <c r="AS38" s="20" t="inlineStr">
        <is>
          <t>0000000000013649</t>
        </is>
      </c>
    </row>
    <row r="39" ht="13.2" customHeight="1">
      <c r="A39" s="295" t="n">
        <v>60604672</v>
      </c>
      <c r="B39" s="295" t="inlineStr">
        <is>
          <t>51.1108.</t>
        </is>
      </c>
      <c r="C39" s="295" t="inlineStr">
        <is>
          <t>51.1109.</t>
        </is>
      </c>
      <c r="D39" s="295" t="inlineStr">
        <is>
          <t>Stockton - RWCF Phase 2A/2B</t>
        </is>
      </c>
      <c r="E39" s="296" t="inlineStr">
        <is>
          <t>AECOM Infrastructure &amp; WML</t>
        </is>
      </c>
      <c r="F39" s="126" t="n">
        <v>0.5</v>
      </c>
      <c r="G39" s="21" t="n"/>
      <c r="H39" s="144" t="n"/>
      <c r="I39" s="145" t="n"/>
      <c r="J39" s="145" t="n"/>
      <c r="K39" s="145" t="n"/>
      <c r="L39" s="143">
        <f>IF(A39&lt;&gt;"",J39-K39,0)</f>
        <v/>
      </c>
      <c r="M39" s="21" t="n"/>
      <c r="N39" s="293">
        <f>N17</f>
        <v/>
      </c>
      <c r="O39" s="145">
        <f>O17*F17</f>
        <v/>
      </c>
      <c r="P39" s="145" t="n"/>
      <c r="Q39" s="143">
        <f>IF(A39&lt;&gt;"",O39-P39,0)</f>
        <v/>
      </c>
      <c r="R39" s="21" t="n"/>
      <c r="S39" s="110" t="n"/>
      <c r="T39" s="111" t="n"/>
      <c r="U39" s="143">
        <f>U17*F17</f>
        <v/>
      </c>
      <c r="V39" s="39" t="n"/>
      <c r="W39" s="110">
        <f>IF(A39&lt;&gt;"",O39-S39,0)</f>
        <v/>
      </c>
      <c r="X39" s="111">
        <f>IF(A39&lt;&gt;"",P39-T39,0)</f>
        <v/>
      </c>
      <c r="Y39" s="143">
        <f>IF(A39&lt;&gt;"",W39-X39,0)</f>
        <v/>
      </c>
      <c r="Z39" s="39" t="n"/>
      <c r="AA39" s="110">
        <f>IF(A39&lt;&gt;"",J39-O39,0)</f>
        <v/>
      </c>
      <c r="AB39" s="111">
        <f>IF(A39&lt;&gt;"",K39-P39,0)</f>
        <v/>
      </c>
      <c r="AC39" s="143">
        <f>IF(A39&lt;&gt;"",AA39-AB39,0)</f>
        <v/>
      </c>
      <c r="AE39" s="145" t="n"/>
      <c r="AF39" s="67">
        <f>IF(L39&lt;&gt; "",IF(O39-AE39&gt;=0,O39-AE39,0),0)</f>
        <v/>
      </c>
      <c r="AG39" s="67">
        <f>IF(L39&lt;&gt; "",IF(O39-AE39&lt;=0,O39-AE39,0),0)</f>
        <v/>
      </c>
      <c r="AH39" s="1" t="n"/>
      <c r="AL39" s="1" t="n"/>
      <c r="AM39" s="1" t="n"/>
      <c r="AR39" t="n">
        <v>2</v>
      </c>
      <c r="AS39" s="20" t="inlineStr">
        <is>
          <t>000000000001363F</t>
        </is>
      </c>
    </row>
    <row r="40" ht="13.2" customHeight="1">
      <c r="A40" s="295" t="n">
        <v>60604672</v>
      </c>
      <c r="B40" s="295" t="inlineStr">
        <is>
          <t>51.1108.</t>
        </is>
      </c>
      <c r="C40" s="295" t="inlineStr">
        <is>
          <t>51.1109.</t>
        </is>
      </c>
      <c r="D40" s="295" t="inlineStr">
        <is>
          <t>Stockton - RWCF Phase 2A/2B</t>
        </is>
      </c>
      <c r="E40" s="296" t="inlineStr">
        <is>
          <t>AECOM Infrastructure &amp; WML</t>
        </is>
      </c>
      <c r="F40" s="126" t="n">
        <v>0.5</v>
      </c>
      <c r="G40" s="21" t="n"/>
      <c r="H40" s="144" t="n"/>
      <c r="I40" s="145" t="n"/>
      <c r="J40" s="145" t="n"/>
      <c r="K40" s="145" t="n"/>
      <c r="L40" s="143">
        <f>IF(A40&lt;&gt;"",J40-K40,0)</f>
        <v/>
      </c>
      <c r="M40" s="21" t="n"/>
      <c r="N40" s="293">
        <f>N18</f>
        <v/>
      </c>
      <c r="O40" s="145">
        <f>O18*F18</f>
        <v/>
      </c>
      <c r="P40" s="145" t="n"/>
      <c r="Q40" s="143">
        <f>IF(A40&lt;&gt;"",O40-P40,0)</f>
        <v/>
      </c>
      <c r="R40" s="21" t="n"/>
      <c r="S40" s="110" t="n"/>
      <c r="T40" s="111" t="n"/>
      <c r="U40" s="143">
        <f>U18*F18</f>
        <v/>
      </c>
      <c r="V40" s="39" t="n"/>
      <c r="W40" s="110">
        <f>IF(A40&lt;&gt;"",O40-S40,0)</f>
        <v/>
      </c>
      <c r="X40" s="111">
        <f>IF(A40&lt;&gt;"",P40-T40,0)</f>
        <v/>
      </c>
      <c r="Y40" s="143">
        <f>IF(A40&lt;&gt;"",W40-X40,0)</f>
        <v/>
      </c>
      <c r="Z40" s="39" t="n"/>
      <c r="AA40" s="110">
        <f>IF(A40&lt;&gt;"",J40-O40,0)</f>
        <v/>
      </c>
      <c r="AB40" s="111">
        <f>IF(A40&lt;&gt;"",K40-P40,0)</f>
        <v/>
      </c>
      <c r="AC40" s="143">
        <f>IF(A40&lt;&gt;"",AA40-AB40,0)</f>
        <v/>
      </c>
      <c r="AE40" s="145" t="n"/>
      <c r="AF40" s="67">
        <f>IF(L40&lt;&gt; "",IF(O40-AE40&gt;=0,O40-AE40,0),0)</f>
        <v/>
      </c>
      <c r="AG40" s="67">
        <f>IF(L40&lt;&gt; "",IF(O40-AE40&lt;=0,O40-AE40,0),0)</f>
        <v/>
      </c>
      <c r="AH40" s="1" t="n"/>
      <c r="AL40" s="1" t="n"/>
      <c r="AM40" s="1" t="n"/>
      <c r="AR40" t="n">
        <v>2</v>
      </c>
      <c r="AS40" s="20" t="inlineStr">
        <is>
          <t>000000000001340F</t>
        </is>
      </c>
    </row>
    <row r="41" ht="13.2" customHeight="1">
      <c r="A41" s="295" t="n">
        <v>60604672</v>
      </c>
      <c r="B41" s="295" t="inlineStr">
        <is>
          <t>51.1108.</t>
        </is>
      </c>
      <c r="C41" s="295" t="inlineStr">
        <is>
          <t>51.1109.</t>
        </is>
      </c>
      <c r="D41" s="295" t="inlineStr">
        <is>
          <t>Stockton - RWCF Phase 2A/2B</t>
        </is>
      </c>
      <c r="E41" s="296" t="inlineStr">
        <is>
          <t>AECOM Infrastructure &amp; WML</t>
        </is>
      </c>
      <c r="F41" s="126" t="n">
        <v>0.5</v>
      </c>
      <c r="G41" s="21" t="n"/>
      <c r="H41" s="144" t="n"/>
      <c r="I41" s="145" t="n"/>
      <c r="J41" s="145" t="n"/>
      <c r="K41" s="145" t="n"/>
      <c r="L41" s="143">
        <f>IF(A41&lt;&gt;"",J41-K41,0)</f>
        <v/>
      </c>
      <c r="M41" s="21" t="n"/>
      <c r="N41" s="293">
        <f>N19</f>
        <v/>
      </c>
      <c r="O41" s="145">
        <f>O19*F19</f>
        <v/>
      </c>
      <c r="P41" s="145" t="n"/>
      <c r="Q41" s="143">
        <f>IF(A41&lt;&gt;"",O41-P41,0)</f>
        <v/>
      </c>
      <c r="R41" s="21" t="n"/>
      <c r="S41" s="110" t="n"/>
      <c r="T41" s="111" t="n"/>
      <c r="U41" s="143">
        <f>U19*F19</f>
        <v/>
      </c>
      <c r="V41" s="39" t="n"/>
      <c r="W41" s="110">
        <f>IF(A41&lt;&gt;"",O41-S41,0)</f>
        <v/>
      </c>
      <c r="X41" s="111">
        <f>IF(A41&lt;&gt;"",P41-T41,0)</f>
        <v/>
      </c>
      <c r="Y41" s="143">
        <f>IF(A41&lt;&gt;"",W41-X41,0)</f>
        <v/>
      </c>
      <c r="Z41" s="39" t="n"/>
      <c r="AA41" s="110">
        <f>IF(A41&lt;&gt;"",J41-O41,0)</f>
        <v/>
      </c>
      <c r="AB41" s="111">
        <f>IF(A41&lt;&gt;"",K41-P41,0)</f>
        <v/>
      </c>
      <c r="AC41" s="143">
        <f>IF(A41&lt;&gt;"",AA41-AB41,0)</f>
        <v/>
      </c>
      <c r="AE41" s="145" t="n"/>
      <c r="AF41" s="67">
        <f>IF(L41&lt;&gt; "",IF(O41-AE41&gt;=0,O41-AE41,0),0)</f>
        <v/>
      </c>
      <c r="AG41" s="67">
        <f>IF(L41&lt;&gt; "",IF(O41-AE41&lt;=0,O41-AE41,0),0)</f>
        <v/>
      </c>
      <c r="AH41" s="1" t="n"/>
      <c r="AL41" s="1" t="n"/>
      <c r="AM41" s="1" t="n"/>
      <c r="AR41" t="n">
        <v>2</v>
      </c>
      <c r="AS41" s="20" t="inlineStr">
        <is>
          <t>0000000000013635</t>
        </is>
      </c>
    </row>
    <row r="42" ht="13.2" customHeight="1">
      <c r="A42" s="295" t="n">
        <v>60604672</v>
      </c>
      <c r="B42" s="295" t="inlineStr">
        <is>
          <t>51.1108.</t>
        </is>
      </c>
      <c r="C42" s="295" t="inlineStr">
        <is>
          <t>51.1109.</t>
        </is>
      </c>
      <c r="D42" s="295" t="inlineStr">
        <is>
          <t>Stockton - RWCF Phase 2A/2B</t>
        </is>
      </c>
      <c r="E42" s="296" t="inlineStr">
        <is>
          <t>AECOM Infrastructure &amp; WML</t>
        </is>
      </c>
      <c r="F42" s="126" t="n">
        <v>0.5</v>
      </c>
      <c r="G42" s="21" t="n"/>
      <c r="H42" s="144" t="n"/>
      <c r="I42" s="145" t="n"/>
      <c r="J42" s="145" t="n"/>
      <c r="K42" s="145" t="n"/>
      <c r="L42" s="143">
        <f>IF(A42&lt;&gt;"",J42-K42,0)</f>
        <v/>
      </c>
      <c r="M42" s="21" t="n"/>
      <c r="N42" s="293">
        <f>N20</f>
        <v/>
      </c>
      <c r="O42" s="145">
        <f>O20*F20</f>
        <v/>
      </c>
      <c r="P42" s="145" t="n"/>
      <c r="Q42" s="143">
        <f>IF(A42&lt;&gt;"",O42-P42,0)</f>
        <v/>
      </c>
      <c r="R42" s="21" t="n"/>
      <c r="S42" s="110" t="n"/>
      <c r="T42" s="111" t="n"/>
      <c r="U42" s="143">
        <f>U20*F20</f>
        <v/>
      </c>
      <c r="V42" s="39" t="n"/>
      <c r="W42" s="110">
        <f>IF(A42&lt;&gt;"",O42-S42,0)</f>
        <v/>
      </c>
      <c r="X42" s="111">
        <f>IF(A42&lt;&gt;"",P42-T42,0)</f>
        <v/>
      </c>
      <c r="Y42" s="143">
        <f>IF(A42&lt;&gt;"",W42-X42,0)</f>
        <v/>
      </c>
      <c r="Z42" s="39" t="n"/>
      <c r="AA42" s="110">
        <f>IF(A42&lt;&gt;"",J42-O42,0)</f>
        <v/>
      </c>
      <c r="AB42" s="111">
        <f>IF(A42&lt;&gt;"",K42-P42,0)</f>
        <v/>
      </c>
      <c r="AC42" s="143">
        <f>IF(A42&lt;&gt;"",AA42-AB42,0)</f>
        <v/>
      </c>
      <c r="AE42" s="145" t="n"/>
      <c r="AF42" s="67">
        <f>IF(L42&lt;&gt; "",IF(O42-AE42&gt;=0,O42-AE42,0),0)</f>
        <v/>
      </c>
      <c r="AG42" s="67">
        <f>IF(L42&lt;&gt; "",IF(O42-AE42&lt;=0,O42-AE42,0),0)</f>
        <v/>
      </c>
      <c r="AH42" s="1" t="n"/>
      <c r="AL42" s="1" t="n"/>
      <c r="AM42" s="1" t="n"/>
      <c r="AR42" t="n">
        <v>2</v>
      </c>
      <c r="AS42" s="20" t="inlineStr">
        <is>
          <t>0000000000013522</t>
        </is>
      </c>
    </row>
    <row r="43" ht="13.2" customHeight="1">
      <c r="A43" s="295" t="n">
        <v>60604672</v>
      </c>
      <c r="B43" s="295" t="inlineStr">
        <is>
          <t>51.1108.</t>
        </is>
      </c>
      <c r="C43" s="295" t="inlineStr">
        <is>
          <t>51.1109.</t>
        </is>
      </c>
      <c r="D43" s="295" t="inlineStr">
        <is>
          <t>Stockton - RWCF Phase 2A/2B</t>
        </is>
      </c>
      <c r="E43" s="296" t="inlineStr">
        <is>
          <t>AECOM Infrastructure &amp; WML</t>
        </is>
      </c>
      <c r="F43" s="126" t="n">
        <v>0.5</v>
      </c>
      <c r="G43" s="21" t="n"/>
      <c r="H43" s="144" t="n"/>
      <c r="I43" s="145" t="n"/>
      <c r="J43" s="145" t="n"/>
      <c r="K43" s="145" t="n"/>
      <c r="L43" s="143">
        <f>IF(A43&lt;&gt;"",J43-K43,0)</f>
        <v/>
      </c>
      <c r="M43" s="21" t="n"/>
      <c r="N43" s="293">
        <f>N21</f>
        <v/>
      </c>
      <c r="O43" s="145">
        <f>O21*F21</f>
        <v/>
      </c>
      <c r="P43" s="145" t="n"/>
      <c r="Q43" s="143">
        <f>IF(A43&lt;&gt;"",O43-P43,0)</f>
        <v/>
      </c>
      <c r="R43" s="21" t="n"/>
      <c r="S43" s="110" t="n"/>
      <c r="T43" s="111" t="n"/>
      <c r="U43" s="143">
        <f>U21*F21</f>
        <v/>
      </c>
      <c r="V43" s="39" t="n"/>
      <c r="W43" s="110">
        <f>IF(A43&lt;&gt;"",O43-S43,0)</f>
        <v/>
      </c>
      <c r="X43" s="111">
        <f>IF(A43&lt;&gt;"",P43-T43,0)</f>
        <v/>
      </c>
      <c r="Y43" s="143">
        <f>IF(A43&lt;&gt;"",W43-X43,0)</f>
        <v/>
      </c>
      <c r="Z43" s="39" t="n"/>
      <c r="AA43" s="110">
        <f>IF(A43&lt;&gt;"",J43-O43,0)</f>
        <v/>
      </c>
      <c r="AB43" s="111">
        <f>IF(A43&lt;&gt;"",K43-P43,0)</f>
        <v/>
      </c>
      <c r="AC43" s="143">
        <f>IF(A43&lt;&gt;"",AA43-AB43,0)</f>
        <v/>
      </c>
      <c r="AE43" s="145" t="n"/>
      <c r="AF43" s="67">
        <f>IF(L43&lt;&gt; "",IF(O43-AE43&gt;=0,O43-AE43,0),0)</f>
        <v/>
      </c>
      <c r="AG43" s="67">
        <f>IF(L43&lt;&gt; "",IF(O43-AE43&lt;=0,O43-AE43,0),0)</f>
        <v/>
      </c>
      <c r="AH43" s="1" t="n"/>
      <c r="AL43" s="1" t="n"/>
      <c r="AM43" s="1" t="n"/>
      <c r="AR43" t="n">
        <v>2</v>
      </c>
      <c r="AS43" s="20" t="inlineStr">
        <is>
          <t>0000000000013649</t>
        </is>
      </c>
    </row>
    <row r="44" ht="13.2" customHeight="1">
      <c r="A44" s="295" t="n">
        <v>60604672</v>
      </c>
      <c r="B44" s="295" t="inlineStr">
        <is>
          <t>51.1108.</t>
        </is>
      </c>
      <c r="C44" s="295" t="inlineStr">
        <is>
          <t>51.1109.</t>
        </is>
      </c>
      <c r="D44" s="295" t="inlineStr">
        <is>
          <t>Stockton - RWCF Phase 2A/2B</t>
        </is>
      </c>
      <c r="E44" s="296" t="inlineStr">
        <is>
          <t>AECOM Infrastructure &amp; WML</t>
        </is>
      </c>
      <c r="F44" s="126" t="n">
        <v>0.5</v>
      </c>
      <c r="G44" s="21" t="n"/>
      <c r="H44" s="144" t="n"/>
      <c r="I44" s="145" t="n"/>
      <c r="J44" s="145" t="n"/>
      <c r="K44" s="145" t="n"/>
      <c r="L44" s="143">
        <f>IF(A44&lt;&gt;"",J44-K44,0)</f>
        <v/>
      </c>
      <c r="M44" s="21" t="n"/>
      <c r="N44" s="293">
        <f>N22</f>
        <v/>
      </c>
      <c r="O44" s="145">
        <f>O22*F22</f>
        <v/>
      </c>
      <c r="P44" s="145" t="n"/>
      <c r="Q44" s="143">
        <f>IF(A44&lt;&gt;"",O44-P44,0)</f>
        <v/>
      </c>
      <c r="R44" s="21" t="n"/>
      <c r="S44" s="110" t="n"/>
      <c r="T44" s="111" t="n"/>
      <c r="U44" s="143">
        <f>U22*F22</f>
        <v/>
      </c>
      <c r="V44" s="39" t="n"/>
      <c r="W44" s="110">
        <f>IF(A44&lt;&gt;"",O44-S44,0)</f>
        <v/>
      </c>
      <c r="X44" s="111">
        <f>IF(A44&lt;&gt;"",P44-T44,0)</f>
        <v/>
      </c>
      <c r="Y44" s="143">
        <f>IF(A44&lt;&gt;"",W44-X44,0)</f>
        <v/>
      </c>
      <c r="Z44" s="39" t="n"/>
      <c r="AA44" s="110">
        <f>IF(A44&lt;&gt;"",J44-O44,0)</f>
        <v/>
      </c>
      <c r="AB44" s="111">
        <f>IF(A44&lt;&gt;"",K44-P44,0)</f>
        <v/>
      </c>
      <c r="AC44" s="143">
        <f>IF(A44&lt;&gt;"",AA44-AB44,0)</f>
        <v/>
      </c>
      <c r="AE44" s="145" t="n"/>
      <c r="AF44" s="67">
        <f>IF(L44&lt;&gt; "",IF(O44-AE44&gt;=0,O44-AE44,0),0)</f>
        <v/>
      </c>
      <c r="AG44" s="67">
        <f>IF(L44&lt;&gt; "",IF(O44-AE44&lt;=0,O44-AE44,0),0)</f>
        <v/>
      </c>
      <c r="AH44" s="1" t="n"/>
      <c r="AL44" s="1" t="n"/>
      <c r="AM44" s="1" t="n"/>
      <c r="AR44" t="n">
        <v>2</v>
      </c>
      <c r="AS44" s="20" t="inlineStr">
        <is>
          <t>000000000001363F</t>
        </is>
      </c>
    </row>
    <row r="45" ht="13.2" customHeight="1">
      <c r="A45" s="295" t="n">
        <v>60604672</v>
      </c>
      <c r="B45" s="295" t="inlineStr">
        <is>
          <t>51.1108.</t>
        </is>
      </c>
      <c r="C45" s="295" t="inlineStr">
        <is>
          <t>51.1109.</t>
        </is>
      </c>
      <c r="D45" s="295" t="inlineStr">
        <is>
          <t>Stockton - RWCF Phase 2A/2B</t>
        </is>
      </c>
      <c r="E45" s="296" t="inlineStr">
        <is>
          <t>AECOM Infrastructure &amp; WML</t>
        </is>
      </c>
      <c r="F45" s="126" t="n">
        <v>0.5</v>
      </c>
      <c r="G45" s="21" t="n"/>
      <c r="H45" s="144" t="n"/>
      <c r="I45" s="145" t="n"/>
      <c r="J45" s="145" t="n"/>
      <c r="K45" s="145" t="n"/>
      <c r="L45" s="143">
        <f>IF(A45&lt;&gt;"",J45-K45,0)</f>
        <v/>
      </c>
      <c r="M45" s="21" t="n"/>
      <c r="N45" s="293">
        <f>N23</f>
        <v/>
      </c>
      <c r="O45" s="145">
        <f>O23*F23</f>
        <v/>
      </c>
      <c r="P45" s="145" t="n"/>
      <c r="Q45" s="143">
        <f>IF(A45&lt;&gt;"",O45-P45,0)</f>
        <v/>
      </c>
      <c r="R45" s="21" t="n"/>
      <c r="S45" s="110" t="n"/>
      <c r="T45" s="111" t="n"/>
      <c r="U45" s="143">
        <f>U23*F23</f>
        <v/>
      </c>
      <c r="V45" s="39" t="n"/>
      <c r="W45" s="110">
        <f>IF(A45&lt;&gt;"",O45-S45,0)</f>
        <v/>
      </c>
      <c r="X45" s="111">
        <f>IF(A45&lt;&gt;"",P45-T45,0)</f>
        <v/>
      </c>
      <c r="Y45" s="143">
        <f>IF(A45&lt;&gt;"",W45-X45,0)</f>
        <v/>
      </c>
      <c r="Z45" s="39" t="n"/>
      <c r="AA45" s="110">
        <f>IF(A45&lt;&gt;"",J45-O45,0)</f>
        <v/>
      </c>
      <c r="AB45" s="111">
        <f>IF(A45&lt;&gt;"",K45-P45,0)</f>
        <v/>
      </c>
      <c r="AC45" s="143">
        <f>IF(A45&lt;&gt;"",AA45-AB45,0)</f>
        <v/>
      </c>
      <c r="AE45" s="145" t="n"/>
      <c r="AF45" s="67">
        <f>IF(L45&lt;&gt; "",IF(O45-AE45&gt;=0,O45-AE45,0),0)</f>
        <v/>
      </c>
      <c r="AG45" s="67">
        <f>IF(L45&lt;&gt; "",IF(O45-AE45&lt;=0,O45-AE45,0),0)</f>
        <v/>
      </c>
      <c r="AH45" s="1" t="n"/>
      <c r="AL45" s="1" t="n"/>
      <c r="AM45" s="1" t="n"/>
      <c r="AR45" t="n">
        <v>2</v>
      </c>
      <c r="AS45" s="20" t="inlineStr">
        <is>
          <t>000000000001340F</t>
        </is>
      </c>
    </row>
    <row r="46" ht="13.2" customHeight="1">
      <c r="A46" s="295" t="n">
        <v>60604672</v>
      </c>
      <c r="B46" s="295" t="inlineStr">
        <is>
          <t>51.1108.</t>
        </is>
      </c>
      <c r="C46" s="295" t="inlineStr">
        <is>
          <t>51.1109.</t>
        </is>
      </c>
      <c r="D46" s="295" t="inlineStr">
        <is>
          <t>Stockton - RWCF Phase 2A/2B</t>
        </is>
      </c>
      <c r="E46" s="296" t="inlineStr">
        <is>
          <t>AECOM Infrastructure &amp; WML</t>
        </is>
      </c>
      <c r="F46" s="126" t="n">
        <v>0.5</v>
      </c>
      <c r="G46" s="21" t="n"/>
      <c r="H46" s="144" t="n"/>
      <c r="I46" s="145" t="n"/>
      <c r="J46" s="145" t="n"/>
      <c r="K46" s="145" t="n"/>
      <c r="L46" s="143">
        <f>IF(A46&lt;&gt;"",J46-K46,0)</f>
        <v/>
      </c>
      <c r="M46" s="21" t="n"/>
      <c r="N46" s="293">
        <f>N24</f>
        <v/>
      </c>
      <c r="O46" s="145">
        <f>O24*F24</f>
        <v/>
      </c>
      <c r="P46" s="145" t="n"/>
      <c r="Q46" s="143">
        <f>IF(A46&lt;&gt;"",O46-P46,0)</f>
        <v/>
      </c>
      <c r="R46" s="21" t="n"/>
      <c r="S46" s="110" t="n"/>
      <c r="T46" s="111" t="n"/>
      <c r="U46" s="143">
        <f>U24*F24</f>
        <v/>
      </c>
      <c r="V46" s="39" t="n"/>
      <c r="W46" s="110">
        <f>IF(A46&lt;&gt;"",O46-S46,0)</f>
        <v/>
      </c>
      <c r="X46" s="111">
        <f>IF(A46&lt;&gt;"",P46-T46,0)</f>
        <v/>
      </c>
      <c r="Y46" s="143">
        <f>IF(A46&lt;&gt;"",W46-X46,0)</f>
        <v/>
      </c>
      <c r="Z46" s="39" t="n"/>
      <c r="AA46" s="110">
        <f>IF(A46&lt;&gt;"",J46-O46,0)</f>
        <v/>
      </c>
      <c r="AB46" s="111">
        <f>IF(A46&lt;&gt;"",K46-P46,0)</f>
        <v/>
      </c>
      <c r="AC46" s="143">
        <f>IF(A46&lt;&gt;"",AA46-AB46,0)</f>
        <v/>
      </c>
      <c r="AE46" s="145" t="n"/>
      <c r="AF46" s="67">
        <f>IF(L46&lt;&gt; "",IF(O46-AE46&gt;=0,O46-AE46,0),0)</f>
        <v/>
      </c>
      <c r="AG46" s="67">
        <f>IF(L46&lt;&gt; "",IF(O46-AE46&lt;=0,O46-AE46,0),0)</f>
        <v/>
      </c>
      <c r="AH46" s="1" t="n"/>
      <c r="AL46" s="1" t="n"/>
      <c r="AM46" s="1" t="n"/>
      <c r="AR46" t="n">
        <v>2</v>
      </c>
      <c r="AS46" s="20" t="inlineStr">
        <is>
          <t>0000000000013635</t>
        </is>
      </c>
    </row>
    <row r="47" ht="13.2" customHeight="1">
      <c r="A47" s="295" t="n">
        <v>60604672</v>
      </c>
      <c r="B47" s="295" t="inlineStr">
        <is>
          <t>51.1108.</t>
        </is>
      </c>
      <c r="C47" s="295" t="inlineStr">
        <is>
          <t>51.1109.</t>
        </is>
      </c>
      <c r="D47" s="295" t="inlineStr">
        <is>
          <t>Stockton - RWCF Phase 2A/2B</t>
        </is>
      </c>
      <c r="E47" s="296" t="inlineStr">
        <is>
          <t>AECOM Infrastructure &amp; WML</t>
        </is>
      </c>
      <c r="F47" s="126" t="n">
        <v>0.5</v>
      </c>
      <c r="G47" s="21" t="n"/>
      <c r="H47" s="144" t="n"/>
      <c r="I47" s="145" t="n"/>
      <c r="J47" s="145" t="n"/>
      <c r="K47" s="145" t="n"/>
      <c r="L47" s="143">
        <f>IF(A47&lt;&gt;"",J47-K47,0)</f>
        <v/>
      </c>
      <c r="M47" s="21" t="n"/>
      <c r="N47" s="293">
        <f>N25</f>
        <v/>
      </c>
      <c r="O47" s="145">
        <f>O25*F25</f>
        <v/>
      </c>
      <c r="P47" s="145" t="n"/>
      <c r="Q47" s="143">
        <f>IF(A47&lt;&gt;"",O47-P47,0)</f>
        <v/>
      </c>
      <c r="R47" s="21" t="n"/>
      <c r="S47" s="110" t="n"/>
      <c r="T47" s="111" t="n"/>
      <c r="U47" s="143">
        <f>U25*F25</f>
        <v/>
      </c>
      <c r="V47" s="39" t="n"/>
      <c r="W47" s="110">
        <f>IF(A47&lt;&gt;"",O47-S47,0)</f>
        <v/>
      </c>
      <c r="X47" s="111">
        <f>IF(A47&lt;&gt;"",P47-T47,0)</f>
        <v/>
      </c>
      <c r="Y47" s="143">
        <f>IF(A47&lt;&gt;"",W47-X47,0)</f>
        <v/>
      </c>
      <c r="Z47" s="39" t="n"/>
      <c r="AA47" s="110">
        <f>IF(A47&lt;&gt;"",J47-O47,0)</f>
        <v/>
      </c>
      <c r="AB47" s="111">
        <f>IF(A47&lt;&gt;"",K47-P47,0)</f>
        <v/>
      </c>
      <c r="AC47" s="143">
        <f>IF(A47&lt;&gt;"",AA47-AB47,0)</f>
        <v/>
      </c>
      <c r="AE47" s="145" t="n"/>
      <c r="AF47" s="67">
        <f>IF(L47&lt;&gt; "",IF(O47-AE47&gt;=0,O47-AE47,0),0)</f>
        <v/>
      </c>
      <c r="AG47" s="67">
        <f>IF(L47&lt;&gt; "",IF(O47-AE47&lt;=0,O47-AE47,0),0)</f>
        <v/>
      </c>
      <c r="AH47" s="1" t="n"/>
      <c r="AL47" s="1" t="n"/>
      <c r="AM47" s="1" t="n"/>
      <c r="AR47" t="n">
        <v>2</v>
      </c>
      <c r="AS47" s="20" t="inlineStr">
        <is>
          <t>0000000000013522</t>
        </is>
      </c>
    </row>
    <row r="48" ht="13.2" customHeight="1">
      <c r="A48" s="295" t="n">
        <v>60604672</v>
      </c>
      <c r="B48" s="295" t="inlineStr">
        <is>
          <t>51.1108.</t>
        </is>
      </c>
      <c r="C48" s="295" t="inlineStr">
        <is>
          <t>51.1109.</t>
        </is>
      </c>
      <c r="D48" s="295" t="inlineStr">
        <is>
          <t>Stockton - RWCF Phase 2A/2B</t>
        </is>
      </c>
      <c r="E48" s="296" t="inlineStr">
        <is>
          <t>AECOM Infrastructure &amp; WML</t>
        </is>
      </c>
      <c r="F48" s="126" t="n">
        <v>0.5</v>
      </c>
      <c r="G48" s="21" t="n"/>
      <c r="H48" s="144" t="n"/>
      <c r="I48" s="145" t="n"/>
      <c r="J48" s="145" t="n"/>
      <c r="K48" s="145" t="n"/>
      <c r="L48" s="143">
        <f>IF(A48&lt;&gt;"",J48-K48,0)</f>
        <v/>
      </c>
      <c r="M48" s="21" t="n"/>
      <c r="N48" s="293">
        <f>N26</f>
        <v/>
      </c>
      <c r="O48" s="145">
        <f>O26*F26</f>
        <v/>
      </c>
      <c r="P48" s="145" t="n"/>
      <c r="Q48" s="143">
        <f>IF(A48&lt;&gt;"",O48-P48,0)</f>
        <v/>
      </c>
      <c r="R48" s="21" t="n"/>
      <c r="S48" s="110" t="n"/>
      <c r="T48" s="111" t="n"/>
      <c r="U48" s="143">
        <f>U26*F26</f>
        <v/>
      </c>
      <c r="V48" s="39" t="n"/>
      <c r="W48" s="110">
        <f>IF(A48&lt;&gt;"",O48-S48,0)</f>
        <v/>
      </c>
      <c r="X48" s="111">
        <f>IF(A48&lt;&gt;"",P48-T48,0)</f>
        <v/>
      </c>
      <c r="Y48" s="143">
        <f>IF(A48&lt;&gt;"",W48-X48,0)</f>
        <v/>
      </c>
      <c r="Z48" s="39" t="n"/>
      <c r="AA48" s="110">
        <f>IF(A48&lt;&gt;"",J48-O48,0)</f>
        <v/>
      </c>
      <c r="AB48" s="111">
        <f>IF(A48&lt;&gt;"",K48-P48,0)</f>
        <v/>
      </c>
      <c r="AC48" s="143">
        <f>IF(A48&lt;&gt;"",AA48-AB48,0)</f>
        <v/>
      </c>
      <c r="AE48" s="145" t="n"/>
      <c r="AF48" s="67">
        <f>IF(L48&lt;&gt; "",IF(O48-AE48&gt;=0,O48-AE48,0),0)</f>
        <v/>
      </c>
      <c r="AG48" s="67">
        <f>IF(L48&lt;&gt; "",IF(O48-AE48&lt;=0,O48-AE48,0),0)</f>
        <v/>
      </c>
      <c r="AH48" s="1" t="n"/>
      <c r="AL48" s="1" t="n"/>
      <c r="AM48" s="1" t="n"/>
      <c r="AR48" t="n">
        <v>2</v>
      </c>
      <c r="AS48" s="20" t="inlineStr">
        <is>
          <t>0000000000013649</t>
        </is>
      </c>
    </row>
    <row r="49" ht="13.2" customHeight="1">
      <c r="A49" s="296" t="n">
        <v>60604672</v>
      </c>
      <c r="B49" s="295" t="inlineStr">
        <is>
          <t>51.1108.</t>
        </is>
      </c>
      <c r="C49" s="295" t="inlineStr">
        <is>
          <t>51.1109.</t>
        </is>
      </c>
      <c r="D49" s="295" t="inlineStr">
        <is>
          <t>Stockton - RWCF Phase 2A/2B</t>
        </is>
      </c>
      <c r="E49" s="296" t="inlineStr">
        <is>
          <t>AECOM Infrastructure &amp; WML</t>
        </is>
      </c>
      <c r="F49" s="126" t="n">
        <v>0.5</v>
      </c>
      <c r="G49" s="21" t="n"/>
      <c r="H49" s="147" t="n"/>
      <c r="I49" s="145" t="n"/>
      <c r="J49" s="145" t="n"/>
      <c r="K49" s="145" t="n"/>
      <c r="L49" s="143">
        <f>IF(A49&lt;&gt;"",J49-K49,0)</f>
        <v/>
      </c>
      <c r="M49" s="21" t="n"/>
      <c r="N49" s="293">
        <f>N27</f>
        <v/>
      </c>
      <c r="O49" s="145">
        <f>O27*F27</f>
        <v/>
      </c>
      <c r="P49" s="145" t="n"/>
      <c r="Q49" s="143">
        <f>IF(A49&lt;&gt;"",O49-P49,0)</f>
        <v/>
      </c>
      <c r="R49" s="21" t="n"/>
      <c r="S49" s="110" t="n"/>
      <c r="T49" s="111" t="n"/>
      <c r="U49" s="143">
        <f>U27*F27</f>
        <v/>
      </c>
      <c r="V49" s="39" t="n"/>
      <c r="W49" s="110">
        <f>IF(A49&lt;&gt;"",O49-S49,0)</f>
        <v/>
      </c>
      <c r="X49" s="111">
        <f>IF(A49&lt;&gt;"",P49-T49,0)</f>
        <v/>
      </c>
      <c r="Y49" s="143">
        <f>IF(A49&lt;&gt;"",W49-X49,0)</f>
        <v/>
      </c>
      <c r="Z49" s="39" t="n"/>
      <c r="AA49" s="110">
        <f>IF(A49&lt;&gt;"",J49-O49,0)</f>
        <v/>
      </c>
      <c r="AB49" s="111">
        <f>IF(A49&lt;&gt;"",K49-P49,0)</f>
        <v/>
      </c>
      <c r="AC49" s="143">
        <f>IF(A49&lt;&gt;"",AA49-AB49,0)</f>
        <v/>
      </c>
      <c r="AE49" s="145" t="n"/>
      <c r="AF49" s="67">
        <f>IF(L49&lt;&gt; "",IF(O49-AE49&gt;=0,O49-AE49,0),0)</f>
        <v/>
      </c>
      <c r="AG49" s="67">
        <f>IF(L49&lt;&gt; "",IF(O49-AE49&lt;=0,O49-AE49,0),0)</f>
        <v/>
      </c>
      <c r="AH49" s="1" t="n"/>
      <c r="AL49" s="1" t="n"/>
      <c r="AM49" s="1" t="n"/>
      <c r="AR49" t="n">
        <v>2</v>
      </c>
      <c r="AS49" s="20" t="inlineStr">
        <is>
          <t>000000000001363F</t>
        </is>
      </c>
    </row>
    <row r="50" ht="13.2" customHeight="1">
      <c r="A50" t="n">
        <v>60604672</v>
      </c>
      <c r="B50" s="28" t="inlineStr">
        <is>
          <t>51.1108.</t>
        </is>
      </c>
      <c r="C50" s="28" t="inlineStr">
        <is>
          <t>51.1109.</t>
        </is>
      </c>
      <c r="D50" s="28" t="inlineStr">
        <is>
          <t>Stockton - RWCF Phase 2A/2B</t>
        </is>
      </c>
      <c r="E50" t="inlineStr">
        <is>
          <t>AECOM Infrastructure &amp; WML</t>
        </is>
      </c>
      <c r="F50" s="170" t="n">
        <v>0.5</v>
      </c>
      <c r="AL50" t="n">
        <v>0</v>
      </c>
      <c r="AR50" t="n">
        <v>2</v>
      </c>
      <c r="AS50" s="20" t="inlineStr">
        <is>
          <t>000000000001340F</t>
        </is>
      </c>
    </row>
    <row r="51">
      <c r="A51" t="n">
        <v>60604672</v>
      </c>
      <c r="B51" t="inlineStr">
        <is>
          <t>51.1108.</t>
        </is>
      </c>
      <c r="C51" t="inlineStr">
        <is>
          <t>51.1109.</t>
        </is>
      </c>
      <c r="D51" t="inlineStr">
        <is>
          <t>Stockton - RWCF Phase 2A/2B</t>
        </is>
      </c>
      <c r="E51" t="inlineStr">
        <is>
          <t>AECOM Infrastructure &amp; WML</t>
        </is>
      </c>
      <c r="F51" t="n">
        <v>0.5</v>
      </c>
      <c r="AL51" t="n">
        <v>0</v>
      </c>
      <c r="AR51" t="n">
        <v>2</v>
      </c>
      <c r="AS51" s="20" t="inlineStr">
        <is>
          <t>0000000000013635</t>
        </is>
      </c>
    </row>
    <row r="52">
      <c r="A52" t="n">
        <v>60604672</v>
      </c>
      <c r="B52" t="inlineStr">
        <is>
          <t>51.1108.</t>
        </is>
      </c>
      <c r="C52" t="inlineStr">
        <is>
          <t>51.1109.</t>
        </is>
      </c>
      <c r="D52" t="inlineStr">
        <is>
          <t>Stockton - RWCF Phase 2A/2B</t>
        </is>
      </c>
      <c r="E52" t="inlineStr">
        <is>
          <t>AECOM Infrastructure &amp; WML</t>
        </is>
      </c>
      <c r="F52" t="n">
        <v>0.5</v>
      </c>
      <c r="AL52" t="n">
        <v>0</v>
      </c>
      <c r="AR52" t="n">
        <v>2</v>
      </c>
      <c r="AS52" s="20" t="inlineStr">
        <is>
          <t>0000000000013522</t>
        </is>
      </c>
    </row>
    <row r="53">
      <c r="A53" t="n">
        <v>60604672</v>
      </c>
      <c r="B53" t="inlineStr">
        <is>
          <t>51.1108.</t>
        </is>
      </c>
      <c r="C53" t="inlineStr">
        <is>
          <t>51.1109.</t>
        </is>
      </c>
      <c r="D53" t="inlineStr">
        <is>
          <t>Stockton - RWCF Phase 2A/2B</t>
        </is>
      </c>
      <c r="E53" t="inlineStr">
        <is>
          <t>AECOM Infrastructure &amp; WML</t>
        </is>
      </c>
      <c r="F53" t="n">
        <v>0.5</v>
      </c>
      <c r="AL53" t="n">
        <v>0</v>
      </c>
      <c r="AR53" t="n">
        <v>2</v>
      </c>
      <c r="AS53" s="20" t="inlineStr">
        <is>
          <t>0000000000013649</t>
        </is>
      </c>
    </row>
    <row r="54">
      <c r="A54" t="n">
        <v>60604672</v>
      </c>
      <c r="B54" t="inlineStr">
        <is>
          <t>51.1108.</t>
        </is>
      </c>
      <c r="C54" t="inlineStr">
        <is>
          <t>51.1109.</t>
        </is>
      </c>
      <c r="D54" t="inlineStr">
        <is>
          <t>Stockton - RWCF Phase 2A/2B</t>
        </is>
      </c>
      <c r="E54" t="inlineStr">
        <is>
          <t>AECOM Infrastructure &amp; WML</t>
        </is>
      </c>
      <c r="F54" t="n">
        <v>0.5</v>
      </c>
      <c r="AL54" t="n">
        <v>0</v>
      </c>
      <c r="AR54" t="n">
        <v>2</v>
      </c>
      <c r="AS54" s="20" t="inlineStr">
        <is>
          <t>000000000001363F</t>
        </is>
      </c>
    </row>
    <row r="55">
      <c r="A55" t="n">
        <v>60604672</v>
      </c>
      <c r="B55" t="inlineStr">
        <is>
          <t>51.1108.</t>
        </is>
      </c>
      <c r="C55" t="inlineStr">
        <is>
          <t>51.1109.</t>
        </is>
      </c>
      <c r="D55" t="inlineStr">
        <is>
          <t>Stockton - RWCF Phase 2A/2B</t>
        </is>
      </c>
      <c r="E55" t="inlineStr">
        <is>
          <t>AECOM Infrastructure &amp; WML</t>
        </is>
      </c>
      <c r="F55" t="n">
        <v>0.5</v>
      </c>
      <c r="AL55" t="n">
        <v>0</v>
      </c>
      <c r="AR55" t="n">
        <v>2</v>
      </c>
      <c r="AS55" s="20" t="inlineStr">
        <is>
          <t>000000000001340F</t>
        </is>
      </c>
    </row>
    <row r="56">
      <c r="A56" t="n">
        <v>60604672</v>
      </c>
      <c r="B56" t="inlineStr">
        <is>
          <t>51.1108.</t>
        </is>
      </c>
      <c r="C56" t="inlineStr">
        <is>
          <t>51.1109.</t>
        </is>
      </c>
      <c r="D56" t="inlineStr">
        <is>
          <t>Stockton - RWCF Phase 2A/2B</t>
        </is>
      </c>
      <c r="E56" t="inlineStr">
        <is>
          <t>AECOM Infrastructure &amp; WML</t>
        </is>
      </c>
      <c r="F56" t="n">
        <v>0.5</v>
      </c>
      <c r="AL56" t="n">
        <v>0</v>
      </c>
      <c r="AR56" t="n">
        <v>2</v>
      </c>
      <c r="AS56" s="20" t="inlineStr">
        <is>
          <t>0000000000013635</t>
        </is>
      </c>
    </row>
    <row r="57">
      <c r="A57" t="n">
        <v>60667213</v>
      </c>
      <c r="B57" t="inlineStr">
        <is>
          <t>52.8563.</t>
        </is>
      </c>
      <c r="C57" t="inlineStr">
        <is>
          <t>52.8564.</t>
        </is>
      </c>
      <c r="D57" t="inlineStr">
        <is>
          <t>City of Santa Cruz - Graham Hill WTP Facility Improvements</t>
        </is>
      </c>
      <c r="E57" t="inlineStr">
        <is>
          <t>AECOM - W.M. Lyles VII</t>
        </is>
      </c>
      <c r="F57" t="n">
        <v>0.5</v>
      </c>
      <c r="AL57" t="n">
        <v>0</v>
      </c>
      <c r="AR57" t="n">
        <v>3</v>
      </c>
      <c r="AS57" s="20" t="inlineStr">
        <is>
          <t>0000000000013523</t>
        </is>
      </c>
    </row>
    <row r="58">
      <c r="A58" t="n">
        <v>60667213</v>
      </c>
      <c r="B58" t="inlineStr">
        <is>
          <t>52.8563.</t>
        </is>
      </c>
      <c r="C58" t="inlineStr">
        <is>
          <t>52.8564.</t>
        </is>
      </c>
      <c r="D58" t="inlineStr">
        <is>
          <t>City of Santa Cruz - Graham Hill WTP Facility Improvements</t>
        </is>
      </c>
      <c r="E58" t="inlineStr">
        <is>
          <t>AECOM - W.M. Lyles VII</t>
        </is>
      </c>
      <c r="F58" t="n">
        <v>0.5</v>
      </c>
      <c r="AL58" t="n">
        <v>0</v>
      </c>
      <c r="AR58" t="n">
        <v>3</v>
      </c>
      <c r="AS58" s="20" t="inlineStr">
        <is>
          <t>000000000001364A</t>
        </is>
      </c>
    </row>
    <row r="59">
      <c r="A59" t="n">
        <v>60667213</v>
      </c>
      <c r="B59" t="inlineStr">
        <is>
          <t>52.8563.</t>
        </is>
      </c>
      <c r="C59" t="inlineStr">
        <is>
          <t>52.8564.</t>
        </is>
      </c>
      <c r="D59" t="inlineStr">
        <is>
          <t>City of Santa Cruz - Graham Hill WTP Facility Improvements</t>
        </is>
      </c>
      <c r="E59" t="inlineStr">
        <is>
          <t>AECOM - W.M. Lyles VII</t>
        </is>
      </c>
      <c r="F59" t="n">
        <v>0.5</v>
      </c>
      <c r="AL59" t="n">
        <v>0</v>
      </c>
      <c r="AR59" t="n">
        <v>3</v>
      </c>
      <c r="AS59" s="20" t="inlineStr">
        <is>
          <t>0000000000013640</t>
        </is>
      </c>
    </row>
    <row r="60">
      <c r="A60" t="n">
        <v>60667213</v>
      </c>
      <c r="B60" t="inlineStr">
        <is>
          <t>52.8563.</t>
        </is>
      </c>
      <c r="C60" t="inlineStr">
        <is>
          <t>52.8564.</t>
        </is>
      </c>
      <c r="D60" t="inlineStr">
        <is>
          <t>City of Santa Cruz - Graham Hill WTP Facility Improvements</t>
        </is>
      </c>
      <c r="E60" t="inlineStr">
        <is>
          <t>AECOM - W.M. Lyles VII</t>
        </is>
      </c>
      <c r="F60" t="n">
        <v>0.5</v>
      </c>
      <c r="AL60" t="n">
        <v>0</v>
      </c>
      <c r="AR60" t="n">
        <v>3</v>
      </c>
      <c r="AS60" s="20" t="inlineStr">
        <is>
          <t>0000000000013410</t>
        </is>
      </c>
    </row>
    <row r="61">
      <c r="A61" t="n">
        <v>60667213</v>
      </c>
      <c r="B61" t="inlineStr">
        <is>
          <t>52.8563.</t>
        </is>
      </c>
      <c r="C61" t="inlineStr">
        <is>
          <t>52.8564.</t>
        </is>
      </c>
      <c r="D61" t="inlineStr">
        <is>
          <t>City of Santa Cruz - Graham Hill WTP Facility Improvements</t>
        </is>
      </c>
      <c r="E61" t="inlineStr">
        <is>
          <t>AECOM - W.M. Lyles VII</t>
        </is>
      </c>
      <c r="F61" t="n">
        <v>0.5</v>
      </c>
      <c r="AL61" t="n">
        <v>0</v>
      </c>
      <c r="AR61" t="n">
        <v>3</v>
      </c>
      <c r="AS61" s="20" t="inlineStr">
        <is>
          <t>0000000000013636</t>
        </is>
      </c>
    </row>
    <row r="62">
      <c r="A62" t="n">
        <v>60667213</v>
      </c>
      <c r="B62" t="inlineStr">
        <is>
          <t>52.8563.</t>
        </is>
      </c>
      <c r="C62" t="inlineStr">
        <is>
          <t>52.8564.</t>
        </is>
      </c>
      <c r="D62" t="inlineStr">
        <is>
          <t>City of Santa Cruz - Graham Hill WTP Facility Improvements</t>
        </is>
      </c>
      <c r="E62" t="inlineStr">
        <is>
          <t>AECOM - W.M. Lyles VII</t>
        </is>
      </c>
      <c r="F62" t="n">
        <v>0.5</v>
      </c>
      <c r="AL62" t="n">
        <v>0</v>
      </c>
      <c r="AR62" t="n">
        <v>3</v>
      </c>
      <c r="AS62" s="20" t="inlineStr">
        <is>
          <t>0000000000013523</t>
        </is>
      </c>
    </row>
    <row r="63">
      <c r="A63" t="n">
        <v>60667213</v>
      </c>
      <c r="B63" t="inlineStr">
        <is>
          <t>52.8563.</t>
        </is>
      </c>
      <c r="C63" t="inlineStr">
        <is>
          <t>52.8564.</t>
        </is>
      </c>
      <c r="D63" t="inlineStr">
        <is>
          <t>City of Santa Cruz - Graham Hill WTP Facility Improvements</t>
        </is>
      </c>
      <c r="E63" t="inlineStr">
        <is>
          <t>AECOM - W.M. Lyles VII</t>
        </is>
      </c>
      <c r="F63" t="n">
        <v>0.5</v>
      </c>
      <c r="AL63" t="n">
        <v>0</v>
      </c>
      <c r="AR63" t="n">
        <v>3</v>
      </c>
      <c r="AS63" s="20" t="inlineStr">
        <is>
          <t>000000000001364A</t>
        </is>
      </c>
    </row>
    <row r="64">
      <c r="A64" t="n">
        <v>60667213</v>
      </c>
      <c r="B64" t="inlineStr">
        <is>
          <t>52.8563.</t>
        </is>
      </c>
      <c r="C64" t="inlineStr">
        <is>
          <t>52.8564.</t>
        </is>
      </c>
      <c r="D64" t="inlineStr">
        <is>
          <t>City of Santa Cruz - Graham Hill WTP Facility Improvements</t>
        </is>
      </c>
      <c r="E64" t="inlineStr">
        <is>
          <t>AECOM - W.M. Lyles VII</t>
        </is>
      </c>
      <c r="F64" t="n">
        <v>0.5</v>
      </c>
      <c r="AL64" t="n">
        <v>0</v>
      </c>
      <c r="AR64" t="n">
        <v>3</v>
      </c>
      <c r="AS64" s="20" t="inlineStr">
        <is>
          <t>0000000000013640</t>
        </is>
      </c>
    </row>
    <row r="65">
      <c r="A65" t="n">
        <v>60667213</v>
      </c>
      <c r="B65" t="inlineStr">
        <is>
          <t>52.8563.</t>
        </is>
      </c>
      <c r="C65" t="inlineStr">
        <is>
          <t>52.8564.</t>
        </is>
      </c>
      <c r="D65" t="inlineStr">
        <is>
          <t>City of Santa Cruz - Graham Hill WTP Facility Improvements</t>
        </is>
      </c>
      <c r="E65" t="inlineStr">
        <is>
          <t>AECOM - W.M. Lyles VII</t>
        </is>
      </c>
      <c r="F65" t="n">
        <v>0.5</v>
      </c>
      <c r="AL65" t="n">
        <v>0</v>
      </c>
      <c r="AR65" t="n">
        <v>3</v>
      </c>
      <c r="AS65" s="20" t="inlineStr">
        <is>
          <t>0000000000013410</t>
        </is>
      </c>
    </row>
    <row r="66">
      <c r="A66" t="n">
        <v>60667213</v>
      </c>
      <c r="B66" t="inlineStr">
        <is>
          <t>52.8563.</t>
        </is>
      </c>
      <c r="C66" t="inlineStr">
        <is>
          <t>52.8564.</t>
        </is>
      </c>
      <c r="D66" t="inlineStr">
        <is>
          <t>City of Santa Cruz - Graham Hill WTP Facility Improvements</t>
        </is>
      </c>
      <c r="E66" t="inlineStr">
        <is>
          <t>AECOM - W.M. Lyles VII</t>
        </is>
      </c>
      <c r="F66" t="n">
        <v>0.5</v>
      </c>
      <c r="AL66" t="n">
        <v>0</v>
      </c>
      <c r="AR66" t="n">
        <v>3</v>
      </c>
      <c r="AS66" s="20" t="inlineStr">
        <is>
          <t>0000000000013636</t>
        </is>
      </c>
    </row>
    <row r="67">
      <c r="A67" t="n">
        <v>60667213</v>
      </c>
      <c r="B67" t="inlineStr">
        <is>
          <t>52.8563.</t>
        </is>
      </c>
      <c r="C67" t="inlineStr">
        <is>
          <t>52.8564.</t>
        </is>
      </c>
      <c r="D67" t="inlineStr">
        <is>
          <t>City of Santa Cruz - Graham Hill WTP Facility Improvements</t>
        </is>
      </c>
      <c r="E67" t="inlineStr">
        <is>
          <t>AECOM - W.M. Lyles VII</t>
        </is>
      </c>
      <c r="F67" t="n">
        <v>0.5</v>
      </c>
      <c r="AL67" t="n">
        <v>0</v>
      </c>
      <c r="AR67" t="n">
        <v>3</v>
      </c>
      <c r="AS67" s="20" t="inlineStr">
        <is>
          <t>0000000000013523</t>
        </is>
      </c>
    </row>
    <row r="68">
      <c r="A68" t="n">
        <v>60667213</v>
      </c>
      <c r="B68" t="inlineStr">
        <is>
          <t>52.8563.</t>
        </is>
      </c>
      <c r="C68" t="inlineStr">
        <is>
          <t>52.8564.</t>
        </is>
      </c>
      <c r="D68" t="inlineStr">
        <is>
          <t>City of Santa Cruz - Graham Hill WTP Facility Improvements</t>
        </is>
      </c>
      <c r="E68" t="inlineStr">
        <is>
          <t>AECOM - W.M. Lyles VII</t>
        </is>
      </c>
      <c r="F68" t="n">
        <v>0.5</v>
      </c>
      <c r="AL68" t="n">
        <v>0</v>
      </c>
      <c r="AR68" t="n">
        <v>3</v>
      </c>
      <c r="AS68" s="20" t="inlineStr">
        <is>
          <t>000000000001364A</t>
        </is>
      </c>
    </row>
    <row r="69">
      <c r="A69" t="n">
        <v>60667213</v>
      </c>
      <c r="B69" t="inlineStr">
        <is>
          <t>52.8563.</t>
        </is>
      </c>
      <c r="C69" t="inlineStr">
        <is>
          <t>52.8564.</t>
        </is>
      </c>
      <c r="D69" t="inlineStr">
        <is>
          <t>City of Santa Cruz - Graham Hill WTP Facility Improvements</t>
        </is>
      </c>
      <c r="E69" t="inlineStr">
        <is>
          <t>AECOM - W.M. Lyles VII</t>
        </is>
      </c>
      <c r="F69" t="n">
        <v>0.5</v>
      </c>
      <c r="AL69" t="n">
        <v>0</v>
      </c>
      <c r="AR69" t="n">
        <v>3</v>
      </c>
      <c r="AS69" s="20" t="inlineStr">
        <is>
          <t>0000000000013640</t>
        </is>
      </c>
    </row>
    <row r="70">
      <c r="A70" t="n">
        <v>60667213</v>
      </c>
      <c r="B70" t="inlineStr">
        <is>
          <t>52.8563.</t>
        </is>
      </c>
      <c r="C70" t="inlineStr">
        <is>
          <t>52.8564.</t>
        </is>
      </c>
      <c r="D70" t="inlineStr">
        <is>
          <t>City of Santa Cruz - Graham Hill WTP Facility Improvements</t>
        </is>
      </c>
      <c r="E70" t="inlineStr">
        <is>
          <t>AECOM - W.M. Lyles VII</t>
        </is>
      </c>
      <c r="F70" t="n">
        <v>0.5</v>
      </c>
      <c r="AL70" t="n">
        <v>0</v>
      </c>
      <c r="AR70" t="n">
        <v>3</v>
      </c>
      <c r="AS70" s="20" t="inlineStr">
        <is>
          <t>0000000000013410</t>
        </is>
      </c>
    </row>
    <row r="71">
      <c r="A71" t="n">
        <v>60667213</v>
      </c>
      <c r="B71" t="inlineStr">
        <is>
          <t>52.8563.</t>
        </is>
      </c>
      <c r="C71" t="inlineStr">
        <is>
          <t>52.8564.</t>
        </is>
      </c>
      <c r="D71" t="inlineStr">
        <is>
          <t>City of Santa Cruz - Graham Hill WTP Facility Improvements</t>
        </is>
      </c>
      <c r="E71" t="inlineStr">
        <is>
          <t>AECOM - W.M. Lyles VII</t>
        </is>
      </c>
      <c r="F71" t="n">
        <v>0.5</v>
      </c>
      <c r="AL71" t="n">
        <v>0</v>
      </c>
      <c r="AR71" t="n">
        <v>3</v>
      </c>
      <c r="AS71" s="20" t="inlineStr">
        <is>
          <t>0000000000013636</t>
        </is>
      </c>
    </row>
    <row r="72">
      <c r="A72" t="n">
        <v>60667213</v>
      </c>
      <c r="B72" t="inlineStr">
        <is>
          <t>52.8563.</t>
        </is>
      </c>
      <c r="C72" t="inlineStr">
        <is>
          <t>52.8564.</t>
        </is>
      </c>
      <c r="D72" t="inlineStr">
        <is>
          <t>City of Santa Cruz - Graham Hill WTP Facility Improvements</t>
        </is>
      </c>
      <c r="E72" t="inlineStr">
        <is>
          <t>AECOM - W.M. Lyles VII</t>
        </is>
      </c>
      <c r="F72" t="n">
        <v>0.5</v>
      </c>
      <c r="AL72" t="n">
        <v>0</v>
      </c>
      <c r="AR72" t="n">
        <v>3</v>
      </c>
      <c r="AS72" s="20" t="inlineStr">
        <is>
          <t>0000000000013523</t>
        </is>
      </c>
    </row>
    <row r="73">
      <c r="A73" t="n">
        <v>60667213</v>
      </c>
      <c r="B73" t="inlineStr">
        <is>
          <t>52.8563.</t>
        </is>
      </c>
      <c r="C73" t="inlineStr">
        <is>
          <t>52.8564.</t>
        </is>
      </c>
      <c r="D73" t="inlineStr">
        <is>
          <t>City of Santa Cruz - Graham Hill WTP Facility Improvements</t>
        </is>
      </c>
      <c r="E73" t="inlineStr">
        <is>
          <t>AECOM - W.M. Lyles VII</t>
        </is>
      </c>
      <c r="F73" t="n">
        <v>0.5</v>
      </c>
      <c r="AL73" t="n">
        <v>0</v>
      </c>
      <c r="AR73" t="n">
        <v>3</v>
      </c>
      <c r="AS73" s="20" t="inlineStr">
        <is>
          <t>000000000001364A</t>
        </is>
      </c>
    </row>
    <row r="74">
      <c r="A74" t="n">
        <v>60667213</v>
      </c>
      <c r="B74" t="inlineStr">
        <is>
          <t>52.8563.</t>
        </is>
      </c>
      <c r="C74" t="inlineStr">
        <is>
          <t>52.8564.</t>
        </is>
      </c>
      <c r="D74" t="inlineStr">
        <is>
          <t>City of Santa Cruz - Graham Hill WTP Facility Improvements</t>
        </is>
      </c>
      <c r="E74" t="inlineStr">
        <is>
          <t>AECOM - W.M. Lyles VII</t>
        </is>
      </c>
      <c r="F74" t="n">
        <v>0.5</v>
      </c>
      <c r="AL74" t="n">
        <v>0</v>
      </c>
      <c r="AR74" t="n">
        <v>3</v>
      </c>
      <c r="AS74" s="20" t="inlineStr">
        <is>
          <t>0000000000013640</t>
        </is>
      </c>
    </row>
    <row r="75">
      <c r="A75" t="n">
        <v>60667213</v>
      </c>
      <c r="B75" t="inlineStr">
        <is>
          <t>52.8563.</t>
        </is>
      </c>
      <c r="C75" t="inlineStr">
        <is>
          <t>52.8564.</t>
        </is>
      </c>
      <c r="D75" t="inlineStr">
        <is>
          <t>City of Santa Cruz - Graham Hill WTP Facility Improvements</t>
        </is>
      </c>
      <c r="E75" t="inlineStr">
        <is>
          <t>AECOM - W.M. Lyles VII</t>
        </is>
      </c>
      <c r="F75" t="n">
        <v>0.5</v>
      </c>
      <c r="AL75" t="n">
        <v>0</v>
      </c>
      <c r="AR75" t="n">
        <v>3</v>
      </c>
      <c r="AS75" s="20" t="inlineStr">
        <is>
          <t>0000000000013410</t>
        </is>
      </c>
    </row>
    <row r="76">
      <c r="A76" t="n">
        <v>60667213</v>
      </c>
      <c r="B76" t="inlineStr">
        <is>
          <t>52.8563.</t>
        </is>
      </c>
      <c r="C76" t="inlineStr">
        <is>
          <t>52.8564.</t>
        </is>
      </c>
      <c r="D76" t="inlineStr">
        <is>
          <t>City of Santa Cruz - Graham Hill WTP Facility Improvements</t>
        </is>
      </c>
      <c r="E76" t="inlineStr">
        <is>
          <t>AECOM - W.M. Lyles VII</t>
        </is>
      </c>
      <c r="F76" t="n">
        <v>0.5</v>
      </c>
      <c r="AL76" t="n">
        <v>0</v>
      </c>
      <c r="AR76" t="n">
        <v>3</v>
      </c>
      <c r="AS76" s="20" t="inlineStr">
        <is>
          <t>0000000000013636</t>
        </is>
      </c>
    </row>
    <row r="77">
      <c r="A77" t="n">
        <v>60667213</v>
      </c>
      <c r="B77" t="inlineStr">
        <is>
          <t>52.8563.</t>
        </is>
      </c>
      <c r="C77" t="inlineStr">
        <is>
          <t>52.8564.</t>
        </is>
      </c>
      <c r="D77" t="inlineStr">
        <is>
          <t>City of Santa Cruz - Graham Hill WTP Facility Improvements</t>
        </is>
      </c>
      <c r="E77" t="inlineStr">
        <is>
          <t>AECOM - W.M. Lyles VII</t>
        </is>
      </c>
      <c r="F77" t="n">
        <v>0.5</v>
      </c>
      <c r="AL77" t="n">
        <v>0</v>
      </c>
      <c r="AR77" t="n">
        <v>3</v>
      </c>
      <c r="AS77" s="20" t="inlineStr">
        <is>
          <t>0000000000013523</t>
        </is>
      </c>
    </row>
    <row r="78">
      <c r="A78" t="n">
        <v>60667213</v>
      </c>
      <c r="B78" t="inlineStr">
        <is>
          <t>52.8563.</t>
        </is>
      </c>
      <c r="C78" t="inlineStr">
        <is>
          <t>52.8564.</t>
        </is>
      </c>
      <c r="D78" t="inlineStr">
        <is>
          <t>City of Santa Cruz - Graham Hill WTP Facility Improvements</t>
        </is>
      </c>
      <c r="E78" t="inlineStr">
        <is>
          <t>AECOM - W.M. Lyles VII</t>
        </is>
      </c>
      <c r="F78" t="n">
        <v>0.5</v>
      </c>
      <c r="AL78" t="n">
        <v>0</v>
      </c>
      <c r="AR78" t="n">
        <v>3</v>
      </c>
      <c r="AS78" s="20" t="inlineStr">
        <is>
          <t>000000000001364A</t>
        </is>
      </c>
    </row>
    <row r="79">
      <c r="A79" t="n">
        <v>60667213</v>
      </c>
      <c r="B79" t="inlineStr">
        <is>
          <t>52.8563.</t>
        </is>
      </c>
      <c r="C79" t="inlineStr">
        <is>
          <t>52.8564.</t>
        </is>
      </c>
      <c r="D79" t="inlineStr">
        <is>
          <t>City of Santa Cruz - Graham Hill WTP Facility Improvements</t>
        </is>
      </c>
      <c r="E79" t="inlineStr">
        <is>
          <t>AECOM - W.M. Lyles VII</t>
        </is>
      </c>
      <c r="F79" t="n">
        <v>0.5</v>
      </c>
      <c r="AL79" t="n">
        <v>0</v>
      </c>
      <c r="AR79" t="n">
        <v>3</v>
      </c>
      <c r="AS79" s="20" t="inlineStr">
        <is>
          <t>0000000000013640</t>
        </is>
      </c>
    </row>
    <row r="80">
      <c r="A80" t="n">
        <v>60667213</v>
      </c>
      <c r="B80" t="inlineStr">
        <is>
          <t>52.8563.</t>
        </is>
      </c>
      <c r="C80" t="inlineStr">
        <is>
          <t>52.8564.</t>
        </is>
      </c>
      <c r="D80" t="inlineStr">
        <is>
          <t>City of Santa Cruz - Graham Hill WTP Facility Improvements</t>
        </is>
      </c>
      <c r="E80" t="inlineStr">
        <is>
          <t>AECOM - W.M. Lyles VII</t>
        </is>
      </c>
      <c r="F80" t="n">
        <v>0.5</v>
      </c>
      <c r="AL80" t="n">
        <v>0</v>
      </c>
      <c r="AR80" t="n">
        <v>3</v>
      </c>
      <c r="AS80" s="20" t="inlineStr">
        <is>
          <t>0000000000013410</t>
        </is>
      </c>
    </row>
    <row r="81">
      <c r="A81" t="n">
        <v>60667213</v>
      </c>
      <c r="B81" t="inlineStr">
        <is>
          <t>52.8563.</t>
        </is>
      </c>
      <c r="C81" t="inlineStr">
        <is>
          <t>52.8564.</t>
        </is>
      </c>
      <c r="D81" t="inlineStr">
        <is>
          <t>City of Santa Cruz - Graham Hill WTP Facility Improvements</t>
        </is>
      </c>
      <c r="E81" t="inlineStr">
        <is>
          <t>AECOM - W.M. Lyles VII</t>
        </is>
      </c>
      <c r="F81" t="n">
        <v>0.5</v>
      </c>
      <c r="AL81" t="n">
        <v>0</v>
      </c>
      <c r="AR81" t="n">
        <v>3</v>
      </c>
      <c r="AS81" s="20" t="inlineStr">
        <is>
          <t>0000000000013636</t>
        </is>
      </c>
    </row>
    <row r="82">
      <c r="A82" t="n">
        <v>60685827</v>
      </c>
      <c r="B82" t="inlineStr">
        <is>
          <t>55.1204.</t>
        </is>
      </c>
      <c r="C82" t="inlineStr">
        <is>
          <t>55.1205.</t>
        </is>
      </c>
      <c r="D82" t="inlineStr">
        <is>
          <t xml:space="preserve">East County Advanced Water Purification Project - Package 3 </t>
        </is>
      </c>
      <c r="E82" t="inlineStr">
        <is>
          <t>AECOM - W.M. Lyles VI</t>
        </is>
      </c>
      <c r="F82" t="n">
        <v>0.5</v>
      </c>
      <c r="AL82" t="n">
        <v>0</v>
      </c>
      <c r="AR82" t="n">
        <v>4</v>
      </c>
      <c r="AS82" s="20" t="inlineStr">
        <is>
          <t>0000000000013524</t>
        </is>
      </c>
    </row>
    <row r="83">
      <c r="A83" t="n">
        <v>60685827</v>
      </c>
      <c r="B83" t="inlineStr">
        <is>
          <t>55.1204.</t>
        </is>
      </c>
      <c r="C83" t="inlineStr">
        <is>
          <t>55.1205.</t>
        </is>
      </c>
      <c r="D83" t="inlineStr">
        <is>
          <t xml:space="preserve">East County Advanced Water Purification Project - Package 3 </t>
        </is>
      </c>
      <c r="E83" t="inlineStr">
        <is>
          <t>AECOM - W.M. Lyles VI</t>
        </is>
      </c>
      <c r="F83" t="n">
        <v>0.5</v>
      </c>
      <c r="AL83" t="n">
        <v>0</v>
      </c>
      <c r="AR83" t="n">
        <v>4</v>
      </c>
      <c r="AS83" s="20" t="inlineStr">
        <is>
          <t>000000000001364B</t>
        </is>
      </c>
    </row>
    <row r="84">
      <c r="A84" t="n">
        <v>60685827</v>
      </c>
      <c r="B84" t="inlineStr">
        <is>
          <t>55.1204.</t>
        </is>
      </c>
      <c r="C84" t="inlineStr">
        <is>
          <t>55.1205.</t>
        </is>
      </c>
      <c r="D84" t="inlineStr">
        <is>
          <t xml:space="preserve">East County Advanced Water Purification Project - Package 3 </t>
        </is>
      </c>
      <c r="E84" t="inlineStr">
        <is>
          <t>AECOM - W.M. Lyles VI</t>
        </is>
      </c>
      <c r="F84" t="n">
        <v>0.5</v>
      </c>
      <c r="AL84" t="n">
        <v>0</v>
      </c>
      <c r="AR84" t="n">
        <v>4</v>
      </c>
      <c r="AS84" s="20" t="inlineStr">
        <is>
          <t>0000000000013641</t>
        </is>
      </c>
    </row>
    <row r="85">
      <c r="A85" t="n">
        <v>60685827</v>
      </c>
      <c r="B85" t="inlineStr">
        <is>
          <t>55.1204.</t>
        </is>
      </c>
      <c r="C85" t="inlineStr">
        <is>
          <t>55.1205.</t>
        </is>
      </c>
      <c r="D85" t="inlineStr">
        <is>
          <t xml:space="preserve">East County Advanced Water Purification Project - Package 3 </t>
        </is>
      </c>
      <c r="E85" t="inlineStr">
        <is>
          <t>AECOM - W.M. Lyles VI</t>
        </is>
      </c>
      <c r="F85" t="n">
        <v>0.5</v>
      </c>
      <c r="AL85" t="n">
        <v>0</v>
      </c>
      <c r="AR85" t="n">
        <v>4</v>
      </c>
      <c r="AS85" s="20" t="inlineStr">
        <is>
          <t>0000000000013411</t>
        </is>
      </c>
    </row>
    <row r="86">
      <c r="A86" t="n">
        <v>60685827</v>
      </c>
      <c r="B86" t="inlineStr">
        <is>
          <t>55.1204.</t>
        </is>
      </c>
      <c r="C86" t="inlineStr">
        <is>
          <t>55.1205.</t>
        </is>
      </c>
      <c r="D86" t="inlineStr">
        <is>
          <t xml:space="preserve">East County Advanced Water Purification Project - Package 3 </t>
        </is>
      </c>
      <c r="E86" t="inlineStr">
        <is>
          <t>AECOM - W.M. Lyles VI</t>
        </is>
      </c>
      <c r="F86" t="n">
        <v>0.5</v>
      </c>
      <c r="AL86" t="n">
        <v>0</v>
      </c>
      <c r="AR86" t="n">
        <v>4</v>
      </c>
      <c r="AS86" s="20" t="inlineStr">
        <is>
          <t>0000000000013637</t>
        </is>
      </c>
    </row>
    <row r="87">
      <c r="A87" t="n">
        <v>60685827</v>
      </c>
      <c r="B87" t="inlineStr">
        <is>
          <t>55.1204.</t>
        </is>
      </c>
      <c r="C87" t="inlineStr">
        <is>
          <t>55.1205.</t>
        </is>
      </c>
      <c r="D87" t="inlineStr">
        <is>
          <t xml:space="preserve">East County Advanced Water Purification Project - Package 3 </t>
        </is>
      </c>
      <c r="E87" t="inlineStr">
        <is>
          <t>AECOM - W.M. Lyles VI</t>
        </is>
      </c>
      <c r="F87" t="n">
        <v>0.5</v>
      </c>
      <c r="AL87" t="n">
        <v>0</v>
      </c>
      <c r="AR87" t="n">
        <v>4</v>
      </c>
      <c r="AS87" s="20" t="inlineStr">
        <is>
          <t>0000000000013524</t>
        </is>
      </c>
    </row>
    <row r="88">
      <c r="A88" t="n">
        <v>60685827</v>
      </c>
      <c r="B88" t="inlineStr">
        <is>
          <t>55.1204.</t>
        </is>
      </c>
      <c r="C88" t="inlineStr">
        <is>
          <t>55.1205.</t>
        </is>
      </c>
      <c r="D88" t="inlineStr">
        <is>
          <t xml:space="preserve">East County Advanced Water Purification Project - Package 3 </t>
        </is>
      </c>
      <c r="E88" t="inlineStr">
        <is>
          <t>AECOM - W.M. Lyles VI</t>
        </is>
      </c>
      <c r="F88" t="n">
        <v>0.5</v>
      </c>
      <c r="AL88" t="n">
        <v>0</v>
      </c>
      <c r="AR88" t="n">
        <v>4</v>
      </c>
      <c r="AS88" s="20" t="inlineStr">
        <is>
          <t>000000000001364B</t>
        </is>
      </c>
    </row>
    <row r="89">
      <c r="A89" t="n">
        <v>60685827</v>
      </c>
      <c r="B89" t="inlineStr">
        <is>
          <t>55.1204.</t>
        </is>
      </c>
      <c r="C89" t="inlineStr">
        <is>
          <t>55.1205.</t>
        </is>
      </c>
      <c r="D89" t="inlineStr">
        <is>
          <t xml:space="preserve">East County Advanced Water Purification Project - Package 3 </t>
        </is>
      </c>
      <c r="E89" t="inlineStr">
        <is>
          <t>AECOM - W.M. Lyles VI</t>
        </is>
      </c>
      <c r="F89" t="n">
        <v>0.5</v>
      </c>
      <c r="AL89" t="n">
        <v>0</v>
      </c>
      <c r="AR89" t="n">
        <v>4</v>
      </c>
      <c r="AS89" s="20" t="inlineStr">
        <is>
          <t>0000000000013641</t>
        </is>
      </c>
    </row>
    <row r="90">
      <c r="A90" t="n">
        <v>60685827</v>
      </c>
      <c r="B90" t="inlineStr">
        <is>
          <t>55.1204.</t>
        </is>
      </c>
      <c r="C90" t="inlineStr">
        <is>
          <t>55.1205.</t>
        </is>
      </c>
      <c r="D90" t="inlineStr">
        <is>
          <t xml:space="preserve">East County Advanced Water Purification Project - Package 3 </t>
        </is>
      </c>
      <c r="E90" t="inlineStr">
        <is>
          <t>AECOM - W.M. Lyles VI</t>
        </is>
      </c>
      <c r="F90" t="n">
        <v>0.5</v>
      </c>
      <c r="AL90" t="n">
        <v>0</v>
      </c>
      <c r="AR90" t="n">
        <v>4</v>
      </c>
      <c r="AS90" s="20" t="inlineStr">
        <is>
          <t>0000000000013411</t>
        </is>
      </c>
    </row>
    <row r="91">
      <c r="A91" t="n">
        <v>60685827</v>
      </c>
      <c r="B91" t="inlineStr">
        <is>
          <t>55.1204.</t>
        </is>
      </c>
      <c r="C91" t="inlineStr">
        <is>
          <t>55.1205.</t>
        </is>
      </c>
      <c r="D91" t="inlineStr">
        <is>
          <t xml:space="preserve">East County Advanced Water Purification Project - Package 3 </t>
        </is>
      </c>
      <c r="E91" t="inlineStr">
        <is>
          <t>AECOM - W.M. Lyles VI</t>
        </is>
      </c>
      <c r="F91" t="n">
        <v>0.5</v>
      </c>
      <c r="AL91" t="n">
        <v>0</v>
      </c>
      <c r="AR91" t="n">
        <v>4</v>
      </c>
      <c r="AS91" s="20" t="inlineStr">
        <is>
          <t>0000000000013637</t>
        </is>
      </c>
    </row>
    <row r="92">
      <c r="A92" t="n">
        <v>60685827</v>
      </c>
      <c r="B92" t="inlineStr">
        <is>
          <t>55.1204.</t>
        </is>
      </c>
      <c r="C92" t="inlineStr">
        <is>
          <t>55.1205.</t>
        </is>
      </c>
      <c r="D92" t="inlineStr">
        <is>
          <t xml:space="preserve">East County Advanced Water Purification Project - Package 3 </t>
        </is>
      </c>
      <c r="E92" t="inlineStr">
        <is>
          <t>AECOM - W.M. Lyles VI</t>
        </is>
      </c>
      <c r="F92" t="n">
        <v>0.5</v>
      </c>
      <c r="AL92" t="n">
        <v>0</v>
      </c>
      <c r="AR92" t="n">
        <v>4</v>
      </c>
      <c r="AS92" s="20" t="inlineStr">
        <is>
          <t>0000000000013524</t>
        </is>
      </c>
    </row>
    <row r="93">
      <c r="A93" t="n">
        <v>60685827</v>
      </c>
      <c r="B93" t="inlineStr">
        <is>
          <t>55.1204.</t>
        </is>
      </c>
      <c r="C93" t="inlineStr">
        <is>
          <t>55.1205.</t>
        </is>
      </c>
      <c r="D93" t="inlineStr">
        <is>
          <t xml:space="preserve">East County Advanced Water Purification Project - Package 3 </t>
        </is>
      </c>
      <c r="E93" t="inlineStr">
        <is>
          <t>AECOM - W.M. Lyles VI</t>
        </is>
      </c>
      <c r="F93" t="n">
        <v>0.5</v>
      </c>
      <c r="AL93" t="n">
        <v>0</v>
      </c>
      <c r="AR93" t="n">
        <v>4</v>
      </c>
      <c r="AS93" s="20" t="inlineStr">
        <is>
          <t>000000000001364B</t>
        </is>
      </c>
    </row>
    <row r="94">
      <c r="A94" t="n">
        <v>60685827</v>
      </c>
      <c r="B94" t="inlineStr">
        <is>
          <t>55.1204.</t>
        </is>
      </c>
      <c r="C94" t="inlineStr">
        <is>
          <t>55.1205.</t>
        </is>
      </c>
      <c r="D94" t="inlineStr">
        <is>
          <t xml:space="preserve">East County Advanced Water Purification Project - Package 3 </t>
        </is>
      </c>
      <c r="E94" t="inlineStr">
        <is>
          <t>AECOM - W.M. Lyles VI</t>
        </is>
      </c>
      <c r="F94" t="n">
        <v>0.5</v>
      </c>
      <c r="AL94" t="n">
        <v>0</v>
      </c>
      <c r="AR94" t="n">
        <v>4</v>
      </c>
      <c r="AS94" s="20" t="inlineStr">
        <is>
          <t>0000000000013641</t>
        </is>
      </c>
    </row>
    <row r="95">
      <c r="A95" t="n">
        <v>60685827</v>
      </c>
      <c r="B95" t="inlineStr">
        <is>
          <t>55.1204.</t>
        </is>
      </c>
      <c r="C95" t="inlineStr">
        <is>
          <t>55.1205.</t>
        </is>
      </c>
      <c r="D95" t="inlineStr">
        <is>
          <t xml:space="preserve">East County Advanced Water Purification Project - Package 3 </t>
        </is>
      </c>
      <c r="E95" t="inlineStr">
        <is>
          <t>AECOM - W.M. Lyles VI</t>
        </is>
      </c>
      <c r="F95" t="n">
        <v>0.5</v>
      </c>
      <c r="AL95" t="n">
        <v>0</v>
      </c>
      <c r="AR95" t="n">
        <v>4</v>
      </c>
      <c r="AS95" s="20" t="inlineStr">
        <is>
          <t>0000000000013411</t>
        </is>
      </c>
    </row>
    <row r="96">
      <c r="A96" t="n">
        <v>60685827</v>
      </c>
      <c r="B96" t="inlineStr">
        <is>
          <t>55.1204.</t>
        </is>
      </c>
      <c r="C96" t="inlineStr">
        <is>
          <t>55.1205.</t>
        </is>
      </c>
      <c r="D96" t="inlineStr">
        <is>
          <t xml:space="preserve">East County Advanced Water Purification Project - Package 3 </t>
        </is>
      </c>
      <c r="E96" t="inlineStr">
        <is>
          <t>AECOM - W.M. Lyles VI</t>
        </is>
      </c>
      <c r="F96" t="n">
        <v>0.5</v>
      </c>
      <c r="AL96" t="n">
        <v>0</v>
      </c>
      <c r="AR96" t="n">
        <v>4</v>
      </c>
      <c r="AS96" s="20" t="inlineStr">
        <is>
          <t>0000000000013637</t>
        </is>
      </c>
    </row>
    <row r="97">
      <c r="A97" t="n">
        <v>60685827</v>
      </c>
      <c r="B97" t="inlineStr">
        <is>
          <t>55.1204.</t>
        </is>
      </c>
      <c r="C97" t="inlineStr">
        <is>
          <t>55.1205.</t>
        </is>
      </c>
      <c r="D97" t="inlineStr">
        <is>
          <t xml:space="preserve">East County Advanced Water Purification Project - Package 3 </t>
        </is>
      </c>
      <c r="E97" t="inlineStr">
        <is>
          <t>AECOM - W.M. Lyles VI</t>
        </is>
      </c>
      <c r="F97" t="n">
        <v>0.5</v>
      </c>
      <c r="AL97" t="n">
        <v>0</v>
      </c>
      <c r="AR97" t="n">
        <v>4</v>
      </c>
      <c r="AS97" s="20" t="inlineStr">
        <is>
          <t>0000000000013524</t>
        </is>
      </c>
    </row>
    <row r="98">
      <c r="A98" t="n">
        <v>60685827</v>
      </c>
      <c r="B98" t="inlineStr">
        <is>
          <t>55.1204.</t>
        </is>
      </c>
      <c r="C98" t="inlineStr">
        <is>
          <t>55.1205.</t>
        </is>
      </c>
      <c r="D98" t="inlineStr">
        <is>
          <t xml:space="preserve">East County Advanced Water Purification Project - Package 3 </t>
        </is>
      </c>
      <c r="E98" t="inlineStr">
        <is>
          <t>AECOM - W.M. Lyles VI</t>
        </is>
      </c>
      <c r="F98" t="n">
        <v>0.5</v>
      </c>
      <c r="AL98" t="n">
        <v>0</v>
      </c>
      <c r="AR98" t="n">
        <v>4</v>
      </c>
      <c r="AS98" s="20" t="inlineStr">
        <is>
          <t>000000000001364B</t>
        </is>
      </c>
    </row>
    <row r="99">
      <c r="A99" t="n">
        <v>60685827</v>
      </c>
      <c r="B99" t="inlineStr">
        <is>
          <t>55.1204.</t>
        </is>
      </c>
      <c r="C99" t="inlineStr">
        <is>
          <t>55.1205.</t>
        </is>
      </c>
      <c r="D99" t="inlineStr">
        <is>
          <t xml:space="preserve">East County Advanced Water Purification Project - Package 3 </t>
        </is>
      </c>
      <c r="E99" t="inlineStr">
        <is>
          <t>AECOM - W.M. Lyles VI</t>
        </is>
      </c>
      <c r="F99" t="n">
        <v>0.5</v>
      </c>
      <c r="AL99" t="n">
        <v>0</v>
      </c>
      <c r="AR99" t="n">
        <v>4</v>
      </c>
      <c r="AS99" s="20" t="inlineStr">
        <is>
          <t>0000000000013641</t>
        </is>
      </c>
    </row>
    <row r="100">
      <c r="A100" t="n">
        <v>60685827</v>
      </c>
      <c r="B100" t="inlineStr">
        <is>
          <t>55.1204.</t>
        </is>
      </c>
      <c r="C100" t="inlineStr">
        <is>
          <t>55.1205.</t>
        </is>
      </c>
      <c r="D100" t="inlineStr">
        <is>
          <t xml:space="preserve">East County Advanced Water Purification Project - Package 3 </t>
        </is>
      </c>
      <c r="E100" t="inlineStr">
        <is>
          <t>AECOM - W.M. Lyles VI</t>
        </is>
      </c>
      <c r="F100" t="n">
        <v>0.5</v>
      </c>
      <c r="AL100" t="n">
        <v>0</v>
      </c>
      <c r="AR100" t="n">
        <v>4</v>
      </c>
      <c r="AS100" s="20" t="inlineStr">
        <is>
          <t>0000000000013411</t>
        </is>
      </c>
    </row>
    <row r="101">
      <c r="A101" t="n">
        <v>60685827</v>
      </c>
      <c r="B101" t="inlineStr">
        <is>
          <t>55.1204.</t>
        </is>
      </c>
      <c r="C101" t="inlineStr">
        <is>
          <t>55.1205.</t>
        </is>
      </c>
      <c r="D101" t="inlineStr">
        <is>
          <t xml:space="preserve">East County Advanced Water Purification Project - Package 3 </t>
        </is>
      </c>
      <c r="E101" t="inlineStr">
        <is>
          <t>AECOM - W.M. Lyles VI</t>
        </is>
      </c>
      <c r="F101" t="n">
        <v>0.5</v>
      </c>
      <c r="AL101" t="n">
        <v>0</v>
      </c>
      <c r="AR101" t="n">
        <v>4</v>
      </c>
      <c r="AS101" s="20" t="inlineStr">
        <is>
          <t>0000000000013637</t>
        </is>
      </c>
    </row>
    <row r="102">
      <c r="A102" t="n">
        <v>60685827</v>
      </c>
      <c r="B102" t="inlineStr">
        <is>
          <t>55.1204.</t>
        </is>
      </c>
      <c r="C102" t="inlineStr">
        <is>
          <t>55.1205.</t>
        </is>
      </c>
      <c r="D102" t="inlineStr">
        <is>
          <t xml:space="preserve">East County Advanced Water Purification Project - Package 3 </t>
        </is>
      </c>
      <c r="E102" t="inlineStr">
        <is>
          <t>AECOM - W.M. Lyles VI</t>
        </is>
      </c>
      <c r="F102" t="n">
        <v>0.5</v>
      </c>
      <c r="AL102" t="n">
        <v>0</v>
      </c>
      <c r="AR102" t="n">
        <v>4</v>
      </c>
      <c r="AS102" s="20" t="inlineStr">
        <is>
          <t>0000000000013524</t>
        </is>
      </c>
    </row>
    <row r="103">
      <c r="A103" t="n">
        <v>60685827</v>
      </c>
      <c r="B103" t="inlineStr">
        <is>
          <t>55.1204.</t>
        </is>
      </c>
      <c r="C103" t="inlineStr">
        <is>
          <t>55.1205.</t>
        </is>
      </c>
      <c r="D103" t="inlineStr">
        <is>
          <t xml:space="preserve">East County Advanced Water Purification Project - Package 3 </t>
        </is>
      </c>
      <c r="E103" t="inlineStr">
        <is>
          <t>AECOM - W.M. Lyles VI</t>
        </is>
      </c>
      <c r="F103" t="n">
        <v>0.5</v>
      </c>
      <c r="AL103" t="n">
        <v>0</v>
      </c>
      <c r="AR103" t="n">
        <v>4</v>
      </c>
      <c r="AS103" s="20" t="inlineStr">
        <is>
          <t>000000000001364B</t>
        </is>
      </c>
    </row>
    <row r="104">
      <c r="A104" t="n">
        <v>60685827</v>
      </c>
      <c r="B104" t="inlineStr">
        <is>
          <t>55.1204.</t>
        </is>
      </c>
      <c r="C104" t="inlineStr">
        <is>
          <t>55.1205.</t>
        </is>
      </c>
      <c r="D104" t="inlineStr">
        <is>
          <t xml:space="preserve">East County Advanced Water Purification Project - Package 3 </t>
        </is>
      </c>
      <c r="E104" t="inlineStr">
        <is>
          <t>AECOM - W.M. Lyles VI</t>
        </is>
      </c>
      <c r="F104" t="n">
        <v>0.5</v>
      </c>
      <c r="AL104" t="n">
        <v>0</v>
      </c>
      <c r="AR104" t="n">
        <v>4</v>
      </c>
      <c r="AS104" s="20" t="inlineStr">
        <is>
          <t>0000000000013641</t>
        </is>
      </c>
    </row>
    <row r="105">
      <c r="A105" t="n">
        <v>60685827</v>
      </c>
      <c r="B105" t="inlineStr">
        <is>
          <t>55.1204.</t>
        </is>
      </c>
      <c r="C105" t="inlineStr">
        <is>
          <t>55.1205.</t>
        </is>
      </c>
      <c r="D105" t="inlineStr">
        <is>
          <t xml:space="preserve">East County Advanced Water Purification Project - Package 3 </t>
        </is>
      </c>
      <c r="E105" t="inlineStr">
        <is>
          <t>AECOM - W.M. Lyles VI</t>
        </is>
      </c>
      <c r="F105" t="n">
        <v>0.5</v>
      </c>
      <c r="AL105" t="n">
        <v>0</v>
      </c>
      <c r="AR105" t="n">
        <v>4</v>
      </c>
      <c r="AS105" s="20" t="inlineStr">
        <is>
          <t>0000000000013411</t>
        </is>
      </c>
    </row>
    <row r="106">
      <c r="A106" t="n">
        <v>60685827</v>
      </c>
      <c r="B106" t="inlineStr">
        <is>
          <t>55.1204.</t>
        </is>
      </c>
      <c r="C106" t="inlineStr">
        <is>
          <t>55.1205.</t>
        </is>
      </c>
      <c r="D106" t="inlineStr">
        <is>
          <t xml:space="preserve">East County Advanced Water Purification Project - Package 3 </t>
        </is>
      </c>
      <c r="E106" t="inlineStr">
        <is>
          <t>AECOM - W.M. Lyles VI</t>
        </is>
      </c>
      <c r="F106" t="n">
        <v>0.5</v>
      </c>
      <c r="AL106" t="n">
        <v>0</v>
      </c>
      <c r="AR106" t="n">
        <v>4</v>
      </c>
      <c r="AS106" s="20" t="inlineStr">
        <is>
          <t>0000000000013637</t>
        </is>
      </c>
    </row>
    <row r="107">
      <c r="A107" t="n">
        <v>60688056</v>
      </c>
      <c r="B107" t="inlineStr">
        <is>
          <t>55.1200.</t>
        </is>
      </c>
      <c r="C107" t="inlineStr">
        <is>
          <t>55.1201.</t>
        </is>
      </c>
      <c r="D107" t="inlineStr">
        <is>
          <t>East County Advanced Water Purification Project - Package 1</t>
        </is>
      </c>
      <c r="E107" t="inlineStr">
        <is>
          <t>AECOM - W.M. Lyles IV</t>
        </is>
      </c>
      <c r="F107" t="n">
        <v>0.5</v>
      </c>
      <c r="AL107" t="n">
        <v>0</v>
      </c>
      <c r="AR107" t="n">
        <v>5</v>
      </c>
      <c r="AS107" s="20" t="inlineStr">
        <is>
          <t>0000000000013525</t>
        </is>
      </c>
    </row>
    <row r="108">
      <c r="A108" t="n">
        <v>60688056</v>
      </c>
      <c r="B108" t="inlineStr">
        <is>
          <t>55.1200.</t>
        </is>
      </c>
      <c r="C108" t="inlineStr">
        <is>
          <t>55.1201.</t>
        </is>
      </c>
      <c r="D108" t="inlineStr">
        <is>
          <t>East County Advanced Water Purification Project - Package 1</t>
        </is>
      </c>
      <c r="E108" t="inlineStr">
        <is>
          <t>AECOM - W.M. Lyles IV</t>
        </is>
      </c>
      <c r="F108" t="n">
        <v>0.5</v>
      </c>
      <c r="AL108" t="n">
        <v>0</v>
      </c>
      <c r="AR108" t="n">
        <v>5</v>
      </c>
      <c r="AS108" s="20" t="inlineStr">
        <is>
          <t>000000000001364C</t>
        </is>
      </c>
    </row>
    <row r="109">
      <c r="A109" t="n">
        <v>60688056</v>
      </c>
      <c r="B109" t="inlineStr">
        <is>
          <t>55.1200.</t>
        </is>
      </c>
      <c r="C109" t="inlineStr">
        <is>
          <t>55.1201.</t>
        </is>
      </c>
      <c r="D109" t="inlineStr">
        <is>
          <t>East County Advanced Water Purification Project - Package 1</t>
        </is>
      </c>
      <c r="E109" t="inlineStr">
        <is>
          <t>AECOM - W.M. Lyles IV</t>
        </is>
      </c>
      <c r="F109" t="n">
        <v>0.5</v>
      </c>
      <c r="AL109" t="n">
        <v>0</v>
      </c>
      <c r="AR109" t="n">
        <v>5</v>
      </c>
      <c r="AS109" s="20" t="inlineStr">
        <is>
          <t>0000000000013642</t>
        </is>
      </c>
    </row>
    <row r="110">
      <c r="A110" t="n">
        <v>60688056</v>
      </c>
      <c r="B110" t="inlineStr">
        <is>
          <t>55.1200.</t>
        </is>
      </c>
      <c r="C110" t="inlineStr">
        <is>
          <t>55.1201.</t>
        </is>
      </c>
      <c r="D110" t="inlineStr">
        <is>
          <t>East County Advanced Water Purification Project - Package 1</t>
        </is>
      </c>
      <c r="E110" t="inlineStr">
        <is>
          <t>AECOM - W.M. Lyles IV</t>
        </is>
      </c>
      <c r="F110" t="n">
        <v>0.5</v>
      </c>
      <c r="AL110" t="n">
        <v>0</v>
      </c>
      <c r="AR110" t="n">
        <v>5</v>
      </c>
      <c r="AS110" s="20" t="inlineStr">
        <is>
          <t>0000000000013412</t>
        </is>
      </c>
    </row>
    <row r="111">
      <c r="A111" t="n">
        <v>60688056</v>
      </c>
      <c r="B111" t="inlineStr">
        <is>
          <t>55.1200.</t>
        </is>
      </c>
      <c r="C111" t="inlineStr">
        <is>
          <t>55.1201.</t>
        </is>
      </c>
      <c r="D111" t="inlineStr">
        <is>
          <t>East County Advanced Water Purification Project - Package 1</t>
        </is>
      </c>
      <c r="E111" t="inlineStr">
        <is>
          <t>AECOM - W.M. Lyles IV</t>
        </is>
      </c>
      <c r="F111" t="n">
        <v>0.5</v>
      </c>
      <c r="AL111" t="n">
        <v>0</v>
      </c>
      <c r="AR111" t="n">
        <v>5</v>
      </c>
      <c r="AS111" s="20" t="inlineStr">
        <is>
          <t>0000000000013638</t>
        </is>
      </c>
    </row>
    <row r="112">
      <c r="A112" t="n">
        <v>60688056</v>
      </c>
      <c r="B112" t="inlineStr">
        <is>
          <t>55.1200.</t>
        </is>
      </c>
      <c r="C112" t="inlineStr">
        <is>
          <t>55.1201.</t>
        </is>
      </c>
      <c r="D112" t="inlineStr">
        <is>
          <t>East County Advanced Water Purification Project - Package 1</t>
        </is>
      </c>
      <c r="E112" t="inlineStr">
        <is>
          <t>AECOM - W.M. Lyles IV</t>
        </is>
      </c>
      <c r="F112" t="n">
        <v>0.5</v>
      </c>
      <c r="AL112" t="n">
        <v>0</v>
      </c>
      <c r="AR112" t="n">
        <v>5</v>
      </c>
      <c r="AS112" s="20" t="inlineStr">
        <is>
          <t>0000000000013525</t>
        </is>
      </c>
    </row>
    <row r="113">
      <c r="A113" t="n">
        <v>60688056</v>
      </c>
      <c r="B113" t="inlineStr">
        <is>
          <t>55.1200.</t>
        </is>
      </c>
      <c r="C113" t="inlineStr">
        <is>
          <t>55.1201.</t>
        </is>
      </c>
      <c r="D113" t="inlineStr">
        <is>
          <t>East County Advanced Water Purification Project - Package 1</t>
        </is>
      </c>
      <c r="E113" t="inlineStr">
        <is>
          <t>AECOM - W.M. Lyles IV</t>
        </is>
      </c>
      <c r="F113" t="n">
        <v>0.5</v>
      </c>
      <c r="AL113" t="n">
        <v>0</v>
      </c>
      <c r="AR113" t="n">
        <v>5</v>
      </c>
      <c r="AS113" s="20" t="inlineStr">
        <is>
          <t>000000000001364C</t>
        </is>
      </c>
    </row>
    <row r="114">
      <c r="A114" t="n">
        <v>60688056</v>
      </c>
      <c r="B114" t="inlineStr">
        <is>
          <t>55.1200.</t>
        </is>
      </c>
      <c r="C114" t="inlineStr">
        <is>
          <t>55.1201.</t>
        </is>
      </c>
      <c r="D114" t="inlineStr">
        <is>
          <t>East County Advanced Water Purification Project - Package 1</t>
        </is>
      </c>
      <c r="E114" t="inlineStr">
        <is>
          <t>AECOM - W.M. Lyles IV</t>
        </is>
      </c>
      <c r="F114" t="n">
        <v>0.5</v>
      </c>
      <c r="AL114" t="n">
        <v>0</v>
      </c>
      <c r="AR114" t="n">
        <v>5</v>
      </c>
      <c r="AS114" s="20" t="inlineStr">
        <is>
          <t>0000000000013642</t>
        </is>
      </c>
    </row>
    <row r="115">
      <c r="A115" t="n">
        <v>60688056</v>
      </c>
      <c r="B115" t="inlineStr">
        <is>
          <t>55.1200.</t>
        </is>
      </c>
      <c r="C115" t="inlineStr">
        <is>
          <t>55.1201.</t>
        </is>
      </c>
      <c r="D115" t="inlineStr">
        <is>
          <t>East County Advanced Water Purification Project - Package 1</t>
        </is>
      </c>
      <c r="E115" t="inlineStr">
        <is>
          <t>AECOM - W.M. Lyles IV</t>
        </is>
      </c>
      <c r="F115" t="n">
        <v>0.5</v>
      </c>
      <c r="AL115" t="n">
        <v>0</v>
      </c>
      <c r="AR115" t="n">
        <v>5</v>
      </c>
      <c r="AS115" s="20" t="inlineStr">
        <is>
          <t>0000000000013412</t>
        </is>
      </c>
    </row>
    <row r="116">
      <c r="A116" t="n">
        <v>60688056</v>
      </c>
      <c r="B116" t="inlineStr">
        <is>
          <t>55.1200.</t>
        </is>
      </c>
      <c r="C116" t="inlineStr">
        <is>
          <t>55.1201.</t>
        </is>
      </c>
      <c r="D116" t="inlineStr">
        <is>
          <t>East County Advanced Water Purification Project - Package 1</t>
        </is>
      </c>
      <c r="E116" t="inlineStr">
        <is>
          <t>AECOM - W.M. Lyles IV</t>
        </is>
      </c>
      <c r="F116" t="n">
        <v>0.5</v>
      </c>
      <c r="AL116" t="n">
        <v>0</v>
      </c>
      <c r="AR116" t="n">
        <v>5</v>
      </c>
      <c r="AS116" s="20" t="inlineStr">
        <is>
          <t>0000000000013638</t>
        </is>
      </c>
    </row>
    <row r="117">
      <c r="A117" t="n">
        <v>60688056</v>
      </c>
      <c r="B117" t="inlineStr">
        <is>
          <t>55.1200.</t>
        </is>
      </c>
      <c r="C117" t="inlineStr">
        <is>
          <t>55.1201.</t>
        </is>
      </c>
      <c r="D117" t="inlineStr">
        <is>
          <t>East County Advanced Water Purification Project - Package 1</t>
        </is>
      </c>
      <c r="E117" t="inlineStr">
        <is>
          <t>AECOM - W.M. Lyles IV</t>
        </is>
      </c>
      <c r="F117" t="n">
        <v>0.5</v>
      </c>
      <c r="AL117" t="n">
        <v>0</v>
      </c>
      <c r="AR117" t="n">
        <v>5</v>
      </c>
      <c r="AS117" s="20" t="inlineStr">
        <is>
          <t>0000000000013525</t>
        </is>
      </c>
    </row>
    <row r="118">
      <c r="A118" t="n">
        <v>60688056</v>
      </c>
      <c r="B118" t="inlineStr">
        <is>
          <t>55.1200.</t>
        </is>
      </c>
      <c r="C118" t="inlineStr">
        <is>
          <t>55.1201.</t>
        </is>
      </c>
      <c r="D118" t="inlineStr">
        <is>
          <t>East County Advanced Water Purification Project - Package 1</t>
        </is>
      </c>
      <c r="E118" t="inlineStr">
        <is>
          <t>AECOM - W.M. Lyles IV</t>
        </is>
      </c>
      <c r="F118" t="n">
        <v>0.5</v>
      </c>
      <c r="AL118" t="n">
        <v>0</v>
      </c>
      <c r="AR118" t="n">
        <v>5</v>
      </c>
      <c r="AS118" s="20" t="inlineStr">
        <is>
          <t>000000000001364C</t>
        </is>
      </c>
    </row>
    <row r="119">
      <c r="A119" t="n">
        <v>60688056</v>
      </c>
      <c r="B119" t="inlineStr">
        <is>
          <t>55.1200.</t>
        </is>
      </c>
      <c r="C119" t="inlineStr">
        <is>
          <t>55.1201.</t>
        </is>
      </c>
      <c r="D119" t="inlineStr">
        <is>
          <t>East County Advanced Water Purification Project - Package 1</t>
        </is>
      </c>
      <c r="E119" t="inlineStr">
        <is>
          <t>AECOM - W.M. Lyles IV</t>
        </is>
      </c>
      <c r="F119" t="n">
        <v>0.5</v>
      </c>
      <c r="AL119" t="n">
        <v>0</v>
      </c>
      <c r="AR119" t="n">
        <v>5</v>
      </c>
      <c r="AS119" s="20" t="inlineStr">
        <is>
          <t>0000000000013642</t>
        </is>
      </c>
    </row>
    <row r="120">
      <c r="A120" t="n">
        <v>60688056</v>
      </c>
      <c r="B120" t="inlineStr">
        <is>
          <t>55.1200.</t>
        </is>
      </c>
      <c r="C120" t="inlineStr">
        <is>
          <t>55.1201.</t>
        </is>
      </c>
      <c r="D120" t="inlineStr">
        <is>
          <t>East County Advanced Water Purification Project - Package 1</t>
        </is>
      </c>
      <c r="E120" t="inlineStr">
        <is>
          <t>AECOM - W.M. Lyles IV</t>
        </is>
      </c>
      <c r="F120" t="n">
        <v>0.5</v>
      </c>
      <c r="AL120" t="n">
        <v>0</v>
      </c>
      <c r="AR120" t="n">
        <v>5</v>
      </c>
      <c r="AS120" s="20" t="inlineStr">
        <is>
          <t>0000000000013412</t>
        </is>
      </c>
    </row>
    <row r="121">
      <c r="A121" t="n">
        <v>60688056</v>
      </c>
      <c r="B121" t="inlineStr">
        <is>
          <t>55.1200.</t>
        </is>
      </c>
      <c r="C121" t="inlineStr">
        <is>
          <t>55.1201.</t>
        </is>
      </c>
      <c r="D121" t="inlineStr">
        <is>
          <t>East County Advanced Water Purification Project - Package 1</t>
        </is>
      </c>
      <c r="E121" t="inlineStr">
        <is>
          <t>AECOM - W.M. Lyles IV</t>
        </is>
      </c>
      <c r="F121" t="n">
        <v>0.5</v>
      </c>
      <c r="AL121" t="n">
        <v>0</v>
      </c>
      <c r="AR121" t="n">
        <v>5</v>
      </c>
      <c r="AS121" s="20" t="inlineStr">
        <is>
          <t>0000000000013638</t>
        </is>
      </c>
    </row>
    <row r="122">
      <c r="A122" t="n">
        <v>60688056</v>
      </c>
      <c r="B122" t="inlineStr">
        <is>
          <t>55.1200.</t>
        </is>
      </c>
      <c r="C122" t="inlineStr">
        <is>
          <t>55.1201.</t>
        </is>
      </c>
      <c r="D122" t="inlineStr">
        <is>
          <t>East County Advanced Water Purification Project - Package 1</t>
        </is>
      </c>
      <c r="E122" t="inlineStr">
        <is>
          <t>AECOM - W.M. Lyles IV</t>
        </is>
      </c>
      <c r="F122" t="n">
        <v>0.5</v>
      </c>
      <c r="AL122" t="n">
        <v>0</v>
      </c>
      <c r="AR122" t="n">
        <v>5</v>
      </c>
      <c r="AS122" s="20" t="inlineStr">
        <is>
          <t>0000000000013525</t>
        </is>
      </c>
    </row>
    <row r="123">
      <c r="A123" t="n">
        <v>60688056</v>
      </c>
      <c r="B123" t="inlineStr">
        <is>
          <t>55.1200.</t>
        </is>
      </c>
      <c r="C123" t="inlineStr">
        <is>
          <t>55.1201.</t>
        </is>
      </c>
      <c r="D123" t="inlineStr">
        <is>
          <t>East County Advanced Water Purification Project - Package 1</t>
        </is>
      </c>
      <c r="E123" t="inlineStr">
        <is>
          <t>AECOM - W.M. Lyles IV</t>
        </is>
      </c>
      <c r="F123" t="n">
        <v>0.5</v>
      </c>
      <c r="AL123" t="n">
        <v>0</v>
      </c>
      <c r="AR123" t="n">
        <v>5</v>
      </c>
      <c r="AS123" s="20" t="inlineStr">
        <is>
          <t>000000000001364C</t>
        </is>
      </c>
    </row>
    <row r="124">
      <c r="A124" t="n">
        <v>60688056</v>
      </c>
      <c r="B124" t="inlineStr">
        <is>
          <t>55.1200.</t>
        </is>
      </c>
      <c r="C124" t="inlineStr">
        <is>
          <t>55.1201.</t>
        </is>
      </c>
      <c r="D124" t="inlineStr">
        <is>
          <t>East County Advanced Water Purification Project - Package 1</t>
        </is>
      </c>
      <c r="E124" t="inlineStr">
        <is>
          <t>AECOM - W.M. Lyles IV</t>
        </is>
      </c>
      <c r="F124" t="n">
        <v>0.5</v>
      </c>
      <c r="AL124" t="n">
        <v>0</v>
      </c>
      <c r="AR124" t="n">
        <v>5</v>
      </c>
      <c r="AS124" s="20" t="inlineStr">
        <is>
          <t>0000000000013642</t>
        </is>
      </c>
    </row>
    <row r="125">
      <c r="A125" t="n">
        <v>60688056</v>
      </c>
      <c r="B125" t="inlineStr">
        <is>
          <t>55.1200.</t>
        </is>
      </c>
      <c r="C125" t="inlineStr">
        <is>
          <t>55.1201.</t>
        </is>
      </c>
      <c r="D125" t="inlineStr">
        <is>
          <t>East County Advanced Water Purification Project - Package 1</t>
        </is>
      </c>
      <c r="E125" t="inlineStr">
        <is>
          <t>AECOM - W.M. Lyles IV</t>
        </is>
      </c>
      <c r="F125" t="n">
        <v>0.5</v>
      </c>
      <c r="AL125" t="n">
        <v>0</v>
      </c>
      <c r="AR125" t="n">
        <v>5</v>
      </c>
      <c r="AS125" s="20" t="inlineStr">
        <is>
          <t>0000000000013412</t>
        </is>
      </c>
    </row>
    <row r="126">
      <c r="A126" t="n">
        <v>60688056</v>
      </c>
      <c r="B126" t="inlineStr">
        <is>
          <t>55.1200.</t>
        </is>
      </c>
      <c r="C126" t="inlineStr">
        <is>
          <t>55.1201.</t>
        </is>
      </c>
      <c r="D126" t="inlineStr">
        <is>
          <t>East County Advanced Water Purification Project - Package 1</t>
        </is>
      </c>
      <c r="E126" t="inlineStr">
        <is>
          <t>AECOM - W.M. Lyles IV</t>
        </is>
      </c>
      <c r="F126" t="n">
        <v>0.5</v>
      </c>
      <c r="AL126" t="n">
        <v>0</v>
      </c>
      <c r="AR126" t="n">
        <v>5</v>
      </c>
      <c r="AS126" s="20" t="inlineStr">
        <is>
          <t>0000000000013638</t>
        </is>
      </c>
    </row>
    <row r="127">
      <c r="A127" t="n">
        <v>60688056</v>
      </c>
      <c r="B127" t="inlineStr">
        <is>
          <t>55.1200.</t>
        </is>
      </c>
      <c r="C127" t="inlineStr">
        <is>
          <t>55.1201.</t>
        </is>
      </c>
      <c r="D127" t="inlineStr">
        <is>
          <t>East County Advanced Water Purification Project - Package 1</t>
        </is>
      </c>
      <c r="E127" t="inlineStr">
        <is>
          <t>AECOM - W.M. Lyles IV</t>
        </is>
      </c>
      <c r="F127" t="n">
        <v>0.5</v>
      </c>
      <c r="AL127" t="n">
        <v>0</v>
      </c>
      <c r="AR127" t="n">
        <v>5</v>
      </c>
      <c r="AS127" s="20" t="inlineStr">
        <is>
          <t>0000000000013525</t>
        </is>
      </c>
    </row>
    <row r="128">
      <c r="A128" t="n">
        <v>60688056</v>
      </c>
      <c r="B128" t="inlineStr">
        <is>
          <t>55.1200.</t>
        </is>
      </c>
      <c r="C128" t="inlineStr">
        <is>
          <t>55.1201.</t>
        </is>
      </c>
      <c r="D128" t="inlineStr">
        <is>
          <t>East County Advanced Water Purification Project - Package 1</t>
        </is>
      </c>
      <c r="E128" t="inlineStr">
        <is>
          <t>AECOM - W.M. Lyles IV</t>
        </is>
      </c>
      <c r="F128" t="n">
        <v>0.5</v>
      </c>
      <c r="AL128" t="n">
        <v>0</v>
      </c>
      <c r="AR128" t="n">
        <v>5</v>
      </c>
      <c r="AS128" s="20" t="inlineStr">
        <is>
          <t>000000000001364C</t>
        </is>
      </c>
    </row>
    <row r="129">
      <c r="A129" t="n">
        <v>60688056</v>
      </c>
      <c r="B129" t="inlineStr">
        <is>
          <t>55.1200.</t>
        </is>
      </c>
      <c r="C129" t="inlineStr">
        <is>
          <t>55.1201.</t>
        </is>
      </c>
      <c r="D129" t="inlineStr">
        <is>
          <t>East County Advanced Water Purification Project - Package 1</t>
        </is>
      </c>
      <c r="E129" t="inlineStr">
        <is>
          <t>AECOM - W.M. Lyles IV</t>
        </is>
      </c>
      <c r="F129" t="n">
        <v>0.5</v>
      </c>
      <c r="AL129" t="n">
        <v>0</v>
      </c>
      <c r="AR129" t="n">
        <v>5</v>
      </c>
      <c r="AS129" s="20" t="inlineStr">
        <is>
          <t>0000000000013642</t>
        </is>
      </c>
    </row>
    <row r="130">
      <c r="A130" t="n">
        <v>60688056</v>
      </c>
      <c r="B130" t="inlineStr">
        <is>
          <t>55.1200.</t>
        </is>
      </c>
      <c r="C130" t="inlineStr">
        <is>
          <t>55.1201.</t>
        </is>
      </c>
      <c r="D130" t="inlineStr">
        <is>
          <t>East County Advanced Water Purification Project - Package 1</t>
        </is>
      </c>
      <c r="E130" t="inlineStr">
        <is>
          <t>AECOM - W.M. Lyles IV</t>
        </is>
      </c>
      <c r="F130" t="n">
        <v>0.5</v>
      </c>
      <c r="AL130" t="n">
        <v>0</v>
      </c>
      <c r="AR130" t="n">
        <v>5</v>
      </c>
      <c r="AS130" s="20" t="inlineStr">
        <is>
          <t>0000000000013412</t>
        </is>
      </c>
    </row>
    <row r="131">
      <c r="A131" t="n">
        <v>60688056</v>
      </c>
      <c r="B131" t="inlineStr">
        <is>
          <t>55.1200.</t>
        </is>
      </c>
      <c r="C131" t="inlineStr">
        <is>
          <t>55.1201.</t>
        </is>
      </c>
      <c r="D131" t="inlineStr">
        <is>
          <t>East County Advanced Water Purification Project - Package 1</t>
        </is>
      </c>
      <c r="E131" t="inlineStr">
        <is>
          <t>AECOM - W.M. Lyles IV</t>
        </is>
      </c>
      <c r="F131" t="n">
        <v>0.5</v>
      </c>
      <c r="AL131" t="n">
        <v>0</v>
      </c>
      <c r="AR131" t="n">
        <v>5</v>
      </c>
      <c r="AS131" s="20" t="inlineStr">
        <is>
          <t>0000000000013638</t>
        </is>
      </c>
    </row>
    <row r="132">
      <c r="AL132" t="n">
        <v>0</v>
      </c>
      <c r="AR132" t="n">
        <v>1</v>
      </c>
      <c r="AS132" s="20" t="inlineStr">
        <is>
          <t>000000000000E713</t>
        </is>
      </c>
    </row>
    <row r="133">
      <c r="AL133" t="n">
        <v>0</v>
      </c>
      <c r="AR133" t="n">
        <v>1</v>
      </c>
      <c r="AS133" s="20" t="inlineStr">
        <is>
          <t>000000000000E28B</t>
        </is>
      </c>
    </row>
    <row r="134">
      <c r="AL134" t="n">
        <v>0</v>
      </c>
      <c r="AR134" t="n">
        <v>1</v>
      </c>
      <c r="AS134" s="20" t="inlineStr">
        <is>
          <t>000000000000E2DB</t>
        </is>
      </c>
    </row>
    <row r="135">
      <c r="AL135" t="n">
        <v>0</v>
      </c>
      <c r="AR135" t="n">
        <v>1</v>
      </c>
      <c r="AS135" s="20" t="inlineStr">
        <is>
          <t>000000000000E3F0</t>
        </is>
      </c>
    </row>
    <row r="136">
      <c r="AL136" t="n">
        <v>0</v>
      </c>
      <c r="AR136" t="n">
        <v>1</v>
      </c>
      <c r="AS136" s="20" t="inlineStr">
        <is>
          <t>000000000000E804</t>
        </is>
      </c>
    </row>
    <row r="137">
      <c r="AL137" t="n">
        <v>0</v>
      </c>
      <c r="AR137" t="n">
        <v>1</v>
      </c>
      <c r="AS137" s="20" t="inlineStr">
        <is>
          <t>000000000000E8FB</t>
        </is>
      </c>
    </row>
    <row r="138">
      <c r="AL138" t="n">
        <v>0</v>
      </c>
      <c r="AR138" t="n">
        <v>1</v>
      </c>
      <c r="AS138" s="20" t="inlineStr">
        <is>
          <t>000000000000ECB3</t>
        </is>
      </c>
    </row>
    <row r="139">
      <c r="AL139" t="n">
        <v>0</v>
      </c>
      <c r="AR139" t="n">
        <v>1</v>
      </c>
      <c r="AS139" s="20" t="inlineStr">
        <is>
          <t>000000000000ECB7</t>
        </is>
      </c>
    </row>
    <row r="140">
      <c r="AL140" t="n">
        <v>0</v>
      </c>
      <c r="AR140" t="n">
        <v>1</v>
      </c>
      <c r="AS140" s="20" t="inlineStr">
        <is>
          <t>000000000000ECDA</t>
        </is>
      </c>
    </row>
    <row r="141">
      <c r="AL141" t="n">
        <v>0</v>
      </c>
      <c r="AR141" t="n">
        <v>1</v>
      </c>
      <c r="AS141" s="20" t="inlineStr">
        <is>
          <t>000000000000E321</t>
        </is>
      </c>
    </row>
    <row r="142">
      <c r="AL142" t="n">
        <v>0</v>
      </c>
      <c r="AR142" t="n">
        <v>1</v>
      </c>
      <c r="AS142" s="20" t="inlineStr">
        <is>
          <t>000000000000E58B</t>
        </is>
      </c>
    </row>
    <row r="143">
      <c r="AL143" t="n">
        <v>0</v>
      </c>
      <c r="AR143" t="n">
        <v>1</v>
      </c>
      <c r="AS143" s="20" t="inlineStr">
        <is>
          <t>000000000000E59A</t>
        </is>
      </c>
    </row>
    <row r="144">
      <c r="AL144" t="n">
        <v>0</v>
      </c>
      <c r="AR144" t="n">
        <v>1</v>
      </c>
      <c r="AS144" s="20" t="inlineStr">
        <is>
          <t>000000000000E7EC</t>
        </is>
      </c>
    </row>
    <row r="145">
      <c r="AL145" t="n">
        <v>0</v>
      </c>
      <c r="AR145" t="n">
        <v>1</v>
      </c>
      <c r="AS145" s="20" t="inlineStr">
        <is>
          <t>000000000000E81B</t>
        </is>
      </c>
    </row>
    <row r="146">
      <c r="AL146" t="n">
        <v>0</v>
      </c>
      <c r="AR146" t="n">
        <v>1</v>
      </c>
      <c r="AS146" s="20" t="inlineStr">
        <is>
          <t>000000000000EC36</t>
        </is>
      </c>
    </row>
    <row r="147">
      <c r="AL147" t="n">
        <v>0</v>
      </c>
      <c r="AR147" t="n">
        <v>1</v>
      </c>
      <c r="AS147" s="20" t="inlineStr">
        <is>
          <t>000000000000ECF4</t>
        </is>
      </c>
    </row>
    <row r="148">
      <c r="AL148" t="n">
        <v>0</v>
      </c>
      <c r="AR148" t="n">
        <v>1</v>
      </c>
      <c r="AS148" s="20" t="inlineStr">
        <is>
          <t>000000000000E365</t>
        </is>
      </c>
    </row>
    <row r="149">
      <c r="AL149" t="n">
        <v>0</v>
      </c>
      <c r="AR149" t="n">
        <v>1</v>
      </c>
      <c r="AS149" s="20" t="inlineStr">
        <is>
          <t>000000000000E466</t>
        </is>
      </c>
    </row>
    <row r="150">
      <c r="AL150" t="n">
        <v>0</v>
      </c>
      <c r="AR150" t="n">
        <v>1</v>
      </c>
      <c r="AS150" s="20" t="inlineStr">
        <is>
          <t>000000000000E713</t>
        </is>
      </c>
    </row>
    <row r="151">
      <c r="AL151" t="n">
        <v>0</v>
      </c>
      <c r="AR151" t="n">
        <v>1</v>
      </c>
      <c r="AS151" s="20" t="inlineStr">
        <is>
          <t>000000000000E28B</t>
        </is>
      </c>
    </row>
    <row r="152">
      <c r="AL152" t="n">
        <v>0</v>
      </c>
      <c r="AR152" t="n">
        <v>1</v>
      </c>
      <c r="AS152" s="20" t="inlineStr">
        <is>
          <t>000000000000E2DB</t>
        </is>
      </c>
    </row>
    <row r="153">
      <c r="AL153" t="n">
        <v>0</v>
      </c>
      <c r="AR153" t="n">
        <v>1</v>
      </c>
      <c r="AS153" s="20" t="inlineStr">
        <is>
          <t>000000000000E3F0</t>
        </is>
      </c>
    </row>
    <row r="154">
      <c r="AL154" t="n">
        <v>0</v>
      </c>
      <c r="AR154" t="n">
        <v>1</v>
      </c>
      <c r="AS154" s="20" t="inlineStr">
        <is>
          <t>000000000000E804</t>
        </is>
      </c>
    </row>
    <row r="155">
      <c r="AL155" t="n">
        <v>0</v>
      </c>
      <c r="AR155" t="n">
        <v>1</v>
      </c>
      <c r="AS155" s="20" t="inlineStr">
        <is>
          <t>000000000000E8FB</t>
        </is>
      </c>
    </row>
    <row r="156">
      <c r="AL156" t="n">
        <v>0</v>
      </c>
      <c r="AR156" t="n">
        <v>1</v>
      </c>
      <c r="AS156" s="20" t="inlineStr">
        <is>
          <t>000000000000ECB3</t>
        </is>
      </c>
    </row>
    <row r="157">
      <c r="AL157" t="n">
        <v>0</v>
      </c>
      <c r="AR157" t="n">
        <v>1</v>
      </c>
      <c r="AS157" s="20" t="inlineStr">
        <is>
          <t>000000000000ECB7</t>
        </is>
      </c>
    </row>
    <row r="158">
      <c r="AL158" t="n">
        <v>0</v>
      </c>
      <c r="AR158" t="n">
        <v>1</v>
      </c>
      <c r="AS158" s="20" t="inlineStr">
        <is>
          <t>000000000000ECDA</t>
        </is>
      </c>
    </row>
    <row r="159">
      <c r="AL159" t="n">
        <v>0</v>
      </c>
      <c r="AR159" t="n">
        <v>1</v>
      </c>
      <c r="AS159" s="20" t="inlineStr">
        <is>
          <t>000000000000E321</t>
        </is>
      </c>
    </row>
    <row r="160">
      <c r="AL160" t="n">
        <v>0</v>
      </c>
      <c r="AR160" t="n">
        <v>1</v>
      </c>
      <c r="AS160" s="20" t="inlineStr">
        <is>
          <t>000000000000E58B</t>
        </is>
      </c>
    </row>
    <row r="161">
      <c r="AL161" t="n">
        <v>0</v>
      </c>
      <c r="AR161" t="n">
        <v>1</v>
      </c>
      <c r="AS161" s="20" t="inlineStr">
        <is>
          <t>000000000000E59A</t>
        </is>
      </c>
    </row>
    <row r="162">
      <c r="AL162" t="n">
        <v>0</v>
      </c>
      <c r="AR162" t="n">
        <v>1</v>
      </c>
      <c r="AS162" s="20" t="inlineStr">
        <is>
          <t>000000000000E7EC</t>
        </is>
      </c>
    </row>
    <row r="163">
      <c r="AL163" t="n">
        <v>0</v>
      </c>
      <c r="AR163" t="n">
        <v>1</v>
      </c>
      <c r="AS163" s="20" t="inlineStr">
        <is>
          <t>000000000000E81B</t>
        </is>
      </c>
    </row>
    <row r="164">
      <c r="AL164" t="n">
        <v>0</v>
      </c>
      <c r="AR164" t="n">
        <v>1</v>
      </c>
      <c r="AS164" s="20" t="inlineStr">
        <is>
          <t>000000000000EC36</t>
        </is>
      </c>
    </row>
    <row r="165">
      <c r="AL165" t="n">
        <v>0</v>
      </c>
      <c r="AR165" t="n">
        <v>1</v>
      </c>
      <c r="AS165" s="20" t="inlineStr">
        <is>
          <t>000000000000ECF4</t>
        </is>
      </c>
    </row>
    <row r="166">
      <c r="AL166" t="n">
        <v>0</v>
      </c>
      <c r="AR166" t="n">
        <v>1</v>
      </c>
      <c r="AS166" s="20" t="inlineStr">
        <is>
          <t>000000000000E365</t>
        </is>
      </c>
    </row>
    <row r="167">
      <c r="AL167" t="n">
        <v>0</v>
      </c>
      <c r="AR167" t="n">
        <v>1</v>
      </c>
      <c r="AS167" s="20" t="inlineStr">
        <is>
          <t>000000000000E466</t>
        </is>
      </c>
    </row>
    <row r="168">
      <c r="AL168" t="n">
        <v>0</v>
      </c>
      <c r="AR168" t="n">
        <v>1</v>
      </c>
      <c r="AS168" s="20" t="inlineStr">
        <is>
          <t>000000000000E713</t>
        </is>
      </c>
    </row>
    <row r="169">
      <c r="AL169" t="n">
        <v>0</v>
      </c>
      <c r="AR169" t="n">
        <v>1</v>
      </c>
      <c r="AS169" s="20" t="inlineStr">
        <is>
          <t>000000000000E28B</t>
        </is>
      </c>
    </row>
    <row r="170">
      <c r="AL170" t="n">
        <v>0</v>
      </c>
      <c r="AR170" t="n">
        <v>1</v>
      </c>
      <c r="AS170" s="20" t="inlineStr">
        <is>
          <t>000000000000E2DB</t>
        </is>
      </c>
    </row>
    <row r="171">
      <c r="AL171" t="n">
        <v>0</v>
      </c>
      <c r="AR171" t="n">
        <v>1</v>
      </c>
      <c r="AS171" s="20" t="inlineStr">
        <is>
          <t>000000000000E3F0</t>
        </is>
      </c>
    </row>
    <row r="172">
      <c r="AL172" t="n">
        <v>0</v>
      </c>
      <c r="AR172" t="n">
        <v>1</v>
      </c>
      <c r="AS172" s="20" t="inlineStr">
        <is>
          <t>000000000000E804</t>
        </is>
      </c>
    </row>
    <row r="173">
      <c r="AL173" t="n">
        <v>0</v>
      </c>
      <c r="AR173" t="n">
        <v>1</v>
      </c>
      <c r="AS173" s="20" t="inlineStr">
        <is>
          <t>000000000000E8FB</t>
        </is>
      </c>
    </row>
    <row r="174">
      <c r="AL174" t="n">
        <v>0</v>
      </c>
      <c r="AR174" t="n">
        <v>1</v>
      </c>
      <c r="AS174" s="20" t="inlineStr">
        <is>
          <t>000000000000ECB3</t>
        </is>
      </c>
    </row>
    <row r="175">
      <c r="AL175" t="n">
        <v>0</v>
      </c>
      <c r="AR175" t="n">
        <v>1</v>
      </c>
      <c r="AS175" s="20" t="inlineStr">
        <is>
          <t>000000000000ECB7</t>
        </is>
      </c>
    </row>
    <row r="176">
      <c r="AL176" t="n">
        <v>0</v>
      </c>
      <c r="AR176" t="n">
        <v>1</v>
      </c>
      <c r="AS176" s="20" t="inlineStr">
        <is>
          <t>000000000000ECDA</t>
        </is>
      </c>
    </row>
    <row r="177">
      <c r="AL177" t="n">
        <v>0</v>
      </c>
      <c r="AR177" t="n">
        <v>1</v>
      </c>
      <c r="AS177" s="20" t="inlineStr">
        <is>
          <t>000000000000E321</t>
        </is>
      </c>
    </row>
    <row r="178">
      <c r="AL178" t="n">
        <v>0</v>
      </c>
      <c r="AR178" t="n">
        <v>1</v>
      </c>
      <c r="AS178" s="20" t="inlineStr">
        <is>
          <t>000000000000E58B</t>
        </is>
      </c>
    </row>
    <row r="179">
      <c r="AL179" t="n">
        <v>0</v>
      </c>
      <c r="AR179" t="n">
        <v>1</v>
      </c>
      <c r="AS179" s="20" t="inlineStr">
        <is>
          <t>000000000000E59A</t>
        </is>
      </c>
    </row>
    <row r="180">
      <c r="AL180" t="n">
        <v>0</v>
      </c>
      <c r="AR180" t="n">
        <v>1</v>
      </c>
      <c r="AS180" s="20" t="inlineStr">
        <is>
          <t>000000000000E7EC</t>
        </is>
      </c>
    </row>
    <row r="181">
      <c r="AL181" t="n">
        <v>0</v>
      </c>
      <c r="AR181" t="n">
        <v>1</v>
      </c>
      <c r="AS181" s="20" t="inlineStr">
        <is>
          <t>000000000000E81B</t>
        </is>
      </c>
    </row>
    <row r="182">
      <c r="AL182" t="n">
        <v>0</v>
      </c>
      <c r="AR182" t="n">
        <v>1</v>
      </c>
      <c r="AS182" s="20" t="inlineStr">
        <is>
          <t>000000000000EC36</t>
        </is>
      </c>
    </row>
    <row r="183">
      <c r="AL183" t="n">
        <v>0</v>
      </c>
      <c r="AR183" t="n">
        <v>1</v>
      </c>
      <c r="AS183" s="20" t="inlineStr">
        <is>
          <t>000000000000ECF4</t>
        </is>
      </c>
    </row>
    <row r="184">
      <c r="AL184" t="n">
        <v>0</v>
      </c>
      <c r="AR184" t="n">
        <v>1</v>
      </c>
      <c r="AS184" s="20" t="inlineStr">
        <is>
          <t>000000000000E365</t>
        </is>
      </c>
    </row>
    <row r="185">
      <c r="AL185" t="n">
        <v>0</v>
      </c>
      <c r="AR185" t="n">
        <v>1</v>
      </c>
      <c r="AS185" s="20" t="inlineStr">
        <is>
          <t>000000000000E466</t>
        </is>
      </c>
    </row>
    <row r="186">
      <c r="AL186" t="n">
        <v>0</v>
      </c>
      <c r="AR186" t="n">
        <v>1</v>
      </c>
      <c r="AS186" s="20" t="inlineStr">
        <is>
          <t>000000000000E713</t>
        </is>
      </c>
    </row>
    <row r="187">
      <c r="AL187" t="n">
        <v>0</v>
      </c>
      <c r="AR187" t="n">
        <v>1</v>
      </c>
      <c r="AS187" s="20" t="inlineStr">
        <is>
          <t>000000000000E28B</t>
        </is>
      </c>
    </row>
    <row r="188">
      <c r="AL188" t="n">
        <v>0</v>
      </c>
      <c r="AR188" t="n">
        <v>1</v>
      </c>
      <c r="AS188" s="20" t="inlineStr">
        <is>
          <t>000000000000E2DB</t>
        </is>
      </c>
    </row>
    <row r="189">
      <c r="AL189" t="n">
        <v>0</v>
      </c>
      <c r="AR189" t="n">
        <v>1</v>
      </c>
      <c r="AS189" s="20" t="inlineStr">
        <is>
          <t>000000000000E3F0</t>
        </is>
      </c>
    </row>
    <row r="190">
      <c r="AL190" t="n">
        <v>0</v>
      </c>
      <c r="AR190" t="n">
        <v>1</v>
      </c>
      <c r="AS190" s="20" t="inlineStr">
        <is>
          <t>000000000000E804</t>
        </is>
      </c>
    </row>
    <row r="191">
      <c r="AL191" t="n">
        <v>0</v>
      </c>
      <c r="AR191" t="n">
        <v>1</v>
      </c>
      <c r="AS191" s="20" t="inlineStr">
        <is>
          <t>000000000000E8FB</t>
        </is>
      </c>
    </row>
    <row r="192">
      <c r="AL192" t="n">
        <v>0</v>
      </c>
      <c r="AR192" t="n">
        <v>1</v>
      </c>
      <c r="AS192" s="20" t="inlineStr">
        <is>
          <t>000000000000ECB3</t>
        </is>
      </c>
    </row>
    <row r="193">
      <c r="AL193" t="n">
        <v>0</v>
      </c>
      <c r="AR193" t="n">
        <v>1</v>
      </c>
      <c r="AS193" s="20" t="inlineStr">
        <is>
          <t>000000000000ECB7</t>
        </is>
      </c>
    </row>
    <row r="194">
      <c r="AL194" t="n">
        <v>0</v>
      </c>
      <c r="AR194" t="n">
        <v>1</v>
      </c>
      <c r="AS194" s="20" t="inlineStr">
        <is>
          <t>000000000000ECDA</t>
        </is>
      </c>
    </row>
    <row r="195">
      <c r="AL195" t="n">
        <v>0</v>
      </c>
      <c r="AR195" t="n">
        <v>1</v>
      </c>
      <c r="AS195" s="20" t="inlineStr">
        <is>
          <t>000000000000E321</t>
        </is>
      </c>
    </row>
    <row r="196">
      <c r="AL196" t="n">
        <v>0</v>
      </c>
      <c r="AR196" t="n">
        <v>1</v>
      </c>
      <c r="AS196" s="20" t="inlineStr">
        <is>
          <t>000000000000E58B</t>
        </is>
      </c>
    </row>
    <row r="197">
      <c r="AL197" t="n">
        <v>0</v>
      </c>
      <c r="AR197" t="n">
        <v>1</v>
      </c>
      <c r="AS197" s="20" t="inlineStr">
        <is>
          <t>000000000000E59A</t>
        </is>
      </c>
    </row>
    <row r="198">
      <c r="AL198" t="n">
        <v>0</v>
      </c>
      <c r="AR198" t="n">
        <v>1</v>
      </c>
      <c r="AS198" s="20" t="inlineStr">
        <is>
          <t>000000000000E7EC</t>
        </is>
      </c>
    </row>
    <row r="199">
      <c r="AL199" t="n">
        <v>0</v>
      </c>
      <c r="AR199" t="n">
        <v>1</v>
      </c>
      <c r="AS199" s="20" t="inlineStr">
        <is>
          <t>000000000000E81B</t>
        </is>
      </c>
    </row>
    <row r="200">
      <c r="AL200" t="n">
        <v>0</v>
      </c>
      <c r="AR200" t="n">
        <v>1</v>
      </c>
      <c r="AS200" s="20" t="inlineStr">
        <is>
          <t>000000000000EC36</t>
        </is>
      </c>
    </row>
    <row r="201">
      <c r="AL201" t="n">
        <v>0</v>
      </c>
      <c r="AR201" t="n">
        <v>1</v>
      </c>
      <c r="AS201" s="20" t="inlineStr">
        <is>
          <t>000000000000ECF4</t>
        </is>
      </c>
    </row>
    <row r="202">
      <c r="AL202" t="n">
        <v>0</v>
      </c>
      <c r="AR202" t="n">
        <v>1</v>
      </c>
      <c r="AS202" s="20" t="inlineStr">
        <is>
          <t>000000000000E365</t>
        </is>
      </c>
    </row>
    <row r="203">
      <c r="AL203" t="n">
        <v>0</v>
      </c>
      <c r="AR203" t="n">
        <v>1</v>
      </c>
      <c r="AS203" s="20" t="inlineStr">
        <is>
          <t>000000000000E466</t>
        </is>
      </c>
    </row>
    <row r="204">
      <c r="AL204" t="n">
        <v>0</v>
      </c>
      <c r="AR204" t="n">
        <v>1</v>
      </c>
      <c r="AS204" s="20" t="inlineStr">
        <is>
          <t>000000000000E713</t>
        </is>
      </c>
    </row>
    <row r="205">
      <c r="AL205" t="n">
        <v>0</v>
      </c>
      <c r="AR205" t="n">
        <v>1</v>
      </c>
      <c r="AS205" s="20" t="inlineStr">
        <is>
          <t>000000000000E28B</t>
        </is>
      </c>
    </row>
    <row r="206">
      <c r="AL206" t="n">
        <v>0</v>
      </c>
      <c r="AR206" t="n">
        <v>1</v>
      </c>
      <c r="AS206" s="20" t="inlineStr">
        <is>
          <t>000000000000E2DB</t>
        </is>
      </c>
    </row>
    <row r="207">
      <c r="AL207" t="n">
        <v>0</v>
      </c>
      <c r="AR207" t="n">
        <v>1</v>
      </c>
      <c r="AS207" s="20" t="inlineStr">
        <is>
          <t>000000000000E3F0</t>
        </is>
      </c>
    </row>
    <row r="208">
      <c r="AL208" t="n">
        <v>0</v>
      </c>
      <c r="AR208" t="n">
        <v>1</v>
      </c>
      <c r="AS208" s="20" t="inlineStr">
        <is>
          <t>000000000000E804</t>
        </is>
      </c>
    </row>
    <row r="209">
      <c r="AL209" t="n">
        <v>0</v>
      </c>
      <c r="AR209" t="n">
        <v>1</v>
      </c>
      <c r="AS209" s="20" t="inlineStr">
        <is>
          <t>000000000000E8FB</t>
        </is>
      </c>
    </row>
    <row r="210">
      <c r="AL210" t="n">
        <v>0</v>
      </c>
      <c r="AR210" t="n">
        <v>1</v>
      </c>
      <c r="AS210" s="20" t="inlineStr">
        <is>
          <t>000000000000ECB3</t>
        </is>
      </c>
    </row>
    <row r="211">
      <c r="AL211" t="n">
        <v>0</v>
      </c>
      <c r="AR211" t="n">
        <v>1</v>
      </c>
      <c r="AS211" s="20" t="inlineStr">
        <is>
          <t>000000000000ECB7</t>
        </is>
      </c>
    </row>
    <row r="212">
      <c r="AL212" t="n">
        <v>0</v>
      </c>
      <c r="AR212" t="n">
        <v>1</v>
      </c>
      <c r="AS212" s="20" t="inlineStr">
        <is>
          <t>000000000000ECDA</t>
        </is>
      </c>
    </row>
    <row r="213">
      <c r="AL213" t="n">
        <v>0</v>
      </c>
      <c r="AR213" t="n">
        <v>1</v>
      </c>
      <c r="AS213" s="20" t="inlineStr">
        <is>
          <t>000000000000E321</t>
        </is>
      </c>
    </row>
    <row r="214">
      <c r="AL214" t="n">
        <v>0</v>
      </c>
      <c r="AR214" t="n">
        <v>1</v>
      </c>
      <c r="AS214" s="20" t="inlineStr">
        <is>
          <t>000000000000E58B</t>
        </is>
      </c>
    </row>
    <row r="215">
      <c r="AL215" t="n">
        <v>0</v>
      </c>
      <c r="AR215" t="n">
        <v>1</v>
      </c>
      <c r="AS215" s="20" t="inlineStr">
        <is>
          <t>000000000000E59A</t>
        </is>
      </c>
    </row>
    <row r="216">
      <c r="AL216" t="n">
        <v>0</v>
      </c>
      <c r="AR216" t="n">
        <v>1</v>
      </c>
      <c r="AS216" s="20" t="inlineStr">
        <is>
          <t>000000000000E7EC</t>
        </is>
      </c>
    </row>
    <row r="217">
      <c r="AL217" t="n">
        <v>0</v>
      </c>
      <c r="AR217" t="n">
        <v>1</v>
      </c>
      <c r="AS217" s="20" t="inlineStr">
        <is>
          <t>000000000000E81B</t>
        </is>
      </c>
    </row>
    <row r="218">
      <c r="AL218" t="n">
        <v>0</v>
      </c>
      <c r="AR218" t="n">
        <v>1</v>
      </c>
      <c r="AS218" s="20" t="inlineStr">
        <is>
          <t>000000000000EC36</t>
        </is>
      </c>
    </row>
    <row r="219">
      <c r="AL219" t="n">
        <v>0</v>
      </c>
      <c r="AR219" t="n">
        <v>1</v>
      </c>
      <c r="AS219" s="20" t="inlineStr">
        <is>
          <t>000000000000ECF4</t>
        </is>
      </c>
    </row>
    <row r="220">
      <c r="AL220" t="n">
        <v>0</v>
      </c>
      <c r="AR220" t="n">
        <v>1</v>
      </c>
      <c r="AS220" s="20" t="inlineStr">
        <is>
          <t>000000000000E365</t>
        </is>
      </c>
    </row>
    <row r="221">
      <c r="AL221" t="n">
        <v>0</v>
      </c>
      <c r="AR221" t="n">
        <v>1</v>
      </c>
      <c r="AS221" s="20" t="inlineStr">
        <is>
          <t>000000000000E466</t>
        </is>
      </c>
    </row>
    <row r="222">
      <c r="AL222" t="n">
        <v>0</v>
      </c>
      <c r="AR222" t="n">
        <v>1</v>
      </c>
      <c r="AS222" s="20" t="inlineStr">
        <is>
          <t>000000000000E713</t>
        </is>
      </c>
    </row>
    <row r="223">
      <c r="AL223" t="n">
        <v>0</v>
      </c>
      <c r="AR223" t="n">
        <v>1</v>
      </c>
      <c r="AS223" s="20" t="inlineStr">
        <is>
          <t>000000000000E28B</t>
        </is>
      </c>
    </row>
    <row r="224">
      <c r="AL224" t="n">
        <v>0</v>
      </c>
      <c r="AR224" t="n">
        <v>1</v>
      </c>
      <c r="AS224" s="20" t="inlineStr">
        <is>
          <t>000000000000E2DB</t>
        </is>
      </c>
    </row>
    <row r="225">
      <c r="AL225" t="n">
        <v>0</v>
      </c>
      <c r="AR225" t="n">
        <v>1</v>
      </c>
      <c r="AS225" s="20" t="inlineStr">
        <is>
          <t>000000000000E3F0</t>
        </is>
      </c>
    </row>
    <row r="226">
      <c r="AL226" t="n">
        <v>0</v>
      </c>
      <c r="AR226" t="n">
        <v>1</v>
      </c>
      <c r="AS226" s="20" t="inlineStr">
        <is>
          <t>000000000000E804</t>
        </is>
      </c>
    </row>
    <row r="227">
      <c r="AL227" t="n">
        <v>0</v>
      </c>
      <c r="AR227" t="n">
        <v>1</v>
      </c>
      <c r="AS227" s="20" t="inlineStr">
        <is>
          <t>000000000000E8FB</t>
        </is>
      </c>
    </row>
    <row r="228">
      <c r="AL228" t="n">
        <v>0</v>
      </c>
      <c r="AR228" t="n">
        <v>1</v>
      </c>
      <c r="AS228" s="20" t="inlineStr">
        <is>
          <t>000000000000ECB3</t>
        </is>
      </c>
    </row>
    <row r="229">
      <c r="AL229" t="n">
        <v>0</v>
      </c>
      <c r="AR229" t="n">
        <v>1</v>
      </c>
      <c r="AS229" s="20" t="inlineStr">
        <is>
          <t>000000000000ECB7</t>
        </is>
      </c>
    </row>
    <row r="230">
      <c r="AL230" t="n">
        <v>0</v>
      </c>
      <c r="AR230" t="n">
        <v>1</v>
      </c>
      <c r="AS230" s="20" t="inlineStr">
        <is>
          <t>000000000000ECDA</t>
        </is>
      </c>
    </row>
    <row r="231">
      <c r="AL231" t="n">
        <v>0</v>
      </c>
      <c r="AR231" t="n">
        <v>1</v>
      </c>
      <c r="AS231" s="20" t="inlineStr">
        <is>
          <t>000000000000E321</t>
        </is>
      </c>
    </row>
    <row r="232">
      <c r="AL232" t="n">
        <v>0</v>
      </c>
      <c r="AR232" t="n">
        <v>1</v>
      </c>
      <c r="AS232" s="20" t="inlineStr">
        <is>
          <t>000000000000E58B</t>
        </is>
      </c>
    </row>
    <row r="233">
      <c r="AL233" t="n">
        <v>0</v>
      </c>
      <c r="AR233" t="n">
        <v>1</v>
      </c>
      <c r="AS233" s="20" t="inlineStr">
        <is>
          <t>000000000000E59A</t>
        </is>
      </c>
    </row>
    <row r="234">
      <c r="AL234" t="n">
        <v>0</v>
      </c>
      <c r="AR234" t="n">
        <v>1</v>
      </c>
      <c r="AS234" s="20" t="inlineStr">
        <is>
          <t>000000000000E7EC</t>
        </is>
      </c>
    </row>
    <row r="235">
      <c r="AL235" t="n">
        <v>0</v>
      </c>
      <c r="AR235" t="n">
        <v>1</v>
      </c>
      <c r="AS235" s="20" t="inlineStr">
        <is>
          <t>000000000000E81B</t>
        </is>
      </c>
    </row>
    <row r="236">
      <c r="AL236" t="n">
        <v>0</v>
      </c>
      <c r="AR236" t="n">
        <v>1</v>
      </c>
      <c r="AS236" s="20" t="inlineStr">
        <is>
          <t>000000000000EC36</t>
        </is>
      </c>
    </row>
    <row r="237">
      <c r="AL237" t="n">
        <v>0</v>
      </c>
      <c r="AR237" t="n">
        <v>1</v>
      </c>
      <c r="AS237" s="20" t="inlineStr">
        <is>
          <t>000000000000ECF4</t>
        </is>
      </c>
    </row>
    <row r="238">
      <c r="AL238" t="n">
        <v>0</v>
      </c>
      <c r="AR238" t="n">
        <v>1</v>
      </c>
      <c r="AS238" s="20" t="inlineStr">
        <is>
          <t>000000000000E365</t>
        </is>
      </c>
    </row>
    <row r="239">
      <c r="AL239" t="n">
        <v>0</v>
      </c>
      <c r="AR239" t="n">
        <v>1</v>
      </c>
      <c r="AS239" s="20" t="inlineStr">
        <is>
          <t>000000000000E466</t>
        </is>
      </c>
    </row>
    <row r="240">
      <c r="AL240" t="n">
        <v>0</v>
      </c>
      <c r="AR240" t="n">
        <v>1</v>
      </c>
      <c r="AS240" s="20" t="inlineStr">
        <is>
          <t>000000000000E713</t>
        </is>
      </c>
    </row>
    <row r="241">
      <c r="AL241" t="n">
        <v>0</v>
      </c>
      <c r="AR241" t="n">
        <v>1</v>
      </c>
      <c r="AS241" s="20" t="inlineStr">
        <is>
          <t>000000000000E28B</t>
        </is>
      </c>
    </row>
    <row r="242">
      <c r="AL242" t="n">
        <v>0</v>
      </c>
      <c r="AR242" t="n">
        <v>1</v>
      </c>
      <c r="AS242" s="20" t="inlineStr">
        <is>
          <t>000000000000E2DB</t>
        </is>
      </c>
    </row>
    <row r="243">
      <c r="AL243" t="n">
        <v>0</v>
      </c>
      <c r="AR243" t="n">
        <v>1</v>
      </c>
      <c r="AS243" s="20" t="inlineStr">
        <is>
          <t>000000000000E3F0</t>
        </is>
      </c>
    </row>
    <row r="244">
      <c r="AL244" t="n">
        <v>0</v>
      </c>
      <c r="AR244" t="n">
        <v>1</v>
      </c>
      <c r="AS244" s="20" t="inlineStr">
        <is>
          <t>000000000000E804</t>
        </is>
      </c>
    </row>
    <row r="245">
      <c r="AL245" t="n">
        <v>0</v>
      </c>
      <c r="AR245" t="n">
        <v>1</v>
      </c>
      <c r="AS245" s="20" t="inlineStr">
        <is>
          <t>000000000000E8FB</t>
        </is>
      </c>
    </row>
    <row r="246">
      <c r="AL246" t="n">
        <v>0</v>
      </c>
      <c r="AR246" t="n">
        <v>1</v>
      </c>
      <c r="AS246" s="20" t="inlineStr">
        <is>
          <t>000000000000ECB3</t>
        </is>
      </c>
    </row>
    <row r="247">
      <c r="AL247" t="n">
        <v>0</v>
      </c>
      <c r="AR247" t="n">
        <v>1</v>
      </c>
      <c r="AS247" s="20" t="inlineStr">
        <is>
          <t>000000000000ECB7</t>
        </is>
      </c>
    </row>
    <row r="248">
      <c r="AL248" t="n">
        <v>0</v>
      </c>
      <c r="AR248" t="n">
        <v>1</v>
      </c>
      <c r="AS248" s="20" t="inlineStr">
        <is>
          <t>000000000000ECDA</t>
        </is>
      </c>
    </row>
    <row r="249">
      <c r="AL249" t="n">
        <v>0</v>
      </c>
      <c r="AR249" t="n">
        <v>1</v>
      </c>
      <c r="AS249" s="20" t="inlineStr">
        <is>
          <t>000000000000E321</t>
        </is>
      </c>
    </row>
    <row r="250">
      <c r="AL250" t="n">
        <v>0</v>
      </c>
      <c r="AR250" t="n">
        <v>1</v>
      </c>
      <c r="AS250" s="20" t="inlineStr">
        <is>
          <t>000000000000E58B</t>
        </is>
      </c>
    </row>
    <row r="251">
      <c r="AL251" t="n">
        <v>0</v>
      </c>
      <c r="AR251" t="n">
        <v>1</v>
      </c>
      <c r="AS251" s="20" t="inlineStr">
        <is>
          <t>000000000000E59A</t>
        </is>
      </c>
    </row>
    <row r="252">
      <c r="AL252" t="n">
        <v>0</v>
      </c>
      <c r="AR252" t="n">
        <v>1</v>
      </c>
      <c r="AS252" s="20" t="inlineStr">
        <is>
          <t>000000000000E7EC</t>
        </is>
      </c>
    </row>
    <row r="253">
      <c r="AL253" t="n">
        <v>0</v>
      </c>
      <c r="AR253" t="n">
        <v>1</v>
      </c>
      <c r="AS253" s="20" t="inlineStr">
        <is>
          <t>000000000000E81B</t>
        </is>
      </c>
    </row>
    <row r="254">
      <c r="AL254" t="n">
        <v>0</v>
      </c>
      <c r="AR254" t="n">
        <v>1</v>
      </c>
      <c r="AS254" s="20" t="inlineStr">
        <is>
          <t>000000000000EC36</t>
        </is>
      </c>
    </row>
    <row r="255">
      <c r="AL255" t="n">
        <v>0</v>
      </c>
      <c r="AR255" t="n">
        <v>1</v>
      </c>
      <c r="AS255" s="20" t="inlineStr">
        <is>
          <t>000000000000ECF4</t>
        </is>
      </c>
    </row>
    <row r="256">
      <c r="AL256" t="n">
        <v>0</v>
      </c>
      <c r="AR256" t="n">
        <v>1</v>
      </c>
      <c r="AS256" s="20" t="inlineStr">
        <is>
          <t>000000000000E365</t>
        </is>
      </c>
    </row>
    <row r="257">
      <c r="AL257" t="n">
        <v>0</v>
      </c>
      <c r="AR257" t="n">
        <v>1</v>
      </c>
      <c r="AS257" s="20" t="inlineStr">
        <is>
          <t>000000000000E466</t>
        </is>
      </c>
    </row>
    <row r="258">
      <c r="AL258" t="n">
        <v>0</v>
      </c>
      <c r="AR258" t="n">
        <v>1</v>
      </c>
      <c r="AS258" s="20" t="inlineStr">
        <is>
          <t>000000000000E713</t>
        </is>
      </c>
    </row>
    <row r="259">
      <c r="AL259" t="n">
        <v>0</v>
      </c>
      <c r="AR259" t="n">
        <v>1</v>
      </c>
      <c r="AS259" s="20" t="inlineStr">
        <is>
          <t>000000000000E28B</t>
        </is>
      </c>
    </row>
    <row r="260">
      <c r="AL260" t="n">
        <v>0</v>
      </c>
      <c r="AR260" t="n">
        <v>1</v>
      </c>
      <c r="AS260" s="20" t="inlineStr">
        <is>
          <t>000000000000E2DB</t>
        </is>
      </c>
    </row>
    <row r="261">
      <c r="AL261" t="n">
        <v>0</v>
      </c>
      <c r="AR261" t="n">
        <v>1</v>
      </c>
      <c r="AS261" s="20" t="inlineStr">
        <is>
          <t>000000000000E3F0</t>
        </is>
      </c>
    </row>
    <row r="262">
      <c r="AL262" t="n">
        <v>0</v>
      </c>
      <c r="AR262" t="n">
        <v>1</v>
      </c>
      <c r="AS262" s="20" t="inlineStr">
        <is>
          <t>000000000000E804</t>
        </is>
      </c>
    </row>
    <row r="263">
      <c r="AL263" t="n">
        <v>0</v>
      </c>
      <c r="AR263" t="n">
        <v>1</v>
      </c>
      <c r="AS263" s="20" t="inlineStr">
        <is>
          <t>000000000000E8FB</t>
        </is>
      </c>
    </row>
    <row r="264">
      <c r="AL264" t="n">
        <v>0</v>
      </c>
      <c r="AR264" t="n">
        <v>1</v>
      </c>
      <c r="AS264" s="20" t="inlineStr">
        <is>
          <t>000000000000ECB3</t>
        </is>
      </c>
    </row>
    <row r="265">
      <c r="AL265" t="n">
        <v>0</v>
      </c>
      <c r="AR265" t="n">
        <v>1</v>
      </c>
      <c r="AS265" s="20" t="inlineStr">
        <is>
          <t>000000000000ECB7</t>
        </is>
      </c>
    </row>
    <row r="266">
      <c r="AL266" t="n">
        <v>0</v>
      </c>
      <c r="AR266" t="n">
        <v>1</v>
      </c>
      <c r="AS266" s="20" t="inlineStr">
        <is>
          <t>000000000000ECDA</t>
        </is>
      </c>
    </row>
    <row r="267">
      <c r="AL267" t="n">
        <v>0</v>
      </c>
      <c r="AR267" t="n">
        <v>1</v>
      </c>
      <c r="AS267" s="20" t="inlineStr">
        <is>
          <t>000000000000E321</t>
        </is>
      </c>
    </row>
    <row r="268">
      <c r="AL268" t="n">
        <v>0</v>
      </c>
      <c r="AR268" t="n">
        <v>1</v>
      </c>
      <c r="AS268" s="20" t="inlineStr">
        <is>
          <t>000000000000E58B</t>
        </is>
      </c>
    </row>
    <row r="269">
      <c r="AL269" t="n">
        <v>0</v>
      </c>
      <c r="AR269" t="n">
        <v>1</v>
      </c>
      <c r="AS269" s="20" t="inlineStr">
        <is>
          <t>000000000000E59A</t>
        </is>
      </c>
    </row>
    <row r="270">
      <c r="AL270" t="n">
        <v>0</v>
      </c>
      <c r="AR270" t="n">
        <v>1</v>
      </c>
      <c r="AS270" s="20" t="inlineStr">
        <is>
          <t>000000000000E7EC</t>
        </is>
      </c>
    </row>
    <row r="271">
      <c r="AL271" t="n">
        <v>0</v>
      </c>
      <c r="AR271" t="n">
        <v>1</v>
      </c>
      <c r="AS271" s="20" t="inlineStr">
        <is>
          <t>000000000000E81B</t>
        </is>
      </c>
    </row>
    <row r="272">
      <c r="AL272" t="n">
        <v>0</v>
      </c>
      <c r="AR272" t="n">
        <v>1</v>
      </c>
      <c r="AS272" s="20" t="inlineStr">
        <is>
          <t>000000000000EC36</t>
        </is>
      </c>
    </row>
    <row r="273">
      <c r="AL273" t="n">
        <v>0</v>
      </c>
      <c r="AR273" t="n">
        <v>1</v>
      </c>
      <c r="AS273" s="20" t="inlineStr">
        <is>
          <t>000000000000ECF4</t>
        </is>
      </c>
    </row>
    <row r="274">
      <c r="AL274" t="n">
        <v>0</v>
      </c>
      <c r="AR274" t="n">
        <v>1</v>
      </c>
      <c r="AS274" s="20" t="inlineStr">
        <is>
          <t>000000000000E365</t>
        </is>
      </c>
    </row>
    <row r="275">
      <c r="AL275" t="n">
        <v>0</v>
      </c>
      <c r="AR275" t="n">
        <v>1</v>
      </c>
      <c r="AS275" s="20" t="inlineStr">
        <is>
          <t>000000000000E466</t>
        </is>
      </c>
    </row>
    <row r="276">
      <c r="AL276" t="n">
        <v>0</v>
      </c>
      <c r="AR276" t="n">
        <v>1</v>
      </c>
      <c r="AS276" s="20" t="inlineStr">
        <is>
          <t>000000000000E713</t>
        </is>
      </c>
    </row>
    <row r="277">
      <c r="AL277" t="n">
        <v>0</v>
      </c>
      <c r="AR277" t="n">
        <v>1</v>
      </c>
      <c r="AS277" s="20" t="inlineStr">
        <is>
          <t>000000000000E28B</t>
        </is>
      </c>
    </row>
    <row r="278">
      <c r="AL278" t="n">
        <v>0</v>
      </c>
      <c r="AR278" t="n">
        <v>1</v>
      </c>
      <c r="AS278" s="20" t="inlineStr">
        <is>
          <t>000000000000E2DB</t>
        </is>
      </c>
    </row>
    <row r="279">
      <c r="AL279" t="n">
        <v>0</v>
      </c>
      <c r="AR279" t="n">
        <v>1</v>
      </c>
      <c r="AS279" s="20" t="inlineStr">
        <is>
          <t>000000000000E3F0</t>
        </is>
      </c>
    </row>
    <row r="280">
      <c r="AL280" t="n">
        <v>0</v>
      </c>
      <c r="AR280" t="n">
        <v>1</v>
      </c>
      <c r="AS280" s="20" t="inlineStr">
        <is>
          <t>000000000000E804</t>
        </is>
      </c>
    </row>
    <row r="281">
      <c r="AL281" t="n">
        <v>0</v>
      </c>
      <c r="AR281" t="n">
        <v>1</v>
      </c>
      <c r="AS281" s="20" t="inlineStr">
        <is>
          <t>000000000000E8FB</t>
        </is>
      </c>
    </row>
    <row r="282">
      <c r="AL282" t="n">
        <v>0</v>
      </c>
      <c r="AR282" t="n">
        <v>1</v>
      </c>
      <c r="AS282" s="20" t="inlineStr">
        <is>
          <t>000000000000ECB3</t>
        </is>
      </c>
    </row>
    <row r="283">
      <c r="AL283" t="n">
        <v>0</v>
      </c>
      <c r="AR283" t="n">
        <v>1</v>
      </c>
      <c r="AS283" s="20" t="inlineStr">
        <is>
          <t>000000000000ECB7</t>
        </is>
      </c>
    </row>
    <row r="284">
      <c r="AL284" t="n">
        <v>0</v>
      </c>
      <c r="AR284" t="n">
        <v>1</v>
      </c>
      <c r="AS284" s="20" t="inlineStr">
        <is>
          <t>000000000000ECDA</t>
        </is>
      </c>
    </row>
    <row r="285">
      <c r="AL285" t="n">
        <v>0</v>
      </c>
      <c r="AR285" t="n">
        <v>1</v>
      </c>
      <c r="AS285" s="20" t="inlineStr">
        <is>
          <t>000000000000E321</t>
        </is>
      </c>
    </row>
    <row r="286">
      <c r="AL286" t="n">
        <v>0</v>
      </c>
      <c r="AR286" t="n">
        <v>1</v>
      </c>
      <c r="AS286" s="20" t="inlineStr">
        <is>
          <t>000000000000E58B</t>
        </is>
      </c>
    </row>
    <row r="287">
      <c r="AL287" t="n">
        <v>0</v>
      </c>
      <c r="AR287" t="n">
        <v>1</v>
      </c>
      <c r="AS287" s="20" t="inlineStr">
        <is>
          <t>000000000000E59A</t>
        </is>
      </c>
    </row>
    <row r="288">
      <c r="AL288" t="n">
        <v>0</v>
      </c>
      <c r="AR288" t="n">
        <v>1</v>
      </c>
      <c r="AS288" s="20" t="inlineStr">
        <is>
          <t>000000000000E7EC</t>
        </is>
      </c>
    </row>
    <row r="289">
      <c r="AL289" t="n">
        <v>0</v>
      </c>
      <c r="AR289" t="n">
        <v>1</v>
      </c>
      <c r="AS289" s="20" t="inlineStr">
        <is>
          <t>000000000000E81B</t>
        </is>
      </c>
    </row>
    <row r="290">
      <c r="AL290" t="n">
        <v>0</v>
      </c>
      <c r="AR290" t="n">
        <v>1</v>
      </c>
      <c r="AS290" s="20" t="inlineStr">
        <is>
          <t>000000000000EC36</t>
        </is>
      </c>
    </row>
    <row r="291">
      <c r="AL291" t="n">
        <v>0</v>
      </c>
      <c r="AR291" t="n">
        <v>1</v>
      </c>
      <c r="AS291" s="20" t="inlineStr">
        <is>
          <t>000000000000ECF4</t>
        </is>
      </c>
    </row>
    <row r="292">
      <c r="AL292" t="n">
        <v>0</v>
      </c>
      <c r="AR292" t="n">
        <v>1</v>
      </c>
      <c r="AS292" s="20" t="inlineStr">
        <is>
          <t>000000000000E365</t>
        </is>
      </c>
    </row>
    <row r="293">
      <c r="AL293" t="n">
        <v>0</v>
      </c>
      <c r="AR293" t="n">
        <v>1</v>
      </c>
      <c r="AS293" s="20" t="inlineStr">
        <is>
          <t>000000000000E466</t>
        </is>
      </c>
    </row>
    <row r="294">
      <c r="AL294" t="n">
        <v>0</v>
      </c>
      <c r="AR294" t="n">
        <v>1</v>
      </c>
      <c r="AS294" s="20" t="inlineStr">
        <is>
          <t>000000000000E713</t>
        </is>
      </c>
    </row>
    <row r="295">
      <c r="AL295" t="n">
        <v>0</v>
      </c>
      <c r="AR295" t="n">
        <v>1</v>
      </c>
      <c r="AS295" s="20" t="inlineStr">
        <is>
          <t>000000000000E28B</t>
        </is>
      </c>
    </row>
    <row r="296">
      <c r="AL296" t="n">
        <v>0</v>
      </c>
      <c r="AR296" t="n">
        <v>1</v>
      </c>
      <c r="AS296" s="20" t="inlineStr">
        <is>
          <t>000000000000E2DB</t>
        </is>
      </c>
    </row>
    <row r="297">
      <c r="AL297" t="n">
        <v>0</v>
      </c>
      <c r="AR297" t="n">
        <v>1</v>
      </c>
      <c r="AS297" s="20" t="inlineStr">
        <is>
          <t>000000000000E3F0</t>
        </is>
      </c>
    </row>
    <row r="298">
      <c r="AL298" t="n">
        <v>0</v>
      </c>
      <c r="AR298" t="n">
        <v>1</v>
      </c>
      <c r="AS298" s="20" t="inlineStr">
        <is>
          <t>000000000000E804</t>
        </is>
      </c>
    </row>
    <row r="299">
      <c r="AL299" t="n">
        <v>0</v>
      </c>
      <c r="AR299" t="n">
        <v>1</v>
      </c>
      <c r="AS299" s="20" t="inlineStr">
        <is>
          <t>000000000000E8FB</t>
        </is>
      </c>
    </row>
    <row r="300">
      <c r="AL300" t="n">
        <v>0</v>
      </c>
      <c r="AR300" t="n">
        <v>1</v>
      </c>
      <c r="AS300" s="20" t="inlineStr">
        <is>
          <t>000000000000ECB3</t>
        </is>
      </c>
    </row>
    <row r="301">
      <c r="AL301" t="n">
        <v>0</v>
      </c>
      <c r="AR301" t="n">
        <v>1</v>
      </c>
      <c r="AS301" s="20" t="inlineStr">
        <is>
          <t>000000000000ECB7</t>
        </is>
      </c>
    </row>
    <row r="302">
      <c r="AL302" t="n">
        <v>0</v>
      </c>
      <c r="AR302" t="n">
        <v>1</v>
      </c>
      <c r="AS302" s="20" t="inlineStr">
        <is>
          <t>000000000000ECDA</t>
        </is>
      </c>
    </row>
    <row r="303">
      <c r="AL303" t="n">
        <v>0</v>
      </c>
      <c r="AR303" t="n">
        <v>1</v>
      </c>
      <c r="AS303" s="20" t="inlineStr">
        <is>
          <t>000000000000E321</t>
        </is>
      </c>
    </row>
    <row r="304">
      <c r="AL304" t="n">
        <v>0</v>
      </c>
      <c r="AR304" t="n">
        <v>1</v>
      </c>
      <c r="AS304" s="20" t="inlineStr">
        <is>
          <t>000000000000E58B</t>
        </is>
      </c>
    </row>
    <row r="305">
      <c r="AL305" t="n">
        <v>0</v>
      </c>
      <c r="AR305" t="n">
        <v>1</v>
      </c>
      <c r="AS305" s="20" t="inlineStr">
        <is>
          <t>000000000000E59A</t>
        </is>
      </c>
    </row>
    <row r="306">
      <c r="AL306" t="n">
        <v>0</v>
      </c>
      <c r="AR306" t="n">
        <v>1</v>
      </c>
      <c r="AS306" s="20" t="inlineStr">
        <is>
          <t>000000000000E7EC</t>
        </is>
      </c>
    </row>
    <row r="307">
      <c r="AL307" t="n">
        <v>0</v>
      </c>
      <c r="AR307" t="n">
        <v>1</v>
      </c>
      <c r="AS307" s="20" t="inlineStr">
        <is>
          <t>000000000000E81B</t>
        </is>
      </c>
    </row>
    <row r="308">
      <c r="AL308" t="n">
        <v>0</v>
      </c>
      <c r="AR308" t="n">
        <v>1</v>
      </c>
      <c r="AS308" s="20" t="inlineStr">
        <is>
          <t>000000000000EC36</t>
        </is>
      </c>
    </row>
    <row r="309">
      <c r="AL309" t="n">
        <v>0</v>
      </c>
      <c r="AR309" t="n">
        <v>1</v>
      </c>
      <c r="AS309" s="20" t="inlineStr">
        <is>
          <t>000000000000ECF4</t>
        </is>
      </c>
    </row>
    <row r="310">
      <c r="AL310" t="n">
        <v>0</v>
      </c>
      <c r="AR310" t="n">
        <v>1</v>
      </c>
      <c r="AS310" s="20" t="inlineStr">
        <is>
          <t>000000000000E365</t>
        </is>
      </c>
    </row>
    <row r="311">
      <c r="AL311" t="n">
        <v>0</v>
      </c>
      <c r="AR311" t="n">
        <v>1</v>
      </c>
      <c r="AS311" s="20" t="inlineStr">
        <is>
          <t>000000000000E466</t>
        </is>
      </c>
    </row>
    <row r="312">
      <c r="AL312" t="n">
        <v>0</v>
      </c>
      <c r="AR312" t="n">
        <v>1</v>
      </c>
      <c r="AS312" s="20" t="inlineStr">
        <is>
          <t>000000000000E713</t>
        </is>
      </c>
    </row>
    <row r="313">
      <c r="AL313" t="n">
        <v>0</v>
      </c>
      <c r="AR313" t="n">
        <v>1</v>
      </c>
      <c r="AS313" s="20" t="inlineStr">
        <is>
          <t>000000000000E28B</t>
        </is>
      </c>
    </row>
    <row r="314">
      <c r="AL314" t="n">
        <v>0</v>
      </c>
      <c r="AR314" t="n">
        <v>1</v>
      </c>
      <c r="AS314" s="20" t="inlineStr">
        <is>
          <t>000000000000E2DB</t>
        </is>
      </c>
    </row>
    <row r="315">
      <c r="AL315" t="n">
        <v>0</v>
      </c>
      <c r="AR315" t="n">
        <v>1</v>
      </c>
      <c r="AS315" s="20" t="inlineStr">
        <is>
          <t>000000000000E3F0</t>
        </is>
      </c>
    </row>
    <row r="316">
      <c r="AL316" t="n">
        <v>0</v>
      </c>
      <c r="AR316" t="n">
        <v>1</v>
      </c>
      <c r="AS316" s="20" t="inlineStr">
        <is>
          <t>000000000000E804</t>
        </is>
      </c>
    </row>
    <row r="317">
      <c r="AL317" t="n">
        <v>0</v>
      </c>
      <c r="AR317" t="n">
        <v>1</v>
      </c>
      <c r="AS317" s="20" t="inlineStr">
        <is>
          <t>000000000000E8FB</t>
        </is>
      </c>
    </row>
    <row r="318">
      <c r="AL318" t="n">
        <v>0</v>
      </c>
      <c r="AR318" t="n">
        <v>1</v>
      </c>
      <c r="AS318" s="20" t="inlineStr">
        <is>
          <t>000000000000ECB3</t>
        </is>
      </c>
    </row>
    <row r="319">
      <c r="AL319" t="n">
        <v>0</v>
      </c>
      <c r="AR319" t="n">
        <v>1</v>
      </c>
      <c r="AS319" s="20" t="inlineStr">
        <is>
          <t>000000000000ECB7</t>
        </is>
      </c>
    </row>
    <row r="320">
      <c r="AL320" t="n">
        <v>0</v>
      </c>
      <c r="AR320" t="n">
        <v>1</v>
      </c>
      <c r="AS320" s="20" t="inlineStr">
        <is>
          <t>000000000000ECDA</t>
        </is>
      </c>
    </row>
    <row r="321">
      <c r="AL321" t="n">
        <v>0</v>
      </c>
      <c r="AR321" t="n">
        <v>1</v>
      </c>
      <c r="AS321" s="20" t="inlineStr">
        <is>
          <t>000000000000E321</t>
        </is>
      </c>
    </row>
    <row r="322">
      <c r="AL322" t="n">
        <v>0</v>
      </c>
      <c r="AR322" t="n">
        <v>1</v>
      </c>
      <c r="AS322" s="20" t="inlineStr">
        <is>
          <t>000000000000E58B</t>
        </is>
      </c>
    </row>
    <row r="323">
      <c r="AL323" t="n">
        <v>0</v>
      </c>
      <c r="AR323" t="n">
        <v>1</v>
      </c>
      <c r="AS323" s="20" t="inlineStr">
        <is>
          <t>000000000000E59A</t>
        </is>
      </c>
    </row>
    <row r="324">
      <c r="AL324" t="n">
        <v>0</v>
      </c>
      <c r="AR324" t="n">
        <v>1</v>
      </c>
      <c r="AS324" s="20" t="inlineStr">
        <is>
          <t>000000000000E7EC</t>
        </is>
      </c>
    </row>
    <row r="325">
      <c r="AL325" t="n">
        <v>0</v>
      </c>
      <c r="AR325" t="n">
        <v>1</v>
      </c>
      <c r="AS325" s="20" t="inlineStr">
        <is>
          <t>000000000000E81B</t>
        </is>
      </c>
    </row>
    <row r="326">
      <c r="AL326" t="n">
        <v>0</v>
      </c>
      <c r="AR326" t="n">
        <v>1</v>
      </c>
      <c r="AS326" s="20" t="inlineStr">
        <is>
          <t>000000000000EC36</t>
        </is>
      </c>
    </row>
    <row r="327">
      <c r="AL327" t="n">
        <v>0</v>
      </c>
      <c r="AR327" t="n">
        <v>1</v>
      </c>
      <c r="AS327" s="20" t="inlineStr">
        <is>
          <t>000000000000ECF4</t>
        </is>
      </c>
    </row>
    <row r="328">
      <c r="AL328" t="n">
        <v>0</v>
      </c>
      <c r="AR328" t="n">
        <v>1</v>
      </c>
      <c r="AS328" s="20" t="inlineStr">
        <is>
          <t>000000000000E365</t>
        </is>
      </c>
    </row>
    <row r="329">
      <c r="AL329" t="n">
        <v>0</v>
      </c>
      <c r="AR329" t="n">
        <v>1</v>
      </c>
      <c r="AS329" s="20" t="inlineStr">
        <is>
          <t>000000000000E466</t>
        </is>
      </c>
    </row>
    <row r="330">
      <c r="AL330" t="n">
        <v>0</v>
      </c>
      <c r="AR330" t="n">
        <v>1</v>
      </c>
      <c r="AS330" s="20" t="inlineStr">
        <is>
          <t>000000000000E713</t>
        </is>
      </c>
    </row>
    <row r="331">
      <c r="AL331" t="n">
        <v>0</v>
      </c>
      <c r="AR331" t="n">
        <v>2</v>
      </c>
      <c r="AS331" s="20" t="inlineStr">
        <is>
          <t>000000000000E28C</t>
        </is>
      </c>
    </row>
    <row r="332">
      <c r="AL332" t="n">
        <v>0</v>
      </c>
      <c r="AR332" t="n">
        <v>2</v>
      </c>
      <c r="AS332" s="20" t="inlineStr">
        <is>
          <t>000000000000E2DC</t>
        </is>
      </c>
    </row>
    <row r="333">
      <c r="AL333" t="n">
        <v>0</v>
      </c>
      <c r="AR333" t="n">
        <v>2</v>
      </c>
      <c r="AS333" s="20" t="inlineStr">
        <is>
          <t>000000000000E3F1</t>
        </is>
      </c>
    </row>
    <row r="334">
      <c r="AL334" t="n">
        <v>0</v>
      </c>
      <c r="AR334" t="n">
        <v>2</v>
      </c>
      <c r="AS334" s="20" t="inlineStr">
        <is>
          <t>000000000000E805</t>
        </is>
      </c>
    </row>
    <row r="335">
      <c r="AL335" t="n">
        <v>0</v>
      </c>
      <c r="AR335" t="n">
        <v>2</v>
      </c>
      <c r="AS335" s="20" t="inlineStr">
        <is>
          <t>000000000000E8FC</t>
        </is>
      </c>
    </row>
    <row r="336">
      <c r="AL336" t="n">
        <v>0</v>
      </c>
      <c r="AR336" t="n">
        <v>2</v>
      </c>
      <c r="AS336" s="20" t="inlineStr">
        <is>
          <t>000000000000ECB4</t>
        </is>
      </c>
    </row>
    <row r="337">
      <c r="AL337" t="n">
        <v>0</v>
      </c>
      <c r="AR337" t="n">
        <v>2</v>
      </c>
      <c r="AS337" s="20" t="inlineStr">
        <is>
          <t>000000000000ECB8</t>
        </is>
      </c>
    </row>
    <row r="338">
      <c r="AL338" t="n">
        <v>0</v>
      </c>
      <c r="AR338" t="n">
        <v>2</v>
      </c>
      <c r="AS338" s="20" t="inlineStr">
        <is>
          <t>000000000000ECDB</t>
        </is>
      </c>
    </row>
    <row r="339">
      <c r="AL339" t="n">
        <v>0</v>
      </c>
      <c r="AR339" t="n">
        <v>2</v>
      </c>
      <c r="AS339" s="20" t="inlineStr">
        <is>
          <t>000000000000E322</t>
        </is>
      </c>
    </row>
    <row r="340">
      <c r="AL340" t="n">
        <v>0</v>
      </c>
      <c r="AR340" t="n">
        <v>2</v>
      </c>
      <c r="AS340" s="20" t="inlineStr">
        <is>
          <t>000000000000E58C</t>
        </is>
      </c>
    </row>
    <row r="341">
      <c r="AL341" t="n">
        <v>0</v>
      </c>
      <c r="AR341" t="n">
        <v>2</v>
      </c>
      <c r="AS341" s="20" t="inlineStr">
        <is>
          <t>000000000000E59B</t>
        </is>
      </c>
    </row>
    <row r="342">
      <c r="AL342" t="n">
        <v>0</v>
      </c>
      <c r="AR342" t="n">
        <v>2</v>
      </c>
      <c r="AS342" s="20" t="inlineStr">
        <is>
          <t>000000000000E7ED</t>
        </is>
      </c>
    </row>
    <row r="343">
      <c r="AL343" t="n">
        <v>0</v>
      </c>
      <c r="AR343" t="n">
        <v>2</v>
      </c>
      <c r="AS343" s="20" t="inlineStr">
        <is>
          <t>000000000000E81C</t>
        </is>
      </c>
    </row>
    <row r="344">
      <c r="AL344" t="n">
        <v>0</v>
      </c>
      <c r="AR344" t="n">
        <v>2</v>
      </c>
      <c r="AS344" s="20" t="inlineStr">
        <is>
          <t>000000000000EC37</t>
        </is>
      </c>
    </row>
    <row r="345">
      <c r="AL345" t="n">
        <v>0</v>
      </c>
      <c r="AR345" t="n">
        <v>2</v>
      </c>
      <c r="AS345" s="20" t="inlineStr">
        <is>
          <t>000000000000ECF5</t>
        </is>
      </c>
    </row>
    <row r="346">
      <c r="AL346" t="n">
        <v>0</v>
      </c>
      <c r="AR346" t="n">
        <v>2</v>
      </c>
      <c r="AS346" s="20" t="inlineStr">
        <is>
          <t>000000000000E366</t>
        </is>
      </c>
    </row>
    <row r="347">
      <c r="AL347" t="n">
        <v>0</v>
      </c>
      <c r="AR347" t="n">
        <v>2</v>
      </c>
      <c r="AS347" s="20" t="inlineStr">
        <is>
          <t>000000000000E467</t>
        </is>
      </c>
    </row>
    <row r="348">
      <c r="AL348" t="n">
        <v>0</v>
      </c>
      <c r="AR348" t="n">
        <v>2</v>
      </c>
      <c r="AS348" s="20" t="inlineStr">
        <is>
          <t>000000000000E714</t>
        </is>
      </c>
    </row>
    <row r="349">
      <c r="AL349" t="n">
        <v>0</v>
      </c>
      <c r="AR349" t="n">
        <v>2</v>
      </c>
      <c r="AS349" s="20" t="inlineStr">
        <is>
          <t>000000000000E28C</t>
        </is>
      </c>
    </row>
    <row r="350">
      <c r="AL350" t="n">
        <v>0</v>
      </c>
      <c r="AR350" t="n">
        <v>2</v>
      </c>
      <c r="AS350" s="20" t="inlineStr">
        <is>
          <t>000000000000E2DC</t>
        </is>
      </c>
    </row>
    <row r="351">
      <c r="AL351" t="n">
        <v>0</v>
      </c>
      <c r="AR351" t="n">
        <v>2</v>
      </c>
      <c r="AS351" s="20" t="inlineStr">
        <is>
          <t>000000000000E3F1</t>
        </is>
      </c>
    </row>
    <row r="352">
      <c r="AL352" t="n">
        <v>0</v>
      </c>
      <c r="AR352" t="n">
        <v>2</v>
      </c>
      <c r="AS352" s="20" t="inlineStr">
        <is>
          <t>000000000000E805</t>
        </is>
      </c>
    </row>
    <row r="353">
      <c r="AL353" t="n">
        <v>0</v>
      </c>
      <c r="AR353" t="n">
        <v>2</v>
      </c>
      <c r="AS353" s="20" t="inlineStr">
        <is>
          <t>000000000000E8FC</t>
        </is>
      </c>
    </row>
    <row r="354">
      <c r="AL354" t="n">
        <v>0</v>
      </c>
      <c r="AR354" t="n">
        <v>2</v>
      </c>
      <c r="AS354" s="20" t="inlineStr">
        <is>
          <t>000000000000ECB4</t>
        </is>
      </c>
    </row>
    <row r="355">
      <c r="AL355" t="n">
        <v>0</v>
      </c>
      <c r="AR355" t="n">
        <v>2</v>
      </c>
      <c r="AS355" s="20" t="inlineStr">
        <is>
          <t>000000000000ECB8</t>
        </is>
      </c>
    </row>
    <row r="356">
      <c r="AL356" t="n">
        <v>0</v>
      </c>
      <c r="AR356" t="n">
        <v>2</v>
      </c>
      <c r="AS356" s="20" t="inlineStr">
        <is>
          <t>000000000000ECDB</t>
        </is>
      </c>
    </row>
    <row r="357">
      <c r="AL357" t="n">
        <v>0</v>
      </c>
      <c r="AR357" t="n">
        <v>2</v>
      </c>
      <c r="AS357" s="20" t="inlineStr">
        <is>
          <t>000000000000E322</t>
        </is>
      </c>
    </row>
    <row r="358">
      <c r="AL358" t="n">
        <v>0</v>
      </c>
      <c r="AR358" t="n">
        <v>2</v>
      </c>
      <c r="AS358" s="20" t="inlineStr">
        <is>
          <t>000000000000E58C</t>
        </is>
      </c>
    </row>
    <row r="359">
      <c r="AL359" t="n">
        <v>0</v>
      </c>
      <c r="AR359" t="n">
        <v>2</v>
      </c>
      <c r="AS359" s="20" t="inlineStr">
        <is>
          <t>000000000000E59B</t>
        </is>
      </c>
    </row>
    <row r="360">
      <c r="AL360" t="n">
        <v>0</v>
      </c>
      <c r="AR360" t="n">
        <v>2</v>
      </c>
      <c r="AS360" s="20" t="inlineStr">
        <is>
          <t>000000000000E7ED</t>
        </is>
      </c>
    </row>
    <row r="361">
      <c r="AL361" t="n">
        <v>0</v>
      </c>
      <c r="AR361" t="n">
        <v>2</v>
      </c>
      <c r="AS361" s="20" t="inlineStr">
        <is>
          <t>000000000000E81C</t>
        </is>
      </c>
    </row>
    <row r="362">
      <c r="AL362" t="n">
        <v>0</v>
      </c>
      <c r="AR362" t="n">
        <v>2</v>
      </c>
      <c r="AS362" s="20" t="inlineStr">
        <is>
          <t>000000000000EC37</t>
        </is>
      </c>
    </row>
    <row r="363">
      <c r="AL363" t="n">
        <v>0</v>
      </c>
      <c r="AR363" t="n">
        <v>2</v>
      </c>
      <c r="AS363" s="20" t="inlineStr">
        <is>
          <t>000000000000ECF5</t>
        </is>
      </c>
    </row>
    <row r="364">
      <c r="AL364" t="n">
        <v>0</v>
      </c>
      <c r="AR364" t="n">
        <v>2</v>
      </c>
      <c r="AS364" s="20" t="inlineStr">
        <is>
          <t>000000000000E366</t>
        </is>
      </c>
    </row>
    <row r="365">
      <c r="AL365" t="n">
        <v>0</v>
      </c>
      <c r="AR365" t="n">
        <v>2</v>
      </c>
      <c r="AS365" s="20" t="inlineStr">
        <is>
          <t>000000000000E467</t>
        </is>
      </c>
    </row>
    <row r="366">
      <c r="AL366" t="n">
        <v>0</v>
      </c>
      <c r="AR366" t="n">
        <v>2</v>
      </c>
      <c r="AS366" s="20" t="inlineStr">
        <is>
          <t>000000000000E714</t>
        </is>
      </c>
    </row>
    <row r="367">
      <c r="AL367" t="n">
        <v>0</v>
      </c>
      <c r="AR367" t="n">
        <v>2</v>
      </c>
      <c r="AS367" s="20" t="inlineStr">
        <is>
          <t>000000000000E28C</t>
        </is>
      </c>
    </row>
    <row r="368">
      <c r="AL368" t="n">
        <v>0</v>
      </c>
      <c r="AR368" t="n">
        <v>2</v>
      </c>
      <c r="AS368" s="20" t="inlineStr">
        <is>
          <t>000000000000E2DC</t>
        </is>
      </c>
    </row>
    <row r="369">
      <c r="AL369" t="n">
        <v>0</v>
      </c>
      <c r="AR369" t="n">
        <v>2</v>
      </c>
      <c r="AS369" s="20" t="inlineStr">
        <is>
          <t>000000000000E3F1</t>
        </is>
      </c>
    </row>
    <row r="370">
      <c r="AL370" t="n">
        <v>0</v>
      </c>
      <c r="AR370" t="n">
        <v>2</v>
      </c>
      <c r="AS370" s="20" t="inlineStr">
        <is>
          <t>000000000000E805</t>
        </is>
      </c>
    </row>
    <row r="371">
      <c r="AL371" t="n">
        <v>0</v>
      </c>
      <c r="AR371" t="n">
        <v>2</v>
      </c>
      <c r="AS371" s="20" t="inlineStr">
        <is>
          <t>000000000000E8FC</t>
        </is>
      </c>
    </row>
    <row r="372">
      <c r="AL372" t="n">
        <v>0</v>
      </c>
      <c r="AR372" t="n">
        <v>2</v>
      </c>
      <c r="AS372" s="20" t="inlineStr">
        <is>
          <t>000000000000ECB4</t>
        </is>
      </c>
    </row>
    <row r="373">
      <c r="AL373" t="n">
        <v>0</v>
      </c>
      <c r="AR373" t="n">
        <v>2</v>
      </c>
      <c r="AS373" s="20" t="inlineStr">
        <is>
          <t>000000000000ECB8</t>
        </is>
      </c>
    </row>
    <row r="374">
      <c r="AL374" t="n">
        <v>0</v>
      </c>
      <c r="AR374" t="n">
        <v>2</v>
      </c>
      <c r="AS374" s="20" t="inlineStr">
        <is>
          <t>000000000000ECDB</t>
        </is>
      </c>
    </row>
    <row r="375">
      <c r="AL375" t="n">
        <v>0</v>
      </c>
      <c r="AR375" t="n">
        <v>2</v>
      </c>
      <c r="AS375" s="20" t="inlineStr">
        <is>
          <t>000000000000E322</t>
        </is>
      </c>
    </row>
    <row r="376">
      <c r="AL376" t="n">
        <v>0</v>
      </c>
      <c r="AR376" t="n">
        <v>2</v>
      </c>
      <c r="AS376" s="20" t="inlineStr">
        <is>
          <t>000000000000E58C</t>
        </is>
      </c>
    </row>
    <row r="377">
      <c r="AL377" t="n">
        <v>0</v>
      </c>
      <c r="AR377" t="n">
        <v>2</v>
      </c>
      <c r="AS377" s="20" t="inlineStr">
        <is>
          <t>000000000000E59B</t>
        </is>
      </c>
    </row>
    <row r="378">
      <c r="AL378" t="n">
        <v>0</v>
      </c>
      <c r="AR378" t="n">
        <v>2</v>
      </c>
      <c r="AS378" s="20" t="inlineStr">
        <is>
          <t>000000000000E7ED</t>
        </is>
      </c>
    </row>
    <row r="379">
      <c r="AL379" t="n">
        <v>0</v>
      </c>
      <c r="AR379" t="n">
        <v>2</v>
      </c>
      <c r="AS379" s="20" t="inlineStr">
        <is>
          <t>000000000000E81C</t>
        </is>
      </c>
    </row>
    <row r="380">
      <c r="AL380" t="n">
        <v>0</v>
      </c>
      <c r="AR380" t="n">
        <v>2</v>
      </c>
      <c r="AS380" s="20" t="inlineStr">
        <is>
          <t>000000000000EC37</t>
        </is>
      </c>
    </row>
    <row r="381">
      <c r="AL381" t="n">
        <v>0</v>
      </c>
      <c r="AR381" t="n">
        <v>2</v>
      </c>
      <c r="AS381" s="20" t="inlineStr">
        <is>
          <t>000000000000ECF5</t>
        </is>
      </c>
    </row>
    <row r="382">
      <c r="AL382" t="n">
        <v>0</v>
      </c>
      <c r="AR382" t="n">
        <v>2</v>
      </c>
      <c r="AS382" s="20" t="inlineStr">
        <is>
          <t>000000000000E366</t>
        </is>
      </c>
    </row>
    <row r="383">
      <c r="AL383" t="n">
        <v>0</v>
      </c>
      <c r="AR383" t="n">
        <v>2</v>
      </c>
      <c r="AS383" s="20" t="inlineStr">
        <is>
          <t>000000000000E467</t>
        </is>
      </c>
    </row>
    <row r="384">
      <c r="AL384" t="n">
        <v>0</v>
      </c>
      <c r="AR384" t="n">
        <v>2</v>
      </c>
      <c r="AS384" s="20" t="inlineStr">
        <is>
          <t>000000000000E714</t>
        </is>
      </c>
    </row>
    <row r="385">
      <c r="AL385" t="n">
        <v>0</v>
      </c>
      <c r="AR385" t="n">
        <v>2</v>
      </c>
      <c r="AS385" s="20" t="inlineStr">
        <is>
          <t>000000000000E28C</t>
        </is>
      </c>
    </row>
    <row r="386">
      <c r="AL386" t="n">
        <v>0</v>
      </c>
      <c r="AR386" t="n">
        <v>2</v>
      </c>
      <c r="AS386" s="20" t="inlineStr">
        <is>
          <t>000000000000E2DC</t>
        </is>
      </c>
    </row>
    <row r="387">
      <c r="AL387" t="n">
        <v>0</v>
      </c>
      <c r="AR387" t="n">
        <v>2</v>
      </c>
      <c r="AS387" s="20" t="inlineStr">
        <is>
          <t>000000000000E3F1</t>
        </is>
      </c>
    </row>
    <row r="388">
      <c r="AL388" t="n">
        <v>0</v>
      </c>
      <c r="AR388" t="n">
        <v>2</v>
      </c>
      <c r="AS388" s="20" t="inlineStr">
        <is>
          <t>000000000000E805</t>
        </is>
      </c>
    </row>
    <row r="389">
      <c r="AL389" t="n">
        <v>0</v>
      </c>
      <c r="AR389" t="n">
        <v>2</v>
      </c>
      <c r="AS389" s="20" t="inlineStr">
        <is>
          <t>000000000000E8FC</t>
        </is>
      </c>
    </row>
    <row r="390">
      <c r="AL390" t="n">
        <v>0</v>
      </c>
      <c r="AR390" t="n">
        <v>2</v>
      </c>
      <c r="AS390" s="20" t="inlineStr">
        <is>
          <t>000000000000ECB4</t>
        </is>
      </c>
    </row>
    <row r="391">
      <c r="AL391" t="n">
        <v>0</v>
      </c>
      <c r="AR391" t="n">
        <v>2</v>
      </c>
      <c r="AS391" s="20" t="inlineStr">
        <is>
          <t>000000000000ECB8</t>
        </is>
      </c>
    </row>
    <row r="392">
      <c r="AL392" t="n">
        <v>0</v>
      </c>
      <c r="AR392" t="n">
        <v>2</v>
      </c>
      <c r="AS392" s="20" t="inlineStr">
        <is>
          <t>000000000000ECDB</t>
        </is>
      </c>
    </row>
    <row r="393">
      <c r="AL393" t="n">
        <v>0</v>
      </c>
      <c r="AR393" t="n">
        <v>2</v>
      </c>
      <c r="AS393" s="20" t="inlineStr">
        <is>
          <t>000000000000E322</t>
        </is>
      </c>
    </row>
    <row r="394">
      <c r="AL394" t="n">
        <v>0</v>
      </c>
      <c r="AR394" t="n">
        <v>2</v>
      </c>
      <c r="AS394" s="20" t="inlineStr">
        <is>
          <t>000000000000E58C</t>
        </is>
      </c>
    </row>
    <row r="395">
      <c r="AL395" t="n">
        <v>0</v>
      </c>
      <c r="AR395" t="n">
        <v>2</v>
      </c>
      <c r="AS395" s="20" t="inlineStr">
        <is>
          <t>000000000000E59B</t>
        </is>
      </c>
    </row>
    <row r="396">
      <c r="AL396" t="n">
        <v>0</v>
      </c>
      <c r="AR396" t="n">
        <v>2</v>
      </c>
      <c r="AS396" s="20" t="inlineStr">
        <is>
          <t>000000000000E7ED</t>
        </is>
      </c>
    </row>
    <row r="397">
      <c r="AL397" t="n">
        <v>0</v>
      </c>
      <c r="AR397" t="n">
        <v>2</v>
      </c>
      <c r="AS397" s="20" t="inlineStr">
        <is>
          <t>000000000000E81C</t>
        </is>
      </c>
    </row>
    <row r="398">
      <c r="AL398" t="n">
        <v>0</v>
      </c>
      <c r="AR398" t="n">
        <v>2</v>
      </c>
      <c r="AS398" s="20" t="inlineStr">
        <is>
          <t>000000000000EC37</t>
        </is>
      </c>
    </row>
    <row r="399">
      <c r="AL399" t="n">
        <v>0</v>
      </c>
      <c r="AR399" t="n">
        <v>2</v>
      </c>
      <c r="AS399" s="20" t="inlineStr">
        <is>
          <t>000000000000ECF5</t>
        </is>
      </c>
    </row>
    <row r="400">
      <c r="AL400" t="n">
        <v>0</v>
      </c>
      <c r="AR400" t="n">
        <v>2</v>
      </c>
      <c r="AS400" s="20" t="inlineStr">
        <is>
          <t>000000000000E366</t>
        </is>
      </c>
    </row>
    <row r="401">
      <c r="AL401" t="n">
        <v>0</v>
      </c>
      <c r="AR401" t="n">
        <v>2</v>
      </c>
      <c r="AS401" s="20" t="inlineStr">
        <is>
          <t>000000000000E467</t>
        </is>
      </c>
    </row>
    <row r="402">
      <c r="AL402" t="n">
        <v>0</v>
      </c>
      <c r="AR402" t="n">
        <v>2</v>
      </c>
      <c r="AS402" s="20" t="inlineStr">
        <is>
          <t>000000000000E714</t>
        </is>
      </c>
    </row>
    <row r="403">
      <c r="AL403" t="n">
        <v>0</v>
      </c>
      <c r="AR403" t="n">
        <v>2</v>
      </c>
      <c r="AS403" s="20" t="inlineStr">
        <is>
          <t>000000000000E28C</t>
        </is>
      </c>
    </row>
    <row r="404">
      <c r="AL404" t="n">
        <v>0</v>
      </c>
      <c r="AR404" t="n">
        <v>2</v>
      </c>
      <c r="AS404" s="20" t="inlineStr">
        <is>
          <t>000000000000E2DC</t>
        </is>
      </c>
    </row>
    <row r="405">
      <c r="AL405" t="n">
        <v>0</v>
      </c>
      <c r="AR405" t="n">
        <v>2</v>
      </c>
      <c r="AS405" s="20" t="inlineStr">
        <is>
          <t>000000000000E3F1</t>
        </is>
      </c>
    </row>
    <row r="406">
      <c r="AL406" t="n">
        <v>0</v>
      </c>
      <c r="AR406" t="n">
        <v>2</v>
      </c>
      <c r="AS406" s="20" t="inlineStr">
        <is>
          <t>000000000000E805</t>
        </is>
      </c>
    </row>
    <row r="407">
      <c r="AL407" t="n">
        <v>0</v>
      </c>
      <c r="AR407" t="n">
        <v>2</v>
      </c>
      <c r="AS407" s="20" t="inlineStr">
        <is>
          <t>000000000000E8FC</t>
        </is>
      </c>
    </row>
    <row r="408">
      <c r="AL408" t="n">
        <v>0</v>
      </c>
      <c r="AR408" t="n">
        <v>2</v>
      </c>
      <c r="AS408" s="20" t="inlineStr">
        <is>
          <t>000000000000ECB4</t>
        </is>
      </c>
    </row>
    <row r="409">
      <c r="AL409" t="n">
        <v>0</v>
      </c>
      <c r="AR409" t="n">
        <v>2</v>
      </c>
      <c r="AS409" s="20" t="inlineStr">
        <is>
          <t>000000000000ECB8</t>
        </is>
      </c>
    </row>
    <row r="410">
      <c r="AL410" t="n">
        <v>0</v>
      </c>
      <c r="AR410" t="n">
        <v>2</v>
      </c>
      <c r="AS410" s="20" t="inlineStr">
        <is>
          <t>000000000000ECDB</t>
        </is>
      </c>
    </row>
    <row r="411">
      <c r="AL411" t="n">
        <v>0</v>
      </c>
      <c r="AR411" t="n">
        <v>2</v>
      </c>
      <c r="AS411" s="20" t="inlineStr">
        <is>
          <t>000000000000E322</t>
        </is>
      </c>
    </row>
    <row r="412">
      <c r="AL412" t="n">
        <v>0</v>
      </c>
      <c r="AR412" t="n">
        <v>2</v>
      </c>
      <c r="AS412" s="20" t="inlineStr">
        <is>
          <t>000000000000E58C</t>
        </is>
      </c>
    </row>
    <row r="413">
      <c r="AL413" t="n">
        <v>0</v>
      </c>
      <c r="AR413" t="n">
        <v>2</v>
      </c>
      <c r="AS413" s="20" t="inlineStr">
        <is>
          <t>000000000000E59B</t>
        </is>
      </c>
    </row>
    <row r="414">
      <c r="AL414" t="n">
        <v>0</v>
      </c>
      <c r="AR414" t="n">
        <v>2</v>
      </c>
      <c r="AS414" s="20" t="inlineStr">
        <is>
          <t>000000000000E7ED</t>
        </is>
      </c>
    </row>
    <row r="415">
      <c r="AL415" t="n">
        <v>0</v>
      </c>
      <c r="AR415" t="n">
        <v>2</v>
      </c>
      <c r="AS415" s="20" t="inlineStr">
        <is>
          <t>000000000000E81C</t>
        </is>
      </c>
    </row>
    <row r="416">
      <c r="AL416" t="n">
        <v>0</v>
      </c>
      <c r="AR416" t="n">
        <v>2</v>
      </c>
      <c r="AS416" s="20" t="inlineStr">
        <is>
          <t>000000000000EC37</t>
        </is>
      </c>
    </row>
    <row r="417">
      <c r="AL417" t="n">
        <v>0</v>
      </c>
      <c r="AR417" t="n">
        <v>2</v>
      </c>
      <c r="AS417" s="20" t="inlineStr">
        <is>
          <t>000000000000ECF5</t>
        </is>
      </c>
    </row>
    <row r="418">
      <c r="AL418" t="n">
        <v>0</v>
      </c>
      <c r="AR418" t="n">
        <v>2</v>
      </c>
      <c r="AS418" s="20" t="inlineStr">
        <is>
          <t>000000000000E366</t>
        </is>
      </c>
    </row>
    <row r="419">
      <c r="AL419" t="n">
        <v>0</v>
      </c>
      <c r="AR419" t="n">
        <v>2</v>
      </c>
      <c r="AS419" s="20" t="inlineStr">
        <is>
          <t>000000000000E467</t>
        </is>
      </c>
    </row>
    <row r="420">
      <c r="AL420" t="n">
        <v>0</v>
      </c>
      <c r="AR420" t="n">
        <v>2</v>
      </c>
      <c r="AS420" s="20" t="inlineStr">
        <is>
          <t>000000000000E714</t>
        </is>
      </c>
    </row>
    <row r="421">
      <c r="AL421" t="n">
        <v>0</v>
      </c>
      <c r="AR421" t="n">
        <v>2</v>
      </c>
      <c r="AS421" s="20" t="inlineStr">
        <is>
          <t>000000000000E28C</t>
        </is>
      </c>
    </row>
    <row r="422">
      <c r="AL422" t="n">
        <v>0</v>
      </c>
      <c r="AR422" t="n">
        <v>2</v>
      </c>
      <c r="AS422" s="20" t="inlineStr">
        <is>
          <t>000000000000E2DC</t>
        </is>
      </c>
    </row>
    <row r="423">
      <c r="AL423" t="n">
        <v>0</v>
      </c>
      <c r="AR423" t="n">
        <v>2</v>
      </c>
      <c r="AS423" s="20" t="inlineStr">
        <is>
          <t>000000000000E3F1</t>
        </is>
      </c>
    </row>
    <row r="424">
      <c r="AL424" t="n">
        <v>0</v>
      </c>
      <c r="AR424" t="n">
        <v>2</v>
      </c>
      <c r="AS424" s="20" t="inlineStr">
        <is>
          <t>000000000000E805</t>
        </is>
      </c>
    </row>
    <row r="425">
      <c r="AL425" t="n">
        <v>0</v>
      </c>
      <c r="AR425" t="n">
        <v>2</v>
      </c>
      <c r="AS425" s="20" t="inlineStr">
        <is>
          <t>000000000000E8FC</t>
        </is>
      </c>
    </row>
    <row r="426">
      <c r="AL426" t="n">
        <v>0</v>
      </c>
      <c r="AR426" t="n">
        <v>2</v>
      </c>
      <c r="AS426" s="20" t="inlineStr">
        <is>
          <t>000000000000ECB4</t>
        </is>
      </c>
    </row>
    <row r="427">
      <c r="AL427" t="n">
        <v>0</v>
      </c>
      <c r="AR427" t="n">
        <v>2</v>
      </c>
      <c r="AS427" s="20" t="inlineStr">
        <is>
          <t>000000000000ECB8</t>
        </is>
      </c>
    </row>
    <row r="428">
      <c r="AL428" t="n">
        <v>0</v>
      </c>
      <c r="AR428" t="n">
        <v>2</v>
      </c>
      <c r="AS428" s="20" t="inlineStr">
        <is>
          <t>000000000000ECDB</t>
        </is>
      </c>
    </row>
    <row r="429">
      <c r="AL429" t="n">
        <v>0</v>
      </c>
      <c r="AR429" t="n">
        <v>2</v>
      </c>
      <c r="AS429" s="20" t="inlineStr">
        <is>
          <t>000000000000E322</t>
        </is>
      </c>
    </row>
    <row r="430">
      <c r="AL430" t="n">
        <v>0</v>
      </c>
      <c r="AR430" t="n">
        <v>2</v>
      </c>
      <c r="AS430" s="20" t="inlineStr">
        <is>
          <t>000000000000E58C</t>
        </is>
      </c>
    </row>
    <row r="431">
      <c r="AL431" t="n">
        <v>0</v>
      </c>
      <c r="AR431" t="n">
        <v>2</v>
      </c>
      <c r="AS431" s="20" t="inlineStr">
        <is>
          <t>000000000000E59B</t>
        </is>
      </c>
    </row>
    <row r="432">
      <c r="AL432" t="n">
        <v>0</v>
      </c>
      <c r="AR432" t="n">
        <v>2</v>
      </c>
      <c r="AS432" s="20" t="inlineStr">
        <is>
          <t>000000000000E7ED</t>
        </is>
      </c>
    </row>
    <row r="433">
      <c r="AL433" t="n">
        <v>0</v>
      </c>
      <c r="AR433" t="n">
        <v>2</v>
      </c>
      <c r="AS433" s="20" t="inlineStr">
        <is>
          <t>000000000000E81C</t>
        </is>
      </c>
    </row>
    <row r="434">
      <c r="AL434" t="n">
        <v>0</v>
      </c>
      <c r="AR434" t="n">
        <v>2</v>
      </c>
      <c r="AS434" s="20" t="inlineStr">
        <is>
          <t>000000000000EC37</t>
        </is>
      </c>
    </row>
    <row r="435">
      <c r="AL435" t="n">
        <v>0</v>
      </c>
      <c r="AR435" t="n">
        <v>2</v>
      </c>
      <c r="AS435" s="20" t="inlineStr">
        <is>
          <t>000000000000ECF5</t>
        </is>
      </c>
    </row>
    <row r="436">
      <c r="AL436" t="n">
        <v>0</v>
      </c>
      <c r="AR436" t="n">
        <v>2</v>
      </c>
      <c r="AS436" s="20" t="inlineStr">
        <is>
          <t>000000000000E366</t>
        </is>
      </c>
    </row>
    <row r="437">
      <c r="AL437" t="n">
        <v>0</v>
      </c>
      <c r="AR437" t="n">
        <v>2</v>
      </c>
      <c r="AS437" s="20" t="inlineStr">
        <is>
          <t>000000000000E467</t>
        </is>
      </c>
    </row>
    <row r="438">
      <c r="AL438" t="n">
        <v>0</v>
      </c>
      <c r="AR438" t="n">
        <v>2</v>
      </c>
      <c r="AS438" s="20" t="inlineStr">
        <is>
          <t>000000000000E714</t>
        </is>
      </c>
    </row>
    <row r="439">
      <c r="AL439" t="n">
        <v>0</v>
      </c>
      <c r="AR439" t="n">
        <v>2</v>
      </c>
      <c r="AS439" s="20" t="inlineStr">
        <is>
          <t>000000000000E28C</t>
        </is>
      </c>
    </row>
    <row r="440">
      <c r="AL440" t="n">
        <v>0</v>
      </c>
      <c r="AR440" t="n">
        <v>2</v>
      </c>
      <c r="AS440" s="20" t="inlineStr">
        <is>
          <t>000000000000E2DC</t>
        </is>
      </c>
    </row>
    <row r="441">
      <c r="AL441" t="n">
        <v>0</v>
      </c>
      <c r="AR441" t="n">
        <v>2</v>
      </c>
      <c r="AS441" s="20" t="inlineStr">
        <is>
          <t>000000000000E3F1</t>
        </is>
      </c>
    </row>
    <row r="442">
      <c r="AL442" t="n">
        <v>0</v>
      </c>
      <c r="AR442" t="n">
        <v>2</v>
      </c>
      <c r="AS442" s="20" t="inlineStr">
        <is>
          <t>000000000000E805</t>
        </is>
      </c>
    </row>
    <row r="443">
      <c r="AL443" t="n">
        <v>0</v>
      </c>
      <c r="AR443" t="n">
        <v>2</v>
      </c>
      <c r="AS443" s="20" t="inlineStr">
        <is>
          <t>000000000000E8FC</t>
        </is>
      </c>
    </row>
    <row r="444">
      <c r="AL444" t="n">
        <v>0</v>
      </c>
      <c r="AR444" t="n">
        <v>2</v>
      </c>
      <c r="AS444" s="20" t="inlineStr">
        <is>
          <t>000000000000ECB4</t>
        </is>
      </c>
    </row>
    <row r="445">
      <c r="AL445" t="n">
        <v>0</v>
      </c>
      <c r="AR445" t="n">
        <v>2</v>
      </c>
      <c r="AS445" s="20" t="inlineStr">
        <is>
          <t>000000000000ECB8</t>
        </is>
      </c>
    </row>
    <row r="446">
      <c r="AL446" t="n">
        <v>0</v>
      </c>
      <c r="AR446" t="n">
        <v>2</v>
      </c>
      <c r="AS446" s="20" t="inlineStr">
        <is>
          <t>000000000000ECDB</t>
        </is>
      </c>
    </row>
    <row r="447">
      <c r="AL447" t="n">
        <v>0</v>
      </c>
      <c r="AR447" t="n">
        <v>2</v>
      </c>
      <c r="AS447" s="20" t="inlineStr">
        <is>
          <t>000000000000E322</t>
        </is>
      </c>
    </row>
    <row r="448">
      <c r="AL448" t="n">
        <v>0</v>
      </c>
      <c r="AR448" t="n">
        <v>2</v>
      </c>
      <c r="AS448" s="20" t="inlineStr">
        <is>
          <t>000000000000E58C</t>
        </is>
      </c>
    </row>
    <row r="449">
      <c r="AL449" t="n">
        <v>0</v>
      </c>
      <c r="AR449" t="n">
        <v>2</v>
      </c>
      <c r="AS449" s="20" t="inlineStr">
        <is>
          <t>000000000000E59B</t>
        </is>
      </c>
    </row>
    <row r="450">
      <c r="AL450" t="n">
        <v>0</v>
      </c>
      <c r="AR450" t="n">
        <v>2</v>
      </c>
      <c r="AS450" s="20" t="inlineStr">
        <is>
          <t>000000000000E7ED</t>
        </is>
      </c>
    </row>
    <row r="451">
      <c r="AL451" t="n">
        <v>0</v>
      </c>
      <c r="AR451" t="n">
        <v>2</v>
      </c>
      <c r="AS451" s="20" t="inlineStr">
        <is>
          <t>000000000000E81C</t>
        </is>
      </c>
    </row>
    <row r="452">
      <c r="AL452" t="n">
        <v>0</v>
      </c>
      <c r="AR452" t="n">
        <v>2</v>
      </c>
      <c r="AS452" s="20" t="inlineStr">
        <is>
          <t>000000000000EC37</t>
        </is>
      </c>
    </row>
    <row r="453">
      <c r="AL453" t="n">
        <v>0</v>
      </c>
      <c r="AR453" t="n">
        <v>2</v>
      </c>
      <c r="AS453" s="20" t="inlineStr">
        <is>
          <t>000000000000ECF5</t>
        </is>
      </c>
    </row>
    <row r="454">
      <c r="AL454" t="n">
        <v>0</v>
      </c>
      <c r="AR454" t="n">
        <v>2</v>
      </c>
      <c r="AS454" s="20" t="inlineStr">
        <is>
          <t>000000000000E366</t>
        </is>
      </c>
    </row>
    <row r="455">
      <c r="AL455" t="n">
        <v>0</v>
      </c>
      <c r="AR455" t="n">
        <v>2</v>
      </c>
      <c r="AS455" s="20" t="inlineStr">
        <is>
          <t>000000000000E467</t>
        </is>
      </c>
    </row>
    <row r="456">
      <c r="AL456" t="n">
        <v>0</v>
      </c>
      <c r="AR456" t="n">
        <v>2</v>
      </c>
      <c r="AS456" s="20" t="inlineStr">
        <is>
          <t>000000000000E714</t>
        </is>
      </c>
    </row>
    <row r="457">
      <c r="AL457" t="n">
        <v>0</v>
      </c>
      <c r="AR457" t="n">
        <v>2</v>
      </c>
      <c r="AS457" s="20" t="inlineStr">
        <is>
          <t>000000000000E28C</t>
        </is>
      </c>
    </row>
    <row r="458">
      <c r="AL458" t="n">
        <v>0</v>
      </c>
      <c r="AR458" t="n">
        <v>2</v>
      </c>
      <c r="AS458" s="20" t="inlineStr">
        <is>
          <t>000000000000E2DC</t>
        </is>
      </c>
    </row>
    <row r="459">
      <c r="AL459" t="n">
        <v>0</v>
      </c>
      <c r="AR459" t="n">
        <v>2</v>
      </c>
      <c r="AS459" s="20" t="inlineStr">
        <is>
          <t>000000000000E3F1</t>
        </is>
      </c>
    </row>
    <row r="460">
      <c r="AL460" t="n">
        <v>0</v>
      </c>
      <c r="AR460" t="n">
        <v>2</v>
      </c>
      <c r="AS460" s="20" t="inlineStr">
        <is>
          <t>000000000000E805</t>
        </is>
      </c>
    </row>
    <row r="461">
      <c r="AL461" t="n">
        <v>0</v>
      </c>
      <c r="AR461" t="n">
        <v>2</v>
      </c>
      <c r="AS461" s="20" t="inlineStr">
        <is>
          <t>000000000000E8FC</t>
        </is>
      </c>
    </row>
    <row r="462">
      <c r="AL462" t="n">
        <v>0</v>
      </c>
      <c r="AR462" t="n">
        <v>2</v>
      </c>
      <c r="AS462" s="20" t="inlineStr">
        <is>
          <t>000000000000ECB4</t>
        </is>
      </c>
    </row>
    <row r="463">
      <c r="AL463" t="n">
        <v>0</v>
      </c>
      <c r="AR463" t="n">
        <v>2</v>
      </c>
      <c r="AS463" s="20" t="inlineStr">
        <is>
          <t>000000000000ECB8</t>
        </is>
      </c>
    </row>
    <row r="464">
      <c r="AL464" t="n">
        <v>0</v>
      </c>
      <c r="AR464" t="n">
        <v>2</v>
      </c>
      <c r="AS464" s="20" t="inlineStr">
        <is>
          <t>000000000000ECDB</t>
        </is>
      </c>
    </row>
    <row r="465">
      <c r="AL465" t="n">
        <v>0</v>
      </c>
      <c r="AR465" t="n">
        <v>2</v>
      </c>
      <c r="AS465" s="20" t="inlineStr">
        <is>
          <t>000000000000E322</t>
        </is>
      </c>
    </row>
    <row r="466">
      <c r="AL466" t="n">
        <v>0</v>
      </c>
      <c r="AR466" t="n">
        <v>2</v>
      </c>
      <c r="AS466" s="20" t="inlineStr">
        <is>
          <t>000000000000E58C</t>
        </is>
      </c>
    </row>
    <row r="467">
      <c r="AL467" t="n">
        <v>0</v>
      </c>
      <c r="AR467" t="n">
        <v>2</v>
      </c>
      <c r="AS467" s="20" t="inlineStr">
        <is>
          <t>000000000000E59B</t>
        </is>
      </c>
    </row>
    <row r="468">
      <c r="AL468" t="n">
        <v>0</v>
      </c>
      <c r="AR468" t="n">
        <v>2</v>
      </c>
      <c r="AS468" s="20" t="inlineStr">
        <is>
          <t>000000000000E7ED</t>
        </is>
      </c>
    </row>
    <row r="469">
      <c r="AL469" t="n">
        <v>0</v>
      </c>
      <c r="AR469" t="n">
        <v>2</v>
      </c>
      <c r="AS469" s="20" t="inlineStr">
        <is>
          <t>000000000000E81C</t>
        </is>
      </c>
    </row>
    <row r="470">
      <c r="AL470" t="n">
        <v>0</v>
      </c>
      <c r="AR470" t="n">
        <v>2</v>
      </c>
      <c r="AS470" s="20" t="inlineStr">
        <is>
          <t>000000000000EC37</t>
        </is>
      </c>
    </row>
    <row r="471">
      <c r="AL471" t="n">
        <v>0</v>
      </c>
      <c r="AR471" t="n">
        <v>2</v>
      </c>
      <c r="AS471" s="20" t="inlineStr">
        <is>
          <t>000000000000ECF5</t>
        </is>
      </c>
    </row>
    <row r="472">
      <c r="AL472" t="n">
        <v>0</v>
      </c>
      <c r="AR472" t="n">
        <v>2</v>
      </c>
      <c r="AS472" s="20" t="inlineStr">
        <is>
          <t>000000000000E366</t>
        </is>
      </c>
    </row>
    <row r="473">
      <c r="AL473" t="n">
        <v>0</v>
      </c>
      <c r="AR473" t="n">
        <v>2</v>
      </c>
      <c r="AS473" s="20" t="inlineStr">
        <is>
          <t>000000000000E467</t>
        </is>
      </c>
    </row>
    <row r="474">
      <c r="AL474" t="n">
        <v>0</v>
      </c>
      <c r="AR474" t="n">
        <v>2</v>
      </c>
      <c r="AS474" s="20" t="inlineStr">
        <is>
          <t>000000000000E714</t>
        </is>
      </c>
    </row>
    <row r="475">
      <c r="AL475" t="n">
        <v>0</v>
      </c>
      <c r="AR475" t="n">
        <v>2</v>
      </c>
      <c r="AS475" s="20" t="inlineStr">
        <is>
          <t>000000000000E28C</t>
        </is>
      </c>
    </row>
    <row r="476">
      <c r="AL476" t="n">
        <v>0</v>
      </c>
      <c r="AR476" t="n">
        <v>2</v>
      </c>
      <c r="AS476" s="20" t="inlineStr">
        <is>
          <t>000000000000E2DC</t>
        </is>
      </c>
    </row>
    <row r="477">
      <c r="AL477" t="n">
        <v>0</v>
      </c>
      <c r="AR477" t="n">
        <v>2</v>
      </c>
      <c r="AS477" s="20" t="inlineStr">
        <is>
          <t>000000000000E3F1</t>
        </is>
      </c>
    </row>
    <row r="478">
      <c r="AL478" t="n">
        <v>0</v>
      </c>
      <c r="AR478" t="n">
        <v>2</v>
      </c>
      <c r="AS478" s="20" t="inlineStr">
        <is>
          <t>000000000000E805</t>
        </is>
      </c>
    </row>
    <row r="479">
      <c r="AL479" t="n">
        <v>0</v>
      </c>
      <c r="AR479" t="n">
        <v>2</v>
      </c>
      <c r="AS479" s="20" t="inlineStr">
        <is>
          <t>000000000000E8FC</t>
        </is>
      </c>
    </row>
    <row r="480">
      <c r="AL480" t="n">
        <v>0</v>
      </c>
      <c r="AR480" t="n">
        <v>2</v>
      </c>
      <c r="AS480" s="20" t="inlineStr">
        <is>
          <t>000000000000ECB4</t>
        </is>
      </c>
    </row>
    <row r="481">
      <c r="AL481" t="n">
        <v>0</v>
      </c>
      <c r="AR481" t="n">
        <v>2</v>
      </c>
      <c r="AS481" s="20" t="inlineStr">
        <is>
          <t>000000000000ECB8</t>
        </is>
      </c>
    </row>
    <row r="482">
      <c r="AL482" t="n">
        <v>0</v>
      </c>
      <c r="AR482" t="n">
        <v>2</v>
      </c>
      <c r="AS482" s="20" t="inlineStr">
        <is>
          <t>000000000000ECDB</t>
        </is>
      </c>
    </row>
    <row r="483">
      <c r="AL483" t="n">
        <v>0</v>
      </c>
      <c r="AR483" t="n">
        <v>2</v>
      </c>
      <c r="AS483" s="20" t="inlineStr">
        <is>
          <t>000000000000E322</t>
        </is>
      </c>
    </row>
    <row r="484">
      <c r="AL484" t="n">
        <v>0</v>
      </c>
      <c r="AR484" t="n">
        <v>2</v>
      </c>
      <c r="AS484" s="20" t="inlineStr">
        <is>
          <t>000000000000E58C</t>
        </is>
      </c>
    </row>
    <row r="485">
      <c r="AL485" t="n">
        <v>0</v>
      </c>
      <c r="AR485" t="n">
        <v>2</v>
      </c>
      <c r="AS485" s="20" t="inlineStr">
        <is>
          <t>000000000000E59B</t>
        </is>
      </c>
    </row>
    <row r="486">
      <c r="AL486" t="n">
        <v>0</v>
      </c>
      <c r="AR486" t="n">
        <v>2</v>
      </c>
      <c r="AS486" s="20" t="inlineStr">
        <is>
          <t>000000000000E7ED</t>
        </is>
      </c>
    </row>
    <row r="487">
      <c r="AL487" t="n">
        <v>0</v>
      </c>
      <c r="AR487" t="n">
        <v>2</v>
      </c>
      <c r="AS487" s="20" t="inlineStr">
        <is>
          <t>000000000000E81C</t>
        </is>
      </c>
    </row>
    <row r="488">
      <c r="AL488" t="n">
        <v>0</v>
      </c>
      <c r="AR488" t="n">
        <v>2</v>
      </c>
      <c r="AS488" s="20" t="inlineStr">
        <is>
          <t>000000000000EC37</t>
        </is>
      </c>
    </row>
    <row r="489">
      <c r="AL489" t="n">
        <v>0</v>
      </c>
      <c r="AR489" t="n">
        <v>2</v>
      </c>
      <c r="AS489" s="20" t="inlineStr">
        <is>
          <t>000000000000ECF5</t>
        </is>
      </c>
    </row>
    <row r="490">
      <c r="AL490" t="n">
        <v>0</v>
      </c>
      <c r="AR490" t="n">
        <v>2</v>
      </c>
      <c r="AS490" s="20" t="inlineStr">
        <is>
          <t>000000000000E366</t>
        </is>
      </c>
    </row>
    <row r="491">
      <c r="AL491" t="n">
        <v>0</v>
      </c>
      <c r="AR491" t="n">
        <v>2</v>
      </c>
      <c r="AS491" s="20" t="inlineStr">
        <is>
          <t>000000000000E467</t>
        </is>
      </c>
    </row>
    <row r="492">
      <c r="AL492" t="n">
        <v>0</v>
      </c>
      <c r="AR492" t="n">
        <v>2</v>
      </c>
      <c r="AS492" s="20" t="inlineStr">
        <is>
          <t>000000000000E714</t>
        </is>
      </c>
    </row>
    <row r="493">
      <c r="AL493" t="n">
        <v>0</v>
      </c>
      <c r="AR493" t="n">
        <v>2</v>
      </c>
      <c r="AS493" s="20" t="inlineStr">
        <is>
          <t>000000000000E28C</t>
        </is>
      </c>
    </row>
    <row r="494">
      <c r="AL494" t="n">
        <v>0</v>
      </c>
      <c r="AR494" t="n">
        <v>2</v>
      </c>
      <c r="AS494" s="20" t="inlineStr">
        <is>
          <t>000000000000E2DC</t>
        </is>
      </c>
    </row>
    <row r="495">
      <c r="AL495" t="n">
        <v>0</v>
      </c>
      <c r="AR495" t="n">
        <v>2</v>
      </c>
      <c r="AS495" s="20" t="inlineStr">
        <is>
          <t>000000000000E3F1</t>
        </is>
      </c>
    </row>
    <row r="496">
      <c r="AL496" t="n">
        <v>0</v>
      </c>
      <c r="AR496" t="n">
        <v>2</v>
      </c>
      <c r="AS496" s="20" t="inlineStr">
        <is>
          <t>000000000000E805</t>
        </is>
      </c>
    </row>
    <row r="497">
      <c r="AL497" t="n">
        <v>0</v>
      </c>
      <c r="AR497" t="n">
        <v>2</v>
      </c>
      <c r="AS497" s="20" t="inlineStr">
        <is>
          <t>000000000000E8FC</t>
        </is>
      </c>
    </row>
    <row r="498">
      <c r="AL498" t="n">
        <v>0</v>
      </c>
      <c r="AR498" t="n">
        <v>2</v>
      </c>
      <c r="AS498" s="20" t="inlineStr">
        <is>
          <t>000000000000ECB4</t>
        </is>
      </c>
    </row>
    <row r="499">
      <c r="AL499" t="n">
        <v>0</v>
      </c>
      <c r="AR499" t="n">
        <v>2</v>
      </c>
      <c r="AS499" s="20" t="inlineStr">
        <is>
          <t>000000000000ECB8</t>
        </is>
      </c>
    </row>
    <row r="500">
      <c r="AL500" t="n">
        <v>0</v>
      </c>
      <c r="AR500" t="n">
        <v>2</v>
      </c>
      <c r="AS500" s="20" t="inlineStr">
        <is>
          <t>000000000000ECDB</t>
        </is>
      </c>
    </row>
    <row r="501">
      <c r="AL501" t="n">
        <v>0</v>
      </c>
      <c r="AR501" t="n">
        <v>2</v>
      </c>
      <c r="AS501" s="20" t="inlineStr">
        <is>
          <t>000000000000E322</t>
        </is>
      </c>
    </row>
    <row r="502">
      <c r="AL502" t="n">
        <v>0</v>
      </c>
      <c r="AR502" t="n">
        <v>2</v>
      </c>
      <c r="AS502" s="20" t="inlineStr">
        <is>
          <t>000000000000E58C</t>
        </is>
      </c>
    </row>
    <row r="503">
      <c r="AL503" t="n">
        <v>0</v>
      </c>
      <c r="AR503" t="n">
        <v>2</v>
      </c>
      <c r="AS503" s="20" t="inlineStr">
        <is>
          <t>000000000000E59B</t>
        </is>
      </c>
    </row>
    <row r="504">
      <c r="AL504" t="n">
        <v>0</v>
      </c>
      <c r="AR504" t="n">
        <v>2</v>
      </c>
      <c r="AS504" s="20" t="inlineStr">
        <is>
          <t>000000000000E7ED</t>
        </is>
      </c>
    </row>
    <row r="505">
      <c r="AL505" t="n">
        <v>0</v>
      </c>
      <c r="AR505" t="n">
        <v>2</v>
      </c>
      <c r="AS505" s="20" t="inlineStr">
        <is>
          <t>000000000000E81C</t>
        </is>
      </c>
    </row>
    <row r="506">
      <c r="AL506" t="n">
        <v>0</v>
      </c>
      <c r="AR506" t="n">
        <v>2</v>
      </c>
      <c r="AS506" s="20" t="inlineStr">
        <is>
          <t>000000000000EC37</t>
        </is>
      </c>
    </row>
    <row r="507">
      <c r="AL507" t="n">
        <v>0</v>
      </c>
      <c r="AR507" t="n">
        <v>2</v>
      </c>
      <c r="AS507" s="20" t="inlineStr">
        <is>
          <t>000000000000ECF5</t>
        </is>
      </c>
    </row>
    <row r="508">
      <c r="AL508" t="n">
        <v>0</v>
      </c>
      <c r="AR508" t="n">
        <v>2</v>
      </c>
      <c r="AS508" s="20" t="inlineStr">
        <is>
          <t>000000000000E366</t>
        </is>
      </c>
    </row>
    <row r="509">
      <c r="AL509" t="n">
        <v>0</v>
      </c>
      <c r="AR509" t="n">
        <v>2</v>
      </c>
      <c r="AS509" s="20" t="inlineStr">
        <is>
          <t>000000000000E467</t>
        </is>
      </c>
    </row>
    <row r="510">
      <c r="AL510" t="n">
        <v>0</v>
      </c>
      <c r="AR510" t="n">
        <v>2</v>
      </c>
      <c r="AS510" s="20" t="inlineStr">
        <is>
          <t>000000000000E714</t>
        </is>
      </c>
    </row>
    <row r="511">
      <c r="AL511" t="n">
        <v>0</v>
      </c>
      <c r="AR511" t="n">
        <v>2</v>
      </c>
      <c r="AS511" s="20" t="inlineStr">
        <is>
          <t>000000000000E28C</t>
        </is>
      </c>
    </row>
    <row r="512">
      <c r="AL512" t="n">
        <v>0</v>
      </c>
      <c r="AR512" t="n">
        <v>2</v>
      </c>
      <c r="AS512" s="20" t="inlineStr">
        <is>
          <t>000000000000E2DC</t>
        </is>
      </c>
    </row>
    <row r="513">
      <c r="AL513" t="n">
        <v>0</v>
      </c>
      <c r="AR513" t="n">
        <v>2</v>
      </c>
      <c r="AS513" s="20" t="inlineStr">
        <is>
          <t>000000000000E3F1</t>
        </is>
      </c>
    </row>
    <row r="514">
      <c r="AL514" t="n">
        <v>0</v>
      </c>
      <c r="AR514" t="n">
        <v>2</v>
      </c>
      <c r="AS514" s="20" t="inlineStr">
        <is>
          <t>000000000000E805</t>
        </is>
      </c>
    </row>
    <row r="515">
      <c r="AL515" t="n">
        <v>0</v>
      </c>
      <c r="AR515" t="n">
        <v>2</v>
      </c>
      <c r="AS515" s="20" t="inlineStr">
        <is>
          <t>000000000000E8FC</t>
        </is>
      </c>
    </row>
    <row r="516">
      <c r="AL516" t="n">
        <v>0</v>
      </c>
      <c r="AR516" t="n">
        <v>2</v>
      </c>
      <c r="AS516" s="20" t="inlineStr">
        <is>
          <t>000000000000ECB4</t>
        </is>
      </c>
    </row>
    <row r="517">
      <c r="AL517" t="n">
        <v>0</v>
      </c>
      <c r="AR517" t="n">
        <v>2</v>
      </c>
      <c r="AS517" s="20" t="inlineStr">
        <is>
          <t>000000000000ECB8</t>
        </is>
      </c>
    </row>
    <row r="518">
      <c r="AL518" t="n">
        <v>0</v>
      </c>
      <c r="AR518" t="n">
        <v>2</v>
      </c>
      <c r="AS518" s="20" t="inlineStr">
        <is>
          <t>000000000000ECDB</t>
        </is>
      </c>
    </row>
    <row r="519">
      <c r="AL519" t="n">
        <v>0</v>
      </c>
      <c r="AR519" t="n">
        <v>2</v>
      </c>
      <c r="AS519" s="20" t="inlineStr">
        <is>
          <t>000000000000E322</t>
        </is>
      </c>
    </row>
    <row r="520">
      <c r="AL520" t="n">
        <v>0</v>
      </c>
      <c r="AR520" t="n">
        <v>2</v>
      </c>
      <c r="AS520" s="20" t="inlineStr">
        <is>
          <t>000000000000E58C</t>
        </is>
      </c>
    </row>
    <row r="521">
      <c r="AL521" t="n">
        <v>0</v>
      </c>
      <c r="AR521" t="n">
        <v>2</v>
      </c>
      <c r="AS521" s="20" t="inlineStr">
        <is>
          <t>000000000000E59B</t>
        </is>
      </c>
    </row>
    <row r="522">
      <c r="AL522" t="n">
        <v>0</v>
      </c>
      <c r="AR522" t="n">
        <v>2</v>
      </c>
      <c r="AS522" s="20" t="inlineStr">
        <is>
          <t>000000000000E7ED</t>
        </is>
      </c>
    </row>
    <row r="523">
      <c r="AL523" t="n">
        <v>0</v>
      </c>
      <c r="AR523" t="n">
        <v>2</v>
      </c>
      <c r="AS523" s="20" t="inlineStr">
        <is>
          <t>000000000000E81C</t>
        </is>
      </c>
    </row>
    <row r="524">
      <c r="AL524" t="n">
        <v>0</v>
      </c>
      <c r="AR524" t="n">
        <v>2</v>
      </c>
      <c r="AS524" s="20" t="inlineStr">
        <is>
          <t>000000000000EC37</t>
        </is>
      </c>
    </row>
    <row r="525">
      <c r="AL525" t="n">
        <v>0</v>
      </c>
      <c r="AR525" t="n">
        <v>2</v>
      </c>
      <c r="AS525" s="20" t="inlineStr">
        <is>
          <t>000000000000ECF5</t>
        </is>
      </c>
    </row>
    <row r="526">
      <c r="AL526" t="n">
        <v>0</v>
      </c>
      <c r="AR526" t="n">
        <v>2</v>
      </c>
      <c r="AS526" s="20" t="inlineStr">
        <is>
          <t>000000000000E366</t>
        </is>
      </c>
    </row>
    <row r="527">
      <c r="AL527" t="n">
        <v>0</v>
      </c>
      <c r="AR527" t="n">
        <v>2</v>
      </c>
      <c r="AS527" s="20" t="inlineStr">
        <is>
          <t>000000000000E467</t>
        </is>
      </c>
    </row>
    <row r="528">
      <c r="AL528" t="n">
        <v>0</v>
      </c>
      <c r="AR528" t="n">
        <v>2</v>
      </c>
      <c r="AS528" s="20" t="inlineStr">
        <is>
          <t>000000000000E714</t>
        </is>
      </c>
    </row>
    <row r="529">
      <c r="AL529" t="n">
        <v>0</v>
      </c>
      <c r="AR529" t="n">
        <v>2</v>
      </c>
      <c r="AS529" s="20" t="inlineStr">
        <is>
          <t>000000000000E28C</t>
        </is>
      </c>
    </row>
    <row r="530">
      <c r="AL530" t="n">
        <v>0</v>
      </c>
      <c r="AR530" t="n">
        <v>2</v>
      </c>
      <c r="AS530" s="20" t="inlineStr">
        <is>
          <t>000000000000E2DC</t>
        </is>
      </c>
    </row>
    <row r="531">
      <c r="AL531" t="n">
        <v>0</v>
      </c>
      <c r="AR531" t="n">
        <v>2</v>
      </c>
      <c r="AS531" s="20" t="inlineStr">
        <is>
          <t>000000000000E3F1</t>
        </is>
      </c>
    </row>
    <row r="532">
      <c r="AL532" t="n">
        <v>0</v>
      </c>
      <c r="AR532" t="n">
        <v>2</v>
      </c>
      <c r="AS532" s="20" t="inlineStr">
        <is>
          <t>000000000000E805</t>
        </is>
      </c>
    </row>
    <row r="533">
      <c r="AL533" t="n">
        <v>0</v>
      </c>
      <c r="AR533" t="n">
        <v>2</v>
      </c>
      <c r="AS533" s="20" t="inlineStr">
        <is>
          <t>000000000000E8FC</t>
        </is>
      </c>
    </row>
    <row r="534">
      <c r="AL534" t="n">
        <v>0</v>
      </c>
      <c r="AR534" t="n">
        <v>2</v>
      </c>
      <c r="AS534" s="20" t="inlineStr">
        <is>
          <t>000000000000ECB4</t>
        </is>
      </c>
    </row>
    <row r="535">
      <c r="AL535" t="n">
        <v>0</v>
      </c>
      <c r="AR535" t="n">
        <v>2</v>
      </c>
      <c r="AS535" s="20" t="inlineStr">
        <is>
          <t>000000000000ECB8</t>
        </is>
      </c>
    </row>
    <row r="536">
      <c r="AL536" t="n">
        <v>0</v>
      </c>
      <c r="AR536" t="n">
        <v>2</v>
      </c>
      <c r="AS536" s="20" t="inlineStr">
        <is>
          <t>000000000000ECDB</t>
        </is>
      </c>
    </row>
    <row r="537">
      <c r="AL537" t="n">
        <v>0</v>
      </c>
      <c r="AR537" t="n">
        <v>2</v>
      </c>
      <c r="AS537" s="20" t="inlineStr">
        <is>
          <t>000000000000E322</t>
        </is>
      </c>
    </row>
    <row r="538">
      <c r="AL538" t="n">
        <v>0</v>
      </c>
      <c r="AR538" t="n">
        <v>2</v>
      </c>
      <c r="AS538" s="20" t="inlineStr">
        <is>
          <t>000000000000E58C</t>
        </is>
      </c>
    </row>
    <row r="539">
      <c r="AL539" t="n">
        <v>0</v>
      </c>
      <c r="AR539" t="n">
        <v>2</v>
      </c>
      <c r="AS539" s="20" t="inlineStr">
        <is>
          <t>000000000000E59B</t>
        </is>
      </c>
    </row>
    <row r="540">
      <c r="AL540" t="n">
        <v>0</v>
      </c>
      <c r="AR540" t="n">
        <v>2</v>
      </c>
      <c r="AS540" s="20" t="inlineStr">
        <is>
          <t>000000000000E7ED</t>
        </is>
      </c>
    </row>
    <row r="541">
      <c r="AL541" t="n">
        <v>0</v>
      </c>
      <c r="AR541" t="n">
        <v>2</v>
      </c>
      <c r="AS541" s="20" t="inlineStr">
        <is>
          <t>000000000000E81C</t>
        </is>
      </c>
    </row>
    <row r="542">
      <c r="AL542" t="n">
        <v>0</v>
      </c>
      <c r="AR542" t="n">
        <v>2</v>
      </c>
      <c r="AS542" s="20" t="inlineStr">
        <is>
          <t>000000000000EC37</t>
        </is>
      </c>
    </row>
    <row r="543">
      <c r="AL543" t="n">
        <v>0</v>
      </c>
      <c r="AR543" t="n">
        <v>2</v>
      </c>
      <c r="AS543" s="20" t="inlineStr">
        <is>
          <t>000000000000ECF5</t>
        </is>
      </c>
    </row>
    <row r="544">
      <c r="AL544" t="n">
        <v>0</v>
      </c>
      <c r="AR544" t="n">
        <v>2</v>
      </c>
      <c r="AS544" s="20" t="inlineStr">
        <is>
          <t>000000000000E366</t>
        </is>
      </c>
    </row>
    <row r="545">
      <c r="AL545" t="n">
        <v>0</v>
      </c>
      <c r="AR545" t="n">
        <v>2</v>
      </c>
      <c r="AS545" s="20" t="inlineStr">
        <is>
          <t>000000000000E467</t>
        </is>
      </c>
    </row>
    <row r="546">
      <c r="AL546" t="n">
        <v>0</v>
      </c>
      <c r="AR546" t="n">
        <v>2</v>
      </c>
      <c r="AS546" s="20" t="inlineStr">
        <is>
          <t>000000000000E714</t>
        </is>
      </c>
    </row>
    <row r="547">
      <c r="AL547" t="n">
        <v>0</v>
      </c>
      <c r="AR547" t="n">
        <v>2</v>
      </c>
      <c r="AS547" s="20" t="inlineStr">
        <is>
          <t>000000000000E28C</t>
        </is>
      </c>
    </row>
    <row r="548">
      <c r="AL548" t="n">
        <v>0</v>
      </c>
      <c r="AR548" t="n">
        <v>2</v>
      </c>
      <c r="AS548" s="20" t="inlineStr">
        <is>
          <t>000000000000E2DC</t>
        </is>
      </c>
    </row>
    <row r="549">
      <c r="AL549" t="n">
        <v>0</v>
      </c>
      <c r="AR549" t="n">
        <v>2</v>
      </c>
      <c r="AS549" s="20" t="inlineStr">
        <is>
          <t>000000000000E3F1</t>
        </is>
      </c>
    </row>
    <row r="550">
      <c r="AL550" t="n">
        <v>0</v>
      </c>
      <c r="AR550" t="n">
        <v>2</v>
      </c>
      <c r="AS550" s="20" t="inlineStr">
        <is>
          <t>000000000000E805</t>
        </is>
      </c>
    </row>
    <row r="551">
      <c r="AL551" t="n">
        <v>0</v>
      </c>
      <c r="AR551" t="n">
        <v>2</v>
      </c>
      <c r="AS551" s="20" t="inlineStr">
        <is>
          <t>000000000000E8FC</t>
        </is>
      </c>
    </row>
    <row r="552">
      <c r="AL552" t="n">
        <v>0</v>
      </c>
      <c r="AR552" t="n">
        <v>2</v>
      </c>
      <c r="AS552" s="20" t="inlineStr">
        <is>
          <t>000000000000ECB4</t>
        </is>
      </c>
    </row>
    <row r="553">
      <c r="AL553" t="n">
        <v>0</v>
      </c>
      <c r="AR553" t="n">
        <v>2</v>
      </c>
      <c r="AS553" s="20" t="inlineStr">
        <is>
          <t>000000000000ECB8</t>
        </is>
      </c>
    </row>
    <row r="554">
      <c r="AL554" t="n">
        <v>0</v>
      </c>
      <c r="AR554" t="n">
        <v>2</v>
      </c>
      <c r="AS554" s="20" t="inlineStr">
        <is>
          <t>000000000000ECDB</t>
        </is>
      </c>
    </row>
    <row r="555">
      <c r="AL555" t="n">
        <v>0</v>
      </c>
      <c r="AR555" t="n">
        <v>2</v>
      </c>
      <c r="AS555" s="20" t="inlineStr">
        <is>
          <t>000000000000E322</t>
        </is>
      </c>
    </row>
    <row r="556">
      <c r="AL556" t="n">
        <v>0</v>
      </c>
      <c r="AR556" t="n">
        <v>2</v>
      </c>
      <c r="AS556" s="20" t="inlineStr">
        <is>
          <t>000000000000E58C</t>
        </is>
      </c>
    </row>
    <row r="557">
      <c r="AL557" t="n">
        <v>0</v>
      </c>
      <c r="AR557" t="n">
        <v>2</v>
      </c>
      <c r="AS557" s="20" t="inlineStr">
        <is>
          <t>000000000000E59B</t>
        </is>
      </c>
    </row>
    <row r="558">
      <c r="AL558" t="n">
        <v>0</v>
      </c>
      <c r="AR558" t="n">
        <v>2</v>
      </c>
      <c r="AS558" s="20" t="inlineStr">
        <is>
          <t>000000000000E7ED</t>
        </is>
      </c>
    </row>
    <row r="559">
      <c r="AL559" t="n">
        <v>0</v>
      </c>
      <c r="AR559" t="n">
        <v>2</v>
      </c>
      <c r="AS559" s="20" t="inlineStr">
        <is>
          <t>000000000000E81C</t>
        </is>
      </c>
    </row>
    <row r="560">
      <c r="AL560" t="n">
        <v>0</v>
      </c>
      <c r="AR560" t="n">
        <v>2</v>
      </c>
      <c r="AS560" s="20" t="inlineStr">
        <is>
          <t>000000000000EC37</t>
        </is>
      </c>
    </row>
    <row r="561">
      <c r="AL561" t="n">
        <v>0</v>
      </c>
      <c r="AR561" t="n">
        <v>2</v>
      </c>
      <c r="AS561" s="20" t="inlineStr">
        <is>
          <t>000000000000ECF5</t>
        </is>
      </c>
    </row>
    <row r="562">
      <c r="AL562" t="n">
        <v>0</v>
      </c>
      <c r="AR562" t="n">
        <v>2</v>
      </c>
      <c r="AS562" s="20" t="inlineStr">
        <is>
          <t>000000000000E366</t>
        </is>
      </c>
    </row>
    <row r="563">
      <c r="AL563" t="n">
        <v>0</v>
      </c>
      <c r="AR563" t="n">
        <v>2</v>
      </c>
      <c r="AS563" s="20" t="inlineStr">
        <is>
          <t>000000000000E467</t>
        </is>
      </c>
    </row>
    <row r="564">
      <c r="AL564" t="n">
        <v>0</v>
      </c>
      <c r="AR564" t="n">
        <v>2</v>
      </c>
      <c r="AS564" s="20" t="inlineStr">
        <is>
          <t>000000000000E714</t>
        </is>
      </c>
    </row>
    <row r="565">
      <c r="AL565" t="n">
        <v>0</v>
      </c>
      <c r="AR565" t="n">
        <v>2</v>
      </c>
      <c r="AS565" s="20" t="inlineStr">
        <is>
          <t>000000000000E28C</t>
        </is>
      </c>
    </row>
    <row r="566">
      <c r="AL566" t="n">
        <v>0</v>
      </c>
      <c r="AR566" t="n">
        <v>2</v>
      </c>
      <c r="AS566" s="20" t="inlineStr">
        <is>
          <t>000000000000E2DC</t>
        </is>
      </c>
    </row>
    <row r="567">
      <c r="AL567" t="n">
        <v>0</v>
      </c>
      <c r="AR567" t="n">
        <v>2</v>
      </c>
      <c r="AS567" s="20" t="inlineStr">
        <is>
          <t>000000000000E3F1</t>
        </is>
      </c>
    </row>
    <row r="568">
      <c r="AL568" t="n">
        <v>0</v>
      </c>
      <c r="AR568" t="n">
        <v>2</v>
      </c>
      <c r="AS568" s="20" t="inlineStr">
        <is>
          <t>000000000000E805</t>
        </is>
      </c>
    </row>
    <row r="569">
      <c r="AL569" t="n">
        <v>0</v>
      </c>
      <c r="AR569" t="n">
        <v>2</v>
      </c>
      <c r="AS569" s="20" t="inlineStr">
        <is>
          <t>000000000000E8FC</t>
        </is>
      </c>
    </row>
    <row r="570">
      <c r="AL570" t="n">
        <v>0</v>
      </c>
      <c r="AR570" t="n">
        <v>2</v>
      </c>
      <c r="AS570" s="20" t="inlineStr">
        <is>
          <t>000000000000ECB4</t>
        </is>
      </c>
    </row>
    <row r="571">
      <c r="AL571" t="n">
        <v>0</v>
      </c>
      <c r="AR571" t="n">
        <v>2</v>
      </c>
      <c r="AS571" s="20" t="inlineStr">
        <is>
          <t>000000000000ECB8</t>
        </is>
      </c>
    </row>
    <row r="572">
      <c r="AL572" t="n">
        <v>0</v>
      </c>
      <c r="AR572" t="n">
        <v>2</v>
      </c>
      <c r="AS572" s="20" t="inlineStr">
        <is>
          <t>000000000000ECDB</t>
        </is>
      </c>
    </row>
    <row r="573">
      <c r="AL573" t="n">
        <v>0</v>
      </c>
      <c r="AR573" t="n">
        <v>2</v>
      </c>
      <c r="AS573" s="20" t="inlineStr">
        <is>
          <t>000000000000E322</t>
        </is>
      </c>
    </row>
    <row r="574">
      <c r="AL574" t="n">
        <v>0</v>
      </c>
      <c r="AR574" t="n">
        <v>2</v>
      </c>
      <c r="AS574" s="20" t="inlineStr">
        <is>
          <t>000000000000E58C</t>
        </is>
      </c>
    </row>
    <row r="575">
      <c r="AL575" t="n">
        <v>0</v>
      </c>
      <c r="AR575" t="n">
        <v>2</v>
      </c>
      <c r="AS575" s="20" t="inlineStr">
        <is>
          <t>000000000000E59B</t>
        </is>
      </c>
    </row>
    <row r="576">
      <c r="AL576" t="n">
        <v>0</v>
      </c>
      <c r="AR576" t="n">
        <v>2</v>
      </c>
      <c r="AS576" s="20" t="inlineStr">
        <is>
          <t>000000000000E7ED</t>
        </is>
      </c>
    </row>
    <row r="577">
      <c r="AL577" t="n">
        <v>0</v>
      </c>
      <c r="AR577" t="n">
        <v>2</v>
      </c>
      <c r="AS577" s="20" t="inlineStr">
        <is>
          <t>000000000000E81C</t>
        </is>
      </c>
    </row>
    <row r="578">
      <c r="AL578" t="n">
        <v>0</v>
      </c>
      <c r="AR578" t="n">
        <v>2</v>
      </c>
      <c r="AS578" s="20" t="inlineStr">
        <is>
          <t>000000000000EC37</t>
        </is>
      </c>
    </row>
    <row r="579">
      <c r="AL579" t="n">
        <v>0</v>
      </c>
      <c r="AR579" t="n">
        <v>2</v>
      </c>
      <c r="AS579" s="20" t="inlineStr">
        <is>
          <t>000000000000ECF5</t>
        </is>
      </c>
    </row>
    <row r="580">
      <c r="AL580" t="n">
        <v>0</v>
      </c>
      <c r="AR580" t="n">
        <v>2</v>
      </c>
      <c r="AS580" s="20" t="inlineStr">
        <is>
          <t>000000000000E366</t>
        </is>
      </c>
    </row>
    <row r="581">
      <c r="AL581" t="n">
        <v>0</v>
      </c>
      <c r="AR581" t="n">
        <v>2</v>
      </c>
      <c r="AS581" s="20" t="inlineStr">
        <is>
          <t>000000000000E467</t>
        </is>
      </c>
    </row>
    <row r="582">
      <c r="AL582" t="n">
        <v>0</v>
      </c>
      <c r="AR582" t="n">
        <v>2</v>
      </c>
      <c r="AS582" s="20" t="inlineStr">
        <is>
          <t>000000000000E714</t>
        </is>
      </c>
    </row>
    <row r="583">
      <c r="AL583" t="n">
        <v>0</v>
      </c>
      <c r="AR583" t="n">
        <v>2</v>
      </c>
      <c r="AS583" s="20" t="inlineStr">
        <is>
          <t>000000000000E28C</t>
        </is>
      </c>
    </row>
    <row r="584">
      <c r="AL584" t="n">
        <v>0</v>
      </c>
      <c r="AR584" t="n">
        <v>2</v>
      </c>
      <c r="AS584" s="20" t="inlineStr">
        <is>
          <t>000000000000E2DC</t>
        </is>
      </c>
    </row>
    <row r="585">
      <c r="AL585" t="n">
        <v>0</v>
      </c>
      <c r="AR585" t="n">
        <v>2</v>
      </c>
      <c r="AS585" s="20" t="inlineStr">
        <is>
          <t>000000000000E3F1</t>
        </is>
      </c>
    </row>
    <row r="586">
      <c r="AL586" t="n">
        <v>0</v>
      </c>
      <c r="AR586" t="n">
        <v>2</v>
      </c>
      <c r="AS586" s="20" t="inlineStr">
        <is>
          <t>000000000000E805</t>
        </is>
      </c>
    </row>
    <row r="587">
      <c r="AL587" t="n">
        <v>0</v>
      </c>
      <c r="AR587" t="n">
        <v>2</v>
      </c>
      <c r="AS587" s="20" t="inlineStr">
        <is>
          <t>000000000000E8FC</t>
        </is>
      </c>
    </row>
    <row r="588">
      <c r="AL588" t="n">
        <v>0</v>
      </c>
      <c r="AR588" t="n">
        <v>2</v>
      </c>
      <c r="AS588" s="20" t="inlineStr">
        <is>
          <t>000000000000ECB4</t>
        </is>
      </c>
    </row>
    <row r="589">
      <c r="AL589" t="n">
        <v>0</v>
      </c>
      <c r="AR589" t="n">
        <v>2</v>
      </c>
      <c r="AS589" s="20" t="inlineStr">
        <is>
          <t>000000000000ECB8</t>
        </is>
      </c>
    </row>
    <row r="590">
      <c r="AL590" t="n">
        <v>0</v>
      </c>
      <c r="AR590" t="n">
        <v>2</v>
      </c>
      <c r="AS590" s="20" t="inlineStr">
        <is>
          <t>000000000000ECDB</t>
        </is>
      </c>
    </row>
    <row r="591">
      <c r="AL591" t="n">
        <v>0</v>
      </c>
      <c r="AR591" t="n">
        <v>2</v>
      </c>
      <c r="AS591" s="20" t="inlineStr">
        <is>
          <t>000000000000E322</t>
        </is>
      </c>
    </row>
    <row r="592">
      <c r="AL592" t="n">
        <v>0</v>
      </c>
      <c r="AR592" t="n">
        <v>2</v>
      </c>
      <c r="AS592" s="20" t="inlineStr">
        <is>
          <t>000000000000E58C</t>
        </is>
      </c>
    </row>
    <row r="593">
      <c r="AL593" t="n">
        <v>0</v>
      </c>
      <c r="AR593" t="n">
        <v>2</v>
      </c>
      <c r="AS593" s="20" t="inlineStr">
        <is>
          <t>000000000000E59B</t>
        </is>
      </c>
    </row>
    <row r="594">
      <c r="AL594" t="n">
        <v>0</v>
      </c>
      <c r="AR594" t="n">
        <v>2</v>
      </c>
      <c r="AS594" s="20" t="inlineStr">
        <is>
          <t>000000000000E7ED</t>
        </is>
      </c>
    </row>
    <row r="595">
      <c r="AL595" t="n">
        <v>0</v>
      </c>
      <c r="AR595" t="n">
        <v>2</v>
      </c>
      <c r="AS595" s="20" t="inlineStr">
        <is>
          <t>000000000000E81C</t>
        </is>
      </c>
    </row>
    <row r="596">
      <c r="AL596" t="n">
        <v>0</v>
      </c>
      <c r="AR596" t="n">
        <v>2</v>
      </c>
      <c r="AS596" s="20" t="inlineStr">
        <is>
          <t>000000000000EC37</t>
        </is>
      </c>
    </row>
    <row r="597">
      <c r="AL597" t="n">
        <v>0</v>
      </c>
      <c r="AR597" t="n">
        <v>2</v>
      </c>
      <c r="AS597" s="20" t="inlineStr">
        <is>
          <t>000000000000ECF5</t>
        </is>
      </c>
    </row>
    <row r="598">
      <c r="AL598" t="n">
        <v>0</v>
      </c>
      <c r="AR598" t="n">
        <v>2</v>
      </c>
      <c r="AS598" s="20" t="inlineStr">
        <is>
          <t>000000000000E366</t>
        </is>
      </c>
    </row>
    <row r="599">
      <c r="AL599" t="n">
        <v>0</v>
      </c>
      <c r="AR599" t="n">
        <v>2</v>
      </c>
      <c r="AS599" s="20" t="inlineStr">
        <is>
          <t>000000000000E467</t>
        </is>
      </c>
    </row>
    <row r="600">
      <c r="AL600" t="n">
        <v>0</v>
      </c>
      <c r="AR600" t="n">
        <v>2</v>
      </c>
      <c r="AS600" s="20" t="inlineStr">
        <is>
          <t>000000000000E714</t>
        </is>
      </c>
    </row>
    <row r="601">
      <c r="AL601" t="n">
        <v>0</v>
      </c>
      <c r="AR601" t="n">
        <v>2</v>
      </c>
      <c r="AS601" s="20" t="inlineStr">
        <is>
          <t>000000000000E28C</t>
        </is>
      </c>
    </row>
    <row r="602">
      <c r="AL602" t="n">
        <v>0</v>
      </c>
      <c r="AR602" t="n">
        <v>2</v>
      </c>
      <c r="AS602" s="20" t="inlineStr">
        <is>
          <t>000000000000E2DC</t>
        </is>
      </c>
    </row>
    <row r="603">
      <c r="AL603" t="n">
        <v>0</v>
      </c>
      <c r="AR603" t="n">
        <v>2</v>
      </c>
      <c r="AS603" s="20" t="inlineStr">
        <is>
          <t>000000000000E3F1</t>
        </is>
      </c>
    </row>
    <row r="604">
      <c r="AL604" t="n">
        <v>0</v>
      </c>
      <c r="AR604" t="n">
        <v>2</v>
      </c>
      <c r="AS604" s="20" t="inlineStr">
        <is>
          <t>000000000000E805</t>
        </is>
      </c>
    </row>
    <row r="605">
      <c r="AL605" t="n">
        <v>0</v>
      </c>
      <c r="AR605" t="n">
        <v>2</v>
      </c>
      <c r="AS605" s="20" t="inlineStr">
        <is>
          <t>000000000000E8FC</t>
        </is>
      </c>
    </row>
    <row r="606">
      <c r="AL606" t="n">
        <v>0</v>
      </c>
      <c r="AR606" t="n">
        <v>2</v>
      </c>
      <c r="AS606" s="20" t="inlineStr">
        <is>
          <t>000000000000ECB4</t>
        </is>
      </c>
    </row>
    <row r="607">
      <c r="AL607" t="n">
        <v>0</v>
      </c>
      <c r="AR607" t="n">
        <v>2</v>
      </c>
      <c r="AS607" s="20" t="inlineStr">
        <is>
          <t>000000000000ECB8</t>
        </is>
      </c>
    </row>
    <row r="608">
      <c r="AL608" t="n">
        <v>0</v>
      </c>
      <c r="AR608" t="n">
        <v>2</v>
      </c>
      <c r="AS608" s="20" t="inlineStr">
        <is>
          <t>000000000000ECDB</t>
        </is>
      </c>
    </row>
    <row r="609">
      <c r="AL609" t="n">
        <v>0</v>
      </c>
      <c r="AR609" t="n">
        <v>2</v>
      </c>
      <c r="AS609" s="20" t="inlineStr">
        <is>
          <t>000000000000E322</t>
        </is>
      </c>
    </row>
    <row r="610">
      <c r="AL610" t="n">
        <v>0</v>
      </c>
      <c r="AR610" t="n">
        <v>2</v>
      </c>
      <c r="AS610" s="20" t="inlineStr">
        <is>
          <t>000000000000E58C</t>
        </is>
      </c>
    </row>
    <row r="611">
      <c r="AL611" t="n">
        <v>0</v>
      </c>
      <c r="AR611" t="n">
        <v>2</v>
      </c>
      <c r="AS611" s="20" t="inlineStr">
        <is>
          <t>000000000000E59B</t>
        </is>
      </c>
    </row>
    <row r="612">
      <c r="AL612" t="n">
        <v>0</v>
      </c>
      <c r="AR612" t="n">
        <v>2</v>
      </c>
      <c r="AS612" s="20" t="inlineStr">
        <is>
          <t>000000000000E7ED</t>
        </is>
      </c>
    </row>
    <row r="613">
      <c r="AL613" t="n">
        <v>0</v>
      </c>
      <c r="AR613" t="n">
        <v>2</v>
      </c>
      <c r="AS613" s="20" t="inlineStr">
        <is>
          <t>000000000000E81C</t>
        </is>
      </c>
    </row>
    <row r="614">
      <c r="AL614" t="n">
        <v>0</v>
      </c>
      <c r="AR614" t="n">
        <v>2</v>
      </c>
      <c r="AS614" s="20" t="inlineStr">
        <is>
          <t>000000000000EC37</t>
        </is>
      </c>
    </row>
    <row r="615">
      <c r="AL615" t="n">
        <v>0</v>
      </c>
      <c r="AR615" t="n">
        <v>2</v>
      </c>
      <c r="AS615" s="20" t="inlineStr">
        <is>
          <t>000000000000ECF5</t>
        </is>
      </c>
    </row>
    <row r="616">
      <c r="AL616" t="n">
        <v>0</v>
      </c>
      <c r="AR616" t="n">
        <v>2</v>
      </c>
      <c r="AS616" s="20" t="inlineStr">
        <is>
          <t>000000000000E366</t>
        </is>
      </c>
    </row>
    <row r="617">
      <c r="AL617" t="n">
        <v>0</v>
      </c>
      <c r="AR617" t="n">
        <v>2</v>
      </c>
      <c r="AS617" s="20" t="inlineStr">
        <is>
          <t>000000000000E467</t>
        </is>
      </c>
    </row>
    <row r="618">
      <c r="AL618" t="n">
        <v>0</v>
      </c>
      <c r="AR618" t="n">
        <v>2</v>
      </c>
      <c r="AS618" s="20" t="inlineStr">
        <is>
          <t>000000000000E714</t>
        </is>
      </c>
    </row>
    <row r="619">
      <c r="AL619" t="n">
        <v>0</v>
      </c>
      <c r="AR619" t="n">
        <v>2</v>
      </c>
      <c r="AS619" s="20" t="inlineStr">
        <is>
          <t>000000000000E28C</t>
        </is>
      </c>
    </row>
    <row r="620">
      <c r="AL620" t="n">
        <v>0</v>
      </c>
      <c r="AR620" t="n">
        <v>2</v>
      </c>
      <c r="AS620" s="20" t="inlineStr">
        <is>
          <t>000000000000E2DC</t>
        </is>
      </c>
    </row>
    <row r="621">
      <c r="AL621" t="n">
        <v>0</v>
      </c>
      <c r="AR621" t="n">
        <v>2</v>
      </c>
      <c r="AS621" s="20" t="inlineStr">
        <is>
          <t>000000000000E3F1</t>
        </is>
      </c>
    </row>
    <row r="622">
      <c r="AL622" t="n">
        <v>0</v>
      </c>
      <c r="AR622" t="n">
        <v>2</v>
      </c>
      <c r="AS622" s="20" t="inlineStr">
        <is>
          <t>000000000000E805</t>
        </is>
      </c>
    </row>
    <row r="623">
      <c r="AL623" t="n">
        <v>0</v>
      </c>
      <c r="AR623" t="n">
        <v>2</v>
      </c>
      <c r="AS623" s="20" t="inlineStr">
        <is>
          <t>000000000000E8FC</t>
        </is>
      </c>
    </row>
    <row r="624">
      <c r="AL624" t="n">
        <v>0</v>
      </c>
      <c r="AR624" t="n">
        <v>2</v>
      </c>
      <c r="AS624" s="20" t="inlineStr">
        <is>
          <t>000000000000ECB4</t>
        </is>
      </c>
    </row>
    <row r="625">
      <c r="AL625" t="n">
        <v>0</v>
      </c>
      <c r="AR625" t="n">
        <v>2</v>
      </c>
      <c r="AS625" s="20" t="inlineStr">
        <is>
          <t>000000000000ECB8</t>
        </is>
      </c>
    </row>
    <row r="626">
      <c r="AL626" t="n">
        <v>0</v>
      </c>
      <c r="AR626" t="n">
        <v>2</v>
      </c>
      <c r="AS626" s="20" t="inlineStr">
        <is>
          <t>000000000000ECDB</t>
        </is>
      </c>
    </row>
    <row r="627">
      <c r="AL627" t="n">
        <v>0</v>
      </c>
      <c r="AR627" t="n">
        <v>2</v>
      </c>
      <c r="AS627" s="20" t="inlineStr">
        <is>
          <t>000000000000E322</t>
        </is>
      </c>
    </row>
    <row r="628">
      <c r="AL628" t="n">
        <v>0</v>
      </c>
      <c r="AR628" t="n">
        <v>2</v>
      </c>
      <c r="AS628" s="20" t="inlineStr">
        <is>
          <t>000000000000E58C</t>
        </is>
      </c>
    </row>
    <row r="629">
      <c r="AL629" t="n">
        <v>0</v>
      </c>
      <c r="AR629" t="n">
        <v>2</v>
      </c>
      <c r="AS629" s="20" t="inlineStr">
        <is>
          <t>000000000000E59B</t>
        </is>
      </c>
    </row>
    <row r="630">
      <c r="AL630" t="n">
        <v>0</v>
      </c>
      <c r="AR630" t="n">
        <v>2</v>
      </c>
      <c r="AS630" s="20" t="inlineStr">
        <is>
          <t>000000000000E7ED</t>
        </is>
      </c>
    </row>
    <row r="631">
      <c r="AL631" t="n">
        <v>0</v>
      </c>
      <c r="AR631" t="n">
        <v>2</v>
      </c>
      <c r="AS631" s="20" t="inlineStr">
        <is>
          <t>000000000000E81C</t>
        </is>
      </c>
    </row>
    <row r="632">
      <c r="AL632" t="n">
        <v>0</v>
      </c>
      <c r="AR632" t="n">
        <v>2</v>
      </c>
      <c r="AS632" s="20" t="inlineStr">
        <is>
          <t>000000000000EC37</t>
        </is>
      </c>
    </row>
    <row r="633">
      <c r="AL633" t="n">
        <v>0</v>
      </c>
      <c r="AR633" t="n">
        <v>2</v>
      </c>
      <c r="AS633" s="20" t="inlineStr">
        <is>
          <t>000000000000ECF5</t>
        </is>
      </c>
    </row>
    <row r="634">
      <c r="AL634" t="n">
        <v>0</v>
      </c>
      <c r="AR634" t="n">
        <v>2</v>
      </c>
      <c r="AS634" s="20" t="inlineStr">
        <is>
          <t>000000000000E366</t>
        </is>
      </c>
    </row>
    <row r="635">
      <c r="AL635" t="n">
        <v>0</v>
      </c>
      <c r="AR635" t="n">
        <v>2</v>
      </c>
      <c r="AS635" s="20" t="inlineStr">
        <is>
          <t>000000000000E467</t>
        </is>
      </c>
    </row>
    <row r="636">
      <c r="AL636" t="n">
        <v>0</v>
      </c>
      <c r="AR636" t="n">
        <v>2</v>
      </c>
      <c r="AS636" s="20" t="inlineStr">
        <is>
          <t>000000000000E714</t>
        </is>
      </c>
    </row>
    <row r="637">
      <c r="AL637" t="n">
        <v>0</v>
      </c>
      <c r="AR637" t="n">
        <v>2</v>
      </c>
      <c r="AS637" s="20" t="inlineStr">
        <is>
          <t>000000000000E28C</t>
        </is>
      </c>
    </row>
    <row r="638">
      <c r="AL638" t="n">
        <v>0</v>
      </c>
      <c r="AR638" t="n">
        <v>2</v>
      </c>
      <c r="AS638" s="20" t="inlineStr">
        <is>
          <t>000000000000E2DC</t>
        </is>
      </c>
    </row>
    <row r="639">
      <c r="AL639" t="n">
        <v>0</v>
      </c>
      <c r="AR639" t="n">
        <v>2</v>
      </c>
      <c r="AS639" s="20" t="inlineStr">
        <is>
          <t>000000000000E3F1</t>
        </is>
      </c>
    </row>
    <row r="640">
      <c r="AL640" t="n">
        <v>0</v>
      </c>
      <c r="AR640" t="n">
        <v>2</v>
      </c>
      <c r="AS640" s="20" t="inlineStr">
        <is>
          <t>000000000000E805</t>
        </is>
      </c>
    </row>
    <row r="641">
      <c r="AL641" t="n">
        <v>0</v>
      </c>
      <c r="AR641" t="n">
        <v>2</v>
      </c>
      <c r="AS641" s="20" t="inlineStr">
        <is>
          <t>000000000000E8FC</t>
        </is>
      </c>
    </row>
    <row r="642">
      <c r="AL642" t="n">
        <v>0</v>
      </c>
      <c r="AR642" t="n">
        <v>2</v>
      </c>
      <c r="AS642" s="20" t="inlineStr">
        <is>
          <t>000000000000ECB4</t>
        </is>
      </c>
    </row>
    <row r="643">
      <c r="AL643" t="n">
        <v>0</v>
      </c>
      <c r="AR643" t="n">
        <v>2</v>
      </c>
      <c r="AS643" s="20" t="inlineStr">
        <is>
          <t>000000000000ECB8</t>
        </is>
      </c>
    </row>
    <row r="644">
      <c r="AL644" t="n">
        <v>0</v>
      </c>
      <c r="AR644" t="n">
        <v>2</v>
      </c>
      <c r="AS644" s="20" t="inlineStr">
        <is>
          <t>000000000000ECDB</t>
        </is>
      </c>
    </row>
    <row r="645">
      <c r="AL645" t="n">
        <v>0</v>
      </c>
      <c r="AR645" t="n">
        <v>2</v>
      </c>
      <c r="AS645" s="20" t="inlineStr">
        <is>
          <t>000000000000E322</t>
        </is>
      </c>
    </row>
    <row r="646">
      <c r="AL646" t="n">
        <v>0</v>
      </c>
      <c r="AR646" t="n">
        <v>2</v>
      </c>
      <c r="AS646" s="20" t="inlineStr">
        <is>
          <t>000000000000E58C</t>
        </is>
      </c>
    </row>
    <row r="647">
      <c r="AL647" t="n">
        <v>0</v>
      </c>
      <c r="AR647" t="n">
        <v>2</v>
      </c>
      <c r="AS647" s="20" t="inlineStr">
        <is>
          <t>000000000000E59B</t>
        </is>
      </c>
    </row>
    <row r="648">
      <c r="AL648" t="n">
        <v>0</v>
      </c>
      <c r="AR648" t="n">
        <v>2</v>
      </c>
      <c r="AS648" s="20" t="inlineStr">
        <is>
          <t>000000000000E7ED</t>
        </is>
      </c>
    </row>
    <row r="649">
      <c r="AL649" t="n">
        <v>0</v>
      </c>
      <c r="AR649" t="n">
        <v>2</v>
      </c>
      <c r="AS649" s="20" t="inlineStr">
        <is>
          <t>000000000000E81C</t>
        </is>
      </c>
    </row>
    <row r="650">
      <c r="AL650" t="n">
        <v>0</v>
      </c>
      <c r="AR650" t="n">
        <v>2</v>
      </c>
      <c r="AS650" s="20" t="inlineStr">
        <is>
          <t>000000000000EC37</t>
        </is>
      </c>
    </row>
    <row r="651">
      <c r="AL651" t="n">
        <v>0</v>
      </c>
      <c r="AR651" t="n">
        <v>2</v>
      </c>
      <c r="AS651" s="20" t="inlineStr">
        <is>
          <t>000000000000ECF5</t>
        </is>
      </c>
    </row>
    <row r="652">
      <c r="AL652" t="n">
        <v>0</v>
      </c>
      <c r="AR652" t="n">
        <v>2</v>
      </c>
      <c r="AS652" s="20" t="inlineStr">
        <is>
          <t>000000000000E366</t>
        </is>
      </c>
    </row>
    <row r="653">
      <c r="AL653" t="n">
        <v>0</v>
      </c>
      <c r="AR653" t="n">
        <v>2</v>
      </c>
      <c r="AS653" s="20" t="inlineStr">
        <is>
          <t>000000000000E467</t>
        </is>
      </c>
    </row>
    <row r="654">
      <c r="AL654" t="n">
        <v>0</v>
      </c>
      <c r="AR654" t="n">
        <v>2</v>
      </c>
      <c r="AS654" s="20" t="inlineStr">
        <is>
          <t>000000000000E714</t>
        </is>
      </c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YKj5nmCHtznTG/uXvpYkeA==" formatRows="0" sort="1" spinCount="100000" hashValue="FRLoOSWNrfQi3/QGk1lJf3DMvrMqXs3HyzWhQrm+KVXLbVl/udEKmSZRj/TxfB/7a4RoZFiIZ/kT12iNxfw/3g=="/>
  <mergeCells count="9">
    <mergeCell ref="A2:F2"/>
    <mergeCell ref="H2:L2"/>
    <mergeCell ref="AA2:AC2"/>
    <mergeCell ref="AE2:AG2"/>
    <mergeCell ref="A5:F5"/>
    <mergeCell ref="A27:F27"/>
    <mergeCell ref="N2:Q2"/>
    <mergeCell ref="S2:U2"/>
    <mergeCell ref="W2:Y2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15">
    <outlinePr summaryBelow="1" summaryRight="1"/>
    <pageSetUpPr/>
  </sheetPr>
  <dimension ref="A1:AS654"/>
  <sheetViews>
    <sheetView topLeftCell="A2" zoomScaleNormal="100" workbookViewId="0">
      <selection activeCell="A7" sqref="A7:AG26"/>
    </sheetView>
  </sheetViews>
  <sheetFormatPr baseColWidth="8" defaultRowHeight="13.2"/>
  <cols>
    <col width="15.5546875" customWidth="1" min="1" max="1"/>
    <col width="14.44140625" customWidth="1" min="2" max="3"/>
    <col width="25.21875" customWidth="1" min="4" max="4"/>
    <col width="21.88671875" customWidth="1" min="5" max="5"/>
    <col width="16.33203125" customWidth="1" min="6" max="6"/>
    <col width="3.21875" customWidth="1" min="7" max="7"/>
    <col width="8.21875" customWidth="1" min="8" max="9"/>
    <col width="14.21875" customWidth="1" min="10" max="12"/>
    <col width="2.88671875" customWidth="1" min="13" max="13"/>
    <col width="14.109375" customWidth="1" min="14" max="14"/>
    <col width="14.88671875" customWidth="1" min="15" max="15"/>
    <col width="13.88671875" customWidth="1" min="16" max="16"/>
    <col width="14.6640625" customWidth="1" min="17" max="17"/>
    <col width="3.44140625" customWidth="1" min="18" max="18"/>
    <col width="15.5546875" customWidth="1" min="19" max="21"/>
    <col width="3" customWidth="1" min="22" max="22"/>
    <col width="15.6640625" customWidth="1" min="23" max="25"/>
    <col width="2.88671875" customWidth="1" min="26" max="26"/>
    <col width="14.77734375" customWidth="1" min="27" max="29"/>
    <col width="3.21875" customWidth="1" min="30" max="30"/>
    <col width="12.109375" customWidth="1" min="31" max="33"/>
    <col width="2.88671875" customWidth="1" min="34" max="34"/>
    <col width="8.88671875" customWidth="1" min="35" max="35"/>
    <col width="13.33203125" bestFit="1" customWidth="1" min="38" max="38"/>
    <col width="15.109375" bestFit="1" customWidth="1" min="39" max="39"/>
    <col width="16.33203125" bestFit="1" customWidth="1" min="40" max="40"/>
    <col width="16.109375" bestFit="1" customWidth="1" min="41" max="41"/>
    <col width="17.44140625" bestFit="1" customWidth="1" min="42" max="42"/>
    <col width="14.21875" bestFit="1" customWidth="1" min="43" max="43"/>
    <col width="13.6640625" bestFit="1" customWidth="1" min="44" max="44"/>
    <col width="17.44140625" bestFit="1" customWidth="1" min="45" max="45"/>
  </cols>
  <sheetData>
    <row r="1" hidden="1" ht="17.4" customHeight="1">
      <c r="A1" s="31" t="inlineStr">
        <is>
          <t>COLJVMMJobNo</t>
        </is>
      </c>
      <c r="B1" s="31" t="inlineStr">
        <is>
          <t>COLJVJobNo</t>
        </is>
      </c>
      <c r="C1" s="31" t="inlineStr">
        <is>
          <t>COLJVSupJobNo</t>
        </is>
      </c>
      <c r="D1" s="31" t="inlineStr">
        <is>
          <t>COLJVJobDesc</t>
        </is>
      </c>
      <c r="E1" s="31" t="inlineStr">
        <is>
          <t>COLJVPartners</t>
        </is>
      </c>
      <c r="F1" s="31" t="inlineStr">
        <is>
          <t>COLJVSharePct</t>
        </is>
      </c>
      <c r="H1" t="inlineStr">
        <is>
          <t>COLDone</t>
        </is>
      </c>
      <c r="I1" t="inlineStr">
        <is>
          <t>COLDoneGAAP</t>
        </is>
      </c>
      <c r="J1" s="1" t="inlineStr">
        <is>
          <t>COLJVCurContAmt</t>
        </is>
      </c>
      <c r="K1" s="1" t="inlineStr">
        <is>
          <t>COLJVOvrCostProj</t>
        </is>
      </c>
      <c r="L1" s="1" t="inlineStr">
        <is>
          <t>COLJVProjFinalProfit</t>
        </is>
      </c>
      <c r="M1" s="107" t="n"/>
      <c r="N1" s="1" t="inlineStr">
        <is>
          <t>COLJVJTDPctComp</t>
        </is>
      </c>
      <c r="O1" s="1" t="inlineStr">
        <is>
          <t>COLJVJTDEarnedRev</t>
        </is>
      </c>
      <c r="P1" s="1" t="inlineStr">
        <is>
          <t>COLJVJTDCost</t>
        </is>
      </c>
      <c r="Q1" s="1" t="inlineStr">
        <is>
          <t>COLJVJTDProfit</t>
        </is>
      </c>
      <c r="R1" s="107" t="n"/>
      <c r="S1" s="1" t="inlineStr">
        <is>
          <t>COLJVAPYRev</t>
        </is>
      </c>
      <c r="T1" s="1" t="inlineStr">
        <is>
          <t>COLJVAPYCost</t>
        </is>
      </c>
      <c r="U1" s="1" t="inlineStr">
        <is>
          <t>COLJVAPYCalcProfit</t>
        </is>
      </c>
      <c r="V1" s="107" t="n"/>
      <c r="W1" s="1" t="inlineStr">
        <is>
          <t>COLJVCYRev</t>
        </is>
      </c>
      <c r="X1" s="1" t="inlineStr">
        <is>
          <t>COLJVCYCost</t>
        </is>
      </c>
      <c r="Y1" s="1" t="inlineStr">
        <is>
          <t>COLJVCYCalcProfit</t>
        </is>
      </c>
      <c r="Z1" s="107" t="n"/>
      <c r="AA1" s="1" t="inlineStr">
        <is>
          <t>COLJVBRev</t>
        </is>
      </c>
      <c r="AB1" s="1" t="inlineStr">
        <is>
          <t>COLJVBCost</t>
        </is>
      </c>
      <c r="AC1" s="1" t="inlineStr">
        <is>
          <t>COLJVBProfit</t>
        </is>
      </c>
      <c r="AD1" s="107" t="n"/>
      <c r="AE1" s="68" t="inlineStr">
        <is>
          <t>COLJVBILLBillings</t>
        </is>
      </c>
      <c r="AF1" s="68" t="inlineStr">
        <is>
          <t>COLJVBILLRevExBill</t>
        </is>
      </c>
      <c r="AG1" s="68" t="inlineStr">
        <is>
          <t>COLJVBILLBillExRev</t>
        </is>
      </c>
      <c r="AH1" s="107" t="n"/>
      <c r="AL1" s="1" t="inlineStr">
        <is>
          <t>COLJVZudChg</t>
        </is>
      </c>
      <c r="AM1" s="1" t="inlineStr">
        <is>
          <t>COLJVZJTDER</t>
        </is>
      </c>
      <c r="AN1" s="1" t="inlineStr">
        <is>
          <t>COLJVZOJTDCost</t>
        </is>
      </c>
      <c r="AO1" s="1" t="inlineStr">
        <is>
          <t>COLJVZJTDER2</t>
        </is>
      </c>
      <c r="AP1" s="1" t="inlineStr">
        <is>
          <t>COLJVZOJTDCost2</t>
        </is>
      </c>
      <c r="AQ1" t="inlineStr">
        <is>
          <t>COLZUserName</t>
        </is>
      </c>
      <c r="AR1" t="inlineStr">
        <is>
          <t>COLZBatchSeq</t>
        </is>
      </c>
      <c r="AS1" t="inlineStr">
        <is>
          <t>COLZRowVersion</t>
        </is>
      </c>
    </row>
    <row r="2" ht="13.2" customHeight="1">
      <c r="A2" s="292" t="inlineStr">
        <is>
          <t>G A A P  J O I N T  V E N T U R E  S U M M A R Y</t>
        </is>
      </c>
      <c r="B2" s="263" t="n"/>
      <c r="C2" s="263" t="n"/>
      <c r="D2" s="263" t="n"/>
      <c r="E2" s="263" t="n"/>
      <c r="F2" s="264" t="n"/>
      <c r="G2" s="132" t="inlineStr">
        <is>
          <t>-</t>
        </is>
      </c>
      <c r="H2" s="292" t="inlineStr">
        <is>
          <t>J O B   A T   C O M P L E T  I O N</t>
        </is>
      </c>
      <c r="I2" s="263" t="n"/>
      <c r="J2" s="263" t="n"/>
      <c r="K2" s="263" t="n"/>
      <c r="L2" s="264" t="n"/>
      <c r="M2" s="26" t="n"/>
      <c r="N2" s="247" t="inlineStr">
        <is>
          <t xml:space="preserve"> J O B   T O   D A T E</t>
        </is>
      </c>
      <c r="O2" s="263" t="n"/>
      <c r="P2" s="263" t="n"/>
      <c r="Q2" s="263" t="n"/>
      <c r="R2" s="133" t="inlineStr">
        <is>
          <t>-</t>
        </is>
      </c>
      <c r="S2" s="292" t="inlineStr">
        <is>
          <t>A L L   P R I O R   Y E A R S   C O M B I N E D</t>
        </is>
      </c>
      <c r="T2" s="263" t="n"/>
      <c r="U2" s="264" t="n"/>
      <c r="V2" s="133" t="inlineStr">
        <is>
          <t>-</t>
        </is>
      </c>
      <c r="W2" s="292" t="inlineStr">
        <is>
          <t>C U R R E N T   Y E A R</t>
        </is>
      </c>
      <c r="X2" s="263" t="n"/>
      <c r="Y2" s="264" t="n"/>
      <c r="Z2" s="133" t="inlineStr">
        <is>
          <t>-</t>
        </is>
      </c>
      <c r="AA2" s="292" t="inlineStr">
        <is>
          <t>B A C K L O G</t>
        </is>
      </c>
      <c r="AB2" s="263" t="n"/>
      <c r="AC2" s="264" t="n"/>
      <c r="AD2" s="135" t="inlineStr">
        <is>
          <t>-</t>
        </is>
      </c>
      <c r="AE2" s="265" t="inlineStr">
        <is>
          <t>B I L L I N G S  ( G A A P )</t>
        </is>
      </c>
      <c r="AF2" s="263" t="n"/>
      <c r="AG2" s="264" t="n"/>
      <c r="AM2" s="1" t="n"/>
    </row>
    <row r="3" ht="55.2" customHeight="1">
      <c r="A3" s="128" t="inlineStr">
        <is>
          <t>JV Job Number
from Managing Member</t>
        </is>
      </c>
      <c r="B3" s="128" t="inlineStr">
        <is>
          <t>Related Internal Job Numbers</t>
        </is>
      </c>
      <c r="C3" s="128" t="inlineStr">
        <is>
          <t>Supervision Internal Job Number</t>
        </is>
      </c>
      <c r="D3" s="128" t="inlineStr">
        <is>
          <t>JV Job Description</t>
        </is>
      </c>
      <c r="E3" s="128" t="inlineStr">
        <is>
          <t>JV Partner(s)</t>
        </is>
      </c>
      <c r="F3" s="128" t="inlineStr">
        <is>
          <t>Our
JV Share
Percentage</t>
        </is>
      </c>
      <c r="G3" s="40" t="n"/>
      <c r="H3" s="128" t="inlineStr">
        <is>
          <t>Ops Done</t>
        </is>
      </c>
      <c r="I3" s="41" t="inlineStr">
        <is>
          <t>Done GAAP</t>
        </is>
      </c>
      <c r="J3" s="41" t="inlineStr">
        <is>
          <t>Current Contract
Amount</t>
        </is>
      </c>
      <c r="K3" s="46" t="inlineStr">
        <is>
          <t>Projected Cost</t>
        </is>
      </c>
      <c r="L3" s="43" t="inlineStr">
        <is>
          <t>Projected Final Profit</t>
        </is>
      </c>
      <c r="M3" s="40" t="n"/>
      <c r="N3" s="44" t="inlineStr">
        <is>
          <t>JTD % Complete</t>
        </is>
      </c>
      <c r="O3" s="43" t="inlineStr">
        <is>
          <t>JTD Earned Revenue</t>
        </is>
      </c>
      <c r="P3" s="43" t="inlineStr">
        <is>
          <t>JTD Cost</t>
        </is>
      </c>
      <c r="Q3" s="42" t="inlineStr">
        <is>
          <t>JTD
Profit</t>
        </is>
      </c>
      <c r="R3" s="129" t="n"/>
      <c r="S3" s="45" t="inlineStr">
        <is>
          <t>Prior
Year
Revenue</t>
        </is>
      </c>
      <c r="T3" s="46" t="inlineStr">
        <is>
          <t>Prior
Year
Cost</t>
        </is>
      </c>
      <c r="U3" s="42" t="inlineStr">
        <is>
          <t>Prior Year
Profit</t>
        </is>
      </c>
      <c r="V3" s="129" t="n"/>
      <c r="W3" s="45" t="inlineStr">
        <is>
          <t>Current
Year
Revenue</t>
        </is>
      </c>
      <c r="X3" s="46" t="inlineStr">
        <is>
          <t>Current
Year
Cost</t>
        </is>
      </c>
      <c r="Y3" s="42" t="inlineStr">
        <is>
          <t>Current Year
Profit</t>
        </is>
      </c>
      <c r="Z3" s="129" t="n"/>
      <c r="AA3" s="45" t="inlineStr">
        <is>
          <t>Remaining Revenue</t>
        </is>
      </c>
      <c r="AB3" s="46" t="inlineStr">
        <is>
          <t>Remaining
Cost</t>
        </is>
      </c>
      <c r="AC3" s="42" t="inlineStr">
        <is>
          <t>Remaining Profit</t>
        </is>
      </c>
      <c r="AD3" s="129" t="n"/>
      <c r="AE3" s="43" t="inlineStr">
        <is>
          <t>JTD Billings</t>
        </is>
      </c>
      <c r="AF3" s="239" t="inlineStr">
        <is>
          <t>GAAP Revenue in Excess of Billing</t>
        </is>
      </c>
      <c r="AG3" s="239" t="inlineStr">
        <is>
          <t>GAAP Billings in Excess of Revenue</t>
        </is>
      </c>
      <c r="AH3" s="27" t="n"/>
      <c r="AI3" s="27" t="n"/>
      <c r="AJ3" s="27" t="n"/>
      <c r="AK3" s="27" t="n"/>
      <c r="AL3" s="27" t="n"/>
      <c r="AM3" s="27" t="n"/>
      <c r="AN3" s="27" t="n"/>
      <c r="AO3" s="47" t="n"/>
      <c r="AP3" t="inlineStr">
        <is>
          <t>OpsJTDCost</t>
        </is>
      </c>
    </row>
    <row r="4" ht="13.2" customHeight="1">
      <c r="A4" s="130" t="n"/>
      <c r="B4" s="130" t="n"/>
      <c r="C4" s="130" t="n"/>
      <c r="D4" s="130" t="n"/>
      <c r="E4" s="130" t="n"/>
      <c r="F4" s="127" t="n"/>
      <c r="G4" s="21" t="n"/>
      <c r="H4" s="137" t="n"/>
      <c r="I4" s="131" t="n"/>
      <c r="J4" s="35" t="n"/>
      <c r="K4" s="111">
        <f>J4-L4</f>
        <v/>
      </c>
      <c r="L4" s="35" t="n"/>
      <c r="M4" s="21" t="n"/>
      <c r="N4" s="293">
        <f>IF(A4&lt;&gt;"",IF(K4&lt;&gt;0,P4/K4,0),0)</f>
        <v/>
      </c>
      <c r="O4" s="35">
        <f>IF(K4&lt;&gt;0,IF((P4/K4)&gt;0.1,(P4/K4)*J4,0),0)</f>
        <v/>
      </c>
      <c r="P4" s="35" t="n"/>
      <c r="Q4" s="143">
        <f>IF(A4&lt;&gt;"",O4-P4,0)</f>
        <v/>
      </c>
      <c r="R4" s="21" t="n"/>
      <c r="S4" s="110" t="n"/>
      <c r="T4" s="111" t="n"/>
      <c r="U4" s="143">
        <f>IF(A4&lt;&gt;"",S4-T4,0)</f>
        <v/>
      </c>
      <c r="V4" s="39" t="n"/>
      <c r="W4" s="110">
        <f>IF(A4&lt;&gt;"",O4-S4,0)</f>
        <v/>
      </c>
      <c r="X4" s="111">
        <f>IF(A4&lt;&gt;"",P4-T4,0)</f>
        <v/>
      </c>
      <c r="Y4" s="143">
        <f>IF(A4&lt;&gt;"",W4-X4,0)</f>
        <v/>
      </c>
      <c r="Z4" s="39" t="n"/>
      <c r="AA4" s="110">
        <f>IF(A4&lt;&gt;"",J4-O4,0)</f>
        <v/>
      </c>
      <c r="AB4" s="111">
        <f>IF(A4&lt;&gt;"",K4-P4,0)</f>
        <v/>
      </c>
      <c r="AC4" s="143">
        <f>IF(A4&lt;&gt;"",AA4-AB4,0)</f>
        <v/>
      </c>
      <c r="AE4" s="35" t="n"/>
      <c r="AF4" s="67">
        <f>IF(A4&lt;&gt; "",IF(O4-AE4&gt;=0,O4-AE4,0),0)</f>
        <v/>
      </c>
      <c r="AG4" s="67">
        <f>IF(A4&lt;&gt; "",IF(O4-AE4&lt;=0,O4-AE4,0),0)</f>
        <v/>
      </c>
    </row>
    <row r="5" ht="24.6" customHeight="1">
      <c r="A5" s="297" t="inlineStr">
        <is>
          <t>JV Full Value</t>
        </is>
      </c>
      <c r="B5" s="263" t="n"/>
      <c r="C5" s="263" t="n"/>
      <c r="D5" s="263" t="n"/>
      <c r="E5" s="263" t="n"/>
      <c r="F5" s="264" t="n"/>
      <c r="G5" s="21" t="n"/>
      <c r="H5" s="137" t="n"/>
      <c r="I5" s="131" t="n"/>
      <c r="J5" s="35" t="n"/>
      <c r="K5" s="111" t="n"/>
      <c r="L5" s="35" t="n"/>
      <c r="M5" s="21" t="n"/>
      <c r="N5" s="293" t="n"/>
      <c r="O5" s="35">
        <f>IF(K5&lt;&gt;0,IF((P5/K5)&gt;0.1,(P5/K5)*J5,0),0)</f>
        <v/>
      </c>
      <c r="P5" s="35" t="n"/>
      <c r="Q5" s="143" t="n"/>
      <c r="R5" s="21" t="n"/>
      <c r="S5" s="110" t="n"/>
      <c r="T5" s="111" t="n"/>
      <c r="U5" s="143" t="n"/>
      <c r="V5" s="39" t="n"/>
      <c r="W5" s="110" t="n"/>
      <c r="X5" s="111" t="n"/>
      <c r="Y5" s="143" t="n"/>
      <c r="Z5" s="39" t="n"/>
      <c r="AA5" s="110" t="n"/>
      <c r="AB5" s="111" t="n"/>
      <c r="AC5" s="143" t="n"/>
      <c r="AE5" s="35" t="n"/>
      <c r="AF5" s="67" t="n"/>
      <c r="AG5" s="67" t="n"/>
      <c r="AH5" s="1" t="n"/>
      <c r="AR5" t="n">
        <v>1</v>
      </c>
      <c r="AS5" t="inlineStr">
        <is>
          <t>000000000000B88E</t>
        </is>
      </c>
    </row>
    <row r="6" ht="13.2" customHeight="1">
      <c r="A6" s="130" t="n"/>
      <c r="B6" s="130" t="n"/>
      <c r="C6" s="130" t="n"/>
      <c r="D6" s="130" t="n"/>
      <c r="E6" s="130" t="n"/>
      <c r="F6" s="127" t="n"/>
      <c r="G6" s="21" t="n"/>
      <c r="H6" s="137" t="n"/>
      <c r="I6" s="131" t="n"/>
      <c r="J6" s="35" t="n"/>
      <c r="K6" s="111">
        <f>J6-L6</f>
        <v/>
      </c>
      <c r="L6" s="35" t="n"/>
      <c r="M6" s="21" t="n"/>
      <c r="N6" s="293">
        <f>IF(A6&lt;&gt;"",IF(K6&lt;&gt;0,P6/K6,0),0)</f>
        <v/>
      </c>
      <c r="O6" s="35">
        <f>IF(K6&lt;&gt;0,IF((P6/K6)&gt;0.1,(P6/K6)*J6,0),0)</f>
        <v/>
      </c>
      <c r="P6" s="35" t="n"/>
      <c r="Q6" s="143">
        <f>IF(A6&lt;&gt;"",O6-P6,0)</f>
        <v/>
      </c>
      <c r="R6" s="21" t="n"/>
      <c r="S6" s="110" t="n"/>
      <c r="T6" s="111" t="n"/>
      <c r="U6" s="143">
        <f>IF(A6&lt;&gt;"",S6-T6,0)</f>
        <v/>
      </c>
      <c r="V6" s="39" t="n"/>
      <c r="W6" s="110">
        <f>IF(A6&lt;&gt;"",O6-S6,0)</f>
        <v/>
      </c>
      <c r="X6" s="111">
        <f>IF(A6&lt;&gt;"",P6-T6,0)</f>
        <v/>
      </c>
      <c r="Y6" s="143">
        <f>IF(A6&lt;&gt;"",W6-X6,0)</f>
        <v/>
      </c>
      <c r="Z6" s="39" t="n"/>
      <c r="AA6" s="110">
        <f>IF(A6&lt;&gt;"",J6-O6,0)</f>
        <v/>
      </c>
      <c r="AB6" s="111">
        <f>IF(A6&lt;&gt;"",K6-P6,0)</f>
        <v/>
      </c>
      <c r="AC6" s="143">
        <f>IF(A6&lt;&gt;"",AA6-AB6,0)</f>
        <v/>
      </c>
      <c r="AE6" s="35" t="n"/>
      <c r="AF6" s="67">
        <f>IF(A6&lt;&gt; "",IF(O6-AE6&gt;=0,O6-AE6,0),0)</f>
        <v/>
      </c>
      <c r="AG6" s="67">
        <f>IF(A6&lt;&gt; "",IF(O6-AE6&lt;=0,O6-AE6,0),0)</f>
        <v/>
      </c>
      <c r="AH6" s="1" t="n"/>
      <c r="AR6" t="n">
        <v>1</v>
      </c>
      <c r="AS6" t="inlineStr">
        <is>
          <t>000000000000B88E</t>
        </is>
      </c>
    </row>
    <row r="7" ht="13.2" customHeight="1">
      <c r="A7" s="130" t="n"/>
      <c r="B7" s="130" t="n"/>
      <c r="C7" s="130" t="n"/>
      <c r="D7" s="130" t="n"/>
      <c r="E7" s="130" t="n"/>
      <c r="F7" s="127" t="n"/>
      <c r="G7" s="21" t="n"/>
      <c r="H7" s="137" t="n"/>
      <c r="I7" s="131" t="n"/>
      <c r="J7" s="35" t="n"/>
      <c r="K7" s="111">
        <f>J7-L7</f>
        <v/>
      </c>
      <c r="L7" s="35" t="n"/>
      <c r="M7" s="21" t="n"/>
      <c r="N7" s="293">
        <f>IF(A7&lt;&gt;"",IF(K7&lt;&gt;0,P7/K7,0),0)</f>
        <v/>
      </c>
      <c r="O7" s="35">
        <f>IF(K7&lt;&gt;0,IF((P7/K7)&gt;0.1,(P7/K7)*J7,0),0)</f>
        <v/>
      </c>
      <c r="P7" s="35" t="n"/>
      <c r="Q7" s="143">
        <f>IF(A7&lt;&gt;"",O7-P7,0)</f>
        <v/>
      </c>
      <c r="R7" s="21" t="n"/>
      <c r="S7" s="110" t="n"/>
      <c r="T7" s="111" t="n"/>
      <c r="U7" s="143">
        <f>IF(A7&lt;&gt;"",S7-T7,0)</f>
        <v/>
      </c>
      <c r="V7" s="39" t="n"/>
      <c r="W7" s="110">
        <f>IF(A7&lt;&gt;"",O7-S7,0)</f>
        <v/>
      </c>
      <c r="X7" s="111">
        <f>IF(A7&lt;&gt;"",P7-T7,0)</f>
        <v/>
      </c>
      <c r="Y7" s="143">
        <f>IF(A7&lt;&gt;"",W7-X7,0)</f>
        <v/>
      </c>
      <c r="Z7" s="39" t="n"/>
      <c r="AA7" s="110">
        <f>IF(A7&lt;&gt;"",J7-O7,0)</f>
        <v/>
      </c>
      <c r="AB7" s="111">
        <f>IF(A7&lt;&gt;"",K7-P7,0)</f>
        <v/>
      </c>
      <c r="AC7" s="143">
        <f>IF(A7&lt;&gt;"",AA7-AB7,0)</f>
        <v/>
      </c>
      <c r="AE7" s="35" t="n"/>
      <c r="AF7" s="67">
        <f>IF(A7&lt;&gt; "",IF(O7-AE7&gt;=0,O7-AE7,0),0)</f>
        <v/>
      </c>
      <c r="AG7" s="67">
        <f>IF(A7&lt;&gt; "",IF(O7-AE7&lt;=0,O7-AE7,0),0)</f>
        <v/>
      </c>
      <c r="AH7" s="1" t="n"/>
      <c r="AR7" t="n">
        <v>1</v>
      </c>
      <c r="AS7" s="152" t="n">
        <v>14198</v>
      </c>
    </row>
    <row r="8" ht="13.2" customHeight="1">
      <c r="A8" s="130" t="n"/>
      <c r="B8" s="130" t="n"/>
      <c r="C8" s="130" t="n"/>
      <c r="D8" s="130" t="n"/>
      <c r="E8" s="130" t="n"/>
      <c r="F8" s="127" t="n"/>
      <c r="G8" s="21" t="n"/>
      <c r="H8" s="137" t="n"/>
      <c r="I8" s="131" t="n"/>
      <c r="J8" s="35" t="n"/>
      <c r="K8" s="111">
        <f>J8-L8</f>
        <v/>
      </c>
      <c r="L8" s="35" t="n"/>
      <c r="M8" s="21" t="n"/>
      <c r="N8" s="293">
        <f>IF(A8&lt;&gt;"",IF(K8&lt;&gt;0,P8/K8,0),0)</f>
        <v/>
      </c>
      <c r="O8" s="35">
        <f>IF(K8&lt;&gt;0,IF((P8/K8)&gt;0.1,(P8/K8)*J8,0),0)</f>
        <v/>
      </c>
      <c r="P8" s="35" t="n"/>
      <c r="Q8" s="143">
        <f>IF(A8&lt;&gt;"",O8-P8,0)</f>
        <v/>
      </c>
      <c r="R8" s="21" t="n"/>
      <c r="S8" s="110" t="n"/>
      <c r="T8" s="111" t="n"/>
      <c r="U8" s="143">
        <f>IF(A8&lt;&gt;"",S8-T8,0)</f>
        <v/>
      </c>
      <c r="V8" s="39" t="n"/>
      <c r="W8" s="110">
        <f>IF(A8&lt;&gt;"",O8-S8,0)</f>
        <v/>
      </c>
      <c r="X8" s="111">
        <f>IF(A8&lt;&gt;"",P8-T8,0)</f>
        <v/>
      </c>
      <c r="Y8" s="143">
        <f>IF(A8&lt;&gt;"",W8-X8,0)</f>
        <v/>
      </c>
      <c r="Z8" s="39" t="n"/>
      <c r="AA8" s="110">
        <f>IF(A8&lt;&gt;"",J8-O8,0)</f>
        <v/>
      </c>
      <c r="AB8" s="111">
        <f>IF(A8&lt;&gt;"",K8-P8,0)</f>
        <v/>
      </c>
      <c r="AC8" s="143">
        <f>IF(A8&lt;&gt;"",AA8-AB8,0)</f>
        <v/>
      </c>
      <c r="AE8" s="35" t="n"/>
      <c r="AF8" s="67">
        <f>IF(A8&lt;&gt; "",IF(O8-AE8&gt;=0,O8-AE8,0),0)</f>
        <v/>
      </c>
      <c r="AG8" s="67">
        <f>IF(A8&lt;&gt; "",IF(O8-AE8&lt;=0,O8-AE8,0),0)</f>
        <v/>
      </c>
      <c r="AH8" s="1" t="n"/>
      <c r="AI8" s="2" t="n"/>
      <c r="AJ8" s="2" t="n"/>
      <c r="AK8" s="2" t="n"/>
      <c r="AL8" s="2" t="n"/>
      <c r="AM8" s="2" t="n"/>
      <c r="AR8" t="n">
        <v>2</v>
      </c>
      <c r="AS8" s="152" t="n">
        <v>14199</v>
      </c>
    </row>
    <row r="9" ht="13.2" customHeight="1">
      <c r="A9" s="130" t="n"/>
      <c r="B9" s="130" t="n"/>
      <c r="C9" s="130" t="n"/>
      <c r="D9" s="130" t="n"/>
      <c r="E9" s="130" t="n"/>
      <c r="F9" s="127" t="n"/>
      <c r="G9" s="21" t="n"/>
      <c r="H9" s="137" t="n"/>
      <c r="I9" s="131" t="n"/>
      <c r="J9" s="35" t="n"/>
      <c r="K9" s="111">
        <f>J9-L9</f>
        <v/>
      </c>
      <c r="L9" s="35" t="n"/>
      <c r="M9" s="21" t="n"/>
      <c r="N9" s="293">
        <f>IF(A9&lt;&gt;"",IF(K9&lt;&gt;0,P9/K9,0),0)</f>
        <v/>
      </c>
      <c r="O9" s="35">
        <f>IF(K9&lt;&gt;0,IF((P9/K9)&gt;0.1,(P9/K9)*J9,0),0)</f>
        <v/>
      </c>
      <c r="P9" s="35" t="n"/>
      <c r="Q9" s="143">
        <f>IF(A9&lt;&gt;"",O9-P9,0)</f>
        <v/>
      </c>
      <c r="R9" s="21" t="n"/>
      <c r="S9" s="110" t="n"/>
      <c r="T9" s="111" t="n"/>
      <c r="U9" s="143">
        <f>IF(A9&lt;&gt;"",S9-T9,0)</f>
        <v/>
      </c>
      <c r="V9" s="39" t="n"/>
      <c r="W9" s="110">
        <f>IF(A9&lt;&gt;"",O9-S9,0)</f>
        <v/>
      </c>
      <c r="X9" s="111">
        <f>IF(A9&lt;&gt;"",P9-T9,0)</f>
        <v/>
      </c>
      <c r="Y9" s="143">
        <f>IF(A9&lt;&gt;"",W9-X9,0)</f>
        <v/>
      </c>
      <c r="Z9" s="39" t="n"/>
      <c r="AA9" s="110">
        <f>IF(A9&lt;&gt;"",J9-O9,0)</f>
        <v/>
      </c>
      <c r="AB9" s="111">
        <f>IF(A9&lt;&gt;"",K9-P9,0)</f>
        <v/>
      </c>
      <c r="AC9" s="143">
        <f>IF(A9&lt;&gt;"",AA9-AB9,0)</f>
        <v/>
      </c>
      <c r="AE9" s="35" t="n"/>
      <c r="AF9" s="67">
        <f>IF(A9&lt;&gt; "",IF(O9-AE9&gt;=0,O9-AE9,0),0)</f>
        <v/>
      </c>
      <c r="AG9" s="67">
        <f>IF(A9&lt;&gt; "",IF(O9-AE9&lt;=0,O9-AE9,0),0)</f>
        <v/>
      </c>
      <c r="AH9" s="1" t="n"/>
      <c r="AR9" t="n">
        <v>3</v>
      </c>
      <c r="AS9" s="152" t="inlineStr">
        <is>
          <t>000000000001419A</t>
        </is>
      </c>
    </row>
    <row r="10" ht="13.2" customHeight="1">
      <c r="A10" s="130" t="n"/>
      <c r="B10" s="130" t="n"/>
      <c r="C10" s="130" t="n"/>
      <c r="D10" s="130" t="n"/>
      <c r="E10" s="130" t="n"/>
      <c r="F10" s="127" t="n"/>
      <c r="G10" s="21" t="n"/>
      <c r="H10" s="137" t="n"/>
      <c r="I10" s="131" t="n"/>
      <c r="J10" s="35" t="n"/>
      <c r="K10" s="111">
        <f>J10-L10</f>
        <v/>
      </c>
      <c r="L10" s="35" t="n"/>
      <c r="M10" s="21" t="n"/>
      <c r="N10" s="293">
        <f>IF(A10&lt;&gt;"",IF(K10&lt;&gt;0,P10/K10,0),0)</f>
        <v/>
      </c>
      <c r="O10" s="35">
        <f>IF(K10&lt;&gt;0,IF((P10/K10)&gt;0.1,(P10/K10)*J10,0),0)</f>
        <v/>
      </c>
      <c r="P10" s="35" t="n"/>
      <c r="Q10" s="143">
        <f>IF(A10&lt;&gt;"",O10-P10,0)</f>
        <v/>
      </c>
      <c r="R10" s="21" t="n"/>
      <c r="S10" s="110" t="n"/>
      <c r="T10" s="111" t="n"/>
      <c r="U10" s="143">
        <f>IF(A10&lt;&gt;"",S10-T10,0)</f>
        <v/>
      </c>
      <c r="V10" s="39" t="n"/>
      <c r="W10" s="110">
        <f>IF(A10&lt;&gt;"",O10-S10,0)</f>
        <v/>
      </c>
      <c r="X10" s="111">
        <f>IF(A10&lt;&gt;"",P10-T10,0)</f>
        <v/>
      </c>
      <c r="Y10" s="143">
        <f>IF(A10&lt;&gt;"",W10-X10,0)</f>
        <v/>
      </c>
      <c r="Z10" s="39" t="n"/>
      <c r="AA10" s="110">
        <f>IF(A10&lt;&gt;"",J10-O10,0)</f>
        <v/>
      </c>
      <c r="AB10" s="111">
        <f>IF(A10&lt;&gt;"",K10-P10,0)</f>
        <v/>
      </c>
      <c r="AC10" s="143">
        <f>IF(A10&lt;&gt;"",AA10-AB10,0)</f>
        <v/>
      </c>
      <c r="AE10" s="35" t="n"/>
      <c r="AF10" s="67">
        <f>IF(A10&lt;&gt; "",IF(O10-AE10&gt;=0,O10-AE10,0),0)</f>
        <v/>
      </c>
      <c r="AG10" s="67">
        <f>IF(A10&lt;&gt; "",IF(O10-AE10&lt;=0,O10-AE10,0),0)</f>
        <v/>
      </c>
      <c r="AH10" s="1" t="n"/>
      <c r="AI10" s="2" t="n"/>
      <c r="AJ10" s="2" t="n"/>
      <c r="AK10" s="2" t="n"/>
      <c r="AL10" s="2" t="n"/>
      <c r="AM10" s="2" t="n"/>
      <c r="AR10" t="n">
        <v>4</v>
      </c>
      <c r="AS10" s="152" t="inlineStr">
        <is>
          <t>000000000001419B</t>
        </is>
      </c>
    </row>
    <row r="11" ht="13.2" customHeight="1">
      <c r="A11" s="130" t="n"/>
      <c r="B11" s="130" t="n"/>
      <c r="C11" s="130" t="n"/>
      <c r="D11" s="130" t="n"/>
      <c r="E11" s="130" t="n"/>
      <c r="F11" s="127" t="n"/>
      <c r="G11" s="21" t="n"/>
      <c r="H11" s="137" t="n"/>
      <c r="I11" s="131" t="n"/>
      <c r="J11" s="35" t="n"/>
      <c r="K11" s="111">
        <f>J11-L11</f>
        <v/>
      </c>
      <c r="L11" s="35" t="n"/>
      <c r="M11" s="21" t="n"/>
      <c r="N11" s="293">
        <f>IF(A11&lt;&gt;"",IF(K11&lt;&gt;0,P11/K11,0),0)</f>
        <v/>
      </c>
      <c r="O11" s="35">
        <f>IF(K11&lt;&gt;0,IF((P11/K11)&gt;0.1,(P11/K11)*J11,0),0)</f>
        <v/>
      </c>
      <c r="P11" s="35" t="n"/>
      <c r="Q11" s="143">
        <f>IF(A11&lt;&gt;"",O11-P11,0)</f>
        <v/>
      </c>
      <c r="R11" s="21" t="n"/>
      <c r="S11" s="110" t="n"/>
      <c r="T11" s="111" t="n"/>
      <c r="U11" s="143">
        <f>IF(A11&lt;&gt;"",S11-T11,0)</f>
        <v/>
      </c>
      <c r="V11" s="39" t="n"/>
      <c r="W11" s="110">
        <f>IF(A11&lt;&gt;"",O11-S11,0)</f>
        <v/>
      </c>
      <c r="X11" s="111">
        <f>IF(A11&lt;&gt;"",P11-T11,0)</f>
        <v/>
      </c>
      <c r="Y11" s="143">
        <f>IF(A11&lt;&gt;"",W11-X11,0)</f>
        <v/>
      </c>
      <c r="Z11" s="39" t="n"/>
      <c r="AA11" s="110">
        <f>IF(A11&lt;&gt;"",J11-O11,0)</f>
        <v/>
      </c>
      <c r="AB11" s="111">
        <f>IF(A11&lt;&gt;"",K11-P11,0)</f>
        <v/>
      </c>
      <c r="AC11" s="143">
        <f>IF(A11&lt;&gt;"",AA11-AB11,0)</f>
        <v/>
      </c>
      <c r="AE11" s="35" t="n"/>
      <c r="AF11" s="67">
        <f>IF(A11&lt;&gt; "",IF(O11-AE11&gt;=0,O11-AE11,0),0)</f>
        <v/>
      </c>
      <c r="AG11" s="67">
        <f>IF(A11&lt;&gt; "",IF(O11-AE11&lt;=0,O11-AE11,0),0)</f>
        <v/>
      </c>
      <c r="AH11" s="1" t="n"/>
      <c r="AL11" s="1" t="n"/>
      <c r="AM11" s="1" t="n"/>
      <c r="AR11" t="n">
        <v>5</v>
      </c>
      <c r="AS11" s="152" t="inlineStr">
        <is>
          <t>000000000001419C</t>
        </is>
      </c>
    </row>
    <row r="12" ht="13.2" customHeight="1">
      <c r="A12" s="130" t="n"/>
      <c r="B12" s="130" t="n"/>
      <c r="C12" s="130" t="n"/>
      <c r="D12" s="130" t="n"/>
      <c r="E12" s="130" t="n"/>
      <c r="F12" s="127" t="n"/>
      <c r="G12" s="21" t="n"/>
      <c r="H12" s="137" t="n"/>
      <c r="I12" s="131" t="n"/>
      <c r="J12" s="35" t="n"/>
      <c r="K12" s="111">
        <f>J12-L12</f>
        <v/>
      </c>
      <c r="L12" s="35" t="n"/>
      <c r="M12" s="21" t="n"/>
      <c r="N12" s="293">
        <f>IF(A12&lt;&gt;"",IF(K12&lt;&gt;0,P12/K12,0),0)</f>
        <v/>
      </c>
      <c r="O12" s="35">
        <f>IF(K12&lt;&gt;0,IF((P12/K12)&gt;0.1,(P12/K12)*J12,0),0)</f>
        <v/>
      </c>
      <c r="P12" s="35" t="n"/>
      <c r="Q12" s="143">
        <f>IF(A12&lt;&gt;"",O12-P12,0)</f>
        <v/>
      </c>
      <c r="R12" s="21" t="n"/>
      <c r="S12" s="110" t="n"/>
      <c r="T12" s="111" t="n"/>
      <c r="U12" s="143">
        <f>IF(A12&lt;&gt;"",S12-T12,0)</f>
        <v/>
      </c>
      <c r="V12" s="39" t="n"/>
      <c r="W12" s="110">
        <f>IF(A12&lt;&gt;"",O12-S12,0)</f>
        <v/>
      </c>
      <c r="X12" s="111">
        <f>IF(A12&lt;&gt;"",P12-T12,0)</f>
        <v/>
      </c>
      <c r="Y12" s="143">
        <f>IF(A12&lt;&gt;"",W12-X12,0)</f>
        <v/>
      </c>
      <c r="Z12" s="39" t="n"/>
      <c r="AA12" s="110">
        <f>IF(A12&lt;&gt;"",J12-O12,0)</f>
        <v/>
      </c>
      <c r="AB12" s="111">
        <f>IF(A12&lt;&gt;"",K12-P12,0)</f>
        <v/>
      </c>
      <c r="AC12" s="143">
        <f>IF(A12&lt;&gt;"",AA12-AB12,0)</f>
        <v/>
      </c>
      <c r="AE12" s="35" t="n"/>
      <c r="AF12" s="67">
        <f>IF(A12&lt;&gt; "",IF(O12-AE12&gt;=0,O12-AE12,0),0)</f>
        <v/>
      </c>
      <c r="AG12" s="67">
        <f>IF(A12&lt;&gt; "",IF(O12-AE12&lt;=0,O12-AE12,0),0)</f>
        <v/>
      </c>
      <c r="AH12" s="1" t="n"/>
      <c r="AL12" s="1" t="n"/>
      <c r="AM12" s="1" t="n"/>
      <c r="AR12" t="n">
        <v>1</v>
      </c>
      <c r="AS12" s="152" t="n">
        <v>13643</v>
      </c>
    </row>
    <row r="13" ht="13.2" customHeight="1">
      <c r="A13" s="130" t="n"/>
      <c r="B13" s="130" t="n"/>
      <c r="C13" s="130" t="n"/>
      <c r="D13" s="130" t="n"/>
      <c r="E13" s="130" t="n"/>
      <c r="F13" s="127" t="n"/>
      <c r="G13" s="21" t="n"/>
      <c r="H13" s="137" t="n"/>
      <c r="I13" s="131" t="n"/>
      <c r="J13" s="35" t="n"/>
      <c r="K13" s="111">
        <f>J13-L13</f>
        <v/>
      </c>
      <c r="L13" s="35" t="n"/>
      <c r="M13" s="21" t="n"/>
      <c r="N13" s="293">
        <f>IF(A13&lt;&gt;"",IF(K13&lt;&gt;0,P13/K13,0),0)</f>
        <v/>
      </c>
      <c r="O13" s="35">
        <f>IF(K13&lt;&gt;0,IF((P13/K13)&gt;0.1,(P13/K13)*J13,0),0)</f>
        <v/>
      </c>
      <c r="P13" s="35" t="n"/>
      <c r="Q13" s="143">
        <f>IF(A13&lt;&gt;"",O13-P13,0)</f>
        <v/>
      </c>
      <c r="R13" s="21" t="n"/>
      <c r="S13" s="110" t="n"/>
      <c r="T13" s="111" t="n"/>
      <c r="U13" s="143">
        <f>IF(A13&lt;&gt;"",S13-T13,0)</f>
        <v/>
      </c>
      <c r="V13" s="39" t="n"/>
      <c r="W13" s="110">
        <f>IF(A13&lt;&gt;"",O13-S13,0)</f>
        <v/>
      </c>
      <c r="X13" s="111">
        <f>IF(A13&lt;&gt;"",P13-T13,0)</f>
        <v/>
      </c>
      <c r="Y13" s="143">
        <f>IF(A13&lt;&gt;"",W13-X13,0)</f>
        <v/>
      </c>
      <c r="Z13" s="39" t="n"/>
      <c r="AA13" s="110">
        <f>IF(A13&lt;&gt;"",J13-O13,0)</f>
        <v/>
      </c>
      <c r="AB13" s="111">
        <f>IF(A13&lt;&gt;"",K13-P13,0)</f>
        <v/>
      </c>
      <c r="AC13" s="143">
        <f>IF(A13&lt;&gt;"",AA13-AB13,0)</f>
        <v/>
      </c>
      <c r="AE13" s="35" t="n"/>
      <c r="AF13" s="67">
        <f>IF(A13&lt;&gt; "",IF(O13-AE13&gt;=0,O13-AE13,0),0)</f>
        <v/>
      </c>
      <c r="AG13" s="67">
        <f>IF(A13&lt;&gt; "",IF(O13-AE13&lt;=0,O13-AE13,0),0)</f>
        <v/>
      </c>
      <c r="AH13" s="1" t="n"/>
      <c r="AL13" s="1" t="n"/>
      <c r="AM13" s="1" t="n"/>
      <c r="AR13" t="n">
        <v>1</v>
      </c>
      <c r="AS13" s="152" t="n">
        <v>13643</v>
      </c>
    </row>
    <row r="14" ht="13.2" customHeight="1">
      <c r="A14" s="130" t="n"/>
      <c r="B14" s="130" t="n"/>
      <c r="C14" s="130" t="n"/>
      <c r="D14" s="130" t="n"/>
      <c r="E14" s="130" t="n"/>
      <c r="F14" s="127" t="n"/>
      <c r="G14" s="21" t="n"/>
      <c r="H14" s="137" t="n"/>
      <c r="I14" s="131" t="n"/>
      <c r="J14" s="35" t="n"/>
      <c r="K14" s="111">
        <f>J14-L14</f>
        <v/>
      </c>
      <c r="L14" s="35" t="n"/>
      <c r="M14" s="21" t="n"/>
      <c r="N14" s="293">
        <f>IF(A14&lt;&gt;"",IF(K14&lt;&gt;0,P14/K14,0),0)</f>
        <v/>
      </c>
      <c r="O14" s="35">
        <f>IF(K14&lt;&gt;0,IF((P14/K14)&gt;0.1,(P14/K14)*J14,0),0)</f>
        <v/>
      </c>
      <c r="P14" s="35" t="n"/>
      <c r="Q14" s="143">
        <f>IF(A14&lt;&gt;"",O14-P14,0)</f>
        <v/>
      </c>
      <c r="R14" s="21" t="n"/>
      <c r="S14" s="110" t="n"/>
      <c r="T14" s="111" t="n"/>
      <c r="U14" s="143">
        <f>IF(A14&lt;&gt;"",S14-T14,0)</f>
        <v/>
      </c>
      <c r="V14" s="39" t="n"/>
      <c r="W14" s="110">
        <f>IF(A14&lt;&gt;"",O14-S14,0)</f>
        <v/>
      </c>
      <c r="X14" s="111">
        <f>IF(A14&lt;&gt;"",P14-T14,0)</f>
        <v/>
      </c>
      <c r="Y14" s="143">
        <f>IF(A14&lt;&gt;"",W14-X14,0)</f>
        <v/>
      </c>
      <c r="Z14" s="39" t="n"/>
      <c r="AA14" s="110">
        <f>IF(A14&lt;&gt;"",J14-O14,0)</f>
        <v/>
      </c>
      <c r="AB14" s="111">
        <f>IF(A14&lt;&gt;"",K14-P14,0)</f>
        <v/>
      </c>
      <c r="AC14" s="143">
        <f>IF(A14&lt;&gt;"",AA14-AB14,0)</f>
        <v/>
      </c>
      <c r="AE14" s="35" t="n"/>
      <c r="AF14" s="67">
        <f>IF(A14&lt;&gt; "",IF(O14-AE14&gt;=0,O14-AE14,0),0)</f>
        <v/>
      </c>
      <c r="AG14" s="67">
        <f>IF(A14&lt;&gt; "",IF(O14-AE14&lt;=0,O14-AE14,0),0)</f>
        <v/>
      </c>
      <c r="AH14" s="1" t="n"/>
      <c r="AL14" s="1" t="n"/>
      <c r="AM14" s="1" t="n"/>
      <c r="AR14" t="n">
        <v>1</v>
      </c>
      <c r="AS14" s="152" t="n">
        <v>13643</v>
      </c>
    </row>
    <row r="15" ht="13.2" customHeight="1">
      <c r="A15" s="130" t="n"/>
      <c r="B15" s="130" t="n"/>
      <c r="C15" s="130" t="n"/>
      <c r="D15" s="130" t="n"/>
      <c r="E15" s="130" t="n"/>
      <c r="F15" s="127" t="n"/>
      <c r="G15" s="21" t="n"/>
      <c r="H15" s="137" t="n"/>
      <c r="I15" s="131" t="n"/>
      <c r="J15" s="35" t="n"/>
      <c r="K15" s="111">
        <f>J15-L15</f>
        <v/>
      </c>
      <c r="L15" s="35" t="n"/>
      <c r="M15" s="21" t="n"/>
      <c r="N15" s="293">
        <f>IF(A15&lt;&gt;"",IF(K15&lt;&gt;0,P15/K15,0),0)</f>
        <v/>
      </c>
      <c r="O15" s="35">
        <f>IF(K15&lt;&gt;0,IF((P15/K15)&gt;0.1,(P15/K15)*J15,0),0)</f>
        <v/>
      </c>
      <c r="P15" s="35" t="n"/>
      <c r="Q15" s="143">
        <f>IF(A15&lt;&gt;"",O15-P15,0)</f>
        <v/>
      </c>
      <c r="R15" s="21" t="n"/>
      <c r="S15" s="110" t="n"/>
      <c r="T15" s="111" t="n"/>
      <c r="U15" s="143">
        <f>IF(A15&lt;&gt;"",S15-T15,0)</f>
        <v/>
      </c>
      <c r="V15" s="39" t="n"/>
      <c r="W15" s="110">
        <f>IF(A15&lt;&gt;"",O15-S15,0)</f>
        <v/>
      </c>
      <c r="X15" s="111">
        <f>IF(A15&lt;&gt;"",P15-T15,0)</f>
        <v/>
      </c>
      <c r="Y15" s="143">
        <f>IF(A15&lt;&gt;"",W15-X15,0)</f>
        <v/>
      </c>
      <c r="Z15" s="39" t="n"/>
      <c r="AA15" s="110">
        <f>IF(A15&lt;&gt;"",J15-O15,0)</f>
        <v/>
      </c>
      <c r="AB15" s="111">
        <f>IF(A15&lt;&gt;"",K15-P15,0)</f>
        <v/>
      </c>
      <c r="AC15" s="143">
        <f>IF(A15&lt;&gt;"",AA15-AB15,0)</f>
        <v/>
      </c>
      <c r="AE15" s="35" t="n"/>
      <c r="AF15" s="67">
        <f>IF(A15&lt;&gt; "",IF(O15-AE15&gt;=0,O15-AE15,0),0)</f>
        <v/>
      </c>
      <c r="AG15" s="67">
        <f>IF(A15&lt;&gt; "",IF(O15-AE15&lt;=0,O15-AE15,0),0)</f>
        <v/>
      </c>
      <c r="AH15" s="1" t="n"/>
      <c r="AL15" s="1" t="n"/>
      <c r="AM15" s="1" t="n"/>
      <c r="AR15" t="n">
        <v>1</v>
      </c>
      <c r="AS15" s="152" t="n">
        <v>13643</v>
      </c>
    </row>
    <row r="16" ht="13.2" customHeight="1">
      <c r="A16" s="130" t="n"/>
      <c r="B16" s="130" t="n"/>
      <c r="C16" s="130" t="n"/>
      <c r="D16" s="130" t="n"/>
      <c r="E16" s="130" t="n"/>
      <c r="F16" s="127" t="n"/>
      <c r="G16" s="21" t="n"/>
      <c r="H16" s="137" t="n"/>
      <c r="I16" s="131" t="n"/>
      <c r="J16" s="35" t="n"/>
      <c r="K16" s="111">
        <f>J16-L16</f>
        <v/>
      </c>
      <c r="L16" s="35" t="n"/>
      <c r="M16" s="21" t="n"/>
      <c r="N16" s="293">
        <f>IF(A16&lt;&gt;"",IF(K16&lt;&gt;0,P16/K16,0),0)</f>
        <v/>
      </c>
      <c r="O16" s="35">
        <f>IF(K16&lt;&gt;0,IF((P16/K16)&gt;0.1,(P16/K16)*J16,0),0)</f>
        <v/>
      </c>
      <c r="P16" s="35" t="n"/>
      <c r="Q16" s="143">
        <f>IF(A16&lt;&gt;"",O16-P16,0)</f>
        <v/>
      </c>
      <c r="R16" s="21" t="n"/>
      <c r="S16" s="110" t="n"/>
      <c r="T16" s="111" t="n"/>
      <c r="U16" s="143">
        <f>IF(A16&lt;&gt;"",S16-T16,0)</f>
        <v/>
      </c>
      <c r="V16" s="39" t="n"/>
      <c r="W16" s="110">
        <f>IF(A16&lt;&gt;"",O16-S16,0)</f>
        <v/>
      </c>
      <c r="X16" s="111">
        <f>IF(A16&lt;&gt;"",P16-T16,0)</f>
        <v/>
      </c>
      <c r="Y16" s="143">
        <f>IF(A16&lt;&gt;"",W16-X16,0)</f>
        <v/>
      </c>
      <c r="Z16" s="39" t="n"/>
      <c r="AA16" s="110">
        <f>IF(A16&lt;&gt;"",J16-O16,0)</f>
        <v/>
      </c>
      <c r="AB16" s="111">
        <f>IF(A16&lt;&gt;"",K16-P16,0)</f>
        <v/>
      </c>
      <c r="AC16" s="143">
        <f>IF(A16&lt;&gt;"",AA16-AB16,0)</f>
        <v/>
      </c>
      <c r="AE16" s="35" t="n"/>
      <c r="AF16" s="67">
        <f>IF(A16&lt;&gt; "",IF(O16-AE16&gt;=0,O16-AE16,0),0)</f>
        <v/>
      </c>
      <c r="AG16" s="67">
        <f>IF(A16&lt;&gt; "",IF(O16-AE16&lt;=0,O16-AE16,0),0)</f>
        <v/>
      </c>
      <c r="AH16" s="1" t="n"/>
      <c r="AL16" s="1" t="n"/>
      <c r="AM16" s="1" t="n"/>
      <c r="AR16" t="n">
        <v>1</v>
      </c>
      <c r="AS16" s="152" t="n">
        <v>13643</v>
      </c>
    </row>
    <row r="17" ht="13.2" customHeight="1">
      <c r="A17" s="130" t="n"/>
      <c r="B17" s="130" t="n"/>
      <c r="C17" s="130" t="n"/>
      <c r="D17" s="130" t="n"/>
      <c r="E17" s="130" t="n"/>
      <c r="F17" s="127" t="n"/>
      <c r="G17" s="21" t="n"/>
      <c r="H17" s="137" t="n"/>
      <c r="I17" s="131" t="n"/>
      <c r="J17" s="35" t="n"/>
      <c r="K17" s="111">
        <f>J17-L17</f>
        <v/>
      </c>
      <c r="L17" s="35" t="n"/>
      <c r="M17" s="21" t="n"/>
      <c r="N17" s="293">
        <f>IF(A17&lt;&gt;"",IF(K17&lt;&gt;0,P17/K17,0),0)</f>
        <v/>
      </c>
      <c r="O17" s="35">
        <f>IF(K17&lt;&gt;0,IF((P17/K17)&gt;0.1,(P17/K17)*J17,0),0)</f>
        <v/>
      </c>
      <c r="P17" s="35" t="n"/>
      <c r="Q17" s="143">
        <f>IF(A17&lt;&gt;"",O17-P17,0)</f>
        <v/>
      </c>
      <c r="R17" s="21" t="n"/>
      <c r="S17" s="110" t="n"/>
      <c r="T17" s="111" t="n"/>
      <c r="U17" s="143">
        <f>IF(A17&lt;&gt;"",S17-T17,0)</f>
        <v/>
      </c>
      <c r="V17" s="39" t="n"/>
      <c r="W17" s="110">
        <f>IF(A17&lt;&gt;"",O17-S17,0)</f>
        <v/>
      </c>
      <c r="X17" s="111">
        <f>IF(A17&lt;&gt;"",P17-T17,0)</f>
        <v/>
      </c>
      <c r="Y17" s="143">
        <f>IF(A17&lt;&gt;"",W17-X17,0)</f>
        <v/>
      </c>
      <c r="Z17" s="39" t="n"/>
      <c r="AA17" s="110">
        <f>IF(A17&lt;&gt;"",J17-O17,0)</f>
        <v/>
      </c>
      <c r="AB17" s="111">
        <f>IF(A17&lt;&gt;"",K17-P17,0)</f>
        <v/>
      </c>
      <c r="AC17" s="143">
        <f>IF(A17&lt;&gt;"",AA17-AB17,0)</f>
        <v/>
      </c>
      <c r="AE17" s="35" t="n"/>
      <c r="AF17" s="67">
        <f>IF(A17&lt;&gt; "",IF(O17-AE17&gt;=0,O17-AE17,0),0)</f>
        <v/>
      </c>
      <c r="AG17" s="67">
        <f>IF(A17&lt;&gt; "",IF(O17-AE17&lt;=0,O17-AE17,0),0)</f>
        <v/>
      </c>
      <c r="AH17" s="1" t="n"/>
      <c r="AL17" s="1" t="n"/>
      <c r="AM17" s="1" t="n"/>
      <c r="AR17" t="n">
        <v>1</v>
      </c>
      <c r="AS17" s="152" t="n">
        <v>13409</v>
      </c>
    </row>
    <row r="18" ht="13.2" customHeight="1">
      <c r="A18" s="130" t="n"/>
      <c r="B18" s="130" t="n"/>
      <c r="C18" s="130" t="n"/>
      <c r="D18" s="130" t="n"/>
      <c r="E18" s="130" t="n"/>
      <c r="F18" s="127" t="n"/>
      <c r="G18" s="21" t="n"/>
      <c r="H18" s="137" t="n"/>
      <c r="I18" s="131" t="n"/>
      <c r="J18" s="35" t="n"/>
      <c r="K18" s="111">
        <f>J18-L18</f>
        <v/>
      </c>
      <c r="L18" s="35" t="n"/>
      <c r="M18" s="21" t="n"/>
      <c r="N18" s="293">
        <f>IF(A18&lt;&gt;"",IF(K18&lt;&gt;0,P18/K18,0),0)</f>
        <v/>
      </c>
      <c r="O18" s="35">
        <f>IF(K18&lt;&gt;0,IF((P18/K18)&gt;0.1,(P18/K18)*J18,0),0)</f>
        <v/>
      </c>
      <c r="P18" s="35" t="n"/>
      <c r="Q18" s="143">
        <f>IF(A18&lt;&gt;"",O18-P18,0)</f>
        <v/>
      </c>
      <c r="R18" s="21" t="n"/>
      <c r="S18" s="110" t="n"/>
      <c r="T18" s="111" t="n"/>
      <c r="U18" s="143">
        <f>IF(A18&lt;&gt;"",S18-T18,0)</f>
        <v/>
      </c>
      <c r="V18" s="39" t="n"/>
      <c r="W18" s="110">
        <f>IF(A18&lt;&gt;"",O18-S18,0)</f>
        <v/>
      </c>
      <c r="X18" s="111">
        <f>IF(A18&lt;&gt;"",P18-T18,0)</f>
        <v/>
      </c>
      <c r="Y18" s="143">
        <f>IF(A18&lt;&gt;"",W18-X18,0)</f>
        <v/>
      </c>
      <c r="Z18" s="39" t="n"/>
      <c r="AA18" s="110">
        <f>IF(A18&lt;&gt;"",J18-O18,0)</f>
        <v/>
      </c>
      <c r="AB18" s="111">
        <f>IF(A18&lt;&gt;"",K18-P18,0)</f>
        <v/>
      </c>
      <c r="AC18" s="143">
        <f>IF(A18&lt;&gt;"",AA18-AB18,0)</f>
        <v/>
      </c>
      <c r="AE18" s="35" t="n"/>
      <c r="AF18" s="67">
        <f>IF(A18&lt;&gt; "",IF(O18-AE18&gt;=0,O18-AE18,0),0)</f>
        <v/>
      </c>
      <c r="AG18" s="67">
        <f>IF(A18&lt;&gt; "",IF(O18-AE18&lt;=0,O18-AE18,0),0)</f>
        <v/>
      </c>
      <c r="AH18" s="1" t="n"/>
      <c r="AL18" s="1" t="n"/>
      <c r="AM18" s="1" t="n"/>
      <c r="AR18" t="n">
        <v>1</v>
      </c>
      <c r="AS18" s="152" t="n">
        <v>13409</v>
      </c>
    </row>
    <row r="19" ht="13.2" customHeight="1">
      <c r="A19" s="130" t="n"/>
      <c r="B19" s="130" t="n"/>
      <c r="C19" s="130" t="n"/>
      <c r="D19" s="130" t="n"/>
      <c r="E19" s="130" t="n"/>
      <c r="F19" s="127" t="n"/>
      <c r="G19" s="21" t="n"/>
      <c r="H19" s="137" t="n"/>
      <c r="I19" s="131" t="n"/>
      <c r="J19" s="35" t="n"/>
      <c r="K19" s="111">
        <f>J19-L19</f>
        <v/>
      </c>
      <c r="L19" s="35" t="n"/>
      <c r="M19" s="21" t="n"/>
      <c r="N19" s="293">
        <f>IF(A19&lt;&gt;"",IF(K19&lt;&gt;0,P19/K19,0),0)</f>
        <v/>
      </c>
      <c r="O19" s="35">
        <f>IF(K19&lt;&gt;0,IF((P19/K19)&gt;0.1,(P19/K19)*J19,0),0)</f>
        <v/>
      </c>
      <c r="P19" s="35" t="n"/>
      <c r="Q19" s="143">
        <f>IF(A19&lt;&gt;"",O19-P19,0)</f>
        <v/>
      </c>
      <c r="R19" s="21" t="n"/>
      <c r="S19" s="110" t="n"/>
      <c r="T19" s="111" t="n"/>
      <c r="U19" s="143">
        <f>IF(A19&lt;&gt;"",S19-T19,0)</f>
        <v/>
      </c>
      <c r="V19" s="39" t="n"/>
      <c r="W19" s="110">
        <f>IF(A19&lt;&gt;"",O19-S19,0)</f>
        <v/>
      </c>
      <c r="X19" s="111">
        <f>IF(A19&lt;&gt;"",P19-T19,0)</f>
        <v/>
      </c>
      <c r="Y19" s="143">
        <f>IF(A19&lt;&gt;"",W19-X19,0)</f>
        <v/>
      </c>
      <c r="Z19" s="39" t="n"/>
      <c r="AA19" s="110">
        <f>IF(A19&lt;&gt;"",J19-O19,0)</f>
        <v/>
      </c>
      <c r="AB19" s="111">
        <f>IF(A19&lt;&gt;"",K19-P19,0)</f>
        <v/>
      </c>
      <c r="AC19" s="143">
        <f>IF(A19&lt;&gt;"",AA19-AB19,0)</f>
        <v/>
      </c>
      <c r="AE19" s="35" t="n"/>
      <c r="AF19" s="67">
        <f>IF(A19&lt;&gt; "",IF(O19-AE19&gt;=0,O19-AE19,0),0)</f>
        <v/>
      </c>
      <c r="AG19" s="67">
        <f>IF(A19&lt;&gt; "",IF(O19-AE19&lt;=0,O19-AE19,0),0)</f>
        <v/>
      </c>
      <c r="AH19" s="1" t="n"/>
      <c r="AL19" s="1" t="n"/>
      <c r="AM19" s="1" t="n"/>
      <c r="AR19" t="n">
        <v>1</v>
      </c>
      <c r="AS19" s="152" t="n">
        <v>13409</v>
      </c>
    </row>
    <row r="20" ht="13.2" customHeight="1">
      <c r="A20" s="130" t="n"/>
      <c r="B20" s="130" t="n"/>
      <c r="C20" s="130" t="n"/>
      <c r="D20" s="130" t="n"/>
      <c r="E20" s="130" t="n"/>
      <c r="F20" s="127" t="n"/>
      <c r="G20" s="21" t="n"/>
      <c r="H20" s="137" t="n"/>
      <c r="I20" s="131" t="n"/>
      <c r="J20" s="35" t="n"/>
      <c r="K20" s="111">
        <f>J20-L20</f>
        <v/>
      </c>
      <c r="L20" s="35" t="n"/>
      <c r="M20" s="21" t="n"/>
      <c r="N20" s="293">
        <f>IF(A20&lt;&gt;"",IF(K20&lt;&gt;0,P20/K20,0),0)</f>
        <v/>
      </c>
      <c r="O20" s="35">
        <f>IF(K20&lt;&gt;0,IF((P20/K20)&gt;0.1,(P20/K20)*J20,0),0)</f>
        <v/>
      </c>
      <c r="P20" s="35" t="n"/>
      <c r="Q20" s="143">
        <f>IF(A20&lt;&gt;"",O20-P20,0)</f>
        <v/>
      </c>
      <c r="R20" s="21" t="n"/>
      <c r="S20" s="110" t="n"/>
      <c r="T20" s="111" t="n"/>
      <c r="U20" s="143">
        <f>IF(A20&lt;&gt;"",S20-T20,0)</f>
        <v/>
      </c>
      <c r="V20" s="39" t="n"/>
      <c r="W20" s="110">
        <f>IF(A20&lt;&gt;"",O20-S20,0)</f>
        <v/>
      </c>
      <c r="X20" s="111">
        <f>IF(A20&lt;&gt;"",P20-T20,0)</f>
        <v/>
      </c>
      <c r="Y20" s="143">
        <f>IF(A20&lt;&gt;"",W20-X20,0)</f>
        <v/>
      </c>
      <c r="Z20" s="39" t="n"/>
      <c r="AA20" s="110">
        <f>IF(A20&lt;&gt;"",J20-O20,0)</f>
        <v/>
      </c>
      <c r="AB20" s="111">
        <f>IF(A20&lt;&gt;"",K20-P20,0)</f>
        <v/>
      </c>
      <c r="AC20" s="143">
        <f>IF(A20&lt;&gt;"",AA20-AB20,0)</f>
        <v/>
      </c>
      <c r="AE20" s="35" t="n"/>
      <c r="AF20" s="67">
        <f>IF(A20&lt;&gt; "",IF(O20-AE20&gt;=0,O20-AE20,0),0)</f>
        <v/>
      </c>
      <c r="AG20" s="67">
        <f>IF(A20&lt;&gt; "",IF(O20-AE20&lt;=0,O20-AE20,0),0)</f>
        <v/>
      </c>
      <c r="AH20" s="1" t="n"/>
      <c r="AL20" s="1" t="n"/>
      <c r="AM20" s="1" t="n"/>
      <c r="AR20" t="n">
        <v>1</v>
      </c>
      <c r="AS20" s="152" t="n">
        <v>13409</v>
      </c>
    </row>
    <row r="21" ht="13.2" customHeight="1">
      <c r="A21" s="130" t="n"/>
      <c r="B21" s="130" t="n"/>
      <c r="C21" s="130" t="n"/>
      <c r="D21" s="130" t="n"/>
      <c r="E21" s="130" t="n"/>
      <c r="F21" s="127" t="n"/>
      <c r="G21" s="21" t="n"/>
      <c r="H21" s="137" t="n"/>
      <c r="I21" s="131" t="n"/>
      <c r="J21" s="35" t="n"/>
      <c r="K21" s="111">
        <f>J21-L21</f>
        <v/>
      </c>
      <c r="L21" s="35" t="n"/>
      <c r="M21" s="21" t="n"/>
      <c r="N21" s="293">
        <f>IF(A21&lt;&gt;"",IF(K21&lt;&gt;0,P21/K21,0),0)</f>
        <v/>
      </c>
      <c r="O21" s="35">
        <f>IF(K21&lt;&gt;0,IF((P21/K21)&gt;0.1,(P21/K21)*J21,0),0)</f>
        <v/>
      </c>
      <c r="P21" s="35" t="n"/>
      <c r="Q21" s="143">
        <f>IF(A21&lt;&gt;"",O21-P21,0)</f>
        <v/>
      </c>
      <c r="R21" s="21" t="n"/>
      <c r="S21" s="110" t="n"/>
      <c r="T21" s="111" t="n"/>
      <c r="U21" s="143">
        <f>IF(A21&lt;&gt;"",S21-T21,0)</f>
        <v/>
      </c>
      <c r="V21" s="39" t="n"/>
      <c r="W21" s="110">
        <f>IF(A21&lt;&gt;"",O21-S21,0)</f>
        <v/>
      </c>
      <c r="X21" s="111">
        <f>IF(A21&lt;&gt;"",P21-T21,0)</f>
        <v/>
      </c>
      <c r="Y21" s="143">
        <f>IF(A21&lt;&gt;"",W21-X21,0)</f>
        <v/>
      </c>
      <c r="Z21" s="39" t="n"/>
      <c r="AA21" s="110">
        <f>IF(A21&lt;&gt;"",J21-O21,0)</f>
        <v/>
      </c>
      <c r="AB21" s="111">
        <f>IF(A21&lt;&gt;"",K21-P21,0)</f>
        <v/>
      </c>
      <c r="AC21" s="143">
        <f>IF(A21&lt;&gt;"",AA21-AB21,0)</f>
        <v/>
      </c>
      <c r="AE21" s="35" t="n"/>
      <c r="AF21" s="67">
        <f>IF(A21&lt;&gt; "",IF(O21-AE21&gt;=0,O21-AE21,0),0)</f>
        <v/>
      </c>
      <c r="AG21" s="67">
        <f>IF(A21&lt;&gt; "",IF(O21-AE21&lt;=0,O21-AE21,0),0)</f>
        <v/>
      </c>
      <c r="AH21" s="1" t="n"/>
      <c r="AL21" s="1" t="n"/>
      <c r="AM21" s="1" t="n"/>
      <c r="AR21" t="n">
        <v>1</v>
      </c>
      <c r="AS21" s="152" t="n">
        <v>13409</v>
      </c>
    </row>
    <row r="22" ht="13.2" customHeight="1">
      <c r="A22" s="130" t="n"/>
      <c r="B22" s="130" t="n"/>
      <c r="C22" s="130" t="n"/>
      <c r="D22" s="130" t="n"/>
      <c r="E22" s="130" t="n"/>
      <c r="F22" s="127" t="n"/>
      <c r="G22" s="21" t="n"/>
      <c r="H22" s="137" t="n"/>
      <c r="I22" s="131" t="n"/>
      <c r="J22" s="35" t="n"/>
      <c r="K22" s="111">
        <f>J22-L22</f>
        <v/>
      </c>
      <c r="L22" s="35" t="n"/>
      <c r="M22" s="21" t="n"/>
      <c r="N22" s="293">
        <f>IF(A22&lt;&gt;"",IF(K22&lt;&gt;0,P22/K22,0),0)</f>
        <v/>
      </c>
      <c r="O22" s="35">
        <f>IF(K22&lt;&gt;0,IF((P22/K22)&gt;0.1,(P22/K22)*J22,0),0)</f>
        <v/>
      </c>
      <c r="P22" s="35" t="n"/>
      <c r="Q22" s="143">
        <f>IF(A22&lt;&gt;"",O22-P22,0)</f>
        <v/>
      </c>
      <c r="R22" s="21" t="n"/>
      <c r="S22" s="110" t="n"/>
      <c r="T22" s="111" t="n"/>
      <c r="U22" s="143">
        <f>IF(A22&lt;&gt;"",S22-T22,0)</f>
        <v/>
      </c>
      <c r="V22" s="39" t="n"/>
      <c r="W22" s="110">
        <f>IF(A22&lt;&gt;"",O22-S22,0)</f>
        <v/>
      </c>
      <c r="X22" s="111">
        <f>IF(A22&lt;&gt;"",P22-T22,0)</f>
        <v/>
      </c>
      <c r="Y22" s="143">
        <f>IF(A22&lt;&gt;"",W22-X22,0)</f>
        <v/>
      </c>
      <c r="Z22" s="39" t="n"/>
      <c r="AA22" s="110">
        <f>IF(A22&lt;&gt;"",J22-O22,0)</f>
        <v/>
      </c>
      <c r="AB22" s="111">
        <f>IF(A22&lt;&gt;"",K22-P22,0)</f>
        <v/>
      </c>
      <c r="AC22" s="143">
        <f>IF(A22&lt;&gt;"",AA22-AB22,0)</f>
        <v/>
      </c>
      <c r="AE22" s="35" t="n"/>
      <c r="AF22" s="67">
        <f>IF(A22&lt;&gt; "",IF(O22-AE22&gt;=0,O22-AE22,0),0)</f>
        <v/>
      </c>
      <c r="AG22" s="67">
        <f>IF(A22&lt;&gt; "",IF(O22-AE22&lt;=0,O22-AE22,0),0)</f>
        <v/>
      </c>
      <c r="AH22" s="1" t="n"/>
      <c r="AL22" s="1" t="n"/>
      <c r="AM22" s="1" t="n"/>
      <c r="AR22" t="n">
        <v>1</v>
      </c>
      <c r="AS22" s="152" t="inlineStr">
        <is>
          <t>000000000001362F</t>
        </is>
      </c>
    </row>
    <row r="23" ht="13.2" customHeight="1">
      <c r="A23" s="130" t="n"/>
      <c r="B23" s="130" t="n"/>
      <c r="C23" s="130" t="n"/>
      <c r="D23" s="130" t="n"/>
      <c r="E23" s="130" t="n"/>
      <c r="F23" s="127" t="n"/>
      <c r="G23" s="21" t="n"/>
      <c r="H23" s="137" t="n"/>
      <c r="I23" s="131" t="n"/>
      <c r="J23" s="35" t="n"/>
      <c r="K23" s="111">
        <f>J23-L23</f>
        <v/>
      </c>
      <c r="L23" s="35" t="n"/>
      <c r="M23" s="21" t="n"/>
      <c r="N23" s="293">
        <f>IF(A23&lt;&gt;"",IF(K23&lt;&gt;0,P23/K23,0),0)</f>
        <v/>
      </c>
      <c r="O23" s="35">
        <f>IF(K23&lt;&gt;0,IF((P23/K23)&gt;0.1,(P23/K23)*J23,0),0)</f>
        <v/>
      </c>
      <c r="P23" s="35" t="n"/>
      <c r="Q23" s="143">
        <f>IF(A23&lt;&gt;"",O23-P23,0)</f>
        <v/>
      </c>
      <c r="R23" s="21" t="n"/>
      <c r="S23" s="110" t="n"/>
      <c r="T23" s="111" t="n"/>
      <c r="U23" s="143">
        <f>IF(A23&lt;&gt;"",S23-T23,0)</f>
        <v/>
      </c>
      <c r="V23" s="39" t="n"/>
      <c r="W23" s="110">
        <f>IF(A23&lt;&gt;"",O23-S23,0)</f>
        <v/>
      </c>
      <c r="X23" s="111">
        <f>IF(A23&lt;&gt;"",P23-T23,0)</f>
        <v/>
      </c>
      <c r="Y23" s="143">
        <f>IF(A23&lt;&gt;"",W23-X23,0)</f>
        <v/>
      </c>
      <c r="Z23" s="39" t="n"/>
      <c r="AA23" s="110">
        <f>IF(A23&lt;&gt;"",J23-O23,0)</f>
        <v/>
      </c>
      <c r="AB23" s="111">
        <f>IF(A23&lt;&gt;"",K23-P23,0)</f>
        <v/>
      </c>
      <c r="AC23" s="143">
        <f>IF(A23&lt;&gt;"",AA23-AB23,0)</f>
        <v/>
      </c>
      <c r="AE23" s="35" t="n"/>
      <c r="AF23" s="67">
        <f>IF(A23&lt;&gt; "",IF(O23-AE23&gt;=0,O23-AE23,0),0)</f>
        <v/>
      </c>
      <c r="AG23" s="67">
        <f>IF(A23&lt;&gt; "",IF(O23-AE23&lt;=0,O23-AE23,0),0)</f>
        <v/>
      </c>
      <c r="AH23" s="1" t="n"/>
      <c r="AL23" s="1" t="n"/>
      <c r="AM23" s="1" t="n"/>
      <c r="AR23" t="n">
        <v>1</v>
      </c>
      <c r="AS23" s="152" t="inlineStr">
        <is>
          <t>000000000001362F</t>
        </is>
      </c>
    </row>
    <row r="24" ht="13.2" customHeight="1">
      <c r="A24" s="130" t="n"/>
      <c r="B24" s="130" t="n"/>
      <c r="C24" s="130" t="n"/>
      <c r="D24" s="130" t="n"/>
      <c r="E24" s="130" t="n"/>
      <c r="F24" s="127" t="n"/>
      <c r="G24" s="21" t="n"/>
      <c r="H24" s="137" t="n"/>
      <c r="I24" s="131" t="n"/>
      <c r="J24" s="35" t="n"/>
      <c r="K24" s="111">
        <f>J24-L24</f>
        <v/>
      </c>
      <c r="L24" s="35" t="n"/>
      <c r="M24" s="21" t="n"/>
      <c r="N24" s="293">
        <f>IF(A24&lt;&gt;"",IF(K24&lt;&gt;0,P24/K24,0),0)</f>
        <v/>
      </c>
      <c r="O24" s="35">
        <f>IF(K24&lt;&gt;0,IF((P24/K24)&gt;0.1,(P24/K24)*J24,0),0)</f>
        <v/>
      </c>
      <c r="P24" s="35" t="n"/>
      <c r="Q24" s="143">
        <f>IF(A24&lt;&gt;"",O24-P24,0)</f>
        <v/>
      </c>
      <c r="R24" s="21" t="n"/>
      <c r="S24" s="110" t="n"/>
      <c r="T24" s="111" t="n"/>
      <c r="U24" s="143">
        <f>IF(A24&lt;&gt;"",S24-T24,0)</f>
        <v/>
      </c>
      <c r="V24" s="39" t="n"/>
      <c r="W24" s="110">
        <f>IF(A24&lt;&gt;"",O24-S24,0)</f>
        <v/>
      </c>
      <c r="X24" s="111">
        <f>IF(A24&lt;&gt;"",P24-T24,0)</f>
        <v/>
      </c>
      <c r="Y24" s="143">
        <f>IF(A24&lt;&gt;"",W24-X24,0)</f>
        <v/>
      </c>
      <c r="Z24" s="39" t="n"/>
      <c r="AA24" s="110">
        <f>IF(A24&lt;&gt;"",J24-O24,0)</f>
        <v/>
      </c>
      <c r="AB24" s="111">
        <f>IF(A24&lt;&gt;"",K24-P24,0)</f>
        <v/>
      </c>
      <c r="AC24" s="143">
        <f>IF(A24&lt;&gt;"",AA24-AB24,0)</f>
        <v/>
      </c>
      <c r="AE24" s="35" t="n"/>
      <c r="AF24" s="67">
        <f>IF(A24&lt;&gt; "",IF(O24-AE24&gt;=0,O24-AE24,0),0)</f>
        <v/>
      </c>
      <c r="AG24" s="67">
        <f>IF(A24&lt;&gt; "",IF(O24-AE24&lt;=0,O24-AE24,0),0)</f>
        <v/>
      </c>
      <c r="AH24" s="1" t="n"/>
      <c r="AL24" s="1" t="n"/>
      <c r="AM24" s="1" t="n"/>
      <c r="AR24" t="n">
        <v>1</v>
      </c>
      <c r="AS24" s="152" t="inlineStr">
        <is>
          <t>000000000001362F</t>
        </is>
      </c>
    </row>
    <row r="25" ht="13.2" customHeight="1">
      <c r="A25" s="130" t="n"/>
      <c r="B25" s="130" t="n"/>
      <c r="C25" s="130" t="n"/>
      <c r="D25" s="130" t="n"/>
      <c r="E25" s="130" t="n"/>
      <c r="F25" s="127" t="n"/>
      <c r="G25" s="21" t="n"/>
      <c r="H25" s="137" t="n"/>
      <c r="I25" s="131" t="n"/>
      <c r="J25" s="35" t="n"/>
      <c r="K25" s="111">
        <f>J25-L25</f>
        <v/>
      </c>
      <c r="L25" s="35" t="n"/>
      <c r="M25" s="21" t="n"/>
      <c r="N25" s="293">
        <f>IF(A25&lt;&gt;"",IF(K25&lt;&gt;0,P25/K25,0),0)</f>
        <v/>
      </c>
      <c r="O25" s="35">
        <f>IF(K25&lt;&gt;0,IF((P25/K25)&gt;0.1,(P25/K25)*J25,0),0)</f>
        <v/>
      </c>
      <c r="P25" s="35" t="n"/>
      <c r="Q25" s="143">
        <f>IF(A25&lt;&gt;"",O25-P25,0)</f>
        <v/>
      </c>
      <c r="R25" s="21" t="n"/>
      <c r="S25" s="110" t="n"/>
      <c r="T25" s="111" t="n"/>
      <c r="U25" s="143">
        <f>IF(A25&lt;&gt;"",S25-T25,0)</f>
        <v/>
      </c>
      <c r="V25" s="39" t="n"/>
      <c r="W25" s="110">
        <f>IF(A25&lt;&gt;"",O25-S25,0)</f>
        <v/>
      </c>
      <c r="X25" s="111">
        <f>IF(A25&lt;&gt;"",P25-T25,0)</f>
        <v/>
      </c>
      <c r="Y25" s="143">
        <f>IF(A25&lt;&gt;"",W25-X25,0)</f>
        <v/>
      </c>
      <c r="Z25" s="39" t="n"/>
      <c r="AA25" s="110">
        <f>IF(A25&lt;&gt;"",J25-O25,0)</f>
        <v/>
      </c>
      <c r="AB25" s="111">
        <f>IF(A25&lt;&gt;"",K25-P25,0)</f>
        <v/>
      </c>
      <c r="AC25" s="143">
        <f>IF(A25&lt;&gt;"",AA25-AB25,0)</f>
        <v/>
      </c>
      <c r="AE25" s="35" t="n"/>
      <c r="AF25" s="67">
        <f>IF(A25&lt;&gt; "",IF(O25-AE25&gt;=0,O25-AE25,0),0)</f>
        <v/>
      </c>
      <c r="AG25" s="67">
        <f>IF(A25&lt;&gt; "",IF(O25-AE25&lt;=0,O25-AE25,0),0)</f>
        <v/>
      </c>
      <c r="AH25" s="1" t="n"/>
      <c r="AL25" s="1" t="n"/>
      <c r="AM25" s="1" t="n"/>
      <c r="AR25" t="n">
        <v>1</v>
      </c>
      <c r="AS25" t="inlineStr">
        <is>
          <t>000000000001362F</t>
        </is>
      </c>
    </row>
    <row r="26" ht="13.2" customHeight="1">
      <c r="A26" s="130" t="n"/>
      <c r="B26" s="130" t="n"/>
      <c r="C26" s="130" t="n"/>
      <c r="D26" s="130" t="n"/>
      <c r="E26" s="130" t="n"/>
      <c r="F26" s="127" t="n"/>
      <c r="G26" s="21" t="n"/>
      <c r="H26" s="137" t="n"/>
      <c r="I26" s="131" t="n"/>
      <c r="J26" s="35" t="n"/>
      <c r="K26" s="111">
        <f>J26-L26</f>
        <v/>
      </c>
      <c r="L26" s="35" t="n"/>
      <c r="M26" s="21" t="n"/>
      <c r="N26" s="293">
        <f>IF(A26&lt;&gt;"",IF(K26&lt;&gt;0,P26/K26,0),0)</f>
        <v/>
      </c>
      <c r="O26" s="35">
        <f>IF(K26&lt;&gt;0,IF((P26/K26)&gt;0.1,(P26/K26)*J26,0),0)</f>
        <v/>
      </c>
      <c r="P26" s="35" t="n"/>
      <c r="Q26" s="143">
        <f>IF(A26&lt;&gt;"",O26-P26,0)</f>
        <v/>
      </c>
      <c r="R26" s="21" t="n"/>
      <c r="S26" s="110" t="n"/>
      <c r="T26" s="111" t="n"/>
      <c r="U26" s="143">
        <f>IF(A26&lt;&gt;"",S26-T26,0)</f>
        <v/>
      </c>
      <c r="V26" s="39" t="n"/>
      <c r="W26" s="110">
        <f>IF(A26&lt;&gt;"",O26-S26,0)</f>
        <v/>
      </c>
      <c r="X26" s="111">
        <f>IF(A26&lt;&gt;"",P26-T26,0)</f>
        <v/>
      </c>
      <c r="Y26" s="143">
        <f>IF(A26&lt;&gt;"",W26-X26,0)</f>
        <v/>
      </c>
      <c r="Z26" s="39" t="n"/>
      <c r="AA26" s="110">
        <f>IF(A26&lt;&gt;"",J26-O26,0)</f>
        <v/>
      </c>
      <c r="AB26" s="111">
        <f>IF(A26&lt;&gt;"",K26-P26,0)</f>
        <v/>
      </c>
      <c r="AC26" s="143">
        <f>IF(A26&lt;&gt;"",AA26-AB26,0)</f>
        <v/>
      </c>
      <c r="AE26" s="35" t="n"/>
      <c r="AF26" s="67">
        <f>IF(A26&lt;&gt; "",IF(O26-AE26&gt;=0,O26-AE26,0),0)</f>
        <v/>
      </c>
      <c r="AG26" s="67">
        <f>IF(A26&lt;&gt; "",IF(O26-AE26&lt;=0,O26-AE26,0),0)</f>
        <v/>
      </c>
      <c r="AH26" s="1" t="n"/>
      <c r="AL26" s="1" t="n"/>
      <c r="AM26" s="1" t="n"/>
      <c r="AR26" t="n">
        <v>1</v>
      </c>
      <c r="AS26" t="inlineStr">
        <is>
          <t>000000000001362F</t>
        </is>
      </c>
    </row>
    <row r="27" ht="25.2" customHeight="1">
      <c r="A27" s="297" t="inlineStr">
        <is>
          <t>551090</t>
        </is>
      </c>
      <c r="B27" s="263" t="n"/>
      <c r="C27" s="263" t="n"/>
      <c r="D27" s="263" t="n"/>
      <c r="E27" s="263" t="n"/>
      <c r="F27" s="264" t="n"/>
      <c r="G27" s="21" t="n"/>
      <c r="H27" s="137" t="n"/>
      <c r="I27" s="137" t="n"/>
      <c r="J27" s="142" t="n"/>
      <c r="K27" s="111">
        <f>J27-L27</f>
        <v/>
      </c>
      <c r="L27" s="142" t="n"/>
      <c r="M27" s="21" t="n"/>
      <c r="N27" s="293">
        <f>IF(A27&lt;&gt;"",IF(K27&lt;&gt;0,P27/K27,0),0)</f>
        <v/>
      </c>
      <c r="O27" s="142">
        <f>IF(K27&lt;&gt;0,IF((W27/K27)&gt;0.1,(W27/K27)*5,0),0)</f>
        <v/>
      </c>
      <c r="P27" s="142" t="n"/>
      <c r="Q27" s="143">
        <f>IF(A27&lt;&gt;"",O27-P27,0)</f>
        <v/>
      </c>
      <c r="R27" s="21" t="n"/>
      <c r="S27" s="110" t="n"/>
      <c r="T27" s="111" t="n"/>
      <c r="U27" s="143">
        <f>IF(A27&lt;&gt;"",S27-T27,0)</f>
        <v/>
      </c>
      <c r="V27" s="39" t="n"/>
      <c r="W27" s="110">
        <f>IF(A27&lt;&gt;"",O27-S27,0)</f>
        <v/>
      </c>
      <c r="X27" s="111">
        <f>IF(A27&lt;&gt;"",P27-T27,0)</f>
        <v/>
      </c>
      <c r="Y27" s="143">
        <f>IF(A27&lt;&gt;"",W27-X27,0)</f>
        <v/>
      </c>
      <c r="Z27" s="39" t="n"/>
      <c r="AA27" s="110">
        <f>IF(A27&lt;&gt;"",J27-O27,0)</f>
        <v/>
      </c>
      <c r="AB27" s="111">
        <f>IF(A27&lt;&gt;"",K27-P27,0)</f>
        <v/>
      </c>
      <c r="AC27" s="143">
        <f>IF(A27&lt;&gt;"",AA27-AB27,0)</f>
        <v/>
      </c>
      <c r="AE27" s="142" t="n"/>
      <c r="AF27" s="67">
        <f>IF(A27&lt;&gt; "",IF(O27-AE27&gt;=0,O27-AE27,0),0)</f>
        <v/>
      </c>
      <c r="AG27" s="67">
        <f>IF(A27&lt;&gt; "",IF(O27-AE27&lt;=0,O27-AE27,0),0)</f>
        <v/>
      </c>
      <c r="AH27" s="1" t="n"/>
      <c r="AL27" s="1" t="n"/>
      <c r="AM27" s="1" t="n"/>
      <c r="AR27" t="n">
        <v>1</v>
      </c>
      <c r="AS27" s="152" t="n">
        <v>13639</v>
      </c>
    </row>
    <row r="28" ht="13.2" customHeight="1">
      <c r="A28" s="130" t="inlineStr">
        <is>
          <t>551090</t>
        </is>
      </c>
      <c r="B28" s="130" t="inlineStr">
        <is>
          <t>55.1090.</t>
        </is>
      </c>
      <c r="C28" s="130" t="n"/>
      <c r="D28" s="130" t="inlineStr">
        <is>
          <t>LADWP Silverlake Storage Replacement Project</t>
        </is>
      </c>
      <c r="E28" s="130" t="inlineStr">
        <is>
          <t>Webcor, Obayashi, &amp; Lyles</t>
        </is>
      </c>
      <c r="F28" s="298" t="n">
        <v>0.25</v>
      </c>
      <c r="G28" s="21" t="n"/>
      <c r="H28" s="137" t="n"/>
      <c r="I28" s="137" t="n"/>
      <c r="J28" s="142" t="n"/>
      <c r="K28" s="111">
        <f>J28-L28</f>
        <v/>
      </c>
      <c r="L28" s="142" t="n"/>
      <c r="M28" s="21" t="n"/>
      <c r="N28" s="293">
        <f>IF(A28&lt;&gt;"",IF(K28&lt;&gt;0,P28/K28,0),0)</f>
        <v/>
      </c>
      <c r="O28" s="142">
        <f>IF(K28&lt;&gt;0,IF((W28/K28)&gt;0.1,(W28/K28)*5,0),0)</f>
        <v/>
      </c>
      <c r="P28" s="142" t="n"/>
      <c r="Q28" s="143">
        <f>IF(A28&lt;&gt;"",O28-P28,0)</f>
        <v/>
      </c>
      <c r="R28" s="21" t="n"/>
      <c r="S28" s="110" t="n"/>
      <c r="T28" s="111" t="n"/>
      <c r="U28" s="143">
        <f>IF(A28&lt;&gt;"",S28-T28,0)</f>
        <v/>
      </c>
      <c r="V28" s="39" t="n"/>
      <c r="W28" s="110">
        <f>IF(A28&lt;&gt;"",O28-S28,0)</f>
        <v/>
      </c>
      <c r="X28" s="111">
        <f>IF(A28&lt;&gt;"",P28-T28,0)</f>
        <v/>
      </c>
      <c r="Y28" s="143">
        <f>IF(A28&lt;&gt;"",W28-X28,0)</f>
        <v/>
      </c>
      <c r="Z28" s="39" t="n"/>
      <c r="AA28" s="110">
        <f>IF(A28&lt;&gt;"",J28-O28,0)</f>
        <v/>
      </c>
      <c r="AB28" s="111">
        <f>IF(A28&lt;&gt;"",K28-P28,0)</f>
        <v/>
      </c>
      <c r="AC28" s="143">
        <f>IF(A28&lt;&gt;"",AA28-AB28,0)</f>
        <v/>
      </c>
      <c r="AE28" s="142" t="n"/>
      <c r="AF28" s="67">
        <f>IF(A28&lt;&gt; "",IF(O28-AE28&gt;=0,O28-AE28,0),0)</f>
        <v/>
      </c>
      <c r="AG28" s="67">
        <f>IF(A28&lt;&gt; "",IF(O28-AE28&lt;=0,O28-AE28,0),0)</f>
        <v/>
      </c>
      <c r="AH28" s="1" t="n"/>
      <c r="AL28" s="1" t="n"/>
      <c r="AM28" s="1" t="n"/>
      <c r="AR28" t="n">
        <v>1</v>
      </c>
      <c r="AS28" s="152" t="n">
        <v>13639</v>
      </c>
    </row>
    <row r="29" ht="13.2" customHeight="1">
      <c r="A29" s="299" t="n">
        <v>551090</v>
      </c>
      <c r="B29" s="299" t="inlineStr">
        <is>
          <t>55.1090.</t>
        </is>
      </c>
      <c r="C29" s="299" t="n"/>
      <c r="D29" s="300" t="inlineStr">
        <is>
          <t>LADWP Silverlake Storage Replacement Project</t>
        </is>
      </c>
      <c r="E29" s="300" t="inlineStr">
        <is>
          <t>Webcor, Obayashi, &amp; Lyles</t>
        </is>
      </c>
      <c r="F29" s="298" t="n">
        <v>0.25</v>
      </c>
      <c r="G29" s="21" t="n"/>
      <c r="H29" s="137" t="n"/>
      <c r="I29" s="137" t="n"/>
      <c r="J29" s="142" t="n"/>
      <c r="K29" s="111">
        <f>J29-L29</f>
        <v/>
      </c>
      <c r="L29" s="142" t="n"/>
      <c r="M29" s="21" t="n"/>
      <c r="N29" s="293">
        <f>N7</f>
        <v/>
      </c>
      <c r="O29" s="142">
        <f>O7*F7</f>
        <v/>
      </c>
      <c r="P29" s="142" t="n"/>
      <c r="Q29" s="143">
        <f>IF(A29&lt;&gt;"",O29-P29,0)</f>
        <v/>
      </c>
      <c r="R29" s="21" t="n"/>
      <c r="S29" s="110" t="n"/>
      <c r="T29" s="111" t="n"/>
      <c r="U29" s="143">
        <f>IF(A29&lt;&gt;"",S29-T29,0)</f>
        <v/>
      </c>
      <c r="V29" s="39" t="n"/>
      <c r="W29" s="110">
        <f>IF(A29&lt;&gt;"",O29-S29,0)</f>
        <v/>
      </c>
      <c r="X29" s="111">
        <f>IF(A29&lt;&gt;"",P29-T29,0)</f>
        <v/>
      </c>
      <c r="Y29" s="143">
        <f>IF(A29&lt;&gt;"",W29-X29,0)</f>
        <v/>
      </c>
      <c r="Z29" s="39" t="n"/>
      <c r="AA29" s="110">
        <f>IF(A29&lt;&gt;"",J29-O29,0)</f>
        <v/>
      </c>
      <c r="AB29" s="111">
        <f>IF(A29&lt;&gt;"",K29-P29,0)</f>
        <v/>
      </c>
      <c r="AC29" s="143">
        <f>IF(A29&lt;&gt;"",AA29-AB29,0)</f>
        <v/>
      </c>
      <c r="AE29" s="142" t="n"/>
      <c r="AF29" s="67">
        <f>IF(A29&lt;&gt; "",IF(O29-AE29&gt;=0,O29-AE29,0),0)</f>
        <v/>
      </c>
      <c r="AG29" s="67">
        <f>IF(A29&lt;&gt; "",IF(O29-AE29&lt;=0,O29-AE29,0),0)</f>
        <v/>
      </c>
      <c r="AH29" s="1" t="n"/>
      <c r="AL29" s="1" t="n"/>
      <c r="AM29" s="1" t="n"/>
      <c r="AR29" t="n">
        <v>1</v>
      </c>
      <c r="AS29" s="152" t="n">
        <v>13639</v>
      </c>
    </row>
    <row r="30" ht="13.2" customHeight="1">
      <c r="A30" s="299" t="n">
        <v>551090</v>
      </c>
      <c r="B30" s="299" t="inlineStr">
        <is>
          <t>55.1090.</t>
        </is>
      </c>
      <c r="C30" s="299" t="n"/>
      <c r="D30" s="300" t="inlineStr">
        <is>
          <t>LADWP Silverlake Storage Replacement Project</t>
        </is>
      </c>
      <c r="E30" s="300" t="inlineStr">
        <is>
          <t>Webcor, Obayashi, &amp; Lyles</t>
        </is>
      </c>
      <c r="F30" s="298" t="n">
        <v>0.25</v>
      </c>
      <c r="G30" s="21" t="n"/>
      <c r="H30" s="137" t="n"/>
      <c r="I30" s="137" t="n"/>
      <c r="J30" s="142" t="n"/>
      <c r="K30" s="111">
        <f>J30-L30</f>
        <v/>
      </c>
      <c r="L30" s="142" t="n"/>
      <c r="M30" s="21" t="n"/>
      <c r="N30" s="293">
        <f>IF(A30&lt;&gt;"",IF(K30&lt;&gt;0,P30/K30,0),0)</f>
        <v/>
      </c>
      <c r="O30" s="142">
        <f>O8*F8</f>
        <v/>
      </c>
      <c r="P30" s="142" t="n"/>
      <c r="Q30" s="143">
        <f>IF(A30&lt;&gt;"",O30-P30,0)</f>
        <v/>
      </c>
      <c r="R30" s="21" t="n"/>
      <c r="S30" s="110" t="n"/>
      <c r="T30" s="111" t="n"/>
      <c r="U30" s="143">
        <f>IF(A30&lt;&gt;"",S30-T30,0)</f>
        <v/>
      </c>
      <c r="V30" s="39" t="n"/>
      <c r="W30" s="110">
        <f>IF(A30&lt;&gt;"",O30-S30,0)</f>
        <v/>
      </c>
      <c r="X30" s="111">
        <f>IF(A30&lt;&gt;"",P30-T30,0)</f>
        <v/>
      </c>
      <c r="Y30" s="143">
        <f>IF(A30&lt;&gt;"",W30-X30,0)</f>
        <v/>
      </c>
      <c r="Z30" s="39" t="n"/>
      <c r="AA30" s="110">
        <f>IF(A30&lt;&gt;"",J30-O30,0)</f>
        <v/>
      </c>
      <c r="AB30" s="111">
        <f>IF(A30&lt;&gt;"",K30-P30,0)</f>
        <v/>
      </c>
      <c r="AC30" s="143">
        <f>IF(A30&lt;&gt;"",AA30-AB30,0)</f>
        <v/>
      </c>
      <c r="AE30" s="142" t="n"/>
      <c r="AF30" s="67">
        <f>IF(A30&lt;&gt; "",IF(O30-AE30&gt;=0,O30-AE30,0),0)</f>
        <v/>
      </c>
      <c r="AG30" s="67">
        <f>IF(A30&lt;&gt; "",IF(O30-AE30&lt;=0,O30-AE30,0),0)</f>
        <v/>
      </c>
      <c r="AH30" s="1" t="n"/>
      <c r="AL30" s="1" t="n"/>
      <c r="AM30" s="1" t="n"/>
      <c r="AR30" t="n">
        <v>1</v>
      </c>
      <c r="AS30" s="152" t="n">
        <v>13639</v>
      </c>
    </row>
    <row r="31" ht="13.2" customHeight="1">
      <c r="A31" s="299" t="n">
        <v>551090</v>
      </c>
      <c r="B31" s="299" t="inlineStr">
        <is>
          <t>55.1090.</t>
        </is>
      </c>
      <c r="C31" s="299" t="n"/>
      <c r="D31" s="300" t="inlineStr">
        <is>
          <t>LADWP Silverlake Storage Replacement Project</t>
        </is>
      </c>
      <c r="E31" s="300" t="inlineStr">
        <is>
          <t>Webcor, Obayashi, &amp; Lyles</t>
        </is>
      </c>
      <c r="F31" s="298" t="n">
        <v>0.25</v>
      </c>
      <c r="G31" s="21" t="n"/>
      <c r="H31" s="137" t="n"/>
      <c r="I31" s="137" t="n"/>
      <c r="J31" s="142" t="n"/>
      <c r="K31" s="111">
        <f>J31-L31</f>
        <v/>
      </c>
      <c r="L31" s="142" t="n"/>
      <c r="M31" s="21" t="n"/>
      <c r="N31" s="293">
        <f>IF(A31&lt;&gt;"",IF(K31&lt;&gt;0,P31/K31,0),0)</f>
        <v/>
      </c>
      <c r="O31" s="142">
        <f>O9*F9</f>
        <v/>
      </c>
      <c r="P31" s="142" t="n"/>
      <c r="Q31" s="143">
        <f>IF(A31&lt;&gt;"",O31-P31,0)</f>
        <v/>
      </c>
      <c r="R31" s="21" t="n"/>
      <c r="S31" s="110" t="n"/>
      <c r="T31" s="111" t="n"/>
      <c r="U31" s="143">
        <f>IF(A31&lt;&gt;"",S31-T31,0)</f>
        <v/>
      </c>
      <c r="V31" s="39" t="n"/>
      <c r="W31" s="110">
        <f>IF(A31&lt;&gt;"",O31-S31,0)</f>
        <v/>
      </c>
      <c r="X31" s="111">
        <f>IF(A31&lt;&gt;"",P31-T31,0)</f>
        <v/>
      </c>
      <c r="Y31" s="143">
        <f>IF(A31&lt;&gt;"",W31-X31,0)</f>
        <v/>
      </c>
      <c r="Z31" s="39" t="n"/>
      <c r="AA31" s="110">
        <f>IF(A31&lt;&gt;"",J31-O31,0)</f>
        <v/>
      </c>
      <c r="AB31" s="111">
        <f>IF(A31&lt;&gt;"",K31-P31,0)</f>
        <v/>
      </c>
      <c r="AC31" s="143">
        <f>IF(A31&lt;&gt;"",AA31-AB31,0)</f>
        <v/>
      </c>
      <c r="AE31" s="142" t="n"/>
      <c r="AF31" s="67">
        <f>IF(A31&lt;&gt; "",IF(O31-AE31&gt;=0,O31-AE31,0),0)</f>
        <v/>
      </c>
      <c r="AG31" s="67">
        <f>IF(A31&lt;&gt; "",IF(O31-AE31&lt;=0,O31-AE31,0),0)</f>
        <v/>
      </c>
      <c r="AH31" s="1" t="n"/>
      <c r="AL31" s="1" t="n"/>
      <c r="AM31" s="1" t="n"/>
      <c r="AR31" t="n">
        <v>1</v>
      </c>
      <c r="AS31" s="152" t="n">
        <v>13639</v>
      </c>
    </row>
    <row r="32" ht="13.2" customHeight="1">
      <c r="A32" s="299" t="n">
        <v>60604672</v>
      </c>
      <c r="B32" s="299" t="inlineStr">
        <is>
          <t>51.1108.</t>
        </is>
      </c>
      <c r="C32" s="299" t="inlineStr">
        <is>
          <t>51.1109.</t>
        </is>
      </c>
      <c r="D32" s="300" t="inlineStr">
        <is>
          <t>Stockton - RWCF Phase 2A/2B</t>
        </is>
      </c>
      <c r="E32" s="300" t="inlineStr">
        <is>
          <t>AECOM Infrastructure &amp; WML</t>
        </is>
      </c>
      <c r="F32" s="298" t="n">
        <v>0.5</v>
      </c>
      <c r="G32" s="21" t="n"/>
      <c r="H32" s="137" t="n"/>
      <c r="I32" s="137" t="n"/>
      <c r="J32" s="142" t="n"/>
      <c r="K32" s="111">
        <f>J32-L32</f>
        <v/>
      </c>
      <c r="L32" s="142" t="n"/>
      <c r="M32" s="21" t="n"/>
      <c r="N32" s="293">
        <f>IF(A32&lt;&gt;"",IF(K32&lt;&gt;0,P32/K32,0),0)</f>
        <v/>
      </c>
      <c r="O32" s="142">
        <f>O10*F10</f>
        <v/>
      </c>
      <c r="P32" s="142" t="n"/>
      <c r="Q32" s="143">
        <f>IF(A32&lt;&gt;"",O32-P32,0)</f>
        <v/>
      </c>
      <c r="R32" s="21" t="n"/>
      <c r="S32" s="110" t="n"/>
      <c r="T32" s="111" t="n"/>
      <c r="U32" s="143">
        <f>IF(A32&lt;&gt;"",S32-T32,0)</f>
        <v/>
      </c>
      <c r="V32" s="39" t="n"/>
      <c r="W32" s="110">
        <f>IF(A32&lt;&gt;"",O32-S32,0)</f>
        <v/>
      </c>
      <c r="X32" s="111">
        <f>IF(A32&lt;&gt;"",P32-T32,0)</f>
        <v/>
      </c>
      <c r="Y32" s="143">
        <f>IF(A32&lt;&gt;"",W32-X32,0)</f>
        <v/>
      </c>
      <c r="Z32" s="39" t="n"/>
      <c r="AA32" s="110">
        <f>IF(A32&lt;&gt;"",J32-O32,0)</f>
        <v/>
      </c>
      <c r="AB32" s="111">
        <f>IF(A32&lt;&gt;"",K32-P32,0)</f>
        <v/>
      </c>
      <c r="AC32" s="143">
        <f>IF(A32&lt;&gt;"",AA32-AB32,0)</f>
        <v/>
      </c>
      <c r="AE32" s="142" t="n"/>
      <c r="AF32" s="67">
        <f>IF(A32&lt;&gt; "",IF(O32-AE32&gt;=0,O32-AE32,0),0)</f>
        <v/>
      </c>
      <c r="AG32" s="67">
        <f>IF(A32&lt;&gt; "",IF(O32-AE32&lt;=0,O32-AE32,0),0)</f>
        <v/>
      </c>
      <c r="AH32" s="1" t="n"/>
      <c r="AL32" s="1" t="n"/>
      <c r="AM32" s="1" t="n"/>
      <c r="AR32" t="n">
        <v>2</v>
      </c>
      <c r="AS32" s="152" t="inlineStr">
        <is>
          <t>000000000001363A</t>
        </is>
      </c>
    </row>
    <row r="33" ht="13.2" customHeight="1">
      <c r="A33" s="299" t="n">
        <v>60604672</v>
      </c>
      <c r="B33" s="299" t="inlineStr">
        <is>
          <t>51.1108.</t>
        </is>
      </c>
      <c r="C33" s="299" t="inlineStr">
        <is>
          <t>51.1109.</t>
        </is>
      </c>
      <c r="D33" s="300" t="inlineStr">
        <is>
          <t>Stockton - RWCF Phase 2A/2B</t>
        </is>
      </c>
      <c r="E33" s="300" t="inlineStr">
        <is>
          <t>AECOM Infrastructure &amp; WML</t>
        </is>
      </c>
      <c r="F33" s="298" t="n">
        <v>0.5</v>
      </c>
      <c r="G33" s="21" t="n"/>
      <c r="H33" s="137" t="n"/>
      <c r="I33" s="137" t="n"/>
      <c r="J33" s="142" t="n"/>
      <c r="K33" s="111">
        <f>J33-L33</f>
        <v/>
      </c>
      <c r="L33" s="142" t="n"/>
      <c r="M33" s="21" t="n"/>
      <c r="N33" s="293">
        <f>IF(A33&lt;&gt;"",IF(K33&lt;&gt;0,P33/K33,0),0)</f>
        <v/>
      </c>
      <c r="O33" s="142">
        <f>O11*F11</f>
        <v/>
      </c>
      <c r="P33" s="142" t="n"/>
      <c r="Q33" s="143">
        <f>IF(A33&lt;&gt;"",O33-P33,0)</f>
        <v/>
      </c>
      <c r="R33" s="21" t="n"/>
      <c r="S33" s="110" t="n"/>
      <c r="T33" s="111" t="n"/>
      <c r="U33" s="143">
        <f>IF(A33&lt;&gt;"",S33-T33,0)</f>
        <v/>
      </c>
      <c r="V33" s="39" t="n"/>
      <c r="W33" s="110">
        <f>IF(A33&lt;&gt;"",O33-S33,0)</f>
        <v/>
      </c>
      <c r="X33" s="111">
        <f>IF(A33&lt;&gt;"",P33-T33,0)</f>
        <v/>
      </c>
      <c r="Y33" s="143">
        <f>IF(A33&lt;&gt;"",W33-X33,0)</f>
        <v/>
      </c>
      <c r="Z33" s="39" t="n"/>
      <c r="AA33" s="110">
        <f>IF(A33&lt;&gt;"",J33-O33,0)</f>
        <v/>
      </c>
      <c r="AB33" s="111">
        <f>IF(A33&lt;&gt;"",K33-P33,0)</f>
        <v/>
      </c>
      <c r="AC33" s="143">
        <f>IF(A33&lt;&gt;"",AA33-AB33,0)</f>
        <v/>
      </c>
      <c r="AE33" s="142" t="n"/>
      <c r="AF33" s="67">
        <f>IF(A33&lt;&gt; "",IF(O33-AE33&gt;=0,O33-AE33,0),0)</f>
        <v/>
      </c>
      <c r="AG33" s="67">
        <f>IF(A33&lt;&gt; "",IF(O33-AE33&lt;=0,O33-AE33,0),0)</f>
        <v/>
      </c>
      <c r="AH33" s="1" t="n"/>
      <c r="AL33" s="1" t="n"/>
      <c r="AM33" s="1" t="n"/>
      <c r="AR33" t="n">
        <v>2</v>
      </c>
      <c r="AS33" s="152" t="inlineStr">
        <is>
          <t>000000000001363A</t>
        </is>
      </c>
    </row>
    <row r="34" ht="13.2" customHeight="1">
      <c r="A34" s="299" t="n">
        <v>60604672</v>
      </c>
      <c r="B34" s="299" t="inlineStr">
        <is>
          <t>51.1108.</t>
        </is>
      </c>
      <c r="C34" s="299" t="inlineStr">
        <is>
          <t>51.1109.</t>
        </is>
      </c>
      <c r="D34" s="300" t="inlineStr">
        <is>
          <t>Stockton - RWCF Phase 2A/2B</t>
        </is>
      </c>
      <c r="E34" s="300" t="inlineStr">
        <is>
          <t>AECOM Infrastructure &amp; WML</t>
        </is>
      </c>
      <c r="F34" s="298" t="n">
        <v>0.5</v>
      </c>
      <c r="G34" s="21" t="n"/>
      <c r="H34" s="137" t="n"/>
      <c r="I34" s="137" t="n"/>
      <c r="J34" s="142" t="n"/>
      <c r="K34" s="111">
        <f>J34-L34</f>
        <v/>
      </c>
      <c r="L34" s="142" t="n"/>
      <c r="M34" s="21" t="n"/>
      <c r="N34" s="293">
        <f>IF(A34&lt;&gt;"",IF(K34&lt;&gt;0,P34/K34,0),0)</f>
        <v/>
      </c>
      <c r="O34" s="142">
        <f>O12*F12</f>
        <v/>
      </c>
      <c r="P34" s="142" t="n"/>
      <c r="Q34" s="143">
        <f>IF(A34&lt;&gt;"",O34-P34,0)</f>
        <v/>
      </c>
      <c r="R34" s="21" t="n"/>
      <c r="S34" s="110" t="n"/>
      <c r="T34" s="111" t="n"/>
      <c r="U34" s="143">
        <f>IF(A34&lt;&gt;"",S34-T34,0)</f>
        <v/>
      </c>
      <c r="V34" s="39" t="n"/>
      <c r="W34" s="110">
        <f>IF(A34&lt;&gt;"",O34-S34,0)</f>
        <v/>
      </c>
      <c r="X34" s="111">
        <f>IF(A34&lt;&gt;"",P34-T34,0)</f>
        <v/>
      </c>
      <c r="Y34" s="143">
        <f>IF(A34&lt;&gt;"",W34-X34,0)</f>
        <v/>
      </c>
      <c r="Z34" s="39" t="n"/>
      <c r="AA34" s="110">
        <f>IF(A34&lt;&gt;"",J34-O34,0)</f>
        <v/>
      </c>
      <c r="AB34" s="111">
        <f>IF(A34&lt;&gt;"",K34-P34,0)</f>
        <v/>
      </c>
      <c r="AC34" s="143">
        <f>IF(A34&lt;&gt;"",AA34-AB34,0)</f>
        <v/>
      </c>
      <c r="AE34" s="142" t="n"/>
      <c r="AF34" s="67">
        <f>IF(A34&lt;&gt; "",IF(O34-AE34&gt;=0,O34-AE34,0),0)</f>
        <v/>
      </c>
      <c r="AG34" s="67">
        <f>IF(A34&lt;&gt; "",IF(O34-AE34&lt;=0,O34-AE34,0),0)</f>
        <v/>
      </c>
      <c r="AH34" s="1" t="n"/>
      <c r="AL34" s="1" t="n"/>
      <c r="AM34" s="1" t="n"/>
      <c r="AR34" t="n">
        <v>2</v>
      </c>
      <c r="AS34" s="152" t="inlineStr">
        <is>
          <t>000000000001363A</t>
        </is>
      </c>
    </row>
    <row r="35" ht="13.2" customHeight="1">
      <c r="A35" s="299" t="n">
        <v>60604672</v>
      </c>
      <c r="B35" s="299" t="inlineStr">
        <is>
          <t>51.1108.</t>
        </is>
      </c>
      <c r="C35" s="299" t="inlineStr">
        <is>
          <t>51.1109.</t>
        </is>
      </c>
      <c r="D35" s="300" t="inlineStr">
        <is>
          <t>Stockton - RWCF Phase 2A/2B</t>
        </is>
      </c>
      <c r="E35" s="300" t="inlineStr">
        <is>
          <t>AECOM Infrastructure &amp; WML</t>
        </is>
      </c>
      <c r="F35" s="298" t="n">
        <v>0.5</v>
      </c>
      <c r="G35" s="21" t="n"/>
      <c r="H35" s="137" t="n"/>
      <c r="I35" s="137" t="n"/>
      <c r="J35" s="142" t="n"/>
      <c r="K35" s="111">
        <f>J35-L35</f>
        <v/>
      </c>
      <c r="L35" s="142" t="n"/>
      <c r="M35" s="21" t="n"/>
      <c r="N35" s="293">
        <f>IF(A35&lt;&gt;"",IF(K35&lt;&gt;0,P35/K35,0),0)</f>
        <v/>
      </c>
      <c r="O35" s="142">
        <f>O13*F13</f>
        <v/>
      </c>
      <c r="P35" s="142" t="n"/>
      <c r="Q35" s="143">
        <f>IF(A35&lt;&gt;"",O35-P35,0)</f>
        <v/>
      </c>
      <c r="R35" s="21" t="n"/>
      <c r="S35" s="110" t="n"/>
      <c r="T35" s="111" t="n"/>
      <c r="U35" s="143">
        <f>IF(A35&lt;&gt;"",S35-T35,0)</f>
        <v/>
      </c>
      <c r="V35" s="39" t="n"/>
      <c r="W35" s="110">
        <f>IF(A35&lt;&gt;"",O35-S35,0)</f>
        <v/>
      </c>
      <c r="X35" s="111">
        <f>IF(A35&lt;&gt;"",P35-T35,0)</f>
        <v/>
      </c>
      <c r="Y35" s="143">
        <f>IF(A35&lt;&gt;"",W35-X35,0)</f>
        <v/>
      </c>
      <c r="Z35" s="39" t="n"/>
      <c r="AA35" s="110">
        <f>IF(A35&lt;&gt;"",J35-O35,0)</f>
        <v/>
      </c>
      <c r="AB35" s="111">
        <f>IF(A35&lt;&gt;"",K35-P35,0)</f>
        <v/>
      </c>
      <c r="AC35" s="143">
        <f>IF(A35&lt;&gt;"",AA35-AB35,0)</f>
        <v/>
      </c>
      <c r="AE35" s="142" t="n"/>
      <c r="AF35" s="67">
        <f>IF(A35&lt;&gt; "",IF(O35-AE35&gt;=0,O35-AE35,0),0)</f>
        <v/>
      </c>
      <c r="AG35" s="67">
        <f>IF(A35&lt;&gt; "",IF(O35-AE35&lt;=0,O35-AE35,0),0)</f>
        <v/>
      </c>
      <c r="AH35" s="1" t="n"/>
      <c r="AL35" s="1" t="n"/>
      <c r="AM35" s="1" t="n"/>
      <c r="AR35" t="n">
        <v>2</v>
      </c>
      <c r="AS35" s="152" t="inlineStr">
        <is>
          <t>000000000001363A</t>
        </is>
      </c>
    </row>
    <row r="36" ht="13.2" customHeight="1">
      <c r="A36" s="299" t="n">
        <v>60604672</v>
      </c>
      <c r="B36" s="299" t="inlineStr">
        <is>
          <t>51.1108.</t>
        </is>
      </c>
      <c r="C36" s="299" t="inlineStr">
        <is>
          <t>51.1109.</t>
        </is>
      </c>
      <c r="D36" s="300" t="inlineStr">
        <is>
          <t>Stockton - RWCF Phase 2A/2B</t>
        </is>
      </c>
      <c r="E36" s="300" t="inlineStr">
        <is>
          <t>AECOM Infrastructure &amp; WML</t>
        </is>
      </c>
      <c r="F36" s="298" t="n">
        <v>0.5</v>
      </c>
      <c r="G36" s="21" t="n"/>
      <c r="H36" s="137" t="n"/>
      <c r="I36" s="137" t="n"/>
      <c r="J36" s="142" t="n"/>
      <c r="K36" s="111">
        <f>J36-L36</f>
        <v/>
      </c>
      <c r="L36" s="142" t="n"/>
      <c r="M36" s="21" t="n"/>
      <c r="N36" s="293">
        <f>IF(A36&lt;&gt;"",IF(K36&lt;&gt;0,P36/K36,0),0)</f>
        <v/>
      </c>
      <c r="O36" s="142">
        <f>O14*F14</f>
        <v/>
      </c>
      <c r="P36" s="142" t="n"/>
      <c r="Q36" s="143">
        <f>IF(A36&lt;&gt;"",O36-P36,0)</f>
        <v/>
      </c>
      <c r="R36" s="21" t="n"/>
      <c r="S36" s="110" t="n"/>
      <c r="T36" s="111" t="n"/>
      <c r="U36" s="143">
        <f>IF(A36&lt;&gt;"",S36-T36,0)</f>
        <v/>
      </c>
      <c r="V36" s="39" t="n"/>
      <c r="W36" s="110">
        <f>IF(A36&lt;&gt;"",O36-S36,0)</f>
        <v/>
      </c>
      <c r="X36" s="111">
        <f>IF(A36&lt;&gt;"",P36-T36,0)</f>
        <v/>
      </c>
      <c r="Y36" s="143">
        <f>IF(A36&lt;&gt;"",W36-X36,0)</f>
        <v/>
      </c>
      <c r="Z36" s="39" t="n"/>
      <c r="AA36" s="110">
        <f>IF(A36&lt;&gt;"",J36-O36,0)</f>
        <v/>
      </c>
      <c r="AB36" s="111">
        <f>IF(A36&lt;&gt;"",K36-P36,0)</f>
        <v/>
      </c>
      <c r="AC36" s="143">
        <f>IF(A36&lt;&gt;"",AA36-AB36,0)</f>
        <v/>
      </c>
      <c r="AE36" s="142" t="n"/>
      <c r="AF36" s="67">
        <f>IF(A36&lt;&gt; "",IF(O36-AE36&gt;=0,O36-AE36,0),0)</f>
        <v/>
      </c>
      <c r="AG36" s="67">
        <f>IF(A36&lt;&gt; "",IF(O36-AE36&lt;=0,O36-AE36,0),0)</f>
        <v/>
      </c>
      <c r="AH36" s="1" t="n"/>
      <c r="AL36" s="1" t="n"/>
      <c r="AM36" s="1" t="n"/>
      <c r="AR36" t="n">
        <v>2</v>
      </c>
      <c r="AS36" s="152" t="inlineStr">
        <is>
          <t>000000000001363A</t>
        </is>
      </c>
    </row>
    <row r="37" ht="13.2" customHeight="1">
      <c r="A37" s="299" t="n">
        <v>60604672</v>
      </c>
      <c r="B37" s="299" t="inlineStr">
        <is>
          <t>51.1108.</t>
        </is>
      </c>
      <c r="C37" s="299" t="inlineStr">
        <is>
          <t>51.1109.</t>
        </is>
      </c>
      <c r="D37" s="300" t="inlineStr">
        <is>
          <t>Stockton - RWCF Phase 2A/2B</t>
        </is>
      </c>
      <c r="E37" s="300" t="inlineStr">
        <is>
          <t>AECOM Infrastructure &amp; WML</t>
        </is>
      </c>
      <c r="F37" s="298" t="n">
        <v>0.5</v>
      </c>
      <c r="G37" s="21" t="n"/>
      <c r="H37" s="137" t="n"/>
      <c r="I37" s="137" t="n"/>
      <c r="J37" s="142" t="n"/>
      <c r="K37" s="111">
        <f>J37-L37</f>
        <v/>
      </c>
      <c r="L37" s="142" t="n"/>
      <c r="M37" s="21" t="n"/>
      <c r="N37" s="293">
        <f>IF(A37&lt;&gt;"",IF(K37&lt;&gt;0,P37/K37,0),0)</f>
        <v/>
      </c>
      <c r="O37" s="142">
        <f>O15*F15</f>
        <v/>
      </c>
      <c r="P37" s="142" t="n"/>
      <c r="Q37" s="143">
        <f>IF(A37&lt;&gt;"",O37-P37,0)</f>
        <v/>
      </c>
      <c r="R37" s="21" t="n"/>
      <c r="S37" s="110" t="n"/>
      <c r="T37" s="111" t="n"/>
      <c r="U37" s="143">
        <f>IF(A37&lt;&gt;"",S37-T37,0)</f>
        <v/>
      </c>
      <c r="V37" s="39" t="n"/>
      <c r="W37" s="110">
        <f>IF(A37&lt;&gt;"",O37-S37,0)</f>
        <v/>
      </c>
      <c r="X37" s="111">
        <f>IF(A37&lt;&gt;"",P37-T37,0)</f>
        <v/>
      </c>
      <c r="Y37" s="143">
        <f>IF(A37&lt;&gt;"",W37-X37,0)</f>
        <v/>
      </c>
      <c r="Z37" s="39" t="n"/>
      <c r="AA37" s="110">
        <f>IF(A37&lt;&gt;"",J37-O37,0)</f>
        <v/>
      </c>
      <c r="AB37" s="111">
        <f>IF(A37&lt;&gt;"",K37-P37,0)</f>
        <v/>
      </c>
      <c r="AC37" s="143">
        <f>IF(A37&lt;&gt;"",AA37-AB37,0)</f>
        <v/>
      </c>
      <c r="AE37" s="142" t="n"/>
      <c r="AF37" s="67">
        <f>IF(A37&lt;&gt; "",IF(O37-AE37&gt;=0,O37-AE37,0),0)</f>
        <v/>
      </c>
      <c r="AG37" s="67">
        <f>IF(A37&lt;&gt; "",IF(O37-AE37&lt;=0,O37-AE37,0),0)</f>
        <v/>
      </c>
      <c r="AH37" s="1" t="n"/>
      <c r="AL37" s="1" t="n"/>
      <c r="AM37" s="1" t="n"/>
      <c r="AR37" t="n">
        <v>2</v>
      </c>
      <c r="AS37" s="152" t="n">
        <v>13630</v>
      </c>
    </row>
    <row r="38" ht="13.2" customHeight="1">
      <c r="A38" s="299" t="n">
        <v>60604672</v>
      </c>
      <c r="B38" s="299" t="inlineStr">
        <is>
          <t>51.1108.</t>
        </is>
      </c>
      <c r="C38" s="299" t="inlineStr">
        <is>
          <t>51.1109.</t>
        </is>
      </c>
      <c r="D38" s="300" t="inlineStr">
        <is>
          <t>Stockton - RWCF Phase 2A/2B</t>
        </is>
      </c>
      <c r="E38" s="300" t="inlineStr">
        <is>
          <t>AECOM Infrastructure &amp; WML</t>
        </is>
      </c>
      <c r="F38" s="298" t="n">
        <v>0.5</v>
      </c>
      <c r="G38" s="21" t="n"/>
      <c r="H38" s="137" t="n"/>
      <c r="I38" s="137" t="n"/>
      <c r="J38" s="142" t="n"/>
      <c r="K38" s="111">
        <f>J38-L38</f>
        <v/>
      </c>
      <c r="L38" s="142" t="n"/>
      <c r="M38" s="21" t="n"/>
      <c r="N38" s="293">
        <f>IF(A38&lt;&gt;"",IF(K38&lt;&gt;0,P38/K38,0),0)</f>
        <v/>
      </c>
      <c r="O38" s="142">
        <f>O16*F16</f>
        <v/>
      </c>
      <c r="P38" s="142" t="n"/>
      <c r="Q38" s="143">
        <f>IF(A38&lt;&gt;"",O38-P38,0)</f>
        <v/>
      </c>
      <c r="R38" s="21" t="n"/>
      <c r="S38" s="110" t="n"/>
      <c r="T38" s="111" t="n"/>
      <c r="U38" s="143">
        <f>IF(A38&lt;&gt;"",S38-T38,0)</f>
        <v/>
      </c>
      <c r="V38" s="39" t="n"/>
      <c r="W38" s="110">
        <f>IF(A38&lt;&gt;"",O38-S38,0)</f>
        <v/>
      </c>
      <c r="X38" s="111">
        <f>IF(A38&lt;&gt;"",P38-T38,0)</f>
        <v/>
      </c>
      <c r="Y38" s="143">
        <f>IF(A38&lt;&gt;"",W38-X38,0)</f>
        <v/>
      </c>
      <c r="Z38" s="39" t="n"/>
      <c r="AA38" s="110">
        <f>IF(A38&lt;&gt;"",J38-O38,0)</f>
        <v/>
      </c>
      <c r="AB38" s="111">
        <f>IF(A38&lt;&gt;"",K38-P38,0)</f>
        <v/>
      </c>
      <c r="AC38" s="143">
        <f>IF(A38&lt;&gt;"",AA38-AB38,0)</f>
        <v/>
      </c>
      <c r="AE38" s="142" t="n"/>
      <c r="AF38" s="67">
        <f>IF(A38&lt;&gt; "",IF(O38-AE38&gt;=0,O38-AE38,0),0)</f>
        <v/>
      </c>
      <c r="AG38" s="67">
        <f>IF(A38&lt;&gt; "",IF(O38-AE38&lt;=0,O38-AE38,0),0)</f>
        <v/>
      </c>
      <c r="AH38" s="1" t="n"/>
      <c r="AL38" s="1" t="n"/>
      <c r="AM38" s="1" t="n"/>
      <c r="AR38" t="n">
        <v>2</v>
      </c>
      <c r="AS38" s="152" t="n">
        <v>13630</v>
      </c>
    </row>
    <row r="39" ht="13.2" customHeight="1">
      <c r="A39" s="299" t="n">
        <v>60604672</v>
      </c>
      <c r="B39" s="299" t="inlineStr">
        <is>
          <t>51.1108.</t>
        </is>
      </c>
      <c r="C39" s="299" t="inlineStr">
        <is>
          <t>51.1109.</t>
        </is>
      </c>
      <c r="D39" s="300" t="inlineStr">
        <is>
          <t>Stockton - RWCF Phase 2A/2B</t>
        </is>
      </c>
      <c r="E39" s="300" t="inlineStr">
        <is>
          <t>AECOM Infrastructure &amp; WML</t>
        </is>
      </c>
      <c r="F39" s="298" t="n">
        <v>0.5</v>
      </c>
      <c r="G39" s="21" t="n"/>
      <c r="H39" s="137" t="n"/>
      <c r="I39" s="137" t="n"/>
      <c r="J39" s="142" t="n"/>
      <c r="K39" s="111">
        <f>J39-L39</f>
        <v/>
      </c>
      <c r="L39" s="142" t="n"/>
      <c r="M39" s="21" t="n"/>
      <c r="N39" s="293">
        <f>IF(A39&lt;&gt;"",IF(K39&lt;&gt;0,P39/K39,0),0)</f>
        <v/>
      </c>
      <c r="O39" s="142">
        <f>O17*F17</f>
        <v/>
      </c>
      <c r="P39" s="142" t="n"/>
      <c r="Q39" s="143">
        <f>IF(A39&lt;&gt;"",O39-P39,0)</f>
        <v/>
      </c>
      <c r="R39" s="21" t="n"/>
      <c r="S39" s="110" t="n"/>
      <c r="T39" s="111" t="n"/>
      <c r="U39" s="143">
        <f>IF(A39&lt;&gt;"",S39-T39,0)</f>
        <v/>
      </c>
      <c r="V39" s="39" t="n"/>
      <c r="W39" s="110">
        <f>IF(A39&lt;&gt;"",O39-S39,0)</f>
        <v/>
      </c>
      <c r="X39" s="111">
        <f>IF(A39&lt;&gt;"",P39-T39,0)</f>
        <v/>
      </c>
      <c r="Y39" s="143">
        <f>IF(A39&lt;&gt;"",W39-X39,0)</f>
        <v/>
      </c>
      <c r="Z39" s="39" t="n"/>
      <c r="AA39" s="110">
        <f>IF(A39&lt;&gt;"",J39-O39,0)</f>
        <v/>
      </c>
      <c r="AB39" s="111">
        <f>IF(A39&lt;&gt;"",K39-P39,0)</f>
        <v/>
      </c>
      <c r="AC39" s="143">
        <f>IF(A39&lt;&gt;"",AA39-AB39,0)</f>
        <v/>
      </c>
      <c r="AE39" s="142" t="n"/>
      <c r="AF39" s="67">
        <f>IF(A39&lt;&gt; "",IF(O39-AE39&gt;=0,O39-AE39,0),0)</f>
        <v/>
      </c>
      <c r="AG39" s="67">
        <f>IF(A39&lt;&gt; "",IF(O39-AE39&lt;=0,O39-AE39,0),0)</f>
        <v/>
      </c>
      <c r="AH39" s="1" t="n"/>
      <c r="AL39" s="1" t="n"/>
      <c r="AM39" s="1" t="n"/>
      <c r="AR39" t="n">
        <v>2</v>
      </c>
      <c r="AS39" s="152" t="n">
        <v>13630</v>
      </c>
    </row>
    <row r="40" ht="13.2" customHeight="1">
      <c r="A40" s="299" t="n">
        <v>60604672</v>
      </c>
      <c r="B40" s="299" t="inlineStr">
        <is>
          <t>51.1108.</t>
        </is>
      </c>
      <c r="C40" s="299" t="inlineStr">
        <is>
          <t>51.1109.</t>
        </is>
      </c>
      <c r="D40" s="300" t="inlineStr">
        <is>
          <t>Stockton - RWCF Phase 2A/2B</t>
        </is>
      </c>
      <c r="E40" s="300" t="inlineStr">
        <is>
          <t>AECOM Infrastructure &amp; WML</t>
        </is>
      </c>
      <c r="F40" s="298" t="n">
        <v>0.5</v>
      </c>
      <c r="G40" s="21" t="n"/>
      <c r="H40" s="137" t="n"/>
      <c r="I40" s="137" t="n"/>
      <c r="J40" s="142" t="n"/>
      <c r="K40" s="111">
        <f>J40-L40</f>
        <v/>
      </c>
      <c r="L40" s="142" t="n"/>
      <c r="M40" s="21" t="n"/>
      <c r="N40" s="293">
        <f>IF(A40&lt;&gt;"",IF(K40&lt;&gt;0,P40/K40,0),0)</f>
        <v/>
      </c>
      <c r="O40" s="142">
        <f>O18*F18</f>
        <v/>
      </c>
      <c r="P40" s="142" t="n"/>
      <c r="Q40" s="143">
        <f>IF(A40&lt;&gt;"",O40-P40,0)</f>
        <v/>
      </c>
      <c r="R40" s="21" t="n"/>
      <c r="S40" s="110" t="n"/>
      <c r="T40" s="111" t="n"/>
      <c r="U40" s="143">
        <f>IF(A40&lt;&gt;"",S40-T40,0)</f>
        <v/>
      </c>
      <c r="V40" s="39" t="n"/>
      <c r="W40" s="110">
        <f>IF(A40&lt;&gt;"",O40-S40,0)</f>
        <v/>
      </c>
      <c r="X40" s="111">
        <f>IF(A40&lt;&gt;"",P40-T40,0)</f>
        <v/>
      </c>
      <c r="Y40" s="143">
        <f>IF(A40&lt;&gt;"",W40-X40,0)</f>
        <v/>
      </c>
      <c r="Z40" s="39" t="n"/>
      <c r="AA40" s="110">
        <f>IF(A40&lt;&gt;"",J40-O40,0)</f>
        <v/>
      </c>
      <c r="AB40" s="111">
        <f>IF(A40&lt;&gt;"",K40-P40,0)</f>
        <v/>
      </c>
      <c r="AC40" s="143">
        <f>IF(A40&lt;&gt;"",AA40-AB40,0)</f>
        <v/>
      </c>
      <c r="AE40" s="142" t="n"/>
      <c r="AF40" s="67">
        <f>IF(A40&lt;&gt; "",IF(O40-AE40&gt;=0,O40-AE40,0),0)</f>
        <v/>
      </c>
      <c r="AG40" s="67">
        <f>IF(A40&lt;&gt; "",IF(O40-AE40&lt;=0,O40-AE40,0),0)</f>
        <v/>
      </c>
      <c r="AH40" s="1" t="n"/>
      <c r="AL40" s="1" t="n"/>
      <c r="AM40" s="1" t="n"/>
      <c r="AR40" t="n">
        <v>2</v>
      </c>
      <c r="AS40" s="152" t="n">
        <v>13630</v>
      </c>
    </row>
    <row r="41" ht="13.2" customHeight="1">
      <c r="A41" s="299" t="n">
        <v>60604672</v>
      </c>
      <c r="B41" s="299" t="inlineStr">
        <is>
          <t>51.1108.</t>
        </is>
      </c>
      <c r="C41" s="299" t="inlineStr">
        <is>
          <t>51.1109.</t>
        </is>
      </c>
      <c r="D41" s="300" t="inlineStr">
        <is>
          <t>Stockton - RWCF Phase 2A/2B</t>
        </is>
      </c>
      <c r="E41" s="300" t="inlineStr">
        <is>
          <t>AECOM Infrastructure &amp; WML</t>
        </is>
      </c>
      <c r="F41" s="298" t="n">
        <v>0.5</v>
      </c>
      <c r="G41" s="21" t="n"/>
      <c r="H41" s="137" t="n"/>
      <c r="I41" s="137" t="n"/>
      <c r="J41" s="142" t="n"/>
      <c r="K41" s="111">
        <f>J41-L41</f>
        <v/>
      </c>
      <c r="L41" s="142" t="n"/>
      <c r="M41" s="21" t="n"/>
      <c r="N41" s="293">
        <f>IF(A41&lt;&gt;"",IF(K41&lt;&gt;0,P41/K41,0),0)</f>
        <v/>
      </c>
      <c r="O41" s="142">
        <f>O19*F19</f>
        <v/>
      </c>
      <c r="P41" s="142" t="n"/>
      <c r="Q41" s="143">
        <f>IF(A41&lt;&gt;"",O41-P41,0)</f>
        <v/>
      </c>
      <c r="R41" s="21" t="n"/>
      <c r="S41" s="110" t="n"/>
      <c r="T41" s="111" t="n"/>
      <c r="U41" s="143">
        <f>IF(A41&lt;&gt;"",S41-T41,0)</f>
        <v/>
      </c>
      <c r="V41" s="39" t="n"/>
      <c r="W41" s="110">
        <f>IF(A41&lt;&gt;"",O41-S41,0)</f>
        <v/>
      </c>
      <c r="X41" s="111">
        <f>IF(A41&lt;&gt;"",P41-T41,0)</f>
        <v/>
      </c>
      <c r="Y41" s="143">
        <f>IF(A41&lt;&gt;"",W41-X41,0)</f>
        <v/>
      </c>
      <c r="Z41" s="39" t="n"/>
      <c r="AA41" s="110">
        <f>IF(A41&lt;&gt;"",J41-O41,0)</f>
        <v/>
      </c>
      <c r="AB41" s="111">
        <f>IF(A41&lt;&gt;"",K41-P41,0)</f>
        <v/>
      </c>
      <c r="AC41" s="143">
        <f>IF(A41&lt;&gt;"",AA41-AB41,0)</f>
        <v/>
      </c>
      <c r="AE41" s="142" t="n"/>
      <c r="AF41" s="67">
        <f>IF(A41&lt;&gt; "",IF(O41-AE41&gt;=0,O41-AE41,0),0)</f>
        <v/>
      </c>
      <c r="AG41" s="67">
        <f>IF(A41&lt;&gt; "",IF(O41-AE41&lt;=0,O41-AE41,0),0)</f>
        <v/>
      </c>
      <c r="AH41" s="1" t="n"/>
      <c r="AL41" s="1" t="n"/>
      <c r="AM41" s="1" t="n"/>
      <c r="AR41" t="n">
        <v>2</v>
      </c>
      <c r="AS41" s="152" t="n">
        <v>13630</v>
      </c>
    </row>
    <row r="42" ht="13.2" customHeight="1">
      <c r="A42" s="299" t="n">
        <v>60604672</v>
      </c>
      <c r="B42" s="299" t="inlineStr">
        <is>
          <t>51.1108.</t>
        </is>
      </c>
      <c r="C42" s="299" t="inlineStr">
        <is>
          <t>51.1109.</t>
        </is>
      </c>
      <c r="D42" s="300" t="inlineStr">
        <is>
          <t>Stockton - RWCF Phase 2A/2B</t>
        </is>
      </c>
      <c r="E42" s="300" t="inlineStr">
        <is>
          <t>AECOM Infrastructure &amp; WML</t>
        </is>
      </c>
      <c r="F42" s="298" t="n">
        <v>0.5</v>
      </c>
      <c r="G42" s="21" t="n"/>
      <c r="H42" s="137" t="n"/>
      <c r="I42" s="137" t="n"/>
      <c r="J42" s="142" t="n"/>
      <c r="K42" s="111">
        <f>J42-L42</f>
        <v/>
      </c>
      <c r="L42" s="142" t="n"/>
      <c r="M42" s="21" t="n"/>
      <c r="N42" s="293">
        <f>IF(A42&lt;&gt;"",IF(K42&lt;&gt;0,P42/K42,0),0)</f>
        <v/>
      </c>
      <c r="O42" s="142">
        <f>O20*F20</f>
        <v/>
      </c>
      <c r="P42" s="142" t="n"/>
      <c r="Q42" s="143">
        <f>IF(A42&lt;&gt;"",O42-P42,0)</f>
        <v/>
      </c>
      <c r="R42" s="21" t="n"/>
      <c r="S42" s="110" t="n"/>
      <c r="T42" s="111" t="n"/>
      <c r="U42" s="143">
        <f>IF(A42&lt;&gt;"",S42-T42,0)</f>
        <v/>
      </c>
      <c r="V42" s="39" t="n"/>
      <c r="W42" s="110">
        <f>IF(A42&lt;&gt;"",O42-S42,0)</f>
        <v/>
      </c>
      <c r="X42" s="111">
        <f>IF(A42&lt;&gt;"",P42-T42,0)</f>
        <v/>
      </c>
      <c r="Y42" s="143">
        <f>IF(A42&lt;&gt;"",W42-X42,0)</f>
        <v/>
      </c>
      <c r="Z42" s="39" t="n"/>
      <c r="AA42" s="110">
        <f>IF(A42&lt;&gt;"",J42-O42,0)</f>
        <v/>
      </c>
      <c r="AB42" s="111">
        <f>IF(A42&lt;&gt;"",K42-P42,0)</f>
        <v/>
      </c>
      <c r="AC42" s="143">
        <f>IF(A42&lt;&gt;"",AA42-AB42,0)</f>
        <v/>
      </c>
      <c r="AE42" s="142" t="n"/>
      <c r="AF42" s="67">
        <f>IF(A42&lt;&gt; "",IF(O42-AE42&gt;=0,O42-AE42,0),0)</f>
        <v/>
      </c>
      <c r="AG42" s="67">
        <f>IF(A42&lt;&gt; "",IF(O42-AE42&lt;=0,O42-AE42,0),0)</f>
        <v/>
      </c>
      <c r="AH42" s="1" t="n"/>
      <c r="AL42" s="1" t="n"/>
      <c r="AM42" s="1" t="n"/>
      <c r="AR42" t="n">
        <v>2</v>
      </c>
      <c r="AS42" s="152" t="inlineStr">
        <is>
          <t>000000000001340A</t>
        </is>
      </c>
    </row>
    <row r="43" ht="13.2" customHeight="1">
      <c r="A43" s="299" t="n">
        <v>60604672</v>
      </c>
      <c r="B43" s="299" t="inlineStr">
        <is>
          <t>51.1108.</t>
        </is>
      </c>
      <c r="C43" s="299" t="inlineStr">
        <is>
          <t>51.1109.</t>
        </is>
      </c>
      <c r="D43" s="300" t="inlineStr">
        <is>
          <t>Stockton - RWCF Phase 2A/2B</t>
        </is>
      </c>
      <c r="E43" s="300" t="inlineStr">
        <is>
          <t>AECOM Infrastructure &amp; WML</t>
        </is>
      </c>
      <c r="F43" s="298" t="n">
        <v>0.5</v>
      </c>
      <c r="G43" s="21" t="n"/>
      <c r="H43" s="137" t="n"/>
      <c r="I43" s="137" t="n"/>
      <c r="J43" s="142" t="n"/>
      <c r="K43" s="111">
        <f>J43-L43</f>
        <v/>
      </c>
      <c r="L43" s="142" t="n"/>
      <c r="M43" s="21" t="n"/>
      <c r="N43" s="293">
        <f>IF(A43&lt;&gt;"",IF(K43&lt;&gt;0,P43/K43,0),0)</f>
        <v/>
      </c>
      <c r="O43" s="142">
        <f>O21*F21</f>
        <v/>
      </c>
      <c r="P43" s="142" t="n"/>
      <c r="Q43" s="143">
        <f>IF(A43&lt;&gt;"",O43-P43,0)</f>
        <v/>
      </c>
      <c r="R43" s="21" t="n"/>
      <c r="S43" s="110" t="n"/>
      <c r="T43" s="111" t="n"/>
      <c r="U43" s="143">
        <f>IF(A43&lt;&gt;"",S43-T43,0)</f>
        <v/>
      </c>
      <c r="V43" s="39" t="n"/>
      <c r="W43" s="110">
        <f>IF(A43&lt;&gt;"",O43-S43,0)</f>
        <v/>
      </c>
      <c r="X43" s="111">
        <f>IF(A43&lt;&gt;"",P43-T43,0)</f>
        <v/>
      </c>
      <c r="Y43" s="143">
        <f>IF(A43&lt;&gt;"",W43-X43,0)</f>
        <v/>
      </c>
      <c r="Z43" s="39" t="n"/>
      <c r="AA43" s="110">
        <f>IF(A43&lt;&gt;"",J43-O43,0)</f>
        <v/>
      </c>
      <c r="AB43" s="111">
        <f>IF(A43&lt;&gt;"",K43-P43,0)</f>
        <v/>
      </c>
      <c r="AC43" s="143">
        <f>IF(A43&lt;&gt;"",AA43-AB43,0)</f>
        <v/>
      </c>
      <c r="AE43" s="142" t="n"/>
      <c r="AF43" s="67">
        <f>IF(A43&lt;&gt; "",IF(O43-AE43&gt;=0,O43-AE43,0),0)</f>
        <v/>
      </c>
      <c r="AG43" s="67">
        <f>IF(A43&lt;&gt; "",IF(O43-AE43&lt;=0,O43-AE43,0),0)</f>
        <v/>
      </c>
      <c r="AH43" s="1" t="n"/>
      <c r="AL43" s="1" t="n"/>
      <c r="AM43" s="1" t="n"/>
      <c r="AR43" t="n">
        <v>2</v>
      </c>
      <c r="AS43" s="152" t="inlineStr">
        <is>
          <t>000000000001340A</t>
        </is>
      </c>
    </row>
    <row r="44" ht="13.2" customHeight="1">
      <c r="A44" s="299" t="n">
        <v>60604672</v>
      </c>
      <c r="B44" s="299" t="inlineStr">
        <is>
          <t>51.1108.</t>
        </is>
      </c>
      <c r="C44" s="299" t="inlineStr">
        <is>
          <t>51.1109.</t>
        </is>
      </c>
      <c r="D44" s="300" t="inlineStr">
        <is>
          <t>Stockton - RWCF Phase 2A/2B</t>
        </is>
      </c>
      <c r="E44" s="300" t="inlineStr">
        <is>
          <t>AECOM Infrastructure &amp; WML</t>
        </is>
      </c>
      <c r="F44" s="298" t="n">
        <v>0.5</v>
      </c>
      <c r="G44" s="21" t="n"/>
      <c r="H44" s="137" t="n"/>
      <c r="I44" s="137" t="n"/>
      <c r="J44" s="142" t="n"/>
      <c r="K44" s="111">
        <f>J44-L44</f>
        <v/>
      </c>
      <c r="L44" s="142" t="n"/>
      <c r="M44" s="21" t="n"/>
      <c r="N44" s="293">
        <f>IF(A44&lt;&gt;"",IF(K44&lt;&gt;0,P44/K44,0),0)</f>
        <v/>
      </c>
      <c r="O44" s="142">
        <f>O22*F22</f>
        <v/>
      </c>
      <c r="P44" s="142" t="n"/>
      <c r="Q44" s="143">
        <f>IF(A44&lt;&gt;"",O44-P44,0)</f>
        <v/>
      </c>
      <c r="R44" s="21" t="n"/>
      <c r="S44" s="110" t="n"/>
      <c r="T44" s="111" t="n"/>
      <c r="U44" s="143">
        <f>IF(A44&lt;&gt;"",S44-T44,0)</f>
        <v/>
      </c>
      <c r="V44" s="39" t="n"/>
      <c r="W44" s="110">
        <f>IF(A44&lt;&gt;"",O44-S44,0)</f>
        <v/>
      </c>
      <c r="X44" s="111">
        <f>IF(A44&lt;&gt;"",P44-T44,0)</f>
        <v/>
      </c>
      <c r="Y44" s="143">
        <f>IF(A44&lt;&gt;"",W44-X44,0)</f>
        <v/>
      </c>
      <c r="Z44" s="39" t="n"/>
      <c r="AA44" s="110">
        <f>IF(A44&lt;&gt;"",J44-O44,0)</f>
        <v/>
      </c>
      <c r="AB44" s="111">
        <f>IF(A44&lt;&gt;"",K44-P44,0)</f>
        <v/>
      </c>
      <c r="AC44" s="143">
        <f>IF(A44&lt;&gt;"",AA44-AB44,0)</f>
        <v/>
      </c>
      <c r="AE44" s="142" t="n"/>
      <c r="AF44" s="67">
        <f>IF(A44&lt;&gt; "",IF(O44-AE44&gt;=0,O44-AE44,0),0)</f>
        <v/>
      </c>
      <c r="AG44" s="67">
        <f>IF(A44&lt;&gt; "",IF(O44-AE44&lt;=0,O44-AE44,0),0)</f>
        <v/>
      </c>
      <c r="AH44" s="1" t="n"/>
      <c r="AL44" s="1" t="n"/>
      <c r="AM44" s="1" t="n"/>
      <c r="AR44" t="n">
        <v>2</v>
      </c>
      <c r="AS44" s="152" t="inlineStr">
        <is>
          <t>000000000001340A</t>
        </is>
      </c>
    </row>
    <row r="45" ht="13.2" customHeight="1">
      <c r="A45" s="299" t="n">
        <v>60604672</v>
      </c>
      <c r="B45" s="299" t="inlineStr">
        <is>
          <t>51.1108.</t>
        </is>
      </c>
      <c r="C45" s="299" t="inlineStr">
        <is>
          <t>51.1109.</t>
        </is>
      </c>
      <c r="D45" s="300" t="inlineStr">
        <is>
          <t>Stockton - RWCF Phase 2A/2B</t>
        </is>
      </c>
      <c r="E45" s="300" t="inlineStr">
        <is>
          <t>AECOM Infrastructure &amp; WML</t>
        </is>
      </c>
      <c r="F45" s="298" t="n">
        <v>0.5</v>
      </c>
      <c r="G45" s="21" t="n"/>
      <c r="H45" s="137" t="n"/>
      <c r="I45" s="137" t="n"/>
      <c r="J45" s="142" t="n"/>
      <c r="K45" s="111">
        <f>J45-L45</f>
        <v/>
      </c>
      <c r="L45" s="142" t="n"/>
      <c r="M45" s="21" t="n"/>
      <c r="N45" s="293">
        <f>IF(A45&lt;&gt;"",IF(K45&lt;&gt;0,P45/K45,0),0)</f>
        <v/>
      </c>
      <c r="O45" s="142">
        <f>O23*F23</f>
        <v/>
      </c>
      <c r="P45" s="142" t="n"/>
      <c r="Q45" s="143">
        <f>IF(A45&lt;&gt;"",O45-P45,0)</f>
        <v/>
      </c>
      <c r="R45" s="21" t="n"/>
      <c r="S45" s="110" t="n"/>
      <c r="T45" s="111" t="n"/>
      <c r="U45" s="143">
        <f>IF(A45&lt;&gt;"",S45-T45,0)</f>
        <v/>
      </c>
      <c r="V45" s="39" t="n"/>
      <c r="W45" s="110">
        <f>IF(A45&lt;&gt;"",O45-S45,0)</f>
        <v/>
      </c>
      <c r="X45" s="111">
        <f>IF(A45&lt;&gt;"",P45-T45,0)</f>
        <v/>
      </c>
      <c r="Y45" s="143">
        <f>IF(A45&lt;&gt;"",W45-X45,0)</f>
        <v/>
      </c>
      <c r="Z45" s="39" t="n"/>
      <c r="AA45" s="110">
        <f>IF(A45&lt;&gt;"",J45-O45,0)</f>
        <v/>
      </c>
      <c r="AB45" s="111">
        <f>IF(A45&lt;&gt;"",K45-P45,0)</f>
        <v/>
      </c>
      <c r="AC45" s="143">
        <f>IF(A45&lt;&gt;"",AA45-AB45,0)</f>
        <v/>
      </c>
      <c r="AE45" s="142" t="n"/>
      <c r="AF45" s="67">
        <f>IF(A45&lt;&gt; "",IF(O45-AE45&gt;=0,O45-AE45,0),0)</f>
        <v/>
      </c>
      <c r="AG45" s="67">
        <f>IF(A45&lt;&gt; "",IF(O45-AE45&lt;=0,O45-AE45,0),0)</f>
        <v/>
      </c>
      <c r="AH45" s="1" t="n"/>
      <c r="AL45" s="1" t="n"/>
      <c r="AM45" s="1" t="n"/>
      <c r="AR45" t="n">
        <v>2</v>
      </c>
      <c r="AS45" s="152" t="inlineStr">
        <is>
          <t>000000000001340A</t>
        </is>
      </c>
    </row>
    <row r="46" ht="13.2" customHeight="1">
      <c r="A46" s="299" t="n">
        <v>60604672</v>
      </c>
      <c r="B46" s="299" t="inlineStr">
        <is>
          <t>51.1108.</t>
        </is>
      </c>
      <c r="C46" s="299" t="inlineStr">
        <is>
          <t>51.1109.</t>
        </is>
      </c>
      <c r="D46" s="300" t="inlineStr">
        <is>
          <t>Stockton - RWCF Phase 2A/2B</t>
        </is>
      </c>
      <c r="E46" s="300" t="inlineStr">
        <is>
          <t>AECOM Infrastructure &amp; WML</t>
        </is>
      </c>
      <c r="F46" s="298" t="n">
        <v>0.5</v>
      </c>
      <c r="G46" s="21" t="n"/>
      <c r="H46" s="137" t="n"/>
      <c r="I46" s="137" t="n"/>
      <c r="J46" s="142" t="n"/>
      <c r="K46" s="111">
        <f>J46-L46</f>
        <v/>
      </c>
      <c r="L46" s="142" t="n"/>
      <c r="M46" s="21" t="n"/>
      <c r="N46" s="293">
        <f>IF(A46&lt;&gt;"",IF(K46&lt;&gt;0,P46/K46,0),0)</f>
        <v/>
      </c>
      <c r="O46" s="142">
        <f>O24*F24</f>
        <v/>
      </c>
      <c r="P46" s="142" t="n"/>
      <c r="Q46" s="143">
        <f>IF(A46&lt;&gt;"",O46-P46,0)</f>
        <v/>
      </c>
      <c r="R46" s="21" t="n"/>
      <c r="S46" s="110" t="n"/>
      <c r="T46" s="111" t="n"/>
      <c r="U46" s="143">
        <f>IF(A46&lt;&gt;"",S46-T46,0)</f>
        <v/>
      </c>
      <c r="V46" s="39" t="n"/>
      <c r="W46" s="110">
        <f>IF(A46&lt;&gt;"",O46-S46,0)</f>
        <v/>
      </c>
      <c r="X46" s="111">
        <f>IF(A46&lt;&gt;"",P46-T46,0)</f>
        <v/>
      </c>
      <c r="Y46" s="143">
        <f>IF(A46&lt;&gt;"",W46-X46,0)</f>
        <v/>
      </c>
      <c r="Z46" s="39" t="n"/>
      <c r="AA46" s="110">
        <f>IF(A46&lt;&gt;"",J46-O46,0)</f>
        <v/>
      </c>
      <c r="AB46" s="111">
        <f>IF(A46&lt;&gt;"",K46-P46,0)</f>
        <v/>
      </c>
      <c r="AC46" s="143">
        <f>IF(A46&lt;&gt;"",AA46-AB46,0)</f>
        <v/>
      </c>
      <c r="AE46" s="142" t="n"/>
      <c r="AF46" s="67">
        <f>IF(A46&lt;&gt; "",IF(O46-AE46&gt;=0,O46-AE46,0),0)</f>
        <v/>
      </c>
      <c r="AG46" s="67">
        <f>IF(A46&lt;&gt; "",IF(O46-AE46&lt;=0,O46-AE46,0),0)</f>
        <v/>
      </c>
      <c r="AH46" s="1" t="n"/>
      <c r="AL46" s="1" t="n"/>
      <c r="AM46" s="1" t="n"/>
      <c r="AR46" t="n">
        <v>2</v>
      </c>
      <c r="AS46" s="152" t="inlineStr">
        <is>
          <t>000000000001340A</t>
        </is>
      </c>
    </row>
    <row r="47" ht="13.2" customHeight="1">
      <c r="A47" s="299" t="n">
        <v>60604672</v>
      </c>
      <c r="B47" s="299" t="inlineStr">
        <is>
          <t>51.1108.</t>
        </is>
      </c>
      <c r="C47" s="299" t="inlineStr">
        <is>
          <t>51.1109.</t>
        </is>
      </c>
      <c r="D47" s="300" t="inlineStr">
        <is>
          <t>Stockton - RWCF Phase 2A/2B</t>
        </is>
      </c>
      <c r="E47" s="300" t="inlineStr">
        <is>
          <t>AECOM Infrastructure &amp; WML</t>
        </is>
      </c>
      <c r="F47" s="298" t="n">
        <v>0.5</v>
      </c>
      <c r="G47" s="21" t="n"/>
      <c r="H47" s="137" t="n"/>
      <c r="I47" s="137" t="n"/>
      <c r="J47" s="142" t="n"/>
      <c r="K47" s="111">
        <f>J47-L47</f>
        <v/>
      </c>
      <c r="L47" s="142" t="n"/>
      <c r="M47" s="21" t="n"/>
      <c r="N47" s="293">
        <f>IF(A47&lt;&gt;"",IF(K47&lt;&gt;0,P47/K47,0),0)</f>
        <v/>
      </c>
      <c r="O47" s="142">
        <f>O25*F25</f>
        <v/>
      </c>
      <c r="P47" s="142" t="n"/>
      <c r="Q47" s="143">
        <f>IF(A47&lt;&gt;"",O47-P47,0)</f>
        <v/>
      </c>
      <c r="R47" s="21" t="n"/>
      <c r="S47" s="110" t="n"/>
      <c r="T47" s="111" t="n"/>
      <c r="U47" s="143">
        <f>IF(A47&lt;&gt;"",S47-T47,0)</f>
        <v/>
      </c>
      <c r="V47" s="39" t="n"/>
      <c r="W47" s="110">
        <f>IF(A47&lt;&gt;"",O47-S47,0)</f>
        <v/>
      </c>
      <c r="X47" s="111">
        <f>IF(A47&lt;&gt;"",P47-T47,0)</f>
        <v/>
      </c>
      <c r="Y47" s="143">
        <f>IF(A47&lt;&gt;"",W47-X47,0)</f>
        <v/>
      </c>
      <c r="Z47" s="39" t="n"/>
      <c r="AA47" s="110">
        <f>IF(A47&lt;&gt;"",J47-O47,0)</f>
        <v/>
      </c>
      <c r="AB47" s="111">
        <f>IF(A47&lt;&gt;"",K47-P47,0)</f>
        <v/>
      </c>
      <c r="AC47" s="143">
        <f>IF(A47&lt;&gt;"",AA47-AB47,0)</f>
        <v/>
      </c>
      <c r="AE47" s="142" t="n"/>
      <c r="AF47" s="67">
        <f>IF(A47&lt;&gt; "",IF(O47-AE47&gt;=0,O47-AE47,0),0)</f>
        <v/>
      </c>
      <c r="AG47" s="67">
        <f>IF(A47&lt;&gt; "",IF(O47-AE47&lt;=0,O47-AE47,0),0)</f>
        <v/>
      </c>
      <c r="AH47" s="1" t="n"/>
      <c r="AL47" s="1" t="n"/>
      <c r="AM47" s="1" t="n"/>
      <c r="AR47" t="n">
        <v>2</v>
      </c>
      <c r="AS47" s="152" t="n">
        <v>13644</v>
      </c>
    </row>
    <row r="48" ht="13.2" customHeight="1">
      <c r="A48" s="299" t="n">
        <v>60604672</v>
      </c>
      <c r="B48" s="299" t="inlineStr">
        <is>
          <t>51.1108.</t>
        </is>
      </c>
      <c r="C48" s="299" t="inlineStr">
        <is>
          <t>51.1109.</t>
        </is>
      </c>
      <c r="D48" s="300" t="inlineStr">
        <is>
          <t>Stockton - RWCF Phase 2A/2B</t>
        </is>
      </c>
      <c r="E48" s="300" t="inlineStr">
        <is>
          <t>AECOM Infrastructure &amp; WML</t>
        </is>
      </c>
      <c r="F48" s="298" t="n">
        <v>0.5</v>
      </c>
      <c r="G48" s="21" t="n"/>
      <c r="H48" s="137" t="n"/>
      <c r="I48" s="137" t="n"/>
      <c r="J48" s="142" t="n"/>
      <c r="K48" s="111">
        <f>J48-L48</f>
        <v/>
      </c>
      <c r="L48" s="142" t="n"/>
      <c r="M48" s="21" t="n"/>
      <c r="N48" s="293">
        <f>IF(A48&lt;&gt;"",IF(K48&lt;&gt;0,P48/K48,0),0)</f>
        <v/>
      </c>
      <c r="O48" s="142">
        <f>O26*F26</f>
        <v/>
      </c>
      <c r="P48" s="142" t="n"/>
      <c r="Q48" s="143">
        <f>IF(A48&lt;&gt;"",O48-P48,0)</f>
        <v/>
      </c>
      <c r="R48" s="21" t="n"/>
      <c r="S48" s="110" t="n"/>
      <c r="T48" s="111" t="n"/>
      <c r="U48" s="143">
        <f>IF(A48&lt;&gt;"",S48-T48,0)</f>
        <v/>
      </c>
      <c r="V48" s="39" t="n"/>
      <c r="W48" s="110">
        <f>IF(A48&lt;&gt;"",O48-S48,0)</f>
        <v/>
      </c>
      <c r="X48" s="111">
        <f>IF(A48&lt;&gt;"",P48-T48,0)</f>
        <v/>
      </c>
      <c r="Y48" s="143">
        <f>IF(A48&lt;&gt;"",W48-X48,0)</f>
        <v/>
      </c>
      <c r="Z48" s="39" t="n"/>
      <c r="AA48" s="110">
        <f>IF(A48&lt;&gt;"",J48-O48,0)</f>
        <v/>
      </c>
      <c r="AB48" s="111">
        <f>IF(A48&lt;&gt;"",K48-P48,0)</f>
        <v/>
      </c>
      <c r="AC48" s="143">
        <f>IF(A48&lt;&gt;"",AA48-AB48,0)</f>
        <v/>
      </c>
      <c r="AE48" s="142" t="n"/>
      <c r="AF48" s="67">
        <f>IF(A48&lt;&gt; "",IF(O48-AE48&gt;=0,O48-AE48,0),0)</f>
        <v/>
      </c>
      <c r="AG48" s="67">
        <f>IF(A48&lt;&gt; "",IF(O48-AE48&lt;=0,O48-AE48,0),0)</f>
        <v/>
      </c>
      <c r="AH48" s="1" t="n"/>
      <c r="AL48" s="1" t="n"/>
      <c r="AM48" s="1" t="n"/>
      <c r="AR48" t="n">
        <v>2</v>
      </c>
      <c r="AS48" s="152" t="n">
        <v>13644</v>
      </c>
    </row>
    <row r="49" ht="13.2" customHeight="1">
      <c r="A49" s="299" t="n">
        <v>60604672</v>
      </c>
      <c r="B49" s="299" t="inlineStr">
        <is>
          <t>51.1108.</t>
        </is>
      </c>
      <c r="C49" s="299" t="inlineStr">
        <is>
          <t>51.1109.</t>
        </is>
      </c>
      <c r="D49" s="300" t="inlineStr">
        <is>
          <t>Stockton - RWCF Phase 2A/2B</t>
        </is>
      </c>
      <c r="E49" s="300" t="inlineStr">
        <is>
          <t>AECOM Infrastructure &amp; WML</t>
        </is>
      </c>
      <c r="F49" s="298" t="n">
        <v>0.5</v>
      </c>
      <c r="G49" s="21" t="n"/>
      <c r="H49" s="138" t="n"/>
      <c r="I49" s="138" t="n"/>
      <c r="J49" s="142" t="n"/>
      <c r="K49" s="111" t="n"/>
      <c r="L49" s="142" t="n"/>
      <c r="M49" s="21" t="n"/>
      <c r="N49" s="293" t="n"/>
      <c r="O49" s="142" t="n"/>
      <c r="P49" s="142" t="n"/>
      <c r="Q49" s="143" t="n"/>
      <c r="R49" s="21" t="n"/>
      <c r="S49" s="110" t="n"/>
      <c r="T49" s="111" t="n"/>
      <c r="U49" s="143" t="n"/>
      <c r="V49" s="39" t="n"/>
      <c r="W49" s="110" t="n"/>
      <c r="X49" s="111" t="n"/>
      <c r="Y49" s="143" t="n"/>
      <c r="Z49" s="39" t="n"/>
      <c r="AA49" s="110" t="n"/>
      <c r="AB49" s="111" t="n"/>
      <c r="AC49" s="143" t="n"/>
      <c r="AE49" s="142" t="n"/>
      <c r="AF49" s="67" t="n"/>
      <c r="AG49" s="67" t="n"/>
      <c r="AH49" s="1" t="n"/>
      <c r="AL49" s="1" t="n"/>
      <c r="AM49" s="1" t="n"/>
      <c r="AR49" t="n">
        <v>2</v>
      </c>
      <c r="AS49" s="152" t="n">
        <v>13644</v>
      </c>
    </row>
    <row r="50" ht="13.2" customHeight="1">
      <c r="A50" t="n">
        <v>60604672</v>
      </c>
      <c r="B50" s="28" t="inlineStr">
        <is>
          <t>51.1108.</t>
        </is>
      </c>
      <c r="C50" s="28" t="inlineStr">
        <is>
          <t>51.1109.</t>
        </is>
      </c>
      <c r="D50" s="28" t="inlineStr">
        <is>
          <t>Stockton - RWCF Phase 2A/2B</t>
        </is>
      </c>
      <c r="E50" t="inlineStr">
        <is>
          <t>AECOM Infrastructure &amp; WML</t>
        </is>
      </c>
      <c r="F50" t="n">
        <v>0.5</v>
      </c>
      <c r="AL50" t="n">
        <v>0</v>
      </c>
      <c r="AR50" t="n">
        <v>2</v>
      </c>
      <c r="AS50" s="152" t="n">
        <v>13644</v>
      </c>
    </row>
    <row r="51">
      <c r="A51" t="n">
        <v>60604672</v>
      </c>
      <c r="B51" s="28" t="inlineStr">
        <is>
          <t>51.1108.</t>
        </is>
      </c>
      <c r="C51" s="28" t="inlineStr">
        <is>
          <t>51.1109.</t>
        </is>
      </c>
      <c r="D51" s="28" t="inlineStr">
        <is>
          <t>Stockton - RWCF Phase 2A/2B</t>
        </is>
      </c>
      <c r="E51" t="inlineStr">
        <is>
          <t>AECOM Infrastructure &amp; WML</t>
        </is>
      </c>
      <c r="F51" t="n">
        <v>0.5</v>
      </c>
      <c r="AL51" t="n">
        <v>0</v>
      </c>
      <c r="AR51" t="n">
        <v>2</v>
      </c>
      <c r="AS51" s="152" t="n">
        <v>13644</v>
      </c>
    </row>
    <row r="52" ht="13.2" customHeight="1">
      <c r="A52" s="1" t="n">
        <v>60604672</v>
      </c>
      <c r="B52" s="29" t="inlineStr">
        <is>
          <t>51.1108.</t>
        </is>
      </c>
      <c r="C52" s="29" t="inlineStr">
        <is>
          <t>51.1109.</t>
        </is>
      </c>
      <c r="D52" s="29" t="inlineStr">
        <is>
          <t>Stockton - RWCF Phase 2A/2B</t>
        </is>
      </c>
      <c r="E52" s="1" t="inlineStr">
        <is>
          <t>AECOM Infrastructure &amp; WML</t>
        </is>
      </c>
      <c r="F52" s="1" t="n">
        <v>0.5</v>
      </c>
      <c r="G52" s="1" t="n"/>
      <c r="H52" s="1" t="n"/>
      <c r="I52" s="1" t="n"/>
      <c r="S52" s="1" t="n"/>
      <c r="T52" s="1" t="n"/>
      <c r="U52" s="1" t="n"/>
      <c r="W52" s="1" t="n"/>
      <c r="X52" s="1" t="n"/>
      <c r="Y52" s="1" t="n"/>
      <c r="AA52" s="1" t="n"/>
      <c r="AB52" s="1" t="n"/>
      <c r="AC52" s="1" t="n"/>
      <c r="AL52" t="n">
        <v>0</v>
      </c>
      <c r="AR52" t="n">
        <v>2</v>
      </c>
      <c r="AS52" s="152" t="inlineStr">
        <is>
          <t>000000000001351D</t>
        </is>
      </c>
    </row>
    <row r="53">
      <c r="A53" t="n">
        <v>60604672</v>
      </c>
      <c r="B53" t="inlineStr">
        <is>
          <t>51.1108.</t>
        </is>
      </c>
      <c r="C53" t="inlineStr">
        <is>
          <t>51.1109.</t>
        </is>
      </c>
      <c r="D53" t="inlineStr">
        <is>
          <t>Stockton - RWCF Phase 2A/2B</t>
        </is>
      </c>
      <c r="E53" t="inlineStr">
        <is>
          <t>AECOM Infrastructure &amp; WML</t>
        </is>
      </c>
      <c r="F53" t="n">
        <v>0.5</v>
      </c>
      <c r="AL53" t="n">
        <v>0</v>
      </c>
      <c r="AR53" t="n">
        <v>2</v>
      </c>
      <c r="AS53" s="152" t="inlineStr">
        <is>
          <t>000000000001351D</t>
        </is>
      </c>
    </row>
    <row r="54">
      <c r="A54" t="n">
        <v>60604672</v>
      </c>
      <c r="B54" t="inlineStr">
        <is>
          <t>51.1108.</t>
        </is>
      </c>
      <c r="C54" t="inlineStr">
        <is>
          <t>51.1109.</t>
        </is>
      </c>
      <c r="D54" t="inlineStr">
        <is>
          <t>Stockton - RWCF Phase 2A/2B</t>
        </is>
      </c>
      <c r="E54" t="inlineStr">
        <is>
          <t>AECOM Infrastructure &amp; WML</t>
        </is>
      </c>
      <c r="F54" t="n">
        <v>0.5</v>
      </c>
      <c r="AL54" t="n">
        <v>0</v>
      </c>
      <c r="AR54" t="n">
        <v>2</v>
      </c>
      <c r="AS54" s="152" t="inlineStr">
        <is>
          <t>000000000001351D</t>
        </is>
      </c>
    </row>
    <row r="55">
      <c r="A55" t="n">
        <v>60604672</v>
      </c>
      <c r="B55" t="inlineStr">
        <is>
          <t>51.1108.</t>
        </is>
      </c>
      <c r="C55" t="inlineStr">
        <is>
          <t>51.1109.</t>
        </is>
      </c>
      <c r="D55" t="inlineStr">
        <is>
          <t>Stockton - RWCF Phase 2A/2B</t>
        </is>
      </c>
      <c r="E55" t="inlineStr">
        <is>
          <t>AECOM Infrastructure &amp; WML</t>
        </is>
      </c>
      <c r="F55" t="n">
        <v>0.5</v>
      </c>
      <c r="AL55" t="n">
        <v>0</v>
      </c>
      <c r="AR55" t="n">
        <v>2</v>
      </c>
      <c r="AS55" s="152" t="inlineStr">
        <is>
          <t>000000000001351D</t>
        </is>
      </c>
    </row>
    <row r="56">
      <c r="A56" t="n">
        <v>60604672</v>
      </c>
      <c r="B56" t="inlineStr">
        <is>
          <t>51.1108.</t>
        </is>
      </c>
      <c r="C56" t="inlineStr">
        <is>
          <t>51.1109.</t>
        </is>
      </c>
      <c r="D56" t="inlineStr">
        <is>
          <t>Stockton - RWCF Phase 2A/2B</t>
        </is>
      </c>
      <c r="E56" t="inlineStr">
        <is>
          <t>AECOM Infrastructure &amp; WML</t>
        </is>
      </c>
      <c r="F56" t="n">
        <v>0.5</v>
      </c>
      <c r="AL56" t="n">
        <v>0</v>
      </c>
      <c r="AR56" t="n">
        <v>2</v>
      </c>
      <c r="AS56" s="152" t="inlineStr">
        <is>
          <t>000000000001351D</t>
        </is>
      </c>
    </row>
    <row r="57">
      <c r="A57" t="n">
        <v>60667213</v>
      </c>
      <c r="B57" t="inlineStr">
        <is>
          <t>52.8563.</t>
        </is>
      </c>
      <c r="C57" t="inlineStr">
        <is>
          <t>52.8564.</t>
        </is>
      </c>
      <c r="D57" t="inlineStr">
        <is>
          <t>City of Santa Cruz - Graham Hill WTP Facility Improvements</t>
        </is>
      </c>
      <c r="E57" t="inlineStr">
        <is>
          <t>AECOM - W.M. Lyles VII</t>
        </is>
      </c>
      <c r="F57" t="n">
        <v>0.5</v>
      </c>
      <c r="AL57" t="n">
        <v>0</v>
      </c>
      <c r="AR57" t="n">
        <v>3</v>
      </c>
      <c r="AS57" s="152" t="inlineStr">
        <is>
          <t>000000000001351E</t>
        </is>
      </c>
    </row>
    <row r="58">
      <c r="A58" t="n">
        <v>60667213</v>
      </c>
      <c r="B58" t="inlineStr">
        <is>
          <t>52.8563.</t>
        </is>
      </c>
      <c r="C58" t="inlineStr">
        <is>
          <t>52.8564.</t>
        </is>
      </c>
      <c r="D58" t="inlineStr">
        <is>
          <t>City of Santa Cruz - Graham Hill WTP Facility Improvements</t>
        </is>
      </c>
      <c r="E58" t="inlineStr">
        <is>
          <t>AECOM - W.M. Lyles VII</t>
        </is>
      </c>
      <c r="F58" t="n">
        <v>0.5</v>
      </c>
      <c r="AL58" t="n">
        <v>0</v>
      </c>
      <c r="AR58" t="n">
        <v>3</v>
      </c>
      <c r="AS58" s="152" t="inlineStr">
        <is>
          <t>000000000001351E</t>
        </is>
      </c>
    </row>
    <row r="59">
      <c r="A59" t="n">
        <v>60667213</v>
      </c>
      <c r="B59" t="inlineStr">
        <is>
          <t>52.8563.</t>
        </is>
      </c>
      <c r="C59" t="inlineStr">
        <is>
          <t>52.8564.</t>
        </is>
      </c>
      <c r="D59" t="inlineStr">
        <is>
          <t>City of Santa Cruz - Graham Hill WTP Facility Improvements</t>
        </is>
      </c>
      <c r="E59" t="inlineStr">
        <is>
          <t>AECOM - W.M. Lyles VII</t>
        </is>
      </c>
      <c r="F59" t="n">
        <v>0.5</v>
      </c>
      <c r="AL59" t="n">
        <v>0</v>
      </c>
      <c r="AR59" t="n">
        <v>3</v>
      </c>
      <c r="AS59" s="152" t="inlineStr">
        <is>
          <t>000000000001351E</t>
        </is>
      </c>
    </row>
    <row r="60">
      <c r="A60" t="n">
        <v>60667213</v>
      </c>
      <c r="B60" t="inlineStr">
        <is>
          <t>52.8563.</t>
        </is>
      </c>
      <c r="C60" t="inlineStr">
        <is>
          <t>52.8564.</t>
        </is>
      </c>
      <c r="D60" t="inlineStr">
        <is>
          <t>City of Santa Cruz - Graham Hill WTP Facility Improvements</t>
        </is>
      </c>
      <c r="E60" t="inlineStr">
        <is>
          <t>AECOM - W.M. Lyles VII</t>
        </is>
      </c>
      <c r="F60" t="n">
        <v>0.5</v>
      </c>
      <c r="AL60" t="n">
        <v>0</v>
      </c>
      <c r="AR60" t="n">
        <v>3</v>
      </c>
      <c r="AS60" s="152" t="inlineStr">
        <is>
          <t>000000000001351E</t>
        </is>
      </c>
    </row>
    <row r="61">
      <c r="A61" t="n">
        <v>60667213</v>
      </c>
      <c r="B61" t="inlineStr">
        <is>
          <t>52.8563.</t>
        </is>
      </c>
      <c r="C61" t="inlineStr">
        <is>
          <t>52.8564.</t>
        </is>
      </c>
      <c r="D61" t="inlineStr">
        <is>
          <t>City of Santa Cruz - Graham Hill WTP Facility Improvements</t>
        </is>
      </c>
      <c r="E61" t="inlineStr">
        <is>
          <t>AECOM - W.M. Lyles VII</t>
        </is>
      </c>
      <c r="F61" t="n">
        <v>0.5</v>
      </c>
      <c r="AL61" t="n">
        <v>0</v>
      </c>
      <c r="AR61" t="n">
        <v>3</v>
      </c>
      <c r="AS61" t="inlineStr">
        <is>
          <t>000000000001351E</t>
        </is>
      </c>
    </row>
    <row r="62">
      <c r="A62" t="n">
        <v>60667213</v>
      </c>
      <c r="B62" t="inlineStr">
        <is>
          <t>52.8563.</t>
        </is>
      </c>
      <c r="C62" t="inlineStr">
        <is>
          <t>52.8564.</t>
        </is>
      </c>
      <c r="D62" t="inlineStr">
        <is>
          <t>City of Santa Cruz - Graham Hill WTP Facility Improvements</t>
        </is>
      </c>
      <c r="E62" t="inlineStr">
        <is>
          <t>AECOM - W.M. Lyles VII</t>
        </is>
      </c>
      <c r="F62" t="n">
        <v>0.5</v>
      </c>
      <c r="AL62" t="n">
        <v>0</v>
      </c>
      <c r="AR62" t="n">
        <v>3</v>
      </c>
      <c r="AS62" t="n">
        <v>13645</v>
      </c>
    </row>
    <row r="63">
      <c r="A63" t="n">
        <v>60667213</v>
      </c>
      <c r="B63" t="inlineStr">
        <is>
          <t>52.8563.</t>
        </is>
      </c>
      <c r="C63" t="inlineStr">
        <is>
          <t>52.8564.</t>
        </is>
      </c>
      <c r="D63" t="inlineStr">
        <is>
          <t>City of Santa Cruz - Graham Hill WTP Facility Improvements</t>
        </is>
      </c>
      <c r="E63" t="inlineStr">
        <is>
          <t>AECOM - W.M. Lyles VII</t>
        </is>
      </c>
      <c r="F63" t="n">
        <v>0.5</v>
      </c>
      <c r="AL63" t="n">
        <v>0</v>
      </c>
      <c r="AR63" t="n">
        <v>3</v>
      </c>
      <c r="AS63" t="n">
        <v>13645</v>
      </c>
    </row>
    <row r="64">
      <c r="A64" t="n">
        <v>60667213</v>
      </c>
      <c r="B64" t="inlineStr">
        <is>
          <t>52.8563.</t>
        </is>
      </c>
      <c r="C64" t="inlineStr">
        <is>
          <t>52.8564.</t>
        </is>
      </c>
      <c r="D64" t="inlineStr">
        <is>
          <t>City of Santa Cruz - Graham Hill WTP Facility Improvements</t>
        </is>
      </c>
      <c r="E64" t="inlineStr">
        <is>
          <t>AECOM - W.M. Lyles VII</t>
        </is>
      </c>
      <c r="F64" t="n">
        <v>0.5</v>
      </c>
      <c r="AL64" t="n">
        <v>0</v>
      </c>
      <c r="AR64" t="n">
        <v>3</v>
      </c>
      <c r="AS64" t="n">
        <v>13645</v>
      </c>
    </row>
    <row r="65">
      <c r="A65" t="n">
        <v>60667213</v>
      </c>
      <c r="B65" t="inlineStr">
        <is>
          <t>52.8563.</t>
        </is>
      </c>
      <c r="C65" t="inlineStr">
        <is>
          <t>52.8564.</t>
        </is>
      </c>
      <c r="D65" t="inlineStr">
        <is>
          <t>City of Santa Cruz - Graham Hill WTP Facility Improvements</t>
        </is>
      </c>
      <c r="E65" t="inlineStr">
        <is>
          <t>AECOM - W.M. Lyles VII</t>
        </is>
      </c>
      <c r="F65" t="n">
        <v>0.5</v>
      </c>
      <c r="AL65" t="n">
        <v>0</v>
      </c>
      <c r="AR65" t="n">
        <v>3</v>
      </c>
      <c r="AS65" t="n">
        <v>13645</v>
      </c>
    </row>
    <row r="66">
      <c r="A66" t="n">
        <v>60667213</v>
      </c>
      <c r="B66" t="inlineStr">
        <is>
          <t>52.8563.</t>
        </is>
      </c>
      <c r="C66" t="inlineStr">
        <is>
          <t>52.8564.</t>
        </is>
      </c>
      <c r="D66" t="inlineStr">
        <is>
          <t>City of Santa Cruz - Graham Hill WTP Facility Improvements</t>
        </is>
      </c>
      <c r="E66" t="inlineStr">
        <is>
          <t>AECOM - W.M. Lyles VII</t>
        </is>
      </c>
      <c r="F66" t="n">
        <v>0.5</v>
      </c>
      <c r="AL66" t="n">
        <v>0</v>
      </c>
      <c r="AR66" t="n">
        <v>3</v>
      </c>
      <c r="AS66" t="n">
        <v>13645</v>
      </c>
    </row>
    <row r="67">
      <c r="A67" t="n">
        <v>60667213</v>
      </c>
      <c r="B67" t="inlineStr">
        <is>
          <t>52.8563.</t>
        </is>
      </c>
      <c r="C67" t="inlineStr">
        <is>
          <t>52.8564.</t>
        </is>
      </c>
      <c r="D67" t="inlineStr">
        <is>
          <t>City of Santa Cruz - Graham Hill WTP Facility Improvements</t>
        </is>
      </c>
      <c r="E67" t="inlineStr">
        <is>
          <t>AECOM - W.M. Lyles VII</t>
        </is>
      </c>
      <c r="F67" t="n">
        <v>0.5</v>
      </c>
      <c r="AL67" t="n">
        <v>0</v>
      </c>
      <c r="AR67" t="n">
        <v>3</v>
      </c>
      <c r="AS67" t="inlineStr">
        <is>
          <t>000000000001340B</t>
        </is>
      </c>
    </row>
    <row r="68">
      <c r="A68" t="n">
        <v>60667213</v>
      </c>
      <c r="B68" t="inlineStr">
        <is>
          <t>52.8563.</t>
        </is>
      </c>
      <c r="C68" t="inlineStr">
        <is>
          <t>52.8564.</t>
        </is>
      </c>
      <c r="D68" t="inlineStr">
        <is>
          <t>City of Santa Cruz - Graham Hill WTP Facility Improvements</t>
        </is>
      </c>
      <c r="E68" t="inlineStr">
        <is>
          <t>AECOM - W.M. Lyles VII</t>
        </is>
      </c>
      <c r="F68" t="n">
        <v>0.5</v>
      </c>
      <c r="AL68" t="n">
        <v>0</v>
      </c>
      <c r="AR68" t="n">
        <v>3</v>
      </c>
      <c r="AS68" t="inlineStr">
        <is>
          <t>000000000001340B</t>
        </is>
      </c>
    </row>
    <row r="69">
      <c r="A69" t="n">
        <v>60667213</v>
      </c>
      <c r="B69" t="inlineStr">
        <is>
          <t>52.8563.</t>
        </is>
      </c>
      <c r="C69" t="inlineStr">
        <is>
          <t>52.8564.</t>
        </is>
      </c>
      <c r="D69" t="inlineStr">
        <is>
          <t>City of Santa Cruz - Graham Hill WTP Facility Improvements</t>
        </is>
      </c>
      <c r="E69" t="inlineStr">
        <is>
          <t>AECOM - W.M. Lyles VII</t>
        </is>
      </c>
      <c r="F69" t="n">
        <v>0.5</v>
      </c>
      <c r="AL69" t="n">
        <v>0</v>
      </c>
      <c r="AR69" t="n">
        <v>3</v>
      </c>
      <c r="AS69" t="inlineStr">
        <is>
          <t>000000000001340B</t>
        </is>
      </c>
    </row>
    <row r="70">
      <c r="A70" t="n">
        <v>60667213</v>
      </c>
      <c r="B70" t="inlineStr">
        <is>
          <t>52.8563.</t>
        </is>
      </c>
      <c r="C70" t="inlineStr">
        <is>
          <t>52.8564.</t>
        </is>
      </c>
      <c r="D70" t="inlineStr">
        <is>
          <t>City of Santa Cruz - Graham Hill WTP Facility Improvements</t>
        </is>
      </c>
      <c r="E70" t="inlineStr">
        <is>
          <t>AECOM - W.M. Lyles VII</t>
        </is>
      </c>
      <c r="F70" t="n">
        <v>0.5</v>
      </c>
      <c r="AL70" t="n">
        <v>0</v>
      </c>
      <c r="AR70" t="n">
        <v>3</v>
      </c>
      <c r="AS70" t="inlineStr">
        <is>
          <t>000000000001340B</t>
        </is>
      </c>
    </row>
    <row r="71">
      <c r="A71" t="n">
        <v>60667213</v>
      </c>
      <c r="B71" t="inlineStr">
        <is>
          <t>52.8563.</t>
        </is>
      </c>
      <c r="C71" t="inlineStr">
        <is>
          <t>52.8564.</t>
        </is>
      </c>
      <c r="D71" t="inlineStr">
        <is>
          <t>City of Santa Cruz - Graham Hill WTP Facility Improvements</t>
        </is>
      </c>
      <c r="E71" t="inlineStr">
        <is>
          <t>AECOM - W.M. Lyles VII</t>
        </is>
      </c>
      <c r="F71" t="n">
        <v>0.5</v>
      </c>
      <c r="AL71" t="n">
        <v>0</v>
      </c>
      <c r="AR71" t="n">
        <v>3</v>
      </c>
      <c r="AS71" t="inlineStr">
        <is>
          <t>000000000001340B</t>
        </is>
      </c>
    </row>
    <row r="72">
      <c r="A72" t="n">
        <v>60667213</v>
      </c>
      <c r="B72" t="inlineStr">
        <is>
          <t>52.8563.</t>
        </is>
      </c>
      <c r="C72" t="inlineStr">
        <is>
          <t>52.8564.</t>
        </is>
      </c>
      <c r="D72" t="inlineStr">
        <is>
          <t>City of Santa Cruz - Graham Hill WTP Facility Improvements</t>
        </is>
      </c>
      <c r="E72" t="inlineStr">
        <is>
          <t>AECOM - W.M. Lyles VII</t>
        </is>
      </c>
      <c r="F72" t="n">
        <v>0.5</v>
      </c>
      <c r="AL72" t="n">
        <v>0</v>
      </c>
      <c r="AR72" t="n">
        <v>3</v>
      </c>
      <c r="AS72" t="n">
        <v>13631</v>
      </c>
    </row>
    <row r="73">
      <c r="A73" t="n">
        <v>60667213</v>
      </c>
      <c r="B73" t="inlineStr">
        <is>
          <t>52.8563.</t>
        </is>
      </c>
      <c r="C73" t="inlineStr">
        <is>
          <t>52.8564.</t>
        </is>
      </c>
      <c r="D73" t="inlineStr">
        <is>
          <t>City of Santa Cruz - Graham Hill WTP Facility Improvements</t>
        </is>
      </c>
      <c r="E73" t="inlineStr">
        <is>
          <t>AECOM - W.M. Lyles VII</t>
        </is>
      </c>
      <c r="F73" t="n">
        <v>0.5</v>
      </c>
      <c r="AL73" t="n">
        <v>0</v>
      </c>
      <c r="AR73" t="n">
        <v>3</v>
      </c>
      <c r="AS73" t="n">
        <v>13631</v>
      </c>
    </row>
    <row r="74">
      <c r="A74" t="n">
        <v>60667213</v>
      </c>
      <c r="B74" t="inlineStr">
        <is>
          <t>52.8563.</t>
        </is>
      </c>
      <c r="C74" t="inlineStr">
        <is>
          <t>52.8564.</t>
        </is>
      </c>
      <c r="D74" t="inlineStr">
        <is>
          <t>City of Santa Cruz - Graham Hill WTP Facility Improvements</t>
        </is>
      </c>
      <c r="E74" t="inlineStr">
        <is>
          <t>AECOM - W.M. Lyles VII</t>
        </is>
      </c>
      <c r="F74" t="n">
        <v>0.5</v>
      </c>
      <c r="AL74" t="n">
        <v>0</v>
      </c>
      <c r="AR74" t="n">
        <v>3</v>
      </c>
      <c r="AS74" t="n">
        <v>13631</v>
      </c>
    </row>
    <row r="75">
      <c r="A75" t="n">
        <v>60667213</v>
      </c>
      <c r="B75" t="inlineStr">
        <is>
          <t>52.8563.</t>
        </is>
      </c>
      <c r="C75" t="inlineStr">
        <is>
          <t>52.8564.</t>
        </is>
      </c>
      <c r="D75" t="inlineStr">
        <is>
          <t>City of Santa Cruz - Graham Hill WTP Facility Improvements</t>
        </is>
      </c>
      <c r="E75" t="inlineStr">
        <is>
          <t>AECOM - W.M. Lyles VII</t>
        </is>
      </c>
      <c r="F75" t="n">
        <v>0.5</v>
      </c>
      <c r="AL75" t="n">
        <v>0</v>
      </c>
      <c r="AR75" t="n">
        <v>3</v>
      </c>
      <c r="AS75" t="n">
        <v>13631</v>
      </c>
    </row>
    <row r="76">
      <c r="A76" t="n">
        <v>60667213</v>
      </c>
      <c r="B76" t="inlineStr">
        <is>
          <t>52.8563.</t>
        </is>
      </c>
      <c r="C76" t="inlineStr">
        <is>
          <t>52.8564.</t>
        </is>
      </c>
      <c r="D76" t="inlineStr">
        <is>
          <t>City of Santa Cruz - Graham Hill WTP Facility Improvements</t>
        </is>
      </c>
      <c r="E76" t="inlineStr">
        <is>
          <t>AECOM - W.M. Lyles VII</t>
        </is>
      </c>
      <c r="F76" t="n">
        <v>0.5</v>
      </c>
      <c r="AL76" t="n">
        <v>0</v>
      </c>
      <c r="AR76" t="n">
        <v>3</v>
      </c>
      <c r="AS76" t="n">
        <v>13631</v>
      </c>
    </row>
    <row r="77">
      <c r="A77" t="n">
        <v>60667213</v>
      </c>
      <c r="B77" t="inlineStr">
        <is>
          <t>52.8563.</t>
        </is>
      </c>
      <c r="C77" t="inlineStr">
        <is>
          <t>52.8564.</t>
        </is>
      </c>
      <c r="D77" t="inlineStr">
        <is>
          <t>City of Santa Cruz - Graham Hill WTP Facility Improvements</t>
        </is>
      </c>
      <c r="E77" t="inlineStr">
        <is>
          <t>AECOM - W.M. Lyles VII</t>
        </is>
      </c>
      <c r="F77" t="n">
        <v>0.5</v>
      </c>
      <c r="AL77" t="n">
        <v>0</v>
      </c>
      <c r="AR77" t="n">
        <v>3</v>
      </c>
      <c r="AS77" t="inlineStr">
        <is>
          <t>000000000001363B</t>
        </is>
      </c>
    </row>
    <row r="78">
      <c r="A78" t="n">
        <v>60667213</v>
      </c>
      <c r="B78" t="inlineStr">
        <is>
          <t>52.8563.</t>
        </is>
      </c>
      <c r="C78" t="inlineStr">
        <is>
          <t>52.8564.</t>
        </is>
      </c>
      <c r="D78" t="inlineStr">
        <is>
          <t>City of Santa Cruz - Graham Hill WTP Facility Improvements</t>
        </is>
      </c>
      <c r="E78" t="inlineStr">
        <is>
          <t>AECOM - W.M. Lyles VII</t>
        </is>
      </c>
      <c r="F78" t="n">
        <v>0.5</v>
      </c>
      <c r="AL78" t="n">
        <v>0</v>
      </c>
      <c r="AR78" t="n">
        <v>3</v>
      </c>
      <c r="AS78" t="inlineStr">
        <is>
          <t>000000000001363B</t>
        </is>
      </c>
    </row>
    <row r="79">
      <c r="A79" t="n">
        <v>60667213</v>
      </c>
      <c r="B79" t="inlineStr">
        <is>
          <t>52.8563.</t>
        </is>
      </c>
      <c r="C79" t="inlineStr">
        <is>
          <t>52.8564.</t>
        </is>
      </c>
      <c r="D79" t="inlineStr">
        <is>
          <t>City of Santa Cruz - Graham Hill WTP Facility Improvements</t>
        </is>
      </c>
      <c r="E79" t="inlineStr">
        <is>
          <t>AECOM - W.M. Lyles VII</t>
        </is>
      </c>
      <c r="F79" t="n">
        <v>0.5</v>
      </c>
      <c r="AL79" t="n">
        <v>0</v>
      </c>
      <c r="AR79" t="n">
        <v>3</v>
      </c>
      <c r="AS79" t="inlineStr">
        <is>
          <t>000000000001363B</t>
        </is>
      </c>
    </row>
    <row r="80">
      <c r="A80" t="n">
        <v>60667213</v>
      </c>
      <c r="B80" t="inlineStr">
        <is>
          <t>52.8563.</t>
        </is>
      </c>
      <c r="C80" t="inlineStr">
        <is>
          <t>52.8564.</t>
        </is>
      </c>
      <c r="D80" t="inlineStr">
        <is>
          <t>City of Santa Cruz - Graham Hill WTP Facility Improvements</t>
        </is>
      </c>
      <c r="E80" t="inlineStr">
        <is>
          <t>AECOM - W.M. Lyles VII</t>
        </is>
      </c>
      <c r="F80" t="n">
        <v>0.5</v>
      </c>
      <c r="AL80" t="n">
        <v>0</v>
      </c>
      <c r="AR80" t="n">
        <v>3</v>
      </c>
      <c r="AS80" t="inlineStr">
        <is>
          <t>000000000001363B</t>
        </is>
      </c>
    </row>
    <row r="81">
      <c r="A81" t="n">
        <v>60667213</v>
      </c>
      <c r="B81" t="inlineStr">
        <is>
          <t>52.8563.</t>
        </is>
      </c>
      <c r="C81" t="inlineStr">
        <is>
          <t>52.8564.</t>
        </is>
      </c>
      <c r="D81" t="inlineStr">
        <is>
          <t>City of Santa Cruz - Graham Hill WTP Facility Improvements</t>
        </is>
      </c>
      <c r="E81" t="inlineStr">
        <is>
          <t>AECOM - W.M. Lyles VII</t>
        </is>
      </c>
      <c r="F81" t="n">
        <v>0.5</v>
      </c>
      <c r="AL81" t="n">
        <v>0</v>
      </c>
      <c r="AR81" t="n">
        <v>3</v>
      </c>
      <c r="AS81" t="inlineStr">
        <is>
          <t>000000000001363B</t>
        </is>
      </c>
    </row>
    <row r="82">
      <c r="A82" t="n">
        <v>60685827</v>
      </c>
      <c r="B82" t="inlineStr">
        <is>
          <t>55.1204.</t>
        </is>
      </c>
      <c r="C82" t="inlineStr">
        <is>
          <t>55.1205.</t>
        </is>
      </c>
      <c r="D82" t="inlineStr">
        <is>
          <t xml:space="preserve">East County Advanced Water Purification Project - Package 3 </t>
        </is>
      </c>
      <c r="E82" t="inlineStr">
        <is>
          <t>AECOM - W.M. Lyles VI</t>
        </is>
      </c>
      <c r="F82" t="n">
        <v>0.5</v>
      </c>
      <c r="AL82" t="n">
        <v>0</v>
      </c>
      <c r="AR82" t="n">
        <v>4</v>
      </c>
      <c r="AS82" t="inlineStr">
        <is>
          <t>000000000001363C</t>
        </is>
      </c>
    </row>
    <row r="83">
      <c r="A83" t="n">
        <v>60685827</v>
      </c>
      <c r="B83" t="inlineStr">
        <is>
          <t>55.1204.</t>
        </is>
      </c>
      <c r="C83" t="inlineStr">
        <is>
          <t>55.1205.</t>
        </is>
      </c>
      <c r="D83" t="inlineStr">
        <is>
          <t xml:space="preserve">East County Advanced Water Purification Project - Package 3 </t>
        </is>
      </c>
      <c r="E83" t="inlineStr">
        <is>
          <t>AECOM - W.M. Lyles VI</t>
        </is>
      </c>
      <c r="F83" t="n">
        <v>0.5</v>
      </c>
      <c r="AL83" t="n">
        <v>0</v>
      </c>
      <c r="AR83" t="n">
        <v>4</v>
      </c>
      <c r="AS83" t="inlineStr">
        <is>
          <t>000000000001363C</t>
        </is>
      </c>
    </row>
    <row r="84">
      <c r="A84" t="n">
        <v>60685827</v>
      </c>
      <c r="B84" t="inlineStr">
        <is>
          <t>55.1204.</t>
        </is>
      </c>
      <c r="C84" t="inlineStr">
        <is>
          <t>55.1205.</t>
        </is>
      </c>
      <c r="D84" t="inlineStr">
        <is>
          <t xml:space="preserve">East County Advanced Water Purification Project - Package 3 </t>
        </is>
      </c>
      <c r="E84" t="inlineStr">
        <is>
          <t>AECOM - W.M. Lyles VI</t>
        </is>
      </c>
      <c r="F84" t="n">
        <v>0.5</v>
      </c>
      <c r="AL84" t="n">
        <v>0</v>
      </c>
      <c r="AR84" t="n">
        <v>4</v>
      </c>
      <c r="AS84" t="inlineStr">
        <is>
          <t>000000000001363C</t>
        </is>
      </c>
    </row>
    <row r="85">
      <c r="A85" t="n">
        <v>60685827</v>
      </c>
      <c r="B85" t="inlineStr">
        <is>
          <t>55.1204.</t>
        </is>
      </c>
      <c r="C85" t="inlineStr">
        <is>
          <t>55.1205.</t>
        </is>
      </c>
      <c r="D85" t="inlineStr">
        <is>
          <t xml:space="preserve">East County Advanced Water Purification Project - Package 3 </t>
        </is>
      </c>
      <c r="E85" t="inlineStr">
        <is>
          <t>AECOM - W.M. Lyles VI</t>
        </is>
      </c>
      <c r="F85" t="n">
        <v>0.5</v>
      </c>
      <c r="AL85" t="n">
        <v>0</v>
      </c>
      <c r="AR85" t="n">
        <v>4</v>
      </c>
      <c r="AS85" t="inlineStr">
        <is>
          <t>000000000001363C</t>
        </is>
      </c>
    </row>
    <row r="86">
      <c r="A86" t="n">
        <v>60685827</v>
      </c>
      <c r="B86" t="inlineStr">
        <is>
          <t>55.1204.</t>
        </is>
      </c>
      <c r="C86" t="inlineStr">
        <is>
          <t>55.1205.</t>
        </is>
      </c>
      <c r="D86" t="inlineStr">
        <is>
          <t xml:space="preserve">East County Advanced Water Purification Project - Package 3 </t>
        </is>
      </c>
      <c r="E86" t="inlineStr">
        <is>
          <t>AECOM - W.M. Lyles VI</t>
        </is>
      </c>
      <c r="F86" t="n">
        <v>0.5</v>
      </c>
      <c r="AL86" t="n">
        <v>0</v>
      </c>
      <c r="AR86" t="n">
        <v>4</v>
      </c>
      <c r="AS86" t="inlineStr">
        <is>
          <t>000000000001363C</t>
        </is>
      </c>
    </row>
    <row r="87">
      <c r="A87" t="n">
        <v>60685827</v>
      </c>
      <c r="B87" t="inlineStr">
        <is>
          <t>55.1204.</t>
        </is>
      </c>
      <c r="C87" t="inlineStr">
        <is>
          <t>55.1205.</t>
        </is>
      </c>
      <c r="D87" t="inlineStr">
        <is>
          <t xml:space="preserve">East County Advanced Water Purification Project - Package 3 </t>
        </is>
      </c>
      <c r="E87" t="inlineStr">
        <is>
          <t>AECOM - W.M. Lyles VI</t>
        </is>
      </c>
      <c r="F87" t="n">
        <v>0.5</v>
      </c>
      <c r="AL87" t="n">
        <v>0</v>
      </c>
      <c r="AR87" t="n">
        <v>4</v>
      </c>
      <c r="AS87" s="152" t="n">
        <v>13632</v>
      </c>
    </row>
    <row r="88">
      <c r="A88" t="n">
        <v>60685827</v>
      </c>
      <c r="B88" t="inlineStr">
        <is>
          <t>55.1204.</t>
        </is>
      </c>
      <c r="C88" t="inlineStr">
        <is>
          <t>55.1205.</t>
        </is>
      </c>
      <c r="D88" t="inlineStr">
        <is>
          <t xml:space="preserve">East County Advanced Water Purification Project - Package 3 </t>
        </is>
      </c>
      <c r="E88" t="inlineStr">
        <is>
          <t>AECOM - W.M. Lyles VI</t>
        </is>
      </c>
      <c r="F88" t="n">
        <v>0.5</v>
      </c>
      <c r="AL88" t="n">
        <v>0</v>
      </c>
      <c r="AR88" t="n">
        <v>4</v>
      </c>
      <c r="AS88" s="152" t="n">
        <v>13632</v>
      </c>
    </row>
    <row r="89">
      <c r="A89" t="n">
        <v>60685827</v>
      </c>
      <c r="B89" t="inlineStr">
        <is>
          <t>55.1204.</t>
        </is>
      </c>
      <c r="C89" t="inlineStr">
        <is>
          <t>55.1205.</t>
        </is>
      </c>
      <c r="D89" t="inlineStr">
        <is>
          <t xml:space="preserve">East County Advanced Water Purification Project - Package 3 </t>
        </is>
      </c>
      <c r="E89" t="inlineStr">
        <is>
          <t>AECOM - W.M. Lyles VI</t>
        </is>
      </c>
      <c r="F89" t="n">
        <v>0.5</v>
      </c>
      <c r="AL89" t="n">
        <v>0</v>
      </c>
      <c r="AR89" t="n">
        <v>4</v>
      </c>
      <c r="AS89" s="152" t="n">
        <v>13632</v>
      </c>
    </row>
    <row r="90">
      <c r="A90" t="n">
        <v>60685827</v>
      </c>
      <c r="B90" t="inlineStr">
        <is>
          <t>55.1204.</t>
        </is>
      </c>
      <c r="C90" t="inlineStr">
        <is>
          <t>55.1205.</t>
        </is>
      </c>
      <c r="D90" t="inlineStr">
        <is>
          <t xml:space="preserve">East County Advanced Water Purification Project - Package 3 </t>
        </is>
      </c>
      <c r="E90" t="inlineStr">
        <is>
          <t>AECOM - W.M. Lyles VI</t>
        </is>
      </c>
      <c r="F90" t="n">
        <v>0.5</v>
      </c>
      <c r="AL90" t="n">
        <v>0</v>
      </c>
      <c r="AR90" t="n">
        <v>4</v>
      </c>
      <c r="AS90" s="152" t="n">
        <v>13632</v>
      </c>
    </row>
    <row r="91">
      <c r="A91" t="n">
        <v>60685827</v>
      </c>
      <c r="B91" t="inlineStr">
        <is>
          <t>55.1204.</t>
        </is>
      </c>
      <c r="C91" t="inlineStr">
        <is>
          <t>55.1205.</t>
        </is>
      </c>
      <c r="D91" t="inlineStr">
        <is>
          <t xml:space="preserve">East County Advanced Water Purification Project - Package 3 </t>
        </is>
      </c>
      <c r="E91" t="inlineStr">
        <is>
          <t>AECOM - W.M. Lyles VI</t>
        </is>
      </c>
      <c r="F91" t="n">
        <v>0.5</v>
      </c>
      <c r="AL91" t="n">
        <v>0</v>
      </c>
      <c r="AR91" t="n">
        <v>4</v>
      </c>
      <c r="AS91" s="152" t="n">
        <v>13632</v>
      </c>
    </row>
    <row r="92">
      <c r="A92" t="n">
        <v>60685827</v>
      </c>
      <c r="B92" t="inlineStr">
        <is>
          <t>55.1204.</t>
        </is>
      </c>
      <c r="C92" t="inlineStr">
        <is>
          <t>55.1205.</t>
        </is>
      </c>
      <c r="D92" t="inlineStr">
        <is>
          <t xml:space="preserve">East County Advanced Water Purification Project - Package 3 </t>
        </is>
      </c>
      <c r="E92" t="inlineStr">
        <is>
          <t>AECOM - W.M. Lyles VI</t>
        </is>
      </c>
      <c r="F92" t="n">
        <v>0.5</v>
      </c>
      <c r="AL92" t="n">
        <v>0</v>
      </c>
      <c r="AR92" t="n">
        <v>4</v>
      </c>
      <c r="AS92" s="152" t="inlineStr">
        <is>
          <t>000000000001340C</t>
        </is>
      </c>
    </row>
    <row r="93">
      <c r="A93" t="n">
        <v>60685827</v>
      </c>
      <c r="B93" t="inlineStr">
        <is>
          <t>55.1204.</t>
        </is>
      </c>
      <c r="C93" t="inlineStr">
        <is>
          <t>55.1205.</t>
        </is>
      </c>
      <c r="D93" t="inlineStr">
        <is>
          <t xml:space="preserve">East County Advanced Water Purification Project - Package 3 </t>
        </is>
      </c>
      <c r="E93" t="inlineStr">
        <is>
          <t>AECOM - W.M. Lyles VI</t>
        </is>
      </c>
      <c r="F93" t="n">
        <v>0.5</v>
      </c>
      <c r="AL93" t="n">
        <v>0</v>
      </c>
      <c r="AR93" t="n">
        <v>4</v>
      </c>
      <c r="AS93" s="152" t="inlineStr">
        <is>
          <t>000000000001340C</t>
        </is>
      </c>
    </row>
    <row r="94">
      <c r="A94" t="n">
        <v>60685827</v>
      </c>
      <c r="B94" t="inlineStr">
        <is>
          <t>55.1204.</t>
        </is>
      </c>
      <c r="C94" t="inlineStr">
        <is>
          <t>55.1205.</t>
        </is>
      </c>
      <c r="D94" t="inlineStr">
        <is>
          <t xml:space="preserve">East County Advanced Water Purification Project - Package 3 </t>
        </is>
      </c>
      <c r="E94" t="inlineStr">
        <is>
          <t>AECOM - W.M. Lyles VI</t>
        </is>
      </c>
      <c r="F94" t="n">
        <v>0.5</v>
      </c>
      <c r="AL94" t="n">
        <v>0</v>
      </c>
      <c r="AR94" t="n">
        <v>4</v>
      </c>
      <c r="AS94" s="152" t="inlineStr">
        <is>
          <t>000000000001340C</t>
        </is>
      </c>
    </row>
    <row r="95">
      <c r="A95" t="n">
        <v>60685827</v>
      </c>
      <c r="B95" t="inlineStr">
        <is>
          <t>55.1204.</t>
        </is>
      </c>
      <c r="C95" t="inlineStr">
        <is>
          <t>55.1205.</t>
        </is>
      </c>
      <c r="D95" t="inlineStr">
        <is>
          <t xml:space="preserve">East County Advanced Water Purification Project - Package 3 </t>
        </is>
      </c>
      <c r="E95" t="inlineStr">
        <is>
          <t>AECOM - W.M. Lyles VI</t>
        </is>
      </c>
      <c r="F95" t="n">
        <v>0.5</v>
      </c>
      <c r="AL95" t="n">
        <v>0</v>
      </c>
      <c r="AR95" t="n">
        <v>4</v>
      </c>
      <c r="AS95" s="152" t="inlineStr">
        <is>
          <t>000000000001340C</t>
        </is>
      </c>
    </row>
    <row r="96">
      <c r="A96" t="n">
        <v>60685827</v>
      </c>
      <c r="B96" t="inlineStr">
        <is>
          <t>55.1204.</t>
        </is>
      </c>
      <c r="C96" t="inlineStr">
        <is>
          <t>55.1205.</t>
        </is>
      </c>
      <c r="D96" t="inlineStr">
        <is>
          <t xml:space="preserve">East County Advanced Water Purification Project - Package 3 </t>
        </is>
      </c>
      <c r="E96" t="inlineStr">
        <is>
          <t>AECOM - W.M. Lyles VI</t>
        </is>
      </c>
      <c r="F96" t="n">
        <v>0.5</v>
      </c>
      <c r="AL96" t="n">
        <v>0</v>
      </c>
      <c r="AR96" t="n">
        <v>4</v>
      </c>
      <c r="AS96" s="152" t="inlineStr">
        <is>
          <t>000000000001340C</t>
        </is>
      </c>
    </row>
    <row r="97">
      <c r="A97" t="n">
        <v>60685827</v>
      </c>
      <c r="B97" t="inlineStr">
        <is>
          <t>55.1204.</t>
        </is>
      </c>
      <c r="C97" t="inlineStr">
        <is>
          <t>55.1205.</t>
        </is>
      </c>
      <c r="D97" t="inlineStr">
        <is>
          <t xml:space="preserve">East County Advanced Water Purification Project - Package 3 </t>
        </is>
      </c>
      <c r="E97" t="inlineStr">
        <is>
          <t>AECOM - W.M. Lyles VI</t>
        </is>
      </c>
      <c r="F97" t="n">
        <v>0.5</v>
      </c>
      <c r="AL97" t="n">
        <v>0</v>
      </c>
      <c r="AR97" t="n">
        <v>4</v>
      </c>
      <c r="AS97" s="152" t="n">
        <v>13646</v>
      </c>
    </row>
    <row r="98">
      <c r="A98" t="n">
        <v>60685827</v>
      </c>
      <c r="B98" t="inlineStr">
        <is>
          <t>55.1204.</t>
        </is>
      </c>
      <c r="C98" t="inlineStr">
        <is>
          <t>55.1205.</t>
        </is>
      </c>
      <c r="D98" t="inlineStr">
        <is>
          <t xml:space="preserve">East County Advanced Water Purification Project - Package 3 </t>
        </is>
      </c>
      <c r="E98" t="inlineStr">
        <is>
          <t>AECOM - W.M. Lyles VI</t>
        </is>
      </c>
      <c r="F98" t="n">
        <v>0.5</v>
      </c>
      <c r="AL98" t="n">
        <v>0</v>
      </c>
      <c r="AR98" t="n">
        <v>4</v>
      </c>
      <c r="AS98" s="152" t="n">
        <v>13646</v>
      </c>
    </row>
    <row r="99">
      <c r="A99" t="n">
        <v>60685827</v>
      </c>
      <c r="B99" t="inlineStr">
        <is>
          <t>55.1204.</t>
        </is>
      </c>
      <c r="C99" t="inlineStr">
        <is>
          <t>55.1205.</t>
        </is>
      </c>
      <c r="D99" t="inlineStr">
        <is>
          <t xml:space="preserve">East County Advanced Water Purification Project - Package 3 </t>
        </is>
      </c>
      <c r="E99" t="inlineStr">
        <is>
          <t>AECOM - W.M. Lyles VI</t>
        </is>
      </c>
      <c r="F99" t="n">
        <v>0.5</v>
      </c>
      <c r="AL99" t="n">
        <v>0</v>
      </c>
      <c r="AR99" t="n">
        <v>4</v>
      </c>
      <c r="AS99" s="152" t="n">
        <v>13646</v>
      </c>
    </row>
    <row r="100">
      <c r="A100" t="n">
        <v>60685827</v>
      </c>
      <c r="B100" t="inlineStr">
        <is>
          <t>55.1204.</t>
        </is>
      </c>
      <c r="C100" t="inlineStr">
        <is>
          <t>55.1205.</t>
        </is>
      </c>
      <c r="D100" t="inlineStr">
        <is>
          <t xml:space="preserve">East County Advanced Water Purification Project - Package 3 </t>
        </is>
      </c>
      <c r="E100" t="inlineStr">
        <is>
          <t>AECOM - W.M. Lyles VI</t>
        </is>
      </c>
      <c r="F100" t="n">
        <v>0.5</v>
      </c>
      <c r="AL100" t="n">
        <v>0</v>
      </c>
      <c r="AR100" t="n">
        <v>4</v>
      </c>
      <c r="AS100" s="152" t="n">
        <v>13646</v>
      </c>
    </row>
    <row r="101">
      <c r="A101" t="n">
        <v>60685827</v>
      </c>
      <c r="B101" t="inlineStr">
        <is>
          <t>55.1204.</t>
        </is>
      </c>
      <c r="C101" t="inlineStr">
        <is>
          <t>55.1205.</t>
        </is>
      </c>
      <c r="D101" t="inlineStr">
        <is>
          <t xml:space="preserve">East County Advanced Water Purification Project - Package 3 </t>
        </is>
      </c>
      <c r="E101" t="inlineStr">
        <is>
          <t>AECOM - W.M. Lyles VI</t>
        </is>
      </c>
      <c r="F101" t="n">
        <v>0.5</v>
      </c>
      <c r="AL101" t="n">
        <v>0</v>
      </c>
      <c r="AR101" t="n">
        <v>4</v>
      </c>
      <c r="AS101" s="152" t="n">
        <v>13646</v>
      </c>
    </row>
    <row r="102">
      <c r="A102" t="n">
        <v>60685827</v>
      </c>
      <c r="B102" t="inlineStr">
        <is>
          <t>55.1204.</t>
        </is>
      </c>
      <c r="C102" t="inlineStr">
        <is>
          <t>55.1205.</t>
        </is>
      </c>
      <c r="D102" t="inlineStr">
        <is>
          <t xml:space="preserve">East County Advanced Water Purification Project - Package 3 </t>
        </is>
      </c>
      <c r="E102" t="inlineStr">
        <is>
          <t>AECOM - W.M. Lyles VI</t>
        </is>
      </c>
      <c r="F102" t="n">
        <v>0.5</v>
      </c>
      <c r="AL102" t="n">
        <v>0</v>
      </c>
      <c r="AR102" t="n">
        <v>4</v>
      </c>
      <c r="AS102" s="152" t="inlineStr">
        <is>
          <t>000000000001351F</t>
        </is>
      </c>
    </row>
    <row r="103">
      <c r="A103" t="n">
        <v>60685827</v>
      </c>
      <c r="B103" t="inlineStr">
        <is>
          <t>55.1204.</t>
        </is>
      </c>
      <c r="C103" t="inlineStr">
        <is>
          <t>55.1205.</t>
        </is>
      </c>
      <c r="D103" t="inlineStr">
        <is>
          <t xml:space="preserve">East County Advanced Water Purification Project - Package 3 </t>
        </is>
      </c>
      <c r="E103" t="inlineStr">
        <is>
          <t>AECOM - W.M. Lyles VI</t>
        </is>
      </c>
      <c r="F103" t="n">
        <v>0.5</v>
      </c>
      <c r="AL103" t="n">
        <v>0</v>
      </c>
      <c r="AR103" t="n">
        <v>4</v>
      </c>
      <c r="AS103" s="152" t="inlineStr">
        <is>
          <t>000000000001351F</t>
        </is>
      </c>
    </row>
    <row r="104">
      <c r="A104" t="n">
        <v>60685827</v>
      </c>
      <c r="B104" t="inlineStr">
        <is>
          <t>55.1204.</t>
        </is>
      </c>
      <c r="C104" t="inlineStr">
        <is>
          <t>55.1205.</t>
        </is>
      </c>
      <c r="D104" t="inlineStr">
        <is>
          <t xml:space="preserve">East County Advanced Water Purification Project - Package 3 </t>
        </is>
      </c>
      <c r="E104" t="inlineStr">
        <is>
          <t>AECOM - W.M. Lyles VI</t>
        </is>
      </c>
      <c r="F104" t="n">
        <v>0.5</v>
      </c>
      <c r="AL104" t="n">
        <v>0</v>
      </c>
      <c r="AR104" t="n">
        <v>4</v>
      </c>
      <c r="AS104" s="152" t="inlineStr">
        <is>
          <t>000000000001351F</t>
        </is>
      </c>
    </row>
    <row r="105">
      <c r="A105" t="n">
        <v>60685827</v>
      </c>
      <c r="B105" t="inlineStr">
        <is>
          <t>55.1204.</t>
        </is>
      </c>
      <c r="C105" t="inlineStr">
        <is>
          <t>55.1205.</t>
        </is>
      </c>
      <c r="D105" t="inlineStr">
        <is>
          <t xml:space="preserve">East County Advanced Water Purification Project - Package 3 </t>
        </is>
      </c>
      <c r="E105" t="inlineStr">
        <is>
          <t>AECOM - W.M. Lyles VI</t>
        </is>
      </c>
      <c r="F105" t="n">
        <v>0.5</v>
      </c>
      <c r="AL105" t="n">
        <v>0</v>
      </c>
      <c r="AR105" t="n">
        <v>4</v>
      </c>
      <c r="AS105" s="152" t="inlineStr">
        <is>
          <t>000000000001351F</t>
        </is>
      </c>
    </row>
    <row r="106">
      <c r="A106" t="n">
        <v>60685827</v>
      </c>
      <c r="B106" t="inlineStr">
        <is>
          <t>55.1204.</t>
        </is>
      </c>
      <c r="C106" t="inlineStr">
        <is>
          <t>55.1205.</t>
        </is>
      </c>
      <c r="D106" t="inlineStr">
        <is>
          <t xml:space="preserve">East County Advanced Water Purification Project - Package 3 </t>
        </is>
      </c>
      <c r="E106" t="inlineStr">
        <is>
          <t>AECOM - W.M. Lyles VI</t>
        </is>
      </c>
      <c r="F106" t="n">
        <v>0.5</v>
      </c>
      <c r="AL106" t="n">
        <v>0</v>
      </c>
      <c r="AR106" t="n">
        <v>4</v>
      </c>
      <c r="AS106" s="152" t="inlineStr">
        <is>
          <t>000000000001351F</t>
        </is>
      </c>
    </row>
    <row r="107">
      <c r="A107" t="n">
        <v>60688056</v>
      </c>
      <c r="B107" t="inlineStr">
        <is>
          <t>55.1200.</t>
        </is>
      </c>
      <c r="C107" t="inlineStr">
        <is>
          <t>55.1201.</t>
        </is>
      </c>
      <c r="D107" t="inlineStr">
        <is>
          <t>East County Advanced Water Purification Project - Package 1</t>
        </is>
      </c>
      <c r="E107" t="inlineStr">
        <is>
          <t>AECOM - W.M. Lyles IV</t>
        </is>
      </c>
      <c r="F107" t="n">
        <v>0.5</v>
      </c>
      <c r="AL107" t="n">
        <v>0</v>
      </c>
      <c r="AR107" t="n">
        <v>5</v>
      </c>
      <c r="AS107" s="152" t="n">
        <v>13520</v>
      </c>
    </row>
    <row r="108">
      <c r="A108" t="n">
        <v>60688056</v>
      </c>
      <c r="B108" t="inlineStr">
        <is>
          <t>55.1200.</t>
        </is>
      </c>
      <c r="C108" t="inlineStr">
        <is>
          <t>55.1201.</t>
        </is>
      </c>
      <c r="D108" t="inlineStr">
        <is>
          <t>East County Advanced Water Purification Project - Package 1</t>
        </is>
      </c>
      <c r="E108" t="inlineStr">
        <is>
          <t>AECOM - W.M. Lyles IV</t>
        </is>
      </c>
      <c r="F108" t="n">
        <v>0.5</v>
      </c>
      <c r="AL108" t="n">
        <v>0</v>
      </c>
      <c r="AR108" t="n">
        <v>5</v>
      </c>
      <c r="AS108" s="152" t="n">
        <v>13520</v>
      </c>
    </row>
    <row r="109">
      <c r="A109" t="n">
        <v>60688056</v>
      </c>
      <c r="B109" t="inlineStr">
        <is>
          <t>55.1200.</t>
        </is>
      </c>
      <c r="C109" t="inlineStr">
        <is>
          <t>55.1201.</t>
        </is>
      </c>
      <c r="D109" t="inlineStr">
        <is>
          <t>East County Advanced Water Purification Project - Package 1</t>
        </is>
      </c>
      <c r="E109" t="inlineStr">
        <is>
          <t>AECOM - W.M. Lyles IV</t>
        </is>
      </c>
      <c r="F109" t="n">
        <v>0.5</v>
      </c>
      <c r="AL109" t="n">
        <v>0</v>
      </c>
      <c r="AR109" t="n">
        <v>5</v>
      </c>
      <c r="AS109" s="152" t="n">
        <v>13520</v>
      </c>
    </row>
    <row r="110">
      <c r="A110" t="n">
        <v>60688056</v>
      </c>
      <c r="B110" t="inlineStr">
        <is>
          <t>55.1200.</t>
        </is>
      </c>
      <c r="C110" t="inlineStr">
        <is>
          <t>55.1201.</t>
        </is>
      </c>
      <c r="D110" t="inlineStr">
        <is>
          <t>East County Advanced Water Purification Project - Package 1</t>
        </is>
      </c>
      <c r="E110" t="inlineStr">
        <is>
          <t>AECOM - W.M. Lyles IV</t>
        </is>
      </c>
      <c r="F110" t="n">
        <v>0.5</v>
      </c>
      <c r="AL110" t="n">
        <v>0</v>
      </c>
      <c r="AR110" t="n">
        <v>5</v>
      </c>
      <c r="AS110" s="152" t="n">
        <v>13520</v>
      </c>
    </row>
    <row r="111">
      <c r="A111" t="n">
        <v>60688056</v>
      </c>
      <c r="B111" t="inlineStr">
        <is>
          <t>55.1200.</t>
        </is>
      </c>
      <c r="C111" t="inlineStr">
        <is>
          <t>55.1201.</t>
        </is>
      </c>
      <c r="D111" t="inlineStr">
        <is>
          <t>East County Advanced Water Purification Project - Package 1</t>
        </is>
      </c>
      <c r="E111" t="inlineStr">
        <is>
          <t>AECOM - W.M. Lyles IV</t>
        </is>
      </c>
      <c r="F111" t="n">
        <v>0.5</v>
      </c>
      <c r="AL111" t="n">
        <v>0</v>
      </c>
      <c r="AR111" t="n">
        <v>5</v>
      </c>
      <c r="AS111" s="152" t="n">
        <v>13520</v>
      </c>
    </row>
    <row r="112">
      <c r="A112" t="n">
        <v>60688056</v>
      </c>
      <c r="B112" t="inlineStr">
        <is>
          <t>55.1200.</t>
        </is>
      </c>
      <c r="C112" t="inlineStr">
        <is>
          <t>55.1201.</t>
        </is>
      </c>
      <c r="D112" t="inlineStr">
        <is>
          <t>East County Advanced Water Purification Project - Package 1</t>
        </is>
      </c>
      <c r="E112" t="inlineStr">
        <is>
          <t>AECOM - W.M. Lyles IV</t>
        </is>
      </c>
      <c r="F112" t="n">
        <v>0.5</v>
      </c>
      <c r="AL112" t="n">
        <v>0</v>
      </c>
      <c r="AR112" t="n">
        <v>5</v>
      </c>
      <c r="AS112" s="152" t="n">
        <v>13647</v>
      </c>
    </row>
    <row r="113">
      <c r="A113" t="n">
        <v>60688056</v>
      </c>
      <c r="B113" t="inlineStr">
        <is>
          <t>55.1200.</t>
        </is>
      </c>
      <c r="C113" t="inlineStr">
        <is>
          <t>55.1201.</t>
        </is>
      </c>
      <c r="D113" t="inlineStr">
        <is>
          <t>East County Advanced Water Purification Project - Package 1</t>
        </is>
      </c>
      <c r="E113" t="inlineStr">
        <is>
          <t>AECOM - W.M. Lyles IV</t>
        </is>
      </c>
      <c r="F113" t="n">
        <v>0.5</v>
      </c>
      <c r="AL113" t="n">
        <v>0</v>
      </c>
      <c r="AR113" t="n">
        <v>5</v>
      </c>
      <c r="AS113" s="152" t="n">
        <v>13647</v>
      </c>
    </row>
    <row r="114">
      <c r="A114" t="n">
        <v>60688056</v>
      </c>
      <c r="B114" t="inlineStr">
        <is>
          <t>55.1200.</t>
        </is>
      </c>
      <c r="C114" t="inlineStr">
        <is>
          <t>55.1201.</t>
        </is>
      </c>
      <c r="D114" t="inlineStr">
        <is>
          <t>East County Advanced Water Purification Project - Package 1</t>
        </is>
      </c>
      <c r="E114" t="inlineStr">
        <is>
          <t>AECOM - W.M. Lyles IV</t>
        </is>
      </c>
      <c r="F114" t="n">
        <v>0.5</v>
      </c>
      <c r="AL114" t="n">
        <v>0</v>
      </c>
      <c r="AR114" t="n">
        <v>5</v>
      </c>
      <c r="AS114" s="152" t="n">
        <v>13647</v>
      </c>
    </row>
    <row r="115">
      <c r="A115" t="n">
        <v>60688056</v>
      </c>
      <c r="B115" t="inlineStr">
        <is>
          <t>55.1200.</t>
        </is>
      </c>
      <c r="C115" t="inlineStr">
        <is>
          <t>55.1201.</t>
        </is>
      </c>
      <c r="D115" t="inlineStr">
        <is>
          <t>East County Advanced Water Purification Project - Package 1</t>
        </is>
      </c>
      <c r="E115" t="inlineStr">
        <is>
          <t>AECOM - W.M. Lyles IV</t>
        </is>
      </c>
      <c r="F115" t="n">
        <v>0.5</v>
      </c>
      <c r="AL115" t="n">
        <v>0</v>
      </c>
      <c r="AR115" t="n">
        <v>5</v>
      </c>
      <c r="AS115" s="152" t="n">
        <v>13647</v>
      </c>
    </row>
    <row r="116">
      <c r="A116" t="n">
        <v>60688056</v>
      </c>
      <c r="B116" t="inlineStr">
        <is>
          <t>55.1200.</t>
        </is>
      </c>
      <c r="C116" t="inlineStr">
        <is>
          <t>55.1201.</t>
        </is>
      </c>
      <c r="D116" t="inlineStr">
        <is>
          <t>East County Advanced Water Purification Project - Package 1</t>
        </is>
      </c>
      <c r="E116" t="inlineStr">
        <is>
          <t>AECOM - W.M. Lyles IV</t>
        </is>
      </c>
      <c r="F116" t="n">
        <v>0.5</v>
      </c>
      <c r="AL116" t="n">
        <v>0</v>
      </c>
      <c r="AR116" t="n">
        <v>5</v>
      </c>
      <c r="AS116" s="152" t="n">
        <v>13647</v>
      </c>
    </row>
    <row r="117">
      <c r="A117" t="n">
        <v>60688056</v>
      </c>
      <c r="B117" t="inlineStr">
        <is>
          <t>55.1200.</t>
        </is>
      </c>
      <c r="C117" t="inlineStr">
        <is>
          <t>55.1201.</t>
        </is>
      </c>
      <c r="D117" t="inlineStr">
        <is>
          <t>East County Advanced Water Purification Project - Package 1</t>
        </is>
      </c>
      <c r="E117" t="inlineStr">
        <is>
          <t>AECOM - W.M. Lyles IV</t>
        </is>
      </c>
      <c r="F117" t="n">
        <v>0.5</v>
      </c>
      <c r="AL117" t="n">
        <v>0</v>
      </c>
      <c r="AR117" t="n">
        <v>5</v>
      </c>
      <c r="AS117" s="152" t="inlineStr">
        <is>
          <t>000000000001340D</t>
        </is>
      </c>
    </row>
    <row r="118">
      <c r="A118" t="n">
        <v>60688056</v>
      </c>
      <c r="B118" t="inlineStr">
        <is>
          <t>55.1200.</t>
        </is>
      </c>
      <c r="C118" t="inlineStr">
        <is>
          <t>55.1201.</t>
        </is>
      </c>
      <c r="D118" t="inlineStr">
        <is>
          <t>East County Advanced Water Purification Project - Package 1</t>
        </is>
      </c>
      <c r="E118" t="inlineStr">
        <is>
          <t>AECOM - W.M. Lyles IV</t>
        </is>
      </c>
      <c r="F118" t="n">
        <v>0.5</v>
      </c>
      <c r="AL118" t="n">
        <v>0</v>
      </c>
      <c r="AR118" t="n">
        <v>5</v>
      </c>
      <c r="AS118" s="152" t="inlineStr">
        <is>
          <t>000000000001340D</t>
        </is>
      </c>
    </row>
    <row r="119">
      <c r="A119" t="n">
        <v>60688056</v>
      </c>
      <c r="B119" t="inlineStr">
        <is>
          <t>55.1200.</t>
        </is>
      </c>
      <c r="C119" t="inlineStr">
        <is>
          <t>55.1201.</t>
        </is>
      </c>
      <c r="D119" t="inlineStr">
        <is>
          <t>East County Advanced Water Purification Project - Package 1</t>
        </is>
      </c>
      <c r="E119" t="inlineStr">
        <is>
          <t>AECOM - W.M. Lyles IV</t>
        </is>
      </c>
      <c r="F119" t="n">
        <v>0.5</v>
      </c>
      <c r="AL119" t="n">
        <v>0</v>
      </c>
      <c r="AR119" t="n">
        <v>5</v>
      </c>
      <c r="AS119" s="152" t="inlineStr">
        <is>
          <t>000000000001340D</t>
        </is>
      </c>
    </row>
    <row r="120">
      <c r="A120" t="n">
        <v>60688056</v>
      </c>
      <c r="B120" t="inlineStr">
        <is>
          <t>55.1200.</t>
        </is>
      </c>
      <c r="C120" t="inlineStr">
        <is>
          <t>55.1201.</t>
        </is>
      </c>
      <c r="D120" t="inlineStr">
        <is>
          <t>East County Advanced Water Purification Project - Package 1</t>
        </is>
      </c>
      <c r="E120" t="inlineStr">
        <is>
          <t>AECOM - W.M. Lyles IV</t>
        </is>
      </c>
      <c r="F120" t="n">
        <v>0.5</v>
      </c>
      <c r="AL120" t="n">
        <v>0</v>
      </c>
      <c r="AR120" t="n">
        <v>5</v>
      </c>
      <c r="AS120" s="152" t="inlineStr">
        <is>
          <t>000000000001340D</t>
        </is>
      </c>
    </row>
    <row r="121">
      <c r="A121" t="n">
        <v>60688056</v>
      </c>
      <c r="B121" t="inlineStr">
        <is>
          <t>55.1200.</t>
        </is>
      </c>
      <c r="C121" t="inlineStr">
        <is>
          <t>55.1201.</t>
        </is>
      </c>
      <c r="D121" t="inlineStr">
        <is>
          <t>East County Advanced Water Purification Project - Package 1</t>
        </is>
      </c>
      <c r="E121" t="inlineStr">
        <is>
          <t>AECOM - W.M. Lyles IV</t>
        </is>
      </c>
      <c r="F121" t="n">
        <v>0.5</v>
      </c>
      <c r="AL121" t="n">
        <v>0</v>
      </c>
      <c r="AR121" t="n">
        <v>5</v>
      </c>
      <c r="AS121" s="152" t="inlineStr">
        <is>
          <t>000000000001340D</t>
        </is>
      </c>
    </row>
    <row r="122">
      <c r="A122" t="n">
        <v>60688056</v>
      </c>
      <c r="B122" t="inlineStr">
        <is>
          <t>55.1200.</t>
        </is>
      </c>
      <c r="C122" t="inlineStr">
        <is>
          <t>55.1201.</t>
        </is>
      </c>
      <c r="D122" t="inlineStr">
        <is>
          <t>East County Advanced Water Purification Project - Package 1</t>
        </is>
      </c>
      <c r="E122" t="inlineStr">
        <is>
          <t>AECOM - W.M. Lyles IV</t>
        </is>
      </c>
      <c r="F122" t="n">
        <v>0.5</v>
      </c>
      <c r="AL122" t="n">
        <v>0</v>
      </c>
      <c r="AR122" t="n">
        <v>5</v>
      </c>
      <c r="AS122" s="152" t="n">
        <v>13633</v>
      </c>
    </row>
    <row r="123">
      <c r="A123" t="n">
        <v>60688056</v>
      </c>
      <c r="B123" t="inlineStr">
        <is>
          <t>55.1200.</t>
        </is>
      </c>
      <c r="C123" t="inlineStr">
        <is>
          <t>55.1201.</t>
        </is>
      </c>
      <c r="D123" t="inlineStr">
        <is>
          <t>East County Advanced Water Purification Project - Package 1</t>
        </is>
      </c>
      <c r="E123" t="inlineStr">
        <is>
          <t>AECOM - W.M. Lyles IV</t>
        </is>
      </c>
      <c r="F123" t="n">
        <v>0.5</v>
      </c>
      <c r="AL123" t="n">
        <v>0</v>
      </c>
      <c r="AR123" t="n">
        <v>5</v>
      </c>
      <c r="AS123" s="152" t="n">
        <v>13633</v>
      </c>
    </row>
    <row r="124">
      <c r="A124" t="n">
        <v>60688056</v>
      </c>
      <c r="B124" t="inlineStr">
        <is>
          <t>55.1200.</t>
        </is>
      </c>
      <c r="C124" t="inlineStr">
        <is>
          <t>55.1201.</t>
        </is>
      </c>
      <c r="D124" t="inlineStr">
        <is>
          <t>East County Advanced Water Purification Project - Package 1</t>
        </is>
      </c>
      <c r="E124" t="inlineStr">
        <is>
          <t>AECOM - W.M. Lyles IV</t>
        </is>
      </c>
      <c r="F124" t="n">
        <v>0.5</v>
      </c>
      <c r="AL124" t="n">
        <v>0</v>
      </c>
      <c r="AR124" t="n">
        <v>5</v>
      </c>
      <c r="AS124" s="152" t="n">
        <v>13633</v>
      </c>
    </row>
    <row r="125">
      <c r="A125" t="n">
        <v>60688056</v>
      </c>
      <c r="B125" t="inlineStr">
        <is>
          <t>55.1200.</t>
        </is>
      </c>
      <c r="C125" t="inlineStr">
        <is>
          <t>55.1201.</t>
        </is>
      </c>
      <c r="D125" t="inlineStr">
        <is>
          <t>East County Advanced Water Purification Project - Package 1</t>
        </is>
      </c>
      <c r="E125" t="inlineStr">
        <is>
          <t>AECOM - W.M. Lyles IV</t>
        </is>
      </c>
      <c r="F125" t="n">
        <v>0.5</v>
      </c>
      <c r="AL125" t="n">
        <v>0</v>
      </c>
      <c r="AR125" t="n">
        <v>5</v>
      </c>
      <c r="AS125" s="152" t="n">
        <v>13633</v>
      </c>
    </row>
    <row r="126">
      <c r="A126" t="n">
        <v>60688056</v>
      </c>
      <c r="B126" t="inlineStr">
        <is>
          <t>55.1200.</t>
        </is>
      </c>
      <c r="C126" t="inlineStr">
        <is>
          <t>55.1201.</t>
        </is>
      </c>
      <c r="D126" t="inlineStr">
        <is>
          <t>East County Advanced Water Purification Project - Package 1</t>
        </is>
      </c>
      <c r="E126" t="inlineStr">
        <is>
          <t>AECOM - W.M. Lyles IV</t>
        </is>
      </c>
      <c r="F126" t="n">
        <v>0.5</v>
      </c>
      <c r="AL126" t="n">
        <v>0</v>
      </c>
      <c r="AR126" t="n">
        <v>5</v>
      </c>
      <c r="AS126" s="152" t="n">
        <v>13633</v>
      </c>
    </row>
    <row r="127">
      <c r="A127" t="n">
        <v>60688056</v>
      </c>
      <c r="B127" t="inlineStr">
        <is>
          <t>55.1200.</t>
        </is>
      </c>
      <c r="C127" t="inlineStr">
        <is>
          <t>55.1201.</t>
        </is>
      </c>
      <c r="D127" t="inlineStr">
        <is>
          <t>East County Advanced Water Purification Project - Package 1</t>
        </is>
      </c>
      <c r="E127" t="inlineStr">
        <is>
          <t>AECOM - W.M. Lyles IV</t>
        </is>
      </c>
      <c r="F127" t="n">
        <v>0.5</v>
      </c>
      <c r="AL127" t="n">
        <v>0</v>
      </c>
      <c r="AR127" t="n">
        <v>5</v>
      </c>
      <c r="AS127" s="152" t="inlineStr">
        <is>
          <t>000000000001363D</t>
        </is>
      </c>
    </row>
    <row r="128">
      <c r="A128" t="n">
        <v>60688056</v>
      </c>
      <c r="B128" t="inlineStr">
        <is>
          <t>55.1200.</t>
        </is>
      </c>
      <c r="C128" t="inlineStr">
        <is>
          <t>55.1201.</t>
        </is>
      </c>
      <c r="D128" t="inlineStr">
        <is>
          <t>East County Advanced Water Purification Project - Package 1</t>
        </is>
      </c>
      <c r="E128" t="inlineStr">
        <is>
          <t>AECOM - W.M. Lyles IV</t>
        </is>
      </c>
      <c r="F128" t="n">
        <v>0.5</v>
      </c>
      <c r="AL128" t="n">
        <v>0</v>
      </c>
      <c r="AR128" t="n">
        <v>5</v>
      </c>
      <c r="AS128" s="152" t="inlineStr">
        <is>
          <t>000000000001363D</t>
        </is>
      </c>
    </row>
    <row r="129">
      <c r="A129" t="n">
        <v>60688056</v>
      </c>
      <c r="B129" t="inlineStr">
        <is>
          <t>55.1200.</t>
        </is>
      </c>
      <c r="C129" t="inlineStr">
        <is>
          <t>55.1201.</t>
        </is>
      </c>
      <c r="D129" t="inlineStr">
        <is>
          <t>East County Advanced Water Purification Project - Package 1</t>
        </is>
      </c>
      <c r="E129" t="inlineStr">
        <is>
          <t>AECOM - W.M. Lyles IV</t>
        </is>
      </c>
      <c r="F129" t="n">
        <v>0.5</v>
      </c>
      <c r="AL129" t="n">
        <v>0</v>
      </c>
      <c r="AR129" t="n">
        <v>5</v>
      </c>
      <c r="AS129" s="152" t="inlineStr">
        <is>
          <t>000000000001363D</t>
        </is>
      </c>
    </row>
    <row r="130">
      <c r="A130" t="n">
        <v>60688056</v>
      </c>
      <c r="B130" t="inlineStr">
        <is>
          <t>55.1200.</t>
        </is>
      </c>
      <c r="C130" t="inlineStr">
        <is>
          <t>55.1201.</t>
        </is>
      </c>
      <c r="D130" t="inlineStr">
        <is>
          <t>East County Advanced Water Purification Project - Package 1</t>
        </is>
      </c>
      <c r="E130" t="inlineStr">
        <is>
          <t>AECOM - W.M. Lyles IV</t>
        </is>
      </c>
      <c r="F130" t="n">
        <v>0.5</v>
      </c>
      <c r="AL130" t="n">
        <v>0</v>
      </c>
      <c r="AR130" t="n">
        <v>5</v>
      </c>
      <c r="AS130" s="152" t="inlineStr">
        <is>
          <t>000000000001363D</t>
        </is>
      </c>
    </row>
    <row r="131">
      <c r="A131" t="n">
        <v>60688056</v>
      </c>
      <c r="B131" t="inlineStr">
        <is>
          <t>55.1200.</t>
        </is>
      </c>
      <c r="C131" t="inlineStr">
        <is>
          <t>55.1201.</t>
        </is>
      </c>
      <c r="D131" t="inlineStr">
        <is>
          <t>East County Advanced Water Purification Project - Package 1</t>
        </is>
      </c>
      <c r="E131" t="inlineStr">
        <is>
          <t>AECOM - W.M. Lyles IV</t>
        </is>
      </c>
      <c r="F131" t="n">
        <v>0.5</v>
      </c>
      <c r="AL131" t="n">
        <v>0</v>
      </c>
      <c r="AR131" t="n">
        <v>5</v>
      </c>
      <c r="AS131" s="152" t="inlineStr">
        <is>
          <t>000000000001363D</t>
        </is>
      </c>
    </row>
    <row r="132">
      <c r="AL132" t="n">
        <v>0</v>
      </c>
      <c r="AR132" t="n">
        <v>1</v>
      </c>
      <c r="AS132" s="152" t="inlineStr">
        <is>
          <t>000000000000E598</t>
        </is>
      </c>
    </row>
    <row r="133">
      <c r="AL133" t="n">
        <v>0</v>
      </c>
      <c r="AR133" t="n">
        <v>1</v>
      </c>
      <c r="AS133" t="inlineStr">
        <is>
          <t>000000000000E7EA</t>
        </is>
      </c>
    </row>
    <row r="134">
      <c r="AL134" t="n">
        <v>0</v>
      </c>
      <c r="AR134" t="n">
        <v>1</v>
      </c>
      <c r="AS134" t="inlineStr">
        <is>
          <t>000000000000E7EA</t>
        </is>
      </c>
    </row>
    <row r="135">
      <c r="AL135" t="n">
        <v>0</v>
      </c>
      <c r="AR135" t="n">
        <v>1</v>
      </c>
      <c r="AS135" s="152" t="inlineStr">
        <is>
          <t>000000000000E7EA</t>
        </is>
      </c>
    </row>
    <row r="136">
      <c r="AL136" t="n">
        <v>0</v>
      </c>
      <c r="AR136" t="n">
        <v>1</v>
      </c>
      <c r="AS136" s="152" t="inlineStr">
        <is>
          <t>000000000000E7EA</t>
        </is>
      </c>
    </row>
    <row r="137">
      <c r="AL137" t="n">
        <v>0</v>
      </c>
      <c r="AR137" t="n">
        <v>1</v>
      </c>
      <c r="AS137" s="152" t="inlineStr">
        <is>
          <t>000000000000E7EA</t>
        </is>
      </c>
    </row>
    <row r="138">
      <c r="AL138" t="n">
        <v>0</v>
      </c>
      <c r="AR138" t="n">
        <v>1</v>
      </c>
      <c r="AS138" s="152" t="inlineStr">
        <is>
          <t>000000000000E7EA</t>
        </is>
      </c>
    </row>
    <row r="139">
      <c r="AL139" t="n">
        <v>0</v>
      </c>
      <c r="AR139" t="n">
        <v>1</v>
      </c>
      <c r="AS139" s="152" t="inlineStr">
        <is>
          <t>000000000000E7EA</t>
        </is>
      </c>
    </row>
    <row r="140">
      <c r="AL140" t="n">
        <v>0</v>
      </c>
      <c r="AR140" t="n">
        <v>1</v>
      </c>
      <c r="AS140" s="152" t="inlineStr">
        <is>
          <t>000000000000E7EA</t>
        </is>
      </c>
    </row>
    <row r="141">
      <c r="AL141" t="n">
        <v>0</v>
      </c>
      <c r="AR141" t="n">
        <v>1</v>
      </c>
      <c r="AS141" s="152" t="inlineStr">
        <is>
          <t>000000000000E7EA</t>
        </is>
      </c>
    </row>
    <row r="142">
      <c r="AL142" t="n">
        <v>0</v>
      </c>
      <c r="AR142" t="n">
        <v>1</v>
      </c>
      <c r="AS142" s="152" t="inlineStr">
        <is>
          <t>000000000000E7EA</t>
        </is>
      </c>
    </row>
    <row r="143">
      <c r="AL143" t="n">
        <v>0</v>
      </c>
      <c r="AR143" t="n">
        <v>1</v>
      </c>
      <c r="AS143" s="152" t="inlineStr">
        <is>
          <t>000000000000E7EA</t>
        </is>
      </c>
    </row>
    <row r="144">
      <c r="AL144" t="n">
        <v>0</v>
      </c>
      <c r="AR144" t="n">
        <v>1</v>
      </c>
      <c r="AS144" s="152" t="inlineStr">
        <is>
          <t>000000000000E7EA</t>
        </is>
      </c>
    </row>
    <row r="145">
      <c r="AL145" t="n">
        <v>0</v>
      </c>
      <c r="AR145" t="n">
        <v>1</v>
      </c>
      <c r="AS145" s="152" t="inlineStr">
        <is>
          <t>000000000000E7EA</t>
        </is>
      </c>
    </row>
    <row r="146">
      <c r="AL146" t="n">
        <v>0</v>
      </c>
      <c r="AR146" t="n">
        <v>1</v>
      </c>
      <c r="AS146" s="152" t="inlineStr">
        <is>
          <t>000000000000E7EA</t>
        </is>
      </c>
    </row>
    <row r="147">
      <c r="AL147" t="n">
        <v>0</v>
      </c>
      <c r="AR147" t="n">
        <v>1</v>
      </c>
      <c r="AS147" s="152" t="inlineStr">
        <is>
          <t>000000000000E7EA</t>
        </is>
      </c>
    </row>
    <row r="148">
      <c r="AL148" t="n">
        <v>0</v>
      </c>
      <c r="AR148" t="n">
        <v>1</v>
      </c>
      <c r="AS148" s="152" t="inlineStr">
        <is>
          <t>000000000000E7EA</t>
        </is>
      </c>
    </row>
    <row r="149">
      <c r="AL149" t="n">
        <v>0</v>
      </c>
      <c r="AR149" t="n">
        <v>1</v>
      </c>
      <c r="AS149" s="152" t="inlineStr">
        <is>
          <t>000000000000E7EA</t>
        </is>
      </c>
    </row>
    <row r="150">
      <c r="AL150" t="n">
        <v>0</v>
      </c>
      <c r="AR150" t="n">
        <v>1</v>
      </c>
      <c r="AS150" s="152" t="inlineStr">
        <is>
          <t>000000000000E7EA</t>
        </is>
      </c>
    </row>
    <row r="151">
      <c r="AL151" t="n">
        <v>0</v>
      </c>
      <c r="AR151" t="n">
        <v>1</v>
      </c>
      <c r="AS151" s="152" t="inlineStr">
        <is>
          <t>000000000000E819</t>
        </is>
      </c>
    </row>
    <row r="152">
      <c r="AL152" t="n">
        <v>0</v>
      </c>
      <c r="AR152" t="n">
        <v>1</v>
      </c>
      <c r="AS152" s="152" t="inlineStr">
        <is>
          <t>000000000000E819</t>
        </is>
      </c>
    </row>
    <row r="153">
      <c r="AL153" t="n">
        <v>0</v>
      </c>
      <c r="AR153" t="n">
        <v>1</v>
      </c>
      <c r="AS153" s="152" t="inlineStr">
        <is>
          <t>000000000000E819</t>
        </is>
      </c>
    </row>
    <row r="154">
      <c r="AL154" t="n">
        <v>0</v>
      </c>
      <c r="AR154" t="n">
        <v>1</v>
      </c>
      <c r="AS154" s="152" t="inlineStr">
        <is>
          <t>000000000000E819</t>
        </is>
      </c>
    </row>
    <row r="155">
      <c r="AL155" t="n">
        <v>0</v>
      </c>
      <c r="AR155" t="n">
        <v>1</v>
      </c>
      <c r="AS155" s="152" t="inlineStr">
        <is>
          <t>000000000000E819</t>
        </is>
      </c>
    </row>
    <row r="156">
      <c r="AL156" t="n">
        <v>0</v>
      </c>
      <c r="AR156" t="n">
        <v>1</v>
      </c>
      <c r="AS156" s="152" t="inlineStr">
        <is>
          <t>000000000000E819</t>
        </is>
      </c>
    </row>
    <row r="157">
      <c r="AL157" t="n">
        <v>0</v>
      </c>
      <c r="AR157" t="n">
        <v>1</v>
      </c>
      <c r="AS157" s="152" t="inlineStr">
        <is>
          <t>000000000000E819</t>
        </is>
      </c>
    </row>
    <row r="158">
      <c r="AL158" t="n">
        <v>0</v>
      </c>
      <c r="AR158" t="n">
        <v>1</v>
      </c>
      <c r="AS158" s="152" t="inlineStr">
        <is>
          <t>000000000000E819</t>
        </is>
      </c>
    </row>
    <row r="159">
      <c r="AL159" t="n">
        <v>0</v>
      </c>
      <c r="AR159" t="n">
        <v>1</v>
      </c>
      <c r="AS159" s="152" t="inlineStr">
        <is>
          <t>000000000000E819</t>
        </is>
      </c>
    </row>
    <row r="160">
      <c r="AL160" t="n">
        <v>0</v>
      </c>
      <c r="AR160" t="n">
        <v>1</v>
      </c>
      <c r="AS160" s="152" t="inlineStr">
        <is>
          <t>000000000000E819</t>
        </is>
      </c>
    </row>
    <row r="161">
      <c r="AL161" t="n">
        <v>0</v>
      </c>
      <c r="AR161" t="n">
        <v>1</v>
      </c>
      <c r="AS161" s="152" t="inlineStr">
        <is>
          <t>000000000000E819</t>
        </is>
      </c>
    </row>
    <row r="162">
      <c r="AL162" t="n">
        <v>0</v>
      </c>
      <c r="AR162" t="n">
        <v>1</v>
      </c>
      <c r="AS162" s="152" t="inlineStr">
        <is>
          <t>000000000000E819</t>
        </is>
      </c>
    </row>
    <row r="163">
      <c r="AL163" t="n">
        <v>0</v>
      </c>
      <c r="AR163" t="n">
        <v>1</v>
      </c>
      <c r="AS163" s="152" t="inlineStr">
        <is>
          <t>000000000000E819</t>
        </is>
      </c>
    </row>
    <row r="164">
      <c r="AL164" t="n">
        <v>0</v>
      </c>
      <c r="AR164" t="n">
        <v>1</v>
      </c>
      <c r="AS164" s="152" t="inlineStr">
        <is>
          <t>000000000000E819</t>
        </is>
      </c>
    </row>
    <row r="165">
      <c r="AL165" t="n">
        <v>0</v>
      </c>
      <c r="AR165" t="n">
        <v>1</v>
      </c>
      <c r="AS165" s="152" t="inlineStr">
        <is>
          <t>000000000000E819</t>
        </is>
      </c>
    </row>
    <row r="166">
      <c r="AL166" t="n">
        <v>0</v>
      </c>
      <c r="AR166" t="n">
        <v>1</v>
      </c>
      <c r="AS166" s="152" t="inlineStr">
        <is>
          <t>000000000000E819</t>
        </is>
      </c>
    </row>
    <row r="167">
      <c r="AL167" t="n">
        <v>0</v>
      </c>
      <c r="AR167" t="n">
        <v>1</v>
      </c>
      <c r="AS167" s="152" t="inlineStr">
        <is>
          <t>000000000000E819</t>
        </is>
      </c>
    </row>
    <row r="168">
      <c r="AL168" t="n">
        <v>0</v>
      </c>
      <c r="AR168" t="n">
        <v>1</v>
      </c>
      <c r="AS168" s="152" t="inlineStr">
        <is>
          <t>000000000000E819</t>
        </is>
      </c>
    </row>
    <row r="169">
      <c r="AL169" t="n">
        <v>0</v>
      </c>
      <c r="AR169" t="n">
        <v>1</v>
      </c>
      <c r="AS169" s="152" t="inlineStr">
        <is>
          <t>000000000000EC34</t>
        </is>
      </c>
    </row>
    <row r="170">
      <c r="AL170" t="n">
        <v>0</v>
      </c>
      <c r="AR170" t="n">
        <v>1</v>
      </c>
      <c r="AS170" s="152" t="inlineStr">
        <is>
          <t>000000000000EC34</t>
        </is>
      </c>
    </row>
    <row r="171">
      <c r="AL171" t="n">
        <v>0</v>
      </c>
      <c r="AR171" t="n">
        <v>1</v>
      </c>
      <c r="AS171" s="152" t="inlineStr">
        <is>
          <t>000000000000EC34</t>
        </is>
      </c>
    </row>
    <row r="172">
      <c r="AL172" t="n">
        <v>0</v>
      </c>
      <c r="AR172" t="n">
        <v>1</v>
      </c>
      <c r="AS172" s="152" t="inlineStr">
        <is>
          <t>000000000000EC34</t>
        </is>
      </c>
    </row>
    <row r="173">
      <c r="AL173" t="n">
        <v>0</v>
      </c>
      <c r="AR173" t="n">
        <v>1</v>
      </c>
      <c r="AS173" s="152" t="inlineStr">
        <is>
          <t>000000000000EC34</t>
        </is>
      </c>
    </row>
    <row r="174">
      <c r="AL174" t="n">
        <v>0</v>
      </c>
      <c r="AR174" t="n">
        <v>1</v>
      </c>
      <c r="AS174" s="152" t="inlineStr">
        <is>
          <t>000000000000EC34</t>
        </is>
      </c>
    </row>
    <row r="175">
      <c r="AL175" t="n">
        <v>0</v>
      </c>
      <c r="AR175" t="n">
        <v>1</v>
      </c>
      <c r="AS175" s="152" t="inlineStr">
        <is>
          <t>000000000000EC34</t>
        </is>
      </c>
    </row>
    <row r="176">
      <c r="AL176" t="n">
        <v>0</v>
      </c>
      <c r="AR176" t="n">
        <v>1</v>
      </c>
      <c r="AS176" s="152" t="inlineStr">
        <is>
          <t>000000000000EC34</t>
        </is>
      </c>
    </row>
    <row r="177">
      <c r="AL177" t="n">
        <v>0</v>
      </c>
      <c r="AR177" t="n">
        <v>1</v>
      </c>
      <c r="AS177" s="152" t="inlineStr">
        <is>
          <t>000000000000EC34</t>
        </is>
      </c>
    </row>
    <row r="178">
      <c r="AL178" t="n">
        <v>0</v>
      </c>
      <c r="AR178" t="n">
        <v>1</v>
      </c>
      <c r="AS178" s="152" t="inlineStr">
        <is>
          <t>000000000000EC34</t>
        </is>
      </c>
    </row>
    <row r="179">
      <c r="AL179" t="n">
        <v>0</v>
      </c>
      <c r="AR179" t="n">
        <v>1</v>
      </c>
      <c r="AS179" s="152" t="inlineStr">
        <is>
          <t>000000000000EC34</t>
        </is>
      </c>
    </row>
    <row r="180">
      <c r="AL180" t="n">
        <v>0</v>
      </c>
      <c r="AR180" t="n">
        <v>1</v>
      </c>
      <c r="AS180" s="152" t="inlineStr">
        <is>
          <t>000000000000EC34</t>
        </is>
      </c>
    </row>
    <row r="181">
      <c r="AL181" t="n">
        <v>0</v>
      </c>
      <c r="AR181" t="n">
        <v>1</v>
      </c>
      <c r="AS181" s="152" t="inlineStr">
        <is>
          <t>000000000000EC34</t>
        </is>
      </c>
    </row>
    <row r="182">
      <c r="AL182" t="n">
        <v>0</v>
      </c>
      <c r="AR182" t="n">
        <v>1</v>
      </c>
      <c r="AS182" s="152" t="inlineStr">
        <is>
          <t>000000000000EC34</t>
        </is>
      </c>
    </row>
    <row r="183">
      <c r="AL183" t="n">
        <v>0</v>
      </c>
      <c r="AR183" t="n">
        <v>1</v>
      </c>
      <c r="AS183" s="152" t="inlineStr">
        <is>
          <t>000000000000EC34</t>
        </is>
      </c>
    </row>
    <row r="184">
      <c r="AL184" t="n">
        <v>0</v>
      </c>
      <c r="AR184" t="n">
        <v>1</v>
      </c>
      <c r="AS184" s="152" t="inlineStr">
        <is>
          <t>000000000000EC34</t>
        </is>
      </c>
    </row>
    <row r="185">
      <c r="AL185" t="n">
        <v>0</v>
      </c>
      <c r="AR185" t="n">
        <v>1</v>
      </c>
      <c r="AS185" s="152" t="inlineStr">
        <is>
          <t>000000000000EC34</t>
        </is>
      </c>
    </row>
    <row r="186">
      <c r="AL186" t="n">
        <v>0</v>
      </c>
      <c r="AR186" t="n">
        <v>1</v>
      </c>
      <c r="AS186" s="152" t="inlineStr">
        <is>
          <t>000000000000EC34</t>
        </is>
      </c>
    </row>
    <row r="187">
      <c r="AL187" t="n">
        <v>0</v>
      </c>
      <c r="AR187" t="n">
        <v>1</v>
      </c>
      <c r="AS187" s="152" t="inlineStr">
        <is>
          <t>000000000000ECF2</t>
        </is>
      </c>
    </row>
    <row r="188">
      <c r="AL188" t="n">
        <v>0</v>
      </c>
      <c r="AR188" t="n">
        <v>1</v>
      </c>
      <c r="AS188" s="152" t="inlineStr">
        <is>
          <t>000000000000ECF2</t>
        </is>
      </c>
    </row>
    <row r="189">
      <c r="AL189" t="n">
        <v>0</v>
      </c>
      <c r="AR189" t="n">
        <v>1</v>
      </c>
      <c r="AS189" s="152" t="inlineStr">
        <is>
          <t>000000000000ECF2</t>
        </is>
      </c>
    </row>
    <row r="190">
      <c r="AL190" t="n">
        <v>0</v>
      </c>
      <c r="AR190" t="n">
        <v>1</v>
      </c>
      <c r="AS190" s="152" t="inlineStr">
        <is>
          <t>000000000000ECF2</t>
        </is>
      </c>
    </row>
    <row r="191">
      <c r="AL191" t="n">
        <v>0</v>
      </c>
      <c r="AR191" t="n">
        <v>1</v>
      </c>
      <c r="AS191" s="152" t="inlineStr">
        <is>
          <t>000000000000ECF2</t>
        </is>
      </c>
    </row>
    <row r="192">
      <c r="AL192" t="n">
        <v>0</v>
      </c>
      <c r="AR192" t="n">
        <v>1</v>
      </c>
      <c r="AS192" s="152" t="inlineStr">
        <is>
          <t>000000000000ECF2</t>
        </is>
      </c>
    </row>
    <row r="193">
      <c r="AL193" t="n">
        <v>0</v>
      </c>
      <c r="AR193" t="n">
        <v>1</v>
      </c>
      <c r="AS193" s="152" t="inlineStr">
        <is>
          <t>000000000000ECF2</t>
        </is>
      </c>
    </row>
    <row r="194">
      <c r="AL194" t="n">
        <v>0</v>
      </c>
      <c r="AR194" t="n">
        <v>1</v>
      </c>
      <c r="AS194" s="152" t="inlineStr">
        <is>
          <t>000000000000ECF2</t>
        </is>
      </c>
    </row>
    <row r="195">
      <c r="AL195" t="n">
        <v>0</v>
      </c>
      <c r="AR195" t="n">
        <v>1</v>
      </c>
      <c r="AS195" s="152" t="inlineStr">
        <is>
          <t>000000000000ECF2</t>
        </is>
      </c>
    </row>
    <row r="196">
      <c r="AL196" t="n">
        <v>0</v>
      </c>
      <c r="AR196" t="n">
        <v>1</v>
      </c>
      <c r="AS196" s="152" t="inlineStr">
        <is>
          <t>000000000000ECF2</t>
        </is>
      </c>
    </row>
    <row r="197">
      <c r="AL197" t="n">
        <v>0</v>
      </c>
      <c r="AR197" t="n">
        <v>1</v>
      </c>
      <c r="AS197" s="152" t="inlineStr">
        <is>
          <t>000000000000ECF2</t>
        </is>
      </c>
    </row>
    <row r="198">
      <c r="AL198" t="n">
        <v>0</v>
      </c>
      <c r="AR198" t="n">
        <v>1</v>
      </c>
      <c r="AS198" s="152" t="inlineStr">
        <is>
          <t>000000000000ECF2</t>
        </is>
      </c>
    </row>
    <row r="199">
      <c r="AL199" t="n">
        <v>0</v>
      </c>
      <c r="AR199" t="n">
        <v>1</v>
      </c>
      <c r="AS199" s="152" t="inlineStr">
        <is>
          <t>000000000000ECF2</t>
        </is>
      </c>
    </row>
    <row r="200">
      <c r="AL200" t="n">
        <v>0</v>
      </c>
      <c r="AR200" t="n">
        <v>1</v>
      </c>
      <c r="AS200" s="152" t="inlineStr">
        <is>
          <t>000000000000ECF2</t>
        </is>
      </c>
    </row>
    <row r="201">
      <c r="AL201" t="n">
        <v>0</v>
      </c>
      <c r="AR201" t="n">
        <v>1</v>
      </c>
      <c r="AS201" s="152" t="inlineStr">
        <is>
          <t>000000000000ECF2</t>
        </is>
      </c>
    </row>
    <row r="202">
      <c r="AL202" t="n">
        <v>0</v>
      </c>
      <c r="AR202" t="n">
        <v>1</v>
      </c>
      <c r="AS202" s="152" t="inlineStr">
        <is>
          <t>000000000000ECF2</t>
        </is>
      </c>
    </row>
    <row r="203">
      <c r="AL203" t="n">
        <v>0</v>
      </c>
      <c r="AR203" t="n">
        <v>1</v>
      </c>
      <c r="AS203" s="152" t="inlineStr">
        <is>
          <t>000000000000ECF2</t>
        </is>
      </c>
    </row>
    <row r="204">
      <c r="AL204" t="n">
        <v>0</v>
      </c>
      <c r="AR204" t="n">
        <v>1</v>
      </c>
      <c r="AS204" s="152" t="inlineStr">
        <is>
          <t>000000000000ECF2</t>
        </is>
      </c>
    </row>
    <row r="205">
      <c r="AL205" t="n">
        <v>0</v>
      </c>
      <c r="AR205" t="n">
        <v>1</v>
      </c>
      <c r="AS205" s="152" t="inlineStr">
        <is>
          <t>000000000000E464</t>
        </is>
      </c>
    </row>
    <row r="206">
      <c r="AL206" t="n">
        <v>0</v>
      </c>
      <c r="AR206" t="n">
        <v>1</v>
      </c>
      <c r="AS206" s="152" t="inlineStr">
        <is>
          <t>000000000000E464</t>
        </is>
      </c>
    </row>
    <row r="207">
      <c r="AL207" t="n">
        <v>0</v>
      </c>
      <c r="AR207" t="n">
        <v>1</v>
      </c>
      <c r="AS207" s="152" t="inlineStr">
        <is>
          <t>000000000000E464</t>
        </is>
      </c>
    </row>
    <row r="208">
      <c r="AL208" t="n">
        <v>0</v>
      </c>
      <c r="AR208" t="n">
        <v>1</v>
      </c>
      <c r="AS208" s="152" t="inlineStr">
        <is>
          <t>000000000000E464</t>
        </is>
      </c>
    </row>
    <row r="209">
      <c r="AL209" t="n">
        <v>0</v>
      </c>
      <c r="AR209" t="n">
        <v>1</v>
      </c>
      <c r="AS209" s="152" t="inlineStr">
        <is>
          <t>000000000000E464</t>
        </is>
      </c>
    </row>
    <row r="210">
      <c r="AL210" t="n">
        <v>0</v>
      </c>
      <c r="AR210" t="n">
        <v>1</v>
      </c>
      <c r="AS210" s="152" t="inlineStr">
        <is>
          <t>000000000000E464</t>
        </is>
      </c>
    </row>
    <row r="211">
      <c r="AL211" t="n">
        <v>0</v>
      </c>
      <c r="AR211" t="n">
        <v>1</v>
      </c>
      <c r="AS211" s="152" t="inlineStr">
        <is>
          <t>000000000000E464</t>
        </is>
      </c>
    </row>
    <row r="212">
      <c r="AL212" t="n">
        <v>0</v>
      </c>
      <c r="AR212" t="n">
        <v>1</v>
      </c>
      <c r="AS212" s="152" t="inlineStr">
        <is>
          <t>000000000000E464</t>
        </is>
      </c>
    </row>
    <row r="213">
      <c r="AL213" t="n">
        <v>0</v>
      </c>
      <c r="AR213" t="n">
        <v>1</v>
      </c>
      <c r="AS213" s="152" t="inlineStr">
        <is>
          <t>000000000000E464</t>
        </is>
      </c>
    </row>
    <row r="214">
      <c r="AL214" t="n">
        <v>0</v>
      </c>
      <c r="AR214" t="n">
        <v>1</v>
      </c>
      <c r="AS214" s="152" t="inlineStr">
        <is>
          <t>000000000000E464</t>
        </is>
      </c>
    </row>
    <row r="215">
      <c r="AL215" t="n">
        <v>0</v>
      </c>
      <c r="AR215" t="n">
        <v>1</v>
      </c>
      <c r="AS215" s="152" t="inlineStr">
        <is>
          <t>000000000000E464</t>
        </is>
      </c>
    </row>
    <row r="216">
      <c r="AL216" t="n">
        <v>0</v>
      </c>
      <c r="AR216" t="n">
        <v>1</v>
      </c>
      <c r="AS216" s="152" t="inlineStr">
        <is>
          <t>000000000000E464</t>
        </is>
      </c>
    </row>
    <row r="217">
      <c r="AL217" t="n">
        <v>0</v>
      </c>
      <c r="AR217" t="n">
        <v>1</v>
      </c>
      <c r="AS217" s="152" t="inlineStr">
        <is>
          <t>000000000000E464</t>
        </is>
      </c>
    </row>
    <row r="218">
      <c r="AL218" t="n">
        <v>0</v>
      </c>
      <c r="AR218" t="n">
        <v>1</v>
      </c>
      <c r="AS218" s="152" t="inlineStr">
        <is>
          <t>000000000000E464</t>
        </is>
      </c>
    </row>
    <row r="219">
      <c r="AL219" t="n">
        <v>0</v>
      </c>
      <c r="AR219" t="n">
        <v>1</v>
      </c>
      <c r="AS219" s="152" t="inlineStr">
        <is>
          <t>000000000000E464</t>
        </is>
      </c>
    </row>
    <row r="220">
      <c r="AL220" t="n">
        <v>0</v>
      </c>
      <c r="AR220" t="n">
        <v>1</v>
      </c>
      <c r="AS220" s="152" t="inlineStr">
        <is>
          <t>000000000000E464</t>
        </is>
      </c>
    </row>
    <row r="221">
      <c r="AL221" t="n">
        <v>0</v>
      </c>
      <c r="AR221" t="n">
        <v>1</v>
      </c>
      <c r="AS221" s="152" t="inlineStr">
        <is>
          <t>000000000000E464</t>
        </is>
      </c>
    </row>
    <row r="222">
      <c r="AL222" t="n">
        <v>0</v>
      </c>
      <c r="AR222" t="n">
        <v>1</v>
      </c>
      <c r="AS222" s="152" t="inlineStr">
        <is>
          <t>000000000000E464</t>
        </is>
      </c>
    </row>
    <row r="223">
      <c r="AL223" t="n">
        <v>0</v>
      </c>
      <c r="AR223" t="n">
        <v>1</v>
      </c>
      <c r="AS223" s="152" t="inlineStr">
        <is>
          <t>000000000000E711</t>
        </is>
      </c>
    </row>
    <row r="224">
      <c r="AL224" t="n">
        <v>0</v>
      </c>
      <c r="AR224" t="n">
        <v>1</v>
      </c>
      <c r="AS224" s="152" t="inlineStr">
        <is>
          <t>000000000000E711</t>
        </is>
      </c>
    </row>
    <row r="225">
      <c r="AL225" t="n">
        <v>0</v>
      </c>
      <c r="AR225" t="n">
        <v>1</v>
      </c>
      <c r="AS225" s="152" t="inlineStr">
        <is>
          <t>000000000000E711</t>
        </is>
      </c>
    </row>
    <row r="226">
      <c r="AL226" t="n">
        <v>0</v>
      </c>
      <c r="AR226" t="n">
        <v>1</v>
      </c>
      <c r="AS226" s="152" t="inlineStr">
        <is>
          <t>000000000000E711</t>
        </is>
      </c>
    </row>
    <row r="227">
      <c r="AL227" t="n">
        <v>0</v>
      </c>
      <c r="AR227" t="n">
        <v>1</v>
      </c>
      <c r="AS227" s="152" t="inlineStr">
        <is>
          <t>000000000000E711</t>
        </is>
      </c>
    </row>
    <row r="228">
      <c r="AL228" t="n">
        <v>0</v>
      </c>
      <c r="AR228" t="n">
        <v>1</v>
      </c>
      <c r="AS228" s="152" t="inlineStr">
        <is>
          <t>000000000000E711</t>
        </is>
      </c>
    </row>
    <row r="229">
      <c r="AL229" t="n">
        <v>0</v>
      </c>
      <c r="AR229" t="n">
        <v>1</v>
      </c>
      <c r="AS229" s="152" t="inlineStr">
        <is>
          <t>000000000000E711</t>
        </is>
      </c>
    </row>
    <row r="230">
      <c r="AL230" t="n">
        <v>0</v>
      </c>
      <c r="AR230" t="n">
        <v>1</v>
      </c>
      <c r="AS230" s="152" t="inlineStr">
        <is>
          <t>000000000000E711</t>
        </is>
      </c>
    </row>
    <row r="231">
      <c r="AL231" t="n">
        <v>0</v>
      </c>
      <c r="AR231" t="n">
        <v>1</v>
      </c>
      <c r="AS231" s="152" t="inlineStr">
        <is>
          <t>000000000000E711</t>
        </is>
      </c>
    </row>
    <row r="232">
      <c r="AL232" t="n">
        <v>0</v>
      </c>
      <c r="AR232" t="n">
        <v>1</v>
      </c>
      <c r="AS232" s="152" t="inlineStr">
        <is>
          <t>000000000000E711</t>
        </is>
      </c>
    </row>
    <row r="233">
      <c r="AL233" t="n">
        <v>0</v>
      </c>
      <c r="AR233" t="n">
        <v>1</v>
      </c>
      <c r="AS233" s="152" t="inlineStr">
        <is>
          <t>000000000000E711</t>
        </is>
      </c>
    </row>
    <row r="234">
      <c r="AL234" t="n">
        <v>0</v>
      </c>
      <c r="AR234" t="n">
        <v>1</v>
      </c>
      <c r="AS234" s="152" t="inlineStr">
        <is>
          <t>000000000000E711</t>
        </is>
      </c>
    </row>
    <row r="235">
      <c r="AL235" t="n">
        <v>0</v>
      </c>
      <c r="AR235" t="n">
        <v>1</v>
      </c>
      <c r="AS235" s="152" t="inlineStr">
        <is>
          <t>000000000000E711</t>
        </is>
      </c>
    </row>
    <row r="236">
      <c r="AL236" t="n">
        <v>0</v>
      </c>
      <c r="AR236" t="n">
        <v>1</v>
      </c>
      <c r="AS236" s="152" t="inlineStr">
        <is>
          <t>000000000000E711</t>
        </is>
      </c>
    </row>
    <row r="237">
      <c r="AL237" t="n">
        <v>0</v>
      </c>
      <c r="AR237" t="n">
        <v>1</v>
      </c>
      <c r="AS237" s="152" t="inlineStr">
        <is>
          <t>000000000000E711</t>
        </is>
      </c>
    </row>
    <row r="238">
      <c r="AL238" t="n">
        <v>0</v>
      </c>
      <c r="AR238" t="n">
        <v>1</v>
      </c>
      <c r="AS238" s="152" t="inlineStr">
        <is>
          <t>000000000000E711</t>
        </is>
      </c>
    </row>
    <row r="239">
      <c r="AL239" t="n">
        <v>0</v>
      </c>
      <c r="AR239" t="n">
        <v>1</v>
      </c>
      <c r="AS239" s="152" t="inlineStr">
        <is>
          <t>000000000000E711</t>
        </is>
      </c>
    </row>
    <row r="240">
      <c r="AL240" t="n">
        <v>0</v>
      </c>
      <c r="AR240" t="n">
        <v>1</v>
      </c>
      <c r="AS240" s="152" t="inlineStr">
        <is>
          <t>000000000000E711</t>
        </is>
      </c>
    </row>
    <row r="241">
      <c r="AL241" t="n">
        <v>0</v>
      </c>
      <c r="AR241" t="n">
        <v>1</v>
      </c>
      <c r="AS241" s="152" t="inlineStr">
        <is>
          <t>000000000000E802</t>
        </is>
      </c>
    </row>
    <row r="242">
      <c r="AL242" t="n">
        <v>0</v>
      </c>
      <c r="AR242" t="n">
        <v>1</v>
      </c>
      <c r="AS242" s="152" t="inlineStr">
        <is>
          <t>000000000000E802</t>
        </is>
      </c>
    </row>
    <row r="243">
      <c r="AL243" t="n">
        <v>0</v>
      </c>
      <c r="AR243" t="n">
        <v>1</v>
      </c>
      <c r="AS243" s="152" t="inlineStr">
        <is>
          <t>000000000000E802</t>
        </is>
      </c>
    </row>
    <row r="244">
      <c r="AL244" t="n">
        <v>0</v>
      </c>
      <c r="AR244" t="n">
        <v>1</v>
      </c>
      <c r="AS244" s="152" t="inlineStr">
        <is>
          <t>000000000000E802</t>
        </is>
      </c>
    </row>
    <row r="245">
      <c r="AL245" t="n">
        <v>0</v>
      </c>
      <c r="AR245" t="n">
        <v>1</v>
      </c>
      <c r="AS245" s="152" t="inlineStr">
        <is>
          <t>000000000000E802</t>
        </is>
      </c>
    </row>
    <row r="246">
      <c r="AL246" t="n">
        <v>0</v>
      </c>
      <c r="AR246" t="n">
        <v>1</v>
      </c>
      <c r="AS246" s="152" t="inlineStr">
        <is>
          <t>000000000000E802</t>
        </is>
      </c>
    </row>
    <row r="247">
      <c r="AL247" t="n">
        <v>0</v>
      </c>
      <c r="AR247" t="n">
        <v>1</v>
      </c>
      <c r="AS247" s="152" t="inlineStr">
        <is>
          <t>000000000000E802</t>
        </is>
      </c>
    </row>
    <row r="248">
      <c r="AL248" t="n">
        <v>0</v>
      </c>
      <c r="AR248" t="n">
        <v>1</v>
      </c>
      <c r="AS248" s="152" t="inlineStr">
        <is>
          <t>000000000000E802</t>
        </is>
      </c>
    </row>
    <row r="249">
      <c r="AL249" t="n">
        <v>0</v>
      </c>
      <c r="AR249" t="n">
        <v>1</v>
      </c>
      <c r="AS249" s="152" t="inlineStr">
        <is>
          <t>000000000000E802</t>
        </is>
      </c>
    </row>
    <row r="250">
      <c r="AL250" t="n">
        <v>0</v>
      </c>
      <c r="AR250" t="n">
        <v>1</v>
      </c>
      <c r="AS250" s="152" t="inlineStr">
        <is>
          <t>000000000000E802</t>
        </is>
      </c>
    </row>
    <row r="251">
      <c r="AL251" t="n">
        <v>0</v>
      </c>
      <c r="AR251" t="n">
        <v>1</v>
      </c>
      <c r="AS251" s="152" t="inlineStr">
        <is>
          <t>000000000000E802</t>
        </is>
      </c>
    </row>
    <row r="252">
      <c r="AL252" t="n">
        <v>0</v>
      </c>
      <c r="AR252" t="n">
        <v>1</v>
      </c>
      <c r="AS252" s="152" t="inlineStr">
        <is>
          <t>000000000000E802</t>
        </is>
      </c>
    </row>
    <row r="253">
      <c r="AL253" t="n">
        <v>0</v>
      </c>
      <c r="AR253" t="n">
        <v>1</v>
      </c>
      <c r="AS253" s="152" t="inlineStr">
        <is>
          <t>000000000000E802</t>
        </is>
      </c>
    </row>
    <row r="254">
      <c r="AL254" t="n">
        <v>0</v>
      </c>
      <c r="AR254" t="n">
        <v>1</v>
      </c>
      <c r="AS254" s="152" t="inlineStr">
        <is>
          <t>000000000000E802</t>
        </is>
      </c>
    </row>
    <row r="255">
      <c r="AL255" t="n">
        <v>0</v>
      </c>
      <c r="AR255" t="n">
        <v>1</v>
      </c>
      <c r="AS255" s="152" t="inlineStr">
        <is>
          <t>000000000000E802</t>
        </is>
      </c>
    </row>
    <row r="256">
      <c r="AL256" t="n">
        <v>0</v>
      </c>
      <c r="AR256" t="n">
        <v>1</v>
      </c>
      <c r="AS256" s="152" t="inlineStr">
        <is>
          <t>000000000000E802</t>
        </is>
      </c>
    </row>
    <row r="257">
      <c r="AL257" t="n">
        <v>0</v>
      </c>
      <c r="AR257" t="n">
        <v>1</v>
      </c>
      <c r="AS257" s="152" t="inlineStr">
        <is>
          <t>000000000000E802</t>
        </is>
      </c>
    </row>
    <row r="258">
      <c r="AL258" t="n">
        <v>0</v>
      </c>
      <c r="AR258" t="n">
        <v>1</v>
      </c>
      <c r="AS258" s="152" t="inlineStr">
        <is>
          <t>000000000000E802</t>
        </is>
      </c>
    </row>
    <row r="259">
      <c r="AL259" t="n">
        <v>0</v>
      </c>
      <c r="AR259" t="n">
        <v>1</v>
      </c>
      <c r="AS259" t="inlineStr">
        <is>
          <t>000000000000E8F9</t>
        </is>
      </c>
    </row>
    <row r="260">
      <c r="AL260" t="n">
        <v>0</v>
      </c>
      <c r="AR260" t="n">
        <v>1</v>
      </c>
      <c r="AS260" t="inlineStr">
        <is>
          <t>000000000000E8F9</t>
        </is>
      </c>
    </row>
    <row r="261">
      <c r="AL261" t="n">
        <v>0</v>
      </c>
      <c r="AR261" t="n">
        <v>1</v>
      </c>
      <c r="AS261" t="inlineStr">
        <is>
          <t>000000000000E8F9</t>
        </is>
      </c>
    </row>
    <row r="262">
      <c r="AL262" t="n">
        <v>0</v>
      </c>
      <c r="AR262" t="n">
        <v>1</v>
      </c>
      <c r="AS262" t="inlineStr">
        <is>
          <t>000000000000E8F9</t>
        </is>
      </c>
    </row>
    <row r="263">
      <c r="AL263" t="n">
        <v>0</v>
      </c>
      <c r="AR263" t="n">
        <v>1</v>
      </c>
      <c r="AS263" t="inlineStr">
        <is>
          <t>000000000000E8F9</t>
        </is>
      </c>
    </row>
    <row r="264">
      <c r="AL264" t="n">
        <v>0</v>
      </c>
      <c r="AR264" t="n">
        <v>1</v>
      </c>
      <c r="AS264" t="inlineStr">
        <is>
          <t>000000000000E8F9</t>
        </is>
      </c>
    </row>
    <row r="265">
      <c r="AL265" t="n">
        <v>0</v>
      </c>
      <c r="AR265" t="n">
        <v>1</v>
      </c>
      <c r="AS265" t="inlineStr">
        <is>
          <t>000000000000E8F9</t>
        </is>
      </c>
    </row>
    <row r="266">
      <c r="AL266" t="n">
        <v>0</v>
      </c>
      <c r="AR266" t="n">
        <v>1</v>
      </c>
      <c r="AS266" t="inlineStr">
        <is>
          <t>000000000000E8F9</t>
        </is>
      </c>
    </row>
    <row r="267">
      <c r="AL267" t="n">
        <v>0</v>
      </c>
      <c r="AR267" t="n">
        <v>1</v>
      </c>
      <c r="AS267" t="inlineStr">
        <is>
          <t>000000000000E8F9</t>
        </is>
      </c>
    </row>
    <row r="268">
      <c r="AL268" t="n">
        <v>0</v>
      </c>
      <c r="AR268" t="n">
        <v>1</v>
      </c>
      <c r="AS268" t="inlineStr">
        <is>
          <t>000000000000E8F9</t>
        </is>
      </c>
    </row>
    <row r="269">
      <c r="AL269" t="n">
        <v>0</v>
      </c>
      <c r="AR269" t="n">
        <v>1</v>
      </c>
      <c r="AS269" t="inlineStr">
        <is>
          <t>000000000000E8F9</t>
        </is>
      </c>
    </row>
    <row r="270">
      <c r="AL270" t="n">
        <v>0</v>
      </c>
      <c r="AR270" t="n">
        <v>1</v>
      </c>
      <c r="AS270" t="inlineStr">
        <is>
          <t>000000000000E8F9</t>
        </is>
      </c>
    </row>
    <row r="271">
      <c r="AL271" t="n">
        <v>0</v>
      </c>
      <c r="AR271" t="n">
        <v>1</v>
      </c>
      <c r="AS271" t="inlineStr">
        <is>
          <t>000000000000E8F9</t>
        </is>
      </c>
    </row>
    <row r="272">
      <c r="AL272" t="n">
        <v>0</v>
      </c>
      <c r="AR272" t="n">
        <v>1</v>
      </c>
      <c r="AS272" t="inlineStr">
        <is>
          <t>000000000000E8F9</t>
        </is>
      </c>
    </row>
    <row r="273">
      <c r="AL273" t="n">
        <v>0</v>
      </c>
      <c r="AR273" t="n">
        <v>1</v>
      </c>
      <c r="AS273" t="inlineStr">
        <is>
          <t>000000000000E8F9</t>
        </is>
      </c>
    </row>
    <row r="274">
      <c r="AL274" t="n">
        <v>0</v>
      </c>
      <c r="AR274" t="n">
        <v>1</v>
      </c>
      <c r="AS274" t="inlineStr">
        <is>
          <t>000000000000E8F9</t>
        </is>
      </c>
    </row>
    <row r="275">
      <c r="AL275" t="n">
        <v>0</v>
      </c>
      <c r="AR275" t="n">
        <v>1</v>
      </c>
      <c r="AS275" t="inlineStr">
        <is>
          <t>000000000000E8F9</t>
        </is>
      </c>
    </row>
    <row r="276">
      <c r="AL276" t="n">
        <v>0</v>
      </c>
      <c r="AR276" t="n">
        <v>1</v>
      </c>
      <c r="AS276" t="inlineStr">
        <is>
          <t>000000000000E8F9</t>
        </is>
      </c>
    </row>
    <row r="277">
      <c r="AL277" t="n">
        <v>0</v>
      </c>
      <c r="AR277" t="n">
        <v>1</v>
      </c>
      <c r="AS277" t="inlineStr">
        <is>
          <t>000000000000ECB1</t>
        </is>
      </c>
    </row>
    <row r="278">
      <c r="AL278" t="n">
        <v>0</v>
      </c>
      <c r="AR278" t="n">
        <v>1</v>
      </c>
      <c r="AS278" t="inlineStr">
        <is>
          <t>000000000000ECB1</t>
        </is>
      </c>
    </row>
    <row r="279">
      <c r="AL279" t="n">
        <v>0</v>
      </c>
      <c r="AR279" t="n">
        <v>1</v>
      </c>
      <c r="AS279" t="inlineStr">
        <is>
          <t>000000000000ECB1</t>
        </is>
      </c>
    </row>
    <row r="280">
      <c r="AL280" t="n">
        <v>0</v>
      </c>
      <c r="AR280" t="n">
        <v>1</v>
      </c>
      <c r="AS280" t="inlineStr">
        <is>
          <t>000000000000ECB1</t>
        </is>
      </c>
    </row>
    <row r="281">
      <c r="AL281" t="n">
        <v>0</v>
      </c>
      <c r="AR281" t="n">
        <v>1</v>
      </c>
      <c r="AS281" t="inlineStr">
        <is>
          <t>000000000000ECB1</t>
        </is>
      </c>
    </row>
    <row r="282">
      <c r="AL282" t="n">
        <v>0</v>
      </c>
      <c r="AR282" t="n">
        <v>1</v>
      </c>
      <c r="AS282" t="inlineStr">
        <is>
          <t>000000000000ECB1</t>
        </is>
      </c>
    </row>
    <row r="283">
      <c r="AL283" t="n">
        <v>0</v>
      </c>
      <c r="AR283" t="n">
        <v>1</v>
      </c>
      <c r="AS283" t="inlineStr">
        <is>
          <t>000000000000ECB1</t>
        </is>
      </c>
    </row>
    <row r="284">
      <c r="AL284" t="n">
        <v>0</v>
      </c>
      <c r="AR284" t="n">
        <v>1</v>
      </c>
      <c r="AS284" t="inlineStr">
        <is>
          <t>000000000000ECB1</t>
        </is>
      </c>
    </row>
    <row r="285">
      <c r="AL285" t="n">
        <v>0</v>
      </c>
      <c r="AR285" t="n">
        <v>1</v>
      </c>
      <c r="AS285" t="inlineStr">
        <is>
          <t>000000000000ECB1</t>
        </is>
      </c>
    </row>
    <row r="286">
      <c r="AL286" t="n">
        <v>0</v>
      </c>
      <c r="AR286" t="n">
        <v>1</v>
      </c>
      <c r="AS286" t="inlineStr">
        <is>
          <t>000000000000ECB1</t>
        </is>
      </c>
    </row>
    <row r="287">
      <c r="AL287" t="n">
        <v>0</v>
      </c>
      <c r="AR287" t="n">
        <v>1</v>
      </c>
      <c r="AS287" t="inlineStr">
        <is>
          <t>000000000000ECB1</t>
        </is>
      </c>
    </row>
    <row r="288">
      <c r="AL288" t="n">
        <v>0</v>
      </c>
      <c r="AR288" t="n">
        <v>1</v>
      </c>
      <c r="AS288" t="inlineStr">
        <is>
          <t>000000000000ECB1</t>
        </is>
      </c>
    </row>
    <row r="289">
      <c r="AL289" t="n">
        <v>0</v>
      </c>
      <c r="AR289" t="n">
        <v>1</v>
      </c>
      <c r="AS289" t="inlineStr">
        <is>
          <t>000000000000ECB1</t>
        </is>
      </c>
    </row>
    <row r="290">
      <c r="AL290" t="n">
        <v>0</v>
      </c>
      <c r="AR290" t="n">
        <v>1</v>
      </c>
      <c r="AS290" t="inlineStr">
        <is>
          <t>000000000000ECB1</t>
        </is>
      </c>
    </row>
    <row r="291">
      <c r="AL291" t="n">
        <v>0</v>
      </c>
      <c r="AR291" t="n">
        <v>1</v>
      </c>
      <c r="AS291" t="inlineStr">
        <is>
          <t>000000000000ECB1</t>
        </is>
      </c>
    </row>
    <row r="292">
      <c r="AL292" t="n">
        <v>0</v>
      </c>
      <c r="AR292" t="n">
        <v>1</v>
      </c>
      <c r="AS292" t="inlineStr">
        <is>
          <t>000000000000ECB1</t>
        </is>
      </c>
    </row>
    <row r="293">
      <c r="AL293" t="n">
        <v>0</v>
      </c>
      <c r="AR293" t="n">
        <v>1</v>
      </c>
      <c r="AS293" t="inlineStr">
        <is>
          <t>000000000000ECB1</t>
        </is>
      </c>
    </row>
    <row r="294">
      <c r="AL294" t="n">
        <v>0</v>
      </c>
      <c r="AR294" t="n">
        <v>1</v>
      </c>
      <c r="AS294" t="inlineStr">
        <is>
          <t>000000000000ECB1</t>
        </is>
      </c>
    </row>
    <row r="295">
      <c r="AL295" t="n">
        <v>0</v>
      </c>
      <c r="AR295" t="n">
        <v>1</v>
      </c>
      <c r="AS295" t="inlineStr">
        <is>
          <t>000000000000ECB5</t>
        </is>
      </c>
    </row>
    <row r="296">
      <c r="AL296" t="n">
        <v>0</v>
      </c>
      <c r="AR296" t="n">
        <v>1</v>
      </c>
      <c r="AS296" t="inlineStr">
        <is>
          <t>000000000000ECB5</t>
        </is>
      </c>
    </row>
    <row r="297">
      <c r="AL297" t="n">
        <v>0</v>
      </c>
      <c r="AR297" t="n">
        <v>1</v>
      </c>
      <c r="AS297" t="inlineStr">
        <is>
          <t>000000000000ECB5</t>
        </is>
      </c>
    </row>
    <row r="298">
      <c r="AL298" t="n">
        <v>0</v>
      </c>
      <c r="AR298" t="n">
        <v>1</v>
      </c>
      <c r="AS298" t="inlineStr">
        <is>
          <t>000000000000ECB5</t>
        </is>
      </c>
    </row>
    <row r="299">
      <c r="AL299" t="n">
        <v>0</v>
      </c>
      <c r="AR299" t="n">
        <v>1</v>
      </c>
      <c r="AS299" t="inlineStr">
        <is>
          <t>000000000000ECB5</t>
        </is>
      </c>
    </row>
    <row r="300">
      <c r="AL300" t="n">
        <v>0</v>
      </c>
      <c r="AR300" t="n">
        <v>1</v>
      </c>
      <c r="AS300" t="inlineStr">
        <is>
          <t>000000000000ECB5</t>
        </is>
      </c>
    </row>
    <row r="301">
      <c r="AL301" t="n">
        <v>0</v>
      </c>
      <c r="AR301" t="n">
        <v>1</v>
      </c>
      <c r="AS301" t="inlineStr">
        <is>
          <t>000000000000ECB5</t>
        </is>
      </c>
    </row>
    <row r="302">
      <c r="AL302" t="n">
        <v>0</v>
      </c>
      <c r="AR302" t="n">
        <v>1</v>
      </c>
      <c r="AS302" t="inlineStr">
        <is>
          <t>000000000000ECB5</t>
        </is>
      </c>
    </row>
    <row r="303">
      <c r="AL303" t="n">
        <v>0</v>
      </c>
      <c r="AR303" t="n">
        <v>1</v>
      </c>
      <c r="AS303" t="inlineStr">
        <is>
          <t>000000000000ECB5</t>
        </is>
      </c>
    </row>
    <row r="304">
      <c r="AL304" t="n">
        <v>0</v>
      </c>
      <c r="AR304" t="n">
        <v>1</v>
      </c>
      <c r="AS304" t="inlineStr">
        <is>
          <t>000000000000ECB5</t>
        </is>
      </c>
    </row>
    <row r="305">
      <c r="AL305" t="n">
        <v>0</v>
      </c>
      <c r="AR305" t="n">
        <v>1</v>
      </c>
      <c r="AS305" t="inlineStr">
        <is>
          <t>000000000000ECB5</t>
        </is>
      </c>
    </row>
    <row r="306">
      <c r="AL306" t="n">
        <v>0</v>
      </c>
      <c r="AR306" t="n">
        <v>1</v>
      </c>
      <c r="AS306" t="inlineStr">
        <is>
          <t>000000000000ECB5</t>
        </is>
      </c>
    </row>
    <row r="307">
      <c r="AL307" t="n">
        <v>0</v>
      </c>
      <c r="AR307" t="n">
        <v>1</v>
      </c>
      <c r="AS307" t="inlineStr">
        <is>
          <t>000000000000ECB5</t>
        </is>
      </c>
    </row>
    <row r="308">
      <c r="AL308" t="n">
        <v>0</v>
      </c>
      <c r="AR308" t="n">
        <v>1</v>
      </c>
      <c r="AS308" t="inlineStr">
        <is>
          <t>000000000000ECB5</t>
        </is>
      </c>
    </row>
    <row r="309">
      <c r="AL309" t="n">
        <v>0</v>
      </c>
      <c r="AR309" t="n">
        <v>1</v>
      </c>
      <c r="AS309" t="inlineStr">
        <is>
          <t>000000000000ECB5</t>
        </is>
      </c>
    </row>
    <row r="310">
      <c r="AL310" t="n">
        <v>0</v>
      </c>
      <c r="AR310" t="n">
        <v>1</v>
      </c>
      <c r="AS310" t="inlineStr">
        <is>
          <t>000000000000ECB5</t>
        </is>
      </c>
    </row>
    <row r="311">
      <c r="AL311" t="n">
        <v>0</v>
      </c>
      <c r="AR311" t="n">
        <v>1</v>
      </c>
      <c r="AS311" s="152" t="inlineStr">
        <is>
          <t>000000000000ECB5</t>
        </is>
      </c>
    </row>
    <row r="312">
      <c r="AL312" t="n">
        <v>0</v>
      </c>
      <c r="AR312" t="n">
        <v>1</v>
      </c>
      <c r="AS312" s="152" t="inlineStr">
        <is>
          <t>000000000000ECB5</t>
        </is>
      </c>
    </row>
    <row r="313">
      <c r="AL313" t="n">
        <v>0</v>
      </c>
      <c r="AR313" t="n">
        <v>1</v>
      </c>
      <c r="AS313" s="152" t="inlineStr">
        <is>
          <t>000000000000ECD8</t>
        </is>
      </c>
    </row>
    <row r="314">
      <c r="AL314" t="n">
        <v>0</v>
      </c>
      <c r="AR314" t="n">
        <v>1</v>
      </c>
      <c r="AS314" s="152" t="inlineStr">
        <is>
          <t>000000000000ECD8</t>
        </is>
      </c>
    </row>
    <row r="315">
      <c r="AL315" t="n">
        <v>0</v>
      </c>
      <c r="AR315" t="n">
        <v>1</v>
      </c>
      <c r="AS315" s="152" t="inlineStr">
        <is>
          <t>000000000000ECD8</t>
        </is>
      </c>
    </row>
    <row r="316">
      <c r="AL316" t="n">
        <v>0</v>
      </c>
      <c r="AR316" t="n">
        <v>1</v>
      </c>
      <c r="AS316" s="152" t="inlineStr">
        <is>
          <t>000000000000ECD8</t>
        </is>
      </c>
    </row>
    <row r="317">
      <c r="AL317" t="n">
        <v>0</v>
      </c>
      <c r="AR317" t="n">
        <v>1</v>
      </c>
      <c r="AS317" s="152" t="inlineStr">
        <is>
          <t>000000000000ECD8</t>
        </is>
      </c>
    </row>
    <row r="318">
      <c r="AL318" t="n">
        <v>0</v>
      </c>
      <c r="AR318" t="n">
        <v>1</v>
      </c>
      <c r="AS318" s="152" t="inlineStr">
        <is>
          <t>000000000000ECD8</t>
        </is>
      </c>
    </row>
    <row r="319">
      <c r="AL319" t="n">
        <v>0</v>
      </c>
      <c r="AR319" t="n">
        <v>1</v>
      </c>
      <c r="AS319" s="152" t="inlineStr">
        <is>
          <t>000000000000ECD8</t>
        </is>
      </c>
    </row>
    <row r="320">
      <c r="AL320" t="n">
        <v>0</v>
      </c>
      <c r="AR320" t="n">
        <v>1</v>
      </c>
      <c r="AS320" s="152" t="inlineStr">
        <is>
          <t>000000000000ECD8</t>
        </is>
      </c>
    </row>
    <row r="321">
      <c r="AL321" t="n">
        <v>0</v>
      </c>
      <c r="AR321" t="n">
        <v>1</v>
      </c>
      <c r="AS321" s="152" t="inlineStr">
        <is>
          <t>000000000000ECD8</t>
        </is>
      </c>
    </row>
    <row r="322">
      <c r="AL322" t="n">
        <v>0</v>
      </c>
      <c r="AR322" t="n">
        <v>1</v>
      </c>
      <c r="AS322" s="152" t="inlineStr">
        <is>
          <t>000000000000ECD8</t>
        </is>
      </c>
    </row>
    <row r="323">
      <c r="AL323" t="n">
        <v>0</v>
      </c>
      <c r="AR323" t="n">
        <v>1</v>
      </c>
      <c r="AS323" s="152" t="inlineStr">
        <is>
          <t>000000000000ECD8</t>
        </is>
      </c>
    </row>
    <row r="324">
      <c r="AL324" t="n">
        <v>0</v>
      </c>
      <c r="AR324" t="n">
        <v>1</v>
      </c>
      <c r="AS324" s="152" t="inlineStr">
        <is>
          <t>000000000000ECD8</t>
        </is>
      </c>
    </row>
    <row r="325">
      <c r="AL325" t="n">
        <v>0</v>
      </c>
      <c r="AR325" t="n">
        <v>1</v>
      </c>
      <c r="AS325" s="152" t="inlineStr">
        <is>
          <t>000000000000ECD8</t>
        </is>
      </c>
    </row>
    <row r="326">
      <c r="AL326" t="n">
        <v>0</v>
      </c>
      <c r="AR326" t="n">
        <v>1</v>
      </c>
      <c r="AS326" s="152" t="inlineStr">
        <is>
          <t>000000000000ECD8</t>
        </is>
      </c>
    </row>
    <row r="327">
      <c r="AL327" t="n">
        <v>0</v>
      </c>
      <c r="AR327" t="n">
        <v>1</v>
      </c>
      <c r="AS327" s="152" t="inlineStr">
        <is>
          <t>000000000000ECD8</t>
        </is>
      </c>
    </row>
    <row r="328">
      <c r="AL328" t="n">
        <v>0</v>
      </c>
      <c r="AR328" t="n">
        <v>1</v>
      </c>
      <c r="AS328" s="152" t="inlineStr">
        <is>
          <t>000000000000ECD8</t>
        </is>
      </c>
    </row>
    <row r="329">
      <c r="AL329" t="n">
        <v>0</v>
      </c>
      <c r="AR329" t="n">
        <v>1</v>
      </c>
      <c r="AS329" s="152" t="inlineStr">
        <is>
          <t>000000000000ECD8</t>
        </is>
      </c>
    </row>
    <row r="330">
      <c r="AL330" t="n">
        <v>0</v>
      </c>
      <c r="AR330" t="n">
        <v>1</v>
      </c>
      <c r="AS330" s="152" t="inlineStr">
        <is>
          <t>000000000000ECD8</t>
        </is>
      </c>
    </row>
    <row r="331">
      <c r="AL331" t="n">
        <v>0</v>
      </c>
      <c r="AR331" t="n">
        <v>2</v>
      </c>
      <c r="AS331" s="152" t="inlineStr">
        <is>
          <t>000000000000ECD9</t>
        </is>
      </c>
    </row>
    <row r="332">
      <c r="AL332" t="n">
        <v>0</v>
      </c>
      <c r="AR332" t="n">
        <v>2</v>
      </c>
      <c r="AS332" s="152" t="inlineStr">
        <is>
          <t>000000000000ECD9</t>
        </is>
      </c>
    </row>
    <row r="333">
      <c r="AL333" t="n">
        <v>0</v>
      </c>
      <c r="AR333" t="n">
        <v>2</v>
      </c>
      <c r="AS333" s="152" t="inlineStr">
        <is>
          <t>000000000000ECD9</t>
        </is>
      </c>
    </row>
    <row r="334">
      <c r="AL334" t="n">
        <v>0</v>
      </c>
      <c r="AR334" t="n">
        <v>2</v>
      </c>
      <c r="AS334" s="152" t="inlineStr">
        <is>
          <t>000000000000ECD9</t>
        </is>
      </c>
    </row>
    <row r="335">
      <c r="AL335" t="n">
        <v>0</v>
      </c>
      <c r="AR335" t="n">
        <v>2</v>
      </c>
      <c r="AS335" s="152" t="inlineStr">
        <is>
          <t>000000000000ECD9</t>
        </is>
      </c>
    </row>
    <row r="336">
      <c r="AL336" t="n">
        <v>0</v>
      </c>
      <c r="AR336" t="n">
        <v>2</v>
      </c>
      <c r="AS336" s="152" t="inlineStr">
        <is>
          <t>000000000000ECD9</t>
        </is>
      </c>
    </row>
    <row r="337">
      <c r="AL337" t="n">
        <v>0</v>
      </c>
      <c r="AR337" t="n">
        <v>2</v>
      </c>
      <c r="AS337" s="152" t="inlineStr">
        <is>
          <t>000000000000ECD9</t>
        </is>
      </c>
    </row>
    <row r="338">
      <c r="AL338" t="n">
        <v>0</v>
      </c>
      <c r="AR338" t="n">
        <v>2</v>
      </c>
      <c r="AS338" s="152" t="inlineStr">
        <is>
          <t>000000000000ECD9</t>
        </is>
      </c>
    </row>
    <row r="339">
      <c r="AL339" t="n">
        <v>0</v>
      </c>
      <c r="AR339" t="n">
        <v>2</v>
      </c>
      <c r="AS339" s="152" t="inlineStr">
        <is>
          <t>000000000000ECD9</t>
        </is>
      </c>
    </row>
    <row r="340">
      <c r="AL340" t="n">
        <v>0</v>
      </c>
      <c r="AR340" t="n">
        <v>2</v>
      </c>
      <c r="AS340" s="152" t="inlineStr">
        <is>
          <t>000000000000ECD9</t>
        </is>
      </c>
    </row>
    <row r="341">
      <c r="AL341" t="n">
        <v>0</v>
      </c>
      <c r="AR341" t="n">
        <v>2</v>
      </c>
      <c r="AS341" s="152" t="inlineStr">
        <is>
          <t>000000000000ECD9</t>
        </is>
      </c>
    </row>
    <row r="342">
      <c r="AL342" t="n">
        <v>0</v>
      </c>
      <c r="AR342" t="n">
        <v>2</v>
      </c>
      <c r="AS342" s="152" t="inlineStr">
        <is>
          <t>000000000000ECD9</t>
        </is>
      </c>
    </row>
    <row r="343">
      <c r="AL343" t="n">
        <v>0</v>
      </c>
      <c r="AR343" t="n">
        <v>2</v>
      </c>
      <c r="AS343" s="152" t="inlineStr">
        <is>
          <t>000000000000ECD9</t>
        </is>
      </c>
    </row>
    <row r="344">
      <c r="AL344" t="n">
        <v>0</v>
      </c>
      <c r="AR344" t="n">
        <v>2</v>
      </c>
      <c r="AS344" s="152" t="inlineStr">
        <is>
          <t>000000000000ECD9</t>
        </is>
      </c>
    </row>
    <row r="345">
      <c r="AL345" t="n">
        <v>0</v>
      </c>
      <c r="AR345" t="n">
        <v>2</v>
      </c>
      <c r="AS345" s="152" t="inlineStr">
        <is>
          <t>000000000000ECD9</t>
        </is>
      </c>
    </row>
    <row r="346">
      <c r="AL346" t="n">
        <v>0</v>
      </c>
      <c r="AR346" t="n">
        <v>2</v>
      </c>
      <c r="AS346" s="152" t="inlineStr">
        <is>
          <t>000000000000ECD9</t>
        </is>
      </c>
    </row>
    <row r="347">
      <c r="AL347" t="n">
        <v>0</v>
      </c>
      <c r="AR347" t="n">
        <v>2</v>
      </c>
      <c r="AS347" s="152" t="inlineStr">
        <is>
          <t>000000000000ECD9</t>
        </is>
      </c>
    </row>
    <row r="348">
      <c r="AL348" t="n">
        <v>0</v>
      </c>
      <c r="AR348" t="n">
        <v>2</v>
      </c>
      <c r="AS348" s="152" t="inlineStr">
        <is>
          <t>000000000000ECD9</t>
        </is>
      </c>
    </row>
    <row r="349">
      <c r="AL349" t="n">
        <v>0</v>
      </c>
      <c r="AR349" t="n">
        <v>2</v>
      </c>
      <c r="AS349" s="152" t="inlineStr">
        <is>
          <t>000000000000ECB6</t>
        </is>
      </c>
    </row>
    <row r="350">
      <c r="AL350" t="n">
        <v>0</v>
      </c>
      <c r="AR350" t="n">
        <v>2</v>
      </c>
      <c r="AS350" s="152" t="inlineStr">
        <is>
          <t>000000000000ECB6</t>
        </is>
      </c>
    </row>
    <row r="351">
      <c r="AL351" t="n">
        <v>0</v>
      </c>
      <c r="AR351" t="n">
        <v>2</v>
      </c>
      <c r="AS351" s="152" t="inlineStr">
        <is>
          <t>000000000000ECB6</t>
        </is>
      </c>
    </row>
    <row r="352">
      <c r="AL352" t="n">
        <v>0</v>
      </c>
      <c r="AR352" t="n">
        <v>2</v>
      </c>
      <c r="AS352" s="152" t="inlineStr">
        <is>
          <t>000000000000ECB6</t>
        </is>
      </c>
    </row>
    <row r="353">
      <c r="AL353" t="n">
        <v>0</v>
      </c>
      <c r="AR353" t="n">
        <v>2</v>
      </c>
      <c r="AS353" s="152" t="inlineStr">
        <is>
          <t>000000000000ECB6</t>
        </is>
      </c>
    </row>
    <row r="354">
      <c r="AL354" t="n">
        <v>0</v>
      </c>
      <c r="AR354" t="n">
        <v>2</v>
      </c>
      <c r="AS354" s="152" t="inlineStr">
        <is>
          <t>000000000000ECB6</t>
        </is>
      </c>
    </row>
    <row r="355">
      <c r="AL355" t="n">
        <v>0</v>
      </c>
      <c r="AR355" t="n">
        <v>2</v>
      </c>
      <c r="AS355" s="152" t="inlineStr">
        <is>
          <t>000000000000ECB6</t>
        </is>
      </c>
    </row>
    <row r="356">
      <c r="AL356" t="n">
        <v>0</v>
      </c>
      <c r="AR356" t="n">
        <v>2</v>
      </c>
      <c r="AS356" s="152" t="inlineStr">
        <is>
          <t>000000000000ECB6</t>
        </is>
      </c>
    </row>
    <row r="357">
      <c r="AL357" t="n">
        <v>0</v>
      </c>
      <c r="AR357" t="n">
        <v>2</v>
      </c>
      <c r="AS357" s="152" t="inlineStr">
        <is>
          <t>000000000000ECB6</t>
        </is>
      </c>
    </row>
    <row r="358">
      <c r="AL358" t="n">
        <v>0</v>
      </c>
      <c r="AR358" t="n">
        <v>2</v>
      </c>
      <c r="AS358" s="152" t="inlineStr">
        <is>
          <t>000000000000ECB6</t>
        </is>
      </c>
    </row>
    <row r="359">
      <c r="AL359" t="n">
        <v>0</v>
      </c>
      <c r="AR359" t="n">
        <v>2</v>
      </c>
      <c r="AS359" t="inlineStr">
        <is>
          <t>000000000000ECB6</t>
        </is>
      </c>
    </row>
    <row r="360">
      <c r="AL360" t="n">
        <v>0</v>
      </c>
      <c r="AR360" t="n">
        <v>2</v>
      </c>
      <c r="AS360" t="inlineStr">
        <is>
          <t>000000000000ECB6</t>
        </is>
      </c>
    </row>
    <row r="361">
      <c r="AL361" t="n">
        <v>0</v>
      </c>
      <c r="AR361" t="n">
        <v>2</v>
      </c>
      <c r="AS361" t="inlineStr">
        <is>
          <t>000000000000ECB6</t>
        </is>
      </c>
    </row>
    <row r="362">
      <c r="AL362" t="n">
        <v>0</v>
      </c>
      <c r="AR362" t="n">
        <v>2</v>
      </c>
      <c r="AS362" t="inlineStr">
        <is>
          <t>000000000000ECB6</t>
        </is>
      </c>
    </row>
    <row r="363">
      <c r="AL363" t="n">
        <v>0</v>
      </c>
      <c r="AR363" t="n">
        <v>2</v>
      </c>
      <c r="AS363" t="inlineStr">
        <is>
          <t>000000000000ECB6</t>
        </is>
      </c>
    </row>
    <row r="364">
      <c r="AL364" t="n">
        <v>0</v>
      </c>
      <c r="AR364" t="n">
        <v>2</v>
      </c>
      <c r="AS364" s="152" t="inlineStr">
        <is>
          <t>000000000000ECB6</t>
        </is>
      </c>
    </row>
    <row r="365">
      <c r="AL365" t="n">
        <v>0</v>
      </c>
      <c r="AR365" t="n">
        <v>2</v>
      </c>
      <c r="AS365" s="152" t="inlineStr">
        <is>
          <t>000000000000ECB6</t>
        </is>
      </c>
    </row>
    <row r="366">
      <c r="AL366" t="n">
        <v>0</v>
      </c>
      <c r="AR366" t="n">
        <v>2</v>
      </c>
      <c r="AS366" s="152" t="inlineStr">
        <is>
          <t>000000000000ECB6</t>
        </is>
      </c>
    </row>
    <row r="367">
      <c r="AL367" t="n">
        <v>0</v>
      </c>
      <c r="AR367" t="n">
        <v>2</v>
      </c>
      <c r="AS367" s="152" t="inlineStr">
        <is>
          <t>000000000000ECB2</t>
        </is>
      </c>
    </row>
    <row r="368">
      <c r="AL368" t="n">
        <v>0</v>
      </c>
      <c r="AR368" t="n">
        <v>2</v>
      </c>
      <c r="AS368" s="152" t="inlineStr">
        <is>
          <t>000000000000ECB2</t>
        </is>
      </c>
    </row>
    <row r="369">
      <c r="AL369" t="n">
        <v>0</v>
      </c>
      <c r="AR369" t="n">
        <v>2</v>
      </c>
      <c r="AS369" s="152" t="inlineStr">
        <is>
          <t>000000000000ECB2</t>
        </is>
      </c>
    </row>
    <row r="370">
      <c r="AL370" t="n">
        <v>0</v>
      </c>
      <c r="AR370" t="n">
        <v>2</v>
      </c>
      <c r="AS370" s="152" t="inlineStr">
        <is>
          <t>000000000000ECB2</t>
        </is>
      </c>
    </row>
    <row r="371">
      <c r="AL371" t="n">
        <v>0</v>
      </c>
      <c r="AR371" t="n">
        <v>2</v>
      </c>
      <c r="AS371" s="152" t="inlineStr">
        <is>
          <t>000000000000ECB2</t>
        </is>
      </c>
    </row>
    <row r="372">
      <c r="AL372" t="n">
        <v>0</v>
      </c>
      <c r="AR372" t="n">
        <v>2</v>
      </c>
      <c r="AS372" s="152" t="inlineStr">
        <is>
          <t>000000000000ECB2</t>
        </is>
      </c>
    </row>
    <row r="373">
      <c r="AL373" t="n">
        <v>0</v>
      </c>
      <c r="AR373" t="n">
        <v>2</v>
      </c>
      <c r="AS373" s="152" t="inlineStr">
        <is>
          <t>000000000000ECB2</t>
        </is>
      </c>
    </row>
    <row r="374">
      <c r="AL374" t="n">
        <v>0</v>
      </c>
      <c r="AR374" t="n">
        <v>2</v>
      </c>
      <c r="AS374" s="152" t="inlineStr">
        <is>
          <t>000000000000ECB2</t>
        </is>
      </c>
    </row>
    <row r="375">
      <c r="AL375" t="n">
        <v>0</v>
      </c>
      <c r="AR375" t="n">
        <v>2</v>
      </c>
      <c r="AS375" s="152" t="inlineStr">
        <is>
          <t>000000000000ECB2</t>
        </is>
      </c>
    </row>
    <row r="376">
      <c r="AL376" t="n">
        <v>0</v>
      </c>
      <c r="AR376" t="n">
        <v>2</v>
      </c>
      <c r="AS376" s="152" t="inlineStr">
        <is>
          <t>000000000000ECB2</t>
        </is>
      </c>
    </row>
    <row r="377">
      <c r="AL377" t="n">
        <v>0</v>
      </c>
      <c r="AR377" t="n">
        <v>2</v>
      </c>
      <c r="AS377" s="152" t="inlineStr">
        <is>
          <t>000000000000ECB2</t>
        </is>
      </c>
    </row>
    <row r="378">
      <c r="AL378" t="n">
        <v>0</v>
      </c>
      <c r="AR378" t="n">
        <v>2</v>
      </c>
      <c r="AS378" s="152" t="inlineStr">
        <is>
          <t>000000000000ECB2</t>
        </is>
      </c>
    </row>
    <row r="379">
      <c r="AL379" t="n">
        <v>0</v>
      </c>
      <c r="AR379" t="n">
        <v>2</v>
      </c>
      <c r="AS379" s="152" t="inlineStr">
        <is>
          <t>000000000000ECB2</t>
        </is>
      </c>
    </row>
    <row r="380">
      <c r="AL380" t="n">
        <v>0</v>
      </c>
      <c r="AR380" t="n">
        <v>2</v>
      </c>
      <c r="AS380" s="152" t="inlineStr">
        <is>
          <t>000000000000ECB2</t>
        </is>
      </c>
    </row>
    <row r="381">
      <c r="AL381" t="n">
        <v>0</v>
      </c>
      <c r="AR381" t="n">
        <v>2</v>
      </c>
      <c r="AS381" s="152" t="inlineStr">
        <is>
          <t>000000000000ECB2</t>
        </is>
      </c>
    </row>
    <row r="382">
      <c r="AL382" t="n">
        <v>0</v>
      </c>
      <c r="AR382" t="n">
        <v>2</v>
      </c>
      <c r="AS382" s="152" t="inlineStr">
        <is>
          <t>000000000000ECB2</t>
        </is>
      </c>
    </row>
    <row r="383">
      <c r="AL383" t="n">
        <v>0</v>
      </c>
      <c r="AR383" t="n">
        <v>2</v>
      </c>
      <c r="AS383" s="152" t="inlineStr">
        <is>
          <t>000000000000ECB2</t>
        </is>
      </c>
    </row>
    <row r="384">
      <c r="AL384" t="n">
        <v>0</v>
      </c>
      <c r="AR384" t="n">
        <v>2</v>
      </c>
      <c r="AS384" s="152" t="inlineStr">
        <is>
          <t>000000000000ECB2</t>
        </is>
      </c>
    </row>
    <row r="385">
      <c r="AL385" t="n">
        <v>0</v>
      </c>
      <c r="AR385" t="n">
        <v>2</v>
      </c>
      <c r="AS385" s="152" t="inlineStr">
        <is>
          <t>000000000000E8FA</t>
        </is>
      </c>
    </row>
    <row r="386">
      <c r="AL386" t="n">
        <v>0</v>
      </c>
      <c r="AR386" t="n">
        <v>2</v>
      </c>
      <c r="AS386" s="152" t="inlineStr">
        <is>
          <t>000000000000E8FA</t>
        </is>
      </c>
    </row>
    <row r="387">
      <c r="AL387" t="n">
        <v>0</v>
      </c>
      <c r="AR387" t="n">
        <v>2</v>
      </c>
      <c r="AS387" s="152" t="inlineStr">
        <is>
          <t>000000000000E8FA</t>
        </is>
      </c>
    </row>
    <row r="388">
      <c r="AL388" t="n">
        <v>0</v>
      </c>
      <c r="AR388" t="n">
        <v>2</v>
      </c>
      <c r="AS388" s="152" t="inlineStr">
        <is>
          <t>000000000000E8FA</t>
        </is>
      </c>
    </row>
    <row r="389">
      <c r="AL389" t="n">
        <v>0</v>
      </c>
      <c r="AR389" t="n">
        <v>2</v>
      </c>
      <c r="AS389" s="152" t="inlineStr">
        <is>
          <t>000000000000E8FA</t>
        </is>
      </c>
    </row>
    <row r="390">
      <c r="AL390" t="n">
        <v>0</v>
      </c>
      <c r="AR390" t="n">
        <v>2</v>
      </c>
      <c r="AS390" s="152" t="inlineStr">
        <is>
          <t>000000000000E8FA</t>
        </is>
      </c>
    </row>
    <row r="391">
      <c r="AL391" t="n">
        <v>0</v>
      </c>
      <c r="AR391" t="n">
        <v>2</v>
      </c>
      <c r="AS391" s="152" t="inlineStr">
        <is>
          <t>000000000000E8FA</t>
        </is>
      </c>
    </row>
    <row r="392">
      <c r="AL392" t="n">
        <v>0</v>
      </c>
      <c r="AR392" t="n">
        <v>2</v>
      </c>
      <c r="AS392" s="152" t="inlineStr">
        <is>
          <t>000000000000E8FA</t>
        </is>
      </c>
    </row>
    <row r="393">
      <c r="AL393" t="n">
        <v>0</v>
      </c>
      <c r="AR393" t="n">
        <v>2</v>
      </c>
      <c r="AS393" s="152" t="inlineStr">
        <is>
          <t>000000000000E8FA</t>
        </is>
      </c>
    </row>
    <row r="394">
      <c r="AL394" t="n">
        <v>0</v>
      </c>
      <c r="AR394" t="n">
        <v>2</v>
      </c>
      <c r="AS394" s="152" t="inlineStr">
        <is>
          <t>000000000000E8FA</t>
        </is>
      </c>
    </row>
    <row r="395">
      <c r="AL395" t="n">
        <v>0</v>
      </c>
      <c r="AR395" t="n">
        <v>2</v>
      </c>
      <c r="AS395" s="152" t="inlineStr">
        <is>
          <t>000000000000E8FA</t>
        </is>
      </c>
    </row>
    <row r="396">
      <c r="AL396" t="n">
        <v>0</v>
      </c>
      <c r="AR396" t="n">
        <v>2</v>
      </c>
      <c r="AS396" s="152" t="inlineStr">
        <is>
          <t>000000000000E8FA</t>
        </is>
      </c>
    </row>
    <row r="397">
      <c r="AL397" t="n">
        <v>0</v>
      </c>
      <c r="AR397" t="n">
        <v>2</v>
      </c>
      <c r="AS397" s="152" t="inlineStr">
        <is>
          <t>000000000000E8FA</t>
        </is>
      </c>
    </row>
    <row r="398">
      <c r="AL398" t="n">
        <v>0</v>
      </c>
      <c r="AR398" t="n">
        <v>2</v>
      </c>
      <c r="AS398" s="152" t="inlineStr">
        <is>
          <t>000000000000E8FA</t>
        </is>
      </c>
    </row>
    <row r="399">
      <c r="AL399" t="n">
        <v>0</v>
      </c>
      <c r="AR399" t="n">
        <v>2</v>
      </c>
      <c r="AS399" s="152" t="inlineStr">
        <is>
          <t>000000000000E8FA</t>
        </is>
      </c>
    </row>
    <row r="400">
      <c r="AL400" t="n">
        <v>0</v>
      </c>
      <c r="AR400" t="n">
        <v>2</v>
      </c>
      <c r="AS400" s="152" t="inlineStr">
        <is>
          <t>000000000000E8FA</t>
        </is>
      </c>
    </row>
    <row r="401">
      <c r="AL401" t="n">
        <v>0</v>
      </c>
      <c r="AR401" t="n">
        <v>2</v>
      </c>
      <c r="AS401" s="152" t="inlineStr">
        <is>
          <t>000000000000E8FA</t>
        </is>
      </c>
    </row>
    <row r="402">
      <c r="AL402" t="n">
        <v>0</v>
      </c>
      <c r="AR402" t="n">
        <v>2</v>
      </c>
      <c r="AS402" s="152" t="inlineStr">
        <is>
          <t>000000000000E8FA</t>
        </is>
      </c>
    </row>
    <row r="403">
      <c r="AL403" t="n">
        <v>0</v>
      </c>
      <c r="AR403" t="n">
        <v>2</v>
      </c>
      <c r="AS403" s="152" t="inlineStr">
        <is>
          <t>000000000000E803</t>
        </is>
      </c>
    </row>
    <row r="404">
      <c r="AL404" t="n">
        <v>0</v>
      </c>
      <c r="AR404" t="n">
        <v>2</v>
      </c>
      <c r="AS404" s="152" t="inlineStr">
        <is>
          <t>000000000000E803</t>
        </is>
      </c>
    </row>
    <row r="405">
      <c r="AL405" t="n">
        <v>0</v>
      </c>
      <c r="AR405" t="n">
        <v>2</v>
      </c>
      <c r="AS405" s="152" t="inlineStr">
        <is>
          <t>000000000000E803</t>
        </is>
      </c>
    </row>
    <row r="406">
      <c r="AL406" t="n">
        <v>0</v>
      </c>
      <c r="AR406" t="n">
        <v>2</v>
      </c>
      <c r="AS406" s="152" t="inlineStr">
        <is>
          <t>000000000000E803</t>
        </is>
      </c>
    </row>
    <row r="407">
      <c r="AL407" t="n">
        <v>0</v>
      </c>
      <c r="AR407" t="n">
        <v>2</v>
      </c>
      <c r="AS407" s="152" t="inlineStr">
        <is>
          <t>000000000000E803</t>
        </is>
      </c>
    </row>
    <row r="408">
      <c r="AL408" t="n">
        <v>0</v>
      </c>
      <c r="AR408" t="n">
        <v>2</v>
      </c>
      <c r="AS408" s="152" t="inlineStr">
        <is>
          <t>000000000000E803</t>
        </is>
      </c>
    </row>
    <row r="409">
      <c r="AL409" t="n">
        <v>0</v>
      </c>
      <c r="AR409" t="n">
        <v>2</v>
      </c>
      <c r="AS409" s="152" t="inlineStr">
        <is>
          <t>000000000000E803</t>
        </is>
      </c>
    </row>
    <row r="410">
      <c r="AL410" t="n">
        <v>0</v>
      </c>
      <c r="AR410" t="n">
        <v>2</v>
      </c>
      <c r="AS410" s="152" t="inlineStr">
        <is>
          <t>000000000000E803</t>
        </is>
      </c>
    </row>
    <row r="411">
      <c r="AL411" t="n">
        <v>0</v>
      </c>
      <c r="AR411" t="n">
        <v>2</v>
      </c>
      <c r="AS411" s="152" t="inlineStr">
        <is>
          <t>000000000000E803</t>
        </is>
      </c>
    </row>
    <row r="412">
      <c r="AL412" t="n">
        <v>0</v>
      </c>
      <c r="AR412" t="n">
        <v>2</v>
      </c>
      <c r="AS412" s="152" t="inlineStr">
        <is>
          <t>000000000000E803</t>
        </is>
      </c>
    </row>
    <row r="413">
      <c r="AL413" t="n">
        <v>0</v>
      </c>
      <c r="AR413" t="n">
        <v>2</v>
      </c>
      <c r="AS413" s="152" t="inlineStr">
        <is>
          <t>000000000000E803</t>
        </is>
      </c>
    </row>
    <row r="414">
      <c r="AL414" t="n">
        <v>0</v>
      </c>
      <c r="AR414" t="n">
        <v>2</v>
      </c>
      <c r="AS414" s="152" t="inlineStr">
        <is>
          <t>000000000000E803</t>
        </is>
      </c>
    </row>
    <row r="415">
      <c r="AL415" t="n">
        <v>0</v>
      </c>
      <c r="AR415" t="n">
        <v>2</v>
      </c>
      <c r="AS415" s="152" t="inlineStr">
        <is>
          <t>000000000000E803</t>
        </is>
      </c>
    </row>
    <row r="416">
      <c r="AL416" t="n">
        <v>0</v>
      </c>
      <c r="AR416" t="n">
        <v>2</v>
      </c>
      <c r="AS416" s="152" t="inlineStr">
        <is>
          <t>000000000000E803</t>
        </is>
      </c>
    </row>
    <row r="417">
      <c r="AL417" t="n">
        <v>0</v>
      </c>
      <c r="AR417" t="n">
        <v>2</v>
      </c>
      <c r="AS417" s="152" t="inlineStr">
        <is>
          <t>000000000000E803</t>
        </is>
      </c>
    </row>
    <row r="418">
      <c r="AL418" t="n">
        <v>0</v>
      </c>
      <c r="AR418" t="n">
        <v>2</v>
      </c>
      <c r="AS418" s="152" t="inlineStr">
        <is>
          <t>000000000000E803</t>
        </is>
      </c>
    </row>
    <row r="419">
      <c r="AL419" t="n">
        <v>0</v>
      </c>
      <c r="AR419" t="n">
        <v>2</v>
      </c>
      <c r="AS419" s="152" t="inlineStr">
        <is>
          <t>000000000000E803</t>
        </is>
      </c>
    </row>
    <row r="420">
      <c r="AL420" t="n">
        <v>0</v>
      </c>
      <c r="AR420" t="n">
        <v>2</v>
      </c>
      <c r="AS420" s="152" t="inlineStr">
        <is>
          <t>000000000000E803</t>
        </is>
      </c>
    </row>
    <row r="421">
      <c r="AL421" t="n">
        <v>0</v>
      </c>
      <c r="AR421" t="n">
        <v>2</v>
      </c>
      <c r="AS421" s="152" t="inlineStr">
        <is>
          <t>000000000000E712</t>
        </is>
      </c>
    </row>
    <row r="422">
      <c r="AL422" t="n">
        <v>0</v>
      </c>
      <c r="AR422" t="n">
        <v>2</v>
      </c>
      <c r="AS422" s="152" t="inlineStr">
        <is>
          <t>000000000000E712</t>
        </is>
      </c>
    </row>
    <row r="423">
      <c r="AL423" t="n">
        <v>0</v>
      </c>
      <c r="AR423" t="n">
        <v>2</v>
      </c>
      <c r="AS423" s="152" t="inlineStr">
        <is>
          <t>000000000000E712</t>
        </is>
      </c>
    </row>
    <row r="424">
      <c r="AL424" t="n">
        <v>0</v>
      </c>
      <c r="AR424" t="n">
        <v>2</v>
      </c>
      <c r="AS424" s="152" t="inlineStr">
        <is>
          <t>000000000000E712</t>
        </is>
      </c>
    </row>
    <row r="425">
      <c r="AL425" t="n">
        <v>0</v>
      </c>
      <c r="AR425" t="n">
        <v>2</v>
      </c>
      <c r="AS425" s="152" t="inlineStr">
        <is>
          <t>000000000000E712</t>
        </is>
      </c>
    </row>
    <row r="426">
      <c r="AL426" t="n">
        <v>0</v>
      </c>
      <c r="AR426" t="n">
        <v>2</v>
      </c>
      <c r="AS426" s="152" t="inlineStr">
        <is>
          <t>000000000000E712</t>
        </is>
      </c>
    </row>
    <row r="427">
      <c r="AL427" t="n">
        <v>0</v>
      </c>
      <c r="AR427" t="n">
        <v>2</v>
      </c>
      <c r="AS427" s="152" t="inlineStr">
        <is>
          <t>000000000000E712</t>
        </is>
      </c>
    </row>
    <row r="428">
      <c r="AL428" t="n">
        <v>0</v>
      </c>
      <c r="AR428" t="n">
        <v>2</v>
      </c>
      <c r="AS428" s="152" t="inlineStr">
        <is>
          <t>000000000000E712</t>
        </is>
      </c>
    </row>
    <row r="429">
      <c r="AL429" t="n">
        <v>0</v>
      </c>
      <c r="AR429" t="n">
        <v>2</v>
      </c>
      <c r="AS429" s="152" t="inlineStr">
        <is>
          <t>000000000000E712</t>
        </is>
      </c>
    </row>
    <row r="430">
      <c r="AL430" t="n">
        <v>0</v>
      </c>
      <c r="AR430" t="n">
        <v>2</v>
      </c>
      <c r="AS430" s="152" t="inlineStr">
        <is>
          <t>000000000000E712</t>
        </is>
      </c>
    </row>
    <row r="431">
      <c r="AL431" t="n">
        <v>0</v>
      </c>
      <c r="AR431" t="n">
        <v>2</v>
      </c>
      <c r="AS431" s="152" t="inlineStr">
        <is>
          <t>000000000000E712</t>
        </is>
      </c>
    </row>
    <row r="432">
      <c r="AL432" t="n">
        <v>0</v>
      </c>
      <c r="AR432" t="n">
        <v>2</v>
      </c>
      <c r="AS432" s="152" t="inlineStr">
        <is>
          <t>000000000000E712</t>
        </is>
      </c>
    </row>
    <row r="433">
      <c r="AL433" t="n">
        <v>0</v>
      </c>
      <c r="AR433" t="n">
        <v>2</v>
      </c>
      <c r="AS433" s="152" t="inlineStr">
        <is>
          <t>000000000000E712</t>
        </is>
      </c>
    </row>
    <row r="434">
      <c r="AL434" t="n">
        <v>0</v>
      </c>
      <c r="AR434" t="n">
        <v>2</v>
      </c>
      <c r="AS434" s="152" t="inlineStr">
        <is>
          <t>000000000000E712</t>
        </is>
      </c>
    </row>
    <row r="435">
      <c r="AL435" t="n">
        <v>0</v>
      </c>
      <c r="AR435" t="n">
        <v>2</v>
      </c>
      <c r="AS435" s="152" t="inlineStr">
        <is>
          <t>000000000000E712</t>
        </is>
      </c>
    </row>
    <row r="436">
      <c r="AL436" t="n">
        <v>0</v>
      </c>
      <c r="AR436" t="n">
        <v>2</v>
      </c>
      <c r="AS436" s="152" t="inlineStr">
        <is>
          <t>000000000000E712</t>
        </is>
      </c>
    </row>
    <row r="437">
      <c r="AL437" t="n">
        <v>0</v>
      </c>
      <c r="AR437" t="n">
        <v>2</v>
      </c>
      <c r="AS437" s="152" t="inlineStr">
        <is>
          <t>000000000000E712</t>
        </is>
      </c>
    </row>
    <row r="438">
      <c r="AL438" t="n">
        <v>0</v>
      </c>
      <c r="AR438" t="n">
        <v>2</v>
      </c>
      <c r="AS438" s="152" t="inlineStr">
        <is>
          <t>000000000000E712</t>
        </is>
      </c>
    </row>
    <row r="439">
      <c r="AL439" t="n">
        <v>0</v>
      </c>
      <c r="AR439" t="n">
        <v>2</v>
      </c>
      <c r="AS439" s="152" t="inlineStr">
        <is>
          <t>000000000000E465</t>
        </is>
      </c>
    </row>
    <row r="440">
      <c r="AL440" t="n">
        <v>0</v>
      </c>
      <c r="AR440" t="n">
        <v>2</v>
      </c>
      <c r="AS440" s="152" t="inlineStr">
        <is>
          <t>000000000000E465</t>
        </is>
      </c>
    </row>
    <row r="441">
      <c r="AL441" t="n">
        <v>0</v>
      </c>
      <c r="AR441" t="n">
        <v>2</v>
      </c>
      <c r="AS441" s="152" t="inlineStr">
        <is>
          <t>000000000000E465</t>
        </is>
      </c>
    </row>
    <row r="442">
      <c r="AL442" t="n">
        <v>0</v>
      </c>
      <c r="AR442" t="n">
        <v>2</v>
      </c>
      <c r="AS442" s="152" t="inlineStr">
        <is>
          <t>000000000000E465</t>
        </is>
      </c>
    </row>
    <row r="443">
      <c r="AL443" t="n">
        <v>0</v>
      </c>
      <c r="AR443" t="n">
        <v>2</v>
      </c>
      <c r="AS443" s="152" t="inlineStr">
        <is>
          <t>000000000000E465</t>
        </is>
      </c>
    </row>
    <row r="444">
      <c r="AL444" t="n">
        <v>0</v>
      </c>
      <c r="AR444" t="n">
        <v>2</v>
      </c>
      <c r="AS444" s="152" t="inlineStr">
        <is>
          <t>000000000000E465</t>
        </is>
      </c>
    </row>
    <row r="445">
      <c r="AL445" t="n">
        <v>0</v>
      </c>
      <c r="AR445" t="n">
        <v>2</v>
      </c>
      <c r="AS445" s="152" t="inlineStr">
        <is>
          <t>000000000000E465</t>
        </is>
      </c>
    </row>
    <row r="446">
      <c r="AL446" t="n">
        <v>0</v>
      </c>
      <c r="AR446" t="n">
        <v>2</v>
      </c>
      <c r="AS446" s="152" t="inlineStr">
        <is>
          <t>000000000000E465</t>
        </is>
      </c>
    </row>
    <row r="447">
      <c r="AL447" t="n">
        <v>0</v>
      </c>
      <c r="AR447" t="n">
        <v>2</v>
      </c>
      <c r="AS447" s="152" t="inlineStr">
        <is>
          <t>000000000000E465</t>
        </is>
      </c>
    </row>
    <row r="448">
      <c r="AL448" t="n">
        <v>0</v>
      </c>
      <c r="AR448" t="n">
        <v>2</v>
      </c>
      <c r="AS448" s="152" t="inlineStr">
        <is>
          <t>000000000000E465</t>
        </is>
      </c>
    </row>
    <row r="449">
      <c r="AL449" t="n">
        <v>0</v>
      </c>
      <c r="AR449" t="n">
        <v>2</v>
      </c>
      <c r="AS449" s="152" t="inlineStr">
        <is>
          <t>000000000000E465</t>
        </is>
      </c>
    </row>
    <row r="450">
      <c r="AL450" t="n">
        <v>0</v>
      </c>
      <c r="AR450" t="n">
        <v>2</v>
      </c>
      <c r="AS450" s="152" t="inlineStr">
        <is>
          <t>000000000000E465</t>
        </is>
      </c>
    </row>
    <row r="451">
      <c r="AL451" t="n">
        <v>0</v>
      </c>
      <c r="AR451" t="n">
        <v>2</v>
      </c>
      <c r="AS451" s="152" t="inlineStr">
        <is>
          <t>000000000000E465</t>
        </is>
      </c>
    </row>
    <row r="452">
      <c r="AL452" t="n">
        <v>0</v>
      </c>
      <c r="AR452" t="n">
        <v>2</v>
      </c>
      <c r="AS452" s="152" t="inlineStr">
        <is>
          <t>000000000000E465</t>
        </is>
      </c>
    </row>
    <row r="453">
      <c r="AL453" t="n">
        <v>0</v>
      </c>
      <c r="AR453" t="n">
        <v>2</v>
      </c>
      <c r="AS453" s="152" t="inlineStr">
        <is>
          <t>000000000000E465</t>
        </is>
      </c>
    </row>
    <row r="454">
      <c r="AL454" t="n">
        <v>0</v>
      </c>
      <c r="AR454" t="n">
        <v>2</v>
      </c>
      <c r="AS454" s="152" t="inlineStr">
        <is>
          <t>000000000000E465</t>
        </is>
      </c>
    </row>
    <row r="455">
      <c r="AL455" t="n">
        <v>0</v>
      </c>
      <c r="AR455" t="n">
        <v>2</v>
      </c>
      <c r="AS455" s="152" t="inlineStr">
        <is>
          <t>000000000000E465</t>
        </is>
      </c>
    </row>
    <row r="456">
      <c r="AL456" t="n">
        <v>0</v>
      </c>
      <c r="AR456" t="n">
        <v>2</v>
      </c>
      <c r="AS456" s="152" t="inlineStr">
        <is>
          <t>000000000000E465</t>
        </is>
      </c>
    </row>
    <row r="457">
      <c r="AL457" t="n">
        <v>0</v>
      </c>
      <c r="AR457" t="n">
        <v>2</v>
      </c>
      <c r="AS457" s="152" t="inlineStr">
        <is>
          <t>000000000000ECF3</t>
        </is>
      </c>
    </row>
    <row r="458">
      <c r="AL458" t="n">
        <v>0</v>
      </c>
      <c r="AR458" t="n">
        <v>2</v>
      </c>
      <c r="AS458" s="152" t="inlineStr">
        <is>
          <t>000000000000ECF3</t>
        </is>
      </c>
    </row>
    <row r="459">
      <c r="AL459" t="n">
        <v>0</v>
      </c>
      <c r="AR459" t="n">
        <v>2</v>
      </c>
      <c r="AS459" s="152" t="inlineStr">
        <is>
          <t>000000000000ECF3</t>
        </is>
      </c>
    </row>
    <row r="460">
      <c r="AL460" t="n">
        <v>0</v>
      </c>
      <c r="AR460" t="n">
        <v>2</v>
      </c>
      <c r="AS460" s="152" t="inlineStr">
        <is>
          <t>000000000000ECF3</t>
        </is>
      </c>
    </row>
    <row r="461">
      <c r="AL461" t="n">
        <v>0</v>
      </c>
      <c r="AR461" t="n">
        <v>2</v>
      </c>
      <c r="AS461" s="152" t="inlineStr">
        <is>
          <t>000000000000ECF3</t>
        </is>
      </c>
    </row>
    <row r="462">
      <c r="AL462" t="n">
        <v>0</v>
      </c>
      <c r="AR462" t="n">
        <v>2</v>
      </c>
      <c r="AS462" s="152" t="inlineStr">
        <is>
          <t>000000000000ECF3</t>
        </is>
      </c>
    </row>
    <row r="463">
      <c r="AL463" t="n">
        <v>0</v>
      </c>
      <c r="AR463" t="n">
        <v>2</v>
      </c>
      <c r="AS463" s="152" t="inlineStr">
        <is>
          <t>000000000000ECF3</t>
        </is>
      </c>
    </row>
    <row r="464">
      <c r="AL464" t="n">
        <v>0</v>
      </c>
      <c r="AR464" t="n">
        <v>2</v>
      </c>
      <c r="AS464" s="152" t="inlineStr">
        <is>
          <t>000000000000ECF3</t>
        </is>
      </c>
    </row>
    <row r="465">
      <c r="AL465" t="n">
        <v>0</v>
      </c>
      <c r="AR465" t="n">
        <v>2</v>
      </c>
      <c r="AS465" s="152" t="inlineStr">
        <is>
          <t>000000000000ECF3</t>
        </is>
      </c>
    </row>
    <row r="466">
      <c r="AL466" t="n">
        <v>0</v>
      </c>
      <c r="AR466" t="n">
        <v>2</v>
      </c>
      <c r="AS466" s="152" t="inlineStr">
        <is>
          <t>000000000000ECF3</t>
        </is>
      </c>
    </row>
    <row r="467">
      <c r="AL467" t="n">
        <v>0</v>
      </c>
      <c r="AR467" t="n">
        <v>2</v>
      </c>
      <c r="AS467" s="152" t="inlineStr">
        <is>
          <t>000000000000ECF3</t>
        </is>
      </c>
    </row>
    <row r="468">
      <c r="AL468" t="n">
        <v>0</v>
      </c>
      <c r="AR468" t="n">
        <v>2</v>
      </c>
      <c r="AS468" s="152" t="inlineStr">
        <is>
          <t>000000000000ECF3</t>
        </is>
      </c>
    </row>
    <row r="469">
      <c r="AL469" t="n">
        <v>0</v>
      </c>
      <c r="AR469" t="n">
        <v>2</v>
      </c>
      <c r="AS469" s="152" t="inlineStr">
        <is>
          <t>000000000000ECF3</t>
        </is>
      </c>
    </row>
    <row r="470">
      <c r="AL470" t="n">
        <v>0</v>
      </c>
      <c r="AR470" t="n">
        <v>2</v>
      </c>
      <c r="AS470" s="152" t="inlineStr">
        <is>
          <t>000000000000ECF3</t>
        </is>
      </c>
    </row>
    <row r="471">
      <c r="AL471" t="n">
        <v>0</v>
      </c>
      <c r="AR471" t="n">
        <v>2</v>
      </c>
      <c r="AS471" s="152" t="inlineStr">
        <is>
          <t>000000000000ECF3</t>
        </is>
      </c>
    </row>
    <row r="472">
      <c r="AL472" t="n">
        <v>0</v>
      </c>
      <c r="AR472" t="n">
        <v>2</v>
      </c>
      <c r="AS472" s="152" t="inlineStr">
        <is>
          <t>000000000000ECF3</t>
        </is>
      </c>
    </row>
    <row r="473">
      <c r="AL473" t="n">
        <v>0</v>
      </c>
      <c r="AR473" t="n">
        <v>2</v>
      </c>
      <c r="AS473" s="152" t="inlineStr">
        <is>
          <t>000000000000ECF3</t>
        </is>
      </c>
    </row>
    <row r="474">
      <c r="AL474" t="n">
        <v>0</v>
      </c>
      <c r="AR474" t="n">
        <v>2</v>
      </c>
      <c r="AS474" s="152" t="inlineStr">
        <is>
          <t>000000000000ECF3</t>
        </is>
      </c>
    </row>
    <row r="475">
      <c r="AL475" t="n">
        <v>0</v>
      </c>
      <c r="AR475" t="n">
        <v>2</v>
      </c>
      <c r="AS475" s="152" t="inlineStr">
        <is>
          <t>000000000000EC35</t>
        </is>
      </c>
    </row>
    <row r="476">
      <c r="AL476" t="n">
        <v>0</v>
      </c>
      <c r="AR476" t="n">
        <v>2</v>
      </c>
      <c r="AS476" s="152" t="inlineStr">
        <is>
          <t>000000000000EC35</t>
        </is>
      </c>
    </row>
    <row r="477">
      <c r="AL477" t="n">
        <v>0</v>
      </c>
      <c r="AR477" t="n">
        <v>2</v>
      </c>
      <c r="AS477" s="152" t="inlineStr">
        <is>
          <t>000000000000EC35</t>
        </is>
      </c>
    </row>
    <row r="478">
      <c r="AL478" t="n">
        <v>0</v>
      </c>
      <c r="AR478" t="n">
        <v>2</v>
      </c>
      <c r="AS478" s="152" t="inlineStr">
        <is>
          <t>000000000000EC35</t>
        </is>
      </c>
    </row>
    <row r="479">
      <c r="AL479" t="n">
        <v>0</v>
      </c>
      <c r="AR479" t="n">
        <v>2</v>
      </c>
      <c r="AS479" s="152" t="inlineStr">
        <is>
          <t>000000000000EC35</t>
        </is>
      </c>
    </row>
    <row r="480">
      <c r="AL480" t="n">
        <v>0</v>
      </c>
      <c r="AR480" t="n">
        <v>2</v>
      </c>
      <c r="AS480" s="152" t="inlineStr">
        <is>
          <t>000000000000EC35</t>
        </is>
      </c>
    </row>
    <row r="481">
      <c r="AL481" t="n">
        <v>0</v>
      </c>
      <c r="AR481" t="n">
        <v>2</v>
      </c>
      <c r="AS481" s="152" t="inlineStr">
        <is>
          <t>000000000000EC35</t>
        </is>
      </c>
    </row>
    <row r="482">
      <c r="AL482" t="n">
        <v>0</v>
      </c>
      <c r="AR482" t="n">
        <v>2</v>
      </c>
      <c r="AS482" s="152" t="inlineStr">
        <is>
          <t>000000000000EC35</t>
        </is>
      </c>
    </row>
    <row r="483">
      <c r="AL483" t="n">
        <v>0</v>
      </c>
      <c r="AR483" t="n">
        <v>2</v>
      </c>
      <c r="AS483" s="152" t="inlineStr">
        <is>
          <t>000000000000EC35</t>
        </is>
      </c>
    </row>
    <row r="484">
      <c r="AL484" t="n">
        <v>0</v>
      </c>
      <c r="AR484" t="n">
        <v>2</v>
      </c>
      <c r="AS484" s="152" t="inlineStr">
        <is>
          <t>000000000000EC35</t>
        </is>
      </c>
    </row>
    <row r="485">
      <c r="AL485" t="n">
        <v>0</v>
      </c>
      <c r="AR485" t="n">
        <v>2</v>
      </c>
      <c r="AS485" s="152" t="inlineStr">
        <is>
          <t>000000000000EC35</t>
        </is>
      </c>
    </row>
    <row r="486">
      <c r="AL486" t="n">
        <v>0</v>
      </c>
      <c r="AR486" t="n">
        <v>2</v>
      </c>
      <c r="AS486" s="152" t="inlineStr">
        <is>
          <t>000000000000EC35</t>
        </is>
      </c>
    </row>
    <row r="487">
      <c r="AL487" t="n">
        <v>0</v>
      </c>
      <c r="AR487" t="n">
        <v>2</v>
      </c>
      <c r="AS487" t="inlineStr">
        <is>
          <t>000000000000EC35</t>
        </is>
      </c>
    </row>
    <row r="488">
      <c r="AL488" t="n">
        <v>0</v>
      </c>
      <c r="AR488" t="n">
        <v>2</v>
      </c>
      <c r="AS488" t="inlineStr">
        <is>
          <t>000000000000EC35</t>
        </is>
      </c>
    </row>
    <row r="489">
      <c r="AL489" t="n">
        <v>0</v>
      </c>
      <c r="AR489" t="n">
        <v>2</v>
      </c>
      <c r="AS489" t="inlineStr">
        <is>
          <t>000000000000EC35</t>
        </is>
      </c>
    </row>
    <row r="490">
      <c r="AL490" t="n">
        <v>0</v>
      </c>
      <c r="AR490" t="n">
        <v>2</v>
      </c>
      <c r="AS490" t="inlineStr">
        <is>
          <t>000000000000EC35</t>
        </is>
      </c>
    </row>
    <row r="491">
      <c r="AL491" t="n">
        <v>0</v>
      </c>
      <c r="AR491" t="n">
        <v>2</v>
      </c>
      <c r="AS491" t="inlineStr">
        <is>
          <t>000000000000EC35</t>
        </is>
      </c>
    </row>
    <row r="492">
      <c r="AL492" t="n">
        <v>0</v>
      </c>
      <c r="AR492" t="n">
        <v>2</v>
      </c>
      <c r="AS492" t="inlineStr">
        <is>
          <t>000000000000EC35</t>
        </is>
      </c>
    </row>
    <row r="493">
      <c r="AL493" t="n">
        <v>0</v>
      </c>
      <c r="AR493" t="n">
        <v>2</v>
      </c>
      <c r="AS493" t="inlineStr">
        <is>
          <t>000000000000E81A</t>
        </is>
      </c>
    </row>
    <row r="494">
      <c r="AL494" t="n">
        <v>0</v>
      </c>
      <c r="AR494" t="n">
        <v>2</v>
      </c>
      <c r="AS494" t="inlineStr">
        <is>
          <t>000000000000E81A</t>
        </is>
      </c>
    </row>
    <row r="495">
      <c r="AL495" t="n">
        <v>0</v>
      </c>
      <c r="AR495" t="n">
        <v>2</v>
      </c>
      <c r="AS495" t="inlineStr">
        <is>
          <t>000000000000E81A</t>
        </is>
      </c>
    </row>
    <row r="496">
      <c r="AL496" t="n">
        <v>0</v>
      </c>
      <c r="AR496" t="n">
        <v>2</v>
      </c>
      <c r="AS496" t="inlineStr">
        <is>
          <t>000000000000E81A</t>
        </is>
      </c>
    </row>
    <row r="497">
      <c r="AL497" t="n">
        <v>0</v>
      </c>
      <c r="AR497" t="n">
        <v>2</v>
      </c>
      <c r="AS497" t="inlineStr">
        <is>
          <t>000000000000E81A</t>
        </is>
      </c>
    </row>
    <row r="498">
      <c r="AL498" t="n">
        <v>0</v>
      </c>
      <c r="AR498" t="n">
        <v>2</v>
      </c>
      <c r="AS498" t="inlineStr">
        <is>
          <t>000000000000E81A</t>
        </is>
      </c>
    </row>
    <row r="499">
      <c r="AL499" t="n">
        <v>0</v>
      </c>
      <c r="AR499" t="n">
        <v>2</v>
      </c>
      <c r="AS499" t="inlineStr">
        <is>
          <t>000000000000E81A</t>
        </is>
      </c>
    </row>
    <row r="500">
      <c r="AL500" t="n">
        <v>0</v>
      </c>
      <c r="AR500" t="n">
        <v>2</v>
      </c>
      <c r="AS500" t="inlineStr">
        <is>
          <t>000000000000E81A</t>
        </is>
      </c>
    </row>
    <row r="501">
      <c r="AL501" t="n">
        <v>0</v>
      </c>
      <c r="AR501" t="n">
        <v>2</v>
      </c>
      <c r="AS501" t="inlineStr">
        <is>
          <t>000000000000E81A</t>
        </is>
      </c>
    </row>
    <row r="502">
      <c r="AL502" t="n">
        <v>0</v>
      </c>
      <c r="AR502" t="n">
        <v>2</v>
      </c>
      <c r="AS502" t="inlineStr">
        <is>
          <t>000000000000E81A</t>
        </is>
      </c>
    </row>
    <row r="503">
      <c r="AL503" t="n">
        <v>0</v>
      </c>
      <c r="AR503" t="n">
        <v>2</v>
      </c>
      <c r="AS503" t="inlineStr">
        <is>
          <t>000000000000E81A</t>
        </is>
      </c>
    </row>
    <row r="504">
      <c r="AL504" t="n">
        <v>0</v>
      </c>
      <c r="AR504" t="n">
        <v>2</v>
      </c>
      <c r="AS504" t="inlineStr">
        <is>
          <t>000000000000E81A</t>
        </is>
      </c>
    </row>
    <row r="505">
      <c r="AL505" t="n">
        <v>0</v>
      </c>
      <c r="AR505" t="n">
        <v>2</v>
      </c>
      <c r="AS505" t="inlineStr">
        <is>
          <t>000000000000E81A</t>
        </is>
      </c>
    </row>
    <row r="506">
      <c r="AL506" t="n">
        <v>0</v>
      </c>
      <c r="AR506" t="n">
        <v>2</v>
      </c>
      <c r="AS506" t="inlineStr">
        <is>
          <t>000000000000E81A</t>
        </is>
      </c>
    </row>
    <row r="507">
      <c r="AL507" t="n">
        <v>0</v>
      </c>
      <c r="AR507" t="n">
        <v>2</v>
      </c>
      <c r="AS507" t="inlineStr">
        <is>
          <t>000000000000E81A</t>
        </is>
      </c>
    </row>
    <row r="508">
      <c r="AL508" t="n">
        <v>0</v>
      </c>
      <c r="AR508" t="n">
        <v>2</v>
      </c>
      <c r="AS508" t="inlineStr">
        <is>
          <t>000000000000E81A</t>
        </is>
      </c>
    </row>
    <row r="509">
      <c r="AL509" t="n">
        <v>0</v>
      </c>
      <c r="AR509" t="n">
        <v>2</v>
      </c>
      <c r="AS509" t="inlineStr">
        <is>
          <t>000000000000E81A</t>
        </is>
      </c>
    </row>
    <row r="510">
      <c r="AL510" t="n">
        <v>0</v>
      </c>
      <c r="AR510" t="n">
        <v>2</v>
      </c>
      <c r="AS510" t="inlineStr">
        <is>
          <t>000000000000E81A</t>
        </is>
      </c>
    </row>
    <row r="511">
      <c r="AL511" t="n">
        <v>0</v>
      </c>
      <c r="AR511" t="n">
        <v>2</v>
      </c>
      <c r="AS511" t="inlineStr">
        <is>
          <t>000000000000E7EB</t>
        </is>
      </c>
    </row>
    <row r="512">
      <c r="AL512" t="n">
        <v>0</v>
      </c>
      <c r="AR512" t="n">
        <v>2</v>
      </c>
      <c r="AS512" t="inlineStr">
        <is>
          <t>000000000000E7EB</t>
        </is>
      </c>
    </row>
    <row r="513">
      <c r="AL513" t="n">
        <v>0</v>
      </c>
      <c r="AR513" t="n">
        <v>2</v>
      </c>
      <c r="AS513" t="inlineStr">
        <is>
          <t>000000000000E7EB</t>
        </is>
      </c>
    </row>
    <row r="514">
      <c r="AL514" t="n">
        <v>0</v>
      </c>
      <c r="AR514" t="n">
        <v>2</v>
      </c>
      <c r="AS514" t="inlineStr">
        <is>
          <t>000000000000E7EB</t>
        </is>
      </c>
    </row>
    <row r="515">
      <c r="AL515" t="n">
        <v>0</v>
      </c>
      <c r="AR515" t="n">
        <v>2</v>
      </c>
      <c r="AS515" t="inlineStr">
        <is>
          <t>000000000000E7EB</t>
        </is>
      </c>
    </row>
    <row r="516">
      <c r="AL516" t="n">
        <v>0</v>
      </c>
      <c r="AR516" t="n">
        <v>2</v>
      </c>
      <c r="AS516" t="inlineStr">
        <is>
          <t>000000000000E7EB</t>
        </is>
      </c>
    </row>
    <row r="517">
      <c r="AL517" t="n">
        <v>0</v>
      </c>
      <c r="AR517" t="n">
        <v>2</v>
      </c>
      <c r="AS517" s="152" t="inlineStr">
        <is>
          <t>000000000000E7EB</t>
        </is>
      </c>
    </row>
    <row r="518">
      <c r="AL518" t="n">
        <v>0</v>
      </c>
      <c r="AR518" t="n">
        <v>2</v>
      </c>
      <c r="AS518" s="152" t="inlineStr">
        <is>
          <t>000000000000E7EB</t>
        </is>
      </c>
    </row>
    <row r="519">
      <c r="AL519" t="n">
        <v>0</v>
      </c>
      <c r="AR519" t="n">
        <v>2</v>
      </c>
      <c r="AS519" s="152" t="inlineStr">
        <is>
          <t>000000000000E7EB</t>
        </is>
      </c>
    </row>
    <row r="520">
      <c r="AL520" t="n">
        <v>0</v>
      </c>
      <c r="AR520" t="n">
        <v>2</v>
      </c>
      <c r="AS520" s="152" t="inlineStr">
        <is>
          <t>000000000000E7EB</t>
        </is>
      </c>
    </row>
    <row r="521">
      <c r="AL521" t="n">
        <v>0</v>
      </c>
      <c r="AR521" t="n">
        <v>2</v>
      </c>
      <c r="AS521" s="152" t="inlineStr">
        <is>
          <t>000000000000E7EB</t>
        </is>
      </c>
    </row>
    <row r="522">
      <c r="AL522" t="n">
        <v>0</v>
      </c>
      <c r="AR522" t="n">
        <v>2</v>
      </c>
      <c r="AS522" s="152" t="inlineStr">
        <is>
          <t>000000000000E7EB</t>
        </is>
      </c>
    </row>
    <row r="523">
      <c r="AL523" t="n">
        <v>0</v>
      </c>
      <c r="AR523" t="n">
        <v>2</v>
      </c>
      <c r="AS523" s="152" t="inlineStr">
        <is>
          <t>000000000000E7EB</t>
        </is>
      </c>
    </row>
    <row r="524">
      <c r="AL524" t="n">
        <v>0</v>
      </c>
      <c r="AR524" t="n">
        <v>2</v>
      </c>
      <c r="AS524" s="152" t="inlineStr">
        <is>
          <t>000000000000E7EB</t>
        </is>
      </c>
    </row>
    <row r="525">
      <c r="AL525" t="n">
        <v>0</v>
      </c>
      <c r="AR525" t="n">
        <v>2</v>
      </c>
      <c r="AS525" s="152" t="inlineStr">
        <is>
          <t>000000000000E7EB</t>
        </is>
      </c>
    </row>
    <row r="526">
      <c r="AL526" t="n">
        <v>0</v>
      </c>
      <c r="AR526" t="n">
        <v>2</v>
      </c>
      <c r="AS526" s="152" t="inlineStr">
        <is>
          <t>000000000000E7EB</t>
        </is>
      </c>
    </row>
    <row r="527">
      <c r="AL527" t="n">
        <v>0</v>
      </c>
      <c r="AR527" t="n">
        <v>2</v>
      </c>
      <c r="AS527" s="152" t="inlineStr">
        <is>
          <t>000000000000E7EB</t>
        </is>
      </c>
    </row>
    <row r="528">
      <c r="AL528" t="n">
        <v>0</v>
      </c>
      <c r="AR528" t="n">
        <v>2</v>
      </c>
      <c r="AS528" s="152" t="inlineStr">
        <is>
          <t>000000000000E7EB</t>
        </is>
      </c>
    </row>
    <row r="529">
      <c r="AL529" t="n">
        <v>0</v>
      </c>
      <c r="AR529" t="n">
        <v>2</v>
      </c>
      <c r="AS529" s="152" t="inlineStr">
        <is>
          <t>000000000000E599</t>
        </is>
      </c>
    </row>
    <row r="530">
      <c r="AL530" t="n">
        <v>0</v>
      </c>
      <c r="AR530" t="n">
        <v>2</v>
      </c>
      <c r="AS530" s="152" t="inlineStr">
        <is>
          <t>000000000000E599</t>
        </is>
      </c>
    </row>
    <row r="531">
      <c r="AL531" t="n">
        <v>0</v>
      </c>
      <c r="AR531" t="n">
        <v>2</v>
      </c>
      <c r="AS531" s="152" t="inlineStr">
        <is>
          <t>000000000000E599</t>
        </is>
      </c>
    </row>
    <row r="532">
      <c r="AL532" t="n">
        <v>0</v>
      </c>
      <c r="AR532" t="n">
        <v>2</v>
      </c>
      <c r="AS532" s="152" t="inlineStr">
        <is>
          <t>000000000000E599</t>
        </is>
      </c>
    </row>
    <row r="533">
      <c r="AL533" t="n">
        <v>0</v>
      </c>
      <c r="AR533" t="n">
        <v>2</v>
      </c>
      <c r="AS533" s="152" t="inlineStr">
        <is>
          <t>000000000000E599</t>
        </is>
      </c>
    </row>
    <row r="534">
      <c r="AL534" t="n">
        <v>0</v>
      </c>
      <c r="AR534" t="n">
        <v>2</v>
      </c>
      <c r="AS534" s="152" t="inlineStr">
        <is>
          <t>000000000000E599</t>
        </is>
      </c>
    </row>
    <row r="535">
      <c r="AL535" t="n">
        <v>0</v>
      </c>
      <c r="AR535" t="n">
        <v>2</v>
      </c>
      <c r="AS535" s="152" t="inlineStr">
        <is>
          <t>000000000000E599</t>
        </is>
      </c>
    </row>
    <row r="536">
      <c r="AL536" t="n">
        <v>0</v>
      </c>
      <c r="AR536" t="n">
        <v>2</v>
      </c>
      <c r="AS536" s="152" t="inlineStr">
        <is>
          <t>000000000000E599</t>
        </is>
      </c>
    </row>
    <row r="537">
      <c r="AL537" t="n">
        <v>0</v>
      </c>
      <c r="AR537" t="n">
        <v>2</v>
      </c>
      <c r="AS537" s="152" t="inlineStr">
        <is>
          <t>000000000000E599</t>
        </is>
      </c>
    </row>
    <row r="538">
      <c r="AL538" t="n">
        <v>0</v>
      </c>
      <c r="AR538" t="n">
        <v>2</v>
      </c>
      <c r="AS538" s="152" t="inlineStr">
        <is>
          <t>000000000000E599</t>
        </is>
      </c>
    </row>
    <row r="539">
      <c r="AL539" t="n">
        <v>0</v>
      </c>
      <c r="AR539" t="n">
        <v>2</v>
      </c>
      <c r="AS539" s="152" t="inlineStr">
        <is>
          <t>000000000000E599</t>
        </is>
      </c>
    </row>
    <row r="540">
      <c r="AL540" t="n">
        <v>0</v>
      </c>
      <c r="AR540" t="n">
        <v>2</v>
      </c>
      <c r="AS540" s="152" t="inlineStr">
        <is>
          <t>000000000000E599</t>
        </is>
      </c>
    </row>
    <row r="541">
      <c r="AL541" t="n">
        <v>0</v>
      </c>
      <c r="AR541" t="n">
        <v>2</v>
      </c>
      <c r="AS541" s="152" t="inlineStr">
        <is>
          <t>000000000000E599</t>
        </is>
      </c>
    </row>
    <row r="542">
      <c r="AL542" t="n">
        <v>0</v>
      </c>
      <c r="AR542" t="n">
        <v>2</v>
      </c>
      <c r="AS542" s="152" t="inlineStr">
        <is>
          <t>000000000000E599</t>
        </is>
      </c>
    </row>
    <row r="543">
      <c r="AL543" t="n">
        <v>0</v>
      </c>
      <c r="AR543" t="n">
        <v>2</v>
      </c>
      <c r="AS543" s="152" t="inlineStr">
        <is>
          <t>000000000000E599</t>
        </is>
      </c>
    </row>
    <row r="544">
      <c r="AL544" t="n">
        <v>0</v>
      </c>
      <c r="AR544" t="n">
        <v>2</v>
      </c>
      <c r="AS544" s="152" t="inlineStr">
        <is>
          <t>000000000000E599</t>
        </is>
      </c>
    </row>
    <row r="545">
      <c r="AL545" t="n">
        <v>0</v>
      </c>
      <c r="AR545" t="n">
        <v>2</v>
      </c>
      <c r="AS545" s="152" t="inlineStr">
        <is>
          <t>000000000000E599</t>
        </is>
      </c>
    </row>
    <row r="546">
      <c r="AL546" t="n">
        <v>0</v>
      </c>
      <c r="AR546" t="n">
        <v>2</v>
      </c>
      <c r="AS546" s="152" t="inlineStr">
        <is>
          <t>000000000000E599</t>
        </is>
      </c>
    </row>
    <row r="547">
      <c r="AL547" t="n">
        <v>0</v>
      </c>
      <c r="AR547" t="n">
        <v>2</v>
      </c>
      <c r="AS547" s="152" t="inlineStr">
        <is>
          <t>000000000000E58A</t>
        </is>
      </c>
    </row>
    <row r="548">
      <c r="AL548" t="n">
        <v>0</v>
      </c>
      <c r="AR548" t="n">
        <v>2</v>
      </c>
      <c r="AS548" s="152" t="inlineStr">
        <is>
          <t>000000000000E58A</t>
        </is>
      </c>
    </row>
    <row r="549">
      <c r="AL549" t="n">
        <v>0</v>
      </c>
      <c r="AR549" t="n">
        <v>2</v>
      </c>
      <c r="AS549" s="152" t="inlineStr">
        <is>
          <t>000000000000E58A</t>
        </is>
      </c>
    </row>
    <row r="550">
      <c r="AL550" t="n">
        <v>0</v>
      </c>
      <c r="AR550" t="n">
        <v>2</v>
      </c>
      <c r="AS550" s="152" t="inlineStr">
        <is>
          <t>000000000000E58A</t>
        </is>
      </c>
    </row>
    <row r="551">
      <c r="AL551" t="n">
        <v>0</v>
      </c>
      <c r="AR551" t="n">
        <v>2</v>
      </c>
      <c r="AS551" t="inlineStr">
        <is>
          <t>000000000000E58A</t>
        </is>
      </c>
    </row>
    <row r="552">
      <c r="AL552" t="n">
        <v>0</v>
      </c>
      <c r="AR552" t="n">
        <v>2</v>
      </c>
      <c r="AS552" t="inlineStr">
        <is>
          <t>000000000000E58A</t>
        </is>
      </c>
    </row>
    <row r="553">
      <c r="AL553" t="n">
        <v>0</v>
      </c>
      <c r="AR553" t="n">
        <v>2</v>
      </c>
      <c r="AS553" t="inlineStr">
        <is>
          <t>000000000000E58A</t>
        </is>
      </c>
    </row>
    <row r="554">
      <c r="AL554" t="n">
        <v>0</v>
      </c>
      <c r="AR554" t="n">
        <v>2</v>
      </c>
      <c r="AS554" t="inlineStr">
        <is>
          <t>000000000000E58A</t>
        </is>
      </c>
    </row>
    <row r="555">
      <c r="AL555" t="n">
        <v>0</v>
      </c>
      <c r="AR555" t="n">
        <v>2</v>
      </c>
      <c r="AS555" t="inlineStr">
        <is>
          <t>000000000000E58A</t>
        </is>
      </c>
    </row>
    <row r="556">
      <c r="AL556" t="n">
        <v>0</v>
      </c>
      <c r="AR556" t="n">
        <v>2</v>
      </c>
      <c r="AS556" t="inlineStr">
        <is>
          <t>000000000000E58A</t>
        </is>
      </c>
    </row>
    <row r="557">
      <c r="AL557" t="n">
        <v>0</v>
      </c>
      <c r="AR557" t="n">
        <v>2</v>
      </c>
      <c r="AS557" t="inlineStr">
        <is>
          <t>000000000000E58A</t>
        </is>
      </c>
    </row>
    <row r="558">
      <c r="AL558" t="n">
        <v>0</v>
      </c>
      <c r="AR558" t="n">
        <v>2</v>
      </c>
      <c r="AS558" t="inlineStr">
        <is>
          <t>000000000000E58A</t>
        </is>
      </c>
    </row>
    <row r="559">
      <c r="AL559" t="n">
        <v>0</v>
      </c>
      <c r="AR559" t="n">
        <v>2</v>
      </c>
      <c r="AS559" t="inlineStr">
        <is>
          <t>000000000000E58A</t>
        </is>
      </c>
    </row>
    <row r="560">
      <c r="AL560" t="n">
        <v>0</v>
      </c>
      <c r="AR560" t="n">
        <v>2</v>
      </c>
      <c r="AS560" t="inlineStr">
        <is>
          <t>000000000000E58A</t>
        </is>
      </c>
    </row>
    <row r="561">
      <c r="AL561" t="n">
        <v>0</v>
      </c>
      <c r="AR561" t="n">
        <v>2</v>
      </c>
      <c r="AS561" t="inlineStr">
        <is>
          <t>000000000000E58A</t>
        </is>
      </c>
    </row>
    <row r="562">
      <c r="AL562" t="n">
        <v>0</v>
      </c>
      <c r="AR562" t="n">
        <v>2</v>
      </c>
      <c r="AS562" t="inlineStr">
        <is>
          <t>000000000000E58A</t>
        </is>
      </c>
    </row>
    <row r="563">
      <c r="AL563" t="n">
        <v>0</v>
      </c>
      <c r="AR563" t="n">
        <v>2</v>
      </c>
      <c r="AS563" t="inlineStr">
        <is>
          <t>000000000000E58A</t>
        </is>
      </c>
    </row>
    <row r="564">
      <c r="AL564" t="n">
        <v>0</v>
      </c>
      <c r="AR564" t="n">
        <v>2</v>
      </c>
      <c r="AS564" t="inlineStr">
        <is>
          <t>000000000000E58A</t>
        </is>
      </c>
    </row>
    <row r="565">
      <c r="AL565" t="n">
        <v>0</v>
      </c>
      <c r="AR565" t="n">
        <v>2</v>
      </c>
      <c r="AS565" t="inlineStr">
        <is>
          <t>000000000000E3EF</t>
        </is>
      </c>
    </row>
    <row r="566">
      <c r="AL566" t="n">
        <v>0</v>
      </c>
      <c r="AR566" t="n">
        <v>2</v>
      </c>
      <c r="AS566" t="inlineStr">
        <is>
          <t>000000000000E3EF</t>
        </is>
      </c>
    </row>
    <row r="567">
      <c r="AL567" t="n">
        <v>0</v>
      </c>
      <c r="AR567" t="n">
        <v>2</v>
      </c>
      <c r="AS567" t="inlineStr">
        <is>
          <t>000000000000E3EF</t>
        </is>
      </c>
    </row>
    <row r="568">
      <c r="AL568" t="n">
        <v>0</v>
      </c>
      <c r="AR568" t="n">
        <v>2</v>
      </c>
      <c r="AS568" t="inlineStr">
        <is>
          <t>000000000000E3EF</t>
        </is>
      </c>
    </row>
    <row r="569">
      <c r="AL569" t="n">
        <v>0</v>
      </c>
      <c r="AR569" t="n">
        <v>2</v>
      </c>
      <c r="AS569" t="inlineStr">
        <is>
          <t>000000000000E3EF</t>
        </is>
      </c>
    </row>
    <row r="570">
      <c r="AL570" t="n">
        <v>0</v>
      </c>
      <c r="AR570" t="n">
        <v>2</v>
      </c>
      <c r="AS570" t="inlineStr">
        <is>
          <t>000000000000E3EF</t>
        </is>
      </c>
    </row>
    <row r="571">
      <c r="AL571" t="n">
        <v>0</v>
      </c>
      <c r="AR571" t="n">
        <v>2</v>
      </c>
      <c r="AS571" t="inlineStr">
        <is>
          <t>000000000000E3EF</t>
        </is>
      </c>
    </row>
    <row r="572">
      <c r="AL572" t="n">
        <v>0</v>
      </c>
      <c r="AR572" t="n">
        <v>2</v>
      </c>
      <c r="AS572" t="inlineStr">
        <is>
          <t>000000000000E3EF</t>
        </is>
      </c>
    </row>
    <row r="573">
      <c r="AL573" t="n">
        <v>0</v>
      </c>
      <c r="AR573" t="n">
        <v>2</v>
      </c>
      <c r="AS573" t="inlineStr">
        <is>
          <t>000000000000E3EF</t>
        </is>
      </c>
    </row>
    <row r="574">
      <c r="AL574" t="n">
        <v>0</v>
      </c>
      <c r="AR574" t="n">
        <v>2</v>
      </c>
      <c r="AS574" t="inlineStr">
        <is>
          <t>000000000000E3EF</t>
        </is>
      </c>
    </row>
    <row r="575">
      <c r="AL575" t="n">
        <v>0</v>
      </c>
      <c r="AR575" t="n">
        <v>2</v>
      </c>
      <c r="AS575" t="inlineStr">
        <is>
          <t>000000000000E3EF</t>
        </is>
      </c>
    </row>
    <row r="576">
      <c r="AL576" t="n">
        <v>0</v>
      </c>
      <c r="AR576" t="n">
        <v>2</v>
      </c>
      <c r="AS576" t="inlineStr">
        <is>
          <t>000000000000E3EF</t>
        </is>
      </c>
    </row>
    <row r="577">
      <c r="AL577" t="n">
        <v>0</v>
      </c>
      <c r="AR577" t="n">
        <v>2</v>
      </c>
      <c r="AS577" t="inlineStr">
        <is>
          <t>000000000000E3EF</t>
        </is>
      </c>
    </row>
    <row r="578">
      <c r="AL578" t="n">
        <v>0</v>
      </c>
      <c r="AR578" t="n">
        <v>2</v>
      </c>
      <c r="AS578" t="inlineStr">
        <is>
          <t>000000000000E3EF</t>
        </is>
      </c>
    </row>
    <row r="579">
      <c r="AL579" t="n">
        <v>0</v>
      </c>
      <c r="AR579" t="n">
        <v>2</v>
      </c>
      <c r="AS579" t="inlineStr">
        <is>
          <t>000000000000E3EF</t>
        </is>
      </c>
    </row>
    <row r="580">
      <c r="AL580" t="n">
        <v>0</v>
      </c>
      <c r="AR580" t="n">
        <v>2</v>
      </c>
      <c r="AS580" t="inlineStr">
        <is>
          <t>000000000000E3EF</t>
        </is>
      </c>
    </row>
    <row r="581">
      <c r="AL581" t="n">
        <v>0</v>
      </c>
      <c r="AR581" t="n">
        <v>2</v>
      </c>
      <c r="AS581" t="inlineStr">
        <is>
          <t>000000000000E3EF</t>
        </is>
      </c>
    </row>
    <row r="582">
      <c r="AL582" t="n">
        <v>0</v>
      </c>
      <c r="AR582" t="n">
        <v>2</v>
      </c>
      <c r="AS582" t="inlineStr">
        <is>
          <t>000000000000E3EF</t>
        </is>
      </c>
    </row>
    <row r="583">
      <c r="AL583" t="n">
        <v>0</v>
      </c>
      <c r="AR583" t="n">
        <v>2</v>
      </c>
      <c r="AS583" s="152" t="inlineStr">
        <is>
          <t>000000000000E320</t>
        </is>
      </c>
    </row>
    <row r="584">
      <c r="AL584" t="n">
        <v>0</v>
      </c>
      <c r="AR584" t="n">
        <v>2</v>
      </c>
      <c r="AS584" s="152" t="inlineStr">
        <is>
          <t>000000000000E320</t>
        </is>
      </c>
    </row>
    <row r="585">
      <c r="AL585" t="n">
        <v>0</v>
      </c>
      <c r="AR585" t="n">
        <v>2</v>
      </c>
      <c r="AS585" s="152" t="inlineStr">
        <is>
          <t>000000000000E320</t>
        </is>
      </c>
    </row>
    <row r="586">
      <c r="AL586" t="n">
        <v>0</v>
      </c>
      <c r="AR586" t="n">
        <v>2</v>
      </c>
      <c r="AS586" s="152" t="inlineStr">
        <is>
          <t>000000000000E320</t>
        </is>
      </c>
    </row>
    <row r="587">
      <c r="AL587" t="n">
        <v>0</v>
      </c>
      <c r="AR587" t="n">
        <v>2</v>
      </c>
      <c r="AS587" s="152" t="inlineStr">
        <is>
          <t>000000000000E320</t>
        </is>
      </c>
    </row>
    <row r="588">
      <c r="AL588" t="n">
        <v>0</v>
      </c>
      <c r="AR588" t="n">
        <v>2</v>
      </c>
      <c r="AS588" s="152" t="inlineStr">
        <is>
          <t>000000000000E320</t>
        </is>
      </c>
    </row>
    <row r="589">
      <c r="AL589" t="n">
        <v>0</v>
      </c>
      <c r="AR589" t="n">
        <v>2</v>
      </c>
      <c r="AS589" s="152" t="inlineStr">
        <is>
          <t>000000000000E320</t>
        </is>
      </c>
    </row>
    <row r="590">
      <c r="AL590" t="n">
        <v>0</v>
      </c>
      <c r="AR590" t="n">
        <v>2</v>
      </c>
      <c r="AS590" s="152" t="inlineStr">
        <is>
          <t>000000000000E320</t>
        </is>
      </c>
    </row>
    <row r="591">
      <c r="AL591" t="n">
        <v>0</v>
      </c>
      <c r="AR591" t="n">
        <v>2</v>
      </c>
      <c r="AS591" s="152" t="inlineStr">
        <is>
          <t>000000000000E320</t>
        </is>
      </c>
    </row>
    <row r="592">
      <c r="AL592" t="n">
        <v>0</v>
      </c>
      <c r="AR592" t="n">
        <v>2</v>
      </c>
      <c r="AS592" s="152" t="inlineStr">
        <is>
          <t>000000000000E320</t>
        </is>
      </c>
    </row>
    <row r="593">
      <c r="AL593" t="n">
        <v>0</v>
      </c>
      <c r="AR593" t="n">
        <v>2</v>
      </c>
      <c r="AS593" s="152" t="inlineStr">
        <is>
          <t>000000000000E320</t>
        </is>
      </c>
    </row>
    <row r="594">
      <c r="AL594" t="n">
        <v>0</v>
      </c>
      <c r="AR594" t="n">
        <v>2</v>
      </c>
      <c r="AS594" s="152" t="inlineStr">
        <is>
          <t>000000000000E320</t>
        </is>
      </c>
    </row>
    <row r="595">
      <c r="AL595" t="n">
        <v>0</v>
      </c>
      <c r="AR595" t="n">
        <v>2</v>
      </c>
      <c r="AS595" s="152" t="inlineStr">
        <is>
          <t>000000000000E320</t>
        </is>
      </c>
    </row>
    <row r="596">
      <c r="AL596" t="n">
        <v>0</v>
      </c>
      <c r="AR596" t="n">
        <v>2</v>
      </c>
      <c r="AS596" s="152" t="inlineStr">
        <is>
          <t>000000000000E320</t>
        </is>
      </c>
    </row>
    <row r="597">
      <c r="AL597" t="n">
        <v>0</v>
      </c>
      <c r="AR597" t="n">
        <v>2</v>
      </c>
      <c r="AS597" s="152" t="inlineStr">
        <is>
          <t>000000000000E320</t>
        </is>
      </c>
    </row>
    <row r="598">
      <c r="AL598" t="n">
        <v>0</v>
      </c>
      <c r="AR598" t="n">
        <v>2</v>
      </c>
      <c r="AS598" s="152" t="inlineStr">
        <is>
          <t>000000000000E320</t>
        </is>
      </c>
    </row>
    <row r="599">
      <c r="AL599" t="n">
        <v>0</v>
      </c>
      <c r="AR599" t="n">
        <v>2</v>
      </c>
      <c r="AS599" s="152" t="inlineStr">
        <is>
          <t>000000000000E320</t>
        </is>
      </c>
    </row>
    <row r="600">
      <c r="AL600" t="n">
        <v>0</v>
      </c>
      <c r="AR600" t="n">
        <v>2</v>
      </c>
      <c r="AS600" s="152" t="inlineStr">
        <is>
          <t>000000000000E320</t>
        </is>
      </c>
    </row>
    <row r="601">
      <c r="AL601" t="n">
        <v>0</v>
      </c>
      <c r="AR601" t="n">
        <v>2</v>
      </c>
      <c r="AS601" s="152" t="inlineStr">
        <is>
          <t>000000000000E364</t>
        </is>
      </c>
    </row>
    <row r="602">
      <c r="AL602" t="n">
        <v>0</v>
      </c>
      <c r="AR602" t="n">
        <v>2</v>
      </c>
      <c r="AS602" s="152" t="inlineStr">
        <is>
          <t>000000000000E364</t>
        </is>
      </c>
    </row>
    <row r="603">
      <c r="AL603" t="n">
        <v>0</v>
      </c>
      <c r="AR603" t="n">
        <v>2</v>
      </c>
      <c r="AS603" s="152" t="inlineStr">
        <is>
          <t>000000000000E364</t>
        </is>
      </c>
    </row>
    <row r="604">
      <c r="AL604" t="n">
        <v>0</v>
      </c>
      <c r="AR604" t="n">
        <v>2</v>
      </c>
      <c r="AS604" s="152" t="inlineStr">
        <is>
          <t>000000000000E364</t>
        </is>
      </c>
    </row>
    <row r="605">
      <c r="AL605" t="n">
        <v>0</v>
      </c>
      <c r="AR605" t="n">
        <v>2</v>
      </c>
      <c r="AS605" s="152" t="inlineStr">
        <is>
          <t>000000000000E364</t>
        </is>
      </c>
    </row>
    <row r="606">
      <c r="AL606" t="n">
        <v>0</v>
      </c>
      <c r="AR606" t="n">
        <v>2</v>
      </c>
      <c r="AS606" s="152" t="inlineStr">
        <is>
          <t>000000000000E364</t>
        </is>
      </c>
    </row>
    <row r="607">
      <c r="AL607" t="n">
        <v>0</v>
      </c>
      <c r="AR607" t="n">
        <v>2</v>
      </c>
      <c r="AS607" s="152" t="inlineStr">
        <is>
          <t>000000000000E364</t>
        </is>
      </c>
    </row>
    <row r="608">
      <c r="AL608" t="n">
        <v>0</v>
      </c>
      <c r="AR608" t="n">
        <v>2</v>
      </c>
      <c r="AS608" s="152" t="inlineStr">
        <is>
          <t>000000000000E364</t>
        </is>
      </c>
    </row>
    <row r="609">
      <c r="AL609" t="n">
        <v>0</v>
      </c>
      <c r="AR609" t="n">
        <v>2</v>
      </c>
      <c r="AS609" s="152" t="inlineStr">
        <is>
          <t>000000000000E364</t>
        </is>
      </c>
    </row>
    <row r="610">
      <c r="AL610" t="n">
        <v>0</v>
      </c>
      <c r="AR610" t="n">
        <v>2</v>
      </c>
      <c r="AS610" s="152" t="inlineStr">
        <is>
          <t>000000000000E364</t>
        </is>
      </c>
    </row>
    <row r="611">
      <c r="AL611" t="n">
        <v>0</v>
      </c>
      <c r="AR611" t="n">
        <v>2</v>
      </c>
      <c r="AS611" s="152" t="inlineStr">
        <is>
          <t>000000000000E364</t>
        </is>
      </c>
    </row>
    <row r="612">
      <c r="AL612" t="n">
        <v>0</v>
      </c>
      <c r="AR612" t="n">
        <v>2</v>
      </c>
      <c r="AS612" s="152" t="inlineStr">
        <is>
          <t>000000000000E364</t>
        </is>
      </c>
    </row>
    <row r="613">
      <c r="AL613" t="n">
        <v>0</v>
      </c>
      <c r="AR613" t="n">
        <v>2</v>
      </c>
      <c r="AS613" s="152" t="inlineStr">
        <is>
          <t>000000000000E364</t>
        </is>
      </c>
    </row>
    <row r="614">
      <c r="AL614" t="n">
        <v>0</v>
      </c>
      <c r="AR614" t="n">
        <v>2</v>
      </c>
      <c r="AS614" s="152" t="inlineStr">
        <is>
          <t>000000000000E364</t>
        </is>
      </c>
    </row>
    <row r="615">
      <c r="AL615" t="n">
        <v>0</v>
      </c>
      <c r="AR615" t="n">
        <v>2</v>
      </c>
      <c r="AS615" s="152" t="inlineStr">
        <is>
          <t>000000000000E364</t>
        </is>
      </c>
    </row>
    <row r="616">
      <c r="AL616" t="n">
        <v>0</v>
      </c>
      <c r="AR616" t="n">
        <v>2</v>
      </c>
      <c r="AS616" s="152" t="inlineStr">
        <is>
          <t>000000000000E364</t>
        </is>
      </c>
    </row>
    <row r="617">
      <c r="AL617" t="n">
        <v>0</v>
      </c>
      <c r="AR617" t="n">
        <v>2</v>
      </c>
      <c r="AS617" s="152" t="inlineStr">
        <is>
          <t>000000000000E364</t>
        </is>
      </c>
    </row>
    <row r="618">
      <c r="AL618" t="n">
        <v>0</v>
      </c>
      <c r="AR618" t="n">
        <v>2</v>
      </c>
      <c r="AS618" s="152" t="inlineStr">
        <is>
          <t>000000000000E364</t>
        </is>
      </c>
    </row>
    <row r="619">
      <c r="AL619" t="n">
        <v>0</v>
      </c>
      <c r="AR619" t="n">
        <v>2</v>
      </c>
      <c r="AS619" t="inlineStr">
        <is>
          <t>000000000000E2DA</t>
        </is>
      </c>
    </row>
    <row r="620">
      <c r="AL620" t="n">
        <v>0</v>
      </c>
      <c r="AR620" t="n">
        <v>2</v>
      </c>
      <c r="AS620" t="inlineStr">
        <is>
          <t>000000000000E2DA</t>
        </is>
      </c>
    </row>
    <row r="621">
      <c r="AL621" t="n">
        <v>0</v>
      </c>
      <c r="AR621" t="n">
        <v>2</v>
      </c>
      <c r="AS621" t="inlineStr">
        <is>
          <t>000000000000E2DA</t>
        </is>
      </c>
    </row>
    <row r="622">
      <c r="AL622" t="n">
        <v>0</v>
      </c>
      <c r="AR622" t="n">
        <v>2</v>
      </c>
      <c r="AS622" t="inlineStr">
        <is>
          <t>000000000000E2DA</t>
        </is>
      </c>
    </row>
    <row r="623">
      <c r="AL623" t="n">
        <v>0</v>
      </c>
      <c r="AR623" t="n">
        <v>2</v>
      </c>
      <c r="AS623" t="inlineStr">
        <is>
          <t>000000000000E2DA</t>
        </is>
      </c>
    </row>
    <row r="624">
      <c r="AL624" t="n">
        <v>0</v>
      </c>
      <c r="AR624" t="n">
        <v>2</v>
      </c>
      <c r="AS624" t="inlineStr">
        <is>
          <t>000000000000E2DA</t>
        </is>
      </c>
    </row>
    <row r="625">
      <c r="AL625" t="n">
        <v>0</v>
      </c>
      <c r="AR625" t="n">
        <v>2</v>
      </c>
      <c r="AS625" t="inlineStr">
        <is>
          <t>000000000000E2DA</t>
        </is>
      </c>
    </row>
    <row r="626">
      <c r="AL626" t="n">
        <v>0</v>
      </c>
      <c r="AR626" t="n">
        <v>2</v>
      </c>
      <c r="AS626" t="inlineStr">
        <is>
          <t>000000000000E2DA</t>
        </is>
      </c>
    </row>
    <row r="627">
      <c r="AL627" t="n">
        <v>0</v>
      </c>
      <c r="AR627" t="n">
        <v>2</v>
      </c>
      <c r="AS627" t="inlineStr">
        <is>
          <t>000000000000E2DA</t>
        </is>
      </c>
    </row>
    <row r="628">
      <c r="AL628" t="n">
        <v>0</v>
      </c>
      <c r="AR628" t="n">
        <v>2</v>
      </c>
      <c r="AS628" t="inlineStr">
        <is>
          <t>000000000000E2DA</t>
        </is>
      </c>
    </row>
    <row r="629">
      <c r="AL629" t="n">
        <v>0</v>
      </c>
      <c r="AR629" t="n">
        <v>2</v>
      </c>
      <c r="AS629" t="inlineStr">
        <is>
          <t>000000000000E2DA</t>
        </is>
      </c>
    </row>
    <row r="630">
      <c r="AL630" t="n">
        <v>0</v>
      </c>
      <c r="AR630" t="n">
        <v>2</v>
      </c>
      <c r="AS630" t="inlineStr">
        <is>
          <t>000000000000E2DA</t>
        </is>
      </c>
    </row>
    <row r="631">
      <c r="AL631" t="n">
        <v>0</v>
      </c>
      <c r="AR631" t="n">
        <v>2</v>
      </c>
      <c r="AS631" t="inlineStr">
        <is>
          <t>000000000000E2DA</t>
        </is>
      </c>
    </row>
    <row r="632">
      <c r="AL632" t="n">
        <v>0</v>
      </c>
      <c r="AR632" t="n">
        <v>2</v>
      </c>
      <c r="AS632" t="inlineStr">
        <is>
          <t>000000000000E2DA</t>
        </is>
      </c>
    </row>
    <row r="633">
      <c r="AL633" t="n">
        <v>0</v>
      </c>
      <c r="AR633" t="n">
        <v>2</v>
      </c>
      <c r="AS633" t="inlineStr">
        <is>
          <t>000000000000E2DA</t>
        </is>
      </c>
    </row>
    <row r="634">
      <c r="AL634" t="n">
        <v>0</v>
      </c>
      <c r="AR634" t="n">
        <v>2</v>
      </c>
      <c r="AS634" t="inlineStr">
        <is>
          <t>000000000000E2DA</t>
        </is>
      </c>
    </row>
    <row r="635">
      <c r="AL635" t="n">
        <v>0</v>
      </c>
      <c r="AR635" t="n">
        <v>2</v>
      </c>
      <c r="AS635" t="inlineStr">
        <is>
          <t>000000000000E2DA</t>
        </is>
      </c>
    </row>
    <row r="636">
      <c r="AL636" t="n">
        <v>0</v>
      </c>
      <c r="AR636" t="n">
        <v>2</v>
      </c>
      <c r="AS636" t="inlineStr">
        <is>
          <t>000000000000E2DA</t>
        </is>
      </c>
    </row>
    <row r="637">
      <c r="AL637" t="n">
        <v>0</v>
      </c>
      <c r="AR637" t="n">
        <v>2</v>
      </c>
      <c r="AS637" t="inlineStr">
        <is>
          <t>000000000000E28A</t>
        </is>
      </c>
    </row>
    <row r="638">
      <c r="AL638" t="n">
        <v>0</v>
      </c>
      <c r="AR638" t="n">
        <v>2</v>
      </c>
      <c r="AS638" t="inlineStr">
        <is>
          <t>000000000000E28A</t>
        </is>
      </c>
    </row>
    <row r="639">
      <c r="AL639" t="n">
        <v>0</v>
      </c>
      <c r="AR639" t="n">
        <v>2</v>
      </c>
      <c r="AS639" t="inlineStr">
        <is>
          <t>000000000000E28A</t>
        </is>
      </c>
    </row>
    <row r="640">
      <c r="AL640" t="n">
        <v>0</v>
      </c>
      <c r="AR640" t="n">
        <v>2</v>
      </c>
      <c r="AS640" t="inlineStr">
        <is>
          <t>000000000000E28A</t>
        </is>
      </c>
    </row>
    <row r="641">
      <c r="AL641" t="n">
        <v>0</v>
      </c>
      <c r="AR641" t="n">
        <v>2</v>
      </c>
      <c r="AS641" t="inlineStr">
        <is>
          <t>000000000000E28A</t>
        </is>
      </c>
    </row>
    <row r="642">
      <c r="AL642" t="n">
        <v>0</v>
      </c>
      <c r="AR642" t="n">
        <v>2</v>
      </c>
      <c r="AS642" t="inlineStr">
        <is>
          <t>000000000000E28A</t>
        </is>
      </c>
    </row>
    <row r="643">
      <c r="AL643" t="n">
        <v>0</v>
      </c>
      <c r="AR643" t="n">
        <v>2</v>
      </c>
      <c r="AS643" t="inlineStr">
        <is>
          <t>000000000000E28A</t>
        </is>
      </c>
    </row>
    <row r="644">
      <c r="AL644" t="n">
        <v>0</v>
      </c>
      <c r="AR644" t="n">
        <v>2</v>
      </c>
      <c r="AS644" t="inlineStr">
        <is>
          <t>000000000000E28A</t>
        </is>
      </c>
    </row>
    <row r="645">
      <c r="AL645" t="n">
        <v>0</v>
      </c>
      <c r="AR645" t="n">
        <v>2</v>
      </c>
      <c r="AS645" t="inlineStr">
        <is>
          <t>000000000000E28A</t>
        </is>
      </c>
    </row>
    <row r="646">
      <c r="AL646" t="n">
        <v>0</v>
      </c>
      <c r="AR646" t="n">
        <v>2</v>
      </c>
      <c r="AS646" t="inlineStr">
        <is>
          <t>000000000000E28A</t>
        </is>
      </c>
    </row>
    <row r="647">
      <c r="AL647" t="n">
        <v>0</v>
      </c>
      <c r="AR647" t="n">
        <v>2</v>
      </c>
      <c r="AS647" t="inlineStr">
        <is>
          <t>000000000000E28A</t>
        </is>
      </c>
    </row>
    <row r="648">
      <c r="AL648" t="n">
        <v>0</v>
      </c>
      <c r="AR648" t="n">
        <v>2</v>
      </c>
      <c r="AS648" t="inlineStr">
        <is>
          <t>000000000000E28A</t>
        </is>
      </c>
    </row>
    <row r="649">
      <c r="AL649" t="n">
        <v>0</v>
      </c>
      <c r="AR649" t="n">
        <v>2</v>
      </c>
      <c r="AS649" t="inlineStr">
        <is>
          <t>000000000000E28A</t>
        </is>
      </c>
    </row>
    <row r="650">
      <c r="AL650" t="n">
        <v>0</v>
      </c>
      <c r="AR650" t="n">
        <v>2</v>
      </c>
      <c r="AS650" t="inlineStr">
        <is>
          <t>000000000000E28A</t>
        </is>
      </c>
    </row>
    <row r="651">
      <c r="AL651" t="n">
        <v>0</v>
      </c>
      <c r="AR651" t="n">
        <v>2</v>
      </c>
      <c r="AS651" t="inlineStr">
        <is>
          <t>000000000000E28A</t>
        </is>
      </c>
    </row>
    <row r="652">
      <c r="AL652" t="n">
        <v>0</v>
      </c>
      <c r="AR652" t="n">
        <v>2</v>
      </c>
      <c r="AS652" t="inlineStr">
        <is>
          <t>000000000000E28A</t>
        </is>
      </c>
    </row>
    <row r="653">
      <c r="AL653" t="n">
        <v>0</v>
      </c>
      <c r="AR653" t="n">
        <v>2</v>
      </c>
      <c r="AS653" t="inlineStr">
        <is>
          <t>000000000000E28A</t>
        </is>
      </c>
    </row>
    <row r="654">
      <c r="AL654" t="n">
        <v>0</v>
      </c>
      <c r="AR654" t="n">
        <v>2</v>
      </c>
      <c r="AS654" t="inlineStr">
        <is>
          <t>000000000000E28A</t>
        </is>
      </c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4suyLK33iWGAfcKNVOcqPw==" formatRows="0" sort="1" spinCount="100000" hashValue="wwPHQSwZPN+1YCbT3pXpRENNMuEYohEkF2gsCUDPi5+OXJvUpWGMWi7uXNek3i7V4HsMhlu5uPAmRDfTMd+x4A=="/>
  <mergeCells count="9">
    <mergeCell ref="A2:F2"/>
    <mergeCell ref="H2:L2"/>
    <mergeCell ref="AA2:AC2"/>
    <mergeCell ref="AE2:AG2"/>
    <mergeCell ref="A5:F5"/>
    <mergeCell ref="A27:F27"/>
    <mergeCell ref="N2:Q2"/>
    <mergeCell ref="S2:U2"/>
    <mergeCell ref="W2:Y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AB315"/>
  <sheetViews>
    <sheetView topLeftCell="A18" zoomScaleNormal="100" workbookViewId="0">
      <selection activeCell="C37" sqref="C37"/>
    </sheetView>
  </sheetViews>
  <sheetFormatPr baseColWidth="8" defaultRowHeight="13.2"/>
  <cols>
    <col width="15.5546875" customWidth="1" min="1" max="1"/>
    <col width="14.44140625" customWidth="1" min="2" max="3"/>
    <col width="25.21875" customWidth="1" min="4" max="4"/>
    <col width="21.88671875" customWidth="1" min="5" max="5"/>
    <col width="16.33203125" customWidth="1" min="6" max="6"/>
    <col width="3.21875" customWidth="1" min="7" max="7"/>
    <col width="14.21875" customWidth="1" min="8" max="13"/>
    <col width="2.88671875" customWidth="1" min="14" max="14"/>
    <col width="14.21875" customWidth="1" min="15" max="16"/>
    <col width="14.33203125" customWidth="1" min="17" max="17"/>
    <col width="2.88671875" customWidth="1" min="18" max="18"/>
    <col width="12.21875" customWidth="1" min="19" max="28"/>
  </cols>
  <sheetData>
    <row r="1" hidden="1" ht="26.4" customHeight="1">
      <c r="A1" s="31" t="n"/>
      <c r="B1" s="31" t="n"/>
      <c r="C1" s="31" t="n"/>
      <c r="D1" s="31" t="n"/>
      <c r="E1" s="31" t="n"/>
      <c r="F1" s="31" t="n"/>
      <c r="H1" s="1" t="n"/>
      <c r="I1" s="1" t="n"/>
      <c r="J1" s="1" t="n"/>
      <c r="K1" s="1" t="n"/>
      <c r="L1" s="1" t="n"/>
      <c r="M1" s="1" t="n"/>
      <c r="N1" s="107" t="n"/>
      <c r="O1" s="1" t="n"/>
      <c r="P1" s="1" t="n"/>
      <c r="Q1" s="1" t="n"/>
      <c r="R1" s="107" t="n"/>
      <c r="U1" s="1" t="n"/>
      <c r="V1" s="1" t="n"/>
      <c r="W1" s="1" t="n"/>
      <c r="X1" s="1" t="n"/>
      <c r="Y1" s="1" t="n"/>
      <c r="Z1" s="1" t="n"/>
      <c r="AA1" s="1" t="n"/>
    </row>
    <row r="2" ht="13.2" customFormat="1" customHeight="1" s="2">
      <c r="A2" s="292" t="n"/>
      <c r="B2" s="263" t="n"/>
      <c r="C2" s="263" t="n"/>
      <c r="D2" s="263" t="n"/>
      <c r="E2" s="263" t="n"/>
      <c r="F2" s="264" t="n"/>
      <c r="G2" s="158" t="n"/>
      <c r="H2" s="292" t="inlineStr">
        <is>
          <t>J O B   A T   C O M P L E T  I O N</t>
        </is>
      </c>
      <c r="I2" s="263" t="n"/>
      <c r="J2" s="263" t="n"/>
      <c r="K2" s="263" t="n"/>
      <c r="L2" s="263" t="n"/>
      <c r="M2" s="264" t="n"/>
      <c r="N2" s="26" t="n"/>
      <c r="O2" s="292" t="inlineStr">
        <is>
          <t>JOB  TO  DATE</t>
        </is>
      </c>
      <c r="P2" s="263" t="n"/>
      <c r="Q2" s="264" t="n"/>
      <c r="R2" s="26" t="n"/>
      <c r="S2" s="292" t="inlineStr">
        <is>
          <t>C U R R E N T   Y E A R</t>
        </is>
      </c>
      <c r="T2" s="263" t="n"/>
      <c r="U2" s="263" t="n"/>
      <c r="V2" s="263" t="n"/>
      <c r="W2" s="263" t="n"/>
      <c r="X2" s="263" t="n"/>
      <c r="Y2" s="263" t="n"/>
      <c r="Z2" s="263" t="n"/>
      <c r="AA2" s="263" t="n"/>
      <c r="AB2" s="264" t="n"/>
    </row>
    <row r="3" ht="55.2" customHeight="1">
      <c r="A3" s="128" t="inlineStr">
        <is>
          <t>JV Job Number
from Managing Member</t>
        </is>
      </c>
      <c r="B3" s="128" t="inlineStr">
        <is>
          <t>Related Internal Job Numbers</t>
        </is>
      </c>
      <c r="C3" s="128" t="inlineStr">
        <is>
          <t>Supervision Internal Job Number</t>
        </is>
      </c>
      <c r="D3" s="128" t="inlineStr">
        <is>
          <t>JV Job Description</t>
        </is>
      </c>
      <c r="E3" s="128" t="inlineStr">
        <is>
          <t>JV Partner(s)</t>
        </is>
      </c>
      <c r="F3" s="128" t="inlineStr">
        <is>
          <t>Our
JV Share
Percentage</t>
        </is>
      </c>
      <c r="G3" s="40" t="n"/>
      <c r="H3" s="45" t="inlineStr">
        <is>
          <t>Ops Projected Contract
Amount</t>
        </is>
      </c>
      <c r="I3" s="45" t="inlineStr">
        <is>
          <t>GAAP
Current
Contract
Amount</t>
        </is>
      </c>
      <c r="J3" s="45" t="inlineStr">
        <is>
          <t>Revenue
Delta</t>
        </is>
      </c>
      <c r="K3" s="45" t="inlineStr">
        <is>
          <t>Ops
Projected
Profit</t>
        </is>
      </c>
      <c r="L3" s="42" t="inlineStr">
        <is>
          <t>GAAP
Projected
Profit</t>
        </is>
      </c>
      <c r="M3" s="42" t="inlineStr">
        <is>
          <t>Profit
Delta</t>
        </is>
      </c>
      <c r="N3" s="40" t="n"/>
      <c r="O3" s="42" t="inlineStr">
        <is>
          <t>Ops
JTD Profit</t>
        </is>
      </c>
      <c r="P3" s="42" t="inlineStr">
        <is>
          <t>GAAP
JTD Profit</t>
        </is>
      </c>
      <c r="Q3" s="42" t="inlineStr">
        <is>
          <t>JTD Profit
Delta</t>
        </is>
      </c>
      <c r="R3" s="40" t="n"/>
      <c r="S3" s="159" t="inlineStr">
        <is>
          <t>Ops Current Yr Revenue</t>
        </is>
      </c>
      <c r="T3" s="159" t="inlineStr">
        <is>
          <t>GAAP Current Yr Revenue</t>
        </is>
      </c>
      <c r="U3" s="159" t="inlineStr">
        <is>
          <t>Current Yr Revenue Delta</t>
        </is>
      </c>
      <c r="V3" s="160" t="inlineStr">
        <is>
          <t>Ops Current Yr Cost</t>
        </is>
      </c>
      <c r="W3" s="160" t="inlineStr">
        <is>
          <t>GAAP Current Yr Cost</t>
        </is>
      </c>
      <c r="X3" s="160" t="inlineStr">
        <is>
          <t>Current Yr Cost Delta</t>
        </is>
      </c>
      <c r="Y3" s="242" t="inlineStr">
        <is>
          <t>Ops Current Yr Profit</t>
        </is>
      </c>
      <c r="Z3" s="242" t="inlineStr">
        <is>
          <t>GAAP Current Yr Profit</t>
        </is>
      </c>
      <c r="AA3" s="242" t="inlineStr">
        <is>
          <t>Current Yr Profit Delta</t>
        </is>
      </c>
      <c r="AB3" s="246" t="inlineStr">
        <is>
          <t>Current Year Bonus Profit</t>
        </is>
      </c>
    </row>
    <row r="4" ht="13.2" customHeight="1">
      <c r="A4" s="161" t="n"/>
      <c r="B4" s="162" t="n"/>
      <c r="C4" s="162" t="n"/>
      <c r="D4" s="162" t="n"/>
      <c r="E4" s="161" t="n"/>
      <c r="F4" s="163" t="n"/>
      <c r="G4" s="21" t="n"/>
      <c r="H4" s="110" t="n"/>
      <c r="I4" s="110" t="n"/>
      <c r="J4" s="110" t="n"/>
      <c r="K4" s="110" t="n"/>
      <c r="L4" s="143" t="n"/>
      <c r="M4" s="143">
        <f>IF(A4&lt;&gt;"",J4-K4,0)</f>
        <v/>
      </c>
      <c r="N4" s="21" t="n"/>
      <c r="O4" s="143" t="n"/>
      <c r="P4" s="143">
        <f>IF(A4&lt;&gt;"",M4-O4,0)</f>
        <v/>
      </c>
      <c r="Q4" s="164" t="n"/>
      <c r="R4" s="21" t="n"/>
      <c r="S4" s="11" t="n"/>
      <c r="T4" s="11" t="n"/>
      <c r="U4" s="11" t="n"/>
      <c r="V4" s="8" t="n"/>
      <c r="W4" s="8" t="n"/>
      <c r="X4" s="8" t="n"/>
      <c r="Y4" s="9" t="n"/>
      <c r="Z4" s="9" t="n"/>
      <c r="AA4" s="9" t="n"/>
      <c r="AB4" s="117" t="n"/>
    </row>
    <row r="5" ht="31.8" customHeight="1">
      <c r="A5" s="301" t="inlineStr">
        <is>
          <t>JV Full Value</t>
        </is>
      </c>
      <c r="B5" s="263" t="n"/>
      <c r="C5" s="263" t="n"/>
      <c r="D5" s="263" t="n"/>
      <c r="E5" s="263" t="n"/>
      <c r="F5" s="264" t="n"/>
      <c r="G5" s="21" t="n"/>
      <c r="H5" s="110" t="n"/>
      <c r="I5" s="110" t="n"/>
      <c r="J5" s="110" t="n"/>
      <c r="K5" s="110" t="n"/>
      <c r="L5" s="143" t="n"/>
      <c r="M5" s="143">
        <f>IF(A5&lt;&gt;"",J5-K5,0)</f>
        <v/>
      </c>
      <c r="N5" s="21" t="n"/>
      <c r="O5" s="143" t="n"/>
      <c r="P5" s="143">
        <f>IF(A5&lt;&gt;"",M5-O5,0)</f>
        <v/>
      </c>
      <c r="Q5" s="165" t="n"/>
      <c r="R5" s="21" t="n"/>
      <c r="S5" s="11" t="inlineStr">
        <is>
          <t>`</t>
        </is>
      </c>
      <c r="T5" s="11" t="n"/>
      <c r="U5" s="11" t="n"/>
      <c r="V5" s="8" t="n"/>
      <c r="W5" s="8" t="n"/>
      <c r="X5" s="8" t="n"/>
      <c r="Y5" s="9" t="n"/>
      <c r="Z5" s="9" t="n"/>
      <c r="AA5" s="9" t="n"/>
      <c r="AB5" s="117" t="n"/>
    </row>
    <row r="6" ht="13.2" customHeight="1">
      <c r="A6" s="161" t="n"/>
      <c r="B6" s="162" t="n"/>
      <c r="C6" s="162" t="n"/>
      <c r="D6" s="162" t="n"/>
      <c r="E6" s="161" t="n"/>
      <c r="F6" s="163" t="n"/>
      <c r="G6" s="21" t="n"/>
      <c r="H6" s="110" t="n"/>
      <c r="I6" s="110" t="n"/>
      <c r="J6" s="110" t="n"/>
      <c r="K6" s="110" t="n"/>
      <c r="L6" s="143" t="n"/>
      <c r="M6" s="143">
        <f>IF(A6&lt;&gt;"",J6-K6,0)</f>
        <v/>
      </c>
      <c r="N6" s="21" t="n"/>
      <c r="O6" s="143" t="n"/>
      <c r="P6" s="143">
        <f>IF(A6&lt;&gt;"",M6-O6,0)</f>
        <v/>
      </c>
      <c r="Q6" s="165" t="n"/>
      <c r="R6" s="21" t="n"/>
      <c r="S6" s="11" t="n"/>
      <c r="T6" s="11" t="n"/>
      <c r="U6" s="11" t="n"/>
      <c r="V6" s="8" t="n"/>
      <c r="W6" s="8" t="n"/>
      <c r="X6" s="8" t="n"/>
      <c r="Y6" s="9" t="n"/>
      <c r="Z6" s="9" t="n"/>
      <c r="AA6" s="9" t="n"/>
      <c r="AB6" s="117" t="n"/>
    </row>
    <row r="7" ht="13.2" customHeight="1">
      <c r="A7" s="302">
        <f>'JV''s-Ops'!A7</f>
        <v/>
      </c>
      <c r="B7" s="303">
        <f>'JV''s-Ops'!B7</f>
        <v/>
      </c>
      <c r="C7" s="303">
        <f>'JV''s-Ops'!C7</f>
        <v/>
      </c>
      <c r="D7" s="303">
        <f>'JV''s-Ops'!D7</f>
        <v/>
      </c>
      <c r="E7" s="302">
        <f>'JV''s-Ops'!E7</f>
        <v/>
      </c>
      <c r="F7" s="304">
        <f>'JV''s-Ops'!F7</f>
        <v/>
      </c>
      <c r="G7" s="21" t="n"/>
      <c r="H7" s="110">
        <f>'JV''s-Ops'!J7</f>
        <v/>
      </c>
      <c r="I7" s="110">
        <f>'JV''s-GAAP'!J7</f>
        <v/>
      </c>
      <c r="J7" s="110">
        <f>H7-I7</f>
        <v/>
      </c>
      <c r="K7" s="110">
        <f>'JV''s-Ops'!L7</f>
        <v/>
      </c>
      <c r="L7" s="143">
        <f>'JV''s-GAAP'!L7</f>
        <v/>
      </c>
      <c r="M7" s="143">
        <f>K7-L7</f>
        <v/>
      </c>
      <c r="N7" s="21" t="n"/>
      <c r="O7" s="143">
        <f>'JV''s-Ops'!Q7</f>
        <v/>
      </c>
      <c r="P7" s="143">
        <f>'JV''s-GAAP'!Q7</f>
        <v/>
      </c>
      <c r="Q7" s="169">
        <f>O7-P7</f>
        <v/>
      </c>
      <c r="R7" s="21" t="n"/>
      <c r="S7" s="11">
        <f>'JV''s-Ops'!W7</f>
        <v/>
      </c>
      <c r="T7" s="11">
        <f>'JV''s-GAAP'!W7</f>
        <v/>
      </c>
      <c r="U7" s="11">
        <f>S7-T7</f>
        <v/>
      </c>
      <c r="V7" s="8">
        <f>'JV''s-Ops'!X7</f>
        <v/>
      </c>
      <c r="W7" s="8">
        <f>'JV''s-GAAP'!X7</f>
        <v/>
      </c>
      <c r="X7" s="8">
        <f>V7-W7</f>
        <v/>
      </c>
      <c r="Y7" s="9">
        <f>'JV''s-Ops'!Y7</f>
        <v/>
      </c>
      <c r="Z7" s="9">
        <f>'JV''s-GAAP'!Y7</f>
        <v/>
      </c>
      <c r="AA7" s="9">
        <f>Y7-Z7</f>
        <v/>
      </c>
      <c r="AB7" s="117" t="n"/>
    </row>
    <row r="8" ht="13.2" customHeight="1">
      <c r="A8" s="302">
        <f>'JV''s-Ops'!A8</f>
        <v/>
      </c>
      <c r="B8" s="303">
        <f>'JV''s-Ops'!B8</f>
        <v/>
      </c>
      <c r="C8" s="303">
        <f>'JV''s-Ops'!C8</f>
        <v/>
      </c>
      <c r="D8" s="303">
        <f>'JV''s-Ops'!D8</f>
        <v/>
      </c>
      <c r="E8" s="302">
        <f>'JV''s-Ops'!E8</f>
        <v/>
      </c>
      <c r="F8" s="304">
        <f>'JV''s-Ops'!F8</f>
        <v/>
      </c>
      <c r="G8" s="21" t="n"/>
      <c r="H8" s="110">
        <f>'JV''s-Ops'!J8</f>
        <v/>
      </c>
      <c r="I8" s="110">
        <f>'JV''s-GAAP'!J8</f>
        <v/>
      </c>
      <c r="J8" s="110">
        <f>H8-I8</f>
        <v/>
      </c>
      <c r="K8" s="110">
        <f>'JV''s-Ops'!L8</f>
        <v/>
      </c>
      <c r="L8" s="143">
        <f>'JV''s-GAAP'!L8</f>
        <v/>
      </c>
      <c r="M8" s="143">
        <f>K8-L8</f>
        <v/>
      </c>
      <c r="N8" s="21" t="n"/>
      <c r="O8" s="143">
        <f>'JV''s-Ops'!Q8</f>
        <v/>
      </c>
      <c r="P8" s="143">
        <f>'JV''s-GAAP'!Q8</f>
        <v/>
      </c>
      <c r="Q8" s="169">
        <f>O8-P8</f>
        <v/>
      </c>
      <c r="R8" s="21" t="n"/>
      <c r="S8" s="11">
        <f>'JV''s-Ops'!W8</f>
        <v/>
      </c>
      <c r="T8" s="11">
        <f>'JV''s-GAAP'!W8</f>
        <v/>
      </c>
      <c r="U8" s="11">
        <f>S8-T8</f>
        <v/>
      </c>
      <c r="V8" s="8">
        <f>'JV''s-Ops'!X8</f>
        <v/>
      </c>
      <c r="W8" s="8">
        <f>'JV''s-GAAP'!X8</f>
        <v/>
      </c>
      <c r="X8" s="8">
        <f>V8-W8</f>
        <v/>
      </c>
      <c r="Y8" s="9">
        <f>'JV''s-Ops'!Y8</f>
        <v/>
      </c>
      <c r="Z8" s="9">
        <f>'JV''s-GAAP'!Y8</f>
        <v/>
      </c>
      <c r="AA8" s="9">
        <f>Y8-Z8</f>
        <v/>
      </c>
      <c r="AB8" s="117" t="n"/>
    </row>
    <row r="9" ht="13.2" customHeight="1">
      <c r="A9" s="302">
        <f>'JV''s-Ops'!A9</f>
        <v/>
      </c>
      <c r="B9" s="303">
        <f>'JV''s-Ops'!B9</f>
        <v/>
      </c>
      <c r="C9" s="303">
        <f>'JV''s-Ops'!C9</f>
        <v/>
      </c>
      <c r="D9" s="303">
        <f>'JV''s-Ops'!D9</f>
        <v/>
      </c>
      <c r="E9" s="302">
        <f>'JV''s-Ops'!E9</f>
        <v/>
      </c>
      <c r="F9" s="304">
        <f>'JV''s-Ops'!F9</f>
        <v/>
      </c>
      <c r="G9" s="21" t="n"/>
      <c r="H9" s="110">
        <f>'JV''s-Ops'!J9</f>
        <v/>
      </c>
      <c r="I9" s="110">
        <f>'JV''s-GAAP'!J9</f>
        <v/>
      </c>
      <c r="J9" s="110">
        <f>H9-I9</f>
        <v/>
      </c>
      <c r="K9" s="110">
        <f>'JV''s-Ops'!L9</f>
        <v/>
      </c>
      <c r="L9" s="143">
        <f>'JV''s-GAAP'!L9</f>
        <v/>
      </c>
      <c r="M9" s="143">
        <f>K9-L9</f>
        <v/>
      </c>
      <c r="N9" s="21" t="n"/>
      <c r="O9" s="143">
        <f>'JV''s-Ops'!Q9</f>
        <v/>
      </c>
      <c r="P9" s="143">
        <f>'JV''s-GAAP'!Q9</f>
        <v/>
      </c>
      <c r="Q9" s="169">
        <f>O9-P9</f>
        <v/>
      </c>
      <c r="R9" s="21" t="n"/>
      <c r="S9" s="11">
        <f>'JV''s-Ops'!W9</f>
        <v/>
      </c>
      <c r="T9" s="11">
        <f>'JV''s-GAAP'!W9</f>
        <v/>
      </c>
      <c r="U9" s="11">
        <f>S9-T9</f>
        <v/>
      </c>
      <c r="V9" s="8">
        <f>'JV''s-Ops'!X9</f>
        <v/>
      </c>
      <c r="W9" s="8">
        <f>'JV''s-GAAP'!X9</f>
        <v/>
      </c>
      <c r="X9" s="8">
        <f>V9-W9</f>
        <v/>
      </c>
      <c r="Y9" s="9">
        <f>'JV''s-Ops'!Y9</f>
        <v/>
      </c>
      <c r="Z9" s="9">
        <f>'JV''s-GAAP'!Y9</f>
        <v/>
      </c>
      <c r="AA9" s="9">
        <f>Y9-Z9</f>
        <v/>
      </c>
      <c r="AB9" s="117" t="n"/>
    </row>
    <row r="10" ht="13.2" customHeight="1">
      <c r="A10" s="302">
        <f>'JV''s-Ops'!A10</f>
        <v/>
      </c>
      <c r="B10" s="303">
        <f>'JV''s-Ops'!B10</f>
        <v/>
      </c>
      <c r="C10" s="303">
        <f>'JV''s-Ops'!C10</f>
        <v/>
      </c>
      <c r="D10" s="303">
        <f>'JV''s-Ops'!D10</f>
        <v/>
      </c>
      <c r="E10" s="302">
        <f>'JV''s-Ops'!E10</f>
        <v/>
      </c>
      <c r="F10" s="304">
        <f>'JV''s-Ops'!F10</f>
        <v/>
      </c>
      <c r="G10" s="21" t="n"/>
      <c r="H10" s="110">
        <f>'JV''s-Ops'!J10</f>
        <v/>
      </c>
      <c r="I10" s="110">
        <f>'JV''s-GAAP'!J10</f>
        <v/>
      </c>
      <c r="J10" s="110">
        <f>H10-I10</f>
        <v/>
      </c>
      <c r="K10" s="110">
        <f>'JV''s-Ops'!L10</f>
        <v/>
      </c>
      <c r="L10" s="143">
        <f>'JV''s-GAAP'!L10</f>
        <v/>
      </c>
      <c r="M10" s="143">
        <f>K10-L10</f>
        <v/>
      </c>
      <c r="N10" s="21" t="n"/>
      <c r="O10" s="143">
        <f>'JV''s-Ops'!Q10</f>
        <v/>
      </c>
      <c r="P10" s="143">
        <f>'JV''s-GAAP'!Q10</f>
        <v/>
      </c>
      <c r="Q10" s="169">
        <f>O10-P10</f>
        <v/>
      </c>
      <c r="R10" s="21" t="n"/>
      <c r="S10" s="11">
        <f>'JV''s-Ops'!W10</f>
        <v/>
      </c>
      <c r="T10" s="11">
        <f>'JV''s-GAAP'!W10</f>
        <v/>
      </c>
      <c r="U10" s="11">
        <f>S10-T10</f>
        <v/>
      </c>
      <c r="V10" s="8">
        <f>'JV''s-Ops'!X10</f>
        <v/>
      </c>
      <c r="W10" s="8">
        <f>'JV''s-GAAP'!X10</f>
        <v/>
      </c>
      <c r="X10" s="8">
        <f>V10-W10</f>
        <v/>
      </c>
      <c r="Y10" s="9">
        <f>'JV''s-Ops'!Y10</f>
        <v/>
      </c>
      <c r="Z10" s="9">
        <f>'JV''s-GAAP'!Y10</f>
        <v/>
      </c>
      <c r="AA10" s="9">
        <f>Y10-Z10</f>
        <v/>
      </c>
      <c r="AB10" s="117" t="n"/>
    </row>
    <row r="11" ht="13.2" customHeight="1">
      <c r="A11" s="302">
        <f>'JV''s-Ops'!A11</f>
        <v/>
      </c>
      <c r="B11" s="303">
        <f>'JV''s-Ops'!B11</f>
        <v/>
      </c>
      <c r="C11" s="303">
        <f>'JV''s-Ops'!C11</f>
        <v/>
      </c>
      <c r="D11" s="303">
        <f>'JV''s-Ops'!D11</f>
        <v/>
      </c>
      <c r="E11" s="302">
        <f>'JV''s-Ops'!E11</f>
        <v/>
      </c>
      <c r="F11" s="304">
        <f>'JV''s-Ops'!F11</f>
        <v/>
      </c>
      <c r="G11" s="21" t="n"/>
      <c r="H11" s="110">
        <f>'JV''s-Ops'!J11</f>
        <v/>
      </c>
      <c r="I11" s="110">
        <f>'JV''s-GAAP'!J11</f>
        <v/>
      </c>
      <c r="J11" s="110">
        <f>H11-I11</f>
        <v/>
      </c>
      <c r="K11" s="110">
        <f>'JV''s-Ops'!L11</f>
        <v/>
      </c>
      <c r="L11" s="143">
        <f>'JV''s-GAAP'!L11</f>
        <v/>
      </c>
      <c r="M11" s="143">
        <f>K11-L11</f>
        <v/>
      </c>
      <c r="N11" s="21" t="n"/>
      <c r="O11" s="143">
        <f>'JV''s-Ops'!Q11</f>
        <v/>
      </c>
      <c r="P11" s="143">
        <f>'JV''s-GAAP'!Q11</f>
        <v/>
      </c>
      <c r="Q11" s="169">
        <f>O11-P11</f>
        <v/>
      </c>
      <c r="R11" s="21" t="n"/>
      <c r="S11" s="11">
        <f>'JV''s-Ops'!W11</f>
        <v/>
      </c>
      <c r="T11" s="11">
        <f>'JV''s-GAAP'!W11</f>
        <v/>
      </c>
      <c r="U11" s="11">
        <f>S11-T11</f>
        <v/>
      </c>
      <c r="V11" s="8">
        <f>'JV''s-Ops'!X11</f>
        <v/>
      </c>
      <c r="W11" s="8">
        <f>'JV''s-GAAP'!X11</f>
        <v/>
      </c>
      <c r="X11" s="8">
        <f>V11-W11</f>
        <v/>
      </c>
      <c r="Y11" s="9">
        <f>'JV''s-Ops'!Y11</f>
        <v/>
      </c>
      <c r="Z11" s="9">
        <f>'JV''s-GAAP'!Y11</f>
        <v/>
      </c>
      <c r="AA11" s="9">
        <f>Y11-Z11</f>
        <v/>
      </c>
      <c r="AB11" s="117" t="n"/>
    </row>
    <row r="12" ht="13.2" customHeight="1">
      <c r="A12" s="302">
        <f>'JV''s-Ops'!A12</f>
        <v/>
      </c>
      <c r="B12" s="303">
        <f>'JV''s-Ops'!B12</f>
        <v/>
      </c>
      <c r="C12" s="303">
        <f>'JV''s-Ops'!C12</f>
        <v/>
      </c>
      <c r="D12" s="303">
        <f>'JV''s-Ops'!D12</f>
        <v/>
      </c>
      <c r="E12" s="302">
        <f>'JV''s-Ops'!E12</f>
        <v/>
      </c>
      <c r="F12" s="304">
        <f>'JV''s-Ops'!F12</f>
        <v/>
      </c>
      <c r="G12" s="21" t="n"/>
      <c r="H12" s="110">
        <f>'JV''s-Ops'!J12</f>
        <v/>
      </c>
      <c r="I12" s="110">
        <f>'JV''s-GAAP'!J12</f>
        <v/>
      </c>
      <c r="J12" s="110">
        <f>H12-I12</f>
        <v/>
      </c>
      <c r="K12" s="110">
        <f>'JV''s-Ops'!L12</f>
        <v/>
      </c>
      <c r="L12" s="143">
        <f>'JV''s-GAAP'!L12</f>
        <v/>
      </c>
      <c r="M12" s="143">
        <f>K12-L12</f>
        <v/>
      </c>
      <c r="N12" s="21" t="n"/>
      <c r="O12" s="143">
        <f>'JV''s-Ops'!Q12</f>
        <v/>
      </c>
      <c r="P12" s="143">
        <f>'JV''s-GAAP'!Q12</f>
        <v/>
      </c>
      <c r="Q12" s="169">
        <f>O12-P12</f>
        <v/>
      </c>
      <c r="R12" s="21" t="n"/>
      <c r="S12" s="11">
        <f>'JV''s-Ops'!W12</f>
        <v/>
      </c>
      <c r="T12" s="11">
        <f>'JV''s-GAAP'!W12</f>
        <v/>
      </c>
      <c r="U12" s="11">
        <f>S12-T12</f>
        <v/>
      </c>
      <c r="V12" s="8">
        <f>'JV''s-Ops'!X12</f>
        <v/>
      </c>
      <c r="W12" s="8">
        <f>'JV''s-GAAP'!X12</f>
        <v/>
      </c>
      <c r="X12" s="8">
        <f>V12-W12</f>
        <v/>
      </c>
      <c r="Y12" s="9">
        <f>'JV''s-Ops'!Y12</f>
        <v/>
      </c>
      <c r="Z12" s="9">
        <f>'JV''s-GAAP'!Y12</f>
        <v/>
      </c>
      <c r="AA12" s="9">
        <f>Y12-Z12</f>
        <v/>
      </c>
      <c r="AB12" s="117" t="n"/>
    </row>
    <row r="13" ht="13.2" customHeight="1">
      <c r="A13" s="302">
        <f>'JV''s-Ops'!A13</f>
        <v/>
      </c>
      <c r="B13" s="303">
        <f>'JV''s-Ops'!B13</f>
        <v/>
      </c>
      <c r="C13" s="303">
        <f>'JV''s-Ops'!C13</f>
        <v/>
      </c>
      <c r="D13" s="303">
        <f>'JV''s-Ops'!D13</f>
        <v/>
      </c>
      <c r="E13" s="302">
        <f>'JV''s-Ops'!E13</f>
        <v/>
      </c>
      <c r="F13" s="304">
        <f>'JV''s-Ops'!F13</f>
        <v/>
      </c>
      <c r="G13" s="21" t="n"/>
      <c r="H13" s="110">
        <f>'JV''s-Ops'!J13</f>
        <v/>
      </c>
      <c r="I13" s="110">
        <f>'JV''s-GAAP'!J13</f>
        <v/>
      </c>
      <c r="J13" s="110">
        <f>H13-I13</f>
        <v/>
      </c>
      <c r="K13" s="110">
        <f>'JV''s-Ops'!L13</f>
        <v/>
      </c>
      <c r="L13" s="143">
        <f>'JV''s-GAAP'!L13</f>
        <v/>
      </c>
      <c r="M13" s="143">
        <f>K13-L13</f>
        <v/>
      </c>
      <c r="N13" s="21" t="n"/>
      <c r="O13" s="143">
        <f>'JV''s-Ops'!Q13</f>
        <v/>
      </c>
      <c r="P13" s="143">
        <f>'JV''s-GAAP'!Q13</f>
        <v/>
      </c>
      <c r="Q13" s="169">
        <f>O13-P13</f>
        <v/>
      </c>
      <c r="R13" s="21" t="n"/>
      <c r="S13" s="11">
        <f>'JV''s-Ops'!W13</f>
        <v/>
      </c>
      <c r="T13" s="11">
        <f>'JV''s-GAAP'!W13</f>
        <v/>
      </c>
      <c r="U13" s="11">
        <f>S13-T13</f>
        <v/>
      </c>
      <c r="V13" s="8">
        <f>'JV''s-Ops'!X13</f>
        <v/>
      </c>
      <c r="W13" s="8">
        <f>'JV''s-GAAP'!X13</f>
        <v/>
      </c>
      <c r="X13" s="8">
        <f>V13-W13</f>
        <v/>
      </c>
      <c r="Y13" s="9">
        <f>'JV''s-Ops'!Y13</f>
        <v/>
      </c>
      <c r="Z13" s="9">
        <f>'JV''s-GAAP'!Y13</f>
        <v/>
      </c>
      <c r="AA13" s="9">
        <f>Y13-Z13</f>
        <v/>
      </c>
      <c r="AB13" s="117" t="n"/>
    </row>
    <row r="14" ht="13.2" customHeight="1">
      <c r="A14" s="302">
        <f>'JV''s-Ops'!A14</f>
        <v/>
      </c>
      <c r="B14" s="303">
        <f>'JV''s-Ops'!B14</f>
        <v/>
      </c>
      <c r="C14" s="303">
        <f>'JV''s-Ops'!C14</f>
        <v/>
      </c>
      <c r="D14" s="303">
        <f>'JV''s-Ops'!D14</f>
        <v/>
      </c>
      <c r="E14" s="302">
        <f>'JV''s-Ops'!E14</f>
        <v/>
      </c>
      <c r="F14" s="304">
        <f>'JV''s-Ops'!F14</f>
        <v/>
      </c>
      <c r="G14" s="21" t="n"/>
      <c r="H14" s="110">
        <f>'JV''s-Ops'!J14</f>
        <v/>
      </c>
      <c r="I14" s="110">
        <f>'JV''s-GAAP'!J14</f>
        <v/>
      </c>
      <c r="J14" s="110">
        <f>H14-I14</f>
        <v/>
      </c>
      <c r="K14" s="110">
        <f>'JV''s-Ops'!L14</f>
        <v/>
      </c>
      <c r="L14" s="143">
        <f>'JV''s-GAAP'!L14</f>
        <v/>
      </c>
      <c r="M14" s="143">
        <f>K14-L14</f>
        <v/>
      </c>
      <c r="N14" s="21" t="n"/>
      <c r="O14" s="143">
        <f>'JV''s-Ops'!Q14</f>
        <v/>
      </c>
      <c r="P14" s="143">
        <f>'JV''s-GAAP'!Q14</f>
        <v/>
      </c>
      <c r="Q14" s="169">
        <f>O14-P14</f>
        <v/>
      </c>
      <c r="R14" s="21" t="n"/>
      <c r="S14" s="11">
        <f>'JV''s-Ops'!W14</f>
        <v/>
      </c>
      <c r="T14" s="11">
        <f>'JV''s-GAAP'!W14</f>
        <v/>
      </c>
      <c r="U14" s="11">
        <f>S14-T14</f>
        <v/>
      </c>
      <c r="V14" s="8">
        <f>'JV''s-Ops'!X14</f>
        <v/>
      </c>
      <c r="W14" s="8">
        <f>'JV''s-GAAP'!X14</f>
        <v/>
      </c>
      <c r="X14" s="8">
        <f>V14-W14</f>
        <v/>
      </c>
      <c r="Y14" s="9">
        <f>'JV''s-Ops'!Y14</f>
        <v/>
      </c>
      <c r="Z14" s="9">
        <f>'JV''s-GAAP'!Y14</f>
        <v/>
      </c>
      <c r="AA14" s="9">
        <f>Y14-Z14</f>
        <v/>
      </c>
      <c r="AB14" s="117" t="n"/>
    </row>
    <row r="15" ht="13.2" customHeight="1">
      <c r="A15" s="302">
        <f>'JV''s-Ops'!A15</f>
        <v/>
      </c>
      <c r="B15" s="303">
        <f>'JV''s-Ops'!B15</f>
        <v/>
      </c>
      <c r="C15" s="303">
        <f>'JV''s-Ops'!C15</f>
        <v/>
      </c>
      <c r="D15" s="303">
        <f>'JV''s-Ops'!D15</f>
        <v/>
      </c>
      <c r="E15" s="302">
        <f>'JV''s-Ops'!E15</f>
        <v/>
      </c>
      <c r="F15" s="304">
        <f>'JV''s-Ops'!F15</f>
        <v/>
      </c>
      <c r="G15" s="21" t="n"/>
      <c r="H15" s="110">
        <f>'JV''s-Ops'!J15</f>
        <v/>
      </c>
      <c r="I15" s="110">
        <f>'JV''s-GAAP'!J15</f>
        <v/>
      </c>
      <c r="J15" s="110">
        <f>H15-I15</f>
        <v/>
      </c>
      <c r="K15" s="110">
        <f>'JV''s-Ops'!L15</f>
        <v/>
      </c>
      <c r="L15" s="143">
        <f>'JV''s-GAAP'!L15</f>
        <v/>
      </c>
      <c r="M15" s="143">
        <f>K15-L15</f>
        <v/>
      </c>
      <c r="N15" s="21" t="n"/>
      <c r="O15" s="143">
        <f>'JV''s-Ops'!Q15</f>
        <v/>
      </c>
      <c r="P15" s="143">
        <f>'JV''s-GAAP'!Q15</f>
        <v/>
      </c>
      <c r="Q15" s="169">
        <f>O15-P15</f>
        <v/>
      </c>
      <c r="R15" s="21" t="n"/>
      <c r="S15" s="11">
        <f>'JV''s-Ops'!W15</f>
        <v/>
      </c>
      <c r="T15" s="11">
        <f>'JV''s-GAAP'!W15</f>
        <v/>
      </c>
      <c r="U15" s="11">
        <f>S15-T15</f>
        <v/>
      </c>
      <c r="V15" s="8">
        <f>'JV''s-Ops'!X15</f>
        <v/>
      </c>
      <c r="W15" s="8">
        <f>'JV''s-GAAP'!X15</f>
        <v/>
      </c>
      <c r="X15" s="8">
        <f>V15-W15</f>
        <v/>
      </c>
      <c r="Y15" s="9">
        <f>'JV''s-Ops'!Y15</f>
        <v/>
      </c>
      <c r="Z15" s="9">
        <f>'JV''s-GAAP'!Y15</f>
        <v/>
      </c>
      <c r="AA15" s="9">
        <f>Y15-Z15</f>
        <v/>
      </c>
      <c r="AB15" s="117" t="n"/>
    </row>
    <row r="16" ht="13.2" customHeight="1">
      <c r="A16" s="302">
        <f>'JV''s-Ops'!A16</f>
        <v/>
      </c>
      <c r="B16" s="303">
        <f>'JV''s-Ops'!B16</f>
        <v/>
      </c>
      <c r="C16" s="303">
        <f>'JV''s-Ops'!C16</f>
        <v/>
      </c>
      <c r="D16" s="303">
        <f>'JV''s-Ops'!D16</f>
        <v/>
      </c>
      <c r="E16" s="302">
        <f>'JV''s-Ops'!E16</f>
        <v/>
      </c>
      <c r="F16" s="304">
        <f>'JV''s-Ops'!F16</f>
        <v/>
      </c>
      <c r="G16" s="21" t="n"/>
      <c r="H16" s="110">
        <f>'JV''s-Ops'!J16</f>
        <v/>
      </c>
      <c r="I16" s="110">
        <f>'JV''s-GAAP'!J16</f>
        <v/>
      </c>
      <c r="J16" s="110">
        <f>H16-I16</f>
        <v/>
      </c>
      <c r="K16" s="110">
        <f>'JV''s-Ops'!L16</f>
        <v/>
      </c>
      <c r="L16" s="143">
        <f>'JV''s-GAAP'!L16</f>
        <v/>
      </c>
      <c r="M16" s="143">
        <f>K16-L16</f>
        <v/>
      </c>
      <c r="N16" s="21" t="n"/>
      <c r="O16" s="143">
        <f>'JV''s-Ops'!Q16</f>
        <v/>
      </c>
      <c r="P16" s="143">
        <f>'JV''s-GAAP'!Q16</f>
        <v/>
      </c>
      <c r="Q16" s="169">
        <f>O16-P16</f>
        <v/>
      </c>
      <c r="R16" s="21" t="n"/>
      <c r="S16" s="11">
        <f>'JV''s-Ops'!W16</f>
        <v/>
      </c>
      <c r="T16" s="11">
        <f>'JV''s-GAAP'!W16</f>
        <v/>
      </c>
      <c r="U16" s="11">
        <f>S16-T16</f>
        <v/>
      </c>
      <c r="V16" s="8">
        <f>'JV''s-Ops'!X16</f>
        <v/>
      </c>
      <c r="W16" s="8">
        <f>'JV''s-GAAP'!X16</f>
        <v/>
      </c>
      <c r="X16" s="8">
        <f>V16-W16</f>
        <v/>
      </c>
      <c r="Y16" s="9">
        <f>'JV''s-Ops'!Y16</f>
        <v/>
      </c>
      <c r="Z16" s="9">
        <f>'JV''s-GAAP'!Y16</f>
        <v/>
      </c>
      <c r="AA16" s="9">
        <f>Y16-Z16</f>
        <v/>
      </c>
      <c r="AB16" s="117" t="n"/>
    </row>
    <row r="17" ht="13.2" customHeight="1">
      <c r="A17" s="302">
        <f>'JV''s-Ops'!A17</f>
        <v/>
      </c>
      <c r="B17" s="303">
        <f>'JV''s-Ops'!B17</f>
        <v/>
      </c>
      <c r="C17" s="303">
        <f>'JV''s-Ops'!C17</f>
        <v/>
      </c>
      <c r="D17" s="303">
        <f>'JV''s-Ops'!D17</f>
        <v/>
      </c>
      <c r="E17" s="302">
        <f>'JV''s-Ops'!E17</f>
        <v/>
      </c>
      <c r="F17" s="304">
        <f>'JV''s-Ops'!F17</f>
        <v/>
      </c>
      <c r="G17" s="21" t="n"/>
      <c r="H17" s="110">
        <f>'JV''s-Ops'!J17</f>
        <v/>
      </c>
      <c r="I17" s="110">
        <f>'JV''s-GAAP'!J17</f>
        <v/>
      </c>
      <c r="J17" s="110">
        <f>H17-I17</f>
        <v/>
      </c>
      <c r="K17" s="110">
        <f>'JV''s-Ops'!L17</f>
        <v/>
      </c>
      <c r="L17" s="143">
        <f>'JV''s-GAAP'!L17</f>
        <v/>
      </c>
      <c r="M17" s="143">
        <f>K17-L17</f>
        <v/>
      </c>
      <c r="N17" s="21" t="n"/>
      <c r="O17" s="143">
        <f>'JV''s-Ops'!Q17</f>
        <v/>
      </c>
      <c r="P17" s="143">
        <f>'JV''s-GAAP'!Q17</f>
        <v/>
      </c>
      <c r="Q17" s="169">
        <f>O17-P17</f>
        <v/>
      </c>
      <c r="R17" s="21" t="n"/>
      <c r="S17" s="11">
        <f>'JV''s-Ops'!W17</f>
        <v/>
      </c>
      <c r="T17" s="11">
        <f>'JV''s-GAAP'!W17</f>
        <v/>
      </c>
      <c r="U17" s="11">
        <f>S17-T17</f>
        <v/>
      </c>
      <c r="V17" s="8">
        <f>'JV''s-Ops'!X17</f>
        <v/>
      </c>
      <c r="W17" s="8">
        <f>'JV''s-GAAP'!X17</f>
        <v/>
      </c>
      <c r="X17" s="8">
        <f>V17-W17</f>
        <v/>
      </c>
      <c r="Y17" s="9">
        <f>'JV''s-Ops'!Y17</f>
        <v/>
      </c>
      <c r="Z17" s="9">
        <f>'JV''s-GAAP'!Y17</f>
        <v/>
      </c>
      <c r="AA17" s="9">
        <f>Y17-Z17</f>
        <v/>
      </c>
      <c r="AB17" s="117" t="n"/>
    </row>
    <row r="18" ht="13.2" customHeight="1">
      <c r="A18" s="302">
        <f>'JV''s-Ops'!A18</f>
        <v/>
      </c>
      <c r="B18" s="303">
        <f>'JV''s-Ops'!B18</f>
        <v/>
      </c>
      <c r="C18" s="303">
        <f>'JV''s-Ops'!C18</f>
        <v/>
      </c>
      <c r="D18" s="303">
        <f>'JV''s-Ops'!D18</f>
        <v/>
      </c>
      <c r="E18" s="302">
        <f>'JV''s-Ops'!E18</f>
        <v/>
      </c>
      <c r="F18" s="304">
        <f>'JV''s-Ops'!F18</f>
        <v/>
      </c>
      <c r="G18" s="21" t="n"/>
      <c r="H18" s="110">
        <f>'JV''s-Ops'!J18</f>
        <v/>
      </c>
      <c r="I18" s="110">
        <f>'JV''s-GAAP'!J18</f>
        <v/>
      </c>
      <c r="J18" s="110">
        <f>H18-I18</f>
        <v/>
      </c>
      <c r="K18" s="110">
        <f>'JV''s-Ops'!L18</f>
        <v/>
      </c>
      <c r="L18" s="143">
        <f>'JV''s-GAAP'!L18</f>
        <v/>
      </c>
      <c r="M18" s="143">
        <f>K18-L18</f>
        <v/>
      </c>
      <c r="N18" s="21" t="n"/>
      <c r="O18" s="143">
        <f>'JV''s-Ops'!Q18</f>
        <v/>
      </c>
      <c r="P18" s="143">
        <f>'JV''s-GAAP'!Q18</f>
        <v/>
      </c>
      <c r="Q18" s="169">
        <f>O18-P18</f>
        <v/>
      </c>
      <c r="R18" s="21" t="n"/>
      <c r="S18" s="11">
        <f>'JV''s-Ops'!W18</f>
        <v/>
      </c>
      <c r="T18" s="11">
        <f>'JV''s-GAAP'!W18</f>
        <v/>
      </c>
      <c r="U18" s="11">
        <f>S18-T18</f>
        <v/>
      </c>
      <c r="V18" s="8">
        <f>'JV''s-Ops'!X18</f>
        <v/>
      </c>
      <c r="W18" s="8">
        <f>'JV''s-GAAP'!X18</f>
        <v/>
      </c>
      <c r="X18" s="8">
        <f>V18-W18</f>
        <v/>
      </c>
      <c r="Y18" s="9">
        <f>'JV''s-Ops'!Y18</f>
        <v/>
      </c>
      <c r="Z18" s="9">
        <f>'JV''s-GAAP'!Y18</f>
        <v/>
      </c>
      <c r="AA18" s="9">
        <f>Y18-Z18</f>
        <v/>
      </c>
      <c r="AB18" s="117" t="n"/>
    </row>
    <row r="19" ht="13.2" customHeight="1">
      <c r="A19" s="302">
        <f>'JV''s-Ops'!A19</f>
        <v/>
      </c>
      <c r="B19" s="303">
        <f>'JV''s-Ops'!B19</f>
        <v/>
      </c>
      <c r="C19" s="303">
        <f>'JV''s-Ops'!C19</f>
        <v/>
      </c>
      <c r="D19" s="303">
        <f>'JV''s-Ops'!D19</f>
        <v/>
      </c>
      <c r="E19" s="302">
        <f>'JV''s-Ops'!E19</f>
        <v/>
      </c>
      <c r="F19" s="304">
        <f>'JV''s-Ops'!F19</f>
        <v/>
      </c>
      <c r="G19" s="21" t="n"/>
      <c r="H19" s="110">
        <f>'JV''s-Ops'!J19</f>
        <v/>
      </c>
      <c r="I19" s="110">
        <f>'JV''s-GAAP'!J19</f>
        <v/>
      </c>
      <c r="J19" s="110">
        <f>H19-I19</f>
        <v/>
      </c>
      <c r="K19" s="110">
        <f>'JV''s-Ops'!L19</f>
        <v/>
      </c>
      <c r="L19" s="143">
        <f>'JV''s-GAAP'!L19</f>
        <v/>
      </c>
      <c r="M19" s="143">
        <f>K19-L19</f>
        <v/>
      </c>
      <c r="N19" s="21" t="n"/>
      <c r="O19" s="143">
        <f>'JV''s-Ops'!Q19</f>
        <v/>
      </c>
      <c r="P19" s="143">
        <f>'JV''s-GAAP'!Q19</f>
        <v/>
      </c>
      <c r="Q19" s="169">
        <f>O19-P19</f>
        <v/>
      </c>
      <c r="R19" s="21" t="n"/>
      <c r="S19" s="11">
        <f>'JV''s-Ops'!W19</f>
        <v/>
      </c>
      <c r="T19" s="11">
        <f>'JV''s-GAAP'!W19</f>
        <v/>
      </c>
      <c r="U19" s="11">
        <f>S19-T19</f>
        <v/>
      </c>
      <c r="V19" s="8">
        <f>'JV''s-Ops'!X19</f>
        <v/>
      </c>
      <c r="W19" s="8">
        <f>'JV''s-GAAP'!X19</f>
        <v/>
      </c>
      <c r="X19" s="8">
        <f>V19-W19</f>
        <v/>
      </c>
      <c r="Y19" s="9">
        <f>'JV''s-Ops'!Y19</f>
        <v/>
      </c>
      <c r="Z19" s="9">
        <f>'JV''s-GAAP'!Y19</f>
        <v/>
      </c>
      <c r="AA19" s="9">
        <f>Y19-Z19</f>
        <v/>
      </c>
      <c r="AB19" s="117" t="n"/>
    </row>
    <row r="20" ht="13.2" customHeight="1">
      <c r="A20" s="302">
        <f>'JV''s-Ops'!A20</f>
        <v/>
      </c>
      <c r="B20" s="303">
        <f>'JV''s-Ops'!B20</f>
        <v/>
      </c>
      <c r="C20" s="303">
        <f>'JV''s-Ops'!C20</f>
        <v/>
      </c>
      <c r="D20" s="303">
        <f>'JV''s-Ops'!D20</f>
        <v/>
      </c>
      <c r="E20" s="302">
        <f>'JV''s-Ops'!E20</f>
        <v/>
      </c>
      <c r="F20" s="304">
        <f>'JV''s-Ops'!F20</f>
        <v/>
      </c>
      <c r="G20" s="21" t="n"/>
      <c r="H20" s="110">
        <f>'JV''s-Ops'!J20</f>
        <v/>
      </c>
      <c r="I20" s="110">
        <f>'JV''s-GAAP'!J20</f>
        <v/>
      </c>
      <c r="J20" s="110">
        <f>H20-I20</f>
        <v/>
      </c>
      <c r="K20" s="110">
        <f>'JV''s-Ops'!L20</f>
        <v/>
      </c>
      <c r="L20" s="143">
        <f>'JV''s-GAAP'!L20</f>
        <v/>
      </c>
      <c r="M20" s="143">
        <f>K20-L20</f>
        <v/>
      </c>
      <c r="N20" s="21" t="n"/>
      <c r="O20" s="143">
        <f>'JV''s-Ops'!Q20</f>
        <v/>
      </c>
      <c r="P20" s="143">
        <f>'JV''s-GAAP'!Q20</f>
        <v/>
      </c>
      <c r="Q20" s="169">
        <f>O20-P20</f>
        <v/>
      </c>
      <c r="R20" s="21" t="n"/>
      <c r="S20" s="11">
        <f>'JV''s-Ops'!W20</f>
        <v/>
      </c>
      <c r="T20" s="11">
        <f>'JV''s-GAAP'!W20</f>
        <v/>
      </c>
      <c r="U20" s="11">
        <f>S20-T20</f>
        <v/>
      </c>
      <c r="V20" s="8">
        <f>'JV''s-Ops'!X20</f>
        <v/>
      </c>
      <c r="W20" s="8">
        <f>'JV''s-GAAP'!X20</f>
        <v/>
      </c>
      <c r="X20" s="8">
        <f>V20-W20</f>
        <v/>
      </c>
      <c r="Y20" s="9">
        <f>'JV''s-Ops'!Y20</f>
        <v/>
      </c>
      <c r="Z20" s="9">
        <f>'JV''s-GAAP'!Y20</f>
        <v/>
      </c>
      <c r="AA20" s="9">
        <f>Y20-Z20</f>
        <v/>
      </c>
      <c r="AB20" s="117" t="n"/>
    </row>
    <row r="21" ht="13.2" customHeight="1">
      <c r="A21" s="302">
        <f>'JV''s-Ops'!A21</f>
        <v/>
      </c>
      <c r="B21" s="303">
        <f>'JV''s-Ops'!B21</f>
        <v/>
      </c>
      <c r="C21" s="303">
        <f>'JV''s-Ops'!C21</f>
        <v/>
      </c>
      <c r="D21" s="303">
        <f>'JV''s-Ops'!D21</f>
        <v/>
      </c>
      <c r="E21" s="302">
        <f>'JV''s-Ops'!E21</f>
        <v/>
      </c>
      <c r="F21" s="304">
        <f>'JV''s-Ops'!F21</f>
        <v/>
      </c>
      <c r="G21" s="21" t="n"/>
      <c r="H21" s="110">
        <f>'JV''s-Ops'!J21</f>
        <v/>
      </c>
      <c r="I21" s="110">
        <f>'JV''s-GAAP'!J21</f>
        <v/>
      </c>
      <c r="J21" s="110">
        <f>H21-I21</f>
        <v/>
      </c>
      <c r="K21" s="110">
        <f>'JV''s-Ops'!L21</f>
        <v/>
      </c>
      <c r="L21" s="143">
        <f>'JV''s-GAAP'!L21</f>
        <v/>
      </c>
      <c r="M21" s="143">
        <f>K21-L21</f>
        <v/>
      </c>
      <c r="N21" s="21" t="n"/>
      <c r="O21" s="143">
        <f>'JV''s-Ops'!Q21</f>
        <v/>
      </c>
      <c r="P21" s="143">
        <f>'JV''s-GAAP'!Q21</f>
        <v/>
      </c>
      <c r="Q21" s="169">
        <f>O21-P21</f>
        <v/>
      </c>
      <c r="R21" s="21" t="n"/>
      <c r="S21" s="11">
        <f>'JV''s-Ops'!W21</f>
        <v/>
      </c>
      <c r="T21" s="11">
        <f>'JV''s-GAAP'!W21</f>
        <v/>
      </c>
      <c r="U21" s="11">
        <f>S21-T21</f>
        <v/>
      </c>
      <c r="V21" s="8">
        <f>'JV''s-Ops'!X21</f>
        <v/>
      </c>
      <c r="W21" s="8">
        <f>'JV''s-GAAP'!X21</f>
        <v/>
      </c>
      <c r="X21" s="8">
        <f>V21-W21</f>
        <v/>
      </c>
      <c r="Y21" s="9">
        <f>'JV''s-Ops'!Y21</f>
        <v/>
      </c>
      <c r="Z21" s="9">
        <f>'JV''s-GAAP'!Y21</f>
        <v/>
      </c>
      <c r="AA21" s="9">
        <f>Y21-Z21</f>
        <v/>
      </c>
      <c r="AB21" s="117" t="n"/>
    </row>
    <row r="22" ht="13.2" customHeight="1">
      <c r="A22" s="302">
        <f>'JV''s-Ops'!A22</f>
        <v/>
      </c>
      <c r="B22" s="303">
        <f>'JV''s-Ops'!B22</f>
        <v/>
      </c>
      <c r="C22" s="303">
        <f>'JV''s-Ops'!C22</f>
        <v/>
      </c>
      <c r="D22" s="303">
        <f>'JV''s-Ops'!D22</f>
        <v/>
      </c>
      <c r="E22" s="302">
        <f>'JV''s-Ops'!E22</f>
        <v/>
      </c>
      <c r="F22" s="304">
        <f>'JV''s-Ops'!F22</f>
        <v/>
      </c>
      <c r="G22" s="21" t="n"/>
      <c r="H22" s="110">
        <f>'JV''s-Ops'!J22</f>
        <v/>
      </c>
      <c r="I22" s="110">
        <f>'JV''s-GAAP'!J22</f>
        <v/>
      </c>
      <c r="J22" s="110">
        <f>H22-I22</f>
        <v/>
      </c>
      <c r="K22" s="110">
        <f>'JV''s-Ops'!L22</f>
        <v/>
      </c>
      <c r="L22" s="143">
        <f>'JV''s-GAAP'!L22</f>
        <v/>
      </c>
      <c r="M22" s="143">
        <f>K22-L22</f>
        <v/>
      </c>
      <c r="N22" s="21" t="n"/>
      <c r="O22" s="143">
        <f>'JV''s-Ops'!Q22</f>
        <v/>
      </c>
      <c r="P22" s="143">
        <f>'JV''s-GAAP'!Q22</f>
        <v/>
      </c>
      <c r="Q22" s="169">
        <f>O22-P22</f>
        <v/>
      </c>
      <c r="R22" s="21" t="n"/>
      <c r="S22" s="11">
        <f>'JV''s-Ops'!W22</f>
        <v/>
      </c>
      <c r="T22" s="11">
        <f>'JV''s-GAAP'!W22</f>
        <v/>
      </c>
      <c r="U22" s="11">
        <f>S22-T22</f>
        <v/>
      </c>
      <c r="V22" s="8">
        <f>'JV''s-Ops'!X22</f>
        <v/>
      </c>
      <c r="W22" s="8">
        <f>'JV''s-GAAP'!X22</f>
        <v/>
      </c>
      <c r="X22" s="8">
        <f>V22-W22</f>
        <v/>
      </c>
      <c r="Y22" s="9">
        <f>'JV''s-Ops'!Y22</f>
        <v/>
      </c>
      <c r="Z22" s="9">
        <f>'JV''s-GAAP'!Y22</f>
        <v/>
      </c>
      <c r="AA22" s="9">
        <f>Y22-Z22</f>
        <v/>
      </c>
      <c r="AB22" s="117" t="n"/>
    </row>
    <row r="23" ht="13.2" customHeight="1">
      <c r="A23" s="302">
        <f>'JV''s-Ops'!A23</f>
        <v/>
      </c>
      <c r="B23" s="303">
        <f>'JV''s-Ops'!B23</f>
        <v/>
      </c>
      <c r="C23" s="303">
        <f>'JV''s-Ops'!C23</f>
        <v/>
      </c>
      <c r="D23" s="303">
        <f>'JV''s-Ops'!D23</f>
        <v/>
      </c>
      <c r="E23" s="302">
        <f>'JV''s-Ops'!E23</f>
        <v/>
      </c>
      <c r="F23" s="304">
        <f>'JV''s-Ops'!F23</f>
        <v/>
      </c>
      <c r="G23" s="21" t="n"/>
      <c r="H23" s="110">
        <f>'JV''s-Ops'!J23</f>
        <v/>
      </c>
      <c r="I23" s="110">
        <f>'JV''s-GAAP'!J23</f>
        <v/>
      </c>
      <c r="J23" s="110">
        <f>H23-I23</f>
        <v/>
      </c>
      <c r="K23" s="110">
        <f>'JV''s-Ops'!L23</f>
        <v/>
      </c>
      <c r="L23" s="143">
        <f>'JV''s-GAAP'!L23</f>
        <v/>
      </c>
      <c r="M23" s="143">
        <f>K23-L23</f>
        <v/>
      </c>
      <c r="N23" s="21" t="n"/>
      <c r="O23" s="143">
        <f>'JV''s-Ops'!Q23</f>
        <v/>
      </c>
      <c r="P23" s="143">
        <f>'JV''s-GAAP'!Q23</f>
        <v/>
      </c>
      <c r="Q23" s="169">
        <f>O23-P23</f>
        <v/>
      </c>
      <c r="R23" s="21" t="n"/>
      <c r="S23" s="11">
        <f>'JV''s-Ops'!W23</f>
        <v/>
      </c>
      <c r="T23" s="11">
        <f>'JV''s-GAAP'!W23</f>
        <v/>
      </c>
      <c r="U23" s="11">
        <f>S23-T23</f>
        <v/>
      </c>
      <c r="V23" s="8">
        <f>'JV''s-Ops'!X23</f>
        <v/>
      </c>
      <c r="W23" s="8">
        <f>'JV''s-GAAP'!X23</f>
        <v/>
      </c>
      <c r="X23" s="8">
        <f>V23-W23</f>
        <v/>
      </c>
      <c r="Y23" s="9">
        <f>'JV''s-Ops'!Y23</f>
        <v/>
      </c>
      <c r="Z23" s="9">
        <f>'JV''s-GAAP'!Y23</f>
        <v/>
      </c>
      <c r="AA23" s="9">
        <f>Y23-Z23</f>
        <v/>
      </c>
      <c r="AB23" s="117" t="n"/>
    </row>
    <row r="24" ht="13.2" customHeight="1">
      <c r="A24" s="302">
        <f>'JV''s-Ops'!A24</f>
        <v/>
      </c>
      <c r="B24" s="303">
        <f>'JV''s-Ops'!B24</f>
        <v/>
      </c>
      <c r="C24" s="303">
        <f>'JV''s-Ops'!C24</f>
        <v/>
      </c>
      <c r="D24" s="303">
        <f>'JV''s-Ops'!D24</f>
        <v/>
      </c>
      <c r="E24" s="302">
        <f>'JV''s-Ops'!E24</f>
        <v/>
      </c>
      <c r="F24" s="304">
        <f>'JV''s-Ops'!F24</f>
        <v/>
      </c>
      <c r="G24" s="21" t="n"/>
      <c r="H24" s="110">
        <f>'JV''s-Ops'!J24</f>
        <v/>
      </c>
      <c r="I24" s="110">
        <f>'JV''s-GAAP'!J24</f>
        <v/>
      </c>
      <c r="J24" s="110">
        <f>H24-I24</f>
        <v/>
      </c>
      <c r="K24" s="110">
        <f>'JV''s-Ops'!L24</f>
        <v/>
      </c>
      <c r="L24" s="143">
        <f>'JV''s-GAAP'!L24</f>
        <v/>
      </c>
      <c r="M24" s="143">
        <f>K24-L24</f>
        <v/>
      </c>
      <c r="N24" s="21" t="n"/>
      <c r="O24" s="143">
        <f>'JV''s-Ops'!Q24</f>
        <v/>
      </c>
      <c r="P24" s="143">
        <f>'JV''s-GAAP'!Q24</f>
        <v/>
      </c>
      <c r="Q24" s="169">
        <f>O24-P24</f>
        <v/>
      </c>
      <c r="R24" s="21" t="n"/>
      <c r="S24" s="11">
        <f>'JV''s-Ops'!W24</f>
        <v/>
      </c>
      <c r="T24" s="11">
        <f>'JV''s-GAAP'!W24</f>
        <v/>
      </c>
      <c r="U24" s="11">
        <f>S24-T24</f>
        <v/>
      </c>
      <c r="V24" s="8">
        <f>'JV''s-Ops'!X24</f>
        <v/>
      </c>
      <c r="W24" s="8">
        <f>'JV''s-GAAP'!X24</f>
        <v/>
      </c>
      <c r="X24" s="8">
        <f>V24-W24</f>
        <v/>
      </c>
      <c r="Y24" s="9">
        <f>'JV''s-Ops'!Y24</f>
        <v/>
      </c>
      <c r="Z24" s="9">
        <f>'JV''s-GAAP'!Y24</f>
        <v/>
      </c>
      <c r="AA24" s="9">
        <f>Y24-Z24</f>
        <v/>
      </c>
      <c r="AB24" s="117" t="n"/>
    </row>
    <row r="25" ht="13.2" customHeight="1">
      <c r="A25" s="302">
        <f>'JV''s-Ops'!A25</f>
        <v/>
      </c>
      <c r="B25" s="303">
        <f>'JV''s-Ops'!B25</f>
        <v/>
      </c>
      <c r="C25" s="303">
        <f>'JV''s-Ops'!C25</f>
        <v/>
      </c>
      <c r="D25" s="303">
        <f>'JV''s-Ops'!D25</f>
        <v/>
      </c>
      <c r="E25" s="302">
        <f>'JV''s-Ops'!E25</f>
        <v/>
      </c>
      <c r="F25" s="304">
        <f>'JV''s-Ops'!F25</f>
        <v/>
      </c>
      <c r="G25" s="21" t="n"/>
      <c r="H25" s="110">
        <f>'JV''s-Ops'!J25</f>
        <v/>
      </c>
      <c r="I25" s="110">
        <f>'JV''s-GAAP'!J25</f>
        <v/>
      </c>
      <c r="J25" s="110">
        <f>H25-I25</f>
        <v/>
      </c>
      <c r="K25" s="110">
        <f>'JV''s-Ops'!L25</f>
        <v/>
      </c>
      <c r="L25" s="143">
        <f>'JV''s-GAAP'!L25</f>
        <v/>
      </c>
      <c r="M25" s="143">
        <f>K25-L25</f>
        <v/>
      </c>
      <c r="N25" s="21" t="n"/>
      <c r="O25" s="143">
        <f>'JV''s-Ops'!Q25</f>
        <v/>
      </c>
      <c r="P25" s="143">
        <f>'JV''s-GAAP'!Q25</f>
        <v/>
      </c>
      <c r="Q25" s="169">
        <f>O25-P25</f>
        <v/>
      </c>
      <c r="R25" s="21" t="n"/>
      <c r="S25" s="11">
        <f>'JV''s-Ops'!W25</f>
        <v/>
      </c>
      <c r="T25" s="11">
        <f>'JV''s-GAAP'!W25</f>
        <v/>
      </c>
      <c r="U25" s="11">
        <f>S25-T25</f>
        <v/>
      </c>
      <c r="V25" s="8">
        <f>'JV''s-Ops'!X25</f>
        <v/>
      </c>
      <c r="W25" s="8">
        <f>'JV''s-GAAP'!X25</f>
        <v/>
      </c>
      <c r="X25" s="8">
        <f>V25-W25</f>
        <v/>
      </c>
      <c r="Y25" s="9">
        <f>'JV''s-Ops'!Y25</f>
        <v/>
      </c>
      <c r="Z25" s="9">
        <f>'JV''s-GAAP'!Y25</f>
        <v/>
      </c>
      <c r="AA25" s="9">
        <f>Y25-Z25</f>
        <v/>
      </c>
      <c r="AB25" s="117" t="n"/>
    </row>
    <row r="26" ht="13.2" customHeight="1">
      <c r="A26" s="302">
        <f>'JV''s-Ops'!A26</f>
        <v/>
      </c>
      <c r="B26" s="303">
        <f>'JV''s-Ops'!B26</f>
        <v/>
      </c>
      <c r="C26" s="303">
        <f>'JV''s-Ops'!C26</f>
        <v/>
      </c>
      <c r="D26" s="303">
        <f>'JV''s-Ops'!D26</f>
        <v/>
      </c>
      <c r="E26" s="302">
        <f>'JV''s-Ops'!E26</f>
        <v/>
      </c>
      <c r="F26" s="304">
        <f>'JV''s-Ops'!F26</f>
        <v/>
      </c>
      <c r="G26" s="21" t="n"/>
      <c r="H26" s="110">
        <f>'JV''s-Ops'!J26</f>
        <v/>
      </c>
      <c r="I26" s="110">
        <f>'JV''s-GAAP'!J26</f>
        <v/>
      </c>
      <c r="J26" s="110">
        <f>H26-I26</f>
        <v/>
      </c>
      <c r="K26" s="110">
        <f>'JV''s-Ops'!L26</f>
        <v/>
      </c>
      <c r="L26" s="143">
        <f>'JV''s-GAAP'!L26</f>
        <v/>
      </c>
      <c r="M26" s="143">
        <f>K26-L26</f>
        <v/>
      </c>
      <c r="N26" s="21" t="n"/>
      <c r="O26" s="143">
        <f>'JV''s-Ops'!Q26</f>
        <v/>
      </c>
      <c r="P26" s="143">
        <f>'JV''s-GAAP'!Q26</f>
        <v/>
      </c>
      <c r="Q26" s="169">
        <f>O26-P26</f>
        <v/>
      </c>
      <c r="R26" s="21" t="n"/>
      <c r="S26" s="11">
        <f>'JV''s-Ops'!W26</f>
        <v/>
      </c>
      <c r="T26" s="11">
        <f>'JV''s-GAAP'!W26</f>
        <v/>
      </c>
      <c r="U26" s="11">
        <f>S26-T26</f>
        <v/>
      </c>
      <c r="V26" s="8">
        <f>'JV''s-Ops'!X26</f>
        <v/>
      </c>
      <c r="W26" s="8">
        <f>'JV''s-GAAP'!X26</f>
        <v/>
      </c>
      <c r="X26" s="8">
        <f>V26-W26</f>
        <v/>
      </c>
      <c r="Y26" s="9">
        <f>'JV''s-Ops'!Y26</f>
        <v/>
      </c>
      <c r="Z26" s="9">
        <f>'JV''s-GAAP'!Y26</f>
        <v/>
      </c>
      <c r="AA26" s="9">
        <f>Y26-Z26</f>
        <v/>
      </c>
      <c r="AB26" s="117" t="n"/>
    </row>
    <row r="27" ht="34.2" customHeight="1">
      <c r="A27" s="301" t="inlineStr">
        <is>
          <t>Our Portion</t>
        </is>
      </c>
      <c r="B27" s="263" t="n"/>
      <c r="C27" s="263" t="n"/>
      <c r="D27" s="263" t="n"/>
      <c r="E27" s="263" t="n"/>
      <c r="F27" s="264" t="n"/>
      <c r="G27" s="21" t="n"/>
      <c r="H27" s="110" t="n"/>
      <c r="I27" s="110" t="n"/>
      <c r="J27" s="110" t="n"/>
      <c r="K27" s="110" t="n"/>
      <c r="L27" s="143" t="n"/>
      <c r="M27" s="143" t="n"/>
      <c r="N27" s="21" t="n"/>
      <c r="O27" s="143" t="n"/>
      <c r="P27" s="143" t="n"/>
      <c r="Q27" s="164" t="n"/>
      <c r="R27" s="21" t="n"/>
      <c r="S27" s="11" t="n"/>
      <c r="T27" s="11" t="n"/>
      <c r="U27" s="11" t="n"/>
      <c r="V27" s="8" t="n"/>
      <c r="W27" s="8" t="n"/>
      <c r="X27" s="8" t="n"/>
      <c r="Y27" s="9" t="n"/>
      <c r="Z27" s="9" t="n"/>
      <c r="AA27" s="9" t="n"/>
      <c r="AB27" s="117" t="n"/>
    </row>
    <row r="28" ht="13.2" customHeight="1">
      <c r="A28" s="161" t="n"/>
      <c r="B28" s="162" t="n"/>
      <c r="C28" s="162" t="n"/>
      <c r="D28" s="162" t="n"/>
      <c r="E28" s="161" t="n"/>
      <c r="F28" s="163" t="n"/>
      <c r="G28" s="21" t="n"/>
      <c r="H28" s="110" t="n"/>
      <c r="I28" s="110" t="n"/>
      <c r="J28" s="110" t="n"/>
      <c r="K28" s="110" t="n"/>
      <c r="L28" s="143" t="n"/>
      <c r="M28" s="143" t="n"/>
      <c r="N28" s="21" t="n"/>
      <c r="O28" s="143" t="n"/>
      <c r="P28" s="143" t="n"/>
      <c r="Q28" s="164" t="n"/>
      <c r="R28" s="21" t="n"/>
      <c r="S28" s="11" t="n"/>
      <c r="T28" s="11" t="n"/>
      <c r="U28" s="11" t="n"/>
      <c r="V28" s="8" t="n"/>
      <c r="W28" s="8" t="n"/>
      <c r="X28" s="8" t="n"/>
      <c r="Y28" s="9" t="n"/>
      <c r="Z28" s="9" t="n"/>
      <c r="AA28" s="9" t="n"/>
      <c r="AB28" s="117" t="n"/>
    </row>
    <row r="29" ht="13.2" customHeight="1">
      <c r="A29" s="302">
        <f>'JV''s-Ops'!A29</f>
        <v/>
      </c>
      <c r="B29" s="303">
        <f>'JV''s-Ops'!B29</f>
        <v/>
      </c>
      <c r="C29" s="303">
        <f>'JV''s-Ops'!C29</f>
        <v/>
      </c>
      <c r="D29" s="303">
        <f>'JV''s-Ops'!D29</f>
        <v/>
      </c>
      <c r="E29" s="302">
        <f>'JV''s-Ops'!E29</f>
        <v/>
      </c>
      <c r="F29" s="304">
        <f>'JV''s-Ops'!F29</f>
        <v/>
      </c>
      <c r="G29" s="21" t="n"/>
      <c r="H29" s="110">
        <f>'JV''s-Ops'!J29</f>
        <v/>
      </c>
      <c r="I29" s="110">
        <f>'JV''s-GAAP'!J29</f>
        <v/>
      </c>
      <c r="J29" s="110">
        <f>H29-I29</f>
        <v/>
      </c>
      <c r="K29" s="110">
        <f>'JV''s-Ops'!L29</f>
        <v/>
      </c>
      <c r="L29" s="143">
        <f>'JV''s-GAAP'!L29</f>
        <v/>
      </c>
      <c r="M29" s="143">
        <f>K29-L29</f>
        <v/>
      </c>
      <c r="N29" s="21" t="n"/>
      <c r="O29" s="143">
        <f>'JV''s-Ops'!Q29</f>
        <v/>
      </c>
      <c r="P29" s="143">
        <f>'JV''s-GAAP'!Q29</f>
        <v/>
      </c>
      <c r="Q29" s="169">
        <f>O29-P29</f>
        <v/>
      </c>
      <c r="R29" s="21" t="n"/>
      <c r="S29" s="11">
        <f>'JV''s-Ops'!W29</f>
        <v/>
      </c>
      <c r="T29" s="11">
        <f>'JV''s-GAAP'!W29</f>
        <v/>
      </c>
      <c r="U29" s="11">
        <f>S29-T29</f>
        <v/>
      </c>
      <c r="V29" s="8">
        <f>'JV''s-Ops'!X29</f>
        <v/>
      </c>
      <c r="W29" s="8">
        <f>'JV''s-GAAP'!X29</f>
        <v/>
      </c>
      <c r="X29" s="8">
        <f>V29-W29</f>
        <v/>
      </c>
      <c r="Y29" s="9">
        <f>'JV''s-Ops'!Y29</f>
        <v/>
      </c>
      <c r="Z29" s="9">
        <f>'JV''s-GAAP'!Y29</f>
        <v/>
      </c>
      <c r="AA29" s="9">
        <f>Y29-Z29</f>
        <v/>
      </c>
      <c r="AB29" s="117" t="n"/>
    </row>
    <row r="30" ht="13.2" customHeight="1">
      <c r="A30" s="302">
        <f>'JV''s-Ops'!A30</f>
        <v/>
      </c>
      <c r="B30" s="303">
        <f>'JV''s-Ops'!B30</f>
        <v/>
      </c>
      <c r="C30" s="303">
        <f>'JV''s-Ops'!C30</f>
        <v/>
      </c>
      <c r="D30" s="303">
        <f>'JV''s-Ops'!D30</f>
        <v/>
      </c>
      <c r="E30" s="302">
        <f>'JV''s-Ops'!E30</f>
        <v/>
      </c>
      <c r="F30" s="304">
        <f>'JV''s-Ops'!F30</f>
        <v/>
      </c>
      <c r="G30" s="21" t="n"/>
      <c r="H30" s="110">
        <f>'JV''s-Ops'!J30</f>
        <v/>
      </c>
      <c r="I30" s="110">
        <f>'JV''s-GAAP'!J30</f>
        <v/>
      </c>
      <c r="J30" s="110">
        <f>H30-I30</f>
        <v/>
      </c>
      <c r="K30" s="110">
        <f>'JV''s-Ops'!L30</f>
        <v/>
      </c>
      <c r="L30" s="143">
        <f>'JV''s-GAAP'!L30</f>
        <v/>
      </c>
      <c r="M30" s="143">
        <f>K30-L30</f>
        <v/>
      </c>
      <c r="N30" s="21" t="n"/>
      <c r="O30" s="143">
        <f>'JV''s-Ops'!Q30</f>
        <v/>
      </c>
      <c r="P30" s="143">
        <f>'JV''s-GAAP'!Q30</f>
        <v/>
      </c>
      <c r="Q30" s="169">
        <f>O30-P30</f>
        <v/>
      </c>
      <c r="R30" s="21" t="n"/>
      <c r="S30" s="11">
        <f>'JV''s-Ops'!W30</f>
        <v/>
      </c>
      <c r="T30" s="11">
        <f>'JV''s-GAAP'!W30</f>
        <v/>
      </c>
      <c r="U30" s="11">
        <f>S30-T30</f>
        <v/>
      </c>
      <c r="V30" s="8">
        <f>'JV''s-Ops'!X30</f>
        <v/>
      </c>
      <c r="W30" s="8">
        <f>'JV''s-GAAP'!X30</f>
        <v/>
      </c>
      <c r="X30" s="8">
        <f>V30-W30</f>
        <v/>
      </c>
      <c r="Y30" s="9">
        <f>'JV''s-Ops'!Y30</f>
        <v/>
      </c>
      <c r="Z30" s="9">
        <f>'JV''s-GAAP'!Y30</f>
        <v/>
      </c>
      <c r="AA30" s="9">
        <f>Y30-Z30</f>
        <v/>
      </c>
      <c r="AB30" s="117" t="n"/>
    </row>
    <row r="31" ht="13.2" customHeight="1">
      <c r="A31" s="302">
        <f>'JV''s-Ops'!A31</f>
        <v/>
      </c>
      <c r="B31" s="303">
        <f>'JV''s-Ops'!B31</f>
        <v/>
      </c>
      <c r="C31" s="303">
        <f>'JV''s-Ops'!C31</f>
        <v/>
      </c>
      <c r="D31" s="303">
        <f>'JV''s-Ops'!D31</f>
        <v/>
      </c>
      <c r="E31" s="302">
        <f>'JV''s-Ops'!E31</f>
        <v/>
      </c>
      <c r="F31" s="304">
        <f>'JV''s-Ops'!F31</f>
        <v/>
      </c>
      <c r="G31" s="21" t="n"/>
      <c r="H31" s="110">
        <f>'JV''s-Ops'!J31</f>
        <v/>
      </c>
      <c r="I31" s="110">
        <f>'JV''s-GAAP'!J31</f>
        <v/>
      </c>
      <c r="J31" s="110">
        <f>H31-I31</f>
        <v/>
      </c>
      <c r="K31" s="110">
        <f>'JV''s-Ops'!L31</f>
        <v/>
      </c>
      <c r="L31" s="143">
        <f>'JV''s-GAAP'!L31</f>
        <v/>
      </c>
      <c r="M31" s="143">
        <f>K31-L31</f>
        <v/>
      </c>
      <c r="N31" s="21" t="n"/>
      <c r="O31" s="143">
        <f>'JV''s-Ops'!Q31</f>
        <v/>
      </c>
      <c r="P31" s="143">
        <f>'JV''s-GAAP'!Q31</f>
        <v/>
      </c>
      <c r="Q31" s="169">
        <f>O31-P31</f>
        <v/>
      </c>
      <c r="R31" s="21" t="n"/>
      <c r="S31" s="11">
        <f>'JV''s-Ops'!W31</f>
        <v/>
      </c>
      <c r="T31" s="11">
        <f>'JV''s-GAAP'!W31</f>
        <v/>
      </c>
      <c r="U31" s="11">
        <f>S31-T31</f>
        <v/>
      </c>
      <c r="V31" s="8">
        <f>'JV''s-Ops'!X31</f>
        <v/>
      </c>
      <c r="W31" s="8">
        <f>'JV''s-GAAP'!X31</f>
        <v/>
      </c>
      <c r="X31" s="8">
        <f>V31-W31</f>
        <v/>
      </c>
      <c r="Y31" s="9">
        <f>'JV''s-Ops'!Y31</f>
        <v/>
      </c>
      <c r="Z31" s="9">
        <f>'JV''s-GAAP'!Y31</f>
        <v/>
      </c>
      <c r="AA31" s="9">
        <f>Y31-Z31</f>
        <v/>
      </c>
      <c r="AB31" s="117" t="n"/>
    </row>
    <row r="32" ht="13.2" customHeight="1">
      <c r="A32" s="302">
        <f>'JV''s-Ops'!A32</f>
        <v/>
      </c>
      <c r="B32" s="303">
        <f>'JV''s-Ops'!B32</f>
        <v/>
      </c>
      <c r="C32" s="303">
        <f>'JV''s-Ops'!C32</f>
        <v/>
      </c>
      <c r="D32" s="303">
        <f>'JV''s-Ops'!D32</f>
        <v/>
      </c>
      <c r="E32" s="302">
        <f>'JV''s-Ops'!E32</f>
        <v/>
      </c>
      <c r="F32" s="304">
        <f>'JV''s-Ops'!F32</f>
        <v/>
      </c>
      <c r="G32" s="21" t="n"/>
      <c r="H32" s="110">
        <f>'JV''s-Ops'!J32</f>
        <v/>
      </c>
      <c r="I32" s="110">
        <f>'JV''s-GAAP'!J32</f>
        <v/>
      </c>
      <c r="J32" s="110">
        <f>H32-I32</f>
        <v/>
      </c>
      <c r="K32" s="110">
        <f>'JV''s-Ops'!L32</f>
        <v/>
      </c>
      <c r="L32" s="143">
        <f>'JV''s-GAAP'!L32</f>
        <v/>
      </c>
      <c r="M32" s="143">
        <f>K32-L32</f>
        <v/>
      </c>
      <c r="N32" s="21" t="n"/>
      <c r="O32" s="143">
        <f>'JV''s-Ops'!Q32</f>
        <v/>
      </c>
      <c r="P32" s="143">
        <f>'JV''s-GAAP'!Q32</f>
        <v/>
      </c>
      <c r="Q32" s="169">
        <f>O32-P32</f>
        <v/>
      </c>
      <c r="R32" s="21" t="n"/>
      <c r="S32" s="11">
        <f>'JV''s-Ops'!W32</f>
        <v/>
      </c>
      <c r="T32" s="11">
        <f>'JV''s-GAAP'!W32</f>
        <v/>
      </c>
      <c r="U32" s="11">
        <f>S32-T32</f>
        <v/>
      </c>
      <c r="V32" s="8">
        <f>'JV''s-Ops'!X32</f>
        <v/>
      </c>
      <c r="W32" s="8">
        <f>'JV''s-GAAP'!X32</f>
        <v/>
      </c>
      <c r="X32" s="8">
        <f>V32-W32</f>
        <v/>
      </c>
      <c r="Y32" s="9">
        <f>'JV''s-Ops'!Y32</f>
        <v/>
      </c>
      <c r="Z32" s="9">
        <f>'JV''s-GAAP'!Y32</f>
        <v/>
      </c>
      <c r="AA32" s="9">
        <f>Y32-Z32</f>
        <v/>
      </c>
      <c r="AB32" s="117" t="n"/>
    </row>
    <row r="33" ht="13.2" customHeight="1">
      <c r="A33" s="302">
        <f>'JV''s-Ops'!A33</f>
        <v/>
      </c>
      <c r="B33" s="303">
        <f>'JV''s-Ops'!B33</f>
        <v/>
      </c>
      <c r="C33" s="303">
        <f>'JV''s-Ops'!C33</f>
        <v/>
      </c>
      <c r="D33" s="303">
        <f>'JV''s-Ops'!D33</f>
        <v/>
      </c>
      <c r="E33" s="302">
        <f>'JV''s-Ops'!E33</f>
        <v/>
      </c>
      <c r="F33" s="304">
        <f>'JV''s-Ops'!F33</f>
        <v/>
      </c>
      <c r="G33" s="21" t="n"/>
      <c r="H33" s="110">
        <f>'JV''s-Ops'!J33</f>
        <v/>
      </c>
      <c r="I33" s="110">
        <f>'JV''s-GAAP'!J33</f>
        <v/>
      </c>
      <c r="J33" s="110">
        <f>H33-I33</f>
        <v/>
      </c>
      <c r="K33" s="110">
        <f>'JV''s-Ops'!L33</f>
        <v/>
      </c>
      <c r="L33" s="143">
        <f>'JV''s-GAAP'!L33</f>
        <v/>
      </c>
      <c r="M33" s="143">
        <f>K33-L33</f>
        <v/>
      </c>
      <c r="N33" s="21" t="n"/>
      <c r="O33" s="143">
        <f>'JV''s-Ops'!Q33</f>
        <v/>
      </c>
      <c r="P33" s="143">
        <f>'JV''s-GAAP'!Q33</f>
        <v/>
      </c>
      <c r="Q33" s="169">
        <f>O33-P33</f>
        <v/>
      </c>
      <c r="R33" s="21" t="n"/>
      <c r="S33" s="11">
        <f>'JV''s-Ops'!W33</f>
        <v/>
      </c>
      <c r="T33" s="11">
        <f>'JV''s-GAAP'!W33</f>
        <v/>
      </c>
      <c r="U33" s="11">
        <f>S33-T33</f>
        <v/>
      </c>
      <c r="V33" s="8">
        <f>'JV''s-Ops'!X33</f>
        <v/>
      </c>
      <c r="W33" s="8">
        <f>'JV''s-GAAP'!X33</f>
        <v/>
      </c>
      <c r="X33" s="8">
        <f>V33-W33</f>
        <v/>
      </c>
      <c r="Y33" s="9">
        <f>'JV''s-Ops'!Y33</f>
        <v/>
      </c>
      <c r="Z33" s="9">
        <f>'JV''s-GAAP'!Y33</f>
        <v/>
      </c>
      <c r="AA33" s="9">
        <f>Y33-Z33</f>
        <v/>
      </c>
      <c r="AB33" s="117" t="n"/>
    </row>
    <row r="34" ht="13.2" customHeight="1">
      <c r="A34" s="302">
        <f>'JV''s-Ops'!A34</f>
        <v/>
      </c>
      <c r="B34" s="303">
        <f>'JV''s-Ops'!B34</f>
        <v/>
      </c>
      <c r="C34" s="303">
        <f>'JV''s-Ops'!C34</f>
        <v/>
      </c>
      <c r="D34" s="303">
        <f>'JV''s-Ops'!D34</f>
        <v/>
      </c>
      <c r="E34" s="302">
        <f>'JV''s-Ops'!E34</f>
        <v/>
      </c>
      <c r="F34" s="304">
        <f>'JV''s-Ops'!F34</f>
        <v/>
      </c>
      <c r="G34" s="21" t="n"/>
      <c r="H34" s="110">
        <f>'JV''s-Ops'!J34</f>
        <v/>
      </c>
      <c r="I34" s="110">
        <f>'JV''s-GAAP'!J34</f>
        <v/>
      </c>
      <c r="J34" s="110">
        <f>H34-I34</f>
        <v/>
      </c>
      <c r="K34" s="110">
        <f>'JV''s-Ops'!L34</f>
        <v/>
      </c>
      <c r="L34" s="143">
        <f>'JV''s-GAAP'!L34</f>
        <v/>
      </c>
      <c r="M34" s="143">
        <f>K34-L34</f>
        <v/>
      </c>
      <c r="N34" s="21" t="n"/>
      <c r="O34" s="143">
        <f>'JV''s-Ops'!Q34</f>
        <v/>
      </c>
      <c r="P34" s="143">
        <f>'JV''s-GAAP'!Q34</f>
        <v/>
      </c>
      <c r="Q34" s="169">
        <f>O34-P34</f>
        <v/>
      </c>
      <c r="R34" s="21" t="n"/>
      <c r="S34" s="11">
        <f>'JV''s-Ops'!W34</f>
        <v/>
      </c>
      <c r="T34" s="11">
        <f>'JV''s-GAAP'!W34</f>
        <v/>
      </c>
      <c r="U34" s="11">
        <f>S34-T34</f>
        <v/>
      </c>
      <c r="V34" s="8">
        <f>'JV''s-Ops'!X34</f>
        <v/>
      </c>
      <c r="W34" s="8">
        <f>'JV''s-GAAP'!X34</f>
        <v/>
      </c>
      <c r="X34" s="8">
        <f>V34-W34</f>
        <v/>
      </c>
      <c r="Y34" s="9">
        <f>'JV''s-Ops'!Y34</f>
        <v/>
      </c>
      <c r="Z34" s="9">
        <f>'JV''s-GAAP'!Y34</f>
        <v/>
      </c>
      <c r="AA34" s="9">
        <f>Y34-Z34</f>
        <v/>
      </c>
      <c r="AB34" s="117" t="n"/>
    </row>
    <row r="35" ht="13.2" customHeight="1">
      <c r="A35" s="302">
        <f>'JV''s-Ops'!A35</f>
        <v/>
      </c>
      <c r="B35" s="303">
        <f>'JV''s-Ops'!B35</f>
        <v/>
      </c>
      <c r="C35" s="303">
        <f>'JV''s-Ops'!C35</f>
        <v/>
      </c>
      <c r="D35" s="303">
        <f>'JV''s-Ops'!D35</f>
        <v/>
      </c>
      <c r="E35" s="302">
        <f>'JV''s-Ops'!E35</f>
        <v/>
      </c>
      <c r="F35" s="304">
        <f>'JV''s-Ops'!F35</f>
        <v/>
      </c>
      <c r="G35" s="21" t="n"/>
      <c r="H35" s="110">
        <f>'JV''s-Ops'!J35</f>
        <v/>
      </c>
      <c r="I35" s="110">
        <f>'JV''s-GAAP'!J35</f>
        <v/>
      </c>
      <c r="J35" s="110">
        <f>H35-I35</f>
        <v/>
      </c>
      <c r="K35" s="110">
        <f>'JV''s-Ops'!L35</f>
        <v/>
      </c>
      <c r="L35" s="143">
        <f>'JV''s-GAAP'!L35</f>
        <v/>
      </c>
      <c r="M35" s="143">
        <f>K35-L35</f>
        <v/>
      </c>
      <c r="N35" s="21" t="n"/>
      <c r="O35" s="143">
        <f>'JV''s-Ops'!Q35</f>
        <v/>
      </c>
      <c r="P35" s="143">
        <f>'JV''s-GAAP'!Q35</f>
        <v/>
      </c>
      <c r="Q35" s="169">
        <f>O35-P35</f>
        <v/>
      </c>
      <c r="R35" s="21" t="n"/>
      <c r="S35" s="11">
        <f>'JV''s-Ops'!W35</f>
        <v/>
      </c>
      <c r="T35" s="11">
        <f>'JV''s-GAAP'!W35</f>
        <v/>
      </c>
      <c r="U35" s="11">
        <f>S35-T35</f>
        <v/>
      </c>
      <c r="V35" s="8">
        <f>'JV''s-Ops'!X35</f>
        <v/>
      </c>
      <c r="W35" s="8">
        <f>'JV''s-GAAP'!X35</f>
        <v/>
      </c>
      <c r="X35" s="8">
        <f>V35-W35</f>
        <v/>
      </c>
      <c r="Y35" s="9">
        <f>'JV''s-Ops'!Y35</f>
        <v/>
      </c>
      <c r="Z35" s="9">
        <f>'JV''s-GAAP'!Y35</f>
        <v/>
      </c>
      <c r="AA35" s="9">
        <f>Y35-Z35</f>
        <v/>
      </c>
      <c r="AB35" s="117" t="n"/>
    </row>
    <row r="36" ht="13.2" customHeight="1">
      <c r="A36" s="302">
        <f>'JV''s-Ops'!A36</f>
        <v/>
      </c>
      <c r="B36" s="303">
        <f>'JV''s-Ops'!B36</f>
        <v/>
      </c>
      <c r="C36" s="303">
        <f>'JV''s-Ops'!C36</f>
        <v/>
      </c>
      <c r="D36" s="303">
        <f>'JV''s-Ops'!D36</f>
        <v/>
      </c>
      <c r="E36" s="302">
        <f>'JV''s-Ops'!E36</f>
        <v/>
      </c>
      <c r="F36" s="304">
        <f>'JV''s-Ops'!F36</f>
        <v/>
      </c>
      <c r="G36" s="21" t="n"/>
      <c r="H36" s="110">
        <f>'JV''s-Ops'!J36</f>
        <v/>
      </c>
      <c r="I36" s="110">
        <f>'JV''s-GAAP'!J36</f>
        <v/>
      </c>
      <c r="J36" s="110">
        <f>H36-I36</f>
        <v/>
      </c>
      <c r="K36" s="110">
        <f>'JV''s-Ops'!L36</f>
        <v/>
      </c>
      <c r="L36" s="143">
        <f>'JV''s-GAAP'!L36</f>
        <v/>
      </c>
      <c r="M36" s="143">
        <f>K36-L36</f>
        <v/>
      </c>
      <c r="N36" s="21" t="n"/>
      <c r="O36" s="143">
        <f>'JV''s-Ops'!Q36</f>
        <v/>
      </c>
      <c r="P36" s="143">
        <f>'JV''s-GAAP'!Q36</f>
        <v/>
      </c>
      <c r="Q36" s="169">
        <f>O36-P36</f>
        <v/>
      </c>
      <c r="R36" s="21" t="n"/>
      <c r="S36" s="11">
        <f>'JV''s-Ops'!W36</f>
        <v/>
      </c>
      <c r="T36" s="11">
        <f>'JV''s-GAAP'!W36</f>
        <v/>
      </c>
      <c r="U36" s="11">
        <f>S36-T36</f>
        <v/>
      </c>
      <c r="V36" s="8">
        <f>'JV''s-Ops'!X36</f>
        <v/>
      </c>
      <c r="W36" s="8">
        <f>'JV''s-GAAP'!X36</f>
        <v/>
      </c>
      <c r="X36" s="8">
        <f>V36-W36</f>
        <v/>
      </c>
      <c r="Y36" s="9">
        <f>'JV''s-Ops'!Y36</f>
        <v/>
      </c>
      <c r="Z36" s="9">
        <f>'JV''s-GAAP'!Y36</f>
        <v/>
      </c>
      <c r="AA36" s="9">
        <f>Y36-Z36</f>
        <v/>
      </c>
      <c r="AB36" s="117" t="n"/>
    </row>
    <row r="37" ht="13.2" customHeight="1">
      <c r="A37" s="302">
        <f>'JV''s-Ops'!A37</f>
        <v/>
      </c>
      <c r="B37" s="303">
        <f>'JV''s-Ops'!B37</f>
        <v/>
      </c>
      <c r="C37" s="303">
        <f>'JV''s-Ops'!C37</f>
        <v/>
      </c>
      <c r="D37" s="303">
        <f>'JV''s-Ops'!D37</f>
        <v/>
      </c>
      <c r="E37" s="302">
        <f>'JV''s-Ops'!E37</f>
        <v/>
      </c>
      <c r="F37" s="304">
        <f>'JV''s-Ops'!F37</f>
        <v/>
      </c>
      <c r="G37" s="21" t="n"/>
      <c r="H37" s="110">
        <f>'JV''s-Ops'!J37</f>
        <v/>
      </c>
      <c r="I37" s="110">
        <f>'JV''s-GAAP'!J37</f>
        <v/>
      </c>
      <c r="J37" s="110">
        <f>H37-I37</f>
        <v/>
      </c>
      <c r="K37" s="110">
        <f>'JV''s-Ops'!L37</f>
        <v/>
      </c>
      <c r="L37" s="143">
        <f>'JV''s-GAAP'!L37</f>
        <v/>
      </c>
      <c r="M37" s="143">
        <f>K37-L37</f>
        <v/>
      </c>
      <c r="N37" s="21" t="n"/>
      <c r="O37" s="143">
        <f>'JV''s-Ops'!Q37</f>
        <v/>
      </c>
      <c r="P37" s="143">
        <f>'JV''s-GAAP'!Q37</f>
        <v/>
      </c>
      <c r="Q37" s="169">
        <f>O37-P37</f>
        <v/>
      </c>
      <c r="R37" s="21" t="n"/>
      <c r="S37" s="11">
        <f>'JV''s-Ops'!W37</f>
        <v/>
      </c>
      <c r="T37" s="11">
        <f>'JV''s-GAAP'!W37</f>
        <v/>
      </c>
      <c r="U37" s="11">
        <f>S37-T37</f>
        <v/>
      </c>
      <c r="V37" s="8">
        <f>'JV''s-Ops'!X37</f>
        <v/>
      </c>
      <c r="W37" s="8">
        <f>'JV''s-GAAP'!X37</f>
        <v/>
      </c>
      <c r="X37" s="8">
        <f>V37-W37</f>
        <v/>
      </c>
      <c r="Y37" s="9">
        <f>'JV''s-Ops'!Y37</f>
        <v/>
      </c>
      <c r="Z37" s="9">
        <f>'JV''s-GAAP'!Y37</f>
        <v/>
      </c>
      <c r="AA37" s="9">
        <f>Y37-Z37</f>
        <v/>
      </c>
      <c r="AB37" s="117" t="n"/>
    </row>
    <row r="38" ht="13.2" customHeight="1">
      <c r="A38" s="302">
        <f>'JV''s-Ops'!A38</f>
        <v/>
      </c>
      <c r="B38" s="303">
        <f>'JV''s-Ops'!B38</f>
        <v/>
      </c>
      <c r="C38" s="303">
        <f>'JV''s-Ops'!C38</f>
        <v/>
      </c>
      <c r="D38" s="303">
        <f>'JV''s-Ops'!D38</f>
        <v/>
      </c>
      <c r="E38" s="302">
        <f>'JV''s-Ops'!E38</f>
        <v/>
      </c>
      <c r="F38" s="304">
        <f>'JV''s-Ops'!F38</f>
        <v/>
      </c>
      <c r="G38" s="21" t="n"/>
      <c r="H38" s="110">
        <f>'JV''s-Ops'!J38</f>
        <v/>
      </c>
      <c r="I38" s="110">
        <f>'JV''s-GAAP'!J38</f>
        <v/>
      </c>
      <c r="J38" s="110">
        <f>H38-I38</f>
        <v/>
      </c>
      <c r="K38" s="110">
        <f>'JV''s-Ops'!L38</f>
        <v/>
      </c>
      <c r="L38" s="143">
        <f>'JV''s-GAAP'!L38</f>
        <v/>
      </c>
      <c r="M38" s="143">
        <f>K38-L38</f>
        <v/>
      </c>
      <c r="N38" s="21" t="n"/>
      <c r="O38" s="143">
        <f>'JV''s-Ops'!Q38</f>
        <v/>
      </c>
      <c r="P38" s="143">
        <f>'JV''s-GAAP'!Q38</f>
        <v/>
      </c>
      <c r="Q38" s="169">
        <f>O38-P38</f>
        <v/>
      </c>
      <c r="R38" s="21" t="n"/>
      <c r="S38" s="11">
        <f>'JV''s-Ops'!W38</f>
        <v/>
      </c>
      <c r="T38" s="11">
        <f>'JV''s-GAAP'!W38</f>
        <v/>
      </c>
      <c r="U38" s="11">
        <f>S38-T38</f>
        <v/>
      </c>
      <c r="V38" s="8">
        <f>'JV''s-Ops'!X38</f>
        <v/>
      </c>
      <c r="W38" s="8">
        <f>'JV''s-GAAP'!X38</f>
        <v/>
      </c>
      <c r="X38" s="8">
        <f>V38-W38</f>
        <v/>
      </c>
      <c r="Y38" s="9">
        <f>'JV''s-Ops'!Y38</f>
        <v/>
      </c>
      <c r="Z38" s="9">
        <f>'JV''s-GAAP'!Y38</f>
        <v/>
      </c>
      <c r="AA38" s="9">
        <f>Y38-Z38</f>
        <v/>
      </c>
      <c r="AB38" s="117" t="n"/>
    </row>
    <row r="39" ht="13.2" customHeight="1">
      <c r="A39" s="302">
        <f>'JV''s-Ops'!A39</f>
        <v/>
      </c>
      <c r="B39" s="303">
        <f>'JV''s-Ops'!B39</f>
        <v/>
      </c>
      <c r="C39" s="303">
        <f>'JV''s-Ops'!C39</f>
        <v/>
      </c>
      <c r="D39" s="303">
        <f>'JV''s-Ops'!D39</f>
        <v/>
      </c>
      <c r="E39" s="302">
        <f>'JV''s-Ops'!E39</f>
        <v/>
      </c>
      <c r="F39" s="304">
        <f>'JV''s-Ops'!F39</f>
        <v/>
      </c>
      <c r="G39" s="21" t="n"/>
      <c r="H39" s="110">
        <f>'JV''s-Ops'!J39</f>
        <v/>
      </c>
      <c r="I39" s="110">
        <f>'JV''s-GAAP'!J39</f>
        <v/>
      </c>
      <c r="J39" s="110">
        <f>H39-I39</f>
        <v/>
      </c>
      <c r="K39" s="110">
        <f>'JV''s-Ops'!L39</f>
        <v/>
      </c>
      <c r="L39" s="143">
        <f>'JV''s-GAAP'!L39</f>
        <v/>
      </c>
      <c r="M39" s="143">
        <f>K39-L39</f>
        <v/>
      </c>
      <c r="N39" s="21" t="n"/>
      <c r="O39" s="143">
        <f>'JV''s-Ops'!Q39</f>
        <v/>
      </c>
      <c r="P39" s="143">
        <f>'JV''s-GAAP'!Q39</f>
        <v/>
      </c>
      <c r="Q39" s="169">
        <f>O39-P39</f>
        <v/>
      </c>
      <c r="R39" s="21" t="n"/>
      <c r="S39" s="11">
        <f>'JV''s-Ops'!W39</f>
        <v/>
      </c>
      <c r="T39" s="11">
        <f>'JV''s-GAAP'!W39</f>
        <v/>
      </c>
      <c r="U39" s="11">
        <f>S39-T39</f>
        <v/>
      </c>
      <c r="V39" s="8">
        <f>'JV''s-Ops'!X39</f>
        <v/>
      </c>
      <c r="W39" s="8">
        <f>'JV''s-GAAP'!X39</f>
        <v/>
      </c>
      <c r="X39" s="8">
        <f>V39-W39</f>
        <v/>
      </c>
      <c r="Y39" s="9">
        <f>'JV''s-Ops'!Y39</f>
        <v/>
      </c>
      <c r="Z39" s="9">
        <f>'JV''s-GAAP'!Y39</f>
        <v/>
      </c>
      <c r="AA39" s="9">
        <f>Y39-Z39</f>
        <v/>
      </c>
      <c r="AB39" s="117" t="n"/>
    </row>
    <row r="40" ht="13.2" customHeight="1">
      <c r="A40" s="302">
        <f>'JV''s-Ops'!A40</f>
        <v/>
      </c>
      <c r="B40" s="303">
        <f>'JV''s-Ops'!B40</f>
        <v/>
      </c>
      <c r="C40" s="303">
        <f>'JV''s-Ops'!C40</f>
        <v/>
      </c>
      <c r="D40" s="303">
        <f>'JV''s-Ops'!D40</f>
        <v/>
      </c>
      <c r="E40" s="302">
        <f>'JV''s-Ops'!E40</f>
        <v/>
      </c>
      <c r="F40" s="304">
        <f>'JV''s-Ops'!F40</f>
        <v/>
      </c>
      <c r="G40" s="21" t="n"/>
      <c r="H40" s="110">
        <f>'JV''s-Ops'!J40</f>
        <v/>
      </c>
      <c r="I40" s="110">
        <f>'JV''s-GAAP'!J40</f>
        <v/>
      </c>
      <c r="J40" s="110">
        <f>H40-I40</f>
        <v/>
      </c>
      <c r="K40" s="110">
        <f>'JV''s-Ops'!L40</f>
        <v/>
      </c>
      <c r="L40" s="143">
        <f>'JV''s-GAAP'!L40</f>
        <v/>
      </c>
      <c r="M40" s="143">
        <f>K40-L40</f>
        <v/>
      </c>
      <c r="N40" s="21" t="n"/>
      <c r="O40" s="143">
        <f>'JV''s-Ops'!Q40</f>
        <v/>
      </c>
      <c r="P40" s="143">
        <f>'JV''s-GAAP'!Q40</f>
        <v/>
      </c>
      <c r="Q40" s="169">
        <f>O40-P40</f>
        <v/>
      </c>
      <c r="R40" s="21" t="n"/>
      <c r="S40" s="11">
        <f>'JV''s-Ops'!W40</f>
        <v/>
      </c>
      <c r="T40" s="11">
        <f>'JV''s-GAAP'!W40</f>
        <v/>
      </c>
      <c r="U40" s="11">
        <f>S40-T40</f>
        <v/>
      </c>
      <c r="V40" s="8">
        <f>'JV''s-Ops'!X40</f>
        <v/>
      </c>
      <c r="W40" s="8">
        <f>'JV''s-GAAP'!X40</f>
        <v/>
      </c>
      <c r="X40" s="8">
        <f>V40-W40</f>
        <v/>
      </c>
      <c r="Y40" s="9">
        <f>'JV''s-Ops'!Y40</f>
        <v/>
      </c>
      <c r="Z40" s="9">
        <f>'JV''s-GAAP'!Y40</f>
        <v/>
      </c>
      <c r="AA40" s="9">
        <f>Y40-Z40</f>
        <v/>
      </c>
      <c r="AB40" s="117" t="n"/>
    </row>
    <row r="41" ht="13.2" customHeight="1">
      <c r="A41" s="302">
        <f>'JV''s-Ops'!A41</f>
        <v/>
      </c>
      <c r="B41" s="303">
        <f>'JV''s-Ops'!B41</f>
        <v/>
      </c>
      <c r="C41" s="303">
        <f>'JV''s-Ops'!C41</f>
        <v/>
      </c>
      <c r="D41" s="303">
        <f>'JV''s-Ops'!D41</f>
        <v/>
      </c>
      <c r="E41" s="302">
        <f>'JV''s-Ops'!E41</f>
        <v/>
      </c>
      <c r="F41" s="304">
        <f>'JV''s-Ops'!F41</f>
        <v/>
      </c>
      <c r="G41" s="21" t="n"/>
      <c r="H41" s="110">
        <f>'JV''s-Ops'!J41</f>
        <v/>
      </c>
      <c r="I41" s="110">
        <f>'JV''s-GAAP'!J41</f>
        <v/>
      </c>
      <c r="J41" s="110">
        <f>H41-I41</f>
        <v/>
      </c>
      <c r="K41" s="110">
        <f>'JV''s-Ops'!L41</f>
        <v/>
      </c>
      <c r="L41" s="143">
        <f>'JV''s-GAAP'!L41</f>
        <v/>
      </c>
      <c r="M41" s="143">
        <f>K41-L41</f>
        <v/>
      </c>
      <c r="N41" s="21" t="n"/>
      <c r="O41" s="143">
        <f>'JV''s-Ops'!Q41</f>
        <v/>
      </c>
      <c r="P41" s="143">
        <f>'JV''s-GAAP'!Q41</f>
        <v/>
      </c>
      <c r="Q41" s="169">
        <f>O41-P41</f>
        <v/>
      </c>
      <c r="R41" s="21" t="n"/>
      <c r="S41" s="11">
        <f>'JV''s-Ops'!W41</f>
        <v/>
      </c>
      <c r="T41" s="11">
        <f>'JV''s-GAAP'!W41</f>
        <v/>
      </c>
      <c r="U41" s="11">
        <f>S41-T41</f>
        <v/>
      </c>
      <c r="V41" s="8">
        <f>'JV''s-Ops'!X41</f>
        <v/>
      </c>
      <c r="W41" s="8">
        <f>'JV''s-GAAP'!X41</f>
        <v/>
      </c>
      <c r="X41" s="8">
        <f>V41-W41</f>
        <v/>
      </c>
      <c r="Y41" s="9">
        <f>'JV''s-Ops'!Y41</f>
        <v/>
      </c>
      <c r="Z41" s="9">
        <f>'JV''s-GAAP'!Y41</f>
        <v/>
      </c>
      <c r="AA41" s="9">
        <f>Y41-Z41</f>
        <v/>
      </c>
      <c r="AB41" s="117" t="n"/>
    </row>
    <row r="42" ht="13.2" customHeight="1">
      <c r="A42" s="302">
        <f>'JV''s-Ops'!A42</f>
        <v/>
      </c>
      <c r="B42" s="303">
        <f>'JV''s-Ops'!B42</f>
        <v/>
      </c>
      <c r="C42" s="303">
        <f>'JV''s-Ops'!C42</f>
        <v/>
      </c>
      <c r="D42" s="303">
        <f>'JV''s-Ops'!D42</f>
        <v/>
      </c>
      <c r="E42" s="302">
        <f>'JV''s-Ops'!E42</f>
        <v/>
      </c>
      <c r="F42" s="304">
        <f>'JV''s-Ops'!F42</f>
        <v/>
      </c>
      <c r="G42" s="21" t="n"/>
      <c r="H42" s="110">
        <f>'JV''s-Ops'!J42</f>
        <v/>
      </c>
      <c r="I42" s="110">
        <f>'JV''s-GAAP'!J42</f>
        <v/>
      </c>
      <c r="J42" s="110">
        <f>H42-I42</f>
        <v/>
      </c>
      <c r="K42" s="110">
        <f>'JV''s-Ops'!L42</f>
        <v/>
      </c>
      <c r="L42" s="143">
        <f>'JV''s-GAAP'!L42</f>
        <v/>
      </c>
      <c r="M42" s="143">
        <f>K42-L42</f>
        <v/>
      </c>
      <c r="N42" s="21" t="n"/>
      <c r="O42" s="143">
        <f>'JV''s-Ops'!Q42</f>
        <v/>
      </c>
      <c r="P42" s="143">
        <f>'JV''s-GAAP'!Q42</f>
        <v/>
      </c>
      <c r="Q42" s="169">
        <f>O42-P42</f>
        <v/>
      </c>
      <c r="R42" s="21" t="n"/>
      <c r="S42" s="11">
        <f>'JV''s-Ops'!W42</f>
        <v/>
      </c>
      <c r="T42" s="11">
        <f>'JV''s-GAAP'!W42</f>
        <v/>
      </c>
      <c r="U42" s="11">
        <f>S42-T42</f>
        <v/>
      </c>
      <c r="V42" s="8">
        <f>'JV''s-Ops'!X42</f>
        <v/>
      </c>
      <c r="W42" s="8">
        <f>'JV''s-GAAP'!X42</f>
        <v/>
      </c>
      <c r="X42" s="8">
        <f>V42-W42</f>
        <v/>
      </c>
      <c r="Y42" s="9">
        <f>'JV''s-Ops'!Y42</f>
        <v/>
      </c>
      <c r="Z42" s="9">
        <f>'JV''s-GAAP'!Y42</f>
        <v/>
      </c>
      <c r="AA42" s="9">
        <f>Y42-Z42</f>
        <v/>
      </c>
      <c r="AB42" s="117" t="n"/>
    </row>
    <row r="43" ht="13.2" customHeight="1">
      <c r="A43" s="302">
        <f>'JV''s-Ops'!A43</f>
        <v/>
      </c>
      <c r="B43" s="303">
        <f>'JV''s-Ops'!B43</f>
        <v/>
      </c>
      <c r="C43" s="303">
        <f>'JV''s-Ops'!C43</f>
        <v/>
      </c>
      <c r="D43" s="303">
        <f>'JV''s-Ops'!D43</f>
        <v/>
      </c>
      <c r="E43" s="302">
        <f>'JV''s-Ops'!E43</f>
        <v/>
      </c>
      <c r="F43" s="304">
        <f>'JV''s-Ops'!F43</f>
        <v/>
      </c>
      <c r="G43" s="21" t="n"/>
      <c r="H43" s="110">
        <f>'JV''s-Ops'!J43</f>
        <v/>
      </c>
      <c r="I43" s="110">
        <f>'JV''s-GAAP'!J43</f>
        <v/>
      </c>
      <c r="J43" s="110">
        <f>H43-I43</f>
        <v/>
      </c>
      <c r="K43" s="110">
        <f>'JV''s-Ops'!L43</f>
        <v/>
      </c>
      <c r="L43" s="143">
        <f>'JV''s-GAAP'!L43</f>
        <v/>
      </c>
      <c r="M43" s="143">
        <f>K43-L43</f>
        <v/>
      </c>
      <c r="N43" s="21" t="n"/>
      <c r="O43" s="143">
        <f>'JV''s-Ops'!Q43</f>
        <v/>
      </c>
      <c r="P43" s="143">
        <f>'JV''s-GAAP'!Q43</f>
        <v/>
      </c>
      <c r="Q43" s="169">
        <f>O43-P43</f>
        <v/>
      </c>
      <c r="R43" s="21" t="n"/>
      <c r="S43" s="11">
        <f>'JV''s-Ops'!W43</f>
        <v/>
      </c>
      <c r="T43" s="11">
        <f>'JV''s-GAAP'!W43</f>
        <v/>
      </c>
      <c r="U43" s="11">
        <f>S43-T43</f>
        <v/>
      </c>
      <c r="V43" s="8">
        <f>'JV''s-Ops'!X43</f>
        <v/>
      </c>
      <c r="W43" s="8">
        <f>'JV''s-GAAP'!X43</f>
        <v/>
      </c>
      <c r="X43" s="8">
        <f>V43-W43</f>
        <v/>
      </c>
      <c r="Y43" s="9">
        <f>'JV''s-Ops'!Y43</f>
        <v/>
      </c>
      <c r="Z43" s="9">
        <f>'JV''s-GAAP'!Y43</f>
        <v/>
      </c>
      <c r="AA43" s="9">
        <f>Y43-Z43</f>
        <v/>
      </c>
      <c r="AB43" s="117" t="n"/>
    </row>
    <row r="44" ht="13.2" customHeight="1">
      <c r="A44" s="302">
        <f>'JV''s-Ops'!A44</f>
        <v/>
      </c>
      <c r="B44" s="303">
        <f>'JV''s-Ops'!B44</f>
        <v/>
      </c>
      <c r="C44" s="303">
        <f>'JV''s-Ops'!C44</f>
        <v/>
      </c>
      <c r="D44" s="303">
        <f>'JV''s-Ops'!D44</f>
        <v/>
      </c>
      <c r="E44" s="302">
        <f>'JV''s-Ops'!E44</f>
        <v/>
      </c>
      <c r="F44" s="304">
        <f>'JV''s-Ops'!F44</f>
        <v/>
      </c>
      <c r="G44" s="21" t="n"/>
      <c r="H44" s="110">
        <f>'JV''s-Ops'!J44</f>
        <v/>
      </c>
      <c r="I44" s="110">
        <f>'JV''s-GAAP'!J44</f>
        <v/>
      </c>
      <c r="J44" s="110">
        <f>H44-I44</f>
        <v/>
      </c>
      <c r="K44" s="110">
        <f>'JV''s-Ops'!L44</f>
        <v/>
      </c>
      <c r="L44" s="143">
        <f>'JV''s-GAAP'!L44</f>
        <v/>
      </c>
      <c r="M44" s="143">
        <f>K44-L44</f>
        <v/>
      </c>
      <c r="N44" s="21" t="n"/>
      <c r="O44" s="143">
        <f>'JV''s-Ops'!Q44</f>
        <v/>
      </c>
      <c r="P44" s="143">
        <f>'JV''s-GAAP'!Q44</f>
        <v/>
      </c>
      <c r="Q44" s="169">
        <f>O44-P44</f>
        <v/>
      </c>
      <c r="R44" s="21" t="n"/>
      <c r="S44" s="11">
        <f>'JV''s-Ops'!W44</f>
        <v/>
      </c>
      <c r="T44" s="11">
        <f>'JV''s-GAAP'!W44</f>
        <v/>
      </c>
      <c r="U44" s="11">
        <f>S44-T44</f>
        <v/>
      </c>
      <c r="V44" s="8">
        <f>'JV''s-Ops'!X44</f>
        <v/>
      </c>
      <c r="W44" s="8">
        <f>'JV''s-GAAP'!X44</f>
        <v/>
      </c>
      <c r="X44" s="8">
        <f>V44-W44</f>
        <v/>
      </c>
      <c r="Y44" s="9">
        <f>'JV''s-Ops'!Y44</f>
        <v/>
      </c>
      <c r="Z44" s="9">
        <f>'JV''s-GAAP'!Y44</f>
        <v/>
      </c>
      <c r="AA44" s="9">
        <f>Y44-Z44</f>
        <v/>
      </c>
      <c r="AB44" s="117" t="n"/>
    </row>
    <row r="45" ht="13.2" customHeight="1">
      <c r="A45" s="302">
        <f>'JV''s-Ops'!A45</f>
        <v/>
      </c>
      <c r="B45" s="303">
        <f>'JV''s-Ops'!B45</f>
        <v/>
      </c>
      <c r="C45" s="303">
        <f>'JV''s-Ops'!C45</f>
        <v/>
      </c>
      <c r="D45" s="303">
        <f>'JV''s-Ops'!D45</f>
        <v/>
      </c>
      <c r="E45" s="302">
        <f>'JV''s-Ops'!E45</f>
        <v/>
      </c>
      <c r="F45" s="304">
        <f>'JV''s-Ops'!F45</f>
        <v/>
      </c>
      <c r="G45" s="21" t="n"/>
      <c r="H45" s="110">
        <f>'JV''s-Ops'!J45</f>
        <v/>
      </c>
      <c r="I45" s="110">
        <f>'JV''s-GAAP'!J45</f>
        <v/>
      </c>
      <c r="J45" s="110">
        <f>H45-I45</f>
        <v/>
      </c>
      <c r="K45" s="110">
        <f>'JV''s-Ops'!L45</f>
        <v/>
      </c>
      <c r="L45" s="143">
        <f>'JV''s-GAAP'!L45</f>
        <v/>
      </c>
      <c r="M45" s="143">
        <f>K45-L45</f>
        <v/>
      </c>
      <c r="N45" s="21" t="n"/>
      <c r="O45" s="143">
        <f>'JV''s-Ops'!Q45</f>
        <v/>
      </c>
      <c r="P45" s="143">
        <f>'JV''s-GAAP'!Q45</f>
        <v/>
      </c>
      <c r="Q45" s="169">
        <f>O45-P45</f>
        <v/>
      </c>
      <c r="R45" s="21" t="n"/>
      <c r="S45" s="11">
        <f>'JV''s-Ops'!W45</f>
        <v/>
      </c>
      <c r="T45" s="11">
        <f>'JV''s-GAAP'!W45</f>
        <v/>
      </c>
      <c r="U45" s="11">
        <f>S45-T45</f>
        <v/>
      </c>
      <c r="V45" s="8">
        <f>'JV''s-Ops'!X45</f>
        <v/>
      </c>
      <c r="W45" s="8">
        <f>'JV''s-GAAP'!X45</f>
        <v/>
      </c>
      <c r="X45" s="8">
        <f>V45-W45</f>
        <v/>
      </c>
      <c r="Y45" s="9">
        <f>'JV''s-Ops'!Y45</f>
        <v/>
      </c>
      <c r="Z45" s="9">
        <f>'JV''s-GAAP'!Y45</f>
        <v/>
      </c>
      <c r="AA45" s="9">
        <f>Y45-Z45</f>
        <v/>
      </c>
      <c r="AB45" s="117" t="n"/>
    </row>
    <row r="46" ht="13.2" customHeight="1">
      <c r="A46" s="302">
        <f>'JV''s-Ops'!A46</f>
        <v/>
      </c>
      <c r="B46" s="303">
        <f>'JV''s-Ops'!B46</f>
        <v/>
      </c>
      <c r="C46" s="303">
        <f>'JV''s-Ops'!C46</f>
        <v/>
      </c>
      <c r="D46" s="303">
        <f>'JV''s-Ops'!D46</f>
        <v/>
      </c>
      <c r="E46" s="302">
        <f>'JV''s-Ops'!E46</f>
        <v/>
      </c>
      <c r="F46" s="304">
        <f>'JV''s-Ops'!F46</f>
        <v/>
      </c>
      <c r="G46" s="21" t="n"/>
      <c r="H46" s="110">
        <f>'JV''s-Ops'!J46</f>
        <v/>
      </c>
      <c r="I46" s="110">
        <f>'JV''s-GAAP'!J46</f>
        <v/>
      </c>
      <c r="J46" s="110">
        <f>H46-I46</f>
        <v/>
      </c>
      <c r="K46" s="110">
        <f>'JV''s-Ops'!L46</f>
        <v/>
      </c>
      <c r="L46" s="143">
        <f>'JV''s-GAAP'!L46</f>
        <v/>
      </c>
      <c r="M46" s="143">
        <f>K46-L46</f>
        <v/>
      </c>
      <c r="N46" s="21" t="n"/>
      <c r="O46" s="143">
        <f>'JV''s-Ops'!Q46</f>
        <v/>
      </c>
      <c r="P46" s="143">
        <f>'JV''s-GAAP'!Q46</f>
        <v/>
      </c>
      <c r="Q46" s="169">
        <f>O46-P46</f>
        <v/>
      </c>
      <c r="R46" s="21" t="n"/>
      <c r="S46" s="11">
        <f>'JV''s-Ops'!W46</f>
        <v/>
      </c>
      <c r="T46" s="11">
        <f>'JV''s-GAAP'!W46</f>
        <v/>
      </c>
      <c r="U46" s="11">
        <f>S46-T46</f>
        <v/>
      </c>
      <c r="V46" s="8">
        <f>'JV''s-Ops'!X46</f>
        <v/>
      </c>
      <c r="W46" s="8">
        <f>'JV''s-GAAP'!X46</f>
        <v/>
      </c>
      <c r="X46" s="8">
        <f>V46-W46</f>
        <v/>
      </c>
      <c r="Y46" s="9">
        <f>'JV''s-Ops'!Y46</f>
        <v/>
      </c>
      <c r="Z46" s="9">
        <f>'JV''s-GAAP'!Y46</f>
        <v/>
      </c>
      <c r="AA46" s="9">
        <f>Y46-Z46</f>
        <v/>
      </c>
      <c r="AB46" s="117" t="n"/>
    </row>
    <row r="47" ht="13.2" customHeight="1">
      <c r="A47" s="302">
        <f>'JV''s-Ops'!A47</f>
        <v/>
      </c>
      <c r="B47" s="303">
        <f>'JV''s-Ops'!B47</f>
        <v/>
      </c>
      <c r="C47" s="303">
        <f>'JV''s-Ops'!C47</f>
        <v/>
      </c>
      <c r="D47" s="303">
        <f>'JV''s-Ops'!D47</f>
        <v/>
      </c>
      <c r="E47" s="302">
        <f>'JV''s-Ops'!E47</f>
        <v/>
      </c>
      <c r="F47" s="304">
        <f>'JV''s-Ops'!F47</f>
        <v/>
      </c>
      <c r="G47" s="21" t="n"/>
      <c r="H47" s="110">
        <f>'JV''s-Ops'!J47</f>
        <v/>
      </c>
      <c r="I47" s="110">
        <f>'JV''s-GAAP'!J47</f>
        <v/>
      </c>
      <c r="J47" s="110">
        <f>H47-I47</f>
        <v/>
      </c>
      <c r="K47" s="110">
        <f>'JV''s-Ops'!L47</f>
        <v/>
      </c>
      <c r="L47" s="143">
        <f>'JV''s-GAAP'!L47</f>
        <v/>
      </c>
      <c r="M47" s="143">
        <f>K47-L47</f>
        <v/>
      </c>
      <c r="N47" s="21" t="n"/>
      <c r="O47" s="143">
        <f>'JV''s-Ops'!Q47</f>
        <v/>
      </c>
      <c r="P47" s="143">
        <f>'JV''s-GAAP'!Q47</f>
        <v/>
      </c>
      <c r="Q47" s="169">
        <f>O47-P47</f>
        <v/>
      </c>
      <c r="R47" s="21" t="n"/>
      <c r="S47" s="11">
        <f>'JV''s-Ops'!W47</f>
        <v/>
      </c>
      <c r="T47" s="11">
        <f>'JV''s-GAAP'!W47</f>
        <v/>
      </c>
      <c r="U47" s="11">
        <f>S47-T47</f>
        <v/>
      </c>
      <c r="V47" s="8">
        <f>'JV''s-Ops'!X47</f>
        <v/>
      </c>
      <c r="W47" s="8">
        <f>'JV''s-GAAP'!X47</f>
        <v/>
      </c>
      <c r="X47" s="8">
        <f>V47-W47</f>
        <v/>
      </c>
      <c r="Y47" s="9">
        <f>'JV''s-Ops'!Y47</f>
        <v/>
      </c>
      <c r="Z47" s="9">
        <f>'JV''s-GAAP'!Y47</f>
        <v/>
      </c>
      <c r="AA47" s="9">
        <f>Y47-Z47</f>
        <v/>
      </c>
      <c r="AB47" s="117" t="n"/>
    </row>
    <row r="48" ht="13.2" customHeight="1">
      <c r="A48" s="302">
        <f>'JV''s-Ops'!A48</f>
        <v/>
      </c>
      <c r="B48" s="303">
        <f>'JV''s-Ops'!B48</f>
        <v/>
      </c>
      <c r="C48" s="303">
        <f>'JV''s-Ops'!C48</f>
        <v/>
      </c>
      <c r="D48" s="303">
        <f>'JV''s-Ops'!D48</f>
        <v/>
      </c>
      <c r="E48" s="302">
        <f>'JV''s-Ops'!E48</f>
        <v/>
      </c>
      <c r="F48" s="304">
        <f>'JV''s-Ops'!F48</f>
        <v/>
      </c>
      <c r="G48" s="21" t="n"/>
      <c r="H48" s="110">
        <f>'JV''s-Ops'!J48</f>
        <v/>
      </c>
      <c r="I48" s="110">
        <f>'JV''s-GAAP'!J48</f>
        <v/>
      </c>
      <c r="J48" s="110">
        <f>H48-I48</f>
        <v/>
      </c>
      <c r="K48" s="110">
        <f>'JV''s-Ops'!L48</f>
        <v/>
      </c>
      <c r="L48" s="143">
        <f>'JV''s-GAAP'!L48</f>
        <v/>
      </c>
      <c r="M48" s="143">
        <f>K48-L48</f>
        <v/>
      </c>
      <c r="N48" s="21" t="n"/>
      <c r="O48" s="143">
        <f>'JV''s-Ops'!Q48</f>
        <v/>
      </c>
      <c r="P48" s="143">
        <f>'JV''s-GAAP'!Q48</f>
        <v/>
      </c>
      <c r="Q48" s="169">
        <f>O48-P48</f>
        <v/>
      </c>
      <c r="R48" s="21" t="n"/>
      <c r="S48" s="11">
        <f>'JV''s-Ops'!W48</f>
        <v/>
      </c>
      <c r="T48" s="11">
        <f>'JV''s-GAAP'!W48</f>
        <v/>
      </c>
      <c r="U48" s="11">
        <f>S48-T48</f>
        <v/>
      </c>
      <c r="V48" s="8">
        <f>'JV''s-Ops'!X48</f>
        <v/>
      </c>
      <c r="W48" s="8">
        <f>'JV''s-GAAP'!X48</f>
        <v/>
      </c>
      <c r="X48" s="8">
        <f>V48-W48</f>
        <v/>
      </c>
      <c r="Y48" s="9">
        <f>'JV''s-Ops'!Y48</f>
        <v/>
      </c>
      <c r="Z48" s="9">
        <f>'JV''s-GAAP'!Y48</f>
        <v/>
      </c>
      <c r="AA48" s="9">
        <f>Y48-Z48</f>
        <v/>
      </c>
      <c r="AB48" s="117" t="n"/>
    </row>
    <row r="49" ht="13.2" customHeight="1">
      <c r="A49" s="302">
        <f>'JV''s-Ops'!A49</f>
        <v/>
      </c>
      <c r="B49" s="303">
        <f>'JV''s-Ops'!B49</f>
        <v/>
      </c>
      <c r="C49" s="303">
        <f>'JV''s-Ops'!C49</f>
        <v/>
      </c>
      <c r="D49" s="303">
        <f>'JV''s-Ops'!D49</f>
        <v/>
      </c>
      <c r="E49" s="302">
        <f>'JV''s-Ops'!E49</f>
        <v/>
      </c>
      <c r="F49" s="304">
        <f>'JV''s-Ops'!F49</f>
        <v/>
      </c>
      <c r="G49" s="21" t="n"/>
      <c r="H49" s="110">
        <f>'JV''s-Ops'!J49</f>
        <v/>
      </c>
      <c r="I49" s="110">
        <f>'JV''s-GAAP'!J49</f>
        <v/>
      </c>
      <c r="J49" s="110">
        <f>H49-I49</f>
        <v/>
      </c>
      <c r="K49" s="110">
        <f>'JV''s-Ops'!L49</f>
        <v/>
      </c>
      <c r="L49" s="143">
        <f>'JV''s-GAAP'!L49</f>
        <v/>
      </c>
      <c r="M49" s="143">
        <f>K49-L49</f>
        <v/>
      </c>
      <c r="N49" s="21" t="n"/>
      <c r="O49" s="143">
        <f>'JV''s-Ops'!Q49</f>
        <v/>
      </c>
      <c r="P49" s="143">
        <f>'JV''s-GAAP'!Q49</f>
        <v/>
      </c>
      <c r="Q49" s="169">
        <f>O49-P49</f>
        <v/>
      </c>
      <c r="R49" s="21" t="n"/>
      <c r="S49" s="11">
        <f>'JV''s-Ops'!W49</f>
        <v/>
      </c>
      <c r="T49" s="11">
        <f>'JV''s-GAAP'!W49</f>
        <v/>
      </c>
      <c r="U49" s="11">
        <f>S49-T49</f>
        <v/>
      </c>
      <c r="V49" s="8">
        <f>'JV''s-Ops'!X49</f>
        <v/>
      </c>
      <c r="W49" s="8">
        <f>'JV''s-GAAP'!X49</f>
        <v/>
      </c>
      <c r="X49" s="8">
        <f>V49-W49</f>
        <v/>
      </c>
      <c r="Y49" s="9">
        <f>'JV''s-Ops'!Y49</f>
        <v/>
      </c>
      <c r="Z49" s="9">
        <f>'JV''s-GAAP'!Y49</f>
        <v/>
      </c>
      <c r="AA49" s="9">
        <f>Y49-Z49</f>
        <v/>
      </c>
      <c r="AB49" s="117" t="n"/>
    </row>
    <row r="50" ht="13.2" customHeight="1">
      <c r="A50" s="161" t="n"/>
      <c r="B50" s="162" t="n"/>
      <c r="C50" s="162" t="n"/>
      <c r="D50" s="162" t="n"/>
      <c r="E50" s="161" t="n"/>
      <c r="F50" s="163" t="n"/>
      <c r="G50" s="21" t="n"/>
      <c r="H50" s="110" t="n"/>
      <c r="I50" s="110" t="n"/>
      <c r="J50" s="110" t="n"/>
      <c r="K50" s="110" t="n"/>
      <c r="L50" s="143" t="n"/>
      <c r="M50" s="143" t="n"/>
      <c r="N50" s="21" t="n"/>
      <c r="O50" s="143" t="n"/>
      <c r="P50" s="143" t="n"/>
      <c r="Q50" s="164" t="n"/>
      <c r="R50" s="21" t="n"/>
      <c r="S50" s="11" t="n"/>
      <c r="T50" s="11" t="n"/>
      <c r="U50" s="11" t="n"/>
      <c r="V50" s="8" t="n"/>
      <c r="W50" s="8" t="n"/>
      <c r="X50" s="8" t="n"/>
      <c r="Y50" s="9" t="n"/>
      <c r="Z50" s="9" t="n"/>
      <c r="AA50" s="9" t="n"/>
      <c r="AB50" s="117" t="n"/>
    </row>
    <row r="51" ht="13.2" customHeight="1">
      <c r="B51" s="28" t="n"/>
      <c r="C51" s="28" t="n"/>
      <c r="D51" s="28" t="n"/>
      <c r="F51" s="170" t="n"/>
    </row>
    <row r="52">
      <c r="B52" s="28" t="n"/>
      <c r="C52" s="28" t="n"/>
      <c r="D52" s="28" t="n"/>
    </row>
    <row r="53" ht="13.2" customHeight="1">
      <c r="A53" s="1" t="n"/>
      <c r="B53" s="29" t="n"/>
      <c r="C53" s="29" t="n"/>
      <c r="D53" s="29" t="n"/>
      <c r="E53" s="1" t="n"/>
      <c r="F53" s="1" t="n"/>
      <c r="G53" s="1" t="n"/>
    </row>
    <row r="54" ht="13.2" customHeight="1">
      <c r="B54" s="28" t="n"/>
      <c r="C54" s="28" t="n"/>
      <c r="D54" s="28" t="n"/>
    </row>
    <row r="55" ht="13.2" customHeight="1">
      <c r="B55" s="28" t="n"/>
      <c r="C55" s="28" t="n"/>
      <c r="D55" s="28" t="n"/>
    </row>
    <row r="56">
      <c r="B56" s="28" t="n"/>
      <c r="C56" s="28" t="n"/>
      <c r="D56" s="28" t="n"/>
    </row>
    <row r="57" ht="13.2" customHeight="1">
      <c r="A57" s="1" t="n"/>
      <c r="B57" s="28" t="n"/>
      <c r="C57" s="28" t="n"/>
      <c r="D57" s="28" t="n"/>
    </row>
    <row r="58" ht="13.2" customHeight="1">
      <c r="B58" s="28" t="n"/>
      <c r="C58" s="28" t="n"/>
      <c r="D58" s="28" t="n"/>
    </row>
    <row r="59" ht="13.2" customHeight="1">
      <c r="B59" s="28" t="n"/>
      <c r="C59" s="28" t="n"/>
      <c r="D59" s="28" t="n"/>
    </row>
    <row r="60">
      <c r="B60" s="28" t="n"/>
      <c r="C60" s="28" t="n"/>
      <c r="D60" s="28" t="n"/>
    </row>
    <row r="61" ht="13.2" customHeight="1">
      <c r="B61" s="28" t="n"/>
      <c r="C61" s="28" t="n"/>
      <c r="D61" s="28" t="n"/>
    </row>
    <row r="62" ht="13.2" customHeight="1">
      <c r="B62" s="28" t="n"/>
      <c r="C62" s="28" t="n"/>
      <c r="D62" s="28" t="n"/>
    </row>
    <row r="63" ht="13.2" customHeight="1">
      <c r="B63" s="28" t="n"/>
      <c r="C63" s="28" t="n"/>
      <c r="D63" s="28" t="n"/>
    </row>
    <row r="64">
      <c r="B64" s="28" t="n"/>
      <c r="C64" s="28" t="n"/>
      <c r="D64" s="28" t="n"/>
    </row>
    <row r="65" ht="13.2" customHeight="1">
      <c r="B65" s="28" t="n"/>
      <c r="C65" s="28" t="n"/>
      <c r="D65" s="28" t="n"/>
    </row>
    <row r="66" ht="13.2" customHeight="1">
      <c r="B66" s="28" t="n"/>
      <c r="C66" s="28" t="n"/>
      <c r="D66" s="28" t="n"/>
    </row>
    <row r="67" ht="13.2" customHeight="1">
      <c r="B67" s="28" t="n"/>
      <c r="C67" s="28" t="n"/>
      <c r="D67" s="28" t="n"/>
    </row>
    <row r="68">
      <c r="B68" s="28" t="n"/>
      <c r="C68" s="28" t="n"/>
      <c r="D68" s="28" t="n"/>
    </row>
    <row r="69" ht="13.2" customHeight="1">
      <c r="B69" s="28" t="n"/>
      <c r="C69" s="28" t="n"/>
      <c r="D69" s="28" t="n"/>
    </row>
    <row r="70" ht="13.2" customHeight="1">
      <c r="B70" s="28" t="n"/>
      <c r="C70" s="28" t="n"/>
      <c r="D70" s="28" t="n"/>
    </row>
    <row r="71" ht="13.2" customHeight="1">
      <c r="B71" s="28" t="n"/>
      <c r="C71" s="28" t="n"/>
      <c r="D71" s="28" t="n"/>
    </row>
    <row r="72">
      <c r="B72" s="28" t="n"/>
      <c r="C72" s="28" t="n"/>
      <c r="D72" s="28" t="n"/>
    </row>
    <row r="73" ht="13.2" customHeight="1">
      <c r="B73" s="28" t="n"/>
      <c r="C73" s="28" t="n"/>
      <c r="D73" s="28" t="n"/>
    </row>
    <row r="74" ht="13.2" customHeight="1">
      <c r="B74" s="28" t="n"/>
      <c r="C74" s="28" t="n"/>
      <c r="D74" s="28" t="n"/>
    </row>
    <row r="75" ht="13.2" customHeight="1">
      <c r="B75" s="28" t="n"/>
      <c r="C75" s="28" t="n"/>
      <c r="D75" s="28" t="n"/>
    </row>
    <row r="76">
      <c r="B76" s="28" t="n"/>
      <c r="C76" s="28" t="n"/>
      <c r="D76" s="28" t="n"/>
    </row>
    <row r="77" ht="13.2" customHeight="1">
      <c r="B77" s="28" t="n"/>
      <c r="C77" s="28" t="n"/>
      <c r="D77" s="28" t="n"/>
    </row>
    <row r="78" ht="13.2" customHeight="1">
      <c r="B78" s="28" t="n"/>
      <c r="C78" s="28" t="n"/>
      <c r="D78" s="28" t="n"/>
    </row>
    <row r="79" ht="13.2" customHeight="1">
      <c r="B79" s="28" t="n"/>
      <c r="C79" s="28" t="n"/>
      <c r="D79" s="28" t="n"/>
    </row>
    <row r="80">
      <c r="B80" s="28" t="n"/>
      <c r="C80" s="28" t="n"/>
      <c r="D80" s="28" t="n"/>
    </row>
    <row r="81" ht="13.2" customHeight="1">
      <c r="B81" s="28" t="n"/>
      <c r="C81" s="28" t="n"/>
      <c r="D81" s="28" t="n"/>
    </row>
    <row r="82" ht="13.2" customHeight="1">
      <c r="B82" s="28" t="n"/>
      <c r="C82" s="28" t="n"/>
      <c r="D82" s="28" t="n"/>
    </row>
    <row r="83" ht="13.2" customHeight="1">
      <c r="B83" s="28" t="n"/>
      <c r="C83" s="28" t="n"/>
      <c r="D83" s="28" t="n"/>
    </row>
    <row r="84">
      <c r="B84" s="28" t="n"/>
      <c r="C84" s="28" t="n"/>
      <c r="D84" s="28" t="n"/>
    </row>
    <row r="85" ht="13.2" customHeight="1">
      <c r="B85" s="28" t="n"/>
      <c r="C85" s="28" t="n"/>
      <c r="D85" s="28" t="n"/>
    </row>
    <row r="86" ht="13.2" customHeight="1">
      <c r="B86" s="28" t="n"/>
      <c r="C86" s="28" t="n"/>
      <c r="D86" s="28" t="n"/>
    </row>
    <row r="87" ht="13.2" customHeight="1">
      <c r="B87" s="28" t="n"/>
      <c r="C87" s="28" t="n"/>
      <c r="D87" s="28" t="n"/>
    </row>
    <row r="88">
      <c r="B88" s="28" t="n"/>
      <c r="C88" s="28" t="n"/>
      <c r="D88" s="28" t="n"/>
    </row>
    <row r="89" ht="13.2" customHeight="1">
      <c r="B89" s="28" t="n"/>
      <c r="C89" s="28" t="n"/>
      <c r="D89" s="28" t="n"/>
    </row>
    <row r="90" ht="13.2" customHeight="1">
      <c r="B90" s="28" t="n"/>
      <c r="C90" s="28" t="n"/>
      <c r="D90" s="28" t="n"/>
    </row>
    <row r="91" ht="13.2" customHeight="1">
      <c r="B91" s="28" t="n"/>
      <c r="C91" s="28" t="n"/>
      <c r="D91" s="28" t="n"/>
    </row>
    <row r="92">
      <c r="B92" s="28" t="n"/>
      <c r="C92" s="28" t="n"/>
      <c r="D92" s="28" t="n"/>
    </row>
    <row r="93" ht="13.2" customHeight="1">
      <c r="B93" s="28" t="n"/>
      <c r="C93" s="28" t="n"/>
      <c r="D93" s="28" t="n"/>
    </row>
    <row r="94" ht="13.2" customHeight="1">
      <c r="B94" s="28" t="n"/>
      <c r="C94" s="28" t="n"/>
      <c r="D94" s="28" t="n"/>
    </row>
    <row r="95" ht="13.2" customHeight="1">
      <c r="B95" s="28" t="n"/>
      <c r="C95" s="28" t="n"/>
      <c r="D95" s="28" t="n"/>
    </row>
    <row r="96">
      <c r="B96" s="28" t="n"/>
      <c r="C96" s="28" t="n"/>
      <c r="D96" s="28" t="n"/>
    </row>
    <row r="97" ht="13.2" customHeight="1">
      <c r="B97" s="28" t="n"/>
      <c r="C97" s="28" t="n"/>
      <c r="D97" s="28" t="n"/>
    </row>
    <row r="98" ht="13.2" customHeight="1">
      <c r="B98" s="28" t="n"/>
      <c r="C98" s="28" t="n"/>
      <c r="D98" s="28" t="n"/>
    </row>
    <row r="99" ht="13.2" customHeight="1">
      <c r="B99" s="28" t="n"/>
      <c r="C99" s="28" t="n"/>
      <c r="D99" s="28" t="n"/>
    </row>
    <row r="100">
      <c r="B100" s="28" t="n"/>
      <c r="C100" s="28" t="n"/>
      <c r="D100" s="28" t="n"/>
    </row>
    <row r="101" ht="13.2" customHeight="1">
      <c r="B101" s="28" t="n"/>
      <c r="C101" s="28" t="n"/>
      <c r="D101" s="28" t="n"/>
    </row>
    <row r="102" ht="13.2" customHeight="1">
      <c r="B102" s="28" t="n"/>
      <c r="C102" s="28" t="n"/>
      <c r="D102" s="28" t="n"/>
    </row>
    <row r="103" ht="13.2" customHeight="1">
      <c r="B103" s="28" t="n"/>
      <c r="C103" s="28" t="n"/>
      <c r="D103" s="28" t="n"/>
    </row>
    <row r="104">
      <c r="B104" s="28" t="n"/>
      <c r="C104" s="28" t="n"/>
      <c r="D104" s="28" t="n"/>
    </row>
    <row r="105" ht="13.2" customHeight="1">
      <c r="B105" s="28" t="n"/>
      <c r="C105" s="28" t="n"/>
      <c r="D105" s="28" t="n"/>
    </row>
    <row r="106" ht="13.2" customHeight="1">
      <c r="B106" s="28" t="n"/>
      <c r="C106" s="28" t="n"/>
      <c r="D106" s="28" t="n"/>
    </row>
    <row r="107" ht="13.2" customHeight="1">
      <c r="B107" s="28" t="n"/>
      <c r="C107" s="28" t="n"/>
      <c r="D107" s="28" t="n"/>
    </row>
    <row r="108">
      <c r="B108" s="28" t="n"/>
      <c r="C108" s="28" t="n"/>
      <c r="D108" s="28" t="n"/>
    </row>
    <row r="109" ht="13.2" customHeight="1">
      <c r="B109" s="28" t="n"/>
      <c r="C109" s="28" t="n"/>
      <c r="D109" s="28" t="n"/>
    </row>
    <row r="110" ht="13.2" customHeight="1">
      <c r="B110" s="28" t="n"/>
      <c r="C110" s="28" t="n"/>
      <c r="D110" s="28" t="n"/>
    </row>
    <row r="111" ht="13.2" customHeight="1">
      <c r="B111" s="28" t="n"/>
      <c r="C111" s="28" t="n"/>
      <c r="D111" s="28" t="n"/>
    </row>
    <row r="112">
      <c r="B112" s="28" t="n"/>
      <c r="C112" s="28" t="n"/>
      <c r="D112" s="28" t="n"/>
    </row>
    <row r="113" ht="13.2" customHeight="1">
      <c r="B113" s="28" t="n"/>
      <c r="C113" s="28" t="n"/>
      <c r="D113" s="28" t="n"/>
    </row>
    <row r="114" ht="13.2" customHeight="1">
      <c r="B114" s="28" t="n"/>
      <c r="C114" s="28" t="n"/>
      <c r="D114" s="28" t="n"/>
    </row>
    <row r="115" ht="13.2" customHeight="1">
      <c r="B115" s="28" t="n"/>
      <c r="C115" s="28" t="n"/>
      <c r="D115" s="28" t="n"/>
    </row>
    <row r="116">
      <c r="B116" s="28" t="n"/>
      <c r="C116" s="28" t="n"/>
      <c r="D116" s="28" t="n"/>
    </row>
    <row r="117" ht="13.2" customHeight="1">
      <c r="B117" s="28" t="n"/>
      <c r="C117" s="28" t="n"/>
      <c r="D117" s="28" t="n"/>
    </row>
    <row r="118" ht="13.2" customHeight="1">
      <c r="B118" s="28" t="n"/>
      <c r="C118" s="28" t="n"/>
      <c r="D118" s="28" t="n"/>
    </row>
    <row r="119" ht="13.2" customHeight="1">
      <c r="B119" s="28" t="n"/>
      <c r="C119" s="28" t="n"/>
      <c r="D119" s="28" t="n"/>
    </row>
    <row r="120">
      <c r="B120" s="28" t="n"/>
      <c r="C120" s="28" t="n"/>
      <c r="D120" s="28" t="n"/>
    </row>
    <row r="121" ht="13.2" customHeight="1">
      <c r="B121" s="28" t="n"/>
      <c r="C121" s="28" t="n"/>
      <c r="D121" s="28" t="n"/>
    </row>
    <row r="122" ht="13.2" customHeight="1">
      <c r="B122" s="28" t="n"/>
      <c r="C122" s="28" t="n"/>
      <c r="D122" s="28" t="n"/>
    </row>
    <row r="123" ht="13.2" customHeight="1">
      <c r="B123" s="28" t="n"/>
      <c r="C123" s="28" t="n"/>
      <c r="D123" s="28" t="n"/>
    </row>
    <row r="124">
      <c r="B124" s="28" t="n"/>
      <c r="C124" s="28" t="n"/>
      <c r="D124" s="28" t="n"/>
    </row>
    <row r="125" ht="13.2" customHeight="1">
      <c r="B125" s="28" t="n"/>
      <c r="C125" s="28" t="n"/>
      <c r="D125" s="28" t="n"/>
    </row>
    <row r="126" ht="13.2" customHeight="1">
      <c r="B126" s="28" t="n"/>
      <c r="C126" s="28" t="n"/>
      <c r="D126" s="28" t="n"/>
    </row>
    <row r="127" ht="13.2" customHeight="1">
      <c r="B127" s="28" t="n"/>
      <c r="C127" s="28" t="n"/>
      <c r="D127" s="28" t="n"/>
    </row>
    <row r="128">
      <c r="B128" s="28" t="n"/>
      <c r="C128" s="28" t="n"/>
      <c r="D128" s="28" t="n"/>
    </row>
    <row r="129" ht="13.2" customHeight="1">
      <c r="B129" s="28" t="n"/>
      <c r="C129" s="28" t="n"/>
      <c r="D129" s="28" t="n"/>
    </row>
    <row r="130" ht="13.2" customHeight="1">
      <c r="B130" s="28" t="n"/>
      <c r="C130" s="28" t="n"/>
      <c r="D130" s="28" t="n"/>
    </row>
    <row r="131" ht="13.2" customHeight="1">
      <c r="B131" s="28" t="n"/>
      <c r="C131" s="28" t="n"/>
      <c r="D131" s="28" t="n"/>
    </row>
    <row r="132">
      <c r="B132" s="28" t="n"/>
      <c r="C132" s="28" t="n"/>
      <c r="D132" s="28" t="n"/>
    </row>
    <row r="133" ht="13.2" customHeight="1">
      <c r="B133" s="28" t="n"/>
      <c r="C133" s="28" t="n"/>
      <c r="D133" s="28" t="n"/>
    </row>
    <row r="134" ht="13.2" customHeight="1">
      <c r="B134" s="28" t="n"/>
      <c r="C134" s="28" t="n"/>
      <c r="D134" s="28" t="n"/>
    </row>
    <row r="135" ht="13.2" customHeight="1">
      <c r="B135" s="28" t="n"/>
      <c r="C135" s="28" t="n"/>
      <c r="D135" s="28" t="n"/>
    </row>
    <row r="136">
      <c r="B136" s="28" t="n"/>
      <c r="C136" s="28" t="n"/>
      <c r="D136" s="28" t="n"/>
    </row>
    <row r="137" ht="13.2" customHeight="1">
      <c r="B137" s="28" t="n"/>
      <c r="C137" s="28" t="n"/>
      <c r="D137" s="28" t="n"/>
    </row>
    <row r="138" ht="13.2" customHeight="1">
      <c r="B138" s="28" t="n"/>
      <c r="C138" s="28" t="n"/>
      <c r="D138" s="28" t="n"/>
    </row>
    <row r="139" ht="13.2" customHeight="1">
      <c r="B139" s="28" t="n"/>
      <c r="C139" s="28" t="n"/>
      <c r="D139" s="28" t="n"/>
    </row>
    <row r="140">
      <c r="B140" s="28" t="n"/>
      <c r="C140" s="28" t="n"/>
      <c r="D140" s="28" t="n"/>
    </row>
    <row r="141" ht="13.2" customHeight="1">
      <c r="B141" s="28" t="n"/>
      <c r="C141" s="28" t="n"/>
      <c r="D141" s="28" t="n"/>
    </row>
    <row r="142" ht="13.2" customHeight="1">
      <c r="B142" s="28" t="n"/>
      <c r="C142" s="28" t="n"/>
      <c r="D142" s="28" t="n"/>
    </row>
    <row r="143" ht="13.2" customHeight="1">
      <c r="B143" s="28" t="n"/>
      <c r="C143" s="28" t="n"/>
      <c r="D143" s="28" t="n"/>
    </row>
    <row r="144">
      <c r="B144" s="28" t="n"/>
      <c r="C144" s="28" t="n"/>
      <c r="D144" s="28" t="n"/>
    </row>
    <row r="145" ht="13.2" customHeight="1">
      <c r="B145" s="28" t="n"/>
      <c r="C145" s="28" t="n"/>
      <c r="D145" s="28" t="n"/>
    </row>
    <row r="146" ht="13.2" customHeight="1">
      <c r="B146" s="28" t="n"/>
      <c r="C146" s="28" t="n"/>
      <c r="D146" s="28" t="n"/>
    </row>
    <row r="147" ht="13.2" customHeight="1">
      <c r="B147" s="28" t="n"/>
      <c r="C147" s="28" t="n"/>
      <c r="D147" s="28" t="n"/>
    </row>
    <row r="148">
      <c r="B148" s="28" t="n"/>
      <c r="C148" s="28" t="n"/>
      <c r="D148" s="28" t="n"/>
    </row>
    <row r="149" ht="13.2" customHeight="1">
      <c r="B149" s="28" t="n"/>
      <c r="C149" s="28" t="n"/>
      <c r="D149" s="28" t="n"/>
    </row>
    <row r="150" ht="13.2" customHeight="1">
      <c r="B150" s="28" t="n"/>
      <c r="C150" s="28" t="n"/>
      <c r="D150" s="28" t="n"/>
    </row>
    <row r="151" ht="13.2" customHeight="1">
      <c r="B151" s="28" t="n"/>
      <c r="C151" s="28" t="n"/>
      <c r="D151" s="28" t="n"/>
    </row>
    <row r="152">
      <c r="B152" s="28" t="n"/>
      <c r="C152" s="28" t="n"/>
      <c r="D152" s="28" t="n"/>
    </row>
    <row r="153" ht="13.2" customHeight="1">
      <c r="B153" s="28" t="n"/>
      <c r="C153" s="28" t="n"/>
      <c r="D153" s="28" t="n"/>
    </row>
    <row r="154" ht="13.2" customHeight="1">
      <c r="B154" s="28" t="n"/>
      <c r="C154" s="28" t="n"/>
      <c r="D154" s="28" t="n"/>
    </row>
    <row r="155" ht="13.2" customHeight="1">
      <c r="B155" s="28" t="n"/>
      <c r="C155" s="28" t="n"/>
      <c r="D155" s="28" t="n"/>
    </row>
    <row r="156">
      <c r="B156" s="28" t="n"/>
      <c r="C156" s="28" t="n"/>
      <c r="D156" s="28" t="n"/>
    </row>
    <row r="157" ht="13.2" customHeight="1">
      <c r="B157" s="28" t="n"/>
      <c r="C157" s="28" t="n"/>
      <c r="D157" s="28" t="n"/>
    </row>
    <row r="158" ht="13.2" customHeight="1">
      <c r="B158" s="28" t="n"/>
      <c r="C158" s="28" t="n"/>
      <c r="D158" s="28" t="n"/>
    </row>
    <row r="159" ht="13.2" customHeight="1">
      <c r="B159" s="28" t="n"/>
      <c r="C159" s="28" t="n"/>
      <c r="D159" s="28" t="n"/>
    </row>
    <row r="160">
      <c r="B160" s="28" t="n"/>
      <c r="C160" s="28" t="n"/>
      <c r="D160" s="28" t="n"/>
    </row>
    <row r="161" ht="13.2" customHeight="1">
      <c r="B161" s="28" t="n"/>
      <c r="C161" s="28" t="n"/>
      <c r="D161" s="28" t="n"/>
    </row>
    <row r="162" ht="13.2" customHeight="1">
      <c r="B162" s="28" t="n"/>
      <c r="C162" s="28" t="n"/>
      <c r="D162" s="28" t="n"/>
    </row>
    <row r="163" ht="13.2" customHeight="1">
      <c r="B163" s="28" t="n"/>
      <c r="C163" s="28" t="n"/>
      <c r="D163" s="28" t="n"/>
    </row>
    <row r="164">
      <c r="B164" s="28" t="n"/>
      <c r="C164" s="28" t="n"/>
      <c r="D164" s="28" t="n"/>
    </row>
    <row r="165" ht="13.2" customHeight="1">
      <c r="B165" s="28" t="n"/>
      <c r="C165" s="28" t="n"/>
      <c r="D165" s="28" t="n"/>
    </row>
    <row r="166" ht="13.2" customHeight="1">
      <c r="B166" s="28" t="n"/>
      <c r="C166" s="28" t="n"/>
      <c r="D166" s="28" t="n"/>
    </row>
    <row r="167" ht="13.2" customHeight="1">
      <c r="B167" s="28" t="n"/>
      <c r="C167" s="28" t="n"/>
      <c r="D167" s="28" t="n"/>
    </row>
    <row r="168">
      <c r="B168" s="28" t="n"/>
      <c r="C168" s="28" t="n"/>
      <c r="D168" s="28" t="n"/>
    </row>
    <row r="169" ht="13.2" customHeight="1">
      <c r="B169" s="28" t="n"/>
      <c r="C169" s="28" t="n"/>
      <c r="D169" s="28" t="n"/>
    </row>
    <row r="170" ht="13.2" customHeight="1">
      <c r="B170" s="28" t="n"/>
      <c r="C170" s="28" t="n"/>
      <c r="D170" s="28" t="n"/>
    </row>
    <row r="171" ht="13.2" customHeight="1">
      <c r="B171" s="28" t="n"/>
      <c r="C171" s="28" t="n"/>
      <c r="D171" s="28" t="n"/>
    </row>
    <row r="172">
      <c r="B172" s="28" t="n"/>
      <c r="C172" s="28" t="n"/>
      <c r="D172" s="28" t="n"/>
    </row>
    <row r="173" ht="13.2" customHeight="1">
      <c r="B173" s="28" t="n"/>
      <c r="C173" s="28" t="n"/>
      <c r="D173" s="28" t="n"/>
    </row>
    <row r="174" ht="13.2" customHeight="1">
      <c r="B174" s="28" t="n"/>
      <c r="C174" s="28" t="n"/>
      <c r="D174" s="28" t="n"/>
    </row>
    <row r="175" ht="13.2" customHeight="1">
      <c r="B175" s="28" t="n"/>
      <c r="C175" s="28" t="n"/>
      <c r="D175" s="28" t="n"/>
    </row>
    <row r="176">
      <c r="B176" s="28" t="n"/>
      <c r="C176" s="28" t="n"/>
      <c r="D176" s="28" t="n"/>
    </row>
    <row r="177" ht="13.2" customHeight="1">
      <c r="B177" s="28" t="n"/>
      <c r="C177" s="28" t="n"/>
      <c r="D177" s="28" t="n"/>
    </row>
    <row r="178" ht="13.2" customHeight="1">
      <c r="B178" s="28" t="n"/>
      <c r="C178" s="28" t="n"/>
      <c r="D178" s="28" t="n"/>
    </row>
    <row r="179" ht="13.2" customHeight="1">
      <c r="B179" s="28" t="n"/>
      <c r="C179" s="28" t="n"/>
      <c r="D179" s="28" t="n"/>
    </row>
    <row r="180">
      <c r="B180" s="28" t="n"/>
      <c r="C180" s="28" t="n"/>
      <c r="D180" s="28" t="n"/>
    </row>
    <row r="181" ht="13.2" customHeight="1">
      <c r="B181" s="28" t="n"/>
      <c r="C181" s="28" t="n"/>
      <c r="D181" s="28" t="n"/>
    </row>
    <row r="182" ht="13.2" customHeight="1">
      <c r="B182" s="28" t="n"/>
      <c r="C182" s="28" t="n"/>
      <c r="D182" s="28" t="n"/>
    </row>
    <row r="183" ht="13.2" customHeight="1">
      <c r="B183" s="28" t="n"/>
      <c r="C183" s="28" t="n"/>
      <c r="D183" s="28" t="n"/>
    </row>
    <row r="184">
      <c r="B184" s="28" t="n"/>
      <c r="C184" s="28" t="n"/>
      <c r="D184" s="28" t="n"/>
    </row>
    <row r="185" ht="13.2" customHeight="1">
      <c r="B185" s="28" t="n"/>
      <c r="C185" s="28" t="n"/>
      <c r="D185" s="28" t="n"/>
    </row>
    <row r="186" ht="13.2" customHeight="1">
      <c r="B186" s="28" t="n"/>
      <c r="C186" s="28" t="n"/>
      <c r="D186" s="28" t="n"/>
    </row>
    <row r="187" ht="13.2" customHeight="1">
      <c r="B187" s="28" t="n"/>
      <c r="C187" s="28" t="n"/>
      <c r="D187" s="28" t="n"/>
    </row>
    <row r="188">
      <c r="B188" s="28" t="n"/>
      <c r="C188" s="28" t="n"/>
      <c r="D188" s="28" t="n"/>
    </row>
    <row r="189" ht="13.2" customHeight="1">
      <c r="B189" s="28" t="n"/>
      <c r="C189" s="28" t="n"/>
      <c r="D189" s="28" t="n"/>
    </row>
    <row r="190" ht="13.2" customHeight="1">
      <c r="B190" s="28" t="n"/>
      <c r="C190" s="28" t="n"/>
      <c r="D190" s="28" t="n"/>
    </row>
    <row r="191" ht="13.2" customHeight="1">
      <c r="B191" s="28" t="n"/>
      <c r="C191" s="28" t="n"/>
      <c r="D191" s="28" t="n"/>
    </row>
    <row r="192">
      <c r="B192" s="28" t="n"/>
      <c r="C192" s="28" t="n"/>
      <c r="D192" s="28" t="n"/>
    </row>
    <row r="193" ht="13.2" customHeight="1">
      <c r="B193" s="28" t="n"/>
      <c r="C193" s="28" t="n"/>
      <c r="D193" s="28" t="n"/>
    </row>
    <row r="194" ht="13.2" customHeight="1">
      <c r="B194" s="28" t="n"/>
      <c r="C194" s="28" t="n"/>
      <c r="D194" s="28" t="n"/>
    </row>
    <row r="195" ht="13.2" customHeight="1">
      <c r="B195" s="28" t="n"/>
      <c r="C195" s="28" t="n"/>
      <c r="D195" s="28" t="n"/>
    </row>
    <row r="196">
      <c r="B196" s="28" t="n"/>
      <c r="C196" s="28" t="n"/>
      <c r="D196" s="28" t="n"/>
    </row>
    <row r="197" ht="13.2" customHeight="1">
      <c r="B197" s="28" t="n"/>
      <c r="C197" s="28" t="n"/>
      <c r="D197" s="28" t="n"/>
    </row>
    <row r="198" ht="13.2" customHeight="1">
      <c r="B198" s="28" t="n"/>
      <c r="C198" s="28" t="n"/>
      <c r="D198" s="28" t="n"/>
    </row>
    <row r="199" ht="13.2" customHeight="1">
      <c r="B199" s="28" t="n"/>
      <c r="C199" s="28" t="n"/>
      <c r="D199" s="28" t="n"/>
    </row>
    <row r="200">
      <c r="B200" s="28" t="n"/>
      <c r="C200" s="28" t="n"/>
      <c r="D200" s="28" t="n"/>
    </row>
    <row r="201" ht="13.2" customHeight="1">
      <c r="B201" s="28" t="n"/>
      <c r="C201" s="28" t="n"/>
      <c r="D201" s="28" t="n"/>
    </row>
    <row r="202" ht="13.2" customHeight="1">
      <c r="B202" s="28" t="n"/>
      <c r="C202" s="28" t="n"/>
      <c r="D202" s="28" t="n"/>
    </row>
    <row r="203" ht="13.2" customHeight="1">
      <c r="B203" s="28" t="n"/>
      <c r="C203" s="28" t="n"/>
      <c r="D203" s="28" t="n"/>
    </row>
    <row r="204">
      <c r="B204" s="28" t="n"/>
      <c r="C204" s="28" t="n"/>
      <c r="D204" s="28" t="n"/>
    </row>
    <row r="205" ht="13.2" customHeight="1">
      <c r="B205" s="28" t="n"/>
      <c r="C205" s="28" t="n"/>
      <c r="D205" s="28" t="n"/>
    </row>
    <row r="206" ht="13.2" customHeight="1">
      <c r="B206" s="28" t="n"/>
      <c r="C206" s="28" t="n"/>
      <c r="D206" s="28" t="n"/>
    </row>
    <row r="207" ht="13.2" customHeight="1">
      <c r="B207" s="28" t="n"/>
      <c r="C207" s="28" t="n"/>
      <c r="D207" s="28" t="n"/>
    </row>
    <row r="208">
      <c r="B208" s="28" t="n"/>
      <c r="C208" s="28" t="n"/>
      <c r="D208" s="28" t="n"/>
    </row>
    <row r="209" ht="13.2" customHeight="1">
      <c r="B209" s="28" t="n"/>
      <c r="C209" s="28" t="n"/>
      <c r="D209" s="28" t="n"/>
    </row>
    <row r="210" ht="13.2" customHeight="1">
      <c r="B210" s="28" t="n"/>
      <c r="C210" s="28" t="n"/>
      <c r="D210" s="28" t="n"/>
    </row>
    <row r="211" ht="13.2" customHeight="1">
      <c r="B211" s="28" t="n"/>
      <c r="C211" s="28" t="n"/>
      <c r="D211" s="28" t="n"/>
    </row>
    <row r="212">
      <c r="B212" s="28" t="n"/>
      <c r="C212" s="28" t="n"/>
      <c r="D212" s="28" t="n"/>
    </row>
    <row r="213" ht="13.2" customHeight="1">
      <c r="B213" s="28" t="n"/>
      <c r="C213" s="28" t="n"/>
      <c r="D213" s="28" t="n"/>
    </row>
    <row r="214" ht="13.2" customHeight="1">
      <c r="B214" s="28" t="n"/>
      <c r="C214" s="28" t="n"/>
      <c r="D214" s="28" t="n"/>
    </row>
    <row r="215" ht="13.2" customHeight="1">
      <c r="B215" s="28" t="n"/>
      <c r="C215" s="28" t="n"/>
      <c r="D215" s="28" t="n"/>
    </row>
    <row r="216">
      <c r="B216" s="28" t="n"/>
      <c r="C216" s="28" t="n"/>
      <c r="D216" s="28" t="n"/>
    </row>
    <row r="217" ht="13.2" customHeight="1">
      <c r="B217" s="28" t="n"/>
      <c r="C217" s="28" t="n"/>
      <c r="D217" s="28" t="n"/>
    </row>
    <row r="218" ht="13.2" customHeight="1">
      <c r="B218" s="28" t="n"/>
      <c r="C218" s="28" t="n"/>
      <c r="D218" s="28" t="n"/>
    </row>
    <row r="219" ht="13.2" customHeight="1">
      <c r="B219" s="28" t="n"/>
      <c r="C219" s="28" t="n"/>
      <c r="D219" s="28" t="n"/>
    </row>
    <row r="220">
      <c r="B220" s="28" t="n"/>
      <c r="C220" s="28" t="n"/>
      <c r="D220" s="28" t="n"/>
    </row>
    <row r="221" ht="13.2" customHeight="1">
      <c r="B221" s="28" t="n"/>
      <c r="C221" s="28" t="n"/>
      <c r="D221" s="28" t="n"/>
    </row>
    <row r="222" ht="13.2" customHeight="1">
      <c r="B222" s="28" t="n"/>
      <c r="C222" s="28" t="n"/>
      <c r="D222" s="28" t="n"/>
    </row>
    <row r="223" ht="13.2" customHeight="1">
      <c r="B223" s="28" t="n"/>
      <c r="C223" s="28" t="n"/>
      <c r="D223" s="28" t="n"/>
    </row>
    <row r="224">
      <c r="B224" s="28" t="n"/>
      <c r="C224" s="28" t="n"/>
      <c r="D224" s="28" t="n"/>
    </row>
    <row r="225" ht="13.2" customHeight="1">
      <c r="B225" s="28" t="n"/>
      <c r="C225" s="28" t="n"/>
      <c r="D225" s="28" t="n"/>
    </row>
    <row r="226" ht="13.2" customHeight="1">
      <c r="B226" s="28" t="n"/>
      <c r="C226" s="28" t="n"/>
      <c r="D226" s="28" t="n"/>
    </row>
    <row r="227" ht="13.2" customHeight="1">
      <c r="B227" s="28" t="n"/>
      <c r="C227" s="28" t="n"/>
      <c r="D227" s="28" t="n"/>
    </row>
    <row r="228">
      <c r="B228" s="28" t="n"/>
      <c r="C228" s="28" t="n"/>
      <c r="D228" s="28" t="n"/>
    </row>
    <row r="229" ht="13.2" customHeight="1">
      <c r="B229" s="28" t="n"/>
      <c r="C229" s="28" t="n"/>
      <c r="D229" s="28" t="n"/>
    </row>
    <row r="230" ht="13.2" customHeight="1">
      <c r="B230" s="28" t="n"/>
      <c r="C230" s="28" t="n"/>
      <c r="D230" s="28" t="n"/>
    </row>
    <row r="231" ht="13.2" customHeight="1">
      <c r="B231" s="28" t="n"/>
      <c r="C231" s="28" t="n"/>
      <c r="D231" s="28" t="n"/>
    </row>
    <row r="232">
      <c r="B232" s="28" t="n"/>
      <c r="C232" s="28" t="n"/>
      <c r="D232" s="28" t="n"/>
    </row>
    <row r="233" ht="13.2" customHeight="1">
      <c r="B233" s="28" t="n"/>
      <c r="C233" s="28" t="n"/>
      <c r="D233" s="28" t="n"/>
    </row>
    <row r="234" ht="13.2" customHeight="1">
      <c r="B234" s="28" t="n"/>
      <c r="C234" s="28" t="n"/>
      <c r="D234" s="28" t="n"/>
    </row>
    <row r="235" ht="13.2" customHeight="1">
      <c r="B235" s="28" t="n"/>
      <c r="C235" s="28" t="n"/>
      <c r="D235" s="28" t="n"/>
    </row>
    <row r="236">
      <c r="B236" s="28" t="n"/>
      <c r="C236" s="28" t="n"/>
      <c r="D236" s="28" t="n"/>
    </row>
    <row r="237" ht="13.2" customHeight="1">
      <c r="B237" s="28" t="n"/>
      <c r="C237" s="28" t="n"/>
      <c r="D237" s="28" t="n"/>
    </row>
    <row r="238" ht="13.2" customHeight="1">
      <c r="B238" s="28" t="n"/>
      <c r="C238" s="28" t="n"/>
      <c r="D238" s="28" t="n"/>
    </row>
    <row r="239" ht="13.2" customHeight="1">
      <c r="B239" s="28" t="n"/>
      <c r="C239" s="28" t="n"/>
      <c r="D239" s="28" t="n"/>
    </row>
    <row r="240">
      <c r="B240" s="28" t="n"/>
      <c r="C240" s="28" t="n"/>
      <c r="D240" s="28" t="n"/>
    </row>
    <row r="241" ht="13.2" customHeight="1">
      <c r="B241" s="28" t="n"/>
      <c r="C241" s="28" t="n"/>
      <c r="D241" s="28" t="n"/>
    </row>
    <row r="242" ht="13.2" customHeight="1">
      <c r="B242" s="28" t="n"/>
      <c r="C242" s="28" t="n"/>
      <c r="D242" s="28" t="n"/>
    </row>
    <row r="243" ht="13.2" customHeight="1">
      <c r="B243" s="28" t="n"/>
      <c r="C243" s="28" t="n"/>
      <c r="D243" s="28" t="n"/>
    </row>
    <row r="244">
      <c r="B244" s="28" t="n"/>
      <c r="C244" s="28" t="n"/>
      <c r="D244" s="28" t="n"/>
    </row>
    <row r="245" ht="13.2" customHeight="1">
      <c r="B245" s="28" t="n"/>
      <c r="C245" s="28" t="n"/>
      <c r="D245" s="28" t="n"/>
    </row>
    <row r="246" ht="13.2" customHeight="1">
      <c r="B246" s="28" t="n"/>
      <c r="C246" s="28" t="n"/>
      <c r="D246" s="28" t="n"/>
    </row>
    <row r="247" ht="13.2" customHeight="1">
      <c r="B247" s="28" t="n"/>
      <c r="C247" s="28" t="n"/>
      <c r="D247" s="28" t="n"/>
    </row>
    <row r="248">
      <c r="B248" s="28" t="n"/>
      <c r="C248" s="28" t="n"/>
      <c r="D248" s="28" t="n"/>
    </row>
    <row r="249" ht="13.2" customHeight="1">
      <c r="B249" s="28" t="n"/>
      <c r="C249" s="28" t="n"/>
      <c r="D249" s="28" t="n"/>
    </row>
    <row r="250" ht="13.2" customHeight="1">
      <c r="B250" s="28" t="n"/>
      <c r="C250" s="28" t="n"/>
      <c r="D250" s="28" t="n"/>
    </row>
    <row r="251" ht="13.2" customHeight="1">
      <c r="B251" s="28" t="n"/>
      <c r="C251" s="28" t="n"/>
      <c r="D251" s="28" t="n"/>
    </row>
    <row r="252">
      <c r="B252" s="28" t="n"/>
      <c r="C252" s="28" t="n"/>
      <c r="D252" s="28" t="n"/>
    </row>
    <row r="253" ht="13.2" customHeight="1">
      <c r="B253" s="28" t="n"/>
      <c r="C253" s="28" t="n"/>
      <c r="D253" s="28" t="n"/>
    </row>
    <row r="254" ht="13.2" customHeight="1">
      <c r="B254" s="28" t="n"/>
      <c r="C254" s="28" t="n"/>
      <c r="D254" s="28" t="n"/>
    </row>
    <row r="255" ht="13.2" customHeight="1">
      <c r="B255" s="28" t="n"/>
      <c r="C255" s="28" t="n"/>
      <c r="D255" s="28" t="n"/>
    </row>
    <row r="256">
      <c r="B256" s="28" t="n"/>
      <c r="C256" s="28" t="n"/>
      <c r="D256" s="28" t="n"/>
    </row>
    <row r="257" ht="13.2" customHeight="1">
      <c r="B257" s="28" t="n"/>
      <c r="C257" s="28" t="n"/>
      <c r="D257" s="28" t="n"/>
    </row>
    <row r="258" ht="13.2" customHeight="1">
      <c r="B258" s="28" t="n"/>
      <c r="C258" s="28" t="n"/>
      <c r="D258" s="28" t="n"/>
    </row>
    <row r="259" ht="13.2" customHeight="1">
      <c r="B259" s="28" t="n"/>
      <c r="C259" s="28" t="n"/>
      <c r="D259" s="28" t="n"/>
    </row>
    <row r="260">
      <c r="B260" s="28" t="n"/>
      <c r="C260" s="28" t="n"/>
      <c r="D260" s="28" t="n"/>
    </row>
    <row r="261" ht="13.2" customHeight="1">
      <c r="B261" s="28" t="n"/>
      <c r="C261" s="28" t="n"/>
      <c r="D261" s="28" t="n"/>
    </row>
    <row r="262" ht="13.2" customHeight="1">
      <c r="B262" s="28" t="n"/>
      <c r="C262" s="28" t="n"/>
      <c r="D262" s="28" t="n"/>
    </row>
    <row r="263" ht="13.2" customHeight="1">
      <c r="B263" s="28" t="n"/>
      <c r="C263" s="28" t="n"/>
      <c r="D263" s="28" t="n"/>
    </row>
    <row r="264">
      <c r="B264" s="28" t="n"/>
      <c r="C264" s="28" t="n"/>
      <c r="D264" s="28" t="n"/>
    </row>
    <row r="265" ht="13.2" customHeight="1">
      <c r="B265" s="28" t="n"/>
      <c r="C265" s="28" t="n"/>
      <c r="D265" s="28" t="n"/>
    </row>
    <row r="266" ht="13.2" customHeight="1">
      <c r="B266" s="28" t="n"/>
      <c r="C266" s="28" t="n"/>
      <c r="D266" s="28" t="n"/>
    </row>
    <row r="267" ht="13.2" customHeight="1">
      <c r="B267" s="28" t="n"/>
      <c r="C267" s="28" t="n"/>
      <c r="D267" s="28" t="n"/>
    </row>
    <row r="268">
      <c r="B268" s="28" t="n"/>
      <c r="C268" s="28" t="n"/>
      <c r="D268" s="28" t="n"/>
    </row>
    <row r="269" ht="13.2" customHeight="1">
      <c r="B269" s="28" t="n"/>
      <c r="C269" s="28" t="n"/>
      <c r="D269" s="28" t="n"/>
    </row>
    <row r="270" ht="13.2" customHeight="1">
      <c r="B270" s="28" t="n"/>
      <c r="C270" s="28" t="n"/>
      <c r="D270" s="28" t="n"/>
    </row>
    <row r="271" ht="13.2" customHeight="1">
      <c r="B271" s="28" t="n"/>
      <c r="C271" s="28" t="n"/>
      <c r="D271" s="28" t="n"/>
    </row>
    <row r="272">
      <c r="B272" s="28" t="n"/>
      <c r="C272" s="28" t="n"/>
      <c r="D272" s="28" t="n"/>
    </row>
    <row r="273" ht="13.2" customHeight="1">
      <c r="B273" s="28" t="n"/>
      <c r="C273" s="28" t="n"/>
      <c r="D273" s="28" t="n"/>
    </row>
    <row r="274" ht="13.2" customHeight="1">
      <c r="B274" s="28" t="n"/>
      <c r="C274" s="28" t="n"/>
      <c r="D274" s="28" t="n"/>
    </row>
    <row r="275" ht="13.2" customHeight="1">
      <c r="B275" s="28" t="n"/>
      <c r="C275" s="28" t="n"/>
      <c r="D275" s="28" t="n"/>
    </row>
    <row r="276">
      <c r="B276" s="28" t="n"/>
      <c r="C276" s="28" t="n"/>
      <c r="D276" s="28" t="n"/>
    </row>
    <row r="277" ht="13.2" customHeight="1">
      <c r="B277" s="28" t="n"/>
      <c r="C277" s="28" t="n"/>
      <c r="D277" s="28" t="n"/>
    </row>
    <row r="278" ht="13.2" customHeight="1">
      <c r="B278" s="28" t="n"/>
      <c r="C278" s="28" t="n"/>
      <c r="D278" s="28" t="n"/>
    </row>
    <row r="279" ht="13.2" customHeight="1">
      <c r="B279" s="28" t="n"/>
      <c r="C279" s="28" t="n"/>
      <c r="D279" s="28" t="n"/>
    </row>
    <row r="280">
      <c r="B280" s="28" t="n"/>
      <c r="C280" s="28" t="n"/>
      <c r="D280" s="28" t="n"/>
    </row>
    <row r="281" ht="13.2" customHeight="1">
      <c r="B281" s="28" t="n"/>
      <c r="C281" s="28" t="n"/>
      <c r="D281" s="28" t="n"/>
    </row>
    <row r="282" ht="13.2" customHeight="1">
      <c r="B282" s="28" t="n"/>
      <c r="C282" s="28" t="n"/>
      <c r="D282" s="28" t="n"/>
    </row>
    <row r="283" ht="13.2" customHeight="1">
      <c r="B283" s="28" t="n"/>
      <c r="C283" s="28" t="n"/>
      <c r="D283" s="28" t="n"/>
    </row>
    <row r="284">
      <c r="B284" s="28" t="n"/>
      <c r="C284" s="28" t="n"/>
      <c r="D284" s="28" t="n"/>
    </row>
    <row r="285" ht="13.2" customHeight="1">
      <c r="B285" s="28" t="n"/>
      <c r="C285" s="28" t="n"/>
      <c r="D285" s="28" t="n"/>
    </row>
    <row r="286" ht="13.2" customHeight="1">
      <c r="B286" s="28" t="n"/>
      <c r="C286" s="28" t="n"/>
      <c r="D286" s="28" t="n"/>
    </row>
    <row r="287" ht="13.2" customHeight="1">
      <c r="B287" s="28" t="n"/>
      <c r="C287" s="28" t="n"/>
      <c r="D287" s="28" t="n"/>
    </row>
    <row r="288">
      <c r="B288" s="28" t="n"/>
      <c r="C288" s="28" t="n"/>
      <c r="D288" s="28" t="n"/>
    </row>
    <row r="289" ht="13.2" customHeight="1">
      <c r="B289" s="28" t="n"/>
      <c r="C289" s="28" t="n"/>
      <c r="D289" s="28" t="n"/>
    </row>
    <row r="290" ht="13.2" customHeight="1">
      <c r="B290" s="28" t="n"/>
      <c r="C290" s="28" t="n"/>
      <c r="D290" s="28" t="n"/>
    </row>
    <row r="291" ht="13.2" customHeight="1">
      <c r="B291" s="28" t="n"/>
      <c r="C291" s="28" t="n"/>
      <c r="D291" s="28" t="n"/>
    </row>
    <row r="292">
      <c r="B292" s="28" t="n"/>
      <c r="C292" s="28" t="n"/>
      <c r="D292" s="28" t="n"/>
    </row>
    <row r="293" ht="13.2" customHeight="1">
      <c r="B293" s="28" t="n"/>
      <c r="C293" s="28" t="n"/>
      <c r="D293" s="28" t="n"/>
    </row>
    <row r="294" ht="13.2" customHeight="1">
      <c r="B294" s="28" t="n"/>
      <c r="C294" s="28" t="n"/>
      <c r="D294" s="28" t="n"/>
    </row>
    <row r="295" ht="13.2" customHeight="1">
      <c r="B295" s="28" t="n"/>
      <c r="C295" s="28" t="n"/>
      <c r="D295" s="28" t="n"/>
    </row>
    <row r="296">
      <c r="B296" s="28" t="n"/>
      <c r="C296" s="28" t="n"/>
      <c r="D296" s="28" t="n"/>
    </row>
    <row r="297" ht="13.2" customHeight="1">
      <c r="B297" s="28" t="n"/>
      <c r="C297" s="28" t="n"/>
      <c r="D297" s="28" t="n"/>
    </row>
    <row r="298" ht="13.2" customHeight="1">
      <c r="B298" s="28" t="n"/>
      <c r="C298" s="28" t="n"/>
      <c r="D298" s="28" t="n"/>
    </row>
    <row r="299" ht="13.2" customHeight="1">
      <c r="B299" s="28" t="n"/>
      <c r="C299" s="28" t="n"/>
      <c r="D299" s="28" t="n"/>
    </row>
    <row r="300">
      <c r="B300" s="28" t="n"/>
      <c r="C300" s="28" t="n"/>
      <c r="D300" s="28" t="n"/>
    </row>
    <row r="301" ht="13.2" customHeight="1">
      <c r="B301" s="28" t="n"/>
      <c r="C301" s="28" t="n"/>
      <c r="D301" s="28" t="n"/>
    </row>
    <row r="302" ht="13.2" customHeight="1">
      <c r="B302" s="28" t="n"/>
      <c r="C302" s="28" t="n"/>
      <c r="D302" s="28" t="n"/>
    </row>
    <row r="303" ht="13.2" customHeight="1">
      <c r="B303" s="28" t="n"/>
      <c r="C303" s="28" t="n"/>
      <c r="D303" s="28" t="n"/>
    </row>
    <row r="304">
      <c r="B304" s="28" t="n"/>
      <c r="C304" s="28" t="n"/>
      <c r="D304" s="28" t="n"/>
    </row>
    <row r="305" ht="13.2" customHeight="1">
      <c r="B305" s="28" t="n"/>
      <c r="C305" s="28" t="n"/>
      <c r="D305" s="28" t="n"/>
    </row>
    <row r="306" ht="13.2" customHeight="1">
      <c r="B306" s="28" t="n"/>
      <c r="C306" s="28" t="n"/>
      <c r="D306" s="28" t="n"/>
    </row>
    <row r="307" ht="13.2" customHeight="1">
      <c r="B307" s="28" t="n"/>
      <c r="C307" s="28" t="n"/>
      <c r="D307" s="28" t="n"/>
    </row>
    <row r="308">
      <c r="B308" s="28" t="n"/>
      <c r="C308" s="28" t="n"/>
      <c r="D308" s="28" t="n"/>
    </row>
    <row r="309" ht="13.2" customHeight="1">
      <c r="B309" s="28" t="n"/>
      <c r="C309" s="28" t="n"/>
      <c r="D309" s="28" t="n"/>
    </row>
    <row r="310" ht="13.2" customHeight="1">
      <c r="B310" s="28" t="n"/>
      <c r="C310" s="28" t="n"/>
      <c r="D310" s="28" t="n"/>
    </row>
    <row r="311" ht="13.2" customHeight="1">
      <c r="B311" s="28" t="n"/>
      <c r="C311" s="28" t="n"/>
      <c r="D311" s="28" t="n"/>
    </row>
    <row r="312">
      <c r="B312" s="28" t="n"/>
      <c r="C312" s="28" t="n"/>
      <c r="D312" s="28" t="n"/>
    </row>
    <row r="313" ht="13.2" customHeight="1">
      <c r="B313" s="28" t="n"/>
      <c r="C313" s="28" t="n"/>
      <c r="D313" s="28" t="n"/>
    </row>
    <row r="314" ht="13.2" customHeight="1">
      <c r="B314" s="28" t="n"/>
      <c r="C314" s="28" t="n"/>
      <c r="D314" s="28" t="n"/>
    </row>
    <row r="315" ht="13.2" customHeight="1">
      <c r="B315" s="28" t="n"/>
      <c r="C315" s="28" t="n"/>
    </row>
  </sheetData>
  <sheetProtection selectLockedCells="0" selectUnlockedCells="0" algorithmName="SHA-512" sheet="1" objects="1" insertRows="0" insertHyperlinks="1" autoFilter="1" scenarios="1" formatColumns="0" deleteColumns="1" insertColumns="1" pivotTables="1" deleteRows="0" formatCells="0" saltValue="w3bBznTUTRCUgcmwLqwOAg==" formatRows="0" sort="1" spinCount="100000" hashValue="OdxoESCg+LUL62RMRAUKCtKTaoMLi+vYjjLOkNHthMK/SpHZuqphpTRmVdgzq92fPvRqYzIKAAj+oqSEwuRtzQ=="/>
  <mergeCells count="6">
    <mergeCell ref="A2:F2"/>
    <mergeCell ref="H2:M2"/>
    <mergeCell ref="A5:F5"/>
    <mergeCell ref="A27:F27"/>
    <mergeCell ref="S2:AB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5">
    <outlinePr summaryBelow="1" summaryRight="1"/>
    <pageSetUpPr/>
  </sheetPr>
  <dimension ref="B8:H33"/>
  <sheetViews>
    <sheetView workbookViewId="0">
      <selection activeCell="H17" sqref="H17"/>
    </sheetView>
  </sheetViews>
  <sheetFormatPr baseColWidth="8" defaultRowHeight="13.2"/>
  <cols>
    <col width="33.44140625" customWidth="1" min="2" max="2"/>
    <col width="17.5546875" customWidth="1" min="4" max="4"/>
    <col width="24.5546875" customWidth="1" min="6" max="6"/>
  </cols>
  <sheetData>
    <row r="8">
      <c r="E8" t="inlineStr">
        <is>
          <t>Y</t>
        </is>
      </c>
      <c r="F8" t="inlineStr">
        <is>
          <t>GetWIPDetail2</t>
        </is>
      </c>
    </row>
    <row r="12">
      <c r="C12" t="inlineStr">
        <is>
          <t>Y</t>
        </is>
      </c>
      <c r="D12" t="inlineStr">
        <is>
          <t>Use Existing List?</t>
        </is>
      </c>
    </row>
    <row r="16">
      <c r="E16" t="inlineStr">
        <is>
          <t>N</t>
        </is>
      </c>
      <c r="F16" t="inlineStr">
        <is>
          <t>Show Dept Form</t>
        </is>
      </c>
      <c r="G16" t="inlineStr">
        <is>
          <t>&gt;&gt;&gt;&gt;&gt;</t>
        </is>
      </c>
      <c r="H16" t="inlineStr">
        <is>
          <t>Set Dept and Name Ranges</t>
        </is>
      </c>
    </row>
    <row r="20">
      <c r="B20" t="inlineStr">
        <is>
          <t>Does WIPDetail have Data</t>
        </is>
      </c>
    </row>
    <row r="25">
      <c r="E25" t="inlineStr">
        <is>
          <t>Acct</t>
        </is>
      </c>
      <c r="F25" t="inlineStr">
        <is>
          <t>Show Dept Form</t>
        </is>
      </c>
      <c r="G25" t="inlineStr">
        <is>
          <t>&gt;&gt;&gt;&gt;&gt;&gt;</t>
        </is>
      </c>
      <c r="H25" t="inlineStr">
        <is>
          <t>GetWIPDetail2</t>
        </is>
      </c>
    </row>
    <row r="29">
      <c r="C29" t="inlineStr">
        <is>
          <t>N</t>
        </is>
      </c>
      <c r="D29" t="inlineStr">
        <is>
          <t>Role?</t>
        </is>
      </c>
    </row>
    <row r="33">
      <c r="E33" t="inlineStr">
        <is>
          <t>Not Acct</t>
        </is>
      </c>
      <c r="F33" t="inlineStr">
        <is>
          <t>Not Ready for Ops Input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B3:F59"/>
  <sheetViews>
    <sheetView topLeftCell="A16" workbookViewId="0">
      <selection activeCell="D45" sqref="D45"/>
    </sheetView>
  </sheetViews>
  <sheetFormatPr baseColWidth="8" defaultRowHeight="13.2"/>
  <cols>
    <col width="12.44140625" customWidth="1" min="2" max="3"/>
    <col width="73.6640625" customWidth="1" min="4" max="5"/>
    <col width="14" bestFit="1" customWidth="1" min="6" max="6"/>
  </cols>
  <sheetData>
    <row r="2" ht="13.8" customHeight="1" thickBot="1"/>
    <row r="3" ht="13.8" customHeight="1" thickBot="1">
      <c r="B3" s="48" t="inlineStr">
        <is>
          <t>Date Added</t>
        </is>
      </c>
      <c r="C3" s="89" t="inlineStr">
        <is>
          <t>Layer</t>
        </is>
      </c>
      <c r="D3" s="49" t="inlineStr">
        <is>
          <t>Task</t>
        </is>
      </c>
      <c r="E3" s="50" t="inlineStr">
        <is>
          <t>Notes</t>
        </is>
      </c>
      <c r="F3" s="51" t="inlineStr">
        <is>
          <t>Date Completed</t>
        </is>
      </c>
    </row>
    <row r="4" ht="26.4" customHeight="1">
      <c r="B4" s="58" t="n">
        <v>45534</v>
      </c>
      <c r="C4" s="90" t="n"/>
      <c r="D4" s="52" t="inlineStr">
        <is>
          <t>Verify Role Security via P&amp;P Security</t>
        </is>
      </c>
      <c r="E4" s="53" t="inlineStr">
        <is>
          <t>Connection to Database completed.  Waiting on View to be created and new Role Security.  Need access to the TST Cloud Server to test.</t>
        </is>
      </c>
      <c r="F4" s="59" t="n"/>
    </row>
    <row r="5">
      <c r="B5" s="60" t="n">
        <v>45534</v>
      </c>
      <c r="C5" s="91" t="n"/>
      <c r="D5" s="54" t="inlineStr">
        <is>
          <t>Make Ready for Ops different for Ops and GAAP Views</t>
        </is>
      </c>
      <c r="E5" s="55" t="inlineStr">
        <is>
          <t>Not Needed</t>
        </is>
      </c>
      <c r="F5" s="61" t="n">
        <v>45535</v>
      </c>
    </row>
    <row r="6">
      <c r="B6" s="60" t="n">
        <v>45534</v>
      </c>
      <c r="C6" s="91" t="n"/>
      <c r="D6" s="54" t="inlineStr">
        <is>
          <t>Add/Revise Columns on JV Layer</t>
        </is>
      </c>
      <c r="E6" s="55" t="n"/>
      <c r="F6" s="61" t="n"/>
    </row>
    <row r="7" ht="26.4" customHeight="1">
      <c r="B7" s="60" t="n">
        <v>45534</v>
      </c>
      <c r="C7" s="91" t="n"/>
      <c r="D7" s="54" t="inlineStr">
        <is>
          <t>Bring all Data in to allow switch between Ops and GAAP without refreshing Data from Database</t>
        </is>
      </c>
      <c r="E7" s="55" t="n"/>
      <c r="F7" s="61" t="n">
        <v>45542</v>
      </c>
    </row>
    <row r="8">
      <c r="B8" s="60" t="n">
        <v>45534</v>
      </c>
      <c r="C8" s="91" t="n"/>
      <c r="D8" s="54" t="inlineStr">
        <is>
          <t>Add Security to lock down GAAP View except for ACCT Role</t>
        </is>
      </c>
      <c r="E8" s="55" t="n"/>
      <c r="F8" s="61" t="n">
        <v>45543</v>
      </c>
    </row>
    <row r="9">
      <c r="B9" s="60" t="n">
        <v>45545</v>
      </c>
      <c r="C9" s="91" t="n"/>
      <c r="D9" s="54" t="inlineStr">
        <is>
          <t>How do we handle individual Division Approvals?</t>
        </is>
      </c>
      <c r="E9" s="55" t="inlineStr">
        <is>
          <t>Will be handled via P&amp;P Security</t>
        </is>
      </c>
      <c r="F9" s="61" t="n">
        <v>45551</v>
      </c>
    </row>
    <row r="10">
      <c r="B10" s="60" t="n">
        <v>45546</v>
      </c>
      <c r="C10" s="91" t="n"/>
      <c r="D10" s="54" t="inlineStr">
        <is>
          <t>Clean Up Settings Sheet and Associated Unused Code</t>
        </is>
      </c>
      <c r="E10" s="55" t="n"/>
      <c r="F10" s="61" t="n">
        <v>45546</v>
      </c>
    </row>
    <row r="11">
      <c r="B11" s="60" t="n">
        <v>45546</v>
      </c>
      <c r="C11" s="91" t="n"/>
      <c r="D11" s="54" t="inlineStr">
        <is>
          <t>Add Option to prevent Changing or Sending data to Closed Month</t>
        </is>
      </c>
      <c r="E11" s="55" t="n"/>
      <c r="F11" s="61" t="n">
        <v>45546</v>
      </c>
    </row>
    <row r="12">
      <c r="B12" s="60" t="n">
        <v>45546</v>
      </c>
      <c r="C12" s="91" t="n"/>
      <c r="D12" s="54" t="inlineStr">
        <is>
          <t>Add Button to copy Ops to GAAP for ACCT Role</t>
        </is>
      </c>
      <c r="E12" s="55" t="n"/>
      <c r="F12" s="61" t="n">
        <v>45551</v>
      </c>
    </row>
    <row r="13">
      <c r="B13" s="60" t="n">
        <v>45546</v>
      </c>
      <c r="C13" s="91" t="n"/>
      <c r="D13" s="54" t="inlineStr">
        <is>
          <t>Carry Notes forward</t>
        </is>
      </c>
      <c r="E13" s="55" t="n"/>
      <c r="F13" s="61" t="n">
        <v>45548</v>
      </c>
    </row>
    <row r="14">
      <c r="B14" s="60" t="n">
        <v>45546</v>
      </c>
      <c r="C14" s="91" t="n"/>
      <c r="D14" s="64" t="inlineStr">
        <is>
          <t>Add Additional Rows to Form</t>
        </is>
      </c>
      <c r="E14" s="55" t="n"/>
      <c r="F14" s="61" t="n"/>
    </row>
    <row r="15">
      <c r="B15" s="60" t="n">
        <v>45548</v>
      </c>
      <c r="C15" s="91" t="n"/>
      <c r="D15" s="54" t="inlineStr">
        <is>
          <t>Should we pull in Notes (History) for Closed Jobs?</t>
        </is>
      </c>
      <c r="E15" s="55" t="inlineStr">
        <is>
          <t>Yes</t>
        </is>
      </c>
      <c r="F15" s="61" t="n">
        <v>45551</v>
      </c>
    </row>
    <row r="16">
      <c r="B16" s="60" t="n">
        <v>45550</v>
      </c>
      <c r="C16" s="91" t="n"/>
      <c r="D16" s="54" t="inlineStr">
        <is>
          <t>Do Notes Copy from Ops to GAAP?</t>
        </is>
      </c>
      <c r="E16" s="55" t="inlineStr">
        <is>
          <t xml:space="preserve">No </t>
        </is>
      </c>
      <c r="F16" s="61" t="n">
        <v>45551</v>
      </c>
    </row>
    <row r="17">
      <c r="B17" s="60" t="n">
        <v>45550</v>
      </c>
      <c r="C17" s="91" t="n"/>
      <c r="D17" s="54" t="inlineStr">
        <is>
          <t>Need to discuss Security.  Can a user be more than one role?</t>
        </is>
      </c>
      <c r="E17" s="55" t="inlineStr">
        <is>
          <t>No</t>
        </is>
      </c>
      <c r="F17" s="61" t="n">
        <v>45566</v>
      </c>
    </row>
    <row r="18">
      <c r="B18" s="60" t="n">
        <v>45551</v>
      </c>
      <c r="C18" s="91" t="n"/>
      <c r="D18" s="54" t="inlineStr">
        <is>
          <t>Should Override Values be saved if same as projected values?</t>
        </is>
      </c>
      <c r="E18" s="55" t="inlineStr">
        <is>
          <t>Yes</t>
        </is>
      </c>
      <c r="F18" s="61" t="n">
        <v>45566</v>
      </c>
    </row>
    <row r="19">
      <c r="B19" s="60" t="n">
        <v>45551</v>
      </c>
      <c r="C19" s="91" t="n"/>
      <c r="D19" s="64" t="inlineStr">
        <is>
          <t>Where do we share the WIP Schedule From?</t>
        </is>
      </c>
      <c r="E19" s="55" t="inlineStr">
        <is>
          <t>Sharepoint</t>
        </is>
      </c>
      <c r="F19" s="61" t="n">
        <v>45566</v>
      </c>
    </row>
    <row r="20">
      <c r="B20" s="60" t="n">
        <v>45551</v>
      </c>
      <c r="C20" s="91" t="n"/>
      <c r="D20" s="54" t="inlineStr">
        <is>
          <t>Can I use the Trimble ID?</t>
        </is>
      </c>
      <c r="E20" s="55" t="inlineStr">
        <is>
          <t>No</t>
        </is>
      </c>
      <c r="F20" s="61" t="n">
        <v>45551</v>
      </c>
    </row>
    <row r="21">
      <c r="B21" s="60" t="n">
        <v>45561</v>
      </c>
      <c r="C21" s="91" t="inlineStr">
        <is>
          <t>Projects</t>
        </is>
      </c>
      <c r="D21" s="54" t="inlineStr">
        <is>
          <t>Delete Shared Notes Coulmn</t>
        </is>
      </c>
      <c r="E21" s="55" t="n"/>
      <c r="F21" s="61" t="n">
        <v>45564</v>
      </c>
    </row>
    <row r="22">
      <c r="B22" s="60" t="n">
        <v>45565</v>
      </c>
      <c r="C22" s="91" t="inlineStr">
        <is>
          <t>Global</t>
        </is>
      </c>
      <c r="D22" s="54" t="inlineStr">
        <is>
          <t>Add Error Control and Set Column Widths</t>
        </is>
      </c>
      <c r="E22" s="55" t="n"/>
      <c r="F22" s="61" t="n">
        <v>45565</v>
      </c>
    </row>
    <row r="23">
      <c r="B23" s="60" t="n">
        <v>45562</v>
      </c>
      <c r="C23" s="91" t="inlineStr">
        <is>
          <t>Projects</t>
        </is>
      </c>
      <c r="D23" s="54" t="inlineStr">
        <is>
          <t>Update Projects form to allow for Adding / Changing Columns</t>
        </is>
      </c>
      <c r="E23" s="55" t="n"/>
      <c r="F23" s="61" t="n">
        <v>45565</v>
      </c>
    </row>
    <row r="24">
      <c r="B24" s="60" t="n">
        <v>45565</v>
      </c>
      <c r="C24" s="91" t="inlineStr">
        <is>
          <t>Global</t>
        </is>
      </c>
      <c r="D24" s="54" t="inlineStr">
        <is>
          <t>Add Upload Status Form</t>
        </is>
      </c>
      <c r="E24" s="55" t="n"/>
      <c r="F24" s="61" t="n">
        <v>45565</v>
      </c>
    </row>
    <row r="25">
      <c r="B25" s="60" t="n">
        <v>45563</v>
      </c>
      <c r="C25" s="91" t="inlineStr">
        <is>
          <t>Projects</t>
        </is>
      </c>
      <c r="D25" s="54" t="inlineStr">
        <is>
          <t>Add PM Projection Trend</t>
        </is>
      </c>
      <c r="E25" s="55" t="n"/>
      <c r="F25" s="61" t="n">
        <v>45563</v>
      </c>
    </row>
    <row r="26">
      <c r="B26" s="60" t="n"/>
      <c r="C26" s="91" t="n"/>
      <c r="D26" s="54" t="n"/>
      <c r="E26" s="55" t="n"/>
      <c r="F26" s="61" t="n"/>
    </row>
    <row r="27">
      <c r="B27" s="60" t="n"/>
      <c r="C27" s="91" t="n"/>
      <c r="D27" s="54" t="n"/>
      <c r="E27" s="55" t="n"/>
      <c r="F27" s="61" t="n"/>
    </row>
    <row r="28">
      <c r="B28" s="60" t="n"/>
      <c r="C28" s="91" t="n"/>
      <c r="D28" s="54" t="n"/>
      <c r="E28" s="55" t="n"/>
      <c r="F28" s="61" t="n"/>
    </row>
    <row r="29">
      <c r="B29" s="60" t="n"/>
      <c r="C29" s="91" t="n"/>
      <c r="D29" s="54" t="n"/>
      <c r="E29" s="55" t="n"/>
      <c r="F29" s="61" t="n"/>
    </row>
    <row r="30">
      <c r="B30" s="60" t="n"/>
      <c r="C30" s="91" t="n"/>
      <c r="D30" s="54" t="n"/>
      <c r="E30" s="55" t="n"/>
      <c r="F30" s="61" t="n"/>
    </row>
    <row r="31">
      <c r="B31" s="60" t="n"/>
      <c r="C31" s="91" t="n"/>
      <c r="D31" s="54" t="n"/>
      <c r="E31" s="55" t="n"/>
      <c r="F31" s="61" t="n"/>
    </row>
    <row r="32">
      <c r="B32" s="60" t="n">
        <v>45565</v>
      </c>
      <c r="C32" s="91" t="inlineStr">
        <is>
          <t>Projects</t>
        </is>
      </c>
      <c r="D32" s="54" t="inlineStr">
        <is>
          <t>Added Bonus Profit Columns and Notes</t>
        </is>
      </c>
      <c r="E32" s="55" t="n"/>
      <c r="F32" s="61" t="n">
        <v>45565</v>
      </c>
    </row>
    <row r="33">
      <c r="B33" s="60" t="n">
        <v>45565</v>
      </c>
      <c r="C33" s="91" t="inlineStr">
        <is>
          <t>Projects</t>
        </is>
      </c>
      <c r="D33" s="54" t="inlineStr">
        <is>
          <t>Add Prior Bonus Profit Comment</t>
        </is>
      </c>
      <c r="E33" s="55" t="n"/>
      <c r="F33" s="61" t="n">
        <v>45565</v>
      </c>
    </row>
    <row r="34">
      <c r="B34" s="60" t="n">
        <v>45565</v>
      </c>
      <c r="C34" s="91" t="inlineStr">
        <is>
          <t>Projects</t>
        </is>
      </c>
      <c r="D34" s="54" t="inlineStr">
        <is>
          <t>Columns AB and AC Change based on the View.  Should these be labeled Bonus?</t>
        </is>
      </c>
      <c r="E34" s="55" t="n"/>
      <c r="F34" s="61" t="n">
        <v>45569</v>
      </c>
    </row>
    <row r="35">
      <c r="B35" s="60" t="n">
        <v>45565</v>
      </c>
      <c r="C35" s="91" t="inlineStr">
        <is>
          <t>Projects</t>
        </is>
      </c>
      <c r="D35" s="54" t="inlineStr">
        <is>
          <t>Remove Outline Levels and replace with macros</t>
        </is>
      </c>
      <c r="E35" s="55" t="n"/>
      <c r="F35" s="61" t="n">
        <v>45565</v>
      </c>
    </row>
    <row r="36">
      <c r="B36" s="60" t="n"/>
      <c r="C36" s="91" t="inlineStr">
        <is>
          <t>Projects</t>
        </is>
      </c>
      <c r="D36" s="54" t="inlineStr">
        <is>
          <t>Add fields to be updated</t>
        </is>
      </c>
      <c r="E36" s="55" t="n"/>
      <c r="F36" s="61" t="n"/>
    </row>
    <row r="37">
      <c r="B37" s="60" t="n"/>
      <c r="C37" s="91" t="inlineStr">
        <is>
          <t>Projects</t>
        </is>
      </c>
      <c r="D37" s="54" t="n"/>
      <c r="E37" s="55" t="n"/>
      <c r="F37" s="61" t="n"/>
    </row>
    <row r="38">
      <c r="B38" s="60" t="n"/>
      <c r="C38" s="91" t="inlineStr">
        <is>
          <t>Projects</t>
        </is>
      </c>
      <c r="D38" s="54" t="n"/>
      <c r="E38" s="55" t="n"/>
      <c r="F38" s="61" t="n"/>
    </row>
    <row r="39">
      <c r="B39" s="60" t="n"/>
      <c r="C39" s="91" t="inlineStr">
        <is>
          <t>Projects</t>
        </is>
      </c>
      <c r="D39" s="54" t="n"/>
      <c r="E39" s="55" t="n"/>
      <c r="F39" s="61" t="n"/>
    </row>
    <row r="40">
      <c r="B40" s="60" t="n"/>
      <c r="C40" s="91" t="n"/>
      <c r="D40" s="54" t="n"/>
      <c r="E40" s="55" t="n"/>
      <c r="F40" s="61" t="n"/>
    </row>
    <row r="41">
      <c r="B41" s="60" t="n"/>
      <c r="C41" s="91" t="n"/>
      <c r="D41" s="54" t="n"/>
      <c r="E41" s="55" t="n"/>
      <c r="F41" s="61" t="n"/>
    </row>
    <row r="42">
      <c r="B42" s="60" t="n">
        <v>45565</v>
      </c>
      <c r="C42" s="91" t="inlineStr">
        <is>
          <t>JV</t>
        </is>
      </c>
      <c r="D42" s="54" t="inlineStr">
        <is>
          <t>Do we need Bonus Profit Notes?</t>
        </is>
      </c>
      <c r="E42" s="55" t="n"/>
      <c r="F42" s="61" t="n"/>
    </row>
    <row r="43">
      <c r="B43" s="60" t="n">
        <v>45566</v>
      </c>
      <c r="C43" s="91" t="inlineStr">
        <is>
          <t>JV</t>
        </is>
      </c>
      <c r="D43" s="54" t="inlineStr">
        <is>
          <t>Reset Column Colors on load</t>
        </is>
      </c>
      <c r="E43" s="55" t="n"/>
      <c r="F43" s="61" t="n"/>
    </row>
    <row r="44">
      <c r="B44" s="60" t="n">
        <v>45566</v>
      </c>
      <c r="C44" s="91" t="inlineStr">
        <is>
          <t>JV</t>
        </is>
      </c>
      <c r="D44" s="54" t="inlineStr">
        <is>
          <t>Add Macro to expand and Collapse Columns</t>
        </is>
      </c>
      <c r="E44" s="55" t="n"/>
      <c r="F44" s="61" t="n"/>
    </row>
    <row r="45">
      <c r="B45" s="60" t="n"/>
      <c r="C45" s="91" t="inlineStr">
        <is>
          <t>JV</t>
        </is>
      </c>
      <c r="D45" s="54" t="inlineStr">
        <is>
          <t>Add Heading Information</t>
        </is>
      </c>
      <c r="E45" s="55" t="n"/>
      <c r="F45" s="61" t="n"/>
    </row>
    <row r="46">
      <c r="B46" s="60" t="n"/>
      <c r="C46" s="91" t="n"/>
      <c r="D46" s="54" t="n"/>
      <c r="E46" s="55" t="n"/>
      <c r="F46" s="61" t="n"/>
    </row>
    <row r="47">
      <c r="B47" s="60" t="n"/>
      <c r="C47" s="91" t="n"/>
      <c r="D47" s="54" t="n"/>
      <c r="E47" s="55" t="n"/>
      <c r="F47" s="61" t="n"/>
    </row>
    <row r="48">
      <c r="B48" s="60" t="n"/>
      <c r="C48" s="91" t="n"/>
      <c r="D48" s="54" t="n"/>
      <c r="E48" s="55" t="n"/>
      <c r="F48" s="61" t="n"/>
    </row>
    <row r="49">
      <c r="B49" s="60" t="n">
        <v>45566</v>
      </c>
      <c r="C49" s="91" t="inlineStr">
        <is>
          <t>Global</t>
        </is>
      </c>
      <c r="D49" s="54" t="inlineStr">
        <is>
          <t>Read Only View</t>
        </is>
      </c>
      <c r="E49" s="55" t="n"/>
      <c r="F49" s="61" t="n"/>
    </row>
    <row r="50">
      <c r="B50" s="60" t="n"/>
      <c r="C50" s="91" t="n"/>
      <c r="D50" s="54" t="n"/>
      <c r="E50" s="55" t="n"/>
      <c r="F50" s="61" t="n"/>
    </row>
    <row r="51">
      <c r="B51" s="60" t="n"/>
      <c r="C51" s="91" t="n"/>
      <c r="D51" s="54" t="n"/>
      <c r="E51" s="55" t="n"/>
      <c r="F51" s="61" t="n"/>
    </row>
    <row r="52">
      <c r="B52" s="60" t="n"/>
      <c r="C52" s="91" t="n"/>
      <c r="D52" s="54" t="n"/>
      <c r="E52" s="55" t="n"/>
      <c r="F52" s="61" t="n"/>
    </row>
    <row r="53">
      <c r="B53" s="60" t="n"/>
      <c r="C53" s="91" t="n"/>
      <c r="D53" s="54" t="n"/>
      <c r="E53" s="55" t="n"/>
      <c r="F53" s="61" t="n"/>
    </row>
    <row r="54">
      <c r="B54" s="60" t="n"/>
      <c r="C54" s="91" t="n"/>
      <c r="D54" s="54" t="n"/>
      <c r="E54" s="55" t="n"/>
      <c r="F54" s="61" t="n"/>
    </row>
    <row r="55">
      <c r="B55" s="60" t="n"/>
      <c r="C55" s="91" t="n"/>
      <c r="D55" s="54" t="n"/>
      <c r="E55" s="55" t="n"/>
      <c r="F55" s="61" t="n"/>
    </row>
    <row r="56">
      <c r="B56" s="60" t="n"/>
      <c r="C56" s="91" t="n"/>
      <c r="D56" s="54" t="n"/>
      <c r="E56" s="55" t="n"/>
      <c r="F56" s="61" t="n"/>
    </row>
    <row r="57">
      <c r="B57" s="60" t="n"/>
      <c r="C57" s="91" t="n"/>
      <c r="D57" s="54" t="n"/>
      <c r="E57" s="55" t="n"/>
      <c r="F57" s="61" t="n"/>
    </row>
    <row r="58">
      <c r="B58" s="60" t="n"/>
      <c r="C58" s="91" t="n"/>
      <c r="D58" s="54" t="n"/>
      <c r="E58" s="55" t="n"/>
      <c r="F58" s="61" t="n"/>
    </row>
    <row r="59" ht="13.8" customHeight="1" thickBot="1">
      <c r="B59" s="62" t="n"/>
      <c r="C59" s="92" t="n"/>
      <c r="D59" s="56" t="n"/>
      <c r="E59" s="57" t="n"/>
      <c r="F59" s="63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Michael Roberts</dc:creator>
  <dc:title xmlns:dc="http://purl.org/dc/elements/1.1/">Req Import V3</dc:title>
  <dcterms:created xmlns:dcterms="http://purl.org/dc/terms/" xmlns:xsi="http://www.w3.org/2001/XMLSchema-instance" xsi:type="dcterms:W3CDTF">2007-06-05T20:44:54Z</dcterms:created>
  <dcterms:modified xmlns:dcterms="http://purl.org/dc/terms/" xmlns:xsi="http://www.w3.org/2001/XMLSchema-instance" xsi:type="dcterms:W3CDTF">2026-03-20T22:57:05Z</dcterms:modified>
  <cp:lastModifiedBy>Michael Roberts</cp:lastModifiedBy>
  <cp:lastPrinted>2013-10-07T20:04:01Z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0x010100B986E0D1971F7049B7F3BC4E84BD1CE5</vt:lpwstr>
  </property>
</Properties>
</file>