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35A4F8B3-6D1B-4AC7-8E5D-D283420B889C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7" i="82" l="1"/>
  <c r="AR16" i="82"/>
  <c r="AQ17" i="82"/>
  <c r="AQ16" i="82"/>
  <c r="AP17" i="82"/>
  <c r="AP16" i="82"/>
  <c r="AN17" i="82"/>
  <c r="AN16" i="82"/>
  <c r="AM17" i="82"/>
  <c r="AM16" i="82"/>
  <c r="AL17" i="82"/>
  <c r="AL16" i="82"/>
  <c r="AJ17" i="82"/>
  <c r="AJ16" i="82"/>
  <c r="AI17" i="82"/>
  <c r="AI16" i="82"/>
  <c r="AH17" i="82"/>
  <c r="AH16" i="82"/>
  <c r="AF17" i="82"/>
  <c r="AF16" i="82"/>
  <c r="AE17" i="82"/>
  <c r="AE16" i="82"/>
  <c r="AD17" i="82"/>
  <c r="AD16" i="82"/>
  <c r="AA17" i="82"/>
  <c r="AA16" i="82"/>
  <c r="Z17" i="82"/>
  <c r="Z16" i="82"/>
  <c r="Y17" i="82"/>
  <c r="Y16" i="82"/>
  <c r="X17" i="82"/>
  <c r="X16" i="82"/>
  <c r="W17" i="82"/>
  <c r="W16" i="82"/>
  <c r="S17" i="82"/>
  <c r="S16" i="82"/>
  <c r="R17" i="82"/>
  <c r="R16" i="82"/>
  <c r="Q17" i="82"/>
  <c r="Q16" i="82"/>
  <c r="N17" i="82"/>
  <c r="N16" i="82"/>
  <c r="M17" i="82"/>
  <c r="M16" i="82"/>
  <c r="J17" i="82"/>
  <c r="J16" i="82"/>
  <c r="F17" i="82"/>
  <c r="F16" i="82"/>
  <c r="E17" i="82"/>
  <c r="E16" i="82"/>
  <c r="AN14" i="82"/>
  <c r="AI14" i="82"/>
  <c r="AD14" i="82"/>
  <c r="X14" i="82"/>
  <c r="Q14" i="82"/>
  <c r="F14" i="82"/>
  <c r="AR12" i="82"/>
  <c r="AQ12" i="82"/>
  <c r="AQ14" i="82" s="1"/>
  <c r="AP12" i="82"/>
  <c r="AP14" i="82" s="1"/>
  <c r="AN12" i="82"/>
  <c r="AN18" i="82" s="1"/>
  <c r="AM12" i="82"/>
  <c r="AL12" i="82"/>
  <c r="AL14" i="82" s="1"/>
  <c r="AJ12" i="82"/>
  <c r="AJ14" i="82" s="1"/>
  <c r="AI12" i="82"/>
  <c r="AI18" i="82" s="1"/>
  <c r="AH12" i="82"/>
  <c r="AF12" i="82"/>
  <c r="AF14" i="82" s="1"/>
  <c r="AE12" i="82"/>
  <c r="AE14" i="82" s="1"/>
  <c r="AD12" i="82"/>
  <c r="AD18" i="82" s="1"/>
  <c r="AA12" i="82"/>
  <c r="Z12" i="82"/>
  <c r="Z14" i="82" s="1"/>
  <c r="Y12" i="82"/>
  <c r="Y14" i="82" s="1"/>
  <c r="X12" i="82"/>
  <c r="X18" i="82" s="1"/>
  <c r="W12" i="82"/>
  <c r="S12" i="82"/>
  <c r="S14" i="82" s="1"/>
  <c r="R12" i="82"/>
  <c r="R14" i="82" s="1"/>
  <c r="Q12" i="82"/>
  <c r="Q18" i="82" s="1"/>
  <c r="N12" i="82"/>
  <c r="M12" i="82"/>
  <c r="M14" i="82" s="1"/>
  <c r="J12" i="82"/>
  <c r="F12" i="82"/>
  <c r="F18" i="82" s="1"/>
  <c r="E12" i="82"/>
  <c r="AW17" i="75"/>
  <c r="AW16" i="75"/>
  <c r="AV17" i="75"/>
  <c r="AV16" i="75"/>
  <c r="AU17" i="75"/>
  <c r="AU16" i="75"/>
  <c r="AS17" i="75"/>
  <c r="AS16" i="75"/>
  <c r="AR17" i="75"/>
  <c r="AR16" i="75"/>
  <c r="AQ17" i="75"/>
  <c r="AQ16" i="75"/>
  <c r="AN17" i="75"/>
  <c r="AN16" i="75"/>
  <c r="AM17" i="75"/>
  <c r="AM16" i="75"/>
  <c r="AL17" i="75"/>
  <c r="AL16" i="75"/>
  <c r="AI17" i="75"/>
  <c r="AI16" i="75"/>
  <c r="AH17" i="75"/>
  <c r="AH16" i="75"/>
  <c r="AG17" i="75"/>
  <c r="AG16" i="75"/>
  <c r="AD17" i="75"/>
  <c r="AD16" i="75"/>
  <c r="AC17" i="75"/>
  <c r="AC16" i="75"/>
  <c r="AO17" i="75"/>
  <c r="AO16" i="75"/>
  <c r="AJ17" i="75"/>
  <c r="AJ16" i="75"/>
  <c r="Z17" i="75"/>
  <c r="Z16" i="75"/>
  <c r="V17" i="75"/>
  <c r="V16" i="75"/>
  <c r="Y17" i="75"/>
  <c r="Y16" i="75"/>
  <c r="X17" i="75"/>
  <c r="X16" i="75"/>
  <c r="W17" i="75"/>
  <c r="W16" i="75"/>
  <c r="R17" i="75"/>
  <c r="R16" i="75"/>
  <c r="Q17" i="75"/>
  <c r="Q16" i="75"/>
  <c r="P17" i="75"/>
  <c r="P16" i="75"/>
  <c r="M17" i="75"/>
  <c r="M16" i="75"/>
  <c r="L17" i="75"/>
  <c r="L16" i="75"/>
  <c r="I17" i="75"/>
  <c r="I16" i="75"/>
  <c r="F17" i="75"/>
  <c r="F16" i="75"/>
  <c r="E17" i="75"/>
  <c r="E16" i="75"/>
  <c r="AW12" i="75"/>
  <c r="AV12" i="75"/>
  <c r="AV14" i="75" s="1"/>
  <c r="AU12" i="75"/>
  <c r="AU14" i="75" s="1"/>
  <c r="AS12" i="75"/>
  <c r="AR12" i="75"/>
  <c r="AQ12" i="75"/>
  <c r="AQ14" i="75" s="1"/>
  <c r="AN12" i="75"/>
  <c r="AN14" i="75" s="1"/>
  <c r="AM12" i="75"/>
  <c r="AL12" i="75"/>
  <c r="AI12" i="75"/>
  <c r="AI14" i="75" s="1"/>
  <c r="AH12" i="75"/>
  <c r="AH14" i="75" s="1"/>
  <c r="AG12" i="75"/>
  <c r="AD12" i="75"/>
  <c r="AC12" i="75"/>
  <c r="AC14" i="75" s="1"/>
  <c r="AO12" i="75"/>
  <c r="AO14" i="75" s="1"/>
  <c r="AJ12" i="75"/>
  <c r="Z12" i="75"/>
  <c r="V12" i="75"/>
  <c r="V14" i="75" s="1"/>
  <c r="Y12" i="75"/>
  <c r="Y14" i="75" s="1"/>
  <c r="X12" i="75"/>
  <c r="W12" i="75"/>
  <c r="R12" i="75"/>
  <c r="R14" i="75" s="1"/>
  <c r="Q12" i="75"/>
  <c r="Q14" i="75" s="1"/>
  <c r="P12" i="75"/>
  <c r="M12" i="75"/>
  <c r="L12" i="75"/>
  <c r="L14" i="75" s="1"/>
  <c r="I12" i="75"/>
  <c r="I14" i="75" s="1"/>
  <c r="F12" i="75"/>
  <c r="E12" i="75"/>
  <c r="AS6" i="75"/>
  <c r="AC6" i="75"/>
  <c r="AM18" i="82" l="1"/>
  <c r="Y18" i="82"/>
  <c r="E14" i="82"/>
  <c r="E18" i="82" s="1"/>
  <c r="N14" i="82"/>
  <c r="N18" i="82" s="1"/>
  <c r="W14" i="82"/>
  <c r="W18" i="82" s="1"/>
  <c r="AA14" i="82"/>
  <c r="AA18" i="82" s="1"/>
  <c r="AH14" i="82"/>
  <c r="AH18" i="82" s="1"/>
  <c r="AM14" i="82"/>
  <c r="AR14" i="82"/>
  <c r="AR18" i="82" s="1"/>
  <c r="M18" i="82"/>
  <c r="S18" i="82"/>
  <c r="Z18" i="82"/>
  <c r="AF18" i="82"/>
  <c r="AL18" i="82"/>
  <c r="AQ18" i="82"/>
  <c r="AE18" i="82"/>
  <c r="AJ18" i="82"/>
  <c r="AP18" i="82"/>
  <c r="R18" i="82"/>
  <c r="J14" i="82"/>
  <c r="J18" i="82" s="1"/>
  <c r="M18" i="75"/>
  <c r="Z18" i="75"/>
  <c r="AL18" i="75"/>
  <c r="AW18" i="75"/>
  <c r="E14" i="75"/>
  <c r="E18" i="75" s="1"/>
  <c r="M14" i="75"/>
  <c r="W14" i="75"/>
  <c r="W18" i="75" s="1"/>
  <c r="Z14" i="75"/>
  <c r="AD14" i="75"/>
  <c r="AD18" i="75" s="1"/>
  <c r="AL14" i="75"/>
  <c r="AR14" i="75"/>
  <c r="AR18" i="75" s="1"/>
  <c r="AW14" i="75"/>
  <c r="L18" i="75"/>
  <c r="R18" i="75"/>
  <c r="V18" i="75"/>
  <c r="AC18" i="75"/>
  <c r="AI18" i="75"/>
  <c r="AQ18" i="75"/>
  <c r="AV18" i="75"/>
  <c r="F14" i="75"/>
  <c r="F18" i="75" s="1"/>
  <c r="P14" i="75"/>
  <c r="P18" i="75" s="1"/>
  <c r="X14" i="75"/>
  <c r="X18" i="75" s="1"/>
  <c r="AJ14" i="75"/>
  <c r="AJ18" i="75" s="1"/>
  <c r="AG14" i="75"/>
  <c r="AG18" i="75" s="1"/>
  <c r="AM14" i="75"/>
  <c r="AM18" i="75" s="1"/>
  <c r="AS14" i="75"/>
  <c r="AS18" i="75" s="1"/>
  <c r="I18" i="75"/>
  <c r="Q18" i="75"/>
  <c r="Y18" i="75"/>
  <c r="AO18" i="75"/>
  <c r="AH18" i="75"/>
  <c r="AN18" i="75"/>
  <c r="AU1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11" authorId="0" shapeId="0" xr:uid="{55746B7C-DCA5-4417-9697-8B19912B3361}">
      <text>
        <r>
          <rPr>
            <sz val="10"/>
            <color indexed="81"/>
            <rFont val="Arial"/>
            <family val="2"/>
          </rPr>
          <t>1 - 243,895_x000D_
2 - 243,895_x000D_
3 - 243,895_x000D_
4 - 243,895_x000D_
5 - 243,895_x000D_
6 - 243,895</t>
        </r>
      </text>
    </comment>
    <comment ref="M11" authorId="0" shapeId="0" xr:uid="{BB7DB40C-9CB4-4705-8775-844E82365F84}">
      <text>
        <r>
          <rPr>
            <sz val="10"/>
            <color indexed="81"/>
            <rFont val="Arial"/>
            <family val="2"/>
          </rPr>
          <t>1 - 232,281_x000D_
2 - 232,281_x000D_
3 - 232,281_x000D_
4 - 232,281_x000D_
5 - 232,281_x000D_
6 - 232,281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11" authorId="0" shapeId="0" xr:uid="{4F602CEE-8072-49A4-87E2-BF45CBB9AE95}">
      <text>
        <r>
          <rPr>
            <sz val="10"/>
            <color indexed="81"/>
            <rFont val="Arial"/>
            <family val="2"/>
          </rPr>
          <t>1 - 0_x000D_
2 - 0_x000D_
3 - 243,895_x000D_
4 - 0_x000D_
5 - 0_x000D_
6 - 243,895</t>
        </r>
      </text>
    </comment>
    <comment ref="N11" authorId="0" shapeId="0" xr:uid="{076E97E1-B87B-4E3A-B92F-429D6225004C}">
      <text>
        <r>
          <rPr>
            <sz val="10"/>
            <color indexed="81"/>
            <rFont val="Arial"/>
            <family val="2"/>
          </rPr>
          <t>1 - 0_x000D_
2 - 0_x000D_
3 - 232,281_x000D_
4 - 0_x000D_
5 - 0_x000D_
6 - 232,281</t>
        </r>
      </text>
    </comment>
  </commentList>
</comments>
</file>

<file path=xl/sharedStrings.xml><?xml version="1.0" encoding="utf-8"?>
<sst xmlns="http://schemas.openxmlformats.org/spreadsheetml/2006/main" count="4704" uniqueCount="648">
  <si>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</si>
  <si>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</si>
  <si>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</si>
  <si>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</si>
  <si>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</si>
  <si>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</si>
  <si>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</si>
  <si>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</si>
  <si>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</si>
  <si>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</si>
  <si>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</si>
  <si>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</si>
  <si>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</si>
  <si>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</si>
  <si>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</si>
  <si>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</si>
  <si>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</si>
  <si>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</si>
  <si>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</si>
  <si>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</si>
  <si>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</si>
  <si>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</si>
  <si>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</si>
  <si>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</si>
  <si>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</si>
  <si>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</si>
  <si>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</si>
  <si>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</si>
  <si>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</si>
  <si>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</si>
  <si>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</si>
  <si>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</si>
  <si>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</si>
  <si>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</si>
  <si>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</si>
  <si>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</si>
  <si>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</si>
  <si>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</si>
  <si>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</si>
  <si>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</si>
  <si>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</si>
  <si>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</si>
  <si>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</si>
  <si>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</si>
  <si>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</si>
  <si>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</si>
  <si>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</si>
  <si>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</si>
  <si>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</si>
  <si>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</si>
  <si>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</si>
  <si>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</si>
  <si>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</si>
  <si>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</si>
  <si>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</si>
  <si>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</si>
  <si>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</si>
  <si>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</si>
  <si>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</si>
  <si>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</si>
  <si>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</si>
  <si>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</si>
  <si>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</si>
  <si>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</si>
  <si>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</si>
  <si>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</si>
  <si>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</si>
  <si>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</si>
  <si>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</si>
  <si>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</si>
  <si>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</si>
  <si>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</si>
  <si>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</si>
  <si>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</si>
  <si>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</si>
  <si>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</si>
  <si>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</si>
  <si>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</si>
  <si>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</si>
  <si>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</si>
  <si>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</si>
  <si>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</si>
  <si>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</si>
  <si>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</si>
  <si>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</si>
  <si>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</si>
  <si>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</si>
  <si>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</si>
  <si>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</si>
  <si>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</si>
  <si>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</si>
  <si>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</si>
  <si>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</si>
  <si>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</si>
  <si>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</si>
  <si>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</si>
  <si>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</si>
  <si>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</si>
  <si>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</si>
  <si>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</si>
  <si>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</si>
  <si>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</si>
  <si>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</si>
  <si>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</si>
  <si>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</si>
  <si>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</si>
  <si>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</si>
  <si>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</si>
  <si>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</si>
  <si>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</si>
  <si>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</si>
  <si>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</si>
  <si>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</si>
  <si>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</si>
  <si>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</si>
  <si>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</si>
  <si>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</si>
  <si>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</si>
  <si>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</si>
  <si>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</si>
  <si>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</si>
  <si>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</si>
  <si>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</si>
  <si>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</si>
  <si>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</si>
  <si>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</si>
  <si>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</si>
  <si>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</si>
  <si>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</si>
  <si>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</si>
  <si>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</si>
  <si>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</si>
  <si>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</si>
  <si>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</si>
  <si>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</si>
  <si>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</si>
  <si>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</si>
  <si>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</si>
  <si>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</si>
  <si>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</si>
  <si>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</si>
  <si>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</si>
  <si>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</si>
  <si>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</si>
  <si>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</si>
  <si>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</si>
  <si>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</si>
  <si>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</si>
  <si>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</si>
  <si>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</si>
  <si>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</si>
  <si>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</si>
  <si>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</si>
  <si>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</si>
  <si>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</si>
  <si>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</si>
  <si>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</si>
  <si>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</si>
  <si>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</si>
  <si>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</si>
  <si>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</si>
  <si>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</si>
  <si>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</si>
  <si>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</si>
  <si>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</si>
  <si>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</si>
  <si>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</si>
  <si>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</si>
  <si>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</si>
  <si>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</si>
  <si>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</si>
  <si>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</si>
  <si>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</si>
  <si>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</si>
  <si>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</si>
  <si>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</si>
  <si>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</si>
  <si>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</si>
  <si>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</si>
  <si>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</si>
  <si>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</si>
  <si>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</si>
  <si>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</si>
  <si>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</si>
  <si>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</si>
  <si>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</si>
  <si>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</si>
  <si>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</si>
  <si>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</si>
  <si>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</si>
  <si>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</si>
  <si>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</si>
  <si>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</si>
  <si>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</si>
  <si>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</si>
  <si>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</si>
  <si>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</si>
  <si>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</si>
  <si>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</si>
  <si>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</si>
  <si>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</si>
  <si>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</si>
  <si>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</si>
  <si>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</si>
  <si>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</si>
  <si>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</si>
  <si>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</si>
  <si>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</si>
  <si>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</si>
  <si>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</si>
  <si>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</si>
  <si>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</si>
  <si>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</si>
  <si>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</si>
  <si>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</si>
  <si>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</si>
  <si>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</si>
  <si>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</si>
  <si>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</si>
  <si>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</si>
  <si>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</si>
  <si>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</si>
  <si>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</si>
  <si>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</si>
  <si>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</si>
  <si>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</si>
  <si>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</si>
  <si>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</si>
  <si>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</si>
  <si>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</si>
  <si>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</si>
  <si>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</si>
  <si>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</si>
  <si>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</si>
  <si>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</si>
  <si>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</si>
  <si>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</si>
  <si>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</si>
  <si>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</si>
  <si>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</si>
  <si>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</si>
  <si>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</si>
  <si>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</si>
  <si>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</si>
  <si>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</si>
  <si>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</si>
  <si>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</si>
  <si>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</si>
  <si>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</si>
  <si>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</si>
  <si>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</si>
  <si>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</si>
  <si>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</si>
  <si>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</si>
  <si>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</si>
  <si>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</si>
  <si>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</si>
  <si>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</si>
  <si>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</si>
  <si>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</si>
  <si>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</si>
  <si>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</si>
  <si>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</si>
  <si>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</si>
  <si>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</si>
  <si>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</si>
  <si>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</si>
  <si>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</si>
  <si>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</si>
  <si>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</si>
  <si>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</si>
  <si>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</si>
  <si>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</si>
  <si>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</si>
  <si>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</si>
  <si>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</si>
  <si>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</si>
  <si>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</si>
  <si>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</si>
  <si>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</si>
  <si>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</si>
  <si>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</si>
  <si>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</si>
  <si>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</si>
  <si>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</si>
  <si>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</si>
  <si>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</si>
  <si>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</si>
  <si>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</si>
  <si>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</si>
  <si>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</si>
  <si>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</si>
  <si>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</si>
  <si>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</si>
  <si>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</si>
  <si>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</si>
  <si>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</si>
  <si>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</si>
  <si>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</si>
  <si>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</si>
  <si>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</si>
  <si>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</si>
  <si>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</si>
  <si>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</si>
  <si>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</si>
  <si>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</si>
  <si>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</si>
  <si>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</si>
  <si>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</si>
  <si>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</si>
  <si>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</si>
  <si>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</si>
  <si>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</si>
  <si>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</si>
  <si>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</si>
  <si>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</si>
  <si>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</si>
  <si>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</si>
  <si>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</si>
  <si>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</si>
  <si>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</si>
  <si>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</si>
  <si>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</si>
  <si>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</si>
  <si>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</si>
  <si>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</si>
  <si>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</si>
  <si>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</si>
  <si>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</si>
  <si>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</si>
  <si>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</si>
  <si>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</si>
  <si>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</si>
  <si>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</si>
  <si>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</si>
  <si>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</si>
  <si>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</si>
  <si>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</si>
  <si>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</si>
  <si>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</si>
  <si>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</si>
  <si>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</si>
  <si>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</si>
  <si>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</si>
  <si>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</si>
  <si>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</si>
  <si>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</si>
  <si>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</si>
  <si>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</si>
  <si>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</si>
  <si>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</si>
  <si>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</si>
  <si>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</si>
  <si>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</si>
  <si>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</si>
  <si>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</si>
  <si>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</si>
  <si>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</si>
  <si>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</si>
  <si>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</si>
  <si>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</si>
  <si>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</si>
  <si>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</si>
  <si>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</si>
  <si>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</si>
  <si>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</si>
  <si>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</si>
  <si>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</si>
  <si>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</si>
  <si>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</si>
  <si>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</si>
  <si>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</si>
  <si>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</si>
  <si>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</si>
  <si>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</si>
  <si>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</si>
  <si>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</si>
  <si>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</si>
  <si>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</si>
  <si>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</si>
  <si>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</si>
  <si>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</si>
  <si>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</si>
  <si>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</si>
  <si>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</si>
  <si>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</si>
  <si>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</si>
  <si>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</si>
  <si>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</si>
  <si>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</si>
  <si>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</si>
  <si>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</si>
  <si>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</si>
  <si>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</si>
  <si>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</si>
  <si>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</si>
  <si>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</si>
  <si>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</si>
  <si>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</si>
  <si>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</si>
  <si>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</si>
  <si>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</si>
  <si>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</si>
  <si>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</si>
  <si>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</si>
  <si>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</si>
  <si>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</si>
  <si>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</si>
  <si>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</si>
  <si>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</si>
  <si>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</si>
  <si>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</si>
  <si>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</si>
  <si>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</si>
  <si>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</si>
  <si>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</si>
  <si>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</si>
  <si>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</si>
  <si>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</si>
  <si>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</si>
  <si>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</si>
  <si>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</si>
  <si>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</si>
  <si>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</si>
  <si>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</si>
  <si>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</si>
  <si>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</si>
  <si>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</si>
  <si>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</si>
  <si>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</si>
  <si>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</si>
  <si>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</si>
  <si>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</si>
  <si>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</si>
  <si>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</si>
  <si>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</si>
  <si>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</si>
  <si>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</si>
  <si>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</si>
  <si>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</si>
  <si>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</si>
  <si>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</si>
  <si>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</si>
  <si>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</si>
  <si>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</si>
  <si>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</si>
  <si>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</si>
  <si>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</si>
  <si>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</si>
  <si>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</si>
  <si>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</si>
  <si>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</si>
  <si>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</si>
  <si>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</si>
  <si>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</si>
  <si>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</si>
  <si>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</si>
  <si>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</si>
  <si>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</si>
  <si>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</si>
  <si>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</si>
  <si>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</si>
  <si>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</si>
  <si>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</si>
  <si>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</si>
  <si>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</si>
  <si>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</si>
  <si>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</si>
  <si>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</si>
  <si>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</si>
  <si>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</si>
  <si>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</si>
  <si>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</si>
  <si>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</si>
  <si>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</si>
  <si>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</si>
  <si>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</si>
  <si>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</si>
  <si>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</si>
  <si>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</si>
  <si>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</si>
  <si>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</si>
  <si>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</si>
  <si>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</si>
  <si>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</si>
  <si>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</si>
  <si>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</si>
  <si>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</si>
  <si>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</si>
  <si>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</si>
  <si>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</si>
  <si>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</si>
  <si>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</si>
  <si>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</si>
  <si>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</si>
  <si>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</si>
  <si>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</si>
  <si>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</si>
  <si>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</si>
  <si>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</si>
  <si>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</si>
  <si>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</si>
  <si>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</si>
  <si>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</si>
  <si>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</si>
  <si>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</si>
  <si>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</si>
  <si>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</si>
  <si>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</si>
  <si>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</si>
  <si>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</si>
  <si>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</si>
  <si>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</si>
  <si>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</si>
  <si>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</si>
  <si>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</si>
  <si>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</si>
  <si>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</si>
  <si>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</si>
  <si>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</si>
  <si>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</si>
  <si>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</si>
  <si>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</si>
  <si>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</si>
  <si>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</si>
  <si>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</si>
  <si>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</si>
  <si>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</si>
  <si>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</si>
  <si>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</si>
  <si>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</si>
  <si>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</si>
  <si>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</si>
  <si>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</si>
  <si>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</si>
  <si>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</si>
  <si>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</si>
  <si>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</si>
  <si>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</si>
  <si>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</si>
  <si>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</si>
  <si>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</si>
  <si>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</si>
  <si>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</si>
  <si>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</si>
  <si>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</si>
  <si>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</si>
  <si>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</si>
  <si>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</si>
  <si>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</si>
  <si>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</si>
  <si>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</si>
  <si>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</si>
  <si>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</si>
  <si>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</si>
  <si>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</si>
  <si>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</si>
  <si>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</si>
  <si>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</si>
  <si>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</si>
  <si>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</si>
  <si>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</si>
  <si>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</si>
  <si>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</si>
  <si>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</si>
  <si>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</si>
  <si>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</si>
  <si>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</si>
  <si>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</si>
  <si>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</si>
  <si>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</si>
  <si>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</si>
  <si>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</si>
  <si>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</si>
  <si>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</si>
  <si>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</si>
  <si>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</si>
  <si>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</si>
  <si>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</si>
  <si>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</si>
  <si>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</si>
  <si>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</si>
  <si>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</si>
  <si>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</si>
  <si>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</si>
  <si>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</si>
  <si>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</si>
  <si>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</si>
  <si>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</si>
  <si>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</si>
  <si>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</si>
  <si>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</si>
  <si>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</si>
  <si>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</si>
  <si>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</si>
  <si>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</si>
  <si>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</si>
  <si>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</si>
  <si>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</si>
  <si>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</si>
  <si>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</si>
  <si>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</si>
  <si>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</si>
  <si>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</si>
  <si>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</si>
  <si>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</si>
  <si>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</si>
  <si>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</si>
  <si>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</si>
  <si>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</si>
  <si>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</si>
  <si>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</si>
  <si>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</si>
  <si>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</si>
  <si>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</si>
  <si>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</si>
  <si>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</si>
  <si>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</si>
  <si>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</si>
  <si>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</si>
  <si>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</si>
  <si>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</si>
  <si>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</si>
  <si>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</si>
  <si>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</si>
  <si>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</si>
  <si>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</si>
  <si>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</si>
  <si>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</si>
  <si>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</si>
  <si>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</si>
  <si>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</si>
  <si>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</si>
  <si>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</si>
  <si>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</si>
  <si>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>Division 31</t>
  </si>
  <si>
    <t>31.1054.</t>
  </si>
  <si>
    <t xml:space="preserve">    VVWRA DAF3  -   T&amp;M, Service Agreement</t>
  </si>
  <si>
    <t>John Sloan</t>
  </si>
  <si>
    <t>31.1055.</t>
  </si>
  <si>
    <t xml:space="preserve">    Industrial Division - Administration OH 2024 FY</t>
  </si>
  <si>
    <t>31.1059.</t>
  </si>
  <si>
    <t xml:space="preserve">    ECWAP</t>
  </si>
  <si>
    <t xml:space="preserve">  Division 31 Closed Job Totals</t>
  </si>
  <si>
    <t>Division 31 Totals</t>
  </si>
  <si>
    <t>Company 13 Grand Totals</t>
  </si>
  <si>
    <t>Company 13 Open Job Totals</t>
  </si>
  <si>
    <t>Company 13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</si>
</sst>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31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y5XJrHNhnFWuDxhGVGp3fnrJBeXFlDVY+9iGT/TBpu2y8qIS1Md0c84B6uaN4KNjsGlsYGUjBu79bgYzHKulVQ==" saltValue="hI/qZ5B+SLbqsxbA4Irsq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635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636</v>
      </c>
      <c r="B9" s="232" t="s">
        <v>637</v>
      </c>
      <c r="C9" s="232" t="s">
        <v>638</v>
      </c>
      <c r="D9" s="233"/>
      <c r="E9" s="234">
        <v>120000</v>
      </c>
      <c r="F9" s="235">
        <v>120000</v>
      </c>
      <c r="G9" s="236"/>
      <c r="H9" s="237"/>
      <c r="I9" s="238">
        <v>120000</v>
      </c>
      <c r="J9" s="249"/>
      <c r="K9" s="240"/>
      <c r="L9" s="8">
        <v>314975.51</v>
      </c>
      <c r="M9" s="241">
        <v>314975.51</v>
      </c>
      <c r="N9" s="72"/>
      <c r="O9" s="100"/>
      <c r="P9" s="9"/>
      <c r="Q9" s="9"/>
      <c r="R9" s="9"/>
      <c r="S9" s="152">
        <v>45744</v>
      </c>
      <c r="T9" s="10"/>
      <c r="U9" s="23"/>
      <c r="V9" s="11"/>
      <c r="W9" s="11"/>
      <c r="X9" s="8">
        <v>314975.51</v>
      </c>
      <c r="Y9" s="9"/>
      <c r="Z9" s="70">
        <v>0</v>
      </c>
      <c r="AA9" s="72"/>
      <c r="AB9" s="108"/>
      <c r="AC9" s="9"/>
      <c r="AD9" s="9"/>
      <c r="AE9" s="10"/>
      <c r="AF9" s="24">
        <v>0</v>
      </c>
      <c r="AG9" s="11">
        <v>330724.45</v>
      </c>
      <c r="AH9" s="8">
        <v>314975.51</v>
      </c>
      <c r="AI9" s="9">
        <v>15748.94</v>
      </c>
      <c r="AJ9" s="9">
        <v>15748.94</v>
      </c>
      <c r="AK9" s="10"/>
      <c r="AL9" s="11"/>
      <c r="AM9" s="8">
        <v>0</v>
      </c>
      <c r="AN9" s="9"/>
      <c r="AO9" s="9"/>
      <c r="AP9" s="10"/>
      <c r="AQ9" s="25"/>
      <c r="AR9" s="25"/>
      <c r="AS9" s="25"/>
      <c r="AT9" s="10"/>
      <c r="AU9" s="12">
        <v>330724.45</v>
      </c>
      <c r="AV9" s="12"/>
      <c r="AW9" s="12"/>
      <c r="AX9" s="242"/>
      <c r="AY9" s="243"/>
      <c r="AZ9" s="242"/>
      <c r="BA9" s="242"/>
      <c r="BB9" s="244"/>
      <c r="BC9" s="243"/>
      <c r="BD9" s="243"/>
      <c r="BE9" s="242">
        <v>0</v>
      </c>
      <c r="BF9" s="242">
        <v>0</v>
      </c>
      <c r="BG9" s="242">
        <v>0</v>
      </c>
      <c r="BH9" s="242">
        <v>0</v>
      </c>
      <c r="BI9" s="242">
        <v>0</v>
      </c>
      <c r="BJ9" s="242">
        <v>0</v>
      </c>
      <c r="BK9" s="242">
        <v>0</v>
      </c>
      <c r="BL9" s="242"/>
      <c r="BM9" s="242">
        <v>2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/>
      <c r="CD9" s="242">
        <v>0</v>
      </c>
      <c r="CE9" s="248">
        <v>314975.51</v>
      </c>
      <c r="CF9" s="248">
        <v>0</v>
      </c>
      <c r="CG9" s="248">
        <v>314975.51</v>
      </c>
      <c r="CH9" s="248">
        <v>0</v>
      </c>
      <c r="CI9" s="247" t="s">
        <v>633</v>
      </c>
      <c r="CJ9" s="248">
        <v>314975.51</v>
      </c>
      <c r="CK9" s="248">
        <v>0</v>
      </c>
      <c r="CL9" s="248">
        <v>330724.45</v>
      </c>
      <c r="CM9" s="248">
        <v>0</v>
      </c>
    </row>
    <row r="10" spans="1:102" x14ac:dyDescent="0.25">
      <c r="A10" s="231" t="s">
        <v>639</v>
      </c>
      <c r="B10" s="232" t="s">
        <v>640</v>
      </c>
      <c r="C10" s="232" t="s">
        <v>638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46808.75</v>
      </c>
      <c r="M10" s="241">
        <v>46808.75</v>
      </c>
      <c r="N10" s="72"/>
      <c r="O10" s="100"/>
      <c r="P10" s="9"/>
      <c r="Q10" s="9"/>
      <c r="R10" s="9"/>
      <c r="S10" s="152">
        <v>45744</v>
      </c>
      <c r="T10" s="10"/>
      <c r="U10" s="23"/>
      <c r="V10" s="11"/>
      <c r="W10" s="11"/>
      <c r="X10" s="8">
        <v>46808.75</v>
      </c>
      <c r="Y10" s="9"/>
      <c r="Z10" s="70">
        <v>0</v>
      </c>
      <c r="AA10" s="72"/>
      <c r="AB10" s="108"/>
      <c r="AC10" s="9"/>
      <c r="AD10" s="9"/>
      <c r="AE10" s="10"/>
      <c r="AF10" s="24">
        <v>0</v>
      </c>
      <c r="AG10" s="11">
        <v>0</v>
      </c>
      <c r="AH10" s="8">
        <v>46808.75</v>
      </c>
      <c r="AI10" s="9">
        <v>-46808.75</v>
      </c>
      <c r="AJ10" s="9">
        <v>-46808.75</v>
      </c>
      <c r="AK10" s="10"/>
      <c r="AL10" s="11"/>
      <c r="AM10" s="8">
        <v>0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/>
      <c r="BD10" s="243"/>
      <c r="BE10" s="242">
        <v>0</v>
      </c>
      <c r="BF10" s="242">
        <v>0</v>
      </c>
      <c r="BG10" s="242">
        <v>0</v>
      </c>
      <c r="BH10" s="242">
        <v>0</v>
      </c>
      <c r="BI10" s="242">
        <v>0</v>
      </c>
      <c r="BJ10" s="242">
        <v>0</v>
      </c>
      <c r="BK10" s="242">
        <v>0</v>
      </c>
      <c r="BL10" s="242"/>
      <c r="BM10" s="242">
        <v>2</v>
      </c>
      <c r="BN10" s="242">
        <v>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/>
      <c r="CD10" s="242">
        <v>0</v>
      </c>
      <c r="CE10" s="248">
        <v>46808.75</v>
      </c>
      <c r="CF10" s="248">
        <v>0</v>
      </c>
      <c r="CG10" s="248">
        <v>46808.75</v>
      </c>
      <c r="CH10" s="248">
        <v>0</v>
      </c>
      <c r="CI10" s="247" t="s">
        <v>633</v>
      </c>
      <c r="CJ10" s="248">
        <v>46808.75</v>
      </c>
      <c r="CK10" s="248">
        <v>0</v>
      </c>
      <c r="CL10" s="248">
        <v>0</v>
      </c>
      <c r="CM10" s="248">
        <v>0</v>
      </c>
    </row>
    <row r="11" spans="1:102" x14ac:dyDescent="0.25">
      <c r="A11" s="231" t="s">
        <v>641</v>
      </c>
      <c r="B11" s="232" t="s">
        <v>642</v>
      </c>
      <c r="C11" s="232" t="s">
        <v>638</v>
      </c>
      <c r="D11" s="233"/>
      <c r="E11" s="234">
        <v>150000</v>
      </c>
      <c r="F11" s="235">
        <v>150000</v>
      </c>
      <c r="G11" s="236"/>
      <c r="H11" s="237"/>
      <c r="I11" s="238">
        <v>243894.77</v>
      </c>
      <c r="J11" s="249"/>
      <c r="K11" s="240"/>
      <c r="L11" s="8">
        <v>232280.73</v>
      </c>
      <c r="M11" s="241">
        <v>232280.73</v>
      </c>
      <c r="N11" s="72"/>
      <c r="O11" s="100"/>
      <c r="P11" s="9"/>
      <c r="Q11" s="9">
        <v>11614.039999999979</v>
      </c>
      <c r="R11" s="9"/>
      <c r="S11" s="152">
        <v>45772</v>
      </c>
      <c r="T11" s="10"/>
      <c r="U11" s="23"/>
      <c r="V11" s="11"/>
      <c r="W11" s="11"/>
      <c r="X11" s="8">
        <v>232280.73</v>
      </c>
      <c r="Y11" s="9"/>
      <c r="Z11" s="70">
        <v>11614.04</v>
      </c>
      <c r="AA11" s="72"/>
      <c r="AB11" s="108"/>
      <c r="AC11" s="9">
        <v>11614.04</v>
      </c>
      <c r="AD11" s="9"/>
      <c r="AE11" s="10"/>
      <c r="AF11" s="24">
        <v>0</v>
      </c>
      <c r="AG11" s="11">
        <v>149989.63999999998</v>
      </c>
      <c r="AH11" s="8">
        <v>142847.28</v>
      </c>
      <c r="AI11" s="9">
        <v>7142.36</v>
      </c>
      <c r="AJ11" s="9">
        <v>7142.36</v>
      </c>
      <c r="AK11" s="10"/>
      <c r="AL11" s="11"/>
      <c r="AM11" s="8">
        <v>89433.45</v>
      </c>
      <c r="AN11" s="9"/>
      <c r="AO11" s="9"/>
      <c r="AP11" s="10"/>
      <c r="AQ11" s="25"/>
      <c r="AR11" s="25"/>
      <c r="AS11" s="25"/>
      <c r="AT11" s="10"/>
      <c r="AU11" s="12">
        <v>243894.73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243894.77</v>
      </c>
      <c r="BF11" s="15">
        <v>232280.73</v>
      </c>
      <c r="BG11" s="15">
        <v>11614.04</v>
      </c>
      <c r="BH11" s="15">
        <v>243894.77</v>
      </c>
      <c r="BI11" s="15">
        <v>232280.73</v>
      </c>
      <c r="BJ11" s="242">
        <v>0</v>
      </c>
      <c r="BK11" s="250">
        <v>11614.04</v>
      </c>
      <c r="BL11" s="242"/>
      <c r="BM11" s="242">
        <v>2</v>
      </c>
      <c r="BN11" s="242">
        <v>11614.039999999979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3">
        <v>11614.04</v>
      </c>
      <c r="CC11" s="246" t="s">
        <v>634</v>
      </c>
      <c r="CD11" s="242">
        <v>0</v>
      </c>
      <c r="CE11" s="242">
        <v>142847.28</v>
      </c>
      <c r="CF11" s="242">
        <v>0</v>
      </c>
      <c r="CG11" s="242">
        <v>142847.28</v>
      </c>
      <c r="CH11" s="242">
        <v>0</v>
      </c>
      <c r="CI11" s="247" t="s">
        <v>633</v>
      </c>
      <c r="CJ11" s="248">
        <v>232280.73</v>
      </c>
      <c r="CK11" s="248">
        <v>89433.45</v>
      </c>
      <c r="CL11" s="248">
        <v>243894.73</v>
      </c>
      <c r="CM11" s="248">
        <v>0</v>
      </c>
    </row>
    <row r="12" spans="1:102" x14ac:dyDescent="0.25">
      <c r="A12" s="231"/>
      <c r="B12" s="120" t="s">
        <v>643</v>
      </c>
      <c r="C12" s="232"/>
      <c r="D12" s="233"/>
      <c r="E12" s="279">
        <f>SUM(E8:E11)</f>
        <v>270000</v>
      </c>
      <c r="F12" s="268">
        <f>SUM(F8:F11)</f>
        <v>270000</v>
      </c>
      <c r="G12" s="236"/>
      <c r="H12" s="237"/>
      <c r="I12" s="280">
        <f>SUM(I8:I11)</f>
        <v>363894.77</v>
      </c>
      <c r="J12" s="249"/>
      <c r="K12" s="240"/>
      <c r="L12" s="272">
        <f>SUM(L8:L11)</f>
        <v>594064.99</v>
      </c>
      <c r="M12" s="281">
        <f>SUM(M8:M11)</f>
        <v>594064.99</v>
      </c>
      <c r="N12" s="71"/>
      <c r="O12" s="100"/>
      <c r="P12" s="270">
        <f>SUM(P8:P11)</f>
        <v>0</v>
      </c>
      <c r="Q12" s="270">
        <f>SUM(Q8:Q11)</f>
        <v>11614.039999999979</v>
      </c>
      <c r="R12" s="270">
        <f>SUM(R8:R11)</f>
        <v>0</v>
      </c>
      <c r="S12" s="152"/>
      <c r="T12" s="10"/>
      <c r="U12" s="23"/>
      <c r="V12" s="271">
        <f>SUM(V8:V11)</f>
        <v>0</v>
      </c>
      <c r="W12" s="271">
        <f>SUM(W8:W11)</f>
        <v>0</v>
      </c>
      <c r="X12" s="272">
        <f>SUM(X8:X11)</f>
        <v>594064.99</v>
      </c>
      <c r="Y12" s="270">
        <f>SUM(Y8:Y11)</f>
        <v>0</v>
      </c>
      <c r="Z12" s="282">
        <f>SUM(Z8:Z11)</f>
        <v>11614.04</v>
      </c>
      <c r="AA12" s="72"/>
      <c r="AB12" s="108"/>
      <c r="AC12" s="270">
        <f>SUM(AC8:AC11)</f>
        <v>11614.04</v>
      </c>
      <c r="AD12" s="270">
        <f>SUM(AD8:AD11)</f>
        <v>0</v>
      </c>
      <c r="AE12" s="10"/>
      <c r="AF12" s="24"/>
      <c r="AG12" s="271">
        <f>SUM(AG8:AG11)</f>
        <v>480714.08999999997</v>
      </c>
      <c r="AH12" s="272">
        <f>SUM(AH8:AH11)</f>
        <v>504631.54000000004</v>
      </c>
      <c r="AI12" s="270">
        <f>SUM(AI8:AI11)</f>
        <v>-23917.449999999997</v>
      </c>
      <c r="AJ12" s="270">
        <f>SUM(AJ8:AJ11)</f>
        <v>-23917.449999999997</v>
      </c>
      <c r="AK12" s="10"/>
      <c r="AL12" s="271">
        <f>SUM(AL8:AL11)</f>
        <v>0</v>
      </c>
      <c r="AM12" s="272">
        <f>SUM(AM8:AM11)</f>
        <v>89433.45</v>
      </c>
      <c r="AN12" s="270">
        <f>SUM(AN8:AN11)</f>
        <v>0</v>
      </c>
      <c r="AO12" s="270">
        <f>SUM(AO8:AO11)</f>
        <v>0</v>
      </c>
      <c r="AP12" s="10"/>
      <c r="AQ12" s="283">
        <f>SUM(AQ8:AQ11)</f>
        <v>0</v>
      </c>
      <c r="AR12" s="283">
        <f>SUM(AR8:AR11)</f>
        <v>0</v>
      </c>
      <c r="AS12" s="283">
        <f>SUM(AS8:AS11)</f>
        <v>0</v>
      </c>
      <c r="AT12" s="10"/>
      <c r="AU12" s="284">
        <f>SUM(AU8:AU11)</f>
        <v>574619.18000000005</v>
      </c>
      <c r="AV12" s="284">
        <f>SUM(AV8:AV11)</f>
        <v>0</v>
      </c>
      <c r="AW12" s="284">
        <f>SUM(AW8:AW11)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120" t="s">
        <v>644</v>
      </c>
      <c r="C14" s="232"/>
      <c r="D14" s="233"/>
      <c r="E14" s="279">
        <f>SUM(E7:E13)/2</f>
        <v>270000</v>
      </c>
      <c r="F14" s="268">
        <f>SUM(F7:F13)/2</f>
        <v>270000</v>
      </c>
      <c r="G14" s="236"/>
      <c r="H14" s="237"/>
      <c r="I14" s="280">
        <f>SUM(I7:I13)/2</f>
        <v>363894.77</v>
      </c>
      <c r="J14" s="249"/>
      <c r="K14" s="240"/>
      <c r="L14" s="272">
        <f>SUM(L7:L13)/2</f>
        <v>594064.99</v>
      </c>
      <c r="M14" s="281">
        <f>SUM(M7:M13)/2</f>
        <v>594064.99</v>
      </c>
      <c r="N14" s="72"/>
      <c r="O14" s="100"/>
      <c r="P14" s="270">
        <f>SUM(P7:P13)/2</f>
        <v>0</v>
      </c>
      <c r="Q14" s="270">
        <f>SUM(Q7:Q13)/2</f>
        <v>11614.039999999979</v>
      </c>
      <c r="R14" s="270">
        <f>SUM(R7:R13)/2</f>
        <v>0</v>
      </c>
      <c r="S14" s="152"/>
      <c r="T14" s="10"/>
      <c r="U14" s="23"/>
      <c r="V14" s="271">
        <f>SUM(V7:V13)/2</f>
        <v>0</v>
      </c>
      <c r="W14" s="271">
        <f>SUM(W7:W13)/2</f>
        <v>0</v>
      </c>
      <c r="X14" s="272">
        <f>SUM(X7:X13)/2</f>
        <v>594064.99</v>
      </c>
      <c r="Y14" s="270">
        <f>SUM(Y7:Y13)/2</f>
        <v>0</v>
      </c>
      <c r="Z14" s="282">
        <f>SUM(Z7:Z13)/2</f>
        <v>11614.04</v>
      </c>
      <c r="AA14" s="72"/>
      <c r="AB14" s="108"/>
      <c r="AC14" s="270">
        <f>SUM(AC7:AC13)/2</f>
        <v>11614.04</v>
      </c>
      <c r="AD14" s="270">
        <f>SUM(AD7:AD13)/2</f>
        <v>0</v>
      </c>
      <c r="AE14" s="10"/>
      <c r="AF14" s="24"/>
      <c r="AG14" s="271">
        <f>SUM(AG7:AG13)/2</f>
        <v>480714.08999999997</v>
      </c>
      <c r="AH14" s="272">
        <f>SUM(AH7:AH13)/2</f>
        <v>504631.54000000004</v>
      </c>
      <c r="AI14" s="270">
        <f>SUM(AI7:AI13)/2</f>
        <v>-23917.449999999997</v>
      </c>
      <c r="AJ14" s="270">
        <f>SUM(AJ7:AJ13)/2</f>
        <v>-23917.449999999997</v>
      </c>
      <c r="AK14" s="10"/>
      <c r="AL14" s="271">
        <f>SUM(AL7:AL13)/2</f>
        <v>0</v>
      </c>
      <c r="AM14" s="272">
        <f>SUM(AM7:AM13)/2</f>
        <v>89433.45</v>
      </c>
      <c r="AN14" s="270">
        <f>SUM(AN7:AN13)/2</f>
        <v>0</v>
      </c>
      <c r="AO14" s="270">
        <f>SUM(AO7:AO13)/2</f>
        <v>0</v>
      </c>
      <c r="AP14" s="10"/>
      <c r="AQ14" s="283">
        <f>SUM(AQ7:AQ13)/2</f>
        <v>0</v>
      </c>
      <c r="AR14" s="283">
        <f>SUM(AR7:AR13)/2</f>
        <v>0</v>
      </c>
      <c r="AS14" s="283">
        <f>SUM(AS7:AS13)/2</f>
        <v>0</v>
      </c>
      <c r="AT14" s="10"/>
      <c r="AU14" s="284">
        <f>SUM(AU7:AU13)/2</f>
        <v>574619.18000000005</v>
      </c>
      <c r="AV14" s="284">
        <f>SUM(AV7:AV13)/2</f>
        <v>0</v>
      </c>
      <c r="AW14" s="284">
        <f>SUM(AW7:AW13)/2</f>
        <v>0</v>
      </c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31"/>
      <c r="B15" s="232"/>
      <c r="C15" s="232"/>
      <c r="D15" s="233"/>
      <c r="E15" s="234"/>
      <c r="F15" s="235"/>
      <c r="G15" s="236"/>
      <c r="H15" s="237"/>
      <c r="I15" s="238"/>
      <c r="J15" s="249"/>
      <c r="K15" s="240"/>
      <c r="L15" s="8"/>
      <c r="M15" s="241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2"/>
      <c r="AY15" s="243"/>
      <c r="AZ15" s="242"/>
      <c r="BA15" s="242"/>
      <c r="BB15" s="244"/>
      <c r="BC15" s="243"/>
      <c r="BD15" s="243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45"/>
      <c r="CC15" s="246"/>
      <c r="CD15" s="242"/>
      <c r="CE15" s="242"/>
      <c r="CF15" s="242"/>
      <c r="CG15" s="242"/>
      <c r="CH15" s="242"/>
      <c r="CI15" s="247"/>
      <c r="CJ15" s="248"/>
      <c r="CK15" s="248"/>
      <c r="CL15" s="248"/>
      <c r="CM15" s="248"/>
    </row>
    <row r="16" spans="1:102" x14ac:dyDescent="0.25">
      <c r="A16" s="286"/>
      <c r="B16" s="285" t="s">
        <v>646</v>
      </c>
      <c r="C16" s="120"/>
      <c r="D16" s="267"/>
      <c r="E16" s="279">
        <f>SUMIF(BM8:BM16,1, E8:E16)</f>
        <v>0</v>
      </c>
      <c r="F16" s="268">
        <f>SUMIF(BM8:BM16,1, F8:F16)</f>
        <v>0</v>
      </c>
      <c r="G16" s="287"/>
      <c r="H16" s="104"/>
      <c r="I16" s="280">
        <f>SUMIF(BM8:BM16,1, I8:I16)</f>
        <v>0</v>
      </c>
      <c r="J16" s="304"/>
      <c r="K16" s="98"/>
      <c r="L16" s="272">
        <f>SUMIF(BM8:BM16,1, L8:L16)</f>
        <v>0</v>
      </c>
      <c r="M16" s="281">
        <f>SUMIF(BM8:BM16,1, M8:M16)</f>
        <v>0</v>
      </c>
      <c r="N16" s="295"/>
      <c r="O16" s="99"/>
      <c r="P16" s="270">
        <f>SUMIF(BM8:BM16,1, P8:P16)</f>
        <v>0</v>
      </c>
      <c r="Q16" s="270">
        <f>SUMIF(BM8:BM16,1, Q8:Q16)</f>
        <v>0</v>
      </c>
      <c r="R16" s="270">
        <f>SUMIF(BM8:BM16,1, R8:R16)</f>
        <v>0</v>
      </c>
      <c r="S16" s="289"/>
      <c r="T16" s="290"/>
      <c r="U16" s="291"/>
      <c r="V16" s="271">
        <f>SUMIF(BM8:BM16,1, V8:V16)</f>
        <v>0</v>
      </c>
      <c r="W16" s="271">
        <f>SUMIF(BM8:BM16,1, W8:W16)</f>
        <v>0</v>
      </c>
      <c r="X16" s="272">
        <f>SUMIF(BM8:BM16,1, X8:X16)</f>
        <v>0</v>
      </c>
      <c r="Y16" s="270">
        <f>SUMIF(BM8:BM16,1, Y8:Y16)</f>
        <v>0</v>
      </c>
      <c r="Z16" s="282">
        <f>SUMIF(BM8:BM16,1, Z8:Z16)</f>
        <v>0</v>
      </c>
      <c r="AA16" s="295"/>
      <c r="AB16" s="107"/>
      <c r="AC16" s="270">
        <f>SUMIF(BM8:BM16,1, AC8:AC16)</f>
        <v>0</v>
      </c>
      <c r="AD16" s="270">
        <f>SUMIF(BM8:BM16,1, AD8:AD16)</f>
        <v>0</v>
      </c>
      <c r="AE16" s="290"/>
      <c r="AF16" s="292"/>
      <c r="AG16" s="271">
        <f>SUMIF(BM8:BM16,1, AG8:AG16)</f>
        <v>0</v>
      </c>
      <c r="AH16" s="272">
        <f>SUMIF(BM8:BM16,1, AH8:AH16)</f>
        <v>0</v>
      </c>
      <c r="AI16" s="270">
        <f>SUMIF(BM8:BM16,1, AI8:AI16)</f>
        <v>0</v>
      </c>
      <c r="AJ16" s="270">
        <f>SUMIF(BM8:BM16,1, AJ8:AJ16)</f>
        <v>0</v>
      </c>
      <c r="AK16" s="290"/>
      <c r="AL16" s="271">
        <f>SUMIF(BM8:BM16,1, AL8:AL16)</f>
        <v>0</v>
      </c>
      <c r="AM16" s="272">
        <f>SUMIF(BM8:BM16,1, AM8:AM16)</f>
        <v>0</v>
      </c>
      <c r="AN16" s="270">
        <f>SUMIF(BM8:BM16,1, AN8:AN16)</f>
        <v>0</v>
      </c>
      <c r="AO16" s="270">
        <f>SUMIF(BM8:BM16,1, AO8:AO16)</f>
        <v>0</v>
      </c>
      <c r="AP16" s="290"/>
      <c r="AQ16" s="283">
        <f>SUMIF(BM8:BM16,1, AQ8:AQ16)</f>
        <v>0</v>
      </c>
      <c r="AR16" s="283">
        <f>SUMIF(BM8:BM16,1, AR8:AR16)</f>
        <v>0</v>
      </c>
      <c r="AS16" s="283">
        <f>SUMIF(BM8:BM16,1, AS8:AS16)</f>
        <v>0</v>
      </c>
      <c r="AT16" s="290"/>
      <c r="AU16" s="284">
        <f>SUMIF(BM8:BM16,1, AU8:AU16)</f>
        <v>0</v>
      </c>
      <c r="AV16" s="284">
        <f>SUMIF(BM8:BM16,1, AV8:AV16)</f>
        <v>0</v>
      </c>
      <c r="AW16" s="284">
        <f>SUMIF(BM8:BM16,1, AW8:AW16)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86"/>
      <c r="B17" s="285" t="s">
        <v>647</v>
      </c>
      <c r="C17" s="120"/>
      <c r="D17" s="267"/>
      <c r="E17" s="279">
        <f>SUMIF(BM8:BM16,2, E8:E16)</f>
        <v>270000</v>
      </c>
      <c r="F17" s="268">
        <f>SUMIF(BM8:BM16,2, F8:F16)</f>
        <v>270000</v>
      </c>
      <c r="G17" s="287"/>
      <c r="H17" s="104"/>
      <c r="I17" s="280">
        <f>SUMIF(BM8:BM16,2, I8:I16)</f>
        <v>363894.77</v>
      </c>
      <c r="J17" s="304"/>
      <c r="K17" s="98"/>
      <c r="L17" s="272">
        <f>SUMIF(BM8:BM16,2, L8:L16)</f>
        <v>594064.99</v>
      </c>
      <c r="M17" s="281">
        <f>SUMIF(BM8:BM16,2, M8:M16)</f>
        <v>594064.99</v>
      </c>
      <c r="N17" s="295"/>
      <c r="O17" s="99"/>
      <c r="P17" s="270">
        <f>SUMIF(BM8:BM16,2, P8:P16)</f>
        <v>0</v>
      </c>
      <c r="Q17" s="270">
        <f>SUMIF(BM8:BM16,2, Q8:Q16)</f>
        <v>11614.039999999979</v>
      </c>
      <c r="R17" s="270">
        <f>SUMIF(BM8:BM16,2, R8:R16)</f>
        <v>0</v>
      </c>
      <c r="S17" s="289"/>
      <c r="T17" s="290"/>
      <c r="U17" s="291"/>
      <c r="V17" s="271">
        <f>SUMIF(BM8:BM16,2, V8:V16)</f>
        <v>0</v>
      </c>
      <c r="W17" s="271">
        <f>SUMIF(BM8:BM16,2, W8:W16)</f>
        <v>0</v>
      </c>
      <c r="X17" s="272">
        <f>SUMIF(BM8:BM16,2, X8:X16)</f>
        <v>594064.99</v>
      </c>
      <c r="Y17" s="270">
        <f>SUMIF(BM8:BM16,2, Y8:Y16)</f>
        <v>0</v>
      </c>
      <c r="Z17" s="282">
        <f>SUMIF(BM8:BM16,2, Z8:Z16)</f>
        <v>11614.04</v>
      </c>
      <c r="AA17" s="288"/>
      <c r="AB17" s="107"/>
      <c r="AC17" s="270">
        <f>SUMIF(BM8:BM16,2, AC8:AC16)</f>
        <v>11614.04</v>
      </c>
      <c r="AD17" s="270">
        <f>SUMIF(BM8:BM16,2, AD8:AD16)</f>
        <v>0</v>
      </c>
      <c r="AE17" s="290"/>
      <c r="AF17" s="292"/>
      <c r="AG17" s="271">
        <f>SUMIF(BM8:BM16,2, AG8:AG16)</f>
        <v>480714.08999999997</v>
      </c>
      <c r="AH17" s="272">
        <f>SUMIF(BM8:BM16,2, AH8:AH16)</f>
        <v>504631.54000000004</v>
      </c>
      <c r="AI17" s="270">
        <f>SUMIF(BM8:BM16,2, AI8:AI16)</f>
        <v>-23917.449999999997</v>
      </c>
      <c r="AJ17" s="270">
        <f>SUMIF(BM8:BM16,2, AJ8:AJ16)</f>
        <v>-23917.449999999997</v>
      </c>
      <c r="AK17" s="290"/>
      <c r="AL17" s="271">
        <f>SUMIF(BM8:BM16,2, AL8:AL16)</f>
        <v>0</v>
      </c>
      <c r="AM17" s="272">
        <f>SUMIF(BM8:BM16,2, AM8:AM16)</f>
        <v>89433.45</v>
      </c>
      <c r="AN17" s="270">
        <f>SUMIF(BM8:BM16,2, AN8:AN16)</f>
        <v>0</v>
      </c>
      <c r="AO17" s="270">
        <f>SUMIF(BM8:BM16,2, AO8:AO16)</f>
        <v>0</v>
      </c>
      <c r="AP17" s="290"/>
      <c r="AQ17" s="283">
        <f>SUMIF(BM8:BM16,2, AQ8:AQ16)</f>
        <v>0</v>
      </c>
      <c r="AR17" s="283">
        <f>SUMIF(BM8:BM16,2, AR8:AR16)</f>
        <v>0</v>
      </c>
      <c r="AS17" s="283">
        <f>SUMIF(BM8:BM16,2, AS8:AS16)</f>
        <v>0</v>
      </c>
      <c r="AT17" s="290"/>
      <c r="AU17" s="284">
        <f>SUMIF(BM8:BM16,2, AU8:AU16)</f>
        <v>574619.18000000005</v>
      </c>
      <c r="AV17" s="284">
        <f>SUMIF(BM8:BM16,2, AV8:AV16)</f>
        <v>0</v>
      </c>
      <c r="AW17" s="284">
        <f>SUMIF(BM8:BM16,2, AW8:AW16)</f>
        <v>0</v>
      </c>
      <c r="AX17" s="15"/>
      <c r="AY17" s="274"/>
      <c r="AZ17" s="15"/>
      <c r="BA17" s="15"/>
      <c r="BB17" s="275"/>
      <c r="BC17" s="274"/>
      <c r="BD17" s="274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8"/>
      <c r="BU17" s="298"/>
      <c r="BV17" s="298"/>
      <c r="BW17" s="298"/>
      <c r="BX17" s="15"/>
      <c r="BY17" s="15"/>
      <c r="BZ17" s="293"/>
      <c r="CA17" s="293"/>
      <c r="CB17" s="293"/>
      <c r="CC17" s="276"/>
      <c r="CD17" s="15"/>
      <c r="CE17" s="15"/>
      <c r="CF17" s="15"/>
      <c r="CG17" s="15"/>
      <c r="CH17" s="15"/>
      <c r="CI17" s="294"/>
      <c r="CJ17" s="277"/>
      <c r="CK17" s="277"/>
      <c r="CL17" s="277"/>
      <c r="CM17" s="277"/>
    </row>
    <row r="18" spans="1:91" x14ac:dyDescent="0.25">
      <c r="A18" s="286"/>
      <c r="B18" s="285" t="s">
        <v>645</v>
      </c>
      <c r="C18" s="120"/>
      <c r="D18" s="267"/>
      <c r="E18" s="279">
        <f>SUM(E8:E17)/4</f>
        <v>270000</v>
      </c>
      <c r="F18" s="268">
        <f>SUM(F8:F17)/4</f>
        <v>270000</v>
      </c>
      <c r="G18" s="287"/>
      <c r="H18" s="104"/>
      <c r="I18" s="280">
        <f>SUM(I8:I17)/4</f>
        <v>363894.77</v>
      </c>
      <c r="J18" s="304"/>
      <c r="K18" s="98"/>
      <c r="L18" s="272">
        <f>SUM(L8:L17)/4</f>
        <v>594064.99</v>
      </c>
      <c r="M18" s="281">
        <f>SUM(M8:M17)/4</f>
        <v>594064.99</v>
      </c>
      <c r="N18" s="295"/>
      <c r="O18" s="99"/>
      <c r="P18" s="270">
        <f>SUM(P8:P17)/4</f>
        <v>0</v>
      </c>
      <c r="Q18" s="270">
        <f>SUM(Q8:Q17)/4</f>
        <v>11614.039999999979</v>
      </c>
      <c r="R18" s="270">
        <f>SUM(R8:R17)/4</f>
        <v>0</v>
      </c>
      <c r="S18" s="289"/>
      <c r="T18" s="290"/>
      <c r="U18" s="291"/>
      <c r="V18" s="271">
        <f>SUM(V8:V17)/4</f>
        <v>0</v>
      </c>
      <c r="W18" s="271">
        <f>SUM(W8:W17)/4</f>
        <v>0</v>
      </c>
      <c r="X18" s="272">
        <f>SUM(X8:X17)/4</f>
        <v>594064.99</v>
      </c>
      <c r="Y18" s="270">
        <f>SUM(Y8:Y17)/4</f>
        <v>0</v>
      </c>
      <c r="Z18" s="282">
        <f>SUM(Z8:Z17)/4</f>
        <v>11614.04</v>
      </c>
      <c r="AA18" s="288"/>
      <c r="AB18" s="107"/>
      <c r="AC18" s="270">
        <f>SUM(AC8:AC17)/4</f>
        <v>11614.04</v>
      </c>
      <c r="AD18" s="270">
        <f>SUM(AD8:AD17)/4</f>
        <v>0</v>
      </c>
      <c r="AE18" s="290"/>
      <c r="AF18" s="292"/>
      <c r="AG18" s="271">
        <f>SUM(AG8:AG17)/4</f>
        <v>480714.08999999997</v>
      </c>
      <c r="AH18" s="272">
        <f>SUM(AH8:AH17)/4</f>
        <v>504631.54000000004</v>
      </c>
      <c r="AI18" s="270">
        <f>SUM(AI8:AI17)/4</f>
        <v>-23917.449999999997</v>
      </c>
      <c r="AJ18" s="270">
        <f>SUM(AJ8:AJ17)/4</f>
        <v>-23917.449999999997</v>
      </c>
      <c r="AK18" s="290"/>
      <c r="AL18" s="271">
        <f>SUM(AL8:AL17)/4</f>
        <v>0</v>
      </c>
      <c r="AM18" s="272">
        <f>SUM(AM8:AM17)/4</f>
        <v>89433.45</v>
      </c>
      <c r="AN18" s="270">
        <f>SUM(AN8:AN17)/4</f>
        <v>0</v>
      </c>
      <c r="AO18" s="270">
        <f>SUM(AO8:AO17)/4</f>
        <v>0</v>
      </c>
      <c r="AP18" s="290"/>
      <c r="AQ18" s="283">
        <f>SUM(AQ8:AQ17)/4</f>
        <v>0</v>
      </c>
      <c r="AR18" s="283">
        <f>SUM(AR8:AR17)/4</f>
        <v>0</v>
      </c>
      <c r="AS18" s="283">
        <f>SUM(AS8:AS17)/4</f>
        <v>0</v>
      </c>
      <c r="AT18" s="290"/>
      <c r="AU18" s="284">
        <f>SUM(AU8:AU17)/4</f>
        <v>574619.18000000005</v>
      </c>
      <c r="AV18" s="284">
        <f>SUM(AV8:AV17)/4</f>
        <v>0</v>
      </c>
      <c r="AW18" s="284">
        <f>SUM(AW8:AW17)/4</f>
        <v>0</v>
      </c>
      <c r="AX18" s="15"/>
      <c r="AY18" s="274"/>
      <c r="AZ18" s="15"/>
      <c r="BA18" s="15"/>
      <c r="BB18" s="275"/>
      <c r="BC18" s="274"/>
      <c r="BD18" s="274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298"/>
      <c r="BU18" s="298"/>
      <c r="BV18" s="298"/>
      <c r="BW18" s="298"/>
      <c r="BX18" s="15"/>
      <c r="BY18" s="15"/>
      <c r="BZ18" s="293"/>
      <c r="CA18" s="293"/>
      <c r="CB18" s="293"/>
      <c r="CC18" s="276"/>
      <c r="CD18" s="15"/>
      <c r="CE18" s="15"/>
      <c r="CF18" s="15"/>
      <c r="CG18" s="15"/>
      <c r="CH18" s="15"/>
      <c r="CI18" s="294"/>
      <c r="CJ18" s="277"/>
      <c r="CK18" s="277"/>
      <c r="CL18" s="277"/>
      <c r="CM18" s="277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bAeS51pEc37Tacq7H2NfCbKQz1LJ1UzG0B2w09uCQWoEX0BJfCzc2GO3UhtRcmntolJpfSZbYDPyWcRPnz3L3g==" saltValue="1DzqIY+Eau6Rz/imy0YHQ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635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632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636</v>
      </c>
      <c r="B9" s="255" t="s">
        <v>637</v>
      </c>
      <c r="C9" s="255" t="s">
        <v>638</v>
      </c>
      <c r="D9" s="233"/>
      <c r="E9" s="234">
        <v>120000</v>
      </c>
      <c r="F9" s="235">
        <v>120000</v>
      </c>
      <c r="G9" s="256"/>
      <c r="H9" s="257"/>
      <c r="I9" s="237"/>
      <c r="J9" s="238">
        <v>120000</v>
      </c>
      <c r="K9" s="249"/>
      <c r="L9" s="240"/>
      <c r="M9" s="8">
        <v>314975.51</v>
      </c>
      <c r="N9" s="241">
        <v>314975.51</v>
      </c>
      <c r="O9" s="72"/>
      <c r="P9" s="100"/>
      <c r="Q9" s="9"/>
      <c r="R9" s="9"/>
      <c r="S9" s="9"/>
      <c r="T9" s="258">
        <v>45744</v>
      </c>
      <c r="U9" s="10"/>
      <c r="V9" s="23"/>
      <c r="W9" s="11"/>
      <c r="X9" s="8">
        <v>314975.51</v>
      </c>
      <c r="Y9" s="9"/>
      <c r="Z9" s="9"/>
      <c r="AA9" s="9"/>
      <c r="AB9" s="10"/>
      <c r="AC9" s="24">
        <v>0</v>
      </c>
      <c r="AD9" s="11">
        <v>0</v>
      </c>
      <c r="AE9" s="8">
        <v>314975.51</v>
      </c>
      <c r="AF9" s="9"/>
      <c r="AG9" s="10"/>
      <c r="AH9" s="11"/>
      <c r="AI9" s="8">
        <v>0</v>
      </c>
      <c r="AJ9" s="9"/>
      <c r="AK9" s="10"/>
      <c r="AL9" s="25"/>
      <c r="AM9" s="25"/>
      <c r="AN9" s="25"/>
      <c r="AO9" s="10"/>
      <c r="AP9" s="12">
        <v>330724.45</v>
      </c>
      <c r="AQ9" s="12"/>
      <c r="AR9" s="12"/>
      <c r="AS9" s="242"/>
      <c r="AT9" s="243"/>
      <c r="AU9" s="242"/>
      <c r="AV9" s="242"/>
      <c r="AW9" s="244"/>
      <c r="AX9" s="243"/>
      <c r="AY9" s="243"/>
      <c r="AZ9" s="242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/>
      <c r="BW9" s="242">
        <v>0</v>
      </c>
      <c r="BX9" s="248">
        <v>314975.51</v>
      </c>
      <c r="BY9" s="248">
        <v>0</v>
      </c>
      <c r="BZ9" s="248">
        <v>314975.51</v>
      </c>
      <c r="CA9" s="248">
        <v>0</v>
      </c>
      <c r="CB9" s="243" t="s">
        <v>633</v>
      </c>
      <c r="CC9" s="248">
        <v>314975.51</v>
      </c>
      <c r="CD9" s="248">
        <v>0</v>
      </c>
      <c r="CE9" s="248">
        <v>330724.45</v>
      </c>
      <c r="CF9" s="248">
        <v>0</v>
      </c>
    </row>
    <row r="10" spans="1:95" x14ac:dyDescent="0.25">
      <c r="A10" s="254" t="s">
        <v>639</v>
      </c>
      <c r="B10" s="255" t="s">
        <v>640</v>
      </c>
      <c r="C10" s="255" t="s">
        <v>638</v>
      </c>
      <c r="D10" s="233"/>
      <c r="E10" s="234">
        <v>0</v>
      </c>
      <c r="F10" s="235">
        <v>0</v>
      </c>
      <c r="G10" s="256"/>
      <c r="H10" s="257"/>
      <c r="I10" s="237"/>
      <c r="J10" s="238">
        <v>0</v>
      </c>
      <c r="K10" s="249"/>
      <c r="L10" s="240"/>
      <c r="M10" s="8">
        <v>46808.75</v>
      </c>
      <c r="N10" s="241">
        <v>46808.75</v>
      </c>
      <c r="O10" s="72"/>
      <c r="P10" s="100"/>
      <c r="Q10" s="9"/>
      <c r="R10" s="9"/>
      <c r="S10" s="9"/>
      <c r="T10" s="258">
        <v>45744</v>
      </c>
      <c r="U10" s="10"/>
      <c r="V10" s="23"/>
      <c r="W10" s="11"/>
      <c r="X10" s="8">
        <v>46808.75</v>
      </c>
      <c r="Y10" s="9"/>
      <c r="Z10" s="9"/>
      <c r="AA10" s="9"/>
      <c r="AB10" s="10"/>
      <c r="AC10" s="24">
        <v>0</v>
      </c>
      <c r="AD10" s="11">
        <v>0</v>
      </c>
      <c r="AE10" s="8">
        <v>46808.75</v>
      </c>
      <c r="AF10" s="9"/>
      <c r="AG10" s="10"/>
      <c r="AH10" s="11"/>
      <c r="AI10" s="8">
        <v>0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/>
      <c r="AY10" s="243"/>
      <c r="AZ10" s="242">
        <v>0</v>
      </c>
      <c r="BA10" s="242">
        <v>0</v>
      </c>
      <c r="BB10" s="242">
        <v>0</v>
      </c>
      <c r="BC10" s="242">
        <v>0</v>
      </c>
      <c r="BD10" s="242">
        <v>0</v>
      </c>
      <c r="BE10" s="242">
        <v>0</v>
      </c>
      <c r="BF10" s="242"/>
      <c r="BG10" s="242">
        <v>2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/>
      <c r="BW10" s="242">
        <v>0</v>
      </c>
      <c r="BX10" s="248">
        <v>46808.75</v>
      </c>
      <c r="BY10" s="248">
        <v>0</v>
      </c>
      <c r="BZ10" s="248">
        <v>46808.75</v>
      </c>
      <c r="CA10" s="248">
        <v>0</v>
      </c>
      <c r="CB10" s="243" t="s">
        <v>633</v>
      </c>
      <c r="CC10" s="248">
        <v>46808.75</v>
      </c>
      <c r="CD10" s="248">
        <v>0</v>
      </c>
      <c r="CE10" s="248">
        <v>0</v>
      </c>
      <c r="CF10" s="248">
        <v>0</v>
      </c>
    </row>
    <row r="11" spans="1:95" x14ac:dyDescent="0.25">
      <c r="A11" s="254" t="s">
        <v>641</v>
      </c>
      <c r="B11" s="255" t="s">
        <v>642</v>
      </c>
      <c r="C11" s="255" t="s">
        <v>638</v>
      </c>
      <c r="D11" s="233"/>
      <c r="E11" s="234">
        <v>150000</v>
      </c>
      <c r="F11" s="235">
        <v>150000</v>
      </c>
      <c r="G11" s="256"/>
      <c r="H11" s="257"/>
      <c r="I11" s="237"/>
      <c r="J11" s="238">
        <v>243894.77</v>
      </c>
      <c r="K11" s="249"/>
      <c r="L11" s="240"/>
      <c r="M11" s="8">
        <v>232280.73</v>
      </c>
      <c r="N11" s="241">
        <v>232280.73</v>
      </c>
      <c r="O11" s="72"/>
      <c r="P11" s="100"/>
      <c r="Q11" s="9"/>
      <c r="R11" s="9"/>
      <c r="S11" s="9"/>
      <c r="T11" s="258">
        <v>45772</v>
      </c>
      <c r="U11" s="10"/>
      <c r="V11" s="23"/>
      <c r="W11" s="11"/>
      <c r="X11" s="8">
        <v>232280.73</v>
      </c>
      <c r="Y11" s="9"/>
      <c r="Z11" s="9"/>
      <c r="AA11" s="9"/>
      <c r="AB11" s="10"/>
      <c r="AC11" s="24">
        <v>0</v>
      </c>
      <c r="AD11" s="11">
        <v>0</v>
      </c>
      <c r="AE11" s="8">
        <v>142847.28</v>
      </c>
      <c r="AF11" s="9"/>
      <c r="AG11" s="10"/>
      <c r="AH11" s="11"/>
      <c r="AI11" s="8">
        <v>89433.45</v>
      </c>
      <c r="AJ11" s="9"/>
      <c r="AK11" s="10"/>
      <c r="AL11" s="25"/>
      <c r="AM11" s="25"/>
      <c r="AN11" s="25"/>
      <c r="AO11" s="10"/>
      <c r="AP11" s="12">
        <v>243894.73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243894.77</v>
      </c>
      <c r="BA11" s="15">
        <v>232280.73</v>
      </c>
      <c r="BB11" s="15">
        <v>243894.77</v>
      </c>
      <c r="BC11" s="15">
        <v>232280.73</v>
      </c>
      <c r="BD11" s="242">
        <v>0</v>
      </c>
      <c r="BE11" s="250">
        <v>0</v>
      </c>
      <c r="BF11" s="242"/>
      <c r="BG11" s="242">
        <v>2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142847.28</v>
      </c>
      <c r="BY11" s="242">
        <v>0</v>
      </c>
      <c r="BZ11" s="242">
        <v>142847.28</v>
      </c>
      <c r="CA11" s="242">
        <v>0</v>
      </c>
      <c r="CB11" s="243" t="s">
        <v>633</v>
      </c>
      <c r="CC11" s="248">
        <v>232280.73</v>
      </c>
      <c r="CD11" s="248">
        <v>89433.45</v>
      </c>
      <c r="CE11" s="248">
        <v>243894.73</v>
      </c>
      <c r="CF11" s="248">
        <v>0</v>
      </c>
    </row>
    <row r="12" spans="1:95" x14ac:dyDescent="0.25">
      <c r="A12" s="254"/>
      <c r="B12" s="93" t="s">
        <v>643</v>
      </c>
      <c r="C12" s="255"/>
      <c r="D12" s="233"/>
      <c r="E12" s="279">
        <f>SUM(E8:E11)</f>
        <v>270000</v>
      </c>
      <c r="F12" s="268">
        <f>SUM(F8:F11)</f>
        <v>270000</v>
      </c>
      <c r="G12" s="256"/>
      <c r="H12" s="257"/>
      <c r="I12" s="237"/>
      <c r="J12" s="280">
        <f>SUM(J8:J11)</f>
        <v>363894.77</v>
      </c>
      <c r="K12" s="249"/>
      <c r="L12" s="240"/>
      <c r="M12" s="272">
        <f>SUM(M8:M11)</f>
        <v>594064.99</v>
      </c>
      <c r="N12" s="281">
        <f>SUM(N8:N11)</f>
        <v>594064.99</v>
      </c>
      <c r="O12" s="71"/>
      <c r="P12" s="100"/>
      <c r="Q12" s="270">
        <f>SUM(Q8:Q11)</f>
        <v>0</v>
      </c>
      <c r="R12" s="270">
        <f>SUM(R8:R11)</f>
        <v>0</v>
      </c>
      <c r="S12" s="270">
        <f>SUM(S8:S11)</f>
        <v>0</v>
      </c>
      <c r="T12" s="258"/>
      <c r="U12" s="10"/>
      <c r="V12" s="23"/>
      <c r="W12" s="271">
        <f>SUM(W8:W11)</f>
        <v>0</v>
      </c>
      <c r="X12" s="272">
        <f>SUM(X8:X11)</f>
        <v>594064.99</v>
      </c>
      <c r="Y12" s="270">
        <f>SUM(Y8:Y11)</f>
        <v>0</v>
      </c>
      <c r="Z12" s="270">
        <f>SUM(Z8:Z11)</f>
        <v>0</v>
      </c>
      <c r="AA12" s="270">
        <f>SUM(AA8:AA11)</f>
        <v>0</v>
      </c>
      <c r="AB12" s="10"/>
      <c r="AC12" s="24"/>
      <c r="AD12" s="271">
        <f>SUM(AD8:AD11)</f>
        <v>0</v>
      </c>
      <c r="AE12" s="272">
        <f>SUM(AE8:AE11)</f>
        <v>504631.54000000004</v>
      </c>
      <c r="AF12" s="270">
        <f>SUM(AF8:AF11)</f>
        <v>0</v>
      </c>
      <c r="AG12" s="10"/>
      <c r="AH12" s="271">
        <f>SUM(AH8:AH11)</f>
        <v>0</v>
      </c>
      <c r="AI12" s="272">
        <f>SUM(AI8:AI11)</f>
        <v>89433.45</v>
      </c>
      <c r="AJ12" s="270">
        <f>SUM(AJ8:AJ11)</f>
        <v>0</v>
      </c>
      <c r="AK12" s="10"/>
      <c r="AL12" s="283">
        <f>SUM(AL8:AL11)</f>
        <v>0</v>
      </c>
      <c r="AM12" s="283">
        <f>SUM(AM8:AM11)</f>
        <v>0</v>
      </c>
      <c r="AN12" s="283">
        <f>SUM(AN8:AN11)</f>
        <v>0</v>
      </c>
      <c r="AO12" s="10"/>
      <c r="AP12" s="284">
        <f>SUM(AP8:AP11)</f>
        <v>574619.18000000005</v>
      </c>
      <c r="AQ12" s="284">
        <f>SUM(AQ8:AQ11)</f>
        <v>0</v>
      </c>
      <c r="AR12" s="284">
        <f>SUM(AR8:AR11)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93" t="s">
        <v>644</v>
      </c>
      <c r="C14" s="255"/>
      <c r="D14" s="233"/>
      <c r="E14" s="279">
        <f>SUM(E7:E13)/2</f>
        <v>270000</v>
      </c>
      <c r="F14" s="268">
        <f>SUM(F7:F13)/2</f>
        <v>270000</v>
      </c>
      <c r="G14" s="256"/>
      <c r="H14" s="257"/>
      <c r="I14" s="237"/>
      <c r="J14" s="280">
        <f>SUM(J7:J13)/2</f>
        <v>363894.77</v>
      </c>
      <c r="K14" s="249"/>
      <c r="L14" s="240"/>
      <c r="M14" s="272">
        <f>SUM(M7:M13)/2</f>
        <v>594064.99</v>
      </c>
      <c r="N14" s="281">
        <f>SUM(N7:N13)/2</f>
        <v>594064.99</v>
      </c>
      <c r="O14" s="72"/>
      <c r="P14" s="100"/>
      <c r="Q14" s="270">
        <f>SUM(Q7:Q13)/2</f>
        <v>0</v>
      </c>
      <c r="R14" s="270">
        <f>SUM(R7:R13)/2</f>
        <v>0</v>
      </c>
      <c r="S14" s="270">
        <f>SUM(S7:S13)/2</f>
        <v>0</v>
      </c>
      <c r="T14" s="258"/>
      <c r="U14" s="10"/>
      <c r="V14" s="23"/>
      <c r="W14" s="271">
        <f>SUM(W7:W13)/2</f>
        <v>0</v>
      </c>
      <c r="X14" s="272">
        <f>SUM(X7:X13)/2</f>
        <v>594064.99</v>
      </c>
      <c r="Y14" s="270">
        <f>SUM(Y7:Y13)/2</f>
        <v>0</v>
      </c>
      <c r="Z14" s="270">
        <f>SUM(Z7:Z13)/2</f>
        <v>0</v>
      </c>
      <c r="AA14" s="270">
        <f>SUM(AA7:AA13)/2</f>
        <v>0</v>
      </c>
      <c r="AB14" s="10"/>
      <c r="AC14" s="24"/>
      <c r="AD14" s="271">
        <f>SUM(AD7:AD13)/2</f>
        <v>0</v>
      </c>
      <c r="AE14" s="272">
        <f>SUM(AE7:AE13)/2</f>
        <v>504631.54000000004</v>
      </c>
      <c r="AF14" s="270">
        <f>SUM(AF7:AF13)/2</f>
        <v>0</v>
      </c>
      <c r="AG14" s="10"/>
      <c r="AH14" s="271">
        <f>SUM(AH7:AH13)/2</f>
        <v>0</v>
      </c>
      <c r="AI14" s="272">
        <f>SUM(AI7:AI13)/2</f>
        <v>89433.45</v>
      </c>
      <c r="AJ14" s="270">
        <f>SUM(AJ7:AJ13)/2</f>
        <v>0</v>
      </c>
      <c r="AK14" s="10"/>
      <c r="AL14" s="283">
        <f>SUM(AL7:AL13)/2</f>
        <v>0</v>
      </c>
      <c r="AM14" s="283">
        <f>SUM(AM7:AM13)/2</f>
        <v>0</v>
      </c>
      <c r="AN14" s="283">
        <f>SUM(AN7:AN13)/2</f>
        <v>0</v>
      </c>
      <c r="AO14" s="10"/>
      <c r="AP14" s="284">
        <f>SUM(AP7:AP13)/2</f>
        <v>574619.18000000005</v>
      </c>
      <c r="AQ14" s="284">
        <f>SUM(AQ7:AQ13)/2</f>
        <v>0</v>
      </c>
      <c r="AR14" s="284">
        <f>SUM(AR7:AR13)/2</f>
        <v>0</v>
      </c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254"/>
      <c r="B15" s="255"/>
      <c r="C15" s="255"/>
      <c r="D15" s="233"/>
      <c r="E15" s="234"/>
      <c r="F15" s="235"/>
      <c r="G15" s="256"/>
      <c r="H15" s="257"/>
      <c r="I15" s="237"/>
      <c r="J15" s="238"/>
      <c r="K15" s="249"/>
      <c r="L15" s="240"/>
      <c r="M15" s="8"/>
      <c r="N15" s="241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2"/>
      <c r="AT15" s="243"/>
      <c r="AU15" s="242"/>
      <c r="AV15" s="242"/>
      <c r="AW15" s="244"/>
      <c r="AX15" s="243"/>
      <c r="AY15" s="243"/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/>
      <c r="BW15" s="242"/>
      <c r="BX15" s="242"/>
      <c r="BY15" s="242"/>
      <c r="BZ15" s="242"/>
      <c r="CA15" s="242"/>
      <c r="CB15" s="243"/>
      <c r="CC15" s="248"/>
      <c r="CD15" s="248"/>
      <c r="CE15" s="248"/>
      <c r="CF15" s="248"/>
    </row>
    <row r="16" spans="1:95" x14ac:dyDescent="0.25">
      <c r="A16" s="300"/>
      <c r="B16" s="299" t="s">
        <v>646</v>
      </c>
      <c r="C16" s="93"/>
      <c r="D16" s="267"/>
      <c r="E16" s="279">
        <f>SUMIF(BG8:BG16,1, E8:E16)</f>
        <v>0</v>
      </c>
      <c r="F16" s="268">
        <f>SUMIF(BG8:BG16,1, F8:F16)</f>
        <v>0</v>
      </c>
      <c r="G16" s="301"/>
      <c r="H16" s="113"/>
      <c r="I16" s="104"/>
      <c r="J16" s="280">
        <f>SUMIF(BG8:BG16,1, J8:J16)</f>
        <v>0</v>
      </c>
      <c r="K16" s="304"/>
      <c r="L16" s="98"/>
      <c r="M16" s="272">
        <f>SUMIF(BG8:BG16,1, M8:M16)</f>
        <v>0</v>
      </c>
      <c r="N16" s="281">
        <f>SUMIF(BG8:BG16,1, N8:N16)</f>
        <v>0</v>
      </c>
      <c r="O16" s="295"/>
      <c r="P16" s="99"/>
      <c r="Q16" s="270">
        <f>SUMIF(BG8:BG16,1, Q8:Q16)</f>
        <v>0</v>
      </c>
      <c r="R16" s="270">
        <f>SUMIF(BG8:BG16,1, R8:R16)</f>
        <v>0</v>
      </c>
      <c r="S16" s="270">
        <f>SUMIF(BG8:BG16,1, S8:S16)</f>
        <v>0</v>
      </c>
      <c r="T16" s="302"/>
      <c r="U16" s="290"/>
      <c r="V16" s="291"/>
      <c r="W16" s="271">
        <f>SUMIF(BG8:BG16,1, W8:W16)</f>
        <v>0</v>
      </c>
      <c r="X16" s="272">
        <f>SUMIF(BG8:BG16,1, X8:X16)</f>
        <v>0</v>
      </c>
      <c r="Y16" s="270">
        <f>SUMIF(BG8:BG16,1, Y8:Y16)</f>
        <v>0</v>
      </c>
      <c r="Z16" s="270">
        <f>SUMIF(BG8:BG16,1, Z8:Z16)</f>
        <v>0</v>
      </c>
      <c r="AA16" s="270">
        <f>SUMIF(BG8:BG16,1, AA8:AA16)</f>
        <v>0</v>
      </c>
      <c r="AB16" s="290"/>
      <c r="AC16" s="292"/>
      <c r="AD16" s="271">
        <f>SUMIF(BG8:BG16,1, AD8:AD16)</f>
        <v>0</v>
      </c>
      <c r="AE16" s="272">
        <f>SUMIF(BG8:BG16,1, AE8:AE16)</f>
        <v>0</v>
      </c>
      <c r="AF16" s="270">
        <f>SUMIF(BG8:BG16,1, AF8:AF16)</f>
        <v>0</v>
      </c>
      <c r="AG16" s="290"/>
      <c r="AH16" s="271">
        <f>SUMIF(BG8:BG16,1, AH8:AH16)</f>
        <v>0</v>
      </c>
      <c r="AI16" s="272">
        <f>SUMIF(BG8:BG16,1, AI8:AI16)</f>
        <v>0</v>
      </c>
      <c r="AJ16" s="270">
        <f>SUMIF(BG8:BG16,1, AJ8:AJ16)</f>
        <v>0</v>
      </c>
      <c r="AK16" s="290"/>
      <c r="AL16" s="283">
        <f>SUMIF(BG8:BG16,1, AL8:AL16)</f>
        <v>0</v>
      </c>
      <c r="AM16" s="283">
        <f>SUMIF(BG8:BG16,1, AM8:AM16)</f>
        <v>0</v>
      </c>
      <c r="AN16" s="283">
        <f>SUMIF(BG8:BG16,1, AN8:AN16)</f>
        <v>0</v>
      </c>
      <c r="AO16" s="290"/>
      <c r="AP16" s="284">
        <f>SUMIF(BG8:BG16,1, AP8:AP16)</f>
        <v>0</v>
      </c>
      <c r="AQ16" s="284">
        <f>SUMIF(BG8:BG16,1, AQ8:AQ16)</f>
        <v>0</v>
      </c>
      <c r="AR16" s="284">
        <f>SUMIF(BG8:BG16,1, AR8:AR16)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300"/>
      <c r="B17" s="299" t="s">
        <v>647</v>
      </c>
      <c r="C17" s="93"/>
      <c r="D17" s="267"/>
      <c r="E17" s="279">
        <f>SUMIF(BG8:BG16,2, E8:E16)</f>
        <v>270000</v>
      </c>
      <c r="F17" s="268">
        <f>SUMIF(BG8:BG16,2, F8:F16)</f>
        <v>270000</v>
      </c>
      <c r="G17" s="301"/>
      <c r="H17" s="113"/>
      <c r="I17" s="104"/>
      <c r="J17" s="280">
        <f>SUMIF(BG8:BG16,2, J8:J16)</f>
        <v>363894.77</v>
      </c>
      <c r="K17" s="304"/>
      <c r="L17" s="98"/>
      <c r="M17" s="272">
        <f>SUMIF(BG8:BG16,2, M8:M16)</f>
        <v>594064.99</v>
      </c>
      <c r="N17" s="281">
        <f>SUMIF(BG8:BG16,2, N8:N16)</f>
        <v>594064.99</v>
      </c>
      <c r="O17" s="295"/>
      <c r="P17" s="99"/>
      <c r="Q17" s="270">
        <f>SUMIF(BG8:BG16,2, Q8:Q16)</f>
        <v>0</v>
      </c>
      <c r="R17" s="270">
        <f>SUMIF(BG8:BG16,2, R8:R16)</f>
        <v>0</v>
      </c>
      <c r="S17" s="270">
        <f>SUMIF(BG8:BG16,2, S8:S16)</f>
        <v>0</v>
      </c>
      <c r="T17" s="302"/>
      <c r="U17" s="290"/>
      <c r="V17" s="291"/>
      <c r="W17" s="271">
        <f>SUMIF(BG8:BG16,2, W8:W16)</f>
        <v>0</v>
      </c>
      <c r="X17" s="272">
        <f>SUMIF(BG8:BG16,2, X8:X16)</f>
        <v>594064.99</v>
      </c>
      <c r="Y17" s="270">
        <f>SUMIF(BG8:BG16,2, Y8:Y16)</f>
        <v>0</v>
      </c>
      <c r="Z17" s="270">
        <f>SUMIF(BG8:BG16,2, Z8:Z16)</f>
        <v>0</v>
      </c>
      <c r="AA17" s="270">
        <f>SUMIF(BG8:BG16,2, AA8:AA16)</f>
        <v>0</v>
      </c>
      <c r="AB17" s="290"/>
      <c r="AC17" s="292"/>
      <c r="AD17" s="271">
        <f>SUMIF(BG8:BG16,2, AD8:AD16)</f>
        <v>0</v>
      </c>
      <c r="AE17" s="272">
        <f>SUMIF(BG8:BG16,2, AE8:AE16)</f>
        <v>504631.54000000004</v>
      </c>
      <c r="AF17" s="270">
        <f>SUMIF(BG8:BG16,2, AF8:AF16)</f>
        <v>0</v>
      </c>
      <c r="AG17" s="290"/>
      <c r="AH17" s="271">
        <f>SUMIF(BG8:BG16,2, AH8:AH16)</f>
        <v>0</v>
      </c>
      <c r="AI17" s="272">
        <f>SUMIF(BG8:BG16,2, AI8:AI16)</f>
        <v>89433.45</v>
      </c>
      <c r="AJ17" s="270">
        <f>SUMIF(BG8:BG16,2, AJ8:AJ16)</f>
        <v>0</v>
      </c>
      <c r="AK17" s="290"/>
      <c r="AL17" s="283">
        <f>SUMIF(BG8:BG16,2, AL8:AL16)</f>
        <v>0</v>
      </c>
      <c r="AM17" s="283">
        <f>SUMIF(BG8:BG16,2, AM8:AM16)</f>
        <v>0</v>
      </c>
      <c r="AN17" s="283">
        <f>SUMIF(BG8:BG16,2, AN8:AN16)</f>
        <v>0</v>
      </c>
      <c r="AO17" s="290"/>
      <c r="AP17" s="284">
        <f>SUMIF(BG8:BG16,2, AP8:AP16)</f>
        <v>574619.18000000005</v>
      </c>
      <c r="AQ17" s="284">
        <f>SUMIF(BG8:BG16,2, AQ8:AQ16)</f>
        <v>0</v>
      </c>
      <c r="AR17" s="284">
        <f>SUMIF(BG8:BG16,2, AR8:AR16)</f>
        <v>0</v>
      </c>
      <c r="AS17" s="15"/>
      <c r="AT17" s="274"/>
      <c r="AU17" s="15"/>
      <c r="AV17" s="15"/>
      <c r="AW17" s="275"/>
      <c r="AX17" s="274"/>
      <c r="AY17" s="274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8"/>
      <c r="BO17" s="298"/>
      <c r="BP17" s="298"/>
      <c r="BQ17" s="298"/>
      <c r="BR17" s="293"/>
      <c r="BS17" s="293"/>
      <c r="BT17" s="15"/>
      <c r="BU17" s="15"/>
      <c r="BV17" s="276"/>
      <c r="BW17" s="15"/>
      <c r="BX17" s="15"/>
      <c r="BY17" s="15"/>
      <c r="BZ17" s="15"/>
      <c r="CA17" s="15"/>
      <c r="CB17" s="274"/>
      <c r="CC17" s="277"/>
      <c r="CD17" s="277"/>
      <c r="CE17" s="277"/>
      <c r="CF17" s="277"/>
    </row>
    <row r="18" spans="1:84" x14ac:dyDescent="0.25">
      <c r="A18" s="300"/>
      <c r="B18" s="299" t="s">
        <v>645</v>
      </c>
      <c r="C18" s="93"/>
      <c r="D18" s="267"/>
      <c r="E18" s="279">
        <f>SUM(E8:E17)/4</f>
        <v>270000</v>
      </c>
      <c r="F18" s="268">
        <f>SUM(F8:F17)/4</f>
        <v>270000</v>
      </c>
      <c r="G18" s="301"/>
      <c r="H18" s="113"/>
      <c r="I18" s="104"/>
      <c r="J18" s="280">
        <f>SUM(J8:J17)/4</f>
        <v>363894.77</v>
      </c>
      <c r="K18" s="304"/>
      <c r="L18" s="98"/>
      <c r="M18" s="272">
        <f>SUM(M8:M17)/4</f>
        <v>594064.99</v>
      </c>
      <c r="N18" s="281">
        <f>SUM(N8:N17)/4</f>
        <v>594064.99</v>
      </c>
      <c r="O18" s="295"/>
      <c r="P18" s="99"/>
      <c r="Q18" s="270">
        <f>SUM(Q8:Q17)/4</f>
        <v>0</v>
      </c>
      <c r="R18" s="270">
        <f>SUM(R8:R17)/4</f>
        <v>0</v>
      </c>
      <c r="S18" s="270">
        <f>SUM(S8:S17)/4</f>
        <v>0</v>
      </c>
      <c r="T18" s="302"/>
      <c r="U18" s="290"/>
      <c r="V18" s="291"/>
      <c r="W18" s="271">
        <f>SUM(W8:W17)/4</f>
        <v>0</v>
      </c>
      <c r="X18" s="272">
        <f>SUM(X8:X17)/4</f>
        <v>594064.99</v>
      </c>
      <c r="Y18" s="270">
        <f>SUM(Y8:Y17)/4</f>
        <v>0</v>
      </c>
      <c r="Z18" s="270">
        <f>SUM(Z8:Z17)/4</f>
        <v>0</v>
      </c>
      <c r="AA18" s="270">
        <f>SUM(AA8:AA17)/4</f>
        <v>0</v>
      </c>
      <c r="AB18" s="290"/>
      <c r="AC18" s="292"/>
      <c r="AD18" s="271">
        <f>SUM(AD8:AD17)/4</f>
        <v>0</v>
      </c>
      <c r="AE18" s="272">
        <f>SUM(AE8:AE17)/4</f>
        <v>504631.54000000004</v>
      </c>
      <c r="AF18" s="270">
        <f>SUM(AF8:AF17)/4</f>
        <v>0</v>
      </c>
      <c r="AG18" s="290"/>
      <c r="AH18" s="271">
        <f>SUM(AH8:AH17)/4</f>
        <v>0</v>
      </c>
      <c r="AI18" s="272">
        <f>SUM(AI8:AI17)/4</f>
        <v>89433.45</v>
      </c>
      <c r="AJ18" s="270">
        <f>SUM(AJ8:AJ17)/4</f>
        <v>0</v>
      </c>
      <c r="AK18" s="290"/>
      <c r="AL18" s="283">
        <f>SUM(AL8:AL17)/4</f>
        <v>0</v>
      </c>
      <c r="AM18" s="283">
        <f>SUM(AM8:AM17)/4</f>
        <v>0</v>
      </c>
      <c r="AN18" s="283">
        <f>SUM(AN8:AN17)/4</f>
        <v>0</v>
      </c>
      <c r="AO18" s="290"/>
      <c r="AP18" s="284">
        <f>SUM(AP8:AP17)/4</f>
        <v>574619.18000000005</v>
      </c>
      <c r="AQ18" s="284">
        <f>SUM(AQ8:AQ17)/4</f>
        <v>0</v>
      </c>
      <c r="AR18" s="284">
        <f>SUM(AR8:AR17)/4</f>
        <v>0</v>
      </c>
      <c r="AS18" s="15"/>
      <c r="AT18" s="274"/>
      <c r="AU18" s="15"/>
      <c r="AV18" s="15"/>
      <c r="AW18" s="275"/>
      <c r="AX18" s="274"/>
      <c r="AY18" s="274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298"/>
      <c r="BO18" s="298"/>
      <c r="BP18" s="298"/>
      <c r="BQ18" s="298"/>
      <c r="BR18" s="293"/>
      <c r="BS18" s="293"/>
      <c r="BT18" s="15"/>
      <c r="BU18" s="15"/>
      <c r="BV18" s="276"/>
      <c r="BW18" s="15"/>
      <c r="BX18" s="15"/>
      <c r="BY18" s="15"/>
      <c r="BZ18" s="15"/>
      <c r="CA18" s="15"/>
      <c r="CB18" s="274"/>
      <c r="CC18" s="277"/>
      <c r="CD18" s="277"/>
      <c r="CE18" s="277"/>
      <c r="CF18" s="277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R068CnEcSdURfguFoCZr8/jeg33r2LoXt9eTMaXmJ4vDYv8D+HqhYMiRsEFC4GbM957CxA4clOXXU2TEFqkCdA==" saltValue="ozen1GO5G8wTHf3qFzECj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5"/>
      <c r="B14" s="278"/>
      <c r="C14" s="266"/>
      <c r="D14" s="267"/>
      <c r="E14" s="268"/>
      <c r="F14" s="269"/>
      <c r="G14" s="268"/>
      <c r="H14" s="269"/>
      <c r="I14" s="268"/>
      <c r="J14" s="270"/>
      <c r="K14" s="270"/>
      <c r="L14" s="270"/>
      <c r="M14" s="15"/>
      <c r="N14" s="270"/>
      <c r="O14" s="270"/>
      <c r="P14" s="270"/>
      <c r="Q14" s="15"/>
      <c r="R14" s="271"/>
      <c r="S14" s="271"/>
      <c r="T14" s="271"/>
      <c r="U14" s="272"/>
      <c r="V14" s="272"/>
      <c r="W14" s="272"/>
      <c r="X14" s="270"/>
      <c r="Y14" s="270"/>
      <c r="Z14" s="270"/>
      <c r="AA14" s="273"/>
      <c r="AB14" s="274"/>
      <c r="AC14" s="15"/>
      <c r="AD14" s="15"/>
      <c r="AE14" s="275"/>
      <c r="AF14" s="274"/>
      <c r="AG14" s="274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6"/>
      <c r="BE14" s="15"/>
      <c r="BF14" s="15"/>
      <c r="BG14" s="15"/>
      <c r="BH14" s="15"/>
      <c r="BI14" s="15"/>
      <c r="BJ14" s="274"/>
      <c r="BK14" s="277"/>
      <c r="BL14" s="277"/>
      <c r="BM14" s="277"/>
      <c r="BN14" s="277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78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78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Ol6UYd2XxYxDZuJbSzSmTrSXyAuIpF7d0eHjVar82+1IHp2mtlaAI4lmFqPxbIrsc1m2gcE8dok31fXLwS9GRg==" saltValue="0NYYKjEvNow+dPyyLePCP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SH+bE+1jh/6ImBs5g8HewXUAfFolI/AxLMwuG3GkhS5xc/oMPHjydpASXiVMgm4/15WTgZfq83Ku/LieWHwAeg==" saltValue="lauUt8qfw0phUoizH696c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hqrSgzAZXlZFKXIaV4SF+d52AJCbthntVpDi/+dkAsaKaCu/fKaJ+RHRp9LGOlIIFSpAfTXZ5Rwkqs0Phnfxog==" saltValue="qy+VAW3bkkzr0imj+p18x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