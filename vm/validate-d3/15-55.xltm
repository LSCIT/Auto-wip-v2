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8E9F8BAD-BB45-4BC8-AA00-B93B92E46A84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39" i="82" l="1"/>
  <c r="AR38" i="82"/>
  <c r="AQ39" i="82"/>
  <c r="AQ38" i="82"/>
  <c r="AP39" i="82"/>
  <c r="AP38" i="82"/>
  <c r="AN39" i="82"/>
  <c r="AN38" i="82"/>
  <c r="AM39" i="82"/>
  <c r="AM38" i="82"/>
  <c r="AL39" i="82"/>
  <c r="AL38" i="82"/>
  <c r="AJ39" i="82"/>
  <c r="AJ38" i="82"/>
  <c r="AI39" i="82"/>
  <c r="AI38" i="82"/>
  <c r="AH39" i="82"/>
  <c r="AH38" i="82"/>
  <c r="AF39" i="82"/>
  <c r="AF38" i="82"/>
  <c r="AE39" i="82"/>
  <c r="AE38" i="82"/>
  <c r="AD39" i="82"/>
  <c r="AD38" i="82"/>
  <c r="AA39" i="82"/>
  <c r="AA38" i="82"/>
  <c r="Z39" i="82"/>
  <c r="Z38" i="82"/>
  <c r="Y39" i="82"/>
  <c r="Y38" i="82"/>
  <c r="X39" i="82"/>
  <c r="X38" i="82"/>
  <c r="W39" i="82"/>
  <c r="W38" i="82"/>
  <c r="S39" i="82"/>
  <c r="S38" i="82"/>
  <c r="R39" i="82"/>
  <c r="R38" i="82"/>
  <c r="Q39" i="82"/>
  <c r="Q38" i="82"/>
  <c r="N39" i="82"/>
  <c r="N38" i="82"/>
  <c r="M39" i="82"/>
  <c r="M38" i="82"/>
  <c r="J39" i="82"/>
  <c r="J38" i="82"/>
  <c r="F39" i="82"/>
  <c r="F38" i="82"/>
  <c r="E39" i="82"/>
  <c r="E38" i="82"/>
  <c r="AR34" i="82"/>
  <c r="AQ34" i="82"/>
  <c r="AP34" i="82"/>
  <c r="AN34" i="82"/>
  <c r="AM34" i="82"/>
  <c r="AL34" i="82"/>
  <c r="AJ34" i="82"/>
  <c r="AI34" i="82"/>
  <c r="AH34" i="82"/>
  <c r="AF34" i="82"/>
  <c r="AE34" i="82"/>
  <c r="AD34" i="82"/>
  <c r="AA34" i="82"/>
  <c r="Z34" i="82"/>
  <c r="Y34" i="82"/>
  <c r="X34" i="82"/>
  <c r="W34" i="82"/>
  <c r="S34" i="82"/>
  <c r="R34" i="82"/>
  <c r="Q34" i="82"/>
  <c r="N34" i="82"/>
  <c r="M34" i="82"/>
  <c r="J34" i="82"/>
  <c r="F34" i="82"/>
  <c r="E34" i="82"/>
  <c r="AR24" i="82"/>
  <c r="AQ24" i="82"/>
  <c r="AQ36" i="82" s="1"/>
  <c r="AP24" i="82"/>
  <c r="AP36" i="82" s="1"/>
  <c r="AN24" i="82"/>
  <c r="AM24" i="82"/>
  <c r="AL24" i="82"/>
  <c r="AL36" i="82" s="1"/>
  <c r="AJ24" i="82"/>
  <c r="AJ36" i="82" s="1"/>
  <c r="AI24" i="82"/>
  <c r="AH24" i="82"/>
  <c r="AF24" i="82"/>
  <c r="AF36" i="82" s="1"/>
  <c r="AE24" i="82"/>
  <c r="AE36" i="82" s="1"/>
  <c r="AD24" i="82"/>
  <c r="AA24" i="82"/>
  <c r="Z24" i="82"/>
  <c r="Z36" i="82" s="1"/>
  <c r="Y24" i="82"/>
  <c r="Y36" i="82" s="1"/>
  <c r="X24" i="82"/>
  <c r="W24" i="82"/>
  <c r="S24" i="82"/>
  <c r="S36" i="82" s="1"/>
  <c r="R24" i="82"/>
  <c r="R36" i="82" s="1"/>
  <c r="Q24" i="82"/>
  <c r="N24" i="82"/>
  <c r="M24" i="82"/>
  <c r="M36" i="82" s="1"/>
  <c r="J24" i="82"/>
  <c r="J36" i="82" s="1"/>
  <c r="F24" i="82"/>
  <c r="E24" i="82"/>
  <c r="AW39" i="75"/>
  <c r="AW38" i="75"/>
  <c r="AV39" i="75"/>
  <c r="AV38" i="75"/>
  <c r="AU39" i="75"/>
  <c r="AU38" i="75"/>
  <c r="AS39" i="75"/>
  <c r="AS38" i="75"/>
  <c r="AR39" i="75"/>
  <c r="AR38" i="75"/>
  <c r="AQ39" i="75"/>
  <c r="AQ38" i="75"/>
  <c r="AN39" i="75"/>
  <c r="AN38" i="75"/>
  <c r="AM39" i="75"/>
  <c r="AM38" i="75"/>
  <c r="AL39" i="75"/>
  <c r="AL38" i="75"/>
  <c r="AI39" i="75"/>
  <c r="AI38" i="75"/>
  <c r="AH39" i="75"/>
  <c r="AH38" i="75"/>
  <c r="AG39" i="75"/>
  <c r="AG38" i="75"/>
  <c r="AD39" i="75"/>
  <c r="AD38" i="75"/>
  <c r="AC39" i="75"/>
  <c r="AC38" i="75"/>
  <c r="AO39" i="75"/>
  <c r="AO38" i="75"/>
  <c r="AJ39" i="75"/>
  <c r="AJ38" i="75"/>
  <c r="Z39" i="75"/>
  <c r="Z38" i="75"/>
  <c r="V39" i="75"/>
  <c r="V38" i="75"/>
  <c r="Y39" i="75"/>
  <c r="Y38" i="75"/>
  <c r="X39" i="75"/>
  <c r="X38" i="75"/>
  <c r="W39" i="75"/>
  <c r="W38" i="75"/>
  <c r="R39" i="75"/>
  <c r="R38" i="75"/>
  <c r="Q39" i="75"/>
  <c r="Q38" i="75"/>
  <c r="P39" i="75"/>
  <c r="P38" i="75"/>
  <c r="M39" i="75"/>
  <c r="M38" i="75"/>
  <c r="L39" i="75"/>
  <c r="L38" i="75"/>
  <c r="I39" i="75"/>
  <c r="I38" i="75"/>
  <c r="F39" i="75"/>
  <c r="F38" i="75"/>
  <c r="E39" i="75"/>
  <c r="E38" i="75"/>
  <c r="AW36" i="75"/>
  <c r="AR36" i="75"/>
  <c r="AM36" i="75"/>
  <c r="AL36" i="75"/>
  <c r="AD36" i="75"/>
  <c r="Z36" i="75"/>
  <c r="W36" i="75"/>
  <c r="M36" i="75"/>
  <c r="E36" i="75"/>
  <c r="AW34" i="75"/>
  <c r="AV34" i="75"/>
  <c r="AU34" i="75"/>
  <c r="AS34" i="75"/>
  <c r="AS36" i="75" s="1"/>
  <c r="AR34" i="75"/>
  <c r="AQ34" i="75"/>
  <c r="AN34" i="75"/>
  <c r="AM34" i="75"/>
  <c r="AL34" i="75"/>
  <c r="AI34" i="75"/>
  <c r="AH34" i="75"/>
  <c r="AG34" i="75"/>
  <c r="AG36" i="75" s="1"/>
  <c r="AD34" i="75"/>
  <c r="AC34" i="75"/>
  <c r="AO34" i="75"/>
  <c r="AJ34" i="75"/>
  <c r="AJ36" i="75" s="1"/>
  <c r="Z34" i="75"/>
  <c r="V34" i="75"/>
  <c r="Y34" i="75"/>
  <c r="X34" i="75"/>
  <c r="X36" i="75" s="1"/>
  <c r="W34" i="75"/>
  <c r="R34" i="75"/>
  <c r="Q34" i="75"/>
  <c r="P34" i="75"/>
  <c r="P36" i="75" s="1"/>
  <c r="M34" i="75"/>
  <c r="L34" i="75"/>
  <c r="I34" i="75"/>
  <c r="F34" i="75"/>
  <c r="F36" i="75" s="1"/>
  <c r="E34" i="75"/>
  <c r="AW24" i="75"/>
  <c r="AW40" i="75" s="1"/>
  <c r="AV24" i="75"/>
  <c r="AV36" i="75" s="1"/>
  <c r="AV40" i="75" s="1"/>
  <c r="AU24" i="75"/>
  <c r="AS24" i="75"/>
  <c r="AS40" i="75" s="1"/>
  <c r="AR24" i="75"/>
  <c r="AR40" i="75" s="1"/>
  <c r="AQ24" i="75"/>
  <c r="AQ36" i="75" s="1"/>
  <c r="AQ40" i="75" s="1"/>
  <c r="AN24" i="75"/>
  <c r="AN36" i="75" s="1"/>
  <c r="AM24" i="75"/>
  <c r="AM40" i="75" s="1"/>
  <c r="AL24" i="75"/>
  <c r="AL40" i="75" s="1"/>
  <c r="AI24" i="75"/>
  <c r="AI36" i="75" s="1"/>
  <c r="AI40" i="75" s="1"/>
  <c r="AH24" i="75"/>
  <c r="AH36" i="75" s="1"/>
  <c r="AG24" i="75"/>
  <c r="AG40" i="75" s="1"/>
  <c r="AD24" i="75"/>
  <c r="AD40" i="75" s="1"/>
  <c r="AC24" i="75"/>
  <c r="AC36" i="75" s="1"/>
  <c r="AC40" i="75" s="1"/>
  <c r="AO24" i="75"/>
  <c r="AJ24" i="75"/>
  <c r="AJ40" i="75" s="1"/>
  <c r="Z24" i="75"/>
  <c r="Z40" i="75" s="1"/>
  <c r="V24" i="75"/>
  <c r="V36" i="75" s="1"/>
  <c r="V40" i="75" s="1"/>
  <c r="Y24" i="75"/>
  <c r="X24" i="75"/>
  <c r="X40" i="75" s="1"/>
  <c r="W24" i="75"/>
  <c r="W40" i="75" s="1"/>
  <c r="R24" i="75"/>
  <c r="R36" i="75" s="1"/>
  <c r="R40" i="75" s="1"/>
  <c r="Q24" i="75"/>
  <c r="P24" i="75"/>
  <c r="P40" i="75" s="1"/>
  <c r="M24" i="75"/>
  <c r="M40" i="75" s="1"/>
  <c r="L24" i="75"/>
  <c r="L36" i="75" s="1"/>
  <c r="L40" i="75" s="1"/>
  <c r="I24" i="75"/>
  <c r="I36" i="75" s="1"/>
  <c r="F24" i="75"/>
  <c r="F40" i="75" s="1"/>
  <c r="E24" i="75"/>
  <c r="E40" i="75" s="1"/>
  <c r="AS6" i="75"/>
  <c r="AC6" i="75"/>
  <c r="E40" i="82" l="1"/>
  <c r="AA40" i="82"/>
  <c r="X40" i="82"/>
  <c r="AD40" i="82"/>
  <c r="E36" i="82"/>
  <c r="N36" i="82"/>
  <c r="N40" i="82" s="1"/>
  <c r="W36" i="82"/>
  <c r="W40" i="82" s="1"/>
  <c r="AA36" i="82"/>
  <c r="AH36" i="82"/>
  <c r="AH40" i="82" s="1"/>
  <c r="AM36" i="82"/>
  <c r="AM40" i="82" s="1"/>
  <c r="AR36" i="82"/>
  <c r="AR40" i="82" s="1"/>
  <c r="M40" i="82"/>
  <c r="S40" i="82"/>
  <c r="Z40" i="82"/>
  <c r="AF40" i="82"/>
  <c r="AL40" i="82"/>
  <c r="AQ40" i="82"/>
  <c r="F36" i="82"/>
  <c r="F40" i="82" s="1"/>
  <c r="Q36" i="82"/>
  <c r="Q40" i="82" s="1"/>
  <c r="X36" i="82"/>
  <c r="AD36" i="82"/>
  <c r="AI36" i="82"/>
  <c r="AI40" i="82" s="1"/>
  <c r="AN36" i="82"/>
  <c r="AN40" i="82" s="1"/>
  <c r="J40" i="82"/>
  <c r="R40" i="82"/>
  <c r="Y40" i="82"/>
  <c r="AE40" i="82"/>
  <c r="AJ40" i="82"/>
  <c r="AP40" i="82"/>
  <c r="Q40" i="75"/>
  <c r="AO40" i="75"/>
  <c r="I40" i="75"/>
  <c r="AH40" i="75"/>
  <c r="AN40" i="75"/>
  <c r="Q36" i="75"/>
  <c r="Y36" i="75"/>
  <c r="Y40" i="75" s="1"/>
  <c r="AO36" i="75"/>
  <c r="AU36" i="75"/>
  <c r="AU40" i="75" s="1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F9" authorId="0" shapeId="0" xr:uid="{9668BF83-11BA-4A62-94A1-33D2A6B1B4FF}">
      <text>
        <r>
          <rPr>
            <sz val="10"/>
            <color indexed="81"/>
            <rFont val="Arial"/>
            <family val="2"/>
          </rPr>
          <t>1 - 0_x000D_
2 - 0_x000D_
3 - 5,138,788_x000D_
4 - 0_x000D_
5 - 0_x000D_
6 - 5,099,451</t>
        </r>
      </text>
    </comment>
    <comment ref="I9" authorId="0" shapeId="0" xr:uid="{08392934-DDE9-45D1-ACC4-9E2BD4203A3E}">
      <text>
        <r>
          <rPr>
            <sz val="10"/>
            <color indexed="81"/>
            <rFont val="Arial"/>
            <family val="2"/>
          </rPr>
          <t>1 - 5,310,000_x000D_
2 - 5,300,000_x000D_
3 - 5,300,000_x000D_
4 - 5,300,000_x000D_
5 - 5,300,000_x000D_
6 - 5,300,000</t>
        </r>
      </text>
    </comment>
    <comment ref="L9" authorId="0" shapeId="0" xr:uid="{54B71FD7-4F06-4CBF-B0B2-B063B399DC93}">
      <text>
        <r>
          <rPr>
            <sz val="10"/>
            <color indexed="81"/>
            <rFont val="Arial"/>
            <family val="2"/>
          </rPr>
          <t>1 - 0_x000D_
2 - 0_x000D_
3 - 3,770,959_x000D_
4 - 0_x000D_
5 - 0_x000D_
6 - 3,719,986</t>
        </r>
      </text>
    </comment>
    <comment ref="M9" authorId="0" shapeId="0" xr:uid="{5A5EBDF3-1B6E-40AB-8028-96D7BF481231}">
      <text>
        <r>
          <rPr>
            <sz val="10"/>
            <color indexed="81"/>
            <rFont val="Arial"/>
            <family val="2"/>
          </rPr>
          <t>1 - 3,813,028_x000D_
2 - 3,803,028_x000D_
3 - 3,803,028_x000D_
4 - 3,803,028_x000D_
5 - 3,803,028_x000D_
6 - 3,803,208</t>
        </r>
      </text>
    </comment>
    <comment ref="E10" authorId="0" shapeId="0" xr:uid="{885EA70D-EBBC-4C79-BF5F-E2CE36AAB315}">
      <text>
        <r>
          <rPr>
            <sz val="10"/>
            <color indexed="81"/>
            <rFont val="Arial"/>
            <family val="2"/>
          </rPr>
          <t>Original - _x000D_
329,982,900_x000D_
Change Order - _x000D_
11,482,087</t>
        </r>
      </text>
    </comment>
    <comment ref="F10" authorId="0" shapeId="0" xr:uid="{0EFF30D1-1613-4EE3-8311-1E2C3CD59097}">
      <text>
        <r>
          <rPr>
            <sz val="10"/>
            <color indexed="81"/>
            <rFont val="Arial"/>
            <family val="2"/>
          </rPr>
          <t>1 - 0_x000D_
2 - 0_x000D_
3 - 341,293,579_x000D_
4 - 0_x000D_
5 - 0_x000D_
6 - 341,247,032</t>
        </r>
      </text>
    </comment>
    <comment ref="I10" authorId="0" shapeId="0" xr:uid="{DF9AE665-B459-4E10-A9ED-3CA20517F85B}">
      <text>
        <r>
          <rPr>
            <sz val="10"/>
            <color indexed="81"/>
            <rFont val="Arial"/>
            <family val="2"/>
          </rPr>
          <t>1 - 341,456,859_x000D_
2 - 341,457,736_x000D_
3 - 341,293,579_x000D_
4 - 341,323,174_x000D_
5 - 341,323,174_x000D_
6 - 341,247,032</t>
        </r>
      </text>
    </comment>
    <comment ref="L10" authorId="0" shapeId="0" xr:uid="{47D56F2D-D0C8-4C29-BB51-F97B31FFE3E3}">
      <text>
        <r>
          <rPr>
            <sz val="10"/>
            <color indexed="81"/>
            <rFont val="Arial"/>
            <family val="2"/>
          </rPr>
          <t>1 - 0_x000D_
2 - 0_x000D_
3 - 336,083,081_x000D_
4 - 0_x000D_
5 - 0_x000D_
6 - 335,498,046</t>
        </r>
      </text>
    </comment>
    <comment ref="M10" authorId="0" shapeId="0" xr:uid="{C723E21F-EF78-4920-9AAD-20436518F5C0}">
      <text>
        <r>
          <rPr>
            <sz val="10"/>
            <color indexed="81"/>
            <rFont val="Arial"/>
            <family val="2"/>
          </rPr>
          <t>1 - 336,246,361_x000D_
2 - 336,247,238_x000D_
3 - 336,083,081_x000D_
4 - 335,792,672_x000D_
5 - 335,574,188_x000D_
6 - 335,498,046</t>
        </r>
      </text>
    </comment>
    <comment ref="E11" authorId="0" shapeId="0" xr:uid="{BAE13203-77A4-4B14-ACB2-D42F339E07F9}">
      <text>
        <r>
          <rPr>
            <sz val="10"/>
            <color indexed="81"/>
            <rFont val="Arial"/>
            <family val="2"/>
          </rPr>
          <t>Original - _x000D_
5,540,000_x000D_
Change Order - _x000D_
1,111,804</t>
        </r>
      </text>
    </comment>
    <comment ref="F11" authorId="0" shapeId="0" xr:uid="{5CE2A994-1A37-452D-9ABD-6F31CDA509F0}">
      <text>
        <r>
          <rPr>
            <sz val="10"/>
            <color indexed="81"/>
            <rFont val="Arial"/>
            <family val="2"/>
          </rPr>
          <t>1 - 0_x000D_
2 - 0_x000D_
3 - 6,651,804_x000D_
4 - 0_x000D_
5 - 0_x000D_
6 - 6,651,804</t>
        </r>
      </text>
    </comment>
    <comment ref="I11" authorId="0" shapeId="0" xr:uid="{7820D24C-8B60-4EA7-868D-15F017E2D7A9}">
      <text>
        <r>
          <rPr>
            <sz val="10"/>
            <color indexed="81"/>
            <rFont val="Arial"/>
            <family val="2"/>
          </rPr>
          <t>1 - 6,651,804_x000D_
2 - 6,651,804_x000D_
3 - 6,651,804_x000D_
4 - 6,651,804_x000D_
5 - 6,651,804_x000D_
6 - 6,651,804</t>
        </r>
      </text>
    </comment>
    <comment ref="L11" authorId="0" shapeId="0" xr:uid="{5B173B10-5F55-479B-BEC7-84E760F224CC}">
      <text>
        <r>
          <rPr>
            <sz val="10"/>
            <color indexed="81"/>
            <rFont val="Arial"/>
            <family val="2"/>
          </rPr>
          <t>1 - 0_x000D_
2 - 0_x000D_
3 - 6,401,804_x000D_
4 - 0_x000D_
5 - 0_x000D_
6 - 6,351,804</t>
        </r>
      </text>
    </comment>
    <comment ref="M11" authorId="0" shapeId="0" xr:uid="{4103642D-3475-4135-9901-7644659BE1D2}">
      <text>
        <r>
          <rPr>
            <sz val="10"/>
            <color indexed="81"/>
            <rFont val="Arial"/>
            <family val="2"/>
          </rPr>
          <t>1 - 6,401,804_x000D_
2 - 6,401,804_x000D_
3 - 6,401,804_x000D_
4 - 6,376,804_x000D_
5 - 6,351,804_x000D_
6 - 6,351,804</t>
        </r>
      </text>
    </comment>
    <comment ref="E12" authorId="0" shapeId="0" xr:uid="{388285BD-5B4B-4907-A7F4-436E9436364A}">
      <text>
        <r>
          <rPr>
            <sz val="10"/>
            <color indexed="81"/>
            <rFont val="Arial"/>
            <family val="2"/>
          </rPr>
          <t>Original - _x000D_
1,418,584_x000D_
Change Order - _x000D_
194,352,852</t>
        </r>
      </text>
    </comment>
    <comment ref="F12" authorId="0" shapeId="0" xr:uid="{2FE57206-F0AA-4473-BF49-0DEDEFEDD76D}">
      <text>
        <r>
          <rPr>
            <sz val="10"/>
            <color indexed="81"/>
            <rFont val="Arial"/>
            <family val="2"/>
          </rPr>
          <t>1 - 0_x000D_
2 - 0_x000D_
3 - 186,423,681_x000D_
4 - 0_x000D_
5 - 0_x000D_
6 - 171,115,950</t>
        </r>
      </text>
    </comment>
    <comment ref="I12" authorId="0" shapeId="0" xr:uid="{24B2C850-4760-4E8A-9A81-53AB3A94CA45}">
      <text>
        <r>
          <rPr>
            <sz val="10"/>
            <color indexed="81"/>
            <rFont val="Arial"/>
            <family val="2"/>
          </rPr>
          <t>1 - 195,902,148_x000D_
2 - 195,902,148_x000D_
3 - 195,902,148_x000D_
4 - 195,902,148_x000D_
5 - 195,902,148_x000D_
6 - 195,685,221</t>
        </r>
      </text>
    </comment>
    <comment ref="L12" authorId="0" shapeId="0" xr:uid="{B39CD900-737F-4755-B309-9AE22532F082}">
      <text>
        <r>
          <rPr>
            <sz val="10"/>
            <color indexed="81"/>
            <rFont val="Arial"/>
            <family val="2"/>
          </rPr>
          <t>1 - 0_x000D_
2 - 0_x000D_
3 - 186,416,227_x000D_
4 - 0_x000D_
5 - 0_x000D_
6 - 172,121,845</t>
        </r>
      </text>
    </comment>
    <comment ref="M12" authorId="0" shapeId="0" xr:uid="{83469487-8106-4D84-9705-292B23A5342E}">
      <text>
        <r>
          <rPr>
            <sz val="10"/>
            <color indexed="81"/>
            <rFont val="Arial"/>
            <family val="2"/>
          </rPr>
          <t>1 - 195,902,148_x000D_
2 - 195,902,148_x000D_
3 - 195,902,148_x000D_
4 - 195,902,148_x000D_
5 - 195,902,148_x000D_
6 - 195,685,221</t>
        </r>
      </text>
    </comment>
    <comment ref="I13" authorId="0" shapeId="0" xr:uid="{7A720EAF-6ED9-4C62-839B-05BB906120BA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13" authorId="0" shapeId="0" xr:uid="{2D48BFED-8B92-42FF-BCB0-DCE62F986AFF}">
      <text>
        <r>
          <rPr>
            <sz val="10"/>
            <color indexed="81"/>
            <rFont val="Arial"/>
            <family val="2"/>
          </rPr>
          <t>1 - 0_x000D_
2 - 0_x000D_
3 - (7,455,310)_x000D_
4 - 0_x000D_
5 - 0_x000D_
6 - (6,961,158)</t>
        </r>
      </text>
    </comment>
    <comment ref="M13" authorId="0" shapeId="0" xr:uid="{091EAD55-C67E-41ED-B812-DE7E6A7EBF76}">
      <text>
        <r>
          <rPr>
            <sz val="10"/>
            <color indexed="81"/>
            <rFont val="Arial"/>
            <family val="2"/>
          </rPr>
          <t>1 - (8,100,000)_x000D_
2 - (8,100,000)_x000D_
3 - (8,100,000)_x000D_
4 - (8,100,000)_x000D_
5 - (8,100,000)_x000D_
6 - (8,100,000)</t>
        </r>
      </text>
    </comment>
    <comment ref="E14" authorId="0" shapeId="0" xr:uid="{302BE8D7-AEA8-4E56-903F-32635668A713}">
      <text>
        <r>
          <rPr>
            <sz val="10"/>
            <color indexed="81"/>
            <rFont val="Arial"/>
            <family val="2"/>
          </rPr>
          <t>Original - _x000D_
14,932,529_x000D_
Change Order - _x000D_
1,463,523</t>
        </r>
      </text>
    </comment>
    <comment ref="F14" authorId="0" shapeId="0" xr:uid="{3ED0D31D-A9F5-4668-BBA0-E892F3FE585C}">
      <text>
        <r>
          <rPr>
            <sz val="10"/>
            <color indexed="81"/>
            <rFont val="Arial"/>
            <family val="2"/>
          </rPr>
          <t>1 - 0_x000D_
2 - 0_x000D_
3 - 16,115,717_x000D_
4 - 0_x000D_
5 - 0_x000D_
6 - 16,115,717</t>
        </r>
      </text>
    </comment>
    <comment ref="I14" authorId="0" shapeId="0" xr:uid="{EF93C756-24C5-4C4D-8C5B-C18CC57DE8F4}">
      <text>
        <r>
          <rPr>
            <sz val="10"/>
            <color indexed="81"/>
            <rFont val="Arial"/>
            <family val="2"/>
          </rPr>
          <t>1 - 16,115,717_x000D_
2 - 16,115,717_x000D_
3 - 16,115,717_x000D_
4 - 16,115,717_x000D_
5 - 16,115,717_x000D_
6 - 16,115,717</t>
        </r>
      </text>
    </comment>
    <comment ref="L14" authorId="0" shapeId="0" xr:uid="{125CD010-0114-417E-9EF4-81D26336E655}">
      <text>
        <r>
          <rPr>
            <sz val="10"/>
            <color indexed="81"/>
            <rFont val="Arial"/>
            <family val="2"/>
          </rPr>
          <t>1 - 0_x000D_
2 - 0_x000D_
3 - 14,940,308_x000D_
4 - 0_x000D_
5 - 0_x000D_
6 - 14,940,308</t>
        </r>
      </text>
    </comment>
    <comment ref="M14" authorId="0" shapeId="0" xr:uid="{7F7B5279-2551-4320-A5E1-42B99E319490}">
      <text>
        <r>
          <rPr>
            <sz val="10"/>
            <color indexed="81"/>
            <rFont val="Arial"/>
            <family val="2"/>
          </rPr>
          <t>1 - 14,940,308_x000D_
2 - 14,940,308_x000D_
3 - 14,940,308_x000D_
4 - 14,940,308_x000D_
5 - 14,940,308_x000D_
6 - 14,940,308</t>
        </r>
      </text>
    </comment>
    <comment ref="E15" authorId="0" shapeId="0" xr:uid="{5FAC504E-8727-46CF-8EA8-E3C2EB44DA7D}">
      <text>
        <r>
          <rPr>
            <sz val="10"/>
            <color indexed="81"/>
            <rFont val="Arial"/>
            <family val="2"/>
          </rPr>
          <t>Original - _x000D_
511,278_x000D_
Change Order - _x000D_
44,564,769</t>
        </r>
      </text>
    </comment>
    <comment ref="F15" authorId="0" shapeId="0" xr:uid="{539A6C46-5A12-44CC-A569-5AFDF90CC2F5}">
      <text>
        <r>
          <rPr>
            <sz val="10"/>
            <color indexed="81"/>
            <rFont val="Arial"/>
            <family val="2"/>
          </rPr>
          <t>1 - 0_x000D_
2 - 0_x000D_
3 - 51,420,607_x000D_
4 - 0_x000D_
5 - 0_x000D_
6 - 46,351,308</t>
        </r>
      </text>
    </comment>
    <comment ref="I15" authorId="0" shapeId="0" xr:uid="{837A3F10-D57E-450F-9786-F213AC5DA777}">
      <text>
        <r>
          <rPr>
            <sz val="10"/>
            <color indexed="81"/>
            <rFont val="Arial"/>
            <family val="2"/>
          </rPr>
          <t>1 - 55,521,917_x000D_
2 - 54,018,182_x000D_
3 - 51,675,607_x000D_
4 - 49,904,800_x000D_
5 - 48,167,523_x000D_
6 - 47,052,523</t>
        </r>
      </text>
    </comment>
    <comment ref="L15" authorId="0" shapeId="0" xr:uid="{D450F3B5-D7FF-4101-A1B0-8B3D3C8E0A29}">
      <text>
        <r>
          <rPr>
            <sz val="10"/>
            <color indexed="81"/>
            <rFont val="Arial"/>
            <family val="2"/>
          </rPr>
          <t>1 - 0_x000D_
2 - 0_x000D_
3 - 51,420,971_x000D_
4 - 0_x000D_
5 - 0_x000D_
6 - 46,652,704</t>
        </r>
      </text>
    </comment>
    <comment ref="M15" authorId="0" shapeId="0" xr:uid="{14F236B7-E165-4819-91CC-26C090A1286A}">
      <text>
        <r>
          <rPr>
            <sz val="10"/>
            <color indexed="81"/>
            <rFont val="Arial"/>
            <family val="2"/>
          </rPr>
          <t>1 - 55,521,917_x000D_
2 - 54,018,182_x000D_
3 - 51,675,607_x000D_
4 - 49,904,800_x000D_
5 - 48,167,523_x000D_
6 - 47,052,523</t>
        </r>
      </text>
    </comment>
    <comment ref="I16" authorId="0" shapeId="0" xr:uid="{DAFD7CA9-1C1A-4744-A4A7-62B5BDE2D0BB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16" authorId="0" shapeId="0" xr:uid="{206D4B3F-33AE-420A-8C30-350297DD8A65}">
      <text>
        <r>
          <rPr>
            <sz val="10"/>
            <color indexed="81"/>
            <rFont val="Arial"/>
            <family val="2"/>
          </rPr>
          <t>1 - 0_x000D_
2 - 0_x000D_
3 - (2,245,865)_x000D_
4 - 0_x000D_
5 - 0_x000D_
6 - (2,133,979)</t>
        </r>
      </text>
    </comment>
    <comment ref="M16" authorId="0" shapeId="0" xr:uid="{EA4EEEE3-088B-410E-B2B1-3E6163564876}">
      <text>
        <r>
          <rPr>
            <sz val="10"/>
            <color indexed="81"/>
            <rFont val="Arial"/>
            <family val="2"/>
          </rPr>
          <t>1 - (2,500,000)_x000D_
2 - (2,500,000)_x000D_
3 - (2,500,000)_x000D_
4 - (2,500,000)_x000D_
5 - (2,500,000)_x000D_
6 - (2,500,000)</t>
        </r>
      </text>
    </comment>
    <comment ref="E17" authorId="0" shapeId="0" xr:uid="{3E643469-1133-40C9-9292-502033DEAF5C}">
      <text>
        <r>
          <rPr>
            <sz val="10"/>
            <color indexed="81"/>
            <rFont val="Arial"/>
            <family val="2"/>
          </rPr>
          <t>Original - _x000D_
40,129,713_x000D_
Change Order - _x000D_
1,374,493</t>
        </r>
      </text>
    </comment>
    <comment ref="F17" authorId="0" shapeId="0" xr:uid="{3A8D2D47-F467-40D5-ADA8-F7F7B5E1F1AB}">
      <text>
        <r>
          <rPr>
            <sz val="10"/>
            <color indexed="81"/>
            <rFont val="Arial"/>
            <family val="2"/>
          </rPr>
          <t>1 - 0_x000D_
2 - 0_x000D_
3 - 41,185,764_x000D_
4 - 0_x000D_
5 - 0_x000D_
6 - 41,043,875</t>
        </r>
      </text>
    </comment>
    <comment ref="I17" authorId="0" shapeId="0" xr:uid="{3B72D623-DCE2-47B7-80E1-EB360FF2694B}">
      <text>
        <r>
          <rPr>
            <sz val="10"/>
            <color indexed="81"/>
            <rFont val="Arial"/>
            <family val="2"/>
          </rPr>
          <t>1 - 41,504,206_x000D_
2 - 41,346,178_x000D_
3 - 41,185,764_x000D_
4 - 41,185,764_x000D_
5 - 41,043,874_x000D_
6 - 41,043,875</t>
        </r>
      </text>
    </comment>
    <comment ref="L17" authorId="0" shapeId="0" xr:uid="{AE19AB7C-9ED9-490C-8763-810BCC32BB7F}">
      <text>
        <r>
          <rPr>
            <sz val="10"/>
            <color indexed="81"/>
            <rFont val="Arial"/>
            <family val="2"/>
          </rPr>
          <t>1 - 0_x000D_
2 - 0_x000D_
3 - 36,835,764_x000D_
4 - 0_x000D_
5 - 0_x000D_
6 - 36,543,875</t>
        </r>
      </text>
    </comment>
    <comment ref="M17" authorId="0" shapeId="0" xr:uid="{9E2219F0-E532-4EA6-B900-B5390862846B}">
      <text>
        <r>
          <rPr>
            <sz val="10"/>
            <color indexed="81"/>
            <rFont val="Arial"/>
            <family val="2"/>
          </rPr>
          <t>1 - 37,154,206_x000D_
2 - 36,996,178_x000D_
3 - 36,835,764_x000D_
4 - 36,835,764_x000D_
5 - 36,693,874_x000D_
6 - 36,543,875</t>
        </r>
      </text>
    </comment>
    <comment ref="F18" authorId="0" shapeId="0" xr:uid="{91492855-976C-4C18-B4A6-53F73D5474E2}">
      <text>
        <r>
          <rPr>
            <sz val="10"/>
            <color indexed="81"/>
            <rFont val="Arial"/>
            <family val="2"/>
          </rPr>
          <t>1 - 0_x000D_
2 - 0_x000D_
3 - 104,043_x000D_
4 - 0_x000D_
5 - 0_x000D_
6 - 104,043</t>
        </r>
      </text>
    </comment>
    <comment ref="I18" authorId="0" shapeId="0" xr:uid="{6CB5FE38-28E0-48E1-A66B-55CF579D0B88}">
      <text>
        <r>
          <rPr>
            <sz val="10"/>
            <color indexed="81"/>
            <rFont val="Arial"/>
            <family val="2"/>
          </rPr>
          <t>1 - 104,447_x000D_
2 - 104,447_x000D_
3 - 104,043_x000D_
4 - 104,043_x000D_
5 - 104,043_x000D_
6 - 104,043</t>
        </r>
      </text>
    </comment>
    <comment ref="L18" authorId="0" shapeId="0" xr:uid="{BB334D86-3F17-4D8C-A526-149002E316ED}">
      <text>
        <r>
          <rPr>
            <sz val="10"/>
            <color indexed="81"/>
            <rFont val="Arial"/>
            <family val="2"/>
          </rPr>
          <t>1 - 0_x000D_
2 - 0_x000D_
3 - 95,614_x000D_
4 - 0_x000D_
5 - 0_x000D_
6 - 95,614</t>
        </r>
      </text>
    </comment>
    <comment ref="M18" authorId="0" shapeId="0" xr:uid="{0600463E-4E9D-457E-B7C4-DAA702DDE582}">
      <text>
        <r>
          <rPr>
            <sz val="10"/>
            <color indexed="81"/>
            <rFont val="Arial"/>
            <family val="2"/>
          </rPr>
          <t>1 - 106,792_x000D_
2 - 96,018_x000D_
3 - 95,614_x000D_
4 - 95,614_x000D_
5 - 95,614_x000D_
6 - 95,614</t>
        </r>
      </text>
    </comment>
    <comment ref="E19" authorId="0" shapeId="0" xr:uid="{83210739-C475-4412-9B8E-A5573F48F024}">
      <text>
        <r>
          <rPr>
            <sz val="10"/>
            <color indexed="81"/>
            <rFont val="Arial"/>
            <family val="2"/>
          </rPr>
          <t>Original - _x000D_
5,542,665_x000D_
Change Order - _x000D_
224,723</t>
        </r>
      </text>
    </comment>
    <comment ref="F19" authorId="0" shapeId="0" xr:uid="{03ABC982-0C9E-4A6C-B5C0-7C71B38A1068}">
      <text>
        <r>
          <rPr>
            <sz val="10"/>
            <color indexed="81"/>
            <rFont val="Arial"/>
            <family val="2"/>
          </rPr>
          <t>1 - 0_x000D_
2 - 0_x000D_
3 - 5,782,652_x000D_
4 - 0_x000D_
5 - 0_x000D_
6 - 5,600,482</t>
        </r>
      </text>
    </comment>
    <comment ref="I19" authorId="0" shapeId="0" xr:uid="{D2555D1F-2966-47EF-8970-471C3C36DC26}">
      <text>
        <r>
          <rPr>
            <sz val="10"/>
            <color indexed="81"/>
            <rFont val="Arial"/>
            <family val="2"/>
          </rPr>
          <t>1 - 5,759,302_x000D_
2 - 5,782,652_x000D_
3 - 5,782,652_x000D_
4 - 5,782,652_x000D_
5 - 5,782,652_x000D_
6 - 5,600,482</t>
        </r>
      </text>
    </comment>
    <comment ref="L19" authorId="0" shapeId="0" xr:uid="{7AFBDAD2-2BC9-4561-85B6-E8D525DCD843}">
      <text>
        <r>
          <rPr>
            <sz val="10"/>
            <color indexed="81"/>
            <rFont val="Arial"/>
            <family val="2"/>
          </rPr>
          <t>1 - 0_x000D_
2 - 0_x000D_
3 - 5,082,652_x000D_
4 - 0_x000D_
5 - 0_x000D_
6 - 5,120,482</t>
        </r>
      </text>
    </comment>
    <comment ref="M19" authorId="0" shapeId="0" xr:uid="{6263DC81-D8E9-4AEB-8A81-50AD6C2E2D28}">
      <text>
        <r>
          <rPr>
            <sz val="10"/>
            <color indexed="81"/>
            <rFont val="Arial"/>
            <family val="2"/>
          </rPr>
          <t>1 - 5,034,302_x000D_
2 - 5,057,652_x000D_
3 - 5,082,652_x000D_
4 - 5,182,652_x000D_
5 - 5,182,652_x000D_
6 - 5,120,482</t>
        </r>
      </text>
    </comment>
    <comment ref="E20" authorId="0" shapeId="0" xr:uid="{30704A87-75C4-43A4-953D-5CFBA984FCD1}">
      <text>
        <r>
          <rPr>
            <sz val="10"/>
            <color indexed="81"/>
            <rFont val="Arial"/>
            <family val="2"/>
          </rPr>
          <t>Original - _x000D_
147,718,400_x000D_
Change Order - _x000D_
-193,287</t>
        </r>
      </text>
    </comment>
    <comment ref="F20" authorId="0" shapeId="0" xr:uid="{6048B3CC-4BFA-467D-97C6-FF0D4CB06126}">
      <text>
        <r>
          <rPr>
            <sz val="10"/>
            <color indexed="81"/>
            <rFont val="Arial"/>
            <family val="2"/>
          </rPr>
          <t>1 - 0_x000D_
2 - 0_x000D_
3 - 147,718,400_x000D_
4 - 0_x000D_
5 - 0_x000D_
6 - 147,718,400</t>
        </r>
      </text>
    </comment>
    <comment ref="I20" authorId="0" shapeId="0" xr:uid="{66C15E52-E8C3-49D2-888F-CB40498F18A4}">
      <text>
        <r>
          <rPr>
            <sz val="10"/>
            <color indexed="81"/>
            <rFont val="Arial"/>
            <family val="2"/>
          </rPr>
          <t>1 - 147,718,400_x000D_
2 - 147,718,400_x000D_
3 - 147,718,400_x000D_
4 - 147,718,400_x000D_
5 - 147,718,400_x000D_
6 - 147,718,400</t>
        </r>
      </text>
    </comment>
    <comment ref="L20" authorId="0" shapeId="0" xr:uid="{5301DB74-907B-4B6E-BCAB-5A1C4EA49784}">
      <text>
        <r>
          <rPr>
            <sz val="10"/>
            <color indexed="81"/>
            <rFont val="Arial"/>
            <family val="2"/>
          </rPr>
          <t>1 - 0_x000D_
2 - 0_x000D_
3 - 139,897,192_x000D_
4 - 0_x000D_
5 - 0_x000D_
6 - 139,897,192</t>
        </r>
      </text>
    </comment>
    <comment ref="M20" authorId="0" shapeId="0" xr:uid="{18FFDB6A-0631-461A-B9A2-2EEABBCAE7DC}">
      <text>
        <r>
          <rPr>
            <sz val="10"/>
            <color indexed="81"/>
            <rFont val="Arial"/>
            <family val="2"/>
          </rPr>
          <t>1 - 139,897,192_x000D_
2 - 139,897,192_x000D_
3 - 139,897,192_x000D_
4 - 139,897,192_x000D_
5 - 139,897,192_x000D_
6 - 139,897,192</t>
        </r>
      </text>
    </comment>
    <comment ref="F21" authorId="0" shapeId="0" xr:uid="{8E251CD3-8784-438C-A82E-915A67FB769E}">
      <text>
        <r>
          <rPr>
            <sz val="10"/>
            <color indexed="81"/>
            <rFont val="Arial"/>
            <family val="2"/>
          </rPr>
          <t>1 - 0_x000D_
2 - 0_x000D_
3 - 471,896_x000D_
4 - 0_x000D_
5 - 0_x000D_
6 - 471,896</t>
        </r>
      </text>
    </comment>
    <comment ref="I21" authorId="0" shapeId="0" xr:uid="{D8A809D9-D63C-4750-BFEE-DE95407BD879}">
      <text>
        <r>
          <rPr>
            <sz val="10"/>
            <color indexed="81"/>
            <rFont val="Arial"/>
            <family val="2"/>
          </rPr>
          <t>1 - 471,896_x000D_
2 - 471,896_x000D_
3 - 471,896_x000D_
4 - 471,896_x000D_
5 - 471,896_x000D_
6 - 471,896</t>
        </r>
      </text>
    </comment>
    <comment ref="L21" authorId="0" shapeId="0" xr:uid="{F6AF4445-43F8-4ED2-9D1A-272E0092493B}">
      <text>
        <r>
          <rPr>
            <sz val="10"/>
            <color indexed="81"/>
            <rFont val="Arial"/>
            <family val="2"/>
          </rPr>
          <t>1 - 0_x000D_
2 - 0_x000D_
3 - 471,896_x000D_
4 - 0_x000D_
5 - 0_x000D_
6 - 441,896</t>
        </r>
      </text>
    </comment>
    <comment ref="M21" authorId="0" shapeId="0" xr:uid="{96E514EB-9FE8-427E-ACCD-5D753E3BE6D7}">
      <text>
        <r>
          <rPr>
            <sz val="10"/>
            <color indexed="81"/>
            <rFont val="Arial"/>
            <family val="2"/>
          </rPr>
          <t>1 - 471,896_x000D_
2 - 471,896_x000D_
3 - 471,896_x000D_
4 - 471,896_x000D_
5 - 441,896_x000D_
6 - 441,896</t>
        </r>
      </text>
    </comment>
    <comment ref="F22" authorId="0" shapeId="0" xr:uid="{D8A61B97-190D-4978-A98D-F1DD3F0DFB82}">
      <text>
        <r>
          <rPr>
            <sz val="10"/>
            <color indexed="81"/>
            <rFont val="Arial"/>
            <family val="2"/>
          </rPr>
          <t>1 - 0_x000D_
2 - 0_x000D_
3 - 1,247_x000D_
4 - 0_x000D_
5 - 0_x000D_
6 - 0</t>
        </r>
      </text>
    </comment>
    <comment ref="I22" authorId="0" shapeId="0" xr:uid="{8C1671A2-1F8F-4241-9015-34306E4D6684}">
      <text>
        <r>
          <rPr>
            <sz val="10"/>
            <color indexed="81"/>
            <rFont val="Arial"/>
            <family val="2"/>
          </rPr>
          <t>1 - 1,247_x000D_
2 - 1,247_x000D_
3 - 1,247_x000D_
4 - 811_x000D_
5 - 0_x000D_
6 - 0</t>
        </r>
      </text>
    </comment>
    <comment ref="L22" authorId="0" shapeId="0" xr:uid="{77150550-5B7F-4F9E-8DEC-17B01B894723}">
      <text>
        <r>
          <rPr>
            <sz val="10"/>
            <color indexed="81"/>
            <rFont val="Arial"/>
            <family val="2"/>
          </rPr>
          <t>1 - 0_x000D_
2 - 0_x000D_
3 - 1,247_x000D_
4 - 0_x000D_
5 - 0_x000D_
6 - 0</t>
        </r>
      </text>
    </comment>
    <comment ref="M22" authorId="0" shapeId="0" xr:uid="{BA1B6C41-91F3-41E2-A809-E946598DE816}">
      <text>
        <r>
          <rPr>
            <sz val="10"/>
            <color indexed="81"/>
            <rFont val="Arial"/>
            <family val="2"/>
          </rPr>
          <t>1 - 1,247_x000D_
2 - 1,247_x000D_
3 - 1,247_x000D_
4 - 811_x000D_
5 - 0_x000D_
6 - 0</t>
        </r>
      </text>
    </comment>
    <comment ref="I23" authorId="0" shapeId="0" xr:uid="{EB04C679-AC8A-4D29-AE86-443593EFF578}">
      <text>
        <r>
          <rPr>
            <sz val="10"/>
            <color indexed="81"/>
            <rFont val="Arial"/>
            <family val="2"/>
          </rPr>
          <t>1 - 2,888,100_x000D_
2 - 2,888,100_x000D_
3 - 0_x000D_
4 - 0_x000D_
5 - 0_x000D_
6 - 0</t>
        </r>
      </text>
    </comment>
    <comment ref="M23" authorId="0" shapeId="0" xr:uid="{AA59B6C0-DB70-4DCC-8165-87B5F542A01F}">
      <text>
        <r>
          <rPr>
            <sz val="10"/>
            <color indexed="81"/>
            <rFont val="Arial"/>
            <family val="2"/>
          </rPr>
          <t>1 - 2,713,100_x000D_
2 - 2,713,100_x000D_
3 - 0_x000D_
4 - 0_x000D_
5 - 0_x000D_
6 - 0</t>
        </r>
      </text>
    </comment>
    <comment ref="E27" authorId="0" shapeId="0" xr:uid="{FEC59FFF-9BB6-4DF6-9769-3124BFF86FAB}">
      <text>
        <r>
          <rPr>
            <sz val="10"/>
            <color indexed="81"/>
            <rFont val="Arial"/>
            <family val="2"/>
          </rPr>
          <t>Original - _x000D_
984,000_x000D_
Change Order - _x000D_
1,289,683</t>
        </r>
      </text>
    </comment>
    <comment ref="F27" authorId="0" shapeId="0" xr:uid="{F29E6E8B-B936-4869-85C8-501436A0C46D}">
      <text>
        <r>
          <rPr>
            <sz val="10"/>
            <color indexed="81"/>
            <rFont val="Arial"/>
            <family val="2"/>
          </rPr>
          <t>1 - 0_x000D_
2 - 0_x000D_
3 - 2,273,683_x000D_
4 - 0_x000D_
5 - 0_x000D_
6 - 2,273,683</t>
        </r>
      </text>
    </comment>
    <comment ref="I27" authorId="0" shapeId="0" xr:uid="{95959012-53F9-41F6-8607-AC325FADBFF3}">
      <text>
        <r>
          <rPr>
            <sz val="10"/>
            <color indexed="81"/>
            <rFont val="Arial"/>
            <family val="2"/>
          </rPr>
          <t>1 - 2,273,683_x000D_
2 - 2,273,683_x000D_
3 - 2,273,683_x000D_
4 - 2,273,683_x000D_
5 - 2,273,683_x000D_
6 - 2,273,683</t>
        </r>
      </text>
    </comment>
    <comment ref="L27" authorId="0" shapeId="0" xr:uid="{0CAFF862-9334-45AF-9050-ED3D867EC05F}">
      <text>
        <r>
          <rPr>
            <sz val="10"/>
            <color indexed="81"/>
            <rFont val="Arial"/>
            <family val="2"/>
          </rPr>
          <t>1 - 0_x000D_
2 - 0_x000D_
3 - 1,665,145_x000D_
4 - 0_x000D_
5 - 0_x000D_
6 - 1,665,145</t>
        </r>
      </text>
    </comment>
    <comment ref="M27" authorId="0" shapeId="0" xr:uid="{2ED600C2-98BE-424E-A447-363CDF4AF0E4}">
      <text>
        <r>
          <rPr>
            <sz val="10"/>
            <color indexed="81"/>
            <rFont val="Arial"/>
            <family val="2"/>
          </rPr>
          <t>1 - 1,665,145_x000D_
2 - 1,665,145_x000D_
3 - 1,665,145_x000D_
4 - 1,665,145_x000D_
5 - 1,665,145_x000D_
6 - 1,665,145</t>
        </r>
      </text>
    </comment>
    <comment ref="E28" authorId="0" shapeId="0" xr:uid="{DC2EA1D0-E97D-4482-9074-2D96CC12D518}">
      <text>
        <r>
          <rPr>
            <sz val="10"/>
            <color indexed="81"/>
            <rFont val="Arial"/>
            <family val="2"/>
          </rPr>
          <t>Original - _x000D_
3,825,000_x000D_
Change Order - _x000D_
247,535</t>
        </r>
      </text>
    </comment>
    <comment ref="F28" authorId="0" shapeId="0" xr:uid="{1917A148-72A7-4C20-9D4A-68A972369C2A}">
      <text>
        <r>
          <rPr>
            <sz val="10"/>
            <color indexed="81"/>
            <rFont val="Arial"/>
            <family val="2"/>
          </rPr>
          <t>1 - 0_x000D_
2 - 0_x000D_
3 - 4,046,200_x000D_
4 - 0_x000D_
5 - 0_x000D_
6 - 4,046,200</t>
        </r>
      </text>
    </comment>
    <comment ref="I28" authorId="0" shapeId="0" xr:uid="{F2B78980-4D2A-4BB3-85E9-896474D852A2}">
      <text>
        <r>
          <rPr>
            <sz val="10"/>
            <color indexed="81"/>
            <rFont val="Arial"/>
            <family val="2"/>
          </rPr>
          <t>1 - 4,046,200_x000D_
2 - 4,046,200_x000D_
3 - 4,046,200_x000D_
4 - 4,046,200_x000D_
5 - 4,046,200_x000D_
6 - 4,046,200</t>
        </r>
      </text>
    </comment>
    <comment ref="L28" authorId="0" shapeId="0" xr:uid="{E47DE8E1-251C-4605-903A-20A7050BF7D1}">
      <text>
        <r>
          <rPr>
            <sz val="10"/>
            <color indexed="81"/>
            <rFont val="Arial"/>
            <family val="2"/>
          </rPr>
          <t>1 - 0_x000D_
2 - 0_x000D_
3 - 3,321,856_x000D_
4 - 0_x000D_
5 - 0_x000D_
6 - 3,320,837</t>
        </r>
      </text>
    </comment>
    <comment ref="M28" authorId="0" shapeId="0" xr:uid="{5E5B8CB9-64F9-4DBA-B5C7-0320989D39C6}">
      <text>
        <r>
          <rPr>
            <sz val="10"/>
            <color indexed="81"/>
            <rFont val="Arial"/>
            <family val="2"/>
          </rPr>
          <t>1 - 3,321,856_x000D_
2 - 3,321,856_x000D_
3 - 3,321,856_x000D_
4 - 3,321,856_x000D_
5 - 3,320,837_x000D_
6 - 3,320,837</t>
        </r>
      </text>
    </comment>
    <comment ref="F29" authorId="0" shapeId="0" xr:uid="{E0536D9E-A1A0-488D-844F-E4CC17BE0CCF}">
      <text>
        <r>
          <rPr>
            <sz val="10"/>
            <color indexed="81"/>
            <rFont val="Arial"/>
            <family val="2"/>
          </rPr>
          <t>1 - 0_x000D_
2 - 0_x000D_
3 - 34,208_x000D_
4 - 0_x000D_
5 - 0_x000D_
6 - 223,325</t>
        </r>
      </text>
    </comment>
    <comment ref="I29" authorId="0" shapeId="0" xr:uid="{88B5CD6C-D402-4B0B-AF4F-4277A8AD1D28}">
      <text>
        <r>
          <rPr>
            <sz val="10"/>
            <color indexed="81"/>
            <rFont val="Arial"/>
            <family val="2"/>
          </rPr>
          <t>1 - 34,208_x000D_
2 - 34,208_x000D_
3 - 34,208_x000D_
4 - 223,325_x000D_
5 - 223,325_x000D_
6 - 223,325</t>
        </r>
      </text>
    </comment>
    <comment ref="L29" authorId="0" shapeId="0" xr:uid="{DC2B2D15-060C-420E-8D46-21D4333FF234}">
      <text>
        <r>
          <rPr>
            <sz val="10"/>
            <color indexed="81"/>
            <rFont val="Arial"/>
            <family val="2"/>
          </rPr>
          <t>1 - 0_x000D_
2 - 0_x000D_
3 - 29,774_x000D_
4 - 0_x000D_
5 - 0_x000D_
6 - 215,218</t>
        </r>
      </text>
    </comment>
    <comment ref="M29" authorId="0" shapeId="0" xr:uid="{8D2BFBA6-E9CD-40AB-B80C-1B7AD32BFFB9}">
      <text>
        <r>
          <rPr>
            <sz val="10"/>
            <color indexed="81"/>
            <rFont val="Arial"/>
            <family val="2"/>
          </rPr>
          <t>1 - 32,001_x000D_
2 - 32,001_x000D_
3 - 29,774_x000D_
4 - 223,325_x000D_
5 - 215,218_x000D_
6 - 215,218</t>
        </r>
      </text>
    </comment>
    <comment ref="E30" authorId="0" shapeId="0" xr:uid="{D4B113ED-1CFA-4C2C-8177-016A0EC87CCE}">
      <text>
        <r>
          <rPr>
            <sz val="10"/>
            <color indexed="81"/>
            <rFont val="Arial"/>
            <family val="2"/>
          </rPr>
          <t>Original - _x000D_
202,000_x000D_
Change Order - _x000D_
-17,423</t>
        </r>
      </text>
    </comment>
    <comment ref="F30" authorId="0" shapeId="0" xr:uid="{17DE7CAE-425E-4C34-B14F-15565EF2D394}">
      <text>
        <r>
          <rPr>
            <sz val="10"/>
            <color indexed="81"/>
            <rFont val="Arial"/>
            <family val="2"/>
          </rPr>
          <t>1 - 0_x000D_
2 - 0_x000D_
3 - 184,557_x000D_
4 - 0_x000D_
5 - 0_x000D_
6 - 184,557</t>
        </r>
      </text>
    </comment>
    <comment ref="I30" authorId="0" shapeId="0" xr:uid="{D1FAE606-B0B6-4151-BD8A-C5B49E851CF9}">
      <text>
        <r>
          <rPr>
            <sz val="10"/>
            <color indexed="81"/>
            <rFont val="Arial"/>
            <family val="2"/>
          </rPr>
          <t>1 - 184,557_x000D_
2 - 184,557_x000D_
3 - 184,557_x000D_
4 - 184,557_x000D_
5 - 184,557_x000D_
6 - 184,557</t>
        </r>
      </text>
    </comment>
    <comment ref="L30" authorId="0" shapeId="0" xr:uid="{DBFA50A8-9279-4567-8F1F-70241B357F62}">
      <text>
        <r>
          <rPr>
            <sz val="10"/>
            <color indexed="81"/>
            <rFont val="Arial"/>
            <family val="2"/>
          </rPr>
          <t>1 - 0_x000D_
2 - 0_x000D_
3 - 48,294_x000D_
4 - 0_x000D_
5 - 0_x000D_
6 - 48,294</t>
        </r>
      </text>
    </comment>
    <comment ref="M30" authorId="0" shapeId="0" xr:uid="{FAA82655-73DE-4D12-9EF5-44CA8A1B297F}">
      <text>
        <r>
          <rPr>
            <sz val="10"/>
            <color indexed="81"/>
            <rFont val="Arial"/>
            <family val="2"/>
          </rPr>
          <t>1 - 48,294_x000D_
2 - 48,294_x000D_
3 - 48,294_x000D_
4 - 48,294_x000D_
5 - 48,294_x000D_
6 - 48,294</t>
        </r>
      </text>
    </comment>
    <comment ref="E31" authorId="0" shapeId="0" xr:uid="{C17C8B83-27E4-4A32-92AA-DA947C24F356}">
      <text>
        <r>
          <rPr>
            <sz val="10"/>
            <color indexed="81"/>
            <rFont val="Arial"/>
            <family val="2"/>
          </rPr>
          <t>Original - _x000D_
319,000_x000D_
Change Order - _x000D_
3,983</t>
        </r>
      </text>
    </comment>
    <comment ref="F31" authorId="0" shapeId="0" xr:uid="{4EFE069F-C2AF-4004-9539-C1F5040BE1C3}">
      <text>
        <r>
          <rPr>
            <sz val="10"/>
            <color indexed="81"/>
            <rFont val="Arial"/>
            <family val="2"/>
          </rPr>
          <t>1 - 0_x000D_
2 - 0_x000D_
3 - 322,983_x000D_
4 - 0_x000D_
5 - 0_x000D_
6 - 322,983</t>
        </r>
      </text>
    </comment>
    <comment ref="I31" authorId="0" shapeId="0" xr:uid="{17647753-0757-4BC9-9110-832902519563}">
      <text>
        <r>
          <rPr>
            <sz val="10"/>
            <color indexed="81"/>
            <rFont val="Arial"/>
            <family val="2"/>
          </rPr>
          <t>1 - 322,983_x000D_
2 - 322,983_x000D_
3 - 322,983_x000D_
4 - 322,983_x000D_
5 - 322,983_x000D_
6 - 322,983</t>
        </r>
      </text>
    </comment>
    <comment ref="L31" authorId="0" shapeId="0" xr:uid="{A43ADA43-A461-4E91-8778-9C4D7BCA68E1}">
      <text>
        <r>
          <rPr>
            <sz val="10"/>
            <color indexed="81"/>
            <rFont val="Arial"/>
            <family val="2"/>
          </rPr>
          <t>1 - 0_x000D_
2 - 0_x000D_
3 - 284,222_x000D_
4 - 0_x000D_
5 - 0_x000D_
6 - 283,683</t>
        </r>
      </text>
    </comment>
    <comment ref="M31" authorId="0" shapeId="0" xr:uid="{85437624-5973-4677-A2B7-147465174A91}">
      <text>
        <r>
          <rPr>
            <sz val="10"/>
            <color indexed="81"/>
            <rFont val="Arial"/>
            <family val="2"/>
          </rPr>
          <t>1 - 284,222_x000D_
2 - 284,222_x000D_
3 - 284,222_x000D_
4 - 284,222_x000D_
5 - 284,222_x000D_
6 - 283,683</t>
        </r>
      </text>
    </comment>
    <comment ref="I32" authorId="0" shapeId="0" xr:uid="{1BB4213A-BF4C-46E0-9A6D-C702D086BDCE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32" authorId="0" shapeId="0" xr:uid="{0CEBA916-6C94-4ED4-8FAE-700D2F3578AA}">
      <text>
        <r>
          <rPr>
            <sz val="10"/>
            <color indexed="81"/>
            <rFont val="Arial"/>
            <family val="2"/>
          </rPr>
          <t>1 - 0_x000D_
2 - 0_x000D_
3 - 1,467,373_x000D_
4 - 0_x000D_
5 - 0_x000D_
6 - 975,097</t>
        </r>
      </text>
    </comment>
    <comment ref="M32" authorId="0" shapeId="0" xr:uid="{DB5C5FA4-0F54-4839-B708-7081A7A93D93}">
      <text>
        <r>
          <rPr>
            <sz val="10"/>
            <color indexed="81"/>
            <rFont val="Arial"/>
            <family val="2"/>
          </rPr>
          <t>1 - 1,803,847_x000D_
2 - 1,662,182_x000D_
3 - 1,467,373_x000D_
4 - 1,290,238_x000D_
5 - 1,162,838_x000D_
6 - 975,097</t>
        </r>
      </text>
    </comment>
    <comment ref="I33" authorId="0" shapeId="0" xr:uid="{BCC33504-741D-4E2D-99A2-283D877D5440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33" authorId="0" shapeId="0" xr:uid="{C81C4455-9285-43DE-A11D-3F57D64EEC13}">
      <text>
        <r>
          <rPr>
            <sz val="10"/>
            <color indexed="81"/>
            <rFont val="Arial"/>
            <family val="2"/>
          </rPr>
          <t>1 - 0_x000D_
2 - 0_x000D_
3 - 397,826_x000D_
4 - 0_x000D_
5 - 0_x000D_
6 - 282,141</t>
        </r>
      </text>
    </comment>
    <comment ref="M33" authorId="0" shapeId="0" xr:uid="{7D02B4F0-74AA-45D4-92EE-C03EF86175ED}">
      <text>
        <r>
          <rPr>
            <sz val="10"/>
            <color indexed="81"/>
            <rFont val="Arial"/>
            <family val="2"/>
          </rPr>
          <t>1 - 456,056_x000D_
2 - 444,897_x000D_
3 - 397,826_x000D_
4 - 378,383_x000D_
5 - 309,509_x000D_
6 - 282,141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F9" authorId="0" shapeId="0" xr:uid="{BD5F39FA-C485-497B-BC98-96400C095D3D}">
      <text>
        <r>
          <rPr>
            <sz val="10"/>
            <color indexed="81"/>
            <rFont val="Arial"/>
            <family val="2"/>
          </rPr>
          <t>1 - 0_x000D_
2 - 0_x000D_
3 - 5,138,788_x000D_
4 - 0_x000D_
5 - 0_x000D_
6 - 5,099,451</t>
        </r>
      </text>
    </comment>
    <comment ref="J9" authorId="0" shapeId="0" xr:uid="{836CCBE3-636B-4DB4-BC74-F171F6A39D32}">
      <text>
        <r>
          <rPr>
            <sz val="10"/>
            <color indexed="81"/>
            <rFont val="Arial"/>
            <family val="2"/>
          </rPr>
          <t>1 - 0_x000D_
2 - 0_x000D_
3 - 5,138,788_x000D_
4 - 0_x000D_
5 - 0_x000D_
6 - 5,099,451</t>
        </r>
      </text>
    </comment>
    <comment ref="M9" authorId="0" shapeId="0" xr:uid="{4DADB177-B413-48BB-AC48-266E05BABCCC}">
      <text>
        <r>
          <rPr>
            <sz val="10"/>
            <color indexed="81"/>
            <rFont val="Arial"/>
            <family val="2"/>
          </rPr>
          <t>1 - 0_x000D_
2 - 0_x000D_
3 - 3,770,959_x000D_
4 - 0_x000D_
5 - 0_x000D_
6 - 3,719,986</t>
        </r>
      </text>
    </comment>
    <comment ref="N9" authorId="0" shapeId="0" xr:uid="{EFE073DE-109D-434E-ABC3-ACAE81BECFA6}">
      <text>
        <r>
          <rPr>
            <sz val="10"/>
            <color indexed="81"/>
            <rFont val="Arial"/>
            <family val="2"/>
          </rPr>
          <t>1 - 0_x000D_
2 - 0_x000D_
3 - 3,770,959_x000D_
4 - 0_x000D_
5 - 0_x000D_
6 - 3,719,986</t>
        </r>
      </text>
    </comment>
    <comment ref="E10" authorId="0" shapeId="0" xr:uid="{5BC277BA-F310-40FE-9000-B2DFE7BBCB00}">
      <text>
        <r>
          <rPr>
            <sz val="10"/>
            <color indexed="81"/>
            <rFont val="Arial"/>
            <family val="2"/>
          </rPr>
          <t>Original - _x000D_
329,982,900_x000D_
Change Order - _x000D_
11,482,087</t>
        </r>
      </text>
    </comment>
    <comment ref="F10" authorId="0" shapeId="0" xr:uid="{7CF01C23-D01B-464F-981A-8D3A4F8D37C6}">
      <text>
        <r>
          <rPr>
            <sz val="10"/>
            <color indexed="81"/>
            <rFont val="Arial"/>
            <family val="2"/>
          </rPr>
          <t>1 - 0_x000D_
2 - 0_x000D_
3 - 341,293,579_x000D_
4 - 0_x000D_
5 - 0_x000D_
6 - 341,247,032</t>
        </r>
      </text>
    </comment>
    <comment ref="J10" authorId="0" shapeId="0" xr:uid="{90EA477F-B447-4EEF-A9A2-D9D8EDD9C910}">
      <text>
        <r>
          <rPr>
            <sz val="10"/>
            <color indexed="81"/>
            <rFont val="Arial"/>
            <family val="2"/>
          </rPr>
          <t>1 - 0_x000D_
2 - 0_x000D_
3 - 341,293,579_x000D_
4 - 0_x000D_
5 - 0_x000D_
6 - 341,247,032</t>
        </r>
      </text>
    </comment>
    <comment ref="M10" authorId="0" shapeId="0" xr:uid="{4377E02C-C100-4E74-805C-450E6E623AFD}">
      <text>
        <r>
          <rPr>
            <sz val="10"/>
            <color indexed="81"/>
            <rFont val="Arial"/>
            <family val="2"/>
          </rPr>
          <t>1 - 0_x000D_
2 - 0_x000D_
3 - 336,083,081_x000D_
4 - 0_x000D_
5 - 0_x000D_
6 - 335,498,046</t>
        </r>
      </text>
    </comment>
    <comment ref="N10" authorId="0" shapeId="0" xr:uid="{7A3E6337-1AEA-4F78-B59F-4EFFF5F4938A}">
      <text>
        <r>
          <rPr>
            <sz val="10"/>
            <color indexed="81"/>
            <rFont val="Arial"/>
            <family val="2"/>
          </rPr>
          <t>1 - 0_x000D_
2 - 0_x000D_
3 - 336,083,081_x000D_
4 - 0_x000D_
5 - 0_x000D_
6 - 335,498,046</t>
        </r>
      </text>
    </comment>
    <comment ref="E11" authorId="0" shapeId="0" xr:uid="{D870C86D-00A6-4E98-983B-5E788972E8FF}">
      <text>
        <r>
          <rPr>
            <sz val="10"/>
            <color indexed="81"/>
            <rFont val="Arial"/>
            <family val="2"/>
          </rPr>
          <t>Original - _x000D_
5,540,000_x000D_
Change Order - _x000D_
1,111,804</t>
        </r>
      </text>
    </comment>
    <comment ref="F11" authorId="0" shapeId="0" xr:uid="{D69DD385-87E5-4869-B7F0-7C432A5B7013}">
      <text>
        <r>
          <rPr>
            <sz val="10"/>
            <color indexed="81"/>
            <rFont val="Arial"/>
            <family val="2"/>
          </rPr>
          <t>1 - 0_x000D_
2 - 0_x000D_
3 - 6,651,804_x000D_
4 - 0_x000D_
5 - 0_x000D_
6 - 6,651,804</t>
        </r>
      </text>
    </comment>
    <comment ref="J11" authorId="0" shapeId="0" xr:uid="{B7940017-E74A-43F0-B839-6694A767943D}">
      <text>
        <r>
          <rPr>
            <sz val="10"/>
            <color indexed="81"/>
            <rFont val="Arial"/>
            <family val="2"/>
          </rPr>
          <t>1 - 0_x000D_
2 - 0_x000D_
3 - 6,651,804_x000D_
4 - 0_x000D_
5 - 0_x000D_
6 - 6,651,804</t>
        </r>
      </text>
    </comment>
    <comment ref="M11" authorId="0" shapeId="0" xr:uid="{283FC330-6DF7-417E-A25F-41DE43938EE3}">
      <text>
        <r>
          <rPr>
            <sz val="10"/>
            <color indexed="81"/>
            <rFont val="Arial"/>
            <family val="2"/>
          </rPr>
          <t>1 - 0_x000D_
2 - 0_x000D_
3 - 6,401,804_x000D_
4 - 0_x000D_
5 - 0_x000D_
6 - 6,351,804</t>
        </r>
      </text>
    </comment>
    <comment ref="N11" authorId="0" shapeId="0" xr:uid="{18D298FF-E518-499A-99A4-05896F0B25CA}">
      <text>
        <r>
          <rPr>
            <sz val="10"/>
            <color indexed="81"/>
            <rFont val="Arial"/>
            <family val="2"/>
          </rPr>
          <t>1 - 0_x000D_
2 - 0_x000D_
3 - 6,401,804_x000D_
4 - 0_x000D_
5 - 0_x000D_
6 - 6,351,804</t>
        </r>
      </text>
    </comment>
    <comment ref="E12" authorId="0" shapeId="0" xr:uid="{B457D69E-0022-40BB-81A3-BFA871C9C39C}">
      <text>
        <r>
          <rPr>
            <sz val="10"/>
            <color indexed="81"/>
            <rFont val="Arial"/>
            <family val="2"/>
          </rPr>
          <t>Original - _x000D_
1,418,584_x000D_
Change Order - _x000D_
194,352,852</t>
        </r>
      </text>
    </comment>
    <comment ref="F12" authorId="0" shapeId="0" xr:uid="{06FCF828-7D5C-4B93-8BA7-CD10D42B0E56}">
      <text>
        <r>
          <rPr>
            <sz val="10"/>
            <color indexed="81"/>
            <rFont val="Arial"/>
            <family val="2"/>
          </rPr>
          <t>1 - 0_x000D_
2 - 0_x000D_
3 - 186,423,681_x000D_
4 - 0_x000D_
5 - 0_x000D_
6 - 171,115,950</t>
        </r>
      </text>
    </comment>
    <comment ref="J12" authorId="0" shapeId="0" xr:uid="{13594876-750D-41E4-AC43-BCE910B19C1F}">
      <text>
        <r>
          <rPr>
            <sz val="10"/>
            <color indexed="81"/>
            <rFont val="Arial"/>
            <family val="2"/>
          </rPr>
          <t>1 - 0_x000D_
2 - 0_x000D_
3 - 186,423,681_x000D_
4 - 0_x000D_
5 - 0_x000D_
6 - 171,115,950</t>
        </r>
      </text>
    </comment>
    <comment ref="M12" authorId="0" shapeId="0" xr:uid="{64A98BBD-B5FE-424D-B5FC-2DD7CC3EA6C4}">
      <text>
        <r>
          <rPr>
            <sz val="10"/>
            <color indexed="81"/>
            <rFont val="Arial"/>
            <family val="2"/>
          </rPr>
          <t>1 - 0_x000D_
2 - 0_x000D_
3 - 186,416,227_x000D_
4 - 0_x000D_
5 - 0_x000D_
6 - 172,121,845</t>
        </r>
      </text>
    </comment>
    <comment ref="N12" authorId="0" shapeId="0" xr:uid="{5B3478A0-4568-4273-94FD-7230C67DFF32}">
      <text>
        <r>
          <rPr>
            <sz val="10"/>
            <color indexed="81"/>
            <rFont val="Arial"/>
            <family val="2"/>
          </rPr>
          <t>1 - 0_x000D_
2 - 0_x000D_
3 - 186,416,227_x000D_
4 - 0_x000D_
5 - 0_x000D_
6 - 172,121,845</t>
        </r>
      </text>
    </comment>
    <comment ref="J13" authorId="0" shapeId="0" xr:uid="{8DD9E945-3A74-4BA6-B198-45337C075E0E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3" authorId="0" shapeId="0" xr:uid="{53EC0FDA-BBAA-485A-B546-0C82312CBF99}">
      <text>
        <r>
          <rPr>
            <sz val="10"/>
            <color indexed="81"/>
            <rFont val="Arial"/>
            <family val="2"/>
          </rPr>
          <t>1 - 0_x000D_
2 - 0_x000D_
3 - (7,455,310)_x000D_
4 - 0_x000D_
5 - 0_x000D_
6 - (6,961,158)</t>
        </r>
      </text>
    </comment>
    <comment ref="N13" authorId="0" shapeId="0" xr:uid="{1190F54D-91D3-443A-90AA-59E81104F918}">
      <text>
        <r>
          <rPr>
            <sz val="10"/>
            <color indexed="81"/>
            <rFont val="Arial"/>
            <family val="2"/>
          </rPr>
          <t>1 - 0_x000D_
2 - 0_x000D_
3 - (7,455,310)_x000D_
4 - 0_x000D_
5 - 0_x000D_
6 - (6,961,158)</t>
        </r>
      </text>
    </comment>
    <comment ref="E14" authorId="0" shapeId="0" xr:uid="{F4CFBF0B-E93E-4CE6-8643-C5F57244908A}">
      <text>
        <r>
          <rPr>
            <sz val="10"/>
            <color indexed="81"/>
            <rFont val="Arial"/>
            <family val="2"/>
          </rPr>
          <t>Original - _x000D_
14,932,529_x000D_
Change Order - _x000D_
1,463,523</t>
        </r>
      </text>
    </comment>
    <comment ref="F14" authorId="0" shapeId="0" xr:uid="{1DC16715-C9C6-4EA4-8484-72B5AE802E4E}">
      <text>
        <r>
          <rPr>
            <sz val="10"/>
            <color indexed="81"/>
            <rFont val="Arial"/>
            <family val="2"/>
          </rPr>
          <t>1 - 0_x000D_
2 - 0_x000D_
3 - 16,115,717_x000D_
4 - 0_x000D_
5 - 0_x000D_
6 - 16,115,717</t>
        </r>
      </text>
    </comment>
    <comment ref="J14" authorId="0" shapeId="0" xr:uid="{FDE084C2-ECD0-486E-B12E-91D3A058F172}">
      <text>
        <r>
          <rPr>
            <sz val="10"/>
            <color indexed="81"/>
            <rFont val="Arial"/>
            <family val="2"/>
          </rPr>
          <t>1 - 0_x000D_
2 - 0_x000D_
3 - 16,115,717_x000D_
4 - 0_x000D_
5 - 0_x000D_
6 - 16,115,717</t>
        </r>
      </text>
    </comment>
    <comment ref="M14" authorId="0" shapeId="0" xr:uid="{79F8E5EC-4D82-4D75-95FA-94850AFCD696}">
      <text>
        <r>
          <rPr>
            <sz val="10"/>
            <color indexed="81"/>
            <rFont val="Arial"/>
            <family val="2"/>
          </rPr>
          <t>1 - 0_x000D_
2 - 0_x000D_
3 - 14,940,308_x000D_
4 - 0_x000D_
5 - 0_x000D_
6 - 14,940,308</t>
        </r>
      </text>
    </comment>
    <comment ref="N14" authorId="0" shapeId="0" xr:uid="{267B74BE-A89C-4E0D-9680-85F0022B3892}">
      <text>
        <r>
          <rPr>
            <sz val="10"/>
            <color indexed="81"/>
            <rFont val="Arial"/>
            <family val="2"/>
          </rPr>
          <t>1 - 0_x000D_
2 - 0_x000D_
3 - 14,940,308_x000D_
4 - 0_x000D_
5 - 0_x000D_
6 - 14,940,308</t>
        </r>
      </text>
    </comment>
    <comment ref="E15" authorId="0" shapeId="0" xr:uid="{8F4FB38D-79F4-4C22-8092-875818EF265B}">
      <text>
        <r>
          <rPr>
            <sz val="10"/>
            <color indexed="81"/>
            <rFont val="Arial"/>
            <family val="2"/>
          </rPr>
          <t>Original - _x000D_
511,278_x000D_
Change Order - _x000D_
44,564,769</t>
        </r>
      </text>
    </comment>
    <comment ref="F15" authorId="0" shapeId="0" xr:uid="{CCDCB8FA-BA23-4380-980C-CABE82F8E95D}">
      <text>
        <r>
          <rPr>
            <sz val="10"/>
            <color indexed="81"/>
            <rFont val="Arial"/>
            <family val="2"/>
          </rPr>
          <t>1 - 0_x000D_
2 - 0_x000D_
3 - 51,420,607_x000D_
4 - 0_x000D_
5 - 0_x000D_
6 - 46,351,308</t>
        </r>
      </text>
    </comment>
    <comment ref="J15" authorId="0" shapeId="0" xr:uid="{A877CF33-C459-458E-B252-17ABEB4A0E46}">
      <text>
        <r>
          <rPr>
            <sz val="10"/>
            <color indexed="81"/>
            <rFont val="Arial"/>
            <family val="2"/>
          </rPr>
          <t>1 - 0_x000D_
2 - 0_x000D_
3 - 51,420,607_x000D_
4 - 0_x000D_
5 - 0_x000D_
6 - 46,351,308</t>
        </r>
      </text>
    </comment>
    <comment ref="M15" authorId="0" shapeId="0" xr:uid="{21ADC396-42E1-468A-8558-08D016D806D4}">
      <text>
        <r>
          <rPr>
            <sz val="10"/>
            <color indexed="81"/>
            <rFont val="Arial"/>
            <family val="2"/>
          </rPr>
          <t>1 - 0_x000D_
2 - 0_x000D_
3 - 51,420,971_x000D_
4 - 0_x000D_
5 - 0_x000D_
6 - 46,652,704</t>
        </r>
      </text>
    </comment>
    <comment ref="N15" authorId="0" shapeId="0" xr:uid="{B21A69B3-17A0-429B-9CB4-5F1935ACB429}">
      <text>
        <r>
          <rPr>
            <sz val="10"/>
            <color indexed="81"/>
            <rFont val="Arial"/>
            <family val="2"/>
          </rPr>
          <t>1 - 0_x000D_
2 - 0_x000D_
3 - 51,420,971_x000D_
4 - 0_x000D_
5 - 0_x000D_
6 - 46,652,704</t>
        </r>
      </text>
    </comment>
    <comment ref="J16" authorId="0" shapeId="0" xr:uid="{DED58CF0-3F47-4E37-B779-1D8949006D61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6" authorId="0" shapeId="0" xr:uid="{24192F71-D027-4C11-B5FE-F4C0D0F198B5}">
      <text>
        <r>
          <rPr>
            <sz val="10"/>
            <color indexed="81"/>
            <rFont val="Arial"/>
            <family val="2"/>
          </rPr>
          <t>1 - 0_x000D_
2 - 0_x000D_
3 - (2,245,865)_x000D_
4 - 0_x000D_
5 - 0_x000D_
6 - (2,133,979)</t>
        </r>
      </text>
    </comment>
    <comment ref="N16" authorId="0" shapeId="0" xr:uid="{095D2A4F-C197-4554-A599-8A09B9914B6C}">
      <text>
        <r>
          <rPr>
            <sz val="10"/>
            <color indexed="81"/>
            <rFont val="Arial"/>
            <family val="2"/>
          </rPr>
          <t>1 - 0_x000D_
2 - 0_x000D_
3 - (2,245,865)_x000D_
4 - 0_x000D_
5 - 0_x000D_
6 - (2,133,979)</t>
        </r>
      </text>
    </comment>
    <comment ref="E17" authorId="0" shapeId="0" xr:uid="{083C0D91-7A7B-48D4-945D-2E24AEF4496A}">
      <text>
        <r>
          <rPr>
            <sz val="10"/>
            <color indexed="81"/>
            <rFont val="Arial"/>
            <family val="2"/>
          </rPr>
          <t>Original - _x000D_
40,129,713_x000D_
Change Order - _x000D_
1,374,493</t>
        </r>
      </text>
    </comment>
    <comment ref="F17" authorId="0" shapeId="0" xr:uid="{6425D696-6865-4F8D-BD14-BA579754CCFD}">
      <text>
        <r>
          <rPr>
            <sz val="10"/>
            <color indexed="81"/>
            <rFont val="Arial"/>
            <family val="2"/>
          </rPr>
          <t>1 - 0_x000D_
2 - 0_x000D_
3 - 41,185,764_x000D_
4 - 0_x000D_
5 - 0_x000D_
6 - 41,043,875</t>
        </r>
      </text>
    </comment>
    <comment ref="J17" authorId="0" shapeId="0" xr:uid="{1C053F5A-0DDD-4479-AD4E-DAE6216093F8}">
      <text>
        <r>
          <rPr>
            <sz val="10"/>
            <color indexed="81"/>
            <rFont val="Arial"/>
            <family val="2"/>
          </rPr>
          <t>1 - 0_x000D_
2 - 0_x000D_
3 - 41,185,764_x000D_
4 - 0_x000D_
5 - 0_x000D_
6 - 41,043,875</t>
        </r>
      </text>
    </comment>
    <comment ref="M17" authorId="0" shapeId="0" xr:uid="{6D6803BE-CA81-47CB-AB16-9D6EF5247179}">
      <text>
        <r>
          <rPr>
            <sz val="10"/>
            <color indexed="81"/>
            <rFont val="Arial"/>
            <family val="2"/>
          </rPr>
          <t>1 - 0_x000D_
2 - 0_x000D_
3 - 36,835,764_x000D_
4 - 0_x000D_
5 - 0_x000D_
6 - 36,543,875</t>
        </r>
      </text>
    </comment>
    <comment ref="N17" authorId="0" shapeId="0" xr:uid="{F321164C-3E33-480D-BF80-4D39A1AD20E8}">
      <text>
        <r>
          <rPr>
            <sz val="10"/>
            <color indexed="81"/>
            <rFont val="Arial"/>
            <family val="2"/>
          </rPr>
          <t>1 - 0_x000D_
2 - 0_x000D_
3 - 36,835,764_x000D_
4 - 0_x000D_
5 - 0_x000D_
6 - 36,543,875</t>
        </r>
      </text>
    </comment>
    <comment ref="F18" authorId="0" shapeId="0" xr:uid="{A09DDEAF-863A-49C3-B0CC-293D1D2485E9}">
      <text>
        <r>
          <rPr>
            <sz val="10"/>
            <color indexed="81"/>
            <rFont val="Arial"/>
            <family val="2"/>
          </rPr>
          <t>1 - 0_x000D_
2 - 0_x000D_
3 - 104,043_x000D_
4 - 0_x000D_
5 - 0_x000D_
6 - 104,043</t>
        </r>
      </text>
    </comment>
    <comment ref="J18" authorId="0" shapeId="0" xr:uid="{6B8F08D4-3605-4235-A228-A343054BAEE2}">
      <text>
        <r>
          <rPr>
            <sz val="10"/>
            <color indexed="81"/>
            <rFont val="Arial"/>
            <family val="2"/>
          </rPr>
          <t>1 - 0_x000D_
2 - 0_x000D_
3 - 104,043_x000D_
4 - 0_x000D_
5 - 0_x000D_
6 - 104,043</t>
        </r>
      </text>
    </comment>
    <comment ref="M18" authorId="0" shapeId="0" xr:uid="{3C768C05-93C5-4183-86A7-9DFC082589AA}">
      <text>
        <r>
          <rPr>
            <sz val="10"/>
            <color indexed="81"/>
            <rFont val="Arial"/>
            <family val="2"/>
          </rPr>
          <t>1 - 0_x000D_
2 - 0_x000D_
3 - 95,614_x000D_
4 - 0_x000D_
5 - 0_x000D_
6 - 95,614</t>
        </r>
      </text>
    </comment>
    <comment ref="N18" authorId="0" shapeId="0" xr:uid="{BCC91991-7722-43DD-8960-F502B476EB45}">
      <text>
        <r>
          <rPr>
            <sz val="10"/>
            <color indexed="81"/>
            <rFont val="Arial"/>
            <family val="2"/>
          </rPr>
          <t>1 - 0_x000D_
2 - 0_x000D_
3 - 95,614_x000D_
4 - 0_x000D_
5 - 0_x000D_
6 - 95,614</t>
        </r>
      </text>
    </comment>
    <comment ref="E19" authorId="0" shapeId="0" xr:uid="{B8FD462F-3FAF-4E93-AFAF-079DCDF840E6}">
      <text>
        <r>
          <rPr>
            <sz val="10"/>
            <color indexed="81"/>
            <rFont val="Arial"/>
            <family val="2"/>
          </rPr>
          <t>Original - _x000D_
5,542,665_x000D_
Change Order - _x000D_
224,723</t>
        </r>
      </text>
    </comment>
    <comment ref="F19" authorId="0" shapeId="0" xr:uid="{18FAB8EE-EE7C-4F76-A0AC-77268B609EF1}">
      <text>
        <r>
          <rPr>
            <sz val="10"/>
            <color indexed="81"/>
            <rFont val="Arial"/>
            <family val="2"/>
          </rPr>
          <t>1 - 0_x000D_
2 - 0_x000D_
3 - 5,782,652_x000D_
4 - 0_x000D_
5 - 0_x000D_
6 - 5,600,482</t>
        </r>
      </text>
    </comment>
    <comment ref="J19" authorId="0" shapeId="0" xr:uid="{E72DEADF-B441-4470-BE81-CB4687562BDE}">
      <text>
        <r>
          <rPr>
            <sz val="10"/>
            <color indexed="81"/>
            <rFont val="Arial"/>
            <family val="2"/>
          </rPr>
          <t>1 - 0_x000D_
2 - 0_x000D_
3 - 5,782,652_x000D_
4 - 0_x000D_
5 - 0_x000D_
6 - 5,600,482</t>
        </r>
      </text>
    </comment>
    <comment ref="M19" authorId="0" shapeId="0" xr:uid="{6D4A4846-BBA8-4B4D-BBB1-54D91A2344AD}">
      <text>
        <r>
          <rPr>
            <sz val="10"/>
            <color indexed="81"/>
            <rFont val="Arial"/>
            <family val="2"/>
          </rPr>
          <t>1 - 0_x000D_
2 - 0_x000D_
3 - 5,082,652_x000D_
4 - 0_x000D_
5 - 0_x000D_
6 - 5,120,482</t>
        </r>
      </text>
    </comment>
    <comment ref="N19" authorId="0" shapeId="0" xr:uid="{83E27E7D-C25A-496E-B120-A648D875D62B}">
      <text>
        <r>
          <rPr>
            <sz val="10"/>
            <color indexed="81"/>
            <rFont val="Arial"/>
            <family val="2"/>
          </rPr>
          <t>1 - 0_x000D_
2 - 0_x000D_
3 - 5,082,652_x000D_
4 - 0_x000D_
5 - 0_x000D_
6 - 5,120,482</t>
        </r>
      </text>
    </comment>
    <comment ref="E20" authorId="0" shapeId="0" xr:uid="{9DEDA38B-AE09-434D-821F-1840DBF4D76E}">
      <text>
        <r>
          <rPr>
            <sz val="10"/>
            <color indexed="81"/>
            <rFont val="Arial"/>
            <family val="2"/>
          </rPr>
          <t>Original - _x000D_
147,718,400_x000D_
Change Order - _x000D_
-193,287</t>
        </r>
      </text>
    </comment>
    <comment ref="F20" authorId="0" shapeId="0" xr:uid="{1EF83D9F-2B14-476F-82F0-C7602DD2D8F2}">
      <text>
        <r>
          <rPr>
            <sz val="10"/>
            <color indexed="81"/>
            <rFont val="Arial"/>
            <family val="2"/>
          </rPr>
          <t>1 - 0_x000D_
2 - 0_x000D_
3 - 147,718,400_x000D_
4 - 0_x000D_
5 - 0_x000D_
6 - 147,718,400</t>
        </r>
      </text>
    </comment>
    <comment ref="J20" authorId="0" shapeId="0" xr:uid="{EB559928-9BF1-45CA-9206-C9E439FE5EF0}">
      <text>
        <r>
          <rPr>
            <sz val="10"/>
            <color indexed="81"/>
            <rFont val="Arial"/>
            <family val="2"/>
          </rPr>
          <t>1 - 0_x000D_
2 - 0_x000D_
3 - 147,718,400_x000D_
4 - 0_x000D_
5 - 0_x000D_
6 - 147,718,400</t>
        </r>
      </text>
    </comment>
    <comment ref="M20" authorId="0" shapeId="0" xr:uid="{241EC4FE-4BAE-45D4-BB18-574E487469A6}">
      <text>
        <r>
          <rPr>
            <sz val="10"/>
            <color indexed="81"/>
            <rFont val="Arial"/>
            <family val="2"/>
          </rPr>
          <t>1 - 0_x000D_
2 - 0_x000D_
3 - 139,897,192_x000D_
4 - 0_x000D_
5 - 0_x000D_
6 - 139,897,192</t>
        </r>
      </text>
    </comment>
    <comment ref="N20" authorId="0" shapeId="0" xr:uid="{47D8C73D-3E8B-48BD-B0CD-A1F9ECD20F2F}">
      <text>
        <r>
          <rPr>
            <sz val="10"/>
            <color indexed="81"/>
            <rFont val="Arial"/>
            <family val="2"/>
          </rPr>
          <t>1 - 0_x000D_
2 - 0_x000D_
3 - 139,897,192_x000D_
4 - 0_x000D_
5 - 0_x000D_
6 - 139,897,192</t>
        </r>
      </text>
    </comment>
    <comment ref="F21" authorId="0" shapeId="0" xr:uid="{53DB2911-B530-4C37-B11D-BEA4C77A9481}">
      <text>
        <r>
          <rPr>
            <sz val="10"/>
            <color indexed="81"/>
            <rFont val="Arial"/>
            <family val="2"/>
          </rPr>
          <t>1 - 0_x000D_
2 - 0_x000D_
3 - 471,896_x000D_
4 - 0_x000D_
5 - 0_x000D_
6 - 471,896</t>
        </r>
      </text>
    </comment>
    <comment ref="J21" authorId="0" shapeId="0" xr:uid="{C98400CF-72DD-4B83-8CE1-97E221660033}">
      <text>
        <r>
          <rPr>
            <sz val="10"/>
            <color indexed="81"/>
            <rFont val="Arial"/>
            <family val="2"/>
          </rPr>
          <t>1 - 0_x000D_
2 - 0_x000D_
3 - 471,896_x000D_
4 - 0_x000D_
5 - 0_x000D_
6 - 471,896</t>
        </r>
      </text>
    </comment>
    <comment ref="M21" authorId="0" shapeId="0" xr:uid="{27207DF4-A661-421F-8E4E-49200DEFE809}">
      <text>
        <r>
          <rPr>
            <sz val="10"/>
            <color indexed="81"/>
            <rFont val="Arial"/>
            <family val="2"/>
          </rPr>
          <t>1 - 0_x000D_
2 - 0_x000D_
3 - 471,896_x000D_
4 - 0_x000D_
5 - 0_x000D_
6 - 441,896</t>
        </r>
      </text>
    </comment>
    <comment ref="N21" authorId="0" shapeId="0" xr:uid="{51ADCBD4-5E80-426F-914C-8DE14EA1E144}">
      <text>
        <r>
          <rPr>
            <sz val="10"/>
            <color indexed="81"/>
            <rFont val="Arial"/>
            <family val="2"/>
          </rPr>
          <t>1 - 0_x000D_
2 - 0_x000D_
3 - 471,896_x000D_
4 - 0_x000D_
5 - 0_x000D_
6 - 441,896</t>
        </r>
      </text>
    </comment>
    <comment ref="F22" authorId="0" shapeId="0" xr:uid="{F736D742-B72C-4546-8F89-DB63F409B780}">
      <text>
        <r>
          <rPr>
            <sz val="10"/>
            <color indexed="81"/>
            <rFont val="Arial"/>
            <family val="2"/>
          </rPr>
          <t>1 - 0_x000D_
2 - 0_x000D_
3 - 1,247_x000D_
4 - 0_x000D_
5 - 0_x000D_
6 - 0</t>
        </r>
      </text>
    </comment>
    <comment ref="J22" authorId="0" shapeId="0" xr:uid="{D3E5AB19-7C2F-4989-9E92-FAD9464BDF55}">
      <text>
        <r>
          <rPr>
            <sz val="10"/>
            <color indexed="81"/>
            <rFont val="Arial"/>
            <family val="2"/>
          </rPr>
          <t>1 - 0_x000D_
2 - 0_x000D_
3 - 1,247_x000D_
4 - 0_x000D_
5 - 0_x000D_
6 - 0</t>
        </r>
      </text>
    </comment>
    <comment ref="M22" authorId="0" shapeId="0" xr:uid="{45422E1D-BF8F-4623-817E-41EFC33F4E2F}">
      <text>
        <r>
          <rPr>
            <sz val="10"/>
            <color indexed="81"/>
            <rFont val="Arial"/>
            <family val="2"/>
          </rPr>
          <t>1 - 0_x000D_
2 - 0_x000D_
3 - 1,247_x000D_
4 - 0_x000D_
5 - 0_x000D_
6 - 0</t>
        </r>
      </text>
    </comment>
    <comment ref="N22" authorId="0" shapeId="0" xr:uid="{24F5BD0D-B1AA-4CC5-B4EE-EFD0A9775C37}">
      <text>
        <r>
          <rPr>
            <sz val="10"/>
            <color indexed="81"/>
            <rFont val="Arial"/>
            <family val="2"/>
          </rPr>
          <t>1 - 0_x000D_
2 - 0_x000D_
3 - 1,247_x000D_
4 - 0_x000D_
5 - 0_x000D_
6 - 0</t>
        </r>
      </text>
    </comment>
    <comment ref="J23" authorId="0" shapeId="0" xr:uid="{06825C8B-186A-4A09-93AC-D2C0023FF542}">
      <text>
        <r>
          <rPr>
            <sz val="9"/>
            <color indexed="81"/>
            <rFont val="Arial"/>
            <family val="2"/>
          </rPr>
          <t>Changed $2,888,100.00 to $2,888,100.00 by ExcelImport on 04/06/2026</t>
        </r>
      </text>
    </comment>
    <comment ref="N23" authorId="0" shapeId="0" xr:uid="{22139A03-7A46-4AC8-B9A6-67311DC5601D}">
      <text>
        <r>
          <rPr>
            <sz val="9"/>
            <color indexed="81"/>
            <rFont val="Arial"/>
            <family val="2"/>
          </rPr>
          <t>Changed $2,678,729.86 to $2,713,100.00 by ExcelImport on 04/06/2026</t>
        </r>
      </text>
    </comment>
    <comment ref="E27" authorId="0" shapeId="0" xr:uid="{8F060C57-904D-4EA8-9B86-7C6CBFF55C3E}">
      <text>
        <r>
          <rPr>
            <sz val="10"/>
            <color indexed="81"/>
            <rFont val="Arial"/>
            <family val="2"/>
          </rPr>
          <t>Original - _x000D_
984,000_x000D_
Change Order - _x000D_
1,289,683</t>
        </r>
      </text>
    </comment>
    <comment ref="F27" authorId="0" shapeId="0" xr:uid="{1DDED4D4-2B72-4A91-86D0-D6DAB58EFC6E}">
      <text>
        <r>
          <rPr>
            <sz val="10"/>
            <color indexed="81"/>
            <rFont val="Arial"/>
            <family val="2"/>
          </rPr>
          <t>1 - 0_x000D_
2 - 0_x000D_
3 - 2,273,683_x000D_
4 - 0_x000D_
5 - 0_x000D_
6 - 2,273,683</t>
        </r>
      </text>
    </comment>
    <comment ref="J27" authorId="0" shapeId="0" xr:uid="{01706D98-886B-46A3-9B16-F9E6D5C06BC1}">
      <text>
        <r>
          <rPr>
            <sz val="10"/>
            <color indexed="81"/>
            <rFont val="Arial"/>
            <family val="2"/>
          </rPr>
          <t>1 - 0_x000D_
2 - 0_x000D_
3 - 2,273,683_x000D_
4 - 0_x000D_
5 - 0_x000D_
6 - 2,273,683</t>
        </r>
      </text>
    </comment>
    <comment ref="M27" authorId="0" shapeId="0" xr:uid="{566408C8-E16F-4797-B813-33E689954C8C}">
      <text>
        <r>
          <rPr>
            <sz val="10"/>
            <color indexed="81"/>
            <rFont val="Arial"/>
            <family val="2"/>
          </rPr>
          <t>1 - 0_x000D_
2 - 0_x000D_
3 - 1,665,145_x000D_
4 - 0_x000D_
5 - 0_x000D_
6 - 1,665,145</t>
        </r>
      </text>
    </comment>
    <comment ref="N27" authorId="0" shapeId="0" xr:uid="{0B12EC68-8AA7-47B2-929D-0B60360E4026}">
      <text>
        <r>
          <rPr>
            <sz val="10"/>
            <color indexed="81"/>
            <rFont val="Arial"/>
            <family val="2"/>
          </rPr>
          <t>1 - 0_x000D_
2 - 0_x000D_
3 - 1,665,145_x000D_
4 - 0_x000D_
5 - 0_x000D_
6 - 1,665,145</t>
        </r>
      </text>
    </comment>
    <comment ref="E28" authorId="0" shapeId="0" xr:uid="{38907B12-4FD1-4C1A-B928-EFF7562A3D1F}">
      <text>
        <r>
          <rPr>
            <sz val="10"/>
            <color indexed="81"/>
            <rFont val="Arial"/>
            <family val="2"/>
          </rPr>
          <t>Original - _x000D_
3,825,000_x000D_
Change Order - _x000D_
247,535</t>
        </r>
      </text>
    </comment>
    <comment ref="F28" authorId="0" shapeId="0" xr:uid="{A784C9A4-F653-4930-8915-3AFD54DC4352}">
      <text>
        <r>
          <rPr>
            <sz val="10"/>
            <color indexed="81"/>
            <rFont val="Arial"/>
            <family val="2"/>
          </rPr>
          <t>1 - 0_x000D_
2 - 0_x000D_
3 - 4,046,200_x000D_
4 - 0_x000D_
5 - 0_x000D_
6 - 4,046,200</t>
        </r>
      </text>
    </comment>
    <comment ref="J28" authorId="0" shapeId="0" xr:uid="{31501E66-7024-4315-8F5B-AA6D7085A30B}">
      <text>
        <r>
          <rPr>
            <sz val="10"/>
            <color indexed="81"/>
            <rFont val="Arial"/>
            <family val="2"/>
          </rPr>
          <t>1 - 0_x000D_
2 - 0_x000D_
3 - 4,046,200_x000D_
4 - 0_x000D_
5 - 0_x000D_
6 - 4,046,200</t>
        </r>
      </text>
    </comment>
    <comment ref="M28" authorId="0" shapeId="0" xr:uid="{E797A9B9-6B40-473B-BED1-9E8309F1556D}">
      <text>
        <r>
          <rPr>
            <sz val="10"/>
            <color indexed="81"/>
            <rFont val="Arial"/>
            <family val="2"/>
          </rPr>
          <t>1 - 0_x000D_
2 - 0_x000D_
3 - 3,321,856_x000D_
4 - 0_x000D_
5 - 0_x000D_
6 - 3,320,837</t>
        </r>
      </text>
    </comment>
    <comment ref="N28" authorId="0" shapeId="0" xr:uid="{E28C1868-4E4B-4A8E-AAED-BC1A0E5FEAC4}">
      <text>
        <r>
          <rPr>
            <sz val="10"/>
            <color indexed="81"/>
            <rFont val="Arial"/>
            <family val="2"/>
          </rPr>
          <t>1 - 0_x000D_
2 - 0_x000D_
3 - 3,321,856_x000D_
4 - 0_x000D_
5 - 0_x000D_
6 - 3,320,837</t>
        </r>
      </text>
    </comment>
    <comment ref="F29" authorId="0" shapeId="0" xr:uid="{0506A5F0-F792-42FE-B4E4-777706396CF4}">
      <text>
        <r>
          <rPr>
            <sz val="10"/>
            <color indexed="81"/>
            <rFont val="Arial"/>
            <family val="2"/>
          </rPr>
          <t>1 - 0_x000D_
2 - 0_x000D_
3 - 34,208_x000D_
4 - 0_x000D_
5 - 0_x000D_
6 - 223,325</t>
        </r>
      </text>
    </comment>
    <comment ref="J29" authorId="0" shapeId="0" xr:uid="{58962572-72A3-4A05-80B0-AE38D1719F9F}">
      <text>
        <r>
          <rPr>
            <sz val="10"/>
            <color indexed="81"/>
            <rFont val="Arial"/>
            <family val="2"/>
          </rPr>
          <t>1 - 0_x000D_
2 - 0_x000D_
3 - 34,208_x000D_
4 - 0_x000D_
5 - 0_x000D_
6 - 223,325</t>
        </r>
      </text>
    </comment>
    <comment ref="M29" authorId="0" shapeId="0" xr:uid="{DDCC13AF-3CAF-4C84-9AC5-52D889F5934E}">
      <text>
        <r>
          <rPr>
            <sz val="10"/>
            <color indexed="81"/>
            <rFont val="Arial"/>
            <family val="2"/>
          </rPr>
          <t>1 - 0_x000D_
2 - 0_x000D_
3 - 29,774_x000D_
4 - 0_x000D_
5 - 0_x000D_
6 - 215,218</t>
        </r>
      </text>
    </comment>
    <comment ref="N29" authorId="0" shapeId="0" xr:uid="{4A1D951B-4649-433B-AB8C-5D20C903A3F7}">
      <text>
        <r>
          <rPr>
            <sz val="10"/>
            <color indexed="81"/>
            <rFont val="Arial"/>
            <family val="2"/>
          </rPr>
          <t>1 - 0_x000D_
2 - 0_x000D_
3 - 29,774_x000D_
4 - 0_x000D_
5 - 0_x000D_
6 - 215,218</t>
        </r>
      </text>
    </comment>
    <comment ref="E30" authorId="0" shapeId="0" xr:uid="{BB1EB6F3-8C68-40B8-99D2-B5CD6CE7C8AA}">
      <text>
        <r>
          <rPr>
            <sz val="10"/>
            <color indexed="81"/>
            <rFont val="Arial"/>
            <family val="2"/>
          </rPr>
          <t>Original - _x000D_
202,000_x000D_
Change Order - _x000D_
-17,423</t>
        </r>
      </text>
    </comment>
    <comment ref="F30" authorId="0" shapeId="0" xr:uid="{07D3AA81-8AE5-492D-9C05-56CBEDD1AFF1}">
      <text>
        <r>
          <rPr>
            <sz val="10"/>
            <color indexed="81"/>
            <rFont val="Arial"/>
            <family val="2"/>
          </rPr>
          <t>1 - 0_x000D_
2 - 0_x000D_
3 - 184,557_x000D_
4 - 0_x000D_
5 - 0_x000D_
6 - 184,557</t>
        </r>
      </text>
    </comment>
    <comment ref="J30" authorId="0" shapeId="0" xr:uid="{DB655006-4549-4E0A-A528-964C066541F8}">
      <text>
        <r>
          <rPr>
            <sz val="10"/>
            <color indexed="81"/>
            <rFont val="Arial"/>
            <family val="2"/>
          </rPr>
          <t>1 - 0_x000D_
2 - 0_x000D_
3 - 184,557_x000D_
4 - 0_x000D_
5 - 0_x000D_
6 - 184,557</t>
        </r>
      </text>
    </comment>
    <comment ref="M30" authorId="0" shapeId="0" xr:uid="{3CA33A17-2B3D-45ED-8394-BF6F15BECAB1}">
      <text>
        <r>
          <rPr>
            <sz val="10"/>
            <color indexed="81"/>
            <rFont val="Arial"/>
            <family val="2"/>
          </rPr>
          <t>1 - 0_x000D_
2 - 0_x000D_
3 - 48,294_x000D_
4 - 0_x000D_
5 - 0_x000D_
6 - 48,294</t>
        </r>
      </text>
    </comment>
    <comment ref="N30" authorId="0" shapeId="0" xr:uid="{BAA2891B-6729-4736-BBFA-B7AC637419EB}">
      <text>
        <r>
          <rPr>
            <sz val="10"/>
            <color indexed="81"/>
            <rFont val="Arial"/>
            <family val="2"/>
          </rPr>
          <t>1 - 0_x000D_
2 - 0_x000D_
3 - 48,294_x000D_
4 - 0_x000D_
5 - 0_x000D_
6 - 48,294</t>
        </r>
      </text>
    </comment>
    <comment ref="E31" authorId="0" shapeId="0" xr:uid="{AC9115E7-A647-44D7-B673-2378A9E9D4A9}">
      <text>
        <r>
          <rPr>
            <sz val="10"/>
            <color indexed="81"/>
            <rFont val="Arial"/>
            <family val="2"/>
          </rPr>
          <t>Original - _x000D_
319,000_x000D_
Change Order - _x000D_
3,983</t>
        </r>
      </text>
    </comment>
    <comment ref="F31" authorId="0" shapeId="0" xr:uid="{A77EAB63-7941-4A76-A597-63978E7FF2BC}">
      <text>
        <r>
          <rPr>
            <sz val="10"/>
            <color indexed="81"/>
            <rFont val="Arial"/>
            <family val="2"/>
          </rPr>
          <t>1 - 0_x000D_
2 - 0_x000D_
3 - 322,983_x000D_
4 - 0_x000D_
5 - 0_x000D_
6 - 322,983</t>
        </r>
      </text>
    </comment>
    <comment ref="J31" authorId="0" shapeId="0" xr:uid="{DA503089-6D0A-4C75-A09A-0C15C7F224DC}">
      <text>
        <r>
          <rPr>
            <sz val="10"/>
            <color indexed="81"/>
            <rFont val="Arial"/>
            <family val="2"/>
          </rPr>
          <t>1 - 0_x000D_
2 - 0_x000D_
3 - 322,983_x000D_
4 - 0_x000D_
5 - 0_x000D_
6 - 322,983</t>
        </r>
      </text>
    </comment>
    <comment ref="M31" authorId="0" shapeId="0" xr:uid="{10C0EC0B-82C1-479F-9E60-7824152EF52F}">
      <text>
        <r>
          <rPr>
            <sz val="10"/>
            <color indexed="81"/>
            <rFont val="Arial"/>
            <family val="2"/>
          </rPr>
          <t>1 - 0_x000D_
2 - 0_x000D_
3 - 284,222_x000D_
4 - 0_x000D_
5 - 0_x000D_
6 - 283,683</t>
        </r>
      </text>
    </comment>
    <comment ref="N31" authorId="0" shapeId="0" xr:uid="{98DDD154-98CB-482C-822A-8B3FBEB3DC81}">
      <text>
        <r>
          <rPr>
            <sz val="10"/>
            <color indexed="81"/>
            <rFont val="Arial"/>
            <family val="2"/>
          </rPr>
          <t>1 - 0_x000D_
2 - 0_x000D_
3 - 284,222_x000D_
4 - 0_x000D_
5 - 0_x000D_
6 - 283,683</t>
        </r>
      </text>
    </comment>
    <comment ref="J32" authorId="0" shapeId="0" xr:uid="{DECB60B1-6A08-42EF-8E53-C730813E8D9B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32" authorId="0" shapeId="0" xr:uid="{403A8A5F-362F-4491-9D27-88649156C8BB}">
      <text>
        <r>
          <rPr>
            <sz val="10"/>
            <color indexed="81"/>
            <rFont val="Arial"/>
            <family val="2"/>
          </rPr>
          <t>1 - 0_x000D_
2 - 0_x000D_
3 - 1,467,373_x000D_
4 - 0_x000D_
5 - 0_x000D_
6 - 975,097</t>
        </r>
      </text>
    </comment>
    <comment ref="N32" authorId="0" shapeId="0" xr:uid="{02A75BDD-B0DC-4387-AB9A-EDE96526F77B}">
      <text>
        <r>
          <rPr>
            <sz val="10"/>
            <color indexed="81"/>
            <rFont val="Arial"/>
            <family val="2"/>
          </rPr>
          <t>1 - 0_x000D_
2 - 0_x000D_
3 - 1,467,373_x000D_
4 - 0_x000D_
5 - 0_x000D_
6 - 975,097</t>
        </r>
      </text>
    </comment>
    <comment ref="J33" authorId="0" shapeId="0" xr:uid="{11DD9E13-B162-41E6-8BC6-559DB9BB58F7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33" authorId="0" shapeId="0" xr:uid="{E4E4B228-62BD-45C3-BC29-1C896C4ADBB8}">
      <text>
        <r>
          <rPr>
            <sz val="10"/>
            <color indexed="81"/>
            <rFont val="Arial"/>
            <family val="2"/>
          </rPr>
          <t>1 - 0_x000D_
2 - 0_x000D_
3 - 397,826_x000D_
4 - 0_x000D_
5 - 0_x000D_
6 - 282,141</t>
        </r>
      </text>
    </comment>
    <comment ref="N33" authorId="0" shapeId="0" xr:uid="{41DD2BE3-9AB6-4F94-8BDA-32FD8FA43769}">
      <text>
        <r>
          <rPr>
            <sz val="10"/>
            <color indexed="81"/>
            <rFont val="Arial"/>
            <family val="2"/>
          </rPr>
          <t>1 - 0_x000D_
2 - 0_x000D_
3 - 397,826_x000D_
4 - 0_x000D_
5 - 0_x000D_
6 - 282,141</t>
        </r>
      </text>
    </comment>
  </commentList>
</comments>
</file>

<file path=xl/sharedStrings.xml><?xml version="1.0" encoding="utf-8"?>
<sst xmlns="http://schemas.openxmlformats.org/spreadsheetml/2006/main" count="4986" uniqueCount="691">
  <si>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</si>
  <si>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</si>
  <si>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</si>
  <si>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</si>
  <si>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</si>
  <si>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</si>
  <si>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</si>
  <si>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</si>
  <si>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</si>
  <si>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</si>
  <si>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</si>
  <si>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</si>
  <si>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</si>
  <si>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</si>
  <si>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</si>
  <si>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</si>
  <si>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</si>
  <si>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</si>
  <si>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</si>
  <si>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</si>
  <si>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</si>
  <si>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</si>
  <si>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</si>
  <si>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</si>
  <si>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</si>
  <si>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</si>
  <si>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</si>
  <si>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</si>
  <si>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</si>
  <si>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</si>
  <si>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</si>
  <si>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</si>
  <si>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</si>
  <si>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</si>
  <si>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</si>
  <si>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</si>
  <si>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</si>
  <si>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</si>
  <si>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</si>
  <si>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</si>
  <si>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</si>
  <si>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</si>
  <si>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</si>
  <si>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</si>
  <si>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</si>
  <si>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</si>
  <si>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</si>
  <si>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</si>
  <si>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</si>
  <si>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</si>
  <si>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</si>
  <si>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</si>
  <si>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</si>
  <si>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</si>
  <si>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</si>
  <si>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</si>
  <si>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</si>
  <si>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</si>
  <si>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</si>
  <si>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</si>
  <si>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</si>
  <si>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</si>
  <si>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</si>
  <si>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</si>
  <si>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</si>
  <si>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</si>
  <si>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</si>
  <si>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</si>
  <si>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</si>
  <si>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</si>
  <si>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</si>
  <si>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</si>
  <si>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</si>
  <si>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</si>
  <si>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</si>
  <si>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</si>
  <si>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</si>
  <si>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</si>
  <si>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</si>
  <si>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</si>
  <si>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</si>
  <si>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</si>
  <si>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</si>
  <si>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</si>
  <si>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</si>
  <si>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</si>
  <si>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</si>
  <si>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</si>
  <si>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</si>
  <si>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</si>
  <si>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</si>
  <si>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</si>
  <si>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</si>
  <si>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</si>
  <si>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</si>
  <si>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</si>
  <si>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</si>
  <si>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</si>
  <si>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</si>
  <si>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</si>
  <si>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</si>
  <si>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</si>
  <si>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</si>
  <si>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</si>
  <si>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</si>
  <si>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</si>
  <si>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</si>
  <si>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</si>
  <si>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</si>
  <si>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</si>
  <si>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</si>
  <si>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</si>
  <si>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</si>
  <si>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</si>
  <si>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</si>
  <si>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</si>
  <si>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</si>
  <si>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</si>
  <si>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</si>
  <si>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</si>
  <si>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</si>
  <si>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</si>
  <si>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</si>
  <si>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</si>
  <si>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</si>
  <si>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</si>
  <si>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</si>
  <si>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</si>
  <si>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</si>
  <si>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</si>
  <si>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</si>
  <si>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</si>
  <si>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</si>
  <si>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</si>
  <si>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</si>
  <si>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</si>
  <si>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</si>
  <si>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</si>
  <si>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</si>
  <si>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</si>
  <si>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</si>
  <si>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</si>
  <si>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</si>
  <si>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</si>
  <si>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</si>
  <si>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</si>
  <si>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</si>
  <si>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</si>
  <si>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</si>
  <si>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</si>
  <si>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</si>
  <si>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</si>
  <si>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</si>
  <si>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</si>
  <si>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</si>
  <si>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</si>
  <si>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</si>
  <si>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</si>
  <si>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</si>
  <si>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</si>
  <si>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</si>
  <si>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</si>
  <si>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</si>
  <si>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</si>
  <si>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</si>
  <si>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</si>
  <si>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</si>
  <si>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</si>
  <si>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</si>
  <si>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</si>
  <si>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</si>
  <si>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</si>
  <si>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</si>
  <si>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</si>
  <si>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</si>
  <si>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</si>
  <si>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</si>
  <si>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</si>
  <si>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</si>
  <si>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</si>
  <si>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</si>
  <si>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</si>
  <si>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</si>
  <si>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</si>
  <si>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</si>
  <si>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</si>
  <si>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</si>
  <si>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</si>
  <si>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</si>
  <si>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</si>
  <si>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</si>
  <si>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</si>
  <si>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</si>
  <si>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</si>
  <si>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</si>
  <si>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</si>
  <si>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</si>
  <si>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</si>
  <si>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</si>
  <si>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</si>
  <si>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</si>
  <si>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</si>
  <si>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</si>
  <si>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</si>
  <si>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</si>
  <si>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</si>
  <si>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</si>
  <si>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</si>
  <si>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</si>
  <si>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</si>
  <si>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</si>
  <si>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</si>
  <si>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</si>
  <si>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</si>
  <si>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</si>
  <si>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</si>
  <si>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</si>
  <si>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</si>
  <si>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</si>
  <si>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</si>
  <si>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</si>
  <si>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</si>
  <si>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</si>
  <si>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</si>
  <si>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</si>
  <si>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</si>
  <si>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</si>
  <si>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</si>
  <si>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</si>
  <si>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</si>
  <si>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</si>
  <si>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</si>
  <si>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</si>
  <si>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</si>
  <si>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</si>
  <si>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</si>
  <si>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</si>
  <si>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</si>
  <si>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</si>
  <si>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</si>
  <si>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</si>
  <si>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</si>
  <si>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</si>
  <si>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</si>
  <si>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</si>
  <si>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</si>
  <si>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</si>
  <si>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</si>
  <si>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</si>
  <si>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</si>
  <si>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</si>
  <si>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</si>
  <si>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</si>
  <si>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</si>
  <si>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</si>
  <si>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</si>
  <si>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</si>
  <si>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</si>
  <si>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</si>
  <si>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</si>
  <si>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</si>
  <si>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</si>
  <si>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</si>
  <si>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</si>
  <si>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</si>
  <si>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</si>
  <si>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</si>
  <si>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</si>
  <si>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</si>
  <si>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</si>
  <si>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</si>
  <si>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</si>
  <si>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</si>
  <si>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</si>
  <si>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</si>
  <si>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</si>
  <si>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</si>
  <si>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</si>
  <si>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</si>
  <si>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</si>
  <si>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</si>
  <si>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</si>
  <si>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</si>
  <si>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</si>
  <si>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</si>
  <si>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</si>
  <si>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</si>
  <si>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</si>
  <si>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</si>
  <si>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</si>
  <si>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</si>
  <si>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</si>
  <si>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</si>
  <si>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</si>
  <si>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</si>
  <si>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</si>
  <si>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</si>
  <si>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</si>
  <si>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</si>
  <si>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</si>
  <si>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</si>
  <si>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</si>
  <si>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</si>
  <si>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</si>
  <si>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</si>
  <si>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</si>
  <si>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</si>
  <si>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</si>
  <si>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</si>
  <si>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</si>
  <si>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</si>
  <si>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</si>
  <si>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</si>
  <si>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</si>
  <si>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</si>
  <si>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</si>
  <si>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</si>
  <si>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</si>
  <si>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</si>
  <si>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</si>
  <si>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</si>
  <si>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</si>
  <si>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</si>
  <si>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</si>
  <si>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</si>
  <si>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</si>
  <si>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</si>
  <si>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</si>
  <si>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</si>
  <si>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</si>
  <si>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</si>
  <si>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</si>
  <si>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</si>
  <si>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</si>
  <si>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</si>
  <si>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</si>
  <si>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</si>
  <si>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</si>
  <si>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</si>
  <si>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</si>
  <si>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</si>
  <si>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</si>
  <si>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</si>
  <si>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</si>
  <si>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</si>
  <si>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</si>
  <si>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</si>
  <si>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</si>
  <si>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</si>
  <si>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</si>
  <si>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</si>
  <si>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</si>
  <si>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</si>
  <si>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</si>
  <si>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</si>
  <si>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</si>
  <si>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</si>
  <si>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</si>
  <si>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</si>
  <si>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</si>
  <si>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</si>
  <si>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</si>
  <si>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</si>
  <si>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</si>
  <si>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</si>
  <si>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</si>
  <si>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</si>
  <si>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</si>
  <si>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</si>
  <si>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</si>
  <si>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</si>
  <si>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</si>
  <si>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</si>
  <si>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</si>
  <si>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</si>
  <si>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</si>
  <si>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</si>
  <si>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</si>
  <si>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</si>
  <si>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</si>
  <si>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</si>
  <si>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</si>
  <si>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</si>
  <si>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</si>
  <si>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</si>
  <si>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</si>
  <si>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</si>
  <si>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</si>
  <si>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</si>
  <si>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</si>
  <si>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</si>
  <si>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</si>
  <si>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</si>
  <si>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</si>
  <si>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</si>
  <si>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</si>
  <si>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</si>
  <si>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</si>
  <si>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</si>
  <si>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</si>
  <si>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</si>
  <si>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</si>
  <si>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</si>
  <si>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</si>
  <si>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</si>
  <si>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</si>
  <si>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</si>
  <si>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</si>
  <si>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</si>
  <si>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</si>
  <si>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</si>
  <si>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</si>
  <si>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</si>
  <si>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</si>
  <si>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</si>
  <si>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</si>
  <si>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</si>
  <si>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</si>
  <si>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</si>
  <si>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</si>
  <si>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</si>
  <si>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</si>
  <si>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</si>
  <si>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</si>
  <si>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</si>
  <si>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</si>
  <si>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</si>
  <si>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</si>
  <si>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</si>
  <si>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</si>
  <si>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</si>
  <si>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</si>
  <si>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</si>
  <si>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</si>
  <si>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</si>
  <si>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</si>
  <si>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</si>
  <si>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</si>
  <si>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</si>
  <si>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</si>
  <si>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</si>
  <si>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</si>
  <si>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</si>
  <si>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</si>
  <si>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</si>
  <si>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</si>
  <si>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</si>
  <si>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</si>
  <si>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</si>
  <si>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</si>
  <si>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</si>
  <si>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</si>
  <si>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</si>
  <si>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</si>
  <si>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</si>
  <si>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</si>
  <si>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</si>
  <si>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</si>
  <si>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</si>
  <si>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</si>
  <si>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</si>
  <si>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</si>
  <si>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</si>
  <si>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</si>
  <si>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</si>
  <si>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</si>
  <si>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</si>
  <si>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</si>
  <si>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</si>
  <si>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</si>
  <si>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</si>
  <si>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</si>
  <si>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</si>
  <si>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</si>
  <si>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</si>
  <si>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</si>
  <si>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</si>
  <si>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</si>
  <si>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</si>
  <si>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</si>
  <si>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</si>
  <si>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</si>
  <si>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</si>
  <si>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</si>
  <si>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</si>
  <si>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</si>
  <si>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</si>
  <si>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</si>
  <si>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</si>
  <si>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</si>
  <si>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</si>
  <si>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</si>
  <si>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</si>
  <si>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</si>
  <si>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</si>
  <si>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</si>
  <si>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</si>
  <si>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</si>
  <si>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</si>
  <si>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</si>
  <si>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</si>
  <si>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</si>
  <si>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</si>
  <si>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</si>
  <si>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</si>
  <si>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</si>
  <si>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</si>
  <si>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</si>
  <si>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</si>
  <si>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</si>
  <si>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</si>
  <si>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</si>
  <si>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</si>
  <si>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</si>
  <si>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</si>
  <si>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</si>
  <si>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</si>
  <si>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</si>
  <si>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</si>
  <si>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</si>
  <si>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</si>
  <si>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</si>
  <si>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</si>
  <si>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</si>
  <si>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</si>
  <si>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</si>
  <si>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</si>
  <si>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</si>
  <si>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</si>
  <si>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</si>
  <si>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</si>
  <si>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</si>
  <si>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</si>
  <si>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</si>
  <si>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</si>
  <si>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</si>
  <si>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</si>
  <si>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</si>
  <si>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</si>
  <si>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</si>
  <si>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</si>
  <si>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</si>
  <si>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</si>
  <si>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</si>
  <si>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</si>
  <si>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</si>
  <si>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</si>
  <si>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</si>
  <si>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</si>
  <si>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</si>
  <si>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</si>
  <si>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</si>
  <si>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</si>
  <si>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</si>
  <si>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</si>
  <si>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</si>
  <si>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</si>
  <si>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</si>
  <si>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</si>
  <si>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</si>
  <si>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</si>
  <si>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</si>
  <si>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</si>
  <si>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</si>
  <si>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</si>
  <si>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</si>
  <si>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</si>
  <si>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</si>
  <si>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</si>
  <si>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</si>
  <si>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</si>
  <si>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</si>
  <si>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</si>
  <si>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</si>
  <si>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</si>
  <si>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</si>
  <si>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</si>
  <si>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</si>
  <si>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</si>
  <si>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</si>
  <si>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</si>
  <si>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</si>
  <si>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</si>
  <si>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</si>
  <si>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</si>
  <si>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</si>
  <si>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</si>
  <si>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</si>
  <si>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</si>
  <si>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</si>
  <si>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</si>
  <si>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</si>
  <si>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</si>
  <si>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</si>
  <si>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</si>
  <si>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</si>
  <si>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</si>
  <si>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</si>
  <si>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</si>
  <si>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</si>
  <si>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</si>
  <si>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</si>
  <si>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</si>
  <si>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</si>
  <si>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</si>
  <si>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</si>
  <si>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</si>
  <si>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</si>
  <si>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</si>
  <si>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</si>
  <si>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</si>
  <si>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</si>
  <si>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</si>
  <si>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</si>
  <si>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</si>
  <si>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</si>
  <si>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</si>
  <si>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</si>
  <si>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</si>
  <si>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</si>
  <si>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</si>
  <si>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</si>
  <si>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</si>
  <si>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</si>
  <si>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</si>
  <si>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</si>
  <si>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</si>
  <si>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</si>
  <si>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</si>
  <si>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</si>
  <si>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</si>
  <si>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</si>
  <si>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</si>
  <si>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</si>
  <si>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Company 15 Grand Totals</t>
  </si>
  <si>
    <t>Company 15 Open Job Totals</t>
  </si>
  <si>
    <t>Company 15 Closed Job Totals</t>
  </si>
  <si>
    <t>ExcelImport</t>
  </si>
  <si>
    <t xml:space="preserve">  Open Jobs</t>
  </si>
  <si>
    <t>Vince Guillama</t>
  </si>
  <si>
    <t>Division 55</t>
  </si>
  <si>
    <t xml:space="preserve">    Silver Lake Reservoir Complex Storage Replacement Project</t>
  </si>
  <si>
    <t>Alfredo Bautista</t>
  </si>
  <si>
    <t>55.1191.</t>
  </si>
  <si>
    <t xml:space="preserve">    IEUA RP-5 Liquids Expansion and Solids Treatment Facility</t>
  </si>
  <si>
    <t>Tyler Vanderzee</t>
  </si>
  <si>
    <t>55.1192.</t>
  </si>
  <si>
    <t xml:space="preserve">    IEUA RP-1 Flare Improvements Project</t>
  </si>
  <si>
    <t xml:space="preserve">    East County Advanced Water Purification Project - Package 1</t>
  </si>
  <si>
    <t>Marcos Reyes</t>
  </si>
  <si>
    <t xml:space="preserve">    East County AWP  Project - Management Charge Out</t>
  </si>
  <si>
    <t>55.1202.</t>
  </si>
  <si>
    <t xml:space="preserve">    LACSD - JWPCP Replac of Cryogenic Oxygen Plant 1 and 2</t>
  </si>
  <si>
    <t xml:space="preserve">    East County AWP Project - Package 3</t>
  </si>
  <si>
    <t xml:space="preserve">    East County AWP Package 3  - Management Charge Out</t>
  </si>
  <si>
    <t>55.1227.</t>
  </si>
  <si>
    <t xml:space="preserve">    EMWD - MVRWRF Plant 2B Equipping and Flow Diversion Project</t>
  </si>
  <si>
    <t>Tim Solum</t>
  </si>
  <si>
    <t>55.1233.</t>
  </si>
  <si>
    <t xml:space="preserve">    Rialto Solids Handling Design-Build Project</t>
  </si>
  <si>
    <t>Sean MacGregor</t>
  </si>
  <si>
    <t>55.1248.</t>
  </si>
  <si>
    <t xml:space="preserve">    City of Riverside - Digester 5 Rehabilitation</t>
  </si>
  <si>
    <t>Ivette Ayon</t>
  </si>
  <si>
    <t>55.1249.</t>
  </si>
  <si>
    <t xml:space="preserve">    IEUA - RP-1 Solids Thickening Project - EN22044</t>
  </si>
  <si>
    <t>Isaiah Andrade</t>
  </si>
  <si>
    <t>55.1254.</t>
  </si>
  <si>
    <t xml:space="preserve">    City of Banning - Wastewater Treatment Plant Recycled Water</t>
  </si>
  <si>
    <t>55.1255.</t>
  </si>
  <si>
    <t xml:space="preserve">    City of Riverside - RWQCP Emergency Repair</t>
  </si>
  <si>
    <t>55.1256.</t>
  </si>
  <si>
    <t xml:space="preserve">    City of Riverside - OPS</t>
  </si>
  <si>
    <t xml:space="preserve">  Division 55 Open Job Totals</t>
  </si>
  <si>
    <t>55.1230.</t>
  </si>
  <si>
    <t xml:space="preserve">    VVWRA - DAF 3 Replacement</t>
  </si>
  <si>
    <t>55.1231.</t>
  </si>
  <si>
    <t xml:space="preserve">    City of Corona - WRF 1 Aeration System Improvements</t>
  </si>
  <si>
    <t>55.1238.</t>
  </si>
  <si>
    <t xml:space="preserve">    East County Package 5</t>
  </si>
  <si>
    <t>Matt Cain</t>
  </si>
  <si>
    <t>55.1250.</t>
  </si>
  <si>
    <t xml:space="preserve">    VVWRA Digester Dome No. 1 Repair</t>
  </si>
  <si>
    <t>55.1251.</t>
  </si>
  <si>
    <t xml:space="preserve">    VVWRA Magnesium Hydroxide Feed System Upgrade</t>
  </si>
  <si>
    <t>55.1252.</t>
  </si>
  <si>
    <t xml:space="preserve">    Murrieta - Overhead 2025 FY</t>
  </si>
  <si>
    <t>55.1253.</t>
  </si>
  <si>
    <t xml:space="preserve">    Murrieta - Estimating 2025 FY</t>
  </si>
  <si>
    <t xml:space="preserve">  Division 55 Closed Job Totals</t>
  </si>
  <si>
    <t>Division 55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</si>
</sst>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9"/>
      <color indexed="81"/>
      <name val="Arial"/>
      <family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55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SLmmtinj0bFuFt621A3Hbxl1pDLS6J8/uCKeFyN361c5oxc0vwS54IFLGRPS7UxP0KrPS7J8B0L4KgATIkMZzA==" saltValue="3kRvGAQkLA4J495/cvl13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640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638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565</v>
      </c>
      <c r="B9" s="232" t="s">
        <v>641</v>
      </c>
      <c r="C9" s="232" t="s">
        <v>642</v>
      </c>
      <c r="D9" s="233"/>
      <c r="E9" s="234">
        <v>4745000</v>
      </c>
      <c r="F9" s="235">
        <v>4745000</v>
      </c>
      <c r="G9" s="236"/>
      <c r="H9" s="237"/>
      <c r="I9" s="238">
        <v>5400000</v>
      </c>
      <c r="J9" s="249"/>
      <c r="K9" s="240"/>
      <c r="L9" s="8">
        <v>5943982.1399999997</v>
      </c>
      <c r="M9" s="241">
        <v>3900000</v>
      </c>
      <c r="N9" s="72"/>
      <c r="O9" s="100"/>
      <c r="P9" s="9"/>
      <c r="Q9" s="9">
        <v>1496972.2000000002</v>
      </c>
      <c r="R9" s="9"/>
      <c r="S9" s="152">
        <v>47453</v>
      </c>
      <c r="T9" s="10"/>
      <c r="U9" s="23"/>
      <c r="V9" s="11"/>
      <c r="W9" s="11"/>
      <c r="X9" s="8">
        <v>3834064.05</v>
      </c>
      <c r="Y9" s="9"/>
      <c r="Z9" s="70">
        <v>1474640.02</v>
      </c>
      <c r="AA9" s="72"/>
      <c r="AB9" s="108"/>
      <c r="AC9" s="9">
        <v>1496594.64</v>
      </c>
      <c r="AD9" s="9"/>
      <c r="AE9" s="10"/>
      <c r="AF9" s="24">
        <v>1</v>
      </c>
      <c r="AG9" s="11">
        <v>5081684.62</v>
      </c>
      <c r="AH9" s="8">
        <v>3617796.45</v>
      </c>
      <c r="AI9" s="9">
        <v>1463888.17</v>
      </c>
      <c r="AJ9" s="9">
        <v>1463888.17</v>
      </c>
      <c r="AK9" s="10"/>
      <c r="AL9" s="11"/>
      <c r="AM9" s="8">
        <v>216267.6</v>
      </c>
      <c r="AN9" s="9"/>
      <c r="AO9" s="9"/>
      <c r="AP9" s="10"/>
      <c r="AQ9" s="25"/>
      <c r="AR9" s="25"/>
      <c r="AS9" s="25"/>
      <c r="AT9" s="10"/>
      <c r="AU9" s="12">
        <v>5235272.3600000003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5400000</v>
      </c>
      <c r="BF9" s="15">
        <v>3900000</v>
      </c>
      <c r="BG9" s="15">
        <v>1474640.02</v>
      </c>
      <c r="BH9" s="15">
        <v>5235272.3600000003</v>
      </c>
      <c r="BI9" s="15">
        <v>3834064.05</v>
      </c>
      <c r="BJ9" s="242">
        <v>0</v>
      </c>
      <c r="BK9" s="242">
        <v>1496594.64</v>
      </c>
      <c r="BL9" s="242"/>
      <c r="BM9" s="242">
        <v>1</v>
      </c>
      <c r="BN9" s="242">
        <v>1496972.2000000002</v>
      </c>
      <c r="BO9" s="242">
        <v>1367828.8799999994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94">
        <v>1474640.02</v>
      </c>
      <c r="CC9" s="246" t="s">
        <v>637</v>
      </c>
      <c r="CD9" s="242">
        <v>0</v>
      </c>
      <c r="CE9" s="248">
        <v>4745000</v>
      </c>
      <c r="CF9" s="248">
        <v>3617796.45</v>
      </c>
      <c r="CG9" s="248">
        <v>4745000</v>
      </c>
      <c r="CH9" s="248">
        <v>3617796.45</v>
      </c>
      <c r="CI9" s="247" t="s">
        <v>633</v>
      </c>
      <c r="CJ9" s="248">
        <v>3834064.05</v>
      </c>
      <c r="CK9" s="248">
        <v>216267.6</v>
      </c>
      <c r="CL9" s="248">
        <v>5235272.3600000003</v>
      </c>
      <c r="CM9" s="248">
        <v>0</v>
      </c>
    </row>
    <row r="10" spans="1:102" x14ac:dyDescent="0.25">
      <c r="A10" s="231" t="s">
        <v>643</v>
      </c>
      <c r="B10" s="232" t="s">
        <v>644</v>
      </c>
      <c r="C10" s="232" t="s">
        <v>645</v>
      </c>
      <c r="D10" s="233"/>
      <c r="E10" s="234">
        <v>341464986.66000003</v>
      </c>
      <c r="F10" s="235">
        <v>341960667.66000003</v>
      </c>
      <c r="G10" s="236"/>
      <c r="H10" s="237"/>
      <c r="I10" s="238">
        <v>341443133.70999998</v>
      </c>
      <c r="J10" s="249"/>
      <c r="K10" s="240"/>
      <c r="L10" s="8">
        <v>338611439.45999998</v>
      </c>
      <c r="M10" s="241">
        <v>337732635.70999998</v>
      </c>
      <c r="N10" s="72"/>
      <c r="O10" s="100"/>
      <c r="P10" s="9"/>
      <c r="Q10" s="9">
        <v>5210498</v>
      </c>
      <c r="R10" s="9"/>
      <c r="S10" s="152">
        <v>46568</v>
      </c>
      <c r="T10" s="10"/>
      <c r="U10" s="23"/>
      <c r="V10" s="11"/>
      <c r="W10" s="11"/>
      <c r="X10" s="8">
        <v>299179624.83999997</v>
      </c>
      <c r="Y10" s="9"/>
      <c r="Z10" s="70">
        <v>3710498</v>
      </c>
      <c r="AA10" s="72"/>
      <c r="AB10" s="108"/>
      <c r="AC10" s="9">
        <v>5210498</v>
      </c>
      <c r="AD10" s="9"/>
      <c r="AE10" s="10"/>
      <c r="AF10" s="24">
        <v>0.84843943058381854</v>
      </c>
      <c r="AG10" s="11">
        <v>290567835.01999998</v>
      </c>
      <c r="AH10" s="8">
        <v>282667835.01999998</v>
      </c>
      <c r="AI10" s="9">
        <v>7900000</v>
      </c>
      <c r="AJ10" s="9">
        <v>7900000</v>
      </c>
      <c r="AK10" s="10"/>
      <c r="AL10" s="11"/>
      <c r="AM10" s="8">
        <v>16511789.82</v>
      </c>
      <c r="AN10" s="9"/>
      <c r="AO10" s="9"/>
      <c r="AP10" s="10"/>
      <c r="AQ10" s="25"/>
      <c r="AR10" s="25"/>
      <c r="AS10" s="25"/>
      <c r="AT10" s="10"/>
      <c r="AU10" s="12">
        <v>296634984.50999999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341443133.70999998</v>
      </c>
      <c r="BF10" s="15">
        <v>337732635.70999998</v>
      </c>
      <c r="BG10" s="15">
        <v>3710498</v>
      </c>
      <c r="BH10" s="15">
        <v>341443133.70999998</v>
      </c>
      <c r="BI10" s="15">
        <v>337732635.70999998</v>
      </c>
      <c r="BJ10" s="242">
        <v>0</v>
      </c>
      <c r="BK10" s="242">
        <v>5210498</v>
      </c>
      <c r="BL10" s="242"/>
      <c r="BM10" s="242">
        <v>1</v>
      </c>
      <c r="BN10" s="242">
        <v>5210498</v>
      </c>
      <c r="BO10" s="242">
        <v>5210498</v>
      </c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94">
        <v>3710498</v>
      </c>
      <c r="CC10" s="246" t="s">
        <v>637</v>
      </c>
      <c r="CD10" s="242">
        <v>0</v>
      </c>
      <c r="CE10" s="248">
        <v>290132766.91000003</v>
      </c>
      <c r="CF10" s="248">
        <v>333162067.70999998</v>
      </c>
      <c r="CG10" s="248">
        <v>290132766.91000003</v>
      </c>
      <c r="CH10" s="248">
        <v>333162067.70999998</v>
      </c>
      <c r="CI10" s="247" t="s">
        <v>633</v>
      </c>
      <c r="CJ10" s="248">
        <v>299179624.83999997</v>
      </c>
      <c r="CK10" s="248">
        <v>16511789.82</v>
      </c>
      <c r="CL10" s="248">
        <v>296634984.50999999</v>
      </c>
      <c r="CM10" s="248">
        <v>0</v>
      </c>
    </row>
    <row r="11" spans="1:102" x14ac:dyDescent="0.25">
      <c r="A11" s="231" t="s">
        <v>646</v>
      </c>
      <c r="B11" s="232" t="s">
        <v>647</v>
      </c>
      <c r="C11" s="232" t="s">
        <v>645</v>
      </c>
      <c r="D11" s="233"/>
      <c r="E11" s="234">
        <v>6651803.5300000003</v>
      </c>
      <c r="F11" s="235">
        <v>6651803.5300000003</v>
      </c>
      <c r="G11" s="236"/>
      <c r="H11" s="237"/>
      <c r="I11" s="238">
        <v>6651803.5300000003</v>
      </c>
      <c r="J11" s="249"/>
      <c r="K11" s="240"/>
      <c r="L11" s="8">
        <v>6383622.6600000001</v>
      </c>
      <c r="M11" s="241">
        <v>6401803.5300000003</v>
      </c>
      <c r="N11" s="72"/>
      <c r="O11" s="100"/>
      <c r="P11" s="9"/>
      <c r="Q11" s="9">
        <v>250000</v>
      </c>
      <c r="R11" s="9"/>
      <c r="S11" s="152">
        <v>46053</v>
      </c>
      <c r="T11" s="10"/>
      <c r="U11" s="23"/>
      <c r="V11" s="11"/>
      <c r="W11" s="11"/>
      <c r="X11" s="8">
        <v>6393992.6900000004</v>
      </c>
      <c r="Y11" s="9"/>
      <c r="Z11" s="70">
        <v>250000</v>
      </c>
      <c r="AA11" s="72"/>
      <c r="AB11" s="108"/>
      <c r="AC11" s="9">
        <v>250000</v>
      </c>
      <c r="AD11" s="9"/>
      <c r="AE11" s="10"/>
      <c r="AF11" s="24">
        <v>0.95703954170952832</v>
      </c>
      <c r="AG11" s="11">
        <v>6312693.7300000004</v>
      </c>
      <c r="AH11" s="8">
        <v>5962693.7300000004</v>
      </c>
      <c r="AI11" s="9">
        <v>350000</v>
      </c>
      <c r="AJ11" s="9">
        <v>350000</v>
      </c>
      <c r="AK11" s="10"/>
      <c r="AL11" s="11"/>
      <c r="AM11" s="8">
        <v>431298.96</v>
      </c>
      <c r="AN11" s="9"/>
      <c r="AO11" s="9"/>
      <c r="AP11" s="10"/>
      <c r="AQ11" s="25"/>
      <c r="AR11" s="25"/>
      <c r="AS11" s="25"/>
      <c r="AT11" s="10"/>
      <c r="AU11" s="12">
        <v>6645760.5099999998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6651803.5300000003</v>
      </c>
      <c r="BF11" s="15">
        <v>6401803.5300000003</v>
      </c>
      <c r="BG11" s="15">
        <v>250000</v>
      </c>
      <c r="BH11" s="15">
        <v>6651803.5300000003</v>
      </c>
      <c r="BI11" s="15">
        <v>6401803.5300000003</v>
      </c>
      <c r="BJ11" s="242">
        <v>0</v>
      </c>
      <c r="BK11" s="250">
        <v>250000</v>
      </c>
      <c r="BL11" s="242"/>
      <c r="BM11" s="242">
        <v>1</v>
      </c>
      <c r="BN11" s="242">
        <v>250000</v>
      </c>
      <c r="BO11" s="242">
        <v>250000</v>
      </c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94">
        <v>250000</v>
      </c>
      <c r="CC11" s="246" t="s">
        <v>637</v>
      </c>
      <c r="CD11" s="242">
        <v>0</v>
      </c>
      <c r="CE11" s="242">
        <v>6366035.4000000004</v>
      </c>
      <c r="CF11" s="242">
        <v>6230352.5300000003</v>
      </c>
      <c r="CG11" s="242">
        <v>6366035.4000000004</v>
      </c>
      <c r="CH11" s="242">
        <v>6230352.5300000003</v>
      </c>
      <c r="CI11" s="247" t="s">
        <v>633</v>
      </c>
      <c r="CJ11" s="248">
        <v>6393992.6900000004</v>
      </c>
      <c r="CK11" s="248">
        <v>431298.96</v>
      </c>
      <c r="CL11" s="248">
        <v>6645760.5099999998</v>
      </c>
      <c r="CM11" s="248">
        <v>0</v>
      </c>
    </row>
    <row r="12" spans="1:102" x14ac:dyDescent="0.25">
      <c r="A12" s="231" t="s">
        <v>561</v>
      </c>
      <c r="B12" s="232" t="s">
        <v>648</v>
      </c>
      <c r="C12" s="232" t="s">
        <v>649</v>
      </c>
      <c r="D12" s="233"/>
      <c r="E12" s="234">
        <v>195771435.63</v>
      </c>
      <c r="F12" s="235">
        <v>196243830.78999999</v>
      </c>
      <c r="G12" s="236"/>
      <c r="H12" s="237"/>
      <c r="I12" s="238">
        <v>198075877</v>
      </c>
      <c r="J12" s="249"/>
      <c r="K12" s="240"/>
      <c r="L12" s="8">
        <v>216178378.78999999</v>
      </c>
      <c r="M12" s="241">
        <v>198075877</v>
      </c>
      <c r="N12" s="71"/>
      <c r="O12" s="100"/>
      <c r="P12" s="9"/>
      <c r="Q12" s="9">
        <v>0</v>
      </c>
      <c r="R12" s="9"/>
      <c r="S12" s="152">
        <v>46599</v>
      </c>
      <c r="T12" s="10"/>
      <c r="U12" s="23"/>
      <c r="V12" s="11"/>
      <c r="W12" s="11"/>
      <c r="X12" s="8">
        <v>197751131.77000001</v>
      </c>
      <c r="Y12" s="9"/>
      <c r="Z12" s="70">
        <v>0</v>
      </c>
      <c r="AA12" s="72"/>
      <c r="AB12" s="108"/>
      <c r="AC12" s="9">
        <v>0</v>
      </c>
      <c r="AD12" s="9"/>
      <c r="AE12" s="10"/>
      <c r="AF12" s="24">
        <v>1</v>
      </c>
      <c r="AG12" s="11">
        <v>142200053.22</v>
      </c>
      <c r="AH12" s="8">
        <v>142200053.22</v>
      </c>
      <c r="AI12" s="9">
        <v>0</v>
      </c>
      <c r="AJ12" s="9">
        <v>0</v>
      </c>
      <c r="AK12" s="10"/>
      <c r="AL12" s="11"/>
      <c r="AM12" s="8">
        <v>55551078.549999997</v>
      </c>
      <c r="AN12" s="9"/>
      <c r="AO12" s="9"/>
      <c r="AP12" s="10"/>
      <c r="AQ12" s="25"/>
      <c r="AR12" s="25"/>
      <c r="AS12" s="25"/>
      <c r="AT12" s="10"/>
      <c r="AU12" s="12">
        <v>197175877</v>
      </c>
      <c r="AV12" s="12"/>
      <c r="AW12" s="12"/>
      <c r="AX12" s="242"/>
      <c r="AY12" s="243"/>
      <c r="AZ12" s="242"/>
      <c r="BA12" s="242"/>
      <c r="BB12" s="244"/>
      <c r="BC12" s="243" t="s">
        <v>630</v>
      </c>
      <c r="BD12" s="243" t="s">
        <v>630</v>
      </c>
      <c r="BE12" s="15">
        <v>198075877</v>
      </c>
      <c r="BF12" s="15">
        <v>198075877</v>
      </c>
      <c r="BG12" s="242">
        <v>0</v>
      </c>
      <c r="BH12" s="15">
        <v>197175877</v>
      </c>
      <c r="BI12" s="15">
        <v>197751131.77000001</v>
      </c>
      <c r="BJ12" s="242">
        <v>0</v>
      </c>
      <c r="BK12" s="242">
        <v>0</v>
      </c>
      <c r="BL12" s="242"/>
      <c r="BM12" s="242">
        <v>1</v>
      </c>
      <c r="BN12" s="242">
        <v>0</v>
      </c>
      <c r="BO12" s="242">
        <v>7454.3700000047684</v>
      </c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45"/>
      <c r="CC12" s="246" t="s">
        <v>637</v>
      </c>
      <c r="CD12" s="242">
        <v>0</v>
      </c>
      <c r="CE12" s="242">
        <v>196243830.78999999</v>
      </c>
      <c r="CF12" s="242">
        <v>142200053.22</v>
      </c>
      <c r="CG12" s="242">
        <v>196243830.78999999</v>
      </c>
      <c r="CH12" s="242">
        <v>142200053.22</v>
      </c>
      <c r="CI12" s="247" t="s">
        <v>633</v>
      </c>
      <c r="CJ12" s="248">
        <v>197751131.77000001</v>
      </c>
      <c r="CK12" s="248">
        <v>55551078.549999997</v>
      </c>
      <c r="CL12" s="248">
        <v>197175877</v>
      </c>
      <c r="CM12" s="248">
        <v>0</v>
      </c>
    </row>
    <row r="13" spans="1:102" x14ac:dyDescent="0.25">
      <c r="A13" s="231" t="s">
        <v>562</v>
      </c>
      <c r="B13" s="232" t="s">
        <v>650</v>
      </c>
      <c r="C13" s="232" t="s">
        <v>649</v>
      </c>
      <c r="D13" s="233"/>
      <c r="E13" s="234">
        <v>0</v>
      </c>
      <c r="F13" s="235">
        <v>0</v>
      </c>
      <c r="G13" s="236"/>
      <c r="H13" s="237"/>
      <c r="I13" s="238">
        <v>0</v>
      </c>
      <c r="J13" s="249"/>
      <c r="K13" s="240"/>
      <c r="L13" s="8">
        <v>-600816.89</v>
      </c>
      <c r="M13" s="241">
        <v>-8100000</v>
      </c>
      <c r="N13" s="71"/>
      <c r="O13" s="100"/>
      <c r="P13" s="9"/>
      <c r="Q13" s="9">
        <v>8100000</v>
      </c>
      <c r="R13" s="9"/>
      <c r="S13" s="152">
        <v>46599</v>
      </c>
      <c r="T13" s="10"/>
      <c r="U13" s="23"/>
      <c r="V13" s="11"/>
      <c r="W13" s="11"/>
      <c r="X13" s="8">
        <v>-7779994.2800000003</v>
      </c>
      <c r="Y13" s="9"/>
      <c r="Z13" s="70">
        <v>7779994.2800000003</v>
      </c>
      <c r="AA13" s="71"/>
      <c r="AB13" s="108"/>
      <c r="AC13" s="9">
        <v>7683602.4100000001</v>
      </c>
      <c r="AD13" s="9"/>
      <c r="AE13" s="10"/>
      <c r="AF13" s="24">
        <v>1</v>
      </c>
      <c r="AG13" s="11">
        <v>0</v>
      </c>
      <c r="AH13" s="8">
        <v>-5995115.1299999999</v>
      </c>
      <c r="AI13" s="9">
        <v>5995115.1299999999</v>
      </c>
      <c r="AJ13" s="9">
        <v>5995115.1299999999</v>
      </c>
      <c r="AK13" s="10"/>
      <c r="AL13" s="11"/>
      <c r="AM13" s="8">
        <v>-1784879.15</v>
      </c>
      <c r="AN13" s="9"/>
      <c r="AO13" s="9"/>
      <c r="AP13" s="10"/>
      <c r="AQ13" s="25"/>
      <c r="AR13" s="25"/>
      <c r="AS13" s="25"/>
      <c r="AT13" s="10"/>
      <c r="AU13" s="12">
        <v>0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15">
        <v>0</v>
      </c>
      <c r="BF13" s="15">
        <v>-8100000</v>
      </c>
      <c r="BG13" s="15">
        <v>7779994.2800000003</v>
      </c>
      <c r="BH13" s="15">
        <v>0</v>
      </c>
      <c r="BI13" s="15">
        <v>-7779994.2800000003</v>
      </c>
      <c r="BJ13" s="242">
        <v>0</v>
      </c>
      <c r="BK13" s="242">
        <v>7683602.4100000001</v>
      </c>
      <c r="BL13" s="242"/>
      <c r="BM13" s="242">
        <v>1</v>
      </c>
      <c r="BN13" s="242">
        <v>8100000</v>
      </c>
      <c r="BO13" s="242">
        <v>7455309.5099999998</v>
      </c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94">
        <v>7779994.2800000003</v>
      </c>
      <c r="CC13" s="246" t="s">
        <v>637</v>
      </c>
      <c r="CD13" s="242">
        <v>0</v>
      </c>
      <c r="CE13" s="242">
        <v>-5995115.1299999999</v>
      </c>
      <c r="CF13" s="242">
        <v>-5995115.1299999999</v>
      </c>
      <c r="CG13" s="242">
        <v>-5995115.1299999999</v>
      </c>
      <c r="CH13" s="242">
        <v>-5995115.1299999999</v>
      </c>
      <c r="CI13" s="247" t="s">
        <v>633</v>
      </c>
      <c r="CJ13" s="248">
        <v>-7779994.2800000003</v>
      </c>
      <c r="CK13" s="248">
        <v>-1784879.15</v>
      </c>
      <c r="CL13" s="248">
        <v>0</v>
      </c>
      <c r="CM13" s="248">
        <v>0</v>
      </c>
    </row>
    <row r="14" spans="1:102" x14ac:dyDescent="0.25">
      <c r="A14" s="231" t="s">
        <v>651</v>
      </c>
      <c r="B14" s="232" t="s">
        <v>652</v>
      </c>
      <c r="C14" s="232" t="s">
        <v>642</v>
      </c>
      <c r="D14" s="233"/>
      <c r="E14" s="234">
        <v>16396051.58</v>
      </c>
      <c r="F14" s="235">
        <v>16482643.85</v>
      </c>
      <c r="G14" s="236"/>
      <c r="H14" s="237"/>
      <c r="I14" s="238">
        <v>16396051.58</v>
      </c>
      <c r="J14" s="249"/>
      <c r="K14" s="240"/>
      <c r="L14" s="8">
        <v>15345707.76</v>
      </c>
      <c r="M14" s="241">
        <v>15220642.58</v>
      </c>
      <c r="N14" s="72"/>
      <c r="O14" s="100"/>
      <c r="P14" s="9"/>
      <c r="Q14" s="9">
        <v>1175409</v>
      </c>
      <c r="R14" s="9"/>
      <c r="S14" s="152">
        <v>46235</v>
      </c>
      <c r="T14" s="10"/>
      <c r="U14" s="23"/>
      <c r="V14" s="11"/>
      <c r="W14" s="11"/>
      <c r="X14" s="8">
        <v>9590124.3499999996</v>
      </c>
      <c r="Y14" s="9"/>
      <c r="Z14" s="70">
        <v>740594.12</v>
      </c>
      <c r="AA14" s="72"/>
      <c r="AB14" s="108"/>
      <c r="AC14" s="9">
        <v>739239.42</v>
      </c>
      <c r="AD14" s="9"/>
      <c r="AE14" s="10"/>
      <c r="AF14" s="24">
        <v>0.55083014190654978</v>
      </c>
      <c r="AG14" s="11">
        <v>8877022.8399999999</v>
      </c>
      <c r="AH14" s="8">
        <v>8229572.1299999999</v>
      </c>
      <c r="AI14" s="9">
        <v>647450.71</v>
      </c>
      <c r="AJ14" s="9">
        <v>647450.71</v>
      </c>
      <c r="AK14" s="10"/>
      <c r="AL14" s="11"/>
      <c r="AM14" s="8">
        <v>1360552.22</v>
      </c>
      <c r="AN14" s="9"/>
      <c r="AO14" s="9"/>
      <c r="AP14" s="10"/>
      <c r="AQ14" s="25"/>
      <c r="AR14" s="25"/>
      <c r="AS14" s="25"/>
      <c r="AT14" s="10"/>
      <c r="AU14" s="12">
        <v>10912272.58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15">
        <v>16396051.58</v>
      </c>
      <c r="BF14" s="15">
        <v>15220642.58</v>
      </c>
      <c r="BG14" s="15">
        <v>740594.12</v>
      </c>
      <c r="BH14" s="15">
        <v>16396051.58</v>
      </c>
      <c r="BI14" s="15">
        <v>15220642.58</v>
      </c>
      <c r="BJ14" s="242">
        <v>0</v>
      </c>
      <c r="BK14" s="242">
        <v>739239.42</v>
      </c>
      <c r="BL14" s="242"/>
      <c r="BM14" s="242">
        <v>1</v>
      </c>
      <c r="BN14" s="242">
        <v>1175409</v>
      </c>
      <c r="BO14" s="242">
        <v>1175409</v>
      </c>
      <c r="BP14" s="242"/>
      <c r="BQ14" s="242"/>
      <c r="BR14" s="242"/>
      <c r="BS14" s="242"/>
      <c r="BT14" s="297"/>
      <c r="BU14" s="297"/>
      <c r="BV14" s="297"/>
      <c r="BW14" s="297"/>
      <c r="BX14" s="242"/>
      <c r="BY14" s="242"/>
      <c r="BZ14" s="245"/>
      <c r="CA14" s="245"/>
      <c r="CB14" s="294">
        <v>740594.12</v>
      </c>
      <c r="CC14" s="246" t="s">
        <v>637</v>
      </c>
      <c r="CD14" s="242">
        <v>0</v>
      </c>
      <c r="CE14" s="242">
        <v>9079134.7100000009</v>
      </c>
      <c r="CF14" s="242">
        <v>14940308.279999999</v>
      </c>
      <c r="CG14" s="242">
        <v>9079134.7100000009</v>
      </c>
      <c r="CH14" s="242">
        <v>14940308.279999999</v>
      </c>
      <c r="CI14" s="247" t="s">
        <v>633</v>
      </c>
      <c r="CJ14" s="248">
        <v>9590124.3499999996</v>
      </c>
      <c r="CK14" s="248">
        <v>1360552.22</v>
      </c>
      <c r="CL14" s="248">
        <v>10912272.58</v>
      </c>
      <c r="CM14" s="248">
        <v>0</v>
      </c>
    </row>
    <row r="15" spans="1:102" x14ac:dyDescent="0.25">
      <c r="A15" s="231" t="s">
        <v>563</v>
      </c>
      <c r="B15" s="232" t="s">
        <v>653</v>
      </c>
      <c r="C15" s="232" t="s">
        <v>649</v>
      </c>
      <c r="D15" s="233"/>
      <c r="E15" s="234">
        <v>45076046.719999999</v>
      </c>
      <c r="F15" s="235">
        <v>45409003.560000002</v>
      </c>
      <c r="G15" s="236"/>
      <c r="H15" s="237"/>
      <c r="I15" s="238">
        <v>57722227</v>
      </c>
      <c r="J15" s="249"/>
      <c r="K15" s="240"/>
      <c r="L15" s="8">
        <v>62134392.450000003</v>
      </c>
      <c r="M15" s="241">
        <v>57722227</v>
      </c>
      <c r="N15" s="72"/>
      <c r="O15" s="100"/>
      <c r="P15" s="9"/>
      <c r="Q15" s="9">
        <v>0</v>
      </c>
      <c r="R15" s="9"/>
      <c r="S15" s="152">
        <v>46630</v>
      </c>
      <c r="T15" s="10"/>
      <c r="U15" s="23"/>
      <c r="V15" s="11"/>
      <c r="W15" s="11"/>
      <c r="X15" s="8">
        <v>57575368.219999999</v>
      </c>
      <c r="Y15" s="9"/>
      <c r="Z15" s="70">
        <v>0</v>
      </c>
      <c r="AA15" s="71"/>
      <c r="AB15" s="108"/>
      <c r="AC15" s="9">
        <v>0</v>
      </c>
      <c r="AD15" s="9"/>
      <c r="AE15" s="10"/>
      <c r="AF15" s="24">
        <v>1</v>
      </c>
      <c r="AG15" s="11">
        <v>40078338.409999996</v>
      </c>
      <c r="AH15" s="8">
        <v>40078338.409999996</v>
      </c>
      <c r="AI15" s="9">
        <v>0</v>
      </c>
      <c r="AJ15" s="9">
        <v>0</v>
      </c>
      <c r="AK15" s="10"/>
      <c r="AL15" s="11"/>
      <c r="AM15" s="8">
        <v>17497029.809999999</v>
      </c>
      <c r="AN15" s="9"/>
      <c r="AO15" s="9"/>
      <c r="AP15" s="10"/>
      <c r="AQ15" s="25"/>
      <c r="AR15" s="25"/>
      <c r="AS15" s="25"/>
      <c r="AT15" s="10"/>
      <c r="AU15" s="12">
        <v>57142227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57722227</v>
      </c>
      <c r="BF15" s="15">
        <v>57722227</v>
      </c>
      <c r="BG15" s="242">
        <v>0</v>
      </c>
      <c r="BH15" s="15">
        <v>57142227</v>
      </c>
      <c r="BI15" s="15">
        <v>57575368.219999999</v>
      </c>
      <c r="BJ15" s="242">
        <v>0</v>
      </c>
      <c r="BK15" s="242">
        <v>0</v>
      </c>
      <c r="BL15" s="242"/>
      <c r="BM15" s="242">
        <v>1</v>
      </c>
      <c r="BN15" s="242">
        <v>0</v>
      </c>
      <c r="BO15" s="242">
        <v>-363.82999999821186</v>
      </c>
      <c r="BP15" s="242"/>
      <c r="BQ15" s="242"/>
      <c r="BR15" s="242"/>
      <c r="BS15" s="242"/>
      <c r="BT15" s="297"/>
      <c r="BU15" s="297"/>
      <c r="BV15" s="297"/>
      <c r="BW15" s="297"/>
      <c r="BX15" s="242"/>
      <c r="BY15" s="242"/>
      <c r="BZ15" s="245"/>
      <c r="CA15" s="245"/>
      <c r="CB15" s="245"/>
      <c r="CC15" s="246" t="s">
        <v>637</v>
      </c>
      <c r="CD15" s="242">
        <v>0</v>
      </c>
      <c r="CE15" s="242">
        <v>45409003.560000002</v>
      </c>
      <c r="CF15" s="242">
        <v>40078338.409999996</v>
      </c>
      <c r="CG15" s="242">
        <v>45409003.560000002</v>
      </c>
      <c r="CH15" s="242">
        <v>40078338.409999996</v>
      </c>
      <c r="CI15" s="247" t="s">
        <v>633</v>
      </c>
      <c r="CJ15" s="248">
        <v>57575368.219999999</v>
      </c>
      <c r="CK15" s="248">
        <v>17497029.809999999</v>
      </c>
      <c r="CL15" s="248">
        <v>57142227</v>
      </c>
      <c r="CM15" s="248">
        <v>0</v>
      </c>
    </row>
    <row r="16" spans="1:102" x14ac:dyDescent="0.25">
      <c r="A16" s="231" t="s">
        <v>564</v>
      </c>
      <c r="B16" s="232" t="s">
        <v>654</v>
      </c>
      <c r="C16" s="232" t="s">
        <v>649</v>
      </c>
      <c r="D16" s="233"/>
      <c r="E16" s="234">
        <v>0</v>
      </c>
      <c r="F16" s="235">
        <v>0</v>
      </c>
      <c r="G16" s="236"/>
      <c r="H16" s="237"/>
      <c r="I16" s="238">
        <v>0</v>
      </c>
      <c r="J16" s="249"/>
      <c r="K16" s="240"/>
      <c r="L16" s="8">
        <v>-235677.05</v>
      </c>
      <c r="M16" s="241">
        <v>-2500000</v>
      </c>
      <c r="N16" s="72"/>
      <c r="O16" s="100"/>
      <c r="P16" s="9"/>
      <c r="Q16" s="9">
        <v>2500000</v>
      </c>
      <c r="R16" s="9"/>
      <c r="S16" s="152">
        <v>46630</v>
      </c>
      <c r="T16" s="10"/>
      <c r="U16" s="23"/>
      <c r="V16" s="11"/>
      <c r="W16" s="11"/>
      <c r="X16" s="8">
        <v>-2362039.0099999998</v>
      </c>
      <c r="Y16" s="9"/>
      <c r="Z16" s="70">
        <v>2362039.0099999998</v>
      </c>
      <c r="AA16" s="72"/>
      <c r="AB16" s="108"/>
      <c r="AC16" s="9">
        <v>2322281.31</v>
      </c>
      <c r="AD16" s="9"/>
      <c r="AE16" s="10"/>
      <c r="AF16" s="24">
        <v>1</v>
      </c>
      <c r="AG16" s="11">
        <v>0</v>
      </c>
      <c r="AH16" s="8">
        <v>-1917801.19</v>
      </c>
      <c r="AI16" s="9">
        <v>1917801.19</v>
      </c>
      <c r="AJ16" s="9">
        <v>1917801.19</v>
      </c>
      <c r="AK16" s="10"/>
      <c r="AL16" s="11"/>
      <c r="AM16" s="8">
        <v>-444237.82</v>
      </c>
      <c r="AN16" s="9"/>
      <c r="AO16" s="9"/>
      <c r="AP16" s="10"/>
      <c r="AQ16" s="25"/>
      <c r="AR16" s="25"/>
      <c r="AS16" s="25"/>
      <c r="AT16" s="10"/>
      <c r="AU16" s="12">
        <v>0</v>
      </c>
      <c r="AV16" s="12"/>
      <c r="AW16" s="12"/>
      <c r="AX16" s="242"/>
      <c r="AY16" s="243"/>
      <c r="AZ16" s="242"/>
      <c r="BA16" s="242"/>
      <c r="BB16" s="244"/>
      <c r="BC16" s="243" t="s">
        <v>630</v>
      </c>
      <c r="BD16" s="243" t="s">
        <v>630</v>
      </c>
      <c r="BE16" s="15">
        <v>0</v>
      </c>
      <c r="BF16" s="15">
        <v>-2500000</v>
      </c>
      <c r="BG16" s="15">
        <v>2362039.0099999998</v>
      </c>
      <c r="BH16" s="15">
        <v>0</v>
      </c>
      <c r="BI16" s="15">
        <v>-2362039.0099999998</v>
      </c>
      <c r="BJ16" s="242">
        <v>0</v>
      </c>
      <c r="BK16" s="242">
        <v>2322281.31</v>
      </c>
      <c r="BL16" s="242"/>
      <c r="BM16" s="242">
        <v>1</v>
      </c>
      <c r="BN16" s="242">
        <v>2500000</v>
      </c>
      <c r="BO16" s="242">
        <v>2245865.3199999998</v>
      </c>
      <c r="BP16" s="242"/>
      <c r="BQ16" s="242"/>
      <c r="BR16" s="242"/>
      <c r="BS16" s="242"/>
      <c r="BT16" s="297"/>
      <c r="BU16" s="297"/>
      <c r="BV16" s="297"/>
      <c r="BW16" s="297"/>
      <c r="BX16" s="242"/>
      <c r="BY16" s="242"/>
      <c r="BZ16" s="245"/>
      <c r="CA16" s="245"/>
      <c r="CB16" s="294">
        <v>2362039.0099999998</v>
      </c>
      <c r="CC16" s="246" t="s">
        <v>637</v>
      </c>
      <c r="CD16" s="242">
        <v>0</v>
      </c>
      <c r="CE16" s="242">
        <v>-1917801.19</v>
      </c>
      <c r="CF16" s="242">
        <v>-1917801.19</v>
      </c>
      <c r="CG16" s="242">
        <v>-1917801.19</v>
      </c>
      <c r="CH16" s="242">
        <v>-1917801.19</v>
      </c>
      <c r="CI16" s="247" t="s">
        <v>633</v>
      </c>
      <c r="CJ16" s="248">
        <v>-2362039.0099999998</v>
      </c>
      <c r="CK16" s="248">
        <v>-444237.82</v>
      </c>
      <c r="CL16" s="248">
        <v>0</v>
      </c>
      <c r="CM16" s="248">
        <v>0</v>
      </c>
    </row>
    <row r="17" spans="1:91" x14ac:dyDescent="0.25">
      <c r="A17" s="231" t="s">
        <v>655</v>
      </c>
      <c r="B17" s="232" t="s">
        <v>656</v>
      </c>
      <c r="C17" s="232" t="s">
        <v>657</v>
      </c>
      <c r="D17" s="233"/>
      <c r="E17" s="234">
        <v>41504206.390000001</v>
      </c>
      <c r="F17" s="235">
        <v>41575709.409999996</v>
      </c>
      <c r="G17" s="236"/>
      <c r="H17" s="237"/>
      <c r="I17" s="238">
        <v>41504206.390000001</v>
      </c>
      <c r="J17" s="249"/>
      <c r="K17" s="240"/>
      <c r="L17" s="8">
        <v>37174546.159999996</v>
      </c>
      <c r="M17" s="241">
        <v>37154206.390000001</v>
      </c>
      <c r="N17" s="72"/>
      <c r="O17" s="100"/>
      <c r="P17" s="9"/>
      <c r="Q17" s="9">
        <v>4350000</v>
      </c>
      <c r="R17" s="9"/>
      <c r="S17" s="152">
        <v>46081</v>
      </c>
      <c r="T17" s="10"/>
      <c r="U17" s="23"/>
      <c r="V17" s="11"/>
      <c r="W17" s="11"/>
      <c r="X17" s="8">
        <v>36953022.960000001</v>
      </c>
      <c r="Y17" s="9"/>
      <c r="Z17" s="70">
        <v>4326445.5199999996</v>
      </c>
      <c r="AA17" s="71"/>
      <c r="AB17" s="108"/>
      <c r="AC17" s="9">
        <v>4306602.5599999996</v>
      </c>
      <c r="AD17" s="9"/>
      <c r="AE17" s="10"/>
      <c r="AF17" s="24">
        <v>0.80222831500047243</v>
      </c>
      <c r="AG17" s="11">
        <v>32732125.439999998</v>
      </c>
      <c r="AH17" s="8">
        <v>29332771.27</v>
      </c>
      <c r="AI17" s="9">
        <v>3399354.17</v>
      </c>
      <c r="AJ17" s="9">
        <v>3399354.17</v>
      </c>
      <c r="AK17" s="10"/>
      <c r="AL17" s="11"/>
      <c r="AM17" s="8">
        <v>7620251.6900000004</v>
      </c>
      <c r="AN17" s="9"/>
      <c r="AO17" s="9"/>
      <c r="AP17" s="10"/>
      <c r="AQ17" s="25"/>
      <c r="AR17" s="25"/>
      <c r="AS17" s="25"/>
      <c r="AT17" s="10"/>
      <c r="AU17" s="12">
        <v>41483406.390000001</v>
      </c>
      <c r="AV17" s="12"/>
      <c r="AW17" s="12"/>
      <c r="AX17" s="242"/>
      <c r="AY17" s="243"/>
      <c r="AZ17" s="242"/>
      <c r="BA17" s="242"/>
      <c r="BB17" s="244"/>
      <c r="BC17" s="243" t="s">
        <v>630</v>
      </c>
      <c r="BD17" s="243" t="s">
        <v>630</v>
      </c>
      <c r="BE17" s="15">
        <v>41504206.390000001</v>
      </c>
      <c r="BF17" s="15">
        <v>37154206.390000001</v>
      </c>
      <c r="BG17" s="15">
        <v>4326445.5199999996</v>
      </c>
      <c r="BH17" s="15">
        <v>41504206.390000001</v>
      </c>
      <c r="BI17" s="15">
        <v>37154206.390000001</v>
      </c>
      <c r="BJ17" s="242">
        <v>0</v>
      </c>
      <c r="BK17" s="242">
        <v>4306602.5599999996</v>
      </c>
      <c r="BL17" s="242"/>
      <c r="BM17" s="242">
        <v>1</v>
      </c>
      <c r="BN17" s="242">
        <v>4350000</v>
      </c>
      <c r="BO17" s="242">
        <v>4350000</v>
      </c>
      <c r="BP17" s="242"/>
      <c r="BQ17" s="242"/>
      <c r="BR17" s="242"/>
      <c r="BS17" s="242"/>
      <c r="BT17" s="297"/>
      <c r="BU17" s="297"/>
      <c r="BV17" s="297"/>
      <c r="BW17" s="297"/>
      <c r="BX17" s="242"/>
      <c r="BY17" s="242"/>
      <c r="BZ17" s="245"/>
      <c r="CA17" s="245"/>
      <c r="CB17" s="294">
        <v>4326445.5199999996</v>
      </c>
      <c r="CC17" s="246" t="s">
        <v>637</v>
      </c>
      <c r="CD17" s="242">
        <v>0</v>
      </c>
      <c r="CE17" s="242">
        <v>33353198.210000001</v>
      </c>
      <c r="CF17" s="242">
        <v>36564118.619999997</v>
      </c>
      <c r="CG17" s="242">
        <v>33353198.210000001</v>
      </c>
      <c r="CH17" s="242">
        <v>36564118.619999997</v>
      </c>
      <c r="CI17" s="247" t="s">
        <v>633</v>
      </c>
      <c r="CJ17" s="248">
        <v>36953022.960000001</v>
      </c>
      <c r="CK17" s="248">
        <v>7620251.6900000004</v>
      </c>
      <c r="CL17" s="248">
        <v>41483406.390000001</v>
      </c>
      <c r="CM17" s="248">
        <v>0</v>
      </c>
    </row>
    <row r="18" spans="1:91" x14ac:dyDescent="0.25">
      <c r="A18" s="231" t="s">
        <v>658</v>
      </c>
      <c r="B18" s="232" t="s">
        <v>659</v>
      </c>
      <c r="C18" s="232" t="s">
        <v>660</v>
      </c>
      <c r="D18" s="233"/>
      <c r="E18" s="234">
        <v>85000</v>
      </c>
      <c r="F18" s="235">
        <v>9838187</v>
      </c>
      <c r="G18" s="236"/>
      <c r="H18" s="237"/>
      <c r="I18" s="238">
        <v>9838187</v>
      </c>
      <c r="J18" s="249"/>
      <c r="K18" s="240"/>
      <c r="L18" s="8">
        <v>9632437.1500000004</v>
      </c>
      <c r="M18" s="241">
        <v>9838187</v>
      </c>
      <c r="N18" s="72"/>
      <c r="O18" s="100"/>
      <c r="P18" s="9"/>
      <c r="Q18" s="9">
        <v>-2344.5299999999988</v>
      </c>
      <c r="R18" s="9"/>
      <c r="S18" s="152">
        <v>46811</v>
      </c>
      <c r="T18" s="10"/>
      <c r="U18" s="23"/>
      <c r="V18" s="11"/>
      <c r="W18" s="11"/>
      <c r="X18" s="8">
        <v>126077.16</v>
      </c>
      <c r="Y18" s="9"/>
      <c r="Z18" s="70">
        <v>8429</v>
      </c>
      <c r="AA18" s="71"/>
      <c r="AB18" s="108"/>
      <c r="AC18" s="9">
        <v>-2344.5300000000002</v>
      </c>
      <c r="AD18" s="9"/>
      <c r="AE18" s="10"/>
      <c r="AF18" s="24">
        <v>1</v>
      </c>
      <c r="AG18" s="11">
        <v>84758.64</v>
      </c>
      <c r="AH18" s="8">
        <v>76329.8</v>
      </c>
      <c r="AI18" s="9">
        <v>8428.84</v>
      </c>
      <c r="AJ18" s="9">
        <v>8428.84</v>
      </c>
      <c r="AK18" s="10"/>
      <c r="AL18" s="11"/>
      <c r="AM18" s="8">
        <v>49747.360000000001</v>
      </c>
      <c r="AN18" s="9"/>
      <c r="AO18" s="9"/>
      <c r="AP18" s="10"/>
      <c r="AQ18" s="25"/>
      <c r="AR18" s="25"/>
      <c r="AS18" s="25"/>
      <c r="AT18" s="10"/>
      <c r="AU18" s="12">
        <v>123617</v>
      </c>
      <c r="AV18" s="12"/>
      <c r="AW18" s="12"/>
      <c r="AX18" s="242"/>
      <c r="AY18" s="243"/>
      <c r="AZ18" s="242"/>
      <c r="BA18" s="242"/>
      <c r="BB18" s="244"/>
      <c r="BC18" s="243" t="s">
        <v>630</v>
      </c>
      <c r="BD18" s="243" t="s">
        <v>630</v>
      </c>
      <c r="BE18" s="15">
        <v>9838187</v>
      </c>
      <c r="BF18" s="15">
        <v>9838187</v>
      </c>
      <c r="BG18" s="15">
        <v>8429</v>
      </c>
      <c r="BH18" s="15">
        <v>126077.16</v>
      </c>
      <c r="BI18" s="15">
        <v>126077.16</v>
      </c>
      <c r="BJ18" s="242">
        <v>0</v>
      </c>
      <c r="BK18" s="242">
        <v>-2344.5300000000002</v>
      </c>
      <c r="BL18" s="242"/>
      <c r="BM18" s="242">
        <v>1</v>
      </c>
      <c r="BN18" s="242">
        <v>-2344.5299999999988</v>
      </c>
      <c r="BO18" s="242">
        <v>8429</v>
      </c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94">
        <v>8429</v>
      </c>
      <c r="CC18" s="246" t="s">
        <v>637</v>
      </c>
      <c r="CD18" s="242">
        <v>0</v>
      </c>
      <c r="CE18" s="242">
        <v>9838187</v>
      </c>
      <c r="CF18" s="242">
        <v>76329.8</v>
      </c>
      <c r="CG18" s="242">
        <v>9838187</v>
      </c>
      <c r="CH18" s="242">
        <v>76329.8</v>
      </c>
      <c r="CI18" s="247" t="s">
        <v>633</v>
      </c>
      <c r="CJ18" s="248">
        <v>126077.16</v>
      </c>
      <c r="CK18" s="248">
        <v>49747.360000000001</v>
      </c>
      <c r="CL18" s="248">
        <v>123617</v>
      </c>
      <c r="CM18" s="248">
        <v>0</v>
      </c>
    </row>
    <row r="19" spans="1:91" x14ac:dyDescent="0.25">
      <c r="A19" s="231" t="s">
        <v>661</v>
      </c>
      <c r="B19" s="232" t="s">
        <v>662</v>
      </c>
      <c r="C19" s="232" t="s">
        <v>663</v>
      </c>
      <c r="D19" s="233"/>
      <c r="E19" s="234">
        <v>5767387.8200000003</v>
      </c>
      <c r="F19" s="235">
        <v>5826536.3899999997</v>
      </c>
      <c r="G19" s="236"/>
      <c r="H19" s="237"/>
      <c r="I19" s="238">
        <v>5759301.8099999996</v>
      </c>
      <c r="J19" s="239"/>
      <c r="K19" s="240"/>
      <c r="L19" s="8">
        <v>4904776.83</v>
      </c>
      <c r="M19" s="241">
        <v>4934301.8099999996</v>
      </c>
      <c r="N19" s="72"/>
      <c r="O19" s="100"/>
      <c r="P19" s="9"/>
      <c r="Q19" s="9">
        <v>725000</v>
      </c>
      <c r="R19" s="9"/>
      <c r="S19" s="152">
        <v>46082</v>
      </c>
      <c r="T19" s="10"/>
      <c r="U19" s="23"/>
      <c r="V19" s="11"/>
      <c r="W19" s="11"/>
      <c r="X19" s="8">
        <v>3621770.22</v>
      </c>
      <c r="Y19" s="9"/>
      <c r="Z19" s="70">
        <v>605548.78</v>
      </c>
      <c r="AA19" s="71"/>
      <c r="AB19" s="108"/>
      <c r="AC19" s="9">
        <v>372419.29</v>
      </c>
      <c r="AD19" s="9"/>
      <c r="AE19" s="10"/>
      <c r="AF19" s="24">
        <v>6.1204276381992606E-2</v>
      </c>
      <c r="AG19" s="11">
        <v>314753.09000000003</v>
      </c>
      <c r="AH19" s="8">
        <v>314753.09000000003</v>
      </c>
      <c r="AI19" s="9">
        <v>0</v>
      </c>
      <c r="AJ19" s="9">
        <v>0</v>
      </c>
      <c r="AK19" s="10"/>
      <c r="AL19" s="11"/>
      <c r="AM19" s="8">
        <v>3307017.13</v>
      </c>
      <c r="AN19" s="9"/>
      <c r="AO19" s="9"/>
      <c r="AP19" s="10"/>
      <c r="AQ19" s="25"/>
      <c r="AR19" s="25"/>
      <c r="AS19" s="25"/>
      <c r="AT19" s="10"/>
      <c r="AU19" s="12">
        <v>4861991.8099999996</v>
      </c>
      <c r="AV19" s="12"/>
      <c r="AW19" s="12"/>
      <c r="AX19" s="242"/>
      <c r="AY19" s="243"/>
      <c r="AZ19" s="242"/>
      <c r="BA19" s="242"/>
      <c r="BB19" s="244"/>
      <c r="BC19" s="243" t="s">
        <v>630</v>
      </c>
      <c r="BD19" s="243" t="s">
        <v>630</v>
      </c>
      <c r="BE19" s="15">
        <v>5759301.8099999996</v>
      </c>
      <c r="BF19" s="15">
        <v>4934301.8099999996</v>
      </c>
      <c r="BG19" s="15">
        <v>605548.78</v>
      </c>
      <c r="BH19" s="15">
        <v>5759301.8099999996</v>
      </c>
      <c r="BI19" s="15">
        <v>4934301.8099999996</v>
      </c>
      <c r="BJ19" s="242">
        <v>0</v>
      </c>
      <c r="BK19" s="242">
        <v>372419.29</v>
      </c>
      <c r="BL19" s="242"/>
      <c r="BM19" s="242">
        <v>1</v>
      </c>
      <c r="BN19" s="242">
        <v>725000</v>
      </c>
      <c r="BO19" s="242">
        <v>700000</v>
      </c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94">
        <v>605548.78</v>
      </c>
      <c r="CC19" s="246" t="s">
        <v>637</v>
      </c>
      <c r="CD19" s="242">
        <v>0</v>
      </c>
      <c r="CE19" s="242">
        <v>314753.09000000003</v>
      </c>
      <c r="CF19" s="242">
        <v>5142665</v>
      </c>
      <c r="CG19" s="242">
        <v>314753.09000000003</v>
      </c>
      <c r="CH19" s="242">
        <v>5142665</v>
      </c>
      <c r="CI19" s="247" t="s">
        <v>633</v>
      </c>
      <c r="CJ19" s="248">
        <v>3621770.22</v>
      </c>
      <c r="CK19" s="248">
        <v>3307017.13</v>
      </c>
      <c r="CL19" s="248">
        <v>4861991.8099999996</v>
      </c>
      <c r="CM19" s="248">
        <v>0</v>
      </c>
    </row>
    <row r="20" spans="1:91" x14ac:dyDescent="0.25">
      <c r="A20" s="231" t="s">
        <v>664</v>
      </c>
      <c r="B20" s="232" t="s">
        <v>665</v>
      </c>
      <c r="C20" s="232" t="s">
        <v>666</v>
      </c>
      <c r="D20" s="233"/>
      <c r="E20" s="234">
        <v>147525113</v>
      </c>
      <c r="F20" s="235">
        <v>147525113</v>
      </c>
      <c r="G20" s="236"/>
      <c r="H20" s="237"/>
      <c r="I20" s="238">
        <v>147525113</v>
      </c>
      <c r="J20" s="239"/>
      <c r="K20" s="240"/>
      <c r="L20" s="8">
        <v>140278077.08000001</v>
      </c>
      <c r="M20" s="241">
        <v>139703905</v>
      </c>
      <c r="N20" s="72"/>
      <c r="O20" s="100"/>
      <c r="P20" s="9"/>
      <c r="Q20" s="9">
        <v>7821208</v>
      </c>
      <c r="R20" s="9"/>
      <c r="S20" s="152">
        <v>47150</v>
      </c>
      <c r="T20" s="10"/>
      <c r="U20" s="23"/>
      <c r="V20" s="11"/>
      <c r="W20" s="11"/>
      <c r="X20" s="8">
        <v>15046313.77</v>
      </c>
      <c r="Y20" s="9"/>
      <c r="Z20" s="70">
        <v>0</v>
      </c>
      <c r="AA20" s="71"/>
      <c r="AB20" s="108"/>
      <c r="AC20" s="9">
        <v>0</v>
      </c>
      <c r="AD20" s="9"/>
      <c r="AE20" s="10"/>
      <c r="AF20" s="24">
        <v>6.7281952306805408E-3</v>
      </c>
      <c r="AG20" s="11">
        <v>941255.62</v>
      </c>
      <c r="AH20" s="8">
        <v>941255.62</v>
      </c>
      <c r="AI20" s="9">
        <v>0</v>
      </c>
      <c r="AJ20" s="9">
        <v>0</v>
      </c>
      <c r="AK20" s="10"/>
      <c r="AL20" s="11"/>
      <c r="AM20" s="8">
        <v>14105058.15</v>
      </c>
      <c r="AN20" s="9"/>
      <c r="AO20" s="9"/>
      <c r="AP20" s="10"/>
      <c r="AQ20" s="25"/>
      <c r="AR20" s="25"/>
      <c r="AS20" s="25"/>
      <c r="AT20" s="10"/>
      <c r="AU20" s="12">
        <v>15047042.84</v>
      </c>
      <c r="AV20" s="12"/>
      <c r="AW20" s="12"/>
      <c r="AX20" s="242"/>
      <c r="AY20" s="243"/>
      <c r="AZ20" s="242"/>
      <c r="BA20" s="242"/>
      <c r="BB20" s="244"/>
      <c r="BC20" s="243" t="s">
        <v>630</v>
      </c>
      <c r="BD20" s="243" t="s">
        <v>630</v>
      </c>
      <c r="BE20" s="15">
        <v>147525113</v>
      </c>
      <c r="BF20" s="15">
        <v>139703905</v>
      </c>
      <c r="BG20" s="242">
        <v>0</v>
      </c>
      <c r="BH20" s="15">
        <v>147525113</v>
      </c>
      <c r="BI20" s="15">
        <v>139703905</v>
      </c>
      <c r="BJ20" s="242">
        <v>0</v>
      </c>
      <c r="BK20" s="242">
        <v>0</v>
      </c>
      <c r="BL20" s="242"/>
      <c r="BM20" s="242">
        <v>1</v>
      </c>
      <c r="BN20" s="242">
        <v>7821208</v>
      </c>
      <c r="BO20" s="242">
        <v>7821208</v>
      </c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45"/>
      <c r="CC20" s="246" t="s">
        <v>637</v>
      </c>
      <c r="CD20" s="242">
        <v>0</v>
      </c>
      <c r="CE20" s="242">
        <v>941255.62</v>
      </c>
      <c r="CF20" s="242">
        <v>139897192</v>
      </c>
      <c r="CG20" s="242">
        <v>941255.62</v>
      </c>
      <c r="CH20" s="242">
        <v>139897192</v>
      </c>
      <c r="CI20" s="247" t="s">
        <v>633</v>
      </c>
      <c r="CJ20" s="248">
        <v>15046313.77</v>
      </c>
      <c r="CK20" s="248">
        <v>14105058.15</v>
      </c>
      <c r="CL20" s="248">
        <v>15047042.84</v>
      </c>
      <c r="CM20" s="248">
        <v>0</v>
      </c>
    </row>
    <row r="21" spans="1:91" x14ac:dyDescent="0.25">
      <c r="A21" s="231" t="s">
        <v>667</v>
      </c>
      <c r="B21" s="232" t="s">
        <v>668</v>
      </c>
      <c r="C21" s="232" t="s">
        <v>639</v>
      </c>
      <c r="D21" s="233"/>
      <c r="E21" s="234">
        <v>170799.52</v>
      </c>
      <c r="F21" s="235">
        <v>170799.52</v>
      </c>
      <c r="G21" s="236"/>
      <c r="H21" s="237"/>
      <c r="I21" s="238">
        <v>471896.25</v>
      </c>
      <c r="J21" s="239"/>
      <c r="K21" s="240"/>
      <c r="L21" s="8">
        <v>535567.54</v>
      </c>
      <c r="M21" s="241">
        <v>471896.25</v>
      </c>
      <c r="N21" s="71"/>
      <c r="O21" s="100"/>
      <c r="P21" s="9"/>
      <c r="Q21" s="9">
        <v>0</v>
      </c>
      <c r="R21" s="9"/>
      <c r="S21" s="152">
        <v>46167</v>
      </c>
      <c r="T21" s="10"/>
      <c r="U21" s="23"/>
      <c r="V21" s="11"/>
      <c r="W21" s="11"/>
      <c r="X21" s="8">
        <v>156561.66</v>
      </c>
      <c r="Y21" s="9"/>
      <c r="Z21" s="70">
        <v>0</v>
      </c>
      <c r="AA21" s="71"/>
      <c r="AB21" s="108"/>
      <c r="AC21" s="9">
        <v>0</v>
      </c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156561.66</v>
      </c>
      <c r="AN21" s="9"/>
      <c r="AO21" s="9"/>
      <c r="AP21" s="10"/>
      <c r="AQ21" s="25"/>
      <c r="AR21" s="25"/>
      <c r="AS21" s="25"/>
      <c r="AT21" s="10"/>
      <c r="AU21" s="12">
        <v>158952.89000000001</v>
      </c>
      <c r="AV21" s="12"/>
      <c r="AW21" s="12"/>
      <c r="AX21" s="242"/>
      <c r="AY21" s="243"/>
      <c r="AZ21" s="242"/>
      <c r="BA21" s="242"/>
      <c r="BB21" s="244"/>
      <c r="BC21" s="243" t="s">
        <v>630</v>
      </c>
      <c r="BD21" s="243" t="s">
        <v>630</v>
      </c>
      <c r="BE21" s="15">
        <v>471896.25</v>
      </c>
      <c r="BF21" s="15">
        <v>471896.25</v>
      </c>
      <c r="BG21" s="242">
        <v>0</v>
      </c>
      <c r="BH21" s="15">
        <v>158952.89000000001</v>
      </c>
      <c r="BI21" s="15">
        <v>156561.66</v>
      </c>
      <c r="BJ21" s="242">
        <v>0</v>
      </c>
      <c r="BK21" s="242">
        <v>0</v>
      </c>
      <c r="BL21" s="242"/>
      <c r="BM21" s="242">
        <v>1</v>
      </c>
      <c r="BN21" s="242">
        <v>0</v>
      </c>
      <c r="BO21" s="242">
        <v>0</v>
      </c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45"/>
      <c r="CC21" s="246" t="s">
        <v>637</v>
      </c>
      <c r="CD21" s="242">
        <v>0</v>
      </c>
      <c r="CE21" s="242">
        <v>0</v>
      </c>
      <c r="CF21" s="242">
        <v>0</v>
      </c>
      <c r="CG21" s="242">
        <v>0</v>
      </c>
      <c r="CH21" s="242">
        <v>0</v>
      </c>
      <c r="CI21" s="247" t="s">
        <v>633</v>
      </c>
      <c r="CJ21" s="248">
        <v>156561.66</v>
      </c>
      <c r="CK21" s="248">
        <v>156561.66</v>
      </c>
      <c r="CL21" s="248">
        <v>158952.89000000001</v>
      </c>
      <c r="CM21" s="248">
        <v>0</v>
      </c>
    </row>
    <row r="22" spans="1:91" x14ac:dyDescent="0.25">
      <c r="A22" s="231" t="s">
        <v>669</v>
      </c>
      <c r="B22" s="232" t="s">
        <v>670</v>
      </c>
      <c r="C22" s="232" t="s">
        <v>663</v>
      </c>
      <c r="D22" s="233"/>
      <c r="E22" s="234">
        <v>2264.94</v>
      </c>
      <c r="F22" s="235">
        <v>2264.94</v>
      </c>
      <c r="G22" s="236"/>
      <c r="H22" s="237"/>
      <c r="I22" s="238">
        <v>14160.81</v>
      </c>
      <c r="J22" s="239"/>
      <c r="K22" s="240"/>
      <c r="L22" s="8">
        <v>14160.81</v>
      </c>
      <c r="M22" s="241">
        <v>14160.81</v>
      </c>
      <c r="N22" s="71"/>
      <c r="O22" s="100"/>
      <c r="P22" s="9"/>
      <c r="Q22" s="9">
        <v>0</v>
      </c>
      <c r="R22" s="9"/>
      <c r="S22" s="152">
        <v>46053</v>
      </c>
      <c r="T22" s="10"/>
      <c r="U22" s="23"/>
      <c r="V22" s="11"/>
      <c r="W22" s="11"/>
      <c r="X22" s="8">
        <v>14160.81</v>
      </c>
      <c r="Y22" s="9"/>
      <c r="Z22" s="70">
        <v>0</v>
      </c>
      <c r="AA22" s="71"/>
      <c r="AB22" s="108"/>
      <c r="AC22" s="9">
        <v>0</v>
      </c>
      <c r="AD22" s="9"/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/>
      <c r="AM22" s="8">
        <v>14160.81</v>
      </c>
      <c r="AN22" s="9"/>
      <c r="AO22" s="9"/>
      <c r="AP22" s="10"/>
      <c r="AQ22" s="25"/>
      <c r="AR22" s="25"/>
      <c r="AS22" s="25"/>
      <c r="AT22" s="10"/>
      <c r="AU22" s="12">
        <v>0</v>
      </c>
      <c r="AV22" s="12"/>
      <c r="AW22" s="12"/>
      <c r="AX22" s="242"/>
      <c r="AY22" s="243"/>
      <c r="AZ22" s="242"/>
      <c r="BA22" s="242"/>
      <c r="BB22" s="244"/>
      <c r="BC22" s="243" t="s">
        <v>630</v>
      </c>
      <c r="BD22" s="243" t="s">
        <v>630</v>
      </c>
      <c r="BE22" s="15">
        <v>14160.81</v>
      </c>
      <c r="BF22" s="15">
        <v>14160.81</v>
      </c>
      <c r="BG22" s="242">
        <v>0</v>
      </c>
      <c r="BH22" s="15">
        <v>14160.81</v>
      </c>
      <c r="BI22" s="15">
        <v>14160.81</v>
      </c>
      <c r="BJ22" s="242">
        <v>0</v>
      </c>
      <c r="BK22" s="242">
        <v>0</v>
      </c>
      <c r="BL22" s="242"/>
      <c r="BM22" s="242">
        <v>1</v>
      </c>
      <c r="BN22" s="242">
        <v>0</v>
      </c>
      <c r="BO22" s="242">
        <v>0</v>
      </c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45"/>
      <c r="CC22" s="246" t="s">
        <v>637</v>
      </c>
      <c r="CD22" s="242">
        <v>0</v>
      </c>
      <c r="CE22" s="242">
        <v>0</v>
      </c>
      <c r="CF22" s="242">
        <v>0</v>
      </c>
      <c r="CG22" s="242">
        <v>0</v>
      </c>
      <c r="CH22" s="242">
        <v>0</v>
      </c>
      <c r="CI22" s="247" t="s">
        <v>633</v>
      </c>
      <c r="CJ22" s="248">
        <v>14160.81</v>
      </c>
      <c r="CK22" s="248">
        <v>14160.81</v>
      </c>
      <c r="CL22" s="248">
        <v>0</v>
      </c>
      <c r="CM22" s="248">
        <v>0</v>
      </c>
    </row>
    <row r="23" spans="1:91" x14ac:dyDescent="0.25">
      <c r="A23" s="231" t="s">
        <v>671</v>
      </c>
      <c r="B23" s="232" t="s">
        <v>672</v>
      </c>
      <c r="C23" s="232" t="s">
        <v>663</v>
      </c>
      <c r="D23" s="233"/>
      <c r="E23" s="234">
        <v>2888100</v>
      </c>
      <c r="F23" s="235">
        <v>2888100</v>
      </c>
      <c r="G23" s="236"/>
      <c r="H23" s="237"/>
      <c r="I23" s="238">
        <v>2888100</v>
      </c>
      <c r="J23" s="239"/>
      <c r="K23" s="240"/>
      <c r="L23" s="8">
        <v>2678729.86</v>
      </c>
      <c r="M23" s="241">
        <v>2713100</v>
      </c>
      <c r="N23" s="71"/>
      <c r="O23" s="100"/>
      <c r="P23" s="9"/>
      <c r="Q23" s="9">
        <v>175000</v>
      </c>
      <c r="R23" s="9"/>
      <c r="S23" s="152">
        <v>46082</v>
      </c>
      <c r="T23" s="10"/>
      <c r="U23" s="23"/>
      <c r="V23" s="11"/>
      <c r="W23" s="11"/>
      <c r="X23" s="8">
        <v>94989.88</v>
      </c>
      <c r="Y23" s="9"/>
      <c r="Z23" s="70">
        <v>0</v>
      </c>
      <c r="AA23" s="71"/>
      <c r="AB23" s="108"/>
      <c r="AC23" s="9">
        <v>0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94989.88</v>
      </c>
      <c r="AN23" s="9"/>
      <c r="AO23" s="9"/>
      <c r="AP23" s="10"/>
      <c r="AQ23" s="25"/>
      <c r="AR23" s="25"/>
      <c r="AS23" s="25"/>
      <c r="AT23" s="10"/>
      <c r="AU23" s="12">
        <v>101150</v>
      </c>
      <c r="AV23" s="12"/>
      <c r="AW23" s="12"/>
      <c r="AX23" s="242"/>
      <c r="AY23" s="243"/>
      <c r="AZ23" s="242"/>
      <c r="BA23" s="242"/>
      <c r="BB23" s="244"/>
      <c r="BC23" s="243" t="s">
        <v>630</v>
      </c>
      <c r="BD23" s="243" t="s">
        <v>630</v>
      </c>
      <c r="BE23" s="15">
        <v>2888100</v>
      </c>
      <c r="BF23" s="15">
        <v>2713100</v>
      </c>
      <c r="BG23" s="242">
        <v>0</v>
      </c>
      <c r="BH23" s="15">
        <v>2888100</v>
      </c>
      <c r="BI23" s="15">
        <v>2713100</v>
      </c>
      <c r="BJ23" s="242">
        <v>0</v>
      </c>
      <c r="BK23" s="242">
        <v>0</v>
      </c>
      <c r="BL23" s="242"/>
      <c r="BM23" s="242">
        <v>1</v>
      </c>
      <c r="BN23" s="242">
        <v>175000</v>
      </c>
      <c r="BO23" s="242">
        <v>0</v>
      </c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45"/>
      <c r="CC23" s="246" t="s">
        <v>637</v>
      </c>
      <c r="CD23" s="242">
        <v>0</v>
      </c>
      <c r="CE23" s="242">
        <v>0</v>
      </c>
      <c r="CF23" s="242">
        <v>0</v>
      </c>
      <c r="CG23" s="242">
        <v>0</v>
      </c>
      <c r="CH23" s="242">
        <v>0</v>
      </c>
      <c r="CI23" s="247" t="s">
        <v>633</v>
      </c>
      <c r="CJ23" s="248">
        <v>94989.88</v>
      </c>
      <c r="CK23" s="248">
        <v>94989.88</v>
      </c>
      <c r="CL23" s="248">
        <v>101150</v>
      </c>
      <c r="CM23" s="248">
        <v>0</v>
      </c>
    </row>
    <row r="24" spans="1:91" x14ac:dyDescent="0.25">
      <c r="A24" s="231"/>
      <c r="B24" s="120" t="s">
        <v>673</v>
      </c>
      <c r="C24" s="232"/>
      <c r="D24" s="233"/>
      <c r="E24" s="279">
        <f>SUM(E8:E23)</f>
        <v>808048195.79000008</v>
      </c>
      <c r="F24" s="268">
        <f>SUM(F8:F23)</f>
        <v>819319659.6500001</v>
      </c>
      <c r="G24" s="236"/>
      <c r="H24" s="237"/>
      <c r="I24" s="280">
        <f>SUM(I8:I23)</f>
        <v>833690058.07999992</v>
      </c>
      <c r="J24" s="239"/>
      <c r="K24" s="240"/>
      <c r="L24" s="272">
        <f>SUM(L8:L23)</f>
        <v>838979324.75</v>
      </c>
      <c r="M24" s="281">
        <f>SUM(M8:M23)</f>
        <v>803282943.07999992</v>
      </c>
      <c r="N24" s="71"/>
      <c r="O24" s="100"/>
      <c r="P24" s="270">
        <f>SUM(P8:P23)</f>
        <v>0</v>
      </c>
      <c r="Q24" s="270">
        <f>SUM(Q8:Q23)</f>
        <v>31801742.669999998</v>
      </c>
      <c r="R24" s="270">
        <f>SUM(R8:R23)</f>
        <v>0</v>
      </c>
      <c r="S24" s="152"/>
      <c r="T24" s="10"/>
      <c r="U24" s="23"/>
      <c r="V24" s="271">
        <f>SUM(V8:V23)</f>
        <v>0</v>
      </c>
      <c r="W24" s="271">
        <f>SUM(W8:W23)</f>
        <v>0</v>
      </c>
      <c r="X24" s="272">
        <f>SUM(X8:X23)</f>
        <v>620195169.09000003</v>
      </c>
      <c r="Y24" s="270">
        <f>SUM(Y8:Y23)</f>
        <v>0</v>
      </c>
      <c r="Z24" s="282">
        <f>SUM(Z8:Z23)</f>
        <v>21258188.73</v>
      </c>
      <c r="AA24" s="71"/>
      <c r="AB24" s="108"/>
      <c r="AC24" s="270">
        <f>SUM(AC8:AC23)</f>
        <v>22378893.099999998</v>
      </c>
      <c r="AD24" s="270">
        <f>SUM(AD8:AD23)</f>
        <v>0</v>
      </c>
      <c r="AE24" s="10"/>
      <c r="AF24" s="24"/>
      <c r="AG24" s="271">
        <f>SUM(AG8:AG23)</f>
        <v>527190520.63</v>
      </c>
      <c r="AH24" s="272">
        <f>SUM(AH8:AH23)</f>
        <v>505508482.4199999</v>
      </c>
      <c r="AI24" s="270">
        <f>SUM(AI8:AI23)</f>
        <v>21682038.210000005</v>
      </c>
      <c r="AJ24" s="270">
        <f>SUM(AJ8:AJ23)</f>
        <v>21682038.210000005</v>
      </c>
      <c r="AK24" s="10"/>
      <c r="AL24" s="271">
        <f>SUM(AL8:AL23)</f>
        <v>0</v>
      </c>
      <c r="AM24" s="272">
        <f>SUM(AM8:AM23)</f>
        <v>114686686.66999999</v>
      </c>
      <c r="AN24" s="270">
        <f>SUM(AN8:AN23)</f>
        <v>0</v>
      </c>
      <c r="AO24" s="270">
        <f>SUM(AO8:AO23)</f>
        <v>0</v>
      </c>
      <c r="AP24" s="10"/>
      <c r="AQ24" s="283">
        <f>SUM(AQ8:AQ23)</f>
        <v>0</v>
      </c>
      <c r="AR24" s="283">
        <f>SUM(AR8:AR23)</f>
        <v>0</v>
      </c>
      <c r="AS24" s="283">
        <f>SUM(AS8:AS23)</f>
        <v>0</v>
      </c>
      <c r="AT24" s="10"/>
      <c r="AU24" s="284">
        <f>SUM(AU8:AU23)</f>
        <v>635522554.88999999</v>
      </c>
      <c r="AV24" s="284">
        <f>SUM(AV8:AV23)</f>
        <v>0</v>
      </c>
      <c r="AW24" s="284">
        <f>SUM(AW8:AW23)</f>
        <v>0</v>
      </c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120" t="s">
        <v>632</v>
      </c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 t="s">
        <v>674</v>
      </c>
      <c r="B27" s="232" t="s">
        <v>675</v>
      </c>
      <c r="C27" s="232" t="s">
        <v>660</v>
      </c>
      <c r="D27" s="233"/>
      <c r="E27" s="234">
        <v>2273682.69</v>
      </c>
      <c r="F27" s="235">
        <v>2273682.69</v>
      </c>
      <c r="G27" s="236"/>
      <c r="H27" s="237"/>
      <c r="I27" s="238">
        <v>2273682.69</v>
      </c>
      <c r="J27" s="239"/>
      <c r="K27" s="240"/>
      <c r="L27" s="8">
        <v>1665145.3</v>
      </c>
      <c r="M27" s="241">
        <v>1665145.3</v>
      </c>
      <c r="N27" s="71"/>
      <c r="O27" s="100"/>
      <c r="P27" s="9"/>
      <c r="Q27" s="9">
        <v>608537.3899999999</v>
      </c>
      <c r="R27" s="9"/>
      <c r="S27" s="152">
        <v>45808</v>
      </c>
      <c r="T27" s="10"/>
      <c r="U27" s="23"/>
      <c r="V27" s="11"/>
      <c r="W27" s="11"/>
      <c r="X27" s="8">
        <v>1665145.3</v>
      </c>
      <c r="Y27" s="9"/>
      <c r="Z27" s="70">
        <v>608537.39</v>
      </c>
      <c r="AA27" s="71"/>
      <c r="AB27" s="108"/>
      <c r="AC27" s="9">
        <v>608537.39</v>
      </c>
      <c r="AD27" s="9"/>
      <c r="AE27" s="10"/>
      <c r="AF27" s="24">
        <v>0.94357816196235211</v>
      </c>
      <c r="AG27" s="11">
        <v>2145397.33</v>
      </c>
      <c r="AH27" s="8">
        <v>1665145.3</v>
      </c>
      <c r="AI27" s="9">
        <v>480252.03</v>
      </c>
      <c r="AJ27" s="9">
        <v>480252.03</v>
      </c>
      <c r="AK27" s="10"/>
      <c r="AL27" s="11"/>
      <c r="AM27" s="8">
        <v>0</v>
      </c>
      <c r="AN27" s="9"/>
      <c r="AO27" s="9"/>
      <c r="AP27" s="10"/>
      <c r="AQ27" s="25"/>
      <c r="AR27" s="25"/>
      <c r="AS27" s="25"/>
      <c r="AT27" s="10"/>
      <c r="AU27" s="12">
        <v>2273682.69</v>
      </c>
      <c r="AV27" s="12"/>
      <c r="AW27" s="12"/>
      <c r="AX27" s="242"/>
      <c r="AY27" s="243"/>
      <c r="AZ27" s="242"/>
      <c r="BA27" s="242"/>
      <c r="BB27" s="244"/>
      <c r="BC27" s="243" t="s">
        <v>630</v>
      </c>
      <c r="BD27" s="243" t="s">
        <v>630</v>
      </c>
      <c r="BE27" s="15">
        <v>2273682.69</v>
      </c>
      <c r="BF27" s="15">
        <v>1665145.3</v>
      </c>
      <c r="BG27" s="15">
        <v>608537.39</v>
      </c>
      <c r="BH27" s="15">
        <v>2273682.69</v>
      </c>
      <c r="BI27" s="15">
        <v>1665145.3</v>
      </c>
      <c r="BJ27" s="242">
        <v>0</v>
      </c>
      <c r="BK27" s="242">
        <v>608537.39</v>
      </c>
      <c r="BL27" s="242"/>
      <c r="BM27" s="242">
        <v>2</v>
      </c>
      <c r="BN27" s="242">
        <v>608537.3899999999</v>
      </c>
      <c r="BO27" s="242">
        <v>608537.3899999999</v>
      </c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94">
        <v>608537.39</v>
      </c>
      <c r="CC27" s="246" t="s">
        <v>637</v>
      </c>
      <c r="CD27" s="242">
        <v>0</v>
      </c>
      <c r="CE27" s="242">
        <v>2145396.9700000002</v>
      </c>
      <c r="CF27" s="242">
        <v>1764713.69</v>
      </c>
      <c r="CG27" s="242">
        <v>2145396.9700000002</v>
      </c>
      <c r="CH27" s="242">
        <v>1764713.69</v>
      </c>
      <c r="CI27" s="247" t="s">
        <v>633</v>
      </c>
      <c r="CJ27" s="248">
        <v>1665145.3</v>
      </c>
      <c r="CK27" s="248">
        <v>0</v>
      </c>
      <c r="CL27" s="248">
        <v>2273682.69</v>
      </c>
      <c r="CM27" s="248">
        <v>0</v>
      </c>
    </row>
    <row r="28" spans="1:91" x14ac:dyDescent="0.25">
      <c r="A28" s="231" t="s">
        <v>676</v>
      </c>
      <c r="B28" s="232" t="s">
        <v>677</v>
      </c>
      <c r="C28" s="232" t="s">
        <v>666</v>
      </c>
      <c r="D28" s="233"/>
      <c r="E28" s="234">
        <v>4072535</v>
      </c>
      <c r="F28" s="235">
        <v>4072535</v>
      </c>
      <c r="G28" s="236"/>
      <c r="H28" s="237"/>
      <c r="I28" s="238">
        <v>4046200</v>
      </c>
      <c r="J28" s="239"/>
      <c r="K28" s="240"/>
      <c r="L28" s="8">
        <v>3349995.73</v>
      </c>
      <c r="M28" s="241">
        <v>3321856.36</v>
      </c>
      <c r="N28" s="239"/>
      <c r="O28" s="240"/>
      <c r="P28" s="9"/>
      <c r="Q28" s="9">
        <v>724343.64000000013</v>
      </c>
      <c r="R28" s="9"/>
      <c r="S28" s="152">
        <v>45747</v>
      </c>
      <c r="T28" s="10"/>
      <c r="U28" s="23"/>
      <c r="V28" s="11"/>
      <c r="W28" s="11"/>
      <c r="X28" s="8">
        <v>3321856.36</v>
      </c>
      <c r="Y28" s="9"/>
      <c r="Z28" s="70">
        <v>724343.64</v>
      </c>
      <c r="AA28" s="71"/>
      <c r="AB28" s="108"/>
      <c r="AC28" s="9">
        <v>724343.64</v>
      </c>
      <c r="AD28" s="9"/>
      <c r="AE28" s="10"/>
      <c r="AF28" s="24">
        <v>0.96601137753156663</v>
      </c>
      <c r="AG28" s="11">
        <v>3934115.15</v>
      </c>
      <c r="AH28" s="8">
        <v>3306207.75</v>
      </c>
      <c r="AI28" s="9">
        <v>627907.4</v>
      </c>
      <c r="AJ28" s="9">
        <v>627907.4</v>
      </c>
      <c r="AK28" s="10"/>
      <c r="AL28" s="11"/>
      <c r="AM28" s="8">
        <v>15648.61</v>
      </c>
      <c r="AN28" s="9"/>
      <c r="AO28" s="9"/>
      <c r="AP28" s="10"/>
      <c r="AQ28" s="25"/>
      <c r="AR28" s="25"/>
      <c r="AS28" s="25"/>
      <c r="AT28" s="10"/>
      <c r="AU28" s="12">
        <v>4046200</v>
      </c>
      <c r="AV28" s="12"/>
      <c r="AW28" s="12"/>
      <c r="AX28" s="242"/>
      <c r="AY28" s="243"/>
      <c r="AZ28" s="242"/>
      <c r="BA28" s="242"/>
      <c r="BB28" s="244"/>
      <c r="BC28" s="243" t="s">
        <v>630</v>
      </c>
      <c r="BD28" s="243" t="s">
        <v>630</v>
      </c>
      <c r="BE28" s="15">
        <v>4046200</v>
      </c>
      <c r="BF28" s="15">
        <v>3321856.36</v>
      </c>
      <c r="BG28" s="15">
        <v>724343.64</v>
      </c>
      <c r="BH28" s="15">
        <v>4046200</v>
      </c>
      <c r="BI28" s="15">
        <v>3321856.36</v>
      </c>
      <c r="BJ28" s="242">
        <v>0</v>
      </c>
      <c r="BK28" s="242">
        <v>724343.64</v>
      </c>
      <c r="BL28" s="242"/>
      <c r="BM28" s="242">
        <v>2</v>
      </c>
      <c r="BN28" s="242">
        <v>724343.64000000013</v>
      </c>
      <c r="BO28" s="242">
        <v>724343.64000000013</v>
      </c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94">
        <v>724343.64</v>
      </c>
      <c r="CC28" s="246" t="s">
        <v>637</v>
      </c>
      <c r="CD28" s="242">
        <v>0</v>
      </c>
      <c r="CE28" s="242">
        <v>3934113.61</v>
      </c>
      <c r="CF28" s="242">
        <v>3422535</v>
      </c>
      <c r="CG28" s="242">
        <v>3934113.61</v>
      </c>
      <c r="CH28" s="242">
        <v>3422535</v>
      </c>
      <c r="CI28" s="247" t="s">
        <v>633</v>
      </c>
      <c r="CJ28" s="248">
        <v>3321856.36</v>
      </c>
      <c r="CK28" s="248">
        <v>15648.61</v>
      </c>
      <c r="CL28" s="248">
        <v>4046200</v>
      </c>
      <c r="CM28" s="248">
        <v>0</v>
      </c>
    </row>
    <row r="29" spans="1:91" x14ac:dyDescent="0.25">
      <c r="A29" s="231" t="s">
        <v>678</v>
      </c>
      <c r="B29" s="232" t="s">
        <v>679</v>
      </c>
      <c r="C29" s="232" t="s">
        <v>680</v>
      </c>
      <c r="D29" s="233"/>
      <c r="E29" s="234">
        <v>0</v>
      </c>
      <c r="F29" s="235">
        <v>0</v>
      </c>
      <c r="G29" s="236"/>
      <c r="H29" s="237"/>
      <c r="I29" s="238">
        <v>34207.53</v>
      </c>
      <c r="J29" s="239"/>
      <c r="K29" s="240"/>
      <c r="L29" s="8">
        <v>145534.28</v>
      </c>
      <c r="M29" s="241">
        <v>32500.86</v>
      </c>
      <c r="N29" s="71"/>
      <c r="O29" s="100"/>
      <c r="P29" s="9"/>
      <c r="Q29" s="9">
        <v>2206.2199999999975</v>
      </c>
      <c r="R29" s="9"/>
      <c r="S29" s="152">
        <v>45930</v>
      </c>
      <c r="T29" s="10"/>
      <c r="U29" s="23"/>
      <c r="V29" s="11"/>
      <c r="W29" s="11"/>
      <c r="X29" s="8">
        <v>32500.86</v>
      </c>
      <c r="Y29" s="9"/>
      <c r="Z29" s="70">
        <v>1706.67</v>
      </c>
      <c r="AA29" s="71"/>
      <c r="AB29" s="108"/>
      <c r="AC29" s="9">
        <v>2206.2199999999998</v>
      </c>
      <c r="AD29" s="9"/>
      <c r="AE29" s="10"/>
      <c r="AF29" s="24">
        <v>1</v>
      </c>
      <c r="AG29" s="11">
        <v>34207.53</v>
      </c>
      <c r="AH29" s="8">
        <v>26100.05</v>
      </c>
      <c r="AI29" s="9">
        <v>8107.48</v>
      </c>
      <c r="AJ29" s="9">
        <v>8107.48</v>
      </c>
      <c r="AK29" s="10"/>
      <c r="AL29" s="11"/>
      <c r="AM29" s="8">
        <v>6400.81</v>
      </c>
      <c r="AN29" s="9"/>
      <c r="AO29" s="9"/>
      <c r="AP29" s="10"/>
      <c r="AQ29" s="25"/>
      <c r="AR29" s="25"/>
      <c r="AS29" s="25"/>
      <c r="AT29" s="10"/>
      <c r="AU29" s="12">
        <v>34207.53</v>
      </c>
      <c r="AV29" s="12"/>
      <c r="AW29" s="12"/>
      <c r="AX29" s="242"/>
      <c r="AY29" s="243"/>
      <c r="AZ29" s="242"/>
      <c r="BA29" s="242"/>
      <c r="BB29" s="244"/>
      <c r="BC29" s="243" t="s">
        <v>630</v>
      </c>
      <c r="BD29" s="243" t="s">
        <v>630</v>
      </c>
      <c r="BE29" s="15">
        <v>34207.53</v>
      </c>
      <c r="BF29" s="15">
        <v>32500.86</v>
      </c>
      <c r="BG29" s="15">
        <v>1706.67</v>
      </c>
      <c r="BH29" s="15">
        <v>34207.53</v>
      </c>
      <c r="BI29" s="15">
        <v>32500.86</v>
      </c>
      <c r="BJ29" s="242">
        <v>0</v>
      </c>
      <c r="BK29" s="242">
        <v>2206.2199999999998</v>
      </c>
      <c r="BL29" s="242"/>
      <c r="BM29" s="242">
        <v>2</v>
      </c>
      <c r="BN29" s="242">
        <v>2206.2199999999975</v>
      </c>
      <c r="BO29" s="242">
        <v>4433.6399999999994</v>
      </c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94">
        <v>1706.67</v>
      </c>
      <c r="CC29" s="246" t="s">
        <v>637</v>
      </c>
      <c r="CD29" s="242">
        <v>0</v>
      </c>
      <c r="CE29" s="242">
        <v>0</v>
      </c>
      <c r="CF29" s="242">
        <v>26100.05</v>
      </c>
      <c r="CG29" s="242">
        <v>0</v>
      </c>
      <c r="CH29" s="242">
        <v>26100.05</v>
      </c>
      <c r="CI29" s="247" t="s">
        <v>633</v>
      </c>
      <c r="CJ29" s="248">
        <v>32500.86</v>
      </c>
      <c r="CK29" s="248">
        <v>6400.81</v>
      </c>
      <c r="CL29" s="248">
        <v>34207.53</v>
      </c>
      <c r="CM29" s="248">
        <v>0</v>
      </c>
    </row>
    <row r="30" spans="1:91" x14ac:dyDescent="0.25">
      <c r="A30" s="231" t="s">
        <v>681</v>
      </c>
      <c r="B30" s="232" t="s">
        <v>682</v>
      </c>
      <c r="C30" s="232" t="s">
        <v>663</v>
      </c>
      <c r="D30" s="233"/>
      <c r="E30" s="234">
        <v>184577.17</v>
      </c>
      <c r="F30" s="235">
        <v>184577.17</v>
      </c>
      <c r="G30" s="236"/>
      <c r="H30" s="237"/>
      <c r="I30" s="238">
        <v>184557.17</v>
      </c>
      <c r="J30" s="239"/>
      <c r="K30" s="240"/>
      <c r="L30" s="8">
        <v>48293.94</v>
      </c>
      <c r="M30" s="241">
        <v>48293.94</v>
      </c>
      <c r="N30" s="71"/>
      <c r="O30" s="100"/>
      <c r="P30" s="9"/>
      <c r="Q30" s="9">
        <v>136263.23000000001</v>
      </c>
      <c r="R30" s="9"/>
      <c r="S30" s="152">
        <v>45747</v>
      </c>
      <c r="T30" s="10"/>
      <c r="U30" s="23"/>
      <c r="V30" s="11"/>
      <c r="W30" s="11"/>
      <c r="X30" s="8">
        <v>48293.94</v>
      </c>
      <c r="Y30" s="9"/>
      <c r="Z30" s="70">
        <v>136263.23000000001</v>
      </c>
      <c r="AA30" s="71"/>
      <c r="AB30" s="108"/>
      <c r="AC30" s="9">
        <v>136263.23000000001</v>
      </c>
      <c r="AD30" s="9"/>
      <c r="AE30" s="10"/>
      <c r="AF30" s="24">
        <v>0.7306524742527003</v>
      </c>
      <c r="AG30" s="11">
        <v>147591.79999999999</v>
      </c>
      <c r="AH30" s="8">
        <v>46539.64</v>
      </c>
      <c r="AI30" s="9">
        <v>101052.16</v>
      </c>
      <c r="AJ30" s="9">
        <v>101052.16</v>
      </c>
      <c r="AK30" s="10"/>
      <c r="AL30" s="11"/>
      <c r="AM30" s="8">
        <v>1754.3</v>
      </c>
      <c r="AN30" s="9"/>
      <c r="AO30" s="9"/>
      <c r="AP30" s="10"/>
      <c r="AQ30" s="25"/>
      <c r="AR30" s="25"/>
      <c r="AS30" s="25"/>
      <c r="AT30" s="10"/>
      <c r="AU30" s="12">
        <v>184557.17</v>
      </c>
      <c r="AV30" s="12"/>
      <c r="AW30" s="12"/>
      <c r="AX30" s="242"/>
      <c r="AY30" s="243"/>
      <c r="AZ30" s="242"/>
      <c r="BA30" s="242"/>
      <c r="BB30" s="244"/>
      <c r="BC30" s="243" t="s">
        <v>630</v>
      </c>
      <c r="BD30" s="243" t="s">
        <v>630</v>
      </c>
      <c r="BE30" s="15">
        <v>184557.17</v>
      </c>
      <c r="BF30" s="15">
        <v>48293.94</v>
      </c>
      <c r="BG30" s="15">
        <v>136263.23000000001</v>
      </c>
      <c r="BH30" s="15">
        <v>184557.17</v>
      </c>
      <c r="BI30" s="15">
        <v>48293.94</v>
      </c>
      <c r="BJ30" s="242">
        <v>0</v>
      </c>
      <c r="BK30" s="242">
        <v>136263.23000000001</v>
      </c>
      <c r="BL30" s="242"/>
      <c r="BM30" s="242">
        <v>2</v>
      </c>
      <c r="BN30" s="242">
        <v>136263.23000000001</v>
      </c>
      <c r="BO30" s="242">
        <v>136263.23000000001</v>
      </c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94">
        <v>136263.23000000001</v>
      </c>
      <c r="CC30" s="246" t="s">
        <v>637</v>
      </c>
      <c r="CD30" s="242">
        <v>0</v>
      </c>
      <c r="CE30" s="242">
        <v>134861.68</v>
      </c>
      <c r="CF30" s="242">
        <v>63696</v>
      </c>
      <c r="CG30" s="242">
        <v>134861.68</v>
      </c>
      <c r="CH30" s="242">
        <v>63696</v>
      </c>
      <c r="CI30" s="247" t="s">
        <v>633</v>
      </c>
      <c r="CJ30" s="248">
        <v>48293.94</v>
      </c>
      <c r="CK30" s="248">
        <v>1754.3</v>
      </c>
      <c r="CL30" s="248">
        <v>184557.17</v>
      </c>
      <c r="CM30" s="248">
        <v>0</v>
      </c>
    </row>
    <row r="31" spans="1:91" x14ac:dyDescent="0.25">
      <c r="A31" s="231" t="s">
        <v>683</v>
      </c>
      <c r="B31" s="232" t="s">
        <v>684</v>
      </c>
      <c r="C31" s="232" t="s">
        <v>663</v>
      </c>
      <c r="D31" s="233"/>
      <c r="E31" s="234">
        <v>322982.96000000002</v>
      </c>
      <c r="F31" s="235">
        <v>322982.96000000002</v>
      </c>
      <c r="G31" s="236"/>
      <c r="H31" s="237"/>
      <c r="I31" s="238">
        <v>322982.96000000002</v>
      </c>
      <c r="J31" s="239"/>
      <c r="K31" s="240"/>
      <c r="L31" s="8">
        <v>283682.84999999998</v>
      </c>
      <c r="M31" s="241">
        <v>284221.86</v>
      </c>
      <c r="N31" s="71"/>
      <c r="O31" s="100"/>
      <c r="P31" s="9"/>
      <c r="Q31" s="9">
        <v>38761.100000000035</v>
      </c>
      <c r="R31" s="9"/>
      <c r="S31" s="152">
        <v>45808</v>
      </c>
      <c r="T31" s="10"/>
      <c r="U31" s="23"/>
      <c r="V31" s="11"/>
      <c r="W31" s="11"/>
      <c r="X31" s="8">
        <v>284221.86</v>
      </c>
      <c r="Y31" s="9"/>
      <c r="Z31" s="70">
        <v>38761.1</v>
      </c>
      <c r="AA31" s="71"/>
      <c r="AB31" s="108"/>
      <c r="AC31" s="9">
        <v>38761.1</v>
      </c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284221.86</v>
      </c>
      <c r="AN31" s="9"/>
      <c r="AO31" s="9"/>
      <c r="AP31" s="10"/>
      <c r="AQ31" s="25"/>
      <c r="AR31" s="25"/>
      <c r="AS31" s="25"/>
      <c r="AT31" s="10"/>
      <c r="AU31" s="12">
        <v>322982.96000000002</v>
      </c>
      <c r="AV31" s="12"/>
      <c r="AW31" s="12"/>
      <c r="AX31" s="242"/>
      <c r="AY31" s="243"/>
      <c r="AZ31" s="242"/>
      <c r="BA31" s="242"/>
      <c r="BB31" s="244"/>
      <c r="BC31" s="243" t="s">
        <v>630</v>
      </c>
      <c r="BD31" s="243" t="s">
        <v>630</v>
      </c>
      <c r="BE31" s="15">
        <v>322982.96000000002</v>
      </c>
      <c r="BF31" s="15">
        <v>284221.86</v>
      </c>
      <c r="BG31" s="15">
        <v>38761.1</v>
      </c>
      <c r="BH31" s="15">
        <v>322982.96000000002</v>
      </c>
      <c r="BI31" s="15">
        <v>284221.86</v>
      </c>
      <c r="BJ31" s="242">
        <v>0</v>
      </c>
      <c r="BK31" s="242">
        <v>38761.1</v>
      </c>
      <c r="BL31" s="242"/>
      <c r="BM31" s="242">
        <v>2</v>
      </c>
      <c r="BN31" s="242">
        <v>38761.100000000035</v>
      </c>
      <c r="BO31" s="242">
        <v>38761.100000000035</v>
      </c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94">
        <v>38761.1</v>
      </c>
      <c r="CC31" s="246" t="s">
        <v>637</v>
      </c>
      <c r="CD31" s="242">
        <v>0</v>
      </c>
      <c r="CE31" s="242">
        <v>0</v>
      </c>
      <c r="CF31" s="242">
        <v>0</v>
      </c>
      <c r="CG31" s="242">
        <v>0</v>
      </c>
      <c r="CH31" s="242">
        <v>0</v>
      </c>
      <c r="CI31" s="247" t="s">
        <v>633</v>
      </c>
      <c r="CJ31" s="248">
        <v>284221.86</v>
      </c>
      <c r="CK31" s="248">
        <v>284221.86</v>
      </c>
      <c r="CL31" s="248">
        <v>322982.96000000002</v>
      </c>
      <c r="CM31" s="248">
        <v>0</v>
      </c>
    </row>
    <row r="32" spans="1:91" x14ac:dyDescent="0.25">
      <c r="A32" s="231" t="s">
        <v>685</v>
      </c>
      <c r="B32" s="232" t="s">
        <v>686</v>
      </c>
      <c r="C32" s="232" t="s">
        <v>680</v>
      </c>
      <c r="D32" s="233"/>
      <c r="E32" s="234">
        <v>0</v>
      </c>
      <c r="F32" s="235">
        <v>0</v>
      </c>
      <c r="G32" s="236"/>
      <c r="H32" s="237"/>
      <c r="I32" s="238">
        <v>0</v>
      </c>
      <c r="J32" s="239"/>
      <c r="K32" s="240"/>
      <c r="L32" s="8">
        <v>1958826.45</v>
      </c>
      <c r="M32" s="241">
        <v>1958826.45</v>
      </c>
      <c r="N32" s="71"/>
      <c r="O32" s="100"/>
      <c r="P32" s="9"/>
      <c r="Q32" s="9">
        <v>-1803846.56</v>
      </c>
      <c r="R32" s="9"/>
      <c r="S32" s="152">
        <v>46022</v>
      </c>
      <c r="T32" s="10"/>
      <c r="U32" s="23"/>
      <c r="V32" s="11"/>
      <c r="W32" s="11"/>
      <c r="X32" s="8">
        <v>1958826.45</v>
      </c>
      <c r="Y32" s="9"/>
      <c r="Z32" s="70">
        <v>-1958826.45</v>
      </c>
      <c r="AA32" s="71"/>
      <c r="AB32" s="108"/>
      <c r="AC32" s="9">
        <v>-1803846.56</v>
      </c>
      <c r="AD32" s="9"/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/>
      <c r="AM32" s="8">
        <v>1958826.45</v>
      </c>
      <c r="AN32" s="9"/>
      <c r="AO32" s="9"/>
      <c r="AP32" s="10"/>
      <c r="AQ32" s="25"/>
      <c r="AR32" s="25"/>
      <c r="AS32" s="25"/>
      <c r="AT32" s="10"/>
      <c r="AU32" s="12">
        <v>0</v>
      </c>
      <c r="AV32" s="12"/>
      <c r="AW32" s="12"/>
      <c r="AX32" s="242"/>
      <c r="AY32" s="243"/>
      <c r="AZ32" s="242"/>
      <c r="BA32" s="242"/>
      <c r="BB32" s="244"/>
      <c r="BC32" s="243" t="s">
        <v>630</v>
      </c>
      <c r="BD32" s="243" t="s">
        <v>630</v>
      </c>
      <c r="BE32" s="15">
        <v>0</v>
      </c>
      <c r="BF32" s="15">
        <v>1958826.45</v>
      </c>
      <c r="BG32" s="15">
        <v>-1958826.45</v>
      </c>
      <c r="BH32" s="15">
        <v>0</v>
      </c>
      <c r="BI32" s="15">
        <v>1958826.45</v>
      </c>
      <c r="BJ32" s="242">
        <v>0</v>
      </c>
      <c r="BK32" s="242">
        <v>-1803846.56</v>
      </c>
      <c r="BL32" s="242"/>
      <c r="BM32" s="242">
        <v>2</v>
      </c>
      <c r="BN32" s="242">
        <v>-1803846.56</v>
      </c>
      <c r="BO32" s="242">
        <v>-1467373.49</v>
      </c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94">
        <v>-1958826.45</v>
      </c>
      <c r="CC32" s="246" t="s">
        <v>637</v>
      </c>
      <c r="CD32" s="242">
        <v>0</v>
      </c>
      <c r="CE32" s="242">
        <v>0</v>
      </c>
      <c r="CF32" s="242">
        <v>0</v>
      </c>
      <c r="CG32" s="242">
        <v>0</v>
      </c>
      <c r="CH32" s="242">
        <v>0</v>
      </c>
      <c r="CI32" s="247" t="s">
        <v>633</v>
      </c>
      <c r="CJ32" s="248">
        <v>1958826.45</v>
      </c>
      <c r="CK32" s="248">
        <v>1958826.45</v>
      </c>
      <c r="CL32" s="248">
        <v>0</v>
      </c>
      <c r="CM32" s="248">
        <v>0</v>
      </c>
    </row>
    <row r="33" spans="1:91" x14ac:dyDescent="0.25">
      <c r="A33" s="231" t="s">
        <v>687</v>
      </c>
      <c r="B33" s="232" t="s">
        <v>688</v>
      </c>
      <c r="C33" s="232" t="s">
        <v>680</v>
      </c>
      <c r="D33" s="233"/>
      <c r="E33" s="234">
        <v>0</v>
      </c>
      <c r="F33" s="235">
        <v>0</v>
      </c>
      <c r="G33" s="236"/>
      <c r="H33" s="237"/>
      <c r="I33" s="238">
        <v>0</v>
      </c>
      <c r="J33" s="239"/>
      <c r="K33" s="240"/>
      <c r="L33" s="8">
        <v>475814.03</v>
      </c>
      <c r="M33" s="241">
        <v>475814.03</v>
      </c>
      <c r="N33" s="71"/>
      <c r="O33" s="100"/>
      <c r="P33" s="9"/>
      <c r="Q33" s="9">
        <v>-456056.35</v>
      </c>
      <c r="R33" s="9"/>
      <c r="S33" s="152">
        <v>46022</v>
      </c>
      <c r="T33" s="10"/>
      <c r="U33" s="23"/>
      <c r="V33" s="11"/>
      <c r="W33" s="11"/>
      <c r="X33" s="8">
        <v>475814.03</v>
      </c>
      <c r="Y33" s="9"/>
      <c r="Z33" s="70">
        <v>-475814.03</v>
      </c>
      <c r="AA33" s="71"/>
      <c r="AB33" s="108"/>
      <c r="AC33" s="9">
        <v>-456056.35</v>
      </c>
      <c r="AD33" s="9"/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/>
      <c r="AM33" s="8">
        <v>475814.03</v>
      </c>
      <c r="AN33" s="9"/>
      <c r="AO33" s="9"/>
      <c r="AP33" s="10"/>
      <c r="AQ33" s="25"/>
      <c r="AR33" s="25"/>
      <c r="AS33" s="25"/>
      <c r="AT33" s="10"/>
      <c r="AU33" s="12">
        <v>0</v>
      </c>
      <c r="AV33" s="12"/>
      <c r="AW33" s="12"/>
      <c r="AX33" s="242"/>
      <c r="AY33" s="243"/>
      <c r="AZ33" s="242"/>
      <c r="BA33" s="242"/>
      <c r="BB33" s="244"/>
      <c r="BC33" s="243" t="s">
        <v>630</v>
      </c>
      <c r="BD33" s="243" t="s">
        <v>630</v>
      </c>
      <c r="BE33" s="15">
        <v>0</v>
      </c>
      <c r="BF33" s="15">
        <v>475814.03</v>
      </c>
      <c r="BG33" s="15">
        <v>-475814.03</v>
      </c>
      <c r="BH33" s="15">
        <v>0</v>
      </c>
      <c r="BI33" s="15">
        <v>475814.03</v>
      </c>
      <c r="BJ33" s="242">
        <v>0</v>
      </c>
      <c r="BK33" s="242">
        <v>-456056.35</v>
      </c>
      <c r="BL33" s="242"/>
      <c r="BM33" s="242">
        <v>2</v>
      </c>
      <c r="BN33" s="242">
        <v>-456056.35</v>
      </c>
      <c r="BO33" s="242">
        <v>-397825.87</v>
      </c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94">
        <v>-475814.03</v>
      </c>
      <c r="CC33" s="246" t="s">
        <v>637</v>
      </c>
      <c r="CD33" s="242">
        <v>0</v>
      </c>
      <c r="CE33" s="242">
        <v>0</v>
      </c>
      <c r="CF33" s="242">
        <v>0</v>
      </c>
      <c r="CG33" s="242">
        <v>0</v>
      </c>
      <c r="CH33" s="242">
        <v>0</v>
      </c>
      <c r="CI33" s="247" t="s">
        <v>633</v>
      </c>
      <c r="CJ33" s="248">
        <v>475814.03</v>
      </c>
      <c r="CK33" s="248">
        <v>475814.03</v>
      </c>
      <c r="CL33" s="248">
        <v>0</v>
      </c>
      <c r="CM33" s="248">
        <v>0</v>
      </c>
    </row>
    <row r="34" spans="1:91" x14ac:dyDescent="0.25">
      <c r="A34" s="231"/>
      <c r="B34" s="120" t="s">
        <v>689</v>
      </c>
      <c r="C34" s="232"/>
      <c r="D34" s="233"/>
      <c r="E34" s="279">
        <f>SUM(E26:E33)</f>
        <v>6853777.8199999994</v>
      </c>
      <c r="F34" s="268">
        <f>SUM(F26:F33)</f>
        <v>6853777.8199999994</v>
      </c>
      <c r="G34" s="236"/>
      <c r="H34" s="237"/>
      <c r="I34" s="280">
        <f>SUM(I26:I33)</f>
        <v>6861630.3499999996</v>
      </c>
      <c r="J34" s="239"/>
      <c r="K34" s="240"/>
      <c r="L34" s="272">
        <f>SUM(L26:L33)</f>
        <v>7927292.580000001</v>
      </c>
      <c r="M34" s="281">
        <f>SUM(M26:M33)</f>
        <v>7786658.8000000017</v>
      </c>
      <c r="N34" s="71"/>
      <c r="O34" s="100"/>
      <c r="P34" s="270">
        <f>SUM(P26:P33)</f>
        <v>0</v>
      </c>
      <c r="Q34" s="270">
        <f>SUM(Q26:Q33)</f>
        <v>-749791.33</v>
      </c>
      <c r="R34" s="270">
        <f>SUM(R26:R33)</f>
        <v>0</v>
      </c>
      <c r="S34" s="152"/>
      <c r="T34" s="10"/>
      <c r="U34" s="23"/>
      <c r="V34" s="271">
        <f>SUM(V26:V33)</f>
        <v>0</v>
      </c>
      <c r="W34" s="271">
        <f>SUM(W26:W33)</f>
        <v>0</v>
      </c>
      <c r="X34" s="272">
        <f>SUM(X26:X33)</f>
        <v>7786658.8000000017</v>
      </c>
      <c r="Y34" s="270">
        <f>SUM(Y26:Y33)</f>
        <v>0</v>
      </c>
      <c r="Z34" s="282">
        <f>SUM(Z26:Z33)</f>
        <v>-925028.45</v>
      </c>
      <c r="AA34" s="71"/>
      <c r="AB34" s="108"/>
      <c r="AC34" s="270">
        <f>SUM(AC26:AC33)</f>
        <v>-749791.33</v>
      </c>
      <c r="AD34" s="270">
        <f>SUM(AD26:AD33)</f>
        <v>0</v>
      </c>
      <c r="AE34" s="10"/>
      <c r="AF34" s="24"/>
      <c r="AG34" s="271">
        <f>SUM(AG26:AG33)</f>
        <v>6261311.8100000005</v>
      </c>
      <c r="AH34" s="272">
        <f>SUM(AH26:AH33)</f>
        <v>5043992.7399999993</v>
      </c>
      <c r="AI34" s="270">
        <f>SUM(AI26:AI33)</f>
        <v>1217319.07</v>
      </c>
      <c r="AJ34" s="270">
        <f>SUM(AJ26:AJ33)</f>
        <v>1217319.07</v>
      </c>
      <c r="AK34" s="10"/>
      <c r="AL34" s="271">
        <f>SUM(AL26:AL33)</f>
        <v>0</v>
      </c>
      <c r="AM34" s="272">
        <f>SUM(AM26:AM33)</f>
        <v>2742666.0599999996</v>
      </c>
      <c r="AN34" s="270">
        <f>SUM(AN26:AN33)</f>
        <v>0</v>
      </c>
      <c r="AO34" s="270">
        <f>SUM(AO26:AO33)</f>
        <v>0</v>
      </c>
      <c r="AP34" s="10"/>
      <c r="AQ34" s="283">
        <f>SUM(AQ26:AQ33)</f>
        <v>0</v>
      </c>
      <c r="AR34" s="283">
        <f>SUM(AR26:AR33)</f>
        <v>0</v>
      </c>
      <c r="AS34" s="283">
        <f>SUM(AS26:AS33)</f>
        <v>0</v>
      </c>
      <c r="AT34" s="10"/>
      <c r="AU34" s="284">
        <f>SUM(AU26:AU33)</f>
        <v>6861630.3499999996</v>
      </c>
      <c r="AV34" s="284">
        <f>SUM(AV26:AV33)</f>
        <v>0</v>
      </c>
      <c r="AW34" s="284">
        <f>SUM(AW26:AW33)</f>
        <v>0</v>
      </c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120" t="s">
        <v>690</v>
      </c>
      <c r="C36" s="232"/>
      <c r="D36" s="233"/>
      <c r="E36" s="279">
        <f>SUM(E7:E35)/2</f>
        <v>814901973.61000013</v>
      </c>
      <c r="F36" s="268">
        <f>SUM(F7:F35)/2</f>
        <v>826173437.47000015</v>
      </c>
      <c r="G36" s="236"/>
      <c r="H36" s="237"/>
      <c r="I36" s="280">
        <f>SUM(I7:I35)/2</f>
        <v>840551688.42999995</v>
      </c>
      <c r="J36" s="239"/>
      <c r="K36" s="240"/>
      <c r="L36" s="272">
        <f>SUM(L7:L35)/2</f>
        <v>846906617.32999992</v>
      </c>
      <c r="M36" s="281">
        <f>SUM(M7:M35)/2</f>
        <v>811069601.87999976</v>
      </c>
      <c r="N36" s="71"/>
      <c r="O36" s="100"/>
      <c r="P36" s="270">
        <f>SUM(P7:P35)/2</f>
        <v>0</v>
      </c>
      <c r="Q36" s="270">
        <f>SUM(Q7:Q35)/2</f>
        <v>31051951.339999996</v>
      </c>
      <c r="R36" s="270">
        <f>SUM(R7:R35)/2</f>
        <v>0</v>
      </c>
      <c r="S36" s="152"/>
      <c r="T36" s="10"/>
      <c r="U36" s="23"/>
      <c r="V36" s="271">
        <f>SUM(V7:V35)/2</f>
        <v>0</v>
      </c>
      <c r="W36" s="271">
        <f>SUM(W7:W35)/2</f>
        <v>0</v>
      </c>
      <c r="X36" s="272">
        <f>SUM(X7:X35)/2</f>
        <v>627981827.88999987</v>
      </c>
      <c r="Y36" s="270">
        <f>SUM(Y7:Y35)/2</f>
        <v>0</v>
      </c>
      <c r="Z36" s="282">
        <f>SUM(Z7:Z35)/2</f>
        <v>20333160.279999997</v>
      </c>
      <c r="AA36" s="71"/>
      <c r="AB36" s="108"/>
      <c r="AC36" s="270">
        <f>SUM(AC7:AC35)/2</f>
        <v>21629101.769999996</v>
      </c>
      <c r="AD36" s="270">
        <f>SUM(AD7:AD35)/2</f>
        <v>0</v>
      </c>
      <c r="AE36" s="10"/>
      <c r="AF36" s="24"/>
      <c r="AG36" s="271">
        <f>SUM(AG7:AG35)/2</f>
        <v>533451832.43999994</v>
      </c>
      <c r="AH36" s="272">
        <f>SUM(AH7:AH35)/2</f>
        <v>510552475.15999985</v>
      </c>
      <c r="AI36" s="270">
        <f>SUM(AI7:AI35)/2</f>
        <v>22899357.280000001</v>
      </c>
      <c r="AJ36" s="270">
        <f>SUM(AJ7:AJ35)/2</f>
        <v>22899357.280000001</v>
      </c>
      <c r="AK36" s="10"/>
      <c r="AL36" s="271">
        <f>SUM(AL7:AL35)/2</f>
        <v>0</v>
      </c>
      <c r="AM36" s="272">
        <f>SUM(AM7:AM35)/2</f>
        <v>117429352.73</v>
      </c>
      <c r="AN36" s="270">
        <f>SUM(AN7:AN35)/2</f>
        <v>0</v>
      </c>
      <c r="AO36" s="270">
        <f>SUM(AO7:AO35)/2</f>
        <v>0</v>
      </c>
      <c r="AP36" s="10"/>
      <c r="AQ36" s="283">
        <f>SUM(AQ7:AQ35)/2</f>
        <v>0</v>
      </c>
      <c r="AR36" s="283">
        <f>SUM(AR7:AR35)/2</f>
        <v>0</v>
      </c>
      <c r="AS36" s="283">
        <f>SUM(AS7:AS35)/2</f>
        <v>0</v>
      </c>
      <c r="AT36" s="10"/>
      <c r="AU36" s="284">
        <f>SUM(AU7:AU35)/2</f>
        <v>642384185.24000001</v>
      </c>
      <c r="AV36" s="284">
        <f>SUM(AV7:AV35)/2</f>
        <v>0</v>
      </c>
      <c r="AW36" s="284">
        <f>SUM(AW7:AW35)/2</f>
        <v>0</v>
      </c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86"/>
      <c r="B38" s="285" t="s">
        <v>635</v>
      </c>
      <c r="C38" s="120"/>
      <c r="D38" s="267"/>
      <c r="E38" s="279">
        <f>SUMIF(BM8:BM38,1, E8:E38)</f>
        <v>808048195.79000008</v>
      </c>
      <c r="F38" s="268">
        <f>SUMIF(BM8:BM38,1, F8:F38)</f>
        <v>819319659.6500001</v>
      </c>
      <c r="G38" s="287"/>
      <c r="H38" s="104"/>
      <c r="I38" s="280">
        <f>SUMIF(BM8:BM38,1, I8:I38)</f>
        <v>833690058.07999992</v>
      </c>
      <c r="J38" s="288"/>
      <c r="K38" s="98"/>
      <c r="L38" s="272">
        <f>SUMIF(BM8:BM38,1, L8:L38)</f>
        <v>838979324.75</v>
      </c>
      <c r="M38" s="281">
        <f>SUMIF(BM8:BM38,1, M8:M38)</f>
        <v>803282943.07999992</v>
      </c>
      <c r="N38" s="289"/>
      <c r="O38" s="99"/>
      <c r="P38" s="270">
        <f>SUMIF(BM8:BM38,1, P8:P38)</f>
        <v>0</v>
      </c>
      <c r="Q38" s="270">
        <f>SUMIF(BM8:BM38,1, Q8:Q38)</f>
        <v>31801742.669999998</v>
      </c>
      <c r="R38" s="270">
        <f>SUMIF(BM8:BM38,1, R8:R38)</f>
        <v>0</v>
      </c>
      <c r="S38" s="290"/>
      <c r="T38" s="291"/>
      <c r="U38" s="292"/>
      <c r="V38" s="271">
        <f>SUMIF(BM8:BM38,1, V8:V38)</f>
        <v>0</v>
      </c>
      <c r="W38" s="271">
        <f>SUMIF(BM8:BM38,1, W8:W38)</f>
        <v>0</v>
      </c>
      <c r="X38" s="272">
        <f>SUMIF(BM8:BM38,1, X8:X38)</f>
        <v>620195169.09000003</v>
      </c>
      <c r="Y38" s="270">
        <f>SUMIF(BM8:BM38,1, Y8:Y38)</f>
        <v>0</v>
      </c>
      <c r="Z38" s="282">
        <f>SUMIF(BM8:BM38,1, Z8:Z38)</f>
        <v>21258188.73</v>
      </c>
      <c r="AA38" s="289"/>
      <c r="AB38" s="107"/>
      <c r="AC38" s="270">
        <f>SUMIF(BM8:BM38,1, AC8:AC38)</f>
        <v>22378893.099999998</v>
      </c>
      <c r="AD38" s="270">
        <f>SUMIF(BM8:BM38,1, AD8:AD38)</f>
        <v>0</v>
      </c>
      <c r="AE38" s="291"/>
      <c r="AF38" s="293"/>
      <c r="AG38" s="271">
        <f>SUMIF(BM8:BM38,1, AG8:AG38)</f>
        <v>527190520.63</v>
      </c>
      <c r="AH38" s="272">
        <f>SUMIF(BM8:BM38,1, AH8:AH38)</f>
        <v>505508482.4199999</v>
      </c>
      <c r="AI38" s="270">
        <f>SUMIF(BM8:BM38,1, AI8:AI38)</f>
        <v>21682038.210000005</v>
      </c>
      <c r="AJ38" s="270">
        <f>SUMIF(BM8:BM38,1, AJ8:AJ38)</f>
        <v>21682038.210000005</v>
      </c>
      <c r="AK38" s="291"/>
      <c r="AL38" s="271">
        <f>SUMIF(BM8:BM38,1, AL8:AL38)</f>
        <v>0</v>
      </c>
      <c r="AM38" s="272">
        <f>SUMIF(BM8:BM38,1, AM8:AM38)</f>
        <v>114686686.66999999</v>
      </c>
      <c r="AN38" s="270">
        <f>SUMIF(BM8:BM38,1, AN8:AN38)</f>
        <v>0</v>
      </c>
      <c r="AO38" s="270">
        <f>SUMIF(BM8:BM38,1, AO8:AO38)</f>
        <v>0</v>
      </c>
      <c r="AP38" s="291"/>
      <c r="AQ38" s="283">
        <f>SUMIF(BM8:BM38,1, AQ8:AQ38)</f>
        <v>0</v>
      </c>
      <c r="AR38" s="283">
        <f>SUMIF(BM8:BM38,1, AR8:AR38)</f>
        <v>0</v>
      </c>
      <c r="AS38" s="283">
        <f>SUMIF(BM8:BM38,1, AS8:AS38)</f>
        <v>0</v>
      </c>
      <c r="AT38" s="291"/>
      <c r="AU38" s="284">
        <f>SUMIF(BM8:BM38,1, AU8:AU38)</f>
        <v>635522554.88999999</v>
      </c>
      <c r="AV38" s="284">
        <f>SUMIF(BM8:BM38,1, AV8:AV38)</f>
        <v>0</v>
      </c>
      <c r="AW38" s="284">
        <f>SUMIF(BM8:BM38,1, AW8:AW38)</f>
        <v>0</v>
      </c>
      <c r="AX38" s="15"/>
      <c r="AY38" s="274"/>
      <c r="AZ38" s="15"/>
      <c r="BA38" s="15"/>
      <c r="BB38" s="275"/>
      <c r="BC38" s="274"/>
      <c r="BD38" s="274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298"/>
      <c r="BU38" s="298"/>
      <c r="BV38" s="298"/>
      <c r="BW38" s="298"/>
      <c r="BX38" s="15"/>
      <c r="BY38" s="15"/>
      <c r="BZ38" s="294"/>
      <c r="CA38" s="294"/>
      <c r="CB38" s="294"/>
      <c r="CC38" s="276"/>
      <c r="CD38" s="15"/>
      <c r="CE38" s="15"/>
      <c r="CF38" s="15"/>
      <c r="CG38" s="15"/>
      <c r="CH38" s="15"/>
      <c r="CI38" s="295"/>
      <c r="CJ38" s="277"/>
      <c r="CK38" s="277"/>
      <c r="CL38" s="277"/>
      <c r="CM38" s="277"/>
    </row>
    <row r="39" spans="1:91" x14ac:dyDescent="0.25">
      <c r="A39" s="286"/>
      <c r="B39" s="285" t="s">
        <v>636</v>
      </c>
      <c r="C39" s="120"/>
      <c r="D39" s="267"/>
      <c r="E39" s="279">
        <f>SUMIF(BM8:BM38,2, E8:E38)</f>
        <v>6853777.8199999994</v>
      </c>
      <c r="F39" s="268">
        <f>SUMIF(BM8:BM38,2, F8:F38)</f>
        <v>6853777.8199999994</v>
      </c>
      <c r="G39" s="287"/>
      <c r="H39" s="104"/>
      <c r="I39" s="280">
        <f>SUMIF(BM8:BM38,2, I8:I38)</f>
        <v>6861630.3499999996</v>
      </c>
      <c r="J39" s="288"/>
      <c r="K39" s="98"/>
      <c r="L39" s="272">
        <f>SUMIF(BM8:BM38,2, L8:L38)</f>
        <v>7927292.580000001</v>
      </c>
      <c r="M39" s="281">
        <f>SUMIF(BM8:BM38,2, M8:M38)</f>
        <v>7786658.8000000017</v>
      </c>
      <c r="N39" s="289"/>
      <c r="O39" s="99"/>
      <c r="P39" s="270">
        <f>SUMIF(BM8:BM38,2, P8:P38)</f>
        <v>0</v>
      </c>
      <c r="Q39" s="270">
        <f>SUMIF(BM8:BM38,2, Q8:Q38)</f>
        <v>-749791.33</v>
      </c>
      <c r="R39" s="270">
        <f>SUMIF(BM8:BM38,2, R8:R38)</f>
        <v>0</v>
      </c>
      <c r="S39" s="290"/>
      <c r="T39" s="291"/>
      <c r="U39" s="292"/>
      <c r="V39" s="271">
        <f>SUMIF(BM8:BM38,2, V8:V38)</f>
        <v>0</v>
      </c>
      <c r="W39" s="271">
        <f>SUMIF(BM8:BM38,2, W8:W38)</f>
        <v>0</v>
      </c>
      <c r="X39" s="272">
        <f>SUMIF(BM8:BM38,2, X8:X38)</f>
        <v>7786658.8000000017</v>
      </c>
      <c r="Y39" s="270">
        <f>SUMIF(BM8:BM38,2, Y8:Y38)</f>
        <v>0</v>
      </c>
      <c r="Z39" s="282">
        <f>SUMIF(BM8:BM38,2, Z8:Z38)</f>
        <v>-925028.45</v>
      </c>
      <c r="AA39" s="289"/>
      <c r="AB39" s="107"/>
      <c r="AC39" s="270">
        <f>SUMIF(BM8:BM38,2, AC8:AC38)</f>
        <v>-749791.33</v>
      </c>
      <c r="AD39" s="270">
        <f>SUMIF(BM8:BM38,2, AD8:AD38)</f>
        <v>0</v>
      </c>
      <c r="AE39" s="291"/>
      <c r="AF39" s="293"/>
      <c r="AG39" s="271">
        <f>SUMIF(BM8:BM38,2, AG8:AG38)</f>
        <v>6261311.8100000005</v>
      </c>
      <c r="AH39" s="272">
        <f>SUMIF(BM8:BM38,2, AH8:AH38)</f>
        <v>5043992.7399999993</v>
      </c>
      <c r="AI39" s="270">
        <f>SUMIF(BM8:BM38,2, AI8:AI38)</f>
        <v>1217319.07</v>
      </c>
      <c r="AJ39" s="270">
        <f>SUMIF(BM8:BM38,2, AJ8:AJ38)</f>
        <v>1217319.07</v>
      </c>
      <c r="AK39" s="291"/>
      <c r="AL39" s="271">
        <f>SUMIF(BM8:BM38,2, AL8:AL38)</f>
        <v>0</v>
      </c>
      <c r="AM39" s="272">
        <f>SUMIF(BM8:BM38,2, AM8:AM38)</f>
        <v>2742666.0599999996</v>
      </c>
      <c r="AN39" s="270">
        <f>SUMIF(BM8:BM38,2, AN8:AN38)</f>
        <v>0</v>
      </c>
      <c r="AO39" s="270">
        <f>SUMIF(BM8:BM38,2, AO8:AO38)</f>
        <v>0</v>
      </c>
      <c r="AP39" s="291"/>
      <c r="AQ39" s="283">
        <f>SUMIF(BM8:BM38,2, AQ8:AQ38)</f>
        <v>0</v>
      </c>
      <c r="AR39" s="283">
        <f>SUMIF(BM8:BM38,2, AR8:AR38)</f>
        <v>0</v>
      </c>
      <c r="AS39" s="283">
        <f>SUMIF(BM8:BM38,2, AS8:AS38)</f>
        <v>0</v>
      </c>
      <c r="AT39" s="291"/>
      <c r="AU39" s="284">
        <f>SUMIF(BM8:BM38,2, AU8:AU38)</f>
        <v>6861630.3499999996</v>
      </c>
      <c r="AV39" s="284">
        <f>SUMIF(BM8:BM38,2, AV8:AV38)</f>
        <v>0</v>
      </c>
      <c r="AW39" s="284">
        <f>SUMIF(BM8:BM38,2, AW8:AW38)</f>
        <v>0</v>
      </c>
      <c r="AX39" s="15"/>
      <c r="AY39" s="274"/>
      <c r="AZ39" s="15"/>
      <c r="BA39" s="15"/>
      <c r="BB39" s="275"/>
      <c r="BC39" s="274"/>
      <c r="BD39" s="274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298"/>
      <c r="BU39" s="298"/>
      <c r="BV39" s="298"/>
      <c r="BW39" s="298"/>
      <c r="BX39" s="15"/>
      <c r="BY39" s="15"/>
      <c r="BZ39" s="294"/>
      <c r="CA39" s="294"/>
      <c r="CB39" s="294"/>
      <c r="CC39" s="276"/>
      <c r="CD39" s="15"/>
      <c r="CE39" s="15"/>
      <c r="CF39" s="15"/>
      <c r="CG39" s="15"/>
      <c r="CH39" s="15"/>
      <c r="CI39" s="295"/>
      <c r="CJ39" s="277"/>
      <c r="CK39" s="277"/>
      <c r="CL39" s="277"/>
      <c r="CM39" s="277"/>
    </row>
    <row r="40" spans="1:91" x14ac:dyDescent="0.25">
      <c r="A40" s="286"/>
      <c r="B40" s="285" t="s">
        <v>634</v>
      </c>
      <c r="C40" s="120"/>
      <c r="D40" s="267"/>
      <c r="E40" s="279">
        <f>SUM(E8:E39)/4</f>
        <v>814901973.61000013</v>
      </c>
      <c r="F40" s="268">
        <f>SUM(F8:F39)/4</f>
        <v>826173437.47000015</v>
      </c>
      <c r="G40" s="287"/>
      <c r="H40" s="104"/>
      <c r="I40" s="280">
        <f>SUM(I8:I39)/4</f>
        <v>840551688.42999995</v>
      </c>
      <c r="J40" s="288"/>
      <c r="K40" s="98"/>
      <c r="L40" s="272">
        <f>SUM(L8:L39)/4</f>
        <v>846906617.32999992</v>
      </c>
      <c r="M40" s="281">
        <f>SUM(M8:M39)/4</f>
        <v>811069601.87999988</v>
      </c>
      <c r="N40" s="289"/>
      <c r="O40" s="99"/>
      <c r="P40" s="270">
        <f>SUM(P8:P39)/4</f>
        <v>0</v>
      </c>
      <c r="Q40" s="270">
        <f>SUM(Q8:Q39)/4</f>
        <v>31051951.339999996</v>
      </c>
      <c r="R40" s="270">
        <f>SUM(R8:R39)/4</f>
        <v>0</v>
      </c>
      <c r="S40" s="290"/>
      <c r="T40" s="291"/>
      <c r="U40" s="292"/>
      <c r="V40" s="271">
        <f>SUM(V8:V39)/4</f>
        <v>0</v>
      </c>
      <c r="W40" s="271">
        <f>SUM(W8:W39)/4</f>
        <v>0</v>
      </c>
      <c r="X40" s="272">
        <f>SUM(X8:X39)/4</f>
        <v>627981827.88999999</v>
      </c>
      <c r="Y40" s="270">
        <f>SUM(Y8:Y39)/4</f>
        <v>0</v>
      </c>
      <c r="Z40" s="282">
        <f>SUM(Z8:Z39)/4</f>
        <v>20333160.279999997</v>
      </c>
      <c r="AA40" s="289"/>
      <c r="AB40" s="107"/>
      <c r="AC40" s="270">
        <f>SUM(AC8:AC39)/4</f>
        <v>21629101.769999996</v>
      </c>
      <c r="AD40" s="270">
        <f>SUM(AD8:AD39)/4</f>
        <v>0</v>
      </c>
      <c r="AE40" s="291"/>
      <c r="AF40" s="293"/>
      <c r="AG40" s="271">
        <f>SUM(AG8:AG39)/4</f>
        <v>533451832.43999994</v>
      </c>
      <c r="AH40" s="272">
        <f>SUM(AH8:AH39)/4</f>
        <v>510552475.15999985</v>
      </c>
      <c r="AI40" s="270">
        <f>SUM(AI8:AI39)/4</f>
        <v>22899357.280000001</v>
      </c>
      <c r="AJ40" s="270">
        <f>SUM(AJ8:AJ39)/4</f>
        <v>22899357.280000001</v>
      </c>
      <c r="AK40" s="291"/>
      <c r="AL40" s="271">
        <f>SUM(AL8:AL39)/4</f>
        <v>0</v>
      </c>
      <c r="AM40" s="272">
        <f>SUM(AM8:AM39)/4</f>
        <v>117429352.73</v>
      </c>
      <c r="AN40" s="270">
        <f>SUM(AN8:AN39)/4</f>
        <v>0</v>
      </c>
      <c r="AO40" s="270">
        <f>SUM(AO8:AO39)/4</f>
        <v>0</v>
      </c>
      <c r="AP40" s="291"/>
      <c r="AQ40" s="283">
        <f>SUM(AQ8:AQ39)/4</f>
        <v>0</v>
      </c>
      <c r="AR40" s="283">
        <f>SUM(AR8:AR39)/4</f>
        <v>0</v>
      </c>
      <c r="AS40" s="283">
        <f>SUM(AS8:AS39)/4</f>
        <v>0</v>
      </c>
      <c r="AT40" s="291"/>
      <c r="AU40" s="284">
        <f>SUM(AU8:AU39)/4</f>
        <v>642384185.24000001</v>
      </c>
      <c r="AV40" s="284">
        <f>SUM(AV8:AV39)/4</f>
        <v>0</v>
      </c>
      <c r="AW40" s="284">
        <f>SUM(AW8:AW39)/4</f>
        <v>0</v>
      </c>
      <c r="AX40" s="15"/>
      <c r="AY40" s="274"/>
      <c r="AZ40" s="15"/>
      <c r="BA40" s="15"/>
      <c r="BB40" s="275"/>
      <c r="BC40" s="274"/>
      <c r="BD40" s="274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298"/>
      <c r="BU40" s="298"/>
      <c r="BV40" s="298"/>
      <c r="BW40" s="298"/>
      <c r="BX40" s="15"/>
      <c r="BY40" s="15"/>
      <c r="BZ40" s="294"/>
      <c r="CA40" s="294"/>
      <c r="CB40" s="294"/>
      <c r="CC40" s="276"/>
      <c r="CD40" s="15"/>
      <c r="CE40" s="15"/>
      <c r="CF40" s="15"/>
      <c r="CG40" s="15"/>
      <c r="CH40" s="15"/>
      <c r="CI40" s="295"/>
      <c r="CJ40" s="277"/>
      <c r="CK40" s="277"/>
      <c r="CL40" s="277"/>
      <c r="CM40" s="277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OhPuGHY/3l0XwbeFkP8TOb9O4xT1jUYAmOyk5NZ6k5BfbmiD9nUdzxU5yf0xl9kDGncNexMxVYPosiCyWr6CTA==" saltValue="/YeG4MkccYlhfXixVeiQHg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640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638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565</v>
      </c>
      <c r="B9" s="255" t="s">
        <v>641</v>
      </c>
      <c r="C9" s="255" t="s">
        <v>642</v>
      </c>
      <c r="D9" s="233"/>
      <c r="E9" s="234">
        <v>4745000</v>
      </c>
      <c r="F9" s="235">
        <v>4745000</v>
      </c>
      <c r="G9" s="256"/>
      <c r="H9" s="257"/>
      <c r="I9" s="237"/>
      <c r="J9" s="238">
        <v>5235272.3600000003</v>
      </c>
      <c r="K9" s="249"/>
      <c r="L9" s="240"/>
      <c r="M9" s="8">
        <v>5943982.1399999997</v>
      </c>
      <c r="N9" s="241">
        <v>3834064.05</v>
      </c>
      <c r="O9" s="72"/>
      <c r="P9" s="100"/>
      <c r="Q9" s="9"/>
      <c r="R9" s="9"/>
      <c r="S9" s="9"/>
      <c r="T9" s="258">
        <v>47453</v>
      </c>
      <c r="U9" s="10"/>
      <c r="V9" s="23"/>
      <c r="W9" s="11"/>
      <c r="X9" s="8">
        <v>3834064.05</v>
      </c>
      <c r="Y9" s="9"/>
      <c r="Z9" s="9"/>
      <c r="AA9" s="9"/>
      <c r="AB9" s="10"/>
      <c r="AC9" s="24">
        <v>1</v>
      </c>
      <c r="AD9" s="11">
        <v>4745000</v>
      </c>
      <c r="AE9" s="8">
        <v>3617796.45</v>
      </c>
      <c r="AF9" s="9"/>
      <c r="AG9" s="10"/>
      <c r="AH9" s="11"/>
      <c r="AI9" s="8">
        <v>216267.6</v>
      </c>
      <c r="AJ9" s="9"/>
      <c r="AK9" s="10"/>
      <c r="AL9" s="25"/>
      <c r="AM9" s="25"/>
      <c r="AN9" s="25"/>
      <c r="AO9" s="10"/>
      <c r="AP9" s="12">
        <v>5235272.3600000003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5400000</v>
      </c>
      <c r="BA9" s="15">
        <v>3900000</v>
      </c>
      <c r="BB9" s="15">
        <v>5235272.3600000003</v>
      </c>
      <c r="BC9" s="15">
        <v>3834064.05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1367828.8799999994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637</v>
      </c>
      <c r="BW9" s="242">
        <v>0</v>
      </c>
      <c r="BX9" s="248">
        <v>4745000</v>
      </c>
      <c r="BY9" s="248">
        <v>3617796.45</v>
      </c>
      <c r="BZ9" s="248">
        <v>4745000</v>
      </c>
      <c r="CA9" s="248">
        <v>3617796.45</v>
      </c>
      <c r="CB9" s="243" t="s">
        <v>633</v>
      </c>
      <c r="CC9" s="248">
        <v>3834064.05</v>
      </c>
      <c r="CD9" s="248">
        <v>216267.6</v>
      </c>
      <c r="CE9" s="248">
        <v>5235272.3600000003</v>
      </c>
      <c r="CF9" s="248">
        <v>0</v>
      </c>
    </row>
    <row r="10" spans="1:95" x14ac:dyDescent="0.25">
      <c r="A10" s="254" t="s">
        <v>643</v>
      </c>
      <c r="B10" s="255" t="s">
        <v>644</v>
      </c>
      <c r="C10" s="255" t="s">
        <v>645</v>
      </c>
      <c r="D10" s="233"/>
      <c r="E10" s="234">
        <v>341464986.66000003</v>
      </c>
      <c r="F10" s="235">
        <v>341960667.66000003</v>
      </c>
      <c r="G10" s="256"/>
      <c r="H10" s="257"/>
      <c r="I10" s="237"/>
      <c r="J10" s="238">
        <v>341443133.70999998</v>
      </c>
      <c r="K10" s="249"/>
      <c r="L10" s="240"/>
      <c r="M10" s="8">
        <v>338611439.45999998</v>
      </c>
      <c r="N10" s="241">
        <v>337732635.70999998</v>
      </c>
      <c r="O10" s="72"/>
      <c r="P10" s="100"/>
      <c r="Q10" s="9"/>
      <c r="R10" s="9"/>
      <c r="S10" s="9"/>
      <c r="T10" s="258">
        <v>46568</v>
      </c>
      <c r="U10" s="10"/>
      <c r="V10" s="23"/>
      <c r="W10" s="11"/>
      <c r="X10" s="8">
        <v>299179624.83999997</v>
      </c>
      <c r="Y10" s="9"/>
      <c r="Z10" s="9"/>
      <c r="AA10" s="9"/>
      <c r="AB10" s="10"/>
      <c r="AC10" s="24">
        <v>0.84843943058381854</v>
      </c>
      <c r="AD10" s="11">
        <v>246160079.55082828</v>
      </c>
      <c r="AE10" s="8">
        <v>282667835.01999998</v>
      </c>
      <c r="AF10" s="9"/>
      <c r="AG10" s="10"/>
      <c r="AH10" s="11"/>
      <c r="AI10" s="8">
        <v>16511789.82</v>
      </c>
      <c r="AJ10" s="9"/>
      <c r="AK10" s="10"/>
      <c r="AL10" s="25"/>
      <c r="AM10" s="25"/>
      <c r="AN10" s="25"/>
      <c r="AO10" s="10"/>
      <c r="AP10" s="12">
        <v>296634984.50999999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341443133.70999998</v>
      </c>
      <c r="BA10" s="15">
        <v>337732635.70999998</v>
      </c>
      <c r="BB10" s="15">
        <v>341443133.70999998</v>
      </c>
      <c r="BC10" s="15">
        <v>337732635.70999998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5210498</v>
      </c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 t="s">
        <v>637</v>
      </c>
      <c r="BW10" s="242">
        <v>0</v>
      </c>
      <c r="BX10" s="248">
        <v>290132766.91000003</v>
      </c>
      <c r="BY10" s="248">
        <v>333162067.70999998</v>
      </c>
      <c r="BZ10" s="248">
        <v>290132766.91000003</v>
      </c>
      <c r="CA10" s="248">
        <v>333162067.70999998</v>
      </c>
      <c r="CB10" s="243" t="s">
        <v>633</v>
      </c>
      <c r="CC10" s="248">
        <v>299179624.83999997</v>
      </c>
      <c r="CD10" s="248">
        <v>16511789.82</v>
      </c>
      <c r="CE10" s="248">
        <v>296634984.50999999</v>
      </c>
      <c r="CF10" s="248">
        <v>0</v>
      </c>
    </row>
    <row r="11" spans="1:95" x14ac:dyDescent="0.25">
      <c r="A11" s="254" t="s">
        <v>646</v>
      </c>
      <c r="B11" s="255" t="s">
        <v>647</v>
      </c>
      <c r="C11" s="255" t="s">
        <v>645</v>
      </c>
      <c r="D11" s="233"/>
      <c r="E11" s="234">
        <v>6651803.5300000003</v>
      </c>
      <c r="F11" s="235">
        <v>6651803.5300000003</v>
      </c>
      <c r="G11" s="256"/>
      <c r="H11" s="257"/>
      <c r="I11" s="237"/>
      <c r="J11" s="238">
        <v>6651803.5300000003</v>
      </c>
      <c r="K11" s="249"/>
      <c r="L11" s="240"/>
      <c r="M11" s="8">
        <v>6383622.6600000001</v>
      </c>
      <c r="N11" s="241">
        <v>6401803.5300000003</v>
      </c>
      <c r="O11" s="72"/>
      <c r="P11" s="100"/>
      <c r="Q11" s="9"/>
      <c r="R11" s="9"/>
      <c r="S11" s="9"/>
      <c r="T11" s="258">
        <v>46053</v>
      </c>
      <c r="U11" s="10"/>
      <c r="V11" s="23"/>
      <c r="W11" s="11"/>
      <c r="X11" s="8">
        <v>6393992.6900000004</v>
      </c>
      <c r="Y11" s="9"/>
      <c r="Z11" s="9"/>
      <c r="AA11" s="9"/>
      <c r="AB11" s="10"/>
      <c r="AC11" s="24">
        <v>0.95703954170952832</v>
      </c>
      <c r="AD11" s="11">
        <v>6092547.6017226316</v>
      </c>
      <c r="AE11" s="8">
        <v>5962693.7300000004</v>
      </c>
      <c r="AF11" s="9"/>
      <c r="AG11" s="10"/>
      <c r="AH11" s="11"/>
      <c r="AI11" s="8">
        <v>431298.96</v>
      </c>
      <c r="AJ11" s="9"/>
      <c r="AK11" s="10"/>
      <c r="AL11" s="25"/>
      <c r="AM11" s="25"/>
      <c r="AN11" s="25"/>
      <c r="AO11" s="10"/>
      <c r="AP11" s="12">
        <v>6645760.5099999998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6651803.5300000003</v>
      </c>
      <c r="BA11" s="15">
        <v>6401803.5300000003</v>
      </c>
      <c r="BB11" s="15">
        <v>6651803.5300000003</v>
      </c>
      <c r="BC11" s="15">
        <v>6401803.5300000003</v>
      </c>
      <c r="BD11" s="242">
        <v>0</v>
      </c>
      <c r="BE11" s="250">
        <v>0</v>
      </c>
      <c r="BF11" s="242"/>
      <c r="BG11" s="242">
        <v>1</v>
      </c>
      <c r="BH11" s="242">
        <v>0</v>
      </c>
      <c r="BI11" s="242">
        <v>250000</v>
      </c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 t="s">
        <v>637</v>
      </c>
      <c r="BW11" s="242">
        <v>0</v>
      </c>
      <c r="BX11" s="242">
        <v>6366035.4000000004</v>
      </c>
      <c r="BY11" s="242">
        <v>6230352.5300000003</v>
      </c>
      <c r="BZ11" s="242">
        <v>6366035.4000000004</v>
      </c>
      <c r="CA11" s="242">
        <v>6230352.5300000003</v>
      </c>
      <c r="CB11" s="243" t="s">
        <v>633</v>
      </c>
      <c r="CC11" s="248">
        <v>6393992.6900000004</v>
      </c>
      <c r="CD11" s="248">
        <v>431298.96</v>
      </c>
      <c r="CE11" s="248">
        <v>6645760.5099999998</v>
      </c>
      <c r="CF11" s="248">
        <v>0</v>
      </c>
    </row>
    <row r="12" spans="1:95" x14ac:dyDescent="0.25">
      <c r="A12" s="254" t="s">
        <v>561</v>
      </c>
      <c r="B12" s="255" t="s">
        <v>648</v>
      </c>
      <c r="C12" s="255" t="s">
        <v>649</v>
      </c>
      <c r="D12" s="233"/>
      <c r="E12" s="234">
        <v>195771435.63</v>
      </c>
      <c r="F12" s="235">
        <v>196243830.78999999</v>
      </c>
      <c r="G12" s="256"/>
      <c r="H12" s="257"/>
      <c r="I12" s="237"/>
      <c r="J12" s="238">
        <v>197175877</v>
      </c>
      <c r="K12" s="249"/>
      <c r="L12" s="240"/>
      <c r="M12" s="8">
        <v>216178378.78999999</v>
      </c>
      <c r="N12" s="241">
        <v>197751131.77000001</v>
      </c>
      <c r="O12" s="71"/>
      <c r="P12" s="100"/>
      <c r="Q12" s="9"/>
      <c r="R12" s="9"/>
      <c r="S12" s="9"/>
      <c r="T12" s="258">
        <v>46599</v>
      </c>
      <c r="U12" s="10"/>
      <c r="V12" s="23"/>
      <c r="W12" s="11"/>
      <c r="X12" s="8">
        <v>197751131.77000001</v>
      </c>
      <c r="Y12" s="9"/>
      <c r="Z12" s="9"/>
      <c r="AA12" s="9"/>
      <c r="AB12" s="10"/>
      <c r="AC12" s="24">
        <v>1</v>
      </c>
      <c r="AD12" s="11">
        <v>196243830.78999999</v>
      </c>
      <c r="AE12" s="8">
        <v>142200053.22</v>
      </c>
      <c r="AF12" s="9"/>
      <c r="AG12" s="10"/>
      <c r="AH12" s="11"/>
      <c r="AI12" s="8">
        <v>55551078.549999997</v>
      </c>
      <c r="AJ12" s="9"/>
      <c r="AK12" s="10"/>
      <c r="AL12" s="25"/>
      <c r="AM12" s="25"/>
      <c r="AN12" s="25"/>
      <c r="AO12" s="10"/>
      <c r="AP12" s="12">
        <v>197175877</v>
      </c>
      <c r="AQ12" s="12"/>
      <c r="AR12" s="12"/>
      <c r="AS12" s="242"/>
      <c r="AT12" s="243"/>
      <c r="AU12" s="242"/>
      <c r="AV12" s="242"/>
      <c r="AW12" s="244"/>
      <c r="AX12" s="243" t="s">
        <v>630</v>
      </c>
      <c r="AY12" s="243" t="s">
        <v>630</v>
      </c>
      <c r="AZ12" s="15">
        <v>198075877</v>
      </c>
      <c r="BA12" s="15">
        <v>198075877</v>
      </c>
      <c r="BB12" s="15">
        <v>197175877</v>
      </c>
      <c r="BC12" s="15">
        <v>197751131.77000001</v>
      </c>
      <c r="BD12" s="242">
        <v>0</v>
      </c>
      <c r="BE12" s="242">
        <v>0</v>
      </c>
      <c r="BF12" s="242"/>
      <c r="BG12" s="242">
        <v>1</v>
      </c>
      <c r="BH12" s="242">
        <v>0</v>
      </c>
      <c r="BI12" s="242">
        <v>7454.3700000047684</v>
      </c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 t="s">
        <v>637</v>
      </c>
      <c r="BW12" s="242">
        <v>0</v>
      </c>
      <c r="BX12" s="242">
        <v>196243830.78999999</v>
      </c>
      <c r="BY12" s="242">
        <v>142200053.22</v>
      </c>
      <c r="BZ12" s="242">
        <v>196243830.78999999</v>
      </c>
      <c r="CA12" s="242">
        <v>142200053.22</v>
      </c>
      <c r="CB12" s="243" t="s">
        <v>633</v>
      </c>
      <c r="CC12" s="248">
        <v>197751131.77000001</v>
      </c>
      <c r="CD12" s="248">
        <v>55551078.549999997</v>
      </c>
      <c r="CE12" s="248">
        <v>197175877</v>
      </c>
      <c r="CF12" s="248">
        <v>0</v>
      </c>
    </row>
    <row r="13" spans="1:95" x14ac:dyDescent="0.25">
      <c r="A13" s="254" t="s">
        <v>562</v>
      </c>
      <c r="B13" s="255" t="s">
        <v>650</v>
      </c>
      <c r="C13" s="255" t="s">
        <v>649</v>
      </c>
      <c r="D13" s="233"/>
      <c r="E13" s="234">
        <v>0</v>
      </c>
      <c r="F13" s="235">
        <v>0</v>
      </c>
      <c r="G13" s="256"/>
      <c r="H13" s="257"/>
      <c r="I13" s="237"/>
      <c r="J13" s="238">
        <v>0</v>
      </c>
      <c r="K13" s="249"/>
      <c r="L13" s="240"/>
      <c r="M13" s="8">
        <v>-600816.89</v>
      </c>
      <c r="N13" s="241">
        <v>-7779994.2800000003</v>
      </c>
      <c r="O13" s="71"/>
      <c r="P13" s="100"/>
      <c r="Q13" s="9"/>
      <c r="R13" s="9"/>
      <c r="S13" s="9"/>
      <c r="T13" s="258">
        <v>46599</v>
      </c>
      <c r="U13" s="10"/>
      <c r="V13" s="23"/>
      <c r="W13" s="11"/>
      <c r="X13" s="8">
        <v>-7779994.2800000003</v>
      </c>
      <c r="Y13" s="9"/>
      <c r="Z13" s="9"/>
      <c r="AA13" s="9"/>
      <c r="AB13" s="10"/>
      <c r="AC13" s="24">
        <v>1</v>
      </c>
      <c r="AD13" s="11">
        <v>-5995115.1299999999</v>
      </c>
      <c r="AE13" s="8">
        <v>-5995115.1299999999</v>
      </c>
      <c r="AF13" s="9"/>
      <c r="AG13" s="10"/>
      <c r="AH13" s="11"/>
      <c r="AI13" s="8">
        <v>-1784879.15</v>
      </c>
      <c r="AJ13" s="9"/>
      <c r="AK13" s="10"/>
      <c r="AL13" s="25"/>
      <c r="AM13" s="25"/>
      <c r="AN13" s="25"/>
      <c r="AO13" s="10"/>
      <c r="AP13" s="12">
        <v>0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15">
        <v>0</v>
      </c>
      <c r="BA13" s="15">
        <v>-8100000</v>
      </c>
      <c r="BB13" s="15">
        <v>0</v>
      </c>
      <c r="BC13" s="15">
        <v>-7779994.2800000003</v>
      </c>
      <c r="BD13" s="242">
        <v>0</v>
      </c>
      <c r="BE13" s="242">
        <v>0</v>
      </c>
      <c r="BF13" s="242"/>
      <c r="BG13" s="242">
        <v>1</v>
      </c>
      <c r="BH13" s="242">
        <v>0</v>
      </c>
      <c r="BI13" s="242">
        <v>7455309.5099999998</v>
      </c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 t="s">
        <v>637</v>
      </c>
      <c r="BW13" s="242">
        <v>0</v>
      </c>
      <c r="BX13" s="242">
        <v>-5995115.1299999999</v>
      </c>
      <c r="BY13" s="242">
        <v>-5995115.1299999999</v>
      </c>
      <c r="BZ13" s="242">
        <v>-5995115.1299999999</v>
      </c>
      <c r="CA13" s="242">
        <v>-5995115.1299999999</v>
      </c>
      <c r="CB13" s="243" t="s">
        <v>633</v>
      </c>
      <c r="CC13" s="248">
        <v>-7779994.2800000003</v>
      </c>
      <c r="CD13" s="248">
        <v>-1784879.15</v>
      </c>
      <c r="CE13" s="248">
        <v>0</v>
      </c>
      <c r="CF13" s="248">
        <v>0</v>
      </c>
    </row>
    <row r="14" spans="1:95" x14ac:dyDescent="0.25">
      <c r="A14" s="254" t="s">
        <v>651</v>
      </c>
      <c r="B14" s="255" t="s">
        <v>652</v>
      </c>
      <c r="C14" s="255" t="s">
        <v>642</v>
      </c>
      <c r="D14" s="233"/>
      <c r="E14" s="234">
        <v>16396051.58</v>
      </c>
      <c r="F14" s="235">
        <v>16482643.85</v>
      </c>
      <c r="G14" s="256"/>
      <c r="H14" s="257"/>
      <c r="I14" s="237"/>
      <c r="J14" s="238">
        <v>16396051.58</v>
      </c>
      <c r="K14" s="249"/>
      <c r="L14" s="240"/>
      <c r="M14" s="8">
        <v>15345707.76</v>
      </c>
      <c r="N14" s="241">
        <v>15220642.58</v>
      </c>
      <c r="O14" s="72"/>
      <c r="P14" s="100"/>
      <c r="Q14" s="9"/>
      <c r="R14" s="9"/>
      <c r="S14" s="9"/>
      <c r="T14" s="258">
        <v>46235</v>
      </c>
      <c r="U14" s="10"/>
      <c r="V14" s="23"/>
      <c r="W14" s="11"/>
      <c r="X14" s="8">
        <v>9590124.3499999996</v>
      </c>
      <c r="Y14" s="9"/>
      <c r="Z14" s="9"/>
      <c r="AA14" s="9"/>
      <c r="AB14" s="10"/>
      <c r="AC14" s="24">
        <v>0.55083014190654978</v>
      </c>
      <c r="AD14" s="11">
        <v>5001061.060697983</v>
      </c>
      <c r="AE14" s="8">
        <v>8229572.1299999999</v>
      </c>
      <c r="AF14" s="9"/>
      <c r="AG14" s="10"/>
      <c r="AH14" s="11"/>
      <c r="AI14" s="8">
        <v>1360552.22</v>
      </c>
      <c r="AJ14" s="9"/>
      <c r="AK14" s="10"/>
      <c r="AL14" s="25"/>
      <c r="AM14" s="25"/>
      <c r="AN14" s="25"/>
      <c r="AO14" s="10"/>
      <c r="AP14" s="12">
        <v>10912272.58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15">
        <v>16396051.58</v>
      </c>
      <c r="BA14" s="15">
        <v>15220642.58</v>
      </c>
      <c r="BB14" s="15">
        <v>16396051.58</v>
      </c>
      <c r="BC14" s="15">
        <v>15220642.58</v>
      </c>
      <c r="BD14" s="242">
        <v>0</v>
      </c>
      <c r="BE14" s="242">
        <v>0</v>
      </c>
      <c r="BF14" s="242"/>
      <c r="BG14" s="242">
        <v>1</v>
      </c>
      <c r="BH14" s="242">
        <v>0</v>
      </c>
      <c r="BI14" s="242">
        <v>1175409</v>
      </c>
      <c r="BJ14" s="242"/>
      <c r="BK14" s="242"/>
      <c r="BL14" s="242"/>
      <c r="BM14" s="242"/>
      <c r="BN14" s="297"/>
      <c r="BO14" s="297"/>
      <c r="BP14" s="297"/>
      <c r="BQ14" s="297"/>
      <c r="BR14" s="245"/>
      <c r="BS14" s="245"/>
      <c r="BT14" s="242"/>
      <c r="BU14" s="242"/>
      <c r="BV14" s="246" t="s">
        <v>637</v>
      </c>
      <c r="BW14" s="242">
        <v>0</v>
      </c>
      <c r="BX14" s="242">
        <v>9079134.7100000009</v>
      </c>
      <c r="BY14" s="242">
        <v>14940308.279999999</v>
      </c>
      <c r="BZ14" s="242">
        <v>9079134.7100000009</v>
      </c>
      <c r="CA14" s="242">
        <v>14940308.279999999</v>
      </c>
      <c r="CB14" s="243" t="s">
        <v>633</v>
      </c>
      <c r="CC14" s="248">
        <v>9590124.3499999996</v>
      </c>
      <c r="CD14" s="248">
        <v>1360552.22</v>
      </c>
      <c r="CE14" s="248">
        <v>10912272.58</v>
      </c>
      <c r="CF14" s="248">
        <v>0</v>
      </c>
    </row>
    <row r="15" spans="1:95" x14ac:dyDescent="0.25">
      <c r="A15" s="254" t="s">
        <v>563</v>
      </c>
      <c r="B15" s="255" t="s">
        <v>653</v>
      </c>
      <c r="C15" s="255" t="s">
        <v>649</v>
      </c>
      <c r="D15" s="233"/>
      <c r="E15" s="234">
        <v>45076046.719999999</v>
      </c>
      <c r="F15" s="235">
        <v>45409003.560000002</v>
      </c>
      <c r="G15" s="256"/>
      <c r="H15" s="257"/>
      <c r="I15" s="237"/>
      <c r="J15" s="238">
        <v>57142227</v>
      </c>
      <c r="K15" s="249"/>
      <c r="L15" s="240"/>
      <c r="M15" s="8">
        <v>62134392.450000003</v>
      </c>
      <c r="N15" s="241">
        <v>57575368.219999999</v>
      </c>
      <c r="O15" s="72"/>
      <c r="P15" s="100"/>
      <c r="Q15" s="9"/>
      <c r="R15" s="9"/>
      <c r="S15" s="9"/>
      <c r="T15" s="258">
        <v>46630</v>
      </c>
      <c r="U15" s="10"/>
      <c r="V15" s="23"/>
      <c r="W15" s="11"/>
      <c r="X15" s="8">
        <v>57575368.219999999</v>
      </c>
      <c r="Y15" s="9"/>
      <c r="Z15" s="9"/>
      <c r="AA15" s="9"/>
      <c r="AB15" s="10"/>
      <c r="AC15" s="24">
        <v>1</v>
      </c>
      <c r="AD15" s="11">
        <v>45409003.560000002</v>
      </c>
      <c r="AE15" s="8">
        <v>40078338.409999996</v>
      </c>
      <c r="AF15" s="9"/>
      <c r="AG15" s="10"/>
      <c r="AH15" s="11"/>
      <c r="AI15" s="8">
        <v>17497029.809999999</v>
      </c>
      <c r="AJ15" s="9"/>
      <c r="AK15" s="10"/>
      <c r="AL15" s="25"/>
      <c r="AM15" s="25"/>
      <c r="AN15" s="25"/>
      <c r="AO15" s="10"/>
      <c r="AP15" s="12">
        <v>57142227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57722227</v>
      </c>
      <c r="BA15" s="15">
        <v>57722227</v>
      </c>
      <c r="BB15" s="15">
        <v>57142227</v>
      </c>
      <c r="BC15" s="15">
        <v>57575368.219999999</v>
      </c>
      <c r="BD15" s="242">
        <v>0</v>
      </c>
      <c r="BE15" s="242">
        <v>0</v>
      </c>
      <c r="BF15" s="242"/>
      <c r="BG15" s="242">
        <v>1</v>
      </c>
      <c r="BH15" s="242">
        <v>0</v>
      </c>
      <c r="BI15" s="242">
        <v>-363.82999999821186</v>
      </c>
      <c r="BJ15" s="242"/>
      <c r="BK15" s="242"/>
      <c r="BL15" s="242"/>
      <c r="BM15" s="242"/>
      <c r="BN15" s="297"/>
      <c r="BO15" s="297"/>
      <c r="BP15" s="297"/>
      <c r="BQ15" s="297"/>
      <c r="BR15" s="245"/>
      <c r="BS15" s="245"/>
      <c r="BT15" s="242"/>
      <c r="BU15" s="242"/>
      <c r="BV15" s="246" t="s">
        <v>637</v>
      </c>
      <c r="BW15" s="242">
        <v>0</v>
      </c>
      <c r="BX15" s="242">
        <v>45409003.560000002</v>
      </c>
      <c r="BY15" s="242">
        <v>40078338.409999996</v>
      </c>
      <c r="BZ15" s="242">
        <v>45409003.560000002</v>
      </c>
      <c r="CA15" s="242">
        <v>40078338.409999996</v>
      </c>
      <c r="CB15" s="243" t="s">
        <v>633</v>
      </c>
      <c r="CC15" s="248">
        <v>57575368.219999999</v>
      </c>
      <c r="CD15" s="248">
        <v>17497029.809999999</v>
      </c>
      <c r="CE15" s="248">
        <v>57142227</v>
      </c>
      <c r="CF15" s="248">
        <v>0</v>
      </c>
    </row>
    <row r="16" spans="1:95" x14ac:dyDescent="0.25">
      <c r="A16" s="254" t="s">
        <v>564</v>
      </c>
      <c r="B16" s="255" t="s">
        <v>654</v>
      </c>
      <c r="C16" s="255" t="s">
        <v>649</v>
      </c>
      <c r="D16" s="233"/>
      <c r="E16" s="234">
        <v>0</v>
      </c>
      <c r="F16" s="235">
        <v>0</v>
      </c>
      <c r="G16" s="256"/>
      <c r="H16" s="257"/>
      <c r="I16" s="237"/>
      <c r="J16" s="238">
        <v>0</v>
      </c>
      <c r="K16" s="249"/>
      <c r="L16" s="240"/>
      <c r="M16" s="8">
        <v>-235677.05</v>
      </c>
      <c r="N16" s="241">
        <v>-2362039.0099999998</v>
      </c>
      <c r="O16" s="72"/>
      <c r="P16" s="100"/>
      <c r="Q16" s="9"/>
      <c r="R16" s="9"/>
      <c r="S16" s="9"/>
      <c r="T16" s="258">
        <v>46630</v>
      </c>
      <c r="U16" s="10"/>
      <c r="V16" s="23"/>
      <c r="W16" s="11"/>
      <c r="X16" s="8">
        <v>-2362039.0099999998</v>
      </c>
      <c r="Y16" s="9"/>
      <c r="Z16" s="9"/>
      <c r="AA16" s="9"/>
      <c r="AB16" s="10"/>
      <c r="AC16" s="24">
        <v>1</v>
      </c>
      <c r="AD16" s="11">
        <v>-1917801.19</v>
      </c>
      <c r="AE16" s="8">
        <v>-1917801.19</v>
      </c>
      <c r="AF16" s="9"/>
      <c r="AG16" s="10"/>
      <c r="AH16" s="11"/>
      <c r="AI16" s="8">
        <v>-444237.82</v>
      </c>
      <c r="AJ16" s="9"/>
      <c r="AK16" s="10"/>
      <c r="AL16" s="25"/>
      <c r="AM16" s="25"/>
      <c r="AN16" s="25"/>
      <c r="AO16" s="10"/>
      <c r="AP16" s="12">
        <v>0</v>
      </c>
      <c r="AQ16" s="12"/>
      <c r="AR16" s="12"/>
      <c r="AS16" s="242"/>
      <c r="AT16" s="243"/>
      <c r="AU16" s="242"/>
      <c r="AV16" s="242"/>
      <c r="AW16" s="244"/>
      <c r="AX16" s="243" t="s">
        <v>630</v>
      </c>
      <c r="AY16" s="243" t="s">
        <v>630</v>
      </c>
      <c r="AZ16" s="15">
        <v>0</v>
      </c>
      <c r="BA16" s="15">
        <v>-2500000</v>
      </c>
      <c r="BB16" s="15">
        <v>0</v>
      </c>
      <c r="BC16" s="15">
        <v>-2362039.0099999998</v>
      </c>
      <c r="BD16" s="242">
        <v>0</v>
      </c>
      <c r="BE16" s="242">
        <v>0</v>
      </c>
      <c r="BF16" s="242"/>
      <c r="BG16" s="242">
        <v>1</v>
      </c>
      <c r="BH16" s="242">
        <v>0</v>
      </c>
      <c r="BI16" s="242">
        <v>2245865.3199999998</v>
      </c>
      <c r="BJ16" s="242"/>
      <c r="BK16" s="242"/>
      <c r="BL16" s="242"/>
      <c r="BM16" s="242"/>
      <c r="BN16" s="297"/>
      <c r="BO16" s="297"/>
      <c r="BP16" s="297"/>
      <c r="BQ16" s="297"/>
      <c r="BR16" s="245"/>
      <c r="BS16" s="245"/>
      <c r="BT16" s="242"/>
      <c r="BU16" s="242"/>
      <c r="BV16" s="246" t="s">
        <v>637</v>
      </c>
      <c r="BW16" s="242">
        <v>0</v>
      </c>
      <c r="BX16" s="242">
        <v>-1917801.19</v>
      </c>
      <c r="BY16" s="242">
        <v>-1917801.19</v>
      </c>
      <c r="BZ16" s="242">
        <v>-1917801.19</v>
      </c>
      <c r="CA16" s="242">
        <v>-1917801.19</v>
      </c>
      <c r="CB16" s="243" t="s">
        <v>633</v>
      </c>
      <c r="CC16" s="248">
        <v>-2362039.0099999998</v>
      </c>
      <c r="CD16" s="248">
        <v>-444237.82</v>
      </c>
      <c r="CE16" s="248">
        <v>0</v>
      </c>
      <c r="CF16" s="248">
        <v>0</v>
      </c>
    </row>
    <row r="17" spans="1:84" x14ac:dyDescent="0.25">
      <c r="A17" s="254" t="s">
        <v>655</v>
      </c>
      <c r="B17" s="255" t="s">
        <v>656</v>
      </c>
      <c r="C17" s="255" t="s">
        <v>657</v>
      </c>
      <c r="D17" s="233"/>
      <c r="E17" s="234">
        <v>41504206.390000001</v>
      </c>
      <c r="F17" s="235">
        <v>41575709.409999996</v>
      </c>
      <c r="G17" s="256"/>
      <c r="H17" s="257"/>
      <c r="I17" s="237"/>
      <c r="J17" s="238">
        <v>41504206.390000001</v>
      </c>
      <c r="K17" s="249"/>
      <c r="L17" s="240"/>
      <c r="M17" s="8">
        <v>37174546.159999996</v>
      </c>
      <c r="N17" s="241">
        <v>37154206.390000001</v>
      </c>
      <c r="O17" s="72"/>
      <c r="P17" s="100"/>
      <c r="Q17" s="9"/>
      <c r="R17" s="9"/>
      <c r="S17" s="9"/>
      <c r="T17" s="258">
        <v>46081</v>
      </c>
      <c r="U17" s="10"/>
      <c r="V17" s="23"/>
      <c r="W17" s="11"/>
      <c r="X17" s="8">
        <v>36953022.960000001</v>
      </c>
      <c r="Y17" s="9"/>
      <c r="Z17" s="9"/>
      <c r="AA17" s="9"/>
      <c r="AB17" s="10"/>
      <c r="AC17" s="24">
        <v>0.80222831500047243</v>
      </c>
      <c r="AD17" s="11">
        <v>26756879.99988506</v>
      </c>
      <c r="AE17" s="8">
        <v>29332771.27</v>
      </c>
      <c r="AF17" s="9"/>
      <c r="AG17" s="10"/>
      <c r="AH17" s="11"/>
      <c r="AI17" s="8">
        <v>7620251.6900000004</v>
      </c>
      <c r="AJ17" s="9"/>
      <c r="AK17" s="10"/>
      <c r="AL17" s="25"/>
      <c r="AM17" s="25"/>
      <c r="AN17" s="25"/>
      <c r="AO17" s="10"/>
      <c r="AP17" s="12">
        <v>41483406.390000001</v>
      </c>
      <c r="AQ17" s="12"/>
      <c r="AR17" s="12"/>
      <c r="AS17" s="242"/>
      <c r="AT17" s="243"/>
      <c r="AU17" s="242"/>
      <c r="AV17" s="242"/>
      <c r="AW17" s="244"/>
      <c r="AX17" s="243" t="s">
        <v>630</v>
      </c>
      <c r="AY17" s="243" t="s">
        <v>630</v>
      </c>
      <c r="AZ17" s="15">
        <v>41504206.390000001</v>
      </c>
      <c r="BA17" s="15">
        <v>37154206.390000001</v>
      </c>
      <c r="BB17" s="15">
        <v>41504206.390000001</v>
      </c>
      <c r="BC17" s="15">
        <v>37154206.390000001</v>
      </c>
      <c r="BD17" s="242">
        <v>0</v>
      </c>
      <c r="BE17" s="242">
        <v>0</v>
      </c>
      <c r="BF17" s="242"/>
      <c r="BG17" s="242">
        <v>1</v>
      </c>
      <c r="BH17" s="242">
        <v>0</v>
      </c>
      <c r="BI17" s="242">
        <v>4350000</v>
      </c>
      <c r="BJ17" s="242"/>
      <c r="BK17" s="242"/>
      <c r="BL17" s="242"/>
      <c r="BM17" s="242"/>
      <c r="BN17" s="297"/>
      <c r="BO17" s="297"/>
      <c r="BP17" s="297"/>
      <c r="BQ17" s="297"/>
      <c r="BR17" s="245"/>
      <c r="BS17" s="245"/>
      <c r="BT17" s="242"/>
      <c r="BU17" s="242"/>
      <c r="BV17" s="246" t="s">
        <v>637</v>
      </c>
      <c r="BW17" s="242">
        <v>0</v>
      </c>
      <c r="BX17" s="242">
        <v>33353198.210000001</v>
      </c>
      <c r="BY17" s="242">
        <v>36564118.619999997</v>
      </c>
      <c r="BZ17" s="242">
        <v>33353198.210000001</v>
      </c>
      <c r="CA17" s="242">
        <v>36564118.619999997</v>
      </c>
      <c r="CB17" s="243" t="s">
        <v>633</v>
      </c>
      <c r="CC17" s="248">
        <v>36953022.960000001</v>
      </c>
      <c r="CD17" s="248">
        <v>7620251.6900000004</v>
      </c>
      <c r="CE17" s="248">
        <v>41483406.390000001</v>
      </c>
      <c r="CF17" s="248">
        <v>0</v>
      </c>
    </row>
    <row r="18" spans="1:84" x14ac:dyDescent="0.25">
      <c r="A18" s="254" t="s">
        <v>658</v>
      </c>
      <c r="B18" s="255" t="s">
        <v>659</v>
      </c>
      <c r="C18" s="255" t="s">
        <v>660</v>
      </c>
      <c r="D18" s="233"/>
      <c r="E18" s="234">
        <v>85000</v>
      </c>
      <c r="F18" s="235">
        <v>9838187</v>
      </c>
      <c r="G18" s="256"/>
      <c r="H18" s="257"/>
      <c r="I18" s="237"/>
      <c r="J18" s="238">
        <v>126077.16</v>
      </c>
      <c r="K18" s="249"/>
      <c r="L18" s="240"/>
      <c r="M18" s="8">
        <v>9632437.1500000004</v>
      </c>
      <c r="N18" s="241">
        <v>126077.16</v>
      </c>
      <c r="O18" s="72"/>
      <c r="P18" s="100"/>
      <c r="Q18" s="9"/>
      <c r="R18" s="9"/>
      <c r="S18" s="9"/>
      <c r="T18" s="258">
        <v>46811</v>
      </c>
      <c r="U18" s="10"/>
      <c r="V18" s="23"/>
      <c r="W18" s="11"/>
      <c r="X18" s="8">
        <v>126077.16</v>
      </c>
      <c r="Y18" s="9"/>
      <c r="Z18" s="9"/>
      <c r="AA18" s="9"/>
      <c r="AB18" s="10"/>
      <c r="AC18" s="24">
        <v>1</v>
      </c>
      <c r="AD18" s="11">
        <v>9838187</v>
      </c>
      <c r="AE18" s="8">
        <v>76329.8</v>
      </c>
      <c r="AF18" s="9"/>
      <c r="AG18" s="10"/>
      <c r="AH18" s="11"/>
      <c r="AI18" s="8">
        <v>49747.360000000001</v>
      </c>
      <c r="AJ18" s="9"/>
      <c r="AK18" s="10"/>
      <c r="AL18" s="25"/>
      <c r="AM18" s="25"/>
      <c r="AN18" s="25"/>
      <c r="AO18" s="10"/>
      <c r="AP18" s="12">
        <v>123617</v>
      </c>
      <c r="AQ18" s="12"/>
      <c r="AR18" s="12"/>
      <c r="AS18" s="242"/>
      <c r="AT18" s="243"/>
      <c r="AU18" s="242"/>
      <c r="AV18" s="242"/>
      <c r="AW18" s="244"/>
      <c r="AX18" s="243" t="s">
        <v>630</v>
      </c>
      <c r="AY18" s="243" t="s">
        <v>630</v>
      </c>
      <c r="AZ18" s="15">
        <v>9838187</v>
      </c>
      <c r="BA18" s="15">
        <v>9838187</v>
      </c>
      <c r="BB18" s="15">
        <v>126077.16</v>
      </c>
      <c r="BC18" s="15">
        <v>126077.16</v>
      </c>
      <c r="BD18" s="242">
        <v>0</v>
      </c>
      <c r="BE18" s="242">
        <v>0</v>
      </c>
      <c r="BF18" s="242"/>
      <c r="BG18" s="242">
        <v>1</v>
      </c>
      <c r="BH18" s="242">
        <v>0</v>
      </c>
      <c r="BI18" s="242">
        <v>8429</v>
      </c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 t="s">
        <v>637</v>
      </c>
      <c r="BW18" s="242">
        <v>0</v>
      </c>
      <c r="BX18" s="242">
        <v>9838187</v>
      </c>
      <c r="BY18" s="242">
        <v>76329.8</v>
      </c>
      <c r="BZ18" s="242">
        <v>9838187</v>
      </c>
      <c r="CA18" s="242">
        <v>76329.8</v>
      </c>
      <c r="CB18" s="243" t="s">
        <v>633</v>
      </c>
      <c r="CC18" s="248">
        <v>126077.16</v>
      </c>
      <c r="CD18" s="248">
        <v>49747.360000000001</v>
      </c>
      <c r="CE18" s="248">
        <v>123617</v>
      </c>
      <c r="CF18" s="248">
        <v>0</v>
      </c>
    </row>
    <row r="19" spans="1:84" x14ac:dyDescent="0.25">
      <c r="A19" s="254" t="s">
        <v>661</v>
      </c>
      <c r="B19" s="255" t="s">
        <v>662</v>
      </c>
      <c r="C19" s="255" t="s">
        <v>663</v>
      </c>
      <c r="D19" s="233"/>
      <c r="E19" s="234">
        <v>5767387.8200000003</v>
      </c>
      <c r="F19" s="235">
        <v>5826536.3899999997</v>
      </c>
      <c r="G19" s="256"/>
      <c r="H19" s="257"/>
      <c r="I19" s="237"/>
      <c r="J19" s="238">
        <v>5759301.8099999996</v>
      </c>
      <c r="K19" s="239"/>
      <c r="L19" s="240"/>
      <c r="M19" s="8">
        <v>4904776.83</v>
      </c>
      <c r="N19" s="241">
        <v>4934301.8099999996</v>
      </c>
      <c r="O19" s="72"/>
      <c r="P19" s="100"/>
      <c r="Q19" s="9"/>
      <c r="R19" s="9"/>
      <c r="S19" s="9"/>
      <c r="T19" s="258">
        <v>46082</v>
      </c>
      <c r="U19" s="10"/>
      <c r="V19" s="23"/>
      <c r="W19" s="11"/>
      <c r="X19" s="8">
        <v>3621770.22</v>
      </c>
      <c r="Y19" s="9"/>
      <c r="Z19" s="9"/>
      <c r="AA19" s="9"/>
      <c r="AB19" s="10"/>
      <c r="AC19" s="24">
        <v>6.1204276381992606E-2</v>
      </c>
      <c r="AD19" s="11">
        <v>19264.235112446193</v>
      </c>
      <c r="AE19" s="8">
        <v>314753.09000000003</v>
      </c>
      <c r="AF19" s="9"/>
      <c r="AG19" s="10"/>
      <c r="AH19" s="11"/>
      <c r="AI19" s="8">
        <v>3307017.13</v>
      </c>
      <c r="AJ19" s="9"/>
      <c r="AK19" s="10"/>
      <c r="AL19" s="25"/>
      <c r="AM19" s="25"/>
      <c r="AN19" s="25"/>
      <c r="AO19" s="10"/>
      <c r="AP19" s="12">
        <v>4861991.8099999996</v>
      </c>
      <c r="AQ19" s="12"/>
      <c r="AR19" s="12"/>
      <c r="AS19" s="242"/>
      <c r="AT19" s="243"/>
      <c r="AU19" s="242"/>
      <c r="AV19" s="242"/>
      <c r="AW19" s="244"/>
      <c r="AX19" s="243" t="s">
        <v>630</v>
      </c>
      <c r="AY19" s="243" t="s">
        <v>630</v>
      </c>
      <c r="AZ19" s="15">
        <v>5759301.8099999996</v>
      </c>
      <c r="BA19" s="15">
        <v>4934301.8099999996</v>
      </c>
      <c r="BB19" s="15">
        <v>5759301.8099999996</v>
      </c>
      <c r="BC19" s="15">
        <v>4934301.8099999996</v>
      </c>
      <c r="BD19" s="242">
        <v>0</v>
      </c>
      <c r="BE19" s="242">
        <v>0</v>
      </c>
      <c r="BF19" s="242"/>
      <c r="BG19" s="242">
        <v>1</v>
      </c>
      <c r="BH19" s="242">
        <v>0</v>
      </c>
      <c r="BI19" s="242">
        <v>700000</v>
      </c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 t="s">
        <v>637</v>
      </c>
      <c r="BW19" s="242">
        <v>0</v>
      </c>
      <c r="BX19" s="242">
        <v>314753.09000000003</v>
      </c>
      <c r="BY19" s="242">
        <v>5142665</v>
      </c>
      <c r="BZ19" s="242">
        <v>314753.09000000003</v>
      </c>
      <c r="CA19" s="242">
        <v>5142665</v>
      </c>
      <c r="CB19" s="243" t="s">
        <v>633</v>
      </c>
      <c r="CC19" s="248">
        <v>3621770.22</v>
      </c>
      <c r="CD19" s="248">
        <v>3307017.13</v>
      </c>
      <c r="CE19" s="248">
        <v>4861991.8099999996</v>
      </c>
      <c r="CF19" s="248">
        <v>0</v>
      </c>
    </row>
    <row r="20" spans="1:84" x14ac:dyDescent="0.25">
      <c r="A20" s="254" t="s">
        <v>664</v>
      </c>
      <c r="B20" s="255" t="s">
        <v>665</v>
      </c>
      <c r="C20" s="255" t="s">
        <v>666</v>
      </c>
      <c r="D20" s="233"/>
      <c r="E20" s="234">
        <v>147525113</v>
      </c>
      <c r="F20" s="235">
        <v>147525113</v>
      </c>
      <c r="G20" s="256"/>
      <c r="H20" s="257"/>
      <c r="I20" s="237"/>
      <c r="J20" s="238">
        <v>147525113</v>
      </c>
      <c r="K20" s="239"/>
      <c r="L20" s="240"/>
      <c r="M20" s="8">
        <v>140278077.08000001</v>
      </c>
      <c r="N20" s="241">
        <v>139703905</v>
      </c>
      <c r="O20" s="72"/>
      <c r="P20" s="100"/>
      <c r="Q20" s="9"/>
      <c r="R20" s="9"/>
      <c r="S20" s="9"/>
      <c r="T20" s="258">
        <v>47150</v>
      </c>
      <c r="U20" s="10"/>
      <c r="V20" s="23"/>
      <c r="W20" s="11"/>
      <c r="X20" s="8">
        <v>15046313.77</v>
      </c>
      <c r="Y20" s="9"/>
      <c r="Z20" s="9"/>
      <c r="AA20" s="9"/>
      <c r="AB20" s="10"/>
      <c r="AC20" s="24">
        <v>6.7281952306805408E-3</v>
      </c>
      <c r="AD20" s="11">
        <v>6332.9515733352555</v>
      </c>
      <c r="AE20" s="8">
        <v>941255.62</v>
      </c>
      <c r="AF20" s="9"/>
      <c r="AG20" s="10"/>
      <c r="AH20" s="11"/>
      <c r="AI20" s="8">
        <v>14105058.15</v>
      </c>
      <c r="AJ20" s="9"/>
      <c r="AK20" s="10"/>
      <c r="AL20" s="25"/>
      <c r="AM20" s="25"/>
      <c r="AN20" s="25"/>
      <c r="AO20" s="10"/>
      <c r="AP20" s="12">
        <v>15047042.84</v>
      </c>
      <c r="AQ20" s="12"/>
      <c r="AR20" s="12"/>
      <c r="AS20" s="242"/>
      <c r="AT20" s="243"/>
      <c r="AU20" s="242"/>
      <c r="AV20" s="242"/>
      <c r="AW20" s="244"/>
      <c r="AX20" s="243" t="s">
        <v>630</v>
      </c>
      <c r="AY20" s="243" t="s">
        <v>630</v>
      </c>
      <c r="AZ20" s="15">
        <v>147525113</v>
      </c>
      <c r="BA20" s="15">
        <v>139703905</v>
      </c>
      <c r="BB20" s="15">
        <v>147525113</v>
      </c>
      <c r="BC20" s="15">
        <v>139703905</v>
      </c>
      <c r="BD20" s="242">
        <v>0</v>
      </c>
      <c r="BE20" s="242">
        <v>0</v>
      </c>
      <c r="BF20" s="242"/>
      <c r="BG20" s="242">
        <v>1</v>
      </c>
      <c r="BH20" s="242">
        <v>0</v>
      </c>
      <c r="BI20" s="242">
        <v>7821208</v>
      </c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 t="s">
        <v>637</v>
      </c>
      <c r="BW20" s="242">
        <v>0</v>
      </c>
      <c r="BX20" s="242">
        <v>941255.62</v>
      </c>
      <c r="BY20" s="242">
        <v>139897192</v>
      </c>
      <c r="BZ20" s="242">
        <v>941255.62</v>
      </c>
      <c r="CA20" s="242">
        <v>139897192</v>
      </c>
      <c r="CB20" s="243" t="s">
        <v>633</v>
      </c>
      <c r="CC20" s="248">
        <v>15046313.77</v>
      </c>
      <c r="CD20" s="248">
        <v>14105058.15</v>
      </c>
      <c r="CE20" s="248">
        <v>15047042.84</v>
      </c>
      <c r="CF20" s="248">
        <v>0</v>
      </c>
    </row>
    <row r="21" spans="1:84" x14ac:dyDescent="0.25">
      <c r="A21" s="254" t="s">
        <v>667</v>
      </c>
      <c r="B21" s="255" t="s">
        <v>668</v>
      </c>
      <c r="C21" s="255" t="s">
        <v>639</v>
      </c>
      <c r="D21" s="233"/>
      <c r="E21" s="234">
        <v>170799.52</v>
      </c>
      <c r="F21" s="235">
        <v>170799.52</v>
      </c>
      <c r="G21" s="256"/>
      <c r="H21" s="257"/>
      <c r="I21" s="237"/>
      <c r="J21" s="238">
        <v>158952.89000000001</v>
      </c>
      <c r="K21" s="239"/>
      <c r="L21" s="240"/>
      <c r="M21" s="8">
        <v>535567.54</v>
      </c>
      <c r="N21" s="241">
        <v>156561.66</v>
      </c>
      <c r="O21" s="71"/>
      <c r="P21" s="100"/>
      <c r="Q21" s="9"/>
      <c r="R21" s="9"/>
      <c r="S21" s="9"/>
      <c r="T21" s="258">
        <v>46167</v>
      </c>
      <c r="U21" s="10"/>
      <c r="V21" s="23"/>
      <c r="W21" s="11"/>
      <c r="X21" s="8">
        <v>156561.66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156561.66</v>
      </c>
      <c r="AJ21" s="9"/>
      <c r="AK21" s="10"/>
      <c r="AL21" s="25"/>
      <c r="AM21" s="25"/>
      <c r="AN21" s="25"/>
      <c r="AO21" s="10"/>
      <c r="AP21" s="12">
        <v>158952.89000000001</v>
      </c>
      <c r="AQ21" s="12"/>
      <c r="AR21" s="12"/>
      <c r="AS21" s="242"/>
      <c r="AT21" s="243"/>
      <c r="AU21" s="242"/>
      <c r="AV21" s="242"/>
      <c r="AW21" s="244"/>
      <c r="AX21" s="243" t="s">
        <v>630</v>
      </c>
      <c r="AY21" s="243" t="s">
        <v>630</v>
      </c>
      <c r="AZ21" s="15">
        <v>471896.25</v>
      </c>
      <c r="BA21" s="15">
        <v>471896.25</v>
      </c>
      <c r="BB21" s="15">
        <v>158952.89000000001</v>
      </c>
      <c r="BC21" s="15">
        <v>156561.66</v>
      </c>
      <c r="BD21" s="242">
        <v>0</v>
      </c>
      <c r="BE21" s="242">
        <v>0</v>
      </c>
      <c r="BF21" s="242"/>
      <c r="BG21" s="242">
        <v>1</v>
      </c>
      <c r="BH21" s="242">
        <v>0</v>
      </c>
      <c r="BI21" s="242">
        <v>0</v>
      </c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 t="s">
        <v>637</v>
      </c>
      <c r="BW21" s="242">
        <v>0</v>
      </c>
      <c r="BX21" s="242">
        <v>0</v>
      </c>
      <c r="BY21" s="242">
        <v>0</v>
      </c>
      <c r="BZ21" s="242">
        <v>0</v>
      </c>
      <c r="CA21" s="242">
        <v>0</v>
      </c>
      <c r="CB21" s="243" t="s">
        <v>633</v>
      </c>
      <c r="CC21" s="248">
        <v>156561.66</v>
      </c>
      <c r="CD21" s="248">
        <v>156561.66</v>
      </c>
      <c r="CE21" s="248">
        <v>158952.89000000001</v>
      </c>
      <c r="CF21" s="248">
        <v>0</v>
      </c>
    </row>
    <row r="22" spans="1:84" x14ac:dyDescent="0.25">
      <c r="A22" s="254" t="s">
        <v>669</v>
      </c>
      <c r="B22" s="255" t="s">
        <v>670</v>
      </c>
      <c r="C22" s="255" t="s">
        <v>663</v>
      </c>
      <c r="D22" s="233"/>
      <c r="E22" s="234">
        <v>2264.94</v>
      </c>
      <c r="F22" s="235">
        <v>2264.94</v>
      </c>
      <c r="G22" s="256"/>
      <c r="H22" s="257"/>
      <c r="I22" s="237"/>
      <c r="J22" s="238">
        <v>14160.81</v>
      </c>
      <c r="K22" s="239"/>
      <c r="L22" s="240"/>
      <c r="M22" s="8">
        <v>14160.81</v>
      </c>
      <c r="N22" s="241">
        <v>14160.81</v>
      </c>
      <c r="O22" s="71"/>
      <c r="P22" s="100"/>
      <c r="Q22" s="9"/>
      <c r="R22" s="9"/>
      <c r="S22" s="9"/>
      <c r="T22" s="258">
        <v>46053</v>
      </c>
      <c r="U22" s="10"/>
      <c r="V22" s="23"/>
      <c r="W22" s="11"/>
      <c r="X22" s="8">
        <v>14160.81</v>
      </c>
      <c r="Y22" s="9"/>
      <c r="Z22" s="9"/>
      <c r="AA22" s="9"/>
      <c r="AB22" s="10"/>
      <c r="AC22" s="24">
        <v>0</v>
      </c>
      <c r="AD22" s="11">
        <v>0</v>
      </c>
      <c r="AE22" s="8">
        <v>0</v>
      </c>
      <c r="AF22" s="9"/>
      <c r="AG22" s="10"/>
      <c r="AH22" s="11"/>
      <c r="AI22" s="8">
        <v>14160.81</v>
      </c>
      <c r="AJ22" s="9"/>
      <c r="AK22" s="10"/>
      <c r="AL22" s="25"/>
      <c r="AM22" s="25"/>
      <c r="AN22" s="25"/>
      <c r="AO22" s="10"/>
      <c r="AP22" s="12">
        <v>0</v>
      </c>
      <c r="AQ22" s="12"/>
      <c r="AR22" s="12"/>
      <c r="AS22" s="242"/>
      <c r="AT22" s="243"/>
      <c r="AU22" s="242"/>
      <c r="AV22" s="242"/>
      <c r="AW22" s="244"/>
      <c r="AX22" s="243" t="s">
        <v>630</v>
      </c>
      <c r="AY22" s="243" t="s">
        <v>630</v>
      </c>
      <c r="AZ22" s="15">
        <v>14160.81</v>
      </c>
      <c r="BA22" s="15">
        <v>14160.81</v>
      </c>
      <c r="BB22" s="15">
        <v>14160.81</v>
      </c>
      <c r="BC22" s="15">
        <v>14160.81</v>
      </c>
      <c r="BD22" s="242">
        <v>0</v>
      </c>
      <c r="BE22" s="242">
        <v>0</v>
      </c>
      <c r="BF22" s="242"/>
      <c r="BG22" s="242">
        <v>1</v>
      </c>
      <c r="BH22" s="242">
        <v>0</v>
      </c>
      <c r="BI22" s="242">
        <v>0</v>
      </c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 t="s">
        <v>637</v>
      </c>
      <c r="BW22" s="242">
        <v>0</v>
      </c>
      <c r="BX22" s="242">
        <v>0</v>
      </c>
      <c r="BY22" s="242">
        <v>0</v>
      </c>
      <c r="BZ22" s="242">
        <v>0</v>
      </c>
      <c r="CA22" s="242">
        <v>0</v>
      </c>
      <c r="CB22" s="243" t="s">
        <v>633</v>
      </c>
      <c r="CC22" s="248">
        <v>14160.81</v>
      </c>
      <c r="CD22" s="248">
        <v>14160.81</v>
      </c>
      <c r="CE22" s="248">
        <v>0</v>
      </c>
      <c r="CF22" s="248">
        <v>0</v>
      </c>
    </row>
    <row r="23" spans="1:84" x14ac:dyDescent="0.25">
      <c r="A23" s="254" t="s">
        <v>671</v>
      </c>
      <c r="B23" s="255" t="s">
        <v>672</v>
      </c>
      <c r="C23" s="255" t="s">
        <v>663</v>
      </c>
      <c r="D23" s="233"/>
      <c r="E23" s="234">
        <v>2888100</v>
      </c>
      <c r="F23" s="235">
        <v>2888100</v>
      </c>
      <c r="G23" s="256"/>
      <c r="H23" s="257"/>
      <c r="I23" s="237"/>
      <c r="J23" s="238">
        <v>2888100</v>
      </c>
      <c r="K23" s="239"/>
      <c r="L23" s="240"/>
      <c r="M23" s="8">
        <v>2678729.86</v>
      </c>
      <c r="N23" s="241">
        <v>2713100</v>
      </c>
      <c r="O23" s="71"/>
      <c r="P23" s="100"/>
      <c r="Q23" s="9"/>
      <c r="R23" s="9"/>
      <c r="S23" s="9"/>
      <c r="T23" s="258">
        <v>46082</v>
      </c>
      <c r="U23" s="10"/>
      <c r="V23" s="23"/>
      <c r="W23" s="11"/>
      <c r="X23" s="8">
        <v>94989.88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94989.88</v>
      </c>
      <c r="AJ23" s="9"/>
      <c r="AK23" s="10"/>
      <c r="AL23" s="25"/>
      <c r="AM23" s="25"/>
      <c r="AN23" s="25"/>
      <c r="AO23" s="10"/>
      <c r="AP23" s="12">
        <v>101150</v>
      </c>
      <c r="AQ23" s="12"/>
      <c r="AR23" s="12"/>
      <c r="AS23" s="242"/>
      <c r="AT23" s="243"/>
      <c r="AU23" s="242"/>
      <c r="AV23" s="242"/>
      <c r="AW23" s="244"/>
      <c r="AX23" s="243" t="s">
        <v>630</v>
      </c>
      <c r="AY23" s="243" t="s">
        <v>630</v>
      </c>
      <c r="AZ23" s="15">
        <v>2888100</v>
      </c>
      <c r="BA23" s="15">
        <v>2713100</v>
      </c>
      <c r="BB23" s="15">
        <v>2888100</v>
      </c>
      <c r="BC23" s="15">
        <v>2713100</v>
      </c>
      <c r="BD23" s="242">
        <v>0</v>
      </c>
      <c r="BE23" s="242">
        <v>0</v>
      </c>
      <c r="BF23" s="242"/>
      <c r="BG23" s="242">
        <v>1</v>
      </c>
      <c r="BH23" s="242">
        <v>0</v>
      </c>
      <c r="BI23" s="242">
        <v>0</v>
      </c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 t="s">
        <v>637</v>
      </c>
      <c r="BW23" s="242">
        <v>0</v>
      </c>
      <c r="BX23" s="242">
        <v>0</v>
      </c>
      <c r="BY23" s="242">
        <v>0</v>
      </c>
      <c r="BZ23" s="242">
        <v>0</v>
      </c>
      <c r="CA23" s="242">
        <v>0</v>
      </c>
      <c r="CB23" s="243" t="s">
        <v>633</v>
      </c>
      <c r="CC23" s="248">
        <v>94989.88</v>
      </c>
      <c r="CD23" s="248">
        <v>94989.88</v>
      </c>
      <c r="CE23" s="248">
        <v>101150</v>
      </c>
      <c r="CF23" s="248">
        <v>0</v>
      </c>
    </row>
    <row r="24" spans="1:84" x14ac:dyDescent="0.25">
      <c r="A24" s="254"/>
      <c r="B24" s="93" t="s">
        <v>673</v>
      </c>
      <c r="C24" s="255"/>
      <c r="D24" s="233"/>
      <c r="E24" s="279">
        <f>SUM(E8:E23)</f>
        <v>808048195.79000008</v>
      </c>
      <c r="F24" s="268">
        <f>SUM(F8:F23)</f>
        <v>819319659.6500001</v>
      </c>
      <c r="G24" s="256"/>
      <c r="H24" s="257"/>
      <c r="I24" s="237"/>
      <c r="J24" s="280">
        <f>SUM(J8:J23)</f>
        <v>822020277.23999977</v>
      </c>
      <c r="K24" s="239"/>
      <c r="L24" s="240"/>
      <c r="M24" s="272">
        <f>SUM(M8:M23)</f>
        <v>838979324.75</v>
      </c>
      <c r="N24" s="281">
        <f>SUM(N8:N23)</f>
        <v>793175925.39999986</v>
      </c>
      <c r="O24" s="71"/>
      <c r="P24" s="100"/>
      <c r="Q24" s="270">
        <f>SUM(Q8:Q23)</f>
        <v>0</v>
      </c>
      <c r="R24" s="270">
        <f>SUM(R8:R23)</f>
        <v>0</v>
      </c>
      <c r="S24" s="270">
        <f>SUM(S8:S23)</f>
        <v>0</v>
      </c>
      <c r="T24" s="258"/>
      <c r="U24" s="10"/>
      <c r="V24" s="23"/>
      <c r="W24" s="271">
        <f>SUM(W8:W23)</f>
        <v>0</v>
      </c>
      <c r="X24" s="272">
        <f>SUM(X8:X23)</f>
        <v>620195169.09000003</v>
      </c>
      <c r="Y24" s="270">
        <f>SUM(Y8:Y23)</f>
        <v>0</v>
      </c>
      <c r="Z24" s="270">
        <f>SUM(Z8:Z23)</f>
        <v>0</v>
      </c>
      <c r="AA24" s="270">
        <f>SUM(AA8:AA23)</f>
        <v>0</v>
      </c>
      <c r="AB24" s="10"/>
      <c r="AC24" s="24"/>
      <c r="AD24" s="271">
        <f>SUM(AD8:AD23)</f>
        <v>532359270.4298197</v>
      </c>
      <c r="AE24" s="272">
        <f>SUM(AE8:AE23)</f>
        <v>505508482.4199999</v>
      </c>
      <c r="AF24" s="270">
        <f>SUM(AF8:AF23)</f>
        <v>0</v>
      </c>
      <c r="AG24" s="10"/>
      <c r="AH24" s="271">
        <f>SUM(AH8:AH23)</f>
        <v>0</v>
      </c>
      <c r="AI24" s="272">
        <f>SUM(AI8:AI23)</f>
        <v>114686686.66999999</v>
      </c>
      <c r="AJ24" s="270">
        <f>SUM(AJ8:AJ23)</f>
        <v>0</v>
      </c>
      <c r="AK24" s="10"/>
      <c r="AL24" s="283">
        <f>SUM(AL8:AL23)</f>
        <v>0</v>
      </c>
      <c r="AM24" s="283">
        <f>SUM(AM8:AM23)</f>
        <v>0</v>
      </c>
      <c r="AN24" s="283">
        <f>SUM(AN8:AN23)</f>
        <v>0</v>
      </c>
      <c r="AO24" s="10"/>
      <c r="AP24" s="284">
        <f>SUM(AP8:AP23)</f>
        <v>635522554.88999999</v>
      </c>
      <c r="AQ24" s="284">
        <f>SUM(AQ8:AQ23)</f>
        <v>0</v>
      </c>
      <c r="AR24" s="284">
        <f>SUM(AR8:AR23)</f>
        <v>0</v>
      </c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93" t="s">
        <v>632</v>
      </c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 t="s">
        <v>674</v>
      </c>
      <c r="B27" s="255" t="s">
        <v>675</v>
      </c>
      <c r="C27" s="255" t="s">
        <v>660</v>
      </c>
      <c r="D27" s="233"/>
      <c r="E27" s="234">
        <v>2273682.69</v>
      </c>
      <c r="F27" s="235">
        <v>2273682.69</v>
      </c>
      <c r="G27" s="256"/>
      <c r="H27" s="257"/>
      <c r="I27" s="237"/>
      <c r="J27" s="238">
        <v>2273682.69</v>
      </c>
      <c r="K27" s="239"/>
      <c r="L27" s="240"/>
      <c r="M27" s="8">
        <v>1665145.3</v>
      </c>
      <c r="N27" s="241">
        <v>1665145.3</v>
      </c>
      <c r="O27" s="71"/>
      <c r="P27" s="100"/>
      <c r="Q27" s="9"/>
      <c r="R27" s="9"/>
      <c r="S27" s="9"/>
      <c r="T27" s="258">
        <v>45808</v>
      </c>
      <c r="U27" s="10"/>
      <c r="V27" s="23"/>
      <c r="W27" s="11"/>
      <c r="X27" s="8">
        <v>1665145.3</v>
      </c>
      <c r="Y27" s="9"/>
      <c r="Z27" s="9"/>
      <c r="AA27" s="9"/>
      <c r="AB27" s="10"/>
      <c r="AC27" s="24">
        <v>0.94357816196235211</v>
      </c>
      <c r="AD27" s="11">
        <v>2024349.729632199</v>
      </c>
      <c r="AE27" s="8">
        <v>1665145.3</v>
      </c>
      <c r="AF27" s="9"/>
      <c r="AG27" s="10"/>
      <c r="AH27" s="11"/>
      <c r="AI27" s="8">
        <v>0</v>
      </c>
      <c r="AJ27" s="9"/>
      <c r="AK27" s="10"/>
      <c r="AL27" s="25"/>
      <c r="AM27" s="25"/>
      <c r="AN27" s="25"/>
      <c r="AO27" s="10"/>
      <c r="AP27" s="12">
        <v>2273682.69</v>
      </c>
      <c r="AQ27" s="12"/>
      <c r="AR27" s="12"/>
      <c r="AS27" s="242"/>
      <c r="AT27" s="243"/>
      <c r="AU27" s="242"/>
      <c r="AV27" s="242"/>
      <c r="AW27" s="244"/>
      <c r="AX27" s="243" t="s">
        <v>630</v>
      </c>
      <c r="AY27" s="243" t="s">
        <v>630</v>
      </c>
      <c r="AZ27" s="15">
        <v>2273682.69</v>
      </c>
      <c r="BA27" s="15">
        <v>1665145.3</v>
      </c>
      <c r="BB27" s="15">
        <v>2273682.69</v>
      </c>
      <c r="BC27" s="15">
        <v>1665145.3</v>
      </c>
      <c r="BD27" s="242">
        <v>0</v>
      </c>
      <c r="BE27" s="242">
        <v>0</v>
      </c>
      <c r="BF27" s="242"/>
      <c r="BG27" s="242">
        <v>2</v>
      </c>
      <c r="BH27" s="242">
        <v>0</v>
      </c>
      <c r="BI27" s="242">
        <v>608537.3899999999</v>
      </c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 t="s">
        <v>637</v>
      </c>
      <c r="BW27" s="242">
        <v>0</v>
      </c>
      <c r="BX27" s="242">
        <v>2145396.9700000002</v>
      </c>
      <c r="BY27" s="242">
        <v>1764713.69</v>
      </c>
      <c r="BZ27" s="242">
        <v>2145396.9700000002</v>
      </c>
      <c r="CA27" s="242">
        <v>1764713.69</v>
      </c>
      <c r="CB27" s="243" t="s">
        <v>633</v>
      </c>
      <c r="CC27" s="248">
        <v>1665145.3</v>
      </c>
      <c r="CD27" s="248">
        <v>0</v>
      </c>
      <c r="CE27" s="248">
        <v>2273682.69</v>
      </c>
      <c r="CF27" s="248">
        <v>0</v>
      </c>
    </row>
    <row r="28" spans="1:84" x14ac:dyDescent="0.25">
      <c r="A28" s="254" t="s">
        <v>676</v>
      </c>
      <c r="B28" s="255" t="s">
        <v>677</v>
      </c>
      <c r="C28" s="255" t="s">
        <v>666</v>
      </c>
      <c r="D28" s="233"/>
      <c r="E28" s="234">
        <v>4072535</v>
      </c>
      <c r="F28" s="235">
        <v>4072535</v>
      </c>
      <c r="G28" s="256"/>
      <c r="H28" s="257"/>
      <c r="I28" s="237"/>
      <c r="J28" s="238">
        <v>4046200</v>
      </c>
      <c r="K28" s="239"/>
      <c r="L28" s="240"/>
      <c r="M28" s="8">
        <v>3349995.73</v>
      </c>
      <c r="N28" s="241">
        <v>3321856.36</v>
      </c>
      <c r="O28" s="239"/>
      <c r="P28" s="240"/>
      <c r="Q28" s="9"/>
      <c r="R28" s="9"/>
      <c r="S28" s="9"/>
      <c r="T28" s="258">
        <v>45747</v>
      </c>
      <c r="U28" s="10"/>
      <c r="V28" s="23"/>
      <c r="W28" s="11"/>
      <c r="X28" s="8">
        <v>3321856.36</v>
      </c>
      <c r="Y28" s="9"/>
      <c r="Z28" s="9"/>
      <c r="AA28" s="9"/>
      <c r="AB28" s="10"/>
      <c r="AC28" s="24">
        <v>0.96601137753156663</v>
      </c>
      <c r="AD28" s="11">
        <v>3800398.507761782</v>
      </c>
      <c r="AE28" s="8">
        <v>3306207.75</v>
      </c>
      <c r="AF28" s="9"/>
      <c r="AG28" s="10"/>
      <c r="AH28" s="11"/>
      <c r="AI28" s="8">
        <v>15648.61</v>
      </c>
      <c r="AJ28" s="9"/>
      <c r="AK28" s="10"/>
      <c r="AL28" s="25"/>
      <c r="AM28" s="25"/>
      <c r="AN28" s="25"/>
      <c r="AO28" s="10"/>
      <c r="AP28" s="12">
        <v>4046200</v>
      </c>
      <c r="AQ28" s="12"/>
      <c r="AR28" s="12"/>
      <c r="AS28" s="242"/>
      <c r="AT28" s="243"/>
      <c r="AU28" s="242"/>
      <c r="AV28" s="242"/>
      <c r="AW28" s="244"/>
      <c r="AX28" s="243" t="s">
        <v>630</v>
      </c>
      <c r="AY28" s="243" t="s">
        <v>630</v>
      </c>
      <c r="AZ28" s="15">
        <v>4046200</v>
      </c>
      <c r="BA28" s="15">
        <v>3321856.36</v>
      </c>
      <c r="BB28" s="15">
        <v>4046200</v>
      </c>
      <c r="BC28" s="15">
        <v>3321856.36</v>
      </c>
      <c r="BD28" s="242">
        <v>0</v>
      </c>
      <c r="BE28" s="242">
        <v>0</v>
      </c>
      <c r="BF28" s="242"/>
      <c r="BG28" s="242">
        <v>2</v>
      </c>
      <c r="BH28" s="242">
        <v>0</v>
      </c>
      <c r="BI28" s="242">
        <v>724343.64000000013</v>
      </c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 t="s">
        <v>637</v>
      </c>
      <c r="BW28" s="242">
        <v>0</v>
      </c>
      <c r="BX28" s="242">
        <v>3934113.61</v>
      </c>
      <c r="BY28" s="242">
        <v>3422535</v>
      </c>
      <c r="BZ28" s="242">
        <v>3934113.61</v>
      </c>
      <c r="CA28" s="242">
        <v>3422535</v>
      </c>
      <c r="CB28" s="243" t="s">
        <v>633</v>
      </c>
      <c r="CC28" s="248">
        <v>3321856.36</v>
      </c>
      <c r="CD28" s="248">
        <v>15648.61</v>
      </c>
      <c r="CE28" s="248">
        <v>4046200</v>
      </c>
      <c r="CF28" s="248">
        <v>0</v>
      </c>
    </row>
    <row r="29" spans="1:84" x14ac:dyDescent="0.25">
      <c r="A29" s="254" t="s">
        <v>678</v>
      </c>
      <c r="B29" s="255" t="s">
        <v>679</v>
      </c>
      <c r="C29" s="255" t="s">
        <v>680</v>
      </c>
      <c r="D29" s="233"/>
      <c r="E29" s="234">
        <v>0</v>
      </c>
      <c r="F29" s="235">
        <v>0</v>
      </c>
      <c r="G29" s="256"/>
      <c r="H29" s="257"/>
      <c r="I29" s="237"/>
      <c r="J29" s="238">
        <v>34207.53</v>
      </c>
      <c r="K29" s="239"/>
      <c r="L29" s="240"/>
      <c r="M29" s="8">
        <v>145534.28</v>
      </c>
      <c r="N29" s="241">
        <v>32500.86</v>
      </c>
      <c r="O29" s="71"/>
      <c r="P29" s="100"/>
      <c r="Q29" s="9"/>
      <c r="R29" s="9"/>
      <c r="S29" s="9"/>
      <c r="T29" s="258">
        <v>45930</v>
      </c>
      <c r="U29" s="10"/>
      <c r="V29" s="23"/>
      <c r="W29" s="11"/>
      <c r="X29" s="8">
        <v>32500.86</v>
      </c>
      <c r="Y29" s="9"/>
      <c r="Z29" s="9"/>
      <c r="AA29" s="9"/>
      <c r="AB29" s="10"/>
      <c r="AC29" s="24">
        <v>1</v>
      </c>
      <c r="AD29" s="11">
        <v>0</v>
      </c>
      <c r="AE29" s="8">
        <v>26100.05</v>
      </c>
      <c r="AF29" s="9"/>
      <c r="AG29" s="10"/>
      <c r="AH29" s="11"/>
      <c r="AI29" s="8">
        <v>6400.81</v>
      </c>
      <c r="AJ29" s="9"/>
      <c r="AK29" s="10"/>
      <c r="AL29" s="25"/>
      <c r="AM29" s="25"/>
      <c r="AN29" s="25"/>
      <c r="AO29" s="10"/>
      <c r="AP29" s="12">
        <v>34207.53</v>
      </c>
      <c r="AQ29" s="12"/>
      <c r="AR29" s="12"/>
      <c r="AS29" s="242"/>
      <c r="AT29" s="243"/>
      <c r="AU29" s="242"/>
      <c r="AV29" s="242"/>
      <c r="AW29" s="244"/>
      <c r="AX29" s="243" t="s">
        <v>630</v>
      </c>
      <c r="AY29" s="243" t="s">
        <v>630</v>
      </c>
      <c r="AZ29" s="15">
        <v>34207.53</v>
      </c>
      <c r="BA29" s="15">
        <v>32500.86</v>
      </c>
      <c r="BB29" s="15">
        <v>34207.53</v>
      </c>
      <c r="BC29" s="15">
        <v>32500.86</v>
      </c>
      <c r="BD29" s="242">
        <v>0</v>
      </c>
      <c r="BE29" s="242">
        <v>0</v>
      </c>
      <c r="BF29" s="242"/>
      <c r="BG29" s="242">
        <v>2</v>
      </c>
      <c r="BH29" s="242">
        <v>0</v>
      </c>
      <c r="BI29" s="242">
        <v>4433.6399999999994</v>
      </c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 t="s">
        <v>637</v>
      </c>
      <c r="BW29" s="242">
        <v>0</v>
      </c>
      <c r="BX29" s="242">
        <v>0</v>
      </c>
      <c r="BY29" s="242">
        <v>26100.05</v>
      </c>
      <c r="BZ29" s="242">
        <v>0</v>
      </c>
      <c r="CA29" s="242">
        <v>26100.05</v>
      </c>
      <c r="CB29" s="243" t="s">
        <v>633</v>
      </c>
      <c r="CC29" s="248">
        <v>32500.86</v>
      </c>
      <c r="CD29" s="248">
        <v>6400.81</v>
      </c>
      <c r="CE29" s="248">
        <v>34207.53</v>
      </c>
      <c r="CF29" s="248">
        <v>0</v>
      </c>
    </row>
    <row r="30" spans="1:84" x14ac:dyDescent="0.25">
      <c r="A30" s="254" t="s">
        <v>681</v>
      </c>
      <c r="B30" s="255" t="s">
        <v>682</v>
      </c>
      <c r="C30" s="255" t="s">
        <v>663</v>
      </c>
      <c r="D30" s="233"/>
      <c r="E30" s="234">
        <v>184577.17</v>
      </c>
      <c r="F30" s="235">
        <v>184577.17</v>
      </c>
      <c r="G30" s="256"/>
      <c r="H30" s="257"/>
      <c r="I30" s="237"/>
      <c r="J30" s="238">
        <v>184557.17</v>
      </c>
      <c r="K30" s="239"/>
      <c r="L30" s="240"/>
      <c r="M30" s="8">
        <v>48293.94</v>
      </c>
      <c r="N30" s="241">
        <v>48293.94</v>
      </c>
      <c r="O30" s="71"/>
      <c r="P30" s="100"/>
      <c r="Q30" s="9"/>
      <c r="R30" s="9"/>
      <c r="S30" s="9"/>
      <c r="T30" s="258">
        <v>45747</v>
      </c>
      <c r="U30" s="10"/>
      <c r="V30" s="23"/>
      <c r="W30" s="11"/>
      <c r="X30" s="8">
        <v>48293.94</v>
      </c>
      <c r="Y30" s="9"/>
      <c r="Z30" s="9"/>
      <c r="AA30" s="9"/>
      <c r="AB30" s="10"/>
      <c r="AC30" s="24">
        <v>0.7306524742527003</v>
      </c>
      <c r="AD30" s="11">
        <v>98537.020173875877</v>
      </c>
      <c r="AE30" s="8">
        <v>46539.64</v>
      </c>
      <c r="AF30" s="9"/>
      <c r="AG30" s="10"/>
      <c r="AH30" s="11"/>
      <c r="AI30" s="8">
        <v>1754.3</v>
      </c>
      <c r="AJ30" s="9"/>
      <c r="AK30" s="10"/>
      <c r="AL30" s="25"/>
      <c r="AM30" s="25"/>
      <c r="AN30" s="25"/>
      <c r="AO30" s="10"/>
      <c r="AP30" s="12">
        <v>184557.17</v>
      </c>
      <c r="AQ30" s="12"/>
      <c r="AR30" s="12"/>
      <c r="AS30" s="242"/>
      <c r="AT30" s="243"/>
      <c r="AU30" s="242"/>
      <c r="AV30" s="242"/>
      <c r="AW30" s="244"/>
      <c r="AX30" s="243" t="s">
        <v>630</v>
      </c>
      <c r="AY30" s="243" t="s">
        <v>630</v>
      </c>
      <c r="AZ30" s="15">
        <v>184557.17</v>
      </c>
      <c r="BA30" s="15">
        <v>48293.94</v>
      </c>
      <c r="BB30" s="15">
        <v>184557.17</v>
      </c>
      <c r="BC30" s="15">
        <v>48293.94</v>
      </c>
      <c r="BD30" s="242">
        <v>0</v>
      </c>
      <c r="BE30" s="242">
        <v>0</v>
      </c>
      <c r="BF30" s="242"/>
      <c r="BG30" s="242">
        <v>2</v>
      </c>
      <c r="BH30" s="242">
        <v>0</v>
      </c>
      <c r="BI30" s="242">
        <v>136263.23000000001</v>
      </c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 t="s">
        <v>637</v>
      </c>
      <c r="BW30" s="242">
        <v>0</v>
      </c>
      <c r="BX30" s="242">
        <v>134861.68</v>
      </c>
      <c r="BY30" s="242">
        <v>63696</v>
      </c>
      <c r="BZ30" s="242">
        <v>134861.68</v>
      </c>
      <c r="CA30" s="242">
        <v>63696</v>
      </c>
      <c r="CB30" s="243" t="s">
        <v>633</v>
      </c>
      <c r="CC30" s="248">
        <v>48293.94</v>
      </c>
      <c r="CD30" s="248">
        <v>1754.3</v>
      </c>
      <c r="CE30" s="248">
        <v>184557.17</v>
      </c>
      <c r="CF30" s="248">
        <v>0</v>
      </c>
    </row>
    <row r="31" spans="1:84" x14ac:dyDescent="0.25">
      <c r="A31" s="254" t="s">
        <v>683</v>
      </c>
      <c r="B31" s="255" t="s">
        <v>684</v>
      </c>
      <c r="C31" s="255" t="s">
        <v>663</v>
      </c>
      <c r="D31" s="233"/>
      <c r="E31" s="234">
        <v>322982.96000000002</v>
      </c>
      <c r="F31" s="235">
        <v>322982.96000000002</v>
      </c>
      <c r="G31" s="256"/>
      <c r="H31" s="257"/>
      <c r="I31" s="237"/>
      <c r="J31" s="238">
        <v>322982.96000000002</v>
      </c>
      <c r="K31" s="239"/>
      <c r="L31" s="240"/>
      <c r="M31" s="8">
        <v>283682.84999999998</v>
      </c>
      <c r="N31" s="241">
        <v>284221.86</v>
      </c>
      <c r="O31" s="71"/>
      <c r="P31" s="100"/>
      <c r="Q31" s="9"/>
      <c r="R31" s="9"/>
      <c r="S31" s="9"/>
      <c r="T31" s="258">
        <v>45808</v>
      </c>
      <c r="U31" s="10"/>
      <c r="V31" s="23"/>
      <c r="W31" s="11"/>
      <c r="X31" s="8">
        <v>284221.86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284221.86</v>
      </c>
      <c r="AJ31" s="9"/>
      <c r="AK31" s="10"/>
      <c r="AL31" s="25"/>
      <c r="AM31" s="25"/>
      <c r="AN31" s="25"/>
      <c r="AO31" s="10"/>
      <c r="AP31" s="12">
        <v>322982.96000000002</v>
      </c>
      <c r="AQ31" s="12"/>
      <c r="AR31" s="12"/>
      <c r="AS31" s="242"/>
      <c r="AT31" s="243"/>
      <c r="AU31" s="242"/>
      <c r="AV31" s="242"/>
      <c r="AW31" s="244"/>
      <c r="AX31" s="243" t="s">
        <v>630</v>
      </c>
      <c r="AY31" s="243" t="s">
        <v>630</v>
      </c>
      <c r="AZ31" s="15">
        <v>322982.96000000002</v>
      </c>
      <c r="BA31" s="15">
        <v>284221.86</v>
      </c>
      <c r="BB31" s="15">
        <v>322982.96000000002</v>
      </c>
      <c r="BC31" s="15">
        <v>284221.86</v>
      </c>
      <c r="BD31" s="242">
        <v>0</v>
      </c>
      <c r="BE31" s="242">
        <v>0</v>
      </c>
      <c r="BF31" s="242"/>
      <c r="BG31" s="242">
        <v>2</v>
      </c>
      <c r="BH31" s="242">
        <v>0</v>
      </c>
      <c r="BI31" s="242">
        <v>38761.100000000035</v>
      </c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 t="s">
        <v>637</v>
      </c>
      <c r="BW31" s="242">
        <v>0</v>
      </c>
      <c r="BX31" s="242">
        <v>0</v>
      </c>
      <c r="BY31" s="242">
        <v>0</v>
      </c>
      <c r="BZ31" s="242">
        <v>0</v>
      </c>
      <c r="CA31" s="242">
        <v>0</v>
      </c>
      <c r="CB31" s="243" t="s">
        <v>633</v>
      </c>
      <c r="CC31" s="248">
        <v>284221.86</v>
      </c>
      <c r="CD31" s="248">
        <v>284221.86</v>
      </c>
      <c r="CE31" s="248">
        <v>322982.96000000002</v>
      </c>
      <c r="CF31" s="248">
        <v>0</v>
      </c>
    </row>
    <row r="32" spans="1:84" x14ac:dyDescent="0.25">
      <c r="A32" s="254" t="s">
        <v>685</v>
      </c>
      <c r="B32" s="255" t="s">
        <v>686</v>
      </c>
      <c r="C32" s="255" t="s">
        <v>680</v>
      </c>
      <c r="D32" s="233"/>
      <c r="E32" s="234">
        <v>0</v>
      </c>
      <c r="F32" s="235">
        <v>0</v>
      </c>
      <c r="G32" s="256"/>
      <c r="H32" s="257"/>
      <c r="I32" s="237"/>
      <c r="J32" s="238">
        <v>0</v>
      </c>
      <c r="K32" s="239"/>
      <c r="L32" s="240"/>
      <c r="M32" s="8">
        <v>1958826.45</v>
      </c>
      <c r="N32" s="241">
        <v>1958826.45</v>
      </c>
      <c r="O32" s="71"/>
      <c r="P32" s="100"/>
      <c r="Q32" s="9"/>
      <c r="R32" s="9"/>
      <c r="S32" s="9"/>
      <c r="T32" s="258">
        <v>46022</v>
      </c>
      <c r="U32" s="10"/>
      <c r="V32" s="23"/>
      <c r="W32" s="11"/>
      <c r="X32" s="8">
        <v>1958826.45</v>
      </c>
      <c r="Y32" s="9"/>
      <c r="Z32" s="9"/>
      <c r="AA32" s="9"/>
      <c r="AB32" s="10"/>
      <c r="AC32" s="24">
        <v>0</v>
      </c>
      <c r="AD32" s="11">
        <v>0</v>
      </c>
      <c r="AE32" s="8">
        <v>0</v>
      </c>
      <c r="AF32" s="9"/>
      <c r="AG32" s="10"/>
      <c r="AH32" s="11"/>
      <c r="AI32" s="8">
        <v>1958826.45</v>
      </c>
      <c r="AJ32" s="9"/>
      <c r="AK32" s="10"/>
      <c r="AL32" s="25"/>
      <c r="AM32" s="25"/>
      <c r="AN32" s="25"/>
      <c r="AO32" s="10"/>
      <c r="AP32" s="12">
        <v>0</v>
      </c>
      <c r="AQ32" s="12"/>
      <c r="AR32" s="12"/>
      <c r="AS32" s="242"/>
      <c r="AT32" s="243"/>
      <c r="AU32" s="242"/>
      <c r="AV32" s="242"/>
      <c r="AW32" s="244"/>
      <c r="AX32" s="243" t="s">
        <v>630</v>
      </c>
      <c r="AY32" s="243" t="s">
        <v>630</v>
      </c>
      <c r="AZ32" s="15">
        <v>0</v>
      </c>
      <c r="BA32" s="15">
        <v>1958826.45</v>
      </c>
      <c r="BB32" s="15">
        <v>0</v>
      </c>
      <c r="BC32" s="15">
        <v>1958826.45</v>
      </c>
      <c r="BD32" s="242">
        <v>0</v>
      </c>
      <c r="BE32" s="242">
        <v>0</v>
      </c>
      <c r="BF32" s="242"/>
      <c r="BG32" s="242">
        <v>2</v>
      </c>
      <c r="BH32" s="242">
        <v>0</v>
      </c>
      <c r="BI32" s="242">
        <v>-1467373.49</v>
      </c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 t="s">
        <v>637</v>
      </c>
      <c r="BW32" s="242">
        <v>0</v>
      </c>
      <c r="BX32" s="242">
        <v>0</v>
      </c>
      <c r="BY32" s="242">
        <v>0</v>
      </c>
      <c r="BZ32" s="242">
        <v>0</v>
      </c>
      <c r="CA32" s="242">
        <v>0</v>
      </c>
      <c r="CB32" s="243" t="s">
        <v>633</v>
      </c>
      <c r="CC32" s="248">
        <v>1958826.45</v>
      </c>
      <c r="CD32" s="248">
        <v>1958826.45</v>
      </c>
      <c r="CE32" s="248">
        <v>0</v>
      </c>
      <c r="CF32" s="248">
        <v>0</v>
      </c>
    </row>
    <row r="33" spans="1:84" x14ac:dyDescent="0.25">
      <c r="A33" s="254" t="s">
        <v>687</v>
      </c>
      <c r="B33" s="255" t="s">
        <v>688</v>
      </c>
      <c r="C33" s="255" t="s">
        <v>680</v>
      </c>
      <c r="D33" s="233"/>
      <c r="E33" s="234">
        <v>0</v>
      </c>
      <c r="F33" s="235">
        <v>0</v>
      </c>
      <c r="G33" s="256"/>
      <c r="H33" s="257"/>
      <c r="I33" s="237"/>
      <c r="J33" s="238">
        <v>0</v>
      </c>
      <c r="K33" s="239"/>
      <c r="L33" s="240"/>
      <c r="M33" s="8">
        <v>475814.03</v>
      </c>
      <c r="N33" s="241">
        <v>475814.03</v>
      </c>
      <c r="O33" s="71"/>
      <c r="P33" s="100"/>
      <c r="Q33" s="9"/>
      <c r="R33" s="9"/>
      <c r="S33" s="9"/>
      <c r="T33" s="258">
        <v>46022</v>
      </c>
      <c r="U33" s="10"/>
      <c r="V33" s="23"/>
      <c r="W33" s="11"/>
      <c r="X33" s="8">
        <v>475814.03</v>
      </c>
      <c r="Y33" s="9"/>
      <c r="Z33" s="9"/>
      <c r="AA33" s="9"/>
      <c r="AB33" s="10"/>
      <c r="AC33" s="24">
        <v>0</v>
      </c>
      <c r="AD33" s="11">
        <v>0</v>
      </c>
      <c r="AE33" s="8">
        <v>0</v>
      </c>
      <c r="AF33" s="9"/>
      <c r="AG33" s="10"/>
      <c r="AH33" s="11"/>
      <c r="AI33" s="8">
        <v>475814.03</v>
      </c>
      <c r="AJ33" s="9"/>
      <c r="AK33" s="10"/>
      <c r="AL33" s="25"/>
      <c r="AM33" s="25"/>
      <c r="AN33" s="25"/>
      <c r="AO33" s="10"/>
      <c r="AP33" s="12">
        <v>0</v>
      </c>
      <c r="AQ33" s="12"/>
      <c r="AR33" s="12"/>
      <c r="AS33" s="242"/>
      <c r="AT33" s="243"/>
      <c r="AU33" s="242"/>
      <c r="AV33" s="242"/>
      <c r="AW33" s="244"/>
      <c r="AX33" s="243" t="s">
        <v>630</v>
      </c>
      <c r="AY33" s="243" t="s">
        <v>630</v>
      </c>
      <c r="AZ33" s="15">
        <v>0</v>
      </c>
      <c r="BA33" s="15">
        <v>475814.03</v>
      </c>
      <c r="BB33" s="15">
        <v>0</v>
      </c>
      <c r="BC33" s="15">
        <v>475814.03</v>
      </c>
      <c r="BD33" s="242">
        <v>0</v>
      </c>
      <c r="BE33" s="242">
        <v>0</v>
      </c>
      <c r="BF33" s="242"/>
      <c r="BG33" s="242">
        <v>2</v>
      </c>
      <c r="BH33" s="242">
        <v>0</v>
      </c>
      <c r="BI33" s="242">
        <v>-397825.87</v>
      </c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 t="s">
        <v>637</v>
      </c>
      <c r="BW33" s="242">
        <v>0</v>
      </c>
      <c r="BX33" s="242">
        <v>0</v>
      </c>
      <c r="BY33" s="242">
        <v>0</v>
      </c>
      <c r="BZ33" s="242">
        <v>0</v>
      </c>
      <c r="CA33" s="242">
        <v>0</v>
      </c>
      <c r="CB33" s="243" t="s">
        <v>633</v>
      </c>
      <c r="CC33" s="248">
        <v>475814.03</v>
      </c>
      <c r="CD33" s="248">
        <v>475814.03</v>
      </c>
      <c r="CE33" s="248">
        <v>0</v>
      </c>
      <c r="CF33" s="248">
        <v>0</v>
      </c>
    </row>
    <row r="34" spans="1:84" x14ac:dyDescent="0.25">
      <c r="A34" s="254"/>
      <c r="B34" s="93" t="s">
        <v>689</v>
      </c>
      <c r="C34" s="255"/>
      <c r="D34" s="233"/>
      <c r="E34" s="279">
        <f>SUM(E26:E33)</f>
        <v>6853777.8199999994</v>
      </c>
      <c r="F34" s="268">
        <f>SUM(F26:F33)</f>
        <v>6853777.8199999994</v>
      </c>
      <c r="G34" s="256"/>
      <c r="H34" s="257"/>
      <c r="I34" s="237"/>
      <c r="J34" s="280">
        <f>SUM(J26:J33)</f>
        <v>6861630.3499999996</v>
      </c>
      <c r="K34" s="239"/>
      <c r="L34" s="240"/>
      <c r="M34" s="272">
        <f>SUM(M26:M33)</f>
        <v>7927292.580000001</v>
      </c>
      <c r="N34" s="281">
        <f>SUM(N26:N33)</f>
        <v>7786658.8000000017</v>
      </c>
      <c r="O34" s="71"/>
      <c r="P34" s="100"/>
      <c r="Q34" s="270">
        <f>SUM(Q26:Q33)</f>
        <v>0</v>
      </c>
      <c r="R34" s="270">
        <f>SUM(R26:R33)</f>
        <v>0</v>
      </c>
      <c r="S34" s="270">
        <f>SUM(S26:S33)</f>
        <v>0</v>
      </c>
      <c r="T34" s="258"/>
      <c r="U34" s="10"/>
      <c r="V34" s="23"/>
      <c r="W34" s="271">
        <f>SUM(W26:W33)</f>
        <v>0</v>
      </c>
      <c r="X34" s="272">
        <f>SUM(X26:X33)</f>
        <v>7786658.8000000017</v>
      </c>
      <c r="Y34" s="270">
        <f>SUM(Y26:Y33)</f>
        <v>0</v>
      </c>
      <c r="Z34" s="270">
        <f>SUM(Z26:Z33)</f>
        <v>0</v>
      </c>
      <c r="AA34" s="270">
        <f>SUM(AA26:AA33)</f>
        <v>0</v>
      </c>
      <c r="AB34" s="10"/>
      <c r="AC34" s="24"/>
      <c r="AD34" s="271">
        <f>SUM(AD26:AD33)</f>
        <v>5923285.2575678565</v>
      </c>
      <c r="AE34" s="272">
        <f>SUM(AE26:AE33)</f>
        <v>5043992.7399999993</v>
      </c>
      <c r="AF34" s="270">
        <f>SUM(AF26:AF33)</f>
        <v>0</v>
      </c>
      <c r="AG34" s="10"/>
      <c r="AH34" s="271">
        <f>SUM(AH26:AH33)</f>
        <v>0</v>
      </c>
      <c r="AI34" s="272">
        <f>SUM(AI26:AI33)</f>
        <v>2742666.0599999996</v>
      </c>
      <c r="AJ34" s="270">
        <f>SUM(AJ26:AJ33)</f>
        <v>0</v>
      </c>
      <c r="AK34" s="10"/>
      <c r="AL34" s="283">
        <f>SUM(AL26:AL33)</f>
        <v>0</v>
      </c>
      <c r="AM34" s="283">
        <f>SUM(AM26:AM33)</f>
        <v>0</v>
      </c>
      <c r="AN34" s="283">
        <f>SUM(AN26:AN33)</f>
        <v>0</v>
      </c>
      <c r="AO34" s="10"/>
      <c r="AP34" s="284">
        <f>SUM(AP26:AP33)</f>
        <v>6861630.3499999996</v>
      </c>
      <c r="AQ34" s="284">
        <f>SUM(AQ26:AQ33)</f>
        <v>0</v>
      </c>
      <c r="AR34" s="284">
        <f>SUM(AR26:AR33)</f>
        <v>0</v>
      </c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93" t="s">
        <v>690</v>
      </c>
      <c r="C36" s="255"/>
      <c r="D36" s="233"/>
      <c r="E36" s="279">
        <f>SUM(E7:E35)/2</f>
        <v>814901973.61000013</v>
      </c>
      <c r="F36" s="268">
        <f>SUM(F7:F35)/2</f>
        <v>826173437.47000015</v>
      </c>
      <c r="G36" s="256"/>
      <c r="H36" s="257"/>
      <c r="I36" s="237"/>
      <c r="J36" s="280">
        <f>SUM(J7:J35)/2</f>
        <v>828881907.58999979</v>
      </c>
      <c r="K36" s="239"/>
      <c r="L36" s="240"/>
      <c r="M36" s="272">
        <f>SUM(M7:M35)/2</f>
        <v>846906617.32999992</v>
      </c>
      <c r="N36" s="281">
        <f>SUM(N7:N35)/2</f>
        <v>800962584.19999969</v>
      </c>
      <c r="O36" s="71"/>
      <c r="P36" s="100"/>
      <c r="Q36" s="270">
        <f>SUM(Q7:Q35)/2</f>
        <v>0</v>
      </c>
      <c r="R36" s="270">
        <f>SUM(R7:R35)/2</f>
        <v>0</v>
      </c>
      <c r="S36" s="270">
        <f>SUM(S7:S35)/2</f>
        <v>0</v>
      </c>
      <c r="T36" s="258"/>
      <c r="U36" s="10"/>
      <c r="V36" s="23"/>
      <c r="W36" s="271">
        <f>SUM(W7:W35)/2</f>
        <v>0</v>
      </c>
      <c r="X36" s="272">
        <f>SUM(X7:X35)/2</f>
        <v>627981827.88999987</v>
      </c>
      <c r="Y36" s="270">
        <f>SUM(Y7:Y35)/2</f>
        <v>0</v>
      </c>
      <c r="Z36" s="270">
        <f>SUM(Z7:Z35)/2</f>
        <v>0</v>
      </c>
      <c r="AA36" s="270">
        <f>SUM(AA7:AA35)/2</f>
        <v>0</v>
      </c>
      <c r="AB36" s="10"/>
      <c r="AC36" s="24"/>
      <c r="AD36" s="271">
        <f>SUM(AD7:AD35)/2</f>
        <v>538282555.68738759</v>
      </c>
      <c r="AE36" s="272">
        <f>SUM(AE7:AE35)/2</f>
        <v>510552475.15999985</v>
      </c>
      <c r="AF36" s="270">
        <f>SUM(AF7:AF35)/2</f>
        <v>0</v>
      </c>
      <c r="AG36" s="10"/>
      <c r="AH36" s="271">
        <f>SUM(AH7:AH35)/2</f>
        <v>0</v>
      </c>
      <c r="AI36" s="272">
        <f>SUM(AI7:AI35)/2</f>
        <v>117429352.73</v>
      </c>
      <c r="AJ36" s="270">
        <f>SUM(AJ7:AJ35)/2</f>
        <v>0</v>
      </c>
      <c r="AK36" s="10"/>
      <c r="AL36" s="283">
        <f>SUM(AL7:AL35)/2</f>
        <v>0</v>
      </c>
      <c r="AM36" s="283">
        <f>SUM(AM7:AM35)/2</f>
        <v>0</v>
      </c>
      <c r="AN36" s="283">
        <f>SUM(AN7:AN35)/2</f>
        <v>0</v>
      </c>
      <c r="AO36" s="10"/>
      <c r="AP36" s="284">
        <f>SUM(AP7:AP35)/2</f>
        <v>642384185.24000001</v>
      </c>
      <c r="AQ36" s="284">
        <f>SUM(AQ7:AQ35)/2</f>
        <v>0</v>
      </c>
      <c r="AR36" s="284">
        <f>SUM(AR7:AR35)/2</f>
        <v>0</v>
      </c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300"/>
      <c r="B38" s="299" t="s">
        <v>635</v>
      </c>
      <c r="C38" s="93"/>
      <c r="D38" s="267"/>
      <c r="E38" s="279">
        <f>SUMIF(BG8:BG38,1, E8:E38)</f>
        <v>808048195.79000008</v>
      </c>
      <c r="F38" s="268">
        <f>SUMIF(BG8:BG38,1, F8:F38)</f>
        <v>819319659.6500001</v>
      </c>
      <c r="G38" s="301"/>
      <c r="H38" s="113"/>
      <c r="I38" s="104"/>
      <c r="J38" s="280">
        <f>SUMIF(BG8:BG38,1, J8:J38)</f>
        <v>822020277.23999977</v>
      </c>
      <c r="K38" s="288"/>
      <c r="L38" s="98"/>
      <c r="M38" s="272">
        <f>SUMIF(BG8:BG38,1, M8:M38)</f>
        <v>838979324.75</v>
      </c>
      <c r="N38" s="281">
        <f>SUMIF(BG8:BG38,1, N8:N38)</f>
        <v>793175925.39999986</v>
      </c>
      <c r="O38" s="289"/>
      <c r="P38" s="99"/>
      <c r="Q38" s="270">
        <f>SUMIF(BG8:BG38,1, Q8:Q38)</f>
        <v>0</v>
      </c>
      <c r="R38" s="270">
        <f>SUMIF(BG8:BG38,1, R8:R38)</f>
        <v>0</v>
      </c>
      <c r="S38" s="270">
        <f>SUMIF(BG8:BG38,1, S8:S38)</f>
        <v>0</v>
      </c>
      <c r="T38" s="302"/>
      <c r="U38" s="291"/>
      <c r="V38" s="292"/>
      <c r="W38" s="271">
        <f>SUMIF(BG8:BG38,1, W8:W38)</f>
        <v>0</v>
      </c>
      <c r="X38" s="272">
        <f>SUMIF(BG8:BG38,1, X8:X38)</f>
        <v>620195169.09000003</v>
      </c>
      <c r="Y38" s="270">
        <f>SUMIF(BG8:BG38,1, Y8:Y38)</f>
        <v>0</v>
      </c>
      <c r="Z38" s="270">
        <f>SUMIF(BG8:BG38,1, Z8:Z38)</f>
        <v>0</v>
      </c>
      <c r="AA38" s="270">
        <f>SUMIF(BG8:BG38,1, AA8:AA38)</f>
        <v>0</v>
      </c>
      <c r="AB38" s="291"/>
      <c r="AC38" s="293"/>
      <c r="AD38" s="271">
        <f>SUMIF(BG8:BG38,1, AD8:AD38)</f>
        <v>532359270.4298197</v>
      </c>
      <c r="AE38" s="272">
        <f>SUMIF(BG8:BG38,1, AE8:AE38)</f>
        <v>505508482.4199999</v>
      </c>
      <c r="AF38" s="270">
        <f>SUMIF(BG8:BG38,1, AF8:AF38)</f>
        <v>0</v>
      </c>
      <c r="AG38" s="291"/>
      <c r="AH38" s="271">
        <f>SUMIF(BG8:BG38,1, AH8:AH38)</f>
        <v>0</v>
      </c>
      <c r="AI38" s="272">
        <f>SUMIF(BG8:BG38,1, AI8:AI38)</f>
        <v>114686686.66999999</v>
      </c>
      <c r="AJ38" s="270">
        <f>SUMIF(BG8:BG38,1, AJ8:AJ38)</f>
        <v>0</v>
      </c>
      <c r="AK38" s="291"/>
      <c r="AL38" s="283">
        <f>SUMIF(BG8:BG38,1, AL8:AL38)</f>
        <v>0</v>
      </c>
      <c r="AM38" s="283">
        <f>SUMIF(BG8:BG38,1, AM8:AM38)</f>
        <v>0</v>
      </c>
      <c r="AN38" s="283">
        <f>SUMIF(BG8:BG38,1, AN8:AN38)</f>
        <v>0</v>
      </c>
      <c r="AO38" s="291"/>
      <c r="AP38" s="284">
        <f>SUMIF(BG8:BG38,1, AP8:AP38)</f>
        <v>635522554.88999999</v>
      </c>
      <c r="AQ38" s="284">
        <f>SUMIF(BG8:BG38,1, AQ8:AQ38)</f>
        <v>0</v>
      </c>
      <c r="AR38" s="284">
        <f>SUMIF(BG8:BG38,1, AR8:AR38)</f>
        <v>0</v>
      </c>
      <c r="AS38" s="15"/>
      <c r="AT38" s="274"/>
      <c r="AU38" s="15"/>
      <c r="AV38" s="15"/>
      <c r="AW38" s="275"/>
      <c r="AX38" s="274"/>
      <c r="AY38" s="274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298"/>
      <c r="BO38" s="298"/>
      <c r="BP38" s="298"/>
      <c r="BQ38" s="298"/>
      <c r="BR38" s="294"/>
      <c r="BS38" s="294"/>
      <c r="BT38" s="15"/>
      <c r="BU38" s="15"/>
      <c r="BV38" s="276"/>
      <c r="BW38" s="15"/>
      <c r="BX38" s="15"/>
      <c r="BY38" s="15"/>
      <c r="BZ38" s="15"/>
      <c r="CA38" s="15"/>
      <c r="CB38" s="274"/>
      <c r="CC38" s="277"/>
      <c r="CD38" s="277"/>
      <c r="CE38" s="277"/>
      <c r="CF38" s="277"/>
    </row>
    <row r="39" spans="1:84" x14ac:dyDescent="0.25">
      <c r="A39" s="300"/>
      <c r="B39" s="299" t="s">
        <v>636</v>
      </c>
      <c r="C39" s="93"/>
      <c r="D39" s="267"/>
      <c r="E39" s="279">
        <f>SUMIF(BG8:BG38,2, E8:E38)</f>
        <v>6853777.8199999994</v>
      </c>
      <c r="F39" s="268">
        <f>SUMIF(BG8:BG38,2, F8:F38)</f>
        <v>6853777.8199999994</v>
      </c>
      <c r="G39" s="301"/>
      <c r="H39" s="113"/>
      <c r="I39" s="104"/>
      <c r="J39" s="280">
        <f>SUMIF(BG8:BG38,2, J8:J38)</f>
        <v>6861630.3499999996</v>
      </c>
      <c r="K39" s="288"/>
      <c r="L39" s="98"/>
      <c r="M39" s="272">
        <f>SUMIF(BG8:BG38,2, M8:M38)</f>
        <v>7927292.580000001</v>
      </c>
      <c r="N39" s="281">
        <f>SUMIF(BG8:BG38,2, N8:N38)</f>
        <v>7786658.8000000017</v>
      </c>
      <c r="O39" s="289"/>
      <c r="P39" s="99"/>
      <c r="Q39" s="270">
        <f>SUMIF(BG8:BG38,2, Q8:Q38)</f>
        <v>0</v>
      </c>
      <c r="R39" s="270">
        <f>SUMIF(BG8:BG38,2, R8:R38)</f>
        <v>0</v>
      </c>
      <c r="S39" s="270">
        <f>SUMIF(BG8:BG38,2, S8:S38)</f>
        <v>0</v>
      </c>
      <c r="T39" s="302"/>
      <c r="U39" s="291"/>
      <c r="V39" s="292"/>
      <c r="W39" s="271">
        <f>SUMIF(BG8:BG38,2, W8:W38)</f>
        <v>0</v>
      </c>
      <c r="X39" s="272">
        <f>SUMIF(BG8:BG38,2, X8:X38)</f>
        <v>7786658.8000000017</v>
      </c>
      <c r="Y39" s="270">
        <f>SUMIF(BG8:BG38,2, Y8:Y38)</f>
        <v>0</v>
      </c>
      <c r="Z39" s="270">
        <f>SUMIF(BG8:BG38,2, Z8:Z38)</f>
        <v>0</v>
      </c>
      <c r="AA39" s="270">
        <f>SUMIF(BG8:BG38,2, AA8:AA38)</f>
        <v>0</v>
      </c>
      <c r="AB39" s="291"/>
      <c r="AC39" s="293"/>
      <c r="AD39" s="271">
        <f>SUMIF(BG8:BG38,2, AD8:AD38)</f>
        <v>5923285.2575678565</v>
      </c>
      <c r="AE39" s="272">
        <f>SUMIF(BG8:BG38,2, AE8:AE38)</f>
        <v>5043992.7399999993</v>
      </c>
      <c r="AF39" s="270">
        <f>SUMIF(BG8:BG38,2, AF8:AF38)</f>
        <v>0</v>
      </c>
      <c r="AG39" s="291"/>
      <c r="AH39" s="271">
        <f>SUMIF(BG8:BG38,2, AH8:AH38)</f>
        <v>0</v>
      </c>
      <c r="AI39" s="272">
        <f>SUMIF(BG8:BG38,2, AI8:AI38)</f>
        <v>2742666.0599999996</v>
      </c>
      <c r="AJ39" s="270">
        <f>SUMIF(BG8:BG38,2, AJ8:AJ38)</f>
        <v>0</v>
      </c>
      <c r="AK39" s="291"/>
      <c r="AL39" s="283">
        <f>SUMIF(BG8:BG38,2, AL8:AL38)</f>
        <v>0</v>
      </c>
      <c r="AM39" s="283">
        <f>SUMIF(BG8:BG38,2, AM8:AM38)</f>
        <v>0</v>
      </c>
      <c r="AN39" s="283">
        <f>SUMIF(BG8:BG38,2, AN8:AN38)</f>
        <v>0</v>
      </c>
      <c r="AO39" s="291"/>
      <c r="AP39" s="284">
        <f>SUMIF(BG8:BG38,2, AP8:AP38)</f>
        <v>6861630.3499999996</v>
      </c>
      <c r="AQ39" s="284">
        <f>SUMIF(BG8:BG38,2, AQ8:AQ38)</f>
        <v>0</v>
      </c>
      <c r="AR39" s="284">
        <f>SUMIF(BG8:BG38,2, AR8:AR38)</f>
        <v>0</v>
      </c>
      <c r="AS39" s="15"/>
      <c r="AT39" s="274"/>
      <c r="AU39" s="15"/>
      <c r="AV39" s="15"/>
      <c r="AW39" s="275"/>
      <c r="AX39" s="274"/>
      <c r="AY39" s="274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298"/>
      <c r="BO39" s="298"/>
      <c r="BP39" s="298"/>
      <c r="BQ39" s="298"/>
      <c r="BR39" s="294"/>
      <c r="BS39" s="294"/>
      <c r="BT39" s="15"/>
      <c r="BU39" s="15"/>
      <c r="BV39" s="276"/>
      <c r="BW39" s="15"/>
      <c r="BX39" s="15"/>
      <c r="BY39" s="15"/>
      <c r="BZ39" s="15"/>
      <c r="CA39" s="15"/>
      <c r="CB39" s="274"/>
      <c r="CC39" s="277"/>
      <c r="CD39" s="277"/>
      <c r="CE39" s="277"/>
      <c r="CF39" s="277"/>
    </row>
    <row r="40" spans="1:84" x14ac:dyDescent="0.25">
      <c r="A40" s="300"/>
      <c r="B40" s="299" t="s">
        <v>634</v>
      </c>
      <c r="C40" s="93"/>
      <c r="D40" s="267"/>
      <c r="E40" s="279">
        <f>SUM(E8:E39)/4</f>
        <v>814901973.61000013</v>
      </c>
      <c r="F40" s="268">
        <f>SUM(F8:F39)/4</f>
        <v>826173437.47000015</v>
      </c>
      <c r="G40" s="301"/>
      <c r="H40" s="113"/>
      <c r="I40" s="104"/>
      <c r="J40" s="280">
        <f>SUM(J8:J39)/4</f>
        <v>828881907.58999979</v>
      </c>
      <c r="K40" s="288"/>
      <c r="L40" s="98"/>
      <c r="M40" s="272">
        <f>SUM(M8:M39)/4</f>
        <v>846906617.32999992</v>
      </c>
      <c r="N40" s="281">
        <f>SUM(N8:N39)/4</f>
        <v>800962584.19999981</v>
      </c>
      <c r="O40" s="289"/>
      <c r="P40" s="99"/>
      <c r="Q40" s="270">
        <f>SUM(Q8:Q39)/4</f>
        <v>0</v>
      </c>
      <c r="R40" s="270">
        <f>SUM(R8:R39)/4</f>
        <v>0</v>
      </c>
      <c r="S40" s="270">
        <f>SUM(S8:S39)/4</f>
        <v>0</v>
      </c>
      <c r="T40" s="302"/>
      <c r="U40" s="291"/>
      <c r="V40" s="292"/>
      <c r="W40" s="271">
        <f>SUM(W8:W39)/4</f>
        <v>0</v>
      </c>
      <c r="X40" s="272">
        <f>SUM(X8:X39)/4</f>
        <v>627981827.88999999</v>
      </c>
      <c r="Y40" s="270">
        <f>SUM(Y8:Y39)/4</f>
        <v>0</v>
      </c>
      <c r="Z40" s="270">
        <f>SUM(Z8:Z39)/4</f>
        <v>0</v>
      </c>
      <c r="AA40" s="270">
        <f>SUM(AA8:AA39)/4</f>
        <v>0</v>
      </c>
      <c r="AB40" s="291"/>
      <c r="AC40" s="293"/>
      <c r="AD40" s="271">
        <f>SUM(AD8:AD39)/4</f>
        <v>538282555.68738759</v>
      </c>
      <c r="AE40" s="272">
        <f>SUM(AE8:AE39)/4</f>
        <v>510552475.15999985</v>
      </c>
      <c r="AF40" s="270">
        <f>SUM(AF8:AF39)/4</f>
        <v>0</v>
      </c>
      <c r="AG40" s="291"/>
      <c r="AH40" s="271">
        <f>SUM(AH8:AH39)/4</f>
        <v>0</v>
      </c>
      <c r="AI40" s="272">
        <f>SUM(AI8:AI39)/4</f>
        <v>117429352.73</v>
      </c>
      <c r="AJ40" s="270">
        <f>SUM(AJ8:AJ39)/4</f>
        <v>0</v>
      </c>
      <c r="AK40" s="291"/>
      <c r="AL40" s="283">
        <f>SUM(AL8:AL39)/4</f>
        <v>0</v>
      </c>
      <c r="AM40" s="283">
        <f>SUM(AM8:AM39)/4</f>
        <v>0</v>
      </c>
      <c r="AN40" s="283">
        <f>SUM(AN8:AN39)/4</f>
        <v>0</v>
      </c>
      <c r="AO40" s="291"/>
      <c r="AP40" s="284">
        <f>SUM(AP8:AP39)/4</f>
        <v>642384185.24000001</v>
      </c>
      <c r="AQ40" s="284">
        <f>SUM(AQ8:AQ39)/4</f>
        <v>0</v>
      </c>
      <c r="AR40" s="284">
        <f>SUM(AR8:AR39)/4</f>
        <v>0</v>
      </c>
      <c r="AS40" s="15"/>
      <c r="AT40" s="274"/>
      <c r="AU40" s="15"/>
      <c r="AV40" s="15"/>
      <c r="AW40" s="275"/>
      <c r="AX40" s="274"/>
      <c r="AY40" s="274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298"/>
      <c r="BO40" s="298"/>
      <c r="BP40" s="298"/>
      <c r="BQ40" s="298"/>
      <c r="BR40" s="294"/>
      <c r="BS40" s="294"/>
      <c r="BT40" s="15"/>
      <c r="BU40" s="15"/>
      <c r="BV40" s="276"/>
      <c r="BW40" s="15"/>
      <c r="BX40" s="15"/>
      <c r="BY40" s="15"/>
      <c r="BZ40" s="15"/>
      <c r="CA40" s="15"/>
      <c r="CB40" s="274"/>
      <c r="CC40" s="277"/>
      <c r="CD40" s="277"/>
      <c r="CE40" s="277"/>
      <c r="CF40" s="277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nU4iqFcRtC+3zICSxL/auyvhBuC7LvPSP45z/EktrT5FHDcZd90QHi0UIOaP+I9QtVeqlzt2P9vnrdV/h2lTdA==" saltValue="j82PYyrnvC6tH7ZrTyzxqQ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1"/>
      <c r="B12" s="264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64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5"/>
      <c r="B24" s="278"/>
      <c r="C24" s="266"/>
      <c r="D24" s="267"/>
      <c r="E24" s="268"/>
      <c r="F24" s="269"/>
      <c r="G24" s="268"/>
      <c r="H24" s="269"/>
      <c r="I24" s="268"/>
      <c r="J24" s="270"/>
      <c r="K24" s="270"/>
      <c r="L24" s="270"/>
      <c r="M24" s="15"/>
      <c r="N24" s="270"/>
      <c r="O24" s="270"/>
      <c r="P24" s="270"/>
      <c r="Q24" s="15"/>
      <c r="R24" s="271"/>
      <c r="S24" s="271"/>
      <c r="T24" s="271"/>
      <c r="U24" s="272"/>
      <c r="V24" s="272"/>
      <c r="W24" s="272"/>
      <c r="X24" s="270"/>
      <c r="Y24" s="270"/>
      <c r="Z24" s="270"/>
      <c r="AA24" s="273"/>
      <c r="AB24" s="274"/>
      <c r="AC24" s="15"/>
      <c r="AD24" s="15"/>
      <c r="AE24" s="275"/>
      <c r="AF24" s="274"/>
      <c r="AG24" s="274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276"/>
      <c r="BE24" s="15"/>
      <c r="BF24" s="15"/>
      <c r="BG24" s="15"/>
      <c r="BH24" s="15"/>
      <c r="BI24" s="15"/>
      <c r="BJ24" s="274"/>
      <c r="BK24" s="277"/>
      <c r="BL24" s="277"/>
      <c r="BM24" s="277"/>
      <c r="BN24" s="277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5"/>
      <c r="B26" s="278"/>
      <c r="C26" s="266"/>
      <c r="D26" s="267"/>
      <c r="E26" s="268"/>
      <c r="F26" s="269"/>
      <c r="G26" s="268"/>
      <c r="H26" s="269"/>
      <c r="I26" s="268"/>
      <c r="J26" s="270"/>
      <c r="K26" s="270"/>
      <c r="L26" s="270"/>
      <c r="M26" s="15"/>
      <c r="N26" s="270"/>
      <c r="O26" s="270"/>
      <c r="P26" s="270"/>
      <c r="Q26" s="15"/>
      <c r="R26" s="271"/>
      <c r="S26" s="271"/>
      <c r="T26" s="271"/>
      <c r="U26" s="272"/>
      <c r="V26" s="272"/>
      <c r="W26" s="272"/>
      <c r="X26" s="270"/>
      <c r="Y26" s="270"/>
      <c r="Z26" s="270"/>
      <c r="AA26" s="273"/>
      <c r="AB26" s="274"/>
      <c r="AC26" s="15"/>
      <c r="AD26" s="15"/>
      <c r="AE26" s="275"/>
      <c r="AF26" s="274"/>
      <c r="AG26" s="274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276"/>
      <c r="BE26" s="15"/>
      <c r="BF26" s="15"/>
      <c r="BG26" s="15"/>
      <c r="BH26" s="15"/>
      <c r="BI26" s="15"/>
      <c r="BJ26" s="274"/>
      <c r="BK26" s="277"/>
      <c r="BL26" s="277"/>
      <c r="BM26" s="277"/>
      <c r="BN26" s="277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5"/>
      <c r="B34" s="278"/>
      <c r="C34" s="266"/>
      <c r="D34" s="267"/>
      <c r="E34" s="268"/>
      <c r="F34" s="269"/>
      <c r="G34" s="268"/>
      <c r="H34" s="269"/>
      <c r="I34" s="268"/>
      <c r="J34" s="270"/>
      <c r="K34" s="270"/>
      <c r="L34" s="270"/>
      <c r="M34" s="15"/>
      <c r="N34" s="270"/>
      <c r="O34" s="270"/>
      <c r="P34" s="270"/>
      <c r="Q34" s="15"/>
      <c r="R34" s="271"/>
      <c r="S34" s="271"/>
      <c r="T34" s="271"/>
      <c r="U34" s="272"/>
      <c r="V34" s="272"/>
      <c r="W34" s="272"/>
      <c r="X34" s="270"/>
      <c r="Y34" s="270"/>
      <c r="Z34" s="270"/>
      <c r="AA34" s="273"/>
      <c r="AB34" s="274"/>
      <c r="AC34" s="15"/>
      <c r="AD34" s="15"/>
      <c r="AE34" s="275"/>
      <c r="AF34" s="274"/>
      <c r="AG34" s="274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276"/>
      <c r="BE34" s="15"/>
      <c r="BF34" s="15"/>
      <c r="BG34" s="15"/>
      <c r="BH34" s="15"/>
      <c r="BI34" s="15"/>
      <c r="BJ34" s="274"/>
      <c r="BK34" s="277"/>
      <c r="BL34" s="277"/>
      <c r="BM34" s="277"/>
      <c r="BN34" s="277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5"/>
      <c r="B36" s="278"/>
      <c r="C36" s="266"/>
      <c r="D36" s="267"/>
      <c r="E36" s="268"/>
      <c r="F36" s="269"/>
      <c r="G36" s="268"/>
      <c r="H36" s="269"/>
      <c r="I36" s="268"/>
      <c r="J36" s="270"/>
      <c r="K36" s="270"/>
      <c r="L36" s="270"/>
      <c r="M36" s="15"/>
      <c r="N36" s="270"/>
      <c r="O36" s="270"/>
      <c r="P36" s="270"/>
      <c r="Q36" s="15"/>
      <c r="R36" s="271"/>
      <c r="S36" s="271"/>
      <c r="T36" s="271"/>
      <c r="U36" s="272"/>
      <c r="V36" s="272"/>
      <c r="W36" s="272"/>
      <c r="X36" s="270"/>
      <c r="Y36" s="270"/>
      <c r="Z36" s="270"/>
      <c r="AA36" s="273"/>
      <c r="AB36" s="274"/>
      <c r="AC36" s="15"/>
      <c r="AD36" s="15"/>
      <c r="AE36" s="275"/>
      <c r="AF36" s="274"/>
      <c r="AG36" s="274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276"/>
      <c r="BE36" s="15"/>
      <c r="BF36" s="15"/>
      <c r="BG36" s="15"/>
      <c r="BH36" s="15"/>
      <c r="BI36" s="15"/>
      <c r="BJ36" s="274"/>
      <c r="BK36" s="277"/>
      <c r="BL36" s="277"/>
      <c r="BM36" s="277"/>
      <c r="BN36" s="277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78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78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78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hfs/+c/n23RatUrg3HM+D2qUY3KLL0q+n+DJ9t+K5t3EWhLSabJ7LmG1jkFwAoxu55XxlPYiLMToPekcW38DCg==" saltValue="uvrrLBQ1llBI1Dvlqc6qCQ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Rk1Pxrcz2+0Sg38IX2XzDyS38ehNCfRQjPfQVf6Jb1BeqBB7F00IMQs5rRVELk51a67feZvRBFMOJuqsjKRCDw==" saltValue="JV8MKLcJDHsrUq9ssv7AA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koyFoNSFXkd7z9JxXwHw2HeQdsQeskcRhaOODmF7aHC+R1C6HmGWEEHFn2BSFbI5LGcZm5vrBvCgQ3PNuH36Kw==" saltValue="z5NrGb4WLtQhNXX9bcup1A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