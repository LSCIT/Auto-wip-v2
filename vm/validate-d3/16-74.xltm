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C9E1720E-B652-4391-BC08-4C9F6E5C69C5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7" i="82" l="1"/>
  <c r="AR66" i="82"/>
  <c r="AQ67" i="82"/>
  <c r="AQ66" i="82"/>
  <c r="AP67" i="82"/>
  <c r="AP66" i="82"/>
  <c r="AN67" i="82"/>
  <c r="AN66" i="82"/>
  <c r="AM67" i="82"/>
  <c r="AM66" i="82"/>
  <c r="AL67" i="82"/>
  <c r="AL66" i="82"/>
  <c r="AJ67" i="82"/>
  <c r="AJ66" i="82"/>
  <c r="AI67" i="82"/>
  <c r="AI66" i="82"/>
  <c r="AH67" i="82"/>
  <c r="AH66" i="82"/>
  <c r="AF67" i="82"/>
  <c r="AF66" i="82"/>
  <c r="AE67" i="82"/>
  <c r="AE66" i="82"/>
  <c r="AD67" i="82"/>
  <c r="AD66" i="82"/>
  <c r="AA67" i="82"/>
  <c r="AA66" i="82"/>
  <c r="Z67" i="82"/>
  <c r="Z66" i="82"/>
  <c r="Y67" i="82"/>
  <c r="Y66" i="82"/>
  <c r="X67" i="82"/>
  <c r="X66" i="82"/>
  <c r="W67" i="82"/>
  <c r="W66" i="82"/>
  <c r="S67" i="82"/>
  <c r="S66" i="82"/>
  <c r="R67" i="82"/>
  <c r="R66" i="82"/>
  <c r="Q67" i="82"/>
  <c r="Q66" i="82"/>
  <c r="N67" i="82"/>
  <c r="N66" i="82"/>
  <c r="M67" i="82"/>
  <c r="M66" i="82"/>
  <c r="J67" i="82"/>
  <c r="J66" i="82"/>
  <c r="F67" i="82"/>
  <c r="F66" i="82"/>
  <c r="E67" i="82"/>
  <c r="E66" i="82"/>
  <c r="AR64" i="82"/>
  <c r="AM64" i="82"/>
  <c r="AH64" i="82"/>
  <c r="AA64" i="82"/>
  <c r="W64" i="82"/>
  <c r="N64" i="82"/>
  <c r="E64" i="82"/>
  <c r="AR62" i="82"/>
  <c r="AQ62" i="82"/>
  <c r="AP62" i="82"/>
  <c r="AN62" i="82"/>
  <c r="AM62" i="82"/>
  <c r="AL62" i="82"/>
  <c r="AJ62" i="82"/>
  <c r="AI62" i="82"/>
  <c r="AH62" i="82"/>
  <c r="AF62" i="82"/>
  <c r="AE62" i="82"/>
  <c r="AD62" i="82"/>
  <c r="AA62" i="82"/>
  <c r="Z62" i="82"/>
  <c r="Y62" i="82"/>
  <c r="X62" i="82"/>
  <c r="W62" i="82"/>
  <c r="S62" i="82"/>
  <c r="R62" i="82"/>
  <c r="Q62" i="82"/>
  <c r="N62" i="82"/>
  <c r="M62" i="82"/>
  <c r="J62" i="82"/>
  <c r="F62" i="82"/>
  <c r="E62" i="82"/>
  <c r="AR38" i="82"/>
  <c r="AR68" i="82" s="1"/>
  <c r="AQ38" i="82"/>
  <c r="AQ64" i="82" s="1"/>
  <c r="AQ68" i="82" s="1"/>
  <c r="AP38" i="82"/>
  <c r="AP64" i="82" s="1"/>
  <c r="AN38" i="82"/>
  <c r="AM38" i="82"/>
  <c r="AM68" i="82" s="1"/>
  <c r="AL38" i="82"/>
  <c r="AL64" i="82" s="1"/>
  <c r="AL68" i="82" s="1"/>
  <c r="AJ38" i="82"/>
  <c r="AJ64" i="82" s="1"/>
  <c r="AI38" i="82"/>
  <c r="AH38" i="82"/>
  <c r="AH68" i="82" s="1"/>
  <c r="AF38" i="82"/>
  <c r="AF64" i="82" s="1"/>
  <c r="AF68" i="82" s="1"/>
  <c r="AE38" i="82"/>
  <c r="AE64" i="82" s="1"/>
  <c r="AD38" i="82"/>
  <c r="AA38" i="82"/>
  <c r="AA68" i="82" s="1"/>
  <c r="Z38" i="82"/>
  <c r="Z64" i="82" s="1"/>
  <c r="Z68" i="82" s="1"/>
  <c r="Y38" i="82"/>
  <c r="Y64" i="82" s="1"/>
  <c r="X38" i="82"/>
  <c r="W38" i="82"/>
  <c r="W68" i="82" s="1"/>
  <c r="S38" i="82"/>
  <c r="S64" i="82" s="1"/>
  <c r="S68" i="82" s="1"/>
  <c r="R38" i="82"/>
  <c r="R64" i="82" s="1"/>
  <c r="Q38" i="82"/>
  <c r="N38" i="82"/>
  <c r="N68" i="82" s="1"/>
  <c r="M38" i="82"/>
  <c r="M64" i="82" s="1"/>
  <c r="M68" i="82" s="1"/>
  <c r="J38" i="82"/>
  <c r="J64" i="82" s="1"/>
  <c r="F38" i="82"/>
  <c r="E38" i="82"/>
  <c r="E68" i="82" s="1"/>
  <c r="AW67" i="75"/>
  <c r="AW66" i="75"/>
  <c r="AV67" i="75"/>
  <c r="AV66" i="75"/>
  <c r="AU67" i="75"/>
  <c r="AU66" i="75"/>
  <c r="AS67" i="75"/>
  <c r="AS66" i="75"/>
  <c r="AR67" i="75"/>
  <c r="AR66" i="75"/>
  <c r="AQ67" i="75"/>
  <c r="AQ66" i="75"/>
  <c r="AN67" i="75"/>
  <c r="AN66" i="75"/>
  <c r="AM67" i="75"/>
  <c r="AM66" i="75"/>
  <c r="AL67" i="75"/>
  <c r="AL66" i="75"/>
  <c r="AI67" i="75"/>
  <c r="AI66" i="75"/>
  <c r="AH67" i="75"/>
  <c r="AH66" i="75"/>
  <c r="AG67" i="75"/>
  <c r="AG66" i="75"/>
  <c r="AD67" i="75"/>
  <c r="AD66" i="75"/>
  <c r="AC67" i="75"/>
  <c r="AC66" i="75"/>
  <c r="AO67" i="75"/>
  <c r="AO66" i="75"/>
  <c r="AJ67" i="75"/>
  <c r="AJ66" i="75"/>
  <c r="Z67" i="75"/>
  <c r="Z66" i="75"/>
  <c r="V67" i="75"/>
  <c r="V66" i="75"/>
  <c r="Y67" i="75"/>
  <c r="Y66" i="75"/>
  <c r="X67" i="75"/>
  <c r="X66" i="75"/>
  <c r="W67" i="75"/>
  <c r="W66" i="75"/>
  <c r="R67" i="75"/>
  <c r="R66" i="75"/>
  <c r="Q67" i="75"/>
  <c r="Q66" i="75"/>
  <c r="P67" i="75"/>
  <c r="P66" i="75"/>
  <c r="M67" i="75"/>
  <c r="M66" i="75"/>
  <c r="L67" i="75"/>
  <c r="L66" i="75"/>
  <c r="I67" i="75"/>
  <c r="I66" i="75"/>
  <c r="F67" i="75"/>
  <c r="F66" i="75"/>
  <c r="E67" i="75"/>
  <c r="E66" i="75"/>
  <c r="AS64" i="75"/>
  <c r="AM64" i="75"/>
  <c r="AG64" i="75"/>
  <c r="AJ64" i="75"/>
  <c r="X64" i="75"/>
  <c r="P64" i="75"/>
  <c r="F64" i="75"/>
  <c r="AW62" i="75"/>
  <c r="AV62" i="75"/>
  <c r="AU62" i="75"/>
  <c r="AS62" i="75"/>
  <c r="AR62" i="75"/>
  <c r="AQ62" i="75"/>
  <c r="AN62" i="75"/>
  <c r="AM62" i="75"/>
  <c r="AL62" i="75"/>
  <c r="AI62" i="75"/>
  <c r="AH62" i="75"/>
  <c r="AG62" i="75"/>
  <c r="AD62" i="75"/>
  <c r="AC62" i="75"/>
  <c r="AO62" i="75"/>
  <c r="AJ62" i="75"/>
  <c r="Z62" i="75"/>
  <c r="V62" i="75"/>
  <c r="Y62" i="75"/>
  <c r="X62" i="75"/>
  <c r="W62" i="75"/>
  <c r="R62" i="75"/>
  <c r="Q62" i="75"/>
  <c r="P62" i="75"/>
  <c r="M62" i="75"/>
  <c r="L62" i="75"/>
  <c r="I62" i="75"/>
  <c r="F62" i="75"/>
  <c r="E62" i="75"/>
  <c r="AW38" i="75"/>
  <c r="AV38" i="75"/>
  <c r="AV64" i="75" s="1"/>
  <c r="AU38" i="75"/>
  <c r="AU64" i="75" s="1"/>
  <c r="AS38" i="75"/>
  <c r="AS68" i="75" s="1"/>
  <c r="AR38" i="75"/>
  <c r="AQ38" i="75"/>
  <c r="AQ64" i="75" s="1"/>
  <c r="AN38" i="75"/>
  <c r="AN64" i="75" s="1"/>
  <c r="AM38" i="75"/>
  <c r="AM68" i="75" s="1"/>
  <c r="AL38" i="75"/>
  <c r="AI38" i="75"/>
  <c r="AI64" i="75" s="1"/>
  <c r="AH38" i="75"/>
  <c r="AH64" i="75" s="1"/>
  <c r="AG38" i="75"/>
  <c r="AG68" i="75" s="1"/>
  <c r="AD38" i="75"/>
  <c r="AC38" i="75"/>
  <c r="AC64" i="75" s="1"/>
  <c r="AO38" i="75"/>
  <c r="AO64" i="75" s="1"/>
  <c r="AJ38" i="75"/>
  <c r="AJ68" i="75" s="1"/>
  <c r="Z38" i="75"/>
  <c r="V38" i="75"/>
  <c r="V64" i="75" s="1"/>
  <c r="Y38" i="75"/>
  <c r="Y64" i="75" s="1"/>
  <c r="X38" i="75"/>
  <c r="X68" i="75" s="1"/>
  <c r="W38" i="75"/>
  <c r="R38" i="75"/>
  <c r="R64" i="75" s="1"/>
  <c r="Q38" i="75"/>
  <c r="Q64" i="75" s="1"/>
  <c r="P38" i="75"/>
  <c r="P68" i="75" s="1"/>
  <c r="M38" i="75"/>
  <c r="L38" i="75"/>
  <c r="L64" i="75" s="1"/>
  <c r="I38" i="75"/>
  <c r="I64" i="75" s="1"/>
  <c r="F38" i="75"/>
  <c r="F68" i="75" s="1"/>
  <c r="E38" i="75"/>
  <c r="AS6" i="75"/>
  <c r="AC6" i="75"/>
  <c r="AN68" i="82" l="1"/>
  <c r="F64" i="82"/>
  <c r="F68" i="82" s="1"/>
  <c r="Q64" i="82"/>
  <c r="Q68" i="82" s="1"/>
  <c r="X64" i="82"/>
  <c r="X68" i="82" s="1"/>
  <c r="AD64" i="82"/>
  <c r="AD68" i="82" s="1"/>
  <c r="AI64" i="82"/>
  <c r="AI68" i="82" s="1"/>
  <c r="AN64" i="82"/>
  <c r="J68" i="82"/>
  <c r="R68" i="82"/>
  <c r="Y68" i="82"/>
  <c r="AE68" i="82"/>
  <c r="AJ68" i="82"/>
  <c r="AP68" i="82"/>
  <c r="E64" i="75"/>
  <c r="E68" i="75" s="1"/>
  <c r="M64" i="75"/>
  <c r="M68" i="75" s="1"/>
  <c r="W64" i="75"/>
  <c r="W68" i="75" s="1"/>
  <c r="Z64" i="75"/>
  <c r="Z68" i="75" s="1"/>
  <c r="AD64" i="75"/>
  <c r="AD68" i="75" s="1"/>
  <c r="AL64" i="75"/>
  <c r="AL68" i="75" s="1"/>
  <c r="AR64" i="75"/>
  <c r="AR68" i="75" s="1"/>
  <c r="AW64" i="75"/>
  <c r="AW68" i="75" s="1"/>
  <c r="L68" i="75"/>
  <c r="R68" i="75"/>
  <c r="V68" i="75"/>
  <c r="AC68" i="75"/>
  <c r="AI68" i="75"/>
  <c r="AQ68" i="75"/>
  <c r="AV68" i="75"/>
  <c r="I68" i="75"/>
  <c r="Q68" i="75"/>
  <c r="Y68" i="75"/>
  <c r="AO68" i="75"/>
  <c r="AH68" i="75"/>
  <c r="AN68" i="75"/>
  <c r="AU6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07FB6975-4E69-405D-976F-9CC869D84CE5}">
      <text>
        <r>
          <rPr>
            <sz val="10"/>
            <color indexed="81"/>
            <rFont val="Arial"/>
            <family val="2"/>
          </rPr>
          <t>Original - _x000D_
17,352_x000D_
Change Order - _x000D_
25,900</t>
        </r>
      </text>
    </comment>
    <comment ref="I9" authorId="0" shapeId="0" xr:uid="{3FE8AA47-0D3E-4644-8049-50520F01FD76}">
      <text>
        <r>
          <rPr>
            <sz val="10"/>
            <color indexed="81"/>
            <rFont val="Arial"/>
            <family val="2"/>
          </rPr>
          <t>1 - 7,124_x000D_
2 - 6,763_x000D_
3 - 5,846_x000D_
4 - 3,077_x000D_
5 - 2,609_x000D_
6 - 972</t>
        </r>
      </text>
    </comment>
    <comment ref="M9" authorId="0" shapeId="0" xr:uid="{A09075B4-65D5-4EFD-8969-C52B65B6724B}">
      <text>
        <r>
          <rPr>
            <sz val="10"/>
            <color indexed="81"/>
            <rFont val="Arial"/>
            <family val="2"/>
          </rPr>
          <t>1 - 7,124_x000D_
2 - 6,763_x000D_
3 - 5,846_x000D_
4 - 3,077_x000D_
5 - 2,609_x000D_
6 - 972</t>
        </r>
      </text>
    </comment>
    <comment ref="I10" authorId="0" shapeId="0" xr:uid="{FC5A96D4-7D42-44BA-AC83-060DE9DE97B0}">
      <text>
        <r>
          <rPr>
            <sz val="10"/>
            <color indexed="81"/>
            <rFont val="Arial"/>
            <family val="2"/>
          </rPr>
          <t>1 - 12,556_x000D_
2 - 11,075_x000D_
3 - 9,253_x000D_
4 - 5,298_x000D_
5 - 3,899_x000D_
6 - 667</t>
        </r>
      </text>
    </comment>
    <comment ref="M10" authorId="0" shapeId="0" xr:uid="{A5B14FA1-F51B-4716-A997-5387F916D396}">
      <text>
        <r>
          <rPr>
            <sz val="10"/>
            <color indexed="81"/>
            <rFont val="Arial"/>
            <family val="2"/>
          </rPr>
          <t>1 - 12,556_x000D_
2 - 11,075_x000D_
3 - 9,253_x000D_
4 - 5,298_x000D_
5 - 3,899_x000D_
6 - 667</t>
        </r>
      </text>
    </comment>
    <comment ref="I11" authorId="0" shapeId="0" xr:uid="{2B4AAAD4-AAFA-4DCE-BCB7-FCC602D646E6}">
      <text>
        <r>
          <rPr>
            <sz val="10"/>
            <color indexed="81"/>
            <rFont val="Arial"/>
            <family val="2"/>
          </rPr>
          <t>1 - 37,255_x000D_
2 - 37,255_x000D_
3 - 37,034_x000D_
4 - 29,589_x000D_
5 - 19,592_x000D_
6 - 5,598</t>
        </r>
      </text>
    </comment>
    <comment ref="M11" authorId="0" shapeId="0" xr:uid="{57A11C81-A9A8-40B6-B19E-750684E3672D}">
      <text>
        <r>
          <rPr>
            <sz val="10"/>
            <color indexed="81"/>
            <rFont val="Arial"/>
            <family val="2"/>
          </rPr>
          <t>1 - 37,255_x000D_
2 - 37,255_x000D_
3 - 37,034_x000D_
4 - 29,589_x000D_
5 - 19,592_x000D_
6 - 5,598</t>
        </r>
      </text>
    </comment>
    <comment ref="I12" authorId="0" shapeId="0" xr:uid="{8175F204-2EF3-4C64-80BF-8C741C834A76}">
      <text>
        <r>
          <rPr>
            <sz val="10"/>
            <color indexed="81"/>
            <rFont val="Arial"/>
            <family val="2"/>
          </rPr>
          <t>1 - 88,106_x000D_
2 - 37,031_x000D_
3 - 16,705_x000D_
4 - 14,773_x000D_
5 - 2,147_x000D_
6 - 656</t>
        </r>
      </text>
    </comment>
    <comment ref="M12" authorId="0" shapeId="0" xr:uid="{398F1155-F390-40FB-BECB-1C7A6881D4FA}">
      <text>
        <r>
          <rPr>
            <sz val="10"/>
            <color indexed="81"/>
            <rFont val="Arial"/>
            <family val="2"/>
          </rPr>
          <t>1 - 88,106_x000D_
2 - 37,031_x000D_
3 - 16,705_x000D_
4 - 14,773_x000D_
5 - 2,147_x000D_
6 - 656</t>
        </r>
      </text>
    </comment>
    <comment ref="I13" authorId="0" shapeId="0" xr:uid="{95DC31F0-CD11-47C8-9F95-9D86C00F57EE}">
      <text>
        <r>
          <rPr>
            <sz val="10"/>
            <color indexed="81"/>
            <rFont val="Arial"/>
            <family val="2"/>
          </rPr>
          <t>1 - 7,793_x000D_
2 - 7,659_x000D_
3 - 7,525_x000D_
4 - 5,344_x000D_
5 - 1,030_x000D_
6 - 528</t>
        </r>
      </text>
    </comment>
    <comment ref="M13" authorId="0" shapeId="0" xr:uid="{8A98140A-A4A3-43B4-B521-7104B14824D7}">
      <text>
        <r>
          <rPr>
            <sz val="10"/>
            <color indexed="81"/>
            <rFont val="Arial"/>
            <family val="2"/>
          </rPr>
          <t>1 - 7,793_x000D_
2 - 7,659_x000D_
3 - 7,525_x000D_
4 - 5,344_x000D_
5 - 1,030_x000D_
6 - 528</t>
        </r>
      </text>
    </comment>
    <comment ref="I14" authorId="0" shapeId="0" xr:uid="{5DBAA508-1C4D-4114-AAB0-F57CFE705AEC}">
      <text>
        <r>
          <rPr>
            <sz val="10"/>
            <color indexed="81"/>
            <rFont val="Arial"/>
            <family val="2"/>
          </rPr>
          <t>1 - 11,145_x000D_
2 - 8,668_x000D_
3 - 5,832_x000D_
4 - 2,217_x000D_
5 - 1,741_x000D_
6 - 111</t>
        </r>
      </text>
    </comment>
    <comment ref="M14" authorId="0" shapeId="0" xr:uid="{25B22B22-729D-45AD-9F39-4BA566FCD721}">
      <text>
        <r>
          <rPr>
            <sz val="10"/>
            <color indexed="81"/>
            <rFont val="Arial"/>
            <family val="2"/>
          </rPr>
          <t>1 - 11,145_x000D_
2 - 8,668_x000D_
3 - 5,832_x000D_
4 - 2,217_x000D_
5 - 1,741_x000D_
6 - 111</t>
        </r>
      </text>
    </comment>
    <comment ref="I15" authorId="0" shapeId="0" xr:uid="{57F6FCB6-93FC-4013-809C-C3C2A4A63445}">
      <text>
        <r>
          <rPr>
            <sz val="10"/>
            <color indexed="81"/>
            <rFont val="Arial"/>
            <family val="2"/>
          </rPr>
          <t>1 - 405,000_x000D_
2 - 405,000_x000D_
3 - 405,000_x000D_
4 - 405,000_x000D_
5 - 405,000_x000D_
6 - 8,583</t>
        </r>
      </text>
    </comment>
    <comment ref="M15" authorId="0" shapeId="0" xr:uid="{1F10DD1B-DA5C-4896-8FFA-13D8CFA0ED6C}">
      <text>
        <r>
          <rPr>
            <sz val="10"/>
            <color indexed="81"/>
            <rFont val="Arial"/>
            <family val="2"/>
          </rPr>
          <t>1 - 286,589_x000D_
2 - 287,432_x000D_
3 - 287,432_x000D_
4 - 287,432_x000D_
5 - 287,944_x000D_
6 - 8,583</t>
        </r>
      </text>
    </comment>
    <comment ref="I16" authorId="0" shapeId="0" xr:uid="{3E8D3630-91E8-46EB-9372-F0BBB4CFB0A6}">
      <text>
        <r>
          <rPr>
            <sz val="10"/>
            <color indexed="81"/>
            <rFont val="Arial"/>
            <family val="2"/>
          </rPr>
          <t>1 - 109,692_x000D_
2 - 103,095_x000D_
3 - 97,699_x000D_
4 - 79,080_x000D_
5 - 43,569_x000D_
6 - 10,807</t>
        </r>
      </text>
    </comment>
    <comment ref="M16" authorId="0" shapeId="0" xr:uid="{1C2613A2-D999-4036-A482-5F0FEE2F05C4}">
      <text>
        <r>
          <rPr>
            <sz val="10"/>
            <color indexed="81"/>
            <rFont val="Arial"/>
            <family val="2"/>
          </rPr>
          <t>1 - 109,692_x000D_
2 - 103,095_x000D_
3 - 97,699_x000D_
4 - 79,080_x000D_
5 - 43,569_x000D_
6 - 10,807</t>
        </r>
      </text>
    </comment>
    <comment ref="I17" authorId="0" shapeId="0" xr:uid="{C6CC0AC3-735A-45EE-AC8D-908EC9CAE86E}">
      <text>
        <r>
          <rPr>
            <sz val="10"/>
            <color indexed="81"/>
            <rFont val="Arial"/>
            <family val="2"/>
          </rPr>
          <t>1 - 30,525_x000D_
2 - 25,628_x000D_
3 - 14,045_x000D_
4 - 5,181_x000D_
5 - 2,650_x000D_
6 - 485</t>
        </r>
      </text>
    </comment>
    <comment ref="M17" authorId="0" shapeId="0" xr:uid="{1C8D6CA4-2CDB-4E49-A1CF-D908E77429F6}">
      <text>
        <r>
          <rPr>
            <sz val="10"/>
            <color indexed="81"/>
            <rFont val="Arial"/>
            <family val="2"/>
          </rPr>
          <t>1 - 30,525_x000D_
2 - 25,628_x000D_
3 - 14,045_x000D_
4 - 5,181_x000D_
5 - 2,650_x000D_
6 - 485</t>
        </r>
      </text>
    </comment>
    <comment ref="I18" authorId="0" shapeId="0" xr:uid="{59E50B6A-26BC-4AF9-8EC2-A65E606590A0}">
      <text>
        <r>
          <rPr>
            <sz val="10"/>
            <color indexed="81"/>
            <rFont val="Arial"/>
            <family val="2"/>
          </rPr>
          <t>1 - 5,877_x000D_
2 - 5,877_x000D_
3 - 3,498_x000D_
4 - 3,498_x000D_
5 - 1,264_x000D_
6 - 996</t>
        </r>
      </text>
    </comment>
    <comment ref="M18" authorId="0" shapeId="0" xr:uid="{3C3C868C-5471-44C8-B63E-A8413CF6D325}">
      <text>
        <r>
          <rPr>
            <sz val="10"/>
            <color indexed="81"/>
            <rFont val="Arial"/>
            <family val="2"/>
          </rPr>
          <t>1 - 2,593_x000D_
2 - 2,593_x000D_
3 - 1,910_x000D_
4 - 1,618_x000D_
5 - 1,264_x000D_
6 - 996</t>
        </r>
      </text>
    </comment>
    <comment ref="I19" authorId="0" shapeId="0" xr:uid="{281C6A39-C488-4ECE-840C-72B3E0E3E30D}">
      <text>
        <r>
          <rPr>
            <sz val="10"/>
            <color indexed="81"/>
            <rFont val="Arial"/>
            <family val="2"/>
          </rPr>
          <t>1 - 49,530_x000D_
2 - 49,530_x000D_
3 - 49,530_x000D_
4 - 49,530_x000D_
5 - 49,530_x000D_
6 - 49,530</t>
        </r>
      </text>
    </comment>
    <comment ref="M19" authorId="0" shapeId="0" xr:uid="{1B191045-E160-45EE-8362-57E03465C3C3}">
      <text>
        <r>
          <rPr>
            <sz val="10"/>
            <color indexed="81"/>
            <rFont val="Arial"/>
            <family val="2"/>
          </rPr>
          <t>1 - 46,422_x000D_
2 - 46,423_x000D_
3 - 44,530_x000D_
4 - 44,530_x000D_
5 - 44,530_x000D_
6 - 44,530</t>
        </r>
      </text>
    </comment>
    <comment ref="I20" authorId="0" shapeId="0" xr:uid="{B443839A-BE7A-47AA-A2C5-2C61160701B2}">
      <text>
        <r>
          <rPr>
            <sz val="10"/>
            <color indexed="81"/>
            <rFont val="Arial"/>
            <family val="2"/>
          </rPr>
          <t>1 - 34,935_x000D_
2 - 34,935_x000D_
3 - 34,935_x000D_
4 - 34,935_x000D_
5 - 34,935_x000D_
6 - 34,935</t>
        </r>
      </text>
    </comment>
    <comment ref="M20" authorId="0" shapeId="0" xr:uid="{A94462F1-2AB3-462A-A39D-BCB15519A5C3}">
      <text>
        <r>
          <rPr>
            <sz val="10"/>
            <color indexed="81"/>
            <rFont val="Arial"/>
            <family val="2"/>
          </rPr>
          <t>1 - 29,529_x000D_
2 - 29,701_x000D_
3 - 29,528_x000D_
4 - 27,435_x000D_
5 - 27,435_x000D_
6 - 27,435</t>
        </r>
      </text>
    </comment>
    <comment ref="I21" authorId="0" shapeId="0" xr:uid="{757A4A1E-DE41-4A48-B7CB-2C24C12CF921}">
      <text>
        <r>
          <rPr>
            <sz val="10"/>
            <color indexed="81"/>
            <rFont val="Arial"/>
            <family val="2"/>
          </rPr>
          <t>1 - 1,785,125_x000D_
2 - 1,785,125_x000D_
3 - 1,785,125_x000D_
4 - 1,785,125_x000D_
5 - 1,785,125_x000D_
6 - 1,785,125</t>
        </r>
      </text>
    </comment>
    <comment ref="M21" authorId="0" shapeId="0" xr:uid="{CFE68C9C-A33F-4A73-B567-2A38F4C80933}">
      <text>
        <r>
          <rPr>
            <sz val="10"/>
            <color indexed="81"/>
            <rFont val="Arial"/>
            <family val="2"/>
          </rPr>
          <t>1 - 1,234,284_x000D_
2 - 1,211,620_x000D_
3 - 1,245,089_x000D_
4 - 1,139,524_x000D_
5 - 1,139,524_x000D_
6 - 1,139,524</t>
        </r>
      </text>
    </comment>
    <comment ref="I22" authorId="0" shapeId="0" xr:uid="{555B17CB-46BE-4138-8E64-35550CA66627}">
      <text>
        <r>
          <rPr>
            <sz val="10"/>
            <color indexed="81"/>
            <rFont val="Arial"/>
            <family val="2"/>
          </rPr>
          <t>1 - 21,688_x000D_
2 - 24,213_x000D_
3 - 14,405_x000D_
4 - 13,161_x000D_
5 - 5,900_x000D_
6 - 5,900</t>
        </r>
      </text>
    </comment>
    <comment ref="M22" authorId="0" shapeId="0" xr:uid="{4EA29FFB-604A-4CA2-BC78-C3D4274FE331}">
      <text>
        <r>
          <rPr>
            <sz val="10"/>
            <color indexed="81"/>
            <rFont val="Arial"/>
            <family val="2"/>
          </rPr>
          <t>1 - 19,955_x000D_
2 - 17,859_x000D_
3 - 14,405_x000D_
4 - 13,161_x000D_
5 - 4,556_x000D_
6 - 4,556</t>
        </r>
      </text>
    </comment>
    <comment ref="I24" authorId="0" shapeId="0" xr:uid="{745AA3CF-ED32-4A01-9495-4E859A25982B}">
      <text>
        <r>
          <rPr>
            <sz val="10"/>
            <color indexed="81"/>
            <rFont val="Arial"/>
            <family val="2"/>
          </rPr>
          <t>1 - 11,045_x000D_
2 - 8,217_x000D_
3 - 6,896_x000D_
4 - 6,896_x000D_
5 - 4,304_x000D_
6 - 4,304</t>
        </r>
      </text>
    </comment>
    <comment ref="M24" authorId="0" shapeId="0" xr:uid="{65CE5652-7561-4278-B687-1BAF440BA8C8}">
      <text>
        <r>
          <rPr>
            <sz val="10"/>
            <color indexed="81"/>
            <rFont val="Arial"/>
            <family val="2"/>
          </rPr>
          <t>1 - 8,489_x000D_
2 - 5,759_x000D_
3 - 3,320_x000D_
4 - 3,320_x000D_
5 - 3,125_x000D_
6 - 1,997</t>
        </r>
      </text>
    </comment>
    <comment ref="I25" authorId="0" shapeId="0" xr:uid="{60F69DFE-92A9-4171-9036-027A49E02417}">
      <text>
        <r>
          <rPr>
            <sz val="10"/>
            <color indexed="81"/>
            <rFont val="Arial"/>
            <family val="2"/>
          </rPr>
          <t>1 - 3,545_x000D_
2 - 2,483_x000D_
3 - 1,830_x000D_
4 - 1,830_x000D_
5 - 1,830_x000D_
6 - 1,423</t>
        </r>
      </text>
    </comment>
    <comment ref="M25" authorId="0" shapeId="0" xr:uid="{80B05AE8-8F89-4635-A1CB-B6B536405A13}">
      <text>
        <r>
          <rPr>
            <sz val="10"/>
            <color indexed="81"/>
            <rFont val="Arial"/>
            <family val="2"/>
          </rPr>
          <t>1 - 3,545_x000D_
2 - 2,483_x000D_
3 - 1,830_x000D_
4 - 1,830_x000D_
5 - 1,830_x000D_
6 - 1,423</t>
        </r>
      </text>
    </comment>
    <comment ref="I26" authorId="0" shapeId="0" xr:uid="{B09644F3-D592-4614-A385-3F292E39106B}">
      <text>
        <r>
          <rPr>
            <sz val="10"/>
            <color indexed="81"/>
            <rFont val="Arial"/>
            <family val="2"/>
          </rPr>
          <t>1 - 12,500_x000D_
2 - 12,500_x000D_
3 - 12,500_x000D_
4 - 12,500_x000D_
5 - 12,500_x000D_
6 - 12,500</t>
        </r>
      </text>
    </comment>
    <comment ref="M26" authorId="0" shapeId="0" xr:uid="{8CCD468F-F87B-44B7-B5A0-F0EE47CA430C}">
      <text>
        <r>
          <rPr>
            <sz val="10"/>
            <color indexed="81"/>
            <rFont val="Arial"/>
            <family val="2"/>
          </rPr>
          <t>1 - 8,457_x000D_
2 - 8,457_x000D_
3 - 8,351_x000D_
4 - 8,087_x000D_
5 - 7,975_x000D_
6 - 7,899</t>
        </r>
      </text>
    </comment>
    <comment ref="I27" authorId="0" shapeId="0" xr:uid="{C589BAF2-A2FE-47CC-AF4A-DF76D36E1B5C}">
      <text>
        <r>
          <rPr>
            <sz val="10"/>
            <color indexed="81"/>
            <rFont val="Arial"/>
            <family val="2"/>
          </rPr>
          <t>1 - 45,295_x000D_
2 - 45,295_x000D_
3 - 45,295_x000D_
4 - 0_x000D_
5 - 0_x000D_
6 - 0</t>
        </r>
      </text>
    </comment>
    <comment ref="M27" authorId="0" shapeId="0" xr:uid="{067D26F1-C287-4272-895A-1EAD94565E84}">
      <text>
        <r>
          <rPr>
            <sz val="10"/>
            <color indexed="81"/>
            <rFont val="Arial"/>
            <family val="2"/>
          </rPr>
          <t>1 - 34,251_x000D_
2 - 34,909_x000D_
3 - 33,388_x000D_
4 - 0_x000D_
5 - 0_x000D_
6 - 0</t>
        </r>
      </text>
    </comment>
    <comment ref="I29" authorId="0" shapeId="0" xr:uid="{384583D0-3009-494E-9385-AD283BDD3E8A}">
      <text>
        <r>
          <rPr>
            <sz val="10"/>
            <color indexed="81"/>
            <rFont val="Arial"/>
            <family val="2"/>
          </rPr>
          <t>1 - 1,262,500_x000D_
2 - 1,262,500_x000D_
3 - 0_x000D_
4 - 0_x000D_
5 - 0_x000D_
6 - 0</t>
        </r>
      </text>
    </comment>
    <comment ref="M29" authorId="0" shapeId="0" xr:uid="{672F8F36-ED54-4197-881C-A1A9665A3C25}">
      <text>
        <r>
          <rPr>
            <sz val="10"/>
            <color indexed="81"/>
            <rFont val="Arial"/>
            <family val="2"/>
          </rPr>
          <t>1 - 965,971_x000D_
2 - 972,374_x000D_
3 - 0_x000D_
4 - 0_x000D_
5 - 0_x000D_
6 - 0</t>
        </r>
      </text>
    </comment>
    <comment ref="I30" authorId="0" shapeId="0" xr:uid="{D957A63D-E63F-4B0A-8AAF-A6314AEB4581}">
      <text>
        <r>
          <rPr>
            <sz val="9"/>
            <color indexed="81"/>
            <rFont val="Arial"/>
            <family val="2"/>
          </rPr>
          <t>Changed $199,300.00 to $199,300.00 by ExcelImport on 04/06/2026</t>
        </r>
      </text>
    </comment>
    <comment ref="M30" authorId="0" shapeId="0" xr:uid="{6CA66893-3948-4B2A-BF1E-3322FE39CB8B}">
      <text>
        <r>
          <rPr>
            <sz val="9"/>
            <color indexed="81"/>
            <rFont val="Arial"/>
            <family val="2"/>
          </rPr>
          <t>Changed $468.00 to $111,831.00 by ExcelImport on 04/06/2026</t>
        </r>
      </text>
    </comment>
    <comment ref="I31" authorId="0" shapeId="0" xr:uid="{5FE06A90-C547-4D77-BA52-C0B9A57E6AA9}">
      <text>
        <r>
          <rPr>
            <sz val="10"/>
            <color indexed="81"/>
            <rFont val="Arial"/>
            <family val="2"/>
          </rPr>
          <t>1 - 43,850_x000D_
2 - 0_x000D_
3 - 0_x000D_
4 - 0_x000D_
5 - 0_x000D_
6 - 0</t>
        </r>
      </text>
    </comment>
    <comment ref="M31" authorId="0" shapeId="0" xr:uid="{5E29197C-FF1E-4D2B-9320-5C08826DBD91}">
      <text>
        <r>
          <rPr>
            <sz val="10"/>
            <color indexed="81"/>
            <rFont val="Arial"/>
            <family val="2"/>
          </rPr>
          <t>1 - 30,880_x000D_
2 - 0_x000D_
3 - 0_x000D_
4 - 0_x000D_
5 - 0_x000D_
6 - 0</t>
        </r>
      </text>
    </comment>
    <comment ref="I32" authorId="0" shapeId="0" xr:uid="{E03A766A-8BB0-4EA9-8840-019F8D92E0D5}">
      <text>
        <r>
          <rPr>
            <sz val="9"/>
            <color indexed="81"/>
            <rFont val="Arial"/>
            <family val="2"/>
          </rPr>
          <t>Changed $38,600.00 to $38,600.00 by ExcelImport on 04/06/2026</t>
        </r>
      </text>
    </comment>
    <comment ref="M32" authorId="0" shapeId="0" xr:uid="{6A75724B-E8DE-4627-A9B8-AEBB1D5D7F3F}">
      <text>
        <r>
          <rPr>
            <sz val="9"/>
            <color indexed="81"/>
            <rFont val="Arial"/>
            <family val="2"/>
          </rPr>
          <t>Changed $23,400.93 to $24,067.00 by ExcelImport on 04/06/2026</t>
        </r>
      </text>
    </comment>
    <comment ref="I33" authorId="0" shapeId="0" xr:uid="{A53FA000-619E-4D6B-BBA1-56436BF0335B}">
      <text>
        <r>
          <rPr>
            <sz val="9"/>
            <color indexed="81"/>
            <rFont val="Arial"/>
            <family val="2"/>
          </rPr>
          <t>Changed $9,642.50 to $2,905.00 by ExcelImport on 04/06/2026</t>
        </r>
      </text>
    </comment>
    <comment ref="M33" authorId="0" shapeId="0" xr:uid="{A45ECF95-6FD6-424B-8A7A-8FB651C76494}">
      <text>
        <r>
          <rPr>
            <sz val="9"/>
            <color indexed="81"/>
            <rFont val="Arial"/>
            <family val="2"/>
          </rPr>
          <t>Changed $109,137.27 to $1,173.11 by ExcelImport on 04/06/2026</t>
        </r>
      </text>
    </comment>
    <comment ref="I34" authorId="0" shapeId="0" xr:uid="{CF5B615B-BAFF-4D12-AC80-96EBDEF8A95A}">
      <text>
        <r>
          <rPr>
            <sz val="10"/>
            <color indexed="81"/>
            <rFont val="Arial"/>
            <family val="2"/>
          </rPr>
          <t>1 - 10,000_x000D_
2 - 0_x000D_
3 - 0_x000D_
4 - 0_x000D_
5 - 0_x000D_
6 - 0</t>
        </r>
      </text>
    </comment>
    <comment ref="M34" authorId="0" shapeId="0" xr:uid="{9F6F7F56-690D-4C65-A31A-9902F9F37A4D}">
      <text>
        <r>
          <rPr>
            <sz val="10"/>
            <color indexed="81"/>
            <rFont val="Arial"/>
            <family val="2"/>
          </rPr>
          <t>1 - 8,193_x000D_
2 - 0_x000D_
3 - 0_x000D_
4 - 0_x000D_
5 - 0_x000D_
6 - 0</t>
        </r>
      </text>
    </comment>
    <comment ref="I35" authorId="0" shapeId="0" xr:uid="{014F9FE1-5670-4766-8C6D-A01C8EEC9C11}">
      <text>
        <r>
          <rPr>
            <sz val="9"/>
            <color indexed="81"/>
            <rFont val="Arial"/>
            <family val="2"/>
          </rPr>
          <t>Changed $643,280.00 to $643,280.00 by ExcelImport on 04/06/2026</t>
        </r>
      </text>
    </comment>
    <comment ref="M35" authorId="0" shapeId="0" xr:uid="{EA4909FE-4E65-4E3F-9758-3B63A3E23A4A}">
      <text>
        <r>
          <rPr>
            <sz val="9"/>
            <color indexed="81"/>
            <rFont val="Arial"/>
            <family val="2"/>
          </rPr>
          <t>Changed $430,300.60 to $643,280.00 by ExcelImport on 04/06/2026</t>
        </r>
      </text>
    </comment>
    <comment ref="I41" authorId="0" shapeId="0" xr:uid="{CFE90521-572E-463F-8B6A-BEA758C080D9}">
      <text>
        <r>
          <rPr>
            <sz val="10"/>
            <color indexed="81"/>
            <rFont val="Arial"/>
            <family val="2"/>
          </rPr>
          <t>1 - 10,206_x000D_
2 - 9,302_x000D_
3 - 1,149_x000D_
4 - 1,149_x000D_
5 - 1,149_x000D_
6 - 55</t>
        </r>
      </text>
    </comment>
    <comment ref="M41" authorId="0" shapeId="0" xr:uid="{3163DB2B-55A9-42BE-B610-25EE8DF97D41}">
      <text>
        <r>
          <rPr>
            <sz val="10"/>
            <color indexed="81"/>
            <rFont val="Arial"/>
            <family val="2"/>
          </rPr>
          <t>1 - 10,206_x000D_
2 - 9,302_x000D_
3 - 1,149_x000D_
4 - 1,149_x000D_
5 - 1,149_x000D_
6 - 55</t>
        </r>
      </text>
    </comment>
    <comment ref="I44" authorId="0" shapeId="0" xr:uid="{36309F01-A784-47BB-BFC0-9FE308AE561D}">
      <text>
        <r>
          <rPr>
            <sz val="10"/>
            <color indexed="81"/>
            <rFont val="Arial"/>
            <family val="2"/>
          </rPr>
          <t>1 - 253,225_x000D_
2 - 253,225_x000D_
3 - 253,225_x000D_
4 - 253,225_x000D_
5 - 253,225_x000D_
6 - 9,297</t>
        </r>
      </text>
    </comment>
    <comment ref="M44" authorId="0" shapeId="0" xr:uid="{AB3F9215-A084-458D-967D-68A4F3C7F0D9}">
      <text>
        <r>
          <rPr>
            <sz val="10"/>
            <color indexed="81"/>
            <rFont val="Arial"/>
            <family val="2"/>
          </rPr>
          <t>1 - 31,251_x000D_
2 - 31,251_x000D_
3 - 31,251_x000D_
4 - 31,175_x000D_
5 - 23,582_x000D_
6 - 9,297</t>
        </r>
      </text>
    </comment>
    <comment ref="I45" authorId="0" shapeId="0" xr:uid="{3CC09D25-448E-4DFF-AB14-70AC7380A4D8}">
      <text>
        <r>
          <rPr>
            <sz val="10"/>
            <color indexed="81"/>
            <rFont val="Arial"/>
            <family val="2"/>
          </rPr>
          <t>1 - 14,684_x000D_
2 - 14,684_x000D_
3 - 14,575_x000D_
4 - 5,141_x000D_
5 - 548_x000D_
6 - 100</t>
        </r>
      </text>
    </comment>
    <comment ref="M45" authorId="0" shapeId="0" xr:uid="{A3E3BE23-B37D-4F58-B351-4C39677D0CF9}">
      <text>
        <r>
          <rPr>
            <sz val="10"/>
            <color indexed="81"/>
            <rFont val="Arial"/>
            <family val="2"/>
          </rPr>
          <t>1 - 14,684_x000D_
2 - 14,684_x000D_
3 - 14,575_x000D_
4 - 5,141_x000D_
5 - 548_x000D_
6 - 100</t>
        </r>
      </text>
    </comment>
    <comment ref="I46" authorId="0" shapeId="0" xr:uid="{82AB95D1-0B15-4711-A992-5C4B790DAA3A}">
      <text>
        <r>
          <rPr>
            <sz val="10"/>
            <color indexed="81"/>
            <rFont val="Arial"/>
            <family val="2"/>
          </rPr>
          <t>1 - 14,350_x000D_
2 - 14,350_x000D_
3 - 14,350_x000D_
4 - 14,350_x000D_
5 - 1,133_x000D_
6 - 533</t>
        </r>
      </text>
    </comment>
    <comment ref="M46" authorId="0" shapeId="0" xr:uid="{47680356-E564-4D19-9959-3E1CFB21FC26}">
      <text>
        <r>
          <rPr>
            <sz val="10"/>
            <color indexed="81"/>
            <rFont val="Arial"/>
            <family val="2"/>
          </rPr>
          <t>1 - 6,856_x000D_
2 - 6,856_x000D_
3 - 6,888_x000D_
4 - 9,428_x000D_
5 - 1,133_x000D_
6 - 533</t>
        </r>
      </text>
    </comment>
    <comment ref="I47" authorId="0" shapeId="0" xr:uid="{61CE5DCF-AD39-4E21-8D9D-0F1D60EFDEA2}">
      <text>
        <r>
          <rPr>
            <sz val="10"/>
            <color indexed="81"/>
            <rFont val="Arial"/>
            <family val="2"/>
          </rPr>
          <t>1 - 48,860_x000D_
2 - 48,860_x000D_
3 - 48,860_x000D_
4 - 48,860_x000D_
5 - 48,860_x000D_
6 - 48,860</t>
        </r>
      </text>
    </comment>
    <comment ref="M47" authorId="0" shapeId="0" xr:uid="{7F1B6F7F-55BB-4863-852E-9DBDCEC802DB}">
      <text>
        <r>
          <rPr>
            <sz val="10"/>
            <color indexed="81"/>
            <rFont val="Arial"/>
            <family val="2"/>
          </rPr>
          <t>1 - 17,053_x000D_
2 - 17,053_x000D_
3 - 17,053_x000D_
4 - 17,053_x000D_
5 - 15,151_x000D_
6 - 28,628</t>
        </r>
      </text>
    </comment>
    <comment ref="I48" authorId="0" shapeId="0" xr:uid="{6E3F354E-E0B4-4C51-B4F1-7F131633E186}">
      <text>
        <r>
          <rPr>
            <sz val="10"/>
            <color indexed="81"/>
            <rFont val="Arial"/>
            <family val="2"/>
          </rPr>
          <t>1 - 45,200_x000D_
2 - 45,200_x000D_
3 - 45,200_x000D_
4 - 45,200_x000D_
5 - 45,200_x000D_
6 - 45,200</t>
        </r>
      </text>
    </comment>
    <comment ref="M48" authorId="0" shapeId="0" xr:uid="{B16FFF85-C174-4F30-A733-FAB7A4201C48}">
      <text>
        <r>
          <rPr>
            <sz val="10"/>
            <color indexed="81"/>
            <rFont val="Arial"/>
            <family val="2"/>
          </rPr>
          <t>1 - 35,599_x000D_
2 - 35,599_x000D_
3 - 35,145_x000D_
4 - 35,298_x000D_
5 - 35,298_x000D_
6 - 32,861</t>
        </r>
      </text>
    </comment>
    <comment ref="I49" authorId="0" shapeId="0" xr:uid="{E7AF9741-D967-4B9F-888B-3F4F22418165}">
      <text>
        <r>
          <rPr>
            <sz val="10"/>
            <color indexed="81"/>
            <rFont val="Arial"/>
            <family val="2"/>
          </rPr>
          <t>1 - 9,960_x000D_
2 - 9,960_x000D_
3 - 9,960_x000D_
4 - 9,960_x000D_
5 - 9,960_x000D_
6 - 9,960</t>
        </r>
      </text>
    </comment>
    <comment ref="M49" authorId="0" shapeId="0" xr:uid="{2DE8F347-89B2-40A4-9646-86F1D201D5AA}">
      <text>
        <r>
          <rPr>
            <sz val="10"/>
            <color indexed="81"/>
            <rFont val="Arial"/>
            <family val="2"/>
          </rPr>
          <t>1 - 4,596_x000D_
2 - 4,596_x000D_
3 - 4,596_x000D_
4 - 4,596_x000D_
5 - 4,596_x000D_
6 - 4,596</t>
        </r>
      </text>
    </comment>
    <comment ref="I50" authorId="0" shapeId="0" xr:uid="{EA04A27F-7395-4F00-BEC8-9C3AFC5C5317}">
      <text>
        <r>
          <rPr>
            <sz val="10"/>
            <color indexed="81"/>
            <rFont val="Arial"/>
            <family val="2"/>
          </rPr>
          <t>1 - 42,902_x000D_
2 - 42,902_x000D_
3 - 42,902_x000D_
4 - 42,902_x000D_
5 - 42,902_x000D_
6 - 42,902</t>
        </r>
      </text>
    </comment>
    <comment ref="M50" authorId="0" shapeId="0" xr:uid="{BE23679A-7014-4611-ADCD-566764CBCAFA}">
      <text>
        <r>
          <rPr>
            <sz val="10"/>
            <color indexed="81"/>
            <rFont val="Arial"/>
            <family val="2"/>
          </rPr>
          <t>1 - 27,279_x000D_
2 - 27,279_x000D_
3 - 27,279_x000D_
4 - 27,279_x000D_
5 - 27,279_x000D_
6 - 40,013</t>
        </r>
      </text>
    </comment>
    <comment ref="I51" authorId="0" shapeId="0" xr:uid="{4BB5CDBC-6A30-4F1C-B1D0-E6425336123D}">
      <text>
        <r>
          <rPr>
            <sz val="10"/>
            <color indexed="81"/>
            <rFont val="Arial"/>
            <family val="2"/>
          </rPr>
          <t>1 - 12,725_x000D_
2 - 12,725_x000D_
3 - 12,725_x000D_
4 - 12,725_x000D_
5 - 12,725_x000D_
6 - 12,725</t>
        </r>
      </text>
    </comment>
    <comment ref="M51" authorId="0" shapeId="0" xr:uid="{964DEABD-9932-44A3-9F80-B8C5CE94FFFB}">
      <text>
        <r>
          <rPr>
            <sz val="10"/>
            <color indexed="81"/>
            <rFont val="Arial"/>
            <family val="2"/>
          </rPr>
          <t>1 - 7,100_x000D_
2 - 7,100_x000D_
3 - 7,100_x000D_
4 - 7,100_x000D_
5 - 7,100_x000D_
6 - 5,896</t>
        </r>
      </text>
    </comment>
    <comment ref="I52" authorId="0" shapeId="0" xr:uid="{74AE2EB1-5914-46DE-8E70-462EFE0BF7CE}">
      <text>
        <r>
          <rPr>
            <sz val="10"/>
            <color indexed="81"/>
            <rFont val="Arial"/>
            <family val="2"/>
          </rPr>
          <t>1 - 35,100_x000D_
2 - 35,100_x000D_
3 - 35,100_x000D_
4 - 30,300_x000D_
5 - 30,300_x000D_
6 - 30,300</t>
        </r>
      </text>
    </comment>
    <comment ref="M52" authorId="0" shapeId="0" xr:uid="{CC960752-E762-4394-A116-A21788280930}">
      <text>
        <r>
          <rPr>
            <sz val="10"/>
            <color indexed="81"/>
            <rFont val="Arial"/>
            <family val="2"/>
          </rPr>
          <t>1 - 37,006_x000D_
2 - 34,428_x000D_
3 - 32,309_x000D_
4 - 25,315_x000D_
5 - 25,315_x000D_
6 - 25,315</t>
        </r>
      </text>
    </comment>
    <comment ref="I53" authorId="0" shapeId="0" xr:uid="{86BAE782-909C-43F1-9BF8-49798EBC0192}">
      <text>
        <r>
          <rPr>
            <sz val="10"/>
            <color indexed="81"/>
            <rFont val="Arial"/>
            <family val="2"/>
          </rPr>
          <t>1 - 12,450_x000D_
2 - 12,450_x000D_
3 - 12,450_x000D_
4 - 12,450_x000D_
5 - 12,450_x000D_
6 - 12,450</t>
        </r>
      </text>
    </comment>
    <comment ref="M53" authorId="0" shapeId="0" xr:uid="{E2DAAED9-8EBE-482C-8944-D60E3ECC5862}">
      <text>
        <r>
          <rPr>
            <sz val="10"/>
            <color indexed="81"/>
            <rFont val="Arial"/>
            <family val="2"/>
          </rPr>
          <t>1 - 6,364_x000D_
2 - 6,364_x000D_
3 - 6,364_x000D_
4 - 6,364_x000D_
5 - 6,364_x000D_
6 - 7,193</t>
        </r>
      </text>
    </comment>
    <comment ref="I54" authorId="0" shapeId="0" xr:uid="{8434DA98-1F0E-4EC7-94F0-A33967AC14BA}">
      <text>
        <r>
          <rPr>
            <sz val="10"/>
            <color indexed="81"/>
            <rFont val="Arial"/>
            <family val="2"/>
          </rPr>
          <t>1 - 9,820_x000D_
2 - 9,820_x000D_
3 - 9,820_x000D_
4 - 9,820_x000D_
5 - 9,820_x000D_
6 - 9,820</t>
        </r>
      </text>
    </comment>
    <comment ref="M54" authorId="0" shapeId="0" xr:uid="{FA856056-EB23-427C-BE46-559A6835C0CD}">
      <text>
        <r>
          <rPr>
            <sz val="10"/>
            <color indexed="81"/>
            <rFont val="Arial"/>
            <family val="2"/>
          </rPr>
          <t>1 - 4,666_x000D_
2 - 6,470_x000D_
3 - 6,470_x000D_
4 - 6,899_x000D_
5 - 6,899_x000D_
6 - 6,899</t>
        </r>
      </text>
    </comment>
    <comment ref="I55" authorId="0" shapeId="0" xr:uid="{B405BC8F-0407-462B-9D2E-E0AA1A5A951A}">
      <text>
        <r>
          <rPr>
            <sz val="10"/>
            <color indexed="81"/>
            <rFont val="Arial"/>
            <family val="2"/>
          </rPr>
          <t>1 - 3,664_x000D_
2 - 3,664_x000D_
3 - 3,664_x000D_
4 - 3,664_x000D_
5 - 749_x000D_
6 - 0</t>
        </r>
      </text>
    </comment>
    <comment ref="M55" authorId="0" shapeId="0" xr:uid="{5F081E7C-8BBA-458C-9F46-23F9ED405D63}">
      <text>
        <r>
          <rPr>
            <sz val="10"/>
            <color indexed="81"/>
            <rFont val="Arial"/>
            <family val="2"/>
          </rPr>
          <t>1 - 1,026_x000D_
2 - 1,026_x000D_
3 - 1,026_x000D_
4 - 1,026_x000D_
5 - 749_x000D_
6 - 0</t>
        </r>
      </text>
    </comment>
    <comment ref="I56" authorId="0" shapeId="0" xr:uid="{6EB4081C-1834-43EF-80E7-B6F7C7F9EE64}">
      <text>
        <r>
          <rPr>
            <sz val="10"/>
            <color indexed="81"/>
            <rFont val="Arial"/>
            <family val="2"/>
          </rPr>
          <t>1 - 7,820_x000D_
2 - 7,820_x000D_
3 - 7,820_x000D_
4 - 7,820_x000D_
5 - 0_x000D_
6 - 0</t>
        </r>
      </text>
    </comment>
    <comment ref="M56" authorId="0" shapeId="0" xr:uid="{015B930A-F824-4E0E-8888-BA3992A294F6}">
      <text>
        <r>
          <rPr>
            <sz val="10"/>
            <color indexed="81"/>
            <rFont val="Arial"/>
            <family val="2"/>
          </rPr>
          <t>1 - 4,487_x000D_
2 - 4,687_x000D_
3 - 4,844_x000D_
4 - 5,980_x000D_
5 - 0_x000D_
6 - 0</t>
        </r>
      </text>
    </comment>
    <comment ref="I57" authorId="0" shapeId="0" xr:uid="{FAE9BE28-B263-4805-A2F0-6B31AD740C88}">
      <text>
        <r>
          <rPr>
            <sz val="10"/>
            <color indexed="81"/>
            <rFont val="Arial"/>
            <family val="2"/>
          </rPr>
          <t>1 - 4,250_x000D_
2 - 4,250_x000D_
3 - 4,250_x000D_
4 - 4,250_x000D_
5 - 4,250_x000D_
6 - 0</t>
        </r>
      </text>
    </comment>
    <comment ref="M57" authorId="0" shapeId="0" xr:uid="{C86838A6-539C-422F-8F8C-FDAE669CE586}">
      <text>
        <r>
          <rPr>
            <sz val="10"/>
            <color indexed="81"/>
            <rFont val="Arial"/>
            <family val="2"/>
          </rPr>
          <t>1 - 2,100_x000D_
2 - 2,100_x000D_
3 - 2,100_x000D_
4 - 2,100_x000D_
5 - 2,100_x000D_
6 - 0</t>
        </r>
      </text>
    </comment>
    <comment ref="I58" authorId="0" shapeId="0" xr:uid="{331650AC-CFC5-4A27-8173-8565867752E1}">
      <text>
        <r>
          <rPr>
            <sz val="10"/>
            <color indexed="81"/>
            <rFont val="Arial"/>
            <family val="2"/>
          </rPr>
          <t>1 - 15,315_x000D_
2 - 15,315_x000D_
3 - 15,315_x000D_
4 - 15,315_x000D_
5 - 0_x000D_
6 - 0</t>
        </r>
      </text>
    </comment>
    <comment ref="M58" authorId="0" shapeId="0" xr:uid="{1CC5A0B3-9C88-4A5C-B576-91ADE1F54A12}">
      <text>
        <r>
          <rPr>
            <sz val="10"/>
            <color indexed="81"/>
            <rFont val="Arial"/>
            <family val="2"/>
          </rPr>
          <t>1 - 8,206_x000D_
2 - 9,674_x000D_
3 - 9,254_x000D_
4 - 9,228_x000D_
5 - 0_x000D_
6 - 0</t>
        </r>
      </text>
    </comment>
    <comment ref="E59" authorId="0" shapeId="0" xr:uid="{2200C9A0-9043-4BBA-91F0-A88B01EE885D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  <comment ref="I59" authorId="0" shapeId="0" xr:uid="{FB6CD631-3C20-4016-82D6-76F377C47A8E}">
      <text>
        <r>
          <rPr>
            <sz val="10"/>
            <color indexed="81"/>
            <rFont val="Arial"/>
            <family val="2"/>
          </rPr>
          <t>1 - 12,815_x000D_
2 - 9,990_x000D_
3 - 0_x000D_
4 - 0_x000D_
5 - 0_x000D_
6 - 0</t>
        </r>
      </text>
    </comment>
    <comment ref="M59" authorId="0" shapeId="0" xr:uid="{0C67B5C9-BCA0-4D70-8E12-0C098355E8A6}">
      <text>
        <r>
          <rPr>
            <sz val="10"/>
            <color indexed="81"/>
            <rFont val="Arial"/>
            <family val="2"/>
          </rPr>
          <t>1 - 9,891_x000D_
2 - 7,066_x000D_
3 - 0_x000D_
4 - 0_x000D_
5 - 0_x000D_
6 - 0</t>
        </r>
      </text>
    </comment>
    <comment ref="I60" authorId="0" shapeId="0" xr:uid="{14EDACDB-6373-4012-A902-62405AEE4750}">
      <text>
        <r>
          <rPr>
            <sz val="9"/>
            <color indexed="81"/>
            <rFont val="Arial"/>
            <family val="2"/>
          </rPr>
          <t>Changed $3,502.00 to $3,502.00 by ExcelImport on 04/06/2026</t>
        </r>
      </text>
    </comment>
    <comment ref="M60" authorId="0" shapeId="0" xr:uid="{E7637039-A76C-4140-9013-9C2B6FF232EB}">
      <text>
        <r>
          <rPr>
            <sz val="9"/>
            <color indexed="81"/>
            <rFont val="Arial"/>
            <family val="2"/>
          </rPr>
          <t>Changed $2,524.16 to $2,942.00 by ExcelImport on 04/06/2026</t>
        </r>
      </text>
    </comment>
    <comment ref="I61" authorId="0" shapeId="0" xr:uid="{3103BC39-40C6-441C-9406-542C5F763D92}">
      <text>
        <r>
          <rPr>
            <sz val="9"/>
            <color indexed="81"/>
            <rFont val="Arial"/>
            <family val="2"/>
          </rPr>
          <t>Changed $12,500.00 to $1,036.00 by ExcelImport on 04/06/2026</t>
        </r>
      </text>
    </comment>
    <comment ref="M61" authorId="0" shapeId="0" xr:uid="{714CC5BA-DCB1-43B5-8835-AA753A2CFD1F}">
      <text>
        <r>
          <rPr>
            <sz val="9"/>
            <color indexed="81"/>
            <rFont val="Arial"/>
            <family val="2"/>
          </rPr>
          <t>Changed $1,035.79 to $1,035.79 by ExcelImport on 04/06/2026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0074D1D-E5CC-429D-9B3E-9754743C8838}">
      <text>
        <r>
          <rPr>
            <sz val="10"/>
            <color indexed="81"/>
            <rFont val="Arial"/>
            <family val="2"/>
          </rPr>
          <t>Original - _x000D_
17,352_x000D_
Change Order - _x000D_
25,900</t>
        </r>
      </text>
    </comment>
    <comment ref="J9" authorId="0" shapeId="0" xr:uid="{CD01C119-6AD3-427F-B83C-161899082F21}">
      <text>
        <r>
          <rPr>
            <sz val="10"/>
            <color indexed="81"/>
            <rFont val="Arial"/>
            <family val="2"/>
          </rPr>
          <t>1 - 0_x000D_
2 - 0_x000D_
3 - 5,846_x000D_
4 - 0_x000D_
5 - 0_x000D_
6 - 972</t>
        </r>
      </text>
    </comment>
    <comment ref="N9" authorId="0" shapeId="0" xr:uid="{037DAF6A-BA43-423E-9603-ADBEA3AC2284}">
      <text>
        <r>
          <rPr>
            <sz val="10"/>
            <color indexed="81"/>
            <rFont val="Arial"/>
            <family val="2"/>
          </rPr>
          <t>1 - 0_x000D_
2 - 0_x000D_
3 - 5,846_x000D_
4 - 0_x000D_
5 - 0_x000D_
6 - 972</t>
        </r>
      </text>
    </comment>
    <comment ref="J10" authorId="0" shapeId="0" xr:uid="{0ED27B84-BBE1-4059-8EA3-5DBF8590443D}">
      <text>
        <r>
          <rPr>
            <sz val="10"/>
            <color indexed="81"/>
            <rFont val="Arial"/>
            <family val="2"/>
          </rPr>
          <t>1 - 0_x000D_
2 - 0_x000D_
3 - 9,253_x000D_
4 - 0_x000D_
5 - 0_x000D_
6 - 667</t>
        </r>
      </text>
    </comment>
    <comment ref="N10" authorId="0" shapeId="0" xr:uid="{6B8FD53F-8207-461A-B0D2-49CC5F10B44A}">
      <text>
        <r>
          <rPr>
            <sz val="10"/>
            <color indexed="81"/>
            <rFont val="Arial"/>
            <family val="2"/>
          </rPr>
          <t>1 - 0_x000D_
2 - 0_x000D_
3 - 9,253_x000D_
4 - 0_x000D_
5 - 0_x000D_
6 - 667</t>
        </r>
      </text>
    </comment>
    <comment ref="J11" authorId="0" shapeId="0" xr:uid="{B84FCB9E-465B-4067-AA68-667D080C969E}">
      <text>
        <r>
          <rPr>
            <sz val="10"/>
            <color indexed="81"/>
            <rFont val="Arial"/>
            <family val="2"/>
          </rPr>
          <t>1 - 0_x000D_
2 - 0_x000D_
3 - 37,034_x000D_
4 - 0_x000D_
5 - 0_x000D_
6 - 5,598</t>
        </r>
      </text>
    </comment>
    <comment ref="N11" authorId="0" shapeId="0" xr:uid="{A23FC627-D58A-4AFA-BA85-A9C9373C69E2}">
      <text>
        <r>
          <rPr>
            <sz val="10"/>
            <color indexed="81"/>
            <rFont val="Arial"/>
            <family val="2"/>
          </rPr>
          <t>1 - 0_x000D_
2 - 0_x000D_
3 - 37,034_x000D_
4 - 0_x000D_
5 - 0_x000D_
6 - 5,598</t>
        </r>
      </text>
    </comment>
    <comment ref="J12" authorId="0" shapeId="0" xr:uid="{90E9D680-EDD1-4DD9-9AB2-4EB407B99894}">
      <text>
        <r>
          <rPr>
            <sz val="10"/>
            <color indexed="81"/>
            <rFont val="Arial"/>
            <family val="2"/>
          </rPr>
          <t>1 - 0_x000D_
2 - 0_x000D_
3 - 16,705_x000D_
4 - 0_x000D_
5 - 0_x000D_
6 - 656</t>
        </r>
      </text>
    </comment>
    <comment ref="N12" authorId="0" shapeId="0" xr:uid="{E535142F-E9A3-46E7-96D2-FD0DB9F9D07B}">
      <text>
        <r>
          <rPr>
            <sz val="10"/>
            <color indexed="81"/>
            <rFont val="Arial"/>
            <family val="2"/>
          </rPr>
          <t>1 - 0_x000D_
2 - 0_x000D_
3 - 16,705_x000D_
4 - 0_x000D_
5 - 0_x000D_
6 - 656</t>
        </r>
      </text>
    </comment>
    <comment ref="J13" authorId="0" shapeId="0" xr:uid="{5C3AF502-EEE1-4433-B03E-95350B508516}">
      <text>
        <r>
          <rPr>
            <sz val="10"/>
            <color indexed="81"/>
            <rFont val="Arial"/>
            <family val="2"/>
          </rPr>
          <t>1 - 0_x000D_
2 - 0_x000D_
3 - 7,525_x000D_
4 - 0_x000D_
5 - 0_x000D_
6 - 528</t>
        </r>
      </text>
    </comment>
    <comment ref="N13" authorId="0" shapeId="0" xr:uid="{FF9F45D7-71EC-4070-8399-FDBBAE267200}">
      <text>
        <r>
          <rPr>
            <sz val="10"/>
            <color indexed="81"/>
            <rFont val="Arial"/>
            <family val="2"/>
          </rPr>
          <t>1 - 0_x000D_
2 - 0_x000D_
3 - 7,525_x000D_
4 - 0_x000D_
5 - 0_x000D_
6 - 528</t>
        </r>
      </text>
    </comment>
    <comment ref="J14" authorId="0" shapeId="0" xr:uid="{2A7E20C9-4D33-4232-8C55-E5EF31548102}">
      <text>
        <r>
          <rPr>
            <sz val="10"/>
            <color indexed="81"/>
            <rFont val="Arial"/>
            <family val="2"/>
          </rPr>
          <t>1 - 0_x000D_
2 - 0_x000D_
3 - 5,832_x000D_
4 - 0_x000D_
5 - 0_x000D_
6 - 111</t>
        </r>
      </text>
    </comment>
    <comment ref="N14" authorId="0" shapeId="0" xr:uid="{68CA3688-8DE0-46F8-9B3F-FF0BC9E3C3EA}">
      <text>
        <r>
          <rPr>
            <sz val="10"/>
            <color indexed="81"/>
            <rFont val="Arial"/>
            <family val="2"/>
          </rPr>
          <t>1 - 0_x000D_
2 - 0_x000D_
3 - 5,832_x000D_
4 - 0_x000D_
5 - 0_x000D_
6 - 111</t>
        </r>
      </text>
    </comment>
    <comment ref="J15" authorId="0" shapeId="0" xr:uid="{243918C9-F821-4560-B568-6A7A57E8E8EB}">
      <text>
        <r>
          <rPr>
            <sz val="10"/>
            <color indexed="81"/>
            <rFont val="Arial"/>
            <family val="2"/>
          </rPr>
          <t>1 - 0_x000D_
2 - 0_x000D_
3 - 405,000_x000D_
4 - 0_x000D_
5 - 0_x000D_
6 - 8,583</t>
        </r>
      </text>
    </comment>
    <comment ref="N15" authorId="0" shapeId="0" xr:uid="{4F8D4097-7E74-4C92-BBFB-D37FB308576A}">
      <text>
        <r>
          <rPr>
            <sz val="10"/>
            <color indexed="81"/>
            <rFont val="Arial"/>
            <family val="2"/>
          </rPr>
          <t>1 - 0_x000D_
2 - 0_x000D_
3 - 287,432_x000D_
4 - 0_x000D_
5 - 0_x000D_
6 - 8,583</t>
        </r>
      </text>
    </comment>
    <comment ref="J16" authorId="0" shapeId="0" xr:uid="{529C4D96-43EF-4C58-B831-105399DBF15E}">
      <text>
        <r>
          <rPr>
            <sz val="10"/>
            <color indexed="81"/>
            <rFont val="Arial"/>
            <family val="2"/>
          </rPr>
          <t>1 - 0_x000D_
2 - 0_x000D_
3 - 97,699_x000D_
4 - 0_x000D_
5 - 0_x000D_
6 - 10,807</t>
        </r>
      </text>
    </comment>
    <comment ref="N16" authorId="0" shapeId="0" xr:uid="{7BEC3A6E-B42E-4300-B0F0-18D652E4F47B}">
      <text>
        <r>
          <rPr>
            <sz val="10"/>
            <color indexed="81"/>
            <rFont val="Arial"/>
            <family val="2"/>
          </rPr>
          <t>1 - 0_x000D_
2 - 0_x000D_
3 - 97,699_x000D_
4 - 0_x000D_
5 - 0_x000D_
6 - 10,807</t>
        </r>
      </text>
    </comment>
    <comment ref="J17" authorId="0" shapeId="0" xr:uid="{E1245141-4766-4C56-8C68-D0DCBA9DC08E}">
      <text>
        <r>
          <rPr>
            <sz val="10"/>
            <color indexed="81"/>
            <rFont val="Arial"/>
            <family val="2"/>
          </rPr>
          <t>1 - 0_x000D_
2 - 0_x000D_
3 - 14,045_x000D_
4 - 0_x000D_
5 - 0_x000D_
6 - 485</t>
        </r>
      </text>
    </comment>
    <comment ref="N17" authorId="0" shapeId="0" xr:uid="{502D5740-D9AC-4B75-B86A-4C3C8A38A558}">
      <text>
        <r>
          <rPr>
            <sz val="10"/>
            <color indexed="81"/>
            <rFont val="Arial"/>
            <family val="2"/>
          </rPr>
          <t>1 - 0_x000D_
2 - 0_x000D_
3 - 14,045_x000D_
4 - 0_x000D_
5 - 0_x000D_
6 - 485</t>
        </r>
      </text>
    </comment>
    <comment ref="J18" authorId="0" shapeId="0" xr:uid="{1F8BB6B6-4B89-4C49-B55F-F28E3D3EFD0D}">
      <text>
        <r>
          <rPr>
            <sz val="10"/>
            <color indexed="81"/>
            <rFont val="Arial"/>
            <family val="2"/>
          </rPr>
          <t>1 - 0_x000D_
2 - 0_x000D_
3 - 3,498_x000D_
4 - 0_x000D_
5 - 0_x000D_
6 - 996</t>
        </r>
      </text>
    </comment>
    <comment ref="N18" authorId="0" shapeId="0" xr:uid="{1F691324-11A2-4650-8477-CE67FB3AE64C}">
      <text>
        <r>
          <rPr>
            <sz val="10"/>
            <color indexed="81"/>
            <rFont val="Arial"/>
            <family val="2"/>
          </rPr>
          <t>1 - 0_x000D_
2 - 0_x000D_
3 - 1,910_x000D_
4 - 0_x000D_
5 - 0_x000D_
6 - 996</t>
        </r>
      </text>
    </comment>
    <comment ref="J19" authorId="0" shapeId="0" xr:uid="{95A9B3A3-D923-4F85-8AE5-69FD691E8A5C}">
      <text>
        <r>
          <rPr>
            <sz val="10"/>
            <color indexed="81"/>
            <rFont val="Arial"/>
            <family val="2"/>
          </rPr>
          <t>1 - 0_x000D_
2 - 0_x000D_
3 - 49,530_x000D_
4 - 0_x000D_
5 - 0_x000D_
6 - 49,530</t>
        </r>
      </text>
    </comment>
    <comment ref="N19" authorId="0" shapeId="0" xr:uid="{8F263076-A757-4C99-A509-814FCBEA2EB0}">
      <text>
        <r>
          <rPr>
            <sz val="10"/>
            <color indexed="81"/>
            <rFont val="Arial"/>
            <family val="2"/>
          </rPr>
          <t>1 - 0_x000D_
2 - 0_x000D_
3 - 44,530_x000D_
4 - 0_x000D_
5 - 0_x000D_
6 - 44,530</t>
        </r>
      </text>
    </comment>
    <comment ref="J20" authorId="0" shapeId="0" xr:uid="{5F84A1D4-2E7C-4F53-BF4C-D6C9D31D2966}">
      <text>
        <r>
          <rPr>
            <sz val="10"/>
            <color indexed="81"/>
            <rFont val="Arial"/>
            <family val="2"/>
          </rPr>
          <t>1 - 0_x000D_
2 - 0_x000D_
3 - 34,935_x000D_
4 - 0_x000D_
5 - 0_x000D_
6 - 34,935</t>
        </r>
      </text>
    </comment>
    <comment ref="N20" authorId="0" shapeId="0" xr:uid="{46F0DCC3-9E93-40DB-8242-945DC3ED3D64}">
      <text>
        <r>
          <rPr>
            <sz val="10"/>
            <color indexed="81"/>
            <rFont val="Arial"/>
            <family val="2"/>
          </rPr>
          <t>1 - 0_x000D_
2 - 0_x000D_
3 - 29,528_x000D_
4 - 0_x000D_
5 - 0_x000D_
6 - 27,435</t>
        </r>
      </text>
    </comment>
    <comment ref="J21" authorId="0" shapeId="0" xr:uid="{A1EC4E52-E0E6-46DB-BBE8-C12279C13721}">
      <text>
        <r>
          <rPr>
            <sz val="10"/>
            <color indexed="81"/>
            <rFont val="Arial"/>
            <family val="2"/>
          </rPr>
          <t>1 - 0_x000D_
2 - 0_x000D_
3 - 1,785,125_x000D_
4 - 0_x000D_
5 - 0_x000D_
6 - 1,785,125</t>
        </r>
      </text>
    </comment>
    <comment ref="N21" authorId="0" shapeId="0" xr:uid="{E97CBF3D-1DCB-4A53-BB2D-83F80C6CF0ED}">
      <text>
        <r>
          <rPr>
            <sz val="10"/>
            <color indexed="81"/>
            <rFont val="Arial"/>
            <family val="2"/>
          </rPr>
          <t>1 - 0_x000D_
2 - 0_x000D_
3 - 1,245,089_x000D_
4 - 0_x000D_
5 - 0_x000D_
6 - 1,139,524</t>
        </r>
      </text>
    </comment>
    <comment ref="J22" authorId="0" shapeId="0" xr:uid="{DA84F0E7-39AE-4B5C-B261-768DB6C7530F}">
      <text>
        <r>
          <rPr>
            <sz val="10"/>
            <color indexed="81"/>
            <rFont val="Arial"/>
            <family val="2"/>
          </rPr>
          <t>1 - 0_x000D_
2 - 0_x000D_
3 - 14,405_x000D_
4 - 0_x000D_
5 - 0_x000D_
6 - 5,900</t>
        </r>
      </text>
    </comment>
    <comment ref="N22" authorId="0" shapeId="0" xr:uid="{B41D4F08-4E5D-4AB5-9066-5C3DBB4660DF}">
      <text>
        <r>
          <rPr>
            <sz val="10"/>
            <color indexed="81"/>
            <rFont val="Arial"/>
            <family val="2"/>
          </rPr>
          <t>1 - 0_x000D_
2 - 0_x000D_
3 - 14,405_x000D_
4 - 0_x000D_
5 - 0_x000D_
6 - 4,556</t>
        </r>
      </text>
    </comment>
    <comment ref="J24" authorId="0" shapeId="0" xr:uid="{9A3C6AB7-E3B6-498D-9802-19A1E95D6444}">
      <text>
        <r>
          <rPr>
            <sz val="10"/>
            <color indexed="81"/>
            <rFont val="Arial"/>
            <family val="2"/>
          </rPr>
          <t>1 - 0_x000D_
2 - 0_x000D_
3 - 6,896_x000D_
4 - 0_x000D_
5 - 0_x000D_
6 - 4,304</t>
        </r>
      </text>
    </comment>
    <comment ref="N24" authorId="0" shapeId="0" xr:uid="{34DA8A8F-6D71-46A3-9DC0-F00E2EE12CC2}">
      <text>
        <r>
          <rPr>
            <sz val="10"/>
            <color indexed="81"/>
            <rFont val="Arial"/>
            <family val="2"/>
          </rPr>
          <t>1 - 0_x000D_
2 - 0_x000D_
3 - 3,320_x000D_
4 - 0_x000D_
5 - 0_x000D_
6 - 1,997</t>
        </r>
      </text>
    </comment>
    <comment ref="J25" authorId="0" shapeId="0" xr:uid="{C1665316-AA3A-4ED5-A408-4C0FF419CFB6}">
      <text>
        <r>
          <rPr>
            <sz val="10"/>
            <color indexed="81"/>
            <rFont val="Arial"/>
            <family val="2"/>
          </rPr>
          <t>1 - 0_x000D_
2 - 0_x000D_
3 - 1,830_x000D_
4 - 0_x000D_
5 - 0_x000D_
6 - 1,423</t>
        </r>
      </text>
    </comment>
    <comment ref="N25" authorId="0" shapeId="0" xr:uid="{2E63A878-5A84-4B09-9D60-1A3D28DEAC54}">
      <text>
        <r>
          <rPr>
            <sz val="10"/>
            <color indexed="81"/>
            <rFont val="Arial"/>
            <family val="2"/>
          </rPr>
          <t>1 - 0_x000D_
2 - 0_x000D_
3 - 1,830_x000D_
4 - 0_x000D_
5 - 0_x000D_
6 - 1,423</t>
        </r>
      </text>
    </comment>
    <comment ref="J26" authorId="0" shapeId="0" xr:uid="{349BD723-2CC4-43BC-A248-790507C63824}">
      <text>
        <r>
          <rPr>
            <sz val="10"/>
            <color indexed="81"/>
            <rFont val="Arial"/>
            <family val="2"/>
          </rPr>
          <t>1 - 0_x000D_
2 - 0_x000D_
3 - 12,500_x000D_
4 - 0_x000D_
5 - 0_x000D_
6 - 12,500</t>
        </r>
      </text>
    </comment>
    <comment ref="N26" authorId="0" shapeId="0" xr:uid="{596221E1-0B18-444A-A8F1-6951481F12B7}">
      <text>
        <r>
          <rPr>
            <sz val="10"/>
            <color indexed="81"/>
            <rFont val="Arial"/>
            <family val="2"/>
          </rPr>
          <t>1 - 0_x000D_
2 - 0_x000D_
3 - 8,351_x000D_
4 - 0_x000D_
5 - 0_x000D_
6 - 7,899</t>
        </r>
      </text>
    </comment>
    <comment ref="J27" authorId="0" shapeId="0" xr:uid="{EECDB2CE-71F5-40FD-9208-BDCF5EF88173}">
      <text>
        <r>
          <rPr>
            <sz val="10"/>
            <color indexed="81"/>
            <rFont val="Arial"/>
            <family val="2"/>
          </rPr>
          <t>1 - 0_x000D_
2 - 0_x000D_
3 - 45,295_x000D_
4 - 0_x000D_
5 - 0_x000D_
6 - 0</t>
        </r>
      </text>
    </comment>
    <comment ref="N27" authorId="0" shapeId="0" xr:uid="{520C61FA-1EC5-460A-BEB2-77A267B96C35}">
      <text>
        <r>
          <rPr>
            <sz val="10"/>
            <color indexed="81"/>
            <rFont val="Arial"/>
            <family val="2"/>
          </rPr>
          <t>1 - 0_x000D_
2 - 0_x000D_
3 - 33,388_x000D_
4 - 0_x000D_
5 - 0_x000D_
6 - 0</t>
        </r>
      </text>
    </comment>
    <comment ref="J29" authorId="0" shapeId="0" xr:uid="{B081C6A0-A5A3-4835-B2AF-D3CC6C42143E}">
      <text>
        <r>
          <rPr>
            <sz val="9"/>
            <color indexed="81"/>
            <rFont val="Arial"/>
            <family val="2"/>
          </rPr>
          <t>Changed $1,371,135.00 to $1,262,500.00 by ExcelImport on 04/06/2026</t>
        </r>
      </text>
    </comment>
    <comment ref="N29" authorId="0" shapeId="0" xr:uid="{4B741D97-C0E8-45AE-BF67-DBE108673158}">
      <text>
        <r>
          <rPr>
            <sz val="9"/>
            <color indexed="81"/>
            <rFont val="Arial"/>
            <family val="2"/>
          </rPr>
          <t>Changed $968,682.13 to $969,942.00 by ExcelImport on 04/06/2026</t>
        </r>
      </text>
    </comment>
    <comment ref="J30" authorId="0" shapeId="0" xr:uid="{546224DB-B494-4149-988E-F2B2B759F842}">
      <text>
        <r>
          <rPr>
            <sz val="9"/>
            <color indexed="81"/>
            <rFont val="Arial"/>
            <family val="2"/>
          </rPr>
          <t>Changed $199,300.00 to $199,300.00 by ExcelImport on 04/06/2026</t>
        </r>
      </text>
    </comment>
    <comment ref="N30" authorId="0" shapeId="0" xr:uid="{06951195-5835-4671-BFB5-3C98E86617F6}">
      <text>
        <r>
          <rPr>
            <sz val="9"/>
            <color indexed="81"/>
            <rFont val="Arial"/>
            <family val="2"/>
          </rPr>
          <t>Changed $468.00 to $111,831.00 by ExcelImport on 04/06/2026</t>
        </r>
      </text>
    </comment>
    <comment ref="J31" authorId="0" shapeId="0" xr:uid="{2DC2F1D6-1A76-48C4-A2C6-D7F11E9C6D67}">
      <text>
        <r>
          <rPr>
            <sz val="9"/>
            <color indexed="81"/>
            <rFont val="Arial"/>
            <family val="2"/>
          </rPr>
          <t>Changed $43,850.00 to $43,850.00 by ExcelImport on 04/06/2026</t>
        </r>
      </text>
    </comment>
    <comment ref="N31" authorId="0" shapeId="0" xr:uid="{86A313E8-2280-43DD-8437-05E509754638}">
      <text>
        <r>
          <rPr>
            <sz val="9"/>
            <color indexed="81"/>
            <rFont val="Arial"/>
            <family val="2"/>
          </rPr>
          <t>Changed $31,194.38 to $31,661.00 by ExcelImport on 04/06/2026</t>
        </r>
      </text>
    </comment>
    <comment ref="J32" authorId="0" shapeId="0" xr:uid="{9BBD1A96-7BB9-4D40-B66F-5B45D4171622}">
      <text>
        <r>
          <rPr>
            <sz val="9"/>
            <color indexed="81"/>
            <rFont val="Arial"/>
            <family val="2"/>
          </rPr>
          <t>Changed $38,600.00 to $38,600.00 by ExcelImport on 04/06/2026</t>
        </r>
      </text>
    </comment>
    <comment ref="N32" authorId="0" shapeId="0" xr:uid="{8A341929-CFB5-4336-8B33-64EBE78B315F}">
      <text>
        <r>
          <rPr>
            <sz val="9"/>
            <color indexed="81"/>
            <rFont val="Arial"/>
            <family val="2"/>
          </rPr>
          <t>Changed $23,400.93 to $24,067.00 by ExcelImport on 04/06/2026</t>
        </r>
      </text>
    </comment>
    <comment ref="J33" authorId="0" shapeId="0" xr:uid="{5A25ADCA-7E92-4F99-A40E-528F9AE0FB6B}">
      <text>
        <r>
          <rPr>
            <sz val="9"/>
            <color indexed="81"/>
            <rFont val="Arial"/>
            <family val="2"/>
          </rPr>
          <t>Changed $9,642.50 to $1,705.00 by ExcelImport on 04/06/2026</t>
        </r>
      </text>
    </comment>
    <comment ref="N33" authorId="0" shapeId="0" xr:uid="{9232D2FC-6E41-4A70-A5DF-1BF720E0C8F8}">
      <text>
        <r>
          <rPr>
            <sz val="9"/>
            <color indexed="81"/>
            <rFont val="Arial"/>
            <family val="2"/>
          </rPr>
          <t>Changed $109,137.27 to $1,173.11 by ExcelImport on 04/06/2026</t>
        </r>
      </text>
    </comment>
    <comment ref="J34" authorId="0" shapeId="0" xr:uid="{342832C0-B7E6-4B8A-AF30-899D018BE897}">
      <text>
        <r>
          <rPr>
            <sz val="9"/>
            <color indexed="81"/>
            <rFont val="Arial"/>
            <family val="2"/>
          </rPr>
          <t>Changed $10,000.00 to $10,000.00 by ExcelImport on 04/06/2026</t>
        </r>
      </text>
    </comment>
    <comment ref="N34" authorId="0" shapeId="0" xr:uid="{A1E0F2DC-2F8F-4A56-BAC4-8354BCCB8739}">
      <text>
        <r>
          <rPr>
            <sz val="9"/>
            <color indexed="81"/>
            <rFont val="Arial"/>
            <family val="2"/>
          </rPr>
          <t>Changed $8,193.35 to $8,186.00 by ExcelImport on 04/06/2026</t>
        </r>
      </text>
    </comment>
    <comment ref="J35" authorId="0" shapeId="0" xr:uid="{24CEAF5D-CF0E-4625-A880-3F7CB83F9686}">
      <text>
        <r>
          <rPr>
            <sz val="9"/>
            <color indexed="81"/>
            <rFont val="Arial"/>
            <family val="2"/>
          </rPr>
          <t>Changed $643,280.00 to $643,280.00 by ExcelImport on 04/06/2026</t>
        </r>
      </text>
    </comment>
    <comment ref="N35" authorId="0" shapeId="0" xr:uid="{C40761D9-7D3D-4773-9510-FE629B059877}">
      <text>
        <r>
          <rPr>
            <sz val="9"/>
            <color indexed="81"/>
            <rFont val="Arial"/>
            <family val="2"/>
          </rPr>
          <t>Changed $430,300.60 to $643,280.00 by ExcelImport on 04/06/2026</t>
        </r>
      </text>
    </comment>
    <comment ref="J41" authorId="0" shapeId="0" xr:uid="{CA00AAC8-3D58-4AE1-B537-688E78C7885C}">
      <text>
        <r>
          <rPr>
            <sz val="10"/>
            <color indexed="81"/>
            <rFont val="Arial"/>
            <family val="2"/>
          </rPr>
          <t>1 - 0_x000D_
2 - 0_x000D_
3 - 1,149_x000D_
4 - 0_x000D_
5 - 0_x000D_
6 - 55</t>
        </r>
      </text>
    </comment>
    <comment ref="N41" authorId="0" shapeId="0" xr:uid="{A72181D9-B02D-4254-A886-54C77085758E}">
      <text>
        <r>
          <rPr>
            <sz val="10"/>
            <color indexed="81"/>
            <rFont val="Arial"/>
            <family val="2"/>
          </rPr>
          <t>1 - 0_x000D_
2 - 0_x000D_
3 - 1,149_x000D_
4 - 0_x000D_
5 - 0_x000D_
6 - 55</t>
        </r>
      </text>
    </comment>
    <comment ref="J44" authorId="0" shapeId="0" xr:uid="{0D5EC52A-AAF6-41FE-9C42-F22F23018F2E}">
      <text>
        <r>
          <rPr>
            <sz val="10"/>
            <color indexed="81"/>
            <rFont val="Arial"/>
            <family val="2"/>
          </rPr>
          <t>1 - 0_x000D_
2 - 0_x000D_
3 - 253,225_x000D_
4 - 0_x000D_
5 - 0_x000D_
6 - 9,297</t>
        </r>
      </text>
    </comment>
    <comment ref="N44" authorId="0" shapeId="0" xr:uid="{C2918577-6453-4A34-A421-DAA34EE4DBB6}">
      <text>
        <r>
          <rPr>
            <sz val="10"/>
            <color indexed="81"/>
            <rFont val="Arial"/>
            <family val="2"/>
          </rPr>
          <t>1 - 0_x000D_
2 - 0_x000D_
3 - 31,251_x000D_
4 - 0_x000D_
5 - 0_x000D_
6 - 9,297</t>
        </r>
      </text>
    </comment>
    <comment ref="J45" authorId="0" shapeId="0" xr:uid="{8103761A-C7E0-4193-82EE-5EE9A308D205}">
      <text>
        <r>
          <rPr>
            <sz val="10"/>
            <color indexed="81"/>
            <rFont val="Arial"/>
            <family val="2"/>
          </rPr>
          <t>1 - 0_x000D_
2 - 0_x000D_
3 - 14,575_x000D_
4 - 0_x000D_
5 - 0_x000D_
6 - 100</t>
        </r>
      </text>
    </comment>
    <comment ref="N45" authorId="0" shapeId="0" xr:uid="{1829E559-1F70-442E-8DEE-C235A5B07249}">
      <text>
        <r>
          <rPr>
            <sz val="10"/>
            <color indexed="81"/>
            <rFont val="Arial"/>
            <family val="2"/>
          </rPr>
          <t>1 - 0_x000D_
2 - 0_x000D_
3 - 14,575_x000D_
4 - 0_x000D_
5 - 0_x000D_
6 - 100</t>
        </r>
      </text>
    </comment>
    <comment ref="J46" authorId="0" shapeId="0" xr:uid="{A2819F8C-58F6-4F97-825E-883BA4C0F1AD}">
      <text>
        <r>
          <rPr>
            <sz val="10"/>
            <color indexed="81"/>
            <rFont val="Arial"/>
            <family val="2"/>
          </rPr>
          <t>1 - 0_x000D_
2 - 0_x000D_
3 - 14,350_x000D_
4 - 0_x000D_
5 - 0_x000D_
6 - 533</t>
        </r>
      </text>
    </comment>
    <comment ref="N46" authorId="0" shapeId="0" xr:uid="{27308D89-1DE0-4CF4-87E0-494FA75BDFFF}">
      <text>
        <r>
          <rPr>
            <sz val="10"/>
            <color indexed="81"/>
            <rFont val="Arial"/>
            <family val="2"/>
          </rPr>
          <t>1 - 0_x000D_
2 - 0_x000D_
3 - 6,888_x000D_
4 - 0_x000D_
5 - 0_x000D_
6 - 533</t>
        </r>
      </text>
    </comment>
    <comment ref="J47" authorId="0" shapeId="0" xr:uid="{E0B0ECE1-47E1-40C4-B3B6-406D53BD712E}">
      <text>
        <r>
          <rPr>
            <sz val="10"/>
            <color indexed="81"/>
            <rFont val="Arial"/>
            <family val="2"/>
          </rPr>
          <t>1 - 0_x000D_
2 - 0_x000D_
3 - 48,860_x000D_
4 - 0_x000D_
5 - 0_x000D_
6 - 48,860</t>
        </r>
      </text>
    </comment>
    <comment ref="N47" authorId="0" shapeId="0" xr:uid="{84FBF9F9-088B-4AA3-8469-DF115322E38B}">
      <text>
        <r>
          <rPr>
            <sz val="10"/>
            <color indexed="81"/>
            <rFont val="Arial"/>
            <family val="2"/>
          </rPr>
          <t>1 - 0_x000D_
2 - 0_x000D_
3 - 17,053_x000D_
4 - 0_x000D_
5 - 0_x000D_
6 - 28,628</t>
        </r>
      </text>
    </comment>
    <comment ref="J48" authorId="0" shapeId="0" xr:uid="{1F4F9B58-91E1-4AEF-BCA3-0BCF6EADE823}">
      <text>
        <r>
          <rPr>
            <sz val="10"/>
            <color indexed="81"/>
            <rFont val="Arial"/>
            <family val="2"/>
          </rPr>
          <t>1 - 0_x000D_
2 - 0_x000D_
3 - 45,200_x000D_
4 - 0_x000D_
5 - 0_x000D_
6 - 45,200</t>
        </r>
      </text>
    </comment>
    <comment ref="N48" authorId="0" shapeId="0" xr:uid="{07A3613D-46CD-43E6-B88E-77603A7A3A69}">
      <text>
        <r>
          <rPr>
            <sz val="10"/>
            <color indexed="81"/>
            <rFont val="Arial"/>
            <family val="2"/>
          </rPr>
          <t>1 - 0_x000D_
2 - 0_x000D_
3 - 35,145_x000D_
4 - 0_x000D_
5 - 0_x000D_
6 - 32,861</t>
        </r>
      </text>
    </comment>
    <comment ref="J49" authorId="0" shapeId="0" xr:uid="{2906CD95-7A7C-4E1A-A71A-EBFCD9E51CA2}">
      <text>
        <r>
          <rPr>
            <sz val="10"/>
            <color indexed="81"/>
            <rFont val="Arial"/>
            <family val="2"/>
          </rPr>
          <t>1 - 0_x000D_
2 - 0_x000D_
3 - 9,960_x000D_
4 - 0_x000D_
5 - 0_x000D_
6 - 9,960</t>
        </r>
      </text>
    </comment>
    <comment ref="N49" authorId="0" shapeId="0" xr:uid="{09E5855B-7EBD-4D08-8DAF-6FC860AD9E72}">
      <text>
        <r>
          <rPr>
            <sz val="10"/>
            <color indexed="81"/>
            <rFont val="Arial"/>
            <family val="2"/>
          </rPr>
          <t>1 - 0_x000D_
2 - 0_x000D_
3 - 4,596_x000D_
4 - 0_x000D_
5 - 0_x000D_
6 - 4,596</t>
        </r>
      </text>
    </comment>
    <comment ref="J50" authorId="0" shapeId="0" xr:uid="{91908695-39F0-442A-B935-0A4E12DD0737}">
      <text>
        <r>
          <rPr>
            <sz val="10"/>
            <color indexed="81"/>
            <rFont val="Arial"/>
            <family val="2"/>
          </rPr>
          <t>1 - 0_x000D_
2 - 0_x000D_
3 - 42,902_x000D_
4 - 0_x000D_
5 - 0_x000D_
6 - 42,902</t>
        </r>
      </text>
    </comment>
    <comment ref="N50" authorId="0" shapeId="0" xr:uid="{D7A038D6-8CD0-4A72-ABD8-4B784EA38626}">
      <text>
        <r>
          <rPr>
            <sz val="10"/>
            <color indexed="81"/>
            <rFont val="Arial"/>
            <family val="2"/>
          </rPr>
          <t>1 - 0_x000D_
2 - 0_x000D_
3 - 27,279_x000D_
4 - 0_x000D_
5 - 0_x000D_
6 - 40,013</t>
        </r>
      </text>
    </comment>
    <comment ref="J51" authorId="0" shapeId="0" xr:uid="{2E6E2FD7-4EEB-428B-B3B6-AD0B1BB82071}">
      <text>
        <r>
          <rPr>
            <sz val="10"/>
            <color indexed="81"/>
            <rFont val="Arial"/>
            <family val="2"/>
          </rPr>
          <t>1 - 0_x000D_
2 - 0_x000D_
3 - 12,725_x000D_
4 - 0_x000D_
5 - 0_x000D_
6 - 12,725</t>
        </r>
      </text>
    </comment>
    <comment ref="N51" authorId="0" shapeId="0" xr:uid="{BB696F40-1357-425A-B099-ABF95C7F8520}">
      <text>
        <r>
          <rPr>
            <sz val="10"/>
            <color indexed="81"/>
            <rFont val="Arial"/>
            <family val="2"/>
          </rPr>
          <t>1 - 0_x000D_
2 - 0_x000D_
3 - 7,100_x000D_
4 - 0_x000D_
5 - 0_x000D_
6 - 5,896</t>
        </r>
      </text>
    </comment>
    <comment ref="J52" authorId="0" shapeId="0" xr:uid="{4C4F20A8-C3FE-42B7-8C32-F6668B6662E6}">
      <text>
        <r>
          <rPr>
            <sz val="10"/>
            <color indexed="81"/>
            <rFont val="Arial"/>
            <family val="2"/>
          </rPr>
          <t>1 - 0_x000D_
2 - 0_x000D_
3 - 35,100_x000D_
4 - 0_x000D_
5 - 0_x000D_
6 - 30,300</t>
        </r>
      </text>
    </comment>
    <comment ref="N52" authorId="0" shapeId="0" xr:uid="{8EEFC543-29A0-487F-8B03-01A8657296FA}">
      <text>
        <r>
          <rPr>
            <sz val="10"/>
            <color indexed="81"/>
            <rFont val="Arial"/>
            <family val="2"/>
          </rPr>
          <t>1 - 0_x000D_
2 - 0_x000D_
3 - 32,309_x000D_
4 - 0_x000D_
5 - 0_x000D_
6 - 25,315</t>
        </r>
      </text>
    </comment>
    <comment ref="J53" authorId="0" shapeId="0" xr:uid="{07D77031-BED9-4D35-AD37-611C6AD3130C}">
      <text>
        <r>
          <rPr>
            <sz val="10"/>
            <color indexed="81"/>
            <rFont val="Arial"/>
            <family val="2"/>
          </rPr>
          <t>1 - 0_x000D_
2 - 0_x000D_
3 - 12,450_x000D_
4 - 0_x000D_
5 - 0_x000D_
6 - 12,450</t>
        </r>
      </text>
    </comment>
    <comment ref="N53" authorId="0" shapeId="0" xr:uid="{9DCB56C0-C181-4A1C-A8E5-7503D594A059}">
      <text>
        <r>
          <rPr>
            <sz val="10"/>
            <color indexed="81"/>
            <rFont val="Arial"/>
            <family val="2"/>
          </rPr>
          <t>1 - 0_x000D_
2 - 0_x000D_
3 - 6,364_x000D_
4 - 0_x000D_
5 - 0_x000D_
6 - 7,193</t>
        </r>
      </text>
    </comment>
    <comment ref="J54" authorId="0" shapeId="0" xr:uid="{7FB6B175-7DC3-4E41-83EF-20040C69EA06}">
      <text>
        <r>
          <rPr>
            <sz val="10"/>
            <color indexed="81"/>
            <rFont val="Arial"/>
            <family val="2"/>
          </rPr>
          <t>1 - 0_x000D_
2 - 0_x000D_
3 - 9,820_x000D_
4 - 0_x000D_
5 - 0_x000D_
6 - 9,820</t>
        </r>
      </text>
    </comment>
    <comment ref="N54" authorId="0" shapeId="0" xr:uid="{F2BF5493-11B3-4FC1-8FED-D22A3C1EB526}">
      <text>
        <r>
          <rPr>
            <sz val="10"/>
            <color indexed="81"/>
            <rFont val="Arial"/>
            <family val="2"/>
          </rPr>
          <t>1 - 0_x000D_
2 - 0_x000D_
3 - 6,470_x000D_
4 - 0_x000D_
5 - 0_x000D_
6 - 6,899</t>
        </r>
      </text>
    </comment>
    <comment ref="J55" authorId="0" shapeId="0" xr:uid="{B5BF1C31-B82C-44E5-82FF-F86A59BA484E}">
      <text>
        <r>
          <rPr>
            <sz val="10"/>
            <color indexed="81"/>
            <rFont val="Arial"/>
            <family val="2"/>
          </rPr>
          <t>1 - 0_x000D_
2 - 0_x000D_
3 - 3,664_x000D_
4 - 0_x000D_
5 - 0_x000D_
6 - 0</t>
        </r>
      </text>
    </comment>
    <comment ref="N55" authorId="0" shapeId="0" xr:uid="{57C74C73-76C5-45E0-AFE0-6028AD099140}">
      <text>
        <r>
          <rPr>
            <sz val="10"/>
            <color indexed="81"/>
            <rFont val="Arial"/>
            <family val="2"/>
          </rPr>
          <t>1 - 0_x000D_
2 - 0_x000D_
3 - 1,026_x000D_
4 - 0_x000D_
5 - 0_x000D_
6 - 0</t>
        </r>
      </text>
    </comment>
    <comment ref="J56" authorId="0" shapeId="0" xr:uid="{B831F633-72D7-4B10-8F2C-41AE7DC80232}">
      <text>
        <r>
          <rPr>
            <sz val="10"/>
            <color indexed="81"/>
            <rFont val="Arial"/>
            <family val="2"/>
          </rPr>
          <t>1 - 0_x000D_
2 - 0_x000D_
3 - 7,820_x000D_
4 - 0_x000D_
5 - 0_x000D_
6 - 0</t>
        </r>
      </text>
    </comment>
    <comment ref="N56" authorId="0" shapeId="0" xr:uid="{290C1E75-EC45-4A8F-9DCC-C43689BFB338}">
      <text>
        <r>
          <rPr>
            <sz val="10"/>
            <color indexed="81"/>
            <rFont val="Arial"/>
            <family val="2"/>
          </rPr>
          <t>1 - 0_x000D_
2 - 0_x000D_
3 - 4,844_x000D_
4 - 0_x000D_
5 - 0_x000D_
6 - 0</t>
        </r>
      </text>
    </comment>
    <comment ref="J57" authorId="0" shapeId="0" xr:uid="{448DE4CF-C342-43BF-B807-7077B9A7DC59}">
      <text>
        <r>
          <rPr>
            <sz val="10"/>
            <color indexed="81"/>
            <rFont val="Arial"/>
            <family val="2"/>
          </rPr>
          <t>1 - 0_x000D_
2 - 0_x000D_
3 - 4,250_x000D_
4 - 0_x000D_
5 - 0_x000D_
6 - 0</t>
        </r>
      </text>
    </comment>
    <comment ref="N57" authorId="0" shapeId="0" xr:uid="{8C7CA583-5FF1-43D4-8147-EC22E78A357F}">
      <text>
        <r>
          <rPr>
            <sz val="10"/>
            <color indexed="81"/>
            <rFont val="Arial"/>
            <family val="2"/>
          </rPr>
          <t>1 - 0_x000D_
2 - 0_x000D_
3 - 2,100_x000D_
4 - 0_x000D_
5 - 0_x000D_
6 - 0</t>
        </r>
      </text>
    </comment>
    <comment ref="J58" authorId="0" shapeId="0" xr:uid="{7C69CE4D-14C0-4A59-9058-42E2953D6375}">
      <text>
        <r>
          <rPr>
            <sz val="10"/>
            <color indexed="81"/>
            <rFont val="Arial"/>
            <family val="2"/>
          </rPr>
          <t>1 - 0_x000D_
2 - 0_x000D_
3 - 15,315_x000D_
4 - 0_x000D_
5 - 0_x000D_
6 - 0</t>
        </r>
      </text>
    </comment>
    <comment ref="N58" authorId="0" shapeId="0" xr:uid="{53BF0ABE-7EA9-4039-939D-91D065FF3FA2}">
      <text>
        <r>
          <rPr>
            <sz val="10"/>
            <color indexed="81"/>
            <rFont val="Arial"/>
            <family val="2"/>
          </rPr>
          <t>1 - 0_x000D_
2 - 0_x000D_
3 - 9,254_x000D_
4 - 0_x000D_
5 - 0_x000D_
6 - 0</t>
        </r>
      </text>
    </comment>
    <comment ref="E59" authorId="0" shapeId="0" xr:uid="{AE7EF0BB-56D3-4D05-80F8-A9E8DCAFF83E}">
      <text>
        <r>
          <rPr>
            <sz val="10"/>
            <color indexed="81"/>
            <rFont val="Arial"/>
            <family val="2"/>
          </rPr>
          <t>Original - _x000D_
9,990_x000D_
Change Order - _x000D_
2,825</t>
        </r>
      </text>
    </comment>
    <comment ref="J59" authorId="0" shapeId="0" xr:uid="{A040D6B9-20C2-4F7C-9157-9B5A639FFC76}">
      <text>
        <r>
          <rPr>
            <sz val="9"/>
            <color indexed="81"/>
            <rFont val="Arial"/>
            <family val="2"/>
          </rPr>
          <t>Changed $12,815.00 to $12,815.00 by ExcelImport on 04/06/2026</t>
        </r>
      </text>
    </comment>
    <comment ref="N59" authorId="0" shapeId="0" xr:uid="{DD9C6C68-7C0F-4AA2-9D6F-F16C89AF4031}">
      <text>
        <r>
          <rPr>
            <sz val="9"/>
            <color indexed="81"/>
            <rFont val="Arial"/>
            <family val="2"/>
          </rPr>
          <t>Changed $9,981.68 to $10,009.00 by ExcelImport on 04/06/2026</t>
        </r>
      </text>
    </comment>
    <comment ref="J60" authorId="0" shapeId="0" xr:uid="{17448785-2722-40E1-A137-7F2C5B4E686C}">
      <text>
        <r>
          <rPr>
            <sz val="9"/>
            <color indexed="81"/>
            <rFont val="Arial"/>
            <family val="2"/>
          </rPr>
          <t>Changed $3,502.00 to $3,502.00 by ExcelImport on 04/06/2026</t>
        </r>
      </text>
    </comment>
    <comment ref="N60" authorId="0" shapeId="0" xr:uid="{8999763D-09A1-4A90-8947-05E67A77653C}">
      <text>
        <r>
          <rPr>
            <sz val="9"/>
            <color indexed="81"/>
            <rFont val="Arial"/>
            <family val="2"/>
          </rPr>
          <t>Changed $2,524.16 to $2,942.00 by ExcelImport on 04/06/2026</t>
        </r>
      </text>
    </comment>
    <comment ref="J61" authorId="0" shapeId="0" xr:uid="{1CAEB5B5-BEEE-4706-9C68-B043AEF55E6C}">
      <text>
        <r>
          <rPr>
            <sz val="9"/>
            <color indexed="81"/>
            <rFont val="Arial"/>
            <family val="2"/>
          </rPr>
          <t>Changed $12,500.00 to $1,036.00 by ExcelImport on 04/06/2026</t>
        </r>
      </text>
    </comment>
    <comment ref="N61" authorId="0" shapeId="0" xr:uid="{4A1D75A0-4678-42E0-8BF9-3751878054A8}">
      <text>
        <r>
          <rPr>
            <sz val="9"/>
            <color indexed="81"/>
            <rFont val="Arial"/>
            <family val="2"/>
          </rPr>
          <t>Changed $1,035.79 to $1,035.79 by ExcelImport on 04/06/2026</t>
        </r>
      </text>
    </comment>
  </commentList>
</comments>
</file>

<file path=xl/sharedStrings.xml><?xml version="1.0" encoding="utf-8"?>
<sst xmlns="http://schemas.openxmlformats.org/spreadsheetml/2006/main" count="5342" uniqueCount="743">
  <si>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</si>
  <si>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</si>
  <si>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</si>
  <si>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</si>
  <si>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</si>
  <si>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</si>
  <si>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</si>
  <si>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</si>
  <si>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</si>
  <si>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</si>
  <si>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</si>
  <si>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</si>
  <si>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</si>
  <si>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</si>
  <si>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</si>
  <si>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</si>
  <si>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</si>
  <si>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</si>
  <si>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</si>
  <si>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</si>
  <si>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</si>
  <si>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</si>
  <si>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</si>
  <si>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</si>
  <si>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</si>
  <si>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</si>
  <si>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</si>
  <si>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</si>
  <si>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</si>
  <si>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</si>
  <si>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</si>
  <si>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</si>
  <si>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</si>
  <si>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</si>
  <si>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</si>
  <si>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</si>
  <si>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</si>
  <si>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</si>
  <si>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</si>
  <si>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</si>
  <si>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</si>
  <si>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</si>
  <si>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</si>
  <si>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</si>
  <si>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</si>
  <si>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</si>
  <si>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</si>
  <si>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</si>
  <si>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</si>
  <si>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</si>
  <si>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</si>
  <si>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</si>
  <si>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</si>
  <si>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</si>
  <si>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</si>
  <si>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</si>
  <si>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</si>
  <si>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</si>
  <si>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</si>
  <si>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</si>
  <si>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</si>
  <si>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</si>
  <si>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</si>
  <si>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</si>
  <si>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</si>
  <si>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</si>
  <si>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</si>
  <si>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</si>
  <si>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</si>
  <si>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</si>
  <si>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</si>
  <si>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</si>
  <si>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</si>
  <si>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</si>
  <si>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</si>
  <si>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</si>
  <si>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</si>
  <si>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</si>
  <si>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</si>
  <si>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</si>
  <si>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</si>
  <si>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</si>
  <si>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</si>
  <si>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</si>
  <si>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</si>
  <si>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</si>
  <si>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</si>
  <si>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</si>
  <si>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</si>
  <si>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</si>
  <si>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</si>
  <si>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</si>
  <si>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</si>
  <si>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</si>
  <si>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</si>
  <si>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</si>
  <si>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</si>
  <si>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</si>
  <si>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</si>
  <si>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</si>
  <si>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</si>
  <si>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</si>
  <si>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</si>
  <si>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</si>
  <si>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</si>
  <si>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</si>
  <si>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</si>
  <si>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</si>
  <si>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</si>
  <si>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</si>
  <si>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</si>
  <si>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</si>
  <si>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</si>
  <si>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</si>
  <si>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</si>
  <si>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</si>
  <si>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</si>
  <si>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</si>
  <si>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</si>
  <si>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</si>
  <si>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</si>
  <si>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</si>
  <si>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</si>
  <si>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</si>
  <si>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</si>
  <si>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</si>
  <si>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</si>
  <si>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</si>
  <si>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</si>
  <si>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</si>
  <si>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</si>
  <si>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</si>
  <si>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</si>
  <si>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</si>
  <si>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</si>
  <si>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</si>
  <si>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</si>
  <si>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</si>
  <si>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</si>
  <si>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</si>
  <si>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</si>
  <si>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</si>
  <si>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</si>
  <si>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</si>
  <si>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</si>
  <si>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</si>
  <si>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</si>
  <si>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</si>
  <si>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</si>
  <si>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</si>
  <si>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</si>
  <si>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</si>
  <si>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</si>
  <si>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</si>
  <si>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</si>
  <si>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</si>
  <si>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</si>
  <si>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</si>
  <si>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</si>
  <si>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</si>
  <si>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</si>
  <si>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</si>
  <si>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</si>
  <si>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</si>
  <si>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</si>
  <si>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</si>
  <si>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</si>
  <si>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</si>
  <si>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</si>
  <si>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</si>
  <si>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</si>
  <si>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</si>
  <si>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</si>
  <si>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</si>
  <si>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</si>
  <si>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</si>
  <si>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</si>
  <si>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</si>
  <si>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</si>
  <si>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</si>
  <si>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</si>
  <si>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</si>
  <si>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</si>
  <si>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</si>
  <si>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</si>
  <si>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</si>
  <si>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</si>
  <si>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</si>
  <si>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</si>
  <si>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</si>
  <si>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</si>
  <si>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</si>
  <si>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</si>
  <si>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</si>
  <si>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</si>
  <si>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</si>
  <si>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</si>
  <si>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</si>
  <si>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</si>
  <si>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</si>
  <si>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</si>
  <si>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</si>
  <si>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</si>
  <si>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</si>
  <si>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</si>
  <si>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</si>
  <si>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</si>
  <si>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</si>
  <si>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</si>
  <si>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</si>
  <si>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</si>
  <si>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</si>
  <si>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</si>
  <si>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</si>
  <si>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</si>
  <si>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</si>
  <si>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</si>
  <si>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</si>
  <si>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</si>
  <si>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</si>
  <si>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</si>
  <si>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</si>
  <si>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</si>
  <si>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</si>
  <si>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</si>
  <si>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</si>
  <si>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</si>
  <si>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</si>
  <si>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</si>
  <si>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</si>
  <si>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</si>
  <si>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</si>
  <si>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</si>
  <si>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</si>
  <si>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</si>
  <si>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</si>
  <si>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</si>
  <si>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</si>
  <si>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</si>
  <si>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</si>
  <si>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</si>
  <si>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</si>
  <si>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</si>
  <si>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</si>
  <si>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</si>
  <si>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</si>
  <si>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</si>
  <si>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</si>
  <si>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</si>
  <si>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</si>
  <si>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</si>
  <si>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</si>
  <si>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</si>
  <si>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</si>
  <si>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</si>
  <si>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</si>
  <si>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</si>
  <si>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</si>
  <si>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</si>
  <si>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</si>
  <si>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</si>
  <si>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</si>
  <si>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</si>
  <si>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</si>
  <si>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</si>
  <si>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</si>
  <si>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</si>
  <si>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</si>
  <si>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</si>
  <si>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</si>
  <si>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</si>
  <si>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</si>
  <si>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</si>
  <si>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</si>
  <si>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</si>
  <si>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</si>
  <si>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</si>
  <si>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</si>
  <si>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</si>
  <si>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</si>
  <si>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</si>
  <si>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</si>
  <si>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</si>
  <si>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</si>
  <si>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</si>
  <si>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</si>
  <si>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</si>
  <si>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</si>
  <si>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</si>
  <si>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</si>
  <si>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</si>
  <si>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</si>
  <si>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</si>
  <si>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</si>
  <si>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</si>
  <si>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</si>
  <si>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</si>
  <si>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</si>
  <si>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</si>
  <si>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</si>
  <si>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</si>
  <si>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</si>
  <si>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</si>
  <si>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</si>
  <si>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</si>
  <si>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</si>
  <si>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</si>
  <si>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</si>
  <si>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</si>
  <si>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</si>
  <si>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</si>
  <si>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</si>
  <si>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</si>
  <si>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</si>
  <si>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</si>
  <si>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</si>
  <si>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</si>
  <si>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</si>
  <si>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</si>
  <si>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</si>
  <si>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</si>
  <si>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</si>
  <si>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</si>
  <si>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</si>
  <si>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</si>
  <si>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</si>
  <si>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</si>
  <si>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</si>
  <si>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</si>
  <si>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</si>
  <si>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</si>
  <si>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</si>
  <si>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</si>
  <si>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</si>
  <si>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</si>
  <si>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</si>
  <si>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</si>
  <si>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</si>
  <si>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</si>
  <si>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</si>
  <si>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</si>
  <si>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</si>
  <si>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</si>
  <si>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</si>
  <si>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</si>
  <si>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</si>
  <si>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</si>
  <si>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</si>
  <si>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</si>
  <si>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</si>
  <si>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</si>
  <si>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</si>
  <si>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</si>
  <si>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</si>
  <si>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</si>
  <si>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</si>
  <si>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</si>
  <si>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</si>
  <si>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</si>
  <si>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</si>
  <si>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</si>
  <si>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</si>
  <si>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</si>
  <si>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</si>
  <si>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</si>
  <si>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</si>
  <si>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</si>
  <si>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</si>
  <si>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</si>
  <si>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</si>
  <si>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</si>
  <si>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</si>
  <si>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</si>
  <si>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</si>
  <si>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</si>
  <si>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</si>
  <si>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</si>
  <si>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</si>
  <si>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</si>
  <si>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</si>
  <si>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</si>
  <si>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</si>
  <si>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</si>
  <si>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</si>
  <si>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</si>
  <si>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</si>
  <si>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</si>
  <si>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</si>
  <si>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</si>
  <si>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</si>
  <si>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</si>
  <si>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</si>
  <si>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</si>
  <si>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</si>
  <si>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</si>
  <si>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</si>
  <si>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</si>
  <si>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</si>
  <si>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</si>
  <si>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</si>
  <si>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</si>
  <si>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</si>
  <si>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</si>
  <si>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</si>
  <si>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</si>
  <si>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</si>
  <si>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</si>
  <si>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</si>
  <si>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</si>
  <si>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</si>
  <si>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</si>
  <si>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</si>
  <si>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</si>
  <si>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</si>
  <si>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</si>
  <si>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</si>
  <si>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</si>
  <si>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</si>
  <si>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</si>
  <si>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</si>
  <si>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</si>
  <si>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</si>
  <si>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</si>
  <si>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</si>
  <si>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</si>
  <si>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</si>
  <si>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</si>
  <si>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</si>
  <si>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</si>
  <si>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</si>
  <si>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</si>
  <si>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</si>
  <si>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</si>
  <si>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</si>
  <si>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</si>
  <si>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</si>
  <si>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</si>
  <si>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</si>
  <si>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</si>
  <si>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</si>
  <si>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</si>
  <si>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</si>
  <si>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</si>
  <si>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</si>
  <si>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</si>
  <si>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</si>
  <si>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</si>
  <si>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</si>
  <si>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</si>
  <si>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</si>
  <si>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</si>
  <si>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</si>
  <si>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</si>
  <si>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</si>
  <si>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</si>
  <si>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</si>
  <si>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</si>
  <si>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</si>
  <si>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</si>
  <si>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</si>
  <si>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</si>
  <si>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</si>
  <si>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</si>
  <si>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</si>
  <si>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</si>
  <si>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</si>
  <si>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</si>
  <si>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</si>
  <si>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</si>
  <si>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</si>
  <si>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</si>
  <si>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</si>
  <si>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</si>
  <si>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</si>
  <si>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</si>
  <si>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</si>
  <si>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</si>
  <si>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</si>
  <si>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</si>
  <si>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</si>
  <si>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</si>
  <si>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</si>
  <si>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</si>
  <si>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</si>
  <si>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</si>
  <si>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</si>
  <si>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</si>
  <si>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</si>
  <si>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</si>
  <si>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</si>
  <si>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</si>
  <si>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</si>
  <si>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</si>
  <si>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</si>
  <si>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</si>
  <si>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</si>
  <si>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</si>
  <si>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</si>
  <si>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</si>
  <si>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</si>
  <si>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</si>
  <si>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</si>
  <si>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</si>
  <si>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</si>
  <si>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</si>
  <si>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</si>
  <si>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</si>
  <si>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</si>
  <si>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</si>
  <si>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</si>
  <si>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</si>
  <si>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</si>
  <si>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</si>
  <si>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</si>
  <si>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</si>
  <si>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</si>
  <si>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</si>
  <si>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</si>
  <si>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</si>
  <si>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</si>
  <si>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</si>
  <si>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</si>
  <si>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</si>
  <si>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</si>
  <si>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</si>
  <si>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</si>
  <si>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</si>
  <si>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</si>
  <si>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</si>
  <si>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</si>
  <si>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</si>
  <si>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</si>
  <si>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</si>
  <si>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</si>
  <si>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</si>
  <si>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</si>
  <si>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</si>
  <si>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</si>
  <si>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</si>
  <si>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</si>
  <si>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</si>
  <si>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</si>
  <si>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</si>
  <si>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</si>
  <si>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</si>
  <si>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</si>
  <si>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</si>
  <si>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</si>
  <si>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</si>
  <si>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</si>
  <si>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</si>
  <si>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</si>
  <si>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</si>
  <si>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</si>
  <si>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</si>
  <si>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</si>
  <si>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</si>
  <si>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</si>
  <si>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</si>
  <si>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</si>
  <si>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</si>
  <si>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</si>
  <si>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</si>
  <si>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</si>
  <si>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</si>
  <si>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</si>
  <si>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</si>
  <si>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</si>
  <si>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</si>
  <si>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</si>
  <si>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</si>
  <si>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</si>
  <si>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</si>
  <si>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</si>
  <si>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</si>
  <si>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</si>
  <si>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</si>
  <si>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</si>
  <si>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</si>
  <si>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</si>
  <si>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</si>
  <si>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</si>
  <si>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</si>
  <si>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</si>
  <si>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</si>
  <si>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</si>
  <si>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</si>
  <si>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</si>
  <si>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</si>
  <si>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</si>
  <si>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</si>
  <si>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</si>
  <si>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</si>
  <si>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</si>
  <si>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</si>
  <si>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</si>
  <si>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</si>
  <si>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</si>
  <si>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</si>
  <si>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</si>
  <si>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</si>
  <si>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</si>
  <si>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</si>
  <si>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</si>
  <si>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</si>
  <si>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</si>
  <si>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</si>
  <si>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</si>
  <si>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</si>
  <si>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</si>
  <si>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</si>
  <si>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</si>
  <si>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</si>
  <si>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</si>
  <si>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</si>
  <si>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</si>
  <si>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</si>
  <si>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</si>
  <si>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</si>
  <si>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</si>
  <si>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</si>
  <si>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</si>
  <si>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</si>
  <si>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</si>
  <si>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</si>
  <si>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</si>
  <si>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</si>
  <si>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</si>
  <si>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</si>
  <si>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</si>
  <si>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</si>
  <si>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</si>
  <si>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</si>
  <si>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</si>
  <si>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</si>
  <si>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</si>
  <si>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Kevin Ford</t>
  </si>
  <si>
    <t xml:space="preserve">    PCWA Time &amp; Material Contract</t>
  </si>
  <si>
    <t xml:space="preserve">    EOCWD - On-Call SCADA Integration Services</t>
  </si>
  <si>
    <t xml:space="preserve">    Cal Water - Visalia St. 97 Panelboard Mods</t>
  </si>
  <si>
    <t xml:space="preserve">    Stockton Station 66-02 Panelboard Replacement - California W</t>
  </si>
  <si>
    <t xml:space="preserve">    California Water Service - Pkg 1 Bakersfield &amp; Arden PFAS RF</t>
  </si>
  <si>
    <t xml:space="preserve">    On-Call Control Systems Integrator Services - City of Napa</t>
  </si>
  <si>
    <t xml:space="preserve">    RFP for Replacement of WTP SCADA – Rancho Murieta Community</t>
  </si>
  <si>
    <t xml:space="preserve">    Salinas District Station 304 Panelboard Replacement - Califo</t>
  </si>
  <si>
    <t xml:space="preserve">    ASE Bell Modem Assistance - San Jose Water</t>
  </si>
  <si>
    <t xml:space="preserve">    PE Pump Variable Frequency Drives</t>
  </si>
  <si>
    <t xml:space="preserve">    SCADA System Upgrade - City of Brentwood</t>
  </si>
  <si>
    <t xml:space="preserve">    Brentwood, City of - On-Call Agreement</t>
  </si>
  <si>
    <t xml:space="preserve">    3 Mile Station 3000 Amp Switchboard - San Jose Water</t>
  </si>
  <si>
    <t xml:space="preserve">    Montevina PLC Upgrade – San Jose Water</t>
  </si>
  <si>
    <t xml:space="preserve">    PLC System Assessment – San Jose Water</t>
  </si>
  <si>
    <t xml:space="preserve">    Pump Station E New Pump 5 VFD Startup - City of Clovis</t>
  </si>
  <si>
    <t>Company 16 Grand Totals</t>
  </si>
  <si>
    <t>Company 16 Open Job Totals</t>
  </si>
  <si>
    <t>Company 16 Closed Job Totals</t>
  </si>
  <si>
    <t>Division 74</t>
  </si>
  <si>
    <t>74.1010.</t>
  </si>
  <si>
    <t>74.1037.</t>
  </si>
  <si>
    <t>74.1046.</t>
  </si>
  <si>
    <t>74.1073.</t>
  </si>
  <si>
    <t>74.1075.</t>
  </si>
  <si>
    <t>74.1078.</t>
  </si>
  <si>
    <t>74.1079.</t>
  </si>
  <si>
    <t>74.1081.</t>
  </si>
  <si>
    <t>74.1088.</t>
  </si>
  <si>
    <t>74.1117.</t>
  </si>
  <si>
    <t xml:space="preserve">    Wastewater Integration Service Contract - UC Davis</t>
  </si>
  <si>
    <t>74.1132.</t>
  </si>
  <si>
    <t xml:space="preserve">    CABA Well Pump Station Rehabilitation – UC Davis</t>
  </si>
  <si>
    <t>74.1133.</t>
  </si>
  <si>
    <t xml:space="preserve">    CABA Ag Pump Station Rehabilitation – UC Davis</t>
  </si>
  <si>
    <t>74.1138.</t>
  </si>
  <si>
    <t>74.1139.</t>
  </si>
  <si>
    <t>74.1140.</t>
  </si>
  <si>
    <t xml:space="preserve">    On-Call Consultant Agreement - City of Morgan Hill</t>
  </si>
  <si>
    <t>74.1143.</t>
  </si>
  <si>
    <t xml:space="preserve">    On-Call Contract - East Contra Costa Irrigation District</t>
  </si>
  <si>
    <t>74.1144.</t>
  </si>
  <si>
    <t xml:space="preserve">    Fiber Optic Network Infrastructure - East Contra Costa Irrig</t>
  </si>
  <si>
    <t>74.1151.</t>
  </si>
  <si>
    <t xml:space="preserve">    SCADA Assessment and Recommendations - UC Davis</t>
  </si>
  <si>
    <t>74.1178.</t>
  </si>
  <si>
    <t xml:space="preserve">    Ag Water Booster Pump Station 2 - UC Davis</t>
  </si>
  <si>
    <t>74.1190.</t>
  </si>
  <si>
    <t xml:space="preserve">    Master Services Agreement - Rancho Murieta Community Service</t>
  </si>
  <si>
    <t>74.1192.</t>
  </si>
  <si>
    <t xml:space="preserve">    Wells 18, 19, and 20 Electrical Prepurchase – City of Vacavi</t>
  </si>
  <si>
    <t>74.1203.</t>
  </si>
  <si>
    <t xml:space="preserve">    Slate Creek Lift Station Pump Replacement - City of Grass Va</t>
  </si>
  <si>
    <t>74.1205.</t>
  </si>
  <si>
    <t xml:space="preserve">    Town Center Pump Station Telemetry Retrofit – Town of Woodsi</t>
  </si>
  <si>
    <t>74.1206.</t>
  </si>
  <si>
    <t xml:space="preserve">    System Assessment -  City of Lathrop</t>
  </si>
  <si>
    <t>74.1207.</t>
  </si>
  <si>
    <t xml:space="preserve">    SCADA System Support Services - City of Lathrop</t>
  </si>
  <si>
    <t>74.1208.</t>
  </si>
  <si>
    <t xml:space="preserve">    Ag Water Booster Pump Station 3 - UC Davis</t>
  </si>
  <si>
    <t>74.1209.</t>
  </si>
  <si>
    <t xml:space="preserve">    Bajamont WTP SCADA System Upgrade - Carmichael Water Distric</t>
  </si>
  <si>
    <t>74.1217.</t>
  </si>
  <si>
    <t xml:space="preserve">    Support Services - City of Lincoln</t>
  </si>
  <si>
    <t>74.1225.</t>
  </si>
  <si>
    <t xml:space="preserve">    Ag Water Booster Pump Station 4 - UC Davis</t>
  </si>
  <si>
    <t xml:space="preserve">  Division 74 Open Job Totals</t>
  </si>
  <si>
    <t>74.1051.</t>
  </si>
  <si>
    <t>74.1062.</t>
  </si>
  <si>
    <t>74.1071.</t>
  </si>
  <si>
    <t>74.1080.</t>
  </si>
  <si>
    <t>74.1082.</t>
  </si>
  <si>
    <t>74.1089.</t>
  </si>
  <si>
    <t>74.1104.</t>
  </si>
  <si>
    <t xml:space="preserve">    Tunnel SCADA Integration Config - Caltrans Distric</t>
  </si>
  <si>
    <t>74.1108.</t>
  </si>
  <si>
    <t xml:space="preserve">    Programming and Panel Modifications at Turnout Sit</t>
  </si>
  <si>
    <t>74.1110.</t>
  </si>
  <si>
    <t xml:space="preserve">    East Garrison Autodialer Replacement - County of M</t>
  </si>
  <si>
    <t>74.1112.</t>
  </si>
  <si>
    <t xml:space="preserve">    Pump Station A On-Site Support - Westside Water Au</t>
  </si>
  <si>
    <t>74.1115.</t>
  </si>
  <si>
    <t xml:space="preserve">    WWTP Annual Instrument Calibrations - UC Davis</t>
  </si>
  <si>
    <t>74.1122.</t>
  </si>
  <si>
    <t xml:space="preserve">    West Bay Sanitary District - Soft Starter Retrofit</t>
  </si>
  <si>
    <t>74.1123.</t>
  </si>
  <si>
    <t xml:space="preserve">    Landfill Flare PLC &amp; SCADA Integration - UC Davis</t>
  </si>
  <si>
    <t>74.1129.</t>
  </si>
  <si>
    <t xml:space="preserve">    VEEAM Software Addition - Rancho Murieta Community</t>
  </si>
  <si>
    <t>74.1155.</t>
  </si>
  <si>
    <t xml:space="preserve">    Winding Way PRV Communication Troubleshooting - Fair Oaks Wa</t>
  </si>
  <si>
    <t>74.1158.</t>
  </si>
  <si>
    <t xml:space="preserve">    Laptop Additions - Rancho Murieta Community Services Distric</t>
  </si>
  <si>
    <t>74.1166.</t>
  </si>
  <si>
    <t xml:space="preserve">    Chlorine Analyzer Installation Assistance – Valley Springs P</t>
  </si>
  <si>
    <t>74.1169.</t>
  </si>
  <si>
    <t xml:space="preserve">    Henderson Pump Station Main Service Disconnect Retrofit – We</t>
  </si>
  <si>
    <t>74.1193.</t>
  </si>
  <si>
    <t xml:space="preserve">    Autodialer Replacement - Valley Springs Public Utility Distr</t>
  </si>
  <si>
    <t>74.1202.</t>
  </si>
  <si>
    <t xml:space="preserve">    Calibration Services - City of Yuba City</t>
  </si>
  <si>
    <t>74.1210.</t>
  </si>
  <si>
    <t xml:space="preserve">    Central SCADA Office Communications Troubleshooting - City o</t>
  </si>
  <si>
    <t xml:space="preserve">  Division 74 Closed Job Totals</t>
  </si>
  <si>
    <t>Division 74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</si>
</sst>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74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1LOiLZqrZ9X/KwkMss/mhk/EqBlfXK3qND+lQYbZ9rAQz4bPyaHogquVNl/EF77/38HY5kDYwLHEaMKo2Ru/5w==" saltValue="G8ODoxMf26f0UWFbbxxIM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656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657</v>
      </c>
      <c r="B9" s="232" t="s">
        <v>637</v>
      </c>
      <c r="C9" s="232" t="s">
        <v>636</v>
      </c>
      <c r="D9" s="233"/>
      <c r="E9" s="234">
        <v>43252.19</v>
      </c>
      <c r="F9" s="235">
        <v>43252.19</v>
      </c>
      <c r="G9" s="236"/>
      <c r="H9" s="237"/>
      <c r="I9" s="238">
        <v>8119.75</v>
      </c>
      <c r="J9" s="249"/>
      <c r="K9" s="240"/>
      <c r="L9" s="8">
        <v>33601.129999999997</v>
      </c>
      <c r="M9" s="241">
        <v>8119.75</v>
      </c>
      <c r="N9" s="72"/>
      <c r="O9" s="100"/>
      <c r="P9" s="9"/>
      <c r="Q9" s="9">
        <v>0</v>
      </c>
      <c r="R9" s="9"/>
      <c r="S9" s="152"/>
      <c r="T9" s="10"/>
      <c r="U9" s="23"/>
      <c r="V9" s="11"/>
      <c r="W9" s="11"/>
      <c r="X9" s="8">
        <v>8119.75</v>
      </c>
      <c r="Y9" s="9"/>
      <c r="Z9" s="70">
        <v>0</v>
      </c>
      <c r="AA9" s="72"/>
      <c r="AB9" s="108"/>
      <c r="AC9" s="9">
        <v>0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8119.75</v>
      </c>
      <c r="AN9" s="9"/>
      <c r="AO9" s="9"/>
      <c r="AP9" s="10"/>
      <c r="AQ9" s="25"/>
      <c r="AR9" s="25"/>
      <c r="AS9" s="25"/>
      <c r="AT9" s="10"/>
      <c r="AU9" s="12">
        <v>8119.75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8119.75</v>
      </c>
      <c r="BF9" s="15">
        <v>8119.75</v>
      </c>
      <c r="BG9" s="242">
        <v>0</v>
      </c>
      <c r="BH9" s="15">
        <v>8119.75</v>
      </c>
      <c r="BI9" s="15">
        <v>8119.75</v>
      </c>
      <c r="BJ9" s="242">
        <v>0</v>
      </c>
      <c r="BK9" s="242">
        <v>0</v>
      </c>
      <c r="BL9" s="242"/>
      <c r="BM9" s="242">
        <v>1</v>
      </c>
      <c r="BN9" s="242">
        <v>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45"/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8119.75</v>
      </c>
      <c r="CK9" s="248">
        <v>8119.75</v>
      </c>
      <c r="CL9" s="248">
        <v>8119.75</v>
      </c>
      <c r="CM9" s="248">
        <v>0</v>
      </c>
    </row>
    <row r="10" spans="1:102" x14ac:dyDescent="0.25">
      <c r="A10" s="231" t="s">
        <v>658</v>
      </c>
      <c r="B10" s="232" t="s">
        <v>638</v>
      </c>
      <c r="C10" s="232" t="s">
        <v>636</v>
      </c>
      <c r="D10" s="233"/>
      <c r="E10" s="234">
        <v>18989.939999999999</v>
      </c>
      <c r="F10" s="235">
        <v>18989.939999999999</v>
      </c>
      <c r="G10" s="236"/>
      <c r="H10" s="237"/>
      <c r="I10" s="238">
        <v>16132.32</v>
      </c>
      <c r="J10" s="249"/>
      <c r="K10" s="240"/>
      <c r="L10" s="8">
        <v>21738.39</v>
      </c>
      <c r="M10" s="241">
        <v>16132.32</v>
      </c>
      <c r="N10" s="72"/>
      <c r="O10" s="100"/>
      <c r="P10" s="9"/>
      <c r="Q10" s="9">
        <v>0</v>
      </c>
      <c r="R10" s="9"/>
      <c r="S10" s="152"/>
      <c r="T10" s="10"/>
      <c r="U10" s="23"/>
      <c r="V10" s="11"/>
      <c r="W10" s="11"/>
      <c r="X10" s="8">
        <v>16132.32</v>
      </c>
      <c r="Y10" s="9"/>
      <c r="Z10" s="70">
        <v>0</v>
      </c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16132.32</v>
      </c>
      <c r="AN10" s="9"/>
      <c r="AO10" s="9"/>
      <c r="AP10" s="10"/>
      <c r="AQ10" s="25"/>
      <c r="AR10" s="25"/>
      <c r="AS10" s="25"/>
      <c r="AT10" s="10"/>
      <c r="AU10" s="12">
        <v>16132.32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16132.32</v>
      </c>
      <c r="BF10" s="15">
        <v>16132.32</v>
      </c>
      <c r="BG10" s="242">
        <v>0</v>
      </c>
      <c r="BH10" s="15">
        <v>16132.32</v>
      </c>
      <c r="BI10" s="15">
        <v>16132.32</v>
      </c>
      <c r="BJ10" s="242">
        <v>0</v>
      </c>
      <c r="BK10" s="242">
        <v>0</v>
      </c>
      <c r="BL10" s="242"/>
      <c r="BM10" s="242">
        <v>1</v>
      </c>
      <c r="BN10" s="242">
        <v>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 t="s">
        <v>634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633</v>
      </c>
      <c r="CJ10" s="248">
        <v>16132.32</v>
      </c>
      <c r="CK10" s="248">
        <v>16132.32</v>
      </c>
      <c r="CL10" s="248">
        <v>16132.32</v>
      </c>
      <c r="CM10" s="248">
        <v>0</v>
      </c>
    </row>
    <row r="11" spans="1:102" x14ac:dyDescent="0.25">
      <c r="A11" s="231" t="s">
        <v>659</v>
      </c>
      <c r="B11" s="232" t="s">
        <v>639</v>
      </c>
      <c r="C11" s="232" t="s">
        <v>636</v>
      </c>
      <c r="D11" s="233"/>
      <c r="E11" s="234">
        <v>40887.360000000001</v>
      </c>
      <c r="F11" s="235">
        <v>40887.360000000001</v>
      </c>
      <c r="G11" s="236"/>
      <c r="H11" s="237"/>
      <c r="I11" s="238">
        <v>37274.230000000003</v>
      </c>
      <c r="J11" s="249"/>
      <c r="K11" s="240"/>
      <c r="L11" s="8">
        <v>39445.17</v>
      </c>
      <c r="M11" s="241">
        <v>37274.230000000003</v>
      </c>
      <c r="N11" s="72"/>
      <c r="O11" s="100"/>
      <c r="P11" s="9"/>
      <c r="Q11" s="9">
        <v>0</v>
      </c>
      <c r="R11" s="9"/>
      <c r="S11" s="152">
        <v>46082</v>
      </c>
      <c r="T11" s="10"/>
      <c r="U11" s="23"/>
      <c r="V11" s="11"/>
      <c r="W11" s="11"/>
      <c r="X11" s="8">
        <v>37274.230000000003</v>
      </c>
      <c r="Y11" s="9"/>
      <c r="Z11" s="70">
        <v>0</v>
      </c>
      <c r="AA11" s="72"/>
      <c r="AB11" s="108"/>
      <c r="AC11" s="9">
        <v>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37274.230000000003</v>
      </c>
      <c r="AN11" s="9"/>
      <c r="AO11" s="9"/>
      <c r="AP11" s="10"/>
      <c r="AQ11" s="25"/>
      <c r="AR11" s="25"/>
      <c r="AS11" s="25"/>
      <c r="AT11" s="10"/>
      <c r="AU11" s="12">
        <v>37274.230000000003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37274.230000000003</v>
      </c>
      <c r="BF11" s="15">
        <v>37274.230000000003</v>
      </c>
      <c r="BG11" s="242">
        <v>0</v>
      </c>
      <c r="BH11" s="15">
        <v>37274.230000000003</v>
      </c>
      <c r="BI11" s="15">
        <v>37274.230000000003</v>
      </c>
      <c r="BJ11" s="242">
        <v>0</v>
      </c>
      <c r="BK11" s="250">
        <v>0</v>
      </c>
      <c r="BL11" s="242"/>
      <c r="BM11" s="242">
        <v>1</v>
      </c>
      <c r="BN11" s="242">
        <v>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 t="s">
        <v>634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37274.230000000003</v>
      </c>
      <c r="CK11" s="248">
        <v>37274.230000000003</v>
      </c>
      <c r="CL11" s="248">
        <v>37274.230000000003</v>
      </c>
      <c r="CM11" s="248">
        <v>0</v>
      </c>
    </row>
    <row r="12" spans="1:102" x14ac:dyDescent="0.25">
      <c r="A12" s="231" t="s">
        <v>660</v>
      </c>
      <c r="B12" s="232" t="s">
        <v>640</v>
      </c>
      <c r="C12" s="232" t="s">
        <v>636</v>
      </c>
      <c r="D12" s="233"/>
      <c r="E12" s="234">
        <v>0</v>
      </c>
      <c r="F12" s="235">
        <v>0</v>
      </c>
      <c r="G12" s="236"/>
      <c r="H12" s="237"/>
      <c r="I12" s="238">
        <v>90821.05</v>
      </c>
      <c r="J12" s="249"/>
      <c r="K12" s="240"/>
      <c r="L12" s="8">
        <v>100967.33</v>
      </c>
      <c r="M12" s="241">
        <v>90821.05</v>
      </c>
      <c r="N12" s="71"/>
      <c r="O12" s="100"/>
      <c r="P12" s="9"/>
      <c r="Q12" s="9">
        <v>0</v>
      </c>
      <c r="R12" s="9"/>
      <c r="S12" s="152">
        <v>46174</v>
      </c>
      <c r="T12" s="10"/>
      <c r="U12" s="23"/>
      <c r="V12" s="11"/>
      <c r="W12" s="11"/>
      <c r="X12" s="8">
        <v>90821.05</v>
      </c>
      <c r="Y12" s="9"/>
      <c r="Z12" s="70">
        <v>0</v>
      </c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90821.05</v>
      </c>
      <c r="AN12" s="9"/>
      <c r="AO12" s="9"/>
      <c r="AP12" s="10"/>
      <c r="AQ12" s="25"/>
      <c r="AR12" s="25"/>
      <c r="AS12" s="25"/>
      <c r="AT12" s="10"/>
      <c r="AU12" s="12">
        <v>90821.05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90821.05</v>
      </c>
      <c r="BF12" s="15">
        <v>90821.05</v>
      </c>
      <c r="BG12" s="242">
        <v>0</v>
      </c>
      <c r="BH12" s="15">
        <v>90821.05</v>
      </c>
      <c r="BI12" s="15">
        <v>90821.05</v>
      </c>
      <c r="BJ12" s="242">
        <v>0</v>
      </c>
      <c r="BK12" s="242">
        <v>0</v>
      </c>
      <c r="BL12" s="242"/>
      <c r="BM12" s="242">
        <v>1</v>
      </c>
      <c r="BN12" s="242">
        <v>0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 t="s">
        <v>634</v>
      </c>
      <c r="CD12" s="242">
        <v>0</v>
      </c>
      <c r="CE12" s="242">
        <v>0</v>
      </c>
      <c r="CF12" s="242">
        <v>0</v>
      </c>
      <c r="CG12" s="242">
        <v>0</v>
      </c>
      <c r="CH12" s="242">
        <v>0</v>
      </c>
      <c r="CI12" s="247" t="s">
        <v>633</v>
      </c>
      <c r="CJ12" s="248">
        <v>90821.05</v>
      </c>
      <c r="CK12" s="248">
        <v>90821.05</v>
      </c>
      <c r="CL12" s="248">
        <v>90821.05</v>
      </c>
      <c r="CM12" s="248">
        <v>0</v>
      </c>
    </row>
    <row r="13" spans="1:102" x14ac:dyDescent="0.25">
      <c r="A13" s="231" t="s">
        <v>661</v>
      </c>
      <c r="B13" s="232" t="s">
        <v>641</v>
      </c>
      <c r="C13" s="232" t="s">
        <v>636</v>
      </c>
      <c r="D13" s="233"/>
      <c r="E13" s="234">
        <v>9057.5</v>
      </c>
      <c r="F13" s="235">
        <v>9057.5</v>
      </c>
      <c r="G13" s="236"/>
      <c r="H13" s="237"/>
      <c r="I13" s="238">
        <v>7926.25</v>
      </c>
      <c r="J13" s="249"/>
      <c r="K13" s="240"/>
      <c r="L13" s="8">
        <v>759227.29</v>
      </c>
      <c r="M13" s="241">
        <v>7926.25</v>
      </c>
      <c r="N13" s="71"/>
      <c r="O13" s="100"/>
      <c r="P13" s="9"/>
      <c r="Q13" s="9">
        <v>0</v>
      </c>
      <c r="R13" s="9"/>
      <c r="S13" s="152">
        <v>46174</v>
      </c>
      <c r="T13" s="10"/>
      <c r="U13" s="23"/>
      <c r="V13" s="11"/>
      <c r="W13" s="11"/>
      <c r="X13" s="8">
        <v>7926.25</v>
      </c>
      <c r="Y13" s="9"/>
      <c r="Z13" s="70">
        <v>0</v>
      </c>
      <c r="AA13" s="71"/>
      <c r="AB13" s="108"/>
      <c r="AC13" s="9">
        <v>0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7926.25</v>
      </c>
      <c r="AN13" s="9"/>
      <c r="AO13" s="9"/>
      <c r="AP13" s="10"/>
      <c r="AQ13" s="25"/>
      <c r="AR13" s="25"/>
      <c r="AS13" s="25"/>
      <c r="AT13" s="10"/>
      <c r="AU13" s="12">
        <v>7926.25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7926.25</v>
      </c>
      <c r="BF13" s="15">
        <v>7926.25</v>
      </c>
      <c r="BG13" s="242">
        <v>0</v>
      </c>
      <c r="BH13" s="15">
        <v>7926.25</v>
      </c>
      <c r="BI13" s="15">
        <v>7926.25</v>
      </c>
      <c r="BJ13" s="242">
        <v>0</v>
      </c>
      <c r="BK13" s="242">
        <v>0</v>
      </c>
      <c r="BL13" s="242"/>
      <c r="BM13" s="242">
        <v>1</v>
      </c>
      <c r="BN13" s="242">
        <v>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 t="s">
        <v>634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633</v>
      </c>
      <c r="CJ13" s="248">
        <v>7926.25</v>
      </c>
      <c r="CK13" s="248">
        <v>7926.25</v>
      </c>
      <c r="CL13" s="248">
        <v>7926.25</v>
      </c>
      <c r="CM13" s="248">
        <v>0</v>
      </c>
    </row>
    <row r="14" spans="1:102" x14ac:dyDescent="0.25">
      <c r="A14" s="231" t="s">
        <v>662</v>
      </c>
      <c r="B14" s="232" t="s">
        <v>642</v>
      </c>
      <c r="C14" s="232" t="s">
        <v>636</v>
      </c>
      <c r="D14" s="233"/>
      <c r="E14" s="234">
        <v>45666.080000000002</v>
      </c>
      <c r="F14" s="235">
        <v>45666.080000000002</v>
      </c>
      <c r="G14" s="236"/>
      <c r="H14" s="237"/>
      <c r="I14" s="238">
        <v>18239.060000000001</v>
      </c>
      <c r="J14" s="249"/>
      <c r="K14" s="240"/>
      <c r="L14" s="8">
        <v>76324.86</v>
      </c>
      <c r="M14" s="241">
        <v>18239.060000000001</v>
      </c>
      <c r="N14" s="72"/>
      <c r="O14" s="100"/>
      <c r="P14" s="9"/>
      <c r="Q14" s="9">
        <v>0</v>
      </c>
      <c r="R14" s="9"/>
      <c r="S14" s="152"/>
      <c r="T14" s="10"/>
      <c r="U14" s="23"/>
      <c r="V14" s="11"/>
      <c r="W14" s="11"/>
      <c r="X14" s="8">
        <v>18239.060000000001</v>
      </c>
      <c r="Y14" s="9"/>
      <c r="Z14" s="70">
        <v>0</v>
      </c>
      <c r="AA14" s="72"/>
      <c r="AB14" s="108"/>
      <c r="AC14" s="9">
        <v>0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18239.060000000001</v>
      </c>
      <c r="AN14" s="9"/>
      <c r="AO14" s="9"/>
      <c r="AP14" s="10"/>
      <c r="AQ14" s="25"/>
      <c r="AR14" s="25"/>
      <c r="AS14" s="25"/>
      <c r="AT14" s="10"/>
      <c r="AU14" s="12">
        <v>18239.060000000001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18239.060000000001</v>
      </c>
      <c r="BF14" s="15">
        <v>18239.060000000001</v>
      </c>
      <c r="BG14" s="242">
        <v>0</v>
      </c>
      <c r="BH14" s="15">
        <v>18239.060000000001</v>
      </c>
      <c r="BI14" s="15">
        <v>18239.060000000001</v>
      </c>
      <c r="BJ14" s="242">
        <v>0</v>
      </c>
      <c r="BK14" s="242">
        <v>0</v>
      </c>
      <c r="BL14" s="242"/>
      <c r="BM14" s="242">
        <v>1</v>
      </c>
      <c r="BN14" s="242">
        <v>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 t="s">
        <v>634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18239.060000000001</v>
      </c>
      <c r="CK14" s="248">
        <v>18239.060000000001</v>
      </c>
      <c r="CL14" s="248">
        <v>18239.060000000001</v>
      </c>
      <c r="CM14" s="248">
        <v>0</v>
      </c>
    </row>
    <row r="15" spans="1:102" x14ac:dyDescent="0.25">
      <c r="A15" s="231" t="s">
        <v>663</v>
      </c>
      <c r="B15" s="232" t="s">
        <v>650</v>
      </c>
      <c r="C15" s="232" t="s">
        <v>636</v>
      </c>
      <c r="D15" s="233"/>
      <c r="E15" s="234">
        <v>405000</v>
      </c>
      <c r="F15" s="235">
        <v>405000</v>
      </c>
      <c r="G15" s="236"/>
      <c r="H15" s="237"/>
      <c r="I15" s="238">
        <v>405000</v>
      </c>
      <c r="J15" s="249"/>
      <c r="K15" s="240"/>
      <c r="L15" s="8">
        <v>285884.92</v>
      </c>
      <c r="M15" s="241">
        <v>286589</v>
      </c>
      <c r="N15" s="72"/>
      <c r="O15" s="100"/>
      <c r="P15" s="9"/>
      <c r="Q15" s="9">
        <v>118411</v>
      </c>
      <c r="R15" s="9"/>
      <c r="S15" s="152">
        <v>46174</v>
      </c>
      <c r="T15" s="10"/>
      <c r="U15" s="23"/>
      <c r="V15" s="11"/>
      <c r="W15" s="11"/>
      <c r="X15" s="8">
        <v>158975.96</v>
      </c>
      <c r="Y15" s="9"/>
      <c r="Z15" s="70">
        <v>65684.66</v>
      </c>
      <c r="AA15" s="71"/>
      <c r="AB15" s="108"/>
      <c r="AC15" s="9">
        <v>62383.38</v>
      </c>
      <c r="AD15" s="9"/>
      <c r="AE15" s="10"/>
      <c r="AF15" s="24">
        <v>0</v>
      </c>
      <c r="AG15" s="11">
        <v>0</v>
      </c>
      <c r="AH15" s="8">
        <v>0</v>
      </c>
      <c r="AI15" s="9">
        <v>0</v>
      </c>
      <c r="AJ15" s="9">
        <v>0</v>
      </c>
      <c r="AK15" s="10"/>
      <c r="AL15" s="11"/>
      <c r="AM15" s="8">
        <v>158975.96</v>
      </c>
      <c r="AN15" s="9"/>
      <c r="AO15" s="9"/>
      <c r="AP15" s="10"/>
      <c r="AQ15" s="25"/>
      <c r="AR15" s="25"/>
      <c r="AS15" s="25"/>
      <c r="AT15" s="10"/>
      <c r="AU15" s="12">
        <v>0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405000</v>
      </c>
      <c r="BF15" s="15">
        <v>286589</v>
      </c>
      <c r="BG15" s="15">
        <v>65684.66</v>
      </c>
      <c r="BH15" s="15">
        <v>405000</v>
      </c>
      <c r="BI15" s="15">
        <v>286589</v>
      </c>
      <c r="BJ15" s="242">
        <v>0</v>
      </c>
      <c r="BK15" s="242">
        <v>62383.38</v>
      </c>
      <c r="BL15" s="242"/>
      <c r="BM15" s="242">
        <v>1</v>
      </c>
      <c r="BN15" s="242">
        <v>118411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65684.66</v>
      </c>
      <c r="CC15" s="246" t="s">
        <v>634</v>
      </c>
      <c r="CD15" s="242">
        <v>0</v>
      </c>
      <c r="CE15" s="242">
        <v>0</v>
      </c>
      <c r="CF15" s="242">
        <v>0</v>
      </c>
      <c r="CG15" s="242">
        <v>0</v>
      </c>
      <c r="CH15" s="242">
        <v>0</v>
      </c>
      <c r="CI15" s="247" t="s">
        <v>633</v>
      </c>
      <c r="CJ15" s="248">
        <v>158975.96</v>
      </c>
      <c r="CK15" s="248">
        <v>158975.96</v>
      </c>
      <c r="CL15" s="248">
        <v>0</v>
      </c>
      <c r="CM15" s="248">
        <v>0</v>
      </c>
    </row>
    <row r="16" spans="1:102" x14ac:dyDescent="0.25">
      <c r="A16" s="231" t="s">
        <v>664</v>
      </c>
      <c r="B16" s="232" t="s">
        <v>643</v>
      </c>
      <c r="C16" s="232" t="s">
        <v>636</v>
      </c>
      <c r="D16" s="233"/>
      <c r="E16" s="234">
        <v>114227.42</v>
      </c>
      <c r="F16" s="235">
        <v>114227.42</v>
      </c>
      <c r="G16" s="236"/>
      <c r="H16" s="237"/>
      <c r="I16" s="238">
        <v>110401.43</v>
      </c>
      <c r="J16" s="249"/>
      <c r="K16" s="240"/>
      <c r="L16" s="8">
        <v>111523.81</v>
      </c>
      <c r="M16" s="241">
        <v>110401.43</v>
      </c>
      <c r="N16" s="72"/>
      <c r="O16" s="100"/>
      <c r="P16" s="9"/>
      <c r="Q16" s="9">
        <v>0</v>
      </c>
      <c r="R16" s="9"/>
      <c r="S16" s="152">
        <v>46082</v>
      </c>
      <c r="T16" s="10"/>
      <c r="U16" s="23"/>
      <c r="V16" s="11"/>
      <c r="W16" s="11"/>
      <c r="X16" s="8">
        <v>110401.43</v>
      </c>
      <c r="Y16" s="9"/>
      <c r="Z16" s="70">
        <v>0</v>
      </c>
      <c r="AA16" s="72"/>
      <c r="AB16" s="108"/>
      <c r="AC16" s="9">
        <v>0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110401.43</v>
      </c>
      <c r="AN16" s="9"/>
      <c r="AO16" s="9"/>
      <c r="AP16" s="10"/>
      <c r="AQ16" s="25"/>
      <c r="AR16" s="25"/>
      <c r="AS16" s="25"/>
      <c r="AT16" s="10"/>
      <c r="AU16" s="12">
        <v>110401.43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110401.43</v>
      </c>
      <c r="BF16" s="15">
        <v>110401.43</v>
      </c>
      <c r="BG16" s="242">
        <v>0</v>
      </c>
      <c r="BH16" s="15">
        <v>110401.43</v>
      </c>
      <c r="BI16" s="15">
        <v>110401.43</v>
      </c>
      <c r="BJ16" s="242">
        <v>0</v>
      </c>
      <c r="BK16" s="242">
        <v>0</v>
      </c>
      <c r="BL16" s="242"/>
      <c r="BM16" s="242">
        <v>1</v>
      </c>
      <c r="BN16" s="242">
        <v>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45"/>
      <c r="CC16" s="246" t="s">
        <v>634</v>
      </c>
      <c r="CD16" s="242">
        <v>0</v>
      </c>
      <c r="CE16" s="242">
        <v>0</v>
      </c>
      <c r="CF16" s="242">
        <v>0</v>
      </c>
      <c r="CG16" s="242">
        <v>0</v>
      </c>
      <c r="CH16" s="242">
        <v>0</v>
      </c>
      <c r="CI16" s="247" t="s">
        <v>633</v>
      </c>
      <c r="CJ16" s="248">
        <v>110401.43</v>
      </c>
      <c r="CK16" s="248">
        <v>110401.43</v>
      </c>
      <c r="CL16" s="248">
        <v>110401.43</v>
      </c>
      <c r="CM16" s="248">
        <v>0</v>
      </c>
    </row>
    <row r="17" spans="1:91" x14ac:dyDescent="0.25">
      <c r="A17" s="231" t="s">
        <v>665</v>
      </c>
      <c r="B17" s="232" t="s">
        <v>644</v>
      </c>
      <c r="C17" s="232" t="s">
        <v>636</v>
      </c>
      <c r="D17" s="233"/>
      <c r="E17" s="234">
        <v>67536.34</v>
      </c>
      <c r="F17" s="235">
        <v>67536.34</v>
      </c>
      <c r="G17" s="236"/>
      <c r="H17" s="237"/>
      <c r="I17" s="238">
        <v>63018.74</v>
      </c>
      <c r="J17" s="249"/>
      <c r="K17" s="240"/>
      <c r="L17" s="8">
        <v>87453.42</v>
      </c>
      <c r="M17" s="241">
        <v>63018.74</v>
      </c>
      <c r="N17" s="72"/>
      <c r="O17" s="100"/>
      <c r="P17" s="9"/>
      <c r="Q17" s="9">
        <v>0</v>
      </c>
      <c r="R17" s="9"/>
      <c r="S17" s="152">
        <v>46082</v>
      </c>
      <c r="T17" s="10"/>
      <c r="U17" s="23"/>
      <c r="V17" s="11"/>
      <c r="W17" s="11"/>
      <c r="X17" s="8">
        <v>63018.74</v>
      </c>
      <c r="Y17" s="9"/>
      <c r="Z17" s="70">
        <v>0</v>
      </c>
      <c r="AA17" s="71"/>
      <c r="AB17" s="108"/>
      <c r="AC17" s="9">
        <v>0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63018.74</v>
      </c>
      <c r="AN17" s="9"/>
      <c r="AO17" s="9"/>
      <c r="AP17" s="10"/>
      <c r="AQ17" s="25"/>
      <c r="AR17" s="25"/>
      <c r="AS17" s="25"/>
      <c r="AT17" s="10"/>
      <c r="AU17" s="12">
        <v>63018.74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63018.74</v>
      </c>
      <c r="BF17" s="15">
        <v>63018.74</v>
      </c>
      <c r="BG17" s="242">
        <v>0</v>
      </c>
      <c r="BH17" s="15">
        <v>63018.74</v>
      </c>
      <c r="BI17" s="15">
        <v>63018.74</v>
      </c>
      <c r="BJ17" s="242">
        <v>0</v>
      </c>
      <c r="BK17" s="242">
        <v>0</v>
      </c>
      <c r="BL17" s="242"/>
      <c r="BM17" s="242">
        <v>1</v>
      </c>
      <c r="BN17" s="242">
        <v>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 t="s">
        <v>634</v>
      </c>
      <c r="CD17" s="242">
        <v>0</v>
      </c>
      <c r="CE17" s="242">
        <v>0</v>
      </c>
      <c r="CF17" s="242">
        <v>0</v>
      </c>
      <c r="CG17" s="242">
        <v>0</v>
      </c>
      <c r="CH17" s="242">
        <v>0</v>
      </c>
      <c r="CI17" s="247" t="s">
        <v>633</v>
      </c>
      <c r="CJ17" s="248">
        <v>63018.74</v>
      </c>
      <c r="CK17" s="248">
        <v>63018.74</v>
      </c>
      <c r="CL17" s="248">
        <v>63018.74</v>
      </c>
      <c r="CM17" s="248">
        <v>0</v>
      </c>
    </row>
    <row r="18" spans="1:91" x14ac:dyDescent="0.25">
      <c r="A18" s="231" t="s">
        <v>666</v>
      </c>
      <c r="B18" s="232" t="s">
        <v>667</v>
      </c>
      <c r="C18" s="232" t="s">
        <v>636</v>
      </c>
      <c r="D18" s="233"/>
      <c r="E18" s="234">
        <v>5876.55</v>
      </c>
      <c r="F18" s="235">
        <v>5876.55</v>
      </c>
      <c r="G18" s="236"/>
      <c r="H18" s="237"/>
      <c r="I18" s="238">
        <v>5876.55</v>
      </c>
      <c r="J18" s="249"/>
      <c r="K18" s="240"/>
      <c r="L18" s="8">
        <v>2592.85</v>
      </c>
      <c r="M18" s="241">
        <v>2592.85</v>
      </c>
      <c r="N18" s="72"/>
      <c r="O18" s="100"/>
      <c r="P18" s="9"/>
      <c r="Q18" s="9">
        <v>3283.7000000000003</v>
      </c>
      <c r="R18" s="9"/>
      <c r="S18" s="152"/>
      <c r="T18" s="10"/>
      <c r="U18" s="23"/>
      <c r="V18" s="11"/>
      <c r="W18" s="11"/>
      <c r="X18" s="8">
        <v>2592.85</v>
      </c>
      <c r="Y18" s="9"/>
      <c r="Z18" s="70">
        <v>3283.7</v>
      </c>
      <c r="AA18" s="71"/>
      <c r="AB18" s="108"/>
      <c r="AC18" s="9">
        <v>3283.7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2592.85</v>
      </c>
      <c r="AN18" s="9"/>
      <c r="AO18" s="9"/>
      <c r="AP18" s="10"/>
      <c r="AQ18" s="25"/>
      <c r="AR18" s="25"/>
      <c r="AS18" s="25"/>
      <c r="AT18" s="10"/>
      <c r="AU18" s="12">
        <v>5876.55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5876.55</v>
      </c>
      <c r="BF18" s="15">
        <v>2592.85</v>
      </c>
      <c r="BG18" s="15">
        <v>3283.7</v>
      </c>
      <c r="BH18" s="15">
        <v>5876.55</v>
      </c>
      <c r="BI18" s="15">
        <v>2592.85</v>
      </c>
      <c r="BJ18" s="242">
        <v>0</v>
      </c>
      <c r="BK18" s="242">
        <v>3283.7</v>
      </c>
      <c r="BL18" s="242"/>
      <c r="BM18" s="242">
        <v>1</v>
      </c>
      <c r="BN18" s="242">
        <v>3283.7000000000003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3283.7</v>
      </c>
      <c r="CC18" s="246" t="s">
        <v>634</v>
      </c>
      <c r="CD18" s="242">
        <v>0</v>
      </c>
      <c r="CE18" s="242">
        <v>0</v>
      </c>
      <c r="CF18" s="242">
        <v>0</v>
      </c>
      <c r="CG18" s="242">
        <v>0</v>
      </c>
      <c r="CH18" s="242">
        <v>0</v>
      </c>
      <c r="CI18" s="247" t="s">
        <v>633</v>
      </c>
      <c r="CJ18" s="248">
        <v>2592.85</v>
      </c>
      <c r="CK18" s="248">
        <v>2592.85</v>
      </c>
      <c r="CL18" s="248">
        <v>5876.55</v>
      </c>
      <c r="CM18" s="248">
        <v>0</v>
      </c>
    </row>
    <row r="19" spans="1:91" x14ac:dyDescent="0.25">
      <c r="A19" s="231" t="s">
        <v>668</v>
      </c>
      <c r="B19" s="232" t="s">
        <v>669</v>
      </c>
      <c r="C19" s="232" t="s">
        <v>636</v>
      </c>
      <c r="D19" s="233"/>
      <c r="E19" s="234">
        <v>49530</v>
      </c>
      <c r="F19" s="235">
        <v>49530</v>
      </c>
      <c r="G19" s="236"/>
      <c r="H19" s="237"/>
      <c r="I19" s="238">
        <v>49530</v>
      </c>
      <c r="J19" s="239"/>
      <c r="K19" s="240"/>
      <c r="L19" s="8">
        <v>46414.84</v>
      </c>
      <c r="M19" s="241">
        <v>46915</v>
      </c>
      <c r="N19" s="72"/>
      <c r="O19" s="100"/>
      <c r="P19" s="9"/>
      <c r="Q19" s="9">
        <v>3108</v>
      </c>
      <c r="R19" s="9"/>
      <c r="S19" s="152">
        <v>46082</v>
      </c>
      <c r="T19" s="10"/>
      <c r="U19" s="23"/>
      <c r="V19" s="11"/>
      <c r="W19" s="11"/>
      <c r="X19" s="8">
        <v>21170.95</v>
      </c>
      <c r="Y19" s="9"/>
      <c r="Z19" s="70">
        <v>1180.05</v>
      </c>
      <c r="AA19" s="71"/>
      <c r="AB19" s="108"/>
      <c r="AC19" s="9">
        <v>1213.05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21170.95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49530</v>
      </c>
      <c r="BF19" s="15">
        <v>46915</v>
      </c>
      <c r="BG19" s="15">
        <v>1180.05</v>
      </c>
      <c r="BH19" s="15">
        <v>49530</v>
      </c>
      <c r="BI19" s="15">
        <v>46915</v>
      </c>
      <c r="BJ19" s="242">
        <v>0</v>
      </c>
      <c r="BK19" s="242">
        <v>1213.05</v>
      </c>
      <c r="BL19" s="242"/>
      <c r="BM19" s="242">
        <v>1</v>
      </c>
      <c r="BN19" s="242">
        <v>3108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1180.05</v>
      </c>
      <c r="CC19" s="246" t="s">
        <v>634</v>
      </c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21170.95</v>
      </c>
      <c r="CK19" s="248">
        <v>21170.95</v>
      </c>
      <c r="CL19" s="248">
        <v>0</v>
      </c>
      <c r="CM19" s="248">
        <v>0</v>
      </c>
    </row>
    <row r="20" spans="1:91" x14ac:dyDescent="0.25">
      <c r="A20" s="231" t="s">
        <v>670</v>
      </c>
      <c r="B20" s="232" t="s">
        <v>671</v>
      </c>
      <c r="C20" s="232" t="s">
        <v>636</v>
      </c>
      <c r="D20" s="233"/>
      <c r="E20" s="234">
        <v>34935</v>
      </c>
      <c r="F20" s="235">
        <v>34935</v>
      </c>
      <c r="G20" s="236"/>
      <c r="H20" s="237"/>
      <c r="I20" s="238">
        <v>34935</v>
      </c>
      <c r="J20" s="239"/>
      <c r="K20" s="240"/>
      <c r="L20" s="8">
        <v>29528.86</v>
      </c>
      <c r="M20" s="241">
        <v>29529</v>
      </c>
      <c r="N20" s="72"/>
      <c r="O20" s="100"/>
      <c r="P20" s="9"/>
      <c r="Q20" s="9">
        <v>5406</v>
      </c>
      <c r="R20" s="9"/>
      <c r="S20" s="152">
        <v>46082</v>
      </c>
      <c r="T20" s="10"/>
      <c r="U20" s="23"/>
      <c r="V20" s="11"/>
      <c r="W20" s="11"/>
      <c r="X20" s="8">
        <v>18780</v>
      </c>
      <c r="Y20" s="9"/>
      <c r="Z20" s="70">
        <v>3438.13</v>
      </c>
      <c r="AA20" s="71"/>
      <c r="AB20" s="108"/>
      <c r="AC20" s="9">
        <v>3350.72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18780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34935</v>
      </c>
      <c r="BF20" s="15">
        <v>29529</v>
      </c>
      <c r="BG20" s="15">
        <v>3438.13</v>
      </c>
      <c r="BH20" s="15">
        <v>34935</v>
      </c>
      <c r="BI20" s="15">
        <v>29529</v>
      </c>
      <c r="BJ20" s="242">
        <v>0</v>
      </c>
      <c r="BK20" s="242">
        <v>3350.72</v>
      </c>
      <c r="BL20" s="242"/>
      <c r="BM20" s="242">
        <v>1</v>
      </c>
      <c r="BN20" s="242">
        <v>5406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94">
        <v>3438.13</v>
      </c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18780</v>
      </c>
      <c r="CK20" s="248">
        <v>18780</v>
      </c>
      <c r="CL20" s="248">
        <v>0</v>
      </c>
      <c r="CM20" s="248">
        <v>0</v>
      </c>
    </row>
    <row r="21" spans="1:91" x14ac:dyDescent="0.25">
      <c r="A21" s="231" t="s">
        <v>672</v>
      </c>
      <c r="B21" s="232" t="s">
        <v>647</v>
      </c>
      <c r="C21" s="232" t="s">
        <v>636</v>
      </c>
      <c r="D21" s="233"/>
      <c r="E21" s="234">
        <v>1785125</v>
      </c>
      <c r="F21" s="235">
        <v>1785125</v>
      </c>
      <c r="G21" s="236"/>
      <c r="H21" s="237"/>
      <c r="I21" s="238">
        <v>1632125</v>
      </c>
      <c r="J21" s="239"/>
      <c r="K21" s="240"/>
      <c r="L21" s="8">
        <v>1264773.79</v>
      </c>
      <c r="M21" s="241">
        <v>1113545</v>
      </c>
      <c r="N21" s="71"/>
      <c r="O21" s="100"/>
      <c r="P21" s="9"/>
      <c r="Q21" s="9">
        <v>550841</v>
      </c>
      <c r="R21" s="9"/>
      <c r="S21" s="152">
        <v>46174</v>
      </c>
      <c r="T21" s="10"/>
      <c r="U21" s="23"/>
      <c r="V21" s="11"/>
      <c r="W21" s="11"/>
      <c r="X21" s="8">
        <v>956822.03</v>
      </c>
      <c r="Y21" s="9"/>
      <c r="Z21" s="70">
        <v>445593.82</v>
      </c>
      <c r="AA21" s="71"/>
      <c r="AB21" s="108"/>
      <c r="AC21" s="9">
        <v>408105.05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956822.03</v>
      </c>
      <c r="AN21" s="9"/>
      <c r="AO21" s="9"/>
      <c r="AP21" s="10"/>
      <c r="AQ21" s="25"/>
      <c r="AR21" s="25"/>
      <c r="AS21" s="25"/>
      <c r="AT21" s="10"/>
      <c r="AU21" s="12">
        <v>943175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1632125</v>
      </c>
      <c r="BF21" s="15">
        <v>1113545</v>
      </c>
      <c r="BG21" s="15">
        <v>445593.82</v>
      </c>
      <c r="BH21" s="15">
        <v>1632125</v>
      </c>
      <c r="BI21" s="15">
        <v>1113545</v>
      </c>
      <c r="BJ21" s="242">
        <v>0</v>
      </c>
      <c r="BK21" s="242">
        <v>408105.05</v>
      </c>
      <c r="BL21" s="242"/>
      <c r="BM21" s="242">
        <v>1</v>
      </c>
      <c r="BN21" s="242">
        <v>550841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94">
        <v>445593.82</v>
      </c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956822.03</v>
      </c>
      <c r="CK21" s="248">
        <v>956822.03</v>
      </c>
      <c r="CL21" s="248">
        <v>943175</v>
      </c>
      <c r="CM21" s="248">
        <v>0</v>
      </c>
    </row>
    <row r="22" spans="1:91" x14ac:dyDescent="0.25">
      <c r="A22" s="231" t="s">
        <v>673</v>
      </c>
      <c r="B22" s="232" t="s">
        <v>648</v>
      </c>
      <c r="C22" s="232" t="s">
        <v>636</v>
      </c>
      <c r="D22" s="233"/>
      <c r="E22" s="234">
        <v>0</v>
      </c>
      <c r="F22" s="235">
        <v>0</v>
      </c>
      <c r="G22" s="236"/>
      <c r="H22" s="237"/>
      <c r="I22" s="238">
        <v>21688</v>
      </c>
      <c r="J22" s="239"/>
      <c r="K22" s="240"/>
      <c r="L22" s="8">
        <v>20390.669999999998</v>
      </c>
      <c r="M22" s="241">
        <v>20895.419999999998</v>
      </c>
      <c r="N22" s="71"/>
      <c r="O22" s="100"/>
      <c r="P22" s="9"/>
      <c r="Q22" s="9">
        <v>1732.5800000000017</v>
      </c>
      <c r="R22" s="9"/>
      <c r="S22" s="152"/>
      <c r="T22" s="10"/>
      <c r="U22" s="23"/>
      <c r="V22" s="11"/>
      <c r="W22" s="11"/>
      <c r="X22" s="8">
        <v>20895.419999999998</v>
      </c>
      <c r="Y22" s="9"/>
      <c r="Z22" s="70">
        <v>792.58</v>
      </c>
      <c r="AA22" s="71"/>
      <c r="AB22" s="108"/>
      <c r="AC22" s="9">
        <v>1732.58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20895.419999999998</v>
      </c>
      <c r="AN22" s="9"/>
      <c r="AO22" s="9"/>
      <c r="AP22" s="10"/>
      <c r="AQ22" s="25"/>
      <c r="AR22" s="25"/>
      <c r="AS22" s="25"/>
      <c r="AT22" s="10"/>
      <c r="AU22" s="12">
        <v>21688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21688</v>
      </c>
      <c r="BF22" s="15">
        <v>20895.419999999998</v>
      </c>
      <c r="BG22" s="15">
        <v>792.58</v>
      </c>
      <c r="BH22" s="15">
        <v>21688</v>
      </c>
      <c r="BI22" s="15">
        <v>20895.419999999998</v>
      </c>
      <c r="BJ22" s="242">
        <v>0</v>
      </c>
      <c r="BK22" s="242">
        <v>1732.58</v>
      </c>
      <c r="BL22" s="242"/>
      <c r="BM22" s="242">
        <v>1</v>
      </c>
      <c r="BN22" s="242">
        <v>1732.5800000000017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94">
        <v>792.58</v>
      </c>
      <c r="CC22" s="246" t="s">
        <v>634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20895.419999999998</v>
      </c>
      <c r="CK22" s="248">
        <v>20895.419999999998</v>
      </c>
      <c r="CL22" s="248">
        <v>21688</v>
      </c>
      <c r="CM22" s="248">
        <v>0</v>
      </c>
    </row>
    <row r="23" spans="1:91" x14ac:dyDescent="0.25">
      <c r="A23" s="231" t="s">
        <v>674</v>
      </c>
      <c r="B23" s="232" t="s">
        <v>675</v>
      </c>
      <c r="C23" s="232" t="s">
        <v>636</v>
      </c>
      <c r="D23" s="233"/>
      <c r="E23" s="234">
        <v>7475</v>
      </c>
      <c r="F23" s="235">
        <v>7475</v>
      </c>
      <c r="G23" s="236"/>
      <c r="H23" s="237"/>
      <c r="I23" s="238">
        <v>7475</v>
      </c>
      <c r="J23" s="239"/>
      <c r="K23" s="240"/>
      <c r="L23" s="8">
        <v>0</v>
      </c>
      <c r="M23" s="241">
        <v>0</v>
      </c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>
        <v>0</v>
      </c>
      <c r="Y23" s="9"/>
      <c r="Z23" s="70">
        <v>0</v>
      </c>
      <c r="AA23" s="71"/>
      <c r="AB23" s="108"/>
      <c r="AC23" s="9"/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0</v>
      </c>
      <c r="AN23" s="9"/>
      <c r="AO23" s="9"/>
      <c r="AP23" s="10"/>
      <c r="AQ23" s="25"/>
      <c r="AR23" s="25"/>
      <c r="AS23" s="25"/>
      <c r="AT23" s="10"/>
      <c r="AU23" s="12">
        <v>0</v>
      </c>
      <c r="AV23" s="12"/>
      <c r="AW23" s="12"/>
      <c r="AX23" s="242"/>
      <c r="AY23" s="243"/>
      <c r="AZ23" s="242"/>
      <c r="BA23" s="242"/>
      <c r="BB23" s="244"/>
      <c r="BC23" s="243"/>
      <c r="BD23" s="243"/>
      <c r="BE23" s="242">
        <v>0</v>
      </c>
      <c r="BF23" s="242">
        <v>0</v>
      </c>
      <c r="BG23" s="242">
        <v>0</v>
      </c>
      <c r="BH23" s="242">
        <v>0</v>
      </c>
      <c r="BI23" s="242">
        <v>0</v>
      </c>
      <c r="BJ23" s="242">
        <v>0</v>
      </c>
      <c r="BK23" s="242">
        <v>0</v>
      </c>
      <c r="BL23" s="242"/>
      <c r="BM23" s="242">
        <v>1</v>
      </c>
      <c r="BN23" s="242">
        <v>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0</v>
      </c>
      <c r="CK23" s="248">
        <v>0</v>
      </c>
      <c r="CL23" s="248">
        <v>0</v>
      </c>
      <c r="CM23" s="248">
        <v>0</v>
      </c>
    </row>
    <row r="24" spans="1:91" x14ac:dyDescent="0.25">
      <c r="A24" s="231" t="s">
        <v>676</v>
      </c>
      <c r="B24" s="232" t="s">
        <v>677</v>
      </c>
      <c r="C24" s="232" t="s">
        <v>636</v>
      </c>
      <c r="D24" s="233"/>
      <c r="E24" s="234">
        <v>0</v>
      </c>
      <c r="F24" s="235">
        <v>0</v>
      </c>
      <c r="G24" s="236"/>
      <c r="H24" s="237"/>
      <c r="I24" s="238">
        <v>14445</v>
      </c>
      <c r="J24" s="239"/>
      <c r="K24" s="240"/>
      <c r="L24" s="8">
        <v>10246.01</v>
      </c>
      <c r="M24" s="241">
        <v>10769.49</v>
      </c>
      <c r="N24" s="71"/>
      <c r="O24" s="100"/>
      <c r="P24" s="9"/>
      <c r="Q24" s="9">
        <v>2556.3799999999992</v>
      </c>
      <c r="R24" s="9"/>
      <c r="S24" s="152"/>
      <c r="T24" s="10"/>
      <c r="U24" s="23"/>
      <c r="V24" s="11"/>
      <c r="W24" s="11"/>
      <c r="X24" s="8">
        <v>10769.49</v>
      </c>
      <c r="Y24" s="9"/>
      <c r="Z24" s="70">
        <v>3675.51</v>
      </c>
      <c r="AA24" s="71"/>
      <c r="AB24" s="108"/>
      <c r="AC24" s="9">
        <v>2556.38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10769.49</v>
      </c>
      <c r="AN24" s="9"/>
      <c r="AO24" s="9"/>
      <c r="AP24" s="10"/>
      <c r="AQ24" s="25"/>
      <c r="AR24" s="25"/>
      <c r="AS24" s="25"/>
      <c r="AT24" s="10"/>
      <c r="AU24" s="12">
        <v>14445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14445</v>
      </c>
      <c r="BF24" s="15">
        <v>10769.49</v>
      </c>
      <c r="BG24" s="15">
        <v>3675.51</v>
      </c>
      <c r="BH24" s="15">
        <v>14445</v>
      </c>
      <c r="BI24" s="15">
        <v>10769.49</v>
      </c>
      <c r="BJ24" s="242">
        <v>0</v>
      </c>
      <c r="BK24" s="242">
        <v>2556.38</v>
      </c>
      <c r="BL24" s="242"/>
      <c r="BM24" s="242">
        <v>1</v>
      </c>
      <c r="BN24" s="242">
        <v>2556.3799999999992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94">
        <v>3675.51</v>
      </c>
      <c r="CC24" s="246" t="s">
        <v>634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10769.49</v>
      </c>
      <c r="CK24" s="248">
        <v>10769.49</v>
      </c>
      <c r="CL24" s="248">
        <v>14445</v>
      </c>
      <c r="CM24" s="248">
        <v>0</v>
      </c>
    </row>
    <row r="25" spans="1:91" x14ac:dyDescent="0.25">
      <c r="A25" s="231" t="s">
        <v>678</v>
      </c>
      <c r="B25" s="232" t="s">
        <v>679</v>
      </c>
      <c r="C25" s="232" t="s">
        <v>636</v>
      </c>
      <c r="D25" s="233"/>
      <c r="E25" s="234">
        <v>0</v>
      </c>
      <c r="F25" s="235">
        <v>0</v>
      </c>
      <c r="G25" s="236"/>
      <c r="H25" s="237"/>
      <c r="I25" s="238">
        <v>4388</v>
      </c>
      <c r="J25" s="249"/>
      <c r="K25" s="240"/>
      <c r="L25" s="8">
        <v>3705.29</v>
      </c>
      <c r="M25" s="241">
        <v>4387.79</v>
      </c>
      <c r="N25" s="71"/>
      <c r="O25" s="100"/>
      <c r="P25" s="9"/>
      <c r="Q25" s="9">
        <v>0</v>
      </c>
      <c r="R25" s="9"/>
      <c r="S25" s="152"/>
      <c r="T25" s="10"/>
      <c r="U25" s="23"/>
      <c r="V25" s="11"/>
      <c r="W25" s="11"/>
      <c r="X25" s="8">
        <v>4387.79</v>
      </c>
      <c r="Y25" s="9"/>
      <c r="Z25" s="70">
        <v>0.21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4387.79</v>
      </c>
      <c r="AN25" s="9"/>
      <c r="AO25" s="9"/>
      <c r="AP25" s="10"/>
      <c r="AQ25" s="25"/>
      <c r="AR25" s="25"/>
      <c r="AS25" s="25"/>
      <c r="AT25" s="10"/>
      <c r="AU25" s="12">
        <v>0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4388</v>
      </c>
      <c r="BF25" s="15">
        <v>4387.79</v>
      </c>
      <c r="BG25" s="15">
        <v>0.21</v>
      </c>
      <c r="BH25" s="15">
        <v>4388</v>
      </c>
      <c r="BI25" s="15">
        <v>4387.79</v>
      </c>
      <c r="BJ25" s="242">
        <v>0</v>
      </c>
      <c r="BK25" s="242">
        <v>0</v>
      </c>
      <c r="BL25" s="242"/>
      <c r="BM25" s="242">
        <v>1</v>
      </c>
      <c r="BN25" s="242">
        <v>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94">
        <v>0.21</v>
      </c>
      <c r="CC25" s="246" t="s">
        <v>634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4387.79</v>
      </c>
      <c r="CK25" s="248">
        <v>4387.79</v>
      </c>
      <c r="CL25" s="248">
        <v>0</v>
      </c>
      <c r="CM25" s="248">
        <v>0</v>
      </c>
    </row>
    <row r="26" spans="1:91" x14ac:dyDescent="0.25">
      <c r="A26" s="231" t="s">
        <v>680</v>
      </c>
      <c r="B26" s="232" t="s">
        <v>681</v>
      </c>
      <c r="C26" s="232" t="s">
        <v>636</v>
      </c>
      <c r="D26" s="233"/>
      <c r="E26" s="234">
        <v>12500</v>
      </c>
      <c r="F26" s="235">
        <v>12500</v>
      </c>
      <c r="G26" s="236"/>
      <c r="H26" s="237"/>
      <c r="I26" s="238">
        <v>12500</v>
      </c>
      <c r="J26" s="249"/>
      <c r="K26" s="240"/>
      <c r="L26" s="8">
        <v>8457.2900000000009</v>
      </c>
      <c r="M26" s="241">
        <v>9100</v>
      </c>
      <c r="N26" s="71"/>
      <c r="O26" s="100"/>
      <c r="P26" s="9"/>
      <c r="Q26" s="9">
        <v>4043</v>
      </c>
      <c r="R26" s="9"/>
      <c r="S26" s="152">
        <v>46174</v>
      </c>
      <c r="T26" s="10"/>
      <c r="U26" s="23"/>
      <c r="V26" s="11"/>
      <c r="W26" s="11"/>
      <c r="X26" s="8">
        <v>5470</v>
      </c>
      <c r="Y26" s="9"/>
      <c r="Z26" s="70">
        <v>2043.74</v>
      </c>
      <c r="AA26" s="71"/>
      <c r="AB26" s="108"/>
      <c r="AC26" s="9">
        <v>2231.37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5470</v>
      </c>
      <c r="AN26" s="9"/>
      <c r="AO26" s="9"/>
      <c r="AP26" s="10"/>
      <c r="AQ26" s="25"/>
      <c r="AR26" s="25"/>
      <c r="AS26" s="25"/>
      <c r="AT26" s="10"/>
      <c r="AU26" s="12">
        <v>0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12500</v>
      </c>
      <c r="BF26" s="15">
        <v>9100</v>
      </c>
      <c r="BG26" s="15">
        <v>2043.74</v>
      </c>
      <c r="BH26" s="15">
        <v>12500</v>
      </c>
      <c r="BI26" s="15">
        <v>9100</v>
      </c>
      <c r="BJ26" s="242">
        <v>0</v>
      </c>
      <c r="BK26" s="242">
        <v>2231.37</v>
      </c>
      <c r="BL26" s="242"/>
      <c r="BM26" s="242">
        <v>1</v>
      </c>
      <c r="BN26" s="242">
        <v>4043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94">
        <v>2043.74</v>
      </c>
      <c r="CC26" s="246" t="s">
        <v>634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5470</v>
      </c>
      <c r="CK26" s="248">
        <v>5470</v>
      </c>
      <c r="CL26" s="248">
        <v>0</v>
      </c>
      <c r="CM26" s="248">
        <v>0</v>
      </c>
    </row>
    <row r="27" spans="1:91" x14ac:dyDescent="0.25">
      <c r="A27" s="231" t="s">
        <v>682</v>
      </c>
      <c r="B27" s="232" t="s">
        <v>683</v>
      </c>
      <c r="C27" s="232" t="s">
        <v>636</v>
      </c>
      <c r="D27" s="233"/>
      <c r="E27" s="234">
        <v>45295</v>
      </c>
      <c r="F27" s="235">
        <v>45295</v>
      </c>
      <c r="G27" s="236"/>
      <c r="H27" s="237"/>
      <c r="I27" s="238">
        <v>45295</v>
      </c>
      <c r="J27" s="239"/>
      <c r="K27" s="240"/>
      <c r="L27" s="8">
        <v>34227.279999999999</v>
      </c>
      <c r="M27" s="241">
        <v>34263</v>
      </c>
      <c r="N27" s="71"/>
      <c r="O27" s="100"/>
      <c r="P27" s="9"/>
      <c r="Q27" s="9">
        <v>11044</v>
      </c>
      <c r="R27" s="9"/>
      <c r="S27" s="152">
        <v>46174</v>
      </c>
      <c r="T27" s="10"/>
      <c r="U27" s="23"/>
      <c r="V27" s="11"/>
      <c r="W27" s="11"/>
      <c r="X27" s="8">
        <v>8470.48</v>
      </c>
      <c r="Y27" s="9"/>
      <c r="Z27" s="70">
        <v>2727.32</v>
      </c>
      <c r="AA27" s="71"/>
      <c r="AB27" s="108"/>
      <c r="AC27" s="9">
        <v>0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8470.48</v>
      </c>
      <c r="AN27" s="9"/>
      <c r="AO27" s="9"/>
      <c r="AP27" s="10"/>
      <c r="AQ27" s="25"/>
      <c r="AR27" s="25"/>
      <c r="AS27" s="25"/>
      <c r="AT27" s="10"/>
      <c r="AU27" s="12">
        <v>0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45295</v>
      </c>
      <c r="BF27" s="15">
        <v>34263</v>
      </c>
      <c r="BG27" s="15">
        <v>2727.32</v>
      </c>
      <c r="BH27" s="15">
        <v>45295</v>
      </c>
      <c r="BI27" s="15">
        <v>34263</v>
      </c>
      <c r="BJ27" s="242">
        <v>0</v>
      </c>
      <c r="BK27" s="242">
        <v>0</v>
      </c>
      <c r="BL27" s="242"/>
      <c r="BM27" s="242">
        <v>1</v>
      </c>
      <c r="BN27" s="242">
        <v>11044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94">
        <v>2727.32</v>
      </c>
      <c r="CC27" s="246" t="s">
        <v>634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8470.48</v>
      </c>
      <c r="CK27" s="248">
        <v>8470.48</v>
      </c>
      <c r="CL27" s="248">
        <v>0</v>
      </c>
      <c r="CM27" s="248">
        <v>0</v>
      </c>
    </row>
    <row r="28" spans="1:91" x14ac:dyDescent="0.25">
      <c r="A28" s="231" t="s">
        <v>684</v>
      </c>
      <c r="B28" s="232" t="s">
        <v>685</v>
      </c>
      <c r="C28" s="232" t="s">
        <v>636</v>
      </c>
      <c r="D28" s="233"/>
      <c r="E28" s="234">
        <v>4424.5</v>
      </c>
      <c r="F28" s="235">
        <v>4424.5</v>
      </c>
      <c r="G28" s="236"/>
      <c r="H28" s="237"/>
      <c r="I28" s="238">
        <v>4424.5</v>
      </c>
      <c r="J28" s="239"/>
      <c r="K28" s="240"/>
      <c r="L28" s="8">
        <v>0</v>
      </c>
      <c r="M28" s="241">
        <v>0</v>
      </c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>
        <v>0</v>
      </c>
      <c r="Y28" s="9"/>
      <c r="Z28" s="70">
        <v>0</v>
      </c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0</v>
      </c>
      <c r="AN28" s="9"/>
      <c r="AO28" s="9"/>
      <c r="AP28" s="10"/>
      <c r="AQ28" s="25"/>
      <c r="AR28" s="25"/>
      <c r="AS28" s="25"/>
      <c r="AT28" s="10"/>
      <c r="AU28" s="12">
        <v>0</v>
      </c>
      <c r="AV28" s="12"/>
      <c r="AW28" s="12"/>
      <c r="AX28" s="242"/>
      <c r="AY28" s="243"/>
      <c r="AZ28" s="242"/>
      <c r="BA28" s="242"/>
      <c r="BB28" s="244"/>
      <c r="BC28" s="243"/>
      <c r="BD28" s="243"/>
      <c r="BE28" s="242">
        <v>0</v>
      </c>
      <c r="BF28" s="242">
        <v>0</v>
      </c>
      <c r="BG28" s="242">
        <v>0</v>
      </c>
      <c r="BH28" s="242">
        <v>0</v>
      </c>
      <c r="BI28" s="242">
        <v>0</v>
      </c>
      <c r="BJ28" s="242">
        <v>0</v>
      </c>
      <c r="BK28" s="242">
        <v>0</v>
      </c>
      <c r="BL28" s="242"/>
      <c r="BM28" s="242">
        <v>1</v>
      </c>
      <c r="BN28" s="242">
        <v>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0</v>
      </c>
      <c r="CK28" s="248">
        <v>0</v>
      </c>
      <c r="CL28" s="248">
        <v>0</v>
      </c>
      <c r="CM28" s="248">
        <v>0</v>
      </c>
    </row>
    <row r="29" spans="1:91" x14ac:dyDescent="0.25">
      <c r="A29" s="231" t="s">
        <v>686</v>
      </c>
      <c r="B29" s="232" t="s">
        <v>687</v>
      </c>
      <c r="C29" s="232" t="s">
        <v>636</v>
      </c>
      <c r="D29" s="233"/>
      <c r="E29" s="234">
        <v>1262500</v>
      </c>
      <c r="F29" s="235">
        <v>1371135</v>
      </c>
      <c r="G29" s="236"/>
      <c r="H29" s="237"/>
      <c r="I29" s="238">
        <v>1262500</v>
      </c>
      <c r="J29" s="239"/>
      <c r="K29" s="240"/>
      <c r="L29" s="8">
        <v>968682.13</v>
      </c>
      <c r="M29" s="241">
        <v>969942</v>
      </c>
      <c r="N29" s="71"/>
      <c r="O29" s="100"/>
      <c r="P29" s="9"/>
      <c r="Q29" s="9">
        <v>296529</v>
      </c>
      <c r="R29" s="9"/>
      <c r="S29" s="152">
        <v>46539</v>
      </c>
      <c r="T29" s="10"/>
      <c r="U29" s="23"/>
      <c r="V29" s="11"/>
      <c r="W29" s="11"/>
      <c r="X29" s="8">
        <v>32805.800000000003</v>
      </c>
      <c r="Y29" s="9"/>
      <c r="Z29" s="70">
        <v>0</v>
      </c>
      <c r="AA29" s="71"/>
      <c r="AB29" s="108"/>
      <c r="AC29" s="9">
        <v>0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32805.800000000003</v>
      </c>
      <c r="AN29" s="9"/>
      <c r="AO29" s="9"/>
      <c r="AP29" s="10"/>
      <c r="AQ29" s="25"/>
      <c r="AR29" s="25"/>
      <c r="AS29" s="25"/>
      <c r="AT29" s="10"/>
      <c r="AU29" s="12">
        <v>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1262500</v>
      </c>
      <c r="BF29" s="15">
        <v>969942</v>
      </c>
      <c r="BG29" s="242">
        <v>0</v>
      </c>
      <c r="BH29" s="15">
        <v>1262500</v>
      </c>
      <c r="BI29" s="15">
        <v>969942</v>
      </c>
      <c r="BJ29" s="242">
        <v>0</v>
      </c>
      <c r="BK29" s="242">
        <v>0</v>
      </c>
      <c r="BL29" s="242"/>
      <c r="BM29" s="242">
        <v>1</v>
      </c>
      <c r="BN29" s="242">
        <v>296529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 t="s">
        <v>634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32805.800000000003</v>
      </c>
      <c r="CK29" s="248">
        <v>32805.800000000003</v>
      </c>
      <c r="CL29" s="248">
        <v>0</v>
      </c>
      <c r="CM29" s="248">
        <v>0</v>
      </c>
    </row>
    <row r="30" spans="1:91" x14ac:dyDescent="0.25">
      <c r="A30" s="231" t="s">
        <v>688</v>
      </c>
      <c r="B30" s="232" t="s">
        <v>689</v>
      </c>
      <c r="C30" s="232" t="s">
        <v>636</v>
      </c>
      <c r="D30" s="233"/>
      <c r="E30" s="234">
        <v>199300</v>
      </c>
      <c r="F30" s="235">
        <v>199300</v>
      </c>
      <c r="G30" s="236"/>
      <c r="H30" s="237"/>
      <c r="I30" s="238">
        <v>199300</v>
      </c>
      <c r="J30" s="239"/>
      <c r="K30" s="240"/>
      <c r="L30" s="8">
        <v>468</v>
      </c>
      <c r="M30" s="241">
        <v>111831</v>
      </c>
      <c r="N30" s="71"/>
      <c r="O30" s="100"/>
      <c r="P30" s="9"/>
      <c r="Q30" s="9"/>
      <c r="R30" s="9"/>
      <c r="S30" s="152">
        <v>46357</v>
      </c>
      <c r="T30" s="10"/>
      <c r="U30" s="23"/>
      <c r="V30" s="11"/>
      <c r="W30" s="11"/>
      <c r="X30" s="8">
        <v>468</v>
      </c>
      <c r="Y30" s="9"/>
      <c r="Z30" s="70">
        <v>0</v>
      </c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468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199300</v>
      </c>
      <c r="BF30" s="15">
        <v>111831</v>
      </c>
      <c r="BG30" s="242">
        <v>0</v>
      </c>
      <c r="BH30" s="15">
        <v>199300</v>
      </c>
      <c r="BI30" s="15">
        <v>111831</v>
      </c>
      <c r="BJ30" s="242">
        <v>0</v>
      </c>
      <c r="BK30" s="242">
        <v>0</v>
      </c>
      <c r="BL30" s="242"/>
      <c r="BM30" s="242">
        <v>1</v>
      </c>
      <c r="BN30" s="242">
        <v>0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 t="s">
        <v>634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468</v>
      </c>
      <c r="CK30" s="248">
        <v>468</v>
      </c>
      <c r="CL30" s="248">
        <v>0</v>
      </c>
      <c r="CM30" s="248">
        <v>0</v>
      </c>
    </row>
    <row r="31" spans="1:91" x14ac:dyDescent="0.25">
      <c r="A31" s="231" t="s">
        <v>690</v>
      </c>
      <c r="B31" s="232" t="s">
        <v>691</v>
      </c>
      <c r="C31" s="232" t="s">
        <v>636</v>
      </c>
      <c r="D31" s="233"/>
      <c r="E31" s="234">
        <v>43850</v>
      </c>
      <c r="F31" s="235">
        <v>43850</v>
      </c>
      <c r="G31" s="236"/>
      <c r="H31" s="237"/>
      <c r="I31" s="238">
        <v>43850</v>
      </c>
      <c r="J31" s="239"/>
      <c r="K31" s="240"/>
      <c r="L31" s="8">
        <v>31194.38</v>
      </c>
      <c r="M31" s="241">
        <v>31661</v>
      </c>
      <c r="N31" s="71"/>
      <c r="O31" s="100"/>
      <c r="P31" s="9"/>
      <c r="Q31" s="9">
        <v>12970</v>
      </c>
      <c r="R31" s="9"/>
      <c r="S31" s="152">
        <v>46082</v>
      </c>
      <c r="T31" s="10"/>
      <c r="U31" s="23"/>
      <c r="V31" s="11"/>
      <c r="W31" s="11"/>
      <c r="X31" s="8">
        <v>4266.53</v>
      </c>
      <c r="Y31" s="9"/>
      <c r="Z31" s="70">
        <v>0</v>
      </c>
      <c r="AA31" s="71"/>
      <c r="AB31" s="108"/>
      <c r="AC31" s="9">
        <v>0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4266.53</v>
      </c>
      <c r="AN31" s="9"/>
      <c r="AO31" s="9"/>
      <c r="AP31" s="10"/>
      <c r="AQ31" s="25"/>
      <c r="AR31" s="25"/>
      <c r="AS31" s="25"/>
      <c r="AT31" s="10"/>
      <c r="AU31" s="12">
        <v>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43850</v>
      </c>
      <c r="BF31" s="15">
        <v>31661</v>
      </c>
      <c r="BG31" s="242">
        <v>0</v>
      </c>
      <c r="BH31" s="15">
        <v>43850</v>
      </c>
      <c r="BI31" s="15">
        <v>31661</v>
      </c>
      <c r="BJ31" s="242">
        <v>0</v>
      </c>
      <c r="BK31" s="242">
        <v>0</v>
      </c>
      <c r="BL31" s="242"/>
      <c r="BM31" s="242">
        <v>1</v>
      </c>
      <c r="BN31" s="242">
        <v>12970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 t="s">
        <v>634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4266.53</v>
      </c>
      <c r="CK31" s="248">
        <v>4266.53</v>
      </c>
      <c r="CL31" s="248">
        <v>0</v>
      </c>
      <c r="CM31" s="248">
        <v>0</v>
      </c>
    </row>
    <row r="32" spans="1:91" x14ac:dyDescent="0.25">
      <c r="A32" s="231" t="s">
        <v>692</v>
      </c>
      <c r="B32" s="232" t="s">
        <v>693</v>
      </c>
      <c r="C32" s="232" t="s">
        <v>636</v>
      </c>
      <c r="D32" s="233"/>
      <c r="E32" s="234">
        <v>38600</v>
      </c>
      <c r="F32" s="235">
        <v>38600</v>
      </c>
      <c r="G32" s="236"/>
      <c r="H32" s="237"/>
      <c r="I32" s="238">
        <v>38600</v>
      </c>
      <c r="J32" s="239"/>
      <c r="K32" s="240"/>
      <c r="L32" s="8">
        <v>23400.93</v>
      </c>
      <c r="M32" s="241">
        <v>24067</v>
      </c>
      <c r="N32" s="71"/>
      <c r="O32" s="100"/>
      <c r="P32" s="9"/>
      <c r="Q32" s="9"/>
      <c r="R32" s="9"/>
      <c r="S32" s="152">
        <v>46447</v>
      </c>
      <c r="T32" s="10"/>
      <c r="U32" s="23"/>
      <c r="V32" s="11"/>
      <c r="W32" s="11"/>
      <c r="X32" s="8">
        <v>174.17</v>
      </c>
      <c r="Y32" s="9"/>
      <c r="Z32" s="70">
        <v>0</v>
      </c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174.17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38600</v>
      </c>
      <c r="BF32" s="15">
        <v>24067</v>
      </c>
      <c r="BG32" s="242">
        <v>0</v>
      </c>
      <c r="BH32" s="15">
        <v>38600</v>
      </c>
      <c r="BI32" s="15">
        <v>24067</v>
      </c>
      <c r="BJ32" s="242">
        <v>0</v>
      </c>
      <c r="BK32" s="242">
        <v>0</v>
      </c>
      <c r="BL32" s="242"/>
      <c r="BM32" s="242">
        <v>1</v>
      </c>
      <c r="BN32" s="242">
        <v>0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 t="s">
        <v>634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174.17</v>
      </c>
      <c r="CK32" s="248">
        <v>174.17</v>
      </c>
      <c r="CL32" s="248">
        <v>0</v>
      </c>
      <c r="CM32" s="248">
        <v>0</v>
      </c>
    </row>
    <row r="33" spans="1:91" x14ac:dyDescent="0.25">
      <c r="A33" s="231" t="s">
        <v>694</v>
      </c>
      <c r="B33" s="232" t="s">
        <v>695</v>
      </c>
      <c r="C33" s="232" t="s">
        <v>636</v>
      </c>
      <c r="D33" s="233"/>
      <c r="E33" s="234">
        <v>9642.5</v>
      </c>
      <c r="F33" s="235">
        <v>9642.5</v>
      </c>
      <c r="G33" s="236"/>
      <c r="H33" s="237"/>
      <c r="I33" s="238">
        <v>2905</v>
      </c>
      <c r="J33" s="239"/>
      <c r="K33" s="240"/>
      <c r="L33" s="8">
        <v>109137.27</v>
      </c>
      <c r="M33" s="241">
        <v>1173.1099999999999</v>
      </c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>
        <v>1173.1099999999999</v>
      </c>
      <c r="Y33" s="9"/>
      <c r="Z33" s="70">
        <v>1731.89</v>
      </c>
      <c r="AA33" s="71"/>
      <c r="AB33" s="108"/>
      <c r="AC33" s="9"/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1173.1099999999999</v>
      </c>
      <c r="AN33" s="9"/>
      <c r="AO33" s="9"/>
      <c r="AP33" s="10"/>
      <c r="AQ33" s="25"/>
      <c r="AR33" s="25"/>
      <c r="AS33" s="25"/>
      <c r="AT33" s="10"/>
      <c r="AU33" s="12">
        <v>1705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2905</v>
      </c>
      <c r="BF33" s="15">
        <v>1173.1099999999999</v>
      </c>
      <c r="BG33" s="15">
        <v>1731.89</v>
      </c>
      <c r="BH33" s="15">
        <v>1705</v>
      </c>
      <c r="BI33" s="15">
        <v>1173.1099999999999</v>
      </c>
      <c r="BJ33" s="242">
        <v>0</v>
      </c>
      <c r="BK33" s="242">
        <v>0</v>
      </c>
      <c r="BL33" s="242"/>
      <c r="BM33" s="242">
        <v>1</v>
      </c>
      <c r="BN33" s="242">
        <v>0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94">
        <v>1731.89</v>
      </c>
      <c r="CC33" s="246" t="s">
        <v>634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1173.1099999999999</v>
      </c>
      <c r="CK33" s="248">
        <v>1173.1099999999999</v>
      </c>
      <c r="CL33" s="248">
        <v>1705</v>
      </c>
      <c r="CM33" s="248">
        <v>0</v>
      </c>
    </row>
    <row r="34" spans="1:91" x14ac:dyDescent="0.25">
      <c r="A34" s="231" t="s">
        <v>696</v>
      </c>
      <c r="B34" s="232" t="s">
        <v>697</v>
      </c>
      <c r="C34" s="232" t="s">
        <v>636</v>
      </c>
      <c r="D34" s="233"/>
      <c r="E34" s="234">
        <v>10000</v>
      </c>
      <c r="F34" s="235">
        <v>10000</v>
      </c>
      <c r="G34" s="236"/>
      <c r="H34" s="237"/>
      <c r="I34" s="238">
        <v>10000</v>
      </c>
      <c r="J34" s="239"/>
      <c r="K34" s="240"/>
      <c r="L34" s="8">
        <v>8193.35</v>
      </c>
      <c r="M34" s="241">
        <v>8186</v>
      </c>
      <c r="N34" s="71"/>
      <c r="O34" s="100"/>
      <c r="P34" s="9"/>
      <c r="Q34" s="9">
        <v>1807</v>
      </c>
      <c r="R34" s="9"/>
      <c r="S34" s="152">
        <v>46174</v>
      </c>
      <c r="T34" s="10"/>
      <c r="U34" s="23"/>
      <c r="V34" s="11"/>
      <c r="W34" s="11"/>
      <c r="X34" s="8">
        <v>973.7</v>
      </c>
      <c r="Y34" s="9"/>
      <c r="Z34" s="70">
        <v>0</v>
      </c>
      <c r="AA34" s="71"/>
      <c r="AB34" s="108"/>
      <c r="AC34" s="9">
        <v>0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973.7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10000</v>
      </c>
      <c r="BF34" s="15">
        <v>8186</v>
      </c>
      <c r="BG34" s="242">
        <v>0</v>
      </c>
      <c r="BH34" s="15">
        <v>10000</v>
      </c>
      <c r="BI34" s="15">
        <v>8186</v>
      </c>
      <c r="BJ34" s="242">
        <v>0</v>
      </c>
      <c r="BK34" s="242">
        <v>0</v>
      </c>
      <c r="BL34" s="242"/>
      <c r="BM34" s="242">
        <v>1</v>
      </c>
      <c r="BN34" s="242">
        <v>1807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 t="s">
        <v>634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973.7</v>
      </c>
      <c r="CK34" s="248">
        <v>973.7</v>
      </c>
      <c r="CL34" s="248">
        <v>0</v>
      </c>
      <c r="CM34" s="248">
        <v>0</v>
      </c>
    </row>
    <row r="35" spans="1:91" x14ac:dyDescent="0.25">
      <c r="A35" s="231" t="s">
        <v>698</v>
      </c>
      <c r="B35" s="232" t="s">
        <v>699</v>
      </c>
      <c r="C35" s="232" t="s">
        <v>636</v>
      </c>
      <c r="D35" s="233"/>
      <c r="E35" s="234">
        <v>643280</v>
      </c>
      <c r="F35" s="235">
        <v>643280</v>
      </c>
      <c r="G35" s="236"/>
      <c r="H35" s="237"/>
      <c r="I35" s="238">
        <v>643280</v>
      </c>
      <c r="J35" s="239"/>
      <c r="K35" s="240"/>
      <c r="L35" s="8">
        <v>430300.6</v>
      </c>
      <c r="M35" s="241">
        <v>643280</v>
      </c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>
        <v>5483.41</v>
      </c>
      <c r="Y35" s="9"/>
      <c r="Z35" s="70">
        <v>0</v>
      </c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5483.41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643280</v>
      </c>
      <c r="BF35" s="15">
        <v>643280</v>
      </c>
      <c r="BG35" s="242">
        <v>0</v>
      </c>
      <c r="BH35" s="15">
        <v>643280</v>
      </c>
      <c r="BI35" s="15">
        <v>643280</v>
      </c>
      <c r="BJ35" s="242">
        <v>0</v>
      </c>
      <c r="BK35" s="242">
        <v>0</v>
      </c>
      <c r="BL35" s="242"/>
      <c r="BM35" s="242">
        <v>1</v>
      </c>
      <c r="BN35" s="242">
        <v>0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 t="s">
        <v>634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5483.41</v>
      </c>
      <c r="CK35" s="248">
        <v>5483.41</v>
      </c>
      <c r="CL35" s="248">
        <v>0</v>
      </c>
      <c r="CM35" s="248">
        <v>0</v>
      </c>
    </row>
    <row r="36" spans="1:91" x14ac:dyDescent="0.25">
      <c r="A36" s="231" t="s">
        <v>700</v>
      </c>
      <c r="B36" s="232" t="s">
        <v>701</v>
      </c>
      <c r="C36" s="232" t="s">
        <v>636</v>
      </c>
      <c r="D36" s="233"/>
      <c r="E36" s="234">
        <v>50000</v>
      </c>
      <c r="F36" s="235">
        <v>50000</v>
      </c>
      <c r="G36" s="236"/>
      <c r="H36" s="237"/>
      <c r="I36" s="238">
        <v>50000</v>
      </c>
      <c r="J36" s="239"/>
      <c r="K36" s="240"/>
      <c r="L36" s="8">
        <v>0</v>
      </c>
      <c r="M36" s="241">
        <v>0</v>
      </c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>
        <v>0</v>
      </c>
      <c r="Y36" s="9"/>
      <c r="Z36" s="70">
        <v>0</v>
      </c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0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2"/>
      <c r="AY36" s="243"/>
      <c r="AZ36" s="242"/>
      <c r="BA36" s="242"/>
      <c r="BB36" s="244"/>
      <c r="BC36" s="243"/>
      <c r="BD36" s="243"/>
      <c r="BE36" s="242">
        <v>0</v>
      </c>
      <c r="BF36" s="242">
        <v>0</v>
      </c>
      <c r="BG36" s="242">
        <v>0</v>
      </c>
      <c r="BH36" s="242">
        <v>0</v>
      </c>
      <c r="BI36" s="242">
        <v>0</v>
      </c>
      <c r="BJ36" s="242">
        <v>0</v>
      </c>
      <c r="BK36" s="242">
        <v>0</v>
      </c>
      <c r="BL36" s="242"/>
      <c r="BM36" s="242">
        <v>1</v>
      </c>
      <c r="BN36" s="242">
        <v>0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0</v>
      </c>
      <c r="CK36" s="248">
        <v>0</v>
      </c>
      <c r="CL36" s="248">
        <v>0</v>
      </c>
      <c r="CM36" s="248">
        <v>0</v>
      </c>
    </row>
    <row r="37" spans="1:91" x14ac:dyDescent="0.25">
      <c r="A37" s="231" t="s">
        <v>702</v>
      </c>
      <c r="B37" s="232" t="s">
        <v>703</v>
      </c>
      <c r="C37" s="232" t="s">
        <v>636</v>
      </c>
      <c r="D37" s="233"/>
      <c r="E37" s="234">
        <v>10000</v>
      </c>
      <c r="F37" s="235">
        <v>10000</v>
      </c>
      <c r="G37" s="236"/>
      <c r="H37" s="237"/>
      <c r="I37" s="238">
        <v>10000</v>
      </c>
      <c r="J37" s="239"/>
      <c r="K37" s="240"/>
      <c r="L37" s="8">
        <v>0</v>
      </c>
      <c r="M37" s="241">
        <v>0</v>
      </c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>
        <v>0</v>
      </c>
      <c r="Y37" s="9"/>
      <c r="Z37" s="70">
        <v>0</v>
      </c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0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/>
      <c r="BD37" s="243"/>
      <c r="BE37" s="242">
        <v>0</v>
      </c>
      <c r="BF37" s="242">
        <v>0</v>
      </c>
      <c r="BG37" s="242">
        <v>0</v>
      </c>
      <c r="BH37" s="242">
        <v>0</v>
      </c>
      <c r="BI37" s="242">
        <v>0</v>
      </c>
      <c r="BJ37" s="242">
        <v>0</v>
      </c>
      <c r="BK37" s="242">
        <v>0</v>
      </c>
      <c r="BL37" s="242"/>
      <c r="BM37" s="242">
        <v>1</v>
      </c>
      <c r="BN37" s="242">
        <v>0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0</v>
      </c>
      <c r="CK37" s="248">
        <v>0</v>
      </c>
      <c r="CL37" s="248">
        <v>0</v>
      </c>
      <c r="CM37" s="248">
        <v>0</v>
      </c>
    </row>
    <row r="38" spans="1:91" x14ac:dyDescent="0.25">
      <c r="A38" s="231"/>
      <c r="B38" s="120" t="s">
        <v>704</v>
      </c>
      <c r="C38" s="232"/>
      <c r="D38" s="233"/>
      <c r="E38" s="279">
        <f>SUM(E8:E37)</f>
        <v>4956950.38</v>
      </c>
      <c r="F38" s="268">
        <f>SUM(F8:F37)</f>
        <v>5065585.38</v>
      </c>
      <c r="G38" s="236"/>
      <c r="H38" s="237"/>
      <c r="I38" s="280">
        <f>SUM(I8:I37)</f>
        <v>4850049.88</v>
      </c>
      <c r="J38" s="239"/>
      <c r="K38" s="240"/>
      <c r="L38" s="272">
        <f>SUM(L8:L37)</f>
        <v>4507879.8599999994</v>
      </c>
      <c r="M38" s="281">
        <f>SUM(M8:M37)</f>
        <v>3700659.4899999998</v>
      </c>
      <c r="N38" s="71"/>
      <c r="O38" s="100"/>
      <c r="P38" s="270">
        <f>SUM(P8:P37)</f>
        <v>0</v>
      </c>
      <c r="Q38" s="270">
        <f>SUM(Q8:Q37)</f>
        <v>1011731.6599999999</v>
      </c>
      <c r="R38" s="270">
        <f>SUM(R8:R37)</f>
        <v>0</v>
      </c>
      <c r="S38" s="152"/>
      <c r="T38" s="10"/>
      <c r="U38" s="23"/>
      <c r="V38" s="271">
        <f>SUM(V8:V37)</f>
        <v>0</v>
      </c>
      <c r="W38" s="271">
        <f>SUM(W8:W37)</f>
        <v>0</v>
      </c>
      <c r="X38" s="272">
        <f>SUM(X8:X37)</f>
        <v>1605612.52</v>
      </c>
      <c r="Y38" s="270">
        <f>SUM(Y8:Y37)</f>
        <v>0</v>
      </c>
      <c r="Z38" s="282">
        <f>SUM(Z8:Z37)</f>
        <v>530151.61</v>
      </c>
      <c r="AA38" s="71"/>
      <c r="AB38" s="108"/>
      <c r="AC38" s="270">
        <f>SUM(AC8:AC37)</f>
        <v>484856.23000000004</v>
      </c>
      <c r="AD38" s="270">
        <f>SUM(AD8:AD37)</f>
        <v>0</v>
      </c>
      <c r="AE38" s="10"/>
      <c r="AF38" s="24"/>
      <c r="AG38" s="271">
        <f>SUM(AG8:AG37)</f>
        <v>0</v>
      </c>
      <c r="AH38" s="272">
        <f>SUM(AH8:AH37)</f>
        <v>0</v>
      </c>
      <c r="AI38" s="270">
        <f>SUM(AI8:AI37)</f>
        <v>0</v>
      </c>
      <c r="AJ38" s="270">
        <f>SUM(AJ8:AJ37)</f>
        <v>0</v>
      </c>
      <c r="AK38" s="10"/>
      <c r="AL38" s="271">
        <f>SUM(AL8:AL37)</f>
        <v>0</v>
      </c>
      <c r="AM38" s="272">
        <f>SUM(AM8:AM37)</f>
        <v>1605612.52</v>
      </c>
      <c r="AN38" s="270">
        <f>SUM(AN8:AN37)</f>
        <v>0</v>
      </c>
      <c r="AO38" s="270">
        <f>SUM(AO8:AO37)</f>
        <v>0</v>
      </c>
      <c r="AP38" s="10"/>
      <c r="AQ38" s="283">
        <f>SUM(AQ8:AQ37)</f>
        <v>0</v>
      </c>
      <c r="AR38" s="283">
        <f>SUM(AR8:AR37)</f>
        <v>0</v>
      </c>
      <c r="AS38" s="283">
        <f>SUM(AS8:AS37)</f>
        <v>0</v>
      </c>
      <c r="AT38" s="10"/>
      <c r="AU38" s="284">
        <f>SUM(AU8:AU37)</f>
        <v>1338822.3799999999</v>
      </c>
      <c r="AV38" s="284">
        <f>SUM(AV8:AV37)</f>
        <v>0</v>
      </c>
      <c r="AW38" s="284">
        <f>SUM(AW8:AW37)</f>
        <v>0</v>
      </c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120" t="s">
        <v>632</v>
      </c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 t="s">
        <v>705</v>
      </c>
      <c r="B41" s="232" t="s">
        <v>646</v>
      </c>
      <c r="C41" s="232" t="s">
        <v>636</v>
      </c>
      <c r="D41" s="233"/>
      <c r="E41" s="234">
        <v>0</v>
      </c>
      <c r="F41" s="235">
        <v>0</v>
      </c>
      <c r="G41" s="236"/>
      <c r="H41" s="237"/>
      <c r="I41" s="238">
        <v>13839.94</v>
      </c>
      <c r="J41" s="239"/>
      <c r="K41" s="240"/>
      <c r="L41" s="8">
        <v>17776.830000000002</v>
      </c>
      <c r="M41" s="241">
        <v>13839.94</v>
      </c>
      <c r="N41" s="71"/>
      <c r="O41" s="100"/>
      <c r="P41" s="9"/>
      <c r="Q41" s="9">
        <v>0</v>
      </c>
      <c r="R41" s="9"/>
      <c r="S41" s="152">
        <v>46082</v>
      </c>
      <c r="T41" s="10"/>
      <c r="U41" s="23"/>
      <c r="V41" s="11"/>
      <c r="W41" s="11"/>
      <c r="X41" s="8">
        <v>13839.94</v>
      </c>
      <c r="Y41" s="9"/>
      <c r="Z41" s="70">
        <v>0</v>
      </c>
      <c r="AA41" s="71"/>
      <c r="AB41" s="108"/>
      <c r="AC41" s="9">
        <v>0</v>
      </c>
      <c r="AD41" s="9"/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/>
      <c r="AM41" s="8">
        <v>13839.94</v>
      </c>
      <c r="AN41" s="9"/>
      <c r="AO41" s="9"/>
      <c r="AP41" s="10"/>
      <c r="AQ41" s="25"/>
      <c r="AR41" s="25"/>
      <c r="AS41" s="25"/>
      <c r="AT41" s="10"/>
      <c r="AU41" s="12">
        <v>13839.94</v>
      </c>
      <c r="AV41" s="12"/>
      <c r="AW41" s="12"/>
      <c r="AX41" s="242"/>
      <c r="AY41" s="243"/>
      <c r="AZ41" s="242"/>
      <c r="BA41" s="242"/>
      <c r="BB41" s="244"/>
      <c r="BC41" s="243" t="s">
        <v>630</v>
      </c>
      <c r="BD41" s="243" t="s">
        <v>630</v>
      </c>
      <c r="BE41" s="15">
        <v>13839.94</v>
      </c>
      <c r="BF41" s="15">
        <v>13839.94</v>
      </c>
      <c r="BG41" s="242">
        <v>0</v>
      </c>
      <c r="BH41" s="15">
        <v>13839.94</v>
      </c>
      <c r="BI41" s="15">
        <v>13839.94</v>
      </c>
      <c r="BJ41" s="242">
        <v>0</v>
      </c>
      <c r="BK41" s="242">
        <v>0</v>
      </c>
      <c r="BL41" s="242"/>
      <c r="BM41" s="242">
        <v>2</v>
      </c>
      <c r="BN41" s="242">
        <v>0</v>
      </c>
      <c r="BO41" s="242">
        <v>0</v>
      </c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 t="s">
        <v>634</v>
      </c>
      <c r="CD41" s="242">
        <v>0</v>
      </c>
      <c r="CE41" s="242">
        <v>0</v>
      </c>
      <c r="CF41" s="242">
        <v>0</v>
      </c>
      <c r="CG41" s="242">
        <v>0</v>
      </c>
      <c r="CH41" s="242">
        <v>0</v>
      </c>
      <c r="CI41" s="247" t="s">
        <v>633</v>
      </c>
      <c r="CJ41" s="248">
        <v>13839.94</v>
      </c>
      <c r="CK41" s="248">
        <v>13839.94</v>
      </c>
      <c r="CL41" s="248">
        <v>13839.94</v>
      </c>
      <c r="CM41" s="248">
        <v>0</v>
      </c>
    </row>
    <row r="42" spans="1:91" x14ac:dyDescent="0.25">
      <c r="A42" s="231" t="s">
        <v>706</v>
      </c>
      <c r="B42" s="232" t="s">
        <v>647</v>
      </c>
      <c r="C42" s="232" t="s">
        <v>636</v>
      </c>
      <c r="D42" s="233"/>
      <c r="E42" s="234">
        <v>0</v>
      </c>
      <c r="F42" s="235">
        <v>0</v>
      </c>
      <c r="G42" s="236"/>
      <c r="H42" s="237"/>
      <c r="I42" s="238">
        <v>0</v>
      </c>
      <c r="J42" s="239"/>
      <c r="K42" s="240"/>
      <c r="L42" s="8">
        <v>0</v>
      </c>
      <c r="M42" s="241">
        <v>0</v>
      </c>
      <c r="N42" s="71"/>
      <c r="O42" s="100"/>
      <c r="P42" s="9"/>
      <c r="Q42" s="9"/>
      <c r="R42" s="9"/>
      <c r="S42" s="152">
        <v>45821</v>
      </c>
      <c r="T42" s="10"/>
      <c r="U42" s="23"/>
      <c r="V42" s="11"/>
      <c r="W42" s="11"/>
      <c r="X42" s="8">
        <v>0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0</v>
      </c>
      <c r="AV42" s="12"/>
      <c r="AW42" s="12"/>
      <c r="AX42" s="242"/>
      <c r="AY42" s="243"/>
      <c r="AZ42" s="242"/>
      <c r="BA42" s="242"/>
      <c r="BB42" s="244"/>
      <c r="BC42" s="243"/>
      <c r="BD42" s="243"/>
      <c r="BE42" s="242">
        <v>0</v>
      </c>
      <c r="BF42" s="242">
        <v>0</v>
      </c>
      <c r="BG42" s="242">
        <v>0</v>
      </c>
      <c r="BH42" s="242">
        <v>0</v>
      </c>
      <c r="BI42" s="242">
        <v>0</v>
      </c>
      <c r="BJ42" s="242">
        <v>0</v>
      </c>
      <c r="BK42" s="242">
        <v>0</v>
      </c>
      <c r="BL42" s="242"/>
      <c r="BM42" s="242">
        <v>2</v>
      </c>
      <c r="BN42" s="242">
        <v>0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>
        <v>0</v>
      </c>
      <c r="CE42" s="242">
        <v>0</v>
      </c>
      <c r="CF42" s="242">
        <v>0</v>
      </c>
      <c r="CG42" s="242">
        <v>0</v>
      </c>
      <c r="CH42" s="242">
        <v>0</v>
      </c>
      <c r="CI42" s="247" t="s">
        <v>633</v>
      </c>
      <c r="CJ42" s="248">
        <v>0</v>
      </c>
      <c r="CK42" s="248">
        <v>0</v>
      </c>
      <c r="CL42" s="248">
        <v>0</v>
      </c>
      <c r="CM42" s="248">
        <v>0</v>
      </c>
    </row>
    <row r="43" spans="1:91" x14ac:dyDescent="0.25">
      <c r="A43" s="231" t="s">
        <v>707</v>
      </c>
      <c r="B43" s="232" t="s">
        <v>649</v>
      </c>
      <c r="C43" s="232" t="s">
        <v>636</v>
      </c>
      <c r="D43" s="233"/>
      <c r="E43" s="234">
        <v>0</v>
      </c>
      <c r="F43" s="235">
        <v>0</v>
      </c>
      <c r="G43" s="236"/>
      <c r="H43" s="237"/>
      <c r="I43" s="238">
        <v>0</v>
      </c>
      <c r="J43" s="239"/>
      <c r="K43" s="240"/>
      <c r="L43" s="8">
        <v>0</v>
      </c>
      <c r="M43" s="241">
        <v>0</v>
      </c>
      <c r="N43" s="71"/>
      <c r="O43" s="100"/>
      <c r="P43" s="9"/>
      <c r="Q43" s="9"/>
      <c r="R43" s="9"/>
      <c r="S43" s="152">
        <v>45838</v>
      </c>
      <c r="T43" s="10"/>
      <c r="U43" s="23"/>
      <c r="V43" s="11"/>
      <c r="W43" s="11"/>
      <c r="X43" s="8">
        <v>0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0</v>
      </c>
      <c r="AV43" s="12"/>
      <c r="AW43" s="12"/>
      <c r="AX43" s="242"/>
      <c r="AY43" s="243"/>
      <c r="AZ43" s="242"/>
      <c r="BA43" s="242"/>
      <c r="BB43" s="244"/>
      <c r="BC43" s="243"/>
      <c r="BD43" s="243"/>
      <c r="BE43" s="242">
        <v>0</v>
      </c>
      <c r="BF43" s="242">
        <v>0</v>
      </c>
      <c r="BG43" s="242">
        <v>0</v>
      </c>
      <c r="BH43" s="242">
        <v>0</v>
      </c>
      <c r="BI43" s="242">
        <v>0</v>
      </c>
      <c r="BJ43" s="242">
        <v>0</v>
      </c>
      <c r="BK43" s="242">
        <v>0</v>
      </c>
      <c r="BL43" s="242"/>
      <c r="BM43" s="242">
        <v>2</v>
      </c>
      <c r="BN43" s="242">
        <v>0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>
        <v>0</v>
      </c>
      <c r="CE43" s="242">
        <v>0</v>
      </c>
      <c r="CF43" s="242">
        <v>0</v>
      </c>
      <c r="CG43" s="242">
        <v>0</v>
      </c>
      <c r="CH43" s="242">
        <v>0</v>
      </c>
      <c r="CI43" s="247" t="s">
        <v>633</v>
      </c>
      <c r="CJ43" s="248">
        <v>0</v>
      </c>
      <c r="CK43" s="248">
        <v>0</v>
      </c>
      <c r="CL43" s="248">
        <v>0</v>
      </c>
      <c r="CM43" s="248">
        <v>0</v>
      </c>
    </row>
    <row r="44" spans="1:91" x14ac:dyDescent="0.25">
      <c r="A44" s="231" t="s">
        <v>708</v>
      </c>
      <c r="B44" s="232" t="s">
        <v>651</v>
      </c>
      <c r="C44" s="232" t="s">
        <v>636</v>
      </c>
      <c r="D44" s="233"/>
      <c r="E44" s="234">
        <v>253225.17</v>
      </c>
      <c r="F44" s="235">
        <v>253225.17</v>
      </c>
      <c r="G44" s="236"/>
      <c r="H44" s="237"/>
      <c r="I44" s="238">
        <v>253225.17</v>
      </c>
      <c r="J44" s="239"/>
      <c r="K44" s="240"/>
      <c r="L44" s="8">
        <v>142606.63</v>
      </c>
      <c r="M44" s="241">
        <v>31251.11</v>
      </c>
      <c r="N44" s="71"/>
      <c r="O44" s="100"/>
      <c r="P44" s="9"/>
      <c r="Q44" s="9">
        <v>221974.06</v>
      </c>
      <c r="R44" s="9"/>
      <c r="S44" s="152">
        <v>45901</v>
      </c>
      <c r="T44" s="10"/>
      <c r="U44" s="23"/>
      <c r="V44" s="11"/>
      <c r="W44" s="11"/>
      <c r="X44" s="8">
        <v>31251.11</v>
      </c>
      <c r="Y44" s="9"/>
      <c r="Z44" s="70">
        <v>221974.06</v>
      </c>
      <c r="AA44" s="71"/>
      <c r="AB44" s="108"/>
      <c r="AC44" s="9">
        <v>221974.06</v>
      </c>
      <c r="AD44" s="9"/>
      <c r="AE44" s="10"/>
      <c r="AF44" s="24">
        <v>0</v>
      </c>
      <c r="AG44" s="11">
        <v>0</v>
      </c>
      <c r="AH44" s="8">
        <v>0</v>
      </c>
      <c r="AI44" s="9">
        <v>0</v>
      </c>
      <c r="AJ44" s="9">
        <v>0</v>
      </c>
      <c r="AK44" s="10"/>
      <c r="AL44" s="11"/>
      <c r="AM44" s="8">
        <v>31251.11</v>
      </c>
      <c r="AN44" s="9"/>
      <c r="AO44" s="9"/>
      <c r="AP44" s="10"/>
      <c r="AQ44" s="25"/>
      <c r="AR44" s="25"/>
      <c r="AS44" s="25"/>
      <c r="AT44" s="10"/>
      <c r="AU44" s="12">
        <v>253225.17</v>
      </c>
      <c r="AV44" s="12"/>
      <c r="AW44" s="12"/>
      <c r="AX44" s="242"/>
      <c r="AY44" s="243"/>
      <c r="AZ44" s="242"/>
      <c r="BA44" s="242"/>
      <c r="BB44" s="244"/>
      <c r="BC44" s="243" t="s">
        <v>630</v>
      </c>
      <c r="BD44" s="243" t="s">
        <v>630</v>
      </c>
      <c r="BE44" s="15">
        <v>253225.17</v>
      </c>
      <c r="BF44" s="15">
        <v>31251.11</v>
      </c>
      <c r="BG44" s="15">
        <v>221974.06</v>
      </c>
      <c r="BH44" s="15">
        <v>253225.17</v>
      </c>
      <c r="BI44" s="15">
        <v>31251.11</v>
      </c>
      <c r="BJ44" s="242">
        <v>0</v>
      </c>
      <c r="BK44" s="242">
        <v>221974.06</v>
      </c>
      <c r="BL44" s="242"/>
      <c r="BM44" s="242">
        <v>2</v>
      </c>
      <c r="BN44" s="242">
        <v>221974.06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94">
        <v>221974.06</v>
      </c>
      <c r="CC44" s="246" t="s">
        <v>634</v>
      </c>
      <c r="CD44" s="242">
        <v>0</v>
      </c>
      <c r="CE44" s="242">
        <v>0</v>
      </c>
      <c r="CF44" s="242">
        <v>0</v>
      </c>
      <c r="CG44" s="242">
        <v>0</v>
      </c>
      <c r="CH44" s="242">
        <v>0</v>
      </c>
      <c r="CI44" s="247" t="s">
        <v>633</v>
      </c>
      <c r="CJ44" s="248">
        <v>31251.11</v>
      </c>
      <c r="CK44" s="248">
        <v>31251.11</v>
      </c>
      <c r="CL44" s="248">
        <v>253225.17</v>
      </c>
      <c r="CM44" s="248">
        <v>0</v>
      </c>
    </row>
    <row r="45" spans="1:91" x14ac:dyDescent="0.25">
      <c r="A45" s="231" t="s">
        <v>709</v>
      </c>
      <c r="B45" s="251" t="s">
        <v>652</v>
      </c>
      <c r="C45" s="232" t="s">
        <v>636</v>
      </c>
      <c r="D45" s="233"/>
      <c r="E45" s="234">
        <v>14684.23</v>
      </c>
      <c r="F45" s="235">
        <v>14684.23</v>
      </c>
      <c r="G45" s="236"/>
      <c r="H45" s="237"/>
      <c r="I45" s="238">
        <v>14684.23</v>
      </c>
      <c r="J45" s="239"/>
      <c r="K45" s="240"/>
      <c r="L45" s="8">
        <v>5141.49</v>
      </c>
      <c r="M45" s="241">
        <v>14684.23</v>
      </c>
      <c r="N45" s="71"/>
      <c r="O45" s="100"/>
      <c r="P45" s="9"/>
      <c r="Q45" s="9">
        <v>0</v>
      </c>
      <c r="R45" s="9"/>
      <c r="S45" s="152">
        <v>45901</v>
      </c>
      <c r="T45" s="10"/>
      <c r="U45" s="23"/>
      <c r="V45" s="11"/>
      <c r="W45" s="11"/>
      <c r="X45" s="8">
        <v>14684.23</v>
      </c>
      <c r="Y45" s="9"/>
      <c r="Z45" s="70">
        <v>0</v>
      </c>
      <c r="AA45" s="71"/>
      <c r="AB45" s="108"/>
      <c r="AC45" s="9">
        <v>0</v>
      </c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14684.23</v>
      </c>
      <c r="AN45" s="9"/>
      <c r="AO45" s="9"/>
      <c r="AP45" s="10"/>
      <c r="AQ45" s="25"/>
      <c r="AR45" s="25"/>
      <c r="AS45" s="25"/>
      <c r="AT45" s="10"/>
      <c r="AU45" s="12">
        <v>14684.23</v>
      </c>
      <c r="AV45" s="12"/>
      <c r="AW45" s="12"/>
      <c r="AX45" s="242"/>
      <c r="AY45" s="243"/>
      <c r="AZ45" s="242"/>
      <c r="BA45" s="242"/>
      <c r="BB45" s="244"/>
      <c r="BC45" s="243" t="s">
        <v>630</v>
      </c>
      <c r="BD45" s="243" t="s">
        <v>630</v>
      </c>
      <c r="BE45" s="15">
        <v>14684.23</v>
      </c>
      <c r="BF45" s="15">
        <v>14684.23</v>
      </c>
      <c r="BG45" s="242">
        <v>0</v>
      </c>
      <c r="BH45" s="15">
        <v>14684.23</v>
      </c>
      <c r="BI45" s="15">
        <v>14684.23</v>
      </c>
      <c r="BJ45" s="242">
        <v>0</v>
      </c>
      <c r="BK45" s="242">
        <v>0</v>
      </c>
      <c r="BL45" s="242"/>
      <c r="BM45" s="242">
        <v>2</v>
      </c>
      <c r="BN45" s="242">
        <v>0</v>
      </c>
      <c r="BO45" s="242">
        <v>0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 t="s">
        <v>634</v>
      </c>
      <c r="CD45" s="242">
        <v>0</v>
      </c>
      <c r="CE45" s="242">
        <v>0</v>
      </c>
      <c r="CF45" s="242">
        <v>0</v>
      </c>
      <c r="CG45" s="242">
        <v>0</v>
      </c>
      <c r="CH45" s="242">
        <v>0</v>
      </c>
      <c r="CI45" s="247" t="s">
        <v>633</v>
      </c>
      <c r="CJ45" s="248">
        <v>14684.23</v>
      </c>
      <c r="CK45" s="248">
        <v>14684.23</v>
      </c>
      <c r="CL45" s="248">
        <v>14684.23</v>
      </c>
      <c r="CM45" s="248">
        <v>0</v>
      </c>
    </row>
    <row r="46" spans="1:91" x14ac:dyDescent="0.25">
      <c r="A46" s="231" t="s">
        <v>710</v>
      </c>
      <c r="B46" s="251" t="s">
        <v>645</v>
      </c>
      <c r="C46" s="232" t="s">
        <v>636</v>
      </c>
      <c r="D46" s="233"/>
      <c r="E46" s="234">
        <v>14350</v>
      </c>
      <c r="F46" s="235">
        <v>14350</v>
      </c>
      <c r="G46" s="236"/>
      <c r="H46" s="237"/>
      <c r="I46" s="238">
        <v>14350</v>
      </c>
      <c r="J46" s="239"/>
      <c r="K46" s="240"/>
      <c r="L46" s="8">
        <v>6483.51</v>
      </c>
      <c r="M46" s="241">
        <v>6856.13</v>
      </c>
      <c r="N46" s="71"/>
      <c r="O46" s="100"/>
      <c r="P46" s="9"/>
      <c r="Q46" s="9">
        <v>7493.87</v>
      </c>
      <c r="R46" s="9"/>
      <c r="S46" s="152">
        <v>45992</v>
      </c>
      <c r="T46" s="10"/>
      <c r="U46" s="23"/>
      <c r="V46" s="11"/>
      <c r="W46" s="11"/>
      <c r="X46" s="8">
        <v>6856.13</v>
      </c>
      <c r="Y46" s="9"/>
      <c r="Z46" s="70">
        <v>7493.87</v>
      </c>
      <c r="AA46" s="71"/>
      <c r="AB46" s="108"/>
      <c r="AC46" s="9">
        <v>7493.87</v>
      </c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6856.13</v>
      </c>
      <c r="AN46" s="9"/>
      <c r="AO46" s="9"/>
      <c r="AP46" s="10"/>
      <c r="AQ46" s="25"/>
      <c r="AR46" s="25"/>
      <c r="AS46" s="25"/>
      <c r="AT46" s="10"/>
      <c r="AU46" s="12">
        <v>14350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14350</v>
      </c>
      <c r="BF46" s="15">
        <v>6856.13</v>
      </c>
      <c r="BG46" s="15">
        <v>7493.87</v>
      </c>
      <c r="BH46" s="15">
        <v>14350</v>
      </c>
      <c r="BI46" s="15">
        <v>6856.13</v>
      </c>
      <c r="BJ46" s="242">
        <v>0</v>
      </c>
      <c r="BK46" s="242">
        <v>7493.87</v>
      </c>
      <c r="BL46" s="242"/>
      <c r="BM46" s="242">
        <v>2</v>
      </c>
      <c r="BN46" s="242">
        <v>7493.87</v>
      </c>
      <c r="BO46" s="242">
        <v>0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94">
        <v>7493.87</v>
      </c>
      <c r="CC46" s="246" t="s">
        <v>634</v>
      </c>
      <c r="CD46" s="242">
        <v>0</v>
      </c>
      <c r="CE46" s="242">
        <v>0</v>
      </c>
      <c r="CF46" s="242">
        <v>0</v>
      </c>
      <c r="CG46" s="242">
        <v>0</v>
      </c>
      <c r="CH46" s="242">
        <v>0</v>
      </c>
      <c r="CI46" s="247" t="s">
        <v>633</v>
      </c>
      <c r="CJ46" s="248">
        <v>6856.13</v>
      </c>
      <c r="CK46" s="248">
        <v>6856.13</v>
      </c>
      <c r="CL46" s="248">
        <v>14350</v>
      </c>
      <c r="CM46" s="248">
        <v>0</v>
      </c>
    </row>
    <row r="47" spans="1:91" x14ac:dyDescent="0.25">
      <c r="A47" s="231" t="s">
        <v>711</v>
      </c>
      <c r="B47" s="232" t="s">
        <v>712</v>
      </c>
      <c r="C47" s="232" t="s">
        <v>636</v>
      </c>
      <c r="D47" s="233"/>
      <c r="E47" s="234">
        <v>48860</v>
      </c>
      <c r="F47" s="235">
        <v>48860</v>
      </c>
      <c r="G47" s="236"/>
      <c r="H47" s="237"/>
      <c r="I47" s="238">
        <v>48860</v>
      </c>
      <c r="J47" s="239"/>
      <c r="K47" s="240"/>
      <c r="L47" s="8">
        <v>5684</v>
      </c>
      <c r="M47" s="241">
        <v>17053.439999999999</v>
      </c>
      <c r="N47" s="239"/>
      <c r="O47" s="240"/>
      <c r="P47" s="9"/>
      <c r="Q47" s="9">
        <v>31806.560000000001</v>
      </c>
      <c r="R47" s="9"/>
      <c r="S47" s="152">
        <v>45901</v>
      </c>
      <c r="T47" s="10"/>
      <c r="U47" s="23"/>
      <c r="V47" s="11"/>
      <c r="W47" s="11"/>
      <c r="X47" s="8">
        <v>17053.439999999999</v>
      </c>
      <c r="Y47" s="9"/>
      <c r="Z47" s="70">
        <v>31806.560000000001</v>
      </c>
      <c r="AA47" s="71"/>
      <c r="AB47" s="108"/>
      <c r="AC47" s="9">
        <v>31806.560000000001</v>
      </c>
      <c r="AD47" s="9"/>
      <c r="AE47" s="10"/>
      <c r="AF47" s="24">
        <v>0</v>
      </c>
      <c r="AG47" s="11">
        <v>0</v>
      </c>
      <c r="AH47" s="8">
        <v>0</v>
      </c>
      <c r="AI47" s="9">
        <v>0</v>
      </c>
      <c r="AJ47" s="9">
        <v>0</v>
      </c>
      <c r="AK47" s="10"/>
      <c r="AL47" s="11"/>
      <c r="AM47" s="8">
        <v>17053.439999999999</v>
      </c>
      <c r="AN47" s="9"/>
      <c r="AO47" s="9"/>
      <c r="AP47" s="10"/>
      <c r="AQ47" s="25"/>
      <c r="AR47" s="25"/>
      <c r="AS47" s="25"/>
      <c r="AT47" s="10"/>
      <c r="AU47" s="12">
        <v>48860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48860</v>
      </c>
      <c r="BF47" s="15">
        <v>17053.439999999999</v>
      </c>
      <c r="BG47" s="15">
        <v>31806.560000000001</v>
      </c>
      <c r="BH47" s="15">
        <v>48860</v>
      </c>
      <c r="BI47" s="15">
        <v>17053.439999999999</v>
      </c>
      <c r="BJ47" s="242">
        <v>0</v>
      </c>
      <c r="BK47" s="242">
        <v>31806.560000000001</v>
      </c>
      <c r="BL47" s="242"/>
      <c r="BM47" s="242">
        <v>2</v>
      </c>
      <c r="BN47" s="242">
        <v>31806.560000000001</v>
      </c>
      <c r="BO47" s="242">
        <v>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94">
        <v>31806.560000000001</v>
      </c>
      <c r="CC47" s="246" t="s">
        <v>634</v>
      </c>
      <c r="CD47" s="242">
        <v>0</v>
      </c>
      <c r="CE47" s="242">
        <v>0</v>
      </c>
      <c r="CF47" s="242">
        <v>0</v>
      </c>
      <c r="CG47" s="242">
        <v>0</v>
      </c>
      <c r="CH47" s="242">
        <v>0</v>
      </c>
      <c r="CI47" s="247" t="s">
        <v>633</v>
      </c>
      <c r="CJ47" s="248">
        <v>17053.439999999999</v>
      </c>
      <c r="CK47" s="248">
        <v>17053.439999999999</v>
      </c>
      <c r="CL47" s="248">
        <v>48860</v>
      </c>
      <c r="CM47" s="248">
        <v>0</v>
      </c>
    </row>
    <row r="48" spans="1:91" x14ac:dyDescent="0.25">
      <c r="A48" s="231" t="s">
        <v>713</v>
      </c>
      <c r="B48" s="232" t="s">
        <v>714</v>
      </c>
      <c r="C48" s="232" t="s">
        <v>636</v>
      </c>
      <c r="D48" s="233"/>
      <c r="E48" s="234">
        <v>45200</v>
      </c>
      <c r="F48" s="235">
        <v>45200</v>
      </c>
      <c r="G48" s="236"/>
      <c r="H48" s="237"/>
      <c r="I48" s="238">
        <v>45200</v>
      </c>
      <c r="J48" s="239"/>
      <c r="K48" s="240"/>
      <c r="L48" s="8">
        <v>35220.720000000001</v>
      </c>
      <c r="M48" s="241">
        <v>35599.269999999997</v>
      </c>
      <c r="N48" s="71"/>
      <c r="O48" s="100"/>
      <c r="P48" s="9"/>
      <c r="Q48" s="9">
        <v>9600.7300000000032</v>
      </c>
      <c r="R48" s="9"/>
      <c r="S48" s="152">
        <v>45992</v>
      </c>
      <c r="T48" s="10"/>
      <c r="U48" s="23"/>
      <c r="V48" s="11"/>
      <c r="W48" s="11"/>
      <c r="X48" s="8">
        <v>35599.269999999997</v>
      </c>
      <c r="Y48" s="9"/>
      <c r="Z48" s="70">
        <v>9600.73</v>
      </c>
      <c r="AA48" s="71"/>
      <c r="AB48" s="108"/>
      <c r="AC48" s="9">
        <v>9600.73</v>
      </c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35599.269999999997</v>
      </c>
      <c r="AN48" s="9"/>
      <c r="AO48" s="9"/>
      <c r="AP48" s="10"/>
      <c r="AQ48" s="25"/>
      <c r="AR48" s="25"/>
      <c r="AS48" s="25"/>
      <c r="AT48" s="10"/>
      <c r="AU48" s="12">
        <v>45200</v>
      </c>
      <c r="AV48" s="12"/>
      <c r="AW48" s="12"/>
      <c r="AX48" s="242"/>
      <c r="AY48" s="243"/>
      <c r="AZ48" s="242"/>
      <c r="BA48" s="242"/>
      <c r="BB48" s="244"/>
      <c r="BC48" s="243" t="s">
        <v>630</v>
      </c>
      <c r="BD48" s="243" t="s">
        <v>630</v>
      </c>
      <c r="BE48" s="15">
        <v>45200</v>
      </c>
      <c r="BF48" s="15">
        <v>35599.269999999997</v>
      </c>
      <c r="BG48" s="15">
        <v>9600.73</v>
      </c>
      <c r="BH48" s="15">
        <v>45200</v>
      </c>
      <c r="BI48" s="15">
        <v>35599.269999999997</v>
      </c>
      <c r="BJ48" s="242">
        <v>0</v>
      </c>
      <c r="BK48" s="242">
        <v>9600.73</v>
      </c>
      <c r="BL48" s="242"/>
      <c r="BM48" s="242">
        <v>2</v>
      </c>
      <c r="BN48" s="242">
        <v>9600.7300000000032</v>
      </c>
      <c r="BO48" s="242">
        <v>0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94">
        <v>9600.73</v>
      </c>
      <c r="CC48" s="246" t="s">
        <v>634</v>
      </c>
      <c r="CD48" s="242">
        <v>0</v>
      </c>
      <c r="CE48" s="242">
        <v>0</v>
      </c>
      <c r="CF48" s="242">
        <v>0</v>
      </c>
      <c r="CG48" s="242">
        <v>0</v>
      </c>
      <c r="CH48" s="242">
        <v>0</v>
      </c>
      <c r="CI48" s="247" t="s">
        <v>633</v>
      </c>
      <c r="CJ48" s="248">
        <v>35599.269999999997</v>
      </c>
      <c r="CK48" s="248">
        <v>35599.269999999997</v>
      </c>
      <c r="CL48" s="248">
        <v>45200</v>
      </c>
      <c r="CM48" s="248">
        <v>0</v>
      </c>
    </row>
    <row r="49" spans="1:91" x14ac:dyDescent="0.25">
      <c r="A49" s="231" t="s">
        <v>715</v>
      </c>
      <c r="B49" s="232" t="s">
        <v>716</v>
      </c>
      <c r="C49" s="232" t="s">
        <v>636</v>
      </c>
      <c r="D49" s="233"/>
      <c r="E49" s="234">
        <v>9960</v>
      </c>
      <c r="F49" s="235">
        <v>9960</v>
      </c>
      <c r="G49" s="236"/>
      <c r="H49" s="237"/>
      <c r="I49" s="238">
        <v>9960</v>
      </c>
      <c r="J49" s="239"/>
      <c r="K49" s="240"/>
      <c r="L49" s="8">
        <v>4596.42</v>
      </c>
      <c r="M49" s="241">
        <v>4596.42</v>
      </c>
      <c r="N49" s="71"/>
      <c r="O49" s="100"/>
      <c r="P49" s="9"/>
      <c r="Q49" s="9">
        <v>5363.58</v>
      </c>
      <c r="R49" s="9"/>
      <c r="S49" s="152">
        <v>45901</v>
      </c>
      <c r="T49" s="10"/>
      <c r="U49" s="23"/>
      <c r="V49" s="11"/>
      <c r="W49" s="11"/>
      <c r="X49" s="8">
        <v>4596.42</v>
      </c>
      <c r="Y49" s="9"/>
      <c r="Z49" s="70">
        <v>5363.58</v>
      </c>
      <c r="AA49" s="71"/>
      <c r="AB49" s="108"/>
      <c r="AC49" s="9">
        <v>5363.58</v>
      </c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4596.42</v>
      </c>
      <c r="AN49" s="9"/>
      <c r="AO49" s="9"/>
      <c r="AP49" s="10"/>
      <c r="AQ49" s="25"/>
      <c r="AR49" s="25"/>
      <c r="AS49" s="25"/>
      <c r="AT49" s="10"/>
      <c r="AU49" s="12">
        <v>9960</v>
      </c>
      <c r="AV49" s="12"/>
      <c r="AW49" s="12"/>
      <c r="AX49" s="242"/>
      <c r="AY49" s="243"/>
      <c r="AZ49" s="242"/>
      <c r="BA49" s="242"/>
      <c r="BB49" s="244"/>
      <c r="BC49" s="243" t="s">
        <v>630</v>
      </c>
      <c r="BD49" s="243" t="s">
        <v>630</v>
      </c>
      <c r="BE49" s="15">
        <v>9960</v>
      </c>
      <c r="BF49" s="15">
        <v>4596.42</v>
      </c>
      <c r="BG49" s="15">
        <v>5363.58</v>
      </c>
      <c r="BH49" s="15">
        <v>9960</v>
      </c>
      <c r="BI49" s="15">
        <v>4596.42</v>
      </c>
      <c r="BJ49" s="242">
        <v>0</v>
      </c>
      <c r="BK49" s="242">
        <v>5363.58</v>
      </c>
      <c r="BL49" s="242"/>
      <c r="BM49" s="242">
        <v>2</v>
      </c>
      <c r="BN49" s="242">
        <v>5363.58</v>
      </c>
      <c r="BO49" s="242">
        <v>0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94">
        <v>5363.58</v>
      </c>
      <c r="CC49" s="246" t="s">
        <v>634</v>
      </c>
      <c r="CD49" s="242">
        <v>0</v>
      </c>
      <c r="CE49" s="242">
        <v>0</v>
      </c>
      <c r="CF49" s="242">
        <v>0</v>
      </c>
      <c r="CG49" s="242">
        <v>0</v>
      </c>
      <c r="CH49" s="242">
        <v>0</v>
      </c>
      <c r="CI49" s="247" t="s">
        <v>633</v>
      </c>
      <c r="CJ49" s="248">
        <v>4596.42</v>
      </c>
      <c r="CK49" s="248">
        <v>4596.42</v>
      </c>
      <c r="CL49" s="248">
        <v>9960</v>
      </c>
      <c r="CM49" s="248">
        <v>0</v>
      </c>
    </row>
    <row r="50" spans="1:91" x14ac:dyDescent="0.25">
      <c r="A50" s="231" t="s">
        <v>717</v>
      </c>
      <c r="B50" s="232" t="s">
        <v>718</v>
      </c>
      <c r="C50" s="232" t="s">
        <v>636</v>
      </c>
      <c r="D50" s="233"/>
      <c r="E50" s="234">
        <v>42902.3</v>
      </c>
      <c r="F50" s="235">
        <v>42902.3</v>
      </c>
      <c r="G50" s="236"/>
      <c r="H50" s="237"/>
      <c r="I50" s="238">
        <v>42902.3</v>
      </c>
      <c r="J50" s="239"/>
      <c r="K50" s="240"/>
      <c r="L50" s="8">
        <v>27279.17</v>
      </c>
      <c r="M50" s="241">
        <v>27279.17</v>
      </c>
      <c r="N50" s="71"/>
      <c r="O50" s="100"/>
      <c r="P50" s="9"/>
      <c r="Q50" s="9">
        <v>15623.130000000005</v>
      </c>
      <c r="R50" s="9"/>
      <c r="S50" s="152">
        <v>45809</v>
      </c>
      <c r="T50" s="10"/>
      <c r="U50" s="23"/>
      <c r="V50" s="11"/>
      <c r="W50" s="11"/>
      <c r="X50" s="8">
        <v>27279.17</v>
      </c>
      <c r="Y50" s="9"/>
      <c r="Z50" s="70">
        <v>15623.13</v>
      </c>
      <c r="AA50" s="71"/>
      <c r="AB50" s="108"/>
      <c r="AC50" s="9">
        <v>15623.13</v>
      </c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27279.17</v>
      </c>
      <c r="AN50" s="9"/>
      <c r="AO50" s="9"/>
      <c r="AP50" s="10"/>
      <c r="AQ50" s="25"/>
      <c r="AR50" s="25"/>
      <c r="AS50" s="25"/>
      <c r="AT50" s="10"/>
      <c r="AU50" s="12">
        <v>42902.3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42902.3</v>
      </c>
      <c r="BF50" s="15">
        <v>27279.17</v>
      </c>
      <c r="BG50" s="15">
        <v>15623.13</v>
      </c>
      <c r="BH50" s="15">
        <v>42902.3</v>
      </c>
      <c r="BI50" s="15">
        <v>27279.17</v>
      </c>
      <c r="BJ50" s="242">
        <v>0</v>
      </c>
      <c r="BK50" s="242">
        <v>15623.13</v>
      </c>
      <c r="BL50" s="242"/>
      <c r="BM50" s="242">
        <v>2</v>
      </c>
      <c r="BN50" s="242">
        <v>15623.130000000005</v>
      </c>
      <c r="BO50" s="242">
        <v>0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94">
        <v>15623.13</v>
      </c>
      <c r="CC50" s="246" t="s">
        <v>634</v>
      </c>
      <c r="CD50" s="242">
        <v>0</v>
      </c>
      <c r="CE50" s="242">
        <v>0</v>
      </c>
      <c r="CF50" s="242">
        <v>0</v>
      </c>
      <c r="CG50" s="242">
        <v>0</v>
      </c>
      <c r="CH50" s="242">
        <v>0</v>
      </c>
      <c r="CI50" s="247" t="s">
        <v>633</v>
      </c>
      <c r="CJ50" s="248">
        <v>27279.17</v>
      </c>
      <c r="CK50" s="248">
        <v>27279.17</v>
      </c>
      <c r="CL50" s="248">
        <v>42902.3</v>
      </c>
      <c r="CM50" s="248">
        <v>0</v>
      </c>
    </row>
    <row r="51" spans="1:91" x14ac:dyDescent="0.25">
      <c r="A51" s="231" t="s">
        <v>719</v>
      </c>
      <c r="B51" s="232" t="s">
        <v>720</v>
      </c>
      <c r="C51" s="232" t="s">
        <v>636</v>
      </c>
      <c r="D51" s="233"/>
      <c r="E51" s="234">
        <v>12725</v>
      </c>
      <c r="F51" s="235">
        <v>12725</v>
      </c>
      <c r="G51" s="236"/>
      <c r="H51" s="237"/>
      <c r="I51" s="238">
        <v>12725</v>
      </c>
      <c r="J51" s="239"/>
      <c r="K51" s="240"/>
      <c r="L51" s="8">
        <v>1203.75</v>
      </c>
      <c r="M51" s="241">
        <v>7099.52</v>
      </c>
      <c r="N51" s="71"/>
      <c r="O51" s="100"/>
      <c r="P51" s="9"/>
      <c r="Q51" s="9">
        <v>5625.48</v>
      </c>
      <c r="R51" s="9"/>
      <c r="S51" s="152">
        <v>45809</v>
      </c>
      <c r="T51" s="10"/>
      <c r="U51" s="23"/>
      <c r="V51" s="11"/>
      <c r="W51" s="11"/>
      <c r="X51" s="8">
        <v>7099.52</v>
      </c>
      <c r="Y51" s="9"/>
      <c r="Z51" s="70">
        <v>5625.48</v>
      </c>
      <c r="AA51" s="71"/>
      <c r="AB51" s="108"/>
      <c r="AC51" s="9">
        <v>5625.48</v>
      </c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7099.52</v>
      </c>
      <c r="AN51" s="9"/>
      <c r="AO51" s="9"/>
      <c r="AP51" s="10"/>
      <c r="AQ51" s="25"/>
      <c r="AR51" s="25"/>
      <c r="AS51" s="25"/>
      <c r="AT51" s="10"/>
      <c r="AU51" s="12">
        <v>12725</v>
      </c>
      <c r="AV51" s="12"/>
      <c r="AW51" s="12"/>
      <c r="AX51" s="242"/>
      <c r="AY51" s="243"/>
      <c r="AZ51" s="242"/>
      <c r="BA51" s="242"/>
      <c r="BB51" s="244"/>
      <c r="BC51" s="243" t="s">
        <v>630</v>
      </c>
      <c r="BD51" s="243" t="s">
        <v>630</v>
      </c>
      <c r="BE51" s="15">
        <v>12725</v>
      </c>
      <c r="BF51" s="15">
        <v>7099.52</v>
      </c>
      <c r="BG51" s="15">
        <v>5625.48</v>
      </c>
      <c r="BH51" s="15">
        <v>12725</v>
      </c>
      <c r="BI51" s="15">
        <v>7099.52</v>
      </c>
      <c r="BJ51" s="242">
        <v>0</v>
      </c>
      <c r="BK51" s="242">
        <v>5625.48</v>
      </c>
      <c r="BL51" s="242"/>
      <c r="BM51" s="242">
        <v>2</v>
      </c>
      <c r="BN51" s="242">
        <v>5625.48</v>
      </c>
      <c r="BO51" s="242">
        <v>0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94">
        <v>5625.48</v>
      </c>
      <c r="CC51" s="246" t="s">
        <v>634</v>
      </c>
      <c r="CD51" s="242">
        <v>0</v>
      </c>
      <c r="CE51" s="242">
        <v>0</v>
      </c>
      <c r="CF51" s="242">
        <v>0</v>
      </c>
      <c r="CG51" s="242">
        <v>0</v>
      </c>
      <c r="CH51" s="242">
        <v>0</v>
      </c>
      <c r="CI51" s="247" t="s">
        <v>633</v>
      </c>
      <c r="CJ51" s="248">
        <v>7099.52</v>
      </c>
      <c r="CK51" s="248">
        <v>7099.52</v>
      </c>
      <c r="CL51" s="248">
        <v>12725</v>
      </c>
      <c r="CM51" s="248">
        <v>0</v>
      </c>
    </row>
    <row r="52" spans="1:91" x14ac:dyDescent="0.25">
      <c r="A52" s="231" t="s">
        <v>721</v>
      </c>
      <c r="B52" s="232" t="s">
        <v>722</v>
      </c>
      <c r="C52" s="232" t="s">
        <v>636</v>
      </c>
      <c r="D52" s="233"/>
      <c r="E52" s="234">
        <v>35100</v>
      </c>
      <c r="F52" s="235">
        <v>35100</v>
      </c>
      <c r="G52" s="236"/>
      <c r="H52" s="237"/>
      <c r="I52" s="238">
        <v>35100</v>
      </c>
      <c r="J52" s="239"/>
      <c r="K52" s="240"/>
      <c r="L52" s="8">
        <v>32205.8</v>
      </c>
      <c r="M52" s="241">
        <v>35720.74</v>
      </c>
      <c r="N52" s="71"/>
      <c r="O52" s="100"/>
      <c r="P52" s="9"/>
      <c r="Q52" s="9">
        <v>-1906</v>
      </c>
      <c r="R52" s="9"/>
      <c r="S52" s="152">
        <v>46082</v>
      </c>
      <c r="T52" s="10"/>
      <c r="U52" s="23"/>
      <c r="V52" s="11"/>
      <c r="W52" s="11"/>
      <c r="X52" s="8">
        <v>35720.74</v>
      </c>
      <c r="Y52" s="9"/>
      <c r="Z52" s="70">
        <v>-620.74</v>
      </c>
      <c r="AA52" s="71"/>
      <c r="AB52" s="108"/>
      <c r="AC52" s="9">
        <v>-1906</v>
      </c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35720.74</v>
      </c>
      <c r="AN52" s="9"/>
      <c r="AO52" s="9"/>
      <c r="AP52" s="10"/>
      <c r="AQ52" s="25"/>
      <c r="AR52" s="25"/>
      <c r="AS52" s="25"/>
      <c r="AT52" s="10"/>
      <c r="AU52" s="12">
        <v>35100</v>
      </c>
      <c r="AV52" s="12"/>
      <c r="AW52" s="12"/>
      <c r="AX52" s="242"/>
      <c r="AY52" s="243"/>
      <c r="AZ52" s="242"/>
      <c r="BA52" s="242"/>
      <c r="BB52" s="244"/>
      <c r="BC52" s="243" t="s">
        <v>630</v>
      </c>
      <c r="BD52" s="243" t="s">
        <v>630</v>
      </c>
      <c r="BE52" s="15">
        <v>35100</v>
      </c>
      <c r="BF52" s="15">
        <v>35720.74</v>
      </c>
      <c r="BG52" s="15">
        <v>-620.74</v>
      </c>
      <c r="BH52" s="15">
        <v>35100</v>
      </c>
      <c r="BI52" s="15">
        <v>35720.74</v>
      </c>
      <c r="BJ52" s="242">
        <v>0</v>
      </c>
      <c r="BK52" s="242">
        <v>-1906</v>
      </c>
      <c r="BL52" s="242"/>
      <c r="BM52" s="242">
        <v>2</v>
      </c>
      <c r="BN52" s="242">
        <v>-1906</v>
      </c>
      <c r="BO52" s="242">
        <v>0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94">
        <v>-620.74</v>
      </c>
      <c r="CC52" s="246" t="s">
        <v>634</v>
      </c>
      <c r="CD52" s="242">
        <v>0</v>
      </c>
      <c r="CE52" s="242">
        <v>0</v>
      </c>
      <c r="CF52" s="242">
        <v>0</v>
      </c>
      <c r="CG52" s="242">
        <v>0</v>
      </c>
      <c r="CH52" s="242">
        <v>0</v>
      </c>
      <c r="CI52" s="247" t="s">
        <v>633</v>
      </c>
      <c r="CJ52" s="248">
        <v>35720.74</v>
      </c>
      <c r="CK52" s="248">
        <v>35720.74</v>
      </c>
      <c r="CL52" s="248">
        <v>35100</v>
      </c>
      <c r="CM52" s="248">
        <v>0</v>
      </c>
    </row>
    <row r="53" spans="1:91" x14ac:dyDescent="0.25">
      <c r="A53" s="231" t="s">
        <v>723</v>
      </c>
      <c r="B53" s="232" t="s">
        <v>724</v>
      </c>
      <c r="C53" s="232" t="s">
        <v>636</v>
      </c>
      <c r="D53" s="233"/>
      <c r="E53" s="234">
        <v>12450</v>
      </c>
      <c r="F53" s="235">
        <v>12450</v>
      </c>
      <c r="G53" s="236"/>
      <c r="H53" s="237"/>
      <c r="I53" s="238">
        <v>12450</v>
      </c>
      <c r="J53" s="239"/>
      <c r="K53" s="240"/>
      <c r="L53" s="8">
        <v>2577.13</v>
      </c>
      <c r="M53" s="241">
        <v>6363.82</v>
      </c>
      <c r="N53" s="71"/>
      <c r="O53" s="100"/>
      <c r="P53" s="9"/>
      <c r="Q53" s="9">
        <v>6086.18</v>
      </c>
      <c r="R53" s="9"/>
      <c r="S53" s="152">
        <v>45901</v>
      </c>
      <c r="T53" s="10"/>
      <c r="U53" s="23"/>
      <c r="V53" s="11"/>
      <c r="W53" s="11"/>
      <c r="X53" s="8">
        <v>6363.82</v>
      </c>
      <c r="Y53" s="9"/>
      <c r="Z53" s="70">
        <v>6086.18</v>
      </c>
      <c r="AA53" s="71"/>
      <c r="AB53" s="108"/>
      <c r="AC53" s="9">
        <v>6086.18</v>
      </c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6363.82</v>
      </c>
      <c r="AN53" s="9"/>
      <c r="AO53" s="9"/>
      <c r="AP53" s="10"/>
      <c r="AQ53" s="25"/>
      <c r="AR53" s="25"/>
      <c r="AS53" s="25"/>
      <c r="AT53" s="10"/>
      <c r="AU53" s="12">
        <v>12450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12450</v>
      </c>
      <c r="BF53" s="15">
        <v>6363.82</v>
      </c>
      <c r="BG53" s="15">
        <v>6086.18</v>
      </c>
      <c r="BH53" s="15">
        <v>12450</v>
      </c>
      <c r="BI53" s="15">
        <v>6363.82</v>
      </c>
      <c r="BJ53" s="242">
        <v>0</v>
      </c>
      <c r="BK53" s="242">
        <v>6086.18</v>
      </c>
      <c r="BL53" s="242"/>
      <c r="BM53" s="242">
        <v>2</v>
      </c>
      <c r="BN53" s="242">
        <v>6086.18</v>
      </c>
      <c r="BO53" s="242">
        <v>0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6086.18</v>
      </c>
      <c r="CC53" s="246" t="s">
        <v>634</v>
      </c>
      <c r="CD53" s="242">
        <v>0</v>
      </c>
      <c r="CE53" s="242">
        <v>0</v>
      </c>
      <c r="CF53" s="242">
        <v>0</v>
      </c>
      <c r="CG53" s="242">
        <v>0</v>
      </c>
      <c r="CH53" s="242">
        <v>0</v>
      </c>
      <c r="CI53" s="247" t="s">
        <v>633</v>
      </c>
      <c r="CJ53" s="248">
        <v>6363.82</v>
      </c>
      <c r="CK53" s="248">
        <v>6363.82</v>
      </c>
      <c r="CL53" s="248">
        <v>12450</v>
      </c>
      <c r="CM53" s="248">
        <v>0</v>
      </c>
    </row>
    <row r="54" spans="1:91" x14ac:dyDescent="0.25">
      <c r="A54" s="231" t="s">
        <v>725</v>
      </c>
      <c r="B54" s="232" t="s">
        <v>726</v>
      </c>
      <c r="C54" s="232" t="s">
        <v>636</v>
      </c>
      <c r="D54" s="233"/>
      <c r="E54" s="234">
        <v>9820</v>
      </c>
      <c r="F54" s="235">
        <v>9820</v>
      </c>
      <c r="G54" s="236"/>
      <c r="H54" s="237"/>
      <c r="I54" s="238">
        <v>9820</v>
      </c>
      <c r="J54" s="239"/>
      <c r="K54" s="240"/>
      <c r="L54" s="8">
        <v>4692.5</v>
      </c>
      <c r="M54" s="241">
        <v>4549.51</v>
      </c>
      <c r="N54" s="71"/>
      <c r="O54" s="100"/>
      <c r="P54" s="9"/>
      <c r="Q54" s="9">
        <v>5154</v>
      </c>
      <c r="R54" s="9"/>
      <c r="S54" s="152">
        <v>46082</v>
      </c>
      <c r="T54" s="10"/>
      <c r="U54" s="23"/>
      <c r="V54" s="11"/>
      <c r="W54" s="11"/>
      <c r="X54" s="8">
        <v>4549.51</v>
      </c>
      <c r="Y54" s="9"/>
      <c r="Z54" s="70">
        <v>5270.49</v>
      </c>
      <c r="AA54" s="71"/>
      <c r="AB54" s="108"/>
      <c r="AC54" s="9">
        <v>4505.33</v>
      </c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4549.51</v>
      </c>
      <c r="AN54" s="9"/>
      <c r="AO54" s="9"/>
      <c r="AP54" s="10"/>
      <c r="AQ54" s="25"/>
      <c r="AR54" s="25"/>
      <c r="AS54" s="25"/>
      <c r="AT54" s="10"/>
      <c r="AU54" s="12">
        <v>9820</v>
      </c>
      <c r="AV54" s="12"/>
      <c r="AW54" s="12"/>
      <c r="AX54" s="242"/>
      <c r="AY54" s="243"/>
      <c r="AZ54" s="242"/>
      <c r="BA54" s="242"/>
      <c r="BB54" s="244"/>
      <c r="BC54" s="243" t="s">
        <v>630</v>
      </c>
      <c r="BD54" s="243" t="s">
        <v>630</v>
      </c>
      <c r="BE54" s="15">
        <v>9820</v>
      </c>
      <c r="BF54" s="15">
        <v>4549.51</v>
      </c>
      <c r="BG54" s="15">
        <v>5270.49</v>
      </c>
      <c r="BH54" s="15">
        <v>9820</v>
      </c>
      <c r="BI54" s="15">
        <v>4549.51</v>
      </c>
      <c r="BJ54" s="242">
        <v>0</v>
      </c>
      <c r="BK54" s="242">
        <v>4505.33</v>
      </c>
      <c r="BL54" s="242"/>
      <c r="BM54" s="242">
        <v>2</v>
      </c>
      <c r="BN54" s="242">
        <v>5154</v>
      </c>
      <c r="BO54" s="242">
        <v>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94">
        <v>5270.49</v>
      </c>
      <c r="CC54" s="246" t="s">
        <v>634</v>
      </c>
      <c r="CD54" s="242">
        <v>0</v>
      </c>
      <c r="CE54" s="242">
        <v>0</v>
      </c>
      <c r="CF54" s="242">
        <v>0</v>
      </c>
      <c r="CG54" s="242">
        <v>0</v>
      </c>
      <c r="CH54" s="242">
        <v>0</v>
      </c>
      <c r="CI54" s="247" t="s">
        <v>633</v>
      </c>
      <c r="CJ54" s="248">
        <v>4549.51</v>
      </c>
      <c r="CK54" s="248">
        <v>4549.51</v>
      </c>
      <c r="CL54" s="248">
        <v>9820</v>
      </c>
      <c r="CM54" s="248">
        <v>0</v>
      </c>
    </row>
    <row r="55" spans="1:91" x14ac:dyDescent="0.25">
      <c r="A55" s="231" t="s">
        <v>727</v>
      </c>
      <c r="B55" s="232" t="s">
        <v>728</v>
      </c>
      <c r="C55" s="232" t="s">
        <v>636</v>
      </c>
      <c r="D55" s="233"/>
      <c r="E55" s="234">
        <v>3663.5</v>
      </c>
      <c r="F55" s="235">
        <v>3663.5</v>
      </c>
      <c r="G55" s="236"/>
      <c r="H55" s="237"/>
      <c r="I55" s="238">
        <v>3663.5</v>
      </c>
      <c r="J55" s="239"/>
      <c r="K55" s="240"/>
      <c r="L55" s="8">
        <v>1025.6199999999999</v>
      </c>
      <c r="M55" s="241">
        <v>1025.6199999999999</v>
      </c>
      <c r="N55" s="71"/>
      <c r="O55" s="100"/>
      <c r="P55" s="9"/>
      <c r="Q55" s="9">
        <v>2637.88</v>
      </c>
      <c r="R55" s="9"/>
      <c r="S55" s="152">
        <v>45930</v>
      </c>
      <c r="T55" s="10"/>
      <c r="U55" s="23"/>
      <c r="V55" s="11"/>
      <c r="W55" s="11"/>
      <c r="X55" s="8">
        <v>1025.6199999999999</v>
      </c>
      <c r="Y55" s="9"/>
      <c r="Z55" s="70">
        <v>2637.88</v>
      </c>
      <c r="AA55" s="71"/>
      <c r="AB55" s="108"/>
      <c r="AC55" s="9">
        <v>2637.88</v>
      </c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1025.6199999999999</v>
      </c>
      <c r="AN55" s="9"/>
      <c r="AO55" s="9"/>
      <c r="AP55" s="10"/>
      <c r="AQ55" s="25"/>
      <c r="AR55" s="25"/>
      <c r="AS55" s="25"/>
      <c r="AT55" s="10"/>
      <c r="AU55" s="12">
        <v>3663.5</v>
      </c>
      <c r="AV55" s="12"/>
      <c r="AW55" s="12"/>
      <c r="AX55" s="242"/>
      <c r="AY55" s="243"/>
      <c r="AZ55" s="242"/>
      <c r="BA55" s="242"/>
      <c r="BB55" s="244"/>
      <c r="BC55" s="243" t="s">
        <v>630</v>
      </c>
      <c r="BD55" s="243" t="s">
        <v>630</v>
      </c>
      <c r="BE55" s="15">
        <v>3663.5</v>
      </c>
      <c r="BF55" s="15">
        <v>1025.6199999999999</v>
      </c>
      <c r="BG55" s="15">
        <v>2637.88</v>
      </c>
      <c r="BH55" s="15">
        <v>3663.5</v>
      </c>
      <c r="BI55" s="15">
        <v>1025.6199999999999</v>
      </c>
      <c r="BJ55" s="242">
        <v>0</v>
      </c>
      <c r="BK55" s="242">
        <v>2637.88</v>
      </c>
      <c r="BL55" s="242"/>
      <c r="BM55" s="242">
        <v>2</v>
      </c>
      <c r="BN55" s="242">
        <v>2637.88</v>
      </c>
      <c r="BO55" s="242">
        <v>0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94">
        <v>2637.88</v>
      </c>
      <c r="CC55" s="246" t="s">
        <v>634</v>
      </c>
      <c r="CD55" s="242">
        <v>0</v>
      </c>
      <c r="CE55" s="242">
        <v>0</v>
      </c>
      <c r="CF55" s="242">
        <v>0</v>
      </c>
      <c r="CG55" s="242">
        <v>0</v>
      </c>
      <c r="CH55" s="242">
        <v>0</v>
      </c>
      <c r="CI55" s="247" t="s">
        <v>633</v>
      </c>
      <c r="CJ55" s="248">
        <v>1025.6199999999999</v>
      </c>
      <c r="CK55" s="248">
        <v>1025.6199999999999</v>
      </c>
      <c r="CL55" s="248">
        <v>3663.5</v>
      </c>
      <c r="CM55" s="248">
        <v>0</v>
      </c>
    </row>
    <row r="56" spans="1:91" x14ac:dyDescent="0.25">
      <c r="A56" s="231" t="s">
        <v>729</v>
      </c>
      <c r="B56" s="232" t="s">
        <v>730</v>
      </c>
      <c r="C56" s="232" t="s">
        <v>636</v>
      </c>
      <c r="D56" s="233"/>
      <c r="E56" s="234">
        <v>7820</v>
      </c>
      <c r="F56" s="235">
        <v>7820</v>
      </c>
      <c r="G56" s="236"/>
      <c r="H56" s="237"/>
      <c r="I56" s="238">
        <v>7820</v>
      </c>
      <c r="J56" s="239"/>
      <c r="K56" s="240"/>
      <c r="L56" s="8">
        <v>4486.97</v>
      </c>
      <c r="M56" s="241">
        <v>4856.91</v>
      </c>
      <c r="N56" s="71"/>
      <c r="O56" s="100"/>
      <c r="P56" s="9"/>
      <c r="Q56" s="9">
        <v>3333</v>
      </c>
      <c r="R56" s="9"/>
      <c r="S56" s="152">
        <v>46082</v>
      </c>
      <c r="T56" s="10"/>
      <c r="U56" s="23"/>
      <c r="V56" s="11"/>
      <c r="W56" s="11"/>
      <c r="X56" s="8">
        <v>4856.91</v>
      </c>
      <c r="Y56" s="9"/>
      <c r="Z56" s="70">
        <v>2963.09</v>
      </c>
      <c r="AA56" s="71"/>
      <c r="AB56" s="108"/>
      <c r="AC56" s="9">
        <v>3298.26</v>
      </c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4856.91</v>
      </c>
      <c r="AN56" s="9"/>
      <c r="AO56" s="9"/>
      <c r="AP56" s="10"/>
      <c r="AQ56" s="25"/>
      <c r="AR56" s="25"/>
      <c r="AS56" s="25"/>
      <c r="AT56" s="10"/>
      <c r="AU56" s="12">
        <v>7820</v>
      </c>
      <c r="AV56" s="12"/>
      <c r="AW56" s="12"/>
      <c r="AX56" s="242"/>
      <c r="AY56" s="243"/>
      <c r="AZ56" s="242"/>
      <c r="BA56" s="242"/>
      <c r="BB56" s="244"/>
      <c r="BC56" s="243" t="s">
        <v>630</v>
      </c>
      <c r="BD56" s="243" t="s">
        <v>630</v>
      </c>
      <c r="BE56" s="15">
        <v>7820</v>
      </c>
      <c r="BF56" s="15">
        <v>4856.91</v>
      </c>
      <c r="BG56" s="15">
        <v>2963.09</v>
      </c>
      <c r="BH56" s="15">
        <v>7820</v>
      </c>
      <c r="BI56" s="15">
        <v>4856.91</v>
      </c>
      <c r="BJ56" s="242">
        <v>0</v>
      </c>
      <c r="BK56" s="242">
        <v>3298.26</v>
      </c>
      <c r="BL56" s="242"/>
      <c r="BM56" s="242">
        <v>2</v>
      </c>
      <c r="BN56" s="242">
        <v>3333</v>
      </c>
      <c r="BO56" s="242">
        <v>0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94">
        <v>2963.09</v>
      </c>
      <c r="CC56" s="246" t="s">
        <v>634</v>
      </c>
      <c r="CD56" s="242">
        <v>0</v>
      </c>
      <c r="CE56" s="242">
        <v>0</v>
      </c>
      <c r="CF56" s="242">
        <v>0</v>
      </c>
      <c r="CG56" s="242">
        <v>0</v>
      </c>
      <c r="CH56" s="242">
        <v>0</v>
      </c>
      <c r="CI56" s="247" t="s">
        <v>633</v>
      </c>
      <c r="CJ56" s="248">
        <v>4856.91</v>
      </c>
      <c r="CK56" s="248">
        <v>4856.91</v>
      </c>
      <c r="CL56" s="248">
        <v>7820</v>
      </c>
      <c r="CM56" s="248">
        <v>0</v>
      </c>
    </row>
    <row r="57" spans="1:91" x14ac:dyDescent="0.25">
      <c r="A57" s="231" t="s">
        <v>731</v>
      </c>
      <c r="B57" s="232" t="s">
        <v>732</v>
      </c>
      <c r="C57" s="232" t="s">
        <v>636</v>
      </c>
      <c r="D57" s="233"/>
      <c r="E57" s="234">
        <v>4250</v>
      </c>
      <c r="F57" s="235">
        <v>4250</v>
      </c>
      <c r="G57" s="236"/>
      <c r="H57" s="237"/>
      <c r="I57" s="238">
        <v>4250</v>
      </c>
      <c r="J57" s="239"/>
      <c r="K57" s="240"/>
      <c r="L57" s="8">
        <v>2100</v>
      </c>
      <c r="M57" s="241">
        <v>2100</v>
      </c>
      <c r="N57" s="71"/>
      <c r="O57" s="100"/>
      <c r="P57" s="9"/>
      <c r="Q57" s="9">
        <v>2150</v>
      </c>
      <c r="R57" s="9"/>
      <c r="S57" s="152">
        <v>45901</v>
      </c>
      <c r="T57" s="10"/>
      <c r="U57" s="23"/>
      <c r="V57" s="11"/>
      <c r="W57" s="11"/>
      <c r="X57" s="8">
        <v>2100</v>
      </c>
      <c r="Y57" s="9"/>
      <c r="Z57" s="70">
        <v>2150</v>
      </c>
      <c r="AA57" s="71"/>
      <c r="AB57" s="108"/>
      <c r="AC57" s="9">
        <v>2150</v>
      </c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2100</v>
      </c>
      <c r="AN57" s="9"/>
      <c r="AO57" s="9"/>
      <c r="AP57" s="10"/>
      <c r="AQ57" s="25"/>
      <c r="AR57" s="25"/>
      <c r="AS57" s="25"/>
      <c r="AT57" s="10"/>
      <c r="AU57" s="12">
        <v>4250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4250</v>
      </c>
      <c r="BF57" s="15">
        <v>2100</v>
      </c>
      <c r="BG57" s="15">
        <v>2150</v>
      </c>
      <c r="BH57" s="15">
        <v>4250</v>
      </c>
      <c r="BI57" s="15">
        <v>2100</v>
      </c>
      <c r="BJ57" s="242">
        <v>0</v>
      </c>
      <c r="BK57" s="242">
        <v>2150</v>
      </c>
      <c r="BL57" s="242"/>
      <c r="BM57" s="242">
        <v>2</v>
      </c>
      <c r="BN57" s="242">
        <v>2150</v>
      </c>
      <c r="BO57" s="242">
        <v>0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2150</v>
      </c>
      <c r="CC57" s="246" t="s">
        <v>634</v>
      </c>
      <c r="CD57" s="242">
        <v>0</v>
      </c>
      <c r="CE57" s="242">
        <v>0</v>
      </c>
      <c r="CF57" s="242">
        <v>0</v>
      </c>
      <c r="CG57" s="242">
        <v>0</v>
      </c>
      <c r="CH57" s="242">
        <v>0</v>
      </c>
      <c r="CI57" s="247" t="s">
        <v>633</v>
      </c>
      <c r="CJ57" s="248">
        <v>2100</v>
      </c>
      <c r="CK57" s="248">
        <v>2100</v>
      </c>
      <c r="CL57" s="248">
        <v>4250</v>
      </c>
      <c r="CM57" s="248">
        <v>0</v>
      </c>
    </row>
    <row r="58" spans="1:91" x14ac:dyDescent="0.25">
      <c r="A58" s="231" t="s">
        <v>733</v>
      </c>
      <c r="B58" s="232" t="s">
        <v>734</v>
      </c>
      <c r="C58" s="232" t="s">
        <v>636</v>
      </c>
      <c r="D58" s="233"/>
      <c r="E58" s="234">
        <v>15315</v>
      </c>
      <c r="F58" s="235">
        <v>15315</v>
      </c>
      <c r="G58" s="236"/>
      <c r="H58" s="237"/>
      <c r="I58" s="238">
        <v>15315</v>
      </c>
      <c r="J58" s="239"/>
      <c r="K58" s="240"/>
      <c r="L58" s="8">
        <v>7205.86</v>
      </c>
      <c r="M58" s="241">
        <v>6524.32</v>
      </c>
      <c r="N58" s="71"/>
      <c r="O58" s="100"/>
      <c r="P58" s="9"/>
      <c r="Q58" s="9">
        <v>7109</v>
      </c>
      <c r="R58" s="9"/>
      <c r="S58" s="152">
        <v>46082</v>
      </c>
      <c r="T58" s="10"/>
      <c r="U58" s="23"/>
      <c r="V58" s="11"/>
      <c r="W58" s="11"/>
      <c r="X58" s="8">
        <v>6524.32</v>
      </c>
      <c r="Y58" s="9"/>
      <c r="Z58" s="70">
        <v>8790.68</v>
      </c>
      <c r="AA58" s="71"/>
      <c r="AB58" s="108"/>
      <c r="AC58" s="9">
        <v>5037.3900000000003</v>
      </c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6524.32</v>
      </c>
      <c r="AN58" s="9"/>
      <c r="AO58" s="9"/>
      <c r="AP58" s="10"/>
      <c r="AQ58" s="25"/>
      <c r="AR58" s="25"/>
      <c r="AS58" s="25"/>
      <c r="AT58" s="10"/>
      <c r="AU58" s="12">
        <v>15315</v>
      </c>
      <c r="AV58" s="12"/>
      <c r="AW58" s="12"/>
      <c r="AX58" s="242"/>
      <c r="AY58" s="243"/>
      <c r="AZ58" s="242"/>
      <c r="BA58" s="242"/>
      <c r="BB58" s="244"/>
      <c r="BC58" s="243" t="s">
        <v>630</v>
      </c>
      <c r="BD58" s="243" t="s">
        <v>630</v>
      </c>
      <c r="BE58" s="15">
        <v>15315</v>
      </c>
      <c r="BF58" s="15">
        <v>6524.32</v>
      </c>
      <c r="BG58" s="15">
        <v>8790.68</v>
      </c>
      <c r="BH58" s="15">
        <v>15315</v>
      </c>
      <c r="BI58" s="15">
        <v>6524.32</v>
      </c>
      <c r="BJ58" s="242">
        <v>0</v>
      </c>
      <c r="BK58" s="242">
        <v>5037.3900000000003</v>
      </c>
      <c r="BL58" s="242"/>
      <c r="BM58" s="242">
        <v>2</v>
      </c>
      <c r="BN58" s="242">
        <v>7109</v>
      </c>
      <c r="BO58" s="242">
        <v>0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94">
        <v>8790.68</v>
      </c>
      <c r="CC58" s="246" t="s">
        <v>634</v>
      </c>
      <c r="CD58" s="242">
        <v>0</v>
      </c>
      <c r="CE58" s="242">
        <v>0</v>
      </c>
      <c r="CF58" s="242">
        <v>0</v>
      </c>
      <c r="CG58" s="242">
        <v>0</v>
      </c>
      <c r="CH58" s="242">
        <v>0</v>
      </c>
      <c r="CI58" s="247" t="s">
        <v>633</v>
      </c>
      <c r="CJ58" s="248">
        <v>6524.32</v>
      </c>
      <c r="CK58" s="248">
        <v>6524.32</v>
      </c>
      <c r="CL58" s="248">
        <v>15315</v>
      </c>
      <c r="CM58" s="248">
        <v>0</v>
      </c>
    </row>
    <row r="59" spans="1:91" x14ac:dyDescent="0.25">
      <c r="A59" s="231" t="s">
        <v>735</v>
      </c>
      <c r="B59" s="232" t="s">
        <v>736</v>
      </c>
      <c r="C59" s="232" t="s">
        <v>636</v>
      </c>
      <c r="D59" s="233"/>
      <c r="E59" s="234">
        <v>12815</v>
      </c>
      <c r="F59" s="235">
        <v>12815</v>
      </c>
      <c r="G59" s="236"/>
      <c r="H59" s="237"/>
      <c r="I59" s="238">
        <v>12815</v>
      </c>
      <c r="J59" s="239"/>
      <c r="K59" s="240"/>
      <c r="L59" s="8">
        <v>9981.68</v>
      </c>
      <c r="M59" s="241">
        <v>10009</v>
      </c>
      <c r="N59" s="71"/>
      <c r="O59" s="100"/>
      <c r="P59" s="9"/>
      <c r="Q59" s="9">
        <v>2924</v>
      </c>
      <c r="R59" s="9"/>
      <c r="S59" s="152">
        <v>46082</v>
      </c>
      <c r="T59" s="10"/>
      <c r="U59" s="23"/>
      <c r="V59" s="11"/>
      <c r="W59" s="11"/>
      <c r="X59" s="8">
        <v>1235.55</v>
      </c>
      <c r="Y59" s="9"/>
      <c r="Z59" s="70">
        <v>0</v>
      </c>
      <c r="AA59" s="71"/>
      <c r="AB59" s="108"/>
      <c r="AC59" s="9">
        <v>1287.58</v>
      </c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1235.55</v>
      </c>
      <c r="AN59" s="9"/>
      <c r="AO59" s="9"/>
      <c r="AP59" s="10"/>
      <c r="AQ59" s="25"/>
      <c r="AR59" s="25"/>
      <c r="AS59" s="25"/>
      <c r="AT59" s="10"/>
      <c r="AU59" s="12">
        <v>0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12815</v>
      </c>
      <c r="BF59" s="15">
        <v>10009</v>
      </c>
      <c r="BG59" s="242">
        <v>0</v>
      </c>
      <c r="BH59" s="15">
        <v>12815</v>
      </c>
      <c r="BI59" s="15">
        <v>10009</v>
      </c>
      <c r="BJ59" s="242">
        <v>0</v>
      </c>
      <c r="BK59" s="242">
        <v>1287.58</v>
      </c>
      <c r="BL59" s="242"/>
      <c r="BM59" s="242">
        <v>2</v>
      </c>
      <c r="BN59" s="242">
        <v>2924</v>
      </c>
      <c r="BO59" s="242">
        <v>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 t="s">
        <v>634</v>
      </c>
      <c r="CD59" s="242">
        <v>0</v>
      </c>
      <c r="CE59" s="242">
        <v>0</v>
      </c>
      <c r="CF59" s="242">
        <v>0</v>
      </c>
      <c r="CG59" s="242">
        <v>0</v>
      </c>
      <c r="CH59" s="242">
        <v>0</v>
      </c>
      <c r="CI59" s="247" t="s">
        <v>633</v>
      </c>
      <c r="CJ59" s="248">
        <v>1235.55</v>
      </c>
      <c r="CK59" s="248">
        <v>1235.55</v>
      </c>
      <c r="CL59" s="248">
        <v>0</v>
      </c>
      <c r="CM59" s="248">
        <v>0</v>
      </c>
    </row>
    <row r="60" spans="1:91" x14ac:dyDescent="0.25">
      <c r="A60" s="231" t="s">
        <v>737</v>
      </c>
      <c r="B60" s="232" t="s">
        <v>738</v>
      </c>
      <c r="C60" s="232" t="s">
        <v>636</v>
      </c>
      <c r="D60" s="233"/>
      <c r="E60" s="234">
        <v>3502</v>
      </c>
      <c r="F60" s="235">
        <v>3502</v>
      </c>
      <c r="G60" s="236"/>
      <c r="H60" s="237"/>
      <c r="I60" s="238">
        <v>3502</v>
      </c>
      <c r="J60" s="239"/>
      <c r="K60" s="240"/>
      <c r="L60" s="8">
        <v>2524.16</v>
      </c>
      <c r="M60" s="241">
        <v>2942</v>
      </c>
      <c r="N60" s="71"/>
      <c r="O60" s="100"/>
      <c r="P60" s="9"/>
      <c r="Q60" s="9"/>
      <c r="R60" s="9"/>
      <c r="S60" s="152">
        <v>46082</v>
      </c>
      <c r="T60" s="10"/>
      <c r="U60" s="23"/>
      <c r="V60" s="11"/>
      <c r="W60" s="11"/>
      <c r="X60" s="8">
        <v>114.08</v>
      </c>
      <c r="Y60" s="9"/>
      <c r="Z60" s="70">
        <v>0</v>
      </c>
      <c r="AA60" s="71"/>
      <c r="AB60" s="108"/>
      <c r="AC60" s="9"/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114.08</v>
      </c>
      <c r="AN60" s="9"/>
      <c r="AO60" s="9"/>
      <c r="AP60" s="10"/>
      <c r="AQ60" s="25"/>
      <c r="AR60" s="25"/>
      <c r="AS60" s="25"/>
      <c r="AT60" s="10"/>
      <c r="AU60" s="12">
        <v>0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3502</v>
      </c>
      <c r="BF60" s="15">
        <v>2942</v>
      </c>
      <c r="BG60" s="242">
        <v>0</v>
      </c>
      <c r="BH60" s="15">
        <v>3502</v>
      </c>
      <c r="BI60" s="15">
        <v>2942</v>
      </c>
      <c r="BJ60" s="242">
        <v>0</v>
      </c>
      <c r="BK60" s="242">
        <v>0</v>
      </c>
      <c r="BL60" s="242"/>
      <c r="BM60" s="242">
        <v>2</v>
      </c>
      <c r="BN60" s="242">
        <v>0</v>
      </c>
      <c r="BO60" s="242">
        <v>0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 t="s">
        <v>634</v>
      </c>
      <c r="CD60" s="242">
        <v>0</v>
      </c>
      <c r="CE60" s="242">
        <v>0</v>
      </c>
      <c r="CF60" s="242">
        <v>0</v>
      </c>
      <c r="CG60" s="242">
        <v>0</v>
      </c>
      <c r="CH60" s="242">
        <v>0</v>
      </c>
      <c r="CI60" s="247" t="s">
        <v>633</v>
      </c>
      <c r="CJ60" s="248">
        <v>114.08</v>
      </c>
      <c r="CK60" s="248">
        <v>114.08</v>
      </c>
      <c r="CL60" s="248">
        <v>0</v>
      </c>
      <c r="CM60" s="248">
        <v>0</v>
      </c>
    </row>
    <row r="61" spans="1:91" x14ac:dyDescent="0.25">
      <c r="A61" s="231" t="s">
        <v>739</v>
      </c>
      <c r="B61" s="232" t="s">
        <v>740</v>
      </c>
      <c r="C61" s="232" t="s">
        <v>636</v>
      </c>
      <c r="D61" s="233"/>
      <c r="E61" s="234">
        <v>12500</v>
      </c>
      <c r="F61" s="235">
        <v>12500</v>
      </c>
      <c r="G61" s="236"/>
      <c r="H61" s="237"/>
      <c r="I61" s="238">
        <v>1036</v>
      </c>
      <c r="J61" s="239"/>
      <c r="K61" s="240"/>
      <c r="L61" s="8">
        <v>1035.79</v>
      </c>
      <c r="M61" s="241">
        <v>1035.79</v>
      </c>
      <c r="N61" s="71"/>
      <c r="O61" s="100"/>
      <c r="P61" s="9"/>
      <c r="Q61" s="9"/>
      <c r="R61" s="9"/>
      <c r="S61" s="152">
        <v>46112</v>
      </c>
      <c r="T61" s="10"/>
      <c r="U61" s="23"/>
      <c r="V61" s="11"/>
      <c r="W61" s="11"/>
      <c r="X61" s="8">
        <v>1035.79</v>
      </c>
      <c r="Y61" s="9"/>
      <c r="Z61" s="70">
        <v>0.21</v>
      </c>
      <c r="AA61" s="71"/>
      <c r="AB61" s="108"/>
      <c r="AC61" s="9"/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1035.79</v>
      </c>
      <c r="AN61" s="9"/>
      <c r="AO61" s="9"/>
      <c r="AP61" s="10"/>
      <c r="AQ61" s="25"/>
      <c r="AR61" s="25"/>
      <c r="AS61" s="25"/>
      <c r="AT61" s="10"/>
      <c r="AU61" s="12">
        <v>0</v>
      </c>
      <c r="AV61" s="12"/>
      <c r="AW61" s="12"/>
      <c r="AX61" s="242"/>
      <c r="AY61" s="243"/>
      <c r="AZ61" s="242"/>
      <c r="BA61" s="242"/>
      <c r="BB61" s="244"/>
      <c r="BC61" s="243" t="s">
        <v>630</v>
      </c>
      <c r="BD61" s="243" t="s">
        <v>630</v>
      </c>
      <c r="BE61" s="15">
        <v>1036</v>
      </c>
      <c r="BF61" s="15">
        <v>1035.79</v>
      </c>
      <c r="BG61" s="15">
        <v>0.21</v>
      </c>
      <c r="BH61" s="15">
        <v>1036</v>
      </c>
      <c r="BI61" s="15">
        <v>1035.79</v>
      </c>
      <c r="BJ61" s="242">
        <v>0</v>
      </c>
      <c r="BK61" s="242">
        <v>0</v>
      </c>
      <c r="BL61" s="242"/>
      <c r="BM61" s="242">
        <v>2</v>
      </c>
      <c r="BN61" s="242">
        <v>0</v>
      </c>
      <c r="BO61" s="242">
        <v>0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94">
        <v>0.21</v>
      </c>
      <c r="CC61" s="246" t="s">
        <v>634</v>
      </c>
      <c r="CD61" s="242">
        <v>0</v>
      </c>
      <c r="CE61" s="242">
        <v>0</v>
      </c>
      <c r="CF61" s="242">
        <v>0</v>
      </c>
      <c r="CG61" s="242">
        <v>0</v>
      </c>
      <c r="CH61" s="242">
        <v>0</v>
      </c>
      <c r="CI61" s="247" t="s">
        <v>633</v>
      </c>
      <c r="CJ61" s="248">
        <v>1035.79</v>
      </c>
      <c r="CK61" s="248">
        <v>1035.79</v>
      </c>
      <c r="CL61" s="248">
        <v>0</v>
      </c>
      <c r="CM61" s="248">
        <v>0</v>
      </c>
    </row>
    <row r="62" spans="1:91" x14ac:dyDescent="0.25">
      <c r="A62" s="231"/>
      <c r="B62" s="120" t="s">
        <v>741</v>
      </c>
      <c r="C62" s="232"/>
      <c r="D62" s="233"/>
      <c r="E62" s="279">
        <f>SUM(E40:E61)</f>
        <v>559142.19999999995</v>
      </c>
      <c r="F62" s="268">
        <f>SUM(F40:F61)</f>
        <v>559142.19999999995</v>
      </c>
      <c r="G62" s="236"/>
      <c r="H62" s="237"/>
      <c r="I62" s="280">
        <f>SUM(I40:I61)</f>
        <v>561518.1399999999</v>
      </c>
      <c r="J62" s="239"/>
      <c r="K62" s="240"/>
      <c r="L62" s="272">
        <f>SUM(L40:L61)</f>
        <v>313828.02999999991</v>
      </c>
      <c r="M62" s="281">
        <f>SUM(M40:M61)</f>
        <v>233386.94</v>
      </c>
      <c r="N62" s="71"/>
      <c r="O62" s="100"/>
      <c r="P62" s="270">
        <f>SUM(P40:P61)</f>
        <v>0</v>
      </c>
      <c r="Q62" s="270">
        <f>SUM(Q40:Q61)</f>
        <v>324975.46999999997</v>
      </c>
      <c r="R62" s="270">
        <f>SUM(R40:R61)</f>
        <v>0</v>
      </c>
      <c r="S62" s="152"/>
      <c r="T62" s="10"/>
      <c r="U62" s="23"/>
      <c r="V62" s="271">
        <f>SUM(V40:V61)</f>
        <v>0</v>
      </c>
      <c r="W62" s="271">
        <f>SUM(W40:W61)</f>
        <v>0</v>
      </c>
      <c r="X62" s="272">
        <f>SUM(X40:X61)</f>
        <v>221785.56999999998</v>
      </c>
      <c r="Y62" s="270">
        <f>SUM(Y40:Y61)</f>
        <v>0</v>
      </c>
      <c r="Z62" s="282">
        <f>SUM(Z40:Z61)</f>
        <v>324765.2</v>
      </c>
      <c r="AA62" s="71"/>
      <c r="AB62" s="108"/>
      <c r="AC62" s="270">
        <f>SUM(AC40:AC61)</f>
        <v>320584.03000000003</v>
      </c>
      <c r="AD62" s="270">
        <f>SUM(AD40:AD61)</f>
        <v>0</v>
      </c>
      <c r="AE62" s="10"/>
      <c r="AF62" s="24"/>
      <c r="AG62" s="271">
        <f>SUM(AG40:AG61)</f>
        <v>0</v>
      </c>
      <c r="AH62" s="272">
        <f>SUM(AH40:AH61)</f>
        <v>0</v>
      </c>
      <c r="AI62" s="270">
        <f>SUM(AI40:AI61)</f>
        <v>0</v>
      </c>
      <c r="AJ62" s="270">
        <f>SUM(AJ40:AJ61)</f>
        <v>0</v>
      </c>
      <c r="AK62" s="10"/>
      <c r="AL62" s="271">
        <f>SUM(AL40:AL61)</f>
        <v>0</v>
      </c>
      <c r="AM62" s="272">
        <f>SUM(AM40:AM61)</f>
        <v>221785.56999999998</v>
      </c>
      <c r="AN62" s="270">
        <f>SUM(AN40:AN61)</f>
        <v>0</v>
      </c>
      <c r="AO62" s="270">
        <f>SUM(AO40:AO61)</f>
        <v>0</v>
      </c>
      <c r="AP62" s="10"/>
      <c r="AQ62" s="283">
        <f>SUM(AQ40:AQ61)</f>
        <v>0</v>
      </c>
      <c r="AR62" s="283">
        <f>SUM(AR40:AR61)</f>
        <v>0</v>
      </c>
      <c r="AS62" s="283">
        <f>SUM(AS40:AS61)</f>
        <v>0</v>
      </c>
      <c r="AT62" s="10"/>
      <c r="AU62" s="284">
        <f>SUM(AU40:AU61)</f>
        <v>544165.1399999999</v>
      </c>
      <c r="AV62" s="284">
        <f>SUM(AV40:AV61)</f>
        <v>0</v>
      </c>
      <c r="AW62" s="284">
        <f>SUM(AW40:AW61)</f>
        <v>0</v>
      </c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120" t="s">
        <v>742</v>
      </c>
      <c r="C64" s="232"/>
      <c r="D64" s="233"/>
      <c r="E64" s="279">
        <f>SUM(E7:E63)/2</f>
        <v>5516092.5800000001</v>
      </c>
      <c r="F64" s="268">
        <f>SUM(F7:F63)/2</f>
        <v>5624727.5800000001</v>
      </c>
      <c r="G64" s="236"/>
      <c r="H64" s="237"/>
      <c r="I64" s="280">
        <f>SUM(I7:I63)/2</f>
        <v>5411568.0200000005</v>
      </c>
      <c r="J64" s="239"/>
      <c r="K64" s="240"/>
      <c r="L64" s="272">
        <f>SUM(L7:L63)/2</f>
        <v>4821707.8899999997</v>
      </c>
      <c r="M64" s="281">
        <f>SUM(M7:M63)/2</f>
        <v>3934046.4300000006</v>
      </c>
      <c r="N64" s="71"/>
      <c r="O64" s="100"/>
      <c r="P64" s="270">
        <f>SUM(P7:P63)/2</f>
        <v>0</v>
      </c>
      <c r="Q64" s="270">
        <f>SUM(Q7:Q63)/2</f>
        <v>1336707.1299999999</v>
      </c>
      <c r="R64" s="270">
        <f>SUM(R7:R63)/2</f>
        <v>0</v>
      </c>
      <c r="S64" s="152"/>
      <c r="T64" s="10"/>
      <c r="U64" s="23"/>
      <c r="V64" s="271">
        <f>SUM(V7:V63)/2</f>
        <v>0</v>
      </c>
      <c r="W64" s="271">
        <f>SUM(W7:W63)/2</f>
        <v>0</v>
      </c>
      <c r="X64" s="272">
        <f>SUM(X7:X63)/2</f>
        <v>1827398.0899999996</v>
      </c>
      <c r="Y64" s="270">
        <f>SUM(Y7:Y63)/2</f>
        <v>0</v>
      </c>
      <c r="Z64" s="282">
        <f>SUM(Z7:Z63)/2</f>
        <v>854916.80999999994</v>
      </c>
      <c r="AA64" s="71"/>
      <c r="AB64" s="108"/>
      <c r="AC64" s="270">
        <f>SUM(AC7:AC63)/2</f>
        <v>805440.26</v>
      </c>
      <c r="AD64" s="270">
        <f>SUM(AD7:AD63)/2</f>
        <v>0</v>
      </c>
      <c r="AE64" s="10"/>
      <c r="AF64" s="24"/>
      <c r="AG64" s="271">
        <f>SUM(AG7:AG63)/2</f>
        <v>0</v>
      </c>
      <c r="AH64" s="272">
        <f>SUM(AH7:AH63)/2</f>
        <v>0</v>
      </c>
      <c r="AI64" s="270">
        <f>SUM(AI7:AI63)/2</f>
        <v>0</v>
      </c>
      <c r="AJ64" s="270">
        <f>SUM(AJ7:AJ63)/2</f>
        <v>0</v>
      </c>
      <c r="AK64" s="10"/>
      <c r="AL64" s="271">
        <f>SUM(AL7:AL63)/2</f>
        <v>0</v>
      </c>
      <c r="AM64" s="272">
        <f>SUM(AM7:AM63)/2</f>
        <v>1827398.0899999996</v>
      </c>
      <c r="AN64" s="270">
        <f>SUM(AN7:AN63)/2</f>
        <v>0</v>
      </c>
      <c r="AO64" s="270">
        <f>SUM(AO7:AO63)/2</f>
        <v>0</v>
      </c>
      <c r="AP64" s="10"/>
      <c r="AQ64" s="283">
        <f>SUM(AQ7:AQ63)/2</f>
        <v>0</v>
      </c>
      <c r="AR64" s="283">
        <f>SUM(AR7:AR63)/2</f>
        <v>0</v>
      </c>
      <c r="AS64" s="283">
        <f>SUM(AS7:AS63)/2</f>
        <v>0</v>
      </c>
      <c r="AT64" s="10"/>
      <c r="AU64" s="284">
        <f>SUM(AU7:AU63)/2</f>
        <v>1882987.5199999996</v>
      </c>
      <c r="AV64" s="284">
        <f>SUM(AV7:AV63)/2</f>
        <v>0</v>
      </c>
      <c r="AW64" s="284">
        <f>SUM(AW7:AW63)/2</f>
        <v>0</v>
      </c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86"/>
      <c r="B66" s="285" t="s">
        <v>654</v>
      </c>
      <c r="C66" s="120"/>
      <c r="D66" s="267"/>
      <c r="E66" s="279">
        <f>SUMIF(BM8:BM66,1, E8:E66)</f>
        <v>4956950.38</v>
      </c>
      <c r="F66" s="268">
        <f>SUMIF(BM8:BM66,1, F8:F66)</f>
        <v>5065585.38</v>
      </c>
      <c r="G66" s="287"/>
      <c r="H66" s="104"/>
      <c r="I66" s="280">
        <f>SUMIF(BM8:BM66,1, I8:I66)</f>
        <v>4850049.88</v>
      </c>
      <c r="J66" s="288"/>
      <c r="K66" s="98"/>
      <c r="L66" s="272">
        <f>SUMIF(BM8:BM66,1, L8:L66)</f>
        <v>4507879.8599999994</v>
      </c>
      <c r="M66" s="281">
        <f>SUMIF(BM8:BM66,1, M8:M66)</f>
        <v>3700659.4899999998</v>
      </c>
      <c r="N66" s="288"/>
      <c r="O66" s="98"/>
      <c r="P66" s="270">
        <f>SUMIF(BM8:BM66,1, P8:P66)</f>
        <v>0</v>
      </c>
      <c r="Q66" s="270">
        <f>SUMIF(BM8:BM66,1, Q8:Q66)</f>
        <v>1011731.6599999999</v>
      </c>
      <c r="R66" s="270">
        <f>SUMIF(BM8:BM66,1, R8:R66)</f>
        <v>0</v>
      </c>
      <c r="S66" s="290"/>
      <c r="T66" s="291"/>
      <c r="U66" s="292"/>
      <c r="V66" s="271">
        <f>SUMIF(BM8:BM66,1, V8:V66)</f>
        <v>0</v>
      </c>
      <c r="W66" s="271">
        <f>SUMIF(BM8:BM66,1, W8:W66)</f>
        <v>0</v>
      </c>
      <c r="X66" s="272">
        <f>SUMIF(BM8:BM66,1, X8:X66)</f>
        <v>1605612.52</v>
      </c>
      <c r="Y66" s="270">
        <f>SUMIF(BM8:BM66,1, Y8:Y66)</f>
        <v>0</v>
      </c>
      <c r="Z66" s="282">
        <f>SUMIF(BM8:BM66,1, Z8:Z66)</f>
        <v>530151.61</v>
      </c>
      <c r="AA66" s="289"/>
      <c r="AB66" s="107"/>
      <c r="AC66" s="270">
        <f>SUMIF(BM8:BM66,1, AC8:AC66)</f>
        <v>484856.23000000004</v>
      </c>
      <c r="AD66" s="270">
        <f>SUMIF(BM8:BM66,1, AD8:AD66)</f>
        <v>0</v>
      </c>
      <c r="AE66" s="291"/>
      <c r="AF66" s="293"/>
      <c r="AG66" s="271">
        <f>SUMIF(BM8:BM66,1, AG8:AG66)</f>
        <v>0</v>
      </c>
      <c r="AH66" s="272">
        <f>SUMIF(BM8:BM66,1, AH8:AH66)</f>
        <v>0</v>
      </c>
      <c r="AI66" s="270">
        <f>SUMIF(BM8:BM66,1, AI8:AI66)</f>
        <v>0</v>
      </c>
      <c r="AJ66" s="270">
        <f>SUMIF(BM8:BM66,1, AJ8:AJ66)</f>
        <v>0</v>
      </c>
      <c r="AK66" s="291"/>
      <c r="AL66" s="271">
        <f>SUMIF(BM8:BM66,1, AL8:AL66)</f>
        <v>0</v>
      </c>
      <c r="AM66" s="272">
        <f>SUMIF(BM8:BM66,1, AM8:AM66)</f>
        <v>1605612.52</v>
      </c>
      <c r="AN66" s="270">
        <f>SUMIF(BM8:BM66,1, AN8:AN66)</f>
        <v>0</v>
      </c>
      <c r="AO66" s="270">
        <f>SUMIF(BM8:BM66,1, AO8:AO66)</f>
        <v>0</v>
      </c>
      <c r="AP66" s="291"/>
      <c r="AQ66" s="283">
        <f>SUMIF(BM8:BM66,1, AQ8:AQ66)</f>
        <v>0</v>
      </c>
      <c r="AR66" s="283">
        <f>SUMIF(BM8:BM66,1, AR8:AR66)</f>
        <v>0</v>
      </c>
      <c r="AS66" s="283">
        <f>SUMIF(BM8:BM66,1, AS8:AS66)</f>
        <v>0</v>
      </c>
      <c r="AT66" s="291"/>
      <c r="AU66" s="284">
        <f>SUMIF(BM8:BM66,1, AU8:AU66)</f>
        <v>1338822.3799999999</v>
      </c>
      <c r="AV66" s="284">
        <f>SUMIF(BM8:BM66,1, AV8:AV66)</f>
        <v>0</v>
      </c>
      <c r="AW66" s="284">
        <f>SUMIF(BM8:BM66,1, AW8:AW66)</f>
        <v>0</v>
      </c>
      <c r="AX66" s="15"/>
      <c r="AY66" s="274"/>
      <c r="AZ66" s="15"/>
      <c r="BA66" s="15"/>
      <c r="BB66" s="275"/>
      <c r="BC66" s="274"/>
      <c r="BD66" s="274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298"/>
      <c r="BU66" s="298"/>
      <c r="BV66" s="298"/>
      <c r="BW66" s="298"/>
      <c r="BX66" s="15"/>
      <c r="BY66" s="15"/>
      <c r="BZ66" s="294"/>
      <c r="CA66" s="294"/>
      <c r="CB66" s="294"/>
      <c r="CC66" s="276"/>
      <c r="CD66" s="15"/>
      <c r="CE66" s="15"/>
      <c r="CF66" s="15"/>
      <c r="CG66" s="15"/>
      <c r="CH66" s="15"/>
      <c r="CI66" s="295"/>
      <c r="CJ66" s="277"/>
      <c r="CK66" s="277"/>
      <c r="CL66" s="277"/>
      <c r="CM66" s="277"/>
    </row>
    <row r="67" spans="1:91" x14ac:dyDescent="0.25">
      <c r="A67" s="286"/>
      <c r="B67" s="285" t="s">
        <v>655</v>
      </c>
      <c r="C67" s="120"/>
      <c r="D67" s="267"/>
      <c r="E67" s="279">
        <f>SUMIF(BM8:BM66,2, E8:E66)</f>
        <v>559142.19999999995</v>
      </c>
      <c r="F67" s="268">
        <f>SUMIF(BM8:BM66,2, F8:F66)</f>
        <v>559142.19999999995</v>
      </c>
      <c r="G67" s="287"/>
      <c r="H67" s="104"/>
      <c r="I67" s="280">
        <f>SUMIF(BM8:BM66,2, I8:I66)</f>
        <v>561518.1399999999</v>
      </c>
      <c r="J67" s="288"/>
      <c r="K67" s="98"/>
      <c r="L67" s="272">
        <f>SUMIF(BM8:BM66,2, L8:L66)</f>
        <v>313828.02999999991</v>
      </c>
      <c r="M67" s="281">
        <f>SUMIF(BM8:BM66,2, M8:M66)</f>
        <v>233386.94</v>
      </c>
      <c r="N67" s="289"/>
      <c r="O67" s="99"/>
      <c r="P67" s="270">
        <f>SUMIF(BM8:BM66,2, P8:P66)</f>
        <v>0</v>
      </c>
      <c r="Q67" s="270">
        <f>SUMIF(BM8:BM66,2, Q8:Q66)</f>
        <v>324975.46999999997</v>
      </c>
      <c r="R67" s="270">
        <f>SUMIF(BM8:BM66,2, R8:R66)</f>
        <v>0</v>
      </c>
      <c r="S67" s="290"/>
      <c r="T67" s="291"/>
      <c r="U67" s="292"/>
      <c r="V67" s="271">
        <f>SUMIF(BM8:BM66,2, V8:V66)</f>
        <v>0</v>
      </c>
      <c r="W67" s="271">
        <f>SUMIF(BM8:BM66,2, W8:W66)</f>
        <v>0</v>
      </c>
      <c r="X67" s="272">
        <f>SUMIF(BM8:BM66,2, X8:X66)</f>
        <v>221785.56999999998</v>
      </c>
      <c r="Y67" s="270">
        <f>SUMIF(BM8:BM66,2, Y8:Y66)</f>
        <v>0</v>
      </c>
      <c r="Z67" s="282">
        <f>SUMIF(BM8:BM66,2, Z8:Z66)</f>
        <v>324765.2</v>
      </c>
      <c r="AA67" s="289"/>
      <c r="AB67" s="107"/>
      <c r="AC67" s="270">
        <f>SUMIF(BM8:BM66,2, AC8:AC66)</f>
        <v>320584.03000000003</v>
      </c>
      <c r="AD67" s="270">
        <f>SUMIF(BM8:BM66,2, AD8:AD66)</f>
        <v>0</v>
      </c>
      <c r="AE67" s="291"/>
      <c r="AF67" s="293"/>
      <c r="AG67" s="271">
        <f>SUMIF(BM8:BM66,2, AG8:AG66)</f>
        <v>0</v>
      </c>
      <c r="AH67" s="272">
        <f>SUMIF(BM8:BM66,2, AH8:AH66)</f>
        <v>0</v>
      </c>
      <c r="AI67" s="270">
        <f>SUMIF(BM8:BM66,2, AI8:AI66)</f>
        <v>0</v>
      </c>
      <c r="AJ67" s="270">
        <f>SUMIF(BM8:BM66,2, AJ8:AJ66)</f>
        <v>0</v>
      </c>
      <c r="AK67" s="291"/>
      <c r="AL67" s="271">
        <f>SUMIF(BM8:BM66,2, AL8:AL66)</f>
        <v>0</v>
      </c>
      <c r="AM67" s="272">
        <f>SUMIF(BM8:BM66,2, AM8:AM66)</f>
        <v>221785.56999999998</v>
      </c>
      <c r="AN67" s="270">
        <f>SUMIF(BM8:BM66,2, AN8:AN66)</f>
        <v>0</v>
      </c>
      <c r="AO67" s="270">
        <f>SUMIF(BM8:BM66,2, AO8:AO66)</f>
        <v>0</v>
      </c>
      <c r="AP67" s="291"/>
      <c r="AQ67" s="283">
        <f>SUMIF(BM8:BM66,2, AQ8:AQ66)</f>
        <v>0</v>
      </c>
      <c r="AR67" s="283">
        <f>SUMIF(BM8:BM66,2, AR8:AR66)</f>
        <v>0</v>
      </c>
      <c r="AS67" s="283">
        <f>SUMIF(BM8:BM66,2, AS8:AS66)</f>
        <v>0</v>
      </c>
      <c r="AT67" s="291"/>
      <c r="AU67" s="284">
        <f>SUMIF(BM8:BM66,2, AU8:AU66)</f>
        <v>544165.1399999999</v>
      </c>
      <c r="AV67" s="284">
        <f>SUMIF(BM8:BM66,2, AV8:AV66)</f>
        <v>0</v>
      </c>
      <c r="AW67" s="284">
        <f>SUMIF(BM8:BM66,2, AW8:AW66)</f>
        <v>0</v>
      </c>
      <c r="AX67" s="15"/>
      <c r="AY67" s="274"/>
      <c r="AZ67" s="15"/>
      <c r="BA67" s="15"/>
      <c r="BB67" s="275"/>
      <c r="BC67" s="274"/>
      <c r="BD67" s="274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298"/>
      <c r="BU67" s="298"/>
      <c r="BV67" s="298"/>
      <c r="BW67" s="298"/>
      <c r="BX67" s="15"/>
      <c r="BY67" s="15"/>
      <c r="BZ67" s="294"/>
      <c r="CA67" s="294"/>
      <c r="CB67" s="294"/>
      <c r="CC67" s="276"/>
      <c r="CD67" s="15"/>
      <c r="CE67" s="15"/>
      <c r="CF67" s="15"/>
      <c r="CG67" s="15"/>
      <c r="CH67" s="15"/>
      <c r="CI67" s="295"/>
      <c r="CJ67" s="277"/>
      <c r="CK67" s="277"/>
      <c r="CL67" s="277"/>
      <c r="CM67" s="277"/>
    </row>
    <row r="68" spans="1:91" x14ac:dyDescent="0.25">
      <c r="A68" s="286"/>
      <c r="B68" s="285" t="s">
        <v>653</v>
      </c>
      <c r="C68" s="120"/>
      <c r="D68" s="267"/>
      <c r="E68" s="279">
        <f>SUM(E8:E67)/4</f>
        <v>5516092.5800000001</v>
      </c>
      <c r="F68" s="268">
        <f>SUM(F8:F67)/4</f>
        <v>5624727.5800000001</v>
      </c>
      <c r="G68" s="287"/>
      <c r="H68" s="104"/>
      <c r="I68" s="280">
        <f>SUM(I8:I67)/4</f>
        <v>5411568.0200000005</v>
      </c>
      <c r="J68" s="288"/>
      <c r="K68" s="98"/>
      <c r="L68" s="272">
        <f>SUM(L8:L67)/4</f>
        <v>4821707.8899999997</v>
      </c>
      <c r="M68" s="281">
        <f>SUM(M8:M67)/4</f>
        <v>3934046.4300000006</v>
      </c>
      <c r="N68" s="289"/>
      <c r="O68" s="99"/>
      <c r="P68" s="270">
        <f>SUM(P8:P67)/4</f>
        <v>0</v>
      </c>
      <c r="Q68" s="270">
        <f>SUM(Q8:Q67)/4</f>
        <v>1336707.1299999999</v>
      </c>
      <c r="R68" s="270">
        <f>SUM(R8:R67)/4</f>
        <v>0</v>
      </c>
      <c r="S68" s="290"/>
      <c r="T68" s="291"/>
      <c r="U68" s="292"/>
      <c r="V68" s="271">
        <f>SUM(V8:V67)/4</f>
        <v>0</v>
      </c>
      <c r="W68" s="271">
        <f>SUM(W8:W67)/4</f>
        <v>0</v>
      </c>
      <c r="X68" s="272">
        <f>SUM(X8:X67)/4</f>
        <v>1827398.0899999999</v>
      </c>
      <c r="Y68" s="270">
        <f>SUM(Y8:Y67)/4</f>
        <v>0</v>
      </c>
      <c r="Z68" s="282">
        <f>SUM(Z8:Z67)/4</f>
        <v>854916.80999999994</v>
      </c>
      <c r="AA68" s="289"/>
      <c r="AB68" s="107"/>
      <c r="AC68" s="270">
        <f>SUM(AC8:AC67)/4</f>
        <v>805440.26</v>
      </c>
      <c r="AD68" s="270">
        <f>SUM(AD8:AD67)/4</f>
        <v>0</v>
      </c>
      <c r="AE68" s="291"/>
      <c r="AF68" s="293"/>
      <c r="AG68" s="271">
        <f>SUM(AG8:AG67)/4</f>
        <v>0</v>
      </c>
      <c r="AH68" s="272">
        <f>SUM(AH8:AH67)/4</f>
        <v>0</v>
      </c>
      <c r="AI68" s="270">
        <f>SUM(AI8:AI67)/4</f>
        <v>0</v>
      </c>
      <c r="AJ68" s="270">
        <f>SUM(AJ8:AJ67)/4</f>
        <v>0</v>
      </c>
      <c r="AK68" s="291"/>
      <c r="AL68" s="271">
        <f>SUM(AL8:AL67)/4</f>
        <v>0</v>
      </c>
      <c r="AM68" s="272">
        <f>SUM(AM8:AM67)/4</f>
        <v>1827398.0899999999</v>
      </c>
      <c r="AN68" s="270">
        <f>SUM(AN8:AN67)/4</f>
        <v>0</v>
      </c>
      <c r="AO68" s="270">
        <f>SUM(AO8:AO67)/4</f>
        <v>0</v>
      </c>
      <c r="AP68" s="291"/>
      <c r="AQ68" s="283">
        <f>SUM(AQ8:AQ67)/4</f>
        <v>0</v>
      </c>
      <c r="AR68" s="283">
        <f>SUM(AR8:AR67)/4</f>
        <v>0</v>
      </c>
      <c r="AS68" s="283">
        <f>SUM(AS8:AS67)/4</f>
        <v>0</v>
      </c>
      <c r="AT68" s="291"/>
      <c r="AU68" s="284">
        <f>SUM(AU8:AU67)/4</f>
        <v>1882987.5199999996</v>
      </c>
      <c r="AV68" s="284">
        <f>SUM(AV8:AV67)/4</f>
        <v>0</v>
      </c>
      <c r="AW68" s="284">
        <f>SUM(AW8:AW67)/4</f>
        <v>0</v>
      </c>
      <c r="AX68" s="15"/>
      <c r="AY68" s="274"/>
      <c r="AZ68" s="15"/>
      <c r="BA68" s="15"/>
      <c r="BB68" s="275"/>
      <c r="BC68" s="274"/>
      <c r="BD68" s="274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298"/>
      <c r="BU68" s="298"/>
      <c r="BV68" s="298"/>
      <c r="BW68" s="298"/>
      <c r="BX68" s="15"/>
      <c r="BY68" s="15"/>
      <c r="BZ68" s="294"/>
      <c r="CA68" s="294"/>
      <c r="CB68" s="294"/>
      <c r="CC68" s="276"/>
      <c r="CD68" s="15"/>
      <c r="CE68" s="15"/>
      <c r="CF68" s="15"/>
      <c r="CG68" s="15"/>
      <c r="CH68" s="15"/>
      <c r="CI68" s="295"/>
      <c r="CJ68" s="277"/>
      <c r="CK68" s="277"/>
      <c r="CL68" s="277"/>
      <c r="CM68" s="277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vjU6+mvVoNSDeN+7dkyJtMn0dLMmZLg0RoO7UOu754d5BoGcymHHetUMgJwFZ8p7mAgZmBufiZr8OggNlDljJw==" saltValue="RBcJtbiO3epkukhDtsDuA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656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657</v>
      </c>
      <c r="B9" s="255" t="s">
        <v>637</v>
      </c>
      <c r="C9" s="255" t="s">
        <v>636</v>
      </c>
      <c r="D9" s="233"/>
      <c r="E9" s="234">
        <v>43252.19</v>
      </c>
      <c r="F9" s="235">
        <v>43252.19</v>
      </c>
      <c r="G9" s="256"/>
      <c r="H9" s="257"/>
      <c r="I9" s="237"/>
      <c r="J9" s="238">
        <v>8119.75</v>
      </c>
      <c r="K9" s="249"/>
      <c r="L9" s="240"/>
      <c r="M9" s="8">
        <v>33601.129999999997</v>
      </c>
      <c r="N9" s="241">
        <v>8119.75</v>
      </c>
      <c r="O9" s="72"/>
      <c r="P9" s="100"/>
      <c r="Q9" s="9"/>
      <c r="R9" s="9"/>
      <c r="S9" s="9"/>
      <c r="T9" s="258"/>
      <c r="U9" s="10"/>
      <c r="V9" s="23"/>
      <c r="W9" s="11"/>
      <c r="X9" s="8">
        <v>8119.75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8119.75</v>
      </c>
      <c r="AJ9" s="9"/>
      <c r="AK9" s="10"/>
      <c r="AL9" s="25"/>
      <c r="AM9" s="25"/>
      <c r="AN9" s="25"/>
      <c r="AO9" s="10"/>
      <c r="AP9" s="12">
        <v>8119.75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8119.75</v>
      </c>
      <c r="BA9" s="15">
        <v>8119.75</v>
      </c>
      <c r="BB9" s="15">
        <v>8119.75</v>
      </c>
      <c r="BC9" s="15">
        <v>8119.75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8119.75</v>
      </c>
      <c r="CD9" s="248">
        <v>8119.75</v>
      </c>
      <c r="CE9" s="248">
        <v>8119.75</v>
      </c>
      <c r="CF9" s="248">
        <v>0</v>
      </c>
    </row>
    <row r="10" spans="1:95" x14ac:dyDescent="0.25">
      <c r="A10" s="254" t="s">
        <v>658</v>
      </c>
      <c r="B10" s="255" t="s">
        <v>638</v>
      </c>
      <c r="C10" s="255" t="s">
        <v>636</v>
      </c>
      <c r="D10" s="233"/>
      <c r="E10" s="234">
        <v>18989.939999999999</v>
      </c>
      <c r="F10" s="235">
        <v>18989.939999999999</v>
      </c>
      <c r="G10" s="256"/>
      <c r="H10" s="257"/>
      <c r="I10" s="237"/>
      <c r="J10" s="238">
        <v>16132.32</v>
      </c>
      <c r="K10" s="249"/>
      <c r="L10" s="240"/>
      <c r="M10" s="8">
        <v>21738.39</v>
      </c>
      <c r="N10" s="241">
        <v>16132.32</v>
      </c>
      <c r="O10" s="72"/>
      <c r="P10" s="100"/>
      <c r="Q10" s="9"/>
      <c r="R10" s="9"/>
      <c r="S10" s="9"/>
      <c r="T10" s="258"/>
      <c r="U10" s="10"/>
      <c r="V10" s="23"/>
      <c r="W10" s="11"/>
      <c r="X10" s="8">
        <v>16132.32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16132.32</v>
      </c>
      <c r="AJ10" s="9"/>
      <c r="AK10" s="10"/>
      <c r="AL10" s="25"/>
      <c r="AM10" s="25"/>
      <c r="AN10" s="25"/>
      <c r="AO10" s="10"/>
      <c r="AP10" s="12">
        <v>16132.32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16132.32</v>
      </c>
      <c r="BA10" s="15">
        <v>16132.32</v>
      </c>
      <c r="BB10" s="15">
        <v>16132.32</v>
      </c>
      <c r="BC10" s="15">
        <v>16132.32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633</v>
      </c>
      <c r="CC10" s="248">
        <v>16132.32</v>
      </c>
      <c r="CD10" s="248">
        <v>16132.32</v>
      </c>
      <c r="CE10" s="248">
        <v>16132.32</v>
      </c>
      <c r="CF10" s="248">
        <v>0</v>
      </c>
    </row>
    <row r="11" spans="1:95" x14ac:dyDescent="0.25">
      <c r="A11" s="254" t="s">
        <v>659</v>
      </c>
      <c r="B11" s="255" t="s">
        <v>639</v>
      </c>
      <c r="C11" s="255" t="s">
        <v>636</v>
      </c>
      <c r="D11" s="233"/>
      <c r="E11" s="234">
        <v>40887.360000000001</v>
      </c>
      <c r="F11" s="235">
        <v>40887.360000000001</v>
      </c>
      <c r="G11" s="256"/>
      <c r="H11" s="257"/>
      <c r="I11" s="237"/>
      <c r="J11" s="238">
        <v>37274.230000000003</v>
      </c>
      <c r="K11" s="249"/>
      <c r="L11" s="240"/>
      <c r="M11" s="8">
        <v>39445.17</v>
      </c>
      <c r="N11" s="241">
        <v>37274.230000000003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37274.230000000003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37274.230000000003</v>
      </c>
      <c r="AJ11" s="9"/>
      <c r="AK11" s="10"/>
      <c r="AL11" s="25"/>
      <c r="AM11" s="25"/>
      <c r="AN11" s="25"/>
      <c r="AO11" s="10"/>
      <c r="AP11" s="12">
        <v>37274.230000000003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37274.230000000003</v>
      </c>
      <c r="BA11" s="15">
        <v>37274.230000000003</v>
      </c>
      <c r="BB11" s="15">
        <v>37274.230000000003</v>
      </c>
      <c r="BC11" s="15">
        <v>37274.230000000003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37274.230000000003</v>
      </c>
      <c r="CD11" s="248">
        <v>37274.230000000003</v>
      </c>
      <c r="CE11" s="248">
        <v>37274.230000000003</v>
      </c>
      <c r="CF11" s="248">
        <v>0</v>
      </c>
    </row>
    <row r="12" spans="1:95" x14ac:dyDescent="0.25">
      <c r="A12" s="254" t="s">
        <v>660</v>
      </c>
      <c r="B12" s="255" t="s">
        <v>640</v>
      </c>
      <c r="C12" s="255" t="s">
        <v>636</v>
      </c>
      <c r="D12" s="233"/>
      <c r="E12" s="234">
        <v>0</v>
      </c>
      <c r="F12" s="235">
        <v>0</v>
      </c>
      <c r="G12" s="256"/>
      <c r="H12" s="257"/>
      <c r="I12" s="237"/>
      <c r="J12" s="238">
        <v>90821.05</v>
      </c>
      <c r="K12" s="249"/>
      <c r="L12" s="240"/>
      <c r="M12" s="8">
        <v>100967.33</v>
      </c>
      <c r="N12" s="241">
        <v>90821.05</v>
      </c>
      <c r="O12" s="71"/>
      <c r="P12" s="100"/>
      <c r="Q12" s="9"/>
      <c r="R12" s="9"/>
      <c r="S12" s="9"/>
      <c r="T12" s="258">
        <v>46174</v>
      </c>
      <c r="U12" s="10"/>
      <c r="V12" s="23"/>
      <c r="W12" s="11"/>
      <c r="X12" s="8">
        <v>90821.05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90821.05</v>
      </c>
      <c r="AJ12" s="9"/>
      <c r="AK12" s="10"/>
      <c r="AL12" s="25"/>
      <c r="AM12" s="25"/>
      <c r="AN12" s="25"/>
      <c r="AO12" s="10"/>
      <c r="AP12" s="12">
        <v>90821.05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90821.05</v>
      </c>
      <c r="BA12" s="15">
        <v>90821.05</v>
      </c>
      <c r="BB12" s="15">
        <v>90821.05</v>
      </c>
      <c r="BC12" s="15">
        <v>90821.05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0</v>
      </c>
      <c r="BY12" s="242">
        <v>0</v>
      </c>
      <c r="BZ12" s="242">
        <v>0</v>
      </c>
      <c r="CA12" s="242">
        <v>0</v>
      </c>
      <c r="CB12" s="243" t="s">
        <v>633</v>
      </c>
      <c r="CC12" s="248">
        <v>90821.05</v>
      </c>
      <c r="CD12" s="248">
        <v>90821.05</v>
      </c>
      <c r="CE12" s="248">
        <v>90821.05</v>
      </c>
      <c r="CF12" s="248">
        <v>0</v>
      </c>
    </row>
    <row r="13" spans="1:95" x14ac:dyDescent="0.25">
      <c r="A13" s="254" t="s">
        <v>661</v>
      </c>
      <c r="B13" s="255" t="s">
        <v>641</v>
      </c>
      <c r="C13" s="255" t="s">
        <v>636</v>
      </c>
      <c r="D13" s="233"/>
      <c r="E13" s="234">
        <v>9057.5</v>
      </c>
      <c r="F13" s="235">
        <v>9057.5</v>
      </c>
      <c r="G13" s="256"/>
      <c r="H13" s="257"/>
      <c r="I13" s="237"/>
      <c r="J13" s="238">
        <v>7926.25</v>
      </c>
      <c r="K13" s="249"/>
      <c r="L13" s="240"/>
      <c r="M13" s="8">
        <v>759227.29</v>
      </c>
      <c r="N13" s="241">
        <v>7926.25</v>
      </c>
      <c r="O13" s="71"/>
      <c r="P13" s="100"/>
      <c r="Q13" s="9"/>
      <c r="R13" s="9"/>
      <c r="S13" s="9"/>
      <c r="T13" s="258">
        <v>46174</v>
      </c>
      <c r="U13" s="10"/>
      <c r="V13" s="23"/>
      <c r="W13" s="11"/>
      <c r="X13" s="8">
        <v>7926.25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7926.25</v>
      </c>
      <c r="AJ13" s="9"/>
      <c r="AK13" s="10"/>
      <c r="AL13" s="25"/>
      <c r="AM13" s="25"/>
      <c r="AN13" s="25"/>
      <c r="AO13" s="10"/>
      <c r="AP13" s="12">
        <v>7926.25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7926.25</v>
      </c>
      <c r="BA13" s="15">
        <v>7926.25</v>
      </c>
      <c r="BB13" s="15">
        <v>7926.25</v>
      </c>
      <c r="BC13" s="15">
        <v>7926.25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633</v>
      </c>
      <c r="CC13" s="248">
        <v>7926.25</v>
      </c>
      <c r="CD13" s="248">
        <v>7926.25</v>
      </c>
      <c r="CE13" s="248">
        <v>7926.25</v>
      </c>
      <c r="CF13" s="248">
        <v>0</v>
      </c>
    </row>
    <row r="14" spans="1:95" x14ac:dyDescent="0.25">
      <c r="A14" s="254" t="s">
        <v>662</v>
      </c>
      <c r="B14" s="255" t="s">
        <v>642</v>
      </c>
      <c r="C14" s="255" t="s">
        <v>636</v>
      </c>
      <c r="D14" s="233"/>
      <c r="E14" s="234">
        <v>45666.080000000002</v>
      </c>
      <c r="F14" s="235">
        <v>45666.080000000002</v>
      </c>
      <c r="G14" s="256"/>
      <c r="H14" s="257"/>
      <c r="I14" s="237"/>
      <c r="J14" s="238">
        <v>18239.060000000001</v>
      </c>
      <c r="K14" s="249"/>
      <c r="L14" s="240"/>
      <c r="M14" s="8">
        <v>76324.86</v>
      </c>
      <c r="N14" s="241">
        <v>18239.060000000001</v>
      </c>
      <c r="O14" s="72"/>
      <c r="P14" s="100"/>
      <c r="Q14" s="9"/>
      <c r="R14" s="9"/>
      <c r="S14" s="9"/>
      <c r="T14" s="258"/>
      <c r="U14" s="10"/>
      <c r="V14" s="23"/>
      <c r="W14" s="11"/>
      <c r="X14" s="8">
        <v>18239.060000000001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18239.060000000001</v>
      </c>
      <c r="AJ14" s="9"/>
      <c r="AK14" s="10"/>
      <c r="AL14" s="25"/>
      <c r="AM14" s="25"/>
      <c r="AN14" s="25"/>
      <c r="AO14" s="10"/>
      <c r="AP14" s="12">
        <v>18239.060000000001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18239.060000000001</v>
      </c>
      <c r="BA14" s="15">
        <v>18239.060000000001</v>
      </c>
      <c r="BB14" s="15">
        <v>18239.060000000001</v>
      </c>
      <c r="BC14" s="15">
        <v>18239.060000000001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18239.060000000001</v>
      </c>
      <c r="CD14" s="248">
        <v>18239.060000000001</v>
      </c>
      <c r="CE14" s="248">
        <v>18239.060000000001</v>
      </c>
      <c r="CF14" s="248">
        <v>0</v>
      </c>
    </row>
    <row r="15" spans="1:95" x14ac:dyDescent="0.25">
      <c r="A15" s="254" t="s">
        <v>663</v>
      </c>
      <c r="B15" s="255" t="s">
        <v>650</v>
      </c>
      <c r="C15" s="255" t="s">
        <v>636</v>
      </c>
      <c r="D15" s="233"/>
      <c r="E15" s="234">
        <v>405000</v>
      </c>
      <c r="F15" s="235">
        <v>405000</v>
      </c>
      <c r="G15" s="256"/>
      <c r="H15" s="257"/>
      <c r="I15" s="237"/>
      <c r="J15" s="238">
        <v>405000</v>
      </c>
      <c r="K15" s="249"/>
      <c r="L15" s="240"/>
      <c r="M15" s="8">
        <v>285884.92</v>
      </c>
      <c r="N15" s="241">
        <v>286589</v>
      </c>
      <c r="O15" s="72"/>
      <c r="P15" s="100"/>
      <c r="Q15" s="9"/>
      <c r="R15" s="9"/>
      <c r="S15" s="9"/>
      <c r="T15" s="258">
        <v>46174</v>
      </c>
      <c r="U15" s="10"/>
      <c r="V15" s="23"/>
      <c r="W15" s="11"/>
      <c r="X15" s="8">
        <v>158975.96</v>
      </c>
      <c r="Y15" s="9"/>
      <c r="Z15" s="9"/>
      <c r="AA15" s="9"/>
      <c r="AB15" s="10"/>
      <c r="AC15" s="24">
        <v>0</v>
      </c>
      <c r="AD15" s="11">
        <v>0</v>
      </c>
      <c r="AE15" s="8">
        <v>0</v>
      </c>
      <c r="AF15" s="9"/>
      <c r="AG15" s="10"/>
      <c r="AH15" s="11"/>
      <c r="AI15" s="8">
        <v>158975.96</v>
      </c>
      <c r="AJ15" s="9"/>
      <c r="AK15" s="10"/>
      <c r="AL15" s="25"/>
      <c r="AM15" s="25"/>
      <c r="AN15" s="25"/>
      <c r="AO15" s="10"/>
      <c r="AP15" s="12">
        <v>0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405000</v>
      </c>
      <c r="BA15" s="15">
        <v>286589</v>
      </c>
      <c r="BB15" s="15">
        <v>405000</v>
      </c>
      <c r="BC15" s="15">
        <v>286589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0</v>
      </c>
      <c r="BY15" s="242">
        <v>0</v>
      </c>
      <c r="BZ15" s="242">
        <v>0</v>
      </c>
      <c r="CA15" s="242">
        <v>0</v>
      </c>
      <c r="CB15" s="243" t="s">
        <v>633</v>
      </c>
      <c r="CC15" s="248">
        <v>158975.96</v>
      </c>
      <c r="CD15" s="248">
        <v>158975.96</v>
      </c>
      <c r="CE15" s="248">
        <v>0</v>
      </c>
      <c r="CF15" s="248">
        <v>0</v>
      </c>
    </row>
    <row r="16" spans="1:95" x14ac:dyDescent="0.25">
      <c r="A16" s="254" t="s">
        <v>664</v>
      </c>
      <c r="B16" s="255" t="s">
        <v>643</v>
      </c>
      <c r="C16" s="255" t="s">
        <v>636</v>
      </c>
      <c r="D16" s="233"/>
      <c r="E16" s="234">
        <v>114227.42</v>
      </c>
      <c r="F16" s="235">
        <v>114227.42</v>
      </c>
      <c r="G16" s="256"/>
      <c r="H16" s="257"/>
      <c r="I16" s="237"/>
      <c r="J16" s="238">
        <v>110401.43</v>
      </c>
      <c r="K16" s="249"/>
      <c r="L16" s="240"/>
      <c r="M16" s="8">
        <v>111523.81</v>
      </c>
      <c r="N16" s="241">
        <v>110401.43</v>
      </c>
      <c r="O16" s="72"/>
      <c r="P16" s="100"/>
      <c r="Q16" s="9"/>
      <c r="R16" s="9"/>
      <c r="S16" s="9"/>
      <c r="T16" s="258">
        <v>46082</v>
      </c>
      <c r="U16" s="10"/>
      <c r="V16" s="23"/>
      <c r="W16" s="11"/>
      <c r="X16" s="8">
        <v>110401.43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110401.43</v>
      </c>
      <c r="AJ16" s="9"/>
      <c r="AK16" s="10"/>
      <c r="AL16" s="25"/>
      <c r="AM16" s="25"/>
      <c r="AN16" s="25"/>
      <c r="AO16" s="10"/>
      <c r="AP16" s="12">
        <v>110401.43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110401.43</v>
      </c>
      <c r="BA16" s="15">
        <v>110401.43</v>
      </c>
      <c r="BB16" s="15">
        <v>110401.43</v>
      </c>
      <c r="BC16" s="15">
        <v>110401.43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0</v>
      </c>
      <c r="BY16" s="242">
        <v>0</v>
      </c>
      <c r="BZ16" s="242">
        <v>0</v>
      </c>
      <c r="CA16" s="242">
        <v>0</v>
      </c>
      <c r="CB16" s="243" t="s">
        <v>633</v>
      </c>
      <c r="CC16" s="248">
        <v>110401.43</v>
      </c>
      <c r="CD16" s="248">
        <v>110401.43</v>
      </c>
      <c r="CE16" s="248">
        <v>110401.43</v>
      </c>
      <c r="CF16" s="248">
        <v>0</v>
      </c>
    </row>
    <row r="17" spans="1:84" x14ac:dyDescent="0.25">
      <c r="A17" s="254" t="s">
        <v>665</v>
      </c>
      <c r="B17" s="255" t="s">
        <v>644</v>
      </c>
      <c r="C17" s="255" t="s">
        <v>636</v>
      </c>
      <c r="D17" s="233"/>
      <c r="E17" s="234">
        <v>67536.34</v>
      </c>
      <c r="F17" s="235">
        <v>67536.34</v>
      </c>
      <c r="G17" s="256"/>
      <c r="H17" s="257"/>
      <c r="I17" s="237"/>
      <c r="J17" s="238">
        <v>63018.74</v>
      </c>
      <c r="K17" s="249"/>
      <c r="L17" s="240"/>
      <c r="M17" s="8">
        <v>87453.42</v>
      </c>
      <c r="N17" s="241">
        <v>63018.74</v>
      </c>
      <c r="O17" s="72"/>
      <c r="P17" s="100"/>
      <c r="Q17" s="9"/>
      <c r="R17" s="9"/>
      <c r="S17" s="9"/>
      <c r="T17" s="258">
        <v>46082</v>
      </c>
      <c r="U17" s="10"/>
      <c r="V17" s="23"/>
      <c r="W17" s="11"/>
      <c r="X17" s="8">
        <v>63018.74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63018.74</v>
      </c>
      <c r="AJ17" s="9"/>
      <c r="AK17" s="10"/>
      <c r="AL17" s="25"/>
      <c r="AM17" s="25"/>
      <c r="AN17" s="25"/>
      <c r="AO17" s="10"/>
      <c r="AP17" s="12">
        <v>63018.74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63018.74</v>
      </c>
      <c r="BA17" s="15">
        <v>63018.74</v>
      </c>
      <c r="BB17" s="15">
        <v>63018.74</v>
      </c>
      <c r="BC17" s="15">
        <v>63018.74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634</v>
      </c>
      <c r="BW17" s="242">
        <v>0</v>
      </c>
      <c r="BX17" s="242">
        <v>0</v>
      </c>
      <c r="BY17" s="242">
        <v>0</v>
      </c>
      <c r="BZ17" s="242">
        <v>0</v>
      </c>
      <c r="CA17" s="242">
        <v>0</v>
      </c>
      <c r="CB17" s="243" t="s">
        <v>633</v>
      </c>
      <c r="CC17" s="248">
        <v>63018.74</v>
      </c>
      <c r="CD17" s="248">
        <v>63018.74</v>
      </c>
      <c r="CE17" s="248">
        <v>63018.74</v>
      </c>
      <c r="CF17" s="248">
        <v>0</v>
      </c>
    </row>
    <row r="18" spans="1:84" x14ac:dyDescent="0.25">
      <c r="A18" s="254" t="s">
        <v>666</v>
      </c>
      <c r="B18" s="255" t="s">
        <v>667</v>
      </c>
      <c r="C18" s="255" t="s">
        <v>636</v>
      </c>
      <c r="D18" s="233"/>
      <c r="E18" s="234">
        <v>5876.55</v>
      </c>
      <c r="F18" s="235">
        <v>5876.55</v>
      </c>
      <c r="G18" s="256"/>
      <c r="H18" s="257"/>
      <c r="I18" s="237"/>
      <c r="J18" s="238">
        <v>5876.55</v>
      </c>
      <c r="K18" s="249"/>
      <c r="L18" s="240"/>
      <c r="M18" s="8">
        <v>2592.85</v>
      </c>
      <c r="N18" s="241">
        <v>2592.85</v>
      </c>
      <c r="O18" s="72"/>
      <c r="P18" s="100"/>
      <c r="Q18" s="9"/>
      <c r="R18" s="9"/>
      <c r="S18" s="9"/>
      <c r="T18" s="258"/>
      <c r="U18" s="10"/>
      <c r="V18" s="23"/>
      <c r="W18" s="11"/>
      <c r="X18" s="8">
        <v>2592.85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2592.85</v>
      </c>
      <c r="AJ18" s="9"/>
      <c r="AK18" s="10"/>
      <c r="AL18" s="25"/>
      <c r="AM18" s="25"/>
      <c r="AN18" s="25"/>
      <c r="AO18" s="10"/>
      <c r="AP18" s="12">
        <v>5876.55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5876.55</v>
      </c>
      <c r="BA18" s="15">
        <v>2592.85</v>
      </c>
      <c r="BB18" s="15">
        <v>5876.55</v>
      </c>
      <c r="BC18" s="15">
        <v>2592.85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0</v>
      </c>
      <c r="BY18" s="242">
        <v>0</v>
      </c>
      <c r="BZ18" s="242">
        <v>0</v>
      </c>
      <c r="CA18" s="242">
        <v>0</v>
      </c>
      <c r="CB18" s="243" t="s">
        <v>633</v>
      </c>
      <c r="CC18" s="248">
        <v>2592.85</v>
      </c>
      <c r="CD18" s="248">
        <v>2592.85</v>
      </c>
      <c r="CE18" s="248">
        <v>5876.55</v>
      </c>
      <c r="CF18" s="248">
        <v>0</v>
      </c>
    </row>
    <row r="19" spans="1:84" x14ac:dyDescent="0.25">
      <c r="A19" s="254" t="s">
        <v>668</v>
      </c>
      <c r="B19" s="255" t="s">
        <v>669</v>
      </c>
      <c r="C19" s="255" t="s">
        <v>636</v>
      </c>
      <c r="D19" s="233"/>
      <c r="E19" s="234">
        <v>49530</v>
      </c>
      <c r="F19" s="235">
        <v>49530</v>
      </c>
      <c r="G19" s="256"/>
      <c r="H19" s="257"/>
      <c r="I19" s="237"/>
      <c r="J19" s="238">
        <v>49530</v>
      </c>
      <c r="K19" s="239"/>
      <c r="L19" s="240"/>
      <c r="M19" s="8">
        <v>46414.84</v>
      </c>
      <c r="N19" s="241">
        <v>46915</v>
      </c>
      <c r="O19" s="72"/>
      <c r="P19" s="100"/>
      <c r="Q19" s="9"/>
      <c r="R19" s="9"/>
      <c r="S19" s="9"/>
      <c r="T19" s="258">
        <v>46082</v>
      </c>
      <c r="U19" s="10"/>
      <c r="V19" s="23"/>
      <c r="W19" s="11"/>
      <c r="X19" s="8">
        <v>21170.95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21170.95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49530</v>
      </c>
      <c r="BA19" s="15">
        <v>46915</v>
      </c>
      <c r="BB19" s="15">
        <v>49530</v>
      </c>
      <c r="BC19" s="15">
        <v>46915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634</v>
      </c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21170.95</v>
      </c>
      <c r="CD19" s="248">
        <v>21170.95</v>
      </c>
      <c r="CE19" s="248">
        <v>0</v>
      </c>
      <c r="CF19" s="248">
        <v>0</v>
      </c>
    </row>
    <row r="20" spans="1:84" x14ac:dyDescent="0.25">
      <c r="A20" s="254" t="s">
        <v>670</v>
      </c>
      <c r="B20" s="255" t="s">
        <v>671</v>
      </c>
      <c r="C20" s="255" t="s">
        <v>636</v>
      </c>
      <c r="D20" s="233"/>
      <c r="E20" s="234">
        <v>34935</v>
      </c>
      <c r="F20" s="235">
        <v>34935</v>
      </c>
      <c r="G20" s="256"/>
      <c r="H20" s="257"/>
      <c r="I20" s="237"/>
      <c r="J20" s="238">
        <v>34935</v>
      </c>
      <c r="K20" s="239"/>
      <c r="L20" s="240"/>
      <c r="M20" s="8">
        <v>29528.86</v>
      </c>
      <c r="N20" s="241">
        <v>29529</v>
      </c>
      <c r="O20" s="72"/>
      <c r="P20" s="100"/>
      <c r="Q20" s="9"/>
      <c r="R20" s="9"/>
      <c r="S20" s="9"/>
      <c r="T20" s="258">
        <v>46082</v>
      </c>
      <c r="U20" s="10"/>
      <c r="V20" s="23"/>
      <c r="W20" s="11"/>
      <c r="X20" s="8">
        <v>18780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18780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34935</v>
      </c>
      <c r="BA20" s="15">
        <v>29529</v>
      </c>
      <c r="BB20" s="15">
        <v>34935</v>
      </c>
      <c r="BC20" s="15">
        <v>29529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18780</v>
      </c>
      <c r="CD20" s="248">
        <v>18780</v>
      </c>
      <c r="CE20" s="248">
        <v>0</v>
      </c>
      <c r="CF20" s="248">
        <v>0</v>
      </c>
    </row>
    <row r="21" spans="1:84" x14ac:dyDescent="0.25">
      <c r="A21" s="254" t="s">
        <v>672</v>
      </c>
      <c r="B21" s="255" t="s">
        <v>647</v>
      </c>
      <c r="C21" s="255" t="s">
        <v>636</v>
      </c>
      <c r="D21" s="233"/>
      <c r="E21" s="234">
        <v>1785125</v>
      </c>
      <c r="F21" s="235">
        <v>1785125</v>
      </c>
      <c r="G21" s="256"/>
      <c r="H21" s="257"/>
      <c r="I21" s="237"/>
      <c r="J21" s="238">
        <v>1632125</v>
      </c>
      <c r="K21" s="239"/>
      <c r="L21" s="240"/>
      <c r="M21" s="8">
        <v>1264773.79</v>
      </c>
      <c r="N21" s="241">
        <v>1113545</v>
      </c>
      <c r="O21" s="71"/>
      <c r="P21" s="100"/>
      <c r="Q21" s="9"/>
      <c r="R21" s="9"/>
      <c r="S21" s="9"/>
      <c r="T21" s="258">
        <v>46174</v>
      </c>
      <c r="U21" s="10"/>
      <c r="V21" s="23"/>
      <c r="W21" s="11"/>
      <c r="X21" s="8">
        <v>956822.03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956822.03</v>
      </c>
      <c r="AJ21" s="9"/>
      <c r="AK21" s="10"/>
      <c r="AL21" s="25"/>
      <c r="AM21" s="25"/>
      <c r="AN21" s="25"/>
      <c r="AO21" s="10"/>
      <c r="AP21" s="12">
        <v>943175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1632125</v>
      </c>
      <c r="BA21" s="15">
        <v>1113545</v>
      </c>
      <c r="BB21" s="15">
        <v>1632125</v>
      </c>
      <c r="BC21" s="15">
        <v>1113545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956822.03</v>
      </c>
      <c r="CD21" s="248">
        <v>956822.03</v>
      </c>
      <c r="CE21" s="248">
        <v>943175</v>
      </c>
      <c r="CF21" s="248">
        <v>0</v>
      </c>
    </row>
    <row r="22" spans="1:84" x14ac:dyDescent="0.25">
      <c r="A22" s="254" t="s">
        <v>673</v>
      </c>
      <c r="B22" s="255" t="s">
        <v>648</v>
      </c>
      <c r="C22" s="255" t="s">
        <v>636</v>
      </c>
      <c r="D22" s="233"/>
      <c r="E22" s="234">
        <v>0</v>
      </c>
      <c r="F22" s="235">
        <v>0</v>
      </c>
      <c r="G22" s="256"/>
      <c r="H22" s="257"/>
      <c r="I22" s="237"/>
      <c r="J22" s="238">
        <v>21688</v>
      </c>
      <c r="K22" s="239"/>
      <c r="L22" s="240"/>
      <c r="M22" s="8">
        <v>20390.669999999998</v>
      </c>
      <c r="N22" s="241">
        <v>20895.419999999998</v>
      </c>
      <c r="O22" s="71"/>
      <c r="P22" s="100"/>
      <c r="Q22" s="9"/>
      <c r="R22" s="9"/>
      <c r="S22" s="9"/>
      <c r="T22" s="258"/>
      <c r="U22" s="10"/>
      <c r="V22" s="23"/>
      <c r="W22" s="11"/>
      <c r="X22" s="8">
        <v>20895.419999999998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20895.419999999998</v>
      </c>
      <c r="AJ22" s="9"/>
      <c r="AK22" s="10"/>
      <c r="AL22" s="25"/>
      <c r="AM22" s="25"/>
      <c r="AN22" s="25"/>
      <c r="AO22" s="10"/>
      <c r="AP22" s="12">
        <v>21688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21688</v>
      </c>
      <c r="BA22" s="15">
        <v>20895.419999999998</v>
      </c>
      <c r="BB22" s="15">
        <v>21688</v>
      </c>
      <c r="BC22" s="15">
        <v>20895.419999999998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634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20895.419999999998</v>
      </c>
      <c r="CD22" s="248">
        <v>20895.419999999998</v>
      </c>
      <c r="CE22" s="248">
        <v>21688</v>
      </c>
      <c r="CF22" s="248">
        <v>0</v>
      </c>
    </row>
    <row r="23" spans="1:84" x14ac:dyDescent="0.25">
      <c r="A23" s="254" t="s">
        <v>674</v>
      </c>
      <c r="B23" s="255" t="s">
        <v>675</v>
      </c>
      <c r="C23" s="255" t="s">
        <v>636</v>
      </c>
      <c r="D23" s="233"/>
      <c r="E23" s="234">
        <v>7475</v>
      </c>
      <c r="F23" s="235">
        <v>7475</v>
      </c>
      <c r="G23" s="256"/>
      <c r="H23" s="257"/>
      <c r="I23" s="237"/>
      <c r="J23" s="238">
        <v>7475</v>
      </c>
      <c r="K23" s="239"/>
      <c r="L23" s="240"/>
      <c r="M23" s="8">
        <v>0</v>
      </c>
      <c r="N23" s="241">
        <v>0</v>
      </c>
      <c r="O23" s="71"/>
      <c r="P23" s="100"/>
      <c r="Q23" s="9"/>
      <c r="R23" s="9"/>
      <c r="S23" s="9"/>
      <c r="T23" s="258"/>
      <c r="U23" s="10"/>
      <c r="V23" s="23"/>
      <c r="W23" s="11"/>
      <c r="X23" s="8">
        <v>0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0</v>
      </c>
      <c r="AJ23" s="9"/>
      <c r="AK23" s="10"/>
      <c r="AL23" s="25"/>
      <c r="AM23" s="25"/>
      <c r="AN23" s="25"/>
      <c r="AO23" s="10"/>
      <c r="AP23" s="12">
        <v>0</v>
      </c>
      <c r="AQ23" s="12"/>
      <c r="AR23" s="12"/>
      <c r="AS23" s="242"/>
      <c r="AT23" s="243"/>
      <c r="AU23" s="242"/>
      <c r="AV23" s="242"/>
      <c r="AW23" s="244"/>
      <c r="AX23" s="243"/>
      <c r="AY23" s="243"/>
      <c r="AZ23" s="242">
        <v>0</v>
      </c>
      <c r="BA23" s="242">
        <v>0</v>
      </c>
      <c r="BB23" s="242">
        <v>0</v>
      </c>
      <c r="BC23" s="242">
        <v>0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0</v>
      </c>
      <c r="CD23" s="248">
        <v>0</v>
      </c>
      <c r="CE23" s="248">
        <v>0</v>
      </c>
      <c r="CF23" s="248">
        <v>0</v>
      </c>
    </row>
    <row r="24" spans="1:84" x14ac:dyDescent="0.25">
      <c r="A24" s="254" t="s">
        <v>676</v>
      </c>
      <c r="B24" s="255" t="s">
        <v>677</v>
      </c>
      <c r="C24" s="255" t="s">
        <v>636</v>
      </c>
      <c r="D24" s="233"/>
      <c r="E24" s="234">
        <v>0</v>
      </c>
      <c r="F24" s="235">
        <v>0</v>
      </c>
      <c r="G24" s="256"/>
      <c r="H24" s="257"/>
      <c r="I24" s="237"/>
      <c r="J24" s="238">
        <v>14445</v>
      </c>
      <c r="K24" s="239"/>
      <c r="L24" s="240"/>
      <c r="M24" s="8">
        <v>10246.01</v>
      </c>
      <c r="N24" s="241">
        <v>10769.49</v>
      </c>
      <c r="O24" s="71"/>
      <c r="P24" s="100"/>
      <c r="Q24" s="9"/>
      <c r="R24" s="9"/>
      <c r="S24" s="9"/>
      <c r="T24" s="258"/>
      <c r="U24" s="10"/>
      <c r="V24" s="23"/>
      <c r="W24" s="11"/>
      <c r="X24" s="8">
        <v>10769.49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10769.49</v>
      </c>
      <c r="AJ24" s="9"/>
      <c r="AK24" s="10"/>
      <c r="AL24" s="25"/>
      <c r="AM24" s="25"/>
      <c r="AN24" s="25"/>
      <c r="AO24" s="10"/>
      <c r="AP24" s="12">
        <v>14445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14445</v>
      </c>
      <c r="BA24" s="15">
        <v>10769.49</v>
      </c>
      <c r="BB24" s="15">
        <v>14445</v>
      </c>
      <c r="BC24" s="15">
        <v>10769.49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10769.49</v>
      </c>
      <c r="CD24" s="248">
        <v>10769.49</v>
      </c>
      <c r="CE24" s="248">
        <v>14445</v>
      </c>
      <c r="CF24" s="248">
        <v>0</v>
      </c>
    </row>
    <row r="25" spans="1:84" x14ac:dyDescent="0.25">
      <c r="A25" s="254" t="s">
        <v>678</v>
      </c>
      <c r="B25" s="255" t="s">
        <v>679</v>
      </c>
      <c r="C25" s="255" t="s">
        <v>636</v>
      </c>
      <c r="D25" s="233"/>
      <c r="E25" s="234">
        <v>0</v>
      </c>
      <c r="F25" s="235">
        <v>0</v>
      </c>
      <c r="G25" s="256"/>
      <c r="H25" s="257"/>
      <c r="I25" s="237"/>
      <c r="J25" s="238">
        <v>4388</v>
      </c>
      <c r="K25" s="249"/>
      <c r="L25" s="240"/>
      <c r="M25" s="8">
        <v>3705.29</v>
      </c>
      <c r="N25" s="241">
        <v>4387.79</v>
      </c>
      <c r="O25" s="71"/>
      <c r="P25" s="100"/>
      <c r="Q25" s="9"/>
      <c r="R25" s="9"/>
      <c r="S25" s="9"/>
      <c r="T25" s="258"/>
      <c r="U25" s="10"/>
      <c r="V25" s="23"/>
      <c r="W25" s="11"/>
      <c r="X25" s="8">
        <v>4387.79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4387.79</v>
      </c>
      <c r="AJ25" s="9"/>
      <c r="AK25" s="10"/>
      <c r="AL25" s="25"/>
      <c r="AM25" s="25"/>
      <c r="AN25" s="25"/>
      <c r="AO25" s="10"/>
      <c r="AP25" s="12">
        <v>0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4388</v>
      </c>
      <c r="BA25" s="15">
        <v>4387.79</v>
      </c>
      <c r="BB25" s="15">
        <v>4388</v>
      </c>
      <c r="BC25" s="15">
        <v>4387.79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634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4387.79</v>
      </c>
      <c r="CD25" s="248">
        <v>4387.79</v>
      </c>
      <c r="CE25" s="248">
        <v>0</v>
      </c>
      <c r="CF25" s="248">
        <v>0</v>
      </c>
    </row>
    <row r="26" spans="1:84" x14ac:dyDescent="0.25">
      <c r="A26" s="254" t="s">
        <v>680</v>
      </c>
      <c r="B26" s="255" t="s">
        <v>681</v>
      </c>
      <c r="C26" s="255" t="s">
        <v>636</v>
      </c>
      <c r="D26" s="233"/>
      <c r="E26" s="234">
        <v>12500</v>
      </c>
      <c r="F26" s="235">
        <v>12500</v>
      </c>
      <c r="G26" s="256"/>
      <c r="H26" s="257"/>
      <c r="I26" s="237"/>
      <c r="J26" s="238">
        <v>12500</v>
      </c>
      <c r="K26" s="249"/>
      <c r="L26" s="240"/>
      <c r="M26" s="8">
        <v>8457.2900000000009</v>
      </c>
      <c r="N26" s="241">
        <v>9100</v>
      </c>
      <c r="O26" s="71"/>
      <c r="P26" s="100"/>
      <c r="Q26" s="9"/>
      <c r="R26" s="9"/>
      <c r="S26" s="9"/>
      <c r="T26" s="258">
        <v>46174</v>
      </c>
      <c r="U26" s="10"/>
      <c r="V26" s="23"/>
      <c r="W26" s="11"/>
      <c r="X26" s="8">
        <v>5470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5470</v>
      </c>
      <c r="AJ26" s="9"/>
      <c r="AK26" s="10"/>
      <c r="AL26" s="25"/>
      <c r="AM26" s="25"/>
      <c r="AN26" s="25"/>
      <c r="AO26" s="10"/>
      <c r="AP26" s="12">
        <v>0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12500</v>
      </c>
      <c r="BA26" s="15">
        <v>9100</v>
      </c>
      <c r="BB26" s="15">
        <v>12500</v>
      </c>
      <c r="BC26" s="15">
        <v>9100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634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5470</v>
      </c>
      <c r="CD26" s="248">
        <v>5470</v>
      </c>
      <c r="CE26" s="248">
        <v>0</v>
      </c>
      <c r="CF26" s="248">
        <v>0</v>
      </c>
    </row>
    <row r="27" spans="1:84" x14ac:dyDescent="0.25">
      <c r="A27" s="254" t="s">
        <v>682</v>
      </c>
      <c r="B27" s="255" t="s">
        <v>683</v>
      </c>
      <c r="C27" s="255" t="s">
        <v>636</v>
      </c>
      <c r="D27" s="233"/>
      <c r="E27" s="234">
        <v>45295</v>
      </c>
      <c r="F27" s="235">
        <v>45295</v>
      </c>
      <c r="G27" s="256"/>
      <c r="H27" s="257"/>
      <c r="I27" s="237"/>
      <c r="J27" s="238">
        <v>45295</v>
      </c>
      <c r="K27" s="239"/>
      <c r="L27" s="240"/>
      <c r="M27" s="8">
        <v>34227.279999999999</v>
      </c>
      <c r="N27" s="241">
        <v>34263</v>
      </c>
      <c r="O27" s="71"/>
      <c r="P27" s="100"/>
      <c r="Q27" s="9"/>
      <c r="R27" s="9"/>
      <c r="S27" s="9"/>
      <c r="T27" s="258">
        <v>46174</v>
      </c>
      <c r="U27" s="10"/>
      <c r="V27" s="23"/>
      <c r="W27" s="11"/>
      <c r="X27" s="8">
        <v>8470.48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8470.48</v>
      </c>
      <c r="AJ27" s="9"/>
      <c r="AK27" s="10"/>
      <c r="AL27" s="25"/>
      <c r="AM27" s="25"/>
      <c r="AN27" s="25"/>
      <c r="AO27" s="10"/>
      <c r="AP27" s="12">
        <v>0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45295</v>
      </c>
      <c r="BA27" s="15">
        <v>34263</v>
      </c>
      <c r="BB27" s="15">
        <v>45295</v>
      </c>
      <c r="BC27" s="15">
        <v>34263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634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8470.48</v>
      </c>
      <c r="CD27" s="248">
        <v>8470.48</v>
      </c>
      <c r="CE27" s="248">
        <v>0</v>
      </c>
      <c r="CF27" s="248">
        <v>0</v>
      </c>
    </row>
    <row r="28" spans="1:84" x14ac:dyDescent="0.25">
      <c r="A28" s="254" t="s">
        <v>684</v>
      </c>
      <c r="B28" s="255" t="s">
        <v>685</v>
      </c>
      <c r="C28" s="255" t="s">
        <v>636</v>
      </c>
      <c r="D28" s="233"/>
      <c r="E28" s="234">
        <v>4424.5</v>
      </c>
      <c r="F28" s="235">
        <v>4424.5</v>
      </c>
      <c r="G28" s="256"/>
      <c r="H28" s="257"/>
      <c r="I28" s="237"/>
      <c r="J28" s="238">
        <v>4424.5</v>
      </c>
      <c r="K28" s="239"/>
      <c r="L28" s="240"/>
      <c r="M28" s="8">
        <v>0</v>
      </c>
      <c r="N28" s="241">
        <v>0</v>
      </c>
      <c r="O28" s="239"/>
      <c r="P28" s="240"/>
      <c r="Q28" s="9"/>
      <c r="R28" s="9"/>
      <c r="S28" s="9"/>
      <c r="T28" s="258"/>
      <c r="U28" s="10"/>
      <c r="V28" s="23"/>
      <c r="W28" s="11"/>
      <c r="X28" s="8">
        <v>0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0</v>
      </c>
      <c r="AJ28" s="9"/>
      <c r="AK28" s="10"/>
      <c r="AL28" s="25"/>
      <c r="AM28" s="25"/>
      <c r="AN28" s="25"/>
      <c r="AO28" s="10"/>
      <c r="AP28" s="12">
        <v>0</v>
      </c>
      <c r="AQ28" s="12"/>
      <c r="AR28" s="12"/>
      <c r="AS28" s="242"/>
      <c r="AT28" s="243"/>
      <c r="AU28" s="242"/>
      <c r="AV28" s="242"/>
      <c r="AW28" s="244"/>
      <c r="AX28" s="243"/>
      <c r="AY28" s="243"/>
      <c r="AZ28" s="242">
        <v>0</v>
      </c>
      <c r="BA28" s="242">
        <v>0</v>
      </c>
      <c r="BB28" s="242">
        <v>0</v>
      </c>
      <c r="BC28" s="242">
        <v>0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0</v>
      </c>
      <c r="CD28" s="248">
        <v>0</v>
      </c>
      <c r="CE28" s="248">
        <v>0</v>
      </c>
      <c r="CF28" s="248">
        <v>0</v>
      </c>
    </row>
    <row r="29" spans="1:84" x14ac:dyDescent="0.25">
      <c r="A29" s="254" t="s">
        <v>686</v>
      </c>
      <c r="B29" s="255" t="s">
        <v>687</v>
      </c>
      <c r="C29" s="255" t="s">
        <v>636</v>
      </c>
      <c r="D29" s="233"/>
      <c r="E29" s="234">
        <v>1262500</v>
      </c>
      <c r="F29" s="235">
        <v>1371135</v>
      </c>
      <c r="G29" s="256"/>
      <c r="H29" s="257"/>
      <c r="I29" s="237"/>
      <c r="J29" s="238">
        <v>1262500</v>
      </c>
      <c r="K29" s="239"/>
      <c r="L29" s="240"/>
      <c r="M29" s="8">
        <v>968682.13</v>
      </c>
      <c r="N29" s="241">
        <v>969942</v>
      </c>
      <c r="O29" s="71"/>
      <c r="P29" s="100"/>
      <c r="Q29" s="9"/>
      <c r="R29" s="9"/>
      <c r="S29" s="9"/>
      <c r="T29" s="258">
        <v>46539</v>
      </c>
      <c r="U29" s="10"/>
      <c r="V29" s="23"/>
      <c r="W29" s="11"/>
      <c r="X29" s="8">
        <v>32805.800000000003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32805.800000000003</v>
      </c>
      <c r="AJ29" s="9"/>
      <c r="AK29" s="10"/>
      <c r="AL29" s="25"/>
      <c r="AM29" s="25"/>
      <c r="AN29" s="25"/>
      <c r="AO29" s="10"/>
      <c r="AP29" s="12">
        <v>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1262500</v>
      </c>
      <c r="BA29" s="15">
        <v>969942</v>
      </c>
      <c r="BB29" s="15">
        <v>1262500</v>
      </c>
      <c r="BC29" s="15">
        <v>969942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634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32805.800000000003</v>
      </c>
      <c r="CD29" s="248">
        <v>32805.800000000003</v>
      </c>
      <c r="CE29" s="248">
        <v>0</v>
      </c>
      <c r="CF29" s="248">
        <v>0</v>
      </c>
    </row>
    <row r="30" spans="1:84" x14ac:dyDescent="0.25">
      <c r="A30" s="254" t="s">
        <v>688</v>
      </c>
      <c r="B30" s="255" t="s">
        <v>689</v>
      </c>
      <c r="C30" s="255" t="s">
        <v>636</v>
      </c>
      <c r="D30" s="233"/>
      <c r="E30" s="234">
        <v>199300</v>
      </c>
      <c r="F30" s="235">
        <v>199300</v>
      </c>
      <c r="G30" s="256"/>
      <c r="H30" s="257"/>
      <c r="I30" s="237"/>
      <c r="J30" s="238">
        <v>199300</v>
      </c>
      <c r="K30" s="239"/>
      <c r="L30" s="240"/>
      <c r="M30" s="8">
        <v>468</v>
      </c>
      <c r="N30" s="241">
        <v>111831</v>
      </c>
      <c r="O30" s="71"/>
      <c r="P30" s="100"/>
      <c r="Q30" s="9"/>
      <c r="R30" s="9"/>
      <c r="S30" s="9"/>
      <c r="T30" s="258">
        <v>46357</v>
      </c>
      <c r="U30" s="10"/>
      <c r="V30" s="23"/>
      <c r="W30" s="11"/>
      <c r="X30" s="8">
        <v>468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468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199300</v>
      </c>
      <c r="BA30" s="15">
        <v>111831</v>
      </c>
      <c r="BB30" s="15">
        <v>199300</v>
      </c>
      <c r="BC30" s="15">
        <v>111831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634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468</v>
      </c>
      <c r="CD30" s="248">
        <v>468</v>
      </c>
      <c r="CE30" s="248">
        <v>0</v>
      </c>
      <c r="CF30" s="248">
        <v>0</v>
      </c>
    </row>
    <row r="31" spans="1:84" x14ac:dyDescent="0.25">
      <c r="A31" s="254" t="s">
        <v>690</v>
      </c>
      <c r="B31" s="255" t="s">
        <v>691</v>
      </c>
      <c r="C31" s="255" t="s">
        <v>636</v>
      </c>
      <c r="D31" s="233"/>
      <c r="E31" s="234">
        <v>43850</v>
      </c>
      <c r="F31" s="235">
        <v>43850</v>
      </c>
      <c r="G31" s="256"/>
      <c r="H31" s="257"/>
      <c r="I31" s="237"/>
      <c r="J31" s="238">
        <v>43850</v>
      </c>
      <c r="K31" s="239"/>
      <c r="L31" s="240"/>
      <c r="M31" s="8">
        <v>31194.38</v>
      </c>
      <c r="N31" s="241">
        <v>31661</v>
      </c>
      <c r="O31" s="71"/>
      <c r="P31" s="100"/>
      <c r="Q31" s="9"/>
      <c r="R31" s="9"/>
      <c r="S31" s="9"/>
      <c r="T31" s="258">
        <v>46082</v>
      </c>
      <c r="U31" s="10"/>
      <c r="V31" s="23"/>
      <c r="W31" s="11"/>
      <c r="X31" s="8">
        <v>4266.53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4266.53</v>
      </c>
      <c r="AJ31" s="9"/>
      <c r="AK31" s="10"/>
      <c r="AL31" s="25"/>
      <c r="AM31" s="25"/>
      <c r="AN31" s="25"/>
      <c r="AO31" s="10"/>
      <c r="AP31" s="12">
        <v>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43850</v>
      </c>
      <c r="BA31" s="15">
        <v>31661</v>
      </c>
      <c r="BB31" s="15">
        <v>43850</v>
      </c>
      <c r="BC31" s="15">
        <v>31661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634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4266.53</v>
      </c>
      <c r="CD31" s="248">
        <v>4266.53</v>
      </c>
      <c r="CE31" s="248">
        <v>0</v>
      </c>
      <c r="CF31" s="248">
        <v>0</v>
      </c>
    </row>
    <row r="32" spans="1:84" x14ac:dyDescent="0.25">
      <c r="A32" s="254" t="s">
        <v>692</v>
      </c>
      <c r="B32" s="255" t="s">
        <v>693</v>
      </c>
      <c r="C32" s="255" t="s">
        <v>636</v>
      </c>
      <c r="D32" s="233"/>
      <c r="E32" s="234">
        <v>38600</v>
      </c>
      <c r="F32" s="235">
        <v>38600</v>
      </c>
      <c r="G32" s="256"/>
      <c r="H32" s="257"/>
      <c r="I32" s="237"/>
      <c r="J32" s="238">
        <v>38600</v>
      </c>
      <c r="K32" s="239"/>
      <c r="L32" s="240"/>
      <c r="M32" s="8">
        <v>23400.93</v>
      </c>
      <c r="N32" s="241">
        <v>24067</v>
      </c>
      <c r="O32" s="71"/>
      <c r="P32" s="100"/>
      <c r="Q32" s="9"/>
      <c r="R32" s="9"/>
      <c r="S32" s="9"/>
      <c r="T32" s="258">
        <v>46447</v>
      </c>
      <c r="U32" s="10"/>
      <c r="V32" s="23"/>
      <c r="W32" s="11"/>
      <c r="X32" s="8">
        <v>174.17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174.17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38600</v>
      </c>
      <c r="BA32" s="15">
        <v>24067</v>
      </c>
      <c r="BB32" s="15">
        <v>38600</v>
      </c>
      <c r="BC32" s="15">
        <v>24067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 t="s">
        <v>634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174.17</v>
      </c>
      <c r="CD32" s="248">
        <v>174.17</v>
      </c>
      <c r="CE32" s="248">
        <v>0</v>
      </c>
      <c r="CF32" s="248">
        <v>0</v>
      </c>
    </row>
    <row r="33" spans="1:84" x14ac:dyDescent="0.25">
      <c r="A33" s="254" t="s">
        <v>694</v>
      </c>
      <c r="B33" s="255" t="s">
        <v>695</v>
      </c>
      <c r="C33" s="255" t="s">
        <v>636</v>
      </c>
      <c r="D33" s="233"/>
      <c r="E33" s="234">
        <v>9642.5</v>
      </c>
      <c r="F33" s="235">
        <v>9642.5</v>
      </c>
      <c r="G33" s="256"/>
      <c r="H33" s="257"/>
      <c r="I33" s="237"/>
      <c r="J33" s="238">
        <v>1705</v>
      </c>
      <c r="K33" s="239"/>
      <c r="L33" s="240"/>
      <c r="M33" s="8">
        <v>109137.27</v>
      </c>
      <c r="N33" s="241">
        <v>1173.1099999999999</v>
      </c>
      <c r="O33" s="71"/>
      <c r="P33" s="100"/>
      <c r="Q33" s="9"/>
      <c r="R33" s="9"/>
      <c r="S33" s="9"/>
      <c r="T33" s="258"/>
      <c r="U33" s="10"/>
      <c r="V33" s="23"/>
      <c r="W33" s="11"/>
      <c r="X33" s="8">
        <v>1173.1099999999999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1173.1099999999999</v>
      </c>
      <c r="AJ33" s="9"/>
      <c r="AK33" s="10"/>
      <c r="AL33" s="25"/>
      <c r="AM33" s="25"/>
      <c r="AN33" s="25"/>
      <c r="AO33" s="10"/>
      <c r="AP33" s="12">
        <v>1705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2905</v>
      </c>
      <c r="BA33" s="15">
        <v>1173.1099999999999</v>
      </c>
      <c r="BB33" s="15">
        <v>1705</v>
      </c>
      <c r="BC33" s="15">
        <v>1173.1099999999999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634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1173.1099999999999</v>
      </c>
      <c r="CD33" s="248">
        <v>1173.1099999999999</v>
      </c>
      <c r="CE33" s="248">
        <v>1705</v>
      </c>
      <c r="CF33" s="248">
        <v>0</v>
      </c>
    </row>
    <row r="34" spans="1:84" x14ac:dyDescent="0.25">
      <c r="A34" s="254" t="s">
        <v>696</v>
      </c>
      <c r="B34" s="255" t="s">
        <v>697</v>
      </c>
      <c r="C34" s="255" t="s">
        <v>636</v>
      </c>
      <c r="D34" s="233"/>
      <c r="E34" s="234">
        <v>10000</v>
      </c>
      <c r="F34" s="235">
        <v>10000</v>
      </c>
      <c r="G34" s="256"/>
      <c r="H34" s="257"/>
      <c r="I34" s="237"/>
      <c r="J34" s="238">
        <v>10000</v>
      </c>
      <c r="K34" s="239"/>
      <c r="L34" s="240"/>
      <c r="M34" s="8">
        <v>8193.35</v>
      </c>
      <c r="N34" s="241">
        <v>8186</v>
      </c>
      <c r="O34" s="71"/>
      <c r="P34" s="100"/>
      <c r="Q34" s="9"/>
      <c r="R34" s="9"/>
      <c r="S34" s="9"/>
      <c r="T34" s="258">
        <v>46174</v>
      </c>
      <c r="U34" s="10"/>
      <c r="V34" s="23"/>
      <c r="W34" s="11"/>
      <c r="X34" s="8">
        <v>973.7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973.7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10000</v>
      </c>
      <c r="BA34" s="15">
        <v>8186</v>
      </c>
      <c r="BB34" s="15">
        <v>10000</v>
      </c>
      <c r="BC34" s="15">
        <v>8186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 t="s">
        <v>634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973.7</v>
      </c>
      <c r="CD34" s="248">
        <v>973.7</v>
      </c>
      <c r="CE34" s="248">
        <v>0</v>
      </c>
      <c r="CF34" s="248">
        <v>0</v>
      </c>
    </row>
    <row r="35" spans="1:84" x14ac:dyDescent="0.25">
      <c r="A35" s="254" t="s">
        <v>698</v>
      </c>
      <c r="B35" s="255" t="s">
        <v>699</v>
      </c>
      <c r="C35" s="255" t="s">
        <v>636</v>
      </c>
      <c r="D35" s="233"/>
      <c r="E35" s="234">
        <v>643280</v>
      </c>
      <c r="F35" s="235">
        <v>643280</v>
      </c>
      <c r="G35" s="256"/>
      <c r="H35" s="257"/>
      <c r="I35" s="237"/>
      <c r="J35" s="238">
        <v>643280</v>
      </c>
      <c r="K35" s="239"/>
      <c r="L35" s="240"/>
      <c r="M35" s="8">
        <v>430300.6</v>
      </c>
      <c r="N35" s="241">
        <v>643280</v>
      </c>
      <c r="O35" s="71"/>
      <c r="P35" s="100"/>
      <c r="Q35" s="9"/>
      <c r="R35" s="9"/>
      <c r="S35" s="9"/>
      <c r="T35" s="258"/>
      <c r="U35" s="10"/>
      <c r="V35" s="23"/>
      <c r="W35" s="11"/>
      <c r="X35" s="8">
        <v>5483.41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5483.41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643280</v>
      </c>
      <c r="BA35" s="15">
        <v>643280</v>
      </c>
      <c r="BB35" s="15">
        <v>643280</v>
      </c>
      <c r="BC35" s="15">
        <v>643280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 t="s">
        <v>634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5483.41</v>
      </c>
      <c r="CD35" s="248">
        <v>5483.41</v>
      </c>
      <c r="CE35" s="248">
        <v>0</v>
      </c>
      <c r="CF35" s="248">
        <v>0</v>
      </c>
    </row>
    <row r="36" spans="1:84" x14ac:dyDescent="0.25">
      <c r="A36" s="254" t="s">
        <v>700</v>
      </c>
      <c r="B36" s="255" t="s">
        <v>701</v>
      </c>
      <c r="C36" s="255" t="s">
        <v>636</v>
      </c>
      <c r="D36" s="233"/>
      <c r="E36" s="234">
        <v>50000</v>
      </c>
      <c r="F36" s="235">
        <v>50000</v>
      </c>
      <c r="G36" s="256"/>
      <c r="H36" s="257"/>
      <c r="I36" s="237"/>
      <c r="J36" s="238">
        <v>50000</v>
      </c>
      <c r="K36" s="239"/>
      <c r="L36" s="240"/>
      <c r="M36" s="8">
        <v>0</v>
      </c>
      <c r="N36" s="241">
        <v>0</v>
      </c>
      <c r="O36" s="71"/>
      <c r="P36" s="100"/>
      <c r="Q36" s="9"/>
      <c r="R36" s="9"/>
      <c r="S36" s="9"/>
      <c r="T36" s="258"/>
      <c r="U36" s="10"/>
      <c r="V36" s="23"/>
      <c r="W36" s="11"/>
      <c r="X36" s="8">
        <v>0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0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2"/>
      <c r="AT36" s="243"/>
      <c r="AU36" s="242"/>
      <c r="AV36" s="242"/>
      <c r="AW36" s="244"/>
      <c r="AX36" s="243"/>
      <c r="AY36" s="243"/>
      <c r="AZ36" s="242">
        <v>0</v>
      </c>
      <c r="BA36" s="242">
        <v>0</v>
      </c>
      <c r="BB36" s="242">
        <v>0</v>
      </c>
      <c r="BC36" s="242">
        <v>0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0</v>
      </c>
      <c r="CD36" s="248">
        <v>0</v>
      </c>
      <c r="CE36" s="248">
        <v>0</v>
      </c>
      <c r="CF36" s="248">
        <v>0</v>
      </c>
    </row>
    <row r="37" spans="1:84" x14ac:dyDescent="0.25">
      <c r="A37" s="254" t="s">
        <v>702</v>
      </c>
      <c r="B37" s="255" t="s">
        <v>703</v>
      </c>
      <c r="C37" s="255" t="s">
        <v>636</v>
      </c>
      <c r="D37" s="233"/>
      <c r="E37" s="234">
        <v>10000</v>
      </c>
      <c r="F37" s="235">
        <v>10000</v>
      </c>
      <c r="G37" s="256"/>
      <c r="H37" s="257"/>
      <c r="I37" s="237"/>
      <c r="J37" s="238">
        <v>10000</v>
      </c>
      <c r="K37" s="239"/>
      <c r="L37" s="240"/>
      <c r="M37" s="8">
        <v>0</v>
      </c>
      <c r="N37" s="241">
        <v>0</v>
      </c>
      <c r="O37" s="71"/>
      <c r="P37" s="100"/>
      <c r="Q37" s="9"/>
      <c r="R37" s="9"/>
      <c r="S37" s="9"/>
      <c r="T37" s="258"/>
      <c r="U37" s="10"/>
      <c r="V37" s="23"/>
      <c r="W37" s="11"/>
      <c r="X37" s="8">
        <v>0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0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/>
      <c r="AY37" s="243"/>
      <c r="AZ37" s="242">
        <v>0</v>
      </c>
      <c r="BA37" s="242">
        <v>0</v>
      </c>
      <c r="BB37" s="242">
        <v>0</v>
      </c>
      <c r="BC37" s="242">
        <v>0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0</v>
      </c>
      <c r="CD37" s="248">
        <v>0</v>
      </c>
      <c r="CE37" s="248">
        <v>0</v>
      </c>
      <c r="CF37" s="248">
        <v>0</v>
      </c>
    </row>
    <row r="38" spans="1:84" x14ac:dyDescent="0.25">
      <c r="A38" s="254"/>
      <c r="B38" s="93" t="s">
        <v>704</v>
      </c>
      <c r="C38" s="255"/>
      <c r="D38" s="233"/>
      <c r="E38" s="279">
        <f>SUM(E8:E37)</f>
        <v>4956950.38</v>
      </c>
      <c r="F38" s="268">
        <f>SUM(F8:F37)</f>
        <v>5065585.38</v>
      </c>
      <c r="G38" s="256"/>
      <c r="H38" s="257"/>
      <c r="I38" s="237"/>
      <c r="J38" s="280">
        <f>SUM(J8:J37)</f>
        <v>4848849.88</v>
      </c>
      <c r="K38" s="239"/>
      <c r="L38" s="240"/>
      <c r="M38" s="272">
        <f>SUM(M8:M37)</f>
        <v>4507879.8599999994</v>
      </c>
      <c r="N38" s="281">
        <f>SUM(N8:N37)</f>
        <v>3700659.4899999998</v>
      </c>
      <c r="O38" s="71"/>
      <c r="P38" s="100"/>
      <c r="Q38" s="270">
        <f>SUM(Q8:Q37)</f>
        <v>0</v>
      </c>
      <c r="R38" s="270">
        <f>SUM(R8:R37)</f>
        <v>0</v>
      </c>
      <c r="S38" s="270">
        <f>SUM(S8:S37)</f>
        <v>0</v>
      </c>
      <c r="T38" s="258"/>
      <c r="U38" s="10"/>
      <c r="V38" s="23"/>
      <c r="W38" s="271">
        <f>SUM(W8:W37)</f>
        <v>0</v>
      </c>
      <c r="X38" s="272">
        <f>SUM(X8:X37)</f>
        <v>1605612.52</v>
      </c>
      <c r="Y38" s="270">
        <f>SUM(Y8:Y37)</f>
        <v>0</v>
      </c>
      <c r="Z38" s="270">
        <f>SUM(Z8:Z37)</f>
        <v>0</v>
      </c>
      <c r="AA38" s="270">
        <f>SUM(AA8:AA37)</f>
        <v>0</v>
      </c>
      <c r="AB38" s="10"/>
      <c r="AC38" s="24"/>
      <c r="AD38" s="271">
        <f>SUM(AD8:AD37)</f>
        <v>0</v>
      </c>
      <c r="AE38" s="272">
        <f>SUM(AE8:AE37)</f>
        <v>0</v>
      </c>
      <c r="AF38" s="270">
        <f>SUM(AF8:AF37)</f>
        <v>0</v>
      </c>
      <c r="AG38" s="10"/>
      <c r="AH38" s="271">
        <f>SUM(AH8:AH37)</f>
        <v>0</v>
      </c>
      <c r="AI38" s="272">
        <f>SUM(AI8:AI37)</f>
        <v>1605612.52</v>
      </c>
      <c r="AJ38" s="270">
        <f>SUM(AJ8:AJ37)</f>
        <v>0</v>
      </c>
      <c r="AK38" s="10"/>
      <c r="AL38" s="283">
        <f>SUM(AL8:AL37)</f>
        <v>0</v>
      </c>
      <c r="AM38" s="283">
        <f>SUM(AM8:AM37)</f>
        <v>0</v>
      </c>
      <c r="AN38" s="283">
        <f>SUM(AN8:AN37)</f>
        <v>0</v>
      </c>
      <c r="AO38" s="10"/>
      <c r="AP38" s="284">
        <f>SUM(AP8:AP37)</f>
        <v>1338822.3799999999</v>
      </c>
      <c r="AQ38" s="284">
        <f>SUM(AQ8:AQ37)</f>
        <v>0</v>
      </c>
      <c r="AR38" s="284">
        <f>SUM(AR8:AR37)</f>
        <v>0</v>
      </c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93" t="s">
        <v>632</v>
      </c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 t="s">
        <v>705</v>
      </c>
      <c r="B41" s="255" t="s">
        <v>646</v>
      </c>
      <c r="C41" s="255" t="s">
        <v>636</v>
      </c>
      <c r="D41" s="233"/>
      <c r="E41" s="234">
        <v>0</v>
      </c>
      <c r="F41" s="235">
        <v>0</v>
      </c>
      <c r="G41" s="256"/>
      <c r="H41" s="257"/>
      <c r="I41" s="237"/>
      <c r="J41" s="238">
        <v>13839.94</v>
      </c>
      <c r="K41" s="239"/>
      <c r="L41" s="240"/>
      <c r="M41" s="8">
        <v>17776.830000000002</v>
      </c>
      <c r="N41" s="241">
        <v>13839.94</v>
      </c>
      <c r="O41" s="71"/>
      <c r="P41" s="100"/>
      <c r="Q41" s="9"/>
      <c r="R41" s="9"/>
      <c r="S41" s="9"/>
      <c r="T41" s="258">
        <v>46082</v>
      </c>
      <c r="U41" s="10"/>
      <c r="V41" s="23"/>
      <c r="W41" s="11"/>
      <c r="X41" s="8">
        <v>13839.94</v>
      </c>
      <c r="Y41" s="9"/>
      <c r="Z41" s="9"/>
      <c r="AA41" s="9"/>
      <c r="AB41" s="10"/>
      <c r="AC41" s="24">
        <v>0</v>
      </c>
      <c r="AD41" s="11">
        <v>0</v>
      </c>
      <c r="AE41" s="8">
        <v>0</v>
      </c>
      <c r="AF41" s="9"/>
      <c r="AG41" s="10"/>
      <c r="AH41" s="11"/>
      <c r="AI41" s="8">
        <v>13839.94</v>
      </c>
      <c r="AJ41" s="9"/>
      <c r="AK41" s="10"/>
      <c r="AL41" s="25"/>
      <c r="AM41" s="25"/>
      <c r="AN41" s="25"/>
      <c r="AO41" s="10"/>
      <c r="AP41" s="12">
        <v>13839.94</v>
      </c>
      <c r="AQ41" s="12"/>
      <c r="AR41" s="12"/>
      <c r="AS41" s="242"/>
      <c r="AT41" s="243"/>
      <c r="AU41" s="242"/>
      <c r="AV41" s="242"/>
      <c r="AW41" s="244"/>
      <c r="AX41" s="243" t="s">
        <v>630</v>
      </c>
      <c r="AY41" s="243" t="s">
        <v>630</v>
      </c>
      <c r="AZ41" s="15">
        <v>13839.94</v>
      </c>
      <c r="BA41" s="15">
        <v>13839.94</v>
      </c>
      <c r="BB41" s="15">
        <v>13839.94</v>
      </c>
      <c r="BC41" s="15">
        <v>13839.94</v>
      </c>
      <c r="BD41" s="242">
        <v>0</v>
      </c>
      <c r="BE41" s="242">
        <v>0</v>
      </c>
      <c r="BF41" s="242"/>
      <c r="BG41" s="242">
        <v>2</v>
      </c>
      <c r="BH41" s="242">
        <v>0</v>
      </c>
      <c r="BI41" s="242">
        <v>0</v>
      </c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 t="s">
        <v>634</v>
      </c>
      <c r="BW41" s="242">
        <v>0</v>
      </c>
      <c r="BX41" s="242">
        <v>0</v>
      </c>
      <c r="BY41" s="242">
        <v>0</v>
      </c>
      <c r="BZ41" s="242">
        <v>0</v>
      </c>
      <c r="CA41" s="242">
        <v>0</v>
      </c>
      <c r="CB41" s="243" t="s">
        <v>633</v>
      </c>
      <c r="CC41" s="248">
        <v>13839.94</v>
      </c>
      <c r="CD41" s="248">
        <v>13839.94</v>
      </c>
      <c r="CE41" s="248">
        <v>13839.94</v>
      </c>
      <c r="CF41" s="248">
        <v>0</v>
      </c>
    </row>
    <row r="42" spans="1:84" x14ac:dyDescent="0.25">
      <c r="A42" s="254" t="s">
        <v>706</v>
      </c>
      <c r="B42" s="255" t="s">
        <v>647</v>
      </c>
      <c r="C42" s="255" t="s">
        <v>636</v>
      </c>
      <c r="D42" s="233"/>
      <c r="E42" s="234">
        <v>0</v>
      </c>
      <c r="F42" s="235">
        <v>0</v>
      </c>
      <c r="G42" s="256"/>
      <c r="H42" s="257"/>
      <c r="I42" s="237"/>
      <c r="J42" s="238">
        <v>0</v>
      </c>
      <c r="K42" s="239"/>
      <c r="L42" s="240"/>
      <c r="M42" s="8">
        <v>0</v>
      </c>
      <c r="N42" s="241">
        <v>0</v>
      </c>
      <c r="O42" s="71"/>
      <c r="P42" s="100"/>
      <c r="Q42" s="9"/>
      <c r="R42" s="9"/>
      <c r="S42" s="9"/>
      <c r="T42" s="258">
        <v>45821</v>
      </c>
      <c r="U42" s="10"/>
      <c r="V42" s="23"/>
      <c r="W42" s="11"/>
      <c r="X42" s="8">
        <v>0</v>
      </c>
      <c r="Y42" s="9"/>
      <c r="Z42" s="9"/>
      <c r="AA42" s="9"/>
      <c r="AB42" s="10"/>
      <c r="AC42" s="24">
        <v>0</v>
      </c>
      <c r="AD42" s="11">
        <v>0</v>
      </c>
      <c r="AE42" s="8">
        <v>0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0</v>
      </c>
      <c r="AQ42" s="12"/>
      <c r="AR42" s="12"/>
      <c r="AS42" s="242"/>
      <c r="AT42" s="243"/>
      <c r="AU42" s="242"/>
      <c r="AV42" s="242"/>
      <c r="AW42" s="244"/>
      <c r="AX42" s="243"/>
      <c r="AY42" s="243"/>
      <c r="AZ42" s="242">
        <v>0</v>
      </c>
      <c r="BA42" s="242">
        <v>0</v>
      </c>
      <c r="BB42" s="242">
        <v>0</v>
      </c>
      <c r="BC42" s="242">
        <v>0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>
        <v>0</v>
      </c>
      <c r="BX42" s="242">
        <v>0</v>
      </c>
      <c r="BY42" s="242">
        <v>0</v>
      </c>
      <c r="BZ42" s="242">
        <v>0</v>
      </c>
      <c r="CA42" s="242">
        <v>0</v>
      </c>
      <c r="CB42" s="243" t="s">
        <v>633</v>
      </c>
      <c r="CC42" s="248">
        <v>0</v>
      </c>
      <c r="CD42" s="248">
        <v>0</v>
      </c>
      <c r="CE42" s="248">
        <v>0</v>
      </c>
      <c r="CF42" s="248">
        <v>0</v>
      </c>
    </row>
    <row r="43" spans="1:84" x14ac:dyDescent="0.25">
      <c r="A43" s="254" t="s">
        <v>707</v>
      </c>
      <c r="B43" s="255" t="s">
        <v>649</v>
      </c>
      <c r="C43" s="255" t="s">
        <v>636</v>
      </c>
      <c r="D43" s="233"/>
      <c r="E43" s="234">
        <v>0</v>
      </c>
      <c r="F43" s="235">
        <v>0</v>
      </c>
      <c r="G43" s="256"/>
      <c r="H43" s="257"/>
      <c r="I43" s="237"/>
      <c r="J43" s="238">
        <v>0</v>
      </c>
      <c r="K43" s="239"/>
      <c r="L43" s="240"/>
      <c r="M43" s="8">
        <v>0</v>
      </c>
      <c r="N43" s="241">
        <v>0</v>
      </c>
      <c r="O43" s="71"/>
      <c r="P43" s="100"/>
      <c r="Q43" s="9"/>
      <c r="R43" s="9"/>
      <c r="S43" s="9"/>
      <c r="T43" s="258">
        <v>45838</v>
      </c>
      <c r="U43" s="10"/>
      <c r="V43" s="23"/>
      <c r="W43" s="11"/>
      <c r="X43" s="8">
        <v>0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0</v>
      </c>
      <c r="AQ43" s="12"/>
      <c r="AR43" s="12"/>
      <c r="AS43" s="242"/>
      <c r="AT43" s="243"/>
      <c r="AU43" s="242"/>
      <c r="AV43" s="242"/>
      <c r="AW43" s="244"/>
      <c r="AX43" s="243"/>
      <c r="AY43" s="243"/>
      <c r="AZ43" s="242">
        <v>0</v>
      </c>
      <c r="BA43" s="242">
        <v>0</v>
      </c>
      <c r="BB43" s="242">
        <v>0</v>
      </c>
      <c r="BC43" s="242">
        <v>0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>
        <v>0</v>
      </c>
      <c r="BX43" s="242">
        <v>0</v>
      </c>
      <c r="BY43" s="242">
        <v>0</v>
      </c>
      <c r="BZ43" s="242">
        <v>0</v>
      </c>
      <c r="CA43" s="242">
        <v>0</v>
      </c>
      <c r="CB43" s="243" t="s">
        <v>633</v>
      </c>
      <c r="CC43" s="248">
        <v>0</v>
      </c>
      <c r="CD43" s="248">
        <v>0</v>
      </c>
      <c r="CE43" s="248">
        <v>0</v>
      </c>
      <c r="CF43" s="248">
        <v>0</v>
      </c>
    </row>
    <row r="44" spans="1:84" x14ac:dyDescent="0.25">
      <c r="A44" s="254" t="s">
        <v>708</v>
      </c>
      <c r="B44" s="255" t="s">
        <v>651</v>
      </c>
      <c r="C44" s="255" t="s">
        <v>636</v>
      </c>
      <c r="D44" s="233"/>
      <c r="E44" s="234">
        <v>253225.17</v>
      </c>
      <c r="F44" s="235">
        <v>253225.17</v>
      </c>
      <c r="G44" s="256"/>
      <c r="H44" s="257"/>
      <c r="I44" s="237"/>
      <c r="J44" s="238">
        <v>253225.17</v>
      </c>
      <c r="K44" s="239"/>
      <c r="L44" s="240"/>
      <c r="M44" s="8">
        <v>142606.63</v>
      </c>
      <c r="N44" s="241">
        <v>31251.11</v>
      </c>
      <c r="O44" s="71"/>
      <c r="P44" s="100"/>
      <c r="Q44" s="9"/>
      <c r="R44" s="9"/>
      <c r="S44" s="9"/>
      <c r="T44" s="258">
        <v>45901</v>
      </c>
      <c r="U44" s="10"/>
      <c r="V44" s="23"/>
      <c r="W44" s="11"/>
      <c r="X44" s="8">
        <v>31251.11</v>
      </c>
      <c r="Y44" s="9"/>
      <c r="Z44" s="9"/>
      <c r="AA44" s="9"/>
      <c r="AB44" s="10"/>
      <c r="AC44" s="24">
        <v>0</v>
      </c>
      <c r="AD44" s="11">
        <v>0</v>
      </c>
      <c r="AE44" s="8">
        <v>0</v>
      </c>
      <c r="AF44" s="9"/>
      <c r="AG44" s="10"/>
      <c r="AH44" s="11"/>
      <c r="AI44" s="8">
        <v>31251.11</v>
      </c>
      <c r="AJ44" s="9"/>
      <c r="AK44" s="10"/>
      <c r="AL44" s="25"/>
      <c r="AM44" s="25"/>
      <c r="AN44" s="25"/>
      <c r="AO44" s="10"/>
      <c r="AP44" s="12">
        <v>253225.17</v>
      </c>
      <c r="AQ44" s="12"/>
      <c r="AR44" s="12"/>
      <c r="AS44" s="242"/>
      <c r="AT44" s="243"/>
      <c r="AU44" s="242"/>
      <c r="AV44" s="242"/>
      <c r="AW44" s="244"/>
      <c r="AX44" s="243" t="s">
        <v>630</v>
      </c>
      <c r="AY44" s="243" t="s">
        <v>630</v>
      </c>
      <c r="AZ44" s="15">
        <v>253225.17</v>
      </c>
      <c r="BA44" s="15">
        <v>31251.11</v>
      </c>
      <c r="BB44" s="15">
        <v>253225.17</v>
      </c>
      <c r="BC44" s="15">
        <v>31251.11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 t="s">
        <v>634</v>
      </c>
      <c r="BW44" s="242">
        <v>0</v>
      </c>
      <c r="BX44" s="242">
        <v>0</v>
      </c>
      <c r="BY44" s="242">
        <v>0</v>
      </c>
      <c r="BZ44" s="242">
        <v>0</v>
      </c>
      <c r="CA44" s="242">
        <v>0</v>
      </c>
      <c r="CB44" s="243" t="s">
        <v>633</v>
      </c>
      <c r="CC44" s="248">
        <v>31251.11</v>
      </c>
      <c r="CD44" s="248">
        <v>31251.11</v>
      </c>
      <c r="CE44" s="248">
        <v>253225.17</v>
      </c>
      <c r="CF44" s="248">
        <v>0</v>
      </c>
    </row>
    <row r="45" spans="1:84" x14ac:dyDescent="0.25">
      <c r="A45" s="254" t="s">
        <v>709</v>
      </c>
      <c r="B45" s="259" t="s">
        <v>652</v>
      </c>
      <c r="C45" s="255" t="s">
        <v>636</v>
      </c>
      <c r="D45" s="233"/>
      <c r="E45" s="234">
        <v>14684.23</v>
      </c>
      <c r="F45" s="235">
        <v>14684.23</v>
      </c>
      <c r="G45" s="256"/>
      <c r="H45" s="257"/>
      <c r="I45" s="237"/>
      <c r="J45" s="238">
        <v>14684.23</v>
      </c>
      <c r="K45" s="239"/>
      <c r="L45" s="240"/>
      <c r="M45" s="8">
        <v>5141.49</v>
      </c>
      <c r="N45" s="241">
        <v>14684.23</v>
      </c>
      <c r="O45" s="71"/>
      <c r="P45" s="100"/>
      <c r="Q45" s="9"/>
      <c r="R45" s="9"/>
      <c r="S45" s="9"/>
      <c r="T45" s="258">
        <v>45901</v>
      </c>
      <c r="U45" s="10"/>
      <c r="V45" s="23"/>
      <c r="W45" s="11"/>
      <c r="X45" s="8">
        <v>14684.23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14684.23</v>
      </c>
      <c r="AJ45" s="9"/>
      <c r="AK45" s="10"/>
      <c r="AL45" s="25"/>
      <c r="AM45" s="25"/>
      <c r="AN45" s="25"/>
      <c r="AO45" s="10"/>
      <c r="AP45" s="12">
        <v>14684.23</v>
      </c>
      <c r="AQ45" s="12"/>
      <c r="AR45" s="12"/>
      <c r="AS45" s="242"/>
      <c r="AT45" s="243"/>
      <c r="AU45" s="242"/>
      <c r="AV45" s="242"/>
      <c r="AW45" s="244"/>
      <c r="AX45" s="243" t="s">
        <v>630</v>
      </c>
      <c r="AY45" s="243" t="s">
        <v>630</v>
      </c>
      <c r="AZ45" s="15">
        <v>14684.23</v>
      </c>
      <c r="BA45" s="15">
        <v>14684.23</v>
      </c>
      <c r="BB45" s="15">
        <v>14684.23</v>
      </c>
      <c r="BC45" s="15">
        <v>14684.23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0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 t="s">
        <v>634</v>
      </c>
      <c r="BW45" s="242">
        <v>0</v>
      </c>
      <c r="BX45" s="242">
        <v>0</v>
      </c>
      <c r="BY45" s="242">
        <v>0</v>
      </c>
      <c r="BZ45" s="242">
        <v>0</v>
      </c>
      <c r="CA45" s="242">
        <v>0</v>
      </c>
      <c r="CB45" s="243" t="s">
        <v>633</v>
      </c>
      <c r="CC45" s="248">
        <v>14684.23</v>
      </c>
      <c r="CD45" s="248">
        <v>14684.23</v>
      </c>
      <c r="CE45" s="248">
        <v>14684.23</v>
      </c>
      <c r="CF45" s="248">
        <v>0</v>
      </c>
    </row>
    <row r="46" spans="1:84" x14ac:dyDescent="0.25">
      <c r="A46" s="254" t="s">
        <v>710</v>
      </c>
      <c r="B46" s="259" t="s">
        <v>645</v>
      </c>
      <c r="C46" s="255" t="s">
        <v>636</v>
      </c>
      <c r="D46" s="233"/>
      <c r="E46" s="234">
        <v>14350</v>
      </c>
      <c r="F46" s="235">
        <v>14350</v>
      </c>
      <c r="G46" s="256"/>
      <c r="H46" s="257"/>
      <c r="I46" s="237"/>
      <c r="J46" s="238">
        <v>14350</v>
      </c>
      <c r="K46" s="239"/>
      <c r="L46" s="240"/>
      <c r="M46" s="8">
        <v>6483.51</v>
      </c>
      <c r="N46" s="241">
        <v>6856.13</v>
      </c>
      <c r="O46" s="239"/>
      <c r="P46" s="240"/>
      <c r="Q46" s="9"/>
      <c r="R46" s="9"/>
      <c r="S46" s="9"/>
      <c r="T46" s="258">
        <v>45992</v>
      </c>
      <c r="U46" s="10"/>
      <c r="V46" s="23"/>
      <c r="W46" s="11"/>
      <c r="X46" s="8">
        <v>6856.13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6856.13</v>
      </c>
      <c r="AJ46" s="9"/>
      <c r="AK46" s="10"/>
      <c r="AL46" s="25"/>
      <c r="AM46" s="25"/>
      <c r="AN46" s="25"/>
      <c r="AO46" s="10"/>
      <c r="AP46" s="12">
        <v>14350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14350</v>
      </c>
      <c r="BA46" s="15">
        <v>6856.13</v>
      </c>
      <c r="BB46" s="15">
        <v>14350</v>
      </c>
      <c r="BC46" s="15">
        <v>6856.13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0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 t="s">
        <v>634</v>
      </c>
      <c r="BW46" s="242">
        <v>0</v>
      </c>
      <c r="BX46" s="242">
        <v>0</v>
      </c>
      <c r="BY46" s="242">
        <v>0</v>
      </c>
      <c r="BZ46" s="242">
        <v>0</v>
      </c>
      <c r="CA46" s="242">
        <v>0</v>
      </c>
      <c r="CB46" s="243" t="s">
        <v>633</v>
      </c>
      <c r="CC46" s="248">
        <v>6856.13</v>
      </c>
      <c r="CD46" s="248">
        <v>6856.13</v>
      </c>
      <c r="CE46" s="248">
        <v>14350</v>
      </c>
      <c r="CF46" s="248">
        <v>0</v>
      </c>
    </row>
    <row r="47" spans="1:84" x14ac:dyDescent="0.25">
      <c r="A47" s="254" t="s">
        <v>711</v>
      </c>
      <c r="B47" s="255" t="s">
        <v>712</v>
      </c>
      <c r="C47" s="255" t="s">
        <v>636</v>
      </c>
      <c r="D47" s="233"/>
      <c r="E47" s="234">
        <v>48860</v>
      </c>
      <c r="F47" s="235">
        <v>48860</v>
      </c>
      <c r="G47" s="256"/>
      <c r="H47" s="257"/>
      <c r="I47" s="237"/>
      <c r="J47" s="238">
        <v>48860</v>
      </c>
      <c r="K47" s="239"/>
      <c r="L47" s="240"/>
      <c r="M47" s="8">
        <v>5684</v>
      </c>
      <c r="N47" s="241">
        <v>17053.439999999999</v>
      </c>
      <c r="O47" s="71"/>
      <c r="P47" s="100"/>
      <c r="Q47" s="9"/>
      <c r="R47" s="9"/>
      <c r="S47" s="9"/>
      <c r="T47" s="258">
        <v>45901</v>
      </c>
      <c r="U47" s="10"/>
      <c r="V47" s="23"/>
      <c r="W47" s="11"/>
      <c r="X47" s="8">
        <v>17053.439999999999</v>
      </c>
      <c r="Y47" s="9"/>
      <c r="Z47" s="9"/>
      <c r="AA47" s="9"/>
      <c r="AB47" s="10"/>
      <c r="AC47" s="24">
        <v>0</v>
      </c>
      <c r="AD47" s="11">
        <v>0</v>
      </c>
      <c r="AE47" s="8">
        <v>0</v>
      </c>
      <c r="AF47" s="9"/>
      <c r="AG47" s="10"/>
      <c r="AH47" s="11"/>
      <c r="AI47" s="8">
        <v>17053.439999999999</v>
      </c>
      <c r="AJ47" s="9"/>
      <c r="AK47" s="10"/>
      <c r="AL47" s="25"/>
      <c r="AM47" s="25"/>
      <c r="AN47" s="25"/>
      <c r="AO47" s="10"/>
      <c r="AP47" s="12">
        <v>48860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48860</v>
      </c>
      <c r="BA47" s="15">
        <v>17053.439999999999</v>
      </c>
      <c r="BB47" s="15">
        <v>48860</v>
      </c>
      <c r="BC47" s="15">
        <v>17053.439999999999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 t="s">
        <v>634</v>
      </c>
      <c r="BW47" s="242">
        <v>0</v>
      </c>
      <c r="BX47" s="242">
        <v>0</v>
      </c>
      <c r="BY47" s="242">
        <v>0</v>
      </c>
      <c r="BZ47" s="242">
        <v>0</v>
      </c>
      <c r="CA47" s="242">
        <v>0</v>
      </c>
      <c r="CB47" s="243" t="s">
        <v>633</v>
      </c>
      <c r="CC47" s="248">
        <v>17053.439999999999</v>
      </c>
      <c r="CD47" s="248">
        <v>17053.439999999999</v>
      </c>
      <c r="CE47" s="248">
        <v>48860</v>
      </c>
      <c r="CF47" s="248">
        <v>0</v>
      </c>
    </row>
    <row r="48" spans="1:84" x14ac:dyDescent="0.25">
      <c r="A48" s="254" t="s">
        <v>713</v>
      </c>
      <c r="B48" s="255" t="s">
        <v>714</v>
      </c>
      <c r="C48" s="255" t="s">
        <v>636</v>
      </c>
      <c r="D48" s="233"/>
      <c r="E48" s="234">
        <v>45200</v>
      </c>
      <c r="F48" s="235">
        <v>45200</v>
      </c>
      <c r="G48" s="256"/>
      <c r="H48" s="257"/>
      <c r="I48" s="237"/>
      <c r="J48" s="238">
        <v>45200</v>
      </c>
      <c r="K48" s="239"/>
      <c r="L48" s="240"/>
      <c r="M48" s="8">
        <v>35220.720000000001</v>
      </c>
      <c r="N48" s="241">
        <v>35599.269999999997</v>
      </c>
      <c r="O48" s="239"/>
      <c r="P48" s="240"/>
      <c r="Q48" s="9"/>
      <c r="R48" s="9"/>
      <c r="S48" s="9"/>
      <c r="T48" s="258">
        <v>45992</v>
      </c>
      <c r="U48" s="10"/>
      <c r="V48" s="23"/>
      <c r="W48" s="11"/>
      <c r="X48" s="8">
        <v>35599.269999999997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35599.269999999997</v>
      </c>
      <c r="AJ48" s="9"/>
      <c r="AK48" s="10"/>
      <c r="AL48" s="25"/>
      <c r="AM48" s="25"/>
      <c r="AN48" s="25"/>
      <c r="AO48" s="10"/>
      <c r="AP48" s="12">
        <v>45200</v>
      </c>
      <c r="AQ48" s="12"/>
      <c r="AR48" s="12"/>
      <c r="AS48" s="242"/>
      <c r="AT48" s="243"/>
      <c r="AU48" s="242"/>
      <c r="AV48" s="242"/>
      <c r="AW48" s="244"/>
      <c r="AX48" s="243" t="s">
        <v>630</v>
      </c>
      <c r="AY48" s="243" t="s">
        <v>630</v>
      </c>
      <c r="AZ48" s="15">
        <v>45200</v>
      </c>
      <c r="BA48" s="15">
        <v>35599.269999999997</v>
      </c>
      <c r="BB48" s="15">
        <v>45200</v>
      </c>
      <c r="BC48" s="15">
        <v>35599.269999999997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0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 t="s">
        <v>634</v>
      </c>
      <c r="BW48" s="242">
        <v>0</v>
      </c>
      <c r="BX48" s="242">
        <v>0</v>
      </c>
      <c r="BY48" s="242">
        <v>0</v>
      </c>
      <c r="BZ48" s="242">
        <v>0</v>
      </c>
      <c r="CA48" s="242">
        <v>0</v>
      </c>
      <c r="CB48" s="243" t="s">
        <v>633</v>
      </c>
      <c r="CC48" s="248">
        <v>35599.269999999997</v>
      </c>
      <c r="CD48" s="248">
        <v>35599.269999999997</v>
      </c>
      <c r="CE48" s="248">
        <v>45200</v>
      </c>
      <c r="CF48" s="248">
        <v>0</v>
      </c>
    </row>
    <row r="49" spans="1:84" x14ac:dyDescent="0.25">
      <c r="A49" s="254" t="s">
        <v>715</v>
      </c>
      <c r="B49" s="255" t="s">
        <v>716</v>
      </c>
      <c r="C49" s="255" t="s">
        <v>636</v>
      </c>
      <c r="D49" s="233"/>
      <c r="E49" s="234">
        <v>9960</v>
      </c>
      <c r="F49" s="235">
        <v>9960</v>
      </c>
      <c r="G49" s="256"/>
      <c r="H49" s="257"/>
      <c r="I49" s="237"/>
      <c r="J49" s="238">
        <v>9960</v>
      </c>
      <c r="K49" s="239"/>
      <c r="L49" s="240"/>
      <c r="M49" s="8">
        <v>4596.42</v>
      </c>
      <c r="N49" s="241">
        <v>4596.42</v>
      </c>
      <c r="O49" s="71"/>
      <c r="P49" s="100"/>
      <c r="Q49" s="9"/>
      <c r="R49" s="9"/>
      <c r="S49" s="9"/>
      <c r="T49" s="258">
        <v>45901</v>
      </c>
      <c r="U49" s="10"/>
      <c r="V49" s="23"/>
      <c r="W49" s="11"/>
      <c r="X49" s="8">
        <v>4596.42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4596.42</v>
      </c>
      <c r="AJ49" s="9"/>
      <c r="AK49" s="10"/>
      <c r="AL49" s="25"/>
      <c r="AM49" s="25"/>
      <c r="AN49" s="25"/>
      <c r="AO49" s="10"/>
      <c r="AP49" s="12">
        <v>9960</v>
      </c>
      <c r="AQ49" s="12"/>
      <c r="AR49" s="12"/>
      <c r="AS49" s="242"/>
      <c r="AT49" s="243"/>
      <c r="AU49" s="242"/>
      <c r="AV49" s="242"/>
      <c r="AW49" s="244"/>
      <c r="AX49" s="243" t="s">
        <v>630</v>
      </c>
      <c r="AY49" s="243" t="s">
        <v>630</v>
      </c>
      <c r="AZ49" s="15">
        <v>9960</v>
      </c>
      <c r="BA49" s="15">
        <v>4596.42</v>
      </c>
      <c r="BB49" s="15">
        <v>9960</v>
      </c>
      <c r="BC49" s="15">
        <v>4596.42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0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 t="s">
        <v>634</v>
      </c>
      <c r="BW49" s="242">
        <v>0</v>
      </c>
      <c r="BX49" s="242">
        <v>0</v>
      </c>
      <c r="BY49" s="242">
        <v>0</v>
      </c>
      <c r="BZ49" s="242">
        <v>0</v>
      </c>
      <c r="CA49" s="242">
        <v>0</v>
      </c>
      <c r="CB49" s="243" t="s">
        <v>633</v>
      </c>
      <c r="CC49" s="248">
        <v>4596.42</v>
      </c>
      <c r="CD49" s="248">
        <v>4596.42</v>
      </c>
      <c r="CE49" s="248">
        <v>9960</v>
      </c>
      <c r="CF49" s="248">
        <v>0</v>
      </c>
    </row>
    <row r="50" spans="1:84" x14ac:dyDescent="0.25">
      <c r="A50" s="254" t="s">
        <v>717</v>
      </c>
      <c r="B50" s="255" t="s">
        <v>718</v>
      </c>
      <c r="C50" s="255" t="s">
        <v>636</v>
      </c>
      <c r="D50" s="233"/>
      <c r="E50" s="234">
        <v>42902.3</v>
      </c>
      <c r="F50" s="235">
        <v>42902.3</v>
      </c>
      <c r="G50" s="256"/>
      <c r="H50" s="257"/>
      <c r="I50" s="237"/>
      <c r="J50" s="238">
        <v>42902.3</v>
      </c>
      <c r="K50" s="239"/>
      <c r="L50" s="240"/>
      <c r="M50" s="8">
        <v>27279.17</v>
      </c>
      <c r="N50" s="241">
        <v>27279.17</v>
      </c>
      <c r="O50" s="71"/>
      <c r="P50" s="100"/>
      <c r="Q50" s="9"/>
      <c r="R50" s="9"/>
      <c r="S50" s="9"/>
      <c r="T50" s="258">
        <v>45809</v>
      </c>
      <c r="U50" s="10"/>
      <c r="V50" s="23"/>
      <c r="W50" s="11"/>
      <c r="X50" s="8">
        <v>27279.17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27279.17</v>
      </c>
      <c r="AJ50" s="9"/>
      <c r="AK50" s="10"/>
      <c r="AL50" s="25"/>
      <c r="AM50" s="25"/>
      <c r="AN50" s="25"/>
      <c r="AO50" s="10"/>
      <c r="AP50" s="12">
        <v>42902.3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42902.3</v>
      </c>
      <c r="BA50" s="15">
        <v>27279.17</v>
      </c>
      <c r="BB50" s="15">
        <v>42902.3</v>
      </c>
      <c r="BC50" s="15">
        <v>27279.17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0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 t="s">
        <v>634</v>
      </c>
      <c r="BW50" s="242">
        <v>0</v>
      </c>
      <c r="BX50" s="242">
        <v>0</v>
      </c>
      <c r="BY50" s="242">
        <v>0</v>
      </c>
      <c r="BZ50" s="242">
        <v>0</v>
      </c>
      <c r="CA50" s="242">
        <v>0</v>
      </c>
      <c r="CB50" s="243" t="s">
        <v>633</v>
      </c>
      <c r="CC50" s="248">
        <v>27279.17</v>
      </c>
      <c r="CD50" s="248">
        <v>27279.17</v>
      </c>
      <c r="CE50" s="248">
        <v>42902.3</v>
      </c>
      <c r="CF50" s="248">
        <v>0</v>
      </c>
    </row>
    <row r="51" spans="1:84" x14ac:dyDescent="0.25">
      <c r="A51" s="254" t="s">
        <v>719</v>
      </c>
      <c r="B51" s="255" t="s">
        <v>720</v>
      </c>
      <c r="C51" s="255" t="s">
        <v>636</v>
      </c>
      <c r="D51" s="233"/>
      <c r="E51" s="234">
        <v>12725</v>
      </c>
      <c r="F51" s="235">
        <v>12725</v>
      </c>
      <c r="G51" s="256"/>
      <c r="H51" s="257"/>
      <c r="I51" s="237"/>
      <c r="J51" s="238">
        <v>12725</v>
      </c>
      <c r="K51" s="239"/>
      <c r="L51" s="240"/>
      <c r="M51" s="8">
        <v>1203.75</v>
      </c>
      <c r="N51" s="241">
        <v>7099.52</v>
      </c>
      <c r="O51" s="71"/>
      <c r="P51" s="100"/>
      <c r="Q51" s="9"/>
      <c r="R51" s="9"/>
      <c r="S51" s="9"/>
      <c r="T51" s="258">
        <v>45809</v>
      </c>
      <c r="U51" s="10"/>
      <c r="V51" s="23"/>
      <c r="W51" s="11"/>
      <c r="X51" s="8">
        <v>7099.52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7099.52</v>
      </c>
      <c r="AJ51" s="9"/>
      <c r="AK51" s="10"/>
      <c r="AL51" s="25"/>
      <c r="AM51" s="25"/>
      <c r="AN51" s="25"/>
      <c r="AO51" s="10"/>
      <c r="AP51" s="12">
        <v>12725</v>
      </c>
      <c r="AQ51" s="12"/>
      <c r="AR51" s="12"/>
      <c r="AS51" s="242"/>
      <c r="AT51" s="243"/>
      <c r="AU51" s="242"/>
      <c r="AV51" s="242"/>
      <c r="AW51" s="244"/>
      <c r="AX51" s="243" t="s">
        <v>630</v>
      </c>
      <c r="AY51" s="243" t="s">
        <v>630</v>
      </c>
      <c r="AZ51" s="15">
        <v>12725</v>
      </c>
      <c r="BA51" s="15">
        <v>7099.52</v>
      </c>
      <c r="BB51" s="15">
        <v>12725</v>
      </c>
      <c r="BC51" s="15">
        <v>7099.52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0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 t="s">
        <v>634</v>
      </c>
      <c r="BW51" s="242">
        <v>0</v>
      </c>
      <c r="BX51" s="242">
        <v>0</v>
      </c>
      <c r="BY51" s="242">
        <v>0</v>
      </c>
      <c r="BZ51" s="242">
        <v>0</v>
      </c>
      <c r="CA51" s="242">
        <v>0</v>
      </c>
      <c r="CB51" s="243" t="s">
        <v>633</v>
      </c>
      <c r="CC51" s="248">
        <v>7099.52</v>
      </c>
      <c r="CD51" s="248">
        <v>7099.52</v>
      </c>
      <c r="CE51" s="248">
        <v>12725</v>
      </c>
      <c r="CF51" s="248">
        <v>0</v>
      </c>
    </row>
    <row r="52" spans="1:84" x14ac:dyDescent="0.25">
      <c r="A52" s="254" t="s">
        <v>721</v>
      </c>
      <c r="B52" s="255" t="s">
        <v>722</v>
      </c>
      <c r="C52" s="255" t="s">
        <v>636</v>
      </c>
      <c r="D52" s="233"/>
      <c r="E52" s="234">
        <v>35100</v>
      </c>
      <c r="F52" s="235">
        <v>35100</v>
      </c>
      <c r="G52" s="256"/>
      <c r="H52" s="257"/>
      <c r="I52" s="237"/>
      <c r="J52" s="238">
        <v>35100</v>
      </c>
      <c r="K52" s="239"/>
      <c r="L52" s="240"/>
      <c r="M52" s="8">
        <v>32205.8</v>
      </c>
      <c r="N52" s="241">
        <v>35720.74</v>
      </c>
      <c r="O52" s="71"/>
      <c r="P52" s="100"/>
      <c r="Q52" s="9"/>
      <c r="R52" s="9"/>
      <c r="S52" s="9"/>
      <c r="T52" s="258">
        <v>46082</v>
      </c>
      <c r="U52" s="10"/>
      <c r="V52" s="23"/>
      <c r="W52" s="11"/>
      <c r="X52" s="8">
        <v>35720.74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35720.74</v>
      </c>
      <c r="AJ52" s="9"/>
      <c r="AK52" s="10"/>
      <c r="AL52" s="25"/>
      <c r="AM52" s="25"/>
      <c r="AN52" s="25"/>
      <c r="AO52" s="10"/>
      <c r="AP52" s="12">
        <v>35100</v>
      </c>
      <c r="AQ52" s="12"/>
      <c r="AR52" s="12"/>
      <c r="AS52" s="242"/>
      <c r="AT52" s="243"/>
      <c r="AU52" s="242"/>
      <c r="AV52" s="242"/>
      <c r="AW52" s="244"/>
      <c r="AX52" s="243" t="s">
        <v>630</v>
      </c>
      <c r="AY52" s="243" t="s">
        <v>630</v>
      </c>
      <c r="AZ52" s="15">
        <v>35100</v>
      </c>
      <c r="BA52" s="15">
        <v>35720.74</v>
      </c>
      <c r="BB52" s="15">
        <v>35100</v>
      </c>
      <c r="BC52" s="15">
        <v>35720.74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0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 t="s">
        <v>634</v>
      </c>
      <c r="BW52" s="242">
        <v>0</v>
      </c>
      <c r="BX52" s="242">
        <v>0</v>
      </c>
      <c r="BY52" s="242">
        <v>0</v>
      </c>
      <c r="BZ52" s="242">
        <v>0</v>
      </c>
      <c r="CA52" s="242">
        <v>0</v>
      </c>
      <c r="CB52" s="243" t="s">
        <v>633</v>
      </c>
      <c r="CC52" s="248">
        <v>35720.74</v>
      </c>
      <c r="CD52" s="248">
        <v>35720.74</v>
      </c>
      <c r="CE52" s="248">
        <v>35100</v>
      </c>
      <c r="CF52" s="248">
        <v>0</v>
      </c>
    </row>
    <row r="53" spans="1:84" x14ac:dyDescent="0.25">
      <c r="A53" s="254" t="s">
        <v>723</v>
      </c>
      <c r="B53" s="255" t="s">
        <v>724</v>
      </c>
      <c r="C53" s="255" t="s">
        <v>636</v>
      </c>
      <c r="D53" s="233"/>
      <c r="E53" s="234">
        <v>12450</v>
      </c>
      <c r="F53" s="235">
        <v>12450</v>
      </c>
      <c r="G53" s="256"/>
      <c r="H53" s="257"/>
      <c r="I53" s="237"/>
      <c r="J53" s="238">
        <v>12450</v>
      </c>
      <c r="K53" s="239"/>
      <c r="L53" s="240"/>
      <c r="M53" s="8">
        <v>2577.13</v>
      </c>
      <c r="N53" s="241">
        <v>6363.82</v>
      </c>
      <c r="O53" s="71"/>
      <c r="P53" s="100"/>
      <c r="Q53" s="9"/>
      <c r="R53" s="9"/>
      <c r="S53" s="9"/>
      <c r="T53" s="258">
        <v>45901</v>
      </c>
      <c r="U53" s="10"/>
      <c r="V53" s="23"/>
      <c r="W53" s="11"/>
      <c r="X53" s="8">
        <v>6363.82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6363.82</v>
      </c>
      <c r="AJ53" s="9"/>
      <c r="AK53" s="10"/>
      <c r="AL53" s="25"/>
      <c r="AM53" s="25"/>
      <c r="AN53" s="25"/>
      <c r="AO53" s="10"/>
      <c r="AP53" s="12">
        <v>12450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12450</v>
      </c>
      <c r="BA53" s="15">
        <v>6363.82</v>
      </c>
      <c r="BB53" s="15">
        <v>12450</v>
      </c>
      <c r="BC53" s="15">
        <v>6363.82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0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634</v>
      </c>
      <c r="BW53" s="242">
        <v>0</v>
      </c>
      <c r="BX53" s="242">
        <v>0</v>
      </c>
      <c r="BY53" s="242">
        <v>0</v>
      </c>
      <c r="BZ53" s="242">
        <v>0</v>
      </c>
      <c r="CA53" s="242">
        <v>0</v>
      </c>
      <c r="CB53" s="243" t="s">
        <v>633</v>
      </c>
      <c r="CC53" s="248">
        <v>6363.82</v>
      </c>
      <c r="CD53" s="248">
        <v>6363.82</v>
      </c>
      <c r="CE53" s="248">
        <v>12450</v>
      </c>
      <c r="CF53" s="248">
        <v>0</v>
      </c>
    </row>
    <row r="54" spans="1:84" x14ac:dyDescent="0.25">
      <c r="A54" s="254" t="s">
        <v>725</v>
      </c>
      <c r="B54" s="255" t="s">
        <v>726</v>
      </c>
      <c r="C54" s="255" t="s">
        <v>636</v>
      </c>
      <c r="D54" s="233"/>
      <c r="E54" s="234">
        <v>9820</v>
      </c>
      <c r="F54" s="235">
        <v>9820</v>
      </c>
      <c r="G54" s="256"/>
      <c r="H54" s="257"/>
      <c r="I54" s="237"/>
      <c r="J54" s="238">
        <v>9820</v>
      </c>
      <c r="K54" s="239"/>
      <c r="L54" s="240"/>
      <c r="M54" s="8">
        <v>4692.5</v>
      </c>
      <c r="N54" s="241">
        <v>4549.51</v>
      </c>
      <c r="O54" s="71"/>
      <c r="P54" s="100"/>
      <c r="Q54" s="9"/>
      <c r="R54" s="9"/>
      <c r="S54" s="9"/>
      <c r="T54" s="258">
        <v>46082</v>
      </c>
      <c r="U54" s="10"/>
      <c r="V54" s="23"/>
      <c r="W54" s="11"/>
      <c r="X54" s="8">
        <v>4549.51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4549.51</v>
      </c>
      <c r="AJ54" s="9"/>
      <c r="AK54" s="10"/>
      <c r="AL54" s="25"/>
      <c r="AM54" s="25"/>
      <c r="AN54" s="25"/>
      <c r="AO54" s="10"/>
      <c r="AP54" s="12">
        <v>9820</v>
      </c>
      <c r="AQ54" s="12"/>
      <c r="AR54" s="12"/>
      <c r="AS54" s="242"/>
      <c r="AT54" s="243"/>
      <c r="AU54" s="242"/>
      <c r="AV54" s="242"/>
      <c r="AW54" s="244"/>
      <c r="AX54" s="243" t="s">
        <v>630</v>
      </c>
      <c r="AY54" s="243" t="s">
        <v>630</v>
      </c>
      <c r="AZ54" s="15">
        <v>9820</v>
      </c>
      <c r="BA54" s="15">
        <v>4549.51</v>
      </c>
      <c r="BB54" s="15">
        <v>9820</v>
      </c>
      <c r="BC54" s="15">
        <v>4549.51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 t="s">
        <v>634</v>
      </c>
      <c r="BW54" s="242">
        <v>0</v>
      </c>
      <c r="BX54" s="242">
        <v>0</v>
      </c>
      <c r="BY54" s="242">
        <v>0</v>
      </c>
      <c r="BZ54" s="242">
        <v>0</v>
      </c>
      <c r="CA54" s="242">
        <v>0</v>
      </c>
      <c r="CB54" s="243" t="s">
        <v>633</v>
      </c>
      <c r="CC54" s="248">
        <v>4549.51</v>
      </c>
      <c r="CD54" s="248">
        <v>4549.51</v>
      </c>
      <c r="CE54" s="248">
        <v>9820</v>
      </c>
      <c r="CF54" s="248">
        <v>0</v>
      </c>
    </row>
    <row r="55" spans="1:84" x14ac:dyDescent="0.25">
      <c r="A55" s="254" t="s">
        <v>727</v>
      </c>
      <c r="B55" s="255" t="s">
        <v>728</v>
      </c>
      <c r="C55" s="255" t="s">
        <v>636</v>
      </c>
      <c r="D55" s="233"/>
      <c r="E55" s="234">
        <v>3663.5</v>
      </c>
      <c r="F55" s="235">
        <v>3663.5</v>
      </c>
      <c r="G55" s="256"/>
      <c r="H55" s="257"/>
      <c r="I55" s="237"/>
      <c r="J55" s="238">
        <v>3663.5</v>
      </c>
      <c r="K55" s="239"/>
      <c r="L55" s="240"/>
      <c r="M55" s="8">
        <v>1025.6199999999999</v>
      </c>
      <c r="N55" s="241">
        <v>1025.6199999999999</v>
      </c>
      <c r="O55" s="71"/>
      <c r="P55" s="100"/>
      <c r="Q55" s="9"/>
      <c r="R55" s="9"/>
      <c r="S55" s="9"/>
      <c r="T55" s="258">
        <v>45930</v>
      </c>
      <c r="U55" s="10"/>
      <c r="V55" s="23"/>
      <c r="W55" s="11"/>
      <c r="X55" s="8">
        <v>1025.6199999999999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1025.6199999999999</v>
      </c>
      <c r="AJ55" s="9"/>
      <c r="AK55" s="10"/>
      <c r="AL55" s="25"/>
      <c r="AM55" s="25"/>
      <c r="AN55" s="25"/>
      <c r="AO55" s="10"/>
      <c r="AP55" s="12">
        <v>3663.5</v>
      </c>
      <c r="AQ55" s="12"/>
      <c r="AR55" s="12"/>
      <c r="AS55" s="242"/>
      <c r="AT55" s="243"/>
      <c r="AU55" s="242"/>
      <c r="AV55" s="242"/>
      <c r="AW55" s="244"/>
      <c r="AX55" s="243" t="s">
        <v>630</v>
      </c>
      <c r="AY55" s="243" t="s">
        <v>630</v>
      </c>
      <c r="AZ55" s="15">
        <v>3663.5</v>
      </c>
      <c r="BA55" s="15">
        <v>1025.6199999999999</v>
      </c>
      <c r="BB55" s="15">
        <v>3663.5</v>
      </c>
      <c r="BC55" s="15">
        <v>1025.6199999999999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0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 t="s">
        <v>634</v>
      </c>
      <c r="BW55" s="242">
        <v>0</v>
      </c>
      <c r="BX55" s="242">
        <v>0</v>
      </c>
      <c r="BY55" s="242">
        <v>0</v>
      </c>
      <c r="BZ55" s="242">
        <v>0</v>
      </c>
      <c r="CA55" s="242">
        <v>0</v>
      </c>
      <c r="CB55" s="243" t="s">
        <v>633</v>
      </c>
      <c r="CC55" s="248">
        <v>1025.6199999999999</v>
      </c>
      <c r="CD55" s="248">
        <v>1025.6199999999999</v>
      </c>
      <c r="CE55" s="248">
        <v>3663.5</v>
      </c>
      <c r="CF55" s="248">
        <v>0</v>
      </c>
    </row>
    <row r="56" spans="1:84" x14ac:dyDescent="0.25">
      <c r="A56" s="254" t="s">
        <v>729</v>
      </c>
      <c r="B56" s="255" t="s">
        <v>730</v>
      </c>
      <c r="C56" s="255" t="s">
        <v>636</v>
      </c>
      <c r="D56" s="233"/>
      <c r="E56" s="234">
        <v>7820</v>
      </c>
      <c r="F56" s="235">
        <v>7820</v>
      </c>
      <c r="G56" s="256"/>
      <c r="H56" s="257"/>
      <c r="I56" s="237"/>
      <c r="J56" s="238">
        <v>7820</v>
      </c>
      <c r="K56" s="239"/>
      <c r="L56" s="240"/>
      <c r="M56" s="8">
        <v>4486.97</v>
      </c>
      <c r="N56" s="241">
        <v>4856.91</v>
      </c>
      <c r="O56" s="71"/>
      <c r="P56" s="100"/>
      <c r="Q56" s="9"/>
      <c r="R56" s="9"/>
      <c r="S56" s="9"/>
      <c r="T56" s="258">
        <v>46082</v>
      </c>
      <c r="U56" s="10"/>
      <c r="V56" s="23"/>
      <c r="W56" s="11"/>
      <c r="X56" s="8">
        <v>4856.91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4856.91</v>
      </c>
      <c r="AJ56" s="9"/>
      <c r="AK56" s="10"/>
      <c r="AL56" s="25"/>
      <c r="AM56" s="25"/>
      <c r="AN56" s="25"/>
      <c r="AO56" s="10"/>
      <c r="AP56" s="12">
        <v>7820</v>
      </c>
      <c r="AQ56" s="12"/>
      <c r="AR56" s="12"/>
      <c r="AS56" s="242"/>
      <c r="AT56" s="243"/>
      <c r="AU56" s="242"/>
      <c r="AV56" s="242"/>
      <c r="AW56" s="244"/>
      <c r="AX56" s="243" t="s">
        <v>630</v>
      </c>
      <c r="AY56" s="243" t="s">
        <v>630</v>
      </c>
      <c r="AZ56" s="15">
        <v>7820</v>
      </c>
      <c r="BA56" s="15">
        <v>4856.91</v>
      </c>
      <c r="BB56" s="15">
        <v>7820</v>
      </c>
      <c r="BC56" s="15">
        <v>4856.91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0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 t="s">
        <v>634</v>
      </c>
      <c r="BW56" s="242">
        <v>0</v>
      </c>
      <c r="BX56" s="242">
        <v>0</v>
      </c>
      <c r="BY56" s="242">
        <v>0</v>
      </c>
      <c r="BZ56" s="242">
        <v>0</v>
      </c>
      <c r="CA56" s="242">
        <v>0</v>
      </c>
      <c r="CB56" s="243" t="s">
        <v>633</v>
      </c>
      <c r="CC56" s="248">
        <v>4856.91</v>
      </c>
      <c r="CD56" s="248">
        <v>4856.91</v>
      </c>
      <c r="CE56" s="248">
        <v>7820</v>
      </c>
      <c r="CF56" s="248">
        <v>0</v>
      </c>
    </row>
    <row r="57" spans="1:84" x14ac:dyDescent="0.25">
      <c r="A57" s="254" t="s">
        <v>731</v>
      </c>
      <c r="B57" s="255" t="s">
        <v>732</v>
      </c>
      <c r="C57" s="255" t="s">
        <v>636</v>
      </c>
      <c r="D57" s="233"/>
      <c r="E57" s="234">
        <v>4250</v>
      </c>
      <c r="F57" s="235">
        <v>4250</v>
      </c>
      <c r="G57" s="256"/>
      <c r="H57" s="257"/>
      <c r="I57" s="237"/>
      <c r="J57" s="238">
        <v>4250</v>
      </c>
      <c r="K57" s="239"/>
      <c r="L57" s="240"/>
      <c r="M57" s="8">
        <v>2100</v>
      </c>
      <c r="N57" s="241">
        <v>2100</v>
      </c>
      <c r="O57" s="71"/>
      <c r="P57" s="100"/>
      <c r="Q57" s="9"/>
      <c r="R57" s="9"/>
      <c r="S57" s="9"/>
      <c r="T57" s="258">
        <v>45901</v>
      </c>
      <c r="U57" s="10"/>
      <c r="V57" s="23"/>
      <c r="W57" s="11"/>
      <c r="X57" s="8">
        <v>2100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2100</v>
      </c>
      <c r="AJ57" s="9"/>
      <c r="AK57" s="10"/>
      <c r="AL57" s="25"/>
      <c r="AM57" s="25"/>
      <c r="AN57" s="25"/>
      <c r="AO57" s="10"/>
      <c r="AP57" s="12">
        <v>4250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4250</v>
      </c>
      <c r="BA57" s="15">
        <v>2100</v>
      </c>
      <c r="BB57" s="15">
        <v>4250</v>
      </c>
      <c r="BC57" s="15">
        <v>2100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0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634</v>
      </c>
      <c r="BW57" s="242">
        <v>0</v>
      </c>
      <c r="BX57" s="242">
        <v>0</v>
      </c>
      <c r="BY57" s="242">
        <v>0</v>
      </c>
      <c r="BZ57" s="242">
        <v>0</v>
      </c>
      <c r="CA57" s="242">
        <v>0</v>
      </c>
      <c r="CB57" s="243" t="s">
        <v>633</v>
      </c>
      <c r="CC57" s="248">
        <v>2100</v>
      </c>
      <c r="CD57" s="248">
        <v>2100</v>
      </c>
      <c r="CE57" s="248">
        <v>4250</v>
      </c>
      <c r="CF57" s="248">
        <v>0</v>
      </c>
    </row>
    <row r="58" spans="1:84" x14ac:dyDescent="0.25">
      <c r="A58" s="254" t="s">
        <v>733</v>
      </c>
      <c r="B58" s="255" t="s">
        <v>734</v>
      </c>
      <c r="C58" s="255" t="s">
        <v>636</v>
      </c>
      <c r="D58" s="233"/>
      <c r="E58" s="234">
        <v>15315</v>
      </c>
      <c r="F58" s="235">
        <v>15315</v>
      </c>
      <c r="G58" s="256"/>
      <c r="H58" s="257"/>
      <c r="I58" s="237"/>
      <c r="J58" s="238">
        <v>15315</v>
      </c>
      <c r="K58" s="239"/>
      <c r="L58" s="240"/>
      <c r="M58" s="8">
        <v>7205.86</v>
      </c>
      <c r="N58" s="241">
        <v>6524.32</v>
      </c>
      <c r="O58" s="71"/>
      <c r="P58" s="100"/>
      <c r="Q58" s="9"/>
      <c r="R58" s="9"/>
      <c r="S58" s="9"/>
      <c r="T58" s="258">
        <v>46082</v>
      </c>
      <c r="U58" s="10"/>
      <c r="V58" s="23"/>
      <c r="W58" s="11"/>
      <c r="X58" s="8">
        <v>6524.32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6524.32</v>
      </c>
      <c r="AJ58" s="9"/>
      <c r="AK58" s="10"/>
      <c r="AL58" s="25"/>
      <c r="AM58" s="25"/>
      <c r="AN58" s="25"/>
      <c r="AO58" s="10"/>
      <c r="AP58" s="12">
        <v>15315</v>
      </c>
      <c r="AQ58" s="12"/>
      <c r="AR58" s="12"/>
      <c r="AS58" s="242"/>
      <c r="AT58" s="243"/>
      <c r="AU58" s="242"/>
      <c r="AV58" s="242"/>
      <c r="AW58" s="244"/>
      <c r="AX58" s="243" t="s">
        <v>630</v>
      </c>
      <c r="AY58" s="243" t="s">
        <v>630</v>
      </c>
      <c r="AZ58" s="15">
        <v>15315</v>
      </c>
      <c r="BA58" s="15">
        <v>6524.32</v>
      </c>
      <c r="BB58" s="15">
        <v>15315</v>
      </c>
      <c r="BC58" s="15">
        <v>6524.32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0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 t="s">
        <v>634</v>
      </c>
      <c r="BW58" s="242">
        <v>0</v>
      </c>
      <c r="BX58" s="242">
        <v>0</v>
      </c>
      <c r="BY58" s="242">
        <v>0</v>
      </c>
      <c r="BZ58" s="242">
        <v>0</v>
      </c>
      <c r="CA58" s="242">
        <v>0</v>
      </c>
      <c r="CB58" s="243" t="s">
        <v>633</v>
      </c>
      <c r="CC58" s="248">
        <v>6524.32</v>
      </c>
      <c r="CD58" s="248">
        <v>6524.32</v>
      </c>
      <c r="CE58" s="248">
        <v>15315</v>
      </c>
      <c r="CF58" s="248">
        <v>0</v>
      </c>
    </row>
    <row r="59" spans="1:84" x14ac:dyDescent="0.25">
      <c r="A59" s="254" t="s">
        <v>735</v>
      </c>
      <c r="B59" s="255" t="s">
        <v>736</v>
      </c>
      <c r="C59" s="255" t="s">
        <v>636</v>
      </c>
      <c r="D59" s="233"/>
      <c r="E59" s="234">
        <v>12815</v>
      </c>
      <c r="F59" s="235">
        <v>12815</v>
      </c>
      <c r="G59" s="256"/>
      <c r="H59" s="257"/>
      <c r="I59" s="237"/>
      <c r="J59" s="238">
        <v>12815</v>
      </c>
      <c r="K59" s="239"/>
      <c r="L59" s="240"/>
      <c r="M59" s="8">
        <v>9981.68</v>
      </c>
      <c r="N59" s="241">
        <v>10009</v>
      </c>
      <c r="O59" s="71"/>
      <c r="P59" s="100"/>
      <c r="Q59" s="9"/>
      <c r="R59" s="9"/>
      <c r="S59" s="9"/>
      <c r="T59" s="258">
        <v>46082</v>
      </c>
      <c r="U59" s="10"/>
      <c r="V59" s="23"/>
      <c r="W59" s="11"/>
      <c r="X59" s="8">
        <v>1235.55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1235.55</v>
      </c>
      <c r="AJ59" s="9"/>
      <c r="AK59" s="10"/>
      <c r="AL59" s="25"/>
      <c r="AM59" s="25"/>
      <c r="AN59" s="25"/>
      <c r="AO59" s="10"/>
      <c r="AP59" s="12">
        <v>0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12815</v>
      </c>
      <c r="BA59" s="15">
        <v>10009</v>
      </c>
      <c r="BB59" s="15">
        <v>12815</v>
      </c>
      <c r="BC59" s="15">
        <v>10009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634</v>
      </c>
      <c r="BW59" s="242">
        <v>0</v>
      </c>
      <c r="BX59" s="242">
        <v>0</v>
      </c>
      <c r="BY59" s="242">
        <v>0</v>
      </c>
      <c r="BZ59" s="242">
        <v>0</v>
      </c>
      <c r="CA59" s="242">
        <v>0</v>
      </c>
      <c r="CB59" s="243" t="s">
        <v>633</v>
      </c>
      <c r="CC59" s="248">
        <v>1235.55</v>
      </c>
      <c r="CD59" s="248">
        <v>1235.55</v>
      </c>
      <c r="CE59" s="248">
        <v>0</v>
      </c>
      <c r="CF59" s="248">
        <v>0</v>
      </c>
    </row>
    <row r="60" spans="1:84" x14ac:dyDescent="0.25">
      <c r="A60" s="254" t="s">
        <v>737</v>
      </c>
      <c r="B60" s="255" t="s">
        <v>738</v>
      </c>
      <c r="C60" s="255" t="s">
        <v>636</v>
      </c>
      <c r="D60" s="233"/>
      <c r="E60" s="234">
        <v>3502</v>
      </c>
      <c r="F60" s="235">
        <v>3502</v>
      </c>
      <c r="G60" s="256"/>
      <c r="H60" s="257"/>
      <c r="I60" s="237"/>
      <c r="J60" s="238">
        <v>3502</v>
      </c>
      <c r="K60" s="239"/>
      <c r="L60" s="240"/>
      <c r="M60" s="8">
        <v>2524.16</v>
      </c>
      <c r="N60" s="241">
        <v>2942</v>
      </c>
      <c r="O60" s="71"/>
      <c r="P60" s="100"/>
      <c r="Q60" s="9"/>
      <c r="R60" s="9"/>
      <c r="S60" s="9"/>
      <c r="T60" s="258">
        <v>46082</v>
      </c>
      <c r="U60" s="10"/>
      <c r="V60" s="23"/>
      <c r="W60" s="11"/>
      <c r="X60" s="8">
        <v>114.08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114.08</v>
      </c>
      <c r="AJ60" s="9"/>
      <c r="AK60" s="10"/>
      <c r="AL60" s="25"/>
      <c r="AM60" s="25"/>
      <c r="AN60" s="25"/>
      <c r="AO60" s="10"/>
      <c r="AP60" s="12">
        <v>0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3502</v>
      </c>
      <c r="BA60" s="15">
        <v>2942</v>
      </c>
      <c r="BB60" s="15">
        <v>3502</v>
      </c>
      <c r="BC60" s="15">
        <v>2942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0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634</v>
      </c>
      <c r="BW60" s="242">
        <v>0</v>
      </c>
      <c r="BX60" s="242">
        <v>0</v>
      </c>
      <c r="BY60" s="242">
        <v>0</v>
      </c>
      <c r="BZ60" s="242">
        <v>0</v>
      </c>
      <c r="CA60" s="242">
        <v>0</v>
      </c>
      <c r="CB60" s="243" t="s">
        <v>633</v>
      </c>
      <c r="CC60" s="248">
        <v>114.08</v>
      </c>
      <c r="CD60" s="248">
        <v>114.08</v>
      </c>
      <c r="CE60" s="248">
        <v>0</v>
      </c>
      <c r="CF60" s="248">
        <v>0</v>
      </c>
    </row>
    <row r="61" spans="1:84" x14ac:dyDescent="0.25">
      <c r="A61" s="254" t="s">
        <v>739</v>
      </c>
      <c r="B61" s="255" t="s">
        <v>740</v>
      </c>
      <c r="C61" s="255" t="s">
        <v>636</v>
      </c>
      <c r="D61" s="233"/>
      <c r="E61" s="234">
        <v>12500</v>
      </c>
      <c r="F61" s="235">
        <v>12500</v>
      </c>
      <c r="G61" s="256"/>
      <c r="H61" s="257"/>
      <c r="I61" s="237"/>
      <c r="J61" s="238">
        <v>1036</v>
      </c>
      <c r="K61" s="239"/>
      <c r="L61" s="240"/>
      <c r="M61" s="8">
        <v>1035.79</v>
      </c>
      <c r="N61" s="241">
        <v>1035.79</v>
      </c>
      <c r="O61" s="71"/>
      <c r="P61" s="100"/>
      <c r="Q61" s="9"/>
      <c r="R61" s="9"/>
      <c r="S61" s="9"/>
      <c r="T61" s="258">
        <v>46112</v>
      </c>
      <c r="U61" s="10"/>
      <c r="V61" s="23"/>
      <c r="W61" s="11"/>
      <c r="X61" s="8">
        <v>1035.79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1035.79</v>
      </c>
      <c r="AJ61" s="9"/>
      <c r="AK61" s="10"/>
      <c r="AL61" s="25"/>
      <c r="AM61" s="25"/>
      <c r="AN61" s="25"/>
      <c r="AO61" s="10"/>
      <c r="AP61" s="12">
        <v>0</v>
      </c>
      <c r="AQ61" s="12"/>
      <c r="AR61" s="12"/>
      <c r="AS61" s="242"/>
      <c r="AT61" s="243"/>
      <c r="AU61" s="242"/>
      <c r="AV61" s="242"/>
      <c r="AW61" s="244"/>
      <c r="AX61" s="243" t="s">
        <v>630</v>
      </c>
      <c r="AY61" s="243" t="s">
        <v>630</v>
      </c>
      <c r="AZ61" s="15">
        <v>1036</v>
      </c>
      <c r="BA61" s="15">
        <v>1035.79</v>
      </c>
      <c r="BB61" s="15">
        <v>1036</v>
      </c>
      <c r="BC61" s="15">
        <v>1035.79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0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 t="s">
        <v>634</v>
      </c>
      <c r="BW61" s="242">
        <v>0</v>
      </c>
      <c r="BX61" s="242">
        <v>0</v>
      </c>
      <c r="BY61" s="242">
        <v>0</v>
      </c>
      <c r="BZ61" s="242">
        <v>0</v>
      </c>
      <c r="CA61" s="242">
        <v>0</v>
      </c>
      <c r="CB61" s="243" t="s">
        <v>633</v>
      </c>
      <c r="CC61" s="248">
        <v>1035.79</v>
      </c>
      <c r="CD61" s="248">
        <v>1035.79</v>
      </c>
      <c r="CE61" s="248">
        <v>0</v>
      </c>
      <c r="CF61" s="248">
        <v>0</v>
      </c>
    </row>
    <row r="62" spans="1:84" x14ac:dyDescent="0.25">
      <c r="A62" s="254"/>
      <c r="B62" s="93" t="s">
        <v>741</v>
      </c>
      <c r="C62" s="255"/>
      <c r="D62" s="233"/>
      <c r="E62" s="279">
        <f>SUM(E40:E61)</f>
        <v>559142.19999999995</v>
      </c>
      <c r="F62" s="268">
        <f>SUM(F40:F61)</f>
        <v>559142.19999999995</v>
      </c>
      <c r="G62" s="256"/>
      <c r="H62" s="257"/>
      <c r="I62" s="237"/>
      <c r="J62" s="280">
        <f>SUM(J40:J61)</f>
        <v>561518.1399999999</v>
      </c>
      <c r="K62" s="239"/>
      <c r="L62" s="240"/>
      <c r="M62" s="272">
        <f>SUM(M40:M61)</f>
        <v>313828.02999999991</v>
      </c>
      <c r="N62" s="281">
        <f>SUM(N40:N61)</f>
        <v>233386.94</v>
      </c>
      <c r="O62" s="71"/>
      <c r="P62" s="100"/>
      <c r="Q62" s="270">
        <f>SUM(Q40:Q61)</f>
        <v>0</v>
      </c>
      <c r="R62" s="270">
        <f>SUM(R40:R61)</f>
        <v>0</v>
      </c>
      <c r="S62" s="270">
        <f>SUM(S40:S61)</f>
        <v>0</v>
      </c>
      <c r="T62" s="258"/>
      <c r="U62" s="10"/>
      <c r="V62" s="23"/>
      <c r="W62" s="271">
        <f>SUM(W40:W61)</f>
        <v>0</v>
      </c>
      <c r="X62" s="272">
        <f>SUM(X40:X61)</f>
        <v>221785.56999999998</v>
      </c>
      <c r="Y62" s="270">
        <f>SUM(Y40:Y61)</f>
        <v>0</v>
      </c>
      <c r="Z62" s="270">
        <f>SUM(Z40:Z61)</f>
        <v>0</v>
      </c>
      <c r="AA62" s="270">
        <f>SUM(AA40:AA61)</f>
        <v>0</v>
      </c>
      <c r="AB62" s="10"/>
      <c r="AC62" s="24"/>
      <c r="AD62" s="271">
        <f>SUM(AD40:AD61)</f>
        <v>0</v>
      </c>
      <c r="AE62" s="272">
        <f>SUM(AE40:AE61)</f>
        <v>0</v>
      </c>
      <c r="AF62" s="270">
        <f>SUM(AF40:AF61)</f>
        <v>0</v>
      </c>
      <c r="AG62" s="10"/>
      <c r="AH62" s="271">
        <f>SUM(AH40:AH61)</f>
        <v>0</v>
      </c>
      <c r="AI62" s="272">
        <f>SUM(AI40:AI61)</f>
        <v>221785.56999999998</v>
      </c>
      <c r="AJ62" s="270">
        <f>SUM(AJ40:AJ61)</f>
        <v>0</v>
      </c>
      <c r="AK62" s="10"/>
      <c r="AL62" s="283">
        <f>SUM(AL40:AL61)</f>
        <v>0</v>
      </c>
      <c r="AM62" s="283">
        <f>SUM(AM40:AM61)</f>
        <v>0</v>
      </c>
      <c r="AN62" s="283">
        <f>SUM(AN40:AN61)</f>
        <v>0</v>
      </c>
      <c r="AO62" s="10"/>
      <c r="AP62" s="284">
        <f>SUM(AP40:AP61)</f>
        <v>544165.1399999999</v>
      </c>
      <c r="AQ62" s="284">
        <f>SUM(AQ40:AQ61)</f>
        <v>0</v>
      </c>
      <c r="AR62" s="284">
        <f>SUM(AR40:AR61)</f>
        <v>0</v>
      </c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93" t="s">
        <v>742</v>
      </c>
      <c r="C64" s="255"/>
      <c r="D64" s="233"/>
      <c r="E64" s="279">
        <f>SUM(E7:E63)/2</f>
        <v>5516092.5800000001</v>
      </c>
      <c r="F64" s="268">
        <f>SUM(F7:F63)/2</f>
        <v>5624727.5800000001</v>
      </c>
      <c r="G64" s="256"/>
      <c r="H64" s="257"/>
      <c r="I64" s="237"/>
      <c r="J64" s="280">
        <f>SUM(J7:J63)/2</f>
        <v>5410368.0200000005</v>
      </c>
      <c r="K64" s="239"/>
      <c r="L64" s="240"/>
      <c r="M64" s="272">
        <f>SUM(M7:M63)/2</f>
        <v>4821707.8899999997</v>
      </c>
      <c r="N64" s="281">
        <f>SUM(N7:N63)/2</f>
        <v>3934046.4300000006</v>
      </c>
      <c r="O64" s="71"/>
      <c r="P64" s="100"/>
      <c r="Q64" s="270">
        <f>SUM(Q7:Q63)/2</f>
        <v>0</v>
      </c>
      <c r="R64" s="270">
        <f>SUM(R7:R63)/2</f>
        <v>0</v>
      </c>
      <c r="S64" s="270">
        <f>SUM(S7:S63)/2</f>
        <v>0</v>
      </c>
      <c r="T64" s="258"/>
      <c r="U64" s="10"/>
      <c r="V64" s="23"/>
      <c r="W64" s="271">
        <f>SUM(W7:W63)/2</f>
        <v>0</v>
      </c>
      <c r="X64" s="272">
        <f>SUM(X7:X63)/2</f>
        <v>1827398.0899999996</v>
      </c>
      <c r="Y64" s="270">
        <f>SUM(Y7:Y63)/2</f>
        <v>0</v>
      </c>
      <c r="Z64" s="270">
        <f>SUM(Z7:Z63)/2</f>
        <v>0</v>
      </c>
      <c r="AA64" s="270">
        <f>SUM(AA7:AA63)/2</f>
        <v>0</v>
      </c>
      <c r="AB64" s="10"/>
      <c r="AC64" s="24"/>
      <c r="AD64" s="271">
        <f>SUM(AD7:AD63)/2</f>
        <v>0</v>
      </c>
      <c r="AE64" s="272">
        <f>SUM(AE7:AE63)/2</f>
        <v>0</v>
      </c>
      <c r="AF64" s="270">
        <f>SUM(AF7:AF63)/2</f>
        <v>0</v>
      </c>
      <c r="AG64" s="10"/>
      <c r="AH64" s="271">
        <f>SUM(AH7:AH63)/2</f>
        <v>0</v>
      </c>
      <c r="AI64" s="272">
        <f>SUM(AI7:AI63)/2</f>
        <v>1827398.0899999996</v>
      </c>
      <c r="AJ64" s="270">
        <f>SUM(AJ7:AJ63)/2</f>
        <v>0</v>
      </c>
      <c r="AK64" s="10"/>
      <c r="AL64" s="283">
        <f>SUM(AL7:AL63)/2</f>
        <v>0</v>
      </c>
      <c r="AM64" s="283">
        <f>SUM(AM7:AM63)/2</f>
        <v>0</v>
      </c>
      <c r="AN64" s="283">
        <f>SUM(AN7:AN63)/2</f>
        <v>0</v>
      </c>
      <c r="AO64" s="10"/>
      <c r="AP64" s="284">
        <f>SUM(AP7:AP63)/2</f>
        <v>1882987.5199999996</v>
      </c>
      <c r="AQ64" s="284">
        <f>SUM(AQ7:AQ63)/2</f>
        <v>0</v>
      </c>
      <c r="AR64" s="284">
        <f>SUM(AR7:AR63)/2</f>
        <v>0</v>
      </c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300"/>
      <c r="B66" s="299" t="s">
        <v>654</v>
      </c>
      <c r="C66" s="93"/>
      <c r="D66" s="267"/>
      <c r="E66" s="279">
        <f>SUMIF(BG8:BG66,1, E8:E66)</f>
        <v>4956950.38</v>
      </c>
      <c r="F66" s="268">
        <f>SUMIF(BG8:BG66,1, F8:F66)</f>
        <v>5065585.38</v>
      </c>
      <c r="G66" s="301"/>
      <c r="H66" s="113"/>
      <c r="I66" s="104"/>
      <c r="J66" s="280">
        <f>SUMIF(BG8:BG66,1, J8:J66)</f>
        <v>4848849.88</v>
      </c>
      <c r="K66" s="288"/>
      <c r="L66" s="98"/>
      <c r="M66" s="272">
        <f>SUMIF(BG8:BG66,1, M8:M66)</f>
        <v>4507879.8599999994</v>
      </c>
      <c r="N66" s="281">
        <f>SUMIF(BG8:BG66,1, N8:N66)</f>
        <v>3700659.4899999998</v>
      </c>
      <c r="O66" s="289"/>
      <c r="P66" s="99"/>
      <c r="Q66" s="270">
        <f>SUMIF(BG8:BG66,1, Q8:Q66)</f>
        <v>0</v>
      </c>
      <c r="R66" s="270">
        <f>SUMIF(BG8:BG66,1, R8:R66)</f>
        <v>0</v>
      </c>
      <c r="S66" s="270">
        <f>SUMIF(BG8:BG66,1, S8:S66)</f>
        <v>0</v>
      </c>
      <c r="T66" s="302"/>
      <c r="U66" s="291"/>
      <c r="V66" s="292"/>
      <c r="W66" s="271">
        <f>SUMIF(BG8:BG66,1, W8:W66)</f>
        <v>0</v>
      </c>
      <c r="X66" s="272">
        <f>SUMIF(BG8:BG66,1, X8:X66)</f>
        <v>1605612.52</v>
      </c>
      <c r="Y66" s="270">
        <f>SUMIF(BG8:BG66,1, Y8:Y66)</f>
        <v>0</v>
      </c>
      <c r="Z66" s="270">
        <f>SUMIF(BG8:BG66,1, Z8:Z66)</f>
        <v>0</v>
      </c>
      <c r="AA66" s="270">
        <f>SUMIF(BG8:BG66,1, AA8:AA66)</f>
        <v>0</v>
      </c>
      <c r="AB66" s="291"/>
      <c r="AC66" s="293"/>
      <c r="AD66" s="271">
        <f>SUMIF(BG8:BG66,1, AD8:AD66)</f>
        <v>0</v>
      </c>
      <c r="AE66" s="272">
        <f>SUMIF(BG8:BG66,1, AE8:AE66)</f>
        <v>0</v>
      </c>
      <c r="AF66" s="270">
        <f>SUMIF(BG8:BG66,1, AF8:AF66)</f>
        <v>0</v>
      </c>
      <c r="AG66" s="291"/>
      <c r="AH66" s="271">
        <f>SUMIF(BG8:BG66,1, AH8:AH66)</f>
        <v>0</v>
      </c>
      <c r="AI66" s="272">
        <f>SUMIF(BG8:BG66,1, AI8:AI66)</f>
        <v>1605612.52</v>
      </c>
      <c r="AJ66" s="270">
        <f>SUMIF(BG8:BG66,1, AJ8:AJ66)</f>
        <v>0</v>
      </c>
      <c r="AK66" s="291"/>
      <c r="AL66" s="283">
        <f>SUMIF(BG8:BG66,1, AL8:AL66)</f>
        <v>0</v>
      </c>
      <c r="AM66" s="283">
        <f>SUMIF(BG8:BG66,1, AM8:AM66)</f>
        <v>0</v>
      </c>
      <c r="AN66" s="283">
        <f>SUMIF(BG8:BG66,1, AN8:AN66)</f>
        <v>0</v>
      </c>
      <c r="AO66" s="291"/>
      <c r="AP66" s="284">
        <f>SUMIF(BG8:BG66,1, AP8:AP66)</f>
        <v>1338822.3799999999</v>
      </c>
      <c r="AQ66" s="284">
        <f>SUMIF(BG8:BG66,1, AQ8:AQ66)</f>
        <v>0</v>
      </c>
      <c r="AR66" s="284">
        <f>SUMIF(BG8:BG66,1, AR8:AR66)</f>
        <v>0</v>
      </c>
      <c r="AS66" s="15"/>
      <c r="AT66" s="274"/>
      <c r="AU66" s="15"/>
      <c r="AV66" s="15"/>
      <c r="AW66" s="275"/>
      <c r="AX66" s="274"/>
      <c r="AY66" s="274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298"/>
      <c r="BO66" s="298"/>
      <c r="BP66" s="298"/>
      <c r="BQ66" s="298"/>
      <c r="BR66" s="294"/>
      <c r="BS66" s="294"/>
      <c r="BT66" s="15"/>
      <c r="BU66" s="15"/>
      <c r="BV66" s="276"/>
      <c r="BW66" s="15"/>
      <c r="BX66" s="15"/>
      <c r="BY66" s="15"/>
      <c r="BZ66" s="15"/>
      <c r="CA66" s="15"/>
      <c r="CB66" s="274"/>
      <c r="CC66" s="277"/>
      <c r="CD66" s="277"/>
      <c r="CE66" s="277"/>
      <c r="CF66" s="277"/>
    </row>
    <row r="67" spans="1:84" x14ac:dyDescent="0.25">
      <c r="A67" s="300"/>
      <c r="B67" s="299" t="s">
        <v>655</v>
      </c>
      <c r="C67" s="93"/>
      <c r="D67" s="267"/>
      <c r="E67" s="279">
        <f>SUMIF(BG8:BG66,2, E8:E66)</f>
        <v>559142.19999999995</v>
      </c>
      <c r="F67" s="268">
        <f>SUMIF(BG8:BG66,2, F8:F66)</f>
        <v>559142.19999999995</v>
      </c>
      <c r="G67" s="301"/>
      <c r="H67" s="113"/>
      <c r="I67" s="104"/>
      <c r="J67" s="280">
        <f>SUMIF(BG8:BG66,2, J8:J66)</f>
        <v>561518.1399999999</v>
      </c>
      <c r="K67" s="288"/>
      <c r="L67" s="98"/>
      <c r="M67" s="272">
        <f>SUMIF(BG8:BG66,2, M8:M66)</f>
        <v>313828.02999999991</v>
      </c>
      <c r="N67" s="281">
        <f>SUMIF(BG8:BG66,2, N8:N66)</f>
        <v>233386.94</v>
      </c>
      <c r="O67" s="289"/>
      <c r="P67" s="99"/>
      <c r="Q67" s="270">
        <f>SUMIF(BG8:BG66,2, Q8:Q66)</f>
        <v>0</v>
      </c>
      <c r="R67" s="270">
        <f>SUMIF(BG8:BG66,2, R8:R66)</f>
        <v>0</v>
      </c>
      <c r="S67" s="270">
        <f>SUMIF(BG8:BG66,2, S8:S66)</f>
        <v>0</v>
      </c>
      <c r="T67" s="302"/>
      <c r="U67" s="291"/>
      <c r="V67" s="292"/>
      <c r="W67" s="271">
        <f>SUMIF(BG8:BG66,2, W8:W66)</f>
        <v>0</v>
      </c>
      <c r="X67" s="272">
        <f>SUMIF(BG8:BG66,2, X8:X66)</f>
        <v>221785.56999999998</v>
      </c>
      <c r="Y67" s="270">
        <f>SUMIF(BG8:BG66,2, Y8:Y66)</f>
        <v>0</v>
      </c>
      <c r="Z67" s="270">
        <f>SUMIF(BG8:BG66,2, Z8:Z66)</f>
        <v>0</v>
      </c>
      <c r="AA67" s="270">
        <f>SUMIF(BG8:BG66,2, AA8:AA66)</f>
        <v>0</v>
      </c>
      <c r="AB67" s="291"/>
      <c r="AC67" s="293"/>
      <c r="AD67" s="271">
        <f>SUMIF(BG8:BG66,2, AD8:AD66)</f>
        <v>0</v>
      </c>
      <c r="AE67" s="272">
        <f>SUMIF(BG8:BG66,2, AE8:AE66)</f>
        <v>0</v>
      </c>
      <c r="AF67" s="270">
        <f>SUMIF(BG8:BG66,2, AF8:AF66)</f>
        <v>0</v>
      </c>
      <c r="AG67" s="291"/>
      <c r="AH67" s="271">
        <f>SUMIF(BG8:BG66,2, AH8:AH66)</f>
        <v>0</v>
      </c>
      <c r="AI67" s="272">
        <f>SUMIF(BG8:BG66,2, AI8:AI66)</f>
        <v>221785.56999999998</v>
      </c>
      <c r="AJ67" s="270">
        <f>SUMIF(BG8:BG66,2, AJ8:AJ66)</f>
        <v>0</v>
      </c>
      <c r="AK67" s="291"/>
      <c r="AL67" s="283">
        <f>SUMIF(BG8:BG66,2, AL8:AL66)</f>
        <v>0</v>
      </c>
      <c r="AM67" s="283">
        <f>SUMIF(BG8:BG66,2, AM8:AM66)</f>
        <v>0</v>
      </c>
      <c r="AN67" s="283">
        <f>SUMIF(BG8:BG66,2, AN8:AN66)</f>
        <v>0</v>
      </c>
      <c r="AO67" s="291"/>
      <c r="AP67" s="284">
        <f>SUMIF(BG8:BG66,2, AP8:AP66)</f>
        <v>544165.1399999999</v>
      </c>
      <c r="AQ67" s="284">
        <f>SUMIF(BG8:BG66,2, AQ8:AQ66)</f>
        <v>0</v>
      </c>
      <c r="AR67" s="284">
        <f>SUMIF(BG8:BG66,2, AR8:AR66)</f>
        <v>0</v>
      </c>
      <c r="AS67" s="15"/>
      <c r="AT67" s="274"/>
      <c r="AU67" s="15"/>
      <c r="AV67" s="15"/>
      <c r="AW67" s="275"/>
      <c r="AX67" s="274"/>
      <c r="AY67" s="274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298"/>
      <c r="BO67" s="298"/>
      <c r="BP67" s="298"/>
      <c r="BQ67" s="298"/>
      <c r="BR67" s="294"/>
      <c r="BS67" s="294"/>
      <c r="BT67" s="15"/>
      <c r="BU67" s="15"/>
      <c r="BV67" s="276"/>
      <c r="BW67" s="15"/>
      <c r="BX67" s="15"/>
      <c r="BY67" s="15"/>
      <c r="BZ67" s="15"/>
      <c r="CA67" s="15"/>
      <c r="CB67" s="274"/>
      <c r="CC67" s="277"/>
      <c r="CD67" s="277"/>
      <c r="CE67" s="277"/>
      <c r="CF67" s="277"/>
    </row>
    <row r="68" spans="1:84" x14ac:dyDescent="0.25">
      <c r="A68" s="300"/>
      <c r="B68" s="299" t="s">
        <v>653</v>
      </c>
      <c r="C68" s="93"/>
      <c r="D68" s="267"/>
      <c r="E68" s="279">
        <f>SUM(E8:E67)/4</f>
        <v>5516092.5800000001</v>
      </c>
      <c r="F68" s="268">
        <f>SUM(F8:F67)/4</f>
        <v>5624727.5800000001</v>
      </c>
      <c r="G68" s="301"/>
      <c r="H68" s="113"/>
      <c r="I68" s="104"/>
      <c r="J68" s="280">
        <f>SUM(J8:J67)/4</f>
        <v>5410368.0200000005</v>
      </c>
      <c r="K68" s="288"/>
      <c r="L68" s="98"/>
      <c r="M68" s="272">
        <f>SUM(M8:M67)/4</f>
        <v>4821707.8899999997</v>
      </c>
      <c r="N68" s="281">
        <f>SUM(N8:N67)/4</f>
        <v>3934046.4300000006</v>
      </c>
      <c r="O68" s="289"/>
      <c r="P68" s="99"/>
      <c r="Q68" s="270">
        <f>SUM(Q8:Q67)/4</f>
        <v>0</v>
      </c>
      <c r="R68" s="270">
        <f>SUM(R8:R67)/4</f>
        <v>0</v>
      </c>
      <c r="S68" s="270">
        <f>SUM(S8:S67)/4</f>
        <v>0</v>
      </c>
      <c r="T68" s="302"/>
      <c r="U68" s="291"/>
      <c r="V68" s="292"/>
      <c r="W68" s="271">
        <f>SUM(W8:W67)/4</f>
        <v>0</v>
      </c>
      <c r="X68" s="272">
        <f>SUM(X8:X67)/4</f>
        <v>1827398.0899999999</v>
      </c>
      <c r="Y68" s="270">
        <f>SUM(Y8:Y67)/4</f>
        <v>0</v>
      </c>
      <c r="Z68" s="270">
        <f>SUM(Z8:Z67)/4</f>
        <v>0</v>
      </c>
      <c r="AA68" s="270">
        <f>SUM(AA8:AA67)/4</f>
        <v>0</v>
      </c>
      <c r="AB68" s="291"/>
      <c r="AC68" s="293"/>
      <c r="AD68" s="271">
        <f>SUM(AD8:AD67)/4</f>
        <v>0</v>
      </c>
      <c r="AE68" s="272">
        <f>SUM(AE8:AE67)/4</f>
        <v>0</v>
      </c>
      <c r="AF68" s="270">
        <f>SUM(AF8:AF67)/4</f>
        <v>0</v>
      </c>
      <c r="AG68" s="291"/>
      <c r="AH68" s="271">
        <f>SUM(AH8:AH67)/4</f>
        <v>0</v>
      </c>
      <c r="AI68" s="272">
        <f>SUM(AI8:AI67)/4</f>
        <v>1827398.0899999999</v>
      </c>
      <c r="AJ68" s="270">
        <f>SUM(AJ8:AJ67)/4</f>
        <v>0</v>
      </c>
      <c r="AK68" s="291"/>
      <c r="AL68" s="283">
        <f>SUM(AL8:AL67)/4</f>
        <v>0</v>
      </c>
      <c r="AM68" s="283">
        <f>SUM(AM8:AM67)/4</f>
        <v>0</v>
      </c>
      <c r="AN68" s="283">
        <f>SUM(AN8:AN67)/4</f>
        <v>0</v>
      </c>
      <c r="AO68" s="291"/>
      <c r="AP68" s="284">
        <f>SUM(AP8:AP67)/4</f>
        <v>1882987.5199999996</v>
      </c>
      <c r="AQ68" s="284">
        <f>SUM(AQ8:AQ67)/4</f>
        <v>0</v>
      </c>
      <c r="AR68" s="284">
        <f>SUM(AR8:AR67)/4</f>
        <v>0</v>
      </c>
      <c r="AS68" s="15"/>
      <c r="AT68" s="274"/>
      <c r="AU68" s="15"/>
      <c r="AV68" s="15"/>
      <c r="AW68" s="275"/>
      <c r="AX68" s="274"/>
      <c r="AY68" s="274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298"/>
      <c r="BO68" s="298"/>
      <c r="BP68" s="298"/>
      <c r="BQ68" s="298"/>
      <c r="BR68" s="294"/>
      <c r="BS68" s="294"/>
      <c r="BT68" s="15"/>
      <c r="BU68" s="15"/>
      <c r="BV68" s="276"/>
      <c r="BW68" s="15"/>
      <c r="BX68" s="15"/>
      <c r="BY68" s="15"/>
      <c r="BZ68" s="15"/>
      <c r="CA68" s="15"/>
      <c r="CB68" s="274"/>
      <c r="CC68" s="277"/>
      <c r="CD68" s="277"/>
      <c r="CE68" s="277"/>
      <c r="CF68" s="277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5PypHfuMY22bIL7Dp+DCw7kBCq0obFM7A659Sc9nIbd3IXTo5wKy7Esvk9U8vqbd9ZHta2n86o8owIntyFp1Sg==" saltValue="45IExyMXXTeBUIn6bpuZ8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5"/>
      <c r="B38" s="278"/>
      <c r="C38" s="266"/>
      <c r="D38" s="267"/>
      <c r="E38" s="268"/>
      <c r="F38" s="269"/>
      <c r="G38" s="268"/>
      <c r="H38" s="269"/>
      <c r="I38" s="268"/>
      <c r="J38" s="270"/>
      <c r="K38" s="270"/>
      <c r="L38" s="270"/>
      <c r="M38" s="15"/>
      <c r="N38" s="270"/>
      <c r="O38" s="270"/>
      <c r="P38" s="270"/>
      <c r="Q38" s="15"/>
      <c r="R38" s="271"/>
      <c r="S38" s="271"/>
      <c r="T38" s="271"/>
      <c r="U38" s="272"/>
      <c r="V38" s="272"/>
      <c r="W38" s="272"/>
      <c r="X38" s="270"/>
      <c r="Y38" s="270"/>
      <c r="Z38" s="270"/>
      <c r="AA38" s="273"/>
      <c r="AB38" s="274"/>
      <c r="AC38" s="15"/>
      <c r="AD38" s="15"/>
      <c r="AE38" s="275"/>
      <c r="AF38" s="274"/>
      <c r="AG38" s="274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276"/>
      <c r="BE38" s="15"/>
      <c r="BF38" s="15"/>
      <c r="BG38" s="15"/>
      <c r="BH38" s="15"/>
      <c r="BI38" s="15"/>
      <c r="BJ38" s="274"/>
      <c r="BK38" s="277"/>
      <c r="BL38" s="277"/>
      <c r="BM38" s="277"/>
      <c r="BN38" s="277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5"/>
      <c r="B40" s="278"/>
      <c r="C40" s="266"/>
      <c r="D40" s="267"/>
      <c r="E40" s="268"/>
      <c r="F40" s="269"/>
      <c r="G40" s="268"/>
      <c r="H40" s="269"/>
      <c r="I40" s="268"/>
      <c r="J40" s="270"/>
      <c r="K40" s="270"/>
      <c r="L40" s="270"/>
      <c r="M40" s="15"/>
      <c r="N40" s="270"/>
      <c r="O40" s="270"/>
      <c r="P40" s="270"/>
      <c r="Q40" s="15"/>
      <c r="R40" s="271"/>
      <c r="S40" s="271"/>
      <c r="T40" s="271"/>
      <c r="U40" s="272"/>
      <c r="V40" s="272"/>
      <c r="W40" s="272"/>
      <c r="X40" s="270"/>
      <c r="Y40" s="270"/>
      <c r="Z40" s="270"/>
      <c r="AA40" s="273"/>
      <c r="AB40" s="274"/>
      <c r="AC40" s="15"/>
      <c r="AD40" s="15"/>
      <c r="AE40" s="275"/>
      <c r="AF40" s="274"/>
      <c r="AG40" s="274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6"/>
      <c r="BE40" s="15"/>
      <c r="BF40" s="15"/>
      <c r="BG40" s="15"/>
      <c r="BH40" s="15"/>
      <c r="BI40" s="15"/>
      <c r="BJ40" s="274"/>
      <c r="BK40" s="277"/>
      <c r="BL40" s="277"/>
      <c r="BM40" s="277"/>
      <c r="BN40" s="277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5"/>
      <c r="B62" s="266"/>
      <c r="C62" s="266"/>
      <c r="D62" s="267"/>
      <c r="E62" s="268"/>
      <c r="F62" s="269"/>
      <c r="G62" s="268"/>
      <c r="H62" s="269"/>
      <c r="I62" s="268"/>
      <c r="J62" s="270"/>
      <c r="K62" s="270"/>
      <c r="L62" s="270"/>
      <c r="M62" s="15"/>
      <c r="N62" s="270"/>
      <c r="O62" s="270"/>
      <c r="P62" s="270"/>
      <c r="Q62" s="15"/>
      <c r="R62" s="271"/>
      <c r="S62" s="271"/>
      <c r="T62" s="271"/>
      <c r="U62" s="272"/>
      <c r="V62" s="272"/>
      <c r="W62" s="272"/>
      <c r="X62" s="270"/>
      <c r="Y62" s="270"/>
      <c r="Z62" s="270"/>
      <c r="AA62" s="273"/>
      <c r="AB62" s="274"/>
      <c r="AC62" s="15"/>
      <c r="AD62" s="15"/>
      <c r="AE62" s="275"/>
      <c r="AF62" s="274"/>
      <c r="AG62" s="274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276"/>
      <c r="BE62" s="15"/>
      <c r="BF62" s="15"/>
      <c r="BG62" s="15"/>
      <c r="BH62" s="15"/>
      <c r="BI62" s="15"/>
      <c r="BJ62" s="274"/>
      <c r="BK62" s="277"/>
      <c r="BL62" s="277"/>
      <c r="BM62" s="277"/>
      <c r="BN62" s="277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5"/>
      <c r="B64" s="266"/>
      <c r="C64" s="266"/>
      <c r="D64" s="267"/>
      <c r="E64" s="268"/>
      <c r="F64" s="269"/>
      <c r="G64" s="268"/>
      <c r="H64" s="269"/>
      <c r="I64" s="268"/>
      <c r="J64" s="270"/>
      <c r="K64" s="270"/>
      <c r="L64" s="270"/>
      <c r="M64" s="15"/>
      <c r="N64" s="270"/>
      <c r="O64" s="270"/>
      <c r="P64" s="270"/>
      <c r="Q64" s="15"/>
      <c r="R64" s="271"/>
      <c r="S64" s="271"/>
      <c r="T64" s="271"/>
      <c r="U64" s="272"/>
      <c r="V64" s="272"/>
      <c r="W64" s="272"/>
      <c r="X64" s="270"/>
      <c r="Y64" s="270"/>
      <c r="Z64" s="270"/>
      <c r="AA64" s="273"/>
      <c r="AB64" s="274"/>
      <c r="AC64" s="15"/>
      <c r="AD64" s="15"/>
      <c r="AE64" s="275"/>
      <c r="AF64" s="274"/>
      <c r="AG64" s="274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276"/>
      <c r="BE64" s="15"/>
      <c r="BF64" s="15"/>
      <c r="BG64" s="15"/>
      <c r="BH64" s="15"/>
      <c r="BI64" s="15"/>
      <c r="BJ64" s="274"/>
      <c r="BK64" s="277"/>
      <c r="BL64" s="277"/>
      <c r="BM64" s="277"/>
      <c r="BN64" s="277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78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78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78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Jr1qsIcYHxlAZQpHF7iZjHmewSFoHC1tt1iXayo6yBNlAS51+ppLP+DD57pKAWpxqvsVokoj7P5hRokYRPGlqg==" saltValue="qWmAVgz3bIyoBu1LDRrYBQ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bC8uZvSqtY3UEGWpxdc3EmaspIJMlwCTV+cQZF8IvpCtLDmIj8elw6xHdDfqv5m0Fxk+g3HmTrFn4lbXJ3m0bA==" saltValue="ve7Q2IYV6uixn/WdU4tCc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wZ3ZudoAe5ZimKXVSLI45Z64TKhxC6d1ibyxa0V1SoecgNVfm7jFsksnHMr+bGodEIyhGzZnFPcent9rNJy+mA==" saltValue="hqGSOpJdn4FJS09GXNBte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