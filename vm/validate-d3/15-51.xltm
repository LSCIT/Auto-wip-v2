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36C0041F-7BF6-451F-9691-B77EDFC90D78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45" i="82" l="1"/>
  <c r="AR44" i="82"/>
  <c r="AQ45" i="82"/>
  <c r="AQ44" i="82"/>
  <c r="AP45" i="82"/>
  <c r="AP44" i="82"/>
  <c r="AN45" i="82"/>
  <c r="AN44" i="82"/>
  <c r="AM45" i="82"/>
  <c r="AM44" i="82"/>
  <c r="AL45" i="82"/>
  <c r="AL44" i="82"/>
  <c r="AJ45" i="82"/>
  <c r="AJ44" i="82"/>
  <c r="AI45" i="82"/>
  <c r="AI44" i="82"/>
  <c r="AH45" i="82"/>
  <c r="AH44" i="82"/>
  <c r="AF45" i="82"/>
  <c r="AF44" i="82"/>
  <c r="AE45" i="82"/>
  <c r="AE44" i="82"/>
  <c r="AD45" i="82"/>
  <c r="AD44" i="82"/>
  <c r="AA45" i="82"/>
  <c r="AA44" i="82"/>
  <c r="Z45" i="82"/>
  <c r="Z44" i="82"/>
  <c r="Y45" i="82"/>
  <c r="Y44" i="82"/>
  <c r="X45" i="82"/>
  <c r="X44" i="82"/>
  <c r="W45" i="82"/>
  <c r="W44" i="82"/>
  <c r="S45" i="82"/>
  <c r="S44" i="82"/>
  <c r="R45" i="82"/>
  <c r="R44" i="82"/>
  <c r="Q45" i="82"/>
  <c r="Q44" i="82"/>
  <c r="N45" i="82"/>
  <c r="N44" i="82"/>
  <c r="M45" i="82"/>
  <c r="M44" i="82"/>
  <c r="J45" i="82"/>
  <c r="J44" i="82"/>
  <c r="F45" i="82"/>
  <c r="F44" i="82"/>
  <c r="E45" i="82"/>
  <c r="E44" i="82"/>
  <c r="AN42" i="82"/>
  <c r="AI42" i="82"/>
  <c r="AD42" i="82"/>
  <c r="X42" i="82"/>
  <c r="Q42" i="82"/>
  <c r="F42" i="82"/>
  <c r="AR40" i="82"/>
  <c r="AQ40" i="82"/>
  <c r="AP40" i="82"/>
  <c r="AP42" i="82" s="1"/>
  <c r="AN40" i="82"/>
  <c r="AM40" i="82"/>
  <c r="AL40" i="82"/>
  <c r="AJ40" i="82"/>
  <c r="AJ42" i="82" s="1"/>
  <c r="AI40" i="82"/>
  <c r="AH40" i="82"/>
  <c r="AF40" i="82"/>
  <c r="AE40" i="82"/>
  <c r="AE42" i="82" s="1"/>
  <c r="AD40" i="82"/>
  <c r="AA40" i="82"/>
  <c r="Z40" i="82"/>
  <c r="Y40" i="82"/>
  <c r="Y42" i="82" s="1"/>
  <c r="X40" i="82"/>
  <c r="W40" i="82"/>
  <c r="S40" i="82"/>
  <c r="R40" i="82"/>
  <c r="R42" i="82" s="1"/>
  <c r="Q40" i="82"/>
  <c r="N40" i="82"/>
  <c r="M40" i="82"/>
  <c r="J40" i="82"/>
  <c r="J42" i="82" s="1"/>
  <c r="F40" i="82"/>
  <c r="E40" i="82"/>
  <c r="AR27" i="82"/>
  <c r="AQ27" i="82"/>
  <c r="AQ42" i="82" s="1"/>
  <c r="AP27" i="82"/>
  <c r="AN27" i="82"/>
  <c r="AN46" i="82" s="1"/>
  <c r="AM27" i="82"/>
  <c r="AL27" i="82"/>
  <c r="AL42" i="82" s="1"/>
  <c r="AJ27" i="82"/>
  <c r="AI27" i="82"/>
  <c r="AI46" i="82" s="1"/>
  <c r="AH27" i="82"/>
  <c r="AF27" i="82"/>
  <c r="AF42" i="82" s="1"/>
  <c r="AE27" i="82"/>
  <c r="AD27" i="82"/>
  <c r="AD46" i="82" s="1"/>
  <c r="AA27" i="82"/>
  <c r="Z27" i="82"/>
  <c r="Z42" i="82" s="1"/>
  <c r="Y27" i="82"/>
  <c r="Y46" i="82" s="1"/>
  <c r="X27" i="82"/>
  <c r="X46" i="82" s="1"/>
  <c r="W27" i="82"/>
  <c r="S27" i="82"/>
  <c r="S42" i="82" s="1"/>
  <c r="R27" i="82"/>
  <c r="R46" i="82" s="1"/>
  <c r="Q27" i="82"/>
  <c r="Q46" i="82" s="1"/>
  <c r="N27" i="82"/>
  <c r="M27" i="82"/>
  <c r="M42" i="82" s="1"/>
  <c r="J27" i="82"/>
  <c r="J46" i="82" s="1"/>
  <c r="F27" i="82"/>
  <c r="F46" i="82" s="1"/>
  <c r="E27" i="82"/>
  <c r="AW45" i="75"/>
  <c r="AW44" i="75"/>
  <c r="AV45" i="75"/>
  <c r="AV44" i="75"/>
  <c r="AU45" i="75"/>
  <c r="AU44" i="75"/>
  <c r="AS45" i="75"/>
  <c r="AS44" i="75"/>
  <c r="AR45" i="75"/>
  <c r="AR44" i="75"/>
  <c r="AQ45" i="75"/>
  <c r="AQ44" i="75"/>
  <c r="AN45" i="75"/>
  <c r="AN44" i="75"/>
  <c r="AM45" i="75"/>
  <c r="AM44" i="75"/>
  <c r="AL45" i="75"/>
  <c r="AL44" i="75"/>
  <c r="AI45" i="75"/>
  <c r="AI44" i="75"/>
  <c r="AH45" i="75"/>
  <c r="AH44" i="75"/>
  <c r="AG45" i="75"/>
  <c r="AG44" i="75"/>
  <c r="AD45" i="75"/>
  <c r="AD44" i="75"/>
  <c r="AC45" i="75"/>
  <c r="AC44" i="75"/>
  <c r="AO45" i="75"/>
  <c r="AO44" i="75"/>
  <c r="AJ45" i="75"/>
  <c r="AJ44" i="75"/>
  <c r="Z45" i="75"/>
  <c r="Z44" i="75"/>
  <c r="V45" i="75"/>
  <c r="V44" i="75"/>
  <c r="Y45" i="75"/>
  <c r="Y44" i="75"/>
  <c r="X45" i="75"/>
  <c r="X44" i="75"/>
  <c r="W45" i="75"/>
  <c r="W44" i="75"/>
  <c r="R45" i="75"/>
  <c r="R44" i="75"/>
  <c r="Q45" i="75"/>
  <c r="Q44" i="75"/>
  <c r="P45" i="75"/>
  <c r="P44" i="75"/>
  <c r="M45" i="75"/>
  <c r="M44" i="75"/>
  <c r="L45" i="75"/>
  <c r="L44" i="75"/>
  <c r="I45" i="75"/>
  <c r="I44" i="75"/>
  <c r="F45" i="75"/>
  <c r="F44" i="75"/>
  <c r="E45" i="75"/>
  <c r="E44" i="75"/>
  <c r="AW42" i="75"/>
  <c r="AR42" i="75"/>
  <c r="AL42" i="75"/>
  <c r="AD42" i="75"/>
  <c r="Z42" i="75"/>
  <c r="W42" i="75"/>
  <c r="M42" i="75"/>
  <c r="E42" i="75"/>
  <c r="AW40" i="75"/>
  <c r="AV40" i="75"/>
  <c r="AV42" i="75" s="1"/>
  <c r="AU40" i="75"/>
  <c r="AS40" i="75"/>
  <c r="AR40" i="75"/>
  <c r="AQ40" i="75"/>
  <c r="AQ42" i="75" s="1"/>
  <c r="AN40" i="75"/>
  <c r="AM40" i="75"/>
  <c r="AL40" i="75"/>
  <c r="AI40" i="75"/>
  <c r="AI42" i="75" s="1"/>
  <c r="AH40" i="75"/>
  <c r="AG40" i="75"/>
  <c r="AD40" i="75"/>
  <c r="AC40" i="75"/>
  <c r="AC42" i="75" s="1"/>
  <c r="AC46" i="75" s="1"/>
  <c r="AO40" i="75"/>
  <c r="AJ40" i="75"/>
  <c r="Z40" i="75"/>
  <c r="V40" i="75"/>
  <c r="V42" i="75" s="1"/>
  <c r="V46" i="75" s="1"/>
  <c r="Y40" i="75"/>
  <c r="X40" i="75"/>
  <c r="W40" i="75"/>
  <c r="R40" i="75"/>
  <c r="R42" i="75" s="1"/>
  <c r="R46" i="75" s="1"/>
  <c r="Q40" i="75"/>
  <c r="P40" i="75"/>
  <c r="M40" i="75"/>
  <c r="L40" i="75"/>
  <c r="L42" i="75" s="1"/>
  <c r="L46" i="75" s="1"/>
  <c r="I40" i="75"/>
  <c r="F40" i="75"/>
  <c r="E40" i="75"/>
  <c r="AW27" i="75"/>
  <c r="AW46" i="75" s="1"/>
  <c r="AV27" i="75"/>
  <c r="AU27" i="75"/>
  <c r="AU42" i="75" s="1"/>
  <c r="AS27" i="75"/>
  <c r="AR27" i="75"/>
  <c r="AR46" i="75" s="1"/>
  <c r="AQ27" i="75"/>
  <c r="AN27" i="75"/>
  <c r="AN42" i="75" s="1"/>
  <c r="AM27" i="75"/>
  <c r="AL27" i="75"/>
  <c r="AL46" i="75" s="1"/>
  <c r="AI27" i="75"/>
  <c r="AH27" i="75"/>
  <c r="AH42" i="75" s="1"/>
  <c r="AG27" i="75"/>
  <c r="AD27" i="75"/>
  <c r="AD46" i="75" s="1"/>
  <c r="AC27" i="75"/>
  <c r="AO27" i="75"/>
  <c r="AO42" i="75" s="1"/>
  <c r="AJ27" i="75"/>
  <c r="Z27" i="75"/>
  <c r="Z46" i="75" s="1"/>
  <c r="V27" i="75"/>
  <c r="Y27" i="75"/>
  <c r="Y42" i="75" s="1"/>
  <c r="X27" i="75"/>
  <c r="W27" i="75"/>
  <c r="W46" i="75" s="1"/>
  <c r="R27" i="75"/>
  <c r="Q27" i="75"/>
  <c r="Q42" i="75" s="1"/>
  <c r="P27" i="75"/>
  <c r="M27" i="75"/>
  <c r="M46" i="75" s="1"/>
  <c r="L27" i="75"/>
  <c r="I27" i="75"/>
  <c r="I42" i="75" s="1"/>
  <c r="F27" i="75"/>
  <c r="E27" i="75"/>
  <c r="E46" i="75" s="1"/>
  <c r="AS6" i="75"/>
  <c r="AC6" i="75"/>
  <c r="AE46" i="82" l="1"/>
  <c r="AJ46" i="82"/>
  <c r="AP46" i="82"/>
  <c r="W46" i="82"/>
  <c r="AA46" i="82"/>
  <c r="AR46" i="82"/>
  <c r="E42" i="82"/>
  <c r="E46" i="82" s="1"/>
  <c r="N42" i="82"/>
  <c r="N46" i="82" s="1"/>
  <c r="W42" i="82"/>
  <c r="AA42" i="82"/>
  <c r="AH42" i="82"/>
  <c r="AH46" i="82" s="1"/>
  <c r="AM42" i="82"/>
  <c r="AM46" i="82" s="1"/>
  <c r="AR42" i="82"/>
  <c r="M46" i="82"/>
  <c r="S46" i="82"/>
  <c r="Z46" i="82"/>
  <c r="AF46" i="82"/>
  <c r="AL46" i="82"/>
  <c r="AQ46" i="82"/>
  <c r="X46" i="75"/>
  <c r="AS46" i="75"/>
  <c r="AV46" i="75"/>
  <c r="AQ46" i="75"/>
  <c r="AI46" i="75"/>
  <c r="F42" i="75"/>
  <c r="F46" i="75" s="1"/>
  <c r="P42" i="75"/>
  <c r="P46" i="75" s="1"/>
  <c r="X42" i="75"/>
  <c r="AJ42" i="75"/>
  <c r="AJ46" i="75" s="1"/>
  <c r="AG42" i="75"/>
  <c r="AG46" i="75" s="1"/>
  <c r="AM42" i="75"/>
  <c r="AM46" i="75" s="1"/>
  <c r="AS42" i="75"/>
  <c r="I46" i="75"/>
  <c r="Q46" i="75"/>
  <c r="Y46" i="75"/>
  <c r="AO46" i="75"/>
  <c r="AH46" i="75"/>
  <c r="AN46" i="75"/>
  <c r="AU46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7E7113EC-4C50-4464-92F4-31F6AC1FD9A8}">
      <text>
        <r>
          <rPr>
            <sz val="10"/>
            <color indexed="81"/>
            <rFont val="Arial"/>
            <family val="2"/>
          </rPr>
          <t>Original - _x000D_
71,413,942_x000D_
Change Order - _x000D_
19,695,442</t>
        </r>
      </text>
    </comment>
    <comment ref="F9" authorId="0" shapeId="0" xr:uid="{B70084A3-F8D9-42D8-8BB7-68C4FF216CBC}">
      <text>
        <r>
          <rPr>
            <sz val="10"/>
            <color indexed="81"/>
            <rFont val="Arial"/>
            <family val="2"/>
          </rPr>
          <t>1 - 0_x000D_
2 - 0_x000D_
3 - 94,010,128_x000D_
4 - 0_x000D_
5 - 0_x000D_
6 - 93,864,441</t>
        </r>
      </text>
    </comment>
    <comment ref="I9" authorId="0" shapeId="0" xr:uid="{486D8D78-1F7A-49A3-A46E-D4EE1E99EE50}">
      <text>
        <r>
          <rPr>
            <sz val="10"/>
            <color indexed="81"/>
            <rFont val="Arial"/>
            <family val="2"/>
          </rPr>
          <t>1 - 94,176,098_x000D_
2 - 94,172,998_x000D_
3 - 94,158,998_x000D_
4 - 94,125,998_x000D_
5 - 94,119,998_x000D_
6 - 94,026,998</t>
        </r>
      </text>
    </comment>
    <comment ref="L9" authorId="0" shapeId="0" xr:uid="{80796DFB-C1F3-4F7B-82F3-C54F7A35BDC3}">
      <text>
        <r>
          <rPr>
            <sz val="10"/>
            <color indexed="81"/>
            <rFont val="Arial"/>
            <family val="2"/>
          </rPr>
          <t>1 - 0_x000D_
2 - 0_x000D_
3 - 93,232,905_x000D_
4 - 0_x000D_
5 - 0_x000D_
6 - 93,101,935</t>
        </r>
      </text>
    </comment>
    <comment ref="M9" authorId="0" shapeId="0" xr:uid="{6C8C2C06-1676-4583-97BA-17843F9CACE8}">
      <text>
        <r>
          <rPr>
            <sz val="10"/>
            <color indexed="81"/>
            <rFont val="Arial"/>
            <family val="2"/>
          </rPr>
          <t>1 - 93,317,829_x000D_
2 - 93,314,729_x000D_
3 - 93,300,729_x000D_
4 - 93,267,729_x000D_
5 - 93,261,729_x000D_
6 - 93,168,729</t>
        </r>
      </text>
    </comment>
    <comment ref="I10" authorId="0" shapeId="0" xr:uid="{9B65CEC7-3FD5-43FC-A313-DA330DCD8810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10" authorId="0" shapeId="0" xr:uid="{327FD8F3-6098-43ED-9509-DFE99319100A}">
      <text>
        <r>
          <rPr>
            <sz val="10"/>
            <color indexed="81"/>
            <rFont val="Arial"/>
            <family val="2"/>
          </rPr>
          <t>1 - 0_x000D_
2 - 0_x000D_
3 - (3,462,980)_x000D_
4 - 0_x000D_
5 - 0_x000D_
6 - (3,463,215)</t>
        </r>
      </text>
    </comment>
    <comment ref="M10" authorId="0" shapeId="0" xr:uid="{433361F9-83F1-4CD6-BA6F-E5D15E09E611}">
      <text>
        <r>
          <rPr>
            <sz val="10"/>
            <color indexed="81"/>
            <rFont val="Arial"/>
            <family val="2"/>
          </rPr>
          <t>1 - (3,530,000)_x000D_
2 - (3,530,000)_x000D_
3 - (3,530,000)_x000D_
4 - (3,530,000)_x000D_
5 - (3,530,000)_x000D_
6 - (3,530,000)</t>
        </r>
      </text>
    </comment>
    <comment ref="E11" authorId="0" shapeId="0" xr:uid="{2309AB01-D984-4EA2-8F05-9DDB0598C1AB}">
      <text>
        <r>
          <rPr>
            <sz val="10"/>
            <color indexed="81"/>
            <rFont val="Arial"/>
            <family val="2"/>
          </rPr>
          <t>Original - _x000D_
121,040,201_x000D_
Change Order - _x000D_
5,440,528</t>
        </r>
      </text>
    </comment>
    <comment ref="F11" authorId="0" shapeId="0" xr:uid="{8DC169A0-ACC6-4284-B243-81F3451D8001}">
      <text>
        <r>
          <rPr>
            <sz val="10"/>
            <color indexed="81"/>
            <rFont val="Arial"/>
            <family val="2"/>
          </rPr>
          <t>1 - 0_x000D_
2 - 0_x000D_
3 - 126,413,057_x000D_
4 - 0_x000D_
5 - 0_x000D_
6 - 122,305,870</t>
        </r>
      </text>
    </comment>
    <comment ref="I11" authorId="0" shapeId="0" xr:uid="{17C288A4-674C-4F3D-BC43-F7A5AC9ABECC}">
      <text>
        <r>
          <rPr>
            <sz val="10"/>
            <color indexed="81"/>
            <rFont val="Arial"/>
            <family val="2"/>
          </rPr>
          <t>1 - 126,413,057_x000D_
2 - 126,413,057_x000D_
3 - 126,413,057_x000D_
4 - 122,535,135_x000D_
5 - 122,535,135_x000D_
6 - 122,305,870</t>
        </r>
      </text>
    </comment>
    <comment ref="L11" authorId="0" shapeId="0" xr:uid="{BC52101D-CB2B-4DB2-9524-6E8F2DB8408A}">
      <text>
        <r>
          <rPr>
            <sz val="10"/>
            <color indexed="81"/>
            <rFont val="Arial"/>
            <family val="2"/>
          </rPr>
          <t>1 - 0_x000D_
2 - 0_x000D_
3 - 114,413,057_x000D_
4 - 0_x000D_
5 - 0_x000D_
6 - 110,305,870</t>
        </r>
      </text>
    </comment>
    <comment ref="M11" authorId="0" shapeId="0" xr:uid="{1C8054CB-9E2F-4086-859D-9D10A1CACBEB}">
      <text>
        <r>
          <rPr>
            <sz val="10"/>
            <color indexed="81"/>
            <rFont val="Arial"/>
            <family val="2"/>
          </rPr>
          <t>1 - 115,163,057_x000D_
2 - 115,163,057_x000D_
3 - 114,413,057_x000D_
4 - 110,535,135_x000D_
5 - 110,535,135_x000D_
6 - 110,305,870</t>
        </r>
      </text>
    </comment>
    <comment ref="E12" authorId="0" shapeId="0" xr:uid="{273ADC5D-A18A-4817-8564-F31D458D7822}">
      <text>
        <r>
          <rPr>
            <sz val="10"/>
            <color indexed="81"/>
            <rFont val="Arial"/>
            <family val="2"/>
          </rPr>
          <t>Original - _x000D_
78,438_x000D_
Change Order - _x000D_
1,168,468</t>
        </r>
      </text>
    </comment>
    <comment ref="F12" authorId="0" shapeId="0" xr:uid="{E85766F8-6A9B-432E-8A4E-039C13677019}">
      <text>
        <r>
          <rPr>
            <sz val="10"/>
            <color indexed="81"/>
            <rFont val="Arial"/>
            <family val="2"/>
          </rPr>
          <t>1 - 0_x000D_
2 - 0_x000D_
3 - 1,259,243_x000D_
4 - 0_x000D_
5 - 0_x000D_
6 - 1,246,905</t>
        </r>
      </text>
    </comment>
    <comment ref="I12" authorId="0" shapeId="0" xr:uid="{5B4C3E35-9012-44A3-8B08-DE87F4AFB2E1}">
      <text>
        <r>
          <rPr>
            <sz val="10"/>
            <color indexed="81"/>
            <rFont val="Arial"/>
            <family val="2"/>
          </rPr>
          <t>1 - 1,259,243_x000D_
2 - 1,259,243_x000D_
3 - 1,259,243_x000D_
4 - 1,259,243_x000D_
5 - 1,259,243_x000D_
6 - 1,246,905</t>
        </r>
      </text>
    </comment>
    <comment ref="L12" authorId="0" shapeId="0" xr:uid="{C4924FA9-300F-4BF8-B9F8-475C1463331A}">
      <text>
        <r>
          <rPr>
            <sz val="10"/>
            <color indexed="81"/>
            <rFont val="Arial"/>
            <family val="2"/>
          </rPr>
          <t>1 - 0_x000D_
2 - 0_x000D_
3 - 1,145,603_x000D_
4 - 0_x000D_
5 - 0_x000D_
6 - 1,133,265</t>
        </r>
      </text>
    </comment>
    <comment ref="M12" authorId="0" shapeId="0" xr:uid="{91ED538B-148D-4702-A8D1-3127D4A211EB}">
      <text>
        <r>
          <rPr>
            <sz val="10"/>
            <color indexed="81"/>
            <rFont val="Arial"/>
            <family val="2"/>
          </rPr>
          <t>1 - 1,145,603_x000D_
2 - 1,145,603_x000D_
3 - 1,145,603_x000D_
4 - 1,145,603_x000D_
5 - 1,145,603_x000D_
6 - 1,133,265</t>
        </r>
      </text>
    </comment>
    <comment ref="E13" authorId="0" shapeId="0" xr:uid="{BB9F19C8-D426-4920-98CA-8026F098279B}">
      <text>
        <r>
          <rPr>
            <sz val="10"/>
            <color indexed="81"/>
            <rFont val="Arial"/>
            <family val="2"/>
          </rPr>
          <t>Original - _x000D_
1,350,917_x000D_
Change Order - _x000D_
13,618,649</t>
        </r>
      </text>
    </comment>
    <comment ref="F13" authorId="0" shapeId="0" xr:uid="{B1A28382-AECB-44EF-B4A5-3E1A18399521}">
      <text>
        <r>
          <rPr>
            <sz val="10"/>
            <color indexed="81"/>
            <rFont val="Arial"/>
            <family val="2"/>
          </rPr>
          <t>1 - 0_x000D_
2 - 0_x000D_
3 - 14,969,567_x000D_
4 - 0_x000D_
5 - 0_x000D_
6 - 14,969,567</t>
        </r>
      </text>
    </comment>
    <comment ref="I13" authorId="0" shapeId="0" xr:uid="{54418912-B492-4F8C-AEB9-D785464CA2CC}">
      <text>
        <r>
          <rPr>
            <sz val="10"/>
            <color indexed="81"/>
            <rFont val="Arial"/>
            <family val="2"/>
          </rPr>
          <t>1 - 14,969,567_x000D_
2 - 14,969,567_x000D_
3 - 14,969,567_x000D_
4 - 14,969,567_x000D_
5 - 14,969,567_x000D_
6 - 14,969,567</t>
        </r>
      </text>
    </comment>
    <comment ref="L13" authorId="0" shapeId="0" xr:uid="{3B57A28E-0819-4E92-963A-B93FFC3759F1}">
      <text>
        <r>
          <rPr>
            <sz val="10"/>
            <color indexed="81"/>
            <rFont val="Arial"/>
            <family val="2"/>
          </rPr>
          <t>1 - 0_x000D_
2 - 0_x000D_
3 - 14,116,123_x000D_
4 - 0_x000D_
5 - 0_x000D_
6 - 14,412,567</t>
        </r>
      </text>
    </comment>
    <comment ref="M13" authorId="0" shapeId="0" xr:uid="{FA4B6BA9-1448-4A8C-936D-ED24A634DD61}">
      <text>
        <r>
          <rPr>
            <sz val="10"/>
            <color indexed="81"/>
            <rFont val="Arial"/>
            <family val="2"/>
          </rPr>
          <t>1 - 13,839,618_x000D_
2 - 13,839,618_x000D_
3 - 14,116,123_x000D_
4 - 14,312,567_x000D_
5 - 14,412,567_x000D_
6 - 14,412,567</t>
        </r>
      </text>
    </comment>
    <comment ref="E14" authorId="0" shapeId="0" xr:uid="{C05E884A-D9FB-4FA1-B4CD-8BDFF62ADAA0}">
      <text>
        <r>
          <rPr>
            <sz val="10"/>
            <color indexed="81"/>
            <rFont val="Arial"/>
            <family val="2"/>
          </rPr>
          <t>Original - _x000D_
63,489,353_x000D_
Change Order - _x000D_
-2,509,119</t>
        </r>
      </text>
    </comment>
    <comment ref="F14" authorId="0" shapeId="0" xr:uid="{72BE506C-940C-498F-B8CA-77A847DD0D39}">
      <text>
        <r>
          <rPr>
            <sz val="10"/>
            <color indexed="81"/>
            <rFont val="Arial"/>
            <family val="2"/>
          </rPr>
          <t>1 - 0_x000D_
2 - 0_x000D_
3 - 60,980,234_x000D_
4 - 0_x000D_
5 - 0_x000D_
6 - 60,275,337</t>
        </r>
      </text>
    </comment>
    <comment ref="I14" authorId="0" shapeId="0" xr:uid="{814334B5-875B-42C1-BD5C-DA9D96DB6771}">
      <text>
        <r>
          <rPr>
            <sz val="10"/>
            <color indexed="81"/>
            <rFont val="Arial"/>
            <family val="2"/>
          </rPr>
          <t>1 - 60,980,234_x000D_
2 - 60,980,234_x000D_
3 - 60,980,234_x000D_
4 - 60,980,234_x000D_
5 - 60,275,337_x000D_
6 - 60,275,337</t>
        </r>
      </text>
    </comment>
    <comment ref="L14" authorId="0" shapeId="0" xr:uid="{FD4D8E6C-1E1B-44EE-8972-2AA170B20468}">
      <text>
        <r>
          <rPr>
            <sz val="10"/>
            <color indexed="81"/>
            <rFont val="Arial"/>
            <family val="2"/>
          </rPr>
          <t>1 - 0_x000D_
2 - 0_x000D_
3 - 47,480,234_x000D_
4 - 0_x000D_
5 - 0_x000D_
6 - 53,275,337</t>
        </r>
      </text>
    </comment>
    <comment ref="M14" authorId="0" shapeId="0" xr:uid="{D6F03F10-FFEB-44B6-A53E-3409187134B1}">
      <text>
        <r>
          <rPr>
            <sz val="10"/>
            <color indexed="81"/>
            <rFont val="Arial"/>
            <family val="2"/>
          </rPr>
          <t>1 - 47,380,234_x000D_
2 - 45,380,234_x000D_
3 - 47,480,234_x000D_
4 - 49,980,234_x000D_
5 - 51,775,337_x000D_
6 - 53,275,337</t>
        </r>
      </text>
    </comment>
    <comment ref="F15" authorId="0" shapeId="0" xr:uid="{BD1B1A90-B892-4F6A-9B0B-F95A4D19435A}">
      <text>
        <r>
          <rPr>
            <sz val="10"/>
            <color indexed="81"/>
            <rFont val="Arial"/>
            <family val="2"/>
          </rPr>
          <t>1 - 0_x000D_
2 - 0_x000D_
3 - 10,658,200_x000D_
4 - 0_x000D_
5 - 0_x000D_
6 - 10,658,200</t>
        </r>
      </text>
    </comment>
    <comment ref="I15" authorId="0" shapeId="0" xr:uid="{21D2126D-6C06-4E1E-9768-E847AE1E618A}">
      <text>
        <r>
          <rPr>
            <sz val="10"/>
            <color indexed="81"/>
            <rFont val="Arial"/>
            <family val="2"/>
          </rPr>
          <t>1 - 10,658,200_x000D_
2 - 10,658,200_x000D_
3 - 10,658,200_x000D_
4 - 10,658,200_x000D_
5 - 10,658,200_x000D_
6 - 10,658,200</t>
        </r>
      </text>
    </comment>
    <comment ref="L15" authorId="0" shapeId="0" xr:uid="{F0F2E59F-0FB6-4BA3-B5DE-6C108A742EE6}">
      <text>
        <r>
          <rPr>
            <sz val="10"/>
            <color indexed="81"/>
            <rFont val="Arial"/>
            <family val="2"/>
          </rPr>
          <t>1 - 0_x000D_
2 - 0_x000D_
3 - 10,061,352_x000D_
4 - 0_x000D_
5 - 0_x000D_
6 - 10,061,352</t>
        </r>
      </text>
    </comment>
    <comment ref="M15" authorId="0" shapeId="0" xr:uid="{C28A65A5-00C3-4513-AEAC-831B13FA6B8D}">
      <text>
        <r>
          <rPr>
            <sz val="10"/>
            <color indexed="81"/>
            <rFont val="Arial"/>
            <family val="2"/>
          </rPr>
          <t>1 - 10,079,352_x000D_
2 - 10,079,352_x000D_
3 - 10,061,352_x000D_
4 - 10,061,352_x000D_
5 - 10,061,352_x000D_
6 - 10,061,352</t>
        </r>
      </text>
    </comment>
    <comment ref="E16" authorId="0" shapeId="0" xr:uid="{67275056-46FF-4F0C-A1EB-9CA58D54B0A0}">
      <text>
        <r>
          <rPr>
            <sz val="10"/>
            <color indexed="81"/>
            <rFont val="Arial"/>
            <family val="2"/>
          </rPr>
          <t>Original - _x000D_
19,450,000_x000D_
Change Order - _x000D_
45,325</t>
        </r>
      </text>
    </comment>
    <comment ref="F16" authorId="0" shapeId="0" xr:uid="{DF75DBFA-3246-49CB-ABFD-0EEBF2DC933A}">
      <text>
        <r>
          <rPr>
            <sz val="10"/>
            <color indexed="81"/>
            <rFont val="Arial"/>
            <family val="2"/>
          </rPr>
          <t>1 - 0_x000D_
2 - 0_x000D_
3 - 19,495,325_x000D_
4 - 0_x000D_
5 - 0_x000D_
6 - 19,450,000</t>
        </r>
      </text>
    </comment>
    <comment ref="I16" authorId="0" shapeId="0" xr:uid="{E36FB18C-CE4A-40AE-A6F2-5D3E75D28BE4}">
      <text>
        <r>
          <rPr>
            <sz val="10"/>
            <color indexed="81"/>
            <rFont val="Arial"/>
            <family val="2"/>
          </rPr>
          <t>1 - 19,495,325_x000D_
2 - 19,495,325_x000D_
3 - 19,495,325_x000D_
4 - 19,476,446_x000D_
5 - 19,450,000_x000D_
6 - 19,450,000</t>
        </r>
      </text>
    </comment>
    <comment ref="L16" authorId="0" shapeId="0" xr:uid="{079D8B6C-2621-43A4-8FC0-FBF61C982966}">
      <text>
        <r>
          <rPr>
            <sz val="10"/>
            <color indexed="81"/>
            <rFont val="Arial"/>
            <family val="2"/>
          </rPr>
          <t>1 - 0_x000D_
2 - 0_x000D_
3 - 18,283,140_x000D_
4 - 0_x000D_
5 - 0_x000D_
6 - 18,328,291</t>
        </r>
      </text>
    </comment>
    <comment ref="M16" authorId="0" shapeId="0" xr:uid="{AA4B8175-634C-4095-9B8B-4BEF6FAE2641}">
      <text>
        <r>
          <rPr>
            <sz val="10"/>
            <color indexed="81"/>
            <rFont val="Arial"/>
            <family val="2"/>
          </rPr>
          <t>1 - 18,149,784_x000D_
2 - 18,202,915_x000D_
3 - 18,283,140_x000D_
4 - 18,354,737_x000D_
5 - 18,328,291_x000D_
6 - 18,328,291</t>
        </r>
      </text>
    </comment>
    <comment ref="E17" authorId="0" shapeId="0" xr:uid="{1D1A23CF-272D-49E1-9C03-EC3B0E9C6632}">
      <text>
        <r>
          <rPr>
            <sz val="10"/>
            <color indexed="81"/>
            <rFont val="Arial"/>
            <family val="2"/>
          </rPr>
          <t>Original - _x000D_
534,000_x000D_
Change Order - _x000D_
28,825</t>
        </r>
      </text>
    </comment>
    <comment ref="F17" authorId="0" shapeId="0" xr:uid="{1D6FAD74-5619-472E-A682-A06C4A73747C}">
      <text>
        <r>
          <rPr>
            <sz val="10"/>
            <color indexed="81"/>
            <rFont val="Arial"/>
            <family val="2"/>
          </rPr>
          <t>1 - 0_x000D_
2 - 0_x000D_
3 - 549,549_x000D_
4 - 0_x000D_
5 - 0_x000D_
6 - 549,549</t>
        </r>
      </text>
    </comment>
    <comment ref="I17" authorId="0" shapeId="0" xr:uid="{F925C15A-693B-47B5-8B8C-E5DC0046AF75}">
      <text>
        <r>
          <rPr>
            <sz val="10"/>
            <color indexed="81"/>
            <rFont val="Arial"/>
            <family val="2"/>
          </rPr>
          <t>1 - 549,549_x000D_
2 - 549,549_x000D_
3 - 549,549_x000D_
4 - 549,549_x000D_
5 - 549,549_x000D_
6 - 549,549</t>
        </r>
      </text>
    </comment>
    <comment ref="L17" authorId="0" shapeId="0" xr:uid="{079D023A-6194-45FC-92D0-FD6EBD32466C}">
      <text>
        <r>
          <rPr>
            <sz val="10"/>
            <color indexed="81"/>
            <rFont val="Arial"/>
            <family val="2"/>
          </rPr>
          <t>1 - 0_x000D_
2 - 0_x000D_
3 - 442,549_x000D_
4 - 0_x000D_
5 - 0_x000D_
6 - 442,549</t>
        </r>
      </text>
    </comment>
    <comment ref="M17" authorId="0" shapeId="0" xr:uid="{C5699616-FBB0-4840-9C55-E190F92FCF34}">
      <text>
        <r>
          <rPr>
            <sz val="10"/>
            <color indexed="81"/>
            <rFont val="Arial"/>
            <family val="2"/>
          </rPr>
          <t>1 - 441,245_x000D_
2 - 441,245_x000D_
3 - 442,549_x000D_
4 - 442,549_x000D_
5 - 442,549_x000D_
6 - 442,549</t>
        </r>
      </text>
    </comment>
    <comment ref="E18" authorId="0" shapeId="0" xr:uid="{BEF10266-F9C4-4438-817E-810856CE3246}">
      <text>
        <r>
          <rPr>
            <sz val="10"/>
            <color indexed="81"/>
            <rFont val="Arial"/>
            <family val="2"/>
          </rPr>
          <t>Original - _x000D_
12,462,240_x000D_
Change Order - _x000D_
901,595</t>
        </r>
      </text>
    </comment>
    <comment ref="F18" authorId="0" shapeId="0" xr:uid="{4D192BFE-9BE9-41EF-9912-BF7CB683B07C}">
      <text>
        <r>
          <rPr>
            <sz val="10"/>
            <color indexed="81"/>
            <rFont val="Arial"/>
            <family val="2"/>
          </rPr>
          <t>1 - 0_x000D_
2 - 0_x000D_
3 - 13,363,835_x000D_
4 - 0_x000D_
5 - 0_x000D_
6 - 13,363,835</t>
        </r>
      </text>
    </comment>
    <comment ref="I18" authorId="0" shapeId="0" xr:uid="{2F2F4458-D597-4780-A858-54FABFBF0189}">
      <text>
        <r>
          <rPr>
            <sz val="10"/>
            <color indexed="81"/>
            <rFont val="Arial"/>
            <family val="2"/>
          </rPr>
          <t>1 - 13,363,835_x000D_
2 - 13,363,835_x000D_
3 - 13,363,835_x000D_
4 - 13,363,835_x000D_
5 - 13,363,835_x000D_
6 - 13,363,835</t>
        </r>
      </text>
    </comment>
    <comment ref="L18" authorId="0" shapeId="0" xr:uid="{D4A1C624-A550-4361-8539-E5691B7E3079}">
      <text>
        <r>
          <rPr>
            <sz val="10"/>
            <color indexed="81"/>
            <rFont val="Arial"/>
            <family val="2"/>
          </rPr>
          <t>1 - 0_x000D_
2 - 0_x000D_
3 - 12,642,378_x000D_
4 - 0_x000D_
5 - 0_x000D_
6 - 12,809,391</t>
        </r>
      </text>
    </comment>
    <comment ref="M18" authorId="0" shapeId="0" xr:uid="{8774D9F9-2EDD-4177-81C0-03015BD4869B}">
      <text>
        <r>
          <rPr>
            <sz val="10"/>
            <color indexed="81"/>
            <rFont val="Arial"/>
            <family val="2"/>
          </rPr>
          <t>1 - 12,488,835_x000D_
2 - 12,492,090_x000D_
3 - 12,642,378_x000D_
4 - 12,683,835_x000D_
5 - 12,713,835_x000D_
6 - 12,809,391</t>
        </r>
      </text>
    </comment>
    <comment ref="I19" authorId="0" shapeId="0" xr:uid="{44EE8C33-2134-4F71-A4B4-09B30A4F1253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19" authorId="0" shapeId="0" xr:uid="{F8CD3D51-A91E-4FD5-940F-9F7BB1503B5E}">
      <text>
        <r>
          <rPr>
            <sz val="10"/>
            <color indexed="81"/>
            <rFont val="Arial"/>
            <family val="2"/>
          </rPr>
          <t>1 - 0_x000D_
2 - 0_x000D_
3 - (1,800,000)_x000D_
4 - 0_x000D_
5 - 0_x000D_
6 - (1,800,000)</t>
        </r>
      </text>
    </comment>
    <comment ref="M19" authorId="0" shapeId="0" xr:uid="{C9FD5418-30A1-46E9-9689-6BE6FDAB290D}">
      <text>
        <r>
          <rPr>
            <sz val="10"/>
            <color indexed="81"/>
            <rFont val="Arial"/>
            <family val="2"/>
          </rPr>
          <t>1 - (1,800,000)_x000D_
2 - (1,800,000)_x000D_
3 - (1,800,000)_x000D_
4 - (1,800,000)_x000D_
5 - (1,800,000)_x000D_
6 - (1,800,000)</t>
        </r>
      </text>
    </comment>
    <comment ref="E20" authorId="0" shapeId="0" xr:uid="{8CCB96A4-BBBE-429F-A64C-4412C760D20D}">
      <text>
        <r>
          <rPr>
            <sz val="10"/>
            <color indexed="81"/>
            <rFont val="Arial"/>
            <family val="2"/>
          </rPr>
          <t>Original - _x000D_
70,090_x000D_
Change Order - _x000D_
34,356</t>
        </r>
      </text>
    </comment>
    <comment ref="F20" authorId="0" shapeId="0" xr:uid="{FC86748D-F899-457C-9423-A8FE215C9494}">
      <text>
        <r>
          <rPr>
            <sz val="10"/>
            <color indexed="81"/>
            <rFont val="Arial"/>
            <family val="2"/>
          </rPr>
          <t>1 - 0_x000D_
2 - 0_x000D_
3 - 32,282_x000D_
4 - 0_x000D_
5 - 0_x000D_
6 - 32,282</t>
        </r>
      </text>
    </comment>
    <comment ref="I20" authorId="0" shapeId="0" xr:uid="{B2DC4D06-434B-4FBB-9697-660BF97F74D6}">
      <text>
        <r>
          <rPr>
            <sz val="10"/>
            <color indexed="81"/>
            <rFont val="Arial"/>
            <family val="2"/>
          </rPr>
          <t>1 - 70,090_x000D_
2 - 49,099_x000D_
3 - 32,282_x000D_
4 - 32,282_x000D_
5 - 32,282_x000D_
6 - 32,282</t>
        </r>
      </text>
    </comment>
    <comment ref="L20" authorId="0" shapeId="0" xr:uid="{5BBEF3CF-83A5-4B94-9063-3441E9531298}">
      <text>
        <r>
          <rPr>
            <sz val="10"/>
            <color indexed="81"/>
            <rFont val="Arial"/>
            <family val="2"/>
          </rPr>
          <t>1 - 0_x000D_
2 - 0_x000D_
3 - 32,282_x000D_
4 - 0_x000D_
5 - 0_x000D_
6 - 32,282</t>
        </r>
      </text>
    </comment>
    <comment ref="M20" authorId="0" shapeId="0" xr:uid="{124E5CA4-E822-4BF0-BAA0-7DAEEEAF6DDC}">
      <text>
        <r>
          <rPr>
            <sz val="10"/>
            <color indexed="81"/>
            <rFont val="Arial"/>
            <family val="2"/>
          </rPr>
          <t>1 - 70,090_x000D_
2 - 49,099_x000D_
3 - 32,282_x000D_
4 - 32,282_x000D_
5 - 32,282_x000D_
6 - 32,282</t>
        </r>
      </text>
    </comment>
    <comment ref="F21" authorId="0" shapeId="0" xr:uid="{51CA0E02-8272-4CC6-96B3-397AC45B2A46}">
      <text>
        <r>
          <rPr>
            <sz val="10"/>
            <color indexed="81"/>
            <rFont val="Arial"/>
            <family val="2"/>
          </rPr>
          <t>1 - 0_x000D_
2 - 0_x000D_
3 - 1,199,000_x000D_
4 - 0_x000D_
5 - 0_x000D_
6 - 1,199,000</t>
        </r>
      </text>
    </comment>
    <comment ref="I21" authorId="0" shapeId="0" xr:uid="{17A5BC01-D205-419A-B4EC-90BC2816CA92}">
      <text>
        <r>
          <rPr>
            <sz val="10"/>
            <color indexed="81"/>
            <rFont val="Arial"/>
            <family val="2"/>
          </rPr>
          <t>1 - 1,199,000_x000D_
2 - 1,199,000_x000D_
3 - 1,199,000_x000D_
4 - 1,199,000_x000D_
5 - 1,199,000_x000D_
6 - 1,199,000</t>
        </r>
      </text>
    </comment>
    <comment ref="L21" authorId="0" shapeId="0" xr:uid="{18F6307D-931C-4528-99E9-7004591688D4}">
      <text>
        <r>
          <rPr>
            <sz val="10"/>
            <color indexed="81"/>
            <rFont val="Arial"/>
            <family val="2"/>
          </rPr>
          <t>1 - 0_x000D_
2 - 0_x000D_
3 - 1,079,240_x000D_
4 - 0_x000D_
5 - 0_x000D_
6 - 1,079,240</t>
        </r>
      </text>
    </comment>
    <comment ref="M21" authorId="0" shapeId="0" xr:uid="{69F1443E-AAE3-4A9B-812D-90ABC985EDE7}">
      <text>
        <r>
          <rPr>
            <sz val="10"/>
            <color indexed="81"/>
            <rFont val="Arial"/>
            <family val="2"/>
          </rPr>
          <t>1 - 1,079,240_x000D_
2 - 1,079,240_x000D_
3 - 1,079,240_x000D_
4 - 1,079,240_x000D_
5 - 1,079,240_x000D_
6 - 1,079,240</t>
        </r>
      </text>
    </comment>
    <comment ref="F22" authorId="0" shapeId="0" xr:uid="{45C1964D-2923-486E-956E-DA922DBF017A}">
      <text>
        <r>
          <rPr>
            <sz val="10"/>
            <color indexed="81"/>
            <rFont val="Arial"/>
            <family val="2"/>
          </rPr>
          <t>1 - 0_x000D_
2 - 0_x000D_
3 - 1,757,000_x000D_
4 - 0_x000D_
5 - 0_x000D_
6 - 0</t>
        </r>
      </text>
    </comment>
    <comment ref="I22" authorId="0" shapeId="0" xr:uid="{C08245A5-1764-456E-BE21-B5BA79A67BA6}">
      <text>
        <r>
          <rPr>
            <sz val="10"/>
            <color indexed="81"/>
            <rFont val="Arial"/>
            <family val="2"/>
          </rPr>
          <t>1 - 1,757,000_x000D_
2 - 1,757,000_x000D_
3 - 1,757,000_x000D_
4 - 1,757,000_x000D_
5 - 1,757,000_x000D_
6 - 0</t>
        </r>
      </text>
    </comment>
    <comment ref="L22" authorId="0" shapeId="0" xr:uid="{39D70708-8844-4121-998F-C8A3EE5344E9}">
      <text>
        <r>
          <rPr>
            <sz val="10"/>
            <color indexed="81"/>
            <rFont val="Arial"/>
            <family val="2"/>
          </rPr>
          <t>1 - 0_x000D_
2 - 0_x000D_
3 - 1,669,787_x000D_
4 - 0_x000D_
5 - 0_x000D_
6 - 0</t>
        </r>
      </text>
    </comment>
    <comment ref="M22" authorId="0" shapeId="0" xr:uid="{38D6EEA4-4808-4B73-93F2-103E9C6939C7}">
      <text>
        <r>
          <rPr>
            <sz val="10"/>
            <color indexed="81"/>
            <rFont val="Arial"/>
            <family val="2"/>
          </rPr>
          <t>1 - 1,690,000_x000D_
2 - 1,690,000_x000D_
3 - 1,669,787_x000D_
4 - 1,669,787_x000D_
5 - 1,669,787_x000D_
6 - 0</t>
        </r>
      </text>
    </comment>
    <comment ref="F23" authorId="0" shapeId="0" xr:uid="{792BB2F4-7D92-42E0-BF0F-45B140BA1475}">
      <text>
        <r>
          <rPr>
            <sz val="10"/>
            <color indexed="81"/>
            <rFont val="Arial"/>
            <family val="2"/>
          </rPr>
          <t>1 - 0_x000D_
2 - 0_x000D_
3 - 10,848,599_x000D_
4 - 0_x000D_
5 - 0_x000D_
6 - 0</t>
        </r>
      </text>
    </comment>
    <comment ref="I23" authorId="0" shapeId="0" xr:uid="{5AC07A92-E195-4F90-9319-858A0DE23DC0}">
      <text>
        <r>
          <rPr>
            <sz val="10"/>
            <color indexed="81"/>
            <rFont val="Arial"/>
            <family val="2"/>
          </rPr>
          <t>1 - 10,848,599_x000D_
2 - 10,848,599_x000D_
3 - 10,848,599_x000D_
4 - 10,848,599_x000D_
5 - 0_x000D_
6 - 0</t>
        </r>
      </text>
    </comment>
    <comment ref="L23" authorId="0" shapeId="0" xr:uid="{82B75BEA-5C66-4F14-8AD6-273B89A31C1F}">
      <text>
        <r>
          <rPr>
            <sz val="10"/>
            <color indexed="81"/>
            <rFont val="Arial"/>
            <family val="2"/>
          </rPr>
          <t>1 - 0_x000D_
2 - 0_x000D_
3 - 10,261,252_x000D_
4 - 0_x000D_
5 - 0_x000D_
6 - 0</t>
        </r>
      </text>
    </comment>
    <comment ref="M23" authorId="0" shapeId="0" xr:uid="{43420108-25CE-4A8A-848A-A953DC945506}">
      <text>
        <r>
          <rPr>
            <sz val="10"/>
            <color indexed="81"/>
            <rFont val="Arial"/>
            <family val="2"/>
          </rPr>
          <t>1 - 10,261,252_x000D_
2 - 10,261,252_x000D_
3 - 10,261,252_x000D_
4 - 10,261,252_x000D_
5 - 0_x000D_
6 - 0</t>
        </r>
      </text>
    </comment>
    <comment ref="I24" authorId="0" shapeId="0" xr:uid="{2C9AC541-0960-4EBC-9644-3CEB55C398E7}">
      <text>
        <r>
          <rPr>
            <sz val="10"/>
            <color indexed="81"/>
            <rFont val="Arial"/>
            <family val="2"/>
          </rPr>
          <t>1 - 6,029,750_x000D_
2 - 6,029,750_x000D_
3 - 0_x000D_
4 - 0_x000D_
5 - 0_x000D_
6 - 0</t>
        </r>
      </text>
    </comment>
    <comment ref="M24" authorId="0" shapeId="0" xr:uid="{0232C5F2-F4B8-4E85-8DE8-257AF9812004}">
      <text>
        <r>
          <rPr>
            <sz val="10"/>
            <color indexed="81"/>
            <rFont val="Arial"/>
            <family val="2"/>
          </rPr>
          <t>1 - 5,845,263_x000D_
2 - 5,845,263_x000D_
3 - 0_x000D_
4 - 0_x000D_
5 - 0_x000D_
6 - 0</t>
        </r>
      </text>
    </comment>
    <comment ref="I25" authorId="0" shapeId="0" xr:uid="{4D3D2F65-A45B-4DCD-8EC7-0529F88C9C46}">
      <text>
        <r>
          <rPr>
            <sz val="9"/>
            <color indexed="81"/>
            <rFont val="Arial"/>
            <family val="2"/>
          </rPr>
          <t>Changed $387,260.00 to $387,260.00 by load_overrides.py on 04/06/2026</t>
        </r>
      </text>
    </comment>
    <comment ref="M25" authorId="0" shapeId="0" xr:uid="{35D58FFA-3435-42D5-9B5A-B3B7C394A485}">
      <text>
        <r>
          <rPr>
            <sz val="9"/>
            <color indexed="81"/>
            <rFont val="Arial"/>
            <family val="2"/>
          </rPr>
          <t>Changed $4,363.25 to $383,387.00 by load_overrides.py on 04/06/2026</t>
        </r>
      </text>
    </comment>
    <comment ref="I26" authorId="0" shapeId="0" xr:uid="{23E92169-87E7-41B7-91BF-1692CF6C0366}">
      <text>
        <r>
          <rPr>
            <sz val="9"/>
            <color indexed="81"/>
            <rFont val="Arial"/>
            <family val="2"/>
          </rPr>
          <t>Changed $5,304,500.00 to $5,304,500.00 by load_overrides.py on 04/06/2026</t>
        </r>
      </text>
    </comment>
    <comment ref="M26" authorId="0" shapeId="0" xr:uid="{A5384102-FC87-44C0-82CF-726C8FB1A175}">
      <text>
        <r>
          <rPr>
            <sz val="9"/>
            <color indexed="81"/>
            <rFont val="Arial"/>
            <family val="2"/>
          </rPr>
          <t>Changed $23,330.33 to $4,886,443.00 by load_overrides.py on 04/06/2026</t>
        </r>
      </text>
    </comment>
    <comment ref="E30" authorId="0" shapeId="0" xr:uid="{D6BF99FE-0253-4FEC-A2E9-361F0ECBC581}">
      <text>
        <r>
          <rPr>
            <sz val="10"/>
            <color indexed="81"/>
            <rFont val="Arial"/>
            <family val="2"/>
          </rPr>
          <t>Original - _x000D_
41,456_x000D_
Change Order - _x000D_
288,977</t>
        </r>
      </text>
    </comment>
    <comment ref="F30" authorId="0" shapeId="0" xr:uid="{F94E365E-B437-49E0-BF58-4D91A55EDB6E}">
      <text>
        <r>
          <rPr>
            <sz val="10"/>
            <color indexed="81"/>
            <rFont val="Arial"/>
            <family val="2"/>
          </rPr>
          <t>1 - 0_x000D_
2 - 0_x000D_
3 - 372,738_x000D_
4 - 0_x000D_
5 - 0_x000D_
6 - 373,738</t>
        </r>
      </text>
    </comment>
    <comment ref="I30" authorId="0" shapeId="0" xr:uid="{F74BEED0-53F9-410C-9251-8106B7EC9ECB}">
      <text>
        <r>
          <rPr>
            <sz val="10"/>
            <color indexed="81"/>
            <rFont val="Arial"/>
            <family val="2"/>
          </rPr>
          <t>1 - 372,738_x000D_
2 - 372,738_x000D_
3 - 372,738_x000D_
4 - 372,738_x000D_
5 - 372,738_x000D_
6 - 373,738</t>
        </r>
      </text>
    </comment>
    <comment ref="L30" authorId="0" shapeId="0" xr:uid="{856617E9-7ED5-4416-89B5-6491420C595D}">
      <text>
        <r>
          <rPr>
            <sz val="10"/>
            <color indexed="81"/>
            <rFont val="Arial"/>
            <family val="2"/>
          </rPr>
          <t>1 - 0_x000D_
2 - 0_x000D_
3 - 331,855_x000D_
4 - 0_x000D_
5 - 0_x000D_
6 - 329,650</t>
        </r>
      </text>
    </comment>
    <comment ref="M30" authorId="0" shapeId="0" xr:uid="{25624CE4-6D8F-462D-B530-A58E518874FF}">
      <text>
        <r>
          <rPr>
            <sz val="10"/>
            <color indexed="81"/>
            <rFont val="Arial"/>
            <family val="2"/>
          </rPr>
          <t>1 - 331,855_x000D_
2 - 331,855_x000D_
3 - 331,855_x000D_
4 - 331,031_x000D_
5 - 328,650_x000D_
6 - 329,650</t>
        </r>
      </text>
    </comment>
    <comment ref="E31" authorId="0" shapeId="0" xr:uid="{7050610F-A950-4096-93AA-E2A1C69B5FBC}">
      <text>
        <r>
          <rPr>
            <sz val="10"/>
            <color indexed="81"/>
            <rFont val="Arial"/>
            <family val="2"/>
          </rPr>
          <t>Original - _x000D_
5,544,390_x000D_
Change Order - _x000D_
227,870</t>
        </r>
      </text>
    </comment>
    <comment ref="F31" authorId="0" shapeId="0" xr:uid="{2D4E130A-F4AC-4028-B63A-2BEECFA6442B}">
      <text>
        <r>
          <rPr>
            <sz val="10"/>
            <color indexed="81"/>
            <rFont val="Arial"/>
            <family val="2"/>
          </rPr>
          <t>1 - 0_x000D_
2 - 0_x000D_
3 - 5,772,260_x000D_
4 - 0_x000D_
5 - 0_x000D_
6 - 5,620,852</t>
        </r>
      </text>
    </comment>
    <comment ref="I31" authorId="0" shapeId="0" xr:uid="{DB36176E-4454-497F-BDC1-1549C08C6966}">
      <text>
        <r>
          <rPr>
            <sz val="10"/>
            <color indexed="81"/>
            <rFont val="Arial"/>
            <family val="2"/>
          </rPr>
          <t>1 - 5,772,260_x000D_
2 - 5,772,260_x000D_
3 - 5,772,260_x000D_
4 - 5,620,852_x000D_
5 - 5,620,852_x000D_
6 - 5,620,852</t>
        </r>
      </text>
    </comment>
    <comment ref="L31" authorId="0" shapeId="0" xr:uid="{496B7066-BFD9-4A2A-B540-311BBE88B6B8}">
      <text>
        <r>
          <rPr>
            <sz val="10"/>
            <color indexed="81"/>
            <rFont val="Arial"/>
            <family val="2"/>
          </rPr>
          <t>1 - 0_x000D_
2 - 0_x000D_
3 - 4,786,125_x000D_
4 - 0_x000D_
5 - 0_x000D_
6 - 4,770,852</t>
        </r>
      </text>
    </comment>
    <comment ref="M31" authorId="0" shapeId="0" xr:uid="{F68F46DD-F61A-4F3F-A755-12FE2174CBC9}">
      <text>
        <r>
          <rPr>
            <sz val="10"/>
            <color indexed="81"/>
            <rFont val="Arial"/>
            <family val="2"/>
          </rPr>
          <t>1 - 4,538,654_x000D_
2 - 4,588,654_x000D_
3 - 4,786,125_x000D_
4 - 4,770,852_x000D_
5 - 4,770,852_x000D_
6 - 4,770,852</t>
        </r>
      </text>
    </comment>
    <comment ref="E32" authorId="0" shapeId="0" xr:uid="{E311C24D-80EC-4B7B-AD7B-6DE8A0986B92}">
      <text>
        <r>
          <rPr>
            <sz val="10"/>
            <color indexed="81"/>
            <rFont val="Arial"/>
            <family val="2"/>
          </rPr>
          <t>Original - _x000D_
74,858_x000D_
Change Order - _x000D_
956,546</t>
        </r>
      </text>
    </comment>
    <comment ref="F32" authorId="0" shapeId="0" xr:uid="{CCA118AF-2187-4583-BCF0-6DBB068377FF}">
      <text>
        <r>
          <rPr>
            <sz val="10"/>
            <color indexed="81"/>
            <rFont val="Arial"/>
            <family val="2"/>
          </rPr>
          <t>1 - 0_x000D_
2 - 0_x000D_
3 - 1,117,331_x000D_
4 - 0_x000D_
5 - 0_x000D_
6 - 1,117,331</t>
        </r>
      </text>
    </comment>
    <comment ref="I32" authorId="0" shapeId="0" xr:uid="{02C9298A-3C7A-4600-BF96-CAC84FBFC198}">
      <text>
        <r>
          <rPr>
            <sz val="10"/>
            <color indexed="81"/>
            <rFont val="Arial"/>
            <family val="2"/>
          </rPr>
          <t>1 - 1,120,182_x000D_
2 - 1,120,182_x000D_
3 - 1,117,331_x000D_
4 - 1,117,331_x000D_
5 - 1,117,331_x000D_
6 - 1,117,331</t>
        </r>
      </text>
    </comment>
    <comment ref="L32" authorId="0" shapeId="0" xr:uid="{C1094A38-4B83-4A59-8E0A-525F8709442D}">
      <text>
        <r>
          <rPr>
            <sz val="10"/>
            <color indexed="81"/>
            <rFont val="Arial"/>
            <family val="2"/>
          </rPr>
          <t>1 - 0_x000D_
2 - 0_x000D_
3 - 1,167,704_x000D_
4 - 0_x000D_
5 - 0_x000D_
6 - 1,119,831</t>
        </r>
      </text>
    </comment>
    <comment ref="M32" authorId="0" shapeId="0" xr:uid="{FB8BAEB3-6C31-406A-BB79-33CC763A2666}">
      <text>
        <r>
          <rPr>
            <sz val="10"/>
            <color indexed="81"/>
            <rFont val="Arial"/>
            <family val="2"/>
          </rPr>
          <t>1 - 1,167,704_x000D_
2 - 1,167,704_x000D_
3 - 1,167,704_x000D_
4 - 1,157,331_x000D_
5 - 1,119,831_x000D_
6 - 1,119,831</t>
        </r>
      </text>
    </comment>
    <comment ref="F33" authorId="0" shapeId="0" xr:uid="{5CC1F16A-85B6-4BD0-BA43-7027F656F6AD}">
      <text>
        <r>
          <rPr>
            <sz val="10"/>
            <color indexed="81"/>
            <rFont val="Arial"/>
            <family val="2"/>
          </rPr>
          <t>1 - 0_x000D_
2 - 0_x000D_
3 - 67,202_x000D_
4 - 0_x000D_
5 - 0_x000D_
6 - 67,202</t>
        </r>
      </text>
    </comment>
    <comment ref="I33" authorId="0" shapeId="0" xr:uid="{F0046107-5D48-491C-9C4A-7A371A3ED335}">
      <text>
        <r>
          <rPr>
            <sz val="10"/>
            <color indexed="81"/>
            <rFont val="Arial"/>
            <family val="2"/>
          </rPr>
          <t>1 - 67,202_x000D_
2 - 67,202_x000D_
3 - 67,202_x000D_
4 - 67,202_x000D_
5 - 67,202_x000D_
6 - 67,202</t>
        </r>
      </text>
    </comment>
    <comment ref="L33" authorId="0" shapeId="0" xr:uid="{E22500E9-65E6-44D0-BD0A-FFA643C923B0}">
      <text>
        <r>
          <rPr>
            <sz val="10"/>
            <color indexed="81"/>
            <rFont val="Arial"/>
            <family val="2"/>
          </rPr>
          <t>1 - 0_x000D_
2 - 0_x000D_
3 - 62,359_x000D_
4 - 0_x000D_
5 - 0_x000D_
6 - 62,359</t>
        </r>
      </text>
    </comment>
    <comment ref="M33" authorId="0" shapeId="0" xr:uid="{9C52D5BA-090E-4839-B9E5-88E43D29AB30}">
      <text>
        <r>
          <rPr>
            <sz val="10"/>
            <color indexed="81"/>
            <rFont val="Arial"/>
            <family val="2"/>
          </rPr>
          <t>1 - 56,994_x000D_
2 - 62,358_x000D_
3 - 62,359_x000D_
4 - 62,359_x000D_
5 - 62,359_x000D_
6 - 62,359</t>
        </r>
      </text>
    </comment>
    <comment ref="E34" authorId="0" shapeId="0" xr:uid="{303398C1-6D09-4977-AA2F-0275FD784213}">
      <text>
        <r>
          <rPr>
            <sz val="10"/>
            <color indexed="81"/>
            <rFont val="Arial"/>
            <family val="2"/>
          </rPr>
          <t>Original - _x000D_
3,964,224_x000D_
Change Order - _x000D_
2,966</t>
        </r>
      </text>
    </comment>
    <comment ref="F34" authorId="0" shapeId="0" xr:uid="{E189D362-2BCD-4BD2-AF99-80C3EEFF2E3E}">
      <text>
        <r>
          <rPr>
            <sz val="10"/>
            <color indexed="81"/>
            <rFont val="Arial"/>
            <family val="2"/>
          </rPr>
          <t>1 - 0_x000D_
2 - 0_x000D_
3 - 3,967,190_x000D_
4 - 0_x000D_
5 - 0_x000D_
6 - 3,979,878</t>
        </r>
      </text>
    </comment>
    <comment ref="I34" authorId="0" shapeId="0" xr:uid="{EDE60C9A-6EE3-4D2A-BEA3-572EBE886741}">
      <text>
        <r>
          <rPr>
            <sz val="10"/>
            <color indexed="81"/>
            <rFont val="Arial"/>
            <family val="2"/>
          </rPr>
          <t>1 - 3,967,190_x000D_
2 - 3,967,190_x000D_
3 - 3,967,190_x000D_
4 - 3,967,190_x000D_
5 - 3,979,878_x000D_
6 - 3,979,878</t>
        </r>
      </text>
    </comment>
    <comment ref="L34" authorId="0" shapeId="0" xr:uid="{375B79B9-FD5D-4C3F-9ADF-F675824831B2}">
      <text>
        <r>
          <rPr>
            <sz val="10"/>
            <color indexed="81"/>
            <rFont val="Arial"/>
            <family val="2"/>
          </rPr>
          <t>1 - 0_x000D_
2 - 0_x000D_
3 - 3,846,104_x000D_
4 - 0_x000D_
5 - 0_x000D_
6 - 3,849,878</t>
        </r>
      </text>
    </comment>
    <comment ref="M34" authorId="0" shapeId="0" xr:uid="{77339EC9-0407-449E-84BF-03DA62BFEA47}">
      <text>
        <r>
          <rPr>
            <sz val="10"/>
            <color indexed="81"/>
            <rFont val="Arial"/>
            <family val="2"/>
          </rPr>
          <t>1 - 3,835,095_x000D_
2 - 3,835,095_x000D_
3 - 3,846,104_x000D_
4 - 3,835,690_x000D_
5 - 3,849,878_x000D_
6 - 3,849,878</t>
        </r>
      </text>
    </comment>
    <comment ref="E35" authorId="0" shapeId="0" xr:uid="{BDD08366-A3DF-4C75-A2A7-44226E5512A6}">
      <text>
        <r>
          <rPr>
            <sz val="10"/>
            <color indexed="81"/>
            <rFont val="Arial"/>
            <family val="2"/>
          </rPr>
          <t>Original - _x000D_
1,997,000_x000D_
Change Order - _x000D_
-5,769</t>
        </r>
      </text>
    </comment>
    <comment ref="F35" authorId="0" shapeId="0" xr:uid="{6012ADC7-4D22-49C7-B08E-B4FA8C20ECDB}">
      <text>
        <r>
          <rPr>
            <sz val="10"/>
            <color indexed="81"/>
            <rFont val="Arial"/>
            <family val="2"/>
          </rPr>
          <t>1 - 0_x000D_
2 - 0_x000D_
3 - 1,991,231_x000D_
4 - 0_x000D_
5 - 0_x000D_
6 - 1,991,231</t>
        </r>
      </text>
    </comment>
    <comment ref="I35" authorId="0" shapeId="0" xr:uid="{B17D95CB-F0EF-486C-8FE9-5B28E3F2BFF6}">
      <text>
        <r>
          <rPr>
            <sz val="10"/>
            <color indexed="81"/>
            <rFont val="Arial"/>
            <family val="2"/>
          </rPr>
          <t>1 - 1,991,231_x000D_
2 - 1,991,231_x000D_
3 - 1,991,231_x000D_
4 - 1,991,231_x000D_
5 - 1,991,231_x000D_
6 - 1,991,231</t>
        </r>
      </text>
    </comment>
    <comment ref="L35" authorId="0" shapeId="0" xr:uid="{7F184563-F95D-4EEF-B860-E66363317B77}">
      <text>
        <r>
          <rPr>
            <sz val="10"/>
            <color indexed="81"/>
            <rFont val="Arial"/>
            <family val="2"/>
          </rPr>
          <t>1 - 0_x000D_
2 - 0_x000D_
3 - 1,758,133_x000D_
4 - 0_x000D_
5 - 0_x000D_
6 - 1,758,133</t>
        </r>
      </text>
    </comment>
    <comment ref="M35" authorId="0" shapeId="0" xr:uid="{6B2D20ED-C565-4624-A8A9-BC1626B52932}">
      <text>
        <r>
          <rPr>
            <sz val="10"/>
            <color indexed="81"/>
            <rFont val="Arial"/>
            <family val="2"/>
          </rPr>
          <t>1 - 1,758,133_x000D_
2 - 1,758,133_x000D_
3 - 1,758,133_x000D_
4 - 1,758,133_x000D_
5 - 1,758,133_x000D_
6 - 1,758,133</t>
        </r>
      </text>
    </comment>
    <comment ref="E36" authorId="0" shapeId="0" xr:uid="{12280E9C-3972-452E-8717-EFA49CF54F0E}">
      <text>
        <r>
          <rPr>
            <sz val="10"/>
            <color indexed="81"/>
            <rFont val="Arial"/>
            <family val="2"/>
          </rPr>
          <t>Original - _x000D_
2,441,500_x000D_
Change Order - _x000D_
301,360</t>
        </r>
      </text>
    </comment>
    <comment ref="F36" authorId="0" shapeId="0" xr:uid="{89BE201C-1BE9-46A2-8E92-D4CD895FA973}">
      <text>
        <r>
          <rPr>
            <sz val="10"/>
            <color indexed="81"/>
            <rFont val="Arial"/>
            <family val="2"/>
          </rPr>
          <t>1 - 0_x000D_
2 - 0_x000D_
3 - 2,742,860_x000D_
4 - 0_x000D_
5 - 0_x000D_
6 - 2,623,267</t>
        </r>
      </text>
    </comment>
    <comment ref="I36" authorId="0" shapeId="0" xr:uid="{5F7E811B-1695-4570-82FE-A42EFCF1888D}">
      <text>
        <r>
          <rPr>
            <sz val="10"/>
            <color indexed="81"/>
            <rFont val="Arial"/>
            <family val="2"/>
          </rPr>
          <t>1 - 2,742,860_x000D_
2 - 2,742,860_x000D_
3 - 2,742,860_x000D_
4 - 2,742,860_x000D_
5 - 2,623,267_x000D_
6 - 2,623,267</t>
        </r>
      </text>
    </comment>
    <comment ref="L36" authorId="0" shapeId="0" xr:uid="{9509AD39-25BA-4176-A599-43F99A1805EF}">
      <text>
        <r>
          <rPr>
            <sz val="10"/>
            <color indexed="81"/>
            <rFont val="Arial"/>
            <family val="2"/>
          </rPr>
          <t>1 - 0_x000D_
2 - 0_x000D_
3 - 2,547,860_x000D_
4 - 0_x000D_
5 - 0_x000D_
6 - 2,453,267</t>
        </r>
      </text>
    </comment>
    <comment ref="M36" authorId="0" shapeId="0" xr:uid="{7BD180E5-4A2B-4818-82AD-C31657ED25EC}">
      <text>
        <r>
          <rPr>
            <sz val="10"/>
            <color indexed="81"/>
            <rFont val="Arial"/>
            <family val="2"/>
          </rPr>
          <t>1 - 2,548,613_x000D_
2 - 2,547,018_x000D_
3 - 2,547,860_x000D_
4 - 2,572,860_x000D_
5 - 2,453,267_x000D_
6 - 2,453,267</t>
        </r>
      </text>
    </comment>
    <comment ref="E37" authorId="0" shapeId="0" xr:uid="{A2FDBB87-9562-496F-950A-0B0EFF1416E4}">
      <text>
        <r>
          <rPr>
            <sz val="10"/>
            <color indexed="81"/>
            <rFont val="Arial"/>
            <family val="2"/>
          </rPr>
          <t>Original - _x000D_
2,431,500_x000D_
Change Order - _x000D_
54,732</t>
        </r>
      </text>
    </comment>
    <comment ref="F37" authorId="0" shapeId="0" xr:uid="{6C1491E2-6223-4FCF-881C-AF9F5BEBEC63}">
      <text>
        <r>
          <rPr>
            <sz val="10"/>
            <color indexed="81"/>
            <rFont val="Arial"/>
            <family val="2"/>
          </rPr>
          <t>1 - 0_x000D_
2 - 0_x000D_
3 - 2,486,232_x000D_
4 - 0_x000D_
5 - 0_x000D_
6 - 2,486,232</t>
        </r>
      </text>
    </comment>
    <comment ref="I37" authorId="0" shapeId="0" xr:uid="{69EA0DA0-A3FE-4268-8D47-060E94D2FB81}">
      <text>
        <r>
          <rPr>
            <sz val="10"/>
            <color indexed="81"/>
            <rFont val="Arial"/>
            <family val="2"/>
          </rPr>
          <t>1 - 2,486,232_x000D_
2 - 2,486,232_x000D_
3 - 2,486,232_x000D_
4 - 2,486,232_x000D_
5 - 2,486,232_x000D_
6 - 2,486,232</t>
        </r>
      </text>
    </comment>
    <comment ref="L37" authorId="0" shapeId="0" xr:uid="{6FFDCB6A-C263-489B-BA65-F16127C5EC9E}">
      <text>
        <r>
          <rPr>
            <sz val="10"/>
            <color indexed="81"/>
            <rFont val="Arial"/>
            <family val="2"/>
          </rPr>
          <t>1 - 0_x000D_
2 - 0_x000D_
3 - 2,239,435_x000D_
4 - 0_x000D_
5 - 0_x000D_
6 - 2,251,232</t>
        </r>
      </text>
    </comment>
    <comment ref="M37" authorId="0" shapeId="0" xr:uid="{60B04C58-0803-47EE-8246-1B0480AC329E}">
      <text>
        <r>
          <rPr>
            <sz val="10"/>
            <color indexed="81"/>
            <rFont val="Arial"/>
            <family val="2"/>
          </rPr>
          <t>1 - 2,239,435_x000D_
2 - 2,239,435_x000D_
3 - 2,239,435_x000D_
4 - 2,241,232_x000D_
5 - 2,241,232_x000D_
6 - 2,251,232</t>
        </r>
      </text>
    </comment>
    <comment ref="I38" authorId="0" shapeId="0" xr:uid="{294FC2D1-4B04-41A2-977A-4EF4525497D3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38" authorId="0" shapeId="0" xr:uid="{1826404A-3A83-4CD3-B06D-2E74B42C03C0}">
      <text>
        <r>
          <rPr>
            <sz val="10"/>
            <color indexed="81"/>
            <rFont val="Arial"/>
            <family val="2"/>
          </rPr>
          <t>1 - 0_x000D_
2 - 0_x000D_
3 - 911,586_x000D_
4 - 0_x000D_
5 - 0_x000D_
6 - 575,453</t>
        </r>
      </text>
    </comment>
    <comment ref="M38" authorId="0" shapeId="0" xr:uid="{C0E83A9B-8C0D-47C4-B3F9-8FEE43B2A6A1}">
      <text>
        <r>
          <rPr>
            <sz val="10"/>
            <color indexed="81"/>
            <rFont val="Arial"/>
            <family val="2"/>
          </rPr>
          <t>1 - 1,249,321_x000D_
2 - 1,044,822_x000D_
3 - 911,586_x000D_
4 - 824,049_x000D_
5 - 694,792_x000D_
6 - 575,453</t>
        </r>
      </text>
    </comment>
    <comment ref="I39" authorId="0" shapeId="0" xr:uid="{B1B5B8EC-82AF-4C98-8FC3-9E16C235836F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39" authorId="0" shapeId="0" xr:uid="{AF2288AE-151E-443D-BE87-5714394613DF}">
      <text>
        <r>
          <rPr>
            <sz val="10"/>
            <color indexed="81"/>
            <rFont val="Arial"/>
            <family val="2"/>
          </rPr>
          <t>1 - 0_x000D_
2 - 0_x000D_
3 - 467,066_x000D_
4 - 0_x000D_
5 - 0_x000D_
6 - 316,562</t>
        </r>
      </text>
    </comment>
    <comment ref="M39" authorId="0" shapeId="0" xr:uid="{057D3F48-AB23-4D5E-BD82-CE38334F4906}">
      <text>
        <r>
          <rPr>
            <sz val="10"/>
            <color indexed="81"/>
            <rFont val="Arial"/>
            <family val="2"/>
          </rPr>
          <t>1 - 552,391_x000D_
2 - 514,947_x000D_
3 - 467,066_x000D_
4 - 430,515_x000D_
5 - 356,806_x000D_
6 - 316,562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BEA0B5A8-015A-4099-AE88-4789F67E93E2}">
      <text>
        <r>
          <rPr>
            <sz val="10"/>
            <color indexed="81"/>
            <rFont val="Arial"/>
            <family val="2"/>
          </rPr>
          <t>Original - _x000D_
71,413,942_x000D_
Change Order - _x000D_
19,695,442</t>
        </r>
      </text>
    </comment>
    <comment ref="F9" authorId="0" shapeId="0" xr:uid="{336ED231-0B07-4C79-A71B-D2B8EDAA6493}">
      <text>
        <r>
          <rPr>
            <sz val="10"/>
            <color indexed="81"/>
            <rFont val="Arial"/>
            <family val="2"/>
          </rPr>
          <t>1 - 0_x000D_
2 - 0_x000D_
3 - 94,010,128_x000D_
4 - 0_x000D_
5 - 0_x000D_
6 - 93,864,441</t>
        </r>
      </text>
    </comment>
    <comment ref="J9" authorId="0" shapeId="0" xr:uid="{AEA2DFC9-5F64-45E1-9382-E0EBD6ABACB5}">
      <text>
        <r>
          <rPr>
            <sz val="10"/>
            <color indexed="81"/>
            <rFont val="Arial"/>
            <family val="2"/>
          </rPr>
          <t>1 - 0_x000D_
2 - 0_x000D_
3 - 94,010,128_x000D_
4 - 0_x000D_
5 - 0_x000D_
6 - 93,864,441</t>
        </r>
      </text>
    </comment>
    <comment ref="M9" authorId="0" shapeId="0" xr:uid="{5101A6DB-CFB1-4AC3-9239-9FF4668A5566}">
      <text>
        <r>
          <rPr>
            <sz val="10"/>
            <color indexed="81"/>
            <rFont val="Arial"/>
            <family val="2"/>
          </rPr>
          <t>1 - 0_x000D_
2 - 0_x000D_
3 - 93,232,905_x000D_
4 - 0_x000D_
5 - 0_x000D_
6 - 93,101,935</t>
        </r>
      </text>
    </comment>
    <comment ref="N9" authorId="0" shapeId="0" xr:uid="{5A5E39EF-7E02-4ADC-AC82-2557C22038B4}">
      <text>
        <r>
          <rPr>
            <sz val="10"/>
            <color indexed="81"/>
            <rFont val="Arial"/>
            <family val="2"/>
          </rPr>
          <t>1 - 0_x000D_
2 - 0_x000D_
3 - 93,232,905_x000D_
4 - 0_x000D_
5 - 0_x000D_
6 - 93,101,935</t>
        </r>
      </text>
    </comment>
    <comment ref="J10" authorId="0" shapeId="0" xr:uid="{C4CD0E6C-6015-4436-BEBE-BB4587E1D97D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10" authorId="0" shapeId="0" xr:uid="{245CB6EC-4208-4E40-B9E1-5F011A03F82C}">
      <text>
        <r>
          <rPr>
            <sz val="10"/>
            <color indexed="81"/>
            <rFont val="Arial"/>
            <family val="2"/>
          </rPr>
          <t>1 - 0_x000D_
2 - 0_x000D_
3 - (3,462,980)_x000D_
4 - 0_x000D_
5 - 0_x000D_
6 - (3,463,215)</t>
        </r>
      </text>
    </comment>
    <comment ref="N10" authorId="0" shapeId="0" xr:uid="{BF252ADA-7DB6-427A-87A9-1BC0E913115E}">
      <text>
        <r>
          <rPr>
            <sz val="10"/>
            <color indexed="81"/>
            <rFont val="Arial"/>
            <family val="2"/>
          </rPr>
          <t>1 - 0_x000D_
2 - 0_x000D_
3 - (3,462,980)_x000D_
4 - 0_x000D_
5 - 0_x000D_
6 - (3,463,215)</t>
        </r>
      </text>
    </comment>
    <comment ref="E11" authorId="0" shapeId="0" xr:uid="{21AF5837-6055-4790-A494-4347FFBD4F1C}">
      <text>
        <r>
          <rPr>
            <sz val="10"/>
            <color indexed="81"/>
            <rFont val="Arial"/>
            <family val="2"/>
          </rPr>
          <t>Original - _x000D_
121,040,201_x000D_
Change Order - _x000D_
5,440,528</t>
        </r>
      </text>
    </comment>
    <comment ref="F11" authorId="0" shapeId="0" xr:uid="{687BE6F3-A6D3-409A-AE84-B993590D5CC2}">
      <text>
        <r>
          <rPr>
            <sz val="10"/>
            <color indexed="81"/>
            <rFont val="Arial"/>
            <family val="2"/>
          </rPr>
          <t>1 - 0_x000D_
2 - 0_x000D_
3 - 126,413,057_x000D_
4 - 0_x000D_
5 - 0_x000D_
6 - 122,305,870</t>
        </r>
      </text>
    </comment>
    <comment ref="J11" authorId="0" shapeId="0" xr:uid="{0FE6BEE7-EC8A-4274-A7CD-1E6A0A4FE250}">
      <text>
        <r>
          <rPr>
            <sz val="10"/>
            <color indexed="81"/>
            <rFont val="Arial"/>
            <family val="2"/>
          </rPr>
          <t>1 - 0_x000D_
2 - 0_x000D_
3 - 126,413,057_x000D_
4 - 0_x000D_
5 - 0_x000D_
6 - 122,305,870</t>
        </r>
      </text>
    </comment>
    <comment ref="M11" authorId="0" shapeId="0" xr:uid="{F6BD4827-9667-4641-AFE7-F1B0718E3275}">
      <text>
        <r>
          <rPr>
            <sz val="10"/>
            <color indexed="81"/>
            <rFont val="Arial"/>
            <family val="2"/>
          </rPr>
          <t>1 - 0_x000D_
2 - 0_x000D_
3 - 114,413,057_x000D_
4 - 0_x000D_
5 - 0_x000D_
6 - 110,305,870</t>
        </r>
      </text>
    </comment>
    <comment ref="N11" authorId="0" shapeId="0" xr:uid="{317690AD-AEC4-4794-A2DC-702A88B08ECA}">
      <text>
        <r>
          <rPr>
            <sz val="10"/>
            <color indexed="81"/>
            <rFont val="Arial"/>
            <family val="2"/>
          </rPr>
          <t>1 - 0_x000D_
2 - 0_x000D_
3 - 114,413,057_x000D_
4 - 0_x000D_
5 - 0_x000D_
6 - 110,305,870</t>
        </r>
      </text>
    </comment>
    <comment ref="E12" authorId="0" shapeId="0" xr:uid="{2623D990-98C4-40A5-A6B1-C1082BED6788}">
      <text>
        <r>
          <rPr>
            <sz val="10"/>
            <color indexed="81"/>
            <rFont val="Arial"/>
            <family val="2"/>
          </rPr>
          <t>Original - _x000D_
78,438_x000D_
Change Order - _x000D_
1,168,468</t>
        </r>
      </text>
    </comment>
    <comment ref="F12" authorId="0" shapeId="0" xr:uid="{2F7E6546-E4EC-4581-B041-FDBB939B9C3D}">
      <text>
        <r>
          <rPr>
            <sz val="10"/>
            <color indexed="81"/>
            <rFont val="Arial"/>
            <family val="2"/>
          </rPr>
          <t>1 - 0_x000D_
2 - 0_x000D_
3 - 1,259,243_x000D_
4 - 0_x000D_
5 - 0_x000D_
6 - 1,246,905</t>
        </r>
      </text>
    </comment>
    <comment ref="J12" authorId="0" shapeId="0" xr:uid="{93C1837F-9A17-48F5-BA74-08F033FBFE14}">
      <text>
        <r>
          <rPr>
            <sz val="10"/>
            <color indexed="81"/>
            <rFont val="Arial"/>
            <family val="2"/>
          </rPr>
          <t>1 - 0_x000D_
2 - 0_x000D_
3 - 1,259,243_x000D_
4 - 0_x000D_
5 - 0_x000D_
6 - 1,246,905</t>
        </r>
      </text>
    </comment>
    <comment ref="M12" authorId="0" shapeId="0" xr:uid="{1A699016-B265-4116-A910-D056D67062C5}">
      <text>
        <r>
          <rPr>
            <sz val="10"/>
            <color indexed="81"/>
            <rFont val="Arial"/>
            <family val="2"/>
          </rPr>
          <t>1 - 0_x000D_
2 - 0_x000D_
3 - 1,145,603_x000D_
4 - 0_x000D_
5 - 0_x000D_
6 - 1,133,265</t>
        </r>
      </text>
    </comment>
    <comment ref="N12" authorId="0" shapeId="0" xr:uid="{CA9BCEB6-5A27-43BF-B980-141FEB5CEA23}">
      <text>
        <r>
          <rPr>
            <sz val="10"/>
            <color indexed="81"/>
            <rFont val="Arial"/>
            <family val="2"/>
          </rPr>
          <t>1 - 0_x000D_
2 - 0_x000D_
3 - 1,145,603_x000D_
4 - 0_x000D_
5 - 0_x000D_
6 - 1,133,265</t>
        </r>
      </text>
    </comment>
    <comment ref="E13" authorId="0" shapeId="0" xr:uid="{825590C5-C8C3-4881-BC48-C6FC63F3C71A}">
      <text>
        <r>
          <rPr>
            <sz val="10"/>
            <color indexed="81"/>
            <rFont val="Arial"/>
            <family val="2"/>
          </rPr>
          <t>Original - _x000D_
1,350,917_x000D_
Change Order - _x000D_
13,618,649</t>
        </r>
      </text>
    </comment>
    <comment ref="F13" authorId="0" shapeId="0" xr:uid="{D57DA647-23ED-44A0-9B78-C149A0A8D098}">
      <text>
        <r>
          <rPr>
            <sz val="10"/>
            <color indexed="81"/>
            <rFont val="Arial"/>
            <family val="2"/>
          </rPr>
          <t>1 - 0_x000D_
2 - 0_x000D_
3 - 14,969,567_x000D_
4 - 0_x000D_
5 - 0_x000D_
6 - 14,969,567</t>
        </r>
      </text>
    </comment>
    <comment ref="J13" authorId="0" shapeId="0" xr:uid="{BC6AB0B6-9259-4F4C-981D-A5BC7F0D4F31}">
      <text>
        <r>
          <rPr>
            <sz val="10"/>
            <color indexed="81"/>
            <rFont val="Arial"/>
            <family val="2"/>
          </rPr>
          <t>1 - 0_x000D_
2 - 0_x000D_
3 - 14,969,567_x000D_
4 - 0_x000D_
5 - 0_x000D_
6 - 14,969,567</t>
        </r>
      </text>
    </comment>
    <comment ref="M13" authorId="0" shapeId="0" xr:uid="{EE599DA7-C831-42CA-9934-4185F7CD6FC5}">
      <text>
        <r>
          <rPr>
            <sz val="10"/>
            <color indexed="81"/>
            <rFont val="Arial"/>
            <family val="2"/>
          </rPr>
          <t>1 - 0_x000D_
2 - 0_x000D_
3 - 14,116,123_x000D_
4 - 0_x000D_
5 - 0_x000D_
6 - 14,412,567</t>
        </r>
      </text>
    </comment>
    <comment ref="N13" authorId="0" shapeId="0" xr:uid="{19232A7C-54CC-4B93-A27A-B64AA92ECF96}">
      <text>
        <r>
          <rPr>
            <sz val="10"/>
            <color indexed="81"/>
            <rFont val="Arial"/>
            <family val="2"/>
          </rPr>
          <t>1 - 0_x000D_
2 - 0_x000D_
3 - 14,116,123_x000D_
4 - 0_x000D_
5 - 0_x000D_
6 - 14,412,567</t>
        </r>
      </text>
    </comment>
    <comment ref="E14" authorId="0" shapeId="0" xr:uid="{2A4B08DE-6C38-497D-A0F2-A68663F4A8B8}">
      <text>
        <r>
          <rPr>
            <sz val="10"/>
            <color indexed="81"/>
            <rFont val="Arial"/>
            <family val="2"/>
          </rPr>
          <t>Original - _x000D_
63,489,353_x000D_
Change Order - _x000D_
-2,509,119</t>
        </r>
      </text>
    </comment>
    <comment ref="F14" authorId="0" shapeId="0" xr:uid="{5FDD3B00-A2D9-49DD-9220-5487870AC5DA}">
      <text>
        <r>
          <rPr>
            <sz val="10"/>
            <color indexed="81"/>
            <rFont val="Arial"/>
            <family val="2"/>
          </rPr>
          <t>1 - 0_x000D_
2 - 0_x000D_
3 - 60,980,234_x000D_
4 - 0_x000D_
5 - 0_x000D_
6 - 60,275,337</t>
        </r>
      </text>
    </comment>
    <comment ref="J14" authorId="0" shapeId="0" xr:uid="{5933085A-6255-48BE-997C-BC3A2817AEE7}">
      <text>
        <r>
          <rPr>
            <sz val="10"/>
            <color indexed="81"/>
            <rFont val="Arial"/>
            <family val="2"/>
          </rPr>
          <t>1 - 0_x000D_
2 - 0_x000D_
3 - 60,980,234_x000D_
4 - 0_x000D_
5 - 0_x000D_
6 - 60,275,337</t>
        </r>
      </text>
    </comment>
    <comment ref="M14" authorId="0" shapeId="0" xr:uid="{91562AC9-BD5F-4C0E-9CF7-84D64A28455A}">
      <text>
        <r>
          <rPr>
            <sz val="10"/>
            <color indexed="81"/>
            <rFont val="Arial"/>
            <family val="2"/>
          </rPr>
          <t>1 - 0_x000D_
2 - 0_x000D_
3 - 47,480,234_x000D_
4 - 0_x000D_
5 - 0_x000D_
6 - 53,275,337</t>
        </r>
      </text>
    </comment>
    <comment ref="N14" authorId="0" shapeId="0" xr:uid="{F9C98988-15DC-4ECC-B55D-BC409BB5AF65}">
      <text>
        <r>
          <rPr>
            <sz val="10"/>
            <color indexed="81"/>
            <rFont val="Arial"/>
            <family val="2"/>
          </rPr>
          <t>1 - 0_x000D_
2 - 0_x000D_
3 - 47,480,234_x000D_
4 - 0_x000D_
5 - 0_x000D_
6 - 53,275,337</t>
        </r>
      </text>
    </comment>
    <comment ref="F15" authorId="0" shapeId="0" xr:uid="{04768483-2BBA-4EA5-ABD5-99D1DC7B613F}">
      <text>
        <r>
          <rPr>
            <sz val="10"/>
            <color indexed="81"/>
            <rFont val="Arial"/>
            <family val="2"/>
          </rPr>
          <t>1 - 0_x000D_
2 - 0_x000D_
3 - 10,658,200_x000D_
4 - 0_x000D_
5 - 0_x000D_
6 - 10,658,200</t>
        </r>
      </text>
    </comment>
    <comment ref="J15" authorId="0" shapeId="0" xr:uid="{83DF9F54-E4A0-48F4-88D5-49BF98122990}">
      <text>
        <r>
          <rPr>
            <sz val="10"/>
            <color indexed="81"/>
            <rFont val="Arial"/>
            <family val="2"/>
          </rPr>
          <t>1 - 0_x000D_
2 - 0_x000D_
3 - 10,658,200_x000D_
4 - 0_x000D_
5 - 0_x000D_
6 - 10,658,200</t>
        </r>
      </text>
    </comment>
    <comment ref="M15" authorId="0" shapeId="0" xr:uid="{CDF37712-45BD-427C-A31D-75F6D3161E02}">
      <text>
        <r>
          <rPr>
            <sz val="10"/>
            <color indexed="81"/>
            <rFont val="Arial"/>
            <family val="2"/>
          </rPr>
          <t>1 - 0_x000D_
2 - 0_x000D_
3 - 10,061,352_x000D_
4 - 0_x000D_
5 - 0_x000D_
6 - 10,061,352</t>
        </r>
      </text>
    </comment>
    <comment ref="N15" authorId="0" shapeId="0" xr:uid="{3A1A4FA5-9752-4473-9F9B-A4CA050BC183}">
      <text>
        <r>
          <rPr>
            <sz val="10"/>
            <color indexed="81"/>
            <rFont val="Arial"/>
            <family val="2"/>
          </rPr>
          <t>1 - 0_x000D_
2 - 0_x000D_
3 - 10,061,352_x000D_
4 - 0_x000D_
5 - 0_x000D_
6 - 10,061,352</t>
        </r>
      </text>
    </comment>
    <comment ref="E16" authorId="0" shapeId="0" xr:uid="{C55BEC7C-628B-4FE6-A618-DC44DA84A3DA}">
      <text>
        <r>
          <rPr>
            <sz val="10"/>
            <color indexed="81"/>
            <rFont val="Arial"/>
            <family val="2"/>
          </rPr>
          <t>Original - _x000D_
19,450,000_x000D_
Change Order - _x000D_
45,325</t>
        </r>
      </text>
    </comment>
    <comment ref="F16" authorId="0" shapeId="0" xr:uid="{0C4B667F-DD37-4516-AE38-83AC5ACEC559}">
      <text>
        <r>
          <rPr>
            <sz val="10"/>
            <color indexed="81"/>
            <rFont val="Arial"/>
            <family val="2"/>
          </rPr>
          <t>1 - 0_x000D_
2 - 0_x000D_
3 - 19,495,325_x000D_
4 - 0_x000D_
5 - 0_x000D_
6 - 19,450,000</t>
        </r>
      </text>
    </comment>
    <comment ref="J16" authorId="0" shapeId="0" xr:uid="{FE9EE9CD-F205-4FA0-8C30-0977FDF2D225}">
      <text>
        <r>
          <rPr>
            <sz val="10"/>
            <color indexed="81"/>
            <rFont val="Arial"/>
            <family val="2"/>
          </rPr>
          <t>1 - 0_x000D_
2 - 0_x000D_
3 - 19,495,325_x000D_
4 - 0_x000D_
5 - 0_x000D_
6 - 19,450,000</t>
        </r>
      </text>
    </comment>
    <comment ref="M16" authorId="0" shapeId="0" xr:uid="{7B03F5F8-8B0D-4A80-A1DD-09E4A5DF8C73}">
      <text>
        <r>
          <rPr>
            <sz val="10"/>
            <color indexed="81"/>
            <rFont val="Arial"/>
            <family val="2"/>
          </rPr>
          <t>1 - 0_x000D_
2 - 0_x000D_
3 - 18,283,140_x000D_
4 - 0_x000D_
5 - 0_x000D_
6 - 18,328,291</t>
        </r>
      </text>
    </comment>
    <comment ref="N16" authorId="0" shapeId="0" xr:uid="{146ABEEE-A6E9-4A28-AC91-8B399F320732}">
      <text>
        <r>
          <rPr>
            <sz val="10"/>
            <color indexed="81"/>
            <rFont val="Arial"/>
            <family val="2"/>
          </rPr>
          <t>1 - 0_x000D_
2 - 0_x000D_
3 - 18,283,140_x000D_
4 - 0_x000D_
5 - 0_x000D_
6 - 18,328,291</t>
        </r>
      </text>
    </comment>
    <comment ref="E17" authorId="0" shapeId="0" xr:uid="{ADF9F074-1BE7-4964-B880-AFA483DFEB09}">
      <text>
        <r>
          <rPr>
            <sz val="10"/>
            <color indexed="81"/>
            <rFont val="Arial"/>
            <family val="2"/>
          </rPr>
          <t>Original - _x000D_
534,000_x000D_
Change Order - _x000D_
28,825</t>
        </r>
      </text>
    </comment>
    <comment ref="F17" authorId="0" shapeId="0" xr:uid="{24EFB63F-FC20-4712-A35A-3EAB9373C6FF}">
      <text>
        <r>
          <rPr>
            <sz val="10"/>
            <color indexed="81"/>
            <rFont val="Arial"/>
            <family val="2"/>
          </rPr>
          <t>1 - 0_x000D_
2 - 0_x000D_
3 - 549,549_x000D_
4 - 0_x000D_
5 - 0_x000D_
6 - 549,549</t>
        </r>
      </text>
    </comment>
    <comment ref="J17" authorId="0" shapeId="0" xr:uid="{7A26B6BB-E2BB-410E-AC7C-6CAADB01943D}">
      <text>
        <r>
          <rPr>
            <sz val="10"/>
            <color indexed="81"/>
            <rFont val="Arial"/>
            <family val="2"/>
          </rPr>
          <t>1 - 0_x000D_
2 - 0_x000D_
3 - 549,549_x000D_
4 - 0_x000D_
5 - 0_x000D_
6 - 549,549</t>
        </r>
      </text>
    </comment>
    <comment ref="M17" authorId="0" shapeId="0" xr:uid="{5DA7CF6F-DB05-45A3-95A4-28FEBAE504D3}">
      <text>
        <r>
          <rPr>
            <sz val="10"/>
            <color indexed="81"/>
            <rFont val="Arial"/>
            <family val="2"/>
          </rPr>
          <t>1 - 0_x000D_
2 - 0_x000D_
3 - 442,549_x000D_
4 - 0_x000D_
5 - 0_x000D_
6 - 442,549</t>
        </r>
      </text>
    </comment>
    <comment ref="N17" authorId="0" shapeId="0" xr:uid="{32C2E108-2FAA-4B33-8321-6125673E0197}">
      <text>
        <r>
          <rPr>
            <sz val="10"/>
            <color indexed="81"/>
            <rFont val="Arial"/>
            <family val="2"/>
          </rPr>
          <t>1 - 0_x000D_
2 - 0_x000D_
3 - 442,549_x000D_
4 - 0_x000D_
5 - 0_x000D_
6 - 442,549</t>
        </r>
      </text>
    </comment>
    <comment ref="E18" authorId="0" shapeId="0" xr:uid="{D6A07C87-3A94-4AD2-8AA2-9E7B44A93B01}">
      <text>
        <r>
          <rPr>
            <sz val="10"/>
            <color indexed="81"/>
            <rFont val="Arial"/>
            <family val="2"/>
          </rPr>
          <t>Original - _x000D_
12,462,240_x000D_
Change Order - _x000D_
901,595</t>
        </r>
      </text>
    </comment>
    <comment ref="F18" authorId="0" shapeId="0" xr:uid="{2E7601C1-D37B-447E-AA09-8EA977A1B1CA}">
      <text>
        <r>
          <rPr>
            <sz val="10"/>
            <color indexed="81"/>
            <rFont val="Arial"/>
            <family val="2"/>
          </rPr>
          <t>1 - 0_x000D_
2 - 0_x000D_
3 - 13,363,835_x000D_
4 - 0_x000D_
5 - 0_x000D_
6 - 13,363,835</t>
        </r>
      </text>
    </comment>
    <comment ref="J18" authorId="0" shapeId="0" xr:uid="{8A02F97B-000F-441D-878E-2C87DF3BAA1E}">
      <text>
        <r>
          <rPr>
            <sz val="10"/>
            <color indexed="81"/>
            <rFont val="Arial"/>
            <family val="2"/>
          </rPr>
          <t>1 - 0_x000D_
2 - 0_x000D_
3 - 13,363,835_x000D_
4 - 0_x000D_
5 - 0_x000D_
6 - 13,363,835</t>
        </r>
      </text>
    </comment>
    <comment ref="M18" authorId="0" shapeId="0" xr:uid="{1875CE92-0C44-4D10-9405-E34820C952C7}">
      <text>
        <r>
          <rPr>
            <sz val="10"/>
            <color indexed="81"/>
            <rFont val="Arial"/>
            <family val="2"/>
          </rPr>
          <t>1 - 0_x000D_
2 - 0_x000D_
3 - 12,642,378_x000D_
4 - 0_x000D_
5 - 0_x000D_
6 - 12,809,391</t>
        </r>
      </text>
    </comment>
    <comment ref="N18" authorId="0" shapeId="0" xr:uid="{98174F73-5844-467F-8C96-4E404DC753BB}">
      <text>
        <r>
          <rPr>
            <sz val="10"/>
            <color indexed="81"/>
            <rFont val="Arial"/>
            <family val="2"/>
          </rPr>
          <t>1 - 0_x000D_
2 - 0_x000D_
3 - 12,642,378_x000D_
4 - 0_x000D_
5 - 0_x000D_
6 - 12,809,391</t>
        </r>
      </text>
    </comment>
    <comment ref="J19" authorId="0" shapeId="0" xr:uid="{3D3BD07A-0ACA-47BB-82C1-7E6D97F11622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19" authorId="0" shapeId="0" xr:uid="{AFCE8E4D-58E2-4B39-AC31-A9D2F52C8401}">
      <text>
        <r>
          <rPr>
            <sz val="10"/>
            <color indexed="81"/>
            <rFont val="Arial"/>
            <family val="2"/>
          </rPr>
          <t>1 - 0_x000D_
2 - 0_x000D_
3 - (1,800,000)_x000D_
4 - 0_x000D_
5 - 0_x000D_
6 - (1,800,000)</t>
        </r>
      </text>
    </comment>
    <comment ref="N19" authorId="0" shapeId="0" xr:uid="{5F64D2A9-CC32-48CD-9387-99D25496DA16}">
      <text>
        <r>
          <rPr>
            <sz val="10"/>
            <color indexed="81"/>
            <rFont val="Arial"/>
            <family val="2"/>
          </rPr>
          <t>1 - 0_x000D_
2 - 0_x000D_
3 - (1,800,000)_x000D_
4 - 0_x000D_
5 - 0_x000D_
6 - (1,800,000)</t>
        </r>
      </text>
    </comment>
    <comment ref="E20" authorId="0" shapeId="0" xr:uid="{12863F01-0855-4A09-A38C-442A01F233AA}">
      <text>
        <r>
          <rPr>
            <sz val="10"/>
            <color indexed="81"/>
            <rFont val="Arial"/>
            <family val="2"/>
          </rPr>
          <t>Original - _x000D_
70,090_x000D_
Change Order - _x000D_
34,356</t>
        </r>
      </text>
    </comment>
    <comment ref="F20" authorId="0" shapeId="0" xr:uid="{62ED7070-3B7A-49B2-8C17-78480DC743ED}">
      <text>
        <r>
          <rPr>
            <sz val="10"/>
            <color indexed="81"/>
            <rFont val="Arial"/>
            <family val="2"/>
          </rPr>
          <t>1 - 0_x000D_
2 - 0_x000D_
3 - 32,282_x000D_
4 - 0_x000D_
5 - 0_x000D_
6 - 32,282</t>
        </r>
      </text>
    </comment>
    <comment ref="J20" authorId="0" shapeId="0" xr:uid="{B825FCC9-DC6E-4E4B-BF10-9F352344C4A3}">
      <text>
        <r>
          <rPr>
            <sz val="10"/>
            <color indexed="81"/>
            <rFont val="Arial"/>
            <family val="2"/>
          </rPr>
          <t>1 - 0_x000D_
2 - 0_x000D_
3 - 32,282_x000D_
4 - 0_x000D_
5 - 0_x000D_
6 - 32,282</t>
        </r>
      </text>
    </comment>
    <comment ref="M20" authorId="0" shapeId="0" xr:uid="{8F101AEA-5832-4767-8FE1-3F13A02E5D27}">
      <text>
        <r>
          <rPr>
            <sz val="10"/>
            <color indexed="81"/>
            <rFont val="Arial"/>
            <family val="2"/>
          </rPr>
          <t>1 - 0_x000D_
2 - 0_x000D_
3 - 32,282_x000D_
4 - 0_x000D_
5 - 0_x000D_
6 - 32,282</t>
        </r>
      </text>
    </comment>
    <comment ref="N20" authorId="0" shapeId="0" xr:uid="{ACAAE9FE-016E-4853-A343-393902779D8A}">
      <text>
        <r>
          <rPr>
            <sz val="10"/>
            <color indexed="81"/>
            <rFont val="Arial"/>
            <family val="2"/>
          </rPr>
          <t>1 - 0_x000D_
2 - 0_x000D_
3 - 32,282_x000D_
4 - 0_x000D_
5 - 0_x000D_
6 - 32,282</t>
        </r>
      </text>
    </comment>
    <comment ref="F21" authorId="0" shapeId="0" xr:uid="{96079023-10F0-43D6-9959-73115B110149}">
      <text>
        <r>
          <rPr>
            <sz val="10"/>
            <color indexed="81"/>
            <rFont val="Arial"/>
            <family val="2"/>
          </rPr>
          <t>1 - 0_x000D_
2 - 0_x000D_
3 - 1,199,000_x000D_
4 - 0_x000D_
5 - 0_x000D_
6 - 1,199,000</t>
        </r>
      </text>
    </comment>
    <comment ref="J21" authorId="0" shapeId="0" xr:uid="{30A5FC7B-A046-4482-BAA7-F9653CDEF622}">
      <text>
        <r>
          <rPr>
            <sz val="10"/>
            <color indexed="81"/>
            <rFont val="Arial"/>
            <family val="2"/>
          </rPr>
          <t>1 - 0_x000D_
2 - 0_x000D_
3 - 1,199,000_x000D_
4 - 0_x000D_
5 - 0_x000D_
6 - 1,199,000</t>
        </r>
      </text>
    </comment>
    <comment ref="M21" authorId="0" shapeId="0" xr:uid="{EF2824AA-6E55-44E6-974D-6678CABB1494}">
      <text>
        <r>
          <rPr>
            <sz val="10"/>
            <color indexed="81"/>
            <rFont val="Arial"/>
            <family val="2"/>
          </rPr>
          <t>1 - 0_x000D_
2 - 0_x000D_
3 - 1,079,240_x000D_
4 - 0_x000D_
5 - 0_x000D_
6 - 1,079,240</t>
        </r>
      </text>
    </comment>
    <comment ref="N21" authorId="0" shapeId="0" xr:uid="{09389814-97C7-43D8-8C36-1ABBF794E86F}">
      <text>
        <r>
          <rPr>
            <sz val="10"/>
            <color indexed="81"/>
            <rFont val="Arial"/>
            <family val="2"/>
          </rPr>
          <t>1 - 0_x000D_
2 - 0_x000D_
3 - 1,079,240_x000D_
4 - 0_x000D_
5 - 0_x000D_
6 - 1,079,240</t>
        </r>
      </text>
    </comment>
    <comment ref="F22" authorId="0" shapeId="0" xr:uid="{A9D9E168-A30E-44EC-B278-C842A67D6282}">
      <text>
        <r>
          <rPr>
            <sz val="10"/>
            <color indexed="81"/>
            <rFont val="Arial"/>
            <family val="2"/>
          </rPr>
          <t>1 - 0_x000D_
2 - 0_x000D_
3 - 1,757,000_x000D_
4 - 0_x000D_
5 - 0_x000D_
6 - 0</t>
        </r>
      </text>
    </comment>
    <comment ref="J22" authorId="0" shapeId="0" xr:uid="{FAB4C40B-0031-4ED5-83E5-7CFC1BA48DFD}">
      <text>
        <r>
          <rPr>
            <sz val="10"/>
            <color indexed="81"/>
            <rFont val="Arial"/>
            <family val="2"/>
          </rPr>
          <t>1 - 0_x000D_
2 - 0_x000D_
3 - 1,757,000_x000D_
4 - 0_x000D_
5 - 0_x000D_
6 - 0</t>
        </r>
      </text>
    </comment>
    <comment ref="M22" authorId="0" shapeId="0" xr:uid="{84113C9E-7D99-4856-A9BD-32890B819018}">
      <text>
        <r>
          <rPr>
            <sz val="10"/>
            <color indexed="81"/>
            <rFont val="Arial"/>
            <family val="2"/>
          </rPr>
          <t>1 - 0_x000D_
2 - 0_x000D_
3 - 1,669,787_x000D_
4 - 0_x000D_
5 - 0_x000D_
6 - 0</t>
        </r>
      </text>
    </comment>
    <comment ref="N22" authorId="0" shapeId="0" xr:uid="{F08D48BE-8C40-4B8F-BFA1-B3D43A58E083}">
      <text>
        <r>
          <rPr>
            <sz val="10"/>
            <color indexed="81"/>
            <rFont val="Arial"/>
            <family val="2"/>
          </rPr>
          <t>1 - 0_x000D_
2 - 0_x000D_
3 - 1,669,787_x000D_
4 - 0_x000D_
5 - 0_x000D_
6 - 0</t>
        </r>
      </text>
    </comment>
    <comment ref="F23" authorId="0" shapeId="0" xr:uid="{5D406ED7-3B1F-4F58-B68E-F77135DDA1B5}">
      <text>
        <r>
          <rPr>
            <sz val="10"/>
            <color indexed="81"/>
            <rFont val="Arial"/>
            <family val="2"/>
          </rPr>
          <t>1 - 0_x000D_
2 - 0_x000D_
3 - 10,848,599_x000D_
4 - 0_x000D_
5 - 0_x000D_
6 - 0</t>
        </r>
      </text>
    </comment>
    <comment ref="J23" authorId="0" shapeId="0" xr:uid="{CF80450B-286E-4993-B29C-C1B6FE7D8871}">
      <text>
        <r>
          <rPr>
            <sz val="10"/>
            <color indexed="81"/>
            <rFont val="Arial"/>
            <family val="2"/>
          </rPr>
          <t>1 - 0_x000D_
2 - 0_x000D_
3 - 10,848,599_x000D_
4 - 0_x000D_
5 - 0_x000D_
6 - 0</t>
        </r>
      </text>
    </comment>
    <comment ref="M23" authorId="0" shapeId="0" xr:uid="{EABEB001-DDF0-4D45-A4C2-7AABB5BBD698}">
      <text>
        <r>
          <rPr>
            <sz val="10"/>
            <color indexed="81"/>
            <rFont val="Arial"/>
            <family val="2"/>
          </rPr>
          <t>1 - 0_x000D_
2 - 0_x000D_
3 - 10,261,252_x000D_
4 - 0_x000D_
5 - 0_x000D_
6 - 0</t>
        </r>
      </text>
    </comment>
    <comment ref="N23" authorId="0" shapeId="0" xr:uid="{1476AC83-38EA-4CE1-A220-005D4BC096BD}">
      <text>
        <r>
          <rPr>
            <sz val="10"/>
            <color indexed="81"/>
            <rFont val="Arial"/>
            <family val="2"/>
          </rPr>
          <t>1 - 0_x000D_
2 - 0_x000D_
3 - 10,261,252_x000D_
4 - 0_x000D_
5 - 0_x000D_
6 - 0</t>
        </r>
      </text>
    </comment>
    <comment ref="J24" authorId="0" shapeId="0" xr:uid="{959D1526-A8F9-41D2-B81A-0FAE89555F9F}">
      <text>
        <r>
          <rPr>
            <sz val="9"/>
            <color indexed="81"/>
            <rFont val="Arial"/>
            <family val="2"/>
          </rPr>
          <t>Changed $6,029,750.00 to $6,029,750.00 by load_overrides.py on 04/06/2026</t>
        </r>
      </text>
    </comment>
    <comment ref="N24" authorId="0" shapeId="0" xr:uid="{EBC41ADA-09BF-4EC0-88AD-65869ADC10F3}">
      <text>
        <r>
          <rPr>
            <sz val="9"/>
            <color indexed="81"/>
            <rFont val="Arial"/>
            <family val="2"/>
          </rPr>
          <t>Changed $5,853,248.07 to $5,845,263.00 by load_overrides.py on 04/06/2026</t>
        </r>
      </text>
    </comment>
    <comment ref="J25" authorId="0" shapeId="0" xr:uid="{DC714A18-8038-43CF-A6F6-F2DAAB982617}">
      <text>
        <r>
          <rPr>
            <sz val="9"/>
            <color indexed="81"/>
            <rFont val="Arial"/>
            <family val="2"/>
          </rPr>
          <t>Changed $387,260.00 to $387,260.00 by load_overrides.py on 04/06/2026</t>
        </r>
      </text>
    </comment>
    <comment ref="N25" authorId="0" shapeId="0" xr:uid="{852BAF60-B7BC-4A5A-91E7-E7803AF47397}">
      <text>
        <r>
          <rPr>
            <sz val="9"/>
            <color indexed="81"/>
            <rFont val="Arial"/>
            <family val="2"/>
          </rPr>
          <t>Changed $4,363.25 to $383,387.00 by load_overrides.py on 04/06/2026</t>
        </r>
      </text>
    </comment>
    <comment ref="J26" authorId="0" shapeId="0" xr:uid="{B61FA935-4A48-4FAA-8310-6194ECBD6886}">
      <text>
        <r>
          <rPr>
            <sz val="9"/>
            <color indexed="81"/>
            <rFont val="Arial"/>
            <family val="2"/>
          </rPr>
          <t>Changed $5,304,500.00 to $5,304,500.00 by load_overrides.py on 04/06/2026</t>
        </r>
      </text>
    </comment>
    <comment ref="N26" authorId="0" shapeId="0" xr:uid="{0129D145-3655-4611-83AA-3B05E86E606A}">
      <text>
        <r>
          <rPr>
            <sz val="9"/>
            <color indexed="81"/>
            <rFont val="Arial"/>
            <family val="2"/>
          </rPr>
          <t>Changed $23,330.33 to $4,886,443.00 by load_overrides.py on 04/06/2026</t>
        </r>
      </text>
    </comment>
    <comment ref="E30" authorId="0" shapeId="0" xr:uid="{45412FFD-15F1-4F4F-997F-1D4B7533ECF8}">
      <text>
        <r>
          <rPr>
            <sz val="10"/>
            <color indexed="81"/>
            <rFont val="Arial"/>
            <family val="2"/>
          </rPr>
          <t>Original - _x000D_
41,456_x000D_
Change Order - _x000D_
288,977</t>
        </r>
      </text>
    </comment>
    <comment ref="F30" authorId="0" shapeId="0" xr:uid="{5FEEF61C-0C25-4788-9548-C268135A1C7D}">
      <text>
        <r>
          <rPr>
            <sz val="10"/>
            <color indexed="81"/>
            <rFont val="Arial"/>
            <family val="2"/>
          </rPr>
          <t>1 - 0_x000D_
2 - 0_x000D_
3 - 372,738_x000D_
4 - 0_x000D_
5 - 0_x000D_
6 - 373,738</t>
        </r>
      </text>
    </comment>
    <comment ref="J30" authorId="0" shapeId="0" xr:uid="{383F63D9-EF29-4AAB-9E87-9377182C8748}">
      <text>
        <r>
          <rPr>
            <sz val="10"/>
            <color indexed="81"/>
            <rFont val="Arial"/>
            <family val="2"/>
          </rPr>
          <t>1 - 0_x000D_
2 - 0_x000D_
3 - 372,738_x000D_
4 - 0_x000D_
5 - 0_x000D_
6 - 373,738</t>
        </r>
      </text>
    </comment>
    <comment ref="M30" authorId="0" shapeId="0" xr:uid="{E8C48F8E-2F30-44AA-B4E6-80CFCE9FCF15}">
      <text>
        <r>
          <rPr>
            <sz val="10"/>
            <color indexed="81"/>
            <rFont val="Arial"/>
            <family val="2"/>
          </rPr>
          <t>1 - 0_x000D_
2 - 0_x000D_
3 - 331,855_x000D_
4 - 0_x000D_
5 - 0_x000D_
6 - 329,650</t>
        </r>
      </text>
    </comment>
    <comment ref="N30" authorId="0" shapeId="0" xr:uid="{8B1A3399-9BE3-4C99-8B13-DFDBE350FDEF}">
      <text>
        <r>
          <rPr>
            <sz val="10"/>
            <color indexed="81"/>
            <rFont val="Arial"/>
            <family val="2"/>
          </rPr>
          <t>1 - 0_x000D_
2 - 0_x000D_
3 - 331,855_x000D_
4 - 0_x000D_
5 - 0_x000D_
6 - 329,650</t>
        </r>
      </text>
    </comment>
    <comment ref="E31" authorId="0" shapeId="0" xr:uid="{1815F926-0238-4D3C-9BAF-54C40E8B94DB}">
      <text>
        <r>
          <rPr>
            <sz val="10"/>
            <color indexed="81"/>
            <rFont val="Arial"/>
            <family val="2"/>
          </rPr>
          <t>Original - _x000D_
5,544,390_x000D_
Change Order - _x000D_
227,870</t>
        </r>
      </text>
    </comment>
    <comment ref="F31" authorId="0" shapeId="0" xr:uid="{F4EA186C-84BC-442C-AF0E-2FFB129E4C99}">
      <text>
        <r>
          <rPr>
            <sz val="10"/>
            <color indexed="81"/>
            <rFont val="Arial"/>
            <family val="2"/>
          </rPr>
          <t>1 - 0_x000D_
2 - 0_x000D_
3 - 5,772,260_x000D_
4 - 0_x000D_
5 - 0_x000D_
6 - 5,620,852</t>
        </r>
      </text>
    </comment>
    <comment ref="J31" authorId="0" shapeId="0" xr:uid="{05565EDF-7EF5-4788-929D-A113CC11A88F}">
      <text>
        <r>
          <rPr>
            <sz val="10"/>
            <color indexed="81"/>
            <rFont val="Arial"/>
            <family val="2"/>
          </rPr>
          <t>1 - 0_x000D_
2 - 0_x000D_
3 - 5,772,260_x000D_
4 - 0_x000D_
5 - 0_x000D_
6 - 5,620,852</t>
        </r>
      </text>
    </comment>
    <comment ref="M31" authorId="0" shapeId="0" xr:uid="{C52E93D0-FCA3-4AAB-8DEB-10C3C09675C7}">
      <text>
        <r>
          <rPr>
            <sz val="10"/>
            <color indexed="81"/>
            <rFont val="Arial"/>
            <family val="2"/>
          </rPr>
          <t>1 - 0_x000D_
2 - 0_x000D_
3 - 4,786,125_x000D_
4 - 0_x000D_
5 - 0_x000D_
6 - 4,770,852</t>
        </r>
      </text>
    </comment>
    <comment ref="N31" authorId="0" shapeId="0" xr:uid="{651BE714-DEAA-489D-9E28-8953CF05AA0D}">
      <text>
        <r>
          <rPr>
            <sz val="10"/>
            <color indexed="81"/>
            <rFont val="Arial"/>
            <family val="2"/>
          </rPr>
          <t>1 - 0_x000D_
2 - 0_x000D_
3 - 4,786,125_x000D_
4 - 0_x000D_
5 - 0_x000D_
6 - 4,770,852</t>
        </r>
      </text>
    </comment>
    <comment ref="E32" authorId="0" shapeId="0" xr:uid="{1C58784E-1801-4ACD-80D6-ACAFA9ABD40D}">
      <text>
        <r>
          <rPr>
            <sz val="10"/>
            <color indexed="81"/>
            <rFont val="Arial"/>
            <family val="2"/>
          </rPr>
          <t>Original - _x000D_
74,858_x000D_
Change Order - _x000D_
956,546</t>
        </r>
      </text>
    </comment>
    <comment ref="F32" authorId="0" shapeId="0" xr:uid="{3AF4A369-594D-454A-AADF-1146086E0F7D}">
      <text>
        <r>
          <rPr>
            <sz val="10"/>
            <color indexed="81"/>
            <rFont val="Arial"/>
            <family val="2"/>
          </rPr>
          <t>1 - 0_x000D_
2 - 0_x000D_
3 - 1,117,331_x000D_
4 - 0_x000D_
5 - 0_x000D_
6 - 1,117,331</t>
        </r>
      </text>
    </comment>
    <comment ref="J32" authorId="0" shapeId="0" xr:uid="{41E63284-8655-45B0-9B81-5B61053AD486}">
      <text>
        <r>
          <rPr>
            <sz val="10"/>
            <color indexed="81"/>
            <rFont val="Arial"/>
            <family val="2"/>
          </rPr>
          <t>1 - 0_x000D_
2 - 0_x000D_
3 - 1,117,331_x000D_
4 - 0_x000D_
5 - 0_x000D_
6 - 1,117,331</t>
        </r>
      </text>
    </comment>
    <comment ref="M32" authorId="0" shapeId="0" xr:uid="{D586919D-2F42-4488-A8E2-B33CF53CBE22}">
      <text>
        <r>
          <rPr>
            <sz val="10"/>
            <color indexed="81"/>
            <rFont val="Arial"/>
            <family val="2"/>
          </rPr>
          <t>1 - 0_x000D_
2 - 0_x000D_
3 - 1,167,704_x000D_
4 - 0_x000D_
5 - 0_x000D_
6 - 1,119,831</t>
        </r>
      </text>
    </comment>
    <comment ref="N32" authorId="0" shapeId="0" xr:uid="{636A56BF-190C-49FB-B95B-CE8F6D601467}">
      <text>
        <r>
          <rPr>
            <sz val="10"/>
            <color indexed="81"/>
            <rFont val="Arial"/>
            <family val="2"/>
          </rPr>
          <t>1 - 0_x000D_
2 - 0_x000D_
3 - 1,167,704_x000D_
4 - 0_x000D_
5 - 0_x000D_
6 - 1,119,831</t>
        </r>
      </text>
    </comment>
    <comment ref="F33" authorId="0" shapeId="0" xr:uid="{EC5FAE69-757E-4C7F-9224-B5734CFB2D66}">
      <text>
        <r>
          <rPr>
            <sz val="10"/>
            <color indexed="81"/>
            <rFont val="Arial"/>
            <family val="2"/>
          </rPr>
          <t>1 - 0_x000D_
2 - 0_x000D_
3 - 67,202_x000D_
4 - 0_x000D_
5 - 0_x000D_
6 - 67,202</t>
        </r>
      </text>
    </comment>
    <comment ref="J33" authorId="0" shapeId="0" xr:uid="{C752EBE5-4DD0-4657-B5D8-9551E86EF187}">
      <text>
        <r>
          <rPr>
            <sz val="10"/>
            <color indexed="81"/>
            <rFont val="Arial"/>
            <family val="2"/>
          </rPr>
          <t>1 - 0_x000D_
2 - 0_x000D_
3 - 67,202_x000D_
4 - 0_x000D_
5 - 0_x000D_
6 - 67,202</t>
        </r>
      </text>
    </comment>
    <comment ref="M33" authorId="0" shapeId="0" xr:uid="{47A976EF-8622-4B7A-93FA-E9E56AB85546}">
      <text>
        <r>
          <rPr>
            <sz val="10"/>
            <color indexed="81"/>
            <rFont val="Arial"/>
            <family val="2"/>
          </rPr>
          <t>1 - 0_x000D_
2 - 0_x000D_
3 - 62,359_x000D_
4 - 0_x000D_
5 - 0_x000D_
6 - 62,359</t>
        </r>
      </text>
    </comment>
    <comment ref="N33" authorId="0" shapeId="0" xr:uid="{F683B6BE-8123-4CC5-946E-90F76302CD2C}">
      <text>
        <r>
          <rPr>
            <sz val="10"/>
            <color indexed="81"/>
            <rFont val="Arial"/>
            <family val="2"/>
          </rPr>
          <t>1 - 0_x000D_
2 - 0_x000D_
3 - 62,359_x000D_
4 - 0_x000D_
5 - 0_x000D_
6 - 62,359</t>
        </r>
      </text>
    </comment>
    <comment ref="E34" authorId="0" shapeId="0" xr:uid="{D2AB9B14-979F-4C65-990F-358C4644E091}">
      <text>
        <r>
          <rPr>
            <sz val="10"/>
            <color indexed="81"/>
            <rFont val="Arial"/>
            <family val="2"/>
          </rPr>
          <t>Original - _x000D_
3,964,224_x000D_
Change Order - _x000D_
2,966</t>
        </r>
      </text>
    </comment>
    <comment ref="F34" authorId="0" shapeId="0" xr:uid="{B210000A-FEE0-471C-B7C1-89D03AC2BF3D}">
      <text>
        <r>
          <rPr>
            <sz val="10"/>
            <color indexed="81"/>
            <rFont val="Arial"/>
            <family val="2"/>
          </rPr>
          <t>1 - 0_x000D_
2 - 0_x000D_
3 - 3,967,190_x000D_
4 - 0_x000D_
5 - 0_x000D_
6 - 3,979,878</t>
        </r>
      </text>
    </comment>
    <comment ref="J34" authorId="0" shapeId="0" xr:uid="{63E84B58-08EA-424C-95A8-2DF4B748DA61}">
      <text>
        <r>
          <rPr>
            <sz val="10"/>
            <color indexed="81"/>
            <rFont val="Arial"/>
            <family val="2"/>
          </rPr>
          <t>1 - 0_x000D_
2 - 0_x000D_
3 - 3,967,190_x000D_
4 - 0_x000D_
5 - 0_x000D_
6 - 3,979,878</t>
        </r>
      </text>
    </comment>
    <comment ref="M34" authorId="0" shapeId="0" xr:uid="{47B273DD-5A39-45FC-98EC-396677D1D406}">
      <text>
        <r>
          <rPr>
            <sz val="10"/>
            <color indexed="81"/>
            <rFont val="Arial"/>
            <family val="2"/>
          </rPr>
          <t>1 - 0_x000D_
2 - 0_x000D_
3 - 3,846,104_x000D_
4 - 0_x000D_
5 - 0_x000D_
6 - 3,849,878</t>
        </r>
      </text>
    </comment>
    <comment ref="N34" authorId="0" shapeId="0" xr:uid="{EC7683FC-B847-4AD9-BCEB-FAE858DC2051}">
      <text>
        <r>
          <rPr>
            <sz val="10"/>
            <color indexed="81"/>
            <rFont val="Arial"/>
            <family val="2"/>
          </rPr>
          <t>1 - 0_x000D_
2 - 0_x000D_
3 - 3,846,104_x000D_
4 - 0_x000D_
5 - 0_x000D_
6 - 3,849,878</t>
        </r>
      </text>
    </comment>
    <comment ref="E35" authorId="0" shapeId="0" xr:uid="{28A8B908-6C32-4579-B0C1-0E3F9ABEB3DC}">
      <text>
        <r>
          <rPr>
            <sz val="10"/>
            <color indexed="81"/>
            <rFont val="Arial"/>
            <family val="2"/>
          </rPr>
          <t>Original - _x000D_
1,997,000_x000D_
Change Order - _x000D_
-5,769</t>
        </r>
      </text>
    </comment>
    <comment ref="F35" authorId="0" shapeId="0" xr:uid="{E69B904E-A09B-485A-8301-CC2BB26F0AEC}">
      <text>
        <r>
          <rPr>
            <sz val="10"/>
            <color indexed="81"/>
            <rFont val="Arial"/>
            <family val="2"/>
          </rPr>
          <t>1 - 0_x000D_
2 - 0_x000D_
3 - 1,991,231_x000D_
4 - 0_x000D_
5 - 0_x000D_
6 - 1,991,231</t>
        </r>
      </text>
    </comment>
    <comment ref="J35" authorId="0" shapeId="0" xr:uid="{C755206C-FA12-4A3F-96AE-6D10EB51A03A}">
      <text>
        <r>
          <rPr>
            <sz val="10"/>
            <color indexed="81"/>
            <rFont val="Arial"/>
            <family val="2"/>
          </rPr>
          <t>1 - 0_x000D_
2 - 0_x000D_
3 - 1,991,231_x000D_
4 - 0_x000D_
5 - 0_x000D_
6 - 1,991,231</t>
        </r>
      </text>
    </comment>
    <comment ref="M35" authorId="0" shapeId="0" xr:uid="{29630DB9-AE0E-418B-90CA-5BAB40836831}">
      <text>
        <r>
          <rPr>
            <sz val="10"/>
            <color indexed="81"/>
            <rFont val="Arial"/>
            <family val="2"/>
          </rPr>
          <t>1 - 0_x000D_
2 - 0_x000D_
3 - 1,758,133_x000D_
4 - 0_x000D_
5 - 0_x000D_
6 - 1,758,133</t>
        </r>
      </text>
    </comment>
    <comment ref="N35" authorId="0" shapeId="0" xr:uid="{EF26C7BC-80A2-47B0-9646-BCD943D80E85}">
      <text>
        <r>
          <rPr>
            <sz val="10"/>
            <color indexed="81"/>
            <rFont val="Arial"/>
            <family val="2"/>
          </rPr>
          <t>1 - 0_x000D_
2 - 0_x000D_
3 - 1,758,133_x000D_
4 - 0_x000D_
5 - 0_x000D_
6 - 1,758,133</t>
        </r>
      </text>
    </comment>
    <comment ref="E36" authorId="0" shapeId="0" xr:uid="{6C023867-9E06-483A-9EBC-5D6295A56AE3}">
      <text>
        <r>
          <rPr>
            <sz val="10"/>
            <color indexed="81"/>
            <rFont val="Arial"/>
            <family val="2"/>
          </rPr>
          <t>Original - _x000D_
2,441,500_x000D_
Change Order - _x000D_
301,360</t>
        </r>
      </text>
    </comment>
    <comment ref="F36" authorId="0" shapeId="0" xr:uid="{5A77C17D-696E-4A78-8283-B11FD32DED54}">
      <text>
        <r>
          <rPr>
            <sz val="10"/>
            <color indexed="81"/>
            <rFont val="Arial"/>
            <family val="2"/>
          </rPr>
          <t>1 - 0_x000D_
2 - 0_x000D_
3 - 2,742,860_x000D_
4 - 0_x000D_
5 - 0_x000D_
6 - 2,623,267</t>
        </r>
      </text>
    </comment>
    <comment ref="J36" authorId="0" shapeId="0" xr:uid="{71703746-51E7-4E30-B005-7BE66089B819}">
      <text>
        <r>
          <rPr>
            <sz val="10"/>
            <color indexed="81"/>
            <rFont val="Arial"/>
            <family val="2"/>
          </rPr>
          <t>1 - 0_x000D_
2 - 0_x000D_
3 - 2,742,860_x000D_
4 - 0_x000D_
5 - 0_x000D_
6 - 2,623,267</t>
        </r>
      </text>
    </comment>
    <comment ref="M36" authorId="0" shapeId="0" xr:uid="{CC9C9BD9-FCCB-4BFB-A391-C5BFBE6573A4}">
      <text>
        <r>
          <rPr>
            <sz val="10"/>
            <color indexed="81"/>
            <rFont val="Arial"/>
            <family val="2"/>
          </rPr>
          <t>1 - 0_x000D_
2 - 0_x000D_
3 - 2,547,860_x000D_
4 - 0_x000D_
5 - 0_x000D_
6 - 2,453,267</t>
        </r>
      </text>
    </comment>
    <comment ref="N36" authorId="0" shapeId="0" xr:uid="{493E1FB0-EF22-4FAB-BE5B-C6EF58861C45}">
      <text>
        <r>
          <rPr>
            <sz val="10"/>
            <color indexed="81"/>
            <rFont val="Arial"/>
            <family val="2"/>
          </rPr>
          <t>1 - 0_x000D_
2 - 0_x000D_
3 - 2,547,860_x000D_
4 - 0_x000D_
5 - 0_x000D_
6 - 2,453,267</t>
        </r>
      </text>
    </comment>
    <comment ref="E37" authorId="0" shapeId="0" xr:uid="{B7A07400-ECD1-4D89-9315-E87AD29E4242}">
      <text>
        <r>
          <rPr>
            <sz val="10"/>
            <color indexed="81"/>
            <rFont val="Arial"/>
            <family val="2"/>
          </rPr>
          <t>Original - _x000D_
2,431,500_x000D_
Change Order - _x000D_
54,732</t>
        </r>
      </text>
    </comment>
    <comment ref="F37" authorId="0" shapeId="0" xr:uid="{731F660E-023E-4B30-8E26-47237450347A}">
      <text>
        <r>
          <rPr>
            <sz val="10"/>
            <color indexed="81"/>
            <rFont val="Arial"/>
            <family val="2"/>
          </rPr>
          <t>1 - 0_x000D_
2 - 0_x000D_
3 - 2,486,232_x000D_
4 - 0_x000D_
5 - 0_x000D_
6 - 2,486,232</t>
        </r>
      </text>
    </comment>
    <comment ref="J37" authorId="0" shapeId="0" xr:uid="{A2D6ECE9-5641-441F-9132-D8FB3D622532}">
      <text>
        <r>
          <rPr>
            <sz val="10"/>
            <color indexed="81"/>
            <rFont val="Arial"/>
            <family val="2"/>
          </rPr>
          <t>1 - 0_x000D_
2 - 0_x000D_
3 - 2,486,232_x000D_
4 - 0_x000D_
5 - 0_x000D_
6 - 2,486,232</t>
        </r>
      </text>
    </comment>
    <comment ref="M37" authorId="0" shapeId="0" xr:uid="{FA6CFE25-00DF-45E9-8B0E-532DF1A07885}">
      <text>
        <r>
          <rPr>
            <sz val="10"/>
            <color indexed="81"/>
            <rFont val="Arial"/>
            <family val="2"/>
          </rPr>
          <t>1 - 0_x000D_
2 - 0_x000D_
3 - 2,239,435_x000D_
4 - 0_x000D_
5 - 0_x000D_
6 - 2,251,232</t>
        </r>
      </text>
    </comment>
    <comment ref="N37" authorId="0" shapeId="0" xr:uid="{B382F0F4-54F3-46AF-9ECA-95D8AEA916B5}">
      <text>
        <r>
          <rPr>
            <sz val="10"/>
            <color indexed="81"/>
            <rFont val="Arial"/>
            <family val="2"/>
          </rPr>
          <t>1 - 0_x000D_
2 - 0_x000D_
3 - 2,239,435_x000D_
4 - 0_x000D_
5 - 0_x000D_
6 - 2,251,232</t>
        </r>
      </text>
    </comment>
    <comment ref="J38" authorId="0" shapeId="0" xr:uid="{41EADA1A-48E4-4317-8AF8-0941B2C10708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38" authorId="0" shapeId="0" xr:uid="{36A595A6-6767-4DE1-8F8F-9F3712F9F568}">
      <text>
        <r>
          <rPr>
            <sz val="10"/>
            <color indexed="81"/>
            <rFont val="Arial"/>
            <family val="2"/>
          </rPr>
          <t>1 - 0_x000D_
2 - 0_x000D_
3 - 911,586_x000D_
4 - 0_x000D_
5 - 0_x000D_
6 - 575,453</t>
        </r>
      </text>
    </comment>
    <comment ref="N38" authorId="0" shapeId="0" xr:uid="{6F134E29-37B3-4D37-800C-A8198AFF1795}">
      <text>
        <r>
          <rPr>
            <sz val="10"/>
            <color indexed="81"/>
            <rFont val="Arial"/>
            <family val="2"/>
          </rPr>
          <t>1 - 0_x000D_
2 - 0_x000D_
3 - 911,586_x000D_
4 - 0_x000D_
5 - 0_x000D_
6 - 575,453</t>
        </r>
      </text>
    </comment>
    <comment ref="J39" authorId="0" shapeId="0" xr:uid="{C07E7D78-35A2-40AF-9DE0-91A5E4309016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39" authorId="0" shapeId="0" xr:uid="{1E3CC381-F68F-4DE4-8FAC-6CF895E7C418}">
      <text>
        <r>
          <rPr>
            <sz val="10"/>
            <color indexed="81"/>
            <rFont val="Arial"/>
            <family val="2"/>
          </rPr>
          <t>1 - 0_x000D_
2 - 0_x000D_
3 - 467,066_x000D_
4 - 0_x000D_
5 - 0_x000D_
6 - 316,562</t>
        </r>
      </text>
    </comment>
    <comment ref="N39" authorId="0" shapeId="0" xr:uid="{7C3AE1B2-61F2-40E6-817F-BB2AD9B645F3}">
      <text>
        <r>
          <rPr>
            <sz val="10"/>
            <color indexed="81"/>
            <rFont val="Arial"/>
            <family val="2"/>
          </rPr>
          <t>1 - 0_x000D_
2 - 0_x000D_
3 - 467,066_x000D_
4 - 0_x000D_
5 - 0_x000D_
6 - 316,562</t>
        </r>
      </text>
    </comment>
  </commentList>
</comments>
</file>

<file path=xl/sharedStrings.xml><?xml version="1.0" encoding="utf-8"?>
<sst xmlns="http://schemas.openxmlformats.org/spreadsheetml/2006/main" count="5070" uniqueCount="710">
  <si>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</si>
  <si>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</si>
  <si>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</si>
  <si>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</si>
  <si>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</si>
  <si>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</si>
  <si>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</si>
  <si>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</si>
  <si>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</si>
  <si>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</si>
  <si>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</si>
  <si>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</si>
  <si>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</si>
  <si>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</si>
  <si>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</si>
  <si>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</si>
  <si>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</si>
  <si>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</si>
  <si>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</si>
  <si>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</si>
  <si>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</si>
  <si>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</si>
  <si>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</si>
  <si>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</si>
  <si>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</si>
  <si>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</si>
  <si>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</si>
  <si>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</si>
  <si>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</si>
  <si>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</si>
  <si>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</si>
  <si>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</si>
  <si>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</si>
  <si>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</si>
  <si>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</si>
  <si>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</si>
  <si>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</si>
  <si>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</si>
  <si>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</si>
  <si>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</si>
  <si>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</si>
  <si>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</si>
  <si>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</si>
  <si>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</si>
  <si>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</si>
  <si>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</si>
  <si>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</si>
  <si>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</si>
  <si>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</si>
  <si>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</si>
  <si>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</si>
  <si>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</si>
  <si>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</si>
  <si>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</si>
  <si>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</si>
  <si>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</si>
  <si>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</si>
  <si>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</si>
  <si>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</si>
  <si>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</si>
  <si>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</si>
  <si>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</si>
  <si>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</si>
  <si>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</si>
  <si>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</si>
  <si>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</si>
  <si>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</si>
  <si>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</si>
  <si>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</si>
  <si>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</si>
  <si>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</si>
  <si>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</si>
  <si>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</si>
  <si>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</si>
  <si>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</si>
  <si>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</si>
  <si>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</si>
  <si>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</si>
  <si>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</si>
  <si>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</si>
  <si>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</si>
  <si>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</si>
  <si>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</si>
  <si>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</si>
  <si>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</si>
  <si>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</si>
  <si>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</si>
  <si>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</si>
  <si>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</si>
  <si>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</si>
  <si>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</si>
  <si>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</si>
  <si>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</si>
  <si>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</si>
  <si>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</si>
  <si>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</si>
  <si>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</si>
  <si>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</si>
  <si>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</si>
  <si>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</si>
  <si>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</si>
  <si>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</si>
  <si>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</si>
  <si>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</si>
  <si>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</si>
  <si>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</si>
  <si>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</si>
  <si>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</si>
  <si>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</si>
  <si>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</si>
  <si>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</si>
  <si>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</si>
  <si>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</si>
  <si>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</si>
  <si>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</si>
  <si>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</si>
  <si>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</si>
  <si>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</si>
  <si>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</si>
  <si>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</si>
  <si>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</si>
  <si>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</si>
  <si>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</si>
  <si>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</si>
  <si>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</si>
  <si>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</si>
  <si>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</si>
  <si>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</si>
  <si>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</si>
  <si>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</si>
  <si>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</si>
  <si>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</si>
  <si>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</si>
  <si>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</si>
  <si>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</si>
  <si>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</si>
  <si>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</si>
  <si>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</si>
  <si>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</si>
  <si>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</si>
  <si>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</si>
  <si>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</si>
  <si>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</si>
  <si>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</si>
  <si>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</si>
  <si>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</si>
  <si>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</si>
  <si>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</si>
  <si>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</si>
  <si>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</si>
  <si>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</si>
  <si>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</si>
  <si>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</si>
  <si>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</si>
  <si>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</si>
  <si>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</si>
  <si>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</si>
  <si>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</si>
  <si>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</si>
  <si>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</si>
  <si>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</si>
  <si>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</si>
  <si>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</si>
  <si>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</si>
  <si>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</si>
  <si>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</si>
  <si>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</si>
  <si>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</si>
  <si>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</si>
  <si>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</si>
  <si>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</si>
  <si>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</si>
  <si>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</si>
  <si>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</si>
  <si>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</si>
  <si>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</si>
  <si>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</si>
  <si>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</si>
  <si>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</si>
  <si>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</si>
  <si>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</si>
  <si>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</si>
  <si>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</si>
  <si>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</si>
  <si>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</si>
  <si>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</si>
  <si>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</si>
  <si>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</si>
  <si>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</si>
  <si>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</si>
  <si>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</si>
  <si>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</si>
  <si>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</si>
  <si>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</si>
  <si>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</si>
  <si>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</si>
  <si>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</si>
  <si>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</si>
  <si>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</si>
  <si>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</si>
  <si>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</si>
  <si>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</si>
  <si>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</si>
  <si>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</si>
  <si>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</si>
  <si>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</si>
  <si>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</si>
  <si>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</si>
  <si>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</si>
  <si>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</si>
  <si>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</si>
  <si>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</si>
  <si>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</si>
  <si>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</si>
  <si>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</si>
  <si>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</si>
  <si>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</si>
  <si>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</si>
  <si>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</si>
  <si>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</si>
  <si>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</si>
  <si>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</si>
  <si>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</si>
  <si>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</si>
  <si>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</si>
  <si>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</si>
  <si>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</si>
  <si>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</si>
  <si>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</si>
  <si>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</si>
  <si>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</si>
  <si>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</si>
  <si>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</si>
  <si>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</si>
  <si>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</si>
  <si>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</si>
  <si>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</si>
  <si>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</si>
  <si>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</si>
  <si>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</si>
  <si>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</si>
  <si>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</si>
  <si>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</si>
  <si>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</si>
  <si>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</si>
  <si>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</si>
  <si>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</si>
  <si>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</si>
  <si>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</si>
  <si>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</si>
  <si>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</si>
  <si>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</si>
  <si>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</si>
  <si>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</si>
  <si>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</si>
  <si>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</si>
  <si>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</si>
  <si>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</si>
  <si>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</si>
  <si>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</si>
  <si>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</si>
  <si>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</si>
  <si>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</si>
  <si>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</si>
  <si>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</si>
  <si>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</si>
  <si>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</si>
  <si>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</si>
  <si>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</si>
  <si>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</si>
  <si>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</si>
  <si>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</si>
  <si>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</si>
  <si>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</si>
  <si>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</si>
  <si>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</si>
  <si>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</si>
  <si>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</si>
  <si>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</si>
  <si>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</si>
  <si>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</si>
  <si>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</si>
  <si>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</si>
  <si>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</si>
  <si>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</si>
  <si>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</si>
  <si>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</si>
  <si>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</si>
  <si>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</si>
  <si>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</si>
  <si>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</si>
  <si>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</si>
  <si>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</si>
  <si>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</si>
  <si>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</si>
  <si>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</si>
  <si>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</si>
  <si>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</si>
  <si>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</si>
  <si>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</si>
  <si>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</si>
  <si>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</si>
  <si>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</si>
  <si>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</si>
  <si>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</si>
  <si>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</si>
  <si>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</si>
  <si>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</si>
  <si>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</si>
  <si>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</si>
  <si>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</si>
  <si>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</si>
  <si>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</si>
  <si>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</si>
  <si>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</si>
  <si>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</si>
  <si>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</si>
  <si>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</si>
  <si>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</si>
  <si>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</si>
  <si>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</si>
  <si>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</si>
  <si>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</si>
  <si>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</si>
  <si>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</si>
  <si>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</si>
  <si>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</si>
  <si>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</si>
  <si>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</si>
  <si>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</si>
  <si>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</si>
  <si>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</si>
  <si>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</si>
  <si>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</si>
  <si>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</si>
  <si>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</si>
  <si>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</si>
  <si>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</si>
  <si>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</si>
  <si>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</si>
  <si>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</si>
  <si>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</si>
  <si>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</si>
  <si>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</si>
  <si>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</si>
  <si>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</si>
  <si>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</si>
  <si>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</si>
  <si>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</si>
  <si>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</si>
  <si>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</si>
  <si>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</si>
  <si>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</si>
  <si>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</si>
  <si>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</si>
  <si>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</si>
  <si>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</si>
  <si>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</si>
  <si>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</si>
  <si>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</si>
  <si>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</si>
  <si>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</si>
  <si>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</si>
  <si>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</si>
  <si>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</si>
  <si>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</si>
  <si>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</si>
  <si>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</si>
  <si>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</si>
  <si>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</si>
  <si>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</si>
  <si>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</si>
  <si>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</si>
  <si>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</si>
  <si>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</si>
  <si>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</si>
  <si>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</si>
  <si>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</si>
  <si>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</si>
  <si>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</si>
  <si>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</si>
  <si>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</si>
  <si>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</si>
  <si>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</si>
  <si>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</si>
  <si>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</si>
  <si>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</si>
  <si>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</si>
  <si>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</si>
  <si>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</si>
  <si>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</si>
  <si>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</si>
  <si>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</si>
  <si>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</si>
  <si>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</si>
  <si>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</si>
  <si>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</si>
  <si>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</si>
  <si>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</si>
  <si>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</si>
  <si>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</si>
  <si>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</si>
  <si>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</si>
  <si>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</si>
  <si>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</si>
  <si>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</si>
  <si>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</si>
  <si>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</si>
  <si>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</si>
  <si>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</si>
  <si>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</si>
  <si>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</si>
  <si>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</si>
  <si>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</si>
  <si>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</si>
  <si>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</si>
  <si>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</si>
  <si>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</si>
  <si>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</si>
  <si>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</si>
  <si>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</si>
  <si>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</si>
  <si>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</si>
  <si>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</si>
  <si>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</si>
  <si>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</si>
  <si>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</si>
  <si>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</si>
  <si>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</si>
  <si>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</si>
  <si>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</si>
  <si>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</si>
  <si>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</si>
  <si>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</si>
  <si>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</si>
  <si>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</si>
  <si>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</si>
  <si>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</si>
  <si>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</si>
  <si>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</si>
  <si>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</si>
  <si>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</si>
  <si>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</si>
  <si>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</si>
  <si>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</si>
  <si>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</si>
  <si>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</si>
  <si>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</si>
  <si>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</si>
  <si>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</si>
  <si>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</si>
  <si>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</si>
  <si>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</si>
  <si>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</si>
  <si>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</si>
  <si>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</si>
  <si>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</si>
  <si>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</si>
  <si>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</si>
  <si>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</si>
  <si>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</si>
  <si>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</si>
  <si>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</si>
  <si>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</si>
  <si>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</si>
  <si>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</si>
  <si>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</si>
  <si>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</si>
  <si>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</si>
  <si>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</si>
  <si>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</si>
  <si>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</si>
  <si>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</si>
  <si>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</si>
  <si>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</si>
  <si>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</si>
  <si>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</si>
  <si>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</si>
  <si>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</si>
  <si>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</si>
  <si>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</si>
  <si>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</si>
  <si>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</si>
  <si>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</si>
  <si>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</si>
  <si>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</si>
  <si>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</si>
  <si>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</si>
  <si>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</si>
  <si>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</si>
  <si>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</si>
  <si>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</si>
  <si>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</si>
  <si>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</si>
  <si>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</si>
  <si>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</si>
  <si>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</si>
  <si>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</si>
  <si>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</si>
  <si>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</si>
  <si>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</si>
  <si>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</si>
  <si>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</si>
  <si>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</si>
  <si>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</si>
  <si>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</si>
  <si>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</si>
  <si>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</si>
  <si>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</si>
  <si>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</si>
  <si>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</si>
  <si>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</si>
  <si>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</si>
  <si>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</si>
  <si>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</si>
  <si>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</si>
  <si>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</si>
  <si>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</si>
  <si>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</si>
  <si>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</si>
  <si>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</si>
  <si>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</si>
  <si>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</si>
  <si>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</si>
  <si>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</si>
  <si>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</si>
  <si>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</si>
  <si>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</si>
  <si>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</si>
  <si>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</si>
  <si>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</si>
  <si>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</si>
  <si>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</si>
  <si>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</si>
  <si>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</si>
  <si>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</si>
  <si>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</si>
  <si>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</si>
  <si>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</si>
  <si>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</si>
  <si>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</si>
  <si>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</si>
  <si>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</si>
  <si>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</si>
  <si>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</si>
  <si>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</si>
  <si>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</si>
  <si>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</si>
  <si>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</si>
  <si>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</si>
  <si>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</si>
  <si>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</si>
  <si>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</si>
  <si>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</si>
  <si>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</si>
  <si>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</si>
  <si>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</si>
  <si>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</si>
  <si>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</si>
  <si>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</si>
  <si>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</si>
  <si>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</si>
  <si>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</si>
  <si>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</si>
  <si>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</si>
  <si>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</si>
  <si>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</si>
  <si>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</si>
  <si>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</si>
  <si>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</si>
  <si>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</si>
  <si>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</si>
  <si>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</si>
  <si>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</si>
  <si>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</si>
  <si>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</si>
  <si>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</si>
  <si>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</si>
  <si>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</si>
  <si>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</si>
  <si>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</si>
  <si>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</si>
  <si>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</si>
  <si>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</si>
  <si>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</si>
  <si>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</si>
  <si>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</si>
  <si>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</si>
  <si>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</si>
  <si>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</si>
  <si>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</si>
  <si>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</si>
  <si>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</si>
  <si>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</si>
  <si>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</si>
  <si>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</si>
  <si>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</si>
  <si>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</si>
  <si>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</si>
  <si>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</si>
  <si>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</si>
  <si>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</si>
  <si>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</si>
  <si>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</si>
  <si>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</si>
  <si>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</si>
  <si>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</si>
  <si>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</si>
  <si>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</si>
  <si>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</si>
  <si>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</si>
  <si>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</si>
  <si>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</si>
  <si>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</si>
  <si>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</si>
  <si>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</si>
  <si>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</si>
  <si>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</si>
  <si>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</si>
  <si>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</si>
  <si>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</si>
  <si>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</si>
  <si>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</si>
  <si>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</si>
  <si>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</si>
  <si>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</si>
  <si>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</si>
  <si>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</si>
  <si>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</si>
  <si>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</si>
  <si>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</si>
  <si>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</si>
  <si>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</si>
  <si>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</si>
  <si>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Company 15 Grand Totals</t>
  </si>
  <si>
    <t>Company 15 Open Job Totals</t>
  </si>
  <si>
    <t>Company 15 Closed Job Totals</t>
  </si>
  <si>
    <t>Division 51</t>
  </si>
  <si>
    <t xml:space="preserve">  Open Jobs</t>
  </si>
  <si>
    <t xml:space="preserve">    Stockton RWCF DB Project - Phase 2</t>
  </si>
  <si>
    <t>Dave Calandro</t>
  </si>
  <si>
    <t xml:space="preserve">    Stockton RWCF DB Project - Phase 2 - Overhead Billing</t>
  </si>
  <si>
    <t>Vince Guillama</t>
  </si>
  <si>
    <t>51.1129.</t>
  </si>
  <si>
    <t xml:space="preserve">    Enhanced Treatment &amp; Site Upgrade Ph. 1A Aeration Basin Mod</t>
  </si>
  <si>
    <t>Adam Hickman</t>
  </si>
  <si>
    <t>51.1137.</t>
  </si>
  <si>
    <t xml:space="preserve">    Cal Water - Bear Gulch Pump Station 18</t>
  </si>
  <si>
    <t>Allen Hickernell</t>
  </si>
  <si>
    <t>51.1144.</t>
  </si>
  <si>
    <t xml:space="preserve">    SVCW FEP Improvements Project</t>
  </si>
  <si>
    <t>Erin Lackey</t>
  </si>
  <si>
    <t>51.1146.</t>
  </si>
  <si>
    <t xml:space="preserve">    Aymium Williams Production Facility</t>
  </si>
  <si>
    <t>Mark Schmitz</t>
  </si>
  <si>
    <t>51.1151.</t>
  </si>
  <si>
    <t xml:space="preserve">    Sonoma Valley Influent Effluent Upgrade</t>
  </si>
  <si>
    <t>Joey Anderson</t>
  </si>
  <si>
    <t>51.1152.</t>
  </si>
  <si>
    <t xml:space="preserve">    ElD Sly Park Intertie Project</t>
  </si>
  <si>
    <t>Edward Gomez</t>
  </si>
  <si>
    <t>51.1153.</t>
  </si>
  <si>
    <t xml:space="preserve">    Linda County - Aeration Blower Replacement</t>
  </si>
  <si>
    <t>John Lunsford</t>
  </si>
  <si>
    <t>51.1154.</t>
  </si>
  <si>
    <t xml:space="preserve">    Keyes CSD TCP Treatment Impvmts Wells 7,8,9,10</t>
  </si>
  <si>
    <t>Addison Kimbler-Cantu</t>
  </si>
  <si>
    <t>51.1155.</t>
  </si>
  <si>
    <t xml:space="preserve">    Aymium Williams O.H. Job</t>
  </si>
  <si>
    <t>51.1158.</t>
  </si>
  <si>
    <t xml:space="preserve">    City of Ceres WWTP Phase 1- Schneider Electric</t>
  </si>
  <si>
    <t>Bryan Evans</t>
  </si>
  <si>
    <t>51.1159.</t>
  </si>
  <si>
    <t xml:space="preserve">    EID Reservoir A WTP Backwash-to-waste Valve Repalcement</t>
  </si>
  <si>
    <t>51.1160.</t>
  </si>
  <si>
    <t xml:space="preserve">    City of Galt Industrial WWTP Expansion</t>
  </si>
  <si>
    <t>51.1161.</t>
  </si>
  <si>
    <t xml:space="preserve">    SASD Influent Pump Nos. 2 and 5 Installation Project</t>
  </si>
  <si>
    <t>51.1162.</t>
  </si>
  <si>
    <t xml:space="preserve">    Chico Primary Clarifiers No. 1-3 Rehabilitation Project</t>
  </si>
  <si>
    <t>Chris Toler</t>
  </si>
  <si>
    <t>51.1164.</t>
  </si>
  <si>
    <t xml:space="preserve">    CalWater - Stockton Roofing</t>
  </si>
  <si>
    <t>51.1165.</t>
  </si>
  <si>
    <t xml:space="preserve">    WTP Aquifer Storage and Recovery Well No. 3</t>
  </si>
  <si>
    <t xml:space="preserve">  Division 51 Open Job Totals</t>
  </si>
  <si>
    <t>51.1133.</t>
  </si>
  <si>
    <t xml:space="preserve">    Cal Water - S. San Francisco St 1-A Pump Replacement (SSF-1)</t>
  </si>
  <si>
    <t>51.1136.</t>
  </si>
  <si>
    <t xml:space="preserve">    USD Plant Miscellaneous Improvements</t>
  </si>
  <si>
    <t>51.1138.</t>
  </si>
  <si>
    <t xml:space="preserve">    Cal Water - Bear Gulch Pump Station 21</t>
  </si>
  <si>
    <t>51.1139.</t>
  </si>
  <si>
    <t xml:space="preserve">    Cal Water - Bear Gulch Pump Station 14/29</t>
  </si>
  <si>
    <t>51.1141.</t>
  </si>
  <si>
    <t xml:space="preserve">    The City of Colfax WWTP Alge Reduction Project</t>
  </si>
  <si>
    <t>51.1143.</t>
  </si>
  <si>
    <t xml:space="preserve">    Plumas Lake WTP Manganese Filters Expansion Project</t>
  </si>
  <si>
    <t>51.1147.</t>
  </si>
  <si>
    <t xml:space="preserve">    Aeration Diffusers Replacement Project</t>
  </si>
  <si>
    <t>51.1150.</t>
  </si>
  <si>
    <t xml:space="preserve">    D49 Metro Air Park Storm Drain Pump Station Phase 2</t>
  </si>
  <si>
    <t>51.1156.</t>
  </si>
  <si>
    <t xml:space="preserve">    Rocklin - Overhead 2025 FY</t>
  </si>
  <si>
    <t>51.1157.</t>
  </si>
  <si>
    <t xml:space="preserve">    Rocklin - Estimating 2025 FY</t>
  </si>
  <si>
    <t xml:space="preserve">  Division 51 Closed Job Totals</t>
  </si>
  <si>
    <t>Division 51 Totals</t>
  </si>
  <si>
    <t>nleasure</t>
  </si>
  <si>
    <t>load_overrides.py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</si>
</sst>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9"/>
      <color indexed="81"/>
      <name val="Arial"/>
      <family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 applyAlignment="1">
      <alignment horizontal="right" wrapText="1"/>
    </xf>
    <xf numFmtId="0" fontId="23" fillId="3" borderId="1" xfId="5" applyFont="1" applyFill="1" applyBorder="1" applyAlignment="1">
      <alignment horizontal="right" wrapText="1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51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RwzOwCoeNduenvO6LYhUCLEl7D2DVDnDk6BCwPgFISfjFwvM0CEt75hYo50Lyja2PtWPN0tAFPKfS5lTO5ZX1Q==" saltValue="g/JKUx1riaABJ8+hzeP2o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4"/>
      <c r="BU6" s="294"/>
      <c r="BV6" s="294"/>
      <c r="BW6" s="294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637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5"/>
      <c r="BU7" s="295"/>
      <c r="BV7" s="295"/>
      <c r="BW7" s="295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638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5"/>
      <c r="BU8" s="295"/>
      <c r="BV8" s="295"/>
      <c r="BW8" s="295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557</v>
      </c>
      <c r="B9" s="232" t="s">
        <v>639</v>
      </c>
      <c r="C9" s="232" t="s">
        <v>640</v>
      </c>
      <c r="D9" s="233"/>
      <c r="E9" s="234">
        <v>91109384.489999995</v>
      </c>
      <c r="F9" s="235">
        <v>91109384.489999995</v>
      </c>
      <c r="G9" s="236"/>
      <c r="H9" s="237"/>
      <c r="I9" s="238">
        <v>94196098</v>
      </c>
      <c r="J9" s="249"/>
      <c r="K9" s="240"/>
      <c r="L9" s="8">
        <v>93282279.069999993</v>
      </c>
      <c r="M9" s="241">
        <v>93337829</v>
      </c>
      <c r="N9" s="72"/>
      <c r="O9" s="100"/>
      <c r="P9" s="9"/>
      <c r="Q9" s="9">
        <v>858269</v>
      </c>
      <c r="R9" s="9"/>
      <c r="S9" s="152">
        <v>46109</v>
      </c>
      <c r="T9" s="10"/>
      <c r="U9" s="23"/>
      <c r="V9" s="11"/>
      <c r="W9" s="11"/>
      <c r="X9" s="8">
        <v>93268107.709999993</v>
      </c>
      <c r="Y9" s="9"/>
      <c r="Z9" s="70">
        <v>858269</v>
      </c>
      <c r="AA9" s="72"/>
      <c r="AB9" s="108"/>
      <c r="AC9" s="9">
        <v>858269</v>
      </c>
      <c r="AD9" s="9"/>
      <c r="AE9" s="10"/>
      <c r="AF9" s="24">
        <v>1</v>
      </c>
      <c r="AG9" s="11">
        <v>92847594.719999999</v>
      </c>
      <c r="AH9" s="8">
        <v>91989325.719999999</v>
      </c>
      <c r="AI9" s="9">
        <v>858269</v>
      </c>
      <c r="AJ9" s="9">
        <v>858269</v>
      </c>
      <c r="AK9" s="10"/>
      <c r="AL9" s="11"/>
      <c r="AM9" s="8">
        <v>1278781.99</v>
      </c>
      <c r="AN9" s="9"/>
      <c r="AO9" s="9"/>
      <c r="AP9" s="10"/>
      <c r="AQ9" s="25"/>
      <c r="AR9" s="25"/>
      <c r="AS9" s="25"/>
      <c r="AT9" s="10"/>
      <c r="AU9" s="12">
        <v>94045647.859999999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94196098</v>
      </c>
      <c r="BF9" s="15">
        <v>93337829</v>
      </c>
      <c r="BG9" s="15">
        <v>858269</v>
      </c>
      <c r="BH9" s="15">
        <v>94045647.859999999</v>
      </c>
      <c r="BI9" s="15">
        <v>93268107.709999993</v>
      </c>
      <c r="BJ9" s="242">
        <v>0</v>
      </c>
      <c r="BK9" s="242">
        <v>858269</v>
      </c>
      <c r="BL9" s="242"/>
      <c r="BM9" s="242">
        <v>1</v>
      </c>
      <c r="BN9" s="242">
        <v>858269</v>
      </c>
      <c r="BO9" s="242">
        <v>777223.38000001013</v>
      </c>
      <c r="BP9" s="242"/>
      <c r="BQ9" s="242"/>
      <c r="BR9" s="242"/>
      <c r="BS9" s="242"/>
      <c r="BT9" s="295"/>
      <c r="BU9" s="295"/>
      <c r="BV9" s="295"/>
      <c r="BW9" s="295"/>
      <c r="BX9" s="242"/>
      <c r="BY9" s="242"/>
      <c r="BZ9" s="245"/>
      <c r="CA9" s="245"/>
      <c r="CB9" s="292">
        <v>858269</v>
      </c>
      <c r="CC9" s="246" t="s">
        <v>708</v>
      </c>
      <c r="CD9" s="242">
        <v>0</v>
      </c>
      <c r="CE9" s="248">
        <v>91109384.489999995</v>
      </c>
      <c r="CF9" s="248">
        <v>91989325.719999999</v>
      </c>
      <c r="CG9" s="248">
        <v>91109384.489999995</v>
      </c>
      <c r="CH9" s="248">
        <v>91989325.719999999</v>
      </c>
      <c r="CI9" s="247" t="s">
        <v>633</v>
      </c>
      <c r="CJ9" s="248">
        <v>93268107.709999993</v>
      </c>
      <c r="CK9" s="248">
        <v>1278781.99</v>
      </c>
      <c r="CL9" s="248">
        <v>94045647.859999999</v>
      </c>
      <c r="CM9" s="248">
        <v>0</v>
      </c>
    </row>
    <row r="10" spans="1:102" x14ac:dyDescent="0.25">
      <c r="A10" s="231" t="s">
        <v>558</v>
      </c>
      <c r="B10" s="232" t="s">
        <v>641</v>
      </c>
      <c r="C10" s="232" t="s">
        <v>642</v>
      </c>
      <c r="D10" s="233"/>
      <c r="E10" s="234">
        <v>0</v>
      </c>
      <c r="F10" s="235">
        <v>0</v>
      </c>
      <c r="G10" s="236"/>
      <c r="H10" s="237"/>
      <c r="I10" s="238">
        <v>0</v>
      </c>
      <c r="J10" s="249"/>
      <c r="K10" s="240"/>
      <c r="L10" s="8">
        <v>-3462489.91</v>
      </c>
      <c r="M10" s="241">
        <v>-3530000</v>
      </c>
      <c r="N10" s="72"/>
      <c r="O10" s="100"/>
      <c r="P10" s="9"/>
      <c r="Q10" s="9">
        <v>3530000</v>
      </c>
      <c r="R10" s="9"/>
      <c r="S10" s="152">
        <v>46109</v>
      </c>
      <c r="T10" s="10"/>
      <c r="U10" s="23"/>
      <c r="V10" s="11"/>
      <c r="W10" s="11"/>
      <c r="X10" s="8">
        <v>-3462489.91</v>
      </c>
      <c r="Y10" s="9"/>
      <c r="Z10" s="70">
        <v>3462489.91</v>
      </c>
      <c r="AA10" s="72"/>
      <c r="AB10" s="108"/>
      <c r="AC10" s="9">
        <v>3462681.34</v>
      </c>
      <c r="AD10" s="9"/>
      <c r="AE10" s="10"/>
      <c r="AF10" s="24">
        <v>1</v>
      </c>
      <c r="AG10" s="11">
        <v>0</v>
      </c>
      <c r="AH10" s="8">
        <v>-3470130.75</v>
      </c>
      <c r="AI10" s="9">
        <v>3470130.75</v>
      </c>
      <c r="AJ10" s="9">
        <v>3470130.75</v>
      </c>
      <c r="AK10" s="10"/>
      <c r="AL10" s="11"/>
      <c r="AM10" s="8">
        <v>7640.84</v>
      </c>
      <c r="AN10" s="9"/>
      <c r="AO10" s="9"/>
      <c r="AP10" s="10"/>
      <c r="AQ10" s="25"/>
      <c r="AR10" s="25"/>
      <c r="AS10" s="25"/>
      <c r="AT10" s="10"/>
      <c r="AU10" s="12">
        <v>0</v>
      </c>
      <c r="AV10" s="12"/>
      <c r="AW10" s="12"/>
      <c r="AX10" s="242"/>
      <c r="AY10" s="243"/>
      <c r="AZ10" s="242"/>
      <c r="BA10" s="242"/>
      <c r="BB10" s="244"/>
      <c r="BC10" s="243" t="s">
        <v>630</v>
      </c>
      <c r="BD10" s="243" t="s">
        <v>630</v>
      </c>
      <c r="BE10" s="15">
        <v>0</v>
      </c>
      <c r="BF10" s="15">
        <v>-3530000</v>
      </c>
      <c r="BG10" s="15">
        <v>3462489.91</v>
      </c>
      <c r="BH10" s="15">
        <v>0</v>
      </c>
      <c r="BI10" s="15">
        <v>-3462489.91</v>
      </c>
      <c r="BJ10" s="242">
        <v>0</v>
      </c>
      <c r="BK10" s="242">
        <v>3462681.34</v>
      </c>
      <c r="BL10" s="242"/>
      <c r="BM10" s="242">
        <v>1</v>
      </c>
      <c r="BN10" s="242">
        <v>3530000</v>
      </c>
      <c r="BO10" s="242">
        <v>3462979.66</v>
      </c>
      <c r="BP10" s="242"/>
      <c r="BQ10" s="242"/>
      <c r="BR10" s="242"/>
      <c r="BS10" s="242"/>
      <c r="BT10" s="295"/>
      <c r="BU10" s="295"/>
      <c r="BV10" s="295"/>
      <c r="BW10" s="295"/>
      <c r="BX10" s="242"/>
      <c r="BY10" s="242"/>
      <c r="BZ10" s="245"/>
      <c r="CA10" s="245"/>
      <c r="CB10" s="292">
        <v>3462489.91</v>
      </c>
      <c r="CC10" s="246" t="s">
        <v>709</v>
      </c>
      <c r="CD10" s="242">
        <v>0</v>
      </c>
      <c r="CE10" s="248">
        <v>-3470130.75</v>
      </c>
      <c r="CF10" s="248">
        <v>-3470130.75</v>
      </c>
      <c r="CG10" s="248">
        <v>-3470130.75</v>
      </c>
      <c r="CH10" s="248">
        <v>-3470130.75</v>
      </c>
      <c r="CI10" s="247" t="s">
        <v>633</v>
      </c>
      <c r="CJ10" s="248">
        <v>-3462489.91</v>
      </c>
      <c r="CK10" s="248">
        <v>7640.84</v>
      </c>
      <c r="CL10" s="248">
        <v>0</v>
      </c>
      <c r="CM10" s="248">
        <v>0</v>
      </c>
    </row>
    <row r="11" spans="1:102" x14ac:dyDescent="0.25">
      <c r="A11" s="231" t="s">
        <v>643</v>
      </c>
      <c r="B11" s="232" t="s">
        <v>644</v>
      </c>
      <c r="C11" s="232" t="s">
        <v>645</v>
      </c>
      <c r="D11" s="233"/>
      <c r="E11" s="234">
        <v>126480728.84</v>
      </c>
      <c r="F11" s="235">
        <v>126548823.84</v>
      </c>
      <c r="G11" s="236"/>
      <c r="H11" s="237"/>
      <c r="I11" s="238">
        <v>126483580.84</v>
      </c>
      <c r="J11" s="249"/>
      <c r="K11" s="240"/>
      <c r="L11" s="8">
        <v>117765271.28</v>
      </c>
      <c r="M11" s="241">
        <v>115233580.84</v>
      </c>
      <c r="N11" s="72"/>
      <c r="O11" s="100"/>
      <c r="P11" s="9"/>
      <c r="Q11" s="9">
        <v>11250000</v>
      </c>
      <c r="R11" s="9"/>
      <c r="S11" s="152">
        <v>46563</v>
      </c>
      <c r="T11" s="10"/>
      <c r="U11" s="23"/>
      <c r="V11" s="11"/>
      <c r="W11" s="11"/>
      <c r="X11" s="8">
        <v>87315159.219999999</v>
      </c>
      <c r="Y11" s="9"/>
      <c r="Z11" s="70">
        <v>9058793.1600000001</v>
      </c>
      <c r="AA11" s="72"/>
      <c r="AB11" s="108"/>
      <c r="AC11" s="9">
        <v>8997122.1799999997</v>
      </c>
      <c r="AD11" s="9"/>
      <c r="AE11" s="10"/>
      <c r="AF11" s="24">
        <v>0.57978978001692694</v>
      </c>
      <c r="AG11" s="11">
        <v>71707694.030000001</v>
      </c>
      <c r="AH11" s="8">
        <v>63757070.670000002</v>
      </c>
      <c r="AI11" s="9">
        <v>7950623.3600000003</v>
      </c>
      <c r="AJ11" s="9">
        <v>7950623.3600000003</v>
      </c>
      <c r="AK11" s="10"/>
      <c r="AL11" s="11"/>
      <c r="AM11" s="8">
        <v>23558088.550000001</v>
      </c>
      <c r="AN11" s="9"/>
      <c r="AO11" s="9"/>
      <c r="AP11" s="10"/>
      <c r="AQ11" s="25"/>
      <c r="AR11" s="25"/>
      <c r="AS11" s="25"/>
      <c r="AT11" s="10"/>
      <c r="AU11" s="12">
        <v>96918206.900000006</v>
      </c>
      <c r="AV11" s="12"/>
      <c r="AW11" s="12"/>
      <c r="AX11" s="242"/>
      <c r="AY11" s="243"/>
      <c r="AZ11" s="242"/>
      <c r="BA11" s="242"/>
      <c r="BB11" s="244"/>
      <c r="BC11" s="243" t="s">
        <v>630</v>
      </c>
      <c r="BD11" s="243" t="s">
        <v>630</v>
      </c>
      <c r="BE11" s="15">
        <v>126483580.84</v>
      </c>
      <c r="BF11" s="15">
        <v>115233580.84</v>
      </c>
      <c r="BG11" s="15">
        <v>9058793.1600000001</v>
      </c>
      <c r="BH11" s="15">
        <v>126483580.84</v>
      </c>
      <c r="BI11" s="15">
        <v>115233580.84</v>
      </c>
      <c r="BJ11" s="242">
        <v>0</v>
      </c>
      <c r="BK11" s="250">
        <v>8997122.1799999997</v>
      </c>
      <c r="BL11" s="242"/>
      <c r="BM11" s="242">
        <v>1</v>
      </c>
      <c r="BN11" s="242">
        <v>11250000</v>
      </c>
      <c r="BO11" s="242">
        <v>12000000</v>
      </c>
      <c r="BP11" s="242"/>
      <c r="BQ11" s="242"/>
      <c r="BR11" s="242"/>
      <c r="BS11" s="242"/>
      <c r="BT11" s="295"/>
      <c r="BU11" s="295"/>
      <c r="BV11" s="295"/>
      <c r="BW11" s="295"/>
      <c r="BX11" s="242"/>
      <c r="BY11" s="242"/>
      <c r="BZ11" s="245"/>
      <c r="CA11" s="245"/>
      <c r="CB11" s="292">
        <v>9058793.1600000001</v>
      </c>
      <c r="CC11" s="246" t="s">
        <v>708</v>
      </c>
      <c r="CD11" s="242">
        <v>0</v>
      </c>
      <c r="CE11" s="242">
        <v>73371616.030000001</v>
      </c>
      <c r="CF11" s="242">
        <v>109965840.84</v>
      </c>
      <c r="CG11" s="242">
        <v>73371616.030000001</v>
      </c>
      <c r="CH11" s="242">
        <v>109965840.84</v>
      </c>
      <c r="CI11" s="247" t="s">
        <v>633</v>
      </c>
      <c r="CJ11" s="248">
        <v>87315159.219999999</v>
      </c>
      <c r="CK11" s="248">
        <v>23558088.550000001</v>
      </c>
      <c r="CL11" s="248">
        <v>96918206.900000006</v>
      </c>
      <c r="CM11" s="248">
        <v>0</v>
      </c>
    </row>
    <row r="12" spans="1:102" x14ac:dyDescent="0.25">
      <c r="A12" s="231" t="s">
        <v>646</v>
      </c>
      <c r="B12" s="232" t="s">
        <v>647</v>
      </c>
      <c r="C12" s="232" t="s">
        <v>648</v>
      </c>
      <c r="D12" s="233"/>
      <c r="E12" s="234">
        <v>1246905.44</v>
      </c>
      <c r="F12" s="235">
        <v>1312151.46</v>
      </c>
      <c r="G12" s="236"/>
      <c r="H12" s="237"/>
      <c r="I12" s="238">
        <v>1312151.46</v>
      </c>
      <c r="J12" s="249"/>
      <c r="K12" s="240"/>
      <c r="L12" s="8">
        <v>1128660.33</v>
      </c>
      <c r="M12" s="241">
        <v>1198511.46</v>
      </c>
      <c r="N12" s="71"/>
      <c r="O12" s="100"/>
      <c r="P12" s="9"/>
      <c r="Q12" s="9">
        <v>113640</v>
      </c>
      <c r="R12" s="9"/>
      <c r="S12" s="152">
        <v>46053</v>
      </c>
      <c r="T12" s="10"/>
      <c r="U12" s="23"/>
      <c r="V12" s="11"/>
      <c r="W12" s="11"/>
      <c r="X12" s="8">
        <v>1042229.29</v>
      </c>
      <c r="Y12" s="9"/>
      <c r="Z12" s="70">
        <v>98821.7</v>
      </c>
      <c r="AA12" s="72"/>
      <c r="AB12" s="108"/>
      <c r="AC12" s="9">
        <v>96778.18</v>
      </c>
      <c r="AD12" s="9"/>
      <c r="AE12" s="10"/>
      <c r="AF12" s="24">
        <v>0.23973590864996291</v>
      </c>
      <c r="AG12" s="11">
        <v>298928.01</v>
      </c>
      <c r="AH12" s="8">
        <v>271684.42</v>
      </c>
      <c r="AI12" s="9">
        <v>27243.59</v>
      </c>
      <c r="AJ12" s="9">
        <v>27243.59</v>
      </c>
      <c r="AK12" s="10"/>
      <c r="AL12" s="11"/>
      <c r="AM12" s="8">
        <v>770544.87</v>
      </c>
      <c r="AN12" s="9"/>
      <c r="AO12" s="9"/>
      <c r="AP12" s="10"/>
      <c r="AQ12" s="25"/>
      <c r="AR12" s="25"/>
      <c r="AS12" s="25"/>
      <c r="AT12" s="10"/>
      <c r="AU12" s="12">
        <v>1121900.01</v>
      </c>
      <c r="AV12" s="12"/>
      <c r="AW12" s="12"/>
      <c r="AX12" s="242"/>
      <c r="AY12" s="243"/>
      <c r="AZ12" s="242"/>
      <c r="BA12" s="242"/>
      <c r="BB12" s="244"/>
      <c r="BC12" s="243" t="s">
        <v>630</v>
      </c>
      <c r="BD12" s="243" t="s">
        <v>630</v>
      </c>
      <c r="BE12" s="15">
        <v>1312151.46</v>
      </c>
      <c r="BF12" s="15">
        <v>1198511.46</v>
      </c>
      <c r="BG12" s="15">
        <v>98821.7</v>
      </c>
      <c r="BH12" s="15">
        <v>1312151.46</v>
      </c>
      <c r="BI12" s="15">
        <v>1198511.46</v>
      </c>
      <c r="BJ12" s="242">
        <v>0</v>
      </c>
      <c r="BK12" s="242">
        <v>96778.18</v>
      </c>
      <c r="BL12" s="242"/>
      <c r="BM12" s="242">
        <v>1</v>
      </c>
      <c r="BN12" s="242">
        <v>113640</v>
      </c>
      <c r="BO12" s="242">
        <v>113640</v>
      </c>
      <c r="BP12" s="242"/>
      <c r="BQ12" s="242"/>
      <c r="BR12" s="242"/>
      <c r="BS12" s="242"/>
      <c r="BT12" s="295"/>
      <c r="BU12" s="295"/>
      <c r="BV12" s="295"/>
      <c r="BW12" s="295"/>
      <c r="BX12" s="242"/>
      <c r="BY12" s="242"/>
      <c r="BZ12" s="245"/>
      <c r="CA12" s="245"/>
      <c r="CB12" s="292">
        <v>98821.7</v>
      </c>
      <c r="CC12" s="246" t="s">
        <v>709</v>
      </c>
      <c r="CD12" s="242">
        <v>0</v>
      </c>
      <c r="CE12" s="242">
        <v>314568.63</v>
      </c>
      <c r="CF12" s="242">
        <v>1133265.44</v>
      </c>
      <c r="CG12" s="242">
        <v>271684.42</v>
      </c>
      <c r="CH12" s="242">
        <v>1133265.44</v>
      </c>
      <c r="CI12" s="247" t="s">
        <v>633</v>
      </c>
      <c r="CJ12" s="248">
        <v>1042229.29</v>
      </c>
      <c r="CK12" s="248">
        <v>770544.87</v>
      </c>
      <c r="CL12" s="248">
        <v>1121900.01</v>
      </c>
      <c r="CM12" s="248">
        <v>0</v>
      </c>
    </row>
    <row r="13" spans="1:102" x14ac:dyDescent="0.25">
      <c r="A13" s="231" t="s">
        <v>649</v>
      </c>
      <c r="B13" s="232" t="s">
        <v>650</v>
      </c>
      <c r="C13" s="232" t="s">
        <v>651</v>
      </c>
      <c r="D13" s="233"/>
      <c r="E13" s="234">
        <v>14969566</v>
      </c>
      <c r="F13" s="235">
        <v>14969566</v>
      </c>
      <c r="G13" s="236"/>
      <c r="H13" s="237"/>
      <c r="I13" s="238">
        <v>14969566</v>
      </c>
      <c r="J13" s="249"/>
      <c r="K13" s="240"/>
      <c r="L13" s="8">
        <v>13843040.529999999</v>
      </c>
      <c r="M13" s="241">
        <v>13839617</v>
      </c>
      <c r="N13" s="71"/>
      <c r="O13" s="100"/>
      <c r="P13" s="9"/>
      <c r="Q13" s="9">
        <v>1129949</v>
      </c>
      <c r="R13" s="9"/>
      <c r="S13" s="152">
        <v>46376</v>
      </c>
      <c r="T13" s="10"/>
      <c r="U13" s="23"/>
      <c r="V13" s="11"/>
      <c r="W13" s="11"/>
      <c r="X13" s="8">
        <v>8406760.8000000007</v>
      </c>
      <c r="Y13" s="9"/>
      <c r="Z13" s="70">
        <v>686378.17</v>
      </c>
      <c r="AA13" s="71"/>
      <c r="AB13" s="108"/>
      <c r="AC13" s="9">
        <v>673567.53</v>
      </c>
      <c r="AD13" s="9"/>
      <c r="AE13" s="10"/>
      <c r="AF13" s="24">
        <v>0.26556826271681994</v>
      </c>
      <c r="AG13" s="11">
        <v>1443710.8699999999</v>
      </c>
      <c r="AH13" s="8">
        <v>1353379.42</v>
      </c>
      <c r="AI13" s="9">
        <v>90331.45</v>
      </c>
      <c r="AJ13" s="9">
        <v>90331.45</v>
      </c>
      <c r="AK13" s="10"/>
      <c r="AL13" s="11"/>
      <c r="AM13" s="8">
        <v>7053381.3799999999</v>
      </c>
      <c r="AN13" s="9"/>
      <c r="AO13" s="9"/>
      <c r="AP13" s="10"/>
      <c r="AQ13" s="25"/>
      <c r="AR13" s="25"/>
      <c r="AS13" s="25"/>
      <c r="AT13" s="10"/>
      <c r="AU13" s="12">
        <v>9667725.7699999996</v>
      </c>
      <c r="AV13" s="12"/>
      <c r="AW13" s="12"/>
      <c r="AX13" s="242"/>
      <c r="AY13" s="243"/>
      <c r="AZ13" s="242"/>
      <c r="BA13" s="242"/>
      <c r="BB13" s="244"/>
      <c r="BC13" s="243" t="s">
        <v>630</v>
      </c>
      <c r="BD13" s="243" t="s">
        <v>630</v>
      </c>
      <c r="BE13" s="15">
        <v>14969566</v>
      </c>
      <c r="BF13" s="15">
        <v>13839617</v>
      </c>
      <c r="BG13" s="15">
        <v>686378.17</v>
      </c>
      <c r="BH13" s="15">
        <v>14969566</v>
      </c>
      <c r="BI13" s="15">
        <v>13839617</v>
      </c>
      <c r="BJ13" s="242">
        <v>0</v>
      </c>
      <c r="BK13" s="242">
        <v>673567.53</v>
      </c>
      <c r="BL13" s="242"/>
      <c r="BM13" s="242">
        <v>1</v>
      </c>
      <c r="BN13" s="242">
        <v>1129949</v>
      </c>
      <c r="BO13" s="242">
        <v>853444</v>
      </c>
      <c r="BP13" s="242"/>
      <c r="BQ13" s="242"/>
      <c r="BR13" s="242"/>
      <c r="BS13" s="242"/>
      <c r="BT13" s="295"/>
      <c r="BU13" s="295"/>
      <c r="BV13" s="295"/>
      <c r="BW13" s="295"/>
      <c r="BX13" s="242"/>
      <c r="BY13" s="242"/>
      <c r="BZ13" s="245"/>
      <c r="CA13" s="245"/>
      <c r="CB13" s="292">
        <v>686378.17</v>
      </c>
      <c r="CC13" s="246" t="s">
        <v>709</v>
      </c>
      <c r="CD13" s="242">
        <v>0</v>
      </c>
      <c r="CE13" s="242">
        <v>3975437.7</v>
      </c>
      <c r="CF13" s="242">
        <v>5096164</v>
      </c>
      <c r="CG13" s="242">
        <v>1353379.42</v>
      </c>
      <c r="CH13" s="242">
        <v>5096164</v>
      </c>
      <c r="CI13" s="247" t="s">
        <v>633</v>
      </c>
      <c r="CJ13" s="248">
        <v>8406760.8000000007</v>
      </c>
      <c r="CK13" s="248">
        <v>7053381.3799999999</v>
      </c>
      <c r="CL13" s="248">
        <v>9667725.7699999996</v>
      </c>
      <c r="CM13" s="248">
        <v>0</v>
      </c>
    </row>
    <row r="14" spans="1:102" x14ac:dyDescent="0.25">
      <c r="A14" s="231" t="s">
        <v>652</v>
      </c>
      <c r="B14" s="232" t="s">
        <v>653</v>
      </c>
      <c r="C14" s="232" t="s">
        <v>654</v>
      </c>
      <c r="D14" s="233"/>
      <c r="E14" s="234">
        <v>60980234</v>
      </c>
      <c r="F14" s="235">
        <v>60980234</v>
      </c>
      <c r="G14" s="236"/>
      <c r="H14" s="237"/>
      <c r="I14" s="238">
        <v>60980234</v>
      </c>
      <c r="J14" s="249"/>
      <c r="K14" s="240"/>
      <c r="L14" s="8">
        <v>43112639.979999997</v>
      </c>
      <c r="M14" s="241">
        <v>45980234</v>
      </c>
      <c r="N14" s="72"/>
      <c r="O14" s="100"/>
      <c r="P14" s="9"/>
      <c r="Q14" s="9">
        <v>13600000</v>
      </c>
      <c r="R14" s="9"/>
      <c r="S14" s="152">
        <v>46081</v>
      </c>
      <c r="T14" s="10"/>
      <c r="U14" s="23"/>
      <c r="V14" s="11"/>
      <c r="W14" s="11"/>
      <c r="X14" s="8">
        <v>42734066.469999999</v>
      </c>
      <c r="Y14" s="9"/>
      <c r="Z14" s="70">
        <v>13941012.07</v>
      </c>
      <c r="AA14" s="72"/>
      <c r="AB14" s="108"/>
      <c r="AC14" s="9">
        <v>11875801.630000001</v>
      </c>
      <c r="AD14" s="9"/>
      <c r="AE14" s="10"/>
      <c r="AF14" s="24">
        <v>8.8883070296508188E-2</v>
      </c>
      <c r="AG14" s="11">
        <v>5643128.6300000008</v>
      </c>
      <c r="AH14" s="8">
        <v>5132278.6900000004</v>
      </c>
      <c r="AI14" s="9">
        <v>510849.94</v>
      </c>
      <c r="AJ14" s="9">
        <v>510849.94</v>
      </c>
      <c r="AK14" s="10"/>
      <c r="AL14" s="11"/>
      <c r="AM14" s="8">
        <v>37601787.780000001</v>
      </c>
      <c r="AN14" s="9"/>
      <c r="AO14" s="9"/>
      <c r="AP14" s="10"/>
      <c r="AQ14" s="25"/>
      <c r="AR14" s="25"/>
      <c r="AS14" s="25"/>
      <c r="AT14" s="10"/>
      <c r="AU14" s="12">
        <v>60980234</v>
      </c>
      <c r="AV14" s="12"/>
      <c r="AW14" s="12"/>
      <c r="AX14" s="242"/>
      <c r="AY14" s="243"/>
      <c r="AZ14" s="242"/>
      <c r="BA14" s="242"/>
      <c r="BB14" s="244"/>
      <c r="BC14" s="243" t="s">
        <v>630</v>
      </c>
      <c r="BD14" s="243" t="s">
        <v>630</v>
      </c>
      <c r="BE14" s="15">
        <v>60980234</v>
      </c>
      <c r="BF14" s="15">
        <v>45980234</v>
      </c>
      <c r="BG14" s="15">
        <v>13941012.07</v>
      </c>
      <c r="BH14" s="15">
        <v>60980234</v>
      </c>
      <c r="BI14" s="15">
        <v>45980234</v>
      </c>
      <c r="BJ14" s="242">
        <v>0</v>
      </c>
      <c r="BK14" s="242">
        <v>11875801.630000001</v>
      </c>
      <c r="BL14" s="242"/>
      <c r="BM14" s="242">
        <v>1</v>
      </c>
      <c r="BN14" s="242">
        <v>13600000</v>
      </c>
      <c r="BO14" s="242">
        <v>13500000</v>
      </c>
      <c r="BP14" s="242"/>
      <c r="BQ14" s="242"/>
      <c r="BR14" s="242"/>
      <c r="BS14" s="242"/>
      <c r="BT14" s="295"/>
      <c r="BU14" s="295"/>
      <c r="BV14" s="295"/>
      <c r="BW14" s="295"/>
      <c r="BX14" s="242"/>
      <c r="BY14" s="242"/>
      <c r="BZ14" s="245"/>
      <c r="CA14" s="245"/>
      <c r="CB14" s="292">
        <v>13941012.07</v>
      </c>
      <c r="CC14" s="246" t="s">
        <v>709</v>
      </c>
      <c r="CD14" s="242">
        <v>0</v>
      </c>
      <c r="CE14" s="242">
        <v>5132278.6900000004</v>
      </c>
      <c r="CF14" s="242">
        <v>57741915</v>
      </c>
      <c r="CG14" s="242">
        <v>5132278.6900000004</v>
      </c>
      <c r="CH14" s="242">
        <v>57741915</v>
      </c>
      <c r="CI14" s="247" t="s">
        <v>633</v>
      </c>
      <c r="CJ14" s="248">
        <v>42734066.469999999</v>
      </c>
      <c r="CK14" s="248">
        <v>37601787.780000001</v>
      </c>
      <c r="CL14" s="248">
        <v>60980234</v>
      </c>
      <c r="CM14" s="248">
        <v>0</v>
      </c>
    </row>
    <row r="15" spans="1:102" x14ac:dyDescent="0.25">
      <c r="A15" s="231" t="s">
        <v>655</v>
      </c>
      <c r="B15" s="232" t="s">
        <v>656</v>
      </c>
      <c r="C15" s="232" t="s">
        <v>657</v>
      </c>
      <c r="D15" s="233"/>
      <c r="E15" s="234">
        <v>10658200</v>
      </c>
      <c r="F15" s="235">
        <v>10675126.34</v>
      </c>
      <c r="G15" s="236"/>
      <c r="H15" s="237"/>
      <c r="I15" s="238">
        <v>10658200</v>
      </c>
      <c r="J15" s="249"/>
      <c r="K15" s="240"/>
      <c r="L15" s="8">
        <v>10066642.380000001</v>
      </c>
      <c r="M15" s="241">
        <v>10079352</v>
      </c>
      <c r="N15" s="72"/>
      <c r="O15" s="100"/>
      <c r="P15" s="9"/>
      <c r="Q15" s="9">
        <v>578848</v>
      </c>
      <c r="R15" s="9"/>
      <c r="S15" s="152">
        <v>46351</v>
      </c>
      <c r="T15" s="10"/>
      <c r="U15" s="23"/>
      <c r="V15" s="11"/>
      <c r="W15" s="11"/>
      <c r="X15" s="8">
        <v>4923435.18</v>
      </c>
      <c r="Y15" s="9"/>
      <c r="Z15" s="70">
        <v>282748.40000000002</v>
      </c>
      <c r="AA15" s="71"/>
      <c r="AB15" s="108"/>
      <c r="AC15" s="9">
        <v>237121.18</v>
      </c>
      <c r="AD15" s="9"/>
      <c r="AE15" s="10"/>
      <c r="AF15" s="24">
        <v>1.8600291491640487E-2</v>
      </c>
      <c r="AG15" s="11">
        <v>187144.08</v>
      </c>
      <c r="AH15" s="8">
        <v>187144.08</v>
      </c>
      <c r="AI15" s="9">
        <v>0</v>
      </c>
      <c r="AJ15" s="9">
        <v>0</v>
      </c>
      <c r="AK15" s="10"/>
      <c r="AL15" s="11"/>
      <c r="AM15" s="8">
        <v>4736291.0999999996</v>
      </c>
      <c r="AN15" s="9"/>
      <c r="AO15" s="9"/>
      <c r="AP15" s="10"/>
      <c r="AQ15" s="25"/>
      <c r="AR15" s="25"/>
      <c r="AS15" s="25"/>
      <c r="AT15" s="10"/>
      <c r="AU15" s="12">
        <v>5009265.21</v>
      </c>
      <c r="AV15" s="12"/>
      <c r="AW15" s="12"/>
      <c r="AX15" s="242"/>
      <c r="AY15" s="243"/>
      <c r="AZ15" s="242"/>
      <c r="BA15" s="242"/>
      <c r="BB15" s="244"/>
      <c r="BC15" s="243" t="s">
        <v>630</v>
      </c>
      <c r="BD15" s="243" t="s">
        <v>630</v>
      </c>
      <c r="BE15" s="15">
        <v>10658200</v>
      </c>
      <c r="BF15" s="15">
        <v>10079352</v>
      </c>
      <c r="BG15" s="15">
        <v>282748.40000000002</v>
      </c>
      <c r="BH15" s="15">
        <v>10658200</v>
      </c>
      <c r="BI15" s="15">
        <v>10079352</v>
      </c>
      <c r="BJ15" s="242">
        <v>0</v>
      </c>
      <c r="BK15" s="242">
        <v>237121.18</v>
      </c>
      <c r="BL15" s="242"/>
      <c r="BM15" s="242">
        <v>1</v>
      </c>
      <c r="BN15" s="242">
        <v>578848</v>
      </c>
      <c r="BO15" s="242">
        <v>596848</v>
      </c>
      <c r="BP15" s="242"/>
      <c r="BQ15" s="242"/>
      <c r="BR15" s="242"/>
      <c r="BS15" s="242"/>
      <c r="BT15" s="295"/>
      <c r="BU15" s="295"/>
      <c r="BV15" s="295"/>
      <c r="BW15" s="295"/>
      <c r="BX15" s="242"/>
      <c r="BY15" s="242"/>
      <c r="BZ15" s="245"/>
      <c r="CA15" s="245"/>
      <c r="CB15" s="292">
        <v>282748.40000000002</v>
      </c>
      <c r="CC15" s="246" t="s">
        <v>709</v>
      </c>
      <c r="CD15" s="242">
        <v>0</v>
      </c>
      <c r="CE15" s="242">
        <v>187144.08</v>
      </c>
      <c r="CF15" s="242">
        <v>10061352</v>
      </c>
      <c r="CG15" s="242">
        <v>187144.08</v>
      </c>
      <c r="CH15" s="242">
        <v>10061352</v>
      </c>
      <c r="CI15" s="247" t="s">
        <v>633</v>
      </c>
      <c r="CJ15" s="248">
        <v>4923435.18</v>
      </c>
      <c r="CK15" s="248">
        <v>4736291.0999999996</v>
      </c>
      <c r="CL15" s="248">
        <v>5009265.21</v>
      </c>
      <c r="CM15" s="248">
        <v>0</v>
      </c>
    </row>
    <row r="16" spans="1:102" x14ac:dyDescent="0.25">
      <c r="A16" s="231" t="s">
        <v>658</v>
      </c>
      <c r="B16" s="232" t="s">
        <v>659</v>
      </c>
      <c r="C16" s="232" t="s">
        <v>660</v>
      </c>
      <c r="D16" s="233"/>
      <c r="E16" s="234">
        <v>19495325</v>
      </c>
      <c r="F16" s="235">
        <v>19974489.34</v>
      </c>
      <c r="G16" s="236"/>
      <c r="H16" s="237"/>
      <c r="I16" s="238">
        <v>19974489.34</v>
      </c>
      <c r="J16" s="249"/>
      <c r="K16" s="240"/>
      <c r="L16" s="8">
        <v>18167210.039999999</v>
      </c>
      <c r="M16" s="241">
        <v>18628948.34</v>
      </c>
      <c r="N16" s="72"/>
      <c r="O16" s="100"/>
      <c r="P16" s="9"/>
      <c r="Q16" s="9">
        <v>1345541</v>
      </c>
      <c r="R16" s="9"/>
      <c r="S16" s="152">
        <v>46203</v>
      </c>
      <c r="T16" s="10"/>
      <c r="U16" s="23"/>
      <c r="V16" s="11"/>
      <c r="W16" s="11"/>
      <c r="X16" s="8">
        <v>13474808.539999999</v>
      </c>
      <c r="Y16" s="9"/>
      <c r="Z16" s="70">
        <v>973265.21</v>
      </c>
      <c r="AA16" s="72"/>
      <c r="AB16" s="108"/>
      <c r="AC16" s="9">
        <v>886014.54</v>
      </c>
      <c r="AD16" s="9"/>
      <c r="AE16" s="10"/>
      <c r="AF16" s="24">
        <v>7.8936486767915232E-2</v>
      </c>
      <c r="AG16" s="11">
        <v>1446770.9</v>
      </c>
      <c r="AH16" s="8">
        <v>1446770.9</v>
      </c>
      <c r="AI16" s="9">
        <v>0</v>
      </c>
      <c r="AJ16" s="9">
        <v>0</v>
      </c>
      <c r="AK16" s="10"/>
      <c r="AL16" s="11"/>
      <c r="AM16" s="8">
        <v>12028037.640000001</v>
      </c>
      <c r="AN16" s="9"/>
      <c r="AO16" s="9"/>
      <c r="AP16" s="10"/>
      <c r="AQ16" s="25"/>
      <c r="AR16" s="25"/>
      <c r="AS16" s="25"/>
      <c r="AT16" s="10"/>
      <c r="AU16" s="12">
        <v>15610649.01</v>
      </c>
      <c r="AV16" s="12"/>
      <c r="AW16" s="12"/>
      <c r="AX16" s="242"/>
      <c r="AY16" s="243"/>
      <c r="AZ16" s="242"/>
      <c r="BA16" s="242"/>
      <c r="BB16" s="244"/>
      <c r="BC16" s="243" t="s">
        <v>630</v>
      </c>
      <c r="BD16" s="243" t="s">
        <v>630</v>
      </c>
      <c r="BE16" s="15">
        <v>19974489.34</v>
      </c>
      <c r="BF16" s="15">
        <v>18628948.34</v>
      </c>
      <c r="BG16" s="15">
        <v>973265.21</v>
      </c>
      <c r="BH16" s="15">
        <v>19974489.34</v>
      </c>
      <c r="BI16" s="15">
        <v>18628948.34</v>
      </c>
      <c r="BJ16" s="242">
        <v>0</v>
      </c>
      <c r="BK16" s="242">
        <v>886014.54</v>
      </c>
      <c r="BL16" s="242"/>
      <c r="BM16" s="242">
        <v>1</v>
      </c>
      <c r="BN16" s="242">
        <v>1345541</v>
      </c>
      <c r="BO16" s="242">
        <v>1212185</v>
      </c>
      <c r="BP16" s="242"/>
      <c r="BQ16" s="242"/>
      <c r="BR16" s="242"/>
      <c r="BS16" s="242"/>
      <c r="BT16" s="295"/>
      <c r="BU16" s="295"/>
      <c r="BV16" s="295"/>
      <c r="BW16" s="295"/>
      <c r="BX16" s="242"/>
      <c r="BY16" s="242"/>
      <c r="BZ16" s="245"/>
      <c r="CA16" s="245"/>
      <c r="CB16" s="292">
        <v>973265.21</v>
      </c>
      <c r="CC16" s="246" t="s">
        <v>709</v>
      </c>
      <c r="CD16" s="242">
        <v>0</v>
      </c>
      <c r="CE16" s="242">
        <v>1446770.9</v>
      </c>
      <c r="CF16" s="242">
        <v>18328291</v>
      </c>
      <c r="CG16" s="242">
        <v>1446770.9</v>
      </c>
      <c r="CH16" s="242">
        <v>18328291</v>
      </c>
      <c r="CI16" s="247" t="s">
        <v>633</v>
      </c>
      <c r="CJ16" s="248">
        <v>13474808.539999999</v>
      </c>
      <c r="CK16" s="248">
        <v>12028037.640000001</v>
      </c>
      <c r="CL16" s="248">
        <v>15610649.01</v>
      </c>
      <c r="CM16" s="248">
        <v>0</v>
      </c>
    </row>
    <row r="17" spans="1:91" x14ac:dyDescent="0.25">
      <c r="A17" s="231" t="s">
        <v>661</v>
      </c>
      <c r="B17" s="232" t="s">
        <v>662</v>
      </c>
      <c r="C17" s="232" t="s">
        <v>663</v>
      </c>
      <c r="D17" s="233"/>
      <c r="E17" s="234">
        <v>562824.68000000005</v>
      </c>
      <c r="F17" s="235">
        <v>562824.68000000005</v>
      </c>
      <c r="G17" s="236"/>
      <c r="H17" s="237"/>
      <c r="I17" s="238">
        <v>562824.68000000005</v>
      </c>
      <c r="J17" s="249"/>
      <c r="K17" s="240"/>
      <c r="L17" s="8">
        <v>453334.31</v>
      </c>
      <c r="M17" s="241">
        <v>454520.68</v>
      </c>
      <c r="N17" s="72"/>
      <c r="O17" s="100"/>
      <c r="P17" s="9"/>
      <c r="Q17" s="9">
        <v>108303.99999999994</v>
      </c>
      <c r="R17" s="9"/>
      <c r="S17" s="152">
        <v>46053</v>
      </c>
      <c r="T17" s="10"/>
      <c r="U17" s="23"/>
      <c r="V17" s="11"/>
      <c r="W17" s="11"/>
      <c r="X17" s="8">
        <v>334550.81</v>
      </c>
      <c r="Y17" s="9"/>
      <c r="Z17" s="70">
        <v>79717.36</v>
      </c>
      <c r="AA17" s="71"/>
      <c r="AB17" s="108"/>
      <c r="AC17" s="9">
        <v>82072.81</v>
      </c>
      <c r="AD17" s="9"/>
      <c r="AE17" s="10"/>
      <c r="AF17" s="24">
        <v>0.20348100674361605</v>
      </c>
      <c r="AG17" s="11">
        <v>111822.75</v>
      </c>
      <c r="AH17" s="8">
        <v>98963.36</v>
      </c>
      <c r="AI17" s="9">
        <v>12859.39</v>
      </c>
      <c r="AJ17" s="9">
        <v>12859.39</v>
      </c>
      <c r="AK17" s="10"/>
      <c r="AL17" s="11"/>
      <c r="AM17" s="8">
        <v>235587.45</v>
      </c>
      <c r="AN17" s="9"/>
      <c r="AO17" s="9"/>
      <c r="AP17" s="10"/>
      <c r="AQ17" s="25"/>
      <c r="AR17" s="25"/>
      <c r="AS17" s="25"/>
      <c r="AT17" s="10"/>
      <c r="AU17" s="12">
        <v>549548.82999999996</v>
      </c>
      <c r="AV17" s="12"/>
      <c r="AW17" s="12"/>
      <c r="AX17" s="242"/>
      <c r="AY17" s="243"/>
      <c r="AZ17" s="242"/>
      <c r="BA17" s="242"/>
      <c r="BB17" s="244"/>
      <c r="BC17" s="243" t="s">
        <v>630</v>
      </c>
      <c r="BD17" s="243" t="s">
        <v>630</v>
      </c>
      <c r="BE17" s="15">
        <v>562824.68000000005</v>
      </c>
      <c r="BF17" s="15">
        <v>454520.68</v>
      </c>
      <c r="BG17" s="15">
        <v>79717.36</v>
      </c>
      <c r="BH17" s="15">
        <v>562824.68000000005</v>
      </c>
      <c r="BI17" s="15">
        <v>454520.68</v>
      </c>
      <c r="BJ17" s="242">
        <v>0</v>
      </c>
      <c r="BK17" s="242">
        <v>82072.81</v>
      </c>
      <c r="BL17" s="242"/>
      <c r="BM17" s="242">
        <v>1</v>
      </c>
      <c r="BN17" s="242">
        <v>108303.99999999994</v>
      </c>
      <c r="BO17" s="242">
        <v>106999.99999999994</v>
      </c>
      <c r="BP17" s="242"/>
      <c r="BQ17" s="242"/>
      <c r="BR17" s="242"/>
      <c r="BS17" s="242"/>
      <c r="BT17" s="295"/>
      <c r="BU17" s="295"/>
      <c r="BV17" s="295"/>
      <c r="BW17" s="295"/>
      <c r="BX17" s="242"/>
      <c r="BY17" s="242"/>
      <c r="BZ17" s="245"/>
      <c r="CA17" s="245"/>
      <c r="CB17" s="292">
        <v>79717.36</v>
      </c>
      <c r="CC17" s="246" t="s">
        <v>709</v>
      </c>
      <c r="CD17" s="242">
        <v>0</v>
      </c>
      <c r="CE17" s="242">
        <v>114524.13</v>
      </c>
      <c r="CF17" s="242">
        <v>486351.83</v>
      </c>
      <c r="CG17" s="242">
        <v>98963.36</v>
      </c>
      <c r="CH17" s="242">
        <v>486351.83</v>
      </c>
      <c r="CI17" s="247" t="s">
        <v>633</v>
      </c>
      <c r="CJ17" s="248">
        <v>334550.81</v>
      </c>
      <c r="CK17" s="248">
        <v>235587.45</v>
      </c>
      <c r="CL17" s="248">
        <v>549548.82999999996</v>
      </c>
      <c r="CM17" s="248">
        <v>0</v>
      </c>
    </row>
    <row r="18" spans="1:91" x14ac:dyDescent="0.25">
      <c r="A18" s="231" t="s">
        <v>664</v>
      </c>
      <c r="B18" s="232" t="s">
        <v>665</v>
      </c>
      <c r="C18" s="232" t="s">
        <v>666</v>
      </c>
      <c r="D18" s="233"/>
      <c r="E18" s="234">
        <v>13363835</v>
      </c>
      <c r="F18" s="235">
        <v>13366000</v>
      </c>
      <c r="G18" s="236"/>
      <c r="H18" s="237"/>
      <c r="I18" s="238">
        <v>13363835</v>
      </c>
      <c r="J18" s="249"/>
      <c r="K18" s="240"/>
      <c r="L18" s="8">
        <v>12448702.050000001</v>
      </c>
      <c r="M18" s="241">
        <v>12488835</v>
      </c>
      <c r="N18" s="72"/>
      <c r="O18" s="100"/>
      <c r="P18" s="9"/>
      <c r="Q18" s="9">
        <v>875000</v>
      </c>
      <c r="R18" s="9"/>
      <c r="S18" s="152">
        <v>46068</v>
      </c>
      <c r="T18" s="10"/>
      <c r="U18" s="23"/>
      <c r="V18" s="11"/>
      <c r="W18" s="11"/>
      <c r="X18" s="8">
        <v>11872342.6</v>
      </c>
      <c r="Y18" s="9"/>
      <c r="Z18" s="70">
        <v>831806.95</v>
      </c>
      <c r="AA18" s="71"/>
      <c r="AB18" s="108"/>
      <c r="AC18" s="9">
        <v>808730.11</v>
      </c>
      <c r="AD18" s="9"/>
      <c r="AE18" s="10"/>
      <c r="AF18" s="24">
        <v>0.19842978329854261</v>
      </c>
      <c r="AG18" s="11">
        <v>2378559.16</v>
      </c>
      <c r="AH18" s="8">
        <v>2378559.16</v>
      </c>
      <c r="AI18" s="9">
        <v>0</v>
      </c>
      <c r="AJ18" s="9">
        <v>0</v>
      </c>
      <c r="AK18" s="10"/>
      <c r="AL18" s="11"/>
      <c r="AM18" s="8">
        <v>9493783.4399999995</v>
      </c>
      <c r="AN18" s="9"/>
      <c r="AO18" s="9"/>
      <c r="AP18" s="10"/>
      <c r="AQ18" s="25"/>
      <c r="AR18" s="25"/>
      <c r="AS18" s="25"/>
      <c r="AT18" s="10"/>
      <c r="AU18" s="12">
        <v>13340008</v>
      </c>
      <c r="AV18" s="12"/>
      <c r="AW18" s="12"/>
      <c r="AX18" s="242"/>
      <c r="AY18" s="243"/>
      <c r="AZ18" s="242"/>
      <c r="BA18" s="242"/>
      <c r="BB18" s="244"/>
      <c r="BC18" s="243" t="s">
        <v>630</v>
      </c>
      <c r="BD18" s="243" t="s">
        <v>630</v>
      </c>
      <c r="BE18" s="15">
        <v>13363835</v>
      </c>
      <c r="BF18" s="15">
        <v>12488835</v>
      </c>
      <c r="BG18" s="15">
        <v>831806.95</v>
      </c>
      <c r="BH18" s="15">
        <v>13363835</v>
      </c>
      <c r="BI18" s="15">
        <v>12488835</v>
      </c>
      <c r="BJ18" s="242">
        <v>0</v>
      </c>
      <c r="BK18" s="242">
        <v>808730.11</v>
      </c>
      <c r="BL18" s="242"/>
      <c r="BM18" s="242">
        <v>1</v>
      </c>
      <c r="BN18" s="242">
        <v>875000</v>
      </c>
      <c r="BO18" s="242">
        <v>721457</v>
      </c>
      <c r="BP18" s="242"/>
      <c r="BQ18" s="242"/>
      <c r="BR18" s="242"/>
      <c r="BS18" s="242"/>
      <c r="BT18" s="295"/>
      <c r="BU18" s="295"/>
      <c r="BV18" s="295"/>
      <c r="BW18" s="295"/>
      <c r="BX18" s="242"/>
      <c r="BY18" s="242"/>
      <c r="BZ18" s="245"/>
      <c r="CA18" s="245"/>
      <c r="CB18" s="292">
        <v>831806.95</v>
      </c>
      <c r="CC18" s="246" t="s">
        <v>709</v>
      </c>
      <c r="CD18" s="242">
        <v>0</v>
      </c>
      <c r="CE18" s="242">
        <v>2652202.0099999998</v>
      </c>
      <c r="CF18" s="242">
        <v>11986906</v>
      </c>
      <c r="CG18" s="242">
        <v>2378559.16</v>
      </c>
      <c r="CH18" s="242">
        <v>11986906</v>
      </c>
      <c r="CI18" s="247" t="s">
        <v>633</v>
      </c>
      <c r="CJ18" s="248">
        <v>11872342.6</v>
      </c>
      <c r="CK18" s="248">
        <v>9493783.4399999995</v>
      </c>
      <c r="CL18" s="248">
        <v>13340008</v>
      </c>
      <c r="CM18" s="248">
        <v>0</v>
      </c>
    </row>
    <row r="19" spans="1:91" x14ac:dyDescent="0.25">
      <c r="A19" s="231" t="s">
        <v>667</v>
      </c>
      <c r="B19" s="232" t="s">
        <v>668</v>
      </c>
      <c r="C19" s="232" t="s">
        <v>654</v>
      </c>
      <c r="D19" s="233"/>
      <c r="E19" s="234">
        <v>0</v>
      </c>
      <c r="F19" s="235">
        <v>0</v>
      </c>
      <c r="G19" s="236"/>
      <c r="H19" s="237"/>
      <c r="I19" s="238">
        <v>0</v>
      </c>
      <c r="J19" s="239"/>
      <c r="K19" s="240"/>
      <c r="L19" s="8">
        <v>-1783379.97</v>
      </c>
      <c r="M19" s="241">
        <v>-1783379.97</v>
      </c>
      <c r="N19" s="72"/>
      <c r="O19" s="100"/>
      <c r="P19" s="9"/>
      <c r="Q19" s="9">
        <v>1800000</v>
      </c>
      <c r="R19" s="9"/>
      <c r="S19" s="152">
        <v>46081</v>
      </c>
      <c r="T19" s="10"/>
      <c r="U19" s="23"/>
      <c r="V19" s="11"/>
      <c r="W19" s="11"/>
      <c r="X19" s="8">
        <v>-1783379.97</v>
      </c>
      <c r="Y19" s="9"/>
      <c r="Z19" s="70">
        <v>1783379.97</v>
      </c>
      <c r="AA19" s="71"/>
      <c r="AB19" s="108"/>
      <c r="AC19" s="9">
        <v>1773489.66</v>
      </c>
      <c r="AD19" s="9"/>
      <c r="AE19" s="10"/>
      <c r="AF19" s="24">
        <v>0.45695798399999998</v>
      </c>
      <c r="AG19" s="11">
        <v>0</v>
      </c>
      <c r="AH19" s="8">
        <v>-571197.48</v>
      </c>
      <c r="AI19" s="9">
        <v>571197.48</v>
      </c>
      <c r="AJ19" s="9">
        <v>571197.48</v>
      </c>
      <c r="AK19" s="10"/>
      <c r="AL19" s="11"/>
      <c r="AM19" s="8">
        <v>-1212182.49</v>
      </c>
      <c r="AN19" s="9"/>
      <c r="AO19" s="9"/>
      <c r="AP19" s="10"/>
      <c r="AQ19" s="25"/>
      <c r="AR19" s="25"/>
      <c r="AS19" s="25"/>
      <c r="AT19" s="10"/>
      <c r="AU19" s="12">
        <v>0</v>
      </c>
      <c r="AV19" s="12"/>
      <c r="AW19" s="12"/>
      <c r="AX19" s="242"/>
      <c r="AY19" s="243"/>
      <c r="AZ19" s="242"/>
      <c r="BA19" s="242"/>
      <c r="BB19" s="244"/>
      <c r="BC19" s="243" t="s">
        <v>630</v>
      </c>
      <c r="BD19" s="243" t="s">
        <v>630</v>
      </c>
      <c r="BE19" s="15">
        <v>0</v>
      </c>
      <c r="BF19" s="15">
        <v>-1783379.97</v>
      </c>
      <c r="BG19" s="15">
        <v>1783379.97</v>
      </c>
      <c r="BH19" s="15">
        <v>0</v>
      </c>
      <c r="BI19" s="15">
        <v>-1783379.97</v>
      </c>
      <c r="BJ19" s="242">
        <v>0</v>
      </c>
      <c r="BK19" s="242">
        <v>1773489.66</v>
      </c>
      <c r="BL19" s="242"/>
      <c r="BM19" s="242">
        <v>1</v>
      </c>
      <c r="BN19" s="242">
        <v>1800000</v>
      </c>
      <c r="BO19" s="242">
        <v>1800000</v>
      </c>
      <c r="BP19" s="242"/>
      <c r="BQ19" s="242"/>
      <c r="BR19" s="242"/>
      <c r="BS19" s="242"/>
      <c r="BT19" s="295"/>
      <c r="BU19" s="295"/>
      <c r="BV19" s="295"/>
      <c r="BW19" s="295"/>
      <c r="BX19" s="242"/>
      <c r="BY19" s="242"/>
      <c r="BZ19" s="245"/>
      <c r="CA19" s="245"/>
      <c r="CB19" s="292">
        <v>1783379.97</v>
      </c>
      <c r="CC19" s="246" t="s">
        <v>709</v>
      </c>
      <c r="CD19" s="242">
        <v>0</v>
      </c>
      <c r="CE19" s="242">
        <v>-571197.48</v>
      </c>
      <c r="CF19" s="242">
        <v>-1250000</v>
      </c>
      <c r="CG19" s="242">
        <v>-571197.48</v>
      </c>
      <c r="CH19" s="242">
        <v>-1250000</v>
      </c>
      <c r="CI19" s="247" t="s">
        <v>633</v>
      </c>
      <c r="CJ19" s="248">
        <v>-1783379.97</v>
      </c>
      <c r="CK19" s="248">
        <v>-1212182.49</v>
      </c>
      <c r="CL19" s="248">
        <v>0</v>
      </c>
      <c r="CM19" s="248">
        <v>0</v>
      </c>
    </row>
    <row r="20" spans="1:91" x14ac:dyDescent="0.25">
      <c r="A20" s="231" t="s">
        <v>669</v>
      </c>
      <c r="B20" s="232" t="s">
        <v>670</v>
      </c>
      <c r="C20" s="232" t="s">
        <v>671</v>
      </c>
      <c r="D20" s="233"/>
      <c r="E20" s="234">
        <v>104446</v>
      </c>
      <c r="F20" s="235">
        <v>104446</v>
      </c>
      <c r="G20" s="236"/>
      <c r="H20" s="237"/>
      <c r="I20" s="238">
        <v>104446</v>
      </c>
      <c r="J20" s="239"/>
      <c r="K20" s="240"/>
      <c r="L20" s="8">
        <v>59410.82</v>
      </c>
      <c r="M20" s="241">
        <v>104446</v>
      </c>
      <c r="N20" s="72"/>
      <c r="O20" s="100"/>
      <c r="P20" s="9"/>
      <c r="Q20" s="9">
        <v>0</v>
      </c>
      <c r="R20" s="9"/>
      <c r="S20" s="152">
        <v>46173</v>
      </c>
      <c r="T20" s="10"/>
      <c r="U20" s="23"/>
      <c r="V20" s="11"/>
      <c r="W20" s="11"/>
      <c r="X20" s="8">
        <v>56960.69</v>
      </c>
      <c r="Y20" s="9"/>
      <c r="Z20" s="70">
        <v>0</v>
      </c>
      <c r="AA20" s="71"/>
      <c r="AB20" s="108"/>
      <c r="AC20" s="9">
        <v>0</v>
      </c>
      <c r="AD20" s="9"/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/>
      <c r="AM20" s="8">
        <v>56960.69</v>
      </c>
      <c r="AN20" s="9"/>
      <c r="AO20" s="9"/>
      <c r="AP20" s="10"/>
      <c r="AQ20" s="25"/>
      <c r="AR20" s="25"/>
      <c r="AS20" s="25"/>
      <c r="AT20" s="10"/>
      <c r="AU20" s="12">
        <v>32282</v>
      </c>
      <c r="AV20" s="12"/>
      <c r="AW20" s="12"/>
      <c r="AX20" s="242"/>
      <c r="AY20" s="243"/>
      <c r="AZ20" s="242"/>
      <c r="BA20" s="242"/>
      <c r="BB20" s="244"/>
      <c r="BC20" s="243" t="s">
        <v>630</v>
      </c>
      <c r="BD20" s="243" t="s">
        <v>630</v>
      </c>
      <c r="BE20" s="15">
        <v>104446</v>
      </c>
      <c r="BF20" s="15">
        <v>104446</v>
      </c>
      <c r="BG20" s="242">
        <v>0</v>
      </c>
      <c r="BH20" s="15">
        <v>104446</v>
      </c>
      <c r="BI20" s="15">
        <v>104446</v>
      </c>
      <c r="BJ20" s="242">
        <v>0</v>
      </c>
      <c r="BK20" s="242">
        <v>0</v>
      </c>
      <c r="BL20" s="242"/>
      <c r="BM20" s="242">
        <v>1</v>
      </c>
      <c r="BN20" s="242">
        <v>0</v>
      </c>
      <c r="BO20" s="242">
        <v>0</v>
      </c>
      <c r="BP20" s="242"/>
      <c r="BQ20" s="242"/>
      <c r="BR20" s="242"/>
      <c r="BS20" s="242"/>
      <c r="BT20" s="295"/>
      <c r="BU20" s="295"/>
      <c r="BV20" s="295"/>
      <c r="BW20" s="295"/>
      <c r="BX20" s="242"/>
      <c r="BY20" s="242"/>
      <c r="BZ20" s="245"/>
      <c r="CA20" s="245"/>
      <c r="CB20" s="245"/>
      <c r="CC20" s="246" t="s">
        <v>709</v>
      </c>
      <c r="CD20" s="242">
        <v>0</v>
      </c>
      <c r="CE20" s="242">
        <v>0</v>
      </c>
      <c r="CF20" s="242">
        <v>0</v>
      </c>
      <c r="CG20" s="242">
        <v>0</v>
      </c>
      <c r="CH20" s="242">
        <v>0</v>
      </c>
      <c r="CI20" s="247" t="s">
        <v>633</v>
      </c>
      <c r="CJ20" s="248">
        <v>56960.69</v>
      </c>
      <c r="CK20" s="248">
        <v>56960.69</v>
      </c>
      <c r="CL20" s="248">
        <v>32282</v>
      </c>
      <c r="CM20" s="248">
        <v>0</v>
      </c>
    </row>
    <row r="21" spans="1:91" x14ac:dyDescent="0.25">
      <c r="A21" s="231" t="s">
        <v>672</v>
      </c>
      <c r="B21" s="232" t="s">
        <v>673</v>
      </c>
      <c r="C21" s="232" t="s">
        <v>660</v>
      </c>
      <c r="D21" s="233"/>
      <c r="E21" s="234">
        <v>1199000</v>
      </c>
      <c r="F21" s="235">
        <v>1199000</v>
      </c>
      <c r="G21" s="236"/>
      <c r="H21" s="237"/>
      <c r="I21" s="238">
        <v>1199000</v>
      </c>
      <c r="J21" s="239"/>
      <c r="K21" s="240"/>
      <c r="L21" s="8">
        <v>1147323.3</v>
      </c>
      <c r="M21" s="241">
        <v>1079240</v>
      </c>
      <c r="N21" s="71"/>
      <c r="O21" s="100"/>
      <c r="P21" s="9"/>
      <c r="Q21" s="9">
        <v>119760</v>
      </c>
      <c r="R21" s="9"/>
      <c r="S21" s="152">
        <v>46096</v>
      </c>
      <c r="T21" s="10"/>
      <c r="U21" s="23"/>
      <c r="V21" s="11"/>
      <c r="W21" s="11"/>
      <c r="X21" s="8">
        <v>790051.12</v>
      </c>
      <c r="Y21" s="9"/>
      <c r="Z21" s="70">
        <v>87669.58</v>
      </c>
      <c r="AA21" s="71"/>
      <c r="AB21" s="108"/>
      <c r="AC21" s="9">
        <v>78896.87</v>
      </c>
      <c r="AD21" s="9"/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/>
      <c r="AM21" s="8">
        <v>790051.12</v>
      </c>
      <c r="AN21" s="9"/>
      <c r="AO21" s="9"/>
      <c r="AP21" s="10"/>
      <c r="AQ21" s="25"/>
      <c r="AR21" s="25"/>
      <c r="AS21" s="25"/>
      <c r="AT21" s="10"/>
      <c r="AU21" s="12">
        <v>732995</v>
      </c>
      <c r="AV21" s="12"/>
      <c r="AW21" s="12"/>
      <c r="AX21" s="242"/>
      <c r="AY21" s="243"/>
      <c r="AZ21" s="242"/>
      <c r="BA21" s="242"/>
      <c r="BB21" s="244"/>
      <c r="BC21" s="243" t="s">
        <v>630</v>
      </c>
      <c r="BD21" s="243" t="s">
        <v>630</v>
      </c>
      <c r="BE21" s="15">
        <v>1199000</v>
      </c>
      <c r="BF21" s="15">
        <v>1079240</v>
      </c>
      <c r="BG21" s="15">
        <v>87669.58</v>
      </c>
      <c r="BH21" s="15">
        <v>1199000</v>
      </c>
      <c r="BI21" s="15">
        <v>1079240</v>
      </c>
      <c r="BJ21" s="242">
        <v>0</v>
      </c>
      <c r="BK21" s="242">
        <v>78896.87</v>
      </c>
      <c r="BL21" s="242"/>
      <c r="BM21" s="242">
        <v>1</v>
      </c>
      <c r="BN21" s="242">
        <v>119760</v>
      </c>
      <c r="BO21" s="242">
        <v>119760</v>
      </c>
      <c r="BP21" s="242"/>
      <c r="BQ21" s="242"/>
      <c r="BR21" s="242"/>
      <c r="BS21" s="242"/>
      <c r="BT21" s="295"/>
      <c r="BU21" s="295"/>
      <c r="BV21" s="295"/>
      <c r="BW21" s="295"/>
      <c r="BX21" s="242"/>
      <c r="BY21" s="242"/>
      <c r="BZ21" s="245"/>
      <c r="CA21" s="245"/>
      <c r="CB21" s="292">
        <v>87669.58</v>
      </c>
      <c r="CC21" s="246" t="s">
        <v>709</v>
      </c>
      <c r="CD21" s="242">
        <v>0</v>
      </c>
      <c r="CE21" s="242">
        <v>0</v>
      </c>
      <c r="CF21" s="242">
        <v>0</v>
      </c>
      <c r="CG21" s="242">
        <v>0</v>
      </c>
      <c r="CH21" s="242">
        <v>0</v>
      </c>
      <c r="CI21" s="247" t="s">
        <v>633</v>
      </c>
      <c r="CJ21" s="248">
        <v>790051.12</v>
      </c>
      <c r="CK21" s="248">
        <v>790051.12</v>
      </c>
      <c r="CL21" s="248">
        <v>732995</v>
      </c>
      <c r="CM21" s="248">
        <v>0</v>
      </c>
    </row>
    <row r="22" spans="1:91" x14ac:dyDescent="0.25">
      <c r="A22" s="231" t="s">
        <v>674</v>
      </c>
      <c r="B22" s="232" t="s">
        <v>675</v>
      </c>
      <c r="C22" s="232" t="s">
        <v>663</v>
      </c>
      <c r="D22" s="233"/>
      <c r="E22" s="234">
        <v>1757000</v>
      </c>
      <c r="F22" s="235">
        <v>1757000</v>
      </c>
      <c r="G22" s="236"/>
      <c r="H22" s="237"/>
      <c r="I22" s="238">
        <v>1757000</v>
      </c>
      <c r="J22" s="239"/>
      <c r="K22" s="240"/>
      <c r="L22" s="8">
        <v>1739172.38</v>
      </c>
      <c r="M22" s="241">
        <v>1690000</v>
      </c>
      <c r="N22" s="71"/>
      <c r="O22" s="100"/>
      <c r="P22" s="9"/>
      <c r="Q22" s="9">
        <v>67000</v>
      </c>
      <c r="R22" s="9"/>
      <c r="S22" s="152">
        <v>46285</v>
      </c>
      <c r="T22" s="10"/>
      <c r="U22" s="23"/>
      <c r="V22" s="11"/>
      <c r="W22" s="11"/>
      <c r="X22" s="8">
        <v>250518.05</v>
      </c>
      <c r="Y22" s="9"/>
      <c r="Z22" s="70">
        <v>0</v>
      </c>
      <c r="AA22" s="71"/>
      <c r="AB22" s="108"/>
      <c r="AC22" s="9">
        <v>0</v>
      </c>
      <c r="AD22" s="9"/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/>
      <c r="AM22" s="8">
        <v>250518.05</v>
      </c>
      <c r="AN22" s="9"/>
      <c r="AO22" s="9"/>
      <c r="AP22" s="10"/>
      <c r="AQ22" s="25"/>
      <c r="AR22" s="25"/>
      <c r="AS22" s="25"/>
      <c r="AT22" s="10"/>
      <c r="AU22" s="12">
        <v>223725</v>
      </c>
      <c r="AV22" s="12"/>
      <c r="AW22" s="12"/>
      <c r="AX22" s="242"/>
      <c r="AY22" s="243"/>
      <c r="AZ22" s="242"/>
      <c r="BA22" s="242"/>
      <c r="BB22" s="244"/>
      <c r="BC22" s="243" t="s">
        <v>630</v>
      </c>
      <c r="BD22" s="243" t="s">
        <v>630</v>
      </c>
      <c r="BE22" s="15">
        <v>1757000</v>
      </c>
      <c r="BF22" s="15">
        <v>1690000</v>
      </c>
      <c r="BG22" s="242">
        <v>0</v>
      </c>
      <c r="BH22" s="15">
        <v>1757000</v>
      </c>
      <c r="BI22" s="15">
        <v>1690000</v>
      </c>
      <c r="BJ22" s="242">
        <v>0</v>
      </c>
      <c r="BK22" s="242">
        <v>0</v>
      </c>
      <c r="BL22" s="242"/>
      <c r="BM22" s="242">
        <v>1</v>
      </c>
      <c r="BN22" s="242">
        <v>67000</v>
      </c>
      <c r="BO22" s="242">
        <v>87213</v>
      </c>
      <c r="BP22" s="242"/>
      <c r="BQ22" s="242"/>
      <c r="BR22" s="242"/>
      <c r="BS22" s="242"/>
      <c r="BT22" s="295"/>
      <c r="BU22" s="295"/>
      <c r="BV22" s="295"/>
      <c r="BW22" s="295"/>
      <c r="BX22" s="242"/>
      <c r="BY22" s="242"/>
      <c r="BZ22" s="245"/>
      <c r="CA22" s="245"/>
      <c r="CB22" s="245"/>
      <c r="CC22" s="246" t="s">
        <v>709</v>
      </c>
      <c r="CD22" s="242">
        <v>0</v>
      </c>
      <c r="CE22" s="242">
        <v>0</v>
      </c>
      <c r="CF22" s="242">
        <v>0</v>
      </c>
      <c r="CG22" s="242">
        <v>0</v>
      </c>
      <c r="CH22" s="242">
        <v>0</v>
      </c>
      <c r="CI22" s="247" t="s">
        <v>633</v>
      </c>
      <c r="CJ22" s="248">
        <v>250518.05</v>
      </c>
      <c r="CK22" s="248">
        <v>250518.05</v>
      </c>
      <c r="CL22" s="248">
        <v>223725</v>
      </c>
      <c r="CM22" s="248">
        <v>0</v>
      </c>
    </row>
    <row r="23" spans="1:91" x14ac:dyDescent="0.25">
      <c r="A23" s="231" t="s">
        <v>676</v>
      </c>
      <c r="B23" s="232" t="s">
        <v>677</v>
      </c>
      <c r="C23" s="232" t="s">
        <v>657</v>
      </c>
      <c r="D23" s="233"/>
      <c r="E23" s="234">
        <v>10848599.449999999</v>
      </c>
      <c r="F23" s="235">
        <v>10848599.449999999</v>
      </c>
      <c r="G23" s="236"/>
      <c r="H23" s="237"/>
      <c r="I23" s="238">
        <v>10848599.449999999</v>
      </c>
      <c r="J23" s="239"/>
      <c r="K23" s="240"/>
      <c r="L23" s="8">
        <v>10171482.859999999</v>
      </c>
      <c r="M23" s="241">
        <v>10261252.449999999</v>
      </c>
      <c r="N23" s="71"/>
      <c r="O23" s="100"/>
      <c r="P23" s="9"/>
      <c r="Q23" s="9">
        <v>587347</v>
      </c>
      <c r="R23" s="9"/>
      <c r="S23" s="152">
        <v>46366</v>
      </c>
      <c r="T23" s="10"/>
      <c r="U23" s="23"/>
      <c r="V23" s="11"/>
      <c r="W23" s="11"/>
      <c r="X23" s="8">
        <v>601852.17000000004</v>
      </c>
      <c r="Y23" s="9"/>
      <c r="Z23" s="70">
        <v>0</v>
      </c>
      <c r="AA23" s="71"/>
      <c r="AB23" s="108"/>
      <c r="AC23" s="9">
        <v>0</v>
      </c>
      <c r="AD23" s="9"/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/>
      <c r="AM23" s="8">
        <v>601852.17000000004</v>
      </c>
      <c r="AN23" s="9"/>
      <c r="AO23" s="9"/>
      <c r="AP23" s="10"/>
      <c r="AQ23" s="25"/>
      <c r="AR23" s="25"/>
      <c r="AS23" s="25"/>
      <c r="AT23" s="10"/>
      <c r="AU23" s="12">
        <v>592607.19999999995</v>
      </c>
      <c r="AV23" s="12"/>
      <c r="AW23" s="12"/>
      <c r="AX23" s="242"/>
      <c r="AY23" s="243"/>
      <c r="AZ23" s="242"/>
      <c r="BA23" s="242"/>
      <c r="BB23" s="244"/>
      <c r="BC23" s="243" t="s">
        <v>630</v>
      </c>
      <c r="BD23" s="243" t="s">
        <v>630</v>
      </c>
      <c r="BE23" s="15">
        <v>10848599.449999999</v>
      </c>
      <c r="BF23" s="15">
        <v>10261252.449999999</v>
      </c>
      <c r="BG23" s="242">
        <v>0</v>
      </c>
      <c r="BH23" s="15">
        <v>10848599.449999999</v>
      </c>
      <c r="BI23" s="15">
        <v>10261252.449999999</v>
      </c>
      <c r="BJ23" s="242">
        <v>0</v>
      </c>
      <c r="BK23" s="242">
        <v>0</v>
      </c>
      <c r="BL23" s="242"/>
      <c r="BM23" s="242">
        <v>1</v>
      </c>
      <c r="BN23" s="242">
        <v>587347</v>
      </c>
      <c r="BO23" s="242">
        <v>587347</v>
      </c>
      <c r="BP23" s="242"/>
      <c r="BQ23" s="242"/>
      <c r="BR23" s="242"/>
      <c r="BS23" s="242"/>
      <c r="BT23" s="295"/>
      <c r="BU23" s="295"/>
      <c r="BV23" s="295"/>
      <c r="BW23" s="295"/>
      <c r="BX23" s="242"/>
      <c r="BY23" s="242"/>
      <c r="BZ23" s="245"/>
      <c r="CA23" s="245"/>
      <c r="CB23" s="245"/>
      <c r="CC23" s="246" t="s">
        <v>709</v>
      </c>
      <c r="CD23" s="242">
        <v>0</v>
      </c>
      <c r="CE23" s="242">
        <v>0</v>
      </c>
      <c r="CF23" s="242">
        <v>0</v>
      </c>
      <c r="CG23" s="242">
        <v>0</v>
      </c>
      <c r="CH23" s="242">
        <v>0</v>
      </c>
      <c r="CI23" s="247" t="s">
        <v>633</v>
      </c>
      <c r="CJ23" s="248">
        <v>601852.17000000004</v>
      </c>
      <c r="CK23" s="248">
        <v>601852.17000000004</v>
      </c>
      <c r="CL23" s="248">
        <v>592607.19999999995</v>
      </c>
      <c r="CM23" s="248">
        <v>0</v>
      </c>
    </row>
    <row r="24" spans="1:91" x14ac:dyDescent="0.25">
      <c r="A24" s="231" t="s">
        <v>678</v>
      </c>
      <c r="B24" s="232" t="s">
        <v>679</v>
      </c>
      <c r="C24" s="232" t="s">
        <v>680</v>
      </c>
      <c r="D24" s="233"/>
      <c r="E24" s="234">
        <v>6029750</v>
      </c>
      <c r="F24" s="235">
        <v>6029750</v>
      </c>
      <c r="G24" s="236"/>
      <c r="H24" s="237"/>
      <c r="I24" s="238">
        <v>6029750</v>
      </c>
      <c r="J24" s="239"/>
      <c r="K24" s="240"/>
      <c r="L24" s="8">
        <v>5853248.0700000003</v>
      </c>
      <c r="M24" s="241">
        <v>5845263</v>
      </c>
      <c r="N24" s="71"/>
      <c r="O24" s="100"/>
      <c r="P24" s="9"/>
      <c r="Q24" s="9">
        <v>184487</v>
      </c>
      <c r="R24" s="9"/>
      <c r="S24" s="152">
        <v>46681</v>
      </c>
      <c r="T24" s="10"/>
      <c r="U24" s="23"/>
      <c r="V24" s="11"/>
      <c r="W24" s="11"/>
      <c r="X24" s="8">
        <v>85941.38</v>
      </c>
      <c r="Y24" s="9"/>
      <c r="Z24" s="70">
        <v>0</v>
      </c>
      <c r="AA24" s="71"/>
      <c r="AB24" s="108"/>
      <c r="AC24" s="9">
        <v>0</v>
      </c>
      <c r="AD24" s="9"/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/>
      <c r="AM24" s="8">
        <v>85941.38</v>
      </c>
      <c r="AN24" s="9"/>
      <c r="AO24" s="9"/>
      <c r="AP24" s="10"/>
      <c r="AQ24" s="25"/>
      <c r="AR24" s="25"/>
      <c r="AS24" s="25"/>
      <c r="AT24" s="10"/>
      <c r="AU24" s="12">
        <v>0</v>
      </c>
      <c r="AV24" s="12"/>
      <c r="AW24" s="12"/>
      <c r="AX24" s="242"/>
      <c r="AY24" s="243"/>
      <c r="AZ24" s="242"/>
      <c r="BA24" s="242"/>
      <c r="BB24" s="244"/>
      <c r="BC24" s="243" t="s">
        <v>630</v>
      </c>
      <c r="BD24" s="243" t="s">
        <v>630</v>
      </c>
      <c r="BE24" s="15">
        <v>6029750</v>
      </c>
      <c r="BF24" s="15">
        <v>5845263</v>
      </c>
      <c r="BG24" s="242">
        <v>0</v>
      </c>
      <c r="BH24" s="15">
        <v>6029750</v>
      </c>
      <c r="BI24" s="15">
        <v>5845263</v>
      </c>
      <c r="BJ24" s="242">
        <v>0</v>
      </c>
      <c r="BK24" s="242">
        <v>0</v>
      </c>
      <c r="BL24" s="242"/>
      <c r="BM24" s="242">
        <v>1</v>
      </c>
      <c r="BN24" s="242">
        <v>184487</v>
      </c>
      <c r="BO24" s="242">
        <v>0</v>
      </c>
      <c r="BP24" s="242"/>
      <c r="BQ24" s="242"/>
      <c r="BR24" s="242"/>
      <c r="BS24" s="242"/>
      <c r="BT24" s="295"/>
      <c r="BU24" s="295"/>
      <c r="BV24" s="295"/>
      <c r="BW24" s="295"/>
      <c r="BX24" s="242"/>
      <c r="BY24" s="242"/>
      <c r="BZ24" s="245"/>
      <c r="CA24" s="245"/>
      <c r="CB24" s="245"/>
      <c r="CC24" s="246" t="s">
        <v>709</v>
      </c>
      <c r="CD24" s="242">
        <v>0</v>
      </c>
      <c r="CE24" s="242">
        <v>0</v>
      </c>
      <c r="CF24" s="242">
        <v>0</v>
      </c>
      <c r="CG24" s="242">
        <v>0</v>
      </c>
      <c r="CH24" s="242">
        <v>0</v>
      </c>
      <c r="CI24" s="247" t="s">
        <v>633</v>
      </c>
      <c r="CJ24" s="248">
        <v>85941.38</v>
      </c>
      <c r="CK24" s="248">
        <v>85941.38</v>
      </c>
      <c r="CL24" s="248">
        <v>0</v>
      </c>
      <c r="CM24" s="248">
        <v>0</v>
      </c>
    </row>
    <row r="25" spans="1:91" x14ac:dyDescent="0.25">
      <c r="A25" s="231" t="s">
        <v>681</v>
      </c>
      <c r="B25" s="232" t="s">
        <v>682</v>
      </c>
      <c r="C25" s="232" t="s">
        <v>640</v>
      </c>
      <c r="D25" s="233"/>
      <c r="E25" s="234">
        <v>387260</v>
      </c>
      <c r="F25" s="235">
        <v>387260</v>
      </c>
      <c r="G25" s="236"/>
      <c r="H25" s="237"/>
      <c r="I25" s="238">
        <v>387260</v>
      </c>
      <c r="J25" s="249"/>
      <c r="K25" s="240"/>
      <c r="L25" s="8">
        <v>4363.25</v>
      </c>
      <c r="M25" s="241">
        <v>383387</v>
      </c>
      <c r="N25" s="71"/>
      <c r="O25" s="100"/>
      <c r="P25" s="9"/>
      <c r="Q25" s="9"/>
      <c r="R25" s="9"/>
      <c r="S25" s="152">
        <v>46112</v>
      </c>
      <c r="T25" s="10"/>
      <c r="U25" s="23"/>
      <c r="V25" s="11"/>
      <c r="W25" s="11"/>
      <c r="X25" s="8">
        <v>4363.25</v>
      </c>
      <c r="Y25" s="9"/>
      <c r="Z25" s="70">
        <v>0</v>
      </c>
      <c r="AA25" s="71"/>
      <c r="AB25" s="108"/>
      <c r="AC25" s="9"/>
      <c r="AD25" s="9"/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/>
      <c r="AM25" s="8">
        <v>4363.25</v>
      </c>
      <c r="AN25" s="9"/>
      <c r="AO25" s="9"/>
      <c r="AP25" s="10"/>
      <c r="AQ25" s="25"/>
      <c r="AR25" s="25"/>
      <c r="AS25" s="25"/>
      <c r="AT25" s="10"/>
      <c r="AU25" s="12">
        <v>0</v>
      </c>
      <c r="AV25" s="12"/>
      <c r="AW25" s="12"/>
      <c r="AX25" s="242"/>
      <c r="AY25" s="243"/>
      <c r="AZ25" s="242"/>
      <c r="BA25" s="242"/>
      <c r="BB25" s="244"/>
      <c r="BC25" s="243" t="s">
        <v>630</v>
      </c>
      <c r="BD25" s="243" t="s">
        <v>630</v>
      </c>
      <c r="BE25" s="15">
        <v>387260</v>
      </c>
      <c r="BF25" s="15">
        <v>383387</v>
      </c>
      <c r="BG25" s="242">
        <v>0</v>
      </c>
      <c r="BH25" s="15">
        <v>387260</v>
      </c>
      <c r="BI25" s="15">
        <v>383387</v>
      </c>
      <c r="BJ25" s="242">
        <v>0</v>
      </c>
      <c r="BK25" s="242">
        <v>0</v>
      </c>
      <c r="BL25" s="242"/>
      <c r="BM25" s="242">
        <v>1</v>
      </c>
      <c r="BN25" s="242">
        <v>0</v>
      </c>
      <c r="BO25" s="242">
        <v>0</v>
      </c>
      <c r="BP25" s="242"/>
      <c r="BQ25" s="242"/>
      <c r="BR25" s="242"/>
      <c r="BS25" s="242"/>
      <c r="BT25" s="295"/>
      <c r="BU25" s="295"/>
      <c r="BV25" s="295"/>
      <c r="BW25" s="295"/>
      <c r="BX25" s="242"/>
      <c r="BY25" s="242"/>
      <c r="BZ25" s="245"/>
      <c r="CA25" s="245"/>
      <c r="CB25" s="245"/>
      <c r="CC25" s="246" t="s">
        <v>709</v>
      </c>
      <c r="CD25" s="242">
        <v>0</v>
      </c>
      <c r="CE25" s="242">
        <v>0</v>
      </c>
      <c r="CF25" s="242">
        <v>0</v>
      </c>
      <c r="CG25" s="242">
        <v>0</v>
      </c>
      <c r="CH25" s="242">
        <v>0</v>
      </c>
      <c r="CI25" s="247" t="s">
        <v>633</v>
      </c>
      <c r="CJ25" s="248">
        <v>4363.25</v>
      </c>
      <c r="CK25" s="248">
        <v>4363.25</v>
      </c>
      <c r="CL25" s="248">
        <v>0</v>
      </c>
      <c r="CM25" s="248">
        <v>0</v>
      </c>
    </row>
    <row r="26" spans="1:91" x14ac:dyDescent="0.25">
      <c r="A26" s="231" t="s">
        <v>683</v>
      </c>
      <c r="B26" s="232" t="s">
        <v>684</v>
      </c>
      <c r="C26" s="232" t="s">
        <v>660</v>
      </c>
      <c r="D26" s="233"/>
      <c r="E26" s="234">
        <v>5304500</v>
      </c>
      <c r="F26" s="235">
        <v>5304500</v>
      </c>
      <c r="G26" s="236"/>
      <c r="H26" s="237"/>
      <c r="I26" s="238">
        <v>5304500</v>
      </c>
      <c r="J26" s="249"/>
      <c r="K26" s="240"/>
      <c r="L26" s="8">
        <v>23330.33</v>
      </c>
      <c r="M26" s="241">
        <v>4886443</v>
      </c>
      <c r="N26" s="71"/>
      <c r="O26" s="100"/>
      <c r="P26" s="9"/>
      <c r="Q26" s="9"/>
      <c r="R26" s="9"/>
      <c r="S26" s="152">
        <v>46660</v>
      </c>
      <c r="T26" s="10"/>
      <c r="U26" s="23"/>
      <c r="V26" s="11"/>
      <c r="W26" s="11"/>
      <c r="X26" s="8">
        <v>23330.33</v>
      </c>
      <c r="Y26" s="9"/>
      <c r="Z26" s="70">
        <v>0</v>
      </c>
      <c r="AA26" s="71"/>
      <c r="AB26" s="108"/>
      <c r="AC26" s="9"/>
      <c r="AD26" s="9"/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/>
      <c r="AM26" s="8">
        <v>23330.33</v>
      </c>
      <c r="AN26" s="9"/>
      <c r="AO26" s="9"/>
      <c r="AP26" s="10"/>
      <c r="AQ26" s="25"/>
      <c r="AR26" s="25"/>
      <c r="AS26" s="25"/>
      <c r="AT26" s="10"/>
      <c r="AU26" s="12">
        <v>0</v>
      </c>
      <c r="AV26" s="12"/>
      <c r="AW26" s="12"/>
      <c r="AX26" s="242"/>
      <c r="AY26" s="243"/>
      <c r="AZ26" s="242"/>
      <c r="BA26" s="242"/>
      <c r="BB26" s="244"/>
      <c r="BC26" s="243" t="s">
        <v>630</v>
      </c>
      <c r="BD26" s="243" t="s">
        <v>630</v>
      </c>
      <c r="BE26" s="15">
        <v>5304500</v>
      </c>
      <c r="BF26" s="15">
        <v>4886443</v>
      </c>
      <c r="BG26" s="242">
        <v>0</v>
      </c>
      <c r="BH26" s="15">
        <v>5304500</v>
      </c>
      <c r="BI26" s="15">
        <v>4886443</v>
      </c>
      <c r="BJ26" s="242">
        <v>0</v>
      </c>
      <c r="BK26" s="242">
        <v>0</v>
      </c>
      <c r="BL26" s="242"/>
      <c r="BM26" s="242">
        <v>1</v>
      </c>
      <c r="BN26" s="242">
        <v>0</v>
      </c>
      <c r="BO26" s="242">
        <v>0</v>
      </c>
      <c r="BP26" s="242"/>
      <c r="BQ26" s="242"/>
      <c r="BR26" s="242"/>
      <c r="BS26" s="242"/>
      <c r="BT26" s="295"/>
      <c r="BU26" s="295"/>
      <c r="BV26" s="295"/>
      <c r="BW26" s="295"/>
      <c r="BX26" s="242"/>
      <c r="BY26" s="242"/>
      <c r="BZ26" s="245"/>
      <c r="CA26" s="245"/>
      <c r="CB26" s="245"/>
      <c r="CC26" s="246" t="s">
        <v>709</v>
      </c>
      <c r="CD26" s="242">
        <v>0</v>
      </c>
      <c r="CE26" s="242">
        <v>0</v>
      </c>
      <c r="CF26" s="242">
        <v>0</v>
      </c>
      <c r="CG26" s="242">
        <v>0</v>
      </c>
      <c r="CH26" s="242">
        <v>0</v>
      </c>
      <c r="CI26" s="247" t="s">
        <v>633</v>
      </c>
      <c r="CJ26" s="248">
        <v>23330.33</v>
      </c>
      <c r="CK26" s="248">
        <v>23330.33</v>
      </c>
      <c r="CL26" s="248">
        <v>0</v>
      </c>
      <c r="CM26" s="248">
        <v>0</v>
      </c>
    </row>
    <row r="27" spans="1:91" x14ac:dyDescent="0.25">
      <c r="A27" s="231"/>
      <c r="B27" s="120" t="s">
        <v>685</v>
      </c>
      <c r="C27" s="232"/>
      <c r="D27" s="233"/>
      <c r="E27" s="277">
        <f>SUM(E8:E26)</f>
        <v>364497558.89999998</v>
      </c>
      <c r="F27" s="266">
        <f>SUM(F8:F26)</f>
        <v>365129155.5999999</v>
      </c>
      <c r="G27" s="236"/>
      <c r="H27" s="237"/>
      <c r="I27" s="278">
        <f>SUM(I8:I26)</f>
        <v>368131534.76999998</v>
      </c>
      <c r="J27" s="239"/>
      <c r="K27" s="240"/>
      <c r="L27" s="270">
        <f>SUM(L8:L26)</f>
        <v>324020241.10000002</v>
      </c>
      <c r="M27" s="279">
        <f>SUM(M8:M26)</f>
        <v>330178079.79999995</v>
      </c>
      <c r="N27" s="71"/>
      <c r="O27" s="100"/>
      <c r="P27" s="268">
        <f>SUM(P8:P26)</f>
        <v>0</v>
      </c>
      <c r="Q27" s="268">
        <f>SUM(Q8:Q26)</f>
        <v>36148145</v>
      </c>
      <c r="R27" s="268">
        <f>SUM(R8:R26)</f>
        <v>0</v>
      </c>
      <c r="S27" s="152"/>
      <c r="T27" s="10"/>
      <c r="U27" s="23"/>
      <c r="V27" s="269">
        <f>SUM(V8:V26)</f>
        <v>0</v>
      </c>
      <c r="W27" s="269">
        <f>SUM(W8:W26)</f>
        <v>0</v>
      </c>
      <c r="X27" s="270">
        <f>SUM(X8:X26)</f>
        <v>259938607.72999999</v>
      </c>
      <c r="Y27" s="268">
        <f>SUM(Y8:Y26)</f>
        <v>0</v>
      </c>
      <c r="Z27" s="280">
        <f>SUM(Z8:Z26)</f>
        <v>32144351.479999993</v>
      </c>
      <c r="AA27" s="71"/>
      <c r="AB27" s="108"/>
      <c r="AC27" s="268">
        <f>SUM(AC8:AC26)</f>
        <v>29830545.029999997</v>
      </c>
      <c r="AD27" s="268">
        <f>SUM(AD8:AD26)</f>
        <v>0</v>
      </c>
      <c r="AE27" s="10"/>
      <c r="AF27" s="24"/>
      <c r="AG27" s="269">
        <f>SUM(AG8:AG26)</f>
        <v>176065353.15000001</v>
      </c>
      <c r="AH27" s="270">
        <f>SUM(AH8:AH26)</f>
        <v>162573848.19</v>
      </c>
      <c r="AI27" s="268">
        <f>SUM(AI8:AI26)</f>
        <v>13491504.959999999</v>
      </c>
      <c r="AJ27" s="268">
        <f>SUM(AJ8:AJ26)</f>
        <v>13491504.959999999</v>
      </c>
      <c r="AK27" s="10"/>
      <c r="AL27" s="269">
        <f>SUM(AL8:AL26)</f>
        <v>0</v>
      </c>
      <c r="AM27" s="270">
        <f>SUM(AM8:AM26)</f>
        <v>97364759.539999992</v>
      </c>
      <c r="AN27" s="268">
        <f>SUM(AN8:AN26)</f>
        <v>0</v>
      </c>
      <c r="AO27" s="268">
        <f>SUM(AO8:AO26)</f>
        <v>0</v>
      </c>
      <c r="AP27" s="10"/>
      <c r="AQ27" s="281">
        <f>SUM(AQ8:AQ26)</f>
        <v>0</v>
      </c>
      <c r="AR27" s="281">
        <f>SUM(AR8:AR26)</f>
        <v>0</v>
      </c>
      <c r="AS27" s="281">
        <f>SUM(AS8:AS26)</f>
        <v>0</v>
      </c>
      <c r="AT27" s="10"/>
      <c r="AU27" s="282">
        <f>SUM(AU8:AU26)</f>
        <v>298824794.78999996</v>
      </c>
      <c r="AV27" s="282">
        <f>SUM(AV8:AV26)</f>
        <v>0</v>
      </c>
      <c r="AW27" s="282">
        <f>SUM(AW8:AW26)</f>
        <v>0</v>
      </c>
      <c r="AX27" s="242"/>
      <c r="AY27" s="243"/>
      <c r="AZ27" s="242"/>
      <c r="BA27" s="242"/>
      <c r="BB27" s="244"/>
      <c r="BC27" s="243"/>
      <c r="BD27" s="243"/>
      <c r="BE27" s="242"/>
      <c r="BF27" s="242"/>
      <c r="BG27" s="242"/>
      <c r="BH27" s="242"/>
      <c r="BI27" s="242"/>
      <c r="BJ27" s="242"/>
      <c r="BK27" s="242"/>
      <c r="BL27" s="242"/>
      <c r="BM27" s="242"/>
      <c r="BN27" s="242"/>
      <c r="BO27" s="242"/>
      <c r="BP27" s="242"/>
      <c r="BQ27" s="242"/>
      <c r="BR27" s="242"/>
      <c r="BS27" s="242"/>
      <c r="BT27" s="295"/>
      <c r="BU27" s="295"/>
      <c r="BV27" s="295"/>
      <c r="BW27" s="295"/>
      <c r="BX27" s="242"/>
      <c r="BY27" s="242"/>
      <c r="BZ27" s="245"/>
      <c r="CA27" s="245"/>
      <c r="CB27" s="245"/>
      <c r="CC27" s="246"/>
      <c r="CD27" s="242"/>
      <c r="CE27" s="242"/>
      <c r="CF27" s="242"/>
      <c r="CG27" s="242"/>
      <c r="CH27" s="242"/>
      <c r="CI27" s="247"/>
      <c r="CJ27" s="248"/>
      <c r="CK27" s="248"/>
      <c r="CL27" s="248"/>
      <c r="CM27" s="248"/>
    </row>
    <row r="28" spans="1:91" x14ac:dyDescent="0.25">
      <c r="A28" s="231"/>
      <c r="B28" s="232"/>
      <c r="C28" s="232"/>
      <c r="D28" s="233"/>
      <c r="E28" s="234"/>
      <c r="F28" s="235"/>
      <c r="G28" s="236"/>
      <c r="H28" s="237"/>
      <c r="I28" s="238"/>
      <c r="J28" s="239"/>
      <c r="K28" s="240"/>
      <c r="L28" s="8"/>
      <c r="M28" s="241"/>
      <c r="N28" s="239"/>
      <c r="O28" s="240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2"/>
      <c r="AY28" s="243"/>
      <c r="AZ28" s="242"/>
      <c r="BA28" s="242"/>
      <c r="BB28" s="244"/>
      <c r="BC28" s="243"/>
      <c r="BD28" s="243"/>
      <c r="BE28" s="242"/>
      <c r="BF28" s="242"/>
      <c r="BG28" s="242"/>
      <c r="BH28" s="242"/>
      <c r="BI28" s="242"/>
      <c r="BJ28" s="242"/>
      <c r="BK28" s="242"/>
      <c r="BL28" s="242"/>
      <c r="BM28" s="242"/>
      <c r="BN28" s="242"/>
      <c r="BO28" s="242"/>
      <c r="BP28" s="242"/>
      <c r="BQ28" s="242"/>
      <c r="BR28" s="242"/>
      <c r="BS28" s="242"/>
      <c r="BT28" s="295"/>
      <c r="BU28" s="295"/>
      <c r="BV28" s="295"/>
      <c r="BW28" s="295"/>
      <c r="BX28" s="242"/>
      <c r="BY28" s="242"/>
      <c r="BZ28" s="245"/>
      <c r="CA28" s="245"/>
      <c r="CB28" s="245"/>
      <c r="CC28" s="246"/>
      <c r="CD28" s="242"/>
      <c r="CE28" s="242"/>
      <c r="CF28" s="242"/>
      <c r="CG28" s="242"/>
      <c r="CH28" s="242"/>
      <c r="CI28" s="247"/>
      <c r="CJ28" s="248"/>
      <c r="CK28" s="248"/>
      <c r="CL28" s="248"/>
      <c r="CM28" s="248"/>
    </row>
    <row r="29" spans="1:91" x14ac:dyDescent="0.25">
      <c r="A29" s="231"/>
      <c r="B29" s="120" t="s">
        <v>632</v>
      </c>
      <c r="C29" s="232"/>
      <c r="D29" s="233"/>
      <c r="E29" s="234"/>
      <c r="F29" s="235"/>
      <c r="G29" s="236"/>
      <c r="H29" s="237"/>
      <c r="I29" s="238"/>
      <c r="J29" s="239"/>
      <c r="K29" s="240"/>
      <c r="L29" s="8"/>
      <c r="M29" s="241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2"/>
      <c r="AY29" s="243"/>
      <c r="AZ29" s="242"/>
      <c r="BA29" s="242"/>
      <c r="BB29" s="244"/>
      <c r="BC29" s="243"/>
      <c r="BD29" s="243"/>
      <c r="BE29" s="242"/>
      <c r="BF29" s="242"/>
      <c r="BG29" s="242"/>
      <c r="BH29" s="242"/>
      <c r="BI29" s="242"/>
      <c r="BJ29" s="242"/>
      <c r="BK29" s="242"/>
      <c r="BL29" s="242"/>
      <c r="BM29" s="242"/>
      <c r="BN29" s="242"/>
      <c r="BO29" s="242"/>
      <c r="BP29" s="242"/>
      <c r="BQ29" s="242"/>
      <c r="BR29" s="242"/>
      <c r="BS29" s="242"/>
      <c r="BT29" s="295"/>
      <c r="BU29" s="295"/>
      <c r="BV29" s="295"/>
      <c r="BW29" s="295"/>
      <c r="BX29" s="242"/>
      <c r="BY29" s="242"/>
      <c r="BZ29" s="245"/>
      <c r="CA29" s="245"/>
      <c r="CB29" s="245"/>
      <c r="CC29" s="246"/>
      <c r="CD29" s="242"/>
      <c r="CE29" s="242"/>
      <c r="CF29" s="242"/>
      <c r="CG29" s="242"/>
      <c r="CH29" s="242"/>
      <c r="CI29" s="247"/>
      <c r="CJ29" s="248"/>
      <c r="CK29" s="248"/>
      <c r="CL29" s="248"/>
      <c r="CM29" s="248"/>
    </row>
    <row r="30" spans="1:91" x14ac:dyDescent="0.25">
      <c r="A30" s="231" t="s">
        <v>686</v>
      </c>
      <c r="B30" s="232" t="s">
        <v>687</v>
      </c>
      <c r="C30" s="232" t="s">
        <v>648</v>
      </c>
      <c r="D30" s="233"/>
      <c r="E30" s="234">
        <v>330432.26</v>
      </c>
      <c r="F30" s="235">
        <v>330432.26</v>
      </c>
      <c r="G30" s="236"/>
      <c r="H30" s="237"/>
      <c r="I30" s="238">
        <v>372738</v>
      </c>
      <c r="J30" s="239"/>
      <c r="K30" s="240"/>
      <c r="L30" s="8">
        <v>326838.23</v>
      </c>
      <c r="M30" s="241">
        <v>331855.28000000003</v>
      </c>
      <c r="N30" s="71"/>
      <c r="O30" s="100"/>
      <c r="P30" s="9"/>
      <c r="Q30" s="9">
        <v>40882.719999999972</v>
      </c>
      <c r="R30" s="9"/>
      <c r="S30" s="152">
        <v>45930</v>
      </c>
      <c r="T30" s="10"/>
      <c r="U30" s="23"/>
      <c r="V30" s="11"/>
      <c r="W30" s="11"/>
      <c r="X30" s="8">
        <v>331855.28000000003</v>
      </c>
      <c r="Y30" s="9"/>
      <c r="Z30" s="70">
        <v>40882.720000000001</v>
      </c>
      <c r="AA30" s="71"/>
      <c r="AB30" s="108"/>
      <c r="AC30" s="9">
        <v>40882.720000000001</v>
      </c>
      <c r="AD30" s="9"/>
      <c r="AE30" s="10"/>
      <c r="AF30" s="24">
        <v>0.86797902913960223</v>
      </c>
      <c r="AG30" s="11">
        <v>320484.99</v>
      </c>
      <c r="AH30" s="8">
        <v>303125.40999999997</v>
      </c>
      <c r="AI30" s="9">
        <v>17359.580000000002</v>
      </c>
      <c r="AJ30" s="9">
        <v>17359.580000000002</v>
      </c>
      <c r="AK30" s="10"/>
      <c r="AL30" s="11"/>
      <c r="AM30" s="8">
        <v>28729.87</v>
      </c>
      <c r="AN30" s="9"/>
      <c r="AO30" s="9"/>
      <c r="AP30" s="10"/>
      <c r="AQ30" s="25"/>
      <c r="AR30" s="25"/>
      <c r="AS30" s="25"/>
      <c r="AT30" s="10"/>
      <c r="AU30" s="12">
        <v>372738</v>
      </c>
      <c r="AV30" s="12"/>
      <c r="AW30" s="12"/>
      <c r="AX30" s="242"/>
      <c r="AY30" s="243"/>
      <c r="AZ30" s="242"/>
      <c r="BA30" s="242"/>
      <c r="BB30" s="244"/>
      <c r="BC30" s="243" t="s">
        <v>630</v>
      </c>
      <c r="BD30" s="243" t="s">
        <v>630</v>
      </c>
      <c r="BE30" s="15">
        <v>372738</v>
      </c>
      <c r="BF30" s="15">
        <v>331855.28000000003</v>
      </c>
      <c r="BG30" s="15">
        <v>40882.720000000001</v>
      </c>
      <c r="BH30" s="15">
        <v>372738</v>
      </c>
      <c r="BI30" s="15">
        <v>331855.28000000003</v>
      </c>
      <c r="BJ30" s="242">
        <v>0</v>
      </c>
      <c r="BK30" s="242">
        <v>40882.720000000001</v>
      </c>
      <c r="BL30" s="242"/>
      <c r="BM30" s="242">
        <v>2</v>
      </c>
      <c r="BN30" s="242">
        <v>40882.719999999972</v>
      </c>
      <c r="BO30" s="242">
        <v>40882.719999999972</v>
      </c>
      <c r="BP30" s="242"/>
      <c r="BQ30" s="242"/>
      <c r="BR30" s="242"/>
      <c r="BS30" s="242"/>
      <c r="BT30" s="295"/>
      <c r="BU30" s="295"/>
      <c r="BV30" s="295"/>
      <c r="BW30" s="295"/>
      <c r="BX30" s="242"/>
      <c r="BY30" s="242"/>
      <c r="BZ30" s="245"/>
      <c r="CA30" s="245"/>
      <c r="CB30" s="292">
        <v>40882.720000000001</v>
      </c>
      <c r="CC30" s="246" t="s">
        <v>709</v>
      </c>
      <c r="CD30" s="242">
        <v>0</v>
      </c>
      <c r="CE30" s="242">
        <v>286808.26</v>
      </c>
      <c r="CF30" s="242">
        <v>349231.26</v>
      </c>
      <c r="CG30" s="242">
        <v>286808.26</v>
      </c>
      <c r="CH30" s="242">
        <v>349231.26</v>
      </c>
      <c r="CI30" s="247" t="s">
        <v>633</v>
      </c>
      <c r="CJ30" s="248">
        <v>331855.28000000003</v>
      </c>
      <c r="CK30" s="248">
        <v>28729.87</v>
      </c>
      <c r="CL30" s="248">
        <v>372738</v>
      </c>
      <c r="CM30" s="248">
        <v>0</v>
      </c>
    </row>
    <row r="31" spans="1:91" x14ac:dyDescent="0.25">
      <c r="A31" s="231" t="s">
        <v>688</v>
      </c>
      <c r="B31" s="232" t="s">
        <v>689</v>
      </c>
      <c r="C31" s="232" t="s">
        <v>640</v>
      </c>
      <c r="D31" s="233"/>
      <c r="E31" s="234">
        <v>5772260</v>
      </c>
      <c r="F31" s="235">
        <v>5772260</v>
      </c>
      <c r="G31" s="236"/>
      <c r="H31" s="237"/>
      <c r="I31" s="238">
        <v>5483550</v>
      </c>
      <c r="J31" s="239"/>
      <c r="K31" s="240"/>
      <c r="L31" s="8">
        <v>4488653.8</v>
      </c>
      <c r="M31" s="241">
        <v>4531817.8600000003</v>
      </c>
      <c r="N31" s="71"/>
      <c r="O31" s="100"/>
      <c r="P31" s="9"/>
      <c r="Q31" s="9">
        <v>1233606</v>
      </c>
      <c r="R31" s="9"/>
      <c r="S31" s="152">
        <v>46022</v>
      </c>
      <c r="T31" s="10"/>
      <c r="U31" s="23"/>
      <c r="V31" s="11"/>
      <c r="W31" s="11"/>
      <c r="X31" s="8">
        <v>4531817.8600000003</v>
      </c>
      <c r="Y31" s="9"/>
      <c r="Z31" s="70">
        <v>951732.14</v>
      </c>
      <c r="AA31" s="71"/>
      <c r="AB31" s="108"/>
      <c r="AC31" s="9">
        <v>1220015.95</v>
      </c>
      <c r="AD31" s="9"/>
      <c r="AE31" s="10"/>
      <c r="AF31" s="24">
        <v>0.89283033653191535</v>
      </c>
      <c r="AG31" s="11">
        <v>4988238.63</v>
      </c>
      <c r="AH31" s="8">
        <v>4229332.84</v>
      </c>
      <c r="AI31" s="9">
        <v>758905.79</v>
      </c>
      <c r="AJ31" s="9">
        <v>758905.79</v>
      </c>
      <c r="AK31" s="10"/>
      <c r="AL31" s="11"/>
      <c r="AM31" s="8">
        <v>302485.02</v>
      </c>
      <c r="AN31" s="9"/>
      <c r="AO31" s="9"/>
      <c r="AP31" s="10"/>
      <c r="AQ31" s="25"/>
      <c r="AR31" s="25"/>
      <c r="AS31" s="25"/>
      <c r="AT31" s="10"/>
      <c r="AU31" s="12">
        <v>5483550</v>
      </c>
      <c r="AV31" s="12"/>
      <c r="AW31" s="12"/>
      <c r="AX31" s="242"/>
      <c r="AY31" s="243"/>
      <c r="AZ31" s="242"/>
      <c r="BA31" s="242"/>
      <c r="BB31" s="244"/>
      <c r="BC31" s="243" t="s">
        <v>630</v>
      </c>
      <c r="BD31" s="243" t="s">
        <v>630</v>
      </c>
      <c r="BE31" s="15">
        <v>5483550</v>
      </c>
      <c r="BF31" s="15">
        <v>4531817.8600000003</v>
      </c>
      <c r="BG31" s="15">
        <v>951732.14</v>
      </c>
      <c r="BH31" s="15">
        <v>5483550</v>
      </c>
      <c r="BI31" s="15">
        <v>4531817.8600000003</v>
      </c>
      <c r="BJ31" s="242">
        <v>0</v>
      </c>
      <c r="BK31" s="242">
        <v>1220015.95</v>
      </c>
      <c r="BL31" s="242"/>
      <c r="BM31" s="242">
        <v>2</v>
      </c>
      <c r="BN31" s="242">
        <v>1233606</v>
      </c>
      <c r="BO31" s="242">
        <v>986135</v>
      </c>
      <c r="BP31" s="242"/>
      <c r="BQ31" s="242"/>
      <c r="BR31" s="242"/>
      <c r="BS31" s="242"/>
      <c r="BT31" s="295"/>
      <c r="BU31" s="295"/>
      <c r="BV31" s="295"/>
      <c r="BW31" s="295"/>
      <c r="BX31" s="242"/>
      <c r="BY31" s="242"/>
      <c r="BZ31" s="245"/>
      <c r="CA31" s="245"/>
      <c r="CB31" s="292">
        <v>951732.14</v>
      </c>
      <c r="CC31" s="246" t="s">
        <v>709</v>
      </c>
      <c r="CD31" s="242">
        <v>0</v>
      </c>
      <c r="CE31" s="242">
        <v>5153646.9000000004</v>
      </c>
      <c r="CF31" s="242">
        <v>4736995</v>
      </c>
      <c r="CG31" s="242">
        <v>5153646.9000000004</v>
      </c>
      <c r="CH31" s="242">
        <v>4736995</v>
      </c>
      <c r="CI31" s="247" t="s">
        <v>633</v>
      </c>
      <c r="CJ31" s="248">
        <v>4531817.8600000003</v>
      </c>
      <c r="CK31" s="248">
        <v>302485.02</v>
      </c>
      <c r="CL31" s="248">
        <v>5483550</v>
      </c>
      <c r="CM31" s="248">
        <v>0</v>
      </c>
    </row>
    <row r="32" spans="1:91" x14ac:dyDescent="0.25">
      <c r="A32" s="231" t="s">
        <v>690</v>
      </c>
      <c r="B32" s="232" t="s">
        <v>691</v>
      </c>
      <c r="C32" s="232" t="s">
        <v>648</v>
      </c>
      <c r="D32" s="233"/>
      <c r="E32" s="234">
        <v>1031404.75</v>
      </c>
      <c r="F32" s="235">
        <v>1031404.75</v>
      </c>
      <c r="G32" s="236"/>
      <c r="H32" s="237"/>
      <c r="I32" s="238">
        <v>1120182.07</v>
      </c>
      <c r="J32" s="239"/>
      <c r="K32" s="240"/>
      <c r="L32" s="8">
        <v>1090952.6299999999</v>
      </c>
      <c r="M32" s="241">
        <v>1167704.1499999999</v>
      </c>
      <c r="N32" s="71"/>
      <c r="O32" s="100"/>
      <c r="P32" s="9"/>
      <c r="Q32" s="9">
        <v>-47522.079999999842</v>
      </c>
      <c r="R32" s="9"/>
      <c r="S32" s="152">
        <v>45991</v>
      </c>
      <c r="T32" s="10"/>
      <c r="U32" s="23"/>
      <c r="V32" s="11"/>
      <c r="W32" s="11"/>
      <c r="X32" s="8">
        <v>1167704.1499999999</v>
      </c>
      <c r="Y32" s="9"/>
      <c r="Z32" s="70">
        <v>-47522.080000000002</v>
      </c>
      <c r="AA32" s="71"/>
      <c r="AB32" s="108"/>
      <c r="AC32" s="9">
        <v>-47522.080000000002</v>
      </c>
      <c r="AD32" s="9"/>
      <c r="AE32" s="10"/>
      <c r="AF32" s="24">
        <v>0.83835191671689502</v>
      </c>
      <c r="AG32" s="11">
        <v>864680.15</v>
      </c>
      <c r="AH32" s="8">
        <v>786902.05</v>
      </c>
      <c r="AI32" s="9">
        <v>77778.100000000006</v>
      </c>
      <c r="AJ32" s="9">
        <v>77778.100000000006</v>
      </c>
      <c r="AK32" s="10"/>
      <c r="AL32" s="11"/>
      <c r="AM32" s="8">
        <v>380802.1</v>
      </c>
      <c r="AN32" s="9"/>
      <c r="AO32" s="9"/>
      <c r="AP32" s="10"/>
      <c r="AQ32" s="25"/>
      <c r="AR32" s="25"/>
      <c r="AS32" s="25"/>
      <c r="AT32" s="10"/>
      <c r="AU32" s="12">
        <v>1120182.07</v>
      </c>
      <c r="AV32" s="12"/>
      <c r="AW32" s="12"/>
      <c r="AX32" s="242"/>
      <c r="AY32" s="243"/>
      <c r="AZ32" s="242"/>
      <c r="BA32" s="242"/>
      <c r="BB32" s="244"/>
      <c r="BC32" s="243" t="s">
        <v>630</v>
      </c>
      <c r="BD32" s="243" t="s">
        <v>630</v>
      </c>
      <c r="BE32" s="15">
        <v>1120182.07</v>
      </c>
      <c r="BF32" s="15">
        <v>1167704.1499999999</v>
      </c>
      <c r="BG32" s="15">
        <v>-47522.080000000002</v>
      </c>
      <c r="BH32" s="15">
        <v>1120182.07</v>
      </c>
      <c r="BI32" s="15">
        <v>1167704.1499999999</v>
      </c>
      <c r="BJ32" s="242">
        <v>0</v>
      </c>
      <c r="BK32" s="242">
        <v>-47522.080000000002</v>
      </c>
      <c r="BL32" s="242"/>
      <c r="BM32" s="242">
        <v>2</v>
      </c>
      <c r="BN32" s="242">
        <v>-47522.079999999842</v>
      </c>
      <c r="BO32" s="242">
        <v>-50372.729999999981</v>
      </c>
      <c r="BP32" s="242"/>
      <c r="BQ32" s="242"/>
      <c r="BR32" s="242"/>
      <c r="BS32" s="242"/>
      <c r="BT32" s="295"/>
      <c r="BU32" s="295"/>
      <c r="BV32" s="295"/>
      <c r="BW32" s="295"/>
      <c r="BX32" s="242"/>
      <c r="BY32" s="242"/>
      <c r="BZ32" s="245"/>
      <c r="CA32" s="245"/>
      <c r="CB32" s="292">
        <v>-47522.080000000002</v>
      </c>
      <c r="CC32" s="246" t="s">
        <v>709</v>
      </c>
      <c r="CD32" s="242">
        <v>0</v>
      </c>
      <c r="CE32" s="242">
        <v>864679.2</v>
      </c>
      <c r="CF32" s="242">
        <v>938629.75</v>
      </c>
      <c r="CG32" s="242">
        <v>864679.2</v>
      </c>
      <c r="CH32" s="242">
        <v>938629.75</v>
      </c>
      <c r="CI32" s="247" t="s">
        <v>633</v>
      </c>
      <c r="CJ32" s="248">
        <v>1167704.1499999999</v>
      </c>
      <c r="CK32" s="248">
        <v>380802.1</v>
      </c>
      <c r="CL32" s="248">
        <v>1120182.07</v>
      </c>
      <c r="CM32" s="248">
        <v>0</v>
      </c>
    </row>
    <row r="33" spans="1:91" x14ac:dyDescent="0.25">
      <c r="A33" s="231" t="s">
        <v>692</v>
      </c>
      <c r="B33" s="232" t="s">
        <v>693</v>
      </c>
      <c r="C33" s="232" t="s">
        <v>648</v>
      </c>
      <c r="D33" s="233"/>
      <c r="E33" s="234">
        <v>61902</v>
      </c>
      <c r="F33" s="235">
        <v>61902</v>
      </c>
      <c r="G33" s="236"/>
      <c r="H33" s="237"/>
      <c r="I33" s="238">
        <v>61902</v>
      </c>
      <c r="J33" s="239"/>
      <c r="K33" s="240"/>
      <c r="L33" s="8">
        <v>62149.86</v>
      </c>
      <c r="M33" s="241">
        <v>56994.44</v>
      </c>
      <c r="N33" s="71"/>
      <c r="O33" s="100"/>
      <c r="P33" s="9"/>
      <c r="Q33" s="9">
        <v>10207.729999999996</v>
      </c>
      <c r="R33" s="9"/>
      <c r="S33" s="152">
        <v>46022</v>
      </c>
      <c r="T33" s="10"/>
      <c r="U33" s="23"/>
      <c r="V33" s="11"/>
      <c r="W33" s="11"/>
      <c r="X33" s="8">
        <v>56994.44</v>
      </c>
      <c r="Y33" s="9"/>
      <c r="Z33" s="70">
        <v>4907.5600000000004</v>
      </c>
      <c r="AA33" s="71"/>
      <c r="AB33" s="108"/>
      <c r="AC33" s="9">
        <v>10207.73</v>
      </c>
      <c r="AD33" s="9"/>
      <c r="AE33" s="10"/>
      <c r="AF33" s="24">
        <v>0.91397047138375964</v>
      </c>
      <c r="AG33" s="11">
        <v>61420.800000000003</v>
      </c>
      <c r="AH33" s="8">
        <v>56994.44</v>
      </c>
      <c r="AI33" s="9">
        <v>4426.3599999999997</v>
      </c>
      <c r="AJ33" s="9">
        <v>4426.3599999999997</v>
      </c>
      <c r="AK33" s="10"/>
      <c r="AL33" s="11"/>
      <c r="AM33" s="8">
        <v>0</v>
      </c>
      <c r="AN33" s="9"/>
      <c r="AO33" s="9"/>
      <c r="AP33" s="10"/>
      <c r="AQ33" s="25"/>
      <c r="AR33" s="25"/>
      <c r="AS33" s="25"/>
      <c r="AT33" s="10"/>
      <c r="AU33" s="12">
        <v>61902</v>
      </c>
      <c r="AV33" s="12"/>
      <c r="AW33" s="12"/>
      <c r="AX33" s="242"/>
      <c r="AY33" s="243"/>
      <c r="AZ33" s="242"/>
      <c r="BA33" s="242"/>
      <c r="BB33" s="244"/>
      <c r="BC33" s="243" t="s">
        <v>630</v>
      </c>
      <c r="BD33" s="243" t="s">
        <v>630</v>
      </c>
      <c r="BE33" s="15">
        <v>61902</v>
      </c>
      <c r="BF33" s="15">
        <v>56994.44</v>
      </c>
      <c r="BG33" s="15">
        <v>4907.5600000000004</v>
      </c>
      <c r="BH33" s="15">
        <v>61902</v>
      </c>
      <c r="BI33" s="15">
        <v>56994.44</v>
      </c>
      <c r="BJ33" s="242">
        <v>0</v>
      </c>
      <c r="BK33" s="242">
        <v>10207.73</v>
      </c>
      <c r="BL33" s="242"/>
      <c r="BM33" s="242">
        <v>2</v>
      </c>
      <c r="BN33" s="242">
        <v>10207.729999999996</v>
      </c>
      <c r="BO33" s="242">
        <v>4843</v>
      </c>
      <c r="BP33" s="242"/>
      <c r="BQ33" s="242"/>
      <c r="BR33" s="242"/>
      <c r="BS33" s="242"/>
      <c r="BT33" s="295"/>
      <c r="BU33" s="295"/>
      <c r="BV33" s="295"/>
      <c r="BW33" s="295"/>
      <c r="BX33" s="242"/>
      <c r="BY33" s="242"/>
      <c r="BZ33" s="245"/>
      <c r="CA33" s="245"/>
      <c r="CB33" s="292">
        <v>4907.5600000000004</v>
      </c>
      <c r="CC33" s="246" t="s">
        <v>709</v>
      </c>
      <c r="CD33" s="242">
        <v>0</v>
      </c>
      <c r="CE33" s="242">
        <v>56576.57</v>
      </c>
      <c r="CF33" s="242">
        <v>62359.17</v>
      </c>
      <c r="CG33" s="242">
        <v>56576.57</v>
      </c>
      <c r="CH33" s="242">
        <v>62359.17</v>
      </c>
      <c r="CI33" s="247" t="s">
        <v>633</v>
      </c>
      <c r="CJ33" s="248">
        <v>56994.44</v>
      </c>
      <c r="CK33" s="248">
        <v>0</v>
      </c>
      <c r="CL33" s="248">
        <v>61902</v>
      </c>
      <c r="CM33" s="248">
        <v>0</v>
      </c>
    </row>
    <row r="34" spans="1:91" x14ac:dyDescent="0.25">
      <c r="A34" s="231" t="s">
        <v>694</v>
      </c>
      <c r="B34" s="232" t="s">
        <v>695</v>
      </c>
      <c r="C34" s="232" t="s">
        <v>660</v>
      </c>
      <c r="D34" s="233"/>
      <c r="E34" s="234">
        <v>3967189.79</v>
      </c>
      <c r="F34" s="235">
        <v>3967189.79</v>
      </c>
      <c r="G34" s="236"/>
      <c r="H34" s="237"/>
      <c r="I34" s="238">
        <v>3967189.79</v>
      </c>
      <c r="J34" s="239"/>
      <c r="K34" s="240"/>
      <c r="L34" s="8">
        <v>3835415.47</v>
      </c>
      <c r="M34" s="241">
        <v>3835094.73</v>
      </c>
      <c r="N34" s="71"/>
      <c r="O34" s="100"/>
      <c r="P34" s="9"/>
      <c r="Q34" s="9">
        <v>132095.06000000006</v>
      </c>
      <c r="R34" s="9"/>
      <c r="S34" s="152">
        <v>45930</v>
      </c>
      <c r="T34" s="10"/>
      <c r="U34" s="23"/>
      <c r="V34" s="11"/>
      <c r="W34" s="11"/>
      <c r="X34" s="8">
        <v>3835094.73</v>
      </c>
      <c r="Y34" s="9"/>
      <c r="Z34" s="70">
        <v>132095.06</v>
      </c>
      <c r="AA34" s="71"/>
      <c r="AB34" s="108"/>
      <c r="AC34" s="9">
        <v>132095.06</v>
      </c>
      <c r="AD34" s="9"/>
      <c r="AE34" s="10"/>
      <c r="AF34" s="24">
        <v>0.78353233990800963</v>
      </c>
      <c r="AG34" s="11">
        <v>3189826.0599999996</v>
      </c>
      <c r="AH34" s="8">
        <v>3109905.76</v>
      </c>
      <c r="AI34" s="9">
        <v>79920.3</v>
      </c>
      <c r="AJ34" s="9">
        <v>79920.3</v>
      </c>
      <c r="AK34" s="10"/>
      <c r="AL34" s="11"/>
      <c r="AM34" s="8">
        <v>725188.97</v>
      </c>
      <c r="AN34" s="9"/>
      <c r="AO34" s="9"/>
      <c r="AP34" s="10"/>
      <c r="AQ34" s="25"/>
      <c r="AR34" s="25"/>
      <c r="AS34" s="25"/>
      <c r="AT34" s="10"/>
      <c r="AU34" s="12">
        <v>3967189.79</v>
      </c>
      <c r="AV34" s="12"/>
      <c r="AW34" s="12"/>
      <c r="AX34" s="242"/>
      <c r="AY34" s="243"/>
      <c r="AZ34" s="242"/>
      <c r="BA34" s="242"/>
      <c r="BB34" s="244"/>
      <c r="BC34" s="243" t="s">
        <v>630</v>
      </c>
      <c r="BD34" s="243" t="s">
        <v>630</v>
      </c>
      <c r="BE34" s="15">
        <v>3967189.79</v>
      </c>
      <c r="BF34" s="15">
        <v>3835094.73</v>
      </c>
      <c r="BG34" s="15">
        <v>132095.06</v>
      </c>
      <c r="BH34" s="15">
        <v>3967189.79</v>
      </c>
      <c r="BI34" s="15">
        <v>3835094.73</v>
      </c>
      <c r="BJ34" s="242">
        <v>0</v>
      </c>
      <c r="BK34" s="242">
        <v>132095.06</v>
      </c>
      <c r="BL34" s="242"/>
      <c r="BM34" s="242">
        <v>2</v>
      </c>
      <c r="BN34" s="242">
        <v>132095.06000000006</v>
      </c>
      <c r="BO34" s="242">
        <v>121085.87999999989</v>
      </c>
      <c r="BP34" s="242"/>
      <c r="BQ34" s="242"/>
      <c r="BR34" s="242"/>
      <c r="BS34" s="242"/>
      <c r="BT34" s="295"/>
      <c r="BU34" s="295"/>
      <c r="BV34" s="295"/>
      <c r="BW34" s="295"/>
      <c r="BX34" s="242"/>
      <c r="BY34" s="242"/>
      <c r="BZ34" s="245"/>
      <c r="CA34" s="245"/>
      <c r="CB34" s="292">
        <v>132095.06</v>
      </c>
      <c r="CC34" s="246" t="s">
        <v>709</v>
      </c>
      <c r="CD34" s="242">
        <v>0</v>
      </c>
      <c r="CE34" s="242">
        <v>3108420.15</v>
      </c>
      <c r="CF34" s="242">
        <v>3969084.11</v>
      </c>
      <c r="CG34" s="242">
        <v>3108420.15</v>
      </c>
      <c r="CH34" s="242">
        <v>3969084.11</v>
      </c>
      <c r="CI34" s="247" t="s">
        <v>633</v>
      </c>
      <c r="CJ34" s="248">
        <v>3835094.73</v>
      </c>
      <c r="CK34" s="248">
        <v>725188.97</v>
      </c>
      <c r="CL34" s="248">
        <v>3967189.79</v>
      </c>
      <c r="CM34" s="248">
        <v>0</v>
      </c>
    </row>
    <row r="35" spans="1:91" x14ac:dyDescent="0.25">
      <c r="A35" s="231" t="s">
        <v>696</v>
      </c>
      <c r="B35" s="232" t="s">
        <v>697</v>
      </c>
      <c r="C35" s="232" t="s">
        <v>660</v>
      </c>
      <c r="D35" s="233"/>
      <c r="E35" s="234">
        <v>1991231.37</v>
      </c>
      <c r="F35" s="235">
        <v>1991231.37</v>
      </c>
      <c r="G35" s="236"/>
      <c r="H35" s="237"/>
      <c r="I35" s="238">
        <v>1991231.37</v>
      </c>
      <c r="J35" s="239"/>
      <c r="K35" s="240"/>
      <c r="L35" s="8">
        <v>1758132.57</v>
      </c>
      <c r="M35" s="241">
        <v>1758132.57</v>
      </c>
      <c r="N35" s="71"/>
      <c r="O35" s="100"/>
      <c r="P35" s="9"/>
      <c r="Q35" s="9">
        <v>233098.80000000005</v>
      </c>
      <c r="R35" s="9"/>
      <c r="S35" s="152">
        <v>45833</v>
      </c>
      <c r="T35" s="10"/>
      <c r="U35" s="23"/>
      <c r="V35" s="11"/>
      <c r="W35" s="11"/>
      <c r="X35" s="8">
        <v>1758132.57</v>
      </c>
      <c r="Y35" s="9"/>
      <c r="Z35" s="70">
        <v>233098.8</v>
      </c>
      <c r="AA35" s="71"/>
      <c r="AB35" s="108"/>
      <c r="AC35" s="9">
        <v>233098.8</v>
      </c>
      <c r="AD35" s="9"/>
      <c r="AE35" s="10"/>
      <c r="AF35" s="24">
        <v>0.98265983848796679</v>
      </c>
      <c r="AG35" s="11">
        <v>1956702.73</v>
      </c>
      <c r="AH35" s="8">
        <v>1730690.97</v>
      </c>
      <c r="AI35" s="9">
        <v>226011.76</v>
      </c>
      <c r="AJ35" s="9">
        <v>226011.76</v>
      </c>
      <c r="AK35" s="10"/>
      <c r="AL35" s="11"/>
      <c r="AM35" s="8">
        <v>27441.599999999999</v>
      </c>
      <c r="AN35" s="9"/>
      <c r="AO35" s="9"/>
      <c r="AP35" s="10"/>
      <c r="AQ35" s="25"/>
      <c r="AR35" s="25"/>
      <c r="AS35" s="25"/>
      <c r="AT35" s="10"/>
      <c r="AU35" s="12">
        <v>1991231.37</v>
      </c>
      <c r="AV35" s="12"/>
      <c r="AW35" s="12"/>
      <c r="AX35" s="242"/>
      <c r="AY35" s="243"/>
      <c r="AZ35" s="242"/>
      <c r="BA35" s="242"/>
      <c r="BB35" s="244"/>
      <c r="BC35" s="243" t="s">
        <v>630</v>
      </c>
      <c r="BD35" s="243" t="s">
        <v>630</v>
      </c>
      <c r="BE35" s="15">
        <v>1991231.37</v>
      </c>
      <c r="BF35" s="15">
        <v>1758132.57</v>
      </c>
      <c r="BG35" s="15">
        <v>233098.8</v>
      </c>
      <c r="BH35" s="15">
        <v>1991231.37</v>
      </c>
      <c r="BI35" s="15">
        <v>1758132.57</v>
      </c>
      <c r="BJ35" s="242">
        <v>0</v>
      </c>
      <c r="BK35" s="242">
        <v>233098.8</v>
      </c>
      <c r="BL35" s="242"/>
      <c r="BM35" s="242">
        <v>2</v>
      </c>
      <c r="BN35" s="242">
        <v>233098.80000000005</v>
      </c>
      <c r="BO35" s="242">
        <v>233098.80000000005</v>
      </c>
      <c r="BP35" s="242"/>
      <c r="BQ35" s="242"/>
      <c r="BR35" s="242"/>
      <c r="BS35" s="242"/>
      <c r="BT35" s="295"/>
      <c r="BU35" s="295"/>
      <c r="BV35" s="295"/>
      <c r="BW35" s="295"/>
      <c r="BX35" s="242"/>
      <c r="BY35" s="242"/>
      <c r="BZ35" s="245"/>
      <c r="CA35" s="245"/>
      <c r="CB35" s="292">
        <v>233098.8</v>
      </c>
      <c r="CC35" s="246" t="s">
        <v>709</v>
      </c>
      <c r="CD35" s="242">
        <v>0</v>
      </c>
      <c r="CE35" s="242">
        <v>1956701.43</v>
      </c>
      <c r="CF35" s="242">
        <v>1761231</v>
      </c>
      <c r="CG35" s="242">
        <v>1956701.43</v>
      </c>
      <c r="CH35" s="242">
        <v>1761231</v>
      </c>
      <c r="CI35" s="247" t="s">
        <v>633</v>
      </c>
      <c r="CJ35" s="248">
        <v>1758132.57</v>
      </c>
      <c r="CK35" s="248">
        <v>27441.599999999999</v>
      </c>
      <c r="CL35" s="248">
        <v>1991231.37</v>
      </c>
      <c r="CM35" s="248">
        <v>0</v>
      </c>
    </row>
    <row r="36" spans="1:91" x14ac:dyDescent="0.25">
      <c r="A36" s="231" t="s">
        <v>698</v>
      </c>
      <c r="B36" s="232" t="s">
        <v>699</v>
      </c>
      <c r="C36" s="232" t="s">
        <v>660</v>
      </c>
      <c r="D36" s="233"/>
      <c r="E36" s="234">
        <v>2742860.33</v>
      </c>
      <c r="F36" s="235">
        <v>2742860.33</v>
      </c>
      <c r="G36" s="236"/>
      <c r="H36" s="237"/>
      <c r="I36" s="238">
        <v>2742860.08</v>
      </c>
      <c r="J36" s="239"/>
      <c r="K36" s="240"/>
      <c r="L36" s="8">
        <v>2547017.9500000002</v>
      </c>
      <c r="M36" s="241">
        <v>2548724.92</v>
      </c>
      <c r="N36" s="71"/>
      <c r="O36" s="100"/>
      <c r="P36" s="9"/>
      <c r="Q36" s="9">
        <v>194246.66000000015</v>
      </c>
      <c r="R36" s="9"/>
      <c r="S36" s="152">
        <v>45961</v>
      </c>
      <c r="T36" s="10"/>
      <c r="U36" s="23"/>
      <c r="V36" s="11"/>
      <c r="W36" s="11"/>
      <c r="X36" s="8">
        <v>2548724.92</v>
      </c>
      <c r="Y36" s="9"/>
      <c r="Z36" s="70">
        <v>194135.16</v>
      </c>
      <c r="AA36" s="71"/>
      <c r="AB36" s="108"/>
      <c r="AC36" s="9">
        <v>194246.66</v>
      </c>
      <c r="AD36" s="9"/>
      <c r="AE36" s="10"/>
      <c r="AF36" s="24">
        <v>0.75461491270367043</v>
      </c>
      <c r="AG36" s="11">
        <v>1878196.86</v>
      </c>
      <c r="AH36" s="8">
        <v>1749912.32</v>
      </c>
      <c r="AI36" s="9">
        <v>128284.54</v>
      </c>
      <c r="AJ36" s="9">
        <v>128284.54</v>
      </c>
      <c r="AK36" s="10"/>
      <c r="AL36" s="11"/>
      <c r="AM36" s="8">
        <v>798812.6</v>
      </c>
      <c r="AN36" s="9"/>
      <c r="AO36" s="9"/>
      <c r="AP36" s="10"/>
      <c r="AQ36" s="25"/>
      <c r="AR36" s="25"/>
      <c r="AS36" s="25"/>
      <c r="AT36" s="10"/>
      <c r="AU36" s="12">
        <v>2742860.08</v>
      </c>
      <c r="AV36" s="12"/>
      <c r="AW36" s="12"/>
      <c r="AX36" s="242"/>
      <c r="AY36" s="243"/>
      <c r="AZ36" s="242"/>
      <c r="BA36" s="242"/>
      <c r="BB36" s="244"/>
      <c r="BC36" s="243" t="s">
        <v>630</v>
      </c>
      <c r="BD36" s="243" t="s">
        <v>630</v>
      </c>
      <c r="BE36" s="15">
        <v>2742860.08</v>
      </c>
      <c r="BF36" s="15">
        <v>2548724.92</v>
      </c>
      <c r="BG36" s="15">
        <v>194135.16</v>
      </c>
      <c r="BH36" s="15">
        <v>2742860.08</v>
      </c>
      <c r="BI36" s="15">
        <v>2548724.92</v>
      </c>
      <c r="BJ36" s="242">
        <v>0</v>
      </c>
      <c r="BK36" s="242">
        <v>194246.66</v>
      </c>
      <c r="BL36" s="242"/>
      <c r="BM36" s="242">
        <v>2</v>
      </c>
      <c r="BN36" s="242">
        <v>194246.66000000015</v>
      </c>
      <c r="BO36" s="242">
        <v>195000</v>
      </c>
      <c r="BP36" s="242"/>
      <c r="BQ36" s="242"/>
      <c r="BR36" s="242"/>
      <c r="BS36" s="242"/>
      <c r="BT36" s="295"/>
      <c r="BU36" s="295"/>
      <c r="BV36" s="295"/>
      <c r="BW36" s="295"/>
      <c r="BX36" s="242"/>
      <c r="BY36" s="242"/>
      <c r="BZ36" s="245"/>
      <c r="CA36" s="245"/>
      <c r="CB36" s="292">
        <v>194135.16</v>
      </c>
      <c r="CC36" s="246" t="s">
        <v>709</v>
      </c>
      <c r="CD36" s="242">
        <v>0</v>
      </c>
      <c r="CE36" s="242">
        <v>2069800.81</v>
      </c>
      <c r="CF36" s="242">
        <v>2318947.44</v>
      </c>
      <c r="CG36" s="242">
        <v>2069800.81</v>
      </c>
      <c r="CH36" s="242">
        <v>2318947.44</v>
      </c>
      <c r="CI36" s="247" t="s">
        <v>633</v>
      </c>
      <c r="CJ36" s="248">
        <v>2548724.92</v>
      </c>
      <c r="CK36" s="248">
        <v>798812.6</v>
      </c>
      <c r="CL36" s="248">
        <v>2742860.08</v>
      </c>
      <c r="CM36" s="248">
        <v>0</v>
      </c>
    </row>
    <row r="37" spans="1:91" x14ac:dyDescent="0.25">
      <c r="A37" s="231" t="s">
        <v>700</v>
      </c>
      <c r="B37" s="232" t="s">
        <v>701</v>
      </c>
      <c r="C37" s="232" t="s">
        <v>660</v>
      </c>
      <c r="D37" s="233"/>
      <c r="E37" s="234">
        <v>2486231.58</v>
      </c>
      <c r="F37" s="235">
        <v>2486231.58</v>
      </c>
      <c r="G37" s="236"/>
      <c r="H37" s="237"/>
      <c r="I37" s="238">
        <v>2486231.58</v>
      </c>
      <c r="J37" s="239"/>
      <c r="K37" s="240"/>
      <c r="L37" s="8">
        <v>2239435.52</v>
      </c>
      <c r="M37" s="241">
        <v>2239435.14</v>
      </c>
      <c r="N37" s="71"/>
      <c r="O37" s="100"/>
      <c r="P37" s="9"/>
      <c r="Q37" s="9">
        <v>246796.43999999994</v>
      </c>
      <c r="R37" s="9"/>
      <c r="S37" s="152">
        <v>45930</v>
      </c>
      <c r="T37" s="10"/>
      <c r="U37" s="23"/>
      <c r="V37" s="11"/>
      <c r="W37" s="11"/>
      <c r="X37" s="8">
        <v>2239435.14</v>
      </c>
      <c r="Y37" s="9"/>
      <c r="Z37" s="70">
        <v>246796.44</v>
      </c>
      <c r="AA37" s="71"/>
      <c r="AB37" s="108"/>
      <c r="AC37" s="9">
        <v>246796.44</v>
      </c>
      <c r="AD37" s="9"/>
      <c r="AE37" s="10"/>
      <c r="AF37" s="24">
        <v>0.91248940454480243</v>
      </c>
      <c r="AG37" s="11">
        <v>2237548.63</v>
      </c>
      <c r="AH37" s="8">
        <v>2071076.8</v>
      </c>
      <c r="AI37" s="9">
        <v>166471.82999999999</v>
      </c>
      <c r="AJ37" s="9">
        <v>166471.82999999999</v>
      </c>
      <c r="AK37" s="10"/>
      <c r="AL37" s="11"/>
      <c r="AM37" s="8">
        <v>168358.34</v>
      </c>
      <c r="AN37" s="9"/>
      <c r="AO37" s="9"/>
      <c r="AP37" s="10"/>
      <c r="AQ37" s="25"/>
      <c r="AR37" s="25"/>
      <c r="AS37" s="25"/>
      <c r="AT37" s="10"/>
      <c r="AU37" s="12">
        <v>2486231.58</v>
      </c>
      <c r="AV37" s="12"/>
      <c r="AW37" s="12"/>
      <c r="AX37" s="242"/>
      <c r="AY37" s="243"/>
      <c r="AZ37" s="242"/>
      <c r="BA37" s="242"/>
      <c r="BB37" s="244"/>
      <c r="BC37" s="243" t="s">
        <v>630</v>
      </c>
      <c r="BD37" s="243" t="s">
        <v>630</v>
      </c>
      <c r="BE37" s="15">
        <v>2486231.58</v>
      </c>
      <c r="BF37" s="15">
        <v>2239435.14</v>
      </c>
      <c r="BG37" s="15">
        <v>246796.44</v>
      </c>
      <c r="BH37" s="15">
        <v>2486231.58</v>
      </c>
      <c r="BI37" s="15">
        <v>2239435.14</v>
      </c>
      <c r="BJ37" s="242">
        <v>0</v>
      </c>
      <c r="BK37" s="242">
        <v>246796.44</v>
      </c>
      <c r="BL37" s="242"/>
      <c r="BM37" s="242">
        <v>2</v>
      </c>
      <c r="BN37" s="242">
        <v>246796.43999999994</v>
      </c>
      <c r="BO37" s="242">
        <v>246796.43999999994</v>
      </c>
      <c r="BP37" s="242"/>
      <c r="BQ37" s="242"/>
      <c r="BR37" s="242"/>
      <c r="BS37" s="242"/>
      <c r="BT37" s="295"/>
      <c r="BU37" s="295"/>
      <c r="BV37" s="295"/>
      <c r="BW37" s="295"/>
      <c r="BX37" s="242"/>
      <c r="BY37" s="242"/>
      <c r="BZ37" s="245"/>
      <c r="CA37" s="245"/>
      <c r="CB37" s="292">
        <v>246796.44</v>
      </c>
      <c r="CC37" s="246" t="s">
        <v>709</v>
      </c>
      <c r="CD37" s="242">
        <v>0</v>
      </c>
      <c r="CE37" s="242">
        <v>2268658.9700000002</v>
      </c>
      <c r="CF37" s="242">
        <v>2269699.56</v>
      </c>
      <c r="CG37" s="242">
        <v>2268658.9700000002</v>
      </c>
      <c r="CH37" s="242">
        <v>2269699.56</v>
      </c>
      <c r="CI37" s="247" t="s">
        <v>633</v>
      </c>
      <c r="CJ37" s="248">
        <v>2239435.14</v>
      </c>
      <c r="CK37" s="248">
        <v>168358.34</v>
      </c>
      <c r="CL37" s="248">
        <v>2486231.58</v>
      </c>
      <c r="CM37" s="248">
        <v>0</v>
      </c>
    </row>
    <row r="38" spans="1:91" x14ac:dyDescent="0.25">
      <c r="A38" s="231" t="s">
        <v>702</v>
      </c>
      <c r="B38" s="232" t="s">
        <v>703</v>
      </c>
      <c r="C38" s="232" t="s">
        <v>640</v>
      </c>
      <c r="D38" s="233"/>
      <c r="E38" s="234">
        <v>0</v>
      </c>
      <c r="F38" s="235">
        <v>0</v>
      </c>
      <c r="G38" s="236"/>
      <c r="H38" s="237"/>
      <c r="I38" s="238">
        <v>0</v>
      </c>
      <c r="J38" s="239"/>
      <c r="K38" s="240"/>
      <c r="L38" s="8">
        <v>1426058.69</v>
      </c>
      <c r="M38" s="241">
        <v>1426058.69</v>
      </c>
      <c r="N38" s="71"/>
      <c r="O38" s="100"/>
      <c r="P38" s="9"/>
      <c r="Q38" s="9">
        <v>-1249321.23</v>
      </c>
      <c r="R38" s="9"/>
      <c r="S38" s="152">
        <v>46022</v>
      </c>
      <c r="T38" s="10"/>
      <c r="U38" s="23"/>
      <c r="V38" s="11"/>
      <c r="W38" s="11"/>
      <c r="X38" s="8">
        <v>1426058.69</v>
      </c>
      <c r="Y38" s="9"/>
      <c r="Z38" s="70">
        <v>-1426058.69</v>
      </c>
      <c r="AA38" s="71"/>
      <c r="AB38" s="108"/>
      <c r="AC38" s="9">
        <v>-1249321.23</v>
      </c>
      <c r="AD38" s="9"/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/>
      <c r="AM38" s="8">
        <v>1426058.69</v>
      </c>
      <c r="AN38" s="9"/>
      <c r="AO38" s="9"/>
      <c r="AP38" s="10"/>
      <c r="AQ38" s="25"/>
      <c r="AR38" s="25"/>
      <c r="AS38" s="25"/>
      <c r="AT38" s="10"/>
      <c r="AU38" s="12">
        <v>0</v>
      </c>
      <c r="AV38" s="12"/>
      <c r="AW38" s="12"/>
      <c r="AX38" s="242"/>
      <c r="AY38" s="243"/>
      <c r="AZ38" s="242"/>
      <c r="BA38" s="242"/>
      <c r="BB38" s="244"/>
      <c r="BC38" s="243" t="s">
        <v>630</v>
      </c>
      <c r="BD38" s="243" t="s">
        <v>630</v>
      </c>
      <c r="BE38" s="15">
        <v>0</v>
      </c>
      <c r="BF38" s="15">
        <v>1426058.69</v>
      </c>
      <c r="BG38" s="15">
        <v>-1426058.69</v>
      </c>
      <c r="BH38" s="15">
        <v>0</v>
      </c>
      <c r="BI38" s="15">
        <v>1426058.69</v>
      </c>
      <c r="BJ38" s="242">
        <v>0</v>
      </c>
      <c r="BK38" s="242">
        <v>-1249321.23</v>
      </c>
      <c r="BL38" s="242"/>
      <c r="BM38" s="242">
        <v>2</v>
      </c>
      <c r="BN38" s="242">
        <v>-1249321.23</v>
      </c>
      <c r="BO38" s="242">
        <v>-911585.97</v>
      </c>
      <c r="BP38" s="242"/>
      <c r="BQ38" s="242"/>
      <c r="BR38" s="242"/>
      <c r="BS38" s="242"/>
      <c r="BT38" s="295"/>
      <c r="BU38" s="295"/>
      <c r="BV38" s="295"/>
      <c r="BW38" s="295"/>
      <c r="BX38" s="242"/>
      <c r="BY38" s="242"/>
      <c r="BZ38" s="245"/>
      <c r="CA38" s="245"/>
      <c r="CB38" s="292">
        <v>-1426058.69</v>
      </c>
      <c r="CC38" s="246" t="s">
        <v>709</v>
      </c>
      <c r="CD38" s="242">
        <v>0</v>
      </c>
      <c r="CE38" s="242">
        <v>0</v>
      </c>
      <c r="CF38" s="242">
        <v>0</v>
      </c>
      <c r="CG38" s="242">
        <v>0</v>
      </c>
      <c r="CH38" s="242">
        <v>0</v>
      </c>
      <c r="CI38" s="247" t="s">
        <v>633</v>
      </c>
      <c r="CJ38" s="248">
        <v>1426058.69</v>
      </c>
      <c r="CK38" s="248">
        <v>1426058.69</v>
      </c>
      <c r="CL38" s="248">
        <v>0</v>
      </c>
      <c r="CM38" s="248">
        <v>0</v>
      </c>
    </row>
    <row r="39" spans="1:91" x14ac:dyDescent="0.25">
      <c r="A39" s="231" t="s">
        <v>704</v>
      </c>
      <c r="B39" s="232" t="s">
        <v>705</v>
      </c>
      <c r="C39" s="232" t="s">
        <v>640</v>
      </c>
      <c r="D39" s="233"/>
      <c r="E39" s="234">
        <v>0</v>
      </c>
      <c r="F39" s="235">
        <v>0</v>
      </c>
      <c r="G39" s="236"/>
      <c r="H39" s="237"/>
      <c r="I39" s="238">
        <v>0</v>
      </c>
      <c r="J39" s="239"/>
      <c r="K39" s="240"/>
      <c r="L39" s="8">
        <v>613546.52</v>
      </c>
      <c r="M39" s="241">
        <v>613546.52</v>
      </c>
      <c r="N39" s="71"/>
      <c r="O39" s="100"/>
      <c r="P39" s="9"/>
      <c r="Q39" s="9">
        <v>-552390.55000000005</v>
      </c>
      <c r="R39" s="9"/>
      <c r="S39" s="152">
        <v>46022</v>
      </c>
      <c r="T39" s="10"/>
      <c r="U39" s="23"/>
      <c r="V39" s="11"/>
      <c r="W39" s="11"/>
      <c r="X39" s="8">
        <v>613546.52</v>
      </c>
      <c r="Y39" s="9"/>
      <c r="Z39" s="70">
        <v>-613546.52</v>
      </c>
      <c r="AA39" s="71"/>
      <c r="AB39" s="108"/>
      <c r="AC39" s="9">
        <v>-552390.55000000005</v>
      </c>
      <c r="AD39" s="9"/>
      <c r="AE39" s="10"/>
      <c r="AF39" s="24">
        <v>0</v>
      </c>
      <c r="AG39" s="11">
        <v>0</v>
      </c>
      <c r="AH39" s="8">
        <v>0</v>
      </c>
      <c r="AI39" s="9">
        <v>0</v>
      </c>
      <c r="AJ39" s="9">
        <v>0</v>
      </c>
      <c r="AK39" s="10"/>
      <c r="AL39" s="11"/>
      <c r="AM39" s="8">
        <v>613546.52</v>
      </c>
      <c r="AN39" s="9"/>
      <c r="AO39" s="9"/>
      <c r="AP39" s="10"/>
      <c r="AQ39" s="25"/>
      <c r="AR39" s="25"/>
      <c r="AS39" s="25"/>
      <c r="AT39" s="10"/>
      <c r="AU39" s="12">
        <v>0</v>
      </c>
      <c r="AV39" s="12"/>
      <c r="AW39" s="12"/>
      <c r="AX39" s="242"/>
      <c r="AY39" s="243"/>
      <c r="AZ39" s="242"/>
      <c r="BA39" s="242"/>
      <c r="BB39" s="244"/>
      <c r="BC39" s="243" t="s">
        <v>630</v>
      </c>
      <c r="BD39" s="243" t="s">
        <v>630</v>
      </c>
      <c r="BE39" s="15">
        <v>0</v>
      </c>
      <c r="BF39" s="15">
        <v>613546.52</v>
      </c>
      <c r="BG39" s="15">
        <v>-613546.52</v>
      </c>
      <c r="BH39" s="15">
        <v>0</v>
      </c>
      <c r="BI39" s="15">
        <v>613546.52</v>
      </c>
      <c r="BJ39" s="242">
        <v>0</v>
      </c>
      <c r="BK39" s="242">
        <v>-552390.55000000005</v>
      </c>
      <c r="BL39" s="242"/>
      <c r="BM39" s="242">
        <v>2</v>
      </c>
      <c r="BN39" s="242">
        <v>-552390.55000000005</v>
      </c>
      <c r="BO39" s="242">
        <v>-467065.88</v>
      </c>
      <c r="BP39" s="242"/>
      <c r="BQ39" s="242"/>
      <c r="BR39" s="242"/>
      <c r="BS39" s="242"/>
      <c r="BT39" s="295"/>
      <c r="BU39" s="295"/>
      <c r="BV39" s="295"/>
      <c r="BW39" s="295"/>
      <c r="BX39" s="242"/>
      <c r="BY39" s="242"/>
      <c r="BZ39" s="245"/>
      <c r="CA39" s="245"/>
      <c r="CB39" s="292">
        <v>-613546.52</v>
      </c>
      <c r="CC39" s="246" t="s">
        <v>709</v>
      </c>
      <c r="CD39" s="242">
        <v>0</v>
      </c>
      <c r="CE39" s="242">
        <v>0</v>
      </c>
      <c r="CF39" s="242">
        <v>0</v>
      </c>
      <c r="CG39" s="242">
        <v>0</v>
      </c>
      <c r="CH39" s="242">
        <v>0</v>
      </c>
      <c r="CI39" s="247" t="s">
        <v>633</v>
      </c>
      <c r="CJ39" s="248">
        <v>613546.52</v>
      </c>
      <c r="CK39" s="248">
        <v>613546.52</v>
      </c>
      <c r="CL39" s="248">
        <v>0</v>
      </c>
      <c r="CM39" s="248">
        <v>0</v>
      </c>
    </row>
    <row r="40" spans="1:91" x14ac:dyDescent="0.25">
      <c r="A40" s="231"/>
      <c r="B40" s="120" t="s">
        <v>706</v>
      </c>
      <c r="C40" s="232"/>
      <c r="D40" s="233"/>
      <c r="E40" s="277">
        <f>SUM(E29:E39)</f>
        <v>18383512.080000002</v>
      </c>
      <c r="F40" s="266">
        <f>SUM(F29:F39)</f>
        <v>18383512.080000002</v>
      </c>
      <c r="G40" s="236"/>
      <c r="H40" s="237"/>
      <c r="I40" s="278">
        <f>SUM(I29:I39)</f>
        <v>18225884.890000001</v>
      </c>
      <c r="J40" s="239"/>
      <c r="K40" s="240"/>
      <c r="L40" s="270">
        <f>SUM(L29:L39)</f>
        <v>18388201.240000002</v>
      </c>
      <c r="M40" s="279">
        <f>SUM(M29:M39)</f>
        <v>18509364.300000001</v>
      </c>
      <c r="N40" s="71"/>
      <c r="O40" s="100"/>
      <c r="P40" s="268">
        <f>SUM(P29:P39)</f>
        <v>0</v>
      </c>
      <c r="Q40" s="268">
        <f>SUM(Q29:Q39)</f>
        <v>241699.55000000028</v>
      </c>
      <c r="R40" s="268">
        <f>SUM(R29:R39)</f>
        <v>0</v>
      </c>
      <c r="S40" s="152"/>
      <c r="T40" s="10"/>
      <c r="U40" s="23"/>
      <c r="V40" s="269">
        <f>SUM(V29:V39)</f>
        <v>0</v>
      </c>
      <c r="W40" s="269">
        <f>SUM(W29:W39)</f>
        <v>0</v>
      </c>
      <c r="X40" s="270">
        <f>SUM(X29:X39)</f>
        <v>18509364.300000001</v>
      </c>
      <c r="Y40" s="268">
        <f>SUM(Y29:Y39)</f>
        <v>0</v>
      </c>
      <c r="Z40" s="280">
        <f>SUM(Z29:Z39)</f>
        <v>-283479.40999999992</v>
      </c>
      <c r="AA40" s="71"/>
      <c r="AB40" s="108"/>
      <c r="AC40" s="268">
        <f>SUM(AC29:AC39)</f>
        <v>228109.49999999977</v>
      </c>
      <c r="AD40" s="268">
        <f>SUM(AD29:AD39)</f>
        <v>0</v>
      </c>
      <c r="AE40" s="10"/>
      <c r="AF40" s="24"/>
      <c r="AG40" s="269">
        <f>SUM(AG29:AG39)</f>
        <v>15497098.849999998</v>
      </c>
      <c r="AH40" s="270">
        <f>SUM(AH29:AH39)</f>
        <v>14037940.590000002</v>
      </c>
      <c r="AI40" s="268">
        <f>SUM(AI29:AI39)</f>
        <v>1459158.2600000002</v>
      </c>
      <c r="AJ40" s="268">
        <f>SUM(AJ29:AJ39)</f>
        <v>1459158.2600000002</v>
      </c>
      <c r="AK40" s="10"/>
      <c r="AL40" s="269">
        <f>SUM(AL29:AL39)</f>
        <v>0</v>
      </c>
      <c r="AM40" s="270">
        <f>SUM(AM29:AM39)</f>
        <v>4471423.71</v>
      </c>
      <c r="AN40" s="268">
        <f>SUM(AN29:AN39)</f>
        <v>0</v>
      </c>
      <c r="AO40" s="268">
        <f>SUM(AO29:AO39)</f>
        <v>0</v>
      </c>
      <c r="AP40" s="10"/>
      <c r="AQ40" s="281">
        <f>SUM(AQ29:AQ39)</f>
        <v>0</v>
      </c>
      <c r="AR40" s="281">
        <f>SUM(AR29:AR39)</f>
        <v>0</v>
      </c>
      <c r="AS40" s="281">
        <f>SUM(AS29:AS39)</f>
        <v>0</v>
      </c>
      <c r="AT40" s="10"/>
      <c r="AU40" s="282">
        <f>SUM(AU29:AU39)</f>
        <v>18225884.890000001</v>
      </c>
      <c r="AV40" s="282">
        <f>SUM(AV29:AV39)</f>
        <v>0</v>
      </c>
      <c r="AW40" s="282">
        <f>SUM(AW29:AW39)</f>
        <v>0</v>
      </c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95"/>
      <c r="BU40" s="295"/>
      <c r="BV40" s="295"/>
      <c r="BW40" s="295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/>
      <c r="B41" s="232"/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95"/>
      <c r="BU41" s="295"/>
      <c r="BV41" s="295"/>
      <c r="BW41" s="295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/>
      <c r="B42" s="120" t="s">
        <v>707</v>
      </c>
      <c r="C42" s="232"/>
      <c r="D42" s="233"/>
      <c r="E42" s="277">
        <f>SUM(E7:E41)/2</f>
        <v>382881070.98000002</v>
      </c>
      <c r="F42" s="266">
        <f>SUM(F7:F41)/2</f>
        <v>383512667.67999995</v>
      </c>
      <c r="G42" s="236"/>
      <c r="H42" s="237"/>
      <c r="I42" s="278">
        <f>SUM(I7:I41)/2</f>
        <v>386357419.66000003</v>
      </c>
      <c r="J42" s="239"/>
      <c r="K42" s="240"/>
      <c r="L42" s="270">
        <f>SUM(L7:L41)/2</f>
        <v>342408442.34000009</v>
      </c>
      <c r="M42" s="279">
        <f>SUM(M7:M41)/2</f>
        <v>348687444.09999996</v>
      </c>
      <c r="N42" s="71"/>
      <c r="O42" s="100"/>
      <c r="P42" s="268">
        <f>SUM(P7:P41)/2</f>
        <v>0</v>
      </c>
      <c r="Q42" s="268">
        <f>SUM(Q7:Q41)/2</f>
        <v>36389844.549999997</v>
      </c>
      <c r="R42" s="268">
        <f>SUM(R7:R41)/2</f>
        <v>0</v>
      </c>
      <c r="S42" s="152"/>
      <c r="T42" s="10"/>
      <c r="U42" s="23"/>
      <c r="V42" s="269">
        <f>SUM(V7:V41)/2</f>
        <v>0</v>
      </c>
      <c r="W42" s="269">
        <f>SUM(W7:W41)/2</f>
        <v>0</v>
      </c>
      <c r="X42" s="270">
        <f>SUM(X7:X41)/2</f>
        <v>278447972.02999997</v>
      </c>
      <c r="Y42" s="268">
        <f>SUM(Y7:Y41)/2</f>
        <v>0</v>
      </c>
      <c r="Z42" s="280">
        <f>SUM(Z7:Z41)/2</f>
        <v>31860872.069999993</v>
      </c>
      <c r="AA42" s="71"/>
      <c r="AB42" s="108"/>
      <c r="AC42" s="268">
        <f>SUM(AC7:AC41)/2</f>
        <v>30058654.529999997</v>
      </c>
      <c r="AD42" s="268">
        <f>SUM(AD7:AD41)/2</f>
        <v>0</v>
      </c>
      <c r="AE42" s="10"/>
      <c r="AF42" s="24"/>
      <c r="AG42" s="269">
        <f>SUM(AG7:AG41)/2</f>
        <v>191562452.00000003</v>
      </c>
      <c r="AH42" s="270">
        <f>SUM(AH7:AH41)/2</f>
        <v>176611788.78</v>
      </c>
      <c r="AI42" s="268">
        <f>SUM(AI7:AI41)/2</f>
        <v>14950663.219999999</v>
      </c>
      <c r="AJ42" s="268">
        <f>SUM(AJ7:AJ41)/2</f>
        <v>14950663.219999999</v>
      </c>
      <c r="AK42" s="10"/>
      <c r="AL42" s="269">
        <f>SUM(AL7:AL41)/2</f>
        <v>0</v>
      </c>
      <c r="AM42" s="270">
        <f>SUM(AM7:AM41)/2</f>
        <v>101836183.25</v>
      </c>
      <c r="AN42" s="268">
        <f>SUM(AN7:AN41)/2</f>
        <v>0</v>
      </c>
      <c r="AO42" s="268">
        <f>SUM(AO7:AO41)/2</f>
        <v>0</v>
      </c>
      <c r="AP42" s="10"/>
      <c r="AQ42" s="281">
        <f>SUM(AQ7:AQ41)/2</f>
        <v>0</v>
      </c>
      <c r="AR42" s="281">
        <f>SUM(AR7:AR41)/2</f>
        <v>0</v>
      </c>
      <c r="AS42" s="281">
        <f>SUM(AS7:AS41)/2</f>
        <v>0</v>
      </c>
      <c r="AT42" s="10"/>
      <c r="AU42" s="282">
        <f>SUM(AU7:AU41)/2</f>
        <v>317050679.68000001</v>
      </c>
      <c r="AV42" s="282">
        <f>SUM(AV7:AV41)/2</f>
        <v>0</v>
      </c>
      <c r="AW42" s="282">
        <f>SUM(AW7:AW41)/2</f>
        <v>0</v>
      </c>
      <c r="AX42" s="242"/>
      <c r="AY42" s="243"/>
      <c r="AZ42" s="242"/>
      <c r="BA42" s="242"/>
      <c r="BB42" s="244"/>
      <c r="BC42" s="243"/>
      <c r="BD42" s="243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95"/>
      <c r="BU42" s="295"/>
      <c r="BV42" s="295"/>
      <c r="BW42" s="295"/>
      <c r="BX42" s="242"/>
      <c r="BY42" s="242"/>
      <c r="BZ42" s="245"/>
      <c r="CA42" s="245"/>
      <c r="CB42" s="245"/>
      <c r="CC42" s="246"/>
      <c r="CD42" s="242"/>
      <c r="CE42" s="242"/>
      <c r="CF42" s="242"/>
      <c r="CG42" s="242"/>
      <c r="CH42" s="242"/>
      <c r="CI42" s="247"/>
      <c r="CJ42" s="248"/>
      <c r="CK42" s="248"/>
      <c r="CL42" s="248"/>
      <c r="CM42" s="248"/>
    </row>
    <row r="43" spans="1:91" x14ac:dyDescent="0.25">
      <c r="A43" s="231"/>
      <c r="B43" s="232"/>
      <c r="C43" s="232"/>
      <c r="D43" s="233"/>
      <c r="E43" s="234"/>
      <c r="F43" s="235"/>
      <c r="G43" s="236"/>
      <c r="H43" s="237"/>
      <c r="I43" s="238"/>
      <c r="J43" s="239"/>
      <c r="K43" s="240"/>
      <c r="L43" s="8"/>
      <c r="M43" s="241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95"/>
      <c r="BU43" s="295"/>
      <c r="BV43" s="295"/>
      <c r="BW43" s="295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84"/>
      <c r="B44" s="283" t="s">
        <v>635</v>
      </c>
      <c r="C44" s="120"/>
      <c r="D44" s="265"/>
      <c r="E44" s="277">
        <f>SUMIF(BM8:BM44,1, E8:E44)</f>
        <v>364497558.89999998</v>
      </c>
      <c r="F44" s="266">
        <f>SUMIF(BM8:BM44,1, F8:F44)</f>
        <v>365129155.5999999</v>
      </c>
      <c r="G44" s="285"/>
      <c r="H44" s="104"/>
      <c r="I44" s="278">
        <f>SUMIF(BM8:BM44,1, I8:I44)</f>
        <v>368131534.76999998</v>
      </c>
      <c r="J44" s="286"/>
      <c r="K44" s="98"/>
      <c r="L44" s="270">
        <f>SUMIF(BM8:BM44,1, L8:L44)</f>
        <v>324020241.10000002</v>
      </c>
      <c r="M44" s="279">
        <f>SUMIF(BM8:BM44,1, M8:M44)</f>
        <v>330178079.79999995</v>
      </c>
      <c r="N44" s="287"/>
      <c r="O44" s="99"/>
      <c r="P44" s="268">
        <f>SUMIF(BM8:BM44,1, P8:P44)</f>
        <v>0</v>
      </c>
      <c r="Q44" s="268">
        <f>SUMIF(BM8:BM44,1, Q8:Q44)</f>
        <v>36148145</v>
      </c>
      <c r="R44" s="268">
        <f>SUMIF(BM8:BM44,1, R8:R44)</f>
        <v>0</v>
      </c>
      <c r="S44" s="288"/>
      <c r="T44" s="289"/>
      <c r="U44" s="290"/>
      <c r="V44" s="269">
        <f>SUMIF(BM8:BM44,1, V8:V44)</f>
        <v>0</v>
      </c>
      <c r="W44" s="269">
        <f>SUMIF(BM8:BM44,1, W8:W44)</f>
        <v>0</v>
      </c>
      <c r="X44" s="270">
        <f>SUMIF(BM8:BM44,1, X8:X44)</f>
        <v>259938607.72999999</v>
      </c>
      <c r="Y44" s="268">
        <f>SUMIF(BM8:BM44,1, Y8:Y44)</f>
        <v>0</v>
      </c>
      <c r="Z44" s="280">
        <f>SUMIF(BM8:BM44,1, Z8:Z44)</f>
        <v>32144351.479999993</v>
      </c>
      <c r="AA44" s="287"/>
      <c r="AB44" s="107"/>
      <c r="AC44" s="268">
        <f>SUMIF(BM8:BM44,1, AC8:AC44)</f>
        <v>29830545.029999997</v>
      </c>
      <c r="AD44" s="268">
        <f>SUMIF(BM8:BM44,1, AD8:AD44)</f>
        <v>0</v>
      </c>
      <c r="AE44" s="289"/>
      <c r="AF44" s="291"/>
      <c r="AG44" s="269">
        <f>SUMIF(BM8:BM44,1, AG8:AG44)</f>
        <v>176065353.15000001</v>
      </c>
      <c r="AH44" s="270">
        <f>SUMIF(BM8:BM44,1, AH8:AH44)</f>
        <v>162573848.19</v>
      </c>
      <c r="AI44" s="268">
        <f>SUMIF(BM8:BM44,1, AI8:AI44)</f>
        <v>13491504.959999999</v>
      </c>
      <c r="AJ44" s="268">
        <f>SUMIF(BM8:BM44,1, AJ8:AJ44)</f>
        <v>13491504.959999999</v>
      </c>
      <c r="AK44" s="289"/>
      <c r="AL44" s="269">
        <f>SUMIF(BM8:BM44,1, AL8:AL44)</f>
        <v>0</v>
      </c>
      <c r="AM44" s="270">
        <f>SUMIF(BM8:BM44,1, AM8:AM44)</f>
        <v>97364759.539999992</v>
      </c>
      <c r="AN44" s="268">
        <f>SUMIF(BM8:BM44,1, AN8:AN44)</f>
        <v>0</v>
      </c>
      <c r="AO44" s="268">
        <f>SUMIF(BM8:BM44,1, AO8:AO44)</f>
        <v>0</v>
      </c>
      <c r="AP44" s="289"/>
      <c r="AQ44" s="281">
        <f>SUMIF(BM8:BM44,1, AQ8:AQ44)</f>
        <v>0</v>
      </c>
      <c r="AR44" s="281">
        <f>SUMIF(BM8:BM44,1, AR8:AR44)</f>
        <v>0</v>
      </c>
      <c r="AS44" s="281">
        <f>SUMIF(BM8:BM44,1, AS8:AS44)</f>
        <v>0</v>
      </c>
      <c r="AT44" s="289"/>
      <c r="AU44" s="282">
        <f>SUMIF(BM8:BM44,1, AU8:AU44)</f>
        <v>298824794.78999996</v>
      </c>
      <c r="AV44" s="282">
        <f>SUMIF(BM8:BM44,1, AV8:AV44)</f>
        <v>0</v>
      </c>
      <c r="AW44" s="282">
        <f>SUMIF(BM8:BM44,1, AW8:AW44)</f>
        <v>0</v>
      </c>
      <c r="AX44" s="15"/>
      <c r="AY44" s="272"/>
      <c r="AZ44" s="15"/>
      <c r="BA44" s="15"/>
      <c r="BB44" s="273"/>
      <c r="BC44" s="272"/>
      <c r="BD44" s="272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296"/>
      <c r="BU44" s="296"/>
      <c r="BV44" s="296"/>
      <c r="BW44" s="296"/>
      <c r="BX44" s="15"/>
      <c r="BY44" s="15"/>
      <c r="BZ44" s="292"/>
      <c r="CA44" s="292"/>
      <c r="CB44" s="292"/>
      <c r="CC44" s="274"/>
      <c r="CD44" s="15"/>
      <c r="CE44" s="15"/>
      <c r="CF44" s="15"/>
      <c r="CG44" s="15"/>
      <c r="CH44" s="15"/>
      <c r="CI44" s="293"/>
      <c r="CJ44" s="275"/>
      <c r="CK44" s="275"/>
      <c r="CL44" s="275"/>
      <c r="CM44" s="275"/>
    </row>
    <row r="45" spans="1:91" x14ac:dyDescent="0.25">
      <c r="A45" s="284"/>
      <c r="B45" s="301" t="s">
        <v>636</v>
      </c>
      <c r="C45" s="120"/>
      <c r="D45" s="265"/>
      <c r="E45" s="277">
        <f>SUMIF(BM8:BM44,2, E8:E44)</f>
        <v>18383512.080000002</v>
      </c>
      <c r="F45" s="266">
        <f>SUMIF(BM8:BM44,2, F8:F44)</f>
        <v>18383512.080000002</v>
      </c>
      <c r="G45" s="285"/>
      <c r="H45" s="104"/>
      <c r="I45" s="278">
        <f>SUMIF(BM8:BM44,2, I8:I44)</f>
        <v>18225884.890000001</v>
      </c>
      <c r="J45" s="286"/>
      <c r="K45" s="98"/>
      <c r="L45" s="270">
        <f>SUMIF(BM8:BM44,2, L8:L44)</f>
        <v>18388201.240000002</v>
      </c>
      <c r="M45" s="279">
        <f>SUMIF(BM8:BM44,2, M8:M44)</f>
        <v>18509364.300000001</v>
      </c>
      <c r="N45" s="287"/>
      <c r="O45" s="99"/>
      <c r="P45" s="268">
        <f>SUMIF(BM8:BM44,2, P8:P44)</f>
        <v>0</v>
      </c>
      <c r="Q45" s="268">
        <f>SUMIF(BM8:BM44,2, Q8:Q44)</f>
        <v>241699.55000000028</v>
      </c>
      <c r="R45" s="268">
        <f>SUMIF(BM8:BM44,2, R8:R44)</f>
        <v>0</v>
      </c>
      <c r="S45" s="288"/>
      <c r="T45" s="289"/>
      <c r="U45" s="290"/>
      <c r="V45" s="269">
        <f>SUMIF(BM8:BM44,2, V8:V44)</f>
        <v>0</v>
      </c>
      <c r="W45" s="269">
        <f>SUMIF(BM8:BM44,2, W8:W44)</f>
        <v>0</v>
      </c>
      <c r="X45" s="270">
        <f>SUMIF(BM8:BM44,2, X8:X44)</f>
        <v>18509364.300000001</v>
      </c>
      <c r="Y45" s="268">
        <f>SUMIF(BM8:BM44,2, Y8:Y44)</f>
        <v>0</v>
      </c>
      <c r="Z45" s="280">
        <f>SUMIF(BM8:BM44,2, Z8:Z44)</f>
        <v>-283479.40999999992</v>
      </c>
      <c r="AA45" s="287"/>
      <c r="AB45" s="107"/>
      <c r="AC45" s="268">
        <f>SUMIF(BM8:BM44,2, AC8:AC44)</f>
        <v>228109.49999999977</v>
      </c>
      <c r="AD45" s="268">
        <f>SUMIF(BM8:BM44,2, AD8:AD44)</f>
        <v>0</v>
      </c>
      <c r="AE45" s="289"/>
      <c r="AF45" s="291"/>
      <c r="AG45" s="269">
        <f>SUMIF(BM8:BM44,2, AG8:AG44)</f>
        <v>15497098.849999998</v>
      </c>
      <c r="AH45" s="270">
        <f>SUMIF(BM8:BM44,2, AH8:AH44)</f>
        <v>14037940.590000002</v>
      </c>
      <c r="AI45" s="268">
        <f>SUMIF(BM8:BM44,2, AI8:AI44)</f>
        <v>1459158.2600000002</v>
      </c>
      <c r="AJ45" s="268">
        <f>SUMIF(BM8:BM44,2, AJ8:AJ44)</f>
        <v>1459158.2600000002</v>
      </c>
      <c r="AK45" s="289"/>
      <c r="AL45" s="269">
        <f>SUMIF(BM8:BM44,2, AL8:AL44)</f>
        <v>0</v>
      </c>
      <c r="AM45" s="270">
        <f>SUMIF(BM8:BM44,2, AM8:AM44)</f>
        <v>4471423.71</v>
      </c>
      <c r="AN45" s="268">
        <f>SUMIF(BM8:BM44,2, AN8:AN44)</f>
        <v>0</v>
      </c>
      <c r="AO45" s="268">
        <f>SUMIF(BM8:BM44,2, AO8:AO44)</f>
        <v>0</v>
      </c>
      <c r="AP45" s="289"/>
      <c r="AQ45" s="281">
        <f>SUMIF(BM8:BM44,2, AQ8:AQ44)</f>
        <v>0</v>
      </c>
      <c r="AR45" s="281">
        <f>SUMIF(BM8:BM44,2, AR8:AR44)</f>
        <v>0</v>
      </c>
      <c r="AS45" s="281">
        <f>SUMIF(BM8:BM44,2, AS8:AS44)</f>
        <v>0</v>
      </c>
      <c r="AT45" s="289"/>
      <c r="AU45" s="282">
        <f>SUMIF(BM8:BM44,2, AU8:AU44)</f>
        <v>18225884.890000001</v>
      </c>
      <c r="AV45" s="282">
        <f>SUMIF(BM8:BM44,2, AV8:AV44)</f>
        <v>0</v>
      </c>
      <c r="AW45" s="282">
        <f>SUMIF(BM8:BM44,2, AW8:AW44)</f>
        <v>0</v>
      </c>
      <c r="AX45" s="15"/>
      <c r="AY45" s="272"/>
      <c r="AZ45" s="15"/>
      <c r="BA45" s="15"/>
      <c r="BB45" s="273"/>
      <c r="BC45" s="272"/>
      <c r="BD45" s="272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296"/>
      <c r="BU45" s="296"/>
      <c r="BV45" s="296"/>
      <c r="BW45" s="296"/>
      <c r="BX45" s="15"/>
      <c r="BY45" s="15"/>
      <c r="BZ45" s="292"/>
      <c r="CA45" s="292"/>
      <c r="CB45" s="292"/>
      <c r="CC45" s="274"/>
      <c r="CD45" s="15"/>
      <c r="CE45" s="15"/>
      <c r="CF45" s="15"/>
      <c r="CG45" s="15"/>
      <c r="CH45" s="15"/>
      <c r="CI45" s="293"/>
      <c r="CJ45" s="275"/>
      <c r="CK45" s="275"/>
      <c r="CL45" s="275"/>
      <c r="CM45" s="275"/>
    </row>
    <row r="46" spans="1:91" x14ac:dyDescent="0.25">
      <c r="A46" s="284"/>
      <c r="B46" s="301" t="s">
        <v>634</v>
      </c>
      <c r="C46" s="120"/>
      <c r="D46" s="265"/>
      <c r="E46" s="277">
        <f>SUM(E8:E45)/4</f>
        <v>382881070.98000002</v>
      </c>
      <c r="F46" s="266">
        <f>SUM(F8:F45)/4</f>
        <v>383512667.67999995</v>
      </c>
      <c r="G46" s="285"/>
      <c r="H46" s="104"/>
      <c r="I46" s="278">
        <f>SUM(I8:I45)/4</f>
        <v>386357419.66000003</v>
      </c>
      <c r="J46" s="286"/>
      <c r="K46" s="98"/>
      <c r="L46" s="270">
        <f>SUM(L8:L45)/4</f>
        <v>342408442.34000009</v>
      </c>
      <c r="M46" s="279">
        <f>SUM(M8:M45)/4</f>
        <v>348687444.09999996</v>
      </c>
      <c r="N46" s="287"/>
      <c r="O46" s="99"/>
      <c r="P46" s="268">
        <f>SUM(P8:P45)/4</f>
        <v>0</v>
      </c>
      <c r="Q46" s="268">
        <f>SUM(Q8:Q45)/4</f>
        <v>36389844.549999997</v>
      </c>
      <c r="R46" s="268">
        <f>SUM(R8:R45)/4</f>
        <v>0</v>
      </c>
      <c r="S46" s="288"/>
      <c r="T46" s="289"/>
      <c r="U46" s="290"/>
      <c r="V46" s="269">
        <f>SUM(V8:V45)/4</f>
        <v>0</v>
      </c>
      <c r="W46" s="269">
        <f>SUM(W8:W45)/4</f>
        <v>0</v>
      </c>
      <c r="X46" s="270">
        <f>SUM(X8:X45)/4</f>
        <v>278447972.02999997</v>
      </c>
      <c r="Y46" s="268">
        <f>SUM(Y8:Y45)/4</f>
        <v>0</v>
      </c>
      <c r="Z46" s="280">
        <f>SUM(Z8:Z45)/4</f>
        <v>31860872.069999993</v>
      </c>
      <c r="AA46" s="287"/>
      <c r="AB46" s="107"/>
      <c r="AC46" s="268">
        <f>SUM(AC8:AC45)/4</f>
        <v>30058654.529999997</v>
      </c>
      <c r="AD46" s="268">
        <f>SUM(AD8:AD45)/4</f>
        <v>0</v>
      </c>
      <c r="AE46" s="289"/>
      <c r="AF46" s="291"/>
      <c r="AG46" s="269">
        <f>SUM(AG8:AG45)/4</f>
        <v>191562452.00000003</v>
      </c>
      <c r="AH46" s="270">
        <f>SUM(AH8:AH45)/4</f>
        <v>176611788.78</v>
      </c>
      <c r="AI46" s="268">
        <f>SUM(AI8:AI45)/4</f>
        <v>14950663.219999999</v>
      </c>
      <c r="AJ46" s="268">
        <f>SUM(AJ8:AJ45)/4</f>
        <v>14950663.219999999</v>
      </c>
      <c r="AK46" s="289"/>
      <c r="AL46" s="269">
        <f>SUM(AL8:AL45)/4</f>
        <v>0</v>
      </c>
      <c r="AM46" s="270">
        <f>SUM(AM8:AM45)/4</f>
        <v>101836183.24999999</v>
      </c>
      <c r="AN46" s="268">
        <f>SUM(AN8:AN45)/4</f>
        <v>0</v>
      </c>
      <c r="AO46" s="268">
        <f>SUM(AO8:AO45)/4</f>
        <v>0</v>
      </c>
      <c r="AP46" s="289"/>
      <c r="AQ46" s="281">
        <f>SUM(AQ8:AQ45)/4</f>
        <v>0</v>
      </c>
      <c r="AR46" s="281">
        <f>SUM(AR8:AR45)/4</f>
        <v>0</v>
      </c>
      <c r="AS46" s="281">
        <f>SUM(AS8:AS45)/4</f>
        <v>0</v>
      </c>
      <c r="AT46" s="289"/>
      <c r="AU46" s="282">
        <f>SUM(AU8:AU45)/4</f>
        <v>317050679.68000001</v>
      </c>
      <c r="AV46" s="282">
        <f>SUM(AV8:AV45)/4</f>
        <v>0</v>
      </c>
      <c r="AW46" s="282">
        <f>SUM(AW8:AW45)/4</f>
        <v>0</v>
      </c>
      <c r="AX46" s="15"/>
      <c r="AY46" s="272"/>
      <c r="AZ46" s="15"/>
      <c r="BA46" s="15"/>
      <c r="BB46" s="273"/>
      <c r="BC46" s="272"/>
      <c r="BD46" s="272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296"/>
      <c r="BU46" s="296"/>
      <c r="BV46" s="296"/>
      <c r="BW46" s="296"/>
      <c r="BX46" s="15"/>
      <c r="BY46" s="15"/>
      <c r="BZ46" s="292"/>
      <c r="CA46" s="292"/>
      <c r="CB46" s="292"/>
      <c r="CC46" s="274"/>
      <c r="CD46" s="15"/>
      <c r="CE46" s="15"/>
      <c r="CF46" s="15"/>
      <c r="CG46" s="15"/>
      <c r="CH46" s="15"/>
      <c r="CI46" s="293"/>
      <c r="CJ46" s="275"/>
      <c r="CK46" s="275"/>
      <c r="CL46" s="275"/>
      <c r="CM46" s="275"/>
    </row>
    <row r="47" spans="1:91" x14ac:dyDescent="0.25">
      <c r="A47" s="231"/>
      <c r="B47" s="232"/>
      <c r="C47" s="232"/>
      <c r="D47" s="233"/>
      <c r="E47" s="234"/>
      <c r="F47" s="235"/>
      <c r="G47" s="236"/>
      <c r="H47" s="237"/>
      <c r="I47" s="238"/>
      <c r="J47" s="239"/>
      <c r="K47" s="240"/>
      <c r="L47" s="8"/>
      <c r="M47" s="241"/>
      <c r="N47" s="239"/>
      <c r="O47" s="240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2"/>
      <c r="AY47" s="243"/>
      <c r="AZ47" s="242"/>
      <c r="BA47" s="242"/>
      <c r="BB47" s="244"/>
      <c r="BC47" s="243"/>
      <c r="BD47" s="243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95"/>
      <c r="BU47" s="295"/>
      <c r="BV47" s="295"/>
      <c r="BW47" s="295"/>
      <c r="BX47" s="242"/>
      <c r="BY47" s="242"/>
      <c r="BZ47" s="245"/>
      <c r="CA47" s="245"/>
      <c r="CB47" s="245"/>
      <c r="CC47" s="246"/>
      <c r="CD47" s="242"/>
      <c r="CE47" s="242"/>
      <c r="CF47" s="242"/>
      <c r="CG47" s="242"/>
      <c r="CH47" s="242"/>
      <c r="CI47" s="247"/>
      <c r="CJ47" s="248"/>
      <c r="CK47" s="248"/>
      <c r="CL47" s="248"/>
      <c r="CM47" s="248"/>
    </row>
    <row r="48" spans="1:91" x14ac:dyDescent="0.25">
      <c r="A48" s="231"/>
      <c r="B48" s="232"/>
      <c r="C48" s="232"/>
      <c r="D48" s="233"/>
      <c r="E48" s="234"/>
      <c r="F48" s="235"/>
      <c r="G48" s="236"/>
      <c r="H48" s="237"/>
      <c r="I48" s="238"/>
      <c r="J48" s="239"/>
      <c r="K48" s="240"/>
      <c r="L48" s="8"/>
      <c r="M48" s="241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2"/>
      <c r="AY48" s="243"/>
      <c r="AZ48" s="242"/>
      <c r="BA48" s="242"/>
      <c r="BB48" s="244"/>
      <c r="BC48" s="243"/>
      <c r="BD48" s="243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95"/>
      <c r="BU48" s="295"/>
      <c r="BV48" s="295"/>
      <c r="BW48" s="295"/>
      <c r="BX48" s="242"/>
      <c r="BY48" s="242"/>
      <c r="BZ48" s="245"/>
      <c r="CA48" s="245"/>
      <c r="CB48" s="245"/>
      <c r="CC48" s="246"/>
      <c r="CD48" s="242"/>
      <c r="CE48" s="242"/>
      <c r="CF48" s="242"/>
      <c r="CG48" s="242"/>
      <c r="CH48" s="242"/>
      <c r="CI48" s="247"/>
      <c r="CJ48" s="248"/>
      <c r="CK48" s="248"/>
      <c r="CL48" s="248"/>
      <c r="CM48" s="248"/>
    </row>
    <row r="49" spans="1:91" x14ac:dyDescent="0.25">
      <c r="A49" s="231"/>
      <c r="B49" s="232"/>
      <c r="C49" s="232"/>
      <c r="D49" s="233"/>
      <c r="E49" s="234"/>
      <c r="F49" s="235"/>
      <c r="G49" s="236"/>
      <c r="H49" s="237"/>
      <c r="I49" s="238"/>
      <c r="J49" s="239"/>
      <c r="K49" s="240"/>
      <c r="L49" s="8"/>
      <c r="M49" s="241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2"/>
      <c r="AY49" s="243"/>
      <c r="AZ49" s="242"/>
      <c r="BA49" s="242"/>
      <c r="BB49" s="244"/>
      <c r="BC49" s="243"/>
      <c r="BD49" s="243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95"/>
      <c r="BU49" s="295"/>
      <c r="BV49" s="295"/>
      <c r="BW49" s="295"/>
      <c r="BX49" s="242"/>
      <c r="BY49" s="242"/>
      <c r="BZ49" s="245"/>
      <c r="CA49" s="245"/>
      <c r="CB49" s="245"/>
      <c r="CC49" s="246"/>
      <c r="CD49" s="242"/>
      <c r="CE49" s="242"/>
      <c r="CF49" s="242"/>
      <c r="CG49" s="242"/>
      <c r="CH49" s="242"/>
      <c r="CI49" s="247"/>
      <c r="CJ49" s="248"/>
      <c r="CK49" s="248"/>
      <c r="CL49" s="248"/>
      <c r="CM49" s="248"/>
    </row>
    <row r="50" spans="1:91" x14ac:dyDescent="0.25">
      <c r="A50" s="231"/>
      <c r="B50" s="232"/>
      <c r="C50" s="232"/>
      <c r="D50" s="233"/>
      <c r="E50" s="234"/>
      <c r="F50" s="235"/>
      <c r="G50" s="236"/>
      <c r="H50" s="237"/>
      <c r="I50" s="238"/>
      <c r="J50" s="239"/>
      <c r="K50" s="240"/>
      <c r="L50" s="8"/>
      <c r="M50" s="241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2"/>
      <c r="AY50" s="243"/>
      <c r="AZ50" s="242"/>
      <c r="BA50" s="242"/>
      <c r="BB50" s="244"/>
      <c r="BC50" s="243"/>
      <c r="BD50" s="243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95"/>
      <c r="BU50" s="295"/>
      <c r="BV50" s="295"/>
      <c r="BW50" s="295"/>
      <c r="BX50" s="242"/>
      <c r="BY50" s="242"/>
      <c r="BZ50" s="245"/>
      <c r="CA50" s="245"/>
      <c r="CB50" s="245"/>
      <c r="CC50" s="246"/>
      <c r="CD50" s="242"/>
      <c r="CE50" s="242"/>
      <c r="CF50" s="242"/>
      <c r="CG50" s="242"/>
      <c r="CH50" s="242"/>
      <c r="CI50" s="247"/>
      <c r="CJ50" s="248"/>
      <c r="CK50" s="248"/>
      <c r="CL50" s="248"/>
      <c r="CM50" s="248"/>
    </row>
    <row r="51" spans="1:91" x14ac:dyDescent="0.25">
      <c r="A51" s="231"/>
      <c r="B51" s="232"/>
      <c r="C51" s="232"/>
      <c r="D51" s="233"/>
      <c r="E51" s="234"/>
      <c r="F51" s="235"/>
      <c r="G51" s="236"/>
      <c r="H51" s="237"/>
      <c r="I51" s="238"/>
      <c r="J51" s="239"/>
      <c r="K51" s="240"/>
      <c r="L51" s="8"/>
      <c r="M51" s="241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2"/>
      <c r="AY51" s="243"/>
      <c r="AZ51" s="242"/>
      <c r="BA51" s="242"/>
      <c r="BB51" s="244"/>
      <c r="BC51" s="243"/>
      <c r="BD51" s="243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95"/>
      <c r="BU51" s="295"/>
      <c r="BV51" s="295"/>
      <c r="BW51" s="295"/>
      <c r="BX51" s="242"/>
      <c r="BY51" s="242"/>
      <c r="BZ51" s="245"/>
      <c r="CA51" s="245"/>
      <c r="CB51" s="245"/>
      <c r="CC51" s="246"/>
      <c r="CD51" s="242"/>
      <c r="CE51" s="242"/>
      <c r="CF51" s="242"/>
      <c r="CG51" s="242"/>
      <c r="CH51" s="242"/>
      <c r="CI51" s="247"/>
      <c r="CJ51" s="248"/>
      <c r="CK51" s="248"/>
      <c r="CL51" s="248"/>
      <c r="CM51" s="248"/>
    </row>
    <row r="52" spans="1:91" x14ac:dyDescent="0.25">
      <c r="A52" s="231"/>
      <c r="B52" s="232"/>
      <c r="C52" s="232"/>
      <c r="D52" s="233"/>
      <c r="E52" s="234"/>
      <c r="F52" s="235"/>
      <c r="G52" s="236"/>
      <c r="H52" s="237"/>
      <c r="I52" s="238"/>
      <c r="J52" s="239"/>
      <c r="K52" s="240"/>
      <c r="L52" s="8"/>
      <c r="M52" s="241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2"/>
      <c r="AY52" s="243"/>
      <c r="AZ52" s="242"/>
      <c r="BA52" s="242"/>
      <c r="BB52" s="244"/>
      <c r="BC52" s="243"/>
      <c r="BD52" s="243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95"/>
      <c r="BU52" s="295"/>
      <c r="BV52" s="295"/>
      <c r="BW52" s="295"/>
      <c r="BX52" s="242"/>
      <c r="BY52" s="242"/>
      <c r="BZ52" s="245"/>
      <c r="CA52" s="245"/>
      <c r="CB52" s="245"/>
      <c r="CC52" s="246"/>
      <c r="CD52" s="242"/>
      <c r="CE52" s="242"/>
      <c r="CF52" s="242"/>
      <c r="CG52" s="242"/>
      <c r="CH52" s="242"/>
      <c r="CI52" s="247"/>
      <c r="CJ52" s="248"/>
      <c r="CK52" s="248"/>
      <c r="CL52" s="248"/>
      <c r="CM52" s="248"/>
    </row>
    <row r="53" spans="1:91" x14ac:dyDescent="0.25">
      <c r="A53" s="231"/>
      <c r="B53" s="232"/>
      <c r="C53" s="232"/>
      <c r="D53" s="233"/>
      <c r="E53" s="234"/>
      <c r="F53" s="235"/>
      <c r="G53" s="236"/>
      <c r="H53" s="237"/>
      <c r="I53" s="238"/>
      <c r="J53" s="239"/>
      <c r="K53" s="240"/>
      <c r="L53" s="8"/>
      <c r="M53" s="241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2"/>
      <c r="AY53" s="243"/>
      <c r="AZ53" s="242"/>
      <c r="BA53" s="242"/>
      <c r="BB53" s="244"/>
      <c r="BC53" s="243"/>
      <c r="BD53" s="243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95"/>
      <c r="BU53" s="295"/>
      <c r="BV53" s="295"/>
      <c r="BW53" s="295"/>
      <c r="BX53" s="242"/>
      <c r="BY53" s="242"/>
      <c r="BZ53" s="245"/>
      <c r="CA53" s="245"/>
      <c r="CB53" s="245"/>
      <c r="CC53" s="246"/>
      <c r="CD53" s="242"/>
      <c r="CE53" s="242"/>
      <c r="CF53" s="242"/>
      <c r="CG53" s="242"/>
      <c r="CH53" s="242"/>
      <c r="CI53" s="247"/>
      <c r="CJ53" s="248"/>
      <c r="CK53" s="248"/>
      <c r="CL53" s="248"/>
      <c r="CM53" s="248"/>
    </row>
    <row r="54" spans="1:91" x14ac:dyDescent="0.25">
      <c r="A54" s="231"/>
      <c r="B54" s="232"/>
      <c r="C54" s="232"/>
      <c r="D54" s="233"/>
      <c r="E54" s="234"/>
      <c r="F54" s="235"/>
      <c r="G54" s="236"/>
      <c r="H54" s="237"/>
      <c r="I54" s="238"/>
      <c r="J54" s="239"/>
      <c r="K54" s="240"/>
      <c r="L54" s="8"/>
      <c r="M54" s="241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2"/>
      <c r="AY54" s="243"/>
      <c r="AZ54" s="242"/>
      <c r="BA54" s="242"/>
      <c r="BB54" s="244"/>
      <c r="BC54" s="243"/>
      <c r="BD54" s="243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95"/>
      <c r="BU54" s="295"/>
      <c r="BV54" s="295"/>
      <c r="BW54" s="295"/>
      <c r="BX54" s="242"/>
      <c r="BY54" s="242"/>
      <c r="BZ54" s="245"/>
      <c r="CA54" s="245"/>
      <c r="CB54" s="245"/>
      <c r="CC54" s="246"/>
      <c r="CD54" s="242"/>
      <c r="CE54" s="242"/>
      <c r="CF54" s="242"/>
      <c r="CG54" s="242"/>
      <c r="CH54" s="242"/>
      <c r="CI54" s="247"/>
      <c r="CJ54" s="248"/>
      <c r="CK54" s="248"/>
      <c r="CL54" s="248"/>
      <c r="CM54" s="248"/>
    </row>
    <row r="55" spans="1:91" x14ac:dyDescent="0.25">
      <c r="A55" s="231"/>
      <c r="B55" s="232"/>
      <c r="C55" s="232"/>
      <c r="D55" s="233"/>
      <c r="E55" s="234"/>
      <c r="F55" s="235"/>
      <c r="G55" s="236"/>
      <c r="H55" s="237"/>
      <c r="I55" s="238"/>
      <c r="J55" s="239"/>
      <c r="K55" s="240"/>
      <c r="L55" s="8"/>
      <c r="M55" s="241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2"/>
      <c r="AY55" s="243"/>
      <c r="AZ55" s="242"/>
      <c r="BA55" s="242"/>
      <c r="BB55" s="244"/>
      <c r="BC55" s="243"/>
      <c r="BD55" s="243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95"/>
      <c r="BU55" s="295"/>
      <c r="BV55" s="295"/>
      <c r="BW55" s="295"/>
      <c r="BX55" s="242"/>
      <c r="BY55" s="242"/>
      <c r="BZ55" s="245"/>
      <c r="CA55" s="245"/>
      <c r="CB55" s="245"/>
      <c r="CC55" s="246"/>
      <c r="CD55" s="242"/>
      <c r="CE55" s="242"/>
      <c r="CF55" s="242"/>
      <c r="CG55" s="242"/>
      <c r="CH55" s="242"/>
      <c r="CI55" s="247"/>
      <c r="CJ55" s="248"/>
      <c r="CK55" s="248"/>
      <c r="CL55" s="248"/>
      <c r="CM55" s="248"/>
    </row>
    <row r="56" spans="1:91" x14ac:dyDescent="0.25">
      <c r="A56" s="231"/>
      <c r="B56" s="232"/>
      <c r="C56" s="232"/>
      <c r="D56" s="233"/>
      <c r="E56" s="234"/>
      <c r="F56" s="235"/>
      <c r="G56" s="236"/>
      <c r="H56" s="237"/>
      <c r="I56" s="238"/>
      <c r="J56" s="239"/>
      <c r="K56" s="240"/>
      <c r="L56" s="8"/>
      <c r="M56" s="241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2"/>
      <c r="AY56" s="243"/>
      <c r="AZ56" s="242"/>
      <c r="BA56" s="242"/>
      <c r="BB56" s="244"/>
      <c r="BC56" s="243"/>
      <c r="BD56" s="243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95"/>
      <c r="BU56" s="295"/>
      <c r="BV56" s="295"/>
      <c r="BW56" s="295"/>
      <c r="BX56" s="242"/>
      <c r="BY56" s="242"/>
      <c r="BZ56" s="245"/>
      <c r="CA56" s="245"/>
      <c r="CB56" s="245"/>
      <c r="CC56" s="246"/>
      <c r="CD56" s="242"/>
      <c r="CE56" s="242"/>
      <c r="CF56" s="242"/>
      <c r="CG56" s="242"/>
      <c r="CH56" s="242"/>
      <c r="CI56" s="247"/>
      <c r="CJ56" s="248"/>
      <c r="CK56" s="248"/>
      <c r="CL56" s="248"/>
      <c r="CM56" s="248"/>
    </row>
    <row r="57" spans="1:91" x14ac:dyDescent="0.25">
      <c r="A57" s="231"/>
      <c r="B57" s="232"/>
      <c r="C57" s="232"/>
      <c r="D57" s="233"/>
      <c r="E57" s="234"/>
      <c r="F57" s="235"/>
      <c r="G57" s="236"/>
      <c r="H57" s="237"/>
      <c r="I57" s="238"/>
      <c r="J57" s="239"/>
      <c r="K57" s="240"/>
      <c r="L57" s="8"/>
      <c r="M57" s="241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2"/>
      <c r="AY57" s="243"/>
      <c r="AZ57" s="242"/>
      <c r="BA57" s="242"/>
      <c r="BB57" s="244"/>
      <c r="BC57" s="243"/>
      <c r="BD57" s="243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95"/>
      <c r="BU57" s="295"/>
      <c r="BV57" s="295"/>
      <c r="BW57" s="295"/>
      <c r="BX57" s="242"/>
      <c r="BY57" s="242"/>
      <c r="BZ57" s="245"/>
      <c r="CA57" s="245"/>
      <c r="CB57" s="245"/>
      <c r="CC57" s="246"/>
      <c r="CD57" s="242"/>
      <c r="CE57" s="242"/>
      <c r="CF57" s="242"/>
      <c r="CG57" s="242"/>
      <c r="CH57" s="242"/>
      <c r="CI57" s="247"/>
      <c r="CJ57" s="248"/>
      <c r="CK57" s="248"/>
      <c r="CL57" s="248"/>
      <c r="CM57" s="248"/>
    </row>
    <row r="58" spans="1:91" x14ac:dyDescent="0.25">
      <c r="A58" s="231"/>
      <c r="B58" s="232"/>
      <c r="C58" s="232"/>
      <c r="D58" s="233"/>
      <c r="E58" s="234"/>
      <c r="F58" s="235"/>
      <c r="G58" s="236"/>
      <c r="H58" s="237"/>
      <c r="I58" s="238"/>
      <c r="J58" s="239"/>
      <c r="K58" s="240"/>
      <c r="L58" s="8"/>
      <c r="M58" s="241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2"/>
      <c r="AY58" s="243"/>
      <c r="AZ58" s="242"/>
      <c r="BA58" s="242"/>
      <c r="BB58" s="244"/>
      <c r="BC58" s="243"/>
      <c r="BD58" s="243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95"/>
      <c r="BU58" s="295"/>
      <c r="BV58" s="295"/>
      <c r="BW58" s="295"/>
      <c r="BX58" s="242"/>
      <c r="BY58" s="242"/>
      <c r="BZ58" s="245"/>
      <c r="CA58" s="245"/>
      <c r="CB58" s="245"/>
      <c r="CC58" s="246"/>
      <c r="CD58" s="242"/>
      <c r="CE58" s="242"/>
      <c r="CF58" s="242"/>
      <c r="CG58" s="242"/>
      <c r="CH58" s="242"/>
      <c r="CI58" s="247"/>
      <c r="CJ58" s="248"/>
      <c r="CK58" s="248"/>
      <c r="CL58" s="248"/>
      <c r="CM58" s="248"/>
    </row>
    <row r="59" spans="1:91" x14ac:dyDescent="0.25">
      <c r="A59" s="231"/>
      <c r="B59" s="232"/>
      <c r="C59" s="232"/>
      <c r="D59" s="233"/>
      <c r="E59" s="234"/>
      <c r="F59" s="235"/>
      <c r="G59" s="236"/>
      <c r="H59" s="237"/>
      <c r="I59" s="238"/>
      <c r="J59" s="239"/>
      <c r="K59" s="240"/>
      <c r="L59" s="8"/>
      <c r="M59" s="241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2"/>
      <c r="AY59" s="243"/>
      <c r="AZ59" s="242"/>
      <c r="BA59" s="242"/>
      <c r="BB59" s="244"/>
      <c r="BC59" s="243"/>
      <c r="BD59" s="243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95"/>
      <c r="BU59" s="295"/>
      <c r="BV59" s="295"/>
      <c r="BW59" s="295"/>
      <c r="BX59" s="242"/>
      <c r="BY59" s="242"/>
      <c r="BZ59" s="245"/>
      <c r="CA59" s="245"/>
      <c r="CB59" s="245"/>
      <c r="CC59" s="246"/>
      <c r="CD59" s="242"/>
      <c r="CE59" s="242"/>
      <c r="CF59" s="242"/>
      <c r="CG59" s="242"/>
      <c r="CH59" s="242"/>
      <c r="CI59" s="247"/>
      <c r="CJ59" s="248"/>
      <c r="CK59" s="248"/>
      <c r="CL59" s="248"/>
      <c r="CM59" s="248"/>
    </row>
    <row r="60" spans="1:91" x14ac:dyDescent="0.25">
      <c r="A60" s="231"/>
      <c r="B60" s="232"/>
      <c r="C60" s="232"/>
      <c r="D60" s="233"/>
      <c r="E60" s="234"/>
      <c r="F60" s="235"/>
      <c r="G60" s="236"/>
      <c r="H60" s="237"/>
      <c r="I60" s="238"/>
      <c r="J60" s="239"/>
      <c r="K60" s="240"/>
      <c r="L60" s="8"/>
      <c r="M60" s="241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2"/>
      <c r="AY60" s="243"/>
      <c r="AZ60" s="242"/>
      <c r="BA60" s="242"/>
      <c r="BB60" s="244"/>
      <c r="BC60" s="243"/>
      <c r="BD60" s="243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95"/>
      <c r="BU60" s="295"/>
      <c r="BV60" s="295"/>
      <c r="BW60" s="295"/>
      <c r="BX60" s="242"/>
      <c r="BY60" s="242"/>
      <c r="BZ60" s="245"/>
      <c r="CA60" s="245"/>
      <c r="CB60" s="245"/>
      <c r="CC60" s="246"/>
      <c r="CD60" s="242"/>
      <c r="CE60" s="242"/>
      <c r="CF60" s="242"/>
      <c r="CG60" s="242"/>
      <c r="CH60" s="242"/>
      <c r="CI60" s="247"/>
      <c r="CJ60" s="248"/>
      <c r="CK60" s="248"/>
      <c r="CL60" s="248"/>
      <c r="CM60" s="248"/>
    </row>
    <row r="61" spans="1:91" x14ac:dyDescent="0.25">
      <c r="A61" s="231"/>
      <c r="B61" s="232"/>
      <c r="C61" s="232"/>
      <c r="D61" s="233"/>
      <c r="E61" s="234"/>
      <c r="F61" s="235"/>
      <c r="G61" s="236"/>
      <c r="H61" s="237"/>
      <c r="I61" s="238"/>
      <c r="J61" s="239"/>
      <c r="K61" s="240"/>
      <c r="L61" s="8"/>
      <c r="M61" s="241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2"/>
      <c r="AY61" s="243"/>
      <c r="AZ61" s="242"/>
      <c r="BA61" s="242"/>
      <c r="BB61" s="244"/>
      <c r="BC61" s="243"/>
      <c r="BD61" s="243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95"/>
      <c r="BU61" s="295"/>
      <c r="BV61" s="295"/>
      <c r="BW61" s="295"/>
      <c r="BX61" s="242"/>
      <c r="BY61" s="242"/>
      <c r="BZ61" s="245"/>
      <c r="CA61" s="245"/>
      <c r="CB61" s="245"/>
      <c r="CC61" s="246"/>
      <c r="CD61" s="242"/>
      <c r="CE61" s="242"/>
      <c r="CF61" s="242"/>
      <c r="CG61" s="242"/>
      <c r="CH61" s="242"/>
      <c r="CI61" s="247"/>
      <c r="CJ61" s="248"/>
      <c r="CK61" s="248"/>
      <c r="CL61" s="248"/>
      <c r="CM61" s="248"/>
    </row>
    <row r="62" spans="1:91" x14ac:dyDescent="0.25">
      <c r="A62" s="231"/>
      <c r="B62" s="232"/>
      <c r="C62" s="232"/>
      <c r="D62" s="233"/>
      <c r="E62" s="234"/>
      <c r="F62" s="235"/>
      <c r="G62" s="236"/>
      <c r="H62" s="237"/>
      <c r="I62" s="238"/>
      <c r="J62" s="239"/>
      <c r="K62" s="240"/>
      <c r="L62" s="8"/>
      <c r="M62" s="241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95"/>
      <c r="BU62" s="295"/>
      <c r="BV62" s="295"/>
      <c r="BW62" s="295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95"/>
      <c r="BU63" s="295"/>
      <c r="BV63" s="295"/>
      <c r="BW63" s="295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232"/>
      <c r="C64" s="232"/>
      <c r="D64" s="233"/>
      <c r="E64" s="234"/>
      <c r="F64" s="235"/>
      <c r="G64" s="236"/>
      <c r="H64" s="237"/>
      <c r="I64" s="238"/>
      <c r="J64" s="239"/>
      <c r="K64" s="240"/>
      <c r="L64" s="8"/>
      <c r="M64" s="241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95"/>
      <c r="BU64" s="295"/>
      <c r="BV64" s="295"/>
      <c r="BW64" s="295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95"/>
      <c r="BU65" s="295"/>
      <c r="BV65" s="295"/>
      <c r="BW65" s="295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31"/>
      <c r="B66" s="232"/>
      <c r="C66" s="232"/>
      <c r="D66" s="233"/>
      <c r="E66" s="234"/>
      <c r="F66" s="235"/>
      <c r="G66" s="236"/>
      <c r="H66" s="237"/>
      <c r="I66" s="238"/>
      <c r="J66" s="239"/>
      <c r="K66" s="240"/>
      <c r="L66" s="8"/>
      <c r="M66" s="241"/>
      <c r="N66" s="239"/>
      <c r="O66" s="240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2"/>
      <c r="AY66" s="243"/>
      <c r="AZ66" s="242"/>
      <c r="BA66" s="242"/>
      <c r="BB66" s="244"/>
      <c r="BC66" s="243"/>
      <c r="BD66" s="243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95"/>
      <c r="BU66" s="295"/>
      <c r="BV66" s="295"/>
      <c r="BW66" s="295"/>
      <c r="BX66" s="242"/>
      <c r="BY66" s="242"/>
      <c r="BZ66" s="245"/>
      <c r="CA66" s="245"/>
      <c r="CB66" s="245"/>
      <c r="CC66" s="246"/>
      <c r="CD66" s="242"/>
      <c r="CE66" s="242"/>
      <c r="CF66" s="242"/>
      <c r="CG66" s="242"/>
      <c r="CH66" s="242"/>
      <c r="CI66" s="247"/>
      <c r="CJ66" s="248"/>
      <c r="CK66" s="248"/>
      <c r="CL66" s="248"/>
      <c r="CM66" s="248"/>
    </row>
    <row r="67" spans="1:91" x14ac:dyDescent="0.25">
      <c r="A67" s="231"/>
      <c r="B67" s="232"/>
      <c r="C67" s="232"/>
      <c r="D67" s="233"/>
      <c r="E67" s="234"/>
      <c r="F67" s="235"/>
      <c r="G67" s="236"/>
      <c r="H67" s="237"/>
      <c r="I67" s="238"/>
      <c r="J67" s="239"/>
      <c r="K67" s="240"/>
      <c r="L67" s="8"/>
      <c r="M67" s="241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95"/>
      <c r="BU67" s="295"/>
      <c r="BV67" s="295"/>
      <c r="BW67" s="295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95"/>
      <c r="BU68" s="295"/>
      <c r="BV68" s="295"/>
      <c r="BW68" s="295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5"/>
      <c r="BU69" s="295"/>
      <c r="BV69" s="295"/>
      <c r="BW69" s="295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5"/>
      <c r="BU70" s="295"/>
      <c r="BV70" s="295"/>
      <c r="BW70" s="295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95"/>
      <c r="BU71" s="295"/>
      <c r="BV71" s="295"/>
      <c r="BW71" s="295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95"/>
      <c r="BU72" s="295"/>
      <c r="BV72" s="295"/>
      <c r="BW72" s="295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95"/>
      <c r="BU73" s="295"/>
      <c r="BV73" s="295"/>
      <c r="BW73" s="295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5"/>
      <c r="BU74" s="295"/>
      <c r="BV74" s="295"/>
      <c r="BW74" s="295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5"/>
      <c r="BU75" s="295"/>
      <c r="BV75" s="295"/>
      <c r="BW75" s="295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5"/>
      <c r="BU76" s="295"/>
      <c r="BV76" s="295"/>
      <c r="BW76" s="295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5"/>
      <c r="BU77" s="295"/>
      <c r="BV77" s="295"/>
      <c r="BW77" s="295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5"/>
      <c r="BU78" s="295"/>
      <c r="BV78" s="295"/>
      <c r="BW78" s="295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5"/>
      <c r="BU79" s="295"/>
      <c r="BV79" s="295"/>
      <c r="BW79" s="295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5"/>
      <c r="BU80" s="295"/>
      <c r="BV80" s="295"/>
      <c r="BW80" s="295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5"/>
      <c r="BU81" s="295"/>
      <c r="BV81" s="295"/>
      <c r="BW81" s="295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5"/>
      <c r="BU82" s="295"/>
      <c r="BV82" s="295"/>
      <c r="BW82" s="295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5"/>
      <c r="BU83" s="295"/>
      <c r="BV83" s="295"/>
      <c r="BW83" s="295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5"/>
      <c r="BU84" s="295"/>
      <c r="BV84" s="295"/>
      <c r="BW84" s="295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5"/>
      <c r="BU85" s="295"/>
      <c r="BV85" s="295"/>
      <c r="BW85" s="295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5"/>
      <c r="BU86" s="295"/>
      <c r="BV86" s="295"/>
      <c r="BW86" s="295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5"/>
      <c r="BU87" s="295"/>
      <c r="BV87" s="295"/>
      <c r="BW87" s="295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5"/>
      <c r="BU88" s="295"/>
      <c r="BV88" s="295"/>
      <c r="BW88" s="295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5"/>
      <c r="BU89" s="295"/>
      <c r="BV89" s="295"/>
      <c r="BW89" s="295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5"/>
      <c r="BU90" s="295"/>
      <c r="BV90" s="295"/>
      <c r="BW90" s="295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5"/>
      <c r="BU91" s="295"/>
      <c r="BV91" s="295"/>
      <c r="BW91" s="295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5"/>
      <c r="BU92" s="295"/>
      <c r="BV92" s="295"/>
      <c r="BW92" s="295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5"/>
      <c r="BU93" s="295"/>
      <c r="BV93" s="295"/>
      <c r="BW93" s="295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5"/>
      <c r="BU94" s="295"/>
      <c r="BV94" s="295"/>
      <c r="BW94" s="295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5"/>
      <c r="BU95" s="295"/>
      <c r="BV95" s="295"/>
      <c r="BW95" s="295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5"/>
      <c r="BU96" s="295"/>
      <c r="BV96" s="295"/>
      <c r="BW96" s="295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5"/>
      <c r="BU97" s="295"/>
      <c r="BV97" s="295"/>
      <c r="BW97" s="295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5"/>
      <c r="BU98" s="295"/>
      <c r="BV98" s="295"/>
      <c r="BW98" s="295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5"/>
      <c r="BU99" s="295"/>
      <c r="BV99" s="295"/>
      <c r="BW99" s="295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5"/>
      <c r="BU100" s="295"/>
      <c r="BV100" s="295"/>
      <c r="BW100" s="295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5"/>
      <c r="BU101" s="295"/>
      <c r="BV101" s="295"/>
      <c r="BW101" s="295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5"/>
      <c r="BU102" s="295"/>
      <c r="BV102" s="295"/>
      <c r="BW102" s="295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5"/>
      <c r="BU103" s="295"/>
      <c r="BV103" s="295"/>
      <c r="BW103" s="295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5"/>
      <c r="BU104" s="295"/>
      <c r="BV104" s="295"/>
      <c r="BW104" s="295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5"/>
      <c r="BU105" s="295"/>
      <c r="BV105" s="295"/>
      <c r="BW105" s="295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5"/>
      <c r="BU106" s="295"/>
      <c r="BV106" s="295"/>
      <c r="BW106" s="295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5"/>
      <c r="BU107" s="295"/>
      <c r="BV107" s="295"/>
      <c r="BW107" s="295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5"/>
      <c r="BU108" s="295"/>
      <c r="BV108" s="295"/>
      <c r="BW108" s="295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5"/>
      <c r="BU109" s="295"/>
      <c r="BV109" s="295"/>
      <c r="BW109" s="295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5"/>
      <c r="BU110" s="295"/>
      <c r="BV110" s="295"/>
      <c r="BW110" s="295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5"/>
      <c r="BU111" s="295"/>
      <c r="BV111" s="295"/>
      <c r="BW111" s="295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5"/>
      <c r="BU112" s="295"/>
      <c r="BV112" s="295"/>
      <c r="BW112" s="295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5"/>
      <c r="BU113" s="295"/>
      <c r="BV113" s="295"/>
      <c r="BW113" s="295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5"/>
      <c r="BU114" s="295"/>
      <c r="BV114" s="295"/>
      <c r="BW114" s="295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5"/>
      <c r="BU115" s="295"/>
      <c r="BV115" s="295"/>
      <c r="BW115" s="295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5"/>
      <c r="BU116" s="295"/>
      <c r="BV116" s="295"/>
      <c r="BW116" s="295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5"/>
      <c r="BU117" s="295"/>
      <c r="BV117" s="295"/>
      <c r="BW117" s="295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5"/>
      <c r="BU118" s="295"/>
      <c r="BV118" s="295"/>
      <c r="BW118" s="295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5"/>
      <c r="BU119" s="295"/>
      <c r="BV119" s="295"/>
      <c r="BW119" s="295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5"/>
      <c r="BU120" s="295"/>
      <c r="BV120" s="295"/>
      <c r="BW120" s="295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5"/>
      <c r="BU121" s="295"/>
      <c r="BV121" s="295"/>
      <c r="BW121" s="295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5"/>
      <c r="BU122" s="295"/>
      <c r="BV122" s="295"/>
      <c r="BW122" s="295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5"/>
      <c r="BU123" s="295"/>
      <c r="BV123" s="295"/>
      <c r="BW123" s="295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5"/>
      <c r="BU124" s="295"/>
      <c r="BV124" s="295"/>
      <c r="BW124" s="295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5"/>
      <c r="BU125" s="295"/>
      <c r="BV125" s="295"/>
      <c r="BW125" s="295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5"/>
      <c r="BU126" s="295"/>
      <c r="BV126" s="295"/>
      <c r="BW126" s="295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5"/>
      <c r="BU127" s="295"/>
      <c r="BV127" s="295"/>
      <c r="BW127" s="295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5"/>
      <c r="BU128" s="295"/>
      <c r="BV128" s="295"/>
      <c r="BW128" s="295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5"/>
      <c r="BU129" s="295"/>
      <c r="BV129" s="295"/>
      <c r="BW129" s="295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5"/>
      <c r="BU130" s="295"/>
      <c r="BV130" s="295"/>
      <c r="BW130" s="295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5"/>
      <c r="BU131" s="295"/>
      <c r="BV131" s="295"/>
      <c r="BW131" s="295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5"/>
      <c r="BU132" s="295"/>
      <c r="BV132" s="295"/>
      <c r="BW132" s="295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5"/>
      <c r="BU133" s="295"/>
      <c r="BV133" s="295"/>
      <c r="BW133" s="295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5"/>
      <c r="BU134" s="295"/>
      <c r="BV134" s="295"/>
      <c r="BW134" s="295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5"/>
      <c r="BU135" s="295"/>
      <c r="BV135" s="295"/>
      <c r="BW135" s="295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5"/>
      <c r="BU136" s="295"/>
      <c r="BV136" s="295"/>
      <c r="BW136" s="295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5"/>
      <c r="BU137" s="295"/>
      <c r="BV137" s="295"/>
      <c r="BW137" s="295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5"/>
      <c r="BU138" s="295"/>
      <c r="BV138" s="295"/>
      <c r="BW138" s="295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5"/>
      <c r="BU139" s="295"/>
      <c r="BV139" s="295"/>
      <c r="BW139" s="295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5"/>
      <c r="BU140" s="295"/>
      <c r="BV140" s="295"/>
      <c r="BW140" s="295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5"/>
      <c r="BU141" s="295"/>
      <c r="BV141" s="295"/>
      <c r="BW141" s="295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5"/>
      <c r="BU142" s="295"/>
      <c r="BV142" s="295"/>
      <c r="BW142" s="295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5"/>
      <c r="BU143" s="295"/>
      <c r="BV143" s="295"/>
      <c r="BW143" s="295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5"/>
      <c r="BU144" s="295"/>
      <c r="BV144" s="295"/>
      <c r="BW144" s="295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5"/>
      <c r="BU145" s="295"/>
      <c r="BV145" s="295"/>
      <c r="BW145" s="295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5"/>
      <c r="BU146" s="295"/>
      <c r="BV146" s="295"/>
      <c r="BW146" s="295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5"/>
      <c r="BU147" s="295"/>
      <c r="BV147" s="295"/>
      <c r="BW147" s="295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5"/>
      <c r="BU148" s="295"/>
      <c r="BV148" s="295"/>
      <c r="BW148" s="295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5"/>
      <c r="BU149" s="295"/>
      <c r="BV149" s="295"/>
      <c r="BW149" s="295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5"/>
      <c r="BU150" s="295"/>
      <c r="BV150" s="295"/>
      <c r="BW150" s="295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5"/>
      <c r="BU151" s="295"/>
      <c r="BV151" s="295"/>
      <c r="BW151" s="295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5"/>
      <c r="BU152" s="295"/>
      <c r="BV152" s="295"/>
      <c r="BW152" s="295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5"/>
      <c r="BU153" s="295"/>
      <c r="BV153" s="295"/>
      <c r="BW153" s="295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5"/>
      <c r="BU154" s="295"/>
      <c r="BV154" s="295"/>
      <c r="BW154" s="295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5"/>
      <c r="BU155" s="295"/>
      <c r="BV155" s="295"/>
      <c r="BW155" s="295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5"/>
      <c r="BU156" s="295"/>
      <c r="BV156" s="295"/>
      <c r="BW156" s="295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5"/>
      <c r="BU157" s="295"/>
      <c r="BV157" s="295"/>
      <c r="BW157" s="295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5"/>
      <c r="BU158" s="295"/>
      <c r="BV158" s="295"/>
      <c r="BW158" s="295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5"/>
      <c r="BU159" s="295"/>
      <c r="BV159" s="295"/>
      <c r="BW159" s="295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5"/>
      <c r="BU160" s="295"/>
      <c r="BV160" s="295"/>
      <c r="BW160" s="295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5"/>
      <c r="BU161" s="295"/>
      <c r="BV161" s="295"/>
      <c r="BW161" s="295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5"/>
      <c r="BU162" s="295"/>
      <c r="BV162" s="295"/>
      <c r="BW162" s="295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5"/>
      <c r="BU163" s="295"/>
      <c r="BV163" s="295"/>
      <c r="BW163" s="295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5"/>
      <c r="BU164" s="295"/>
      <c r="BV164" s="295"/>
      <c r="BW164" s="295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5"/>
      <c r="BU165" s="295"/>
      <c r="BV165" s="295"/>
      <c r="BW165" s="295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5"/>
      <c r="BU166" s="295"/>
      <c r="BV166" s="295"/>
      <c r="BW166" s="295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5"/>
      <c r="BU167" s="295"/>
      <c r="BV167" s="295"/>
      <c r="BW167" s="295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5"/>
      <c r="BU168" s="295"/>
      <c r="BV168" s="295"/>
      <c r="BW168" s="295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5"/>
      <c r="BU169" s="295"/>
      <c r="BV169" s="295"/>
      <c r="BW169" s="295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5"/>
      <c r="BU170" s="295"/>
      <c r="BV170" s="295"/>
      <c r="BW170" s="295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5"/>
      <c r="BU171" s="295"/>
      <c r="BV171" s="295"/>
      <c r="BW171" s="295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5"/>
      <c r="BU172" s="295"/>
      <c r="BV172" s="295"/>
      <c r="BW172" s="295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5"/>
      <c r="BU173" s="295"/>
      <c r="BV173" s="295"/>
      <c r="BW173" s="295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5"/>
      <c r="BU174" s="295"/>
      <c r="BV174" s="295"/>
      <c r="BW174" s="295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5"/>
      <c r="BU175" s="295"/>
      <c r="BV175" s="295"/>
      <c r="BW175" s="295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5"/>
      <c r="BU176" s="295"/>
      <c r="BV176" s="295"/>
      <c r="BW176" s="295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5"/>
      <c r="BU177" s="295"/>
      <c r="BV177" s="295"/>
      <c r="BW177" s="295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5"/>
      <c r="BU178" s="295"/>
      <c r="BV178" s="295"/>
      <c r="BW178" s="295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5"/>
      <c r="BU179" s="295"/>
      <c r="BV179" s="295"/>
      <c r="BW179" s="295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5"/>
      <c r="BU180" s="295"/>
      <c r="BV180" s="295"/>
      <c r="BW180" s="295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5"/>
      <c r="BU181" s="295"/>
      <c r="BV181" s="295"/>
      <c r="BW181" s="295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5"/>
      <c r="BU182" s="295"/>
      <c r="BV182" s="295"/>
      <c r="BW182" s="295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5"/>
      <c r="BU183" s="295"/>
      <c r="BV183" s="295"/>
      <c r="BW183" s="295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5"/>
      <c r="BU184" s="295"/>
      <c r="BV184" s="295"/>
      <c r="BW184" s="295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5"/>
      <c r="BU185" s="295"/>
      <c r="BV185" s="295"/>
      <c r="BW185" s="295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5"/>
      <c r="BU186" s="295"/>
      <c r="BV186" s="295"/>
      <c r="BW186" s="295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5"/>
      <c r="BU187" s="295"/>
      <c r="BV187" s="295"/>
      <c r="BW187" s="295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5"/>
      <c r="BU188" s="295"/>
      <c r="BV188" s="295"/>
      <c r="BW188" s="295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5"/>
      <c r="BU189" s="295"/>
      <c r="BV189" s="295"/>
      <c r="BW189" s="295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5"/>
      <c r="BU190" s="295"/>
      <c r="BV190" s="295"/>
      <c r="BW190" s="295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5"/>
      <c r="BU191" s="295"/>
      <c r="BV191" s="295"/>
      <c r="BW191" s="295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5"/>
      <c r="BU192" s="295"/>
      <c r="BV192" s="295"/>
      <c r="BW192" s="295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5"/>
      <c r="BU193" s="295"/>
      <c r="BV193" s="295"/>
      <c r="BW193" s="295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5"/>
      <c r="BU194" s="295"/>
      <c r="BV194" s="295"/>
      <c r="BW194" s="295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5"/>
      <c r="BU195" s="295"/>
      <c r="BV195" s="295"/>
      <c r="BW195" s="295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5"/>
      <c r="BU196" s="295"/>
      <c r="BV196" s="295"/>
      <c r="BW196" s="295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5"/>
      <c r="BU197" s="295"/>
      <c r="BV197" s="295"/>
      <c r="BW197" s="295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5"/>
      <c r="BU198" s="295"/>
      <c r="BV198" s="295"/>
      <c r="BW198" s="295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5"/>
      <c r="BU199" s="295"/>
      <c r="BV199" s="295"/>
      <c r="BW199" s="295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5"/>
      <c r="BU200" s="295"/>
      <c r="BV200" s="295"/>
      <c r="BW200" s="295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5"/>
      <c r="BU201" s="295"/>
      <c r="BV201" s="295"/>
      <c r="BW201" s="295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5"/>
      <c r="BU202" s="295"/>
      <c r="BV202" s="295"/>
      <c r="BW202" s="295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5"/>
      <c r="BU203" s="295"/>
      <c r="BV203" s="295"/>
      <c r="BW203" s="295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5"/>
      <c r="BU204" s="295"/>
      <c r="BV204" s="295"/>
      <c r="BW204" s="295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5"/>
      <c r="BU205" s="295"/>
      <c r="BV205" s="295"/>
      <c r="BW205" s="295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5"/>
      <c r="BU206" s="295"/>
      <c r="BV206" s="295"/>
      <c r="BW206" s="295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5"/>
      <c r="BU207" s="295"/>
      <c r="BV207" s="295"/>
      <c r="BW207" s="295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5"/>
      <c r="BU208" s="295"/>
      <c r="BV208" s="295"/>
      <c r="BW208" s="295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5"/>
      <c r="BU209" s="295"/>
      <c r="BV209" s="295"/>
      <c r="BW209" s="295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5"/>
      <c r="BU210" s="295"/>
      <c r="BV210" s="295"/>
      <c r="BW210" s="295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5"/>
      <c r="BU211" s="295"/>
      <c r="BV211" s="295"/>
      <c r="BW211" s="295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2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5"/>
      <c r="BU212" s="295"/>
      <c r="BV212" s="295"/>
      <c r="BW212" s="295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2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5"/>
      <c r="BU213" s="295"/>
      <c r="BV213" s="295"/>
      <c r="BW213" s="295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2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5"/>
      <c r="BU214" s="295"/>
      <c r="BV214" s="295"/>
      <c r="BW214" s="295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2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5"/>
      <c r="BU215" s="295"/>
      <c r="BV215" s="295"/>
      <c r="BW215" s="295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2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5"/>
      <c r="BU216" s="295"/>
      <c r="BV216" s="295"/>
      <c r="BW216" s="295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2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5"/>
      <c r="BU217" s="295"/>
      <c r="BV217" s="295"/>
      <c r="BW217" s="295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2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5"/>
      <c r="BU218" s="295"/>
      <c r="BV218" s="295"/>
      <c r="BW218" s="295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2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5"/>
      <c r="BU219" s="295"/>
      <c r="BV219" s="295"/>
      <c r="BW219" s="295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2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5"/>
      <c r="BU220" s="295"/>
      <c r="BV220" s="295"/>
      <c r="BW220" s="295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2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5"/>
      <c r="BU221" s="295"/>
      <c r="BV221" s="295"/>
      <c r="BW221" s="295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2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5"/>
      <c r="BU222" s="295"/>
      <c r="BV222" s="295"/>
      <c r="BW222" s="295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2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5"/>
      <c r="BU223" s="295"/>
      <c r="BV223" s="295"/>
      <c r="BW223" s="295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2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5"/>
      <c r="BU224" s="295"/>
      <c r="BV224" s="295"/>
      <c r="BW224" s="295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2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5"/>
      <c r="BU225" s="295"/>
      <c r="BV225" s="295"/>
      <c r="BW225" s="295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2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5"/>
      <c r="BU226" s="295"/>
      <c r="BV226" s="295"/>
      <c r="BW226" s="295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2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5"/>
      <c r="BU227" s="295"/>
      <c r="BV227" s="295"/>
      <c r="BW227" s="295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2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5"/>
      <c r="BU228" s="295"/>
      <c r="BV228" s="295"/>
      <c r="BW228" s="295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2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5"/>
      <c r="BU229" s="295"/>
      <c r="BV229" s="295"/>
      <c r="BW229" s="295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2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5"/>
      <c r="BU230" s="295"/>
      <c r="BV230" s="295"/>
      <c r="BW230" s="295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2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5"/>
      <c r="BU231" s="295"/>
      <c r="BV231" s="295"/>
      <c r="BW231" s="295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2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5"/>
      <c r="BU232" s="295"/>
      <c r="BV232" s="295"/>
      <c r="BW232" s="295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2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5"/>
      <c r="BU233" s="295"/>
      <c r="BV233" s="295"/>
      <c r="BW233" s="295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2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5"/>
      <c r="BU234" s="295"/>
      <c r="BV234" s="295"/>
      <c r="BW234" s="295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2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5"/>
      <c r="BU235" s="295"/>
      <c r="BV235" s="295"/>
      <c r="BW235" s="295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2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5"/>
      <c r="BU236" s="295"/>
      <c r="BV236" s="295"/>
      <c r="BW236" s="295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2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5"/>
      <c r="BU237" s="295"/>
      <c r="BV237" s="295"/>
      <c r="BW237" s="295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2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5"/>
      <c r="BU238" s="295"/>
      <c r="BV238" s="295"/>
      <c r="BW238" s="295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2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5"/>
      <c r="BU239" s="295"/>
      <c r="BV239" s="295"/>
      <c r="BW239" s="295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2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5"/>
      <c r="BU240" s="295"/>
      <c r="BV240" s="295"/>
      <c r="BW240" s="295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2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5"/>
      <c r="BU241" s="295"/>
      <c r="BV241" s="295"/>
      <c r="BW241" s="295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2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5"/>
      <c r="BU242" s="295"/>
      <c r="BV242" s="295"/>
      <c r="BW242" s="295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2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5"/>
      <c r="BU243" s="295"/>
      <c r="BV243" s="295"/>
      <c r="BW243" s="295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2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5"/>
      <c r="BU244" s="295"/>
      <c r="BV244" s="295"/>
      <c r="BW244" s="295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2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5"/>
      <c r="BU245" s="295"/>
      <c r="BV245" s="295"/>
      <c r="BW245" s="295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2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5"/>
      <c r="BU246" s="295"/>
      <c r="BV246" s="295"/>
      <c r="BW246" s="295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2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5"/>
      <c r="BU247" s="295"/>
      <c r="BV247" s="295"/>
      <c r="BW247" s="295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2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5"/>
      <c r="BU248" s="295"/>
      <c r="BV248" s="295"/>
      <c r="BW248" s="295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2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5"/>
      <c r="BU249" s="295"/>
      <c r="BV249" s="295"/>
      <c r="BW249" s="295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2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5"/>
      <c r="BU250" s="295"/>
      <c r="BV250" s="295"/>
      <c r="BW250" s="295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2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5"/>
      <c r="BU251" s="295"/>
      <c r="BV251" s="295"/>
      <c r="BW251" s="295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2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5"/>
      <c r="BU252" s="295"/>
      <c r="BV252" s="295"/>
      <c r="BW252" s="295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2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5"/>
      <c r="BU253" s="295"/>
      <c r="BV253" s="295"/>
      <c r="BW253" s="295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2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5"/>
      <c r="BU254" s="295"/>
      <c r="BV254" s="295"/>
      <c r="BW254" s="295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2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5"/>
      <c r="BU255" s="295"/>
      <c r="BV255" s="295"/>
      <c r="BW255" s="295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2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5"/>
      <c r="BU256" s="295"/>
      <c r="BV256" s="295"/>
      <c r="BW256" s="295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2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5"/>
      <c r="BU257" s="295"/>
      <c r="BV257" s="295"/>
      <c r="BW257" s="295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2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5"/>
      <c r="BU258" s="295"/>
      <c r="BV258" s="295"/>
      <c r="BW258" s="295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2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5"/>
      <c r="BU259" s="295"/>
      <c r="BV259" s="295"/>
      <c r="BW259" s="295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2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5"/>
      <c r="BU260" s="295"/>
      <c r="BV260" s="295"/>
      <c r="BW260" s="295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2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5"/>
      <c r="BU261" s="295"/>
      <c r="BV261" s="295"/>
      <c r="BW261" s="295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2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5"/>
      <c r="BU262" s="295"/>
      <c r="BV262" s="295"/>
      <c r="BW262" s="295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2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5"/>
      <c r="BU263" s="295"/>
      <c r="BV263" s="295"/>
      <c r="BW263" s="295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2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5"/>
      <c r="BU264" s="295"/>
      <c r="BV264" s="295"/>
      <c r="BW264" s="295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2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5"/>
      <c r="BU265" s="295"/>
      <c r="BV265" s="295"/>
      <c r="BW265" s="295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2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5"/>
      <c r="BU266" s="295"/>
      <c r="BV266" s="295"/>
      <c r="BW266" s="295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2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5"/>
      <c r="BU267" s="295"/>
      <c r="BV267" s="295"/>
      <c r="BW267" s="295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2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5"/>
      <c r="BU268" s="295"/>
      <c r="BV268" s="295"/>
      <c r="BW268" s="295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2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5"/>
      <c r="BU269" s="295"/>
      <c r="BV269" s="295"/>
      <c r="BW269" s="295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2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5"/>
      <c r="BU270" s="295"/>
      <c r="BV270" s="295"/>
      <c r="BW270" s="295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2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5"/>
      <c r="BU271" s="295"/>
      <c r="BV271" s="295"/>
      <c r="BW271" s="295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2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5"/>
      <c r="BU272" s="295"/>
      <c r="BV272" s="295"/>
      <c r="BW272" s="295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2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5"/>
      <c r="BU273" s="295"/>
      <c r="BV273" s="295"/>
      <c r="BW273" s="295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2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5"/>
      <c r="BU274" s="295"/>
      <c r="BV274" s="295"/>
      <c r="BW274" s="295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2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5"/>
      <c r="BU275" s="295"/>
      <c r="BV275" s="295"/>
      <c r="BW275" s="295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2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5"/>
      <c r="BU276" s="295"/>
      <c r="BV276" s="295"/>
      <c r="BW276" s="295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2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5"/>
      <c r="BU277" s="295"/>
      <c r="BV277" s="295"/>
      <c r="BW277" s="295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2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5"/>
      <c r="BU278" s="295"/>
      <c r="BV278" s="295"/>
      <c r="BW278" s="295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2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5"/>
      <c r="BU279" s="295"/>
      <c r="BV279" s="295"/>
      <c r="BW279" s="295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2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5"/>
      <c r="BU280" s="295"/>
      <c r="BV280" s="295"/>
      <c r="BW280" s="295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2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5"/>
      <c r="BU281" s="295"/>
      <c r="BV281" s="295"/>
      <c r="BW281" s="295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2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5"/>
      <c r="BU282" s="295"/>
      <c r="BV282" s="295"/>
      <c r="BW282" s="295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2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5"/>
      <c r="BU283" s="295"/>
      <c r="BV283" s="295"/>
      <c r="BW283" s="295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2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5"/>
      <c r="BU284" s="295"/>
      <c r="BV284" s="295"/>
      <c r="BW284" s="295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2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5"/>
      <c r="BU285" s="295"/>
      <c r="BV285" s="295"/>
      <c r="BW285" s="295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2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5"/>
      <c r="BU286" s="295"/>
      <c r="BV286" s="295"/>
      <c r="BW286" s="295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2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5"/>
      <c r="BU287" s="295"/>
      <c r="BV287" s="295"/>
      <c r="BW287" s="295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2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5"/>
      <c r="BU288" s="295"/>
      <c r="BV288" s="295"/>
      <c r="BW288" s="295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2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5"/>
      <c r="BU289" s="295"/>
      <c r="BV289" s="295"/>
      <c r="BW289" s="295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2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5"/>
      <c r="BU290" s="295"/>
      <c r="BV290" s="295"/>
      <c r="BW290" s="295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2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5"/>
      <c r="BU291" s="295"/>
      <c r="BV291" s="295"/>
      <c r="BW291" s="295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2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5"/>
      <c r="BU292" s="295"/>
      <c r="BV292" s="295"/>
      <c r="BW292" s="295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2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5"/>
      <c r="BU293" s="295"/>
      <c r="BV293" s="295"/>
      <c r="BW293" s="295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2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5"/>
      <c r="BU294" s="295"/>
      <c r="BV294" s="295"/>
      <c r="BW294" s="295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2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5"/>
      <c r="BU295" s="295"/>
      <c r="BV295" s="295"/>
      <c r="BW295" s="295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2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5"/>
      <c r="BU296" s="295"/>
      <c r="BV296" s="295"/>
      <c r="BW296" s="295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2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5"/>
      <c r="BU297" s="295"/>
      <c r="BV297" s="295"/>
      <c r="BW297" s="295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2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5"/>
      <c r="BU298" s="295"/>
      <c r="BV298" s="295"/>
      <c r="BW298" s="295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2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5"/>
      <c r="BU299" s="295"/>
      <c r="BV299" s="295"/>
      <c r="BW299" s="295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2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5"/>
      <c r="BU300" s="295"/>
      <c r="BV300" s="295"/>
      <c r="BW300" s="295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2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5"/>
      <c r="BU301" s="295"/>
      <c r="BV301" s="295"/>
      <c r="BW301" s="295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2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5"/>
      <c r="BU302" s="295"/>
      <c r="BV302" s="295"/>
      <c r="BW302" s="295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2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5"/>
      <c r="BU303" s="295"/>
      <c r="BV303" s="295"/>
      <c r="BW303" s="295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2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5"/>
      <c r="BU304" s="295"/>
      <c r="BV304" s="295"/>
      <c r="BW304" s="295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2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5"/>
      <c r="BU305" s="295"/>
      <c r="BV305" s="295"/>
      <c r="BW305" s="295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2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5"/>
      <c r="BU306" s="295"/>
      <c r="BV306" s="295"/>
      <c r="BW306" s="295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2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5"/>
      <c r="BU307" s="295"/>
      <c r="BV307" s="295"/>
      <c r="BW307" s="295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2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5"/>
      <c r="BU308" s="295"/>
      <c r="BV308" s="295"/>
      <c r="BW308" s="295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2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5"/>
      <c r="BU309" s="295"/>
      <c r="BV309" s="295"/>
      <c r="BW309" s="295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2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5"/>
      <c r="BU310" s="295"/>
      <c r="BV310" s="295"/>
      <c r="BW310" s="295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2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5"/>
      <c r="BU311" s="295"/>
      <c r="BV311" s="295"/>
      <c r="BW311" s="295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2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5"/>
      <c r="BU312" s="295"/>
      <c r="BV312" s="295"/>
      <c r="BW312" s="295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2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5"/>
      <c r="BU313" s="295"/>
      <c r="BV313" s="295"/>
      <c r="BW313" s="295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2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5"/>
      <c r="BU314" s="295"/>
      <c r="BV314" s="295"/>
      <c r="BW314" s="295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2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5"/>
      <c r="BU315" s="295"/>
      <c r="BV315" s="295"/>
      <c r="BW315" s="295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2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5"/>
      <c r="BU316" s="295"/>
      <c r="BV316" s="295"/>
      <c r="BW316" s="295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2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5"/>
      <c r="BU317" s="295"/>
      <c r="BV317" s="295"/>
      <c r="BW317" s="295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2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5"/>
      <c r="BU318" s="295"/>
      <c r="BV318" s="295"/>
      <c r="BW318" s="295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2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5"/>
      <c r="BU319" s="295"/>
      <c r="BV319" s="295"/>
      <c r="BW319" s="295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2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5"/>
      <c r="BU320" s="295"/>
      <c r="BV320" s="295"/>
      <c r="BW320" s="295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2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5"/>
      <c r="BU321" s="295"/>
      <c r="BV321" s="295"/>
      <c r="BW321" s="295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2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5"/>
      <c r="BU322" s="295"/>
      <c r="BV322" s="295"/>
      <c r="BW322" s="295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2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5"/>
      <c r="BU323" s="295"/>
      <c r="BV323" s="295"/>
      <c r="BW323" s="295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2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5"/>
      <c r="BU324" s="295"/>
      <c r="BV324" s="295"/>
      <c r="BW324" s="295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2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5"/>
      <c r="BU325" s="295"/>
      <c r="BV325" s="295"/>
      <c r="BW325" s="295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2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5"/>
      <c r="BU326" s="295"/>
      <c r="BV326" s="295"/>
      <c r="BW326" s="295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2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5"/>
      <c r="BU327" s="295"/>
      <c r="BV327" s="295"/>
      <c r="BW327" s="295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2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5"/>
      <c r="BU328" s="295"/>
      <c r="BV328" s="295"/>
      <c r="BW328" s="295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2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5"/>
      <c r="BU329" s="295"/>
      <c r="BV329" s="295"/>
      <c r="BW329" s="295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2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5"/>
      <c r="BU330" s="295"/>
      <c r="BV330" s="295"/>
      <c r="BW330" s="295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2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5"/>
      <c r="BU331" s="295"/>
      <c r="BV331" s="295"/>
      <c r="BW331" s="295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2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5"/>
      <c r="BU332" s="295"/>
      <c r="BV332" s="295"/>
      <c r="BW332" s="295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2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5"/>
      <c r="BU333" s="295"/>
      <c r="BV333" s="295"/>
      <c r="BW333" s="295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2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5"/>
      <c r="BU334" s="295"/>
      <c r="BV334" s="295"/>
      <c r="BW334" s="295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2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5"/>
      <c r="BU335" s="295"/>
      <c r="BV335" s="295"/>
      <c r="BW335" s="295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2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5"/>
      <c r="BU336" s="295"/>
      <c r="BV336" s="295"/>
      <c r="BW336" s="295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2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5"/>
      <c r="BU337" s="295"/>
      <c r="BV337" s="295"/>
      <c r="BW337" s="295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2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5"/>
      <c r="BU338" s="295"/>
      <c r="BV338" s="295"/>
      <c r="BW338" s="295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2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5"/>
      <c r="BU339" s="295"/>
      <c r="BV339" s="295"/>
      <c r="BW339" s="295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1"/>
      <c r="C340" s="232"/>
      <c r="D340" s="233"/>
      <c r="E340" s="234"/>
      <c r="F340" s="235"/>
      <c r="G340" s="236"/>
      <c r="H340" s="237"/>
      <c r="I340" s="252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5"/>
      <c r="BU340" s="295"/>
      <c r="BV340" s="295"/>
      <c r="BW340" s="295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1"/>
      <c r="C341" s="232"/>
      <c r="D341" s="233"/>
      <c r="E341" s="234"/>
      <c r="F341" s="235"/>
      <c r="G341" s="236"/>
      <c r="H341" s="237"/>
      <c r="I341" s="252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5"/>
      <c r="BU341" s="295"/>
      <c r="BV341" s="295"/>
      <c r="BW341" s="295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1"/>
      <c r="C342" s="232"/>
      <c r="D342" s="233"/>
      <c r="E342" s="234"/>
      <c r="F342" s="235"/>
      <c r="G342" s="236"/>
      <c r="H342" s="237"/>
      <c r="I342" s="252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5"/>
      <c r="BU342" s="295"/>
      <c r="BV342" s="295"/>
      <c r="BW342" s="295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2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5"/>
      <c r="BU343" s="295"/>
      <c r="BV343" s="295"/>
      <c r="BW343" s="295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2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5"/>
      <c r="BU344" s="295"/>
      <c r="BV344" s="295"/>
      <c r="BW344" s="295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2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5"/>
      <c r="BU345" s="295"/>
      <c r="BV345" s="295"/>
      <c r="BW345" s="295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2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5"/>
      <c r="BU346" s="295"/>
      <c r="BV346" s="295"/>
      <c r="BW346" s="295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2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5"/>
      <c r="BU347" s="295"/>
      <c r="BV347" s="295"/>
      <c r="BW347" s="295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2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5"/>
      <c r="BU348" s="295"/>
      <c r="BV348" s="295"/>
      <c r="BW348" s="295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2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5"/>
      <c r="BU349" s="295"/>
      <c r="BV349" s="295"/>
      <c r="BW349" s="295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2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5"/>
      <c r="BU350" s="295"/>
      <c r="BV350" s="295"/>
      <c r="BW350" s="295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2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5"/>
      <c r="BU351" s="295"/>
      <c r="BV351" s="295"/>
      <c r="BW351" s="295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2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5"/>
      <c r="BU352" s="295"/>
      <c r="BV352" s="295"/>
      <c r="BW352" s="295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2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5"/>
      <c r="BU353" s="295"/>
      <c r="BV353" s="295"/>
      <c r="BW353" s="295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2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5"/>
      <c r="BU354" s="295"/>
      <c r="BV354" s="295"/>
      <c r="BW354" s="295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2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5"/>
      <c r="BU355" s="295"/>
      <c r="BV355" s="295"/>
      <c r="BW355" s="295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2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5"/>
      <c r="BU356" s="295"/>
      <c r="BV356" s="295"/>
      <c r="BW356" s="295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1"/>
      <c r="C357" s="232"/>
      <c r="D357" s="233"/>
      <c r="E357" s="234"/>
      <c r="F357" s="235"/>
      <c r="G357" s="236"/>
      <c r="H357" s="237"/>
      <c r="I357" s="252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5"/>
      <c r="BU357" s="295"/>
      <c r="BV357" s="295"/>
      <c r="BW357" s="295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1"/>
      <c r="C358" s="232"/>
      <c r="D358" s="233"/>
      <c r="E358" s="234"/>
      <c r="F358" s="235"/>
      <c r="G358" s="236"/>
      <c r="H358" s="237"/>
      <c r="I358" s="252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5"/>
      <c r="BU358" s="295"/>
      <c r="BV358" s="295"/>
      <c r="BW358" s="295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1"/>
      <c r="C359" s="232"/>
      <c r="D359" s="233"/>
      <c r="E359" s="234"/>
      <c r="F359" s="235"/>
      <c r="G359" s="236"/>
      <c r="H359" s="237"/>
      <c r="I359" s="252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5"/>
      <c r="BU359" s="295"/>
      <c r="BV359" s="295"/>
      <c r="BW359" s="295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1"/>
      <c r="C360" s="232"/>
      <c r="D360" s="233"/>
      <c r="E360" s="234"/>
      <c r="F360" s="235"/>
      <c r="G360" s="236"/>
      <c r="H360" s="237"/>
      <c r="I360" s="252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5"/>
      <c r="BU360" s="295"/>
      <c r="BV360" s="295"/>
      <c r="BW360" s="295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2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5"/>
      <c r="BU361" s="295"/>
      <c r="BV361" s="295"/>
      <c r="BW361" s="295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2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5"/>
      <c r="BU362" s="295"/>
      <c r="BV362" s="295"/>
      <c r="BW362" s="295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2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5"/>
      <c r="BU363" s="295"/>
      <c r="BV363" s="295"/>
      <c r="BW363" s="295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2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5"/>
      <c r="BU364" s="295"/>
      <c r="BV364" s="295"/>
      <c r="BW364" s="295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2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5"/>
      <c r="BU365" s="295"/>
      <c r="BV365" s="295"/>
      <c r="BW365" s="295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1"/>
      <c r="C366" s="232"/>
      <c r="D366" s="233"/>
      <c r="E366" s="234"/>
      <c r="F366" s="235"/>
      <c r="G366" s="236"/>
      <c r="H366" s="237"/>
      <c r="I366" s="252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5"/>
      <c r="BU366" s="295"/>
      <c r="BV366" s="295"/>
      <c r="BW366" s="295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1"/>
      <c r="C367" s="232"/>
      <c r="D367" s="233"/>
      <c r="E367" s="234"/>
      <c r="F367" s="235"/>
      <c r="G367" s="236"/>
      <c r="H367" s="237"/>
      <c r="I367" s="252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5"/>
      <c r="BU367" s="295"/>
      <c r="BV367" s="295"/>
      <c r="BW367" s="295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1"/>
      <c r="C368" s="232"/>
      <c r="D368" s="233"/>
      <c r="E368" s="234"/>
      <c r="F368" s="235"/>
      <c r="G368" s="236"/>
      <c r="H368" s="237"/>
      <c r="I368" s="252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5"/>
      <c r="BU368" s="295"/>
      <c r="BV368" s="295"/>
      <c r="BW368" s="295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2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5"/>
      <c r="BU369" s="295"/>
      <c r="BV369" s="295"/>
      <c r="BW369" s="295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2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5"/>
      <c r="BU370" s="295"/>
      <c r="BV370" s="295"/>
      <c r="BW370" s="295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2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5"/>
      <c r="BU371" s="295"/>
      <c r="BV371" s="295"/>
      <c r="BW371" s="295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2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5"/>
      <c r="BU372" s="295"/>
      <c r="BV372" s="295"/>
      <c r="BW372" s="295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2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5"/>
      <c r="BU373" s="295"/>
      <c r="BV373" s="295"/>
      <c r="BW373" s="295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2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5"/>
      <c r="BU374" s="295"/>
      <c r="BV374" s="295"/>
      <c r="BW374" s="295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2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5"/>
      <c r="BU375" s="295"/>
      <c r="BV375" s="295"/>
      <c r="BW375" s="295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2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5"/>
      <c r="BU376" s="295"/>
      <c r="BV376" s="295"/>
      <c r="BW376" s="295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2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5"/>
      <c r="BU377" s="295"/>
      <c r="BV377" s="295"/>
      <c r="BW377" s="295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2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5"/>
      <c r="BU378" s="295"/>
      <c r="BV378" s="295"/>
      <c r="BW378" s="295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2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5"/>
      <c r="BU379" s="295"/>
      <c r="BV379" s="295"/>
      <c r="BW379" s="295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2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5"/>
      <c r="BU380" s="295"/>
      <c r="BV380" s="295"/>
      <c r="BW380" s="295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2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5"/>
      <c r="BU381" s="295"/>
      <c r="BV381" s="295"/>
      <c r="BW381" s="295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2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5"/>
      <c r="BU382" s="295"/>
      <c r="BV382" s="295"/>
      <c r="BW382" s="295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2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5"/>
      <c r="BU383" s="295"/>
      <c r="BV383" s="295"/>
      <c r="BW383" s="295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2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5"/>
      <c r="BU384" s="295"/>
      <c r="BV384" s="295"/>
      <c r="BW384" s="295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2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5"/>
      <c r="BU385" s="295"/>
      <c r="BV385" s="295"/>
      <c r="BW385" s="295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2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5"/>
      <c r="BU386" s="295"/>
      <c r="BV386" s="295"/>
      <c r="BW386" s="295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2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5"/>
      <c r="BU387" s="295"/>
      <c r="BV387" s="295"/>
      <c r="BW387" s="295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2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5"/>
      <c r="BU388" s="295"/>
      <c r="BV388" s="295"/>
      <c r="BW388" s="295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2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5"/>
      <c r="BU389" s="295"/>
      <c r="BV389" s="295"/>
      <c r="BW389" s="295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2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5"/>
      <c r="BU390" s="295"/>
      <c r="BV390" s="295"/>
      <c r="BW390" s="295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2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5"/>
      <c r="BU391" s="295"/>
      <c r="BV391" s="295"/>
      <c r="BW391" s="295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2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5"/>
      <c r="BU392" s="295"/>
      <c r="BV392" s="295"/>
      <c r="BW392" s="295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2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5"/>
      <c r="BU393" s="295"/>
      <c r="BV393" s="295"/>
      <c r="BW393" s="295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2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5"/>
      <c r="BU394" s="295"/>
      <c r="BV394" s="295"/>
      <c r="BW394" s="295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2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5"/>
      <c r="BU395" s="295"/>
      <c r="BV395" s="295"/>
      <c r="BW395" s="295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2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5"/>
      <c r="BU396" s="295"/>
      <c r="BV396" s="295"/>
      <c r="BW396" s="295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2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5"/>
      <c r="BU397" s="295"/>
      <c r="BV397" s="295"/>
      <c r="BW397" s="295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2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5"/>
      <c r="BU398" s="295"/>
      <c r="BV398" s="295"/>
      <c r="BW398" s="295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2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5"/>
      <c r="BU399" s="295"/>
      <c r="BV399" s="295"/>
      <c r="BW399" s="295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2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5"/>
      <c r="BU400" s="295"/>
      <c r="BV400" s="295"/>
      <c r="BW400" s="295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2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5"/>
      <c r="BU401" s="295"/>
      <c r="BV401" s="295"/>
      <c r="BW401" s="295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2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5"/>
      <c r="BU402" s="295"/>
      <c r="BV402" s="295"/>
      <c r="BW402" s="295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2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5"/>
      <c r="BU403" s="295"/>
      <c r="BV403" s="295"/>
      <c r="BW403" s="295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2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5"/>
      <c r="BU404" s="295"/>
      <c r="BV404" s="295"/>
      <c r="BW404" s="295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2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5"/>
      <c r="BU405" s="295"/>
      <c r="BV405" s="295"/>
      <c r="BW405" s="295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2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5"/>
      <c r="BU406" s="295"/>
      <c r="BV406" s="295"/>
      <c r="BW406" s="295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2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5"/>
      <c r="BU407" s="295"/>
      <c r="BV407" s="295"/>
      <c r="BW407" s="295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2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5"/>
      <c r="BU408" s="295"/>
      <c r="BV408" s="295"/>
      <c r="BW408" s="295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2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5"/>
      <c r="BU409" s="295"/>
      <c r="BV409" s="295"/>
      <c r="BW409" s="295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2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5"/>
      <c r="BU410" s="295"/>
      <c r="BV410" s="295"/>
      <c r="BW410" s="295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2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5"/>
      <c r="BU411" s="295"/>
      <c r="BV411" s="295"/>
      <c r="BW411" s="295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2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5"/>
      <c r="BU412" s="295"/>
      <c r="BV412" s="295"/>
      <c r="BW412" s="295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2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5"/>
      <c r="BU413" s="295"/>
      <c r="BV413" s="295"/>
      <c r="BW413" s="295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2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5"/>
      <c r="BU414" s="295"/>
      <c r="BV414" s="295"/>
      <c r="BW414" s="295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2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5"/>
      <c r="BU415" s="295"/>
      <c r="BV415" s="295"/>
      <c r="BW415" s="295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2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5"/>
      <c r="BU416" s="295"/>
      <c r="BV416" s="295"/>
      <c r="BW416" s="295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2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5"/>
      <c r="BU417" s="295"/>
      <c r="BV417" s="295"/>
      <c r="BW417" s="295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2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5"/>
      <c r="BU418" s="295"/>
      <c r="BV418" s="295"/>
      <c r="BW418" s="295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2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5"/>
      <c r="BU419" s="295"/>
      <c r="BV419" s="295"/>
      <c r="BW419" s="295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2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5"/>
      <c r="BU420" s="295"/>
      <c r="BV420" s="295"/>
      <c r="BW420" s="295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2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5"/>
      <c r="BU421" s="295"/>
      <c r="BV421" s="295"/>
      <c r="BW421" s="295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2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5"/>
      <c r="BU422" s="295"/>
      <c r="BV422" s="295"/>
      <c r="BW422" s="295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2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5"/>
      <c r="BU423" s="295"/>
      <c r="BV423" s="295"/>
      <c r="BW423" s="295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2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5"/>
      <c r="BU424" s="295"/>
      <c r="BV424" s="295"/>
      <c r="BW424" s="295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2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5"/>
      <c r="BU425" s="295"/>
      <c r="BV425" s="295"/>
      <c r="BW425" s="295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2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5"/>
      <c r="BU426" s="295"/>
      <c r="BV426" s="295"/>
      <c r="BW426" s="295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2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5"/>
      <c r="BU427" s="295"/>
      <c r="BV427" s="295"/>
      <c r="BW427" s="295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2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5"/>
      <c r="BU428" s="295"/>
      <c r="BV428" s="295"/>
      <c r="BW428" s="295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2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5"/>
      <c r="BU429" s="295"/>
      <c r="BV429" s="295"/>
      <c r="BW429" s="295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2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5"/>
      <c r="BU430" s="295"/>
      <c r="BV430" s="295"/>
      <c r="BW430" s="295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2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5"/>
      <c r="BU431" s="295"/>
      <c r="BV431" s="295"/>
      <c r="BW431" s="295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2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5"/>
      <c r="BU432" s="295"/>
      <c r="BV432" s="295"/>
      <c r="BW432" s="295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2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5"/>
      <c r="BU433" s="295"/>
      <c r="BV433" s="295"/>
      <c r="BW433" s="295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2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5"/>
      <c r="BU434" s="295"/>
      <c r="BV434" s="295"/>
      <c r="BW434" s="295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2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5"/>
      <c r="BU435" s="295"/>
      <c r="BV435" s="295"/>
      <c r="BW435" s="295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2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5"/>
      <c r="BU436" s="295"/>
      <c r="BV436" s="295"/>
      <c r="BW436" s="295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2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5"/>
      <c r="BU437" s="295"/>
      <c r="BV437" s="295"/>
      <c r="BW437" s="295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MSujb3+DkfZU/GMMp0oqo6xoei49il0kCbdW25XG4Dr11G0lukDqEI2MpNQw1MXjcpJIZ/ajtls3d7hL++J0Sg==" saltValue="onFdbaZIRNVMMzBTS1D5og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4"/>
      <c r="BO6" s="294"/>
      <c r="BP6" s="294"/>
      <c r="BQ6" s="294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637</v>
      </c>
      <c r="C7" s="254"/>
      <c r="D7" s="233"/>
      <c r="E7" s="234"/>
      <c r="F7" s="235"/>
      <c r="G7" s="255"/>
      <c r="H7" s="256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7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5"/>
      <c r="BO7" s="295"/>
      <c r="BP7" s="295"/>
      <c r="BQ7" s="295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3"/>
      <c r="B8" s="93" t="s">
        <v>638</v>
      </c>
      <c r="C8" s="254"/>
      <c r="D8" s="233"/>
      <c r="E8" s="234"/>
      <c r="F8" s="235"/>
      <c r="G8" s="255"/>
      <c r="H8" s="256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7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5"/>
      <c r="BO8" s="295"/>
      <c r="BP8" s="295"/>
      <c r="BQ8" s="295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3" t="s">
        <v>557</v>
      </c>
      <c r="B9" s="254" t="s">
        <v>639</v>
      </c>
      <c r="C9" s="254" t="s">
        <v>640</v>
      </c>
      <c r="D9" s="233"/>
      <c r="E9" s="234">
        <v>91109384.489999995</v>
      </c>
      <c r="F9" s="235">
        <v>91109384.489999995</v>
      </c>
      <c r="G9" s="255"/>
      <c r="H9" s="256"/>
      <c r="I9" s="237"/>
      <c r="J9" s="238">
        <v>94045647.859999999</v>
      </c>
      <c r="K9" s="249"/>
      <c r="L9" s="240"/>
      <c r="M9" s="8">
        <v>93282279.069999993</v>
      </c>
      <c r="N9" s="241">
        <v>93268107.709999993</v>
      </c>
      <c r="O9" s="72"/>
      <c r="P9" s="100"/>
      <c r="Q9" s="9"/>
      <c r="R9" s="9"/>
      <c r="S9" s="9"/>
      <c r="T9" s="257">
        <v>46109</v>
      </c>
      <c r="U9" s="10"/>
      <c r="V9" s="23"/>
      <c r="W9" s="11"/>
      <c r="X9" s="8">
        <v>93268107.709999993</v>
      </c>
      <c r="Y9" s="9"/>
      <c r="Z9" s="9"/>
      <c r="AA9" s="9"/>
      <c r="AB9" s="10"/>
      <c r="AC9" s="24">
        <v>1</v>
      </c>
      <c r="AD9" s="11">
        <v>91109384.489999995</v>
      </c>
      <c r="AE9" s="8">
        <v>91989325.719999999</v>
      </c>
      <c r="AF9" s="9"/>
      <c r="AG9" s="10"/>
      <c r="AH9" s="11"/>
      <c r="AI9" s="8">
        <v>1278781.99</v>
      </c>
      <c r="AJ9" s="9"/>
      <c r="AK9" s="10"/>
      <c r="AL9" s="25"/>
      <c r="AM9" s="25"/>
      <c r="AN9" s="25"/>
      <c r="AO9" s="10"/>
      <c r="AP9" s="12">
        <v>94045647.859999999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94196098</v>
      </c>
      <c r="BA9" s="15">
        <v>93337829</v>
      </c>
      <c r="BB9" s="15">
        <v>94045647.859999999</v>
      </c>
      <c r="BC9" s="15">
        <v>93268107.709999993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777223.38000001013</v>
      </c>
      <c r="BJ9" s="242"/>
      <c r="BK9" s="242"/>
      <c r="BL9" s="242"/>
      <c r="BM9" s="242"/>
      <c r="BN9" s="295"/>
      <c r="BO9" s="295"/>
      <c r="BP9" s="295"/>
      <c r="BQ9" s="295"/>
      <c r="BR9" s="245"/>
      <c r="BS9" s="245"/>
      <c r="BT9" s="242"/>
      <c r="BU9" s="242"/>
      <c r="BV9" s="246" t="s">
        <v>708</v>
      </c>
      <c r="BW9" s="242">
        <v>0</v>
      </c>
      <c r="BX9" s="248">
        <v>91109384.489999995</v>
      </c>
      <c r="BY9" s="248">
        <v>91989325.719999999</v>
      </c>
      <c r="BZ9" s="248">
        <v>91109384.489999995</v>
      </c>
      <c r="CA9" s="248">
        <v>91989325.719999999</v>
      </c>
      <c r="CB9" s="243" t="s">
        <v>633</v>
      </c>
      <c r="CC9" s="248">
        <v>93268107.709999993</v>
      </c>
      <c r="CD9" s="248">
        <v>1278781.99</v>
      </c>
      <c r="CE9" s="248">
        <v>94045647.859999999</v>
      </c>
      <c r="CF9" s="248">
        <v>0</v>
      </c>
    </row>
    <row r="10" spans="1:95" x14ac:dyDescent="0.25">
      <c r="A10" s="253" t="s">
        <v>558</v>
      </c>
      <c r="B10" s="254" t="s">
        <v>641</v>
      </c>
      <c r="C10" s="254" t="s">
        <v>642</v>
      </c>
      <c r="D10" s="233"/>
      <c r="E10" s="234">
        <v>0</v>
      </c>
      <c r="F10" s="235">
        <v>0</v>
      </c>
      <c r="G10" s="255"/>
      <c r="H10" s="256"/>
      <c r="I10" s="237"/>
      <c r="J10" s="238">
        <v>0</v>
      </c>
      <c r="K10" s="249"/>
      <c r="L10" s="240"/>
      <c r="M10" s="8">
        <v>-3462489.91</v>
      </c>
      <c r="N10" s="241">
        <v>-3462489.91</v>
      </c>
      <c r="O10" s="72"/>
      <c r="P10" s="100"/>
      <c r="Q10" s="9"/>
      <c r="R10" s="9"/>
      <c r="S10" s="9"/>
      <c r="T10" s="257">
        <v>46109</v>
      </c>
      <c r="U10" s="10"/>
      <c r="V10" s="23"/>
      <c r="W10" s="11"/>
      <c r="X10" s="8">
        <v>-3462489.91</v>
      </c>
      <c r="Y10" s="9"/>
      <c r="Z10" s="9"/>
      <c r="AA10" s="9"/>
      <c r="AB10" s="10"/>
      <c r="AC10" s="24">
        <v>1</v>
      </c>
      <c r="AD10" s="11">
        <v>-3470130.75</v>
      </c>
      <c r="AE10" s="8">
        <v>-3470130.75</v>
      </c>
      <c r="AF10" s="9"/>
      <c r="AG10" s="10"/>
      <c r="AH10" s="11"/>
      <c r="AI10" s="8">
        <v>7640.84</v>
      </c>
      <c r="AJ10" s="9"/>
      <c r="AK10" s="10"/>
      <c r="AL10" s="25"/>
      <c r="AM10" s="25"/>
      <c r="AN10" s="25"/>
      <c r="AO10" s="10"/>
      <c r="AP10" s="12">
        <v>0</v>
      </c>
      <c r="AQ10" s="12"/>
      <c r="AR10" s="12"/>
      <c r="AS10" s="242"/>
      <c r="AT10" s="243"/>
      <c r="AU10" s="242"/>
      <c r="AV10" s="242"/>
      <c r="AW10" s="244"/>
      <c r="AX10" s="243" t="s">
        <v>630</v>
      </c>
      <c r="AY10" s="243" t="s">
        <v>630</v>
      </c>
      <c r="AZ10" s="15">
        <v>0</v>
      </c>
      <c r="BA10" s="15">
        <v>-3530000</v>
      </c>
      <c r="BB10" s="15">
        <v>0</v>
      </c>
      <c r="BC10" s="15">
        <v>-3462489.91</v>
      </c>
      <c r="BD10" s="242">
        <v>0</v>
      </c>
      <c r="BE10" s="242">
        <v>0</v>
      </c>
      <c r="BF10" s="242"/>
      <c r="BG10" s="242">
        <v>1</v>
      </c>
      <c r="BH10" s="242">
        <v>0</v>
      </c>
      <c r="BI10" s="242">
        <v>3462979.66</v>
      </c>
      <c r="BJ10" s="242"/>
      <c r="BK10" s="242"/>
      <c r="BL10" s="242"/>
      <c r="BM10" s="242"/>
      <c r="BN10" s="295"/>
      <c r="BO10" s="295"/>
      <c r="BP10" s="295"/>
      <c r="BQ10" s="295"/>
      <c r="BR10" s="245"/>
      <c r="BS10" s="245"/>
      <c r="BT10" s="242"/>
      <c r="BU10" s="242"/>
      <c r="BV10" s="246" t="s">
        <v>709</v>
      </c>
      <c r="BW10" s="242">
        <v>0</v>
      </c>
      <c r="BX10" s="248">
        <v>-3470130.75</v>
      </c>
      <c r="BY10" s="248">
        <v>-3470130.75</v>
      </c>
      <c r="BZ10" s="248">
        <v>-3470130.75</v>
      </c>
      <c r="CA10" s="248">
        <v>-3470130.75</v>
      </c>
      <c r="CB10" s="243" t="s">
        <v>633</v>
      </c>
      <c r="CC10" s="248">
        <v>-3462489.91</v>
      </c>
      <c r="CD10" s="248">
        <v>7640.84</v>
      </c>
      <c r="CE10" s="248">
        <v>0</v>
      </c>
      <c r="CF10" s="248">
        <v>0</v>
      </c>
    </row>
    <row r="11" spans="1:95" x14ac:dyDescent="0.25">
      <c r="A11" s="253" t="s">
        <v>643</v>
      </c>
      <c r="B11" s="254" t="s">
        <v>644</v>
      </c>
      <c r="C11" s="254" t="s">
        <v>645</v>
      </c>
      <c r="D11" s="233"/>
      <c r="E11" s="234">
        <v>126480728.84</v>
      </c>
      <c r="F11" s="235">
        <v>126548823.84</v>
      </c>
      <c r="G11" s="255"/>
      <c r="H11" s="256"/>
      <c r="I11" s="237"/>
      <c r="J11" s="238">
        <v>126483580.84</v>
      </c>
      <c r="K11" s="249"/>
      <c r="L11" s="240"/>
      <c r="M11" s="8">
        <v>117765271.28</v>
      </c>
      <c r="N11" s="241">
        <v>115233580.84</v>
      </c>
      <c r="O11" s="72"/>
      <c r="P11" s="100"/>
      <c r="Q11" s="9"/>
      <c r="R11" s="9"/>
      <c r="S11" s="9"/>
      <c r="T11" s="257">
        <v>46563</v>
      </c>
      <c r="U11" s="10"/>
      <c r="V11" s="23"/>
      <c r="W11" s="11"/>
      <c r="X11" s="8">
        <v>87315159.219999999</v>
      </c>
      <c r="Y11" s="9"/>
      <c r="Z11" s="9"/>
      <c r="AA11" s="9"/>
      <c r="AB11" s="10"/>
      <c r="AC11" s="24">
        <v>0.57978978001692694</v>
      </c>
      <c r="AD11" s="11">
        <v>42540113.117520131</v>
      </c>
      <c r="AE11" s="8">
        <v>63757070.670000002</v>
      </c>
      <c r="AF11" s="9"/>
      <c r="AG11" s="10"/>
      <c r="AH11" s="11"/>
      <c r="AI11" s="8">
        <v>23558088.550000001</v>
      </c>
      <c r="AJ11" s="9"/>
      <c r="AK11" s="10"/>
      <c r="AL11" s="25"/>
      <c r="AM11" s="25"/>
      <c r="AN11" s="25"/>
      <c r="AO11" s="10"/>
      <c r="AP11" s="12">
        <v>96918206.900000006</v>
      </c>
      <c r="AQ11" s="12"/>
      <c r="AR11" s="12"/>
      <c r="AS11" s="242"/>
      <c r="AT11" s="243"/>
      <c r="AU11" s="242"/>
      <c r="AV11" s="242"/>
      <c r="AW11" s="244"/>
      <c r="AX11" s="243" t="s">
        <v>630</v>
      </c>
      <c r="AY11" s="243" t="s">
        <v>630</v>
      </c>
      <c r="AZ11" s="15">
        <v>126483580.84</v>
      </c>
      <c r="BA11" s="15">
        <v>115233580.84</v>
      </c>
      <c r="BB11" s="15">
        <v>126483580.84</v>
      </c>
      <c r="BC11" s="15">
        <v>115233580.84</v>
      </c>
      <c r="BD11" s="242">
        <v>0</v>
      </c>
      <c r="BE11" s="250">
        <v>0</v>
      </c>
      <c r="BF11" s="242"/>
      <c r="BG11" s="242">
        <v>1</v>
      </c>
      <c r="BH11" s="242">
        <v>0</v>
      </c>
      <c r="BI11" s="242">
        <v>12000000</v>
      </c>
      <c r="BJ11" s="242"/>
      <c r="BK11" s="242"/>
      <c r="BL11" s="242"/>
      <c r="BM11" s="242"/>
      <c r="BN11" s="295"/>
      <c r="BO11" s="295"/>
      <c r="BP11" s="295"/>
      <c r="BQ11" s="295"/>
      <c r="BR11" s="245"/>
      <c r="BS11" s="245"/>
      <c r="BT11" s="242"/>
      <c r="BU11" s="242"/>
      <c r="BV11" s="246" t="s">
        <v>708</v>
      </c>
      <c r="BW11" s="242">
        <v>0</v>
      </c>
      <c r="BX11" s="242">
        <v>73371616.030000001</v>
      </c>
      <c r="BY11" s="242">
        <v>109965840.84</v>
      </c>
      <c r="BZ11" s="242">
        <v>73371616.030000001</v>
      </c>
      <c r="CA11" s="242">
        <v>109965840.84</v>
      </c>
      <c r="CB11" s="243" t="s">
        <v>633</v>
      </c>
      <c r="CC11" s="248">
        <v>87315159.219999999</v>
      </c>
      <c r="CD11" s="248">
        <v>23558088.550000001</v>
      </c>
      <c r="CE11" s="248">
        <v>96918206.900000006</v>
      </c>
      <c r="CF11" s="248">
        <v>0</v>
      </c>
    </row>
    <row r="12" spans="1:95" x14ac:dyDescent="0.25">
      <c r="A12" s="253" t="s">
        <v>646</v>
      </c>
      <c r="B12" s="254" t="s">
        <v>647</v>
      </c>
      <c r="C12" s="254" t="s">
        <v>648</v>
      </c>
      <c r="D12" s="233"/>
      <c r="E12" s="234">
        <v>1246905.44</v>
      </c>
      <c r="F12" s="235">
        <v>1312151.46</v>
      </c>
      <c r="G12" s="255"/>
      <c r="H12" s="256"/>
      <c r="I12" s="237"/>
      <c r="J12" s="238">
        <v>1312151.46</v>
      </c>
      <c r="K12" s="249"/>
      <c r="L12" s="240"/>
      <c r="M12" s="8">
        <v>1128660.33</v>
      </c>
      <c r="N12" s="241">
        <v>1198511.46</v>
      </c>
      <c r="O12" s="71"/>
      <c r="P12" s="100"/>
      <c r="Q12" s="9"/>
      <c r="R12" s="9"/>
      <c r="S12" s="9"/>
      <c r="T12" s="257">
        <v>46053</v>
      </c>
      <c r="U12" s="10"/>
      <c r="V12" s="23"/>
      <c r="W12" s="11"/>
      <c r="X12" s="8">
        <v>1042229.29</v>
      </c>
      <c r="Y12" s="9"/>
      <c r="Z12" s="9"/>
      <c r="AA12" s="9"/>
      <c r="AB12" s="10"/>
      <c r="AC12" s="24">
        <v>0.23973590864996291</v>
      </c>
      <c r="AD12" s="11">
        <v>75413.396345824003</v>
      </c>
      <c r="AE12" s="8">
        <v>271684.42</v>
      </c>
      <c r="AF12" s="9"/>
      <c r="AG12" s="10"/>
      <c r="AH12" s="11"/>
      <c r="AI12" s="8">
        <v>770544.87</v>
      </c>
      <c r="AJ12" s="9"/>
      <c r="AK12" s="10"/>
      <c r="AL12" s="25"/>
      <c r="AM12" s="25"/>
      <c r="AN12" s="25"/>
      <c r="AO12" s="10"/>
      <c r="AP12" s="12">
        <v>1121900.01</v>
      </c>
      <c r="AQ12" s="12"/>
      <c r="AR12" s="12"/>
      <c r="AS12" s="242"/>
      <c r="AT12" s="243"/>
      <c r="AU12" s="242"/>
      <c r="AV12" s="242"/>
      <c r="AW12" s="244"/>
      <c r="AX12" s="243" t="s">
        <v>630</v>
      </c>
      <c r="AY12" s="243" t="s">
        <v>630</v>
      </c>
      <c r="AZ12" s="15">
        <v>1312151.46</v>
      </c>
      <c r="BA12" s="15">
        <v>1198511.46</v>
      </c>
      <c r="BB12" s="15">
        <v>1312151.46</v>
      </c>
      <c r="BC12" s="15">
        <v>1198511.46</v>
      </c>
      <c r="BD12" s="242">
        <v>0</v>
      </c>
      <c r="BE12" s="242">
        <v>0</v>
      </c>
      <c r="BF12" s="242"/>
      <c r="BG12" s="242">
        <v>1</v>
      </c>
      <c r="BH12" s="242">
        <v>0</v>
      </c>
      <c r="BI12" s="242">
        <v>113640</v>
      </c>
      <c r="BJ12" s="242"/>
      <c r="BK12" s="242"/>
      <c r="BL12" s="242"/>
      <c r="BM12" s="242"/>
      <c r="BN12" s="295"/>
      <c r="BO12" s="295"/>
      <c r="BP12" s="295"/>
      <c r="BQ12" s="295"/>
      <c r="BR12" s="245"/>
      <c r="BS12" s="245"/>
      <c r="BT12" s="242"/>
      <c r="BU12" s="242"/>
      <c r="BV12" s="246" t="s">
        <v>709</v>
      </c>
      <c r="BW12" s="242">
        <v>0</v>
      </c>
      <c r="BX12" s="242">
        <v>314568.63</v>
      </c>
      <c r="BY12" s="242">
        <v>1133265.44</v>
      </c>
      <c r="BZ12" s="242">
        <v>271684.42</v>
      </c>
      <c r="CA12" s="242">
        <v>1133265.44</v>
      </c>
      <c r="CB12" s="243" t="s">
        <v>633</v>
      </c>
      <c r="CC12" s="248">
        <v>1042229.29</v>
      </c>
      <c r="CD12" s="248">
        <v>770544.87</v>
      </c>
      <c r="CE12" s="248">
        <v>1121900.01</v>
      </c>
      <c r="CF12" s="248">
        <v>0</v>
      </c>
    </row>
    <row r="13" spans="1:95" x14ac:dyDescent="0.25">
      <c r="A13" s="253" t="s">
        <v>649</v>
      </c>
      <c r="B13" s="254" t="s">
        <v>650</v>
      </c>
      <c r="C13" s="254" t="s">
        <v>651</v>
      </c>
      <c r="D13" s="233"/>
      <c r="E13" s="234">
        <v>14969566</v>
      </c>
      <c r="F13" s="235">
        <v>14969566</v>
      </c>
      <c r="G13" s="255"/>
      <c r="H13" s="256"/>
      <c r="I13" s="237"/>
      <c r="J13" s="238">
        <v>14969566</v>
      </c>
      <c r="K13" s="249"/>
      <c r="L13" s="240"/>
      <c r="M13" s="8">
        <v>13843040.529999999</v>
      </c>
      <c r="N13" s="241">
        <v>13839617</v>
      </c>
      <c r="O13" s="71"/>
      <c r="P13" s="100"/>
      <c r="Q13" s="9"/>
      <c r="R13" s="9"/>
      <c r="S13" s="9"/>
      <c r="T13" s="257">
        <v>46376</v>
      </c>
      <c r="U13" s="10"/>
      <c r="V13" s="23"/>
      <c r="W13" s="11"/>
      <c r="X13" s="8">
        <v>8406760.8000000007</v>
      </c>
      <c r="Y13" s="9"/>
      <c r="Z13" s="9"/>
      <c r="AA13" s="9"/>
      <c r="AB13" s="10"/>
      <c r="AC13" s="24">
        <v>0.26556826271681994</v>
      </c>
      <c r="AD13" s="11">
        <v>1055750.0835279506</v>
      </c>
      <c r="AE13" s="8">
        <v>1353379.42</v>
      </c>
      <c r="AF13" s="9"/>
      <c r="AG13" s="10"/>
      <c r="AH13" s="11"/>
      <c r="AI13" s="8">
        <v>7053381.3799999999</v>
      </c>
      <c r="AJ13" s="9"/>
      <c r="AK13" s="10"/>
      <c r="AL13" s="25"/>
      <c r="AM13" s="25"/>
      <c r="AN13" s="25"/>
      <c r="AO13" s="10"/>
      <c r="AP13" s="12">
        <v>9667725.7699999996</v>
      </c>
      <c r="AQ13" s="12"/>
      <c r="AR13" s="12"/>
      <c r="AS13" s="242"/>
      <c r="AT13" s="243"/>
      <c r="AU13" s="242"/>
      <c r="AV13" s="242"/>
      <c r="AW13" s="244"/>
      <c r="AX13" s="243" t="s">
        <v>630</v>
      </c>
      <c r="AY13" s="243" t="s">
        <v>630</v>
      </c>
      <c r="AZ13" s="15">
        <v>14969566</v>
      </c>
      <c r="BA13" s="15">
        <v>13839617</v>
      </c>
      <c r="BB13" s="15">
        <v>14969566</v>
      </c>
      <c r="BC13" s="15">
        <v>13839617</v>
      </c>
      <c r="BD13" s="242">
        <v>0</v>
      </c>
      <c r="BE13" s="242">
        <v>0</v>
      </c>
      <c r="BF13" s="242"/>
      <c r="BG13" s="242">
        <v>1</v>
      </c>
      <c r="BH13" s="242">
        <v>0</v>
      </c>
      <c r="BI13" s="242">
        <v>853444</v>
      </c>
      <c r="BJ13" s="242"/>
      <c r="BK13" s="242"/>
      <c r="BL13" s="242"/>
      <c r="BM13" s="242"/>
      <c r="BN13" s="295"/>
      <c r="BO13" s="295"/>
      <c r="BP13" s="295"/>
      <c r="BQ13" s="295"/>
      <c r="BR13" s="245"/>
      <c r="BS13" s="245"/>
      <c r="BT13" s="242"/>
      <c r="BU13" s="242"/>
      <c r="BV13" s="246" t="s">
        <v>709</v>
      </c>
      <c r="BW13" s="242">
        <v>0</v>
      </c>
      <c r="BX13" s="242">
        <v>3975437.7</v>
      </c>
      <c r="BY13" s="242">
        <v>5096164</v>
      </c>
      <c r="BZ13" s="242">
        <v>1353379.42</v>
      </c>
      <c r="CA13" s="242">
        <v>5096164</v>
      </c>
      <c r="CB13" s="243" t="s">
        <v>633</v>
      </c>
      <c r="CC13" s="248">
        <v>8406760.8000000007</v>
      </c>
      <c r="CD13" s="248">
        <v>7053381.3799999999</v>
      </c>
      <c r="CE13" s="248">
        <v>9667725.7699999996</v>
      </c>
      <c r="CF13" s="248">
        <v>0</v>
      </c>
    </row>
    <row r="14" spans="1:95" x14ac:dyDescent="0.25">
      <c r="A14" s="253" t="s">
        <v>652</v>
      </c>
      <c r="B14" s="254" t="s">
        <v>653</v>
      </c>
      <c r="C14" s="254" t="s">
        <v>654</v>
      </c>
      <c r="D14" s="233"/>
      <c r="E14" s="234">
        <v>60980234</v>
      </c>
      <c r="F14" s="235">
        <v>60980234</v>
      </c>
      <c r="G14" s="255"/>
      <c r="H14" s="256"/>
      <c r="I14" s="237"/>
      <c r="J14" s="238">
        <v>60980234</v>
      </c>
      <c r="K14" s="249"/>
      <c r="L14" s="240"/>
      <c r="M14" s="8">
        <v>43112639.979999997</v>
      </c>
      <c r="N14" s="241">
        <v>45980234</v>
      </c>
      <c r="O14" s="72"/>
      <c r="P14" s="100"/>
      <c r="Q14" s="9"/>
      <c r="R14" s="9"/>
      <c r="S14" s="9"/>
      <c r="T14" s="257">
        <v>46081</v>
      </c>
      <c r="U14" s="10"/>
      <c r="V14" s="23"/>
      <c r="W14" s="11"/>
      <c r="X14" s="8">
        <v>42734066.469999999</v>
      </c>
      <c r="Y14" s="9"/>
      <c r="Z14" s="9"/>
      <c r="AA14" s="9"/>
      <c r="AB14" s="10"/>
      <c r="AC14" s="24">
        <v>8.8883070296508188E-2</v>
      </c>
      <c r="AD14" s="11">
        <v>456172.68758454098</v>
      </c>
      <c r="AE14" s="8">
        <v>5132278.6900000004</v>
      </c>
      <c r="AF14" s="9"/>
      <c r="AG14" s="10"/>
      <c r="AH14" s="11"/>
      <c r="AI14" s="8">
        <v>37601787.780000001</v>
      </c>
      <c r="AJ14" s="9"/>
      <c r="AK14" s="10"/>
      <c r="AL14" s="25"/>
      <c r="AM14" s="25"/>
      <c r="AN14" s="25"/>
      <c r="AO14" s="10"/>
      <c r="AP14" s="12">
        <v>60980234</v>
      </c>
      <c r="AQ14" s="12"/>
      <c r="AR14" s="12"/>
      <c r="AS14" s="242"/>
      <c r="AT14" s="243"/>
      <c r="AU14" s="242"/>
      <c r="AV14" s="242"/>
      <c r="AW14" s="244"/>
      <c r="AX14" s="243" t="s">
        <v>630</v>
      </c>
      <c r="AY14" s="243" t="s">
        <v>630</v>
      </c>
      <c r="AZ14" s="15">
        <v>60980234</v>
      </c>
      <c r="BA14" s="15">
        <v>45980234</v>
      </c>
      <c r="BB14" s="15">
        <v>60980234</v>
      </c>
      <c r="BC14" s="15">
        <v>45980234</v>
      </c>
      <c r="BD14" s="242">
        <v>0</v>
      </c>
      <c r="BE14" s="242">
        <v>0</v>
      </c>
      <c r="BF14" s="242"/>
      <c r="BG14" s="242">
        <v>1</v>
      </c>
      <c r="BH14" s="242">
        <v>0</v>
      </c>
      <c r="BI14" s="242">
        <v>13500000</v>
      </c>
      <c r="BJ14" s="242"/>
      <c r="BK14" s="242"/>
      <c r="BL14" s="242"/>
      <c r="BM14" s="242"/>
      <c r="BN14" s="295"/>
      <c r="BO14" s="295"/>
      <c r="BP14" s="295"/>
      <c r="BQ14" s="295"/>
      <c r="BR14" s="245"/>
      <c r="BS14" s="245"/>
      <c r="BT14" s="242"/>
      <c r="BU14" s="242"/>
      <c r="BV14" s="246" t="s">
        <v>709</v>
      </c>
      <c r="BW14" s="242">
        <v>0</v>
      </c>
      <c r="BX14" s="242">
        <v>5132278.6900000004</v>
      </c>
      <c r="BY14" s="242">
        <v>57741915</v>
      </c>
      <c r="BZ14" s="242">
        <v>5132278.6900000004</v>
      </c>
      <c r="CA14" s="242">
        <v>57741915</v>
      </c>
      <c r="CB14" s="243" t="s">
        <v>633</v>
      </c>
      <c r="CC14" s="248">
        <v>42734066.469999999</v>
      </c>
      <c r="CD14" s="248">
        <v>37601787.780000001</v>
      </c>
      <c r="CE14" s="248">
        <v>60980234</v>
      </c>
      <c r="CF14" s="248">
        <v>0</v>
      </c>
    </row>
    <row r="15" spans="1:95" x14ac:dyDescent="0.25">
      <c r="A15" s="253" t="s">
        <v>655</v>
      </c>
      <c r="B15" s="254" t="s">
        <v>656</v>
      </c>
      <c r="C15" s="254" t="s">
        <v>657</v>
      </c>
      <c r="D15" s="233"/>
      <c r="E15" s="234">
        <v>10658200</v>
      </c>
      <c r="F15" s="235">
        <v>10675126.34</v>
      </c>
      <c r="G15" s="255"/>
      <c r="H15" s="256"/>
      <c r="I15" s="237"/>
      <c r="J15" s="238">
        <v>10658200</v>
      </c>
      <c r="K15" s="249"/>
      <c r="L15" s="240"/>
      <c r="M15" s="8">
        <v>10066642.380000001</v>
      </c>
      <c r="N15" s="241">
        <v>10079352</v>
      </c>
      <c r="O15" s="72"/>
      <c r="P15" s="100"/>
      <c r="Q15" s="9"/>
      <c r="R15" s="9"/>
      <c r="S15" s="9"/>
      <c r="T15" s="257">
        <v>46351</v>
      </c>
      <c r="U15" s="10"/>
      <c r="V15" s="23"/>
      <c r="W15" s="11"/>
      <c r="X15" s="8">
        <v>4923435.18</v>
      </c>
      <c r="Y15" s="9"/>
      <c r="Z15" s="9"/>
      <c r="AA15" s="9"/>
      <c r="AB15" s="10"/>
      <c r="AC15" s="24">
        <v>1.8600291491640487E-2</v>
      </c>
      <c r="AD15" s="11">
        <v>3480.9344389348889</v>
      </c>
      <c r="AE15" s="8">
        <v>187144.08</v>
      </c>
      <c r="AF15" s="9"/>
      <c r="AG15" s="10"/>
      <c r="AH15" s="11"/>
      <c r="AI15" s="8">
        <v>4736291.0999999996</v>
      </c>
      <c r="AJ15" s="9"/>
      <c r="AK15" s="10"/>
      <c r="AL15" s="25"/>
      <c r="AM15" s="25"/>
      <c r="AN15" s="25"/>
      <c r="AO15" s="10"/>
      <c r="AP15" s="12">
        <v>5009265.21</v>
      </c>
      <c r="AQ15" s="12"/>
      <c r="AR15" s="12"/>
      <c r="AS15" s="242"/>
      <c r="AT15" s="243"/>
      <c r="AU15" s="242"/>
      <c r="AV15" s="242"/>
      <c r="AW15" s="244"/>
      <c r="AX15" s="243" t="s">
        <v>630</v>
      </c>
      <c r="AY15" s="243" t="s">
        <v>630</v>
      </c>
      <c r="AZ15" s="15">
        <v>10658200</v>
      </c>
      <c r="BA15" s="15">
        <v>10079352</v>
      </c>
      <c r="BB15" s="15">
        <v>10658200</v>
      </c>
      <c r="BC15" s="15">
        <v>10079352</v>
      </c>
      <c r="BD15" s="242">
        <v>0</v>
      </c>
      <c r="BE15" s="242">
        <v>0</v>
      </c>
      <c r="BF15" s="242"/>
      <c r="BG15" s="242">
        <v>1</v>
      </c>
      <c r="BH15" s="242">
        <v>0</v>
      </c>
      <c r="BI15" s="242">
        <v>596848</v>
      </c>
      <c r="BJ15" s="242"/>
      <c r="BK15" s="242"/>
      <c r="BL15" s="242"/>
      <c r="BM15" s="242"/>
      <c r="BN15" s="295"/>
      <c r="BO15" s="295"/>
      <c r="BP15" s="295"/>
      <c r="BQ15" s="295"/>
      <c r="BR15" s="245"/>
      <c r="BS15" s="245"/>
      <c r="BT15" s="242"/>
      <c r="BU15" s="242"/>
      <c r="BV15" s="246" t="s">
        <v>709</v>
      </c>
      <c r="BW15" s="242">
        <v>0</v>
      </c>
      <c r="BX15" s="242">
        <v>187144.08</v>
      </c>
      <c r="BY15" s="242">
        <v>10061352</v>
      </c>
      <c r="BZ15" s="242">
        <v>187144.08</v>
      </c>
      <c r="CA15" s="242">
        <v>10061352</v>
      </c>
      <c r="CB15" s="243" t="s">
        <v>633</v>
      </c>
      <c r="CC15" s="248">
        <v>4923435.18</v>
      </c>
      <c r="CD15" s="248">
        <v>4736291.0999999996</v>
      </c>
      <c r="CE15" s="248">
        <v>5009265.21</v>
      </c>
      <c r="CF15" s="248">
        <v>0</v>
      </c>
    </row>
    <row r="16" spans="1:95" x14ac:dyDescent="0.25">
      <c r="A16" s="253" t="s">
        <v>658</v>
      </c>
      <c r="B16" s="254" t="s">
        <v>659</v>
      </c>
      <c r="C16" s="254" t="s">
        <v>660</v>
      </c>
      <c r="D16" s="233"/>
      <c r="E16" s="234">
        <v>19495325</v>
      </c>
      <c r="F16" s="235">
        <v>19974489.34</v>
      </c>
      <c r="G16" s="255"/>
      <c r="H16" s="256"/>
      <c r="I16" s="237"/>
      <c r="J16" s="238">
        <v>19974489.34</v>
      </c>
      <c r="K16" s="249"/>
      <c r="L16" s="240"/>
      <c r="M16" s="8">
        <v>18167210.039999999</v>
      </c>
      <c r="N16" s="241">
        <v>18628948.34</v>
      </c>
      <c r="O16" s="72"/>
      <c r="P16" s="100"/>
      <c r="Q16" s="9"/>
      <c r="R16" s="9"/>
      <c r="S16" s="9"/>
      <c r="T16" s="257">
        <v>46203</v>
      </c>
      <c r="U16" s="10"/>
      <c r="V16" s="23"/>
      <c r="W16" s="11"/>
      <c r="X16" s="8">
        <v>13474808.539999999</v>
      </c>
      <c r="Y16" s="9"/>
      <c r="Z16" s="9"/>
      <c r="AA16" s="9"/>
      <c r="AB16" s="10"/>
      <c r="AC16" s="24">
        <v>7.8936486767915232E-2</v>
      </c>
      <c r="AD16" s="11">
        <v>114203.01200405478</v>
      </c>
      <c r="AE16" s="8">
        <v>1446770.9</v>
      </c>
      <c r="AF16" s="9"/>
      <c r="AG16" s="10"/>
      <c r="AH16" s="11"/>
      <c r="AI16" s="8">
        <v>12028037.640000001</v>
      </c>
      <c r="AJ16" s="9"/>
      <c r="AK16" s="10"/>
      <c r="AL16" s="25"/>
      <c r="AM16" s="25"/>
      <c r="AN16" s="25"/>
      <c r="AO16" s="10"/>
      <c r="AP16" s="12">
        <v>15610649.01</v>
      </c>
      <c r="AQ16" s="12"/>
      <c r="AR16" s="12"/>
      <c r="AS16" s="242"/>
      <c r="AT16" s="243"/>
      <c r="AU16" s="242"/>
      <c r="AV16" s="242"/>
      <c r="AW16" s="244"/>
      <c r="AX16" s="243" t="s">
        <v>630</v>
      </c>
      <c r="AY16" s="243" t="s">
        <v>630</v>
      </c>
      <c r="AZ16" s="15">
        <v>19974489.34</v>
      </c>
      <c r="BA16" s="15">
        <v>18628948.34</v>
      </c>
      <c r="BB16" s="15">
        <v>19974489.34</v>
      </c>
      <c r="BC16" s="15">
        <v>18628948.34</v>
      </c>
      <c r="BD16" s="242">
        <v>0</v>
      </c>
      <c r="BE16" s="242">
        <v>0</v>
      </c>
      <c r="BF16" s="242"/>
      <c r="BG16" s="242">
        <v>1</v>
      </c>
      <c r="BH16" s="242">
        <v>0</v>
      </c>
      <c r="BI16" s="242">
        <v>1212185</v>
      </c>
      <c r="BJ16" s="242"/>
      <c r="BK16" s="242"/>
      <c r="BL16" s="242"/>
      <c r="BM16" s="242"/>
      <c r="BN16" s="295"/>
      <c r="BO16" s="295"/>
      <c r="BP16" s="295"/>
      <c r="BQ16" s="295"/>
      <c r="BR16" s="245"/>
      <c r="BS16" s="245"/>
      <c r="BT16" s="242"/>
      <c r="BU16" s="242"/>
      <c r="BV16" s="246" t="s">
        <v>709</v>
      </c>
      <c r="BW16" s="242">
        <v>0</v>
      </c>
      <c r="BX16" s="242">
        <v>1446770.9</v>
      </c>
      <c r="BY16" s="242">
        <v>18328291</v>
      </c>
      <c r="BZ16" s="242">
        <v>1446770.9</v>
      </c>
      <c r="CA16" s="242">
        <v>18328291</v>
      </c>
      <c r="CB16" s="243" t="s">
        <v>633</v>
      </c>
      <c r="CC16" s="248">
        <v>13474808.539999999</v>
      </c>
      <c r="CD16" s="248">
        <v>12028037.640000001</v>
      </c>
      <c r="CE16" s="248">
        <v>15610649.01</v>
      </c>
      <c r="CF16" s="248">
        <v>0</v>
      </c>
    </row>
    <row r="17" spans="1:84" x14ac:dyDescent="0.25">
      <c r="A17" s="253" t="s">
        <v>661</v>
      </c>
      <c r="B17" s="254" t="s">
        <v>662</v>
      </c>
      <c r="C17" s="254" t="s">
        <v>663</v>
      </c>
      <c r="D17" s="233"/>
      <c r="E17" s="234">
        <v>562824.68000000005</v>
      </c>
      <c r="F17" s="235">
        <v>562824.68000000005</v>
      </c>
      <c r="G17" s="255"/>
      <c r="H17" s="256"/>
      <c r="I17" s="237"/>
      <c r="J17" s="238">
        <v>562824.68000000005</v>
      </c>
      <c r="K17" s="249"/>
      <c r="L17" s="240"/>
      <c r="M17" s="8">
        <v>453334.31</v>
      </c>
      <c r="N17" s="241">
        <v>454520.68</v>
      </c>
      <c r="O17" s="72"/>
      <c r="P17" s="100"/>
      <c r="Q17" s="9"/>
      <c r="R17" s="9"/>
      <c r="S17" s="9"/>
      <c r="T17" s="257">
        <v>46053</v>
      </c>
      <c r="U17" s="10"/>
      <c r="V17" s="23"/>
      <c r="W17" s="11"/>
      <c r="X17" s="8">
        <v>334550.81</v>
      </c>
      <c r="Y17" s="9"/>
      <c r="Z17" s="9"/>
      <c r="AA17" s="9"/>
      <c r="AB17" s="10"/>
      <c r="AC17" s="24">
        <v>0.20348100674361605</v>
      </c>
      <c r="AD17" s="11">
        <v>23303.485268836757</v>
      </c>
      <c r="AE17" s="8">
        <v>98963.36</v>
      </c>
      <c r="AF17" s="9"/>
      <c r="AG17" s="10"/>
      <c r="AH17" s="11"/>
      <c r="AI17" s="8">
        <v>235587.45</v>
      </c>
      <c r="AJ17" s="9"/>
      <c r="AK17" s="10"/>
      <c r="AL17" s="25"/>
      <c r="AM17" s="25"/>
      <c r="AN17" s="25"/>
      <c r="AO17" s="10"/>
      <c r="AP17" s="12">
        <v>549548.82999999996</v>
      </c>
      <c r="AQ17" s="12"/>
      <c r="AR17" s="12"/>
      <c r="AS17" s="242"/>
      <c r="AT17" s="243"/>
      <c r="AU17" s="242"/>
      <c r="AV17" s="242"/>
      <c r="AW17" s="244"/>
      <c r="AX17" s="243" t="s">
        <v>630</v>
      </c>
      <c r="AY17" s="243" t="s">
        <v>630</v>
      </c>
      <c r="AZ17" s="15">
        <v>562824.68000000005</v>
      </c>
      <c r="BA17" s="15">
        <v>454520.68</v>
      </c>
      <c r="BB17" s="15">
        <v>562824.68000000005</v>
      </c>
      <c r="BC17" s="15">
        <v>454520.68</v>
      </c>
      <c r="BD17" s="242">
        <v>0</v>
      </c>
      <c r="BE17" s="242">
        <v>0</v>
      </c>
      <c r="BF17" s="242"/>
      <c r="BG17" s="242">
        <v>1</v>
      </c>
      <c r="BH17" s="242">
        <v>0</v>
      </c>
      <c r="BI17" s="242">
        <v>106999.99999999994</v>
      </c>
      <c r="BJ17" s="242"/>
      <c r="BK17" s="242"/>
      <c r="BL17" s="242"/>
      <c r="BM17" s="242"/>
      <c r="BN17" s="295"/>
      <c r="BO17" s="295"/>
      <c r="BP17" s="295"/>
      <c r="BQ17" s="295"/>
      <c r="BR17" s="245"/>
      <c r="BS17" s="245"/>
      <c r="BT17" s="242"/>
      <c r="BU17" s="242"/>
      <c r="BV17" s="246" t="s">
        <v>709</v>
      </c>
      <c r="BW17" s="242">
        <v>0</v>
      </c>
      <c r="BX17" s="242">
        <v>114524.13</v>
      </c>
      <c r="BY17" s="242">
        <v>486351.83</v>
      </c>
      <c r="BZ17" s="242">
        <v>98963.36</v>
      </c>
      <c r="CA17" s="242">
        <v>486351.83</v>
      </c>
      <c r="CB17" s="243" t="s">
        <v>633</v>
      </c>
      <c r="CC17" s="248">
        <v>334550.81</v>
      </c>
      <c r="CD17" s="248">
        <v>235587.45</v>
      </c>
      <c r="CE17" s="248">
        <v>549548.82999999996</v>
      </c>
      <c r="CF17" s="248">
        <v>0</v>
      </c>
    </row>
    <row r="18" spans="1:84" x14ac:dyDescent="0.25">
      <c r="A18" s="253" t="s">
        <v>664</v>
      </c>
      <c r="B18" s="254" t="s">
        <v>665</v>
      </c>
      <c r="C18" s="254" t="s">
        <v>666</v>
      </c>
      <c r="D18" s="233"/>
      <c r="E18" s="234">
        <v>13363835</v>
      </c>
      <c r="F18" s="235">
        <v>13366000</v>
      </c>
      <c r="G18" s="255"/>
      <c r="H18" s="256"/>
      <c r="I18" s="237"/>
      <c r="J18" s="238">
        <v>13363835</v>
      </c>
      <c r="K18" s="249"/>
      <c r="L18" s="240"/>
      <c r="M18" s="8">
        <v>12448702.050000001</v>
      </c>
      <c r="N18" s="241">
        <v>12488835</v>
      </c>
      <c r="O18" s="72"/>
      <c r="P18" s="100"/>
      <c r="Q18" s="9"/>
      <c r="R18" s="9"/>
      <c r="S18" s="9"/>
      <c r="T18" s="257">
        <v>46068</v>
      </c>
      <c r="U18" s="10"/>
      <c r="V18" s="23"/>
      <c r="W18" s="11"/>
      <c r="X18" s="8">
        <v>11872342.6</v>
      </c>
      <c r="Y18" s="9"/>
      <c r="Z18" s="9"/>
      <c r="AA18" s="9"/>
      <c r="AB18" s="10"/>
      <c r="AC18" s="24">
        <v>0.19842978329854261</v>
      </c>
      <c r="AD18" s="11">
        <v>526275.87010826019</v>
      </c>
      <c r="AE18" s="8">
        <v>2378559.16</v>
      </c>
      <c r="AF18" s="9"/>
      <c r="AG18" s="10"/>
      <c r="AH18" s="11"/>
      <c r="AI18" s="8">
        <v>9493783.4399999995</v>
      </c>
      <c r="AJ18" s="9"/>
      <c r="AK18" s="10"/>
      <c r="AL18" s="25"/>
      <c r="AM18" s="25"/>
      <c r="AN18" s="25"/>
      <c r="AO18" s="10"/>
      <c r="AP18" s="12">
        <v>13340008</v>
      </c>
      <c r="AQ18" s="12"/>
      <c r="AR18" s="12"/>
      <c r="AS18" s="242"/>
      <c r="AT18" s="243"/>
      <c r="AU18" s="242"/>
      <c r="AV18" s="242"/>
      <c r="AW18" s="244"/>
      <c r="AX18" s="243" t="s">
        <v>630</v>
      </c>
      <c r="AY18" s="243" t="s">
        <v>630</v>
      </c>
      <c r="AZ18" s="15">
        <v>13363835</v>
      </c>
      <c r="BA18" s="15">
        <v>12488835</v>
      </c>
      <c r="BB18" s="15">
        <v>13363835</v>
      </c>
      <c r="BC18" s="15">
        <v>12488835</v>
      </c>
      <c r="BD18" s="242">
        <v>0</v>
      </c>
      <c r="BE18" s="242">
        <v>0</v>
      </c>
      <c r="BF18" s="242"/>
      <c r="BG18" s="242">
        <v>1</v>
      </c>
      <c r="BH18" s="242">
        <v>0</v>
      </c>
      <c r="BI18" s="242">
        <v>721457</v>
      </c>
      <c r="BJ18" s="242"/>
      <c r="BK18" s="242"/>
      <c r="BL18" s="242"/>
      <c r="BM18" s="242"/>
      <c r="BN18" s="295"/>
      <c r="BO18" s="295"/>
      <c r="BP18" s="295"/>
      <c r="BQ18" s="295"/>
      <c r="BR18" s="245"/>
      <c r="BS18" s="245"/>
      <c r="BT18" s="242"/>
      <c r="BU18" s="242"/>
      <c r="BV18" s="246" t="s">
        <v>709</v>
      </c>
      <c r="BW18" s="242">
        <v>0</v>
      </c>
      <c r="BX18" s="242">
        <v>2652202.0099999998</v>
      </c>
      <c r="BY18" s="242">
        <v>11986906</v>
      </c>
      <c r="BZ18" s="242">
        <v>2378559.16</v>
      </c>
      <c r="CA18" s="242">
        <v>11986906</v>
      </c>
      <c r="CB18" s="243" t="s">
        <v>633</v>
      </c>
      <c r="CC18" s="248">
        <v>11872342.6</v>
      </c>
      <c r="CD18" s="248">
        <v>9493783.4399999995</v>
      </c>
      <c r="CE18" s="248">
        <v>13340008</v>
      </c>
      <c r="CF18" s="248">
        <v>0</v>
      </c>
    </row>
    <row r="19" spans="1:84" x14ac:dyDescent="0.25">
      <c r="A19" s="253" t="s">
        <v>667</v>
      </c>
      <c r="B19" s="254" t="s">
        <v>668</v>
      </c>
      <c r="C19" s="254" t="s">
        <v>654</v>
      </c>
      <c r="D19" s="233"/>
      <c r="E19" s="234">
        <v>0</v>
      </c>
      <c r="F19" s="235">
        <v>0</v>
      </c>
      <c r="G19" s="255"/>
      <c r="H19" s="256"/>
      <c r="I19" s="237"/>
      <c r="J19" s="238">
        <v>0</v>
      </c>
      <c r="K19" s="239"/>
      <c r="L19" s="240"/>
      <c r="M19" s="8">
        <v>-1783379.97</v>
      </c>
      <c r="N19" s="241">
        <v>-1783379.97</v>
      </c>
      <c r="O19" s="72"/>
      <c r="P19" s="100"/>
      <c r="Q19" s="9"/>
      <c r="R19" s="9"/>
      <c r="S19" s="9"/>
      <c r="T19" s="257">
        <v>46081</v>
      </c>
      <c r="U19" s="10"/>
      <c r="V19" s="23"/>
      <c r="W19" s="11"/>
      <c r="X19" s="8">
        <v>-1783379.97</v>
      </c>
      <c r="Y19" s="9"/>
      <c r="Z19" s="9"/>
      <c r="AA19" s="9"/>
      <c r="AB19" s="10"/>
      <c r="AC19" s="24">
        <v>0.45695798399999998</v>
      </c>
      <c r="AD19" s="11">
        <v>-261013.24892668033</v>
      </c>
      <c r="AE19" s="8">
        <v>-571197.48</v>
      </c>
      <c r="AF19" s="9"/>
      <c r="AG19" s="10"/>
      <c r="AH19" s="11"/>
      <c r="AI19" s="8">
        <v>-1212182.49</v>
      </c>
      <c r="AJ19" s="9"/>
      <c r="AK19" s="10"/>
      <c r="AL19" s="25"/>
      <c r="AM19" s="25"/>
      <c r="AN19" s="25"/>
      <c r="AO19" s="10"/>
      <c r="AP19" s="12">
        <v>0</v>
      </c>
      <c r="AQ19" s="12"/>
      <c r="AR19" s="12"/>
      <c r="AS19" s="242"/>
      <c r="AT19" s="243"/>
      <c r="AU19" s="242"/>
      <c r="AV19" s="242"/>
      <c r="AW19" s="244"/>
      <c r="AX19" s="243" t="s">
        <v>630</v>
      </c>
      <c r="AY19" s="243" t="s">
        <v>630</v>
      </c>
      <c r="AZ19" s="15">
        <v>0</v>
      </c>
      <c r="BA19" s="15">
        <v>-1783379.97</v>
      </c>
      <c r="BB19" s="15">
        <v>0</v>
      </c>
      <c r="BC19" s="15">
        <v>-1783379.97</v>
      </c>
      <c r="BD19" s="242">
        <v>0</v>
      </c>
      <c r="BE19" s="242">
        <v>0</v>
      </c>
      <c r="BF19" s="242"/>
      <c r="BG19" s="242">
        <v>1</v>
      </c>
      <c r="BH19" s="242">
        <v>0</v>
      </c>
      <c r="BI19" s="242">
        <v>1800000</v>
      </c>
      <c r="BJ19" s="242"/>
      <c r="BK19" s="242"/>
      <c r="BL19" s="242"/>
      <c r="BM19" s="242"/>
      <c r="BN19" s="295"/>
      <c r="BO19" s="295"/>
      <c r="BP19" s="295"/>
      <c r="BQ19" s="295"/>
      <c r="BR19" s="245"/>
      <c r="BS19" s="245"/>
      <c r="BT19" s="242"/>
      <c r="BU19" s="242"/>
      <c r="BV19" s="246" t="s">
        <v>709</v>
      </c>
      <c r="BW19" s="242">
        <v>0</v>
      </c>
      <c r="BX19" s="242">
        <v>-571197.48</v>
      </c>
      <c r="BY19" s="242">
        <v>-1250000</v>
      </c>
      <c r="BZ19" s="242">
        <v>-571197.48</v>
      </c>
      <c r="CA19" s="242">
        <v>-1250000</v>
      </c>
      <c r="CB19" s="243" t="s">
        <v>633</v>
      </c>
      <c r="CC19" s="248">
        <v>-1783379.97</v>
      </c>
      <c r="CD19" s="248">
        <v>-1212182.49</v>
      </c>
      <c r="CE19" s="248">
        <v>0</v>
      </c>
      <c r="CF19" s="248">
        <v>0</v>
      </c>
    </row>
    <row r="20" spans="1:84" x14ac:dyDescent="0.25">
      <c r="A20" s="253" t="s">
        <v>669</v>
      </c>
      <c r="B20" s="254" t="s">
        <v>670</v>
      </c>
      <c r="C20" s="254" t="s">
        <v>671</v>
      </c>
      <c r="D20" s="233"/>
      <c r="E20" s="234">
        <v>104446</v>
      </c>
      <c r="F20" s="235">
        <v>104446</v>
      </c>
      <c r="G20" s="255"/>
      <c r="H20" s="256"/>
      <c r="I20" s="237"/>
      <c r="J20" s="238">
        <v>104446</v>
      </c>
      <c r="K20" s="239"/>
      <c r="L20" s="240"/>
      <c r="M20" s="8">
        <v>59410.82</v>
      </c>
      <c r="N20" s="241">
        <v>104446</v>
      </c>
      <c r="O20" s="72"/>
      <c r="P20" s="100"/>
      <c r="Q20" s="9"/>
      <c r="R20" s="9"/>
      <c r="S20" s="9"/>
      <c r="T20" s="257">
        <v>46173</v>
      </c>
      <c r="U20" s="10"/>
      <c r="V20" s="23"/>
      <c r="W20" s="11"/>
      <c r="X20" s="8">
        <v>56960.69</v>
      </c>
      <c r="Y20" s="9"/>
      <c r="Z20" s="9"/>
      <c r="AA20" s="9"/>
      <c r="AB20" s="10"/>
      <c r="AC20" s="24">
        <v>0</v>
      </c>
      <c r="AD20" s="11">
        <v>0</v>
      </c>
      <c r="AE20" s="8">
        <v>0</v>
      </c>
      <c r="AF20" s="9"/>
      <c r="AG20" s="10"/>
      <c r="AH20" s="11"/>
      <c r="AI20" s="8">
        <v>56960.69</v>
      </c>
      <c r="AJ20" s="9"/>
      <c r="AK20" s="10"/>
      <c r="AL20" s="25"/>
      <c r="AM20" s="25"/>
      <c r="AN20" s="25"/>
      <c r="AO20" s="10"/>
      <c r="AP20" s="12">
        <v>32282</v>
      </c>
      <c r="AQ20" s="12"/>
      <c r="AR20" s="12"/>
      <c r="AS20" s="242"/>
      <c r="AT20" s="243"/>
      <c r="AU20" s="242"/>
      <c r="AV20" s="242"/>
      <c r="AW20" s="244"/>
      <c r="AX20" s="243" t="s">
        <v>630</v>
      </c>
      <c r="AY20" s="243" t="s">
        <v>630</v>
      </c>
      <c r="AZ20" s="15">
        <v>104446</v>
      </c>
      <c r="BA20" s="15">
        <v>104446</v>
      </c>
      <c r="BB20" s="15">
        <v>104446</v>
      </c>
      <c r="BC20" s="15">
        <v>104446</v>
      </c>
      <c r="BD20" s="242">
        <v>0</v>
      </c>
      <c r="BE20" s="242">
        <v>0</v>
      </c>
      <c r="BF20" s="242"/>
      <c r="BG20" s="242">
        <v>1</v>
      </c>
      <c r="BH20" s="242">
        <v>0</v>
      </c>
      <c r="BI20" s="242">
        <v>0</v>
      </c>
      <c r="BJ20" s="242"/>
      <c r="BK20" s="242"/>
      <c r="BL20" s="242"/>
      <c r="BM20" s="242"/>
      <c r="BN20" s="295"/>
      <c r="BO20" s="295"/>
      <c r="BP20" s="295"/>
      <c r="BQ20" s="295"/>
      <c r="BR20" s="245"/>
      <c r="BS20" s="245"/>
      <c r="BT20" s="242"/>
      <c r="BU20" s="242"/>
      <c r="BV20" s="246" t="s">
        <v>709</v>
      </c>
      <c r="BW20" s="242">
        <v>0</v>
      </c>
      <c r="BX20" s="242">
        <v>0</v>
      </c>
      <c r="BY20" s="242">
        <v>0</v>
      </c>
      <c r="BZ20" s="242">
        <v>0</v>
      </c>
      <c r="CA20" s="242">
        <v>0</v>
      </c>
      <c r="CB20" s="243" t="s">
        <v>633</v>
      </c>
      <c r="CC20" s="248">
        <v>56960.69</v>
      </c>
      <c r="CD20" s="248">
        <v>56960.69</v>
      </c>
      <c r="CE20" s="248">
        <v>32282</v>
      </c>
      <c r="CF20" s="248">
        <v>0</v>
      </c>
    </row>
    <row r="21" spans="1:84" x14ac:dyDescent="0.25">
      <c r="A21" s="253" t="s">
        <v>672</v>
      </c>
      <c r="B21" s="254" t="s">
        <v>673</v>
      </c>
      <c r="C21" s="254" t="s">
        <v>660</v>
      </c>
      <c r="D21" s="233"/>
      <c r="E21" s="234">
        <v>1199000</v>
      </c>
      <c r="F21" s="235">
        <v>1199000</v>
      </c>
      <c r="G21" s="255"/>
      <c r="H21" s="256"/>
      <c r="I21" s="237"/>
      <c r="J21" s="238">
        <v>1199000</v>
      </c>
      <c r="K21" s="239"/>
      <c r="L21" s="240"/>
      <c r="M21" s="8">
        <v>1147323.3</v>
      </c>
      <c r="N21" s="241">
        <v>1079240</v>
      </c>
      <c r="O21" s="71"/>
      <c r="P21" s="100"/>
      <c r="Q21" s="9"/>
      <c r="R21" s="9"/>
      <c r="S21" s="9"/>
      <c r="T21" s="257">
        <v>46096</v>
      </c>
      <c r="U21" s="10"/>
      <c r="V21" s="23"/>
      <c r="W21" s="11"/>
      <c r="X21" s="8">
        <v>790051.12</v>
      </c>
      <c r="Y21" s="9"/>
      <c r="Z21" s="9"/>
      <c r="AA21" s="9"/>
      <c r="AB21" s="10"/>
      <c r="AC21" s="24">
        <v>0</v>
      </c>
      <c r="AD21" s="11">
        <v>0</v>
      </c>
      <c r="AE21" s="8">
        <v>0</v>
      </c>
      <c r="AF21" s="9"/>
      <c r="AG21" s="10"/>
      <c r="AH21" s="11"/>
      <c r="AI21" s="8">
        <v>790051.12</v>
      </c>
      <c r="AJ21" s="9"/>
      <c r="AK21" s="10"/>
      <c r="AL21" s="25"/>
      <c r="AM21" s="25"/>
      <c r="AN21" s="25"/>
      <c r="AO21" s="10"/>
      <c r="AP21" s="12">
        <v>732995</v>
      </c>
      <c r="AQ21" s="12"/>
      <c r="AR21" s="12"/>
      <c r="AS21" s="242"/>
      <c r="AT21" s="243"/>
      <c r="AU21" s="242"/>
      <c r="AV21" s="242"/>
      <c r="AW21" s="244"/>
      <c r="AX21" s="243" t="s">
        <v>630</v>
      </c>
      <c r="AY21" s="243" t="s">
        <v>630</v>
      </c>
      <c r="AZ21" s="15">
        <v>1199000</v>
      </c>
      <c r="BA21" s="15">
        <v>1079240</v>
      </c>
      <c r="BB21" s="15">
        <v>1199000</v>
      </c>
      <c r="BC21" s="15">
        <v>1079240</v>
      </c>
      <c r="BD21" s="242">
        <v>0</v>
      </c>
      <c r="BE21" s="242">
        <v>0</v>
      </c>
      <c r="BF21" s="242"/>
      <c r="BG21" s="242">
        <v>1</v>
      </c>
      <c r="BH21" s="242">
        <v>0</v>
      </c>
      <c r="BI21" s="242">
        <v>119760</v>
      </c>
      <c r="BJ21" s="242"/>
      <c r="BK21" s="242"/>
      <c r="BL21" s="242"/>
      <c r="BM21" s="242"/>
      <c r="BN21" s="295"/>
      <c r="BO21" s="295"/>
      <c r="BP21" s="295"/>
      <c r="BQ21" s="295"/>
      <c r="BR21" s="245"/>
      <c r="BS21" s="245"/>
      <c r="BT21" s="242"/>
      <c r="BU21" s="242"/>
      <c r="BV21" s="246" t="s">
        <v>709</v>
      </c>
      <c r="BW21" s="242">
        <v>0</v>
      </c>
      <c r="BX21" s="242">
        <v>0</v>
      </c>
      <c r="BY21" s="242">
        <v>0</v>
      </c>
      <c r="BZ21" s="242">
        <v>0</v>
      </c>
      <c r="CA21" s="242">
        <v>0</v>
      </c>
      <c r="CB21" s="243" t="s">
        <v>633</v>
      </c>
      <c r="CC21" s="248">
        <v>790051.12</v>
      </c>
      <c r="CD21" s="248">
        <v>790051.12</v>
      </c>
      <c r="CE21" s="248">
        <v>732995</v>
      </c>
      <c r="CF21" s="248">
        <v>0</v>
      </c>
    </row>
    <row r="22" spans="1:84" x14ac:dyDescent="0.25">
      <c r="A22" s="253" t="s">
        <v>674</v>
      </c>
      <c r="B22" s="254" t="s">
        <v>675</v>
      </c>
      <c r="C22" s="254" t="s">
        <v>663</v>
      </c>
      <c r="D22" s="233"/>
      <c r="E22" s="234">
        <v>1757000</v>
      </c>
      <c r="F22" s="235">
        <v>1757000</v>
      </c>
      <c r="G22" s="255"/>
      <c r="H22" s="256"/>
      <c r="I22" s="237"/>
      <c r="J22" s="238">
        <v>1757000</v>
      </c>
      <c r="K22" s="239"/>
      <c r="L22" s="240"/>
      <c r="M22" s="8">
        <v>1739172.38</v>
      </c>
      <c r="N22" s="241">
        <v>1690000</v>
      </c>
      <c r="O22" s="71"/>
      <c r="P22" s="100"/>
      <c r="Q22" s="9"/>
      <c r="R22" s="9"/>
      <c r="S22" s="9"/>
      <c r="T22" s="257">
        <v>46285</v>
      </c>
      <c r="U22" s="10"/>
      <c r="V22" s="23"/>
      <c r="W22" s="11"/>
      <c r="X22" s="8">
        <v>250518.05</v>
      </c>
      <c r="Y22" s="9"/>
      <c r="Z22" s="9"/>
      <c r="AA22" s="9"/>
      <c r="AB22" s="10"/>
      <c r="AC22" s="24">
        <v>0</v>
      </c>
      <c r="AD22" s="11">
        <v>0</v>
      </c>
      <c r="AE22" s="8">
        <v>0</v>
      </c>
      <c r="AF22" s="9"/>
      <c r="AG22" s="10"/>
      <c r="AH22" s="11"/>
      <c r="AI22" s="8">
        <v>250518.05</v>
      </c>
      <c r="AJ22" s="9"/>
      <c r="AK22" s="10"/>
      <c r="AL22" s="25"/>
      <c r="AM22" s="25"/>
      <c r="AN22" s="25"/>
      <c r="AO22" s="10"/>
      <c r="AP22" s="12">
        <v>223725</v>
      </c>
      <c r="AQ22" s="12"/>
      <c r="AR22" s="12"/>
      <c r="AS22" s="242"/>
      <c r="AT22" s="243"/>
      <c r="AU22" s="242"/>
      <c r="AV22" s="242"/>
      <c r="AW22" s="244"/>
      <c r="AX22" s="243" t="s">
        <v>630</v>
      </c>
      <c r="AY22" s="243" t="s">
        <v>630</v>
      </c>
      <c r="AZ22" s="15">
        <v>1757000</v>
      </c>
      <c r="BA22" s="15">
        <v>1690000</v>
      </c>
      <c r="BB22" s="15">
        <v>1757000</v>
      </c>
      <c r="BC22" s="15">
        <v>1690000</v>
      </c>
      <c r="BD22" s="242">
        <v>0</v>
      </c>
      <c r="BE22" s="242">
        <v>0</v>
      </c>
      <c r="BF22" s="242"/>
      <c r="BG22" s="242">
        <v>1</v>
      </c>
      <c r="BH22" s="242">
        <v>0</v>
      </c>
      <c r="BI22" s="242">
        <v>87213</v>
      </c>
      <c r="BJ22" s="242"/>
      <c r="BK22" s="242"/>
      <c r="BL22" s="242"/>
      <c r="BM22" s="242"/>
      <c r="BN22" s="295"/>
      <c r="BO22" s="295"/>
      <c r="BP22" s="295"/>
      <c r="BQ22" s="295"/>
      <c r="BR22" s="245"/>
      <c r="BS22" s="245"/>
      <c r="BT22" s="242"/>
      <c r="BU22" s="242"/>
      <c r="BV22" s="246" t="s">
        <v>709</v>
      </c>
      <c r="BW22" s="242">
        <v>0</v>
      </c>
      <c r="BX22" s="242">
        <v>0</v>
      </c>
      <c r="BY22" s="242">
        <v>0</v>
      </c>
      <c r="BZ22" s="242">
        <v>0</v>
      </c>
      <c r="CA22" s="242">
        <v>0</v>
      </c>
      <c r="CB22" s="243" t="s">
        <v>633</v>
      </c>
      <c r="CC22" s="248">
        <v>250518.05</v>
      </c>
      <c r="CD22" s="248">
        <v>250518.05</v>
      </c>
      <c r="CE22" s="248">
        <v>223725</v>
      </c>
      <c r="CF22" s="248">
        <v>0</v>
      </c>
    </row>
    <row r="23" spans="1:84" x14ac:dyDescent="0.25">
      <c r="A23" s="253" t="s">
        <v>676</v>
      </c>
      <c r="B23" s="254" t="s">
        <v>677</v>
      </c>
      <c r="C23" s="254" t="s">
        <v>657</v>
      </c>
      <c r="D23" s="233"/>
      <c r="E23" s="234">
        <v>10848599.449999999</v>
      </c>
      <c r="F23" s="235">
        <v>10848599.449999999</v>
      </c>
      <c r="G23" s="255"/>
      <c r="H23" s="256"/>
      <c r="I23" s="237"/>
      <c r="J23" s="238">
        <v>10848599.449999999</v>
      </c>
      <c r="K23" s="239"/>
      <c r="L23" s="240"/>
      <c r="M23" s="8">
        <v>10171482.859999999</v>
      </c>
      <c r="N23" s="241">
        <v>10261252.449999999</v>
      </c>
      <c r="O23" s="71"/>
      <c r="P23" s="100"/>
      <c r="Q23" s="9"/>
      <c r="R23" s="9"/>
      <c r="S23" s="9"/>
      <c r="T23" s="257">
        <v>46366</v>
      </c>
      <c r="U23" s="10"/>
      <c r="V23" s="23"/>
      <c r="W23" s="11"/>
      <c r="X23" s="8">
        <v>601852.17000000004</v>
      </c>
      <c r="Y23" s="9"/>
      <c r="Z23" s="9"/>
      <c r="AA23" s="9"/>
      <c r="AB23" s="10"/>
      <c r="AC23" s="24">
        <v>0</v>
      </c>
      <c r="AD23" s="11">
        <v>0</v>
      </c>
      <c r="AE23" s="8">
        <v>0</v>
      </c>
      <c r="AF23" s="9"/>
      <c r="AG23" s="10"/>
      <c r="AH23" s="11"/>
      <c r="AI23" s="8">
        <v>601852.17000000004</v>
      </c>
      <c r="AJ23" s="9"/>
      <c r="AK23" s="10"/>
      <c r="AL23" s="25"/>
      <c r="AM23" s="25"/>
      <c r="AN23" s="25"/>
      <c r="AO23" s="10"/>
      <c r="AP23" s="12">
        <v>592607.19999999995</v>
      </c>
      <c r="AQ23" s="12"/>
      <c r="AR23" s="12"/>
      <c r="AS23" s="242"/>
      <c r="AT23" s="243"/>
      <c r="AU23" s="242"/>
      <c r="AV23" s="242"/>
      <c r="AW23" s="244"/>
      <c r="AX23" s="243" t="s">
        <v>630</v>
      </c>
      <c r="AY23" s="243" t="s">
        <v>630</v>
      </c>
      <c r="AZ23" s="15">
        <v>10848599.449999999</v>
      </c>
      <c r="BA23" s="15">
        <v>10261252.449999999</v>
      </c>
      <c r="BB23" s="15">
        <v>10848599.449999999</v>
      </c>
      <c r="BC23" s="15">
        <v>10261252.449999999</v>
      </c>
      <c r="BD23" s="242">
        <v>0</v>
      </c>
      <c r="BE23" s="242">
        <v>0</v>
      </c>
      <c r="BF23" s="242"/>
      <c r="BG23" s="242">
        <v>1</v>
      </c>
      <c r="BH23" s="242">
        <v>0</v>
      </c>
      <c r="BI23" s="242">
        <v>587347</v>
      </c>
      <c r="BJ23" s="242"/>
      <c r="BK23" s="242"/>
      <c r="BL23" s="242"/>
      <c r="BM23" s="242"/>
      <c r="BN23" s="295"/>
      <c r="BO23" s="295"/>
      <c r="BP23" s="295"/>
      <c r="BQ23" s="295"/>
      <c r="BR23" s="245"/>
      <c r="BS23" s="245"/>
      <c r="BT23" s="242"/>
      <c r="BU23" s="242"/>
      <c r="BV23" s="246" t="s">
        <v>709</v>
      </c>
      <c r="BW23" s="242">
        <v>0</v>
      </c>
      <c r="BX23" s="242">
        <v>0</v>
      </c>
      <c r="BY23" s="242">
        <v>0</v>
      </c>
      <c r="BZ23" s="242">
        <v>0</v>
      </c>
      <c r="CA23" s="242">
        <v>0</v>
      </c>
      <c r="CB23" s="243" t="s">
        <v>633</v>
      </c>
      <c r="CC23" s="248">
        <v>601852.17000000004</v>
      </c>
      <c r="CD23" s="248">
        <v>601852.17000000004</v>
      </c>
      <c r="CE23" s="248">
        <v>592607.19999999995</v>
      </c>
      <c r="CF23" s="248">
        <v>0</v>
      </c>
    </row>
    <row r="24" spans="1:84" x14ac:dyDescent="0.25">
      <c r="A24" s="253" t="s">
        <v>678</v>
      </c>
      <c r="B24" s="254" t="s">
        <v>679</v>
      </c>
      <c r="C24" s="254" t="s">
        <v>680</v>
      </c>
      <c r="D24" s="233"/>
      <c r="E24" s="234">
        <v>6029750</v>
      </c>
      <c r="F24" s="235">
        <v>6029750</v>
      </c>
      <c r="G24" s="255"/>
      <c r="H24" s="256"/>
      <c r="I24" s="237"/>
      <c r="J24" s="238">
        <v>6029750</v>
      </c>
      <c r="K24" s="239"/>
      <c r="L24" s="240"/>
      <c r="M24" s="8">
        <v>5853248.0700000003</v>
      </c>
      <c r="N24" s="241">
        <v>5845263</v>
      </c>
      <c r="O24" s="71"/>
      <c r="P24" s="100"/>
      <c r="Q24" s="9"/>
      <c r="R24" s="9"/>
      <c r="S24" s="9"/>
      <c r="T24" s="257">
        <v>46681</v>
      </c>
      <c r="U24" s="10"/>
      <c r="V24" s="23"/>
      <c r="W24" s="11"/>
      <c r="X24" s="8">
        <v>85941.38</v>
      </c>
      <c r="Y24" s="9"/>
      <c r="Z24" s="9"/>
      <c r="AA24" s="9"/>
      <c r="AB24" s="10"/>
      <c r="AC24" s="24">
        <v>0</v>
      </c>
      <c r="AD24" s="11">
        <v>0</v>
      </c>
      <c r="AE24" s="8">
        <v>0</v>
      </c>
      <c r="AF24" s="9"/>
      <c r="AG24" s="10"/>
      <c r="AH24" s="11"/>
      <c r="AI24" s="8">
        <v>85941.38</v>
      </c>
      <c r="AJ24" s="9"/>
      <c r="AK24" s="10"/>
      <c r="AL24" s="25"/>
      <c r="AM24" s="25"/>
      <c r="AN24" s="25"/>
      <c r="AO24" s="10"/>
      <c r="AP24" s="12">
        <v>0</v>
      </c>
      <c r="AQ24" s="12"/>
      <c r="AR24" s="12"/>
      <c r="AS24" s="242"/>
      <c r="AT24" s="243"/>
      <c r="AU24" s="242"/>
      <c r="AV24" s="242"/>
      <c r="AW24" s="244"/>
      <c r="AX24" s="243" t="s">
        <v>630</v>
      </c>
      <c r="AY24" s="243" t="s">
        <v>630</v>
      </c>
      <c r="AZ24" s="15">
        <v>6029750</v>
      </c>
      <c r="BA24" s="15">
        <v>5845263</v>
      </c>
      <c r="BB24" s="15">
        <v>6029750</v>
      </c>
      <c r="BC24" s="15">
        <v>5845263</v>
      </c>
      <c r="BD24" s="242">
        <v>0</v>
      </c>
      <c r="BE24" s="242">
        <v>0</v>
      </c>
      <c r="BF24" s="242"/>
      <c r="BG24" s="242">
        <v>1</v>
      </c>
      <c r="BH24" s="242">
        <v>0</v>
      </c>
      <c r="BI24" s="242">
        <v>0</v>
      </c>
      <c r="BJ24" s="242"/>
      <c r="BK24" s="242"/>
      <c r="BL24" s="242"/>
      <c r="BM24" s="242"/>
      <c r="BN24" s="295"/>
      <c r="BO24" s="295"/>
      <c r="BP24" s="295"/>
      <c r="BQ24" s="295"/>
      <c r="BR24" s="245"/>
      <c r="BS24" s="245"/>
      <c r="BT24" s="242"/>
      <c r="BU24" s="242"/>
      <c r="BV24" s="246" t="s">
        <v>709</v>
      </c>
      <c r="BW24" s="242">
        <v>0</v>
      </c>
      <c r="BX24" s="242">
        <v>0</v>
      </c>
      <c r="BY24" s="242">
        <v>0</v>
      </c>
      <c r="BZ24" s="242">
        <v>0</v>
      </c>
      <c r="CA24" s="242">
        <v>0</v>
      </c>
      <c r="CB24" s="243" t="s">
        <v>633</v>
      </c>
      <c r="CC24" s="248">
        <v>85941.38</v>
      </c>
      <c r="CD24" s="248">
        <v>85941.38</v>
      </c>
      <c r="CE24" s="248">
        <v>0</v>
      </c>
      <c r="CF24" s="248">
        <v>0</v>
      </c>
    </row>
    <row r="25" spans="1:84" x14ac:dyDescent="0.25">
      <c r="A25" s="253" t="s">
        <v>681</v>
      </c>
      <c r="B25" s="254" t="s">
        <v>682</v>
      </c>
      <c r="C25" s="254" t="s">
        <v>640</v>
      </c>
      <c r="D25" s="233"/>
      <c r="E25" s="234">
        <v>387260</v>
      </c>
      <c r="F25" s="235">
        <v>387260</v>
      </c>
      <c r="G25" s="255"/>
      <c r="H25" s="256"/>
      <c r="I25" s="237"/>
      <c r="J25" s="238">
        <v>387260</v>
      </c>
      <c r="K25" s="249"/>
      <c r="L25" s="240"/>
      <c r="M25" s="8">
        <v>4363.25</v>
      </c>
      <c r="N25" s="241">
        <v>383387</v>
      </c>
      <c r="O25" s="71"/>
      <c r="P25" s="100"/>
      <c r="Q25" s="9"/>
      <c r="R25" s="9"/>
      <c r="S25" s="9"/>
      <c r="T25" s="257">
        <v>46112</v>
      </c>
      <c r="U25" s="10"/>
      <c r="V25" s="23"/>
      <c r="W25" s="11"/>
      <c r="X25" s="8">
        <v>4363.25</v>
      </c>
      <c r="Y25" s="9"/>
      <c r="Z25" s="9"/>
      <c r="AA25" s="9"/>
      <c r="AB25" s="10"/>
      <c r="AC25" s="24">
        <v>0</v>
      </c>
      <c r="AD25" s="11">
        <v>0</v>
      </c>
      <c r="AE25" s="8">
        <v>0</v>
      </c>
      <c r="AF25" s="9"/>
      <c r="AG25" s="10"/>
      <c r="AH25" s="11"/>
      <c r="AI25" s="8">
        <v>4363.25</v>
      </c>
      <c r="AJ25" s="9"/>
      <c r="AK25" s="10"/>
      <c r="AL25" s="25"/>
      <c r="AM25" s="25"/>
      <c r="AN25" s="25"/>
      <c r="AO25" s="10"/>
      <c r="AP25" s="12">
        <v>0</v>
      </c>
      <c r="AQ25" s="12"/>
      <c r="AR25" s="12"/>
      <c r="AS25" s="242"/>
      <c r="AT25" s="243"/>
      <c r="AU25" s="242"/>
      <c r="AV25" s="242"/>
      <c r="AW25" s="244"/>
      <c r="AX25" s="243" t="s">
        <v>630</v>
      </c>
      <c r="AY25" s="243" t="s">
        <v>630</v>
      </c>
      <c r="AZ25" s="15">
        <v>387260</v>
      </c>
      <c r="BA25" s="15">
        <v>383387</v>
      </c>
      <c r="BB25" s="15">
        <v>387260</v>
      </c>
      <c r="BC25" s="15">
        <v>383387</v>
      </c>
      <c r="BD25" s="242">
        <v>0</v>
      </c>
      <c r="BE25" s="242">
        <v>0</v>
      </c>
      <c r="BF25" s="242"/>
      <c r="BG25" s="242">
        <v>1</v>
      </c>
      <c r="BH25" s="242">
        <v>0</v>
      </c>
      <c r="BI25" s="242">
        <v>0</v>
      </c>
      <c r="BJ25" s="242"/>
      <c r="BK25" s="242"/>
      <c r="BL25" s="242"/>
      <c r="BM25" s="242"/>
      <c r="BN25" s="295"/>
      <c r="BO25" s="295"/>
      <c r="BP25" s="295"/>
      <c r="BQ25" s="295"/>
      <c r="BR25" s="245"/>
      <c r="BS25" s="245"/>
      <c r="BT25" s="242"/>
      <c r="BU25" s="242"/>
      <c r="BV25" s="246" t="s">
        <v>709</v>
      </c>
      <c r="BW25" s="242">
        <v>0</v>
      </c>
      <c r="BX25" s="242">
        <v>0</v>
      </c>
      <c r="BY25" s="242">
        <v>0</v>
      </c>
      <c r="BZ25" s="242">
        <v>0</v>
      </c>
      <c r="CA25" s="242">
        <v>0</v>
      </c>
      <c r="CB25" s="243" t="s">
        <v>633</v>
      </c>
      <c r="CC25" s="248">
        <v>4363.25</v>
      </c>
      <c r="CD25" s="248">
        <v>4363.25</v>
      </c>
      <c r="CE25" s="248">
        <v>0</v>
      </c>
      <c r="CF25" s="248">
        <v>0</v>
      </c>
    </row>
    <row r="26" spans="1:84" x14ac:dyDescent="0.25">
      <c r="A26" s="253" t="s">
        <v>683</v>
      </c>
      <c r="B26" s="254" t="s">
        <v>684</v>
      </c>
      <c r="C26" s="254" t="s">
        <v>660</v>
      </c>
      <c r="D26" s="233"/>
      <c r="E26" s="234">
        <v>5304500</v>
      </c>
      <c r="F26" s="235">
        <v>5304500</v>
      </c>
      <c r="G26" s="255"/>
      <c r="H26" s="256"/>
      <c r="I26" s="237"/>
      <c r="J26" s="238">
        <v>5304500</v>
      </c>
      <c r="K26" s="249"/>
      <c r="L26" s="240"/>
      <c r="M26" s="8">
        <v>23330.33</v>
      </c>
      <c r="N26" s="241">
        <v>4886443</v>
      </c>
      <c r="O26" s="71"/>
      <c r="P26" s="100"/>
      <c r="Q26" s="9"/>
      <c r="R26" s="9"/>
      <c r="S26" s="9"/>
      <c r="T26" s="257">
        <v>46660</v>
      </c>
      <c r="U26" s="10"/>
      <c r="V26" s="23"/>
      <c r="W26" s="11"/>
      <c r="X26" s="8">
        <v>23330.33</v>
      </c>
      <c r="Y26" s="9"/>
      <c r="Z26" s="9"/>
      <c r="AA26" s="9"/>
      <c r="AB26" s="10"/>
      <c r="AC26" s="24">
        <v>0</v>
      </c>
      <c r="AD26" s="11">
        <v>0</v>
      </c>
      <c r="AE26" s="8">
        <v>0</v>
      </c>
      <c r="AF26" s="9"/>
      <c r="AG26" s="10"/>
      <c r="AH26" s="11"/>
      <c r="AI26" s="8">
        <v>23330.33</v>
      </c>
      <c r="AJ26" s="9"/>
      <c r="AK26" s="10"/>
      <c r="AL26" s="25"/>
      <c r="AM26" s="25"/>
      <c r="AN26" s="25"/>
      <c r="AO26" s="10"/>
      <c r="AP26" s="12">
        <v>0</v>
      </c>
      <c r="AQ26" s="12"/>
      <c r="AR26" s="12"/>
      <c r="AS26" s="242"/>
      <c r="AT26" s="243"/>
      <c r="AU26" s="242"/>
      <c r="AV26" s="242"/>
      <c r="AW26" s="244"/>
      <c r="AX26" s="243" t="s">
        <v>630</v>
      </c>
      <c r="AY26" s="243" t="s">
        <v>630</v>
      </c>
      <c r="AZ26" s="15">
        <v>5304500</v>
      </c>
      <c r="BA26" s="15">
        <v>4886443</v>
      </c>
      <c r="BB26" s="15">
        <v>5304500</v>
      </c>
      <c r="BC26" s="15">
        <v>4886443</v>
      </c>
      <c r="BD26" s="242">
        <v>0</v>
      </c>
      <c r="BE26" s="242">
        <v>0</v>
      </c>
      <c r="BF26" s="242"/>
      <c r="BG26" s="242">
        <v>1</v>
      </c>
      <c r="BH26" s="242">
        <v>0</v>
      </c>
      <c r="BI26" s="242">
        <v>0</v>
      </c>
      <c r="BJ26" s="242"/>
      <c r="BK26" s="242"/>
      <c r="BL26" s="242"/>
      <c r="BM26" s="242"/>
      <c r="BN26" s="295"/>
      <c r="BO26" s="295"/>
      <c r="BP26" s="295"/>
      <c r="BQ26" s="295"/>
      <c r="BR26" s="245"/>
      <c r="BS26" s="245"/>
      <c r="BT26" s="242"/>
      <c r="BU26" s="242"/>
      <c r="BV26" s="246" t="s">
        <v>709</v>
      </c>
      <c r="BW26" s="242">
        <v>0</v>
      </c>
      <c r="BX26" s="242">
        <v>0</v>
      </c>
      <c r="BY26" s="242">
        <v>0</v>
      </c>
      <c r="BZ26" s="242">
        <v>0</v>
      </c>
      <c r="CA26" s="242">
        <v>0</v>
      </c>
      <c r="CB26" s="243" t="s">
        <v>633</v>
      </c>
      <c r="CC26" s="248">
        <v>23330.33</v>
      </c>
      <c r="CD26" s="248">
        <v>23330.33</v>
      </c>
      <c r="CE26" s="248">
        <v>0</v>
      </c>
      <c r="CF26" s="248">
        <v>0</v>
      </c>
    </row>
    <row r="27" spans="1:84" x14ac:dyDescent="0.25">
      <c r="A27" s="253"/>
      <c r="B27" s="93" t="s">
        <v>685</v>
      </c>
      <c r="C27" s="254"/>
      <c r="D27" s="233"/>
      <c r="E27" s="277">
        <f>SUM(E8:E26)</f>
        <v>364497558.89999998</v>
      </c>
      <c r="F27" s="266">
        <f>SUM(F8:F26)</f>
        <v>365129155.5999999</v>
      </c>
      <c r="G27" s="255"/>
      <c r="H27" s="256"/>
      <c r="I27" s="237"/>
      <c r="J27" s="278">
        <f>SUM(J8:J26)</f>
        <v>367981084.62999994</v>
      </c>
      <c r="K27" s="239"/>
      <c r="L27" s="240"/>
      <c r="M27" s="270">
        <f>SUM(M8:M26)</f>
        <v>324020241.10000002</v>
      </c>
      <c r="N27" s="279">
        <f>SUM(N8:N26)</f>
        <v>330175868.59999996</v>
      </c>
      <c r="O27" s="71"/>
      <c r="P27" s="100"/>
      <c r="Q27" s="268">
        <f>SUM(Q8:Q26)</f>
        <v>0</v>
      </c>
      <c r="R27" s="268">
        <f>SUM(R8:R26)</f>
        <v>0</v>
      </c>
      <c r="S27" s="268">
        <f>SUM(S8:S26)</f>
        <v>0</v>
      </c>
      <c r="T27" s="257"/>
      <c r="U27" s="10"/>
      <c r="V27" s="23"/>
      <c r="W27" s="269">
        <f>SUM(W8:W26)</f>
        <v>0</v>
      </c>
      <c r="X27" s="270">
        <f>SUM(X8:X26)</f>
        <v>259938607.72999999</v>
      </c>
      <c r="Y27" s="268">
        <f>SUM(Y8:Y26)</f>
        <v>0</v>
      </c>
      <c r="Z27" s="268">
        <f>SUM(Z8:Z26)</f>
        <v>0</v>
      </c>
      <c r="AA27" s="268">
        <f>SUM(AA8:AA26)</f>
        <v>0</v>
      </c>
      <c r="AB27" s="10"/>
      <c r="AC27" s="24"/>
      <c r="AD27" s="269">
        <f>SUM(AD8:AD26)</f>
        <v>132172953.07787183</v>
      </c>
      <c r="AE27" s="270">
        <f>SUM(AE8:AE26)</f>
        <v>162573848.19</v>
      </c>
      <c r="AF27" s="268">
        <f>SUM(AF8:AF26)</f>
        <v>0</v>
      </c>
      <c r="AG27" s="10"/>
      <c r="AH27" s="269">
        <f>SUM(AH8:AH26)</f>
        <v>0</v>
      </c>
      <c r="AI27" s="270">
        <f>SUM(AI8:AI26)</f>
        <v>97364759.539999992</v>
      </c>
      <c r="AJ27" s="268">
        <f>SUM(AJ8:AJ26)</f>
        <v>0</v>
      </c>
      <c r="AK27" s="10"/>
      <c r="AL27" s="281">
        <f>SUM(AL8:AL26)</f>
        <v>0</v>
      </c>
      <c r="AM27" s="281">
        <f>SUM(AM8:AM26)</f>
        <v>0</v>
      </c>
      <c r="AN27" s="281">
        <f>SUM(AN8:AN26)</f>
        <v>0</v>
      </c>
      <c r="AO27" s="10"/>
      <c r="AP27" s="282">
        <f>SUM(AP8:AP26)</f>
        <v>298824794.78999996</v>
      </c>
      <c r="AQ27" s="282">
        <f>SUM(AQ8:AQ26)</f>
        <v>0</v>
      </c>
      <c r="AR27" s="282">
        <f>SUM(AR8:AR26)</f>
        <v>0</v>
      </c>
      <c r="AS27" s="242"/>
      <c r="AT27" s="243"/>
      <c r="AU27" s="242"/>
      <c r="AV27" s="242"/>
      <c r="AW27" s="244"/>
      <c r="AX27" s="243"/>
      <c r="AY27" s="243"/>
      <c r="AZ27" s="242"/>
      <c r="BA27" s="242"/>
      <c r="BB27" s="242"/>
      <c r="BC27" s="242"/>
      <c r="BD27" s="242"/>
      <c r="BE27" s="242"/>
      <c r="BF27" s="242"/>
      <c r="BG27" s="242"/>
      <c r="BH27" s="242"/>
      <c r="BI27" s="242"/>
      <c r="BJ27" s="242"/>
      <c r="BK27" s="242"/>
      <c r="BL27" s="242"/>
      <c r="BM27" s="242"/>
      <c r="BN27" s="295"/>
      <c r="BO27" s="295"/>
      <c r="BP27" s="295"/>
      <c r="BQ27" s="295"/>
      <c r="BR27" s="245"/>
      <c r="BS27" s="245"/>
      <c r="BT27" s="242"/>
      <c r="BU27" s="242"/>
      <c r="BV27" s="246"/>
      <c r="BW27" s="242"/>
      <c r="BX27" s="242"/>
      <c r="BY27" s="242"/>
      <c r="BZ27" s="242"/>
      <c r="CA27" s="242"/>
      <c r="CB27" s="243"/>
      <c r="CC27" s="248"/>
      <c r="CD27" s="248"/>
      <c r="CE27" s="248"/>
      <c r="CF27" s="248"/>
    </row>
    <row r="28" spans="1:84" x14ac:dyDescent="0.25">
      <c r="A28" s="253"/>
      <c r="B28" s="254"/>
      <c r="C28" s="254"/>
      <c r="D28" s="233"/>
      <c r="E28" s="234"/>
      <c r="F28" s="235"/>
      <c r="G28" s="255"/>
      <c r="H28" s="256"/>
      <c r="I28" s="237"/>
      <c r="J28" s="238"/>
      <c r="K28" s="239"/>
      <c r="L28" s="240"/>
      <c r="M28" s="8"/>
      <c r="N28" s="241"/>
      <c r="O28" s="239"/>
      <c r="P28" s="240"/>
      <c r="Q28" s="9"/>
      <c r="R28" s="9"/>
      <c r="S28" s="9"/>
      <c r="T28" s="257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2"/>
      <c r="AT28" s="243"/>
      <c r="AU28" s="242"/>
      <c r="AV28" s="242"/>
      <c r="AW28" s="244"/>
      <c r="AX28" s="243"/>
      <c r="AY28" s="243"/>
      <c r="AZ28" s="242"/>
      <c r="BA28" s="242"/>
      <c r="BB28" s="242"/>
      <c r="BC28" s="242"/>
      <c r="BD28" s="242"/>
      <c r="BE28" s="242"/>
      <c r="BF28" s="242"/>
      <c r="BG28" s="242"/>
      <c r="BH28" s="242"/>
      <c r="BI28" s="242"/>
      <c r="BJ28" s="242"/>
      <c r="BK28" s="242"/>
      <c r="BL28" s="242"/>
      <c r="BM28" s="242"/>
      <c r="BN28" s="295"/>
      <c r="BO28" s="295"/>
      <c r="BP28" s="295"/>
      <c r="BQ28" s="295"/>
      <c r="BR28" s="245"/>
      <c r="BS28" s="245"/>
      <c r="BT28" s="242"/>
      <c r="BU28" s="242"/>
      <c r="BV28" s="246"/>
      <c r="BW28" s="242"/>
      <c r="BX28" s="242"/>
      <c r="BY28" s="242"/>
      <c r="BZ28" s="242"/>
      <c r="CA28" s="242"/>
      <c r="CB28" s="243"/>
      <c r="CC28" s="248"/>
      <c r="CD28" s="248"/>
      <c r="CE28" s="248"/>
      <c r="CF28" s="248"/>
    </row>
    <row r="29" spans="1:84" x14ac:dyDescent="0.25">
      <c r="A29" s="253"/>
      <c r="B29" s="93" t="s">
        <v>632</v>
      </c>
      <c r="C29" s="254"/>
      <c r="D29" s="233"/>
      <c r="E29" s="234"/>
      <c r="F29" s="235"/>
      <c r="G29" s="255"/>
      <c r="H29" s="256"/>
      <c r="I29" s="237"/>
      <c r="J29" s="238"/>
      <c r="K29" s="239"/>
      <c r="L29" s="240"/>
      <c r="M29" s="8"/>
      <c r="N29" s="241"/>
      <c r="O29" s="71"/>
      <c r="P29" s="100"/>
      <c r="Q29" s="9"/>
      <c r="R29" s="9"/>
      <c r="S29" s="9"/>
      <c r="T29" s="257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2"/>
      <c r="AT29" s="243"/>
      <c r="AU29" s="242"/>
      <c r="AV29" s="242"/>
      <c r="AW29" s="244"/>
      <c r="AX29" s="243"/>
      <c r="AY29" s="243"/>
      <c r="AZ29" s="242"/>
      <c r="BA29" s="242"/>
      <c r="BB29" s="242"/>
      <c r="BC29" s="242"/>
      <c r="BD29" s="242"/>
      <c r="BE29" s="242"/>
      <c r="BF29" s="242"/>
      <c r="BG29" s="242"/>
      <c r="BH29" s="242"/>
      <c r="BI29" s="242"/>
      <c r="BJ29" s="242"/>
      <c r="BK29" s="242"/>
      <c r="BL29" s="242"/>
      <c r="BM29" s="242"/>
      <c r="BN29" s="295"/>
      <c r="BO29" s="295"/>
      <c r="BP29" s="295"/>
      <c r="BQ29" s="295"/>
      <c r="BR29" s="245"/>
      <c r="BS29" s="245"/>
      <c r="BT29" s="242"/>
      <c r="BU29" s="242"/>
      <c r="BV29" s="246"/>
      <c r="BW29" s="242"/>
      <c r="BX29" s="242"/>
      <c r="BY29" s="242"/>
      <c r="BZ29" s="242"/>
      <c r="CA29" s="242"/>
      <c r="CB29" s="243"/>
      <c r="CC29" s="248"/>
      <c r="CD29" s="248"/>
      <c r="CE29" s="248"/>
      <c r="CF29" s="248"/>
    </row>
    <row r="30" spans="1:84" x14ac:dyDescent="0.25">
      <c r="A30" s="253" t="s">
        <v>686</v>
      </c>
      <c r="B30" s="254" t="s">
        <v>687</v>
      </c>
      <c r="C30" s="254" t="s">
        <v>648</v>
      </c>
      <c r="D30" s="233"/>
      <c r="E30" s="234">
        <v>330432.26</v>
      </c>
      <c r="F30" s="235">
        <v>330432.26</v>
      </c>
      <c r="G30" s="255"/>
      <c r="H30" s="256"/>
      <c r="I30" s="237"/>
      <c r="J30" s="238">
        <v>372738</v>
      </c>
      <c r="K30" s="239"/>
      <c r="L30" s="240"/>
      <c r="M30" s="8">
        <v>326838.23</v>
      </c>
      <c r="N30" s="241">
        <v>331855.28000000003</v>
      </c>
      <c r="O30" s="71"/>
      <c r="P30" s="100"/>
      <c r="Q30" s="9"/>
      <c r="R30" s="9"/>
      <c r="S30" s="9"/>
      <c r="T30" s="257">
        <v>45930</v>
      </c>
      <c r="U30" s="10"/>
      <c r="V30" s="23"/>
      <c r="W30" s="11"/>
      <c r="X30" s="8">
        <v>331855.28000000003</v>
      </c>
      <c r="Y30" s="9"/>
      <c r="Z30" s="9"/>
      <c r="AA30" s="9"/>
      <c r="AB30" s="10"/>
      <c r="AC30" s="24">
        <v>0.86797902913960223</v>
      </c>
      <c r="AD30" s="11">
        <v>248943.55506401855</v>
      </c>
      <c r="AE30" s="8">
        <v>303125.40999999997</v>
      </c>
      <c r="AF30" s="9"/>
      <c r="AG30" s="10"/>
      <c r="AH30" s="11"/>
      <c r="AI30" s="8">
        <v>28729.87</v>
      </c>
      <c r="AJ30" s="9"/>
      <c r="AK30" s="10"/>
      <c r="AL30" s="25"/>
      <c r="AM30" s="25"/>
      <c r="AN30" s="25"/>
      <c r="AO30" s="10"/>
      <c r="AP30" s="12">
        <v>372738</v>
      </c>
      <c r="AQ30" s="12"/>
      <c r="AR30" s="12"/>
      <c r="AS30" s="242"/>
      <c r="AT30" s="243"/>
      <c r="AU30" s="242"/>
      <c r="AV30" s="242"/>
      <c r="AW30" s="244"/>
      <c r="AX30" s="243" t="s">
        <v>630</v>
      </c>
      <c r="AY30" s="243" t="s">
        <v>630</v>
      </c>
      <c r="AZ30" s="15">
        <v>372738</v>
      </c>
      <c r="BA30" s="15">
        <v>331855.28000000003</v>
      </c>
      <c r="BB30" s="15">
        <v>372738</v>
      </c>
      <c r="BC30" s="15">
        <v>331855.28000000003</v>
      </c>
      <c r="BD30" s="242">
        <v>0</v>
      </c>
      <c r="BE30" s="242">
        <v>0</v>
      </c>
      <c r="BF30" s="242"/>
      <c r="BG30" s="242">
        <v>2</v>
      </c>
      <c r="BH30" s="242">
        <v>0</v>
      </c>
      <c r="BI30" s="242">
        <v>40882.719999999972</v>
      </c>
      <c r="BJ30" s="242"/>
      <c r="BK30" s="242"/>
      <c r="BL30" s="242"/>
      <c r="BM30" s="242"/>
      <c r="BN30" s="295"/>
      <c r="BO30" s="295"/>
      <c r="BP30" s="295"/>
      <c r="BQ30" s="295"/>
      <c r="BR30" s="245"/>
      <c r="BS30" s="245"/>
      <c r="BT30" s="242"/>
      <c r="BU30" s="242"/>
      <c r="BV30" s="246" t="s">
        <v>709</v>
      </c>
      <c r="BW30" s="242">
        <v>0</v>
      </c>
      <c r="BX30" s="242">
        <v>286808.26</v>
      </c>
      <c r="BY30" s="242">
        <v>349231.26</v>
      </c>
      <c r="BZ30" s="242">
        <v>286808.26</v>
      </c>
      <c r="CA30" s="242">
        <v>349231.26</v>
      </c>
      <c r="CB30" s="243" t="s">
        <v>633</v>
      </c>
      <c r="CC30" s="248">
        <v>331855.28000000003</v>
      </c>
      <c r="CD30" s="248">
        <v>28729.87</v>
      </c>
      <c r="CE30" s="248">
        <v>372738</v>
      </c>
      <c r="CF30" s="248">
        <v>0</v>
      </c>
    </row>
    <row r="31" spans="1:84" x14ac:dyDescent="0.25">
      <c r="A31" s="253" t="s">
        <v>688</v>
      </c>
      <c r="B31" s="254" t="s">
        <v>689</v>
      </c>
      <c r="C31" s="254" t="s">
        <v>640</v>
      </c>
      <c r="D31" s="233"/>
      <c r="E31" s="234">
        <v>5772260</v>
      </c>
      <c r="F31" s="235">
        <v>5772260</v>
      </c>
      <c r="G31" s="255"/>
      <c r="H31" s="256"/>
      <c r="I31" s="237"/>
      <c r="J31" s="238">
        <v>5483550</v>
      </c>
      <c r="K31" s="239"/>
      <c r="L31" s="240"/>
      <c r="M31" s="8">
        <v>4488653.8</v>
      </c>
      <c r="N31" s="241">
        <v>4531817.8600000003</v>
      </c>
      <c r="O31" s="71"/>
      <c r="P31" s="100"/>
      <c r="Q31" s="9"/>
      <c r="R31" s="9"/>
      <c r="S31" s="9"/>
      <c r="T31" s="257">
        <v>46022</v>
      </c>
      <c r="U31" s="10"/>
      <c r="V31" s="23"/>
      <c r="W31" s="11"/>
      <c r="X31" s="8">
        <v>4531817.8600000003</v>
      </c>
      <c r="Y31" s="9"/>
      <c r="Z31" s="9"/>
      <c r="AA31" s="9"/>
      <c r="AB31" s="10"/>
      <c r="AC31" s="24">
        <v>0.89283033653191535</v>
      </c>
      <c r="AD31" s="11">
        <v>4601332.2960936604</v>
      </c>
      <c r="AE31" s="8">
        <v>4229332.84</v>
      </c>
      <c r="AF31" s="9"/>
      <c r="AG31" s="10"/>
      <c r="AH31" s="11"/>
      <c r="AI31" s="8">
        <v>302485.02</v>
      </c>
      <c r="AJ31" s="9"/>
      <c r="AK31" s="10"/>
      <c r="AL31" s="25"/>
      <c r="AM31" s="25"/>
      <c r="AN31" s="25"/>
      <c r="AO31" s="10"/>
      <c r="AP31" s="12">
        <v>5483550</v>
      </c>
      <c r="AQ31" s="12"/>
      <c r="AR31" s="12"/>
      <c r="AS31" s="242"/>
      <c r="AT31" s="243"/>
      <c r="AU31" s="242"/>
      <c r="AV31" s="242"/>
      <c r="AW31" s="244"/>
      <c r="AX31" s="243" t="s">
        <v>630</v>
      </c>
      <c r="AY31" s="243" t="s">
        <v>630</v>
      </c>
      <c r="AZ31" s="15">
        <v>5483550</v>
      </c>
      <c r="BA31" s="15">
        <v>4531817.8600000003</v>
      </c>
      <c r="BB31" s="15">
        <v>5483550</v>
      </c>
      <c r="BC31" s="15">
        <v>4531817.8600000003</v>
      </c>
      <c r="BD31" s="242">
        <v>0</v>
      </c>
      <c r="BE31" s="242">
        <v>0</v>
      </c>
      <c r="BF31" s="242"/>
      <c r="BG31" s="242">
        <v>2</v>
      </c>
      <c r="BH31" s="242">
        <v>0</v>
      </c>
      <c r="BI31" s="242">
        <v>986135</v>
      </c>
      <c r="BJ31" s="242"/>
      <c r="BK31" s="242"/>
      <c r="BL31" s="242"/>
      <c r="BM31" s="242"/>
      <c r="BN31" s="295"/>
      <c r="BO31" s="295"/>
      <c r="BP31" s="295"/>
      <c r="BQ31" s="295"/>
      <c r="BR31" s="245"/>
      <c r="BS31" s="245"/>
      <c r="BT31" s="242"/>
      <c r="BU31" s="242"/>
      <c r="BV31" s="246" t="s">
        <v>709</v>
      </c>
      <c r="BW31" s="242">
        <v>0</v>
      </c>
      <c r="BX31" s="242">
        <v>5153646.9000000004</v>
      </c>
      <c r="BY31" s="242">
        <v>4736995</v>
      </c>
      <c r="BZ31" s="242">
        <v>5153646.9000000004</v>
      </c>
      <c r="CA31" s="242">
        <v>4736995</v>
      </c>
      <c r="CB31" s="243" t="s">
        <v>633</v>
      </c>
      <c r="CC31" s="248">
        <v>4531817.8600000003</v>
      </c>
      <c r="CD31" s="248">
        <v>302485.02</v>
      </c>
      <c r="CE31" s="248">
        <v>5483550</v>
      </c>
      <c r="CF31" s="248">
        <v>0</v>
      </c>
    </row>
    <row r="32" spans="1:84" x14ac:dyDescent="0.25">
      <c r="A32" s="253" t="s">
        <v>690</v>
      </c>
      <c r="B32" s="254" t="s">
        <v>691</v>
      </c>
      <c r="C32" s="254" t="s">
        <v>648</v>
      </c>
      <c r="D32" s="233"/>
      <c r="E32" s="234">
        <v>1031404.75</v>
      </c>
      <c r="F32" s="235">
        <v>1031404.75</v>
      </c>
      <c r="G32" s="255"/>
      <c r="H32" s="256"/>
      <c r="I32" s="237"/>
      <c r="J32" s="238">
        <v>1120182.07</v>
      </c>
      <c r="K32" s="239"/>
      <c r="L32" s="240"/>
      <c r="M32" s="8">
        <v>1090952.6299999999</v>
      </c>
      <c r="N32" s="241">
        <v>1167704.1499999999</v>
      </c>
      <c r="O32" s="71"/>
      <c r="P32" s="100"/>
      <c r="Q32" s="9"/>
      <c r="R32" s="9"/>
      <c r="S32" s="9"/>
      <c r="T32" s="257">
        <v>45991</v>
      </c>
      <c r="U32" s="10"/>
      <c r="V32" s="23"/>
      <c r="W32" s="11"/>
      <c r="X32" s="8">
        <v>1167704.1499999999</v>
      </c>
      <c r="Y32" s="9"/>
      <c r="Z32" s="9"/>
      <c r="AA32" s="9"/>
      <c r="AB32" s="10"/>
      <c r="AC32" s="24">
        <v>0.83835191671689502</v>
      </c>
      <c r="AD32" s="11">
        <v>724905.46466523141</v>
      </c>
      <c r="AE32" s="8">
        <v>786902.05</v>
      </c>
      <c r="AF32" s="9"/>
      <c r="AG32" s="10"/>
      <c r="AH32" s="11"/>
      <c r="AI32" s="8">
        <v>380802.1</v>
      </c>
      <c r="AJ32" s="9"/>
      <c r="AK32" s="10"/>
      <c r="AL32" s="25"/>
      <c r="AM32" s="25"/>
      <c r="AN32" s="25"/>
      <c r="AO32" s="10"/>
      <c r="AP32" s="12">
        <v>1120182.07</v>
      </c>
      <c r="AQ32" s="12"/>
      <c r="AR32" s="12"/>
      <c r="AS32" s="242"/>
      <c r="AT32" s="243"/>
      <c r="AU32" s="242"/>
      <c r="AV32" s="242"/>
      <c r="AW32" s="244"/>
      <c r="AX32" s="243" t="s">
        <v>630</v>
      </c>
      <c r="AY32" s="243" t="s">
        <v>630</v>
      </c>
      <c r="AZ32" s="15">
        <v>1120182.07</v>
      </c>
      <c r="BA32" s="15">
        <v>1167704.1499999999</v>
      </c>
      <c r="BB32" s="15">
        <v>1120182.07</v>
      </c>
      <c r="BC32" s="15">
        <v>1167704.1499999999</v>
      </c>
      <c r="BD32" s="242">
        <v>0</v>
      </c>
      <c r="BE32" s="242">
        <v>0</v>
      </c>
      <c r="BF32" s="242"/>
      <c r="BG32" s="242">
        <v>2</v>
      </c>
      <c r="BH32" s="242">
        <v>0</v>
      </c>
      <c r="BI32" s="242">
        <v>-50372.729999999981</v>
      </c>
      <c r="BJ32" s="242"/>
      <c r="BK32" s="242"/>
      <c r="BL32" s="242"/>
      <c r="BM32" s="242"/>
      <c r="BN32" s="295"/>
      <c r="BO32" s="295"/>
      <c r="BP32" s="295"/>
      <c r="BQ32" s="295"/>
      <c r="BR32" s="245"/>
      <c r="BS32" s="245"/>
      <c r="BT32" s="242"/>
      <c r="BU32" s="242"/>
      <c r="BV32" s="246" t="s">
        <v>709</v>
      </c>
      <c r="BW32" s="242">
        <v>0</v>
      </c>
      <c r="BX32" s="242">
        <v>864679.2</v>
      </c>
      <c r="BY32" s="242">
        <v>938629.75</v>
      </c>
      <c r="BZ32" s="242">
        <v>864679.2</v>
      </c>
      <c r="CA32" s="242">
        <v>938629.75</v>
      </c>
      <c r="CB32" s="243" t="s">
        <v>633</v>
      </c>
      <c r="CC32" s="248">
        <v>1167704.1499999999</v>
      </c>
      <c r="CD32" s="248">
        <v>380802.1</v>
      </c>
      <c r="CE32" s="248">
        <v>1120182.07</v>
      </c>
      <c r="CF32" s="248">
        <v>0</v>
      </c>
    </row>
    <row r="33" spans="1:84" x14ac:dyDescent="0.25">
      <c r="A33" s="253" t="s">
        <v>692</v>
      </c>
      <c r="B33" s="254" t="s">
        <v>693</v>
      </c>
      <c r="C33" s="254" t="s">
        <v>648</v>
      </c>
      <c r="D33" s="233"/>
      <c r="E33" s="234">
        <v>61902</v>
      </c>
      <c r="F33" s="235">
        <v>61902</v>
      </c>
      <c r="G33" s="255"/>
      <c r="H33" s="256"/>
      <c r="I33" s="237"/>
      <c r="J33" s="238">
        <v>61902</v>
      </c>
      <c r="K33" s="239"/>
      <c r="L33" s="240"/>
      <c r="M33" s="8">
        <v>62149.86</v>
      </c>
      <c r="N33" s="241">
        <v>56994.44</v>
      </c>
      <c r="O33" s="71"/>
      <c r="P33" s="100"/>
      <c r="Q33" s="9"/>
      <c r="R33" s="9"/>
      <c r="S33" s="9"/>
      <c r="T33" s="257">
        <v>46022</v>
      </c>
      <c r="U33" s="10"/>
      <c r="V33" s="23"/>
      <c r="W33" s="11"/>
      <c r="X33" s="8">
        <v>56994.44</v>
      </c>
      <c r="Y33" s="9"/>
      <c r="Z33" s="9"/>
      <c r="AA33" s="9"/>
      <c r="AB33" s="10"/>
      <c r="AC33" s="24">
        <v>0.91397047138375964</v>
      </c>
      <c r="AD33" s="11">
        <v>51709.31435217629</v>
      </c>
      <c r="AE33" s="8">
        <v>56994.44</v>
      </c>
      <c r="AF33" s="9"/>
      <c r="AG33" s="10"/>
      <c r="AH33" s="11"/>
      <c r="AI33" s="8">
        <v>0</v>
      </c>
      <c r="AJ33" s="9"/>
      <c r="AK33" s="10"/>
      <c r="AL33" s="25"/>
      <c r="AM33" s="25"/>
      <c r="AN33" s="25"/>
      <c r="AO33" s="10"/>
      <c r="AP33" s="12">
        <v>61902</v>
      </c>
      <c r="AQ33" s="12"/>
      <c r="AR33" s="12"/>
      <c r="AS33" s="242"/>
      <c r="AT33" s="243"/>
      <c r="AU33" s="242"/>
      <c r="AV33" s="242"/>
      <c r="AW33" s="244"/>
      <c r="AX33" s="243" t="s">
        <v>630</v>
      </c>
      <c r="AY33" s="243" t="s">
        <v>630</v>
      </c>
      <c r="AZ33" s="15">
        <v>61902</v>
      </c>
      <c r="BA33" s="15">
        <v>56994.44</v>
      </c>
      <c r="BB33" s="15">
        <v>61902</v>
      </c>
      <c r="BC33" s="15">
        <v>56994.44</v>
      </c>
      <c r="BD33" s="242">
        <v>0</v>
      </c>
      <c r="BE33" s="242">
        <v>0</v>
      </c>
      <c r="BF33" s="242"/>
      <c r="BG33" s="242">
        <v>2</v>
      </c>
      <c r="BH33" s="242">
        <v>0</v>
      </c>
      <c r="BI33" s="242">
        <v>4843</v>
      </c>
      <c r="BJ33" s="242"/>
      <c r="BK33" s="242"/>
      <c r="BL33" s="242"/>
      <c r="BM33" s="242"/>
      <c r="BN33" s="295"/>
      <c r="BO33" s="295"/>
      <c r="BP33" s="295"/>
      <c r="BQ33" s="295"/>
      <c r="BR33" s="245"/>
      <c r="BS33" s="245"/>
      <c r="BT33" s="242"/>
      <c r="BU33" s="242"/>
      <c r="BV33" s="246" t="s">
        <v>709</v>
      </c>
      <c r="BW33" s="242">
        <v>0</v>
      </c>
      <c r="BX33" s="242">
        <v>56576.57</v>
      </c>
      <c r="BY33" s="242">
        <v>62359.17</v>
      </c>
      <c r="BZ33" s="242">
        <v>56576.57</v>
      </c>
      <c r="CA33" s="242">
        <v>62359.17</v>
      </c>
      <c r="CB33" s="243" t="s">
        <v>633</v>
      </c>
      <c r="CC33" s="248">
        <v>56994.44</v>
      </c>
      <c r="CD33" s="248">
        <v>0</v>
      </c>
      <c r="CE33" s="248">
        <v>61902</v>
      </c>
      <c r="CF33" s="248">
        <v>0</v>
      </c>
    </row>
    <row r="34" spans="1:84" x14ac:dyDescent="0.25">
      <c r="A34" s="253" t="s">
        <v>694</v>
      </c>
      <c r="B34" s="254" t="s">
        <v>695</v>
      </c>
      <c r="C34" s="254" t="s">
        <v>660</v>
      </c>
      <c r="D34" s="233"/>
      <c r="E34" s="234">
        <v>3967189.79</v>
      </c>
      <c r="F34" s="235">
        <v>3967189.79</v>
      </c>
      <c r="G34" s="255"/>
      <c r="H34" s="256"/>
      <c r="I34" s="237"/>
      <c r="J34" s="238">
        <v>3967189.79</v>
      </c>
      <c r="K34" s="239"/>
      <c r="L34" s="240"/>
      <c r="M34" s="8">
        <v>3835415.47</v>
      </c>
      <c r="N34" s="241">
        <v>3835094.73</v>
      </c>
      <c r="O34" s="71"/>
      <c r="P34" s="100"/>
      <c r="Q34" s="9"/>
      <c r="R34" s="9"/>
      <c r="S34" s="9"/>
      <c r="T34" s="257">
        <v>45930</v>
      </c>
      <c r="U34" s="10"/>
      <c r="V34" s="23"/>
      <c r="W34" s="11"/>
      <c r="X34" s="8">
        <v>3835094.73</v>
      </c>
      <c r="Y34" s="9"/>
      <c r="Z34" s="9"/>
      <c r="AA34" s="9"/>
      <c r="AB34" s="10"/>
      <c r="AC34" s="24">
        <v>0.78353233990800963</v>
      </c>
      <c r="AD34" s="11">
        <v>2435547.7135467078</v>
      </c>
      <c r="AE34" s="8">
        <v>3109905.76</v>
      </c>
      <c r="AF34" s="9"/>
      <c r="AG34" s="10"/>
      <c r="AH34" s="11"/>
      <c r="AI34" s="8">
        <v>725188.97</v>
      </c>
      <c r="AJ34" s="9"/>
      <c r="AK34" s="10"/>
      <c r="AL34" s="25"/>
      <c r="AM34" s="25"/>
      <c r="AN34" s="25"/>
      <c r="AO34" s="10"/>
      <c r="AP34" s="12">
        <v>3967189.79</v>
      </c>
      <c r="AQ34" s="12"/>
      <c r="AR34" s="12"/>
      <c r="AS34" s="242"/>
      <c r="AT34" s="243"/>
      <c r="AU34" s="242"/>
      <c r="AV34" s="242"/>
      <c r="AW34" s="244"/>
      <c r="AX34" s="243" t="s">
        <v>630</v>
      </c>
      <c r="AY34" s="243" t="s">
        <v>630</v>
      </c>
      <c r="AZ34" s="15">
        <v>3967189.79</v>
      </c>
      <c r="BA34" s="15">
        <v>3835094.73</v>
      </c>
      <c r="BB34" s="15">
        <v>3967189.79</v>
      </c>
      <c r="BC34" s="15">
        <v>3835094.73</v>
      </c>
      <c r="BD34" s="242">
        <v>0</v>
      </c>
      <c r="BE34" s="242">
        <v>0</v>
      </c>
      <c r="BF34" s="242"/>
      <c r="BG34" s="242">
        <v>2</v>
      </c>
      <c r="BH34" s="242">
        <v>0</v>
      </c>
      <c r="BI34" s="242">
        <v>121085.87999999989</v>
      </c>
      <c r="BJ34" s="242"/>
      <c r="BK34" s="242"/>
      <c r="BL34" s="242"/>
      <c r="BM34" s="242"/>
      <c r="BN34" s="295"/>
      <c r="BO34" s="295"/>
      <c r="BP34" s="295"/>
      <c r="BQ34" s="295"/>
      <c r="BR34" s="245"/>
      <c r="BS34" s="245"/>
      <c r="BT34" s="242"/>
      <c r="BU34" s="242"/>
      <c r="BV34" s="246" t="s">
        <v>709</v>
      </c>
      <c r="BW34" s="242">
        <v>0</v>
      </c>
      <c r="BX34" s="242">
        <v>3108420.15</v>
      </c>
      <c r="BY34" s="242">
        <v>3969084.11</v>
      </c>
      <c r="BZ34" s="242">
        <v>3108420.15</v>
      </c>
      <c r="CA34" s="242">
        <v>3969084.11</v>
      </c>
      <c r="CB34" s="243" t="s">
        <v>633</v>
      </c>
      <c r="CC34" s="248">
        <v>3835094.73</v>
      </c>
      <c r="CD34" s="248">
        <v>725188.97</v>
      </c>
      <c r="CE34" s="248">
        <v>3967189.79</v>
      </c>
      <c r="CF34" s="248">
        <v>0</v>
      </c>
    </row>
    <row r="35" spans="1:84" x14ac:dyDescent="0.25">
      <c r="A35" s="253" t="s">
        <v>696</v>
      </c>
      <c r="B35" s="254" t="s">
        <v>697</v>
      </c>
      <c r="C35" s="254" t="s">
        <v>660</v>
      </c>
      <c r="D35" s="233"/>
      <c r="E35" s="234">
        <v>1991231.37</v>
      </c>
      <c r="F35" s="235">
        <v>1991231.37</v>
      </c>
      <c r="G35" s="255"/>
      <c r="H35" s="256"/>
      <c r="I35" s="237"/>
      <c r="J35" s="238">
        <v>1991231.37</v>
      </c>
      <c r="K35" s="239"/>
      <c r="L35" s="240"/>
      <c r="M35" s="8">
        <v>1758132.57</v>
      </c>
      <c r="N35" s="241">
        <v>1758132.57</v>
      </c>
      <c r="O35" s="71"/>
      <c r="P35" s="100"/>
      <c r="Q35" s="9"/>
      <c r="R35" s="9"/>
      <c r="S35" s="9"/>
      <c r="T35" s="257">
        <v>45833</v>
      </c>
      <c r="U35" s="10"/>
      <c r="V35" s="23"/>
      <c r="W35" s="11"/>
      <c r="X35" s="8">
        <v>1758132.57</v>
      </c>
      <c r="Y35" s="9"/>
      <c r="Z35" s="9"/>
      <c r="AA35" s="9"/>
      <c r="AB35" s="10"/>
      <c r="AC35" s="24">
        <v>0.98265983848796679</v>
      </c>
      <c r="AD35" s="11">
        <v>1922771.9111729742</v>
      </c>
      <c r="AE35" s="8">
        <v>1730690.97</v>
      </c>
      <c r="AF35" s="9"/>
      <c r="AG35" s="10"/>
      <c r="AH35" s="11"/>
      <c r="AI35" s="8">
        <v>27441.599999999999</v>
      </c>
      <c r="AJ35" s="9"/>
      <c r="AK35" s="10"/>
      <c r="AL35" s="25"/>
      <c r="AM35" s="25"/>
      <c r="AN35" s="25"/>
      <c r="AO35" s="10"/>
      <c r="AP35" s="12">
        <v>1991231.37</v>
      </c>
      <c r="AQ35" s="12"/>
      <c r="AR35" s="12"/>
      <c r="AS35" s="242"/>
      <c r="AT35" s="243"/>
      <c r="AU35" s="242"/>
      <c r="AV35" s="242"/>
      <c r="AW35" s="244"/>
      <c r="AX35" s="243" t="s">
        <v>630</v>
      </c>
      <c r="AY35" s="243" t="s">
        <v>630</v>
      </c>
      <c r="AZ35" s="15">
        <v>1991231.37</v>
      </c>
      <c r="BA35" s="15">
        <v>1758132.57</v>
      </c>
      <c r="BB35" s="15">
        <v>1991231.37</v>
      </c>
      <c r="BC35" s="15">
        <v>1758132.57</v>
      </c>
      <c r="BD35" s="242">
        <v>0</v>
      </c>
      <c r="BE35" s="242">
        <v>0</v>
      </c>
      <c r="BF35" s="242"/>
      <c r="BG35" s="242">
        <v>2</v>
      </c>
      <c r="BH35" s="242">
        <v>0</v>
      </c>
      <c r="BI35" s="242">
        <v>233098.80000000005</v>
      </c>
      <c r="BJ35" s="242"/>
      <c r="BK35" s="242"/>
      <c r="BL35" s="242"/>
      <c r="BM35" s="242"/>
      <c r="BN35" s="295"/>
      <c r="BO35" s="295"/>
      <c r="BP35" s="295"/>
      <c r="BQ35" s="295"/>
      <c r="BR35" s="245"/>
      <c r="BS35" s="245"/>
      <c r="BT35" s="242"/>
      <c r="BU35" s="242"/>
      <c r="BV35" s="246" t="s">
        <v>709</v>
      </c>
      <c r="BW35" s="242">
        <v>0</v>
      </c>
      <c r="BX35" s="242">
        <v>1956701.43</v>
      </c>
      <c r="BY35" s="242">
        <v>1761231</v>
      </c>
      <c r="BZ35" s="242">
        <v>1956701.43</v>
      </c>
      <c r="CA35" s="242">
        <v>1761231</v>
      </c>
      <c r="CB35" s="243" t="s">
        <v>633</v>
      </c>
      <c r="CC35" s="248">
        <v>1758132.57</v>
      </c>
      <c r="CD35" s="248">
        <v>27441.599999999999</v>
      </c>
      <c r="CE35" s="248">
        <v>1991231.37</v>
      </c>
      <c r="CF35" s="248">
        <v>0</v>
      </c>
    </row>
    <row r="36" spans="1:84" x14ac:dyDescent="0.25">
      <c r="A36" s="253" t="s">
        <v>698</v>
      </c>
      <c r="B36" s="254" t="s">
        <v>699</v>
      </c>
      <c r="C36" s="254" t="s">
        <v>660</v>
      </c>
      <c r="D36" s="233"/>
      <c r="E36" s="234">
        <v>2742860.33</v>
      </c>
      <c r="F36" s="235">
        <v>2742860.33</v>
      </c>
      <c r="G36" s="255"/>
      <c r="H36" s="256"/>
      <c r="I36" s="237"/>
      <c r="J36" s="238">
        <v>2742860.08</v>
      </c>
      <c r="K36" s="239"/>
      <c r="L36" s="240"/>
      <c r="M36" s="8">
        <v>2547017.9500000002</v>
      </c>
      <c r="N36" s="241">
        <v>2548724.92</v>
      </c>
      <c r="O36" s="71"/>
      <c r="P36" s="100"/>
      <c r="Q36" s="9"/>
      <c r="R36" s="9"/>
      <c r="S36" s="9"/>
      <c r="T36" s="257">
        <v>45961</v>
      </c>
      <c r="U36" s="10"/>
      <c r="V36" s="23"/>
      <c r="W36" s="11"/>
      <c r="X36" s="8">
        <v>2548724.92</v>
      </c>
      <c r="Y36" s="9"/>
      <c r="Z36" s="9"/>
      <c r="AA36" s="9"/>
      <c r="AB36" s="10"/>
      <c r="AC36" s="24">
        <v>0.75461491270367043</v>
      </c>
      <c r="AD36" s="11">
        <v>1561902.5575521355</v>
      </c>
      <c r="AE36" s="8">
        <v>1749912.32</v>
      </c>
      <c r="AF36" s="9"/>
      <c r="AG36" s="10"/>
      <c r="AH36" s="11"/>
      <c r="AI36" s="8">
        <v>798812.6</v>
      </c>
      <c r="AJ36" s="9"/>
      <c r="AK36" s="10"/>
      <c r="AL36" s="25"/>
      <c r="AM36" s="25"/>
      <c r="AN36" s="25"/>
      <c r="AO36" s="10"/>
      <c r="AP36" s="12">
        <v>2742860.08</v>
      </c>
      <c r="AQ36" s="12"/>
      <c r="AR36" s="12"/>
      <c r="AS36" s="242"/>
      <c r="AT36" s="243"/>
      <c r="AU36" s="242"/>
      <c r="AV36" s="242"/>
      <c r="AW36" s="244"/>
      <c r="AX36" s="243" t="s">
        <v>630</v>
      </c>
      <c r="AY36" s="243" t="s">
        <v>630</v>
      </c>
      <c r="AZ36" s="15">
        <v>2742860.08</v>
      </c>
      <c r="BA36" s="15">
        <v>2548724.92</v>
      </c>
      <c r="BB36" s="15">
        <v>2742860.08</v>
      </c>
      <c r="BC36" s="15">
        <v>2548724.92</v>
      </c>
      <c r="BD36" s="242">
        <v>0</v>
      </c>
      <c r="BE36" s="242">
        <v>0</v>
      </c>
      <c r="BF36" s="242"/>
      <c r="BG36" s="242">
        <v>2</v>
      </c>
      <c r="BH36" s="242">
        <v>0</v>
      </c>
      <c r="BI36" s="242">
        <v>195000</v>
      </c>
      <c r="BJ36" s="242"/>
      <c r="BK36" s="242"/>
      <c r="BL36" s="242"/>
      <c r="BM36" s="242"/>
      <c r="BN36" s="295"/>
      <c r="BO36" s="295"/>
      <c r="BP36" s="295"/>
      <c r="BQ36" s="295"/>
      <c r="BR36" s="245"/>
      <c r="BS36" s="245"/>
      <c r="BT36" s="242"/>
      <c r="BU36" s="242"/>
      <c r="BV36" s="246" t="s">
        <v>709</v>
      </c>
      <c r="BW36" s="242">
        <v>0</v>
      </c>
      <c r="BX36" s="242">
        <v>2069800.81</v>
      </c>
      <c r="BY36" s="242">
        <v>2318947.44</v>
      </c>
      <c r="BZ36" s="242">
        <v>2069800.81</v>
      </c>
      <c r="CA36" s="242">
        <v>2318947.44</v>
      </c>
      <c r="CB36" s="243" t="s">
        <v>633</v>
      </c>
      <c r="CC36" s="248">
        <v>2548724.92</v>
      </c>
      <c r="CD36" s="248">
        <v>798812.6</v>
      </c>
      <c r="CE36" s="248">
        <v>2742860.08</v>
      </c>
      <c r="CF36" s="248">
        <v>0</v>
      </c>
    </row>
    <row r="37" spans="1:84" x14ac:dyDescent="0.25">
      <c r="A37" s="253" t="s">
        <v>700</v>
      </c>
      <c r="B37" s="254" t="s">
        <v>701</v>
      </c>
      <c r="C37" s="254" t="s">
        <v>660</v>
      </c>
      <c r="D37" s="233"/>
      <c r="E37" s="234">
        <v>2486231.58</v>
      </c>
      <c r="F37" s="235">
        <v>2486231.58</v>
      </c>
      <c r="G37" s="255"/>
      <c r="H37" s="256"/>
      <c r="I37" s="237"/>
      <c r="J37" s="238">
        <v>2486231.58</v>
      </c>
      <c r="K37" s="239"/>
      <c r="L37" s="240"/>
      <c r="M37" s="8">
        <v>2239435.52</v>
      </c>
      <c r="N37" s="241">
        <v>2239435.14</v>
      </c>
      <c r="O37" s="71"/>
      <c r="P37" s="100"/>
      <c r="Q37" s="9"/>
      <c r="R37" s="9"/>
      <c r="S37" s="9"/>
      <c r="T37" s="257">
        <v>45930</v>
      </c>
      <c r="U37" s="10"/>
      <c r="V37" s="23"/>
      <c r="W37" s="11"/>
      <c r="X37" s="8">
        <v>2239435.14</v>
      </c>
      <c r="Y37" s="9"/>
      <c r="Z37" s="9"/>
      <c r="AA37" s="9"/>
      <c r="AB37" s="10"/>
      <c r="AC37" s="24">
        <v>0.91248940454480243</v>
      </c>
      <c r="AD37" s="11">
        <v>2070127.2726505236</v>
      </c>
      <c r="AE37" s="8">
        <v>2071076.8</v>
      </c>
      <c r="AF37" s="9"/>
      <c r="AG37" s="10"/>
      <c r="AH37" s="11"/>
      <c r="AI37" s="8">
        <v>168358.34</v>
      </c>
      <c r="AJ37" s="9"/>
      <c r="AK37" s="10"/>
      <c r="AL37" s="25"/>
      <c r="AM37" s="25"/>
      <c r="AN37" s="25"/>
      <c r="AO37" s="10"/>
      <c r="AP37" s="12">
        <v>2486231.58</v>
      </c>
      <c r="AQ37" s="12"/>
      <c r="AR37" s="12"/>
      <c r="AS37" s="242"/>
      <c r="AT37" s="243"/>
      <c r="AU37" s="242"/>
      <c r="AV37" s="242"/>
      <c r="AW37" s="244"/>
      <c r="AX37" s="243" t="s">
        <v>630</v>
      </c>
      <c r="AY37" s="243" t="s">
        <v>630</v>
      </c>
      <c r="AZ37" s="15">
        <v>2486231.58</v>
      </c>
      <c r="BA37" s="15">
        <v>2239435.14</v>
      </c>
      <c r="BB37" s="15">
        <v>2486231.58</v>
      </c>
      <c r="BC37" s="15">
        <v>2239435.14</v>
      </c>
      <c r="BD37" s="242">
        <v>0</v>
      </c>
      <c r="BE37" s="242">
        <v>0</v>
      </c>
      <c r="BF37" s="242"/>
      <c r="BG37" s="242">
        <v>2</v>
      </c>
      <c r="BH37" s="242">
        <v>0</v>
      </c>
      <c r="BI37" s="242">
        <v>246796.43999999994</v>
      </c>
      <c r="BJ37" s="242"/>
      <c r="BK37" s="242"/>
      <c r="BL37" s="242"/>
      <c r="BM37" s="242"/>
      <c r="BN37" s="295"/>
      <c r="BO37" s="295"/>
      <c r="BP37" s="295"/>
      <c r="BQ37" s="295"/>
      <c r="BR37" s="245"/>
      <c r="BS37" s="245"/>
      <c r="BT37" s="242"/>
      <c r="BU37" s="242"/>
      <c r="BV37" s="246" t="s">
        <v>709</v>
      </c>
      <c r="BW37" s="242">
        <v>0</v>
      </c>
      <c r="BX37" s="242">
        <v>2268658.9700000002</v>
      </c>
      <c r="BY37" s="242">
        <v>2269699.56</v>
      </c>
      <c r="BZ37" s="242">
        <v>2268658.9700000002</v>
      </c>
      <c r="CA37" s="242">
        <v>2269699.56</v>
      </c>
      <c r="CB37" s="243" t="s">
        <v>633</v>
      </c>
      <c r="CC37" s="248">
        <v>2239435.14</v>
      </c>
      <c r="CD37" s="248">
        <v>168358.34</v>
      </c>
      <c r="CE37" s="248">
        <v>2486231.58</v>
      </c>
      <c r="CF37" s="248">
        <v>0</v>
      </c>
    </row>
    <row r="38" spans="1:84" x14ac:dyDescent="0.25">
      <c r="A38" s="253" t="s">
        <v>702</v>
      </c>
      <c r="B38" s="254" t="s">
        <v>703</v>
      </c>
      <c r="C38" s="254" t="s">
        <v>640</v>
      </c>
      <c r="D38" s="233"/>
      <c r="E38" s="234">
        <v>0</v>
      </c>
      <c r="F38" s="235">
        <v>0</v>
      </c>
      <c r="G38" s="255"/>
      <c r="H38" s="256"/>
      <c r="I38" s="237"/>
      <c r="J38" s="238">
        <v>0</v>
      </c>
      <c r="K38" s="239"/>
      <c r="L38" s="240"/>
      <c r="M38" s="8">
        <v>1426058.69</v>
      </c>
      <c r="N38" s="241">
        <v>1426058.69</v>
      </c>
      <c r="O38" s="71"/>
      <c r="P38" s="100"/>
      <c r="Q38" s="9"/>
      <c r="R38" s="9"/>
      <c r="S38" s="9"/>
      <c r="T38" s="257">
        <v>46022</v>
      </c>
      <c r="U38" s="10"/>
      <c r="V38" s="23"/>
      <c r="W38" s="11"/>
      <c r="X38" s="8">
        <v>1426058.69</v>
      </c>
      <c r="Y38" s="9"/>
      <c r="Z38" s="9"/>
      <c r="AA38" s="9"/>
      <c r="AB38" s="10"/>
      <c r="AC38" s="24">
        <v>0</v>
      </c>
      <c r="AD38" s="11">
        <v>0</v>
      </c>
      <c r="AE38" s="8">
        <v>0</v>
      </c>
      <c r="AF38" s="9"/>
      <c r="AG38" s="10"/>
      <c r="AH38" s="11"/>
      <c r="AI38" s="8">
        <v>1426058.69</v>
      </c>
      <c r="AJ38" s="9"/>
      <c r="AK38" s="10"/>
      <c r="AL38" s="25"/>
      <c r="AM38" s="25"/>
      <c r="AN38" s="25"/>
      <c r="AO38" s="10"/>
      <c r="AP38" s="12">
        <v>0</v>
      </c>
      <c r="AQ38" s="12"/>
      <c r="AR38" s="12"/>
      <c r="AS38" s="242"/>
      <c r="AT38" s="243"/>
      <c r="AU38" s="242"/>
      <c r="AV38" s="242"/>
      <c r="AW38" s="244"/>
      <c r="AX38" s="243" t="s">
        <v>630</v>
      </c>
      <c r="AY38" s="243" t="s">
        <v>630</v>
      </c>
      <c r="AZ38" s="15">
        <v>0</v>
      </c>
      <c r="BA38" s="15">
        <v>1426058.69</v>
      </c>
      <c r="BB38" s="15">
        <v>0</v>
      </c>
      <c r="BC38" s="15">
        <v>1426058.69</v>
      </c>
      <c r="BD38" s="242">
        <v>0</v>
      </c>
      <c r="BE38" s="242">
        <v>0</v>
      </c>
      <c r="BF38" s="242"/>
      <c r="BG38" s="242">
        <v>2</v>
      </c>
      <c r="BH38" s="242">
        <v>0</v>
      </c>
      <c r="BI38" s="242">
        <v>-911585.97</v>
      </c>
      <c r="BJ38" s="242"/>
      <c r="BK38" s="242"/>
      <c r="BL38" s="242"/>
      <c r="BM38" s="242"/>
      <c r="BN38" s="295"/>
      <c r="BO38" s="295"/>
      <c r="BP38" s="295"/>
      <c r="BQ38" s="295"/>
      <c r="BR38" s="245"/>
      <c r="BS38" s="245"/>
      <c r="BT38" s="242"/>
      <c r="BU38" s="242"/>
      <c r="BV38" s="246" t="s">
        <v>709</v>
      </c>
      <c r="BW38" s="242">
        <v>0</v>
      </c>
      <c r="BX38" s="242">
        <v>0</v>
      </c>
      <c r="BY38" s="242">
        <v>0</v>
      </c>
      <c r="BZ38" s="242">
        <v>0</v>
      </c>
      <c r="CA38" s="242">
        <v>0</v>
      </c>
      <c r="CB38" s="243" t="s">
        <v>633</v>
      </c>
      <c r="CC38" s="248">
        <v>1426058.69</v>
      </c>
      <c r="CD38" s="248">
        <v>1426058.69</v>
      </c>
      <c r="CE38" s="248">
        <v>0</v>
      </c>
      <c r="CF38" s="248">
        <v>0</v>
      </c>
    </row>
    <row r="39" spans="1:84" x14ac:dyDescent="0.25">
      <c r="A39" s="253" t="s">
        <v>704</v>
      </c>
      <c r="B39" s="254" t="s">
        <v>705</v>
      </c>
      <c r="C39" s="254" t="s">
        <v>640</v>
      </c>
      <c r="D39" s="233"/>
      <c r="E39" s="234">
        <v>0</v>
      </c>
      <c r="F39" s="235">
        <v>0</v>
      </c>
      <c r="G39" s="255"/>
      <c r="H39" s="256"/>
      <c r="I39" s="237"/>
      <c r="J39" s="238">
        <v>0</v>
      </c>
      <c r="K39" s="239"/>
      <c r="L39" s="240"/>
      <c r="M39" s="8">
        <v>613546.52</v>
      </c>
      <c r="N39" s="241">
        <v>613546.52</v>
      </c>
      <c r="O39" s="71"/>
      <c r="P39" s="100"/>
      <c r="Q39" s="9"/>
      <c r="R39" s="9"/>
      <c r="S39" s="9"/>
      <c r="T39" s="257">
        <v>46022</v>
      </c>
      <c r="U39" s="10"/>
      <c r="V39" s="23"/>
      <c r="W39" s="11"/>
      <c r="X39" s="8">
        <v>613546.52</v>
      </c>
      <c r="Y39" s="9"/>
      <c r="Z39" s="9"/>
      <c r="AA39" s="9"/>
      <c r="AB39" s="10"/>
      <c r="AC39" s="24">
        <v>0</v>
      </c>
      <c r="AD39" s="11">
        <v>0</v>
      </c>
      <c r="AE39" s="8">
        <v>0</v>
      </c>
      <c r="AF39" s="9"/>
      <c r="AG39" s="10"/>
      <c r="AH39" s="11"/>
      <c r="AI39" s="8">
        <v>613546.52</v>
      </c>
      <c r="AJ39" s="9"/>
      <c r="AK39" s="10"/>
      <c r="AL39" s="25"/>
      <c r="AM39" s="25"/>
      <c r="AN39" s="25"/>
      <c r="AO39" s="10"/>
      <c r="AP39" s="12">
        <v>0</v>
      </c>
      <c r="AQ39" s="12"/>
      <c r="AR39" s="12"/>
      <c r="AS39" s="242"/>
      <c r="AT39" s="243"/>
      <c r="AU39" s="242"/>
      <c r="AV39" s="242"/>
      <c r="AW39" s="244"/>
      <c r="AX39" s="243" t="s">
        <v>630</v>
      </c>
      <c r="AY39" s="243" t="s">
        <v>630</v>
      </c>
      <c r="AZ39" s="15">
        <v>0</v>
      </c>
      <c r="BA39" s="15">
        <v>613546.52</v>
      </c>
      <c r="BB39" s="15">
        <v>0</v>
      </c>
      <c r="BC39" s="15">
        <v>613546.52</v>
      </c>
      <c r="BD39" s="242">
        <v>0</v>
      </c>
      <c r="BE39" s="242">
        <v>0</v>
      </c>
      <c r="BF39" s="242"/>
      <c r="BG39" s="242">
        <v>2</v>
      </c>
      <c r="BH39" s="242">
        <v>0</v>
      </c>
      <c r="BI39" s="242">
        <v>-467065.88</v>
      </c>
      <c r="BJ39" s="242"/>
      <c r="BK39" s="242"/>
      <c r="BL39" s="242"/>
      <c r="BM39" s="242"/>
      <c r="BN39" s="295"/>
      <c r="BO39" s="295"/>
      <c r="BP39" s="295"/>
      <c r="BQ39" s="295"/>
      <c r="BR39" s="245"/>
      <c r="BS39" s="245"/>
      <c r="BT39" s="242"/>
      <c r="BU39" s="242"/>
      <c r="BV39" s="246" t="s">
        <v>709</v>
      </c>
      <c r="BW39" s="242">
        <v>0</v>
      </c>
      <c r="BX39" s="242">
        <v>0</v>
      </c>
      <c r="BY39" s="242">
        <v>0</v>
      </c>
      <c r="BZ39" s="242">
        <v>0</v>
      </c>
      <c r="CA39" s="242">
        <v>0</v>
      </c>
      <c r="CB39" s="243" t="s">
        <v>633</v>
      </c>
      <c r="CC39" s="248">
        <v>613546.52</v>
      </c>
      <c r="CD39" s="248">
        <v>613546.52</v>
      </c>
      <c r="CE39" s="248">
        <v>0</v>
      </c>
      <c r="CF39" s="248">
        <v>0</v>
      </c>
    </row>
    <row r="40" spans="1:84" x14ac:dyDescent="0.25">
      <c r="A40" s="253"/>
      <c r="B40" s="93" t="s">
        <v>706</v>
      </c>
      <c r="C40" s="254"/>
      <c r="D40" s="233"/>
      <c r="E40" s="277">
        <f>SUM(E29:E39)</f>
        <v>18383512.080000002</v>
      </c>
      <c r="F40" s="266">
        <f>SUM(F29:F39)</f>
        <v>18383512.080000002</v>
      </c>
      <c r="G40" s="255"/>
      <c r="H40" s="256"/>
      <c r="I40" s="237"/>
      <c r="J40" s="278">
        <f>SUM(J29:J39)</f>
        <v>18225884.890000001</v>
      </c>
      <c r="K40" s="239"/>
      <c r="L40" s="240"/>
      <c r="M40" s="270">
        <f>SUM(M29:M39)</f>
        <v>18388201.240000002</v>
      </c>
      <c r="N40" s="279">
        <f>SUM(N29:N39)</f>
        <v>18509364.300000001</v>
      </c>
      <c r="O40" s="71"/>
      <c r="P40" s="100"/>
      <c r="Q40" s="268">
        <f>SUM(Q29:Q39)</f>
        <v>0</v>
      </c>
      <c r="R40" s="268">
        <f>SUM(R29:R39)</f>
        <v>0</v>
      </c>
      <c r="S40" s="268">
        <f>SUM(S29:S39)</f>
        <v>0</v>
      </c>
      <c r="T40" s="257"/>
      <c r="U40" s="10"/>
      <c r="V40" s="23"/>
      <c r="W40" s="269">
        <f>SUM(W29:W39)</f>
        <v>0</v>
      </c>
      <c r="X40" s="270">
        <f>SUM(X29:X39)</f>
        <v>18509364.300000001</v>
      </c>
      <c r="Y40" s="268">
        <f>SUM(Y29:Y39)</f>
        <v>0</v>
      </c>
      <c r="Z40" s="268">
        <f>SUM(Z29:Z39)</f>
        <v>0</v>
      </c>
      <c r="AA40" s="268">
        <f>SUM(AA29:AA39)</f>
        <v>0</v>
      </c>
      <c r="AB40" s="10"/>
      <c r="AC40" s="24"/>
      <c r="AD40" s="269">
        <f>SUM(AD29:AD39)</f>
        <v>13617240.085097427</v>
      </c>
      <c r="AE40" s="270">
        <f>SUM(AE29:AE39)</f>
        <v>14037940.590000002</v>
      </c>
      <c r="AF40" s="268">
        <f>SUM(AF29:AF39)</f>
        <v>0</v>
      </c>
      <c r="AG40" s="10"/>
      <c r="AH40" s="269">
        <f>SUM(AH29:AH39)</f>
        <v>0</v>
      </c>
      <c r="AI40" s="270">
        <f>SUM(AI29:AI39)</f>
        <v>4471423.71</v>
      </c>
      <c r="AJ40" s="268">
        <f>SUM(AJ29:AJ39)</f>
        <v>0</v>
      </c>
      <c r="AK40" s="10"/>
      <c r="AL40" s="281">
        <f>SUM(AL29:AL39)</f>
        <v>0</v>
      </c>
      <c r="AM40" s="281">
        <f>SUM(AM29:AM39)</f>
        <v>0</v>
      </c>
      <c r="AN40" s="281">
        <f>SUM(AN29:AN39)</f>
        <v>0</v>
      </c>
      <c r="AO40" s="10"/>
      <c r="AP40" s="282">
        <f>SUM(AP29:AP39)</f>
        <v>18225884.890000001</v>
      </c>
      <c r="AQ40" s="282">
        <f>SUM(AQ29:AQ39)</f>
        <v>0</v>
      </c>
      <c r="AR40" s="282">
        <f>SUM(AR29:AR39)</f>
        <v>0</v>
      </c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95"/>
      <c r="BO40" s="295"/>
      <c r="BP40" s="295"/>
      <c r="BQ40" s="295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3"/>
      <c r="B41" s="254"/>
      <c r="C41" s="254"/>
      <c r="D41" s="233"/>
      <c r="E41" s="234"/>
      <c r="F41" s="235"/>
      <c r="G41" s="255"/>
      <c r="H41" s="256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7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95"/>
      <c r="BO41" s="295"/>
      <c r="BP41" s="295"/>
      <c r="BQ41" s="295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3"/>
      <c r="B42" s="93" t="s">
        <v>707</v>
      </c>
      <c r="C42" s="254"/>
      <c r="D42" s="233"/>
      <c r="E42" s="277">
        <f>SUM(E7:E41)/2</f>
        <v>382881070.98000002</v>
      </c>
      <c r="F42" s="266">
        <f>SUM(F7:F41)/2</f>
        <v>383512667.67999995</v>
      </c>
      <c r="G42" s="255"/>
      <c r="H42" s="256"/>
      <c r="I42" s="237"/>
      <c r="J42" s="278">
        <f>SUM(J7:J41)/2</f>
        <v>386206969.51999998</v>
      </c>
      <c r="K42" s="239"/>
      <c r="L42" s="240"/>
      <c r="M42" s="270">
        <f>SUM(M7:M41)/2</f>
        <v>342408442.34000009</v>
      </c>
      <c r="N42" s="279">
        <f>SUM(N7:N41)/2</f>
        <v>348685232.89999998</v>
      </c>
      <c r="O42" s="71"/>
      <c r="P42" s="100"/>
      <c r="Q42" s="268">
        <f>SUM(Q7:Q41)/2</f>
        <v>0</v>
      </c>
      <c r="R42" s="268">
        <f>SUM(R7:R41)/2</f>
        <v>0</v>
      </c>
      <c r="S42" s="268">
        <f>SUM(S7:S41)/2</f>
        <v>0</v>
      </c>
      <c r="T42" s="257"/>
      <c r="U42" s="10"/>
      <c r="V42" s="23"/>
      <c r="W42" s="269">
        <f>SUM(W7:W41)/2</f>
        <v>0</v>
      </c>
      <c r="X42" s="270">
        <f>SUM(X7:X41)/2</f>
        <v>278447972.02999997</v>
      </c>
      <c r="Y42" s="268">
        <f>SUM(Y7:Y41)/2</f>
        <v>0</v>
      </c>
      <c r="Z42" s="268">
        <f>SUM(Z7:Z41)/2</f>
        <v>0</v>
      </c>
      <c r="AA42" s="268">
        <f>SUM(AA7:AA41)/2</f>
        <v>0</v>
      </c>
      <c r="AB42" s="10"/>
      <c r="AC42" s="24"/>
      <c r="AD42" s="269">
        <f>SUM(AD7:AD41)/2</f>
        <v>145790193.16296926</v>
      </c>
      <c r="AE42" s="270">
        <f>SUM(AE7:AE41)/2</f>
        <v>176611788.78</v>
      </c>
      <c r="AF42" s="268">
        <f>SUM(AF7:AF41)/2</f>
        <v>0</v>
      </c>
      <c r="AG42" s="10"/>
      <c r="AH42" s="269">
        <f>SUM(AH7:AH41)/2</f>
        <v>0</v>
      </c>
      <c r="AI42" s="270">
        <f>SUM(AI7:AI41)/2</f>
        <v>101836183.25</v>
      </c>
      <c r="AJ42" s="268">
        <f>SUM(AJ7:AJ41)/2</f>
        <v>0</v>
      </c>
      <c r="AK42" s="10"/>
      <c r="AL42" s="281">
        <f>SUM(AL7:AL41)/2</f>
        <v>0</v>
      </c>
      <c r="AM42" s="281">
        <f>SUM(AM7:AM41)/2</f>
        <v>0</v>
      </c>
      <c r="AN42" s="281">
        <f>SUM(AN7:AN41)/2</f>
        <v>0</v>
      </c>
      <c r="AO42" s="10"/>
      <c r="AP42" s="282">
        <f>SUM(AP7:AP41)/2</f>
        <v>317050679.68000001</v>
      </c>
      <c r="AQ42" s="282">
        <f>SUM(AQ7:AQ41)/2</f>
        <v>0</v>
      </c>
      <c r="AR42" s="282">
        <f>SUM(AR7:AR41)/2</f>
        <v>0</v>
      </c>
      <c r="AS42" s="242"/>
      <c r="AT42" s="243"/>
      <c r="AU42" s="242"/>
      <c r="AV42" s="242"/>
      <c r="AW42" s="244"/>
      <c r="AX42" s="243"/>
      <c r="AY42" s="243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95"/>
      <c r="BO42" s="295"/>
      <c r="BP42" s="295"/>
      <c r="BQ42" s="295"/>
      <c r="BR42" s="245"/>
      <c r="BS42" s="245"/>
      <c r="BT42" s="242"/>
      <c r="BU42" s="242"/>
      <c r="BV42" s="246"/>
      <c r="BW42" s="242"/>
      <c r="BX42" s="242"/>
      <c r="BY42" s="242"/>
      <c r="BZ42" s="242"/>
      <c r="CA42" s="242"/>
      <c r="CB42" s="243"/>
      <c r="CC42" s="248"/>
      <c r="CD42" s="248"/>
      <c r="CE42" s="248"/>
      <c r="CF42" s="248"/>
    </row>
    <row r="43" spans="1:84" x14ac:dyDescent="0.25">
      <c r="A43" s="253"/>
      <c r="B43" s="254"/>
      <c r="C43" s="254"/>
      <c r="D43" s="233"/>
      <c r="E43" s="234"/>
      <c r="F43" s="235"/>
      <c r="G43" s="255"/>
      <c r="H43" s="256"/>
      <c r="I43" s="237"/>
      <c r="J43" s="238"/>
      <c r="K43" s="239"/>
      <c r="L43" s="240"/>
      <c r="M43" s="8"/>
      <c r="N43" s="241"/>
      <c r="O43" s="71"/>
      <c r="P43" s="100"/>
      <c r="Q43" s="9"/>
      <c r="R43" s="9"/>
      <c r="S43" s="9"/>
      <c r="T43" s="257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95"/>
      <c r="BO43" s="295"/>
      <c r="BP43" s="295"/>
      <c r="BQ43" s="295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98"/>
      <c r="B44" s="297" t="s">
        <v>635</v>
      </c>
      <c r="C44" s="93"/>
      <c r="D44" s="265"/>
      <c r="E44" s="277">
        <f>SUMIF(BG8:BG44,1, E8:E44)</f>
        <v>364497558.89999998</v>
      </c>
      <c r="F44" s="266">
        <f>SUMIF(BG8:BG44,1, F8:F44)</f>
        <v>365129155.5999999</v>
      </c>
      <c r="G44" s="299"/>
      <c r="H44" s="113"/>
      <c r="I44" s="104"/>
      <c r="J44" s="278">
        <f>SUMIF(BG8:BG44,1, J8:J44)</f>
        <v>367981084.62999994</v>
      </c>
      <c r="K44" s="286"/>
      <c r="L44" s="98"/>
      <c r="M44" s="270">
        <f>SUMIF(BG8:BG44,1, M8:M44)</f>
        <v>324020241.10000002</v>
      </c>
      <c r="N44" s="279">
        <f>SUMIF(BG8:BG44,1, N8:N44)</f>
        <v>330175868.59999996</v>
      </c>
      <c r="O44" s="287"/>
      <c r="P44" s="99"/>
      <c r="Q44" s="268">
        <f>SUMIF(BG8:BG44,1, Q8:Q44)</f>
        <v>0</v>
      </c>
      <c r="R44" s="268">
        <f>SUMIF(BG8:BG44,1, R8:R44)</f>
        <v>0</v>
      </c>
      <c r="S44" s="268">
        <f>SUMIF(BG8:BG44,1, S8:S44)</f>
        <v>0</v>
      </c>
      <c r="T44" s="300"/>
      <c r="U44" s="289"/>
      <c r="V44" s="290"/>
      <c r="W44" s="269">
        <f>SUMIF(BG8:BG44,1, W8:W44)</f>
        <v>0</v>
      </c>
      <c r="X44" s="270">
        <f>SUMIF(BG8:BG44,1, X8:X44)</f>
        <v>259938607.72999999</v>
      </c>
      <c r="Y44" s="268">
        <f>SUMIF(BG8:BG44,1, Y8:Y44)</f>
        <v>0</v>
      </c>
      <c r="Z44" s="268">
        <f>SUMIF(BG8:BG44,1, Z8:Z44)</f>
        <v>0</v>
      </c>
      <c r="AA44" s="268">
        <f>SUMIF(BG8:BG44,1, AA8:AA44)</f>
        <v>0</v>
      </c>
      <c r="AB44" s="289"/>
      <c r="AC44" s="291"/>
      <c r="AD44" s="269">
        <f>SUMIF(BG8:BG44,1, AD8:AD44)</f>
        <v>132172953.07787183</v>
      </c>
      <c r="AE44" s="270">
        <f>SUMIF(BG8:BG44,1, AE8:AE44)</f>
        <v>162573848.19</v>
      </c>
      <c r="AF44" s="268">
        <f>SUMIF(BG8:BG44,1, AF8:AF44)</f>
        <v>0</v>
      </c>
      <c r="AG44" s="289"/>
      <c r="AH44" s="269">
        <f>SUMIF(BG8:BG44,1, AH8:AH44)</f>
        <v>0</v>
      </c>
      <c r="AI44" s="270">
        <f>SUMIF(BG8:BG44,1, AI8:AI44)</f>
        <v>97364759.539999992</v>
      </c>
      <c r="AJ44" s="268">
        <f>SUMIF(BG8:BG44,1, AJ8:AJ44)</f>
        <v>0</v>
      </c>
      <c r="AK44" s="289"/>
      <c r="AL44" s="281">
        <f>SUMIF(BG8:BG44,1, AL8:AL44)</f>
        <v>0</v>
      </c>
      <c r="AM44" s="281">
        <f>SUMIF(BG8:BG44,1, AM8:AM44)</f>
        <v>0</v>
      </c>
      <c r="AN44" s="281">
        <f>SUMIF(BG8:BG44,1, AN8:AN44)</f>
        <v>0</v>
      </c>
      <c r="AO44" s="289"/>
      <c r="AP44" s="282">
        <f>SUMIF(BG8:BG44,1, AP8:AP44)</f>
        <v>298824794.78999996</v>
      </c>
      <c r="AQ44" s="282">
        <f>SUMIF(BG8:BG44,1, AQ8:AQ44)</f>
        <v>0</v>
      </c>
      <c r="AR44" s="282">
        <f>SUMIF(BG8:BG44,1, AR8:AR44)</f>
        <v>0</v>
      </c>
      <c r="AS44" s="15"/>
      <c r="AT44" s="272"/>
      <c r="AU44" s="15"/>
      <c r="AV44" s="15"/>
      <c r="AW44" s="273"/>
      <c r="AX44" s="272"/>
      <c r="AY44" s="272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296"/>
      <c r="BO44" s="296"/>
      <c r="BP44" s="296"/>
      <c r="BQ44" s="296"/>
      <c r="BR44" s="292"/>
      <c r="BS44" s="292"/>
      <c r="BT44" s="15"/>
      <c r="BU44" s="15"/>
      <c r="BV44" s="274"/>
      <c r="BW44" s="15"/>
      <c r="BX44" s="15"/>
      <c r="BY44" s="15"/>
      <c r="BZ44" s="15"/>
      <c r="CA44" s="15"/>
      <c r="CB44" s="272"/>
      <c r="CC44" s="275"/>
      <c r="CD44" s="275"/>
      <c r="CE44" s="275"/>
      <c r="CF44" s="275"/>
    </row>
    <row r="45" spans="1:84" x14ac:dyDescent="0.25">
      <c r="A45" s="298"/>
      <c r="B45" s="302" t="s">
        <v>636</v>
      </c>
      <c r="C45" s="93"/>
      <c r="D45" s="265"/>
      <c r="E45" s="277">
        <f>SUMIF(BG8:BG44,2, E8:E44)</f>
        <v>18383512.080000002</v>
      </c>
      <c r="F45" s="266">
        <f>SUMIF(BG8:BG44,2, F8:F44)</f>
        <v>18383512.080000002</v>
      </c>
      <c r="G45" s="299"/>
      <c r="H45" s="113"/>
      <c r="I45" s="104"/>
      <c r="J45" s="278">
        <f>SUMIF(BG8:BG44,2, J8:J44)</f>
        <v>18225884.890000001</v>
      </c>
      <c r="K45" s="286"/>
      <c r="L45" s="98"/>
      <c r="M45" s="270">
        <f>SUMIF(BG8:BG44,2, M8:M44)</f>
        <v>18388201.240000002</v>
      </c>
      <c r="N45" s="279">
        <f>SUMIF(BG8:BG44,2, N8:N44)</f>
        <v>18509364.300000001</v>
      </c>
      <c r="O45" s="287"/>
      <c r="P45" s="99"/>
      <c r="Q45" s="268">
        <f>SUMIF(BG8:BG44,2, Q8:Q44)</f>
        <v>0</v>
      </c>
      <c r="R45" s="268">
        <f>SUMIF(BG8:BG44,2, R8:R44)</f>
        <v>0</v>
      </c>
      <c r="S45" s="268">
        <f>SUMIF(BG8:BG44,2, S8:S44)</f>
        <v>0</v>
      </c>
      <c r="T45" s="300"/>
      <c r="U45" s="289"/>
      <c r="V45" s="290"/>
      <c r="W45" s="269">
        <f>SUMIF(BG8:BG44,2, W8:W44)</f>
        <v>0</v>
      </c>
      <c r="X45" s="270">
        <f>SUMIF(BG8:BG44,2, X8:X44)</f>
        <v>18509364.300000001</v>
      </c>
      <c r="Y45" s="268">
        <f>SUMIF(BG8:BG44,2, Y8:Y44)</f>
        <v>0</v>
      </c>
      <c r="Z45" s="268">
        <f>SUMIF(BG8:BG44,2, Z8:Z44)</f>
        <v>0</v>
      </c>
      <c r="AA45" s="268">
        <f>SUMIF(BG8:BG44,2, AA8:AA44)</f>
        <v>0</v>
      </c>
      <c r="AB45" s="289"/>
      <c r="AC45" s="291"/>
      <c r="AD45" s="269">
        <f>SUMIF(BG8:BG44,2, AD8:AD44)</f>
        <v>13617240.085097427</v>
      </c>
      <c r="AE45" s="270">
        <f>SUMIF(BG8:BG44,2, AE8:AE44)</f>
        <v>14037940.590000002</v>
      </c>
      <c r="AF45" s="268">
        <f>SUMIF(BG8:BG44,2, AF8:AF44)</f>
        <v>0</v>
      </c>
      <c r="AG45" s="289"/>
      <c r="AH45" s="269">
        <f>SUMIF(BG8:BG44,2, AH8:AH44)</f>
        <v>0</v>
      </c>
      <c r="AI45" s="270">
        <f>SUMIF(BG8:BG44,2, AI8:AI44)</f>
        <v>4471423.71</v>
      </c>
      <c r="AJ45" s="268">
        <f>SUMIF(BG8:BG44,2, AJ8:AJ44)</f>
        <v>0</v>
      </c>
      <c r="AK45" s="289"/>
      <c r="AL45" s="281">
        <f>SUMIF(BG8:BG44,2, AL8:AL44)</f>
        <v>0</v>
      </c>
      <c r="AM45" s="281">
        <f>SUMIF(BG8:BG44,2, AM8:AM44)</f>
        <v>0</v>
      </c>
      <c r="AN45" s="281">
        <f>SUMIF(BG8:BG44,2, AN8:AN44)</f>
        <v>0</v>
      </c>
      <c r="AO45" s="289"/>
      <c r="AP45" s="282">
        <f>SUMIF(BG8:BG44,2, AP8:AP44)</f>
        <v>18225884.890000001</v>
      </c>
      <c r="AQ45" s="282">
        <f>SUMIF(BG8:BG44,2, AQ8:AQ44)</f>
        <v>0</v>
      </c>
      <c r="AR45" s="282">
        <f>SUMIF(BG8:BG44,2, AR8:AR44)</f>
        <v>0</v>
      </c>
      <c r="AS45" s="15"/>
      <c r="AT45" s="272"/>
      <c r="AU45" s="15"/>
      <c r="AV45" s="15"/>
      <c r="AW45" s="273"/>
      <c r="AX45" s="272"/>
      <c r="AY45" s="272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296"/>
      <c r="BO45" s="296"/>
      <c r="BP45" s="296"/>
      <c r="BQ45" s="296"/>
      <c r="BR45" s="292"/>
      <c r="BS45" s="292"/>
      <c r="BT45" s="15"/>
      <c r="BU45" s="15"/>
      <c r="BV45" s="274"/>
      <c r="BW45" s="15"/>
      <c r="BX45" s="15"/>
      <c r="BY45" s="15"/>
      <c r="BZ45" s="15"/>
      <c r="CA45" s="15"/>
      <c r="CB45" s="272"/>
      <c r="CC45" s="275"/>
      <c r="CD45" s="275"/>
      <c r="CE45" s="275"/>
      <c r="CF45" s="275"/>
    </row>
    <row r="46" spans="1:84" x14ac:dyDescent="0.25">
      <c r="A46" s="298"/>
      <c r="B46" s="302" t="s">
        <v>634</v>
      </c>
      <c r="C46" s="93"/>
      <c r="D46" s="265"/>
      <c r="E46" s="277">
        <f>SUM(E8:E45)/4</f>
        <v>382881070.98000002</v>
      </c>
      <c r="F46" s="266">
        <f>SUM(F8:F45)/4</f>
        <v>383512667.67999995</v>
      </c>
      <c r="G46" s="299"/>
      <c r="H46" s="113"/>
      <c r="I46" s="104"/>
      <c r="J46" s="278">
        <f>SUM(J8:J45)/4</f>
        <v>386206969.51999998</v>
      </c>
      <c r="K46" s="286"/>
      <c r="L46" s="98"/>
      <c r="M46" s="270">
        <f>SUM(M8:M45)/4</f>
        <v>342408442.34000009</v>
      </c>
      <c r="N46" s="279">
        <f>SUM(N8:N45)/4</f>
        <v>348685232.89999998</v>
      </c>
      <c r="O46" s="286"/>
      <c r="P46" s="98"/>
      <c r="Q46" s="268">
        <f>SUM(Q8:Q45)/4</f>
        <v>0</v>
      </c>
      <c r="R46" s="268">
        <f>SUM(R8:R45)/4</f>
        <v>0</v>
      </c>
      <c r="S46" s="268">
        <f>SUM(S8:S45)/4</f>
        <v>0</v>
      </c>
      <c r="T46" s="300"/>
      <c r="U46" s="289"/>
      <c r="V46" s="290"/>
      <c r="W46" s="269">
        <f>SUM(W8:W45)/4</f>
        <v>0</v>
      </c>
      <c r="X46" s="270">
        <f>SUM(X8:X45)/4</f>
        <v>278447972.02999997</v>
      </c>
      <c r="Y46" s="268">
        <f>SUM(Y8:Y45)/4</f>
        <v>0</v>
      </c>
      <c r="Z46" s="268">
        <f>SUM(Z8:Z45)/4</f>
        <v>0</v>
      </c>
      <c r="AA46" s="268">
        <f>SUM(AA8:AA45)/4</f>
        <v>0</v>
      </c>
      <c r="AB46" s="289"/>
      <c r="AC46" s="291"/>
      <c r="AD46" s="269">
        <f>SUM(AD8:AD45)/4</f>
        <v>145790193.16296926</v>
      </c>
      <c r="AE46" s="270">
        <f>SUM(AE8:AE45)/4</f>
        <v>176611788.78</v>
      </c>
      <c r="AF46" s="268">
        <f>SUM(AF8:AF45)/4</f>
        <v>0</v>
      </c>
      <c r="AG46" s="289"/>
      <c r="AH46" s="269">
        <f>SUM(AH8:AH45)/4</f>
        <v>0</v>
      </c>
      <c r="AI46" s="270">
        <f>SUM(AI8:AI45)/4</f>
        <v>101836183.24999999</v>
      </c>
      <c r="AJ46" s="268">
        <f>SUM(AJ8:AJ45)/4</f>
        <v>0</v>
      </c>
      <c r="AK46" s="289"/>
      <c r="AL46" s="281">
        <f>SUM(AL8:AL45)/4</f>
        <v>0</v>
      </c>
      <c r="AM46" s="281">
        <f>SUM(AM8:AM45)/4</f>
        <v>0</v>
      </c>
      <c r="AN46" s="281">
        <f>SUM(AN8:AN45)/4</f>
        <v>0</v>
      </c>
      <c r="AO46" s="289"/>
      <c r="AP46" s="282">
        <f>SUM(AP8:AP45)/4</f>
        <v>317050679.68000001</v>
      </c>
      <c r="AQ46" s="282">
        <f>SUM(AQ8:AQ45)/4</f>
        <v>0</v>
      </c>
      <c r="AR46" s="282">
        <f>SUM(AR8:AR45)/4</f>
        <v>0</v>
      </c>
      <c r="AS46" s="15"/>
      <c r="AT46" s="272"/>
      <c r="AU46" s="15"/>
      <c r="AV46" s="15"/>
      <c r="AW46" s="273"/>
      <c r="AX46" s="272"/>
      <c r="AY46" s="272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296"/>
      <c r="BO46" s="296"/>
      <c r="BP46" s="296"/>
      <c r="BQ46" s="296"/>
      <c r="BR46" s="292"/>
      <c r="BS46" s="292"/>
      <c r="BT46" s="15"/>
      <c r="BU46" s="15"/>
      <c r="BV46" s="274"/>
      <c r="BW46" s="15"/>
      <c r="BX46" s="15"/>
      <c r="BY46" s="15"/>
      <c r="BZ46" s="15"/>
      <c r="CA46" s="15"/>
      <c r="CB46" s="272"/>
      <c r="CC46" s="275"/>
      <c r="CD46" s="275"/>
      <c r="CE46" s="275"/>
      <c r="CF46" s="275"/>
    </row>
    <row r="47" spans="1:84" x14ac:dyDescent="0.25">
      <c r="A47" s="253"/>
      <c r="B47" s="254"/>
      <c r="C47" s="254"/>
      <c r="D47" s="233"/>
      <c r="E47" s="234"/>
      <c r="F47" s="235"/>
      <c r="G47" s="255"/>
      <c r="H47" s="256"/>
      <c r="I47" s="237"/>
      <c r="J47" s="238"/>
      <c r="K47" s="239"/>
      <c r="L47" s="240"/>
      <c r="M47" s="8"/>
      <c r="N47" s="241"/>
      <c r="O47" s="71"/>
      <c r="P47" s="100"/>
      <c r="Q47" s="9"/>
      <c r="R47" s="9"/>
      <c r="S47" s="9"/>
      <c r="T47" s="257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2"/>
      <c r="AT47" s="243"/>
      <c r="AU47" s="242"/>
      <c r="AV47" s="242"/>
      <c r="AW47" s="244"/>
      <c r="AX47" s="243"/>
      <c r="AY47" s="243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95"/>
      <c r="BO47" s="295"/>
      <c r="BP47" s="295"/>
      <c r="BQ47" s="295"/>
      <c r="BR47" s="245"/>
      <c r="BS47" s="245"/>
      <c r="BT47" s="242"/>
      <c r="BU47" s="242"/>
      <c r="BV47" s="246"/>
      <c r="BW47" s="242"/>
      <c r="BX47" s="242"/>
      <c r="BY47" s="242"/>
      <c r="BZ47" s="242"/>
      <c r="CA47" s="242"/>
      <c r="CB47" s="243"/>
      <c r="CC47" s="248"/>
      <c r="CD47" s="248"/>
      <c r="CE47" s="248"/>
      <c r="CF47" s="248"/>
    </row>
    <row r="48" spans="1:84" x14ac:dyDescent="0.25">
      <c r="A48" s="253"/>
      <c r="B48" s="254"/>
      <c r="C48" s="254"/>
      <c r="D48" s="233"/>
      <c r="E48" s="234"/>
      <c r="F48" s="235"/>
      <c r="G48" s="255"/>
      <c r="H48" s="256"/>
      <c r="I48" s="237"/>
      <c r="J48" s="238"/>
      <c r="K48" s="239"/>
      <c r="L48" s="240"/>
      <c r="M48" s="8"/>
      <c r="N48" s="241"/>
      <c r="O48" s="239"/>
      <c r="P48" s="240"/>
      <c r="Q48" s="9"/>
      <c r="R48" s="9"/>
      <c r="S48" s="9"/>
      <c r="T48" s="257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2"/>
      <c r="AT48" s="243"/>
      <c r="AU48" s="242"/>
      <c r="AV48" s="242"/>
      <c r="AW48" s="244"/>
      <c r="AX48" s="243"/>
      <c r="AY48" s="243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95"/>
      <c r="BO48" s="295"/>
      <c r="BP48" s="295"/>
      <c r="BQ48" s="295"/>
      <c r="BR48" s="245"/>
      <c r="BS48" s="245"/>
      <c r="BT48" s="242"/>
      <c r="BU48" s="242"/>
      <c r="BV48" s="246"/>
      <c r="BW48" s="242"/>
      <c r="BX48" s="242"/>
      <c r="BY48" s="242"/>
      <c r="BZ48" s="242"/>
      <c r="CA48" s="242"/>
      <c r="CB48" s="243"/>
      <c r="CC48" s="248"/>
      <c r="CD48" s="248"/>
      <c r="CE48" s="248"/>
      <c r="CF48" s="248"/>
    </row>
    <row r="49" spans="1:84" x14ac:dyDescent="0.25">
      <c r="A49" s="253"/>
      <c r="B49" s="254"/>
      <c r="C49" s="254"/>
      <c r="D49" s="233"/>
      <c r="E49" s="234"/>
      <c r="F49" s="235"/>
      <c r="G49" s="255"/>
      <c r="H49" s="256"/>
      <c r="I49" s="237"/>
      <c r="J49" s="238"/>
      <c r="K49" s="239"/>
      <c r="L49" s="240"/>
      <c r="M49" s="8"/>
      <c r="N49" s="241"/>
      <c r="O49" s="71"/>
      <c r="P49" s="100"/>
      <c r="Q49" s="9"/>
      <c r="R49" s="9"/>
      <c r="S49" s="9"/>
      <c r="T49" s="257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2"/>
      <c r="AT49" s="243"/>
      <c r="AU49" s="242"/>
      <c r="AV49" s="242"/>
      <c r="AW49" s="244"/>
      <c r="AX49" s="243"/>
      <c r="AY49" s="243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95"/>
      <c r="BO49" s="295"/>
      <c r="BP49" s="295"/>
      <c r="BQ49" s="295"/>
      <c r="BR49" s="245"/>
      <c r="BS49" s="245"/>
      <c r="BT49" s="242"/>
      <c r="BU49" s="242"/>
      <c r="BV49" s="246"/>
      <c r="BW49" s="242"/>
      <c r="BX49" s="242"/>
      <c r="BY49" s="242"/>
      <c r="BZ49" s="242"/>
      <c r="CA49" s="242"/>
      <c r="CB49" s="243"/>
      <c r="CC49" s="248"/>
      <c r="CD49" s="248"/>
      <c r="CE49" s="248"/>
      <c r="CF49" s="248"/>
    </row>
    <row r="50" spans="1:84" x14ac:dyDescent="0.25">
      <c r="A50" s="253"/>
      <c r="B50" s="254"/>
      <c r="C50" s="254"/>
      <c r="D50" s="233"/>
      <c r="E50" s="234"/>
      <c r="F50" s="235"/>
      <c r="G50" s="255"/>
      <c r="H50" s="256"/>
      <c r="I50" s="237"/>
      <c r="J50" s="238"/>
      <c r="K50" s="239"/>
      <c r="L50" s="240"/>
      <c r="M50" s="8"/>
      <c r="N50" s="241"/>
      <c r="O50" s="71"/>
      <c r="P50" s="100"/>
      <c r="Q50" s="9"/>
      <c r="R50" s="9"/>
      <c r="S50" s="9"/>
      <c r="T50" s="257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2"/>
      <c r="AT50" s="243"/>
      <c r="AU50" s="242"/>
      <c r="AV50" s="242"/>
      <c r="AW50" s="244"/>
      <c r="AX50" s="243"/>
      <c r="AY50" s="243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95"/>
      <c r="BO50" s="295"/>
      <c r="BP50" s="295"/>
      <c r="BQ50" s="295"/>
      <c r="BR50" s="245"/>
      <c r="BS50" s="245"/>
      <c r="BT50" s="242"/>
      <c r="BU50" s="242"/>
      <c r="BV50" s="246"/>
      <c r="BW50" s="242"/>
      <c r="BX50" s="242"/>
      <c r="BY50" s="242"/>
      <c r="BZ50" s="242"/>
      <c r="CA50" s="242"/>
      <c r="CB50" s="243"/>
      <c r="CC50" s="248"/>
      <c r="CD50" s="248"/>
      <c r="CE50" s="248"/>
      <c r="CF50" s="248"/>
    </row>
    <row r="51" spans="1:84" x14ac:dyDescent="0.25">
      <c r="A51" s="253"/>
      <c r="B51" s="254"/>
      <c r="C51" s="254"/>
      <c r="D51" s="233"/>
      <c r="E51" s="234"/>
      <c r="F51" s="235"/>
      <c r="G51" s="255"/>
      <c r="H51" s="256"/>
      <c r="I51" s="237"/>
      <c r="J51" s="238"/>
      <c r="K51" s="239"/>
      <c r="L51" s="240"/>
      <c r="M51" s="8"/>
      <c r="N51" s="241"/>
      <c r="O51" s="71"/>
      <c r="P51" s="100"/>
      <c r="Q51" s="9"/>
      <c r="R51" s="9"/>
      <c r="S51" s="9"/>
      <c r="T51" s="257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2"/>
      <c r="AT51" s="243"/>
      <c r="AU51" s="242"/>
      <c r="AV51" s="242"/>
      <c r="AW51" s="244"/>
      <c r="AX51" s="243"/>
      <c r="AY51" s="243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95"/>
      <c r="BO51" s="295"/>
      <c r="BP51" s="295"/>
      <c r="BQ51" s="295"/>
      <c r="BR51" s="245"/>
      <c r="BS51" s="245"/>
      <c r="BT51" s="242"/>
      <c r="BU51" s="242"/>
      <c r="BV51" s="246"/>
      <c r="BW51" s="242"/>
      <c r="BX51" s="242"/>
      <c r="BY51" s="242"/>
      <c r="BZ51" s="242"/>
      <c r="CA51" s="242"/>
      <c r="CB51" s="243"/>
      <c r="CC51" s="248"/>
      <c r="CD51" s="248"/>
      <c r="CE51" s="248"/>
      <c r="CF51" s="248"/>
    </row>
    <row r="52" spans="1:84" x14ac:dyDescent="0.25">
      <c r="A52" s="253"/>
      <c r="B52" s="254"/>
      <c r="C52" s="254"/>
      <c r="D52" s="233"/>
      <c r="E52" s="234"/>
      <c r="F52" s="235"/>
      <c r="G52" s="255"/>
      <c r="H52" s="256"/>
      <c r="I52" s="237"/>
      <c r="J52" s="238"/>
      <c r="K52" s="239"/>
      <c r="L52" s="240"/>
      <c r="M52" s="8"/>
      <c r="N52" s="241"/>
      <c r="O52" s="71"/>
      <c r="P52" s="100"/>
      <c r="Q52" s="9"/>
      <c r="R52" s="9"/>
      <c r="S52" s="9"/>
      <c r="T52" s="257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2"/>
      <c r="AT52" s="243"/>
      <c r="AU52" s="242"/>
      <c r="AV52" s="242"/>
      <c r="AW52" s="244"/>
      <c r="AX52" s="243"/>
      <c r="AY52" s="243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95"/>
      <c r="BO52" s="295"/>
      <c r="BP52" s="295"/>
      <c r="BQ52" s="295"/>
      <c r="BR52" s="245"/>
      <c r="BS52" s="245"/>
      <c r="BT52" s="242"/>
      <c r="BU52" s="242"/>
      <c r="BV52" s="246"/>
      <c r="BW52" s="242"/>
      <c r="BX52" s="242"/>
      <c r="BY52" s="242"/>
      <c r="BZ52" s="242"/>
      <c r="CA52" s="242"/>
      <c r="CB52" s="243"/>
      <c r="CC52" s="248"/>
      <c r="CD52" s="248"/>
      <c r="CE52" s="248"/>
      <c r="CF52" s="248"/>
    </row>
    <row r="53" spans="1:84" x14ac:dyDescent="0.25">
      <c r="A53" s="253"/>
      <c r="B53" s="254"/>
      <c r="C53" s="254"/>
      <c r="D53" s="233"/>
      <c r="E53" s="234"/>
      <c r="F53" s="235"/>
      <c r="G53" s="255"/>
      <c r="H53" s="256"/>
      <c r="I53" s="237"/>
      <c r="J53" s="238"/>
      <c r="K53" s="239"/>
      <c r="L53" s="240"/>
      <c r="M53" s="8"/>
      <c r="N53" s="241"/>
      <c r="O53" s="71"/>
      <c r="P53" s="100"/>
      <c r="Q53" s="9"/>
      <c r="R53" s="9"/>
      <c r="S53" s="9"/>
      <c r="T53" s="257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2"/>
      <c r="AT53" s="243"/>
      <c r="AU53" s="242"/>
      <c r="AV53" s="242"/>
      <c r="AW53" s="244"/>
      <c r="AX53" s="243"/>
      <c r="AY53" s="243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95"/>
      <c r="BO53" s="295"/>
      <c r="BP53" s="295"/>
      <c r="BQ53" s="295"/>
      <c r="BR53" s="245"/>
      <c r="BS53" s="245"/>
      <c r="BT53" s="242"/>
      <c r="BU53" s="242"/>
      <c r="BV53" s="246"/>
      <c r="BW53" s="242"/>
      <c r="BX53" s="242"/>
      <c r="BY53" s="242"/>
      <c r="BZ53" s="242"/>
      <c r="CA53" s="242"/>
      <c r="CB53" s="243"/>
      <c r="CC53" s="248"/>
      <c r="CD53" s="248"/>
      <c r="CE53" s="248"/>
      <c r="CF53" s="248"/>
    </row>
    <row r="54" spans="1:84" x14ac:dyDescent="0.25">
      <c r="A54" s="253"/>
      <c r="B54" s="254"/>
      <c r="C54" s="254"/>
      <c r="D54" s="233"/>
      <c r="E54" s="234"/>
      <c r="F54" s="235"/>
      <c r="G54" s="255"/>
      <c r="H54" s="256"/>
      <c r="I54" s="237"/>
      <c r="J54" s="238"/>
      <c r="K54" s="239"/>
      <c r="L54" s="240"/>
      <c r="M54" s="8"/>
      <c r="N54" s="241"/>
      <c r="O54" s="71"/>
      <c r="P54" s="100"/>
      <c r="Q54" s="9"/>
      <c r="R54" s="9"/>
      <c r="S54" s="9"/>
      <c r="T54" s="257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2"/>
      <c r="AT54" s="243"/>
      <c r="AU54" s="242"/>
      <c r="AV54" s="242"/>
      <c r="AW54" s="244"/>
      <c r="AX54" s="243"/>
      <c r="AY54" s="243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95"/>
      <c r="BO54" s="295"/>
      <c r="BP54" s="295"/>
      <c r="BQ54" s="295"/>
      <c r="BR54" s="245"/>
      <c r="BS54" s="245"/>
      <c r="BT54" s="242"/>
      <c r="BU54" s="242"/>
      <c r="BV54" s="246"/>
      <c r="BW54" s="242"/>
      <c r="BX54" s="242"/>
      <c r="BY54" s="242"/>
      <c r="BZ54" s="242"/>
      <c r="CA54" s="242"/>
      <c r="CB54" s="243"/>
      <c r="CC54" s="248"/>
      <c r="CD54" s="248"/>
      <c r="CE54" s="248"/>
      <c r="CF54" s="248"/>
    </row>
    <row r="55" spans="1:84" x14ac:dyDescent="0.25">
      <c r="A55" s="253"/>
      <c r="B55" s="254"/>
      <c r="C55" s="254"/>
      <c r="D55" s="233"/>
      <c r="E55" s="234"/>
      <c r="F55" s="235"/>
      <c r="G55" s="255"/>
      <c r="H55" s="256"/>
      <c r="I55" s="237"/>
      <c r="J55" s="238"/>
      <c r="K55" s="239"/>
      <c r="L55" s="240"/>
      <c r="M55" s="8"/>
      <c r="N55" s="241"/>
      <c r="O55" s="71"/>
      <c r="P55" s="100"/>
      <c r="Q55" s="9"/>
      <c r="R55" s="9"/>
      <c r="S55" s="9"/>
      <c r="T55" s="257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2"/>
      <c r="AT55" s="243"/>
      <c r="AU55" s="242"/>
      <c r="AV55" s="242"/>
      <c r="AW55" s="244"/>
      <c r="AX55" s="243"/>
      <c r="AY55" s="243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95"/>
      <c r="BO55" s="295"/>
      <c r="BP55" s="295"/>
      <c r="BQ55" s="295"/>
      <c r="BR55" s="245"/>
      <c r="BS55" s="245"/>
      <c r="BT55" s="242"/>
      <c r="BU55" s="242"/>
      <c r="BV55" s="246"/>
      <c r="BW55" s="242"/>
      <c r="BX55" s="242"/>
      <c r="BY55" s="242"/>
      <c r="BZ55" s="242"/>
      <c r="CA55" s="242"/>
      <c r="CB55" s="243"/>
      <c r="CC55" s="248"/>
      <c r="CD55" s="248"/>
      <c r="CE55" s="248"/>
      <c r="CF55" s="248"/>
    </row>
    <row r="56" spans="1:84" x14ac:dyDescent="0.25">
      <c r="A56" s="253"/>
      <c r="B56" s="254"/>
      <c r="C56" s="254"/>
      <c r="D56" s="233"/>
      <c r="E56" s="234"/>
      <c r="F56" s="235"/>
      <c r="G56" s="255"/>
      <c r="H56" s="256"/>
      <c r="I56" s="237"/>
      <c r="J56" s="238"/>
      <c r="K56" s="239"/>
      <c r="L56" s="240"/>
      <c r="M56" s="8"/>
      <c r="N56" s="241"/>
      <c r="O56" s="71"/>
      <c r="P56" s="100"/>
      <c r="Q56" s="9"/>
      <c r="R56" s="9"/>
      <c r="S56" s="9"/>
      <c r="T56" s="257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2"/>
      <c r="AT56" s="243"/>
      <c r="AU56" s="242"/>
      <c r="AV56" s="242"/>
      <c r="AW56" s="244"/>
      <c r="AX56" s="243"/>
      <c r="AY56" s="243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95"/>
      <c r="BO56" s="295"/>
      <c r="BP56" s="295"/>
      <c r="BQ56" s="295"/>
      <c r="BR56" s="245"/>
      <c r="BS56" s="245"/>
      <c r="BT56" s="242"/>
      <c r="BU56" s="242"/>
      <c r="BV56" s="246"/>
      <c r="BW56" s="242"/>
      <c r="BX56" s="242"/>
      <c r="BY56" s="242"/>
      <c r="BZ56" s="242"/>
      <c r="CA56" s="242"/>
      <c r="CB56" s="243"/>
      <c r="CC56" s="248"/>
      <c r="CD56" s="248"/>
      <c r="CE56" s="248"/>
      <c r="CF56" s="248"/>
    </row>
    <row r="57" spans="1:84" x14ac:dyDescent="0.25">
      <c r="A57" s="253"/>
      <c r="B57" s="254"/>
      <c r="C57" s="254"/>
      <c r="D57" s="233"/>
      <c r="E57" s="234"/>
      <c r="F57" s="235"/>
      <c r="G57" s="255"/>
      <c r="H57" s="256"/>
      <c r="I57" s="237"/>
      <c r="J57" s="238"/>
      <c r="K57" s="239"/>
      <c r="L57" s="240"/>
      <c r="M57" s="8"/>
      <c r="N57" s="241"/>
      <c r="O57" s="71"/>
      <c r="P57" s="100"/>
      <c r="Q57" s="9"/>
      <c r="R57" s="9"/>
      <c r="S57" s="9"/>
      <c r="T57" s="257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2"/>
      <c r="AT57" s="243"/>
      <c r="AU57" s="242"/>
      <c r="AV57" s="242"/>
      <c r="AW57" s="244"/>
      <c r="AX57" s="243"/>
      <c r="AY57" s="243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95"/>
      <c r="BO57" s="295"/>
      <c r="BP57" s="295"/>
      <c r="BQ57" s="295"/>
      <c r="BR57" s="245"/>
      <c r="BS57" s="245"/>
      <c r="BT57" s="242"/>
      <c r="BU57" s="242"/>
      <c r="BV57" s="246"/>
      <c r="BW57" s="242"/>
      <c r="BX57" s="242"/>
      <c r="BY57" s="242"/>
      <c r="BZ57" s="242"/>
      <c r="CA57" s="242"/>
      <c r="CB57" s="243"/>
      <c r="CC57" s="248"/>
      <c r="CD57" s="248"/>
      <c r="CE57" s="248"/>
      <c r="CF57" s="248"/>
    </row>
    <row r="58" spans="1:84" x14ac:dyDescent="0.25">
      <c r="A58" s="253"/>
      <c r="B58" s="254"/>
      <c r="C58" s="254"/>
      <c r="D58" s="233"/>
      <c r="E58" s="234"/>
      <c r="F58" s="235"/>
      <c r="G58" s="255"/>
      <c r="H58" s="256"/>
      <c r="I58" s="237"/>
      <c r="J58" s="238"/>
      <c r="K58" s="239"/>
      <c r="L58" s="240"/>
      <c r="M58" s="8"/>
      <c r="N58" s="241"/>
      <c r="O58" s="71"/>
      <c r="P58" s="100"/>
      <c r="Q58" s="9"/>
      <c r="R58" s="9"/>
      <c r="S58" s="9"/>
      <c r="T58" s="257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2"/>
      <c r="AT58" s="243"/>
      <c r="AU58" s="242"/>
      <c r="AV58" s="242"/>
      <c r="AW58" s="244"/>
      <c r="AX58" s="243"/>
      <c r="AY58" s="243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95"/>
      <c r="BO58" s="295"/>
      <c r="BP58" s="295"/>
      <c r="BQ58" s="295"/>
      <c r="BR58" s="245"/>
      <c r="BS58" s="245"/>
      <c r="BT58" s="242"/>
      <c r="BU58" s="242"/>
      <c r="BV58" s="246"/>
      <c r="BW58" s="242"/>
      <c r="BX58" s="242"/>
      <c r="BY58" s="242"/>
      <c r="BZ58" s="242"/>
      <c r="CA58" s="242"/>
      <c r="CB58" s="243"/>
      <c r="CC58" s="248"/>
      <c r="CD58" s="248"/>
      <c r="CE58" s="248"/>
      <c r="CF58" s="248"/>
    </row>
    <row r="59" spans="1:84" x14ac:dyDescent="0.25">
      <c r="A59" s="253"/>
      <c r="B59" s="254"/>
      <c r="C59" s="254"/>
      <c r="D59" s="233"/>
      <c r="E59" s="234"/>
      <c r="F59" s="235"/>
      <c r="G59" s="255"/>
      <c r="H59" s="256"/>
      <c r="I59" s="237"/>
      <c r="J59" s="238"/>
      <c r="K59" s="239"/>
      <c r="L59" s="240"/>
      <c r="M59" s="8"/>
      <c r="N59" s="241"/>
      <c r="O59" s="71"/>
      <c r="P59" s="100"/>
      <c r="Q59" s="9"/>
      <c r="R59" s="9"/>
      <c r="S59" s="9"/>
      <c r="T59" s="257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2"/>
      <c r="AT59" s="243"/>
      <c r="AU59" s="242"/>
      <c r="AV59" s="242"/>
      <c r="AW59" s="244"/>
      <c r="AX59" s="243"/>
      <c r="AY59" s="243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95"/>
      <c r="BO59" s="295"/>
      <c r="BP59" s="295"/>
      <c r="BQ59" s="295"/>
      <c r="BR59" s="245"/>
      <c r="BS59" s="245"/>
      <c r="BT59" s="242"/>
      <c r="BU59" s="242"/>
      <c r="BV59" s="246"/>
      <c r="BW59" s="242"/>
      <c r="BX59" s="242"/>
      <c r="BY59" s="242"/>
      <c r="BZ59" s="242"/>
      <c r="CA59" s="242"/>
      <c r="CB59" s="243"/>
      <c r="CC59" s="248"/>
      <c r="CD59" s="248"/>
      <c r="CE59" s="248"/>
      <c r="CF59" s="248"/>
    </row>
    <row r="60" spans="1:84" x14ac:dyDescent="0.25">
      <c r="A60" s="253"/>
      <c r="B60" s="254"/>
      <c r="C60" s="254"/>
      <c r="D60" s="233"/>
      <c r="E60" s="234"/>
      <c r="F60" s="235"/>
      <c r="G60" s="255"/>
      <c r="H60" s="256"/>
      <c r="I60" s="237"/>
      <c r="J60" s="238"/>
      <c r="K60" s="239"/>
      <c r="L60" s="240"/>
      <c r="M60" s="8"/>
      <c r="N60" s="241"/>
      <c r="O60" s="71"/>
      <c r="P60" s="100"/>
      <c r="Q60" s="9"/>
      <c r="R60" s="9"/>
      <c r="S60" s="9"/>
      <c r="T60" s="257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2"/>
      <c r="AT60" s="243"/>
      <c r="AU60" s="242"/>
      <c r="AV60" s="242"/>
      <c r="AW60" s="244"/>
      <c r="AX60" s="243"/>
      <c r="AY60" s="243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95"/>
      <c r="BO60" s="295"/>
      <c r="BP60" s="295"/>
      <c r="BQ60" s="295"/>
      <c r="BR60" s="245"/>
      <c r="BS60" s="245"/>
      <c r="BT60" s="242"/>
      <c r="BU60" s="242"/>
      <c r="BV60" s="246"/>
      <c r="BW60" s="242"/>
      <c r="BX60" s="242"/>
      <c r="BY60" s="242"/>
      <c r="BZ60" s="242"/>
      <c r="CA60" s="242"/>
      <c r="CB60" s="243"/>
      <c r="CC60" s="248"/>
      <c r="CD60" s="248"/>
      <c r="CE60" s="248"/>
      <c r="CF60" s="248"/>
    </row>
    <row r="61" spans="1:84" x14ac:dyDescent="0.25">
      <c r="A61" s="253"/>
      <c r="B61" s="254"/>
      <c r="C61" s="254"/>
      <c r="D61" s="233"/>
      <c r="E61" s="234"/>
      <c r="F61" s="235"/>
      <c r="G61" s="255"/>
      <c r="H61" s="256"/>
      <c r="I61" s="237"/>
      <c r="J61" s="238"/>
      <c r="K61" s="239"/>
      <c r="L61" s="240"/>
      <c r="M61" s="8"/>
      <c r="N61" s="241"/>
      <c r="O61" s="71"/>
      <c r="P61" s="100"/>
      <c r="Q61" s="9"/>
      <c r="R61" s="9"/>
      <c r="S61" s="9"/>
      <c r="T61" s="257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2"/>
      <c r="AT61" s="243"/>
      <c r="AU61" s="242"/>
      <c r="AV61" s="242"/>
      <c r="AW61" s="244"/>
      <c r="AX61" s="243"/>
      <c r="AY61" s="243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95"/>
      <c r="BO61" s="295"/>
      <c r="BP61" s="295"/>
      <c r="BQ61" s="295"/>
      <c r="BR61" s="245"/>
      <c r="BS61" s="245"/>
      <c r="BT61" s="242"/>
      <c r="BU61" s="242"/>
      <c r="BV61" s="246"/>
      <c r="BW61" s="242"/>
      <c r="BX61" s="242"/>
      <c r="BY61" s="242"/>
      <c r="BZ61" s="242"/>
      <c r="CA61" s="242"/>
      <c r="CB61" s="243"/>
      <c r="CC61" s="248"/>
      <c r="CD61" s="248"/>
      <c r="CE61" s="248"/>
      <c r="CF61" s="248"/>
    </row>
    <row r="62" spans="1:84" x14ac:dyDescent="0.25">
      <c r="A62" s="253"/>
      <c r="B62" s="254"/>
      <c r="C62" s="254"/>
      <c r="D62" s="233"/>
      <c r="E62" s="234"/>
      <c r="F62" s="235"/>
      <c r="G62" s="255"/>
      <c r="H62" s="256"/>
      <c r="I62" s="237"/>
      <c r="J62" s="238"/>
      <c r="K62" s="239"/>
      <c r="L62" s="240"/>
      <c r="M62" s="8"/>
      <c r="N62" s="241"/>
      <c r="O62" s="71"/>
      <c r="P62" s="100"/>
      <c r="Q62" s="9"/>
      <c r="R62" s="9"/>
      <c r="S62" s="9"/>
      <c r="T62" s="257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95"/>
      <c r="BO62" s="295"/>
      <c r="BP62" s="295"/>
      <c r="BQ62" s="295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3"/>
      <c r="B63" s="254"/>
      <c r="C63" s="254"/>
      <c r="D63" s="233"/>
      <c r="E63" s="234"/>
      <c r="F63" s="235"/>
      <c r="G63" s="255"/>
      <c r="H63" s="256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7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95"/>
      <c r="BO63" s="295"/>
      <c r="BP63" s="295"/>
      <c r="BQ63" s="295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3"/>
      <c r="B64" s="254"/>
      <c r="C64" s="254"/>
      <c r="D64" s="233"/>
      <c r="E64" s="234"/>
      <c r="F64" s="235"/>
      <c r="G64" s="255"/>
      <c r="H64" s="256"/>
      <c r="I64" s="237"/>
      <c r="J64" s="238"/>
      <c r="K64" s="239"/>
      <c r="L64" s="240"/>
      <c r="M64" s="8"/>
      <c r="N64" s="241"/>
      <c r="O64" s="71"/>
      <c r="P64" s="100"/>
      <c r="Q64" s="9"/>
      <c r="R64" s="9"/>
      <c r="S64" s="9"/>
      <c r="T64" s="257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95"/>
      <c r="BO64" s="295"/>
      <c r="BP64" s="295"/>
      <c r="BQ64" s="295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3"/>
      <c r="B65" s="254"/>
      <c r="C65" s="254"/>
      <c r="D65" s="233"/>
      <c r="E65" s="234"/>
      <c r="F65" s="235"/>
      <c r="G65" s="255"/>
      <c r="H65" s="256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7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95"/>
      <c r="BO65" s="295"/>
      <c r="BP65" s="295"/>
      <c r="BQ65" s="295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253"/>
      <c r="B66" s="254"/>
      <c r="C66" s="254"/>
      <c r="D66" s="233"/>
      <c r="E66" s="234"/>
      <c r="F66" s="235"/>
      <c r="G66" s="255"/>
      <c r="H66" s="256"/>
      <c r="I66" s="237"/>
      <c r="J66" s="238"/>
      <c r="K66" s="239"/>
      <c r="L66" s="240"/>
      <c r="M66" s="8"/>
      <c r="N66" s="241"/>
      <c r="O66" s="71"/>
      <c r="P66" s="100"/>
      <c r="Q66" s="9"/>
      <c r="R66" s="9"/>
      <c r="S66" s="9"/>
      <c r="T66" s="257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2"/>
      <c r="AT66" s="243"/>
      <c r="AU66" s="242"/>
      <c r="AV66" s="242"/>
      <c r="AW66" s="244"/>
      <c r="AX66" s="243"/>
      <c r="AY66" s="243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95"/>
      <c r="BO66" s="295"/>
      <c r="BP66" s="295"/>
      <c r="BQ66" s="295"/>
      <c r="BR66" s="245"/>
      <c r="BS66" s="245"/>
      <c r="BT66" s="242"/>
      <c r="BU66" s="242"/>
      <c r="BV66" s="246"/>
      <c r="BW66" s="242"/>
      <c r="BX66" s="242"/>
      <c r="BY66" s="242"/>
      <c r="BZ66" s="242"/>
      <c r="CA66" s="242"/>
      <c r="CB66" s="243"/>
      <c r="CC66" s="248"/>
      <c r="CD66" s="248"/>
      <c r="CE66" s="248"/>
      <c r="CF66" s="248"/>
    </row>
    <row r="67" spans="1:84" x14ac:dyDescent="0.25">
      <c r="A67" s="253"/>
      <c r="B67" s="254"/>
      <c r="C67" s="254"/>
      <c r="D67" s="233"/>
      <c r="E67" s="234"/>
      <c r="F67" s="235"/>
      <c r="G67" s="255"/>
      <c r="H67" s="256"/>
      <c r="I67" s="237"/>
      <c r="J67" s="238"/>
      <c r="K67" s="239"/>
      <c r="L67" s="240"/>
      <c r="M67" s="8"/>
      <c r="N67" s="241"/>
      <c r="O67" s="71"/>
      <c r="P67" s="100"/>
      <c r="Q67" s="9"/>
      <c r="R67" s="9"/>
      <c r="S67" s="9"/>
      <c r="T67" s="257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95"/>
      <c r="BO67" s="295"/>
      <c r="BP67" s="295"/>
      <c r="BQ67" s="295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3"/>
      <c r="B68" s="254"/>
      <c r="C68" s="254"/>
      <c r="D68" s="233"/>
      <c r="E68" s="234"/>
      <c r="F68" s="235"/>
      <c r="G68" s="255"/>
      <c r="H68" s="256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7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95"/>
      <c r="BO68" s="295"/>
      <c r="BP68" s="295"/>
      <c r="BQ68" s="295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3"/>
      <c r="B69" s="254"/>
      <c r="C69" s="254"/>
      <c r="D69" s="233"/>
      <c r="E69" s="234"/>
      <c r="F69" s="235"/>
      <c r="G69" s="255"/>
      <c r="H69" s="256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7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5"/>
      <c r="BO69" s="295"/>
      <c r="BP69" s="295"/>
      <c r="BQ69" s="295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3"/>
      <c r="B70" s="254"/>
      <c r="C70" s="254"/>
      <c r="D70" s="233"/>
      <c r="E70" s="234"/>
      <c r="F70" s="235"/>
      <c r="G70" s="255"/>
      <c r="H70" s="256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7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5"/>
      <c r="BO70" s="295"/>
      <c r="BP70" s="295"/>
      <c r="BQ70" s="295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3"/>
      <c r="B71" s="254"/>
      <c r="C71" s="254"/>
      <c r="D71" s="233"/>
      <c r="E71" s="234"/>
      <c r="F71" s="235"/>
      <c r="G71" s="255"/>
      <c r="H71" s="256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7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95"/>
      <c r="BO71" s="295"/>
      <c r="BP71" s="295"/>
      <c r="BQ71" s="295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3"/>
      <c r="B72" s="254"/>
      <c r="C72" s="254"/>
      <c r="D72" s="233"/>
      <c r="E72" s="234"/>
      <c r="F72" s="235"/>
      <c r="G72" s="255"/>
      <c r="H72" s="256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7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95"/>
      <c r="BO72" s="295"/>
      <c r="BP72" s="295"/>
      <c r="BQ72" s="295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3"/>
      <c r="B73" s="254"/>
      <c r="C73" s="254"/>
      <c r="D73" s="233"/>
      <c r="E73" s="234"/>
      <c r="F73" s="235"/>
      <c r="G73" s="255"/>
      <c r="H73" s="256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7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95"/>
      <c r="BO73" s="295"/>
      <c r="BP73" s="295"/>
      <c r="BQ73" s="295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3"/>
      <c r="B74" s="254"/>
      <c r="C74" s="254"/>
      <c r="D74" s="233"/>
      <c r="E74" s="234"/>
      <c r="F74" s="235"/>
      <c r="G74" s="255"/>
      <c r="H74" s="256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7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5"/>
      <c r="BO74" s="295"/>
      <c r="BP74" s="295"/>
      <c r="BQ74" s="295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3"/>
      <c r="B75" s="254"/>
      <c r="C75" s="254"/>
      <c r="D75" s="233"/>
      <c r="E75" s="234"/>
      <c r="F75" s="235"/>
      <c r="G75" s="255"/>
      <c r="H75" s="256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7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5"/>
      <c r="BO75" s="295"/>
      <c r="BP75" s="295"/>
      <c r="BQ75" s="295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3"/>
      <c r="B76" s="254"/>
      <c r="C76" s="254"/>
      <c r="D76" s="233"/>
      <c r="E76" s="234"/>
      <c r="F76" s="235"/>
      <c r="G76" s="255"/>
      <c r="H76" s="256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7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5"/>
      <c r="BO76" s="295"/>
      <c r="BP76" s="295"/>
      <c r="BQ76" s="295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3"/>
      <c r="B77" s="254"/>
      <c r="C77" s="254"/>
      <c r="D77" s="233"/>
      <c r="E77" s="234"/>
      <c r="F77" s="235"/>
      <c r="G77" s="255"/>
      <c r="H77" s="256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7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5"/>
      <c r="BO77" s="295"/>
      <c r="BP77" s="295"/>
      <c r="BQ77" s="295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3"/>
      <c r="B78" s="254"/>
      <c r="C78" s="254"/>
      <c r="D78" s="233"/>
      <c r="E78" s="234"/>
      <c r="F78" s="235"/>
      <c r="G78" s="255"/>
      <c r="H78" s="256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7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5"/>
      <c r="BO78" s="295"/>
      <c r="BP78" s="295"/>
      <c r="BQ78" s="295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3"/>
      <c r="B79" s="254"/>
      <c r="C79" s="254"/>
      <c r="D79" s="233"/>
      <c r="E79" s="234"/>
      <c r="F79" s="235"/>
      <c r="G79" s="255"/>
      <c r="H79" s="256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7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5"/>
      <c r="BO79" s="295"/>
      <c r="BP79" s="295"/>
      <c r="BQ79" s="295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3"/>
      <c r="B80" s="254"/>
      <c r="C80" s="254"/>
      <c r="D80" s="233"/>
      <c r="E80" s="234"/>
      <c r="F80" s="235"/>
      <c r="G80" s="255"/>
      <c r="H80" s="256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7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5"/>
      <c r="BO80" s="295"/>
      <c r="BP80" s="295"/>
      <c r="BQ80" s="295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3"/>
      <c r="B81" s="254"/>
      <c r="C81" s="254"/>
      <c r="D81" s="233"/>
      <c r="E81" s="234"/>
      <c r="F81" s="235"/>
      <c r="G81" s="255"/>
      <c r="H81" s="256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7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5"/>
      <c r="BO81" s="295"/>
      <c r="BP81" s="295"/>
      <c r="BQ81" s="295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3"/>
      <c r="B82" s="254"/>
      <c r="C82" s="254"/>
      <c r="D82" s="233"/>
      <c r="E82" s="234"/>
      <c r="F82" s="235"/>
      <c r="G82" s="255"/>
      <c r="H82" s="256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7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5"/>
      <c r="BO82" s="295"/>
      <c r="BP82" s="295"/>
      <c r="BQ82" s="295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3"/>
      <c r="B83" s="254"/>
      <c r="C83" s="254"/>
      <c r="D83" s="233"/>
      <c r="E83" s="234"/>
      <c r="F83" s="235"/>
      <c r="G83" s="255"/>
      <c r="H83" s="256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7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5"/>
      <c r="BO83" s="295"/>
      <c r="BP83" s="295"/>
      <c r="BQ83" s="295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3"/>
      <c r="B84" s="254"/>
      <c r="C84" s="254"/>
      <c r="D84" s="233"/>
      <c r="E84" s="234"/>
      <c r="F84" s="235"/>
      <c r="G84" s="255"/>
      <c r="H84" s="256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7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5"/>
      <c r="BO84" s="295"/>
      <c r="BP84" s="295"/>
      <c r="BQ84" s="295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3"/>
      <c r="B85" s="254"/>
      <c r="C85" s="254"/>
      <c r="D85" s="233"/>
      <c r="E85" s="234"/>
      <c r="F85" s="235"/>
      <c r="G85" s="255"/>
      <c r="H85" s="256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7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5"/>
      <c r="BO85" s="295"/>
      <c r="BP85" s="295"/>
      <c r="BQ85" s="295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3"/>
      <c r="B86" s="254"/>
      <c r="C86" s="254"/>
      <c r="D86" s="233"/>
      <c r="E86" s="234"/>
      <c r="F86" s="235"/>
      <c r="G86" s="255"/>
      <c r="H86" s="256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7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5"/>
      <c r="BO86" s="295"/>
      <c r="BP86" s="295"/>
      <c r="BQ86" s="295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3"/>
      <c r="B87" s="254"/>
      <c r="C87" s="254"/>
      <c r="D87" s="233"/>
      <c r="E87" s="234"/>
      <c r="F87" s="235"/>
      <c r="G87" s="255"/>
      <c r="H87" s="256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7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5"/>
      <c r="BO87" s="295"/>
      <c r="BP87" s="295"/>
      <c r="BQ87" s="295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3"/>
      <c r="B88" s="254"/>
      <c r="C88" s="254"/>
      <c r="D88" s="233"/>
      <c r="E88" s="234"/>
      <c r="F88" s="235"/>
      <c r="G88" s="255"/>
      <c r="H88" s="256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7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5"/>
      <c r="BO88" s="295"/>
      <c r="BP88" s="295"/>
      <c r="BQ88" s="295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3"/>
      <c r="B89" s="254"/>
      <c r="C89" s="254"/>
      <c r="D89" s="233"/>
      <c r="E89" s="234"/>
      <c r="F89" s="235"/>
      <c r="G89" s="255"/>
      <c r="H89" s="256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7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5"/>
      <c r="BO89" s="295"/>
      <c r="BP89" s="295"/>
      <c r="BQ89" s="295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3"/>
      <c r="B90" s="254"/>
      <c r="C90" s="254"/>
      <c r="D90" s="233"/>
      <c r="E90" s="234"/>
      <c r="F90" s="235"/>
      <c r="G90" s="255"/>
      <c r="H90" s="256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7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5"/>
      <c r="BO90" s="295"/>
      <c r="BP90" s="295"/>
      <c r="BQ90" s="295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3"/>
      <c r="B91" s="254"/>
      <c r="C91" s="254"/>
      <c r="D91" s="233"/>
      <c r="E91" s="234"/>
      <c r="F91" s="235"/>
      <c r="G91" s="255"/>
      <c r="H91" s="256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7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5"/>
      <c r="BO91" s="295"/>
      <c r="BP91" s="295"/>
      <c r="BQ91" s="295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3"/>
      <c r="B92" s="254"/>
      <c r="C92" s="254"/>
      <c r="D92" s="233"/>
      <c r="E92" s="234"/>
      <c r="F92" s="235"/>
      <c r="G92" s="255"/>
      <c r="H92" s="256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7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5"/>
      <c r="BO92" s="295"/>
      <c r="BP92" s="295"/>
      <c r="BQ92" s="295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3"/>
      <c r="B93" s="254"/>
      <c r="C93" s="254"/>
      <c r="D93" s="233"/>
      <c r="E93" s="234"/>
      <c r="F93" s="235"/>
      <c r="G93" s="255"/>
      <c r="H93" s="256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7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5"/>
      <c r="BO93" s="295"/>
      <c r="BP93" s="295"/>
      <c r="BQ93" s="295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3"/>
      <c r="B94" s="254"/>
      <c r="C94" s="254"/>
      <c r="D94" s="233"/>
      <c r="E94" s="234"/>
      <c r="F94" s="235"/>
      <c r="G94" s="255"/>
      <c r="H94" s="256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7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5"/>
      <c r="BO94" s="295"/>
      <c r="BP94" s="295"/>
      <c r="BQ94" s="295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3"/>
      <c r="B95" s="254"/>
      <c r="C95" s="254"/>
      <c r="D95" s="233"/>
      <c r="E95" s="234"/>
      <c r="F95" s="235"/>
      <c r="G95" s="255"/>
      <c r="H95" s="256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7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5"/>
      <c r="BO95" s="295"/>
      <c r="BP95" s="295"/>
      <c r="BQ95" s="295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3"/>
      <c r="B96" s="254"/>
      <c r="C96" s="254"/>
      <c r="D96" s="233"/>
      <c r="E96" s="234"/>
      <c r="F96" s="235"/>
      <c r="G96" s="255"/>
      <c r="H96" s="256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7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5"/>
      <c r="BO96" s="295"/>
      <c r="BP96" s="295"/>
      <c r="BQ96" s="295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3"/>
      <c r="B97" s="254"/>
      <c r="C97" s="254"/>
      <c r="D97" s="233"/>
      <c r="E97" s="234"/>
      <c r="F97" s="235"/>
      <c r="G97" s="255"/>
      <c r="H97" s="256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7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5"/>
      <c r="BO97" s="295"/>
      <c r="BP97" s="295"/>
      <c r="BQ97" s="295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3"/>
      <c r="B98" s="254"/>
      <c r="C98" s="254"/>
      <c r="D98" s="233"/>
      <c r="E98" s="234"/>
      <c r="F98" s="235"/>
      <c r="G98" s="255"/>
      <c r="H98" s="256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7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5"/>
      <c r="BO98" s="295"/>
      <c r="BP98" s="295"/>
      <c r="BQ98" s="295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3"/>
      <c r="B99" s="254"/>
      <c r="C99" s="254"/>
      <c r="D99" s="233"/>
      <c r="E99" s="234"/>
      <c r="F99" s="235"/>
      <c r="G99" s="255"/>
      <c r="H99" s="256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7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5"/>
      <c r="BO99" s="295"/>
      <c r="BP99" s="295"/>
      <c r="BQ99" s="295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3"/>
      <c r="B100" s="254"/>
      <c r="C100" s="254"/>
      <c r="D100" s="233"/>
      <c r="E100" s="234"/>
      <c r="F100" s="235"/>
      <c r="G100" s="255"/>
      <c r="H100" s="256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7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5"/>
      <c r="BO100" s="295"/>
      <c r="BP100" s="295"/>
      <c r="BQ100" s="295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3"/>
      <c r="B101" s="254"/>
      <c r="C101" s="254"/>
      <c r="D101" s="233"/>
      <c r="E101" s="234"/>
      <c r="F101" s="235"/>
      <c r="G101" s="255"/>
      <c r="H101" s="256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7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5"/>
      <c r="BO101" s="295"/>
      <c r="BP101" s="295"/>
      <c r="BQ101" s="295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3"/>
      <c r="B102" s="254"/>
      <c r="C102" s="254"/>
      <c r="D102" s="233"/>
      <c r="E102" s="234"/>
      <c r="F102" s="235"/>
      <c r="G102" s="255"/>
      <c r="H102" s="256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7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5"/>
      <c r="BO102" s="295"/>
      <c r="BP102" s="295"/>
      <c r="BQ102" s="295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3"/>
      <c r="B103" s="254"/>
      <c r="C103" s="254"/>
      <c r="D103" s="233"/>
      <c r="E103" s="234"/>
      <c r="F103" s="235"/>
      <c r="G103" s="255"/>
      <c r="H103" s="256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7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5"/>
      <c r="BO103" s="295"/>
      <c r="BP103" s="295"/>
      <c r="BQ103" s="295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3"/>
      <c r="B104" s="254"/>
      <c r="C104" s="254"/>
      <c r="D104" s="233"/>
      <c r="E104" s="234"/>
      <c r="F104" s="235"/>
      <c r="G104" s="255"/>
      <c r="H104" s="256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7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5"/>
      <c r="BO104" s="295"/>
      <c r="BP104" s="295"/>
      <c r="BQ104" s="295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3"/>
      <c r="B105" s="254"/>
      <c r="C105" s="254"/>
      <c r="D105" s="233"/>
      <c r="E105" s="234"/>
      <c r="F105" s="235"/>
      <c r="G105" s="255"/>
      <c r="H105" s="256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7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5"/>
      <c r="BO105" s="295"/>
      <c r="BP105" s="295"/>
      <c r="BQ105" s="295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3"/>
      <c r="B106" s="254"/>
      <c r="C106" s="254"/>
      <c r="D106" s="233"/>
      <c r="E106" s="234"/>
      <c r="F106" s="235"/>
      <c r="G106" s="255"/>
      <c r="H106" s="256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7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5"/>
      <c r="BO106" s="295"/>
      <c r="BP106" s="295"/>
      <c r="BQ106" s="295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3"/>
      <c r="B107" s="254"/>
      <c r="C107" s="254"/>
      <c r="D107" s="233"/>
      <c r="E107" s="234"/>
      <c r="F107" s="235"/>
      <c r="G107" s="255"/>
      <c r="H107" s="256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7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5"/>
      <c r="BO107" s="295"/>
      <c r="BP107" s="295"/>
      <c r="BQ107" s="295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3"/>
      <c r="B108" s="254"/>
      <c r="C108" s="254"/>
      <c r="D108" s="233"/>
      <c r="E108" s="234"/>
      <c r="F108" s="235"/>
      <c r="G108" s="255"/>
      <c r="H108" s="256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7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5"/>
      <c r="BO108" s="295"/>
      <c r="BP108" s="295"/>
      <c r="BQ108" s="295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3"/>
      <c r="B109" s="254"/>
      <c r="C109" s="254"/>
      <c r="D109" s="233"/>
      <c r="E109" s="234"/>
      <c r="F109" s="235"/>
      <c r="G109" s="255"/>
      <c r="H109" s="256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7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5"/>
      <c r="BO109" s="295"/>
      <c r="BP109" s="295"/>
      <c r="BQ109" s="295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3"/>
      <c r="B110" s="254"/>
      <c r="C110" s="254"/>
      <c r="D110" s="233"/>
      <c r="E110" s="234"/>
      <c r="F110" s="235"/>
      <c r="G110" s="255"/>
      <c r="H110" s="256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7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5"/>
      <c r="BO110" s="295"/>
      <c r="BP110" s="295"/>
      <c r="BQ110" s="295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3"/>
      <c r="B111" s="254"/>
      <c r="C111" s="254"/>
      <c r="D111" s="233"/>
      <c r="E111" s="234"/>
      <c r="F111" s="235"/>
      <c r="G111" s="255"/>
      <c r="H111" s="256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7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5"/>
      <c r="BO111" s="295"/>
      <c r="BP111" s="295"/>
      <c r="BQ111" s="295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3"/>
      <c r="B112" s="254"/>
      <c r="C112" s="254"/>
      <c r="D112" s="233"/>
      <c r="E112" s="234"/>
      <c r="F112" s="235"/>
      <c r="G112" s="255"/>
      <c r="H112" s="256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7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5"/>
      <c r="BO112" s="295"/>
      <c r="BP112" s="295"/>
      <c r="BQ112" s="295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3"/>
      <c r="B113" s="254"/>
      <c r="C113" s="254"/>
      <c r="D113" s="233"/>
      <c r="E113" s="234"/>
      <c r="F113" s="235"/>
      <c r="G113" s="255"/>
      <c r="H113" s="256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7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5"/>
      <c r="BO113" s="295"/>
      <c r="BP113" s="295"/>
      <c r="BQ113" s="295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3"/>
      <c r="B114" s="254"/>
      <c r="C114" s="254"/>
      <c r="D114" s="233"/>
      <c r="E114" s="234"/>
      <c r="F114" s="235"/>
      <c r="G114" s="255"/>
      <c r="H114" s="256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7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5"/>
      <c r="BO114" s="295"/>
      <c r="BP114" s="295"/>
      <c r="BQ114" s="295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3"/>
      <c r="B115" s="254"/>
      <c r="C115" s="254"/>
      <c r="D115" s="233"/>
      <c r="E115" s="234"/>
      <c r="F115" s="235"/>
      <c r="G115" s="255"/>
      <c r="H115" s="256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7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5"/>
      <c r="BO115" s="295"/>
      <c r="BP115" s="295"/>
      <c r="BQ115" s="295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3"/>
      <c r="B116" s="254"/>
      <c r="C116" s="254"/>
      <c r="D116" s="233"/>
      <c r="E116" s="234"/>
      <c r="F116" s="235"/>
      <c r="G116" s="255"/>
      <c r="H116" s="256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7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5"/>
      <c r="BO116" s="295"/>
      <c r="BP116" s="295"/>
      <c r="BQ116" s="295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3"/>
      <c r="B117" s="254"/>
      <c r="C117" s="254"/>
      <c r="D117" s="233"/>
      <c r="E117" s="234"/>
      <c r="F117" s="235"/>
      <c r="G117" s="255"/>
      <c r="H117" s="256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7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5"/>
      <c r="BO117" s="295"/>
      <c r="BP117" s="295"/>
      <c r="BQ117" s="295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3"/>
      <c r="B118" s="254"/>
      <c r="C118" s="254"/>
      <c r="D118" s="233"/>
      <c r="E118" s="234"/>
      <c r="F118" s="235"/>
      <c r="G118" s="255"/>
      <c r="H118" s="256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7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5"/>
      <c r="BO118" s="295"/>
      <c r="BP118" s="295"/>
      <c r="BQ118" s="295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3"/>
      <c r="B119" s="254"/>
      <c r="C119" s="254"/>
      <c r="D119" s="233"/>
      <c r="E119" s="234"/>
      <c r="F119" s="235"/>
      <c r="G119" s="255"/>
      <c r="H119" s="256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7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5"/>
      <c r="BO119" s="295"/>
      <c r="BP119" s="295"/>
      <c r="BQ119" s="295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3"/>
      <c r="B120" s="254"/>
      <c r="C120" s="254"/>
      <c r="D120" s="233"/>
      <c r="E120" s="234"/>
      <c r="F120" s="235"/>
      <c r="G120" s="255"/>
      <c r="H120" s="256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7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5"/>
      <c r="BO120" s="295"/>
      <c r="BP120" s="295"/>
      <c r="BQ120" s="295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3"/>
      <c r="B121" s="254"/>
      <c r="C121" s="254"/>
      <c r="D121" s="233"/>
      <c r="E121" s="234"/>
      <c r="F121" s="235"/>
      <c r="G121" s="255"/>
      <c r="H121" s="256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7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5"/>
      <c r="BO121" s="295"/>
      <c r="BP121" s="295"/>
      <c r="BQ121" s="295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3"/>
      <c r="B122" s="254"/>
      <c r="C122" s="254"/>
      <c r="D122" s="233"/>
      <c r="E122" s="234"/>
      <c r="F122" s="235"/>
      <c r="G122" s="255"/>
      <c r="H122" s="256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7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5"/>
      <c r="BO122" s="295"/>
      <c r="BP122" s="295"/>
      <c r="BQ122" s="295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3"/>
      <c r="B123" s="254"/>
      <c r="C123" s="254"/>
      <c r="D123" s="233"/>
      <c r="E123" s="234"/>
      <c r="F123" s="235"/>
      <c r="G123" s="255"/>
      <c r="H123" s="256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7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5"/>
      <c r="BO123" s="295"/>
      <c r="BP123" s="295"/>
      <c r="BQ123" s="295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3"/>
      <c r="B124" s="254"/>
      <c r="C124" s="254"/>
      <c r="D124" s="233"/>
      <c r="E124" s="234"/>
      <c r="F124" s="235"/>
      <c r="G124" s="255"/>
      <c r="H124" s="256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7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5"/>
      <c r="BO124" s="295"/>
      <c r="BP124" s="295"/>
      <c r="BQ124" s="295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3"/>
      <c r="B125" s="254"/>
      <c r="C125" s="254"/>
      <c r="D125" s="233"/>
      <c r="E125" s="234"/>
      <c r="F125" s="235"/>
      <c r="G125" s="255"/>
      <c r="H125" s="256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7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5"/>
      <c r="BO125" s="295"/>
      <c r="BP125" s="295"/>
      <c r="BQ125" s="295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3"/>
      <c r="B126" s="254"/>
      <c r="C126" s="254"/>
      <c r="D126" s="233"/>
      <c r="E126" s="234"/>
      <c r="F126" s="235"/>
      <c r="G126" s="255"/>
      <c r="H126" s="256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7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5"/>
      <c r="BO126" s="295"/>
      <c r="BP126" s="295"/>
      <c r="BQ126" s="295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3"/>
      <c r="B127" s="254"/>
      <c r="C127" s="254"/>
      <c r="D127" s="233"/>
      <c r="E127" s="234"/>
      <c r="F127" s="235"/>
      <c r="G127" s="255"/>
      <c r="H127" s="256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7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5"/>
      <c r="BO127" s="295"/>
      <c r="BP127" s="295"/>
      <c r="BQ127" s="295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3"/>
      <c r="B128" s="254"/>
      <c r="C128" s="254"/>
      <c r="D128" s="233"/>
      <c r="E128" s="234"/>
      <c r="F128" s="235"/>
      <c r="G128" s="255"/>
      <c r="H128" s="256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7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5"/>
      <c r="BO128" s="295"/>
      <c r="BP128" s="295"/>
      <c r="BQ128" s="295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3"/>
      <c r="B129" s="254"/>
      <c r="C129" s="254"/>
      <c r="D129" s="233"/>
      <c r="E129" s="234"/>
      <c r="F129" s="235"/>
      <c r="G129" s="255"/>
      <c r="H129" s="256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7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5"/>
      <c r="BO129" s="295"/>
      <c r="BP129" s="295"/>
      <c r="BQ129" s="295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3"/>
      <c r="B130" s="254"/>
      <c r="C130" s="254"/>
      <c r="D130" s="233"/>
      <c r="E130" s="234"/>
      <c r="F130" s="235"/>
      <c r="G130" s="255"/>
      <c r="H130" s="256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7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5"/>
      <c r="BO130" s="295"/>
      <c r="BP130" s="295"/>
      <c r="BQ130" s="295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3"/>
      <c r="B131" s="254"/>
      <c r="C131" s="254"/>
      <c r="D131" s="233"/>
      <c r="E131" s="234"/>
      <c r="F131" s="235"/>
      <c r="G131" s="255"/>
      <c r="H131" s="256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7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5"/>
      <c r="BO131" s="295"/>
      <c r="BP131" s="295"/>
      <c r="BQ131" s="295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3"/>
      <c r="B132" s="254"/>
      <c r="C132" s="254"/>
      <c r="D132" s="233"/>
      <c r="E132" s="234"/>
      <c r="F132" s="235"/>
      <c r="G132" s="255"/>
      <c r="H132" s="256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7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5"/>
      <c r="BO132" s="295"/>
      <c r="BP132" s="295"/>
      <c r="BQ132" s="295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3"/>
      <c r="B133" s="254"/>
      <c r="C133" s="254"/>
      <c r="D133" s="233"/>
      <c r="E133" s="234"/>
      <c r="F133" s="235"/>
      <c r="G133" s="255"/>
      <c r="H133" s="256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7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5"/>
      <c r="BO133" s="295"/>
      <c r="BP133" s="295"/>
      <c r="BQ133" s="295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3"/>
      <c r="B134" s="254"/>
      <c r="C134" s="254"/>
      <c r="D134" s="233"/>
      <c r="E134" s="234"/>
      <c r="F134" s="235"/>
      <c r="G134" s="255"/>
      <c r="H134" s="256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7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5"/>
      <c r="BO134" s="295"/>
      <c r="BP134" s="295"/>
      <c r="BQ134" s="295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3"/>
      <c r="B135" s="254"/>
      <c r="C135" s="254"/>
      <c r="D135" s="233"/>
      <c r="E135" s="234"/>
      <c r="F135" s="235"/>
      <c r="G135" s="255"/>
      <c r="H135" s="256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7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5"/>
      <c r="BO135" s="295"/>
      <c r="BP135" s="295"/>
      <c r="BQ135" s="295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3"/>
      <c r="B136" s="254"/>
      <c r="C136" s="254"/>
      <c r="D136" s="233"/>
      <c r="E136" s="234"/>
      <c r="F136" s="235"/>
      <c r="G136" s="255"/>
      <c r="H136" s="256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7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5"/>
      <c r="BO136" s="295"/>
      <c r="BP136" s="295"/>
      <c r="BQ136" s="295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3"/>
      <c r="B137" s="254"/>
      <c r="C137" s="254"/>
      <c r="D137" s="233"/>
      <c r="E137" s="234"/>
      <c r="F137" s="235"/>
      <c r="G137" s="255"/>
      <c r="H137" s="256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7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5"/>
      <c r="BO137" s="295"/>
      <c r="BP137" s="295"/>
      <c r="BQ137" s="295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3"/>
      <c r="B138" s="254"/>
      <c r="C138" s="254"/>
      <c r="D138" s="233"/>
      <c r="E138" s="234"/>
      <c r="F138" s="235"/>
      <c r="G138" s="255"/>
      <c r="H138" s="256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7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5"/>
      <c r="BO138" s="295"/>
      <c r="BP138" s="295"/>
      <c r="BQ138" s="295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3"/>
      <c r="B139" s="254"/>
      <c r="C139" s="254"/>
      <c r="D139" s="233"/>
      <c r="E139" s="234"/>
      <c r="F139" s="235"/>
      <c r="G139" s="255"/>
      <c r="H139" s="256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7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5"/>
      <c r="BO139" s="295"/>
      <c r="BP139" s="295"/>
      <c r="BQ139" s="295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3"/>
      <c r="B140" s="254"/>
      <c r="C140" s="254"/>
      <c r="D140" s="233"/>
      <c r="E140" s="234"/>
      <c r="F140" s="235"/>
      <c r="G140" s="255"/>
      <c r="H140" s="256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7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5"/>
      <c r="BO140" s="295"/>
      <c r="BP140" s="295"/>
      <c r="BQ140" s="295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3"/>
      <c r="B141" s="254"/>
      <c r="C141" s="254"/>
      <c r="D141" s="233"/>
      <c r="E141" s="234"/>
      <c r="F141" s="235"/>
      <c r="G141" s="255"/>
      <c r="H141" s="256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7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5"/>
      <c r="BO141" s="295"/>
      <c r="BP141" s="295"/>
      <c r="BQ141" s="295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3"/>
      <c r="B142" s="254"/>
      <c r="C142" s="254"/>
      <c r="D142" s="233"/>
      <c r="E142" s="234"/>
      <c r="F142" s="235"/>
      <c r="G142" s="255"/>
      <c r="H142" s="256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7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5"/>
      <c r="BO142" s="295"/>
      <c r="BP142" s="295"/>
      <c r="BQ142" s="295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3"/>
      <c r="B143" s="254"/>
      <c r="C143" s="254"/>
      <c r="D143" s="233"/>
      <c r="E143" s="234"/>
      <c r="F143" s="235"/>
      <c r="G143" s="255"/>
      <c r="H143" s="256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7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5"/>
      <c r="BO143" s="295"/>
      <c r="BP143" s="295"/>
      <c r="BQ143" s="295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3"/>
      <c r="B144" s="254"/>
      <c r="C144" s="254"/>
      <c r="D144" s="233"/>
      <c r="E144" s="234"/>
      <c r="F144" s="235"/>
      <c r="G144" s="255"/>
      <c r="H144" s="256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7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5"/>
      <c r="BO144" s="295"/>
      <c r="BP144" s="295"/>
      <c r="BQ144" s="295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3"/>
      <c r="B145" s="254"/>
      <c r="C145" s="254"/>
      <c r="D145" s="233"/>
      <c r="E145" s="234"/>
      <c r="F145" s="235"/>
      <c r="G145" s="255"/>
      <c r="H145" s="256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7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5"/>
      <c r="BO145" s="295"/>
      <c r="BP145" s="295"/>
      <c r="BQ145" s="295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3"/>
      <c r="B146" s="254"/>
      <c r="C146" s="254"/>
      <c r="D146" s="233"/>
      <c r="E146" s="234"/>
      <c r="F146" s="235"/>
      <c r="G146" s="255"/>
      <c r="H146" s="256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7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5"/>
      <c r="BO146" s="295"/>
      <c r="BP146" s="295"/>
      <c r="BQ146" s="295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3"/>
      <c r="B147" s="254"/>
      <c r="C147" s="254"/>
      <c r="D147" s="233"/>
      <c r="E147" s="234"/>
      <c r="F147" s="235"/>
      <c r="G147" s="255"/>
      <c r="H147" s="256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7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5"/>
      <c r="BO147" s="295"/>
      <c r="BP147" s="295"/>
      <c r="BQ147" s="295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3"/>
      <c r="B148" s="254"/>
      <c r="C148" s="254"/>
      <c r="D148" s="233"/>
      <c r="E148" s="234"/>
      <c r="F148" s="235"/>
      <c r="G148" s="255"/>
      <c r="H148" s="256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7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5"/>
      <c r="BO148" s="295"/>
      <c r="BP148" s="295"/>
      <c r="BQ148" s="295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3"/>
      <c r="B149" s="254"/>
      <c r="C149" s="254"/>
      <c r="D149" s="233"/>
      <c r="E149" s="234"/>
      <c r="F149" s="235"/>
      <c r="G149" s="255"/>
      <c r="H149" s="256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7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5"/>
      <c r="BO149" s="295"/>
      <c r="BP149" s="295"/>
      <c r="BQ149" s="295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3"/>
      <c r="B150" s="254"/>
      <c r="C150" s="254"/>
      <c r="D150" s="233"/>
      <c r="E150" s="234"/>
      <c r="F150" s="235"/>
      <c r="G150" s="255"/>
      <c r="H150" s="256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7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5"/>
      <c r="BO150" s="295"/>
      <c r="BP150" s="295"/>
      <c r="BQ150" s="295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3"/>
      <c r="B151" s="254"/>
      <c r="C151" s="254"/>
      <c r="D151" s="233"/>
      <c r="E151" s="234"/>
      <c r="F151" s="235"/>
      <c r="G151" s="255"/>
      <c r="H151" s="256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7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5"/>
      <c r="BO151" s="295"/>
      <c r="BP151" s="295"/>
      <c r="BQ151" s="295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3"/>
      <c r="B152" s="254"/>
      <c r="C152" s="254"/>
      <c r="D152" s="233"/>
      <c r="E152" s="234"/>
      <c r="F152" s="235"/>
      <c r="G152" s="255"/>
      <c r="H152" s="256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7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5"/>
      <c r="BO152" s="295"/>
      <c r="BP152" s="295"/>
      <c r="BQ152" s="295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3"/>
      <c r="B153" s="254"/>
      <c r="C153" s="254"/>
      <c r="D153" s="233"/>
      <c r="E153" s="234"/>
      <c r="F153" s="235"/>
      <c r="G153" s="255"/>
      <c r="H153" s="256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7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5"/>
      <c r="BO153" s="295"/>
      <c r="BP153" s="295"/>
      <c r="BQ153" s="295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3"/>
      <c r="B154" s="254"/>
      <c r="C154" s="254"/>
      <c r="D154" s="233"/>
      <c r="E154" s="234"/>
      <c r="F154" s="235"/>
      <c r="G154" s="255"/>
      <c r="H154" s="256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7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5"/>
      <c r="BO154" s="295"/>
      <c r="BP154" s="295"/>
      <c r="BQ154" s="295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3"/>
      <c r="B155" s="254"/>
      <c r="C155" s="254"/>
      <c r="D155" s="233"/>
      <c r="E155" s="234"/>
      <c r="F155" s="235"/>
      <c r="G155" s="255"/>
      <c r="H155" s="256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7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5"/>
      <c r="BO155" s="295"/>
      <c r="BP155" s="295"/>
      <c r="BQ155" s="295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3"/>
      <c r="B156" s="254"/>
      <c r="C156" s="254"/>
      <c r="D156" s="233"/>
      <c r="E156" s="234"/>
      <c r="F156" s="235"/>
      <c r="G156" s="255"/>
      <c r="H156" s="256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7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5"/>
      <c r="BO156" s="295"/>
      <c r="BP156" s="295"/>
      <c r="BQ156" s="295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3"/>
      <c r="B157" s="254"/>
      <c r="C157" s="254"/>
      <c r="D157" s="233"/>
      <c r="E157" s="234"/>
      <c r="F157" s="235"/>
      <c r="G157" s="255"/>
      <c r="H157" s="256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7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5"/>
      <c r="BO157" s="295"/>
      <c r="BP157" s="295"/>
      <c r="BQ157" s="295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3"/>
      <c r="B158" s="254"/>
      <c r="C158" s="254"/>
      <c r="D158" s="233"/>
      <c r="E158" s="234"/>
      <c r="F158" s="235"/>
      <c r="G158" s="255"/>
      <c r="H158" s="256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7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5"/>
      <c r="BO158" s="295"/>
      <c r="BP158" s="295"/>
      <c r="BQ158" s="295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3"/>
      <c r="B159" s="254"/>
      <c r="C159" s="254"/>
      <c r="D159" s="233"/>
      <c r="E159" s="234"/>
      <c r="F159" s="235"/>
      <c r="G159" s="255"/>
      <c r="H159" s="256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7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5"/>
      <c r="BO159" s="295"/>
      <c r="BP159" s="295"/>
      <c r="BQ159" s="295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3"/>
      <c r="B160" s="254"/>
      <c r="C160" s="254"/>
      <c r="D160" s="233"/>
      <c r="E160" s="234"/>
      <c r="F160" s="235"/>
      <c r="G160" s="255"/>
      <c r="H160" s="256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7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5"/>
      <c r="BO160" s="295"/>
      <c r="BP160" s="295"/>
      <c r="BQ160" s="295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3"/>
      <c r="B161" s="254"/>
      <c r="C161" s="254"/>
      <c r="D161" s="233"/>
      <c r="E161" s="234"/>
      <c r="F161" s="235"/>
      <c r="G161" s="255"/>
      <c r="H161" s="256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7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5"/>
      <c r="BO161" s="295"/>
      <c r="BP161" s="295"/>
      <c r="BQ161" s="295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3"/>
      <c r="B162" s="254"/>
      <c r="C162" s="254"/>
      <c r="D162" s="233"/>
      <c r="E162" s="234"/>
      <c r="F162" s="235"/>
      <c r="G162" s="255"/>
      <c r="H162" s="256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7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5"/>
      <c r="BO162" s="295"/>
      <c r="BP162" s="295"/>
      <c r="BQ162" s="295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3"/>
      <c r="B163" s="254"/>
      <c r="C163" s="254"/>
      <c r="D163" s="233"/>
      <c r="E163" s="234"/>
      <c r="F163" s="235"/>
      <c r="G163" s="255"/>
      <c r="H163" s="256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7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5"/>
      <c r="BO163" s="295"/>
      <c r="BP163" s="295"/>
      <c r="BQ163" s="295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3"/>
      <c r="B164" s="254"/>
      <c r="C164" s="254"/>
      <c r="D164" s="233"/>
      <c r="E164" s="234"/>
      <c r="F164" s="235"/>
      <c r="G164" s="255"/>
      <c r="H164" s="256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7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5"/>
      <c r="BO164" s="295"/>
      <c r="BP164" s="295"/>
      <c r="BQ164" s="295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3"/>
      <c r="B165" s="254"/>
      <c r="C165" s="254"/>
      <c r="D165" s="233"/>
      <c r="E165" s="234"/>
      <c r="F165" s="235"/>
      <c r="G165" s="255"/>
      <c r="H165" s="256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7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5"/>
      <c r="BO165" s="295"/>
      <c r="BP165" s="295"/>
      <c r="BQ165" s="295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3"/>
      <c r="B166" s="254"/>
      <c r="C166" s="254"/>
      <c r="D166" s="233"/>
      <c r="E166" s="234"/>
      <c r="F166" s="235"/>
      <c r="G166" s="255"/>
      <c r="H166" s="256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7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5"/>
      <c r="BO166" s="295"/>
      <c r="BP166" s="295"/>
      <c r="BQ166" s="295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3"/>
      <c r="B167" s="254"/>
      <c r="C167" s="254"/>
      <c r="D167" s="233"/>
      <c r="E167" s="234"/>
      <c r="F167" s="235"/>
      <c r="G167" s="255"/>
      <c r="H167" s="256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7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5"/>
      <c r="BO167" s="295"/>
      <c r="BP167" s="295"/>
      <c r="BQ167" s="295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3"/>
      <c r="B168" s="254"/>
      <c r="C168" s="254"/>
      <c r="D168" s="233"/>
      <c r="E168" s="234"/>
      <c r="F168" s="235"/>
      <c r="G168" s="255"/>
      <c r="H168" s="256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7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5"/>
      <c r="BO168" s="295"/>
      <c r="BP168" s="295"/>
      <c r="BQ168" s="295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3"/>
      <c r="B169" s="254"/>
      <c r="C169" s="254"/>
      <c r="D169" s="233"/>
      <c r="E169" s="234"/>
      <c r="F169" s="235"/>
      <c r="G169" s="255"/>
      <c r="H169" s="256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7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5"/>
      <c r="BO169" s="295"/>
      <c r="BP169" s="295"/>
      <c r="BQ169" s="295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3"/>
      <c r="B170" s="254"/>
      <c r="C170" s="254"/>
      <c r="D170" s="233"/>
      <c r="E170" s="234"/>
      <c r="F170" s="235"/>
      <c r="G170" s="255"/>
      <c r="H170" s="256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7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5"/>
      <c r="BO170" s="295"/>
      <c r="BP170" s="295"/>
      <c r="BQ170" s="295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3"/>
      <c r="B171" s="254"/>
      <c r="C171" s="254"/>
      <c r="D171" s="233"/>
      <c r="E171" s="234"/>
      <c r="F171" s="235"/>
      <c r="G171" s="255"/>
      <c r="H171" s="256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7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5"/>
      <c r="BO171" s="295"/>
      <c r="BP171" s="295"/>
      <c r="BQ171" s="295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3"/>
      <c r="B172" s="254"/>
      <c r="C172" s="254"/>
      <c r="D172" s="233"/>
      <c r="E172" s="234"/>
      <c r="F172" s="235"/>
      <c r="G172" s="255"/>
      <c r="H172" s="256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7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5"/>
      <c r="BO172" s="295"/>
      <c r="BP172" s="295"/>
      <c r="BQ172" s="295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3"/>
      <c r="B173" s="254"/>
      <c r="C173" s="254"/>
      <c r="D173" s="233"/>
      <c r="E173" s="234"/>
      <c r="F173" s="235"/>
      <c r="G173" s="255"/>
      <c r="H173" s="256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7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5"/>
      <c r="BO173" s="295"/>
      <c r="BP173" s="295"/>
      <c r="BQ173" s="295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3"/>
      <c r="B174" s="254"/>
      <c r="C174" s="254"/>
      <c r="D174" s="233"/>
      <c r="E174" s="234"/>
      <c r="F174" s="235"/>
      <c r="G174" s="255"/>
      <c r="H174" s="256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7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5"/>
      <c r="BO174" s="295"/>
      <c r="BP174" s="295"/>
      <c r="BQ174" s="295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3"/>
      <c r="B175" s="254"/>
      <c r="C175" s="254"/>
      <c r="D175" s="233"/>
      <c r="E175" s="234"/>
      <c r="F175" s="235"/>
      <c r="G175" s="255"/>
      <c r="H175" s="256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7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5"/>
      <c r="BO175" s="295"/>
      <c r="BP175" s="295"/>
      <c r="BQ175" s="295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3"/>
      <c r="B176" s="254"/>
      <c r="C176" s="254"/>
      <c r="D176" s="233"/>
      <c r="E176" s="234"/>
      <c r="F176" s="235"/>
      <c r="G176" s="255"/>
      <c r="H176" s="256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7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5"/>
      <c r="BO176" s="295"/>
      <c r="BP176" s="295"/>
      <c r="BQ176" s="295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3"/>
      <c r="B177" s="254"/>
      <c r="C177" s="254"/>
      <c r="D177" s="233"/>
      <c r="E177" s="234"/>
      <c r="F177" s="235"/>
      <c r="G177" s="255"/>
      <c r="H177" s="256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7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5"/>
      <c r="BO177" s="295"/>
      <c r="BP177" s="295"/>
      <c r="BQ177" s="295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3"/>
      <c r="B178" s="254"/>
      <c r="C178" s="254"/>
      <c r="D178" s="233"/>
      <c r="E178" s="234"/>
      <c r="F178" s="235"/>
      <c r="G178" s="255"/>
      <c r="H178" s="256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7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5"/>
      <c r="BO178" s="295"/>
      <c r="BP178" s="295"/>
      <c r="BQ178" s="295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3"/>
      <c r="B179" s="254"/>
      <c r="C179" s="254"/>
      <c r="D179" s="233"/>
      <c r="E179" s="234"/>
      <c r="F179" s="235"/>
      <c r="G179" s="255"/>
      <c r="H179" s="256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7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5"/>
      <c r="BO179" s="295"/>
      <c r="BP179" s="295"/>
      <c r="BQ179" s="295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3"/>
      <c r="B180" s="254"/>
      <c r="C180" s="254"/>
      <c r="D180" s="233"/>
      <c r="E180" s="234"/>
      <c r="F180" s="235"/>
      <c r="G180" s="255"/>
      <c r="H180" s="256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7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5"/>
      <c r="BO180" s="295"/>
      <c r="BP180" s="295"/>
      <c r="BQ180" s="295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3"/>
      <c r="B181" s="254"/>
      <c r="C181" s="254"/>
      <c r="D181" s="233"/>
      <c r="E181" s="234"/>
      <c r="F181" s="235"/>
      <c r="G181" s="255"/>
      <c r="H181" s="256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7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5"/>
      <c r="BO181" s="295"/>
      <c r="BP181" s="295"/>
      <c r="BQ181" s="295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3"/>
      <c r="B182" s="254"/>
      <c r="C182" s="254"/>
      <c r="D182" s="233"/>
      <c r="E182" s="234"/>
      <c r="F182" s="235"/>
      <c r="G182" s="255"/>
      <c r="H182" s="256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7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5"/>
      <c r="BO182" s="295"/>
      <c r="BP182" s="295"/>
      <c r="BQ182" s="295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3"/>
      <c r="B183" s="254"/>
      <c r="C183" s="254"/>
      <c r="D183" s="233"/>
      <c r="E183" s="234"/>
      <c r="F183" s="235"/>
      <c r="G183" s="255"/>
      <c r="H183" s="256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7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5"/>
      <c r="BO183" s="295"/>
      <c r="BP183" s="295"/>
      <c r="BQ183" s="295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3"/>
      <c r="B184" s="254"/>
      <c r="C184" s="254"/>
      <c r="D184" s="233"/>
      <c r="E184" s="234"/>
      <c r="F184" s="235"/>
      <c r="G184" s="255"/>
      <c r="H184" s="256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7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5"/>
      <c r="BO184" s="295"/>
      <c r="BP184" s="295"/>
      <c r="BQ184" s="295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3"/>
      <c r="B185" s="254"/>
      <c r="C185" s="254"/>
      <c r="D185" s="233"/>
      <c r="E185" s="234"/>
      <c r="F185" s="235"/>
      <c r="G185" s="255"/>
      <c r="H185" s="256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7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5"/>
      <c r="BO185" s="295"/>
      <c r="BP185" s="295"/>
      <c r="BQ185" s="295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3"/>
      <c r="B186" s="254"/>
      <c r="C186" s="254"/>
      <c r="D186" s="233"/>
      <c r="E186" s="234"/>
      <c r="F186" s="235"/>
      <c r="G186" s="255"/>
      <c r="H186" s="256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7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5"/>
      <c r="BO186" s="295"/>
      <c r="BP186" s="295"/>
      <c r="BQ186" s="295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3"/>
      <c r="B187" s="254"/>
      <c r="C187" s="254"/>
      <c r="D187" s="233"/>
      <c r="E187" s="234"/>
      <c r="F187" s="235"/>
      <c r="G187" s="255"/>
      <c r="H187" s="256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7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5"/>
      <c r="BO187" s="295"/>
      <c r="BP187" s="295"/>
      <c r="BQ187" s="295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3"/>
      <c r="B188" s="254"/>
      <c r="C188" s="254"/>
      <c r="D188" s="233"/>
      <c r="E188" s="234"/>
      <c r="F188" s="235"/>
      <c r="G188" s="255"/>
      <c r="H188" s="256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7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5"/>
      <c r="BO188" s="295"/>
      <c r="BP188" s="295"/>
      <c r="BQ188" s="295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3"/>
      <c r="B189" s="254"/>
      <c r="C189" s="254"/>
      <c r="D189" s="233"/>
      <c r="E189" s="234"/>
      <c r="F189" s="235"/>
      <c r="G189" s="255"/>
      <c r="H189" s="256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7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5"/>
      <c r="BO189" s="295"/>
      <c r="BP189" s="295"/>
      <c r="BQ189" s="295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3"/>
      <c r="B190" s="254"/>
      <c r="C190" s="254"/>
      <c r="D190" s="233"/>
      <c r="E190" s="234"/>
      <c r="F190" s="235"/>
      <c r="G190" s="255"/>
      <c r="H190" s="256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7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5"/>
      <c r="BO190" s="295"/>
      <c r="BP190" s="295"/>
      <c r="BQ190" s="295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3"/>
      <c r="B191" s="254"/>
      <c r="C191" s="254"/>
      <c r="D191" s="233"/>
      <c r="E191" s="234"/>
      <c r="F191" s="235"/>
      <c r="G191" s="255"/>
      <c r="H191" s="256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7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5"/>
      <c r="BO191" s="295"/>
      <c r="BP191" s="295"/>
      <c r="BQ191" s="295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3"/>
      <c r="B192" s="254"/>
      <c r="C192" s="254"/>
      <c r="D192" s="233"/>
      <c r="E192" s="234"/>
      <c r="F192" s="235"/>
      <c r="G192" s="255"/>
      <c r="H192" s="256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7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5"/>
      <c r="BO192" s="295"/>
      <c r="BP192" s="295"/>
      <c r="BQ192" s="295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3"/>
      <c r="B193" s="254"/>
      <c r="C193" s="254"/>
      <c r="D193" s="233"/>
      <c r="E193" s="234"/>
      <c r="F193" s="235"/>
      <c r="G193" s="255"/>
      <c r="H193" s="256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7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5"/>
      <c r="BO193" s="295"/>
      <c r="BP193" s="295"/>
      <c r="BQ193" s="295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3"/>
      <c r="B194" s="254"/>
      <c r="C194" s="254"/>
      <c r="D194" s="233"/>
      <c r="E194" s="234"/>
      <c r="F194" s="235"/>
      <c r="G194" s="255"/>
      <c r="H194" s="256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7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5"/>
      <c r="BO194" s="295"/>
      <c r="BP194" s="295"/>
      <c r="BQ194" s="295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3"/>
      <c r="B195" s="254"/>
      <c r="C195" s="254"/>
      <c r="D195" s="233"/>
      <c r="E195" s="234"/>
      <c r="F195" s="235"/>
      <c r="G195" s="255"/>
      <c r="H195" s="256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7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5"/>
      <c r="BO195" s="295"/>
      <c r="BP195" s="295"/>
      <c r="BQ195" s="295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3"/>
      <c r="B196" s="254"/>
      <c r="C196" s="254"/>
      <c r="D196" s="233"/>
      <c r="E196" s="234"/>
      <c r="F196" s="235"/>
      <c r="G196" s="255"/>
      <c r="H196" s="256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7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5"/>
      <c r="BO196" s="295"/>
      <c r="BP196" s="295"/>
      <c r="BQ196" s="295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3"/>
      <c r="B197" s="254"/>
      <c r="C197" s="254"/>
      <c r="D197" s="233"/>
      <c r="E197" s="234"/>
      <c r="F197" s="235"/>
      <c r="G197" s="255"/>
      <c r="H197" s="256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7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5"/>
      <c r="BO197" s="295"/>
      <c r="BP197" s="295"/>
      <c r="BQ197" s="295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3"/>
      <c r="B198" s="254"/>
      <c r="C198" s="254"/>
      <c r="D198" s="233"/>
      <c r="E198" s="234"/>
      <c r="F198" s="235"/>
      <c r="G198" s="255"/>
      <c r="H198" s="256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7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5"/>
      <c r="BO198" s="295"/>
      <c r="BP198" s="295"/>
      <c r="BQ198" s="295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3"/>
      <c r="B199" s="254"/>
      <c r="C199" s="254"/>
      <c r="D199" s="233"/>
      <c r="E199" s="234"/>
      <c r="F199" s="235"/>
      <c r="G199" s="255"/>
      <c r="H199" s="256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7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5"/>
      <c r="BO199" s="295"/>
      <c r="BP199" s="295"/>
      <c r="BQ199" s="295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3"/>
      <c r="B200" s="254"/>
      <c r="C200" s="254"/>
      <c r="D200" s="233"/>
      <c r="E200" s="234"/>
      <c r="F200" s="235"/>
      <c r="G200" s="255"/>
      <c r="H200" s="256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7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5"/>
      <c r="BO200" s="295"/>
      <c r="BP200" s="295"/>
      <c r="BQ200" s="295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3"/>
      <c r="B201" s="254"/>
      <c r="C201" s="254"/>
      <c r="D201" s="233"/>
      <c r="E201" s="234"/>
      <c r="F201" s="235"/>
      <c r="G201" s="255"/>
      <c r="H201" s="256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7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5"/>
      <c r="BO201" s="295"/>
      <c r="BP201" s="295"/>
      <c r="BQ201" s="295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3"/>
      <c r="B202" s="254"/>
      <c r="C202" s="254"/>
      <c r="D202" s="233"/>
      <c r="E202" s="234"/>
      <c r="F202" s="235"/>
      <c r="G202" s="255"/>
      <c r="H202" s="256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7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5"/>
      <c r="BO202" s="295"/>
      <c r="BP202" s="295"/>
      <c r="BQ202" s="295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3"/>
      <c r="B203" s="254"/>
      <c r="C203" s="254"/>
      <c r="D203" s="233"/>
      <c r="E203" s="234"/>
      <c r="F203" s="235"/>
      <c r="G203" s="255"/>
      <c r="H203" s="256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7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5"/>
      <c r="BO203" s="295"/>
      <c r="BP203" s="295"/>
      <c r="BQ203" s="295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3"/>
      <c r="B204" s="254"/>
      <c r="C204" s="254"/>
      <c r="D204" s="233"/>
      <c r="E204" s="234"/>
      <c r="F204" s="235"/>
      <c r="G204" s="255"/>
      <c r="H204" s="256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7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5"/>
      <c r="BO204" s="295"/>
      <c r="BP204" s="295"/>
      <c r="BQ204" s="295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3"/>
      <c r="B205" s="254"/>
      <c r="C205" s="254"/>
      <c r="D205" s="233"/>
      <c r="E205" s="234"/>
      <c r="F205" s="235"/>
      <c r="G205" s="255"/>
      <c r="H205" s="256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7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5"/>
      <c r="BO205" s="295"/>
      <c r="BP205" s="295"/>
      <c r="BQ205" s="295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3"/>
      <c r="B206" s="254"/>
      <c r="C206" s="254"/>
      <c r="D206" s="233"/>
      <c r="E206" s="234"/>
      <c r="F206" s="235"/>
      <c r="G206" s="255"/>
      <c r="H206" s="256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7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5"/>
      <c r="BO206" s="295"/>
      <c r="BP206" s="295"/>
      <c r="BQ206" s="295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3"/>
      <c r="B207" s="254"/>
      <c r="C207" s="254"/>
      <c r="D207" s="233"/>
      <c r="E207" s="234"/>
      <c r="F207" s="235"/>
      <c r="G207" s="255"/>
      <c r="H207" s="256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7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5"/>
      <c r="BO207" s="295"/>
      <c r="BP207" s="295"/>
      <c r="BQ207" s="295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3"/>
      <c r="B208" s="254"/>
      <c r="C208" s="254"/>
      <c r="D208" s="233"/>
      <c r="E208" s="234"/>
      <c r="F208" s="235"/>
      <c r="G208" s="255"/>
      <c r="H208" s="256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7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5"/>
      <c r="BO208" s="295"/>
      <c r="BP208" s="295"/>
      <c r="BQ208" s="295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3"/>
      <c r="B209" s="254"/>
      <c r="C209" s="254"/>
      <c r="D209" s="233"/>
      <c r="E209" s="234"/>
      <c r="F209" s="235"/>
      <c r="G209" s="255"/>
      <c r="H209" s="256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7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5"/>
      <c r="BO209" s="295"/>
      <c r="BP209" s="295"/>
      <c r="BQ209" s="295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3"/>
      <c r="B210" s="254"/>
      <c r="C210" s="254"/>
      <c r="D210" s="233"/>
      <c r="E210" s="234"/>
      <c r="F210" s="235"/>
      <c r="G210" s="255"/>
      <c r="H210" s="256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7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5"/>
      <c r="BO210" s="295"/>
      <c r="BP210" s="295"/>
      <c r="BQ210" s="295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3"/>
      <c r="B211" s="254"/>
      <c r="C211" s="254"/>
      <c r="D211" s="233"/>
      <c r="E211" s="234"/>
      <c r="F211" s="235"/>
      <c r="G211" s="255"/>
      <c r="H211" s="256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7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5"/>
      <c r="BO211" s="295"/>
      <c r="BP211" s="295"/>
      <c r="BQ211" s="295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3"/>
      <c r="B212" s="254"/>
      <c r="C212" s="254"/>
      <c r="D212" s="233"/>
      <c r="E212" s="234"/>
      <c r="F212" s="235"/>
      <c r="G212" s="255"/>
      <c r="H212" s="256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7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5"/>
      <c r="BO212" s="295"/>
      <c r="BP212" s="295"/>
      <c r="BQ212" s="295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3"/>
      <c r="B213" s="254"/>
      <c r="C213" s="254"/>
      <c r="D213" s="233"/>
      <c r="E213" s="234"/>
      <c r="F213" s="235"/>
      <c r="G213" s="255"/>
      <c r="H213" s="256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7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5"/>
      <c r="BO213" s="295"/>
      <c r="BP213" s="295"/>
      <c r="BQ213" s="295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3"/>
      <c r="B214" s="254"/>
      <c r="C214" s="254"/>
      <c r="D214" s="233"/>
      <c r="E214" s="234"/>
      <c r="F214" s="235"/>
      <c r="G214" s="255"/>
      <c r="H214" s="256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7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5"/>
      <c r="BO214" s="295"/>
      <c r="BP214" s="295"/>
      <c r="BQ214" s="295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3"/>
      <c r="B215" s="254"/>
      <c r="C215" s="254"/>
      <c r="D215" s="233"/>
      <c r="E215" s="234"/>
      <c r="F215" s="235"/>
      <c r="G215" s="255"/>
      <c r="H215" s="256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7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5"/>
      <c r="BO215" s="295"/>
      <c r="BP215" s="295"/>
      <c r="BQ215" s="295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3"/>
      <c r="B216" s="254"/>
      <c r="C216" s="254"/>
      <c r="D216" s="233"/>
      <c r="E216" s="234"/>
      <c r="F216" s="235"/>
      <c r="G216" s="255"/>
      <c r="H216" s="256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7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5"/>
      <c r="BO216" s="295"/>
      <c r="BP216" s="295"/>
      <c r="BQ216" s="295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3"/>
      <c r="B217" s="254"/>
      <c r="C217" s="254"/>
      <c r="D217" s="233"/>
      <c r="E217" s="234"/>
      <c r="F217" s="235"/>
      <c r="G217" s="255"/>
      <c r="H217" s="256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7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5"/>
      <c r="BO217" s="295"/>
      <c r="BP217" s="295"/>
      <c r="BQ217" s="295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3"/>
      <c r="B218" s="254"/>
      <c r="C218" s="254"/>
      <c r="D218" s="233"/>
      <c r="E218" s="234"/>
      <c r="F218" s="235"/>
      <c r="G218" s="255"/>
      <c r="H218" s="256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7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5"/>
      <c r="BO218" s="295"/>
      <c r="BP218" s="295"/>
      <c r="BQ218" s="295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3"/>
      <c r="B219" s="254"/>
      <c r="C219" s="254"/>
      <c r="D219" s="233"/>
      <c r="E219" s="234"/>
      <c r="F219" s="235"/>
      <c r="G219" s="255"/>
      <c r="H219" s="256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7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5"/>
      <c r="BO219" s="295"/>
      <c r="BP219" s="295"/>
      <c r="BQ219" s="295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3"/>
      <c r="B220" s="254"/>
      <c r="C220" s="254"/>
      <c r="D220" s="233"/>
      <c r="E220" s="234"/>
      <c r="F220" s="235"/>
      <c r="G220" s="255"/>
      <c r="H220" s="256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7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5"/>
      <c r="BO220" s="295"/>
      <c r="BP220" s="295"/>
      <c r="BQ220" s="295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3"/>
      <c r="B221" s="254"/>
      <c r="C221" s="254"/>
      <c r="D221" s="233"/>
      <c r="E221" s="234"/>
      <c r="F221" s="235"/>
      <c r="G221" s="255"/>
      <c r="H221" s="256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7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5"/>
      <c r="BO221" s="295"/>
      <c r="BP221" s="295"/>
      <c r="BQ221" s="295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3"/>
      <c r="B222" s="254"/>
      <c r="C222" s="254"/>
      <c r="D222" s="233"/>
      <c r="E222" s="234"/>
      <c r="F222" s="235"/>
      <c r="G222" s="255"/>
      <c r="H222" s="256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7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5"/>
      <c r="BO222" s="295"/>
      <c r="BP222" s="295"/>
      <c r="BQ222" s="295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3"/>
      <c r="B223" s="254"/>
      <c r="C223" s="254"/>
      <c r="D223" s="233"/>
      <c r="E223" s="234"/>
      <c r="F223" s="235"/>
      <c r="G223" s="255"/>
      <c r="H223" s="256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7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5"/>
      <c r="BO223" s="295"/>
      <c r="BP223" s="295"/>
      <c r="BQ223" s="295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3"/>
      <c r="B224" s="254"/>
      <c r="C224" s="254"/>
      <c r="D224" s="233"/>
      <c r="E224" s="234"/>
      <c r="F224" s="235"/>
      <c r="G224" s="255"/>
      <c r="H224" s="256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7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5"/>
      <c r="BO224" s="295"/>
      <c r="BP224" s="295"/>
      <c r="BQ224" s="295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3"/>
      <c r="B225" s="254"/>
      <c r="C225" s="254"/>
      <c r="D225" s="233"/>
      <c r="E225" s="234"/>
      <c r="F225" s="235"/>
      <c r="G225" s="255"/>
      <c r="H225" s="256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7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5"/>
      <c r="BO225" s="295"/>
      <c r="BP225" s="295"/>
      <c r="BQ225" s="295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3"/>
      <c r="B226" s="254"/>
      <c r="C226" s="254"/>
      <c r="D226" s="233"/>
      <c r="E226" s="234"/>
      <c r="F226" s="235"/>
      <c r="G226" s="255"/>
      <c r="H226" s="256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7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5"/>
      <c r="BO226" s="295"/>
      <c r="BP226" s="295"/>
      <c r="BQ226" s="295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3"/>
      <c r="B227" s="254"/>
      <c r="C227" s="254"/>
      <c r="D227" s="233"/>
      <c r="E227" s="234"/>
      <c r="F227" s="235"/>
      <c r="G227" s="255"/>
      <c r="H227" s="256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7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5"/>
      <c r="BO227" s="295"/>
      <c r="BP227" s="295"/>
      <c r="BQ227" s="295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3"/>
      <c r="B228" s="254"/>
      <c r="C228" s="254"/>
      <c r="D228" s="233"/>
      <c r="E228" s="234"/>
      <c r="F228" s="235"/>
      <c r="G228" s="255"/>
      <c r="H228" s="256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7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5"/>
      <c r="BO228" s="295"/>
      <c r="BP228" s="295"/>
      <c r="BQ228" s="295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3"/>
      <c r="B229" s="254"/>
      <c r="C229" s="254"/>
      <c r="D229" s="233"/>
      <c r="E229" s="234"/>
      <c r="F229" s="235"/>
      <c r="G229" s="255"/>
      <c r="H229" s="256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7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5"/>
      <c r="BO229" s="295"/>
      <c r="BP229" s="295"/>
      <c r="BQ229" s="295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3"/>
      <c r="B230" s="254"/>
      <c r="C230" s="254"/>
      <c r="D230" s="233"/>
      <c r="E230" s="234"/>
      <c r="F230" s="235"/>
      <c r="G230" s="255"/>
      <c r="H230" s="256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7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5"/>
      <c r="BO230" s="295"/>
      <c r="BP230" s="295"/>
      <c r="BQ230" s="295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3"/>
      <c r="B231" s="254"/>
      <c r="C231" s="254"/>
      <c r="D231" s="233"/>
      <c r="E231" s="234"/>
      <c r="F231" s="235"/>
      <c r="G231" s="255"/>
      <c r="H231" s="256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7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5"/>
      <c r="BO231" s="295"/>
      <c r="BP231" s="295"/>
      <c r="BQ231" s="295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3"/>
      <c r="B232" s="254"/>
      <c r="C232" s="254"/>
      <c r="D232" s="233"/>
      <c r="E232" s="234"/>
      <c r="F232" s="235"/>
      <c r="G232" s="255"/>
      <c r="H232" s="256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7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5"/>
      <c r="BO232" s="295"/>
      <c r="BP232" s="295"/>
      <c r="BQ232" s="295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3"/>
      <c r="B233" s="254"/>
      <c r="C233" s="254"/>
      <c r="D233" s="233"/>
      <c r="E233" s="234"/>
      <c r="F233" s="235"/>
      <c r="G233" s="255"/>
      <c r="H233" s="256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7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5"/>
      <c r="BO233" s="295"/>
      <c r="BP233" s="295"/>
      <c r="BQ233" s="295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3"/>
      <c r="B234" s="254"/>
      <c r="C234" s="254"/>
      <c r="D234" s="233"/>
      <c r="E234" s="234"/>
      <c r="F234" s="235"/>
      <c r="G234" s="255"/>
      <c r="H234" s="256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7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5"/>
      <c r="BO234" s="295"/>
      <c r="BP234" s="295"/>
      <c r="BQ234" s="295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3"/>
      <c r="B235" s="254"/>
      <c r="C235" s="254"/>
      <c r="D235" s="233"/>
      <c r="E235" s="234"/>
      <c r="F235" s="235"/>
      <c r="G235" s="255"/>
      <c r="H235" s="256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7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5"/>
      <c r="BO235" s="295"/>
      <c r="BP235" s="295"/>
      <c r="BQ235" s="295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3"/>
      <c r="B236" s="254"/>
      <c r="C236" s="254"/>
      <c r="D236" s="233"/>
      <c r="E236" s="234"/>
      <c r="F236" s="235"/>
      <c r="G236" s="255"/>
      <c r="H236" s="256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7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5"/>
      <c r="BO236" s="295"/>
      <c r="BP236" s="295"/>
      <c r="BQ236" s="295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3"/>
      <c r="B237" s="254"/>
      <c r="C237" s="254"/>
      <c r="D237" s="233"/>
      <c r="E237" s="234"/>
      <c r="F237" s="235"/>
      <c r="G237" s="255"/>
      <c r="H237" s="256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7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5"/>
      <c r="BO237" s="295"/>
      <c r="BP237" s="295"/>
      <c r="BQ237" s="295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3"/>
      <c r="B238" s="254"/>
      <c r="C238" s="254"/>
      <c r="D238" s="233"/>
      <c r="E238" s="234"/>
      <c r="F238" s="235"/>
      <c r="G238" s="255"/>
      <c r="H238" s="256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7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5"/>
      <c r="BO238" s="295"/>
      <c r="BP238" s="295"/>
      <c r="BQ238" s="295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3"/>
      <c r="B239" s="254"/>
      <c r="C239" s="254"/>
      <c r="D239" s="233"/>
      <c r="E239" s="234"/>
      <c r="F239" s="235"/>
      <c r="G239" s="255"/>
      <c r="H239" s="256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7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5"/>
      <c r="BO239" s="295"/>
      <c r="BP239" s="295"/>
      <c r="BQ239" s="295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3"/>
      <c r="B240" s="254"/>
      <c r="C240" s="254"/>
      <c r="D240" s="233"/>
      <c r="E240" s="234"/>
      <c r="F240" s="235"/>
      <c r="G240" s="255"/>
      <c r="H240" s="256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7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5"/>
      <c r="BO240" s="295"/>
      <c r="BP240" s="295"/>
      <c r="BQ240" s="295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3"/>
      <c r="B241" s="254"/>
      <c r="C241" s="254"/>
      <c r="D241" s="233"/>
      <c r="E241" s="234"/>
      <c r="F241" s="235"/>
      <c r="G241" s="255"/>
      <c r="H241" s="256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7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5"/>
      <c r="BO241" s="295"/>
      <c r="BP241" s="295"/>
      <c r="BQ241" s="295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3"/>
      <c r="B242" s="254"/>
      <c r="C242" s="254"/>
      <c r="D242" s="233"/>
      <c r="E242" s="234"/>
      <c r="F242" s="235"/>
      <c r="G242" s="255"/>
      <c r="H242" s="256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7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5"/>
      <c r="BO242" s="295"/>
      <c r="BP242" s="295"/>
      <c r="BQ242" s="295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3"/>
      <c r="B243" s="254"/>
      <c r="C243" s="254"/>
      <c r="D243" s="233"/>
      <c r="E243" s="234"/>
      <c r="F243" s="235"/>
      <c r="G243" s="255"/>
      <c r="H243" s="256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7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5"/>
      <c r="BO243" s="295"/>
      <c r="BP243" s="295"/>
      <c r="BQ243" s="295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3"/>
      <c r="B244" s="254"/>
      <c r="C244" s="254"/>
      <c r="D244" s="233"/>
      <c r="E244" s="234"/>
      <c r="F244" s="235"/>
      <c r="G244" s="255"/>
      <c r="H244" s="256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7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5"/>
      <c r="BO244" s="295"/>
      <c r="BP244" s="295"/>
      <c r="BQ244" s="295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3"/>
      <c r="B245" s="254"/>
      <c r="C245" s="254"/>
      <c r="D245" s="233"/>
      <c r="E245" s="234"/>
      <c r="F245" s="235"/>
      <c r="G245" s="255"/>
      <c r="H245" s="256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7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5"/>
      <c r="BO245" s="295"/>
      <c r="BP245" s="295"/>
      <c r="BQ245" s="295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3"/>
      <c r="B246" s="254"/>
      <c r="C246" s="254"/>
      <c r="D246" s="233"/>
      <c r="E246" s="234"/>
      <c r="F246" s="235"/>
      <c r="G246" s="255"/>
      <c r="H246" s="256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7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5"/>
      <c r="BO246" s="295"/>
      <c r="BP246" s="295"/>
      <c r="BQ246" s="295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3"/>
      <c r="B247" s="254"/>
      <c r="C247" s="254"/>
      <c r="D247" s="233"/>
      <c r="E247" s="234"/>
      <c r="F247" s="235"/>
      <c r="G247" s="255"/>
      <c r="H247" s="256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7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5"/>
      <c r="BO247" s="295"/>
      <c r="BP247" s="295"/>
      <c r="BQ247" s="295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3"/>
      <c r="B248" s="254"/>
      <c r="C248" s="254"/>
      <c r="D248" s="233"/>
      <c r="E248" s="234"/>
      <c r="F248" s="235"/>
      <c r="G248" s="255"/>
      <c r="H248" s="256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7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5"/>
      <c r="BO248" s="295"/>
      <c r="BP248" s="295"/>
      <c r="BQ248" s="295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3"/>
      <c r="B249" s="254"/>
      <c r="C249" s="254"/>
      <c r="D249" s="233"/>
      <c r="E249" s="234"/>
      <c r="F249" s="235"/>
      <c r="G249" s="255"/>
      <c r="H249" s="256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7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5"/>
      <c r="BO249" s="295"/>
      <c r="BP249" s="295"/>
      <c r="BQ249" s="295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3"/>
      <c r="B250" s="254"/>
      <c r="C250" s="254"/>
      <c r="D250" s="233"/>
      <c r="E250" s="234"/>
      <c r="F250" s="235"/>
      <c r="G250" s="255"/>
      <c r="H250" s="256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7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5"/>
      <c r="BO250" s="295"/>
      <c r="BP250" s="295"/>
      <c r="BQ250" s="295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3"/>
      <c r="B251" s="254"/>
      <c r="C251" s="254"/>
      <c r="D251" s="233"/>
      <c r="E251" s="234"/>
      <c r="F251" s="235"/>
      <c r="G251" s="255"/>
      <c r="H251" s="256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7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5"/>
      <c r="BO251" s="295"/>
      <c r="BP251" s="295"/>
      <c r="BQ251" s="295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3"/>
      <c r="B252" s="254"/>
      <c r="C252" s="254"/>
      <c r="D252" s="233"/>
      <c r="E252" s="234"/>
      <c r="F252" s="235"/>
      <c r="G252" s="255"/>
      <c r="H252" s="256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7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5"/>
      <c r="BO252" s="295"/>
      <c r="BP252" s="295"/>
      <c r="BQ252" s="295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3"/>
      <c r="B253" s="254"/>
      <c r="C253" s="254"/>
      <c r="D253" s="233"/>
      <c r="E253" s="234"/>
      <c r="F253" s="235"/>
      <c r="G253" s="255"/>
      <c r="H253" s="256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7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5"/>
      <c r="BO253" s="295"/>
      <c r="BP253" s="295"/>
      <c r="BQ253" s="295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3"/>
      <c r="B254" s="254"/>
      <c r="C254" s="254"/>
      <c r="D254" s="233"/>
      <c r="E254" s="234"/>
      <c r="F254" s="235"/>
      <c r="G254" s="255"/>
      <c r="H254" s="256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7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5"/>
      <c r="BO254" s="295"/>
      <c r="BP254" s="295"/>
      <c r="BQ254" s="295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3"/>
      <c r="B255" s="254"/>
      <c r="C255" s="254"/>
      <c r="D255" s="233"/>
      <c r="E255" s="234"/>
      <c r="F255" s="235"/>
      <c r="G255" s="255"/>
      <c r="H255" s="256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7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5"/>
      <c r="BO255" s="295"/>
      <c r="BP255" s="295"/>
      <c r="BQ255" s="295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3"/>
      <c r="B256" s="254"/>
      <c r="C256" s="254"/>
      <c r="D256" s="233"/>
      <c r="E256" s="234"/>
      <c r="F256" s="235"/>
      <c r="G256" s="255"/>
      <c r="H256" s="256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7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5"/>
      <c r="BO256" s="295"/>
      <c r="BP256" s="295"/>
      <c r="BQ256" s="295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3"/>
      <c r="B257" s="254"/>
      <c r="C257" s="254"/>
      <c r="D257" s="233"/>
      <c r="E257" s="234"/>
      <c r="F257" s="235"/>
      <c r="G257" s="255"/>
      <c r="H257" s="256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7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5"/>
      <c r="BO257" s="295"/>
      <c r="BP257" s="295"/>
      <c r="BQ257" s="295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3"/>
      <c r="B258" s="254"/>
      <c r="C258" s="254"/>
      <c r="D258" s="233"/>
      <c r="E258" s="234"/>
      <c r="F258" s="235"/>
      <c r="G258" s="255"/>
      <c r="H258" s="256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7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5"/>
      <c r="BO258" s="295"/>
      <c r="BP258" s="295"/>
      <c r="BQ258" s="295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3"/>
      <c r="B259" s="254"/>
      <c r="C259" s="254"/>
      <c r="D259" s="233"/>
      <c r="E259" s="234"/>
      <c r="F259" s="235"/>
      <c r="G259" s="255"/>
      <c r="H259" s="256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7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5"/>
      <c r="BO259" s="295"/>
      <c r="BP259" s="295"/>
      <c r="BQ259" s="295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3"/>
      <c r="B260" s="254"/>
      <c r="C260" s="254"/>
      <c r="D260" s="233"/>
      <c r="E260" s="234"/>
      <c r="F260" s="235"/>
      <c r="G260" s="255"/>
      <c r="H260" s="256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7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5"/>
      <c r="BO260" s="295"/>
      <c r="BP260" s="295"/>
      <c r="BQ260" s="295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3"/>
      <c r="B261" s="254"/>
      <c r="C261" s="254"/>
      <c r="D261" s="233"/>
      <c r="E261" s="234"/>
      <c r="F261" s="235"/>
      <c r="G261" s="255"/>
      <c r="H261" s="256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7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5"/>
      <c r="BO261" s="295"/>
      <c r="BP261" s="295"/>
      <c r="BQ261" s="295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3"/>
      <c r="B262" s="254"/>
      <c r="C262" s="254"/>
      <c r="D262" s="233"/>
      <c r="E262" s="234"/>
      <c r="F262" s="235"/>
      <c r="G262" s="255"/>
      <c r="H262" s="256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7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5"/>
      <c r="BO262" s="295"/>
      <c r="BP262" s="295"/>
      <c r="BQ262" s="295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3"/>
      <c r="B263" s="254"/>
      <c r="C263" s="254"/>
      <c r="D263" s="233"/>
      <c r="E263" s="234"/>
      <c r="F263" s="235"/>
      <c r="G263" s="255"/>
      <c r="H263" s="256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7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5"/>
      <c r="BO263" s="295"/>
      <c r="BP263" s="295"/>
      <c r="BQ263" s="295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3"/>
      <c r="B264" s="254"/>
      <c r="C264" s="254"/>
      <c r="D264" s="233"/>
      <c r="E264" s="234"/>
      <c r="F264" s="235"/>
      <c r="G264" s="255"/>
      <c r="H264" s="256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7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5"/>
      <c r="BO264" s="295"/>
      <c r="BP264" s="295"/>
      <c r="BQ264" s="295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3"/>
      <c r="B265" s="254"/>
      <c r="C265" s="254"/>
      <c r="D265" s="233"/>
      <c r="E265" s="234"/>
      <c r="F265" s="235"/>
      <c r="G265" s="255"/>
      <c r="H265" s="256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7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5"/>
      <c r="BO265" s="295"/>
      <c r="BP265" s="295"/>
      <c r="BQ265" s="295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3"/>
      <c r="B266" s="254"/>
      <c r="C266" s="254"/>
      <c r="D266" s="233"/>
      <c r="E266" s="234"/>
      <c r="F266" s="235"/>
      <c r="G266" s="255"/>
      <c r="H266" s="256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7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5"/>
      <c r="BO266" s="295"/>
      <c r="BP266" s="295"/>
      <c r="BQ266" s="295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3"/>
      <c r="B267" s="254"/>
      <c r="C267" s="254"/>
      <c r="D267" s="233"/>
      <c r="E267" s="234"/>
      <c r="F267" s="235"/>
      <c r="G267" s="255"/>
      <c r="H267" s="256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7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5"/>
      <c r="BO267" s="295"/>
      <c r="BP267" s="295"/>
      <c r="BQ267" s="295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3"/>
      <c r="B268" s="254"/>
      <c r="C268" s="254"/>
      <c r="D268" s="233"/>
      <c r="E268" s="234"/>
      <c r="F268" s="235"/>
      <c r="G268" s="255"/>
      <c r="H268" s="256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7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5"/>
      <c r="BO268" s="295"/>
      <c r="BP268" s="295"/>
      <c r="BQ268" s="295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3"/>
      <c r="B269" s="254"/>
      <c r="C269" s="254"/>
      <c r="D269" s="233"/>
      <c r="E269" s="234"/>
      <c r="F269" s="235"/>
      <c r="G269" s="255"/>
      <c r="H269" s="256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7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5"/>
      <c r="BO269" s="295"/>
      <c r="BP269" s="295"/>
      <c r="BQ269" s="295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3"/>
      <c r="B270" s="254"/>
      <c r="C270" s="254"/>
      <c r="D270" s="233"/>
      <c r="E270" s="234"/>
      <c r="F270" s="235"/>
      <c r="G270" s="255"/>
      <c r="H270" s="256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7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5"/>
      <c r="BO270" s="295"/>
      <c r="BP270" s="295"/>
      <c r="BQ270" s="295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3"/>
      <c r="B271" s="254"/>
      <c r="C271" s="254"/>
      <c r="D271" s="233"/>
      <c r="E271" s="234"/>
      <c r="F271" s="235"/>
      <c r="G271" s="255"/>
      <c r="H271" s="256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7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5"/>
      <c r="BO271" s="295"/>
      <c r="BP271" s="295"/>
      <c r="BQ271" s="295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3"/>
      <c r="B272" s="254"/>
      <c r="C272" s="254"/>
      <c r="D272" s="233"/>
      <c r="E272" s="234"/>
      <c r="F272" s="235"/>
      <c r="G272" s="255"/>
      <c r="H272" s="256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7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5"/>
      <c r="BO272" s="295"/>
      <c r="BP272" s="295"/>
      <c r="BQ272" s="295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3"/>
      <c r="B273" s="254"/>
      <c r="C273" s="254"/>
      <c r="D273" s="233"/>
      <c r="E273" s="234"/>
      <c r="F273" s="235"/>
      <c r="G273" s="255"/>
      <c r="H273" s="256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7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5"/>
      <c r="BO273" s="295"/>
      <c r="BP273" s="295"/>
      <c r="BQ273" s="295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3"/>
      <c r="B274" s="254"/>
      <c r="C274" s="254"/>
      <c r="D274" s="233"/>
      <c r="E274" s="234"/>
      <c r="F274" s="235"/>
      <c r="G274" s="255"/>
      <c r="H274" s="256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7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5"/>
      <c r="BO274" s="295"/>
      <c r="BP274" s="295"/>
      <c r="BQ274" s="295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3"/>
      <c r="B275" s="254"/>
      <c r="C275" s="254"/>
      <c r="D275" s="233"/>
      <c r="E275" s="234"/>
      <c r="F275" s="235"/>
      <c r="G275" s="255"/>
      <c r="H275" s="256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7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5"/>
      <c r="BO275" s="295"/>
      <c r="BP275" s="295"/>
      <c r="BQ275" s="295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3"/>
      <c r="B276" s="254"/>
      <c r="C276" s="254"/>
      <c r="D276" s="233"/>
      <c r="E276" s="234"/>
      <c r="F276" s="235"/>
      <c r="G276" s="255"/>
      <c r="H276" s="256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7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5"/>
      <c r="BO276" s="295"/>
      <c r="BP276" s="295"/>
      <c r="BQ276" s="295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3"/>
      <c r="B277" s="254"/>
      <c r="C277" s="254"/>
      <c r="D277" s="233"/>
      <c r="E277" s="234"/>
      <c r="F277" s="235"/>
      <c r="G277" s="255"/>
      <c r="H277" s="256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7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5"/>
      <c r="BO277" s="295"/>
      <c r="BP277" s="295"/>
      <c r="BQ277" s="295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3"/>
      <c r="B278" s="254"/>
      <c r="C278" s="254"/>
      <c r="D278" s="233"/>
      <c r="E278" s="234"/>
      <c r="F278" s="235"/>
      <c r="G278" s="255"/>
      <c r="H278" s="256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7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5"/>
      <c r="BO278" s="295"/>
      <c r="BP278" s="295"/>
      <c r="BQ278" s="295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3"/>
      <c r="B279" s="254"/>
      <c r="C279" s="254"/>
      <c r="D279" s="233"/>
      <c r="E279" s="234"/>
      <c r="F279" s="235"/>
      <c r="G279" s="255"/>
      <c r="H279" s="256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7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5"/>
      <c r="BO279" s="295"/>
      <c r="BP279" s="295"/>
      <c r="BQ279" s="295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3"/>
      <c r="B280" s="254"/>
      <c r="C280" s="254"/>
      <c r="D280" s="233"/>
      <c r="E280" s="234"/>
      <c r="F280" s="235"/>
      <c r="G280" s="255"/>
      <c r="H280" s="256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7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5"/>
      <c r="BO280" s="295"/>
      <c r="BP280" s="295"/>
      <c r="BQ280" s="295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3"/>
      <c r="B281" s="254"/>
      <c r="C281" s="254"/>
      <c r="D281" s="233"/>
      <c r="E281" s="234"/>
      <c r="F281" s="235"/>
      <c r="G281" s="255"/>
      <c r="H281" s="256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7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5"/>
      <c r="BO281" s="295"/>
      <c r="BP281" s="295"/>
      <c r="BQ281" s="295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3"/>
      <c r="B282" s="254"/>
      <c r="C282" s="254"/>
      <c r="D282" s="233"/>
      <c r="E282" s="234"/>
      <c r="F282" s="235"/>
      <c r="G282" s="255"/>
      <c r="H282" s="256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7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5"/>
      <c r="BO282" s="295"/>
      <c r="BP282" s="295"/>
      <c r="BQ282" s="295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3"/>
      <c r="B283" s="254"/>
      <c r="C283" s="254"/>
      <c r="D283" s="233"/>
      <c r="E283" s="234"/>
      <c r="F283" s="235"/>
      <c r="G283" s="255"/>
      <c r="H283" s="256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7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5"/>
      <c r="BO283" s="295"/>
      <c r="BP283" s="295"/>
      <c r="BQ283" s="295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3"/>
      <c r="B284" s="254"/>
      <c r="C284" s="254"/>
      <c r="D284" s="233"/>
      <c r="E284" s="234"/>
      <c r="F284" s="235"/>
      <c r="G284" s="255"/>
      <c r="H284" s="256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7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5"/>
      <c r="BO284" s="295"/>
      <c r="BP284" s="295"/>
      <c r="BQ284" s="295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3"/>
      <c r="B285" s="254"/>
      <c r="C285" s="254"/>
      <c r="D285" s="233"/>
      <c r="E285" s="234"/>
      <c r="F285" s="235"/>
      <c r="G285" s="255"/>
      <c r="H285" s="256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7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5"/>
      <c r="BO285" s="295"/>
      <c r="BP285" s="295"/>
      <c r="BQ285" s="295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3"/>
      <c r="B286" s="254"/>
      <c r="C286" s="254"/>
      <c r="D286" s="233"/>
      <c r="E286" s="234"/>
      <c r="F286" s="235"/>
      <c r="G286" s="255"/>
      <c r="H286" s="256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7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5"/>
      <c r="BO286" s="295"/>
      <c r="BP286" s="295"/>
      <c r="BQ286" s="295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3"/>
      <c r="B287" s="254"/>
      <c r="C287" s="254"/>
      <c r="D287" s="233"/>
      <c r="E287" s="234"/>
      <c r="F287" s="235"/>
      <c r="G287" s="255"/>
      <c r="H287" s="256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7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5"/>
      <c r="BO287" s="295"/>
      <c r="BP287" s="295"/>
      <c r="BQ287" s="295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3"/>
      <c r="B288" s="254"/>
      <c r="C288" s="254"/>
      <c r="D288" s="233"/>
      <c r="E288" s="234"/>
      <c r="F288" s="235"/>
      <c r="G288" s="255"/>
      <c r="H288" s="256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7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5"/>
      <c r="BO288" s="295"/>
      <c r="BP288" s="295"/>
      <c r="BQ288" s="295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3"/>
      <c r="B289" s="254"/>
      <c r="C289" s="254"/>
      <c r="D289" s="233"/>
      <c r="E289" s="234"/>
      <c r="F289" s="235"/>
      <c r="G289" s="255"/>
      <c r="H289" s="256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7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5"/>
      <c r="BO289" s="295"/>
      <c r="BP289" s="295"/>
      <c r="BQ289" s="295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3"/>
      <c r="B290" s="254"/>
      <c r="C290" s="254"/>
      <c r="D290" s="233"/>
      <c r="E290" s="234"/>
      <c r="F290" s="235"/>
      <c r="G290" s="255"/>
      <c r="H290" s="256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7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5"/>
      <c r="BO290" s="295"/>
      <c r="BP290" s="295"/>
      <c r="BQ290" s="295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3"/>
      <c r="B291" s="254"/>
      <c r="C291" s="254"/>
      <c r="D291" s="233"/>
      <c r="E291" s="234"/>
      <c r="F291" s="235"/>
      <c r="G291" s="255"/>
      <c r="H291" s="256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7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5"/>
      <c r="BO291" s="295"/>
      <c r="BP291" s="295"/>
      <c r="BQ291" s="295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3"/>
      <c r="B292" s="254"/>
      <c r="C292" s="254"/>
      <c r="D292" s="233"/>
      <c r="E292" s="234"/>
      <c r="F292" s="235"/>
      <c r="G292" s="255"/>
      <c r="H292" s="256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7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5"/>
      <c r="BO292" s="295"/>
      <c r="BP292" s="295"/>
      <c r="BQ292" s="295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3"/>
      <c r="B293" s="254"/>
      <c r="C293" s="254"/>
      <c r="D293" s="233"/>
      <c r="E293" s="234"/>
      <c r="F293" s="235"/>
      <c r="G293" s="255"/>
      <c r="H293" s="256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7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5"/>
      <c r="BO293" s="295"/>
      <c r="BP293" s="295"/>
      <c r="BQ293" s="295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3"/>
      <c r="B294" s="254"/>
      <c r="C294" s="254"/>
      <c r="D294" s="233"/>
      <c r="E294" s="234"/>
      <c r="F294" s="235"/>
      <c r="G294" s="255"/>
      <c r="H294" s="256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7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5"/>
      <c r="BO294" s="295"/>
      <c r="BP294" s="295"/>
      <c r="BQ294" s="295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3"/>
      <c r="B295" s="254"/>
      <c r="C295" s="254"/>
      <c r="D295" s="233"/>
      <c r="E295" s="234"/>
      <c r="F295" s="235"/>
      <c r="G295" s="255"/>
      <c r="H295" s="256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7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5"/>
      <c r="BO295" s="295"/>
      <c r="BP295" s="295"/>
      <c r="BQ295" s="295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3"/>
      <c r="B296" s="254"/>
      <c r="C296" s="254"/>
      <c r="D296" s="233"/>
      <c r="E296" s="234"/>
      <c r="F296" s="235"/>
      <c r="G296" s="255"/>
      <c r="H296" s="256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7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5"/>
      <c r="BO296" s="295"/>
      <c r="BP296" s="295"/>
      <c r="BQ296" s="295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3"/>
      <c r="B297" s="254"/>
      <c r="C297" s="254"/>
      <c r="D297" s="233"/>
      <c r="E297" s="234"/>
      <c r="F297" s="235"/>
      <c r="G297" s="255"/>
      <c r="H297" s="256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7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5"/>
      <c r="BO297" s="295"/>
      <c r="BP297" s="295"/>
      <c r="BQ297" s="295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3"/>
      <c r="B298" s="254"/>
      <c r="C298" s="254"/>
      <c r="D298" s="233"/>
      <c r="E298" s="234"/>
      <c r="F298" s="235"/>
      <c r="G298" s="255"/>
      <c r="H298" s="256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7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5"/>
      <c r="BO298" s="295"/>
      <c r="BP298" s="295"/>
      <c r="BQ298" s="295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3"/>
      <c r="B299" s="254"/>
      <c r="C299" s="254"/>
      <c r="D299" s="233"/>
      <c r="E299" s="234"/>
      <c r="F299" s="235"/>
      <c r="G299" s="255"/>
      <c r="H299" s="256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7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5"/>
      <c r="BO299" s="295"/>
      <c r="BP299" s="295"/>
      <c r="BQ299" s="295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3"/>
      <c r="B300" s="254"/>
      <c r="C300" s="254"/>
      <c r="D300" s="233"/>
      <c r="E300" s="234"/>
      <c r="F300" s="235"/>
      <c r="G300" s="255"/>
      <c r="H300" s="256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7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5"/>
      <c r="BO300" s="295"/>
      <c r="BP300" s="295"/>
      <c r="BQ300" s="295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3"/>
      <c r="B301" s="254"/>
      <c r="C301" s="254"/>
      <c r="D301" s="233"/>
      <c r="E301" s="234"/>
      <c r="F301" s="235"/>
      <c r="G301" s="255"/>
      <c r="H301" s="256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7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5"/>
      <c r="BO301" s="295"/>
      <c r="BP301" s="295"/>
      <c r="BQ301" s="295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3"/>
      <c r="B302" s="254"/>
      <c r="C302" s="254"/>
      <c r="D302" s="233"/>
      <c r="E302" s="234"/>
      <c r="F302" s="235"/>
      <c r="G302" s="255"/>
      <c r="H302" s="256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7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5"/>
      <c r="BO302" s="295"/>
      <c r="BP302" s="295"/>
      <c r="BQ302" s="295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3"/>
      <c r="B303" s="254"/>
      <c r="C303" s="254"/>
      <c r="D303" s="233"/>
      <c r="E303" s="234"/>
      <c r="F303" s="235"/>
      <c r="G303" s="255"/>
      <c r="H303" s="256"/>
      <c r="I303" s="237"/>
      <c r="J303" s="252"/>
      <c r="K303" s="239"/>
      <c r="L303" s="240"/>
      <c r="M303" s="8"/>
      <c r="N303" s="70"/>
      <c r="O303" s="71"/>
      <c r="P303" s="100"/>
      <c r="Q303" s="9"/>
      <c r="R303" s="9"/>
      <c r="S303" s="9"/>
      <c r="T303" s="257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5"/>
      <c r="BO303" s="295"/>
      <c r="BP303" s="295"/>
      <c r="BQ303" s="295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3"/>
      <c r="B304" s="254"/>
      <c r="C304" s="254"/>
      <c r="D304" s="233"/>
      <c r="E304" s="234"/>
      <c r="F304" s="235"/>
      <c r="G304" s="255"/>
      <c r="H304" s="256"/>
      <c r="I304" s="237"/>
      <c r="J304" s="252"/>
      <c r="K304" s="239"/>
      <c r="L304" s="240"/>
      <c r="M304" s="8"/>
      <c r="N304" s="70"/>
      <c r="O304" s="71"/>
      <c r="P304" s="100"/>
      <c r="Q304" s="9"/>
      <c r="R304" s="9"/>
      <c r="S304" s="9"/>
      <c r="T304" s="257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5"/>
      <c r="BO304" s="295"/>
      <c r="BP304" s="295"/>
      <c r="BQ304" s="295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3"/>
      <c r="B305" s="254"/>
      <c r="C305" s="254"/>
      <c r="D305" s="233"/>
      <c r="E305" s="234"/>
      <c r="F305" s="235"/>
      <c r="G305" s="255"/>
      <c r="H305" s="256"/>
      <c r="I305" s="237"/>
      <c r="J305" s="252"/>
      <c r="K305" s="239"/>
      <c r="L305" s="240"/>
      <c r="M305" s="8"/>
      <c r="N305" s="70"/>
      <c r="O305" s="71"/>
      <c r="P305" s="100"/>
      <c r="Q305" s="9"/>
      <c r="R305" s="9"/>
      <c r="S305" s="9"/>
      <c r="T305" s="257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5"/>
      <c r="BO305" s="295"/>
      <c r="BP305" s="295"/>
      <c r="BQ305" s="295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3"/>
      <c r="B306" s="254"/>
      <c r="C306" s="254"/>
      <c r="D306" s="233"/>
      <c r="E306" s="234"/>
      <c r="F306" s="235"/>
      <c r="G306" s="255"/>
      <c r="H306" s="256"/>
      <c r="I306" s="237"/>
      <c r="J306" s="252"/>
      <c r="K306" s="239"/>
      <c r="L306" s="240"/>
      <c r="M306" s="8"/>
      <c r="N306" s="70"/>
      <c r="O306" s="71"/>
      <c r="P306" s="100"/>
      <c r="Q306" s="9"/>
      <c r="R306" s="9"/>
      <c r="S306" s="9"/>
      <c r="T306" s="257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5"/>
      <c r="BO306" s="295"/>
      <c r="BP306" s="295"/>
      <c r="BQ306" s="295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3"/>
      <c r="B307" s="254"/>
      <c r="C307" s="254"/>
      <c r="D307" s="233"/>
      <c r="E307" s="234"/>
      <c r="F307" s="235"/>
      <c r="G307" s="255"/>
      <c r="H307" s="256"/>
      <c r="I307" s="237"/>
      <c r="J307" s="252"/>
      <c r="K307" s="239"/>
      <c r="L307" s="240"/>
      <c r="M307" s="8"/>
      <c r="N307" s="70"/>
      <c r="O307" s="71"/>
      <c r="P307" s="100"/>
      <c r="Q307" s="9"/>
      <c r="R307" s="9"/>
      <c r="S307" s="9"/>
      <c r="T307" s="257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5"/>
      <c r="BO307" s="295"/>
      <c r="BP307" s="295"/>
      <c r="BQ307" s="295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3"/>
      <c r="B308" s="254"/>
      <c r="C308" s="254"/>
      <c r="D308" s="233"/>
      <c r="E308" s="234"/>
      <c r="F308" s="235"/>
      <c r="G308" s="255"/>
      <c r="H308" s="256"/>
      <c r="I308" s="237"/>
      <c r="J308" s="252"/>
      <c r="K308" s="239"/>
      <c r="L308" s="240"/>
      <c r="M308" s="8"/>
      <c r="N308" s="70"/>
      <c r="O308" s="71"/>
      <c r="P308" s="100"/>
      <c r="Q308" s="9"/>
      <c r="R308" s="9"/>
      <c r="S308" s="9"/>
      <c r="T308" s="257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5"/>
      <c r="BO308" s="295"/>
      <c r="BP308" s="295"/>
      <c r="BQ308" s="295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3"/>
      <c r="B309" s="254"/>
      <c r="C309" s="254"/>
      <c r="D309" s="233"/>
      <c r="E309" s="234"/>
      <c r="F309" s="235"/>
      <c r="G309" s="255"/>
      <c r="H309" s="256"/>
      <c r="I309" s="237"/>
      <c r="J309" s="252"/>
      <c r="K309" s="239"/>
      <c r="L309" s="240"/>
      <c r="M309" s="8"/>
      <c r="N309" s="70"/>
      <c r="O309" s="71"/>
      <c r="P309" s="100"/>
      <c r="Q309" s="9"/>
      <c r="R309" s="9"/>
      <c r="S309" s="9"/>
      <c r="T309" s="257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5"/>
      <c r="BO309" s="295"/>
      <c r="BP309" s="295"/>
      <c r="BQ309" s="295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3"/>
      <c r="B310" s="254"/>
      <c r="C310" s="254"/>
      <c r="D310" s="233"/>
      <c r="E310" s="234"/>
      <c r="F310" s="235"/>
      <c r="G310" s="255"/>
      <c r="H310" s="256"/>
      <c r="I310" s="237"/>
      <c r="J310" s="252"/>
      <c r="K310" s="239"/>
      <c r="L310" s="240"/>
      <c r="M310" s="8"/>
      <c r="N310" s="70"/>
      <c r="O310" s="71"/>
      <c r="P310" s="100"/>
      <c r="Q310" s="9"/>
      <c r="R310" s="9"/>
      <c r="S310" s="9"/>
      <c r="T310" s="257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5"/>
      <c r="BO310" s="295"/>
      <c r="BP310" s="295"/>
      <c r="BQ310" s="295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3"/>
      <c r="B311" s="254"/>
      <c r="C311" s="254"/>
      <c r="D311" s="233"/>
      <c r="E311" s="234"/>
      <c r="F311" s="235"/>
      <c r="G311" s="255"/>
      <c r="H311" s="256"/>
      <c r="I311" s="237"/>
      <c r="J311" s="252"/>
      <c r="K311" s="239"/>
      <c r="L311" s="240"/>
      <c r="M311" s="8"/>
      <c r="N311" s="70"/>
      <c r="O311" s="71"/>
      <c r="P311" s="100"/>
      <c r="Q311" s="9"/>
      <c r="R311" s="9"/>
      <c r="S311" s="9"/>
      <c r="T311" s="257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5"/>
      <c r="BO311" s="295"/>
      <c r="BP311" s="295"/>
      <c r="BQ311" s="295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3"/>
      <c r="B312" s="254"/>
      <c r="C312" s="254"/>
      <c r="D312" s="233"/>
      <c r="E312" s="234"/>
      <c r="F312" s="235"/>
      <c r="G312" s="255"/>
      <c r="H312" s="256"/>
      <c r="I312" s="237"/>
      <c r="J312" s="252"/>
      <c r="K312" s="239"/>
      <c r="L312" s="240"/>
      <c r="M312" s="8"/>
      <c r="N312" s="70"/>
      <c r="O312" s="71"/>
      <c r="P312" s="100"/>
      <c r="Q312" s="9"/>
      <c r="R312" s="9"/>
      <c r="S312" s="9"/>
      <c r="T312" s="257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5"/>
      <c r="BO312" s="295"/>
      <c r="BP312" s="295"/>
      <c r="BQ312" s="295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3"/>
      <c r="B313" s="254"/>
      <c r="C313" s="254"/>
      <c r="D313" s="233"/>
      <c r="E313" s="234"/>
      <c r="F313" s="235"/>
      <c r="G313" s="255"/>
      <c r="H313" s="256"/>
      <c r="I313" s="237"/>
      <c r="J313" s="252"/>
      <c r="K313" s="239"/>
      <c r="L313" s="240"/>
      <c r="M313" s="8"/>
      <c r="N313" s="70"/>
      <c r="O313" s="71"/>
      <c r="P313" s="100"/>
      <c r="Q313" s="9"/>
      <c r="R313" s="9"/>
      <c r="S313" s="9"/>
      <c r="T313" s="257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5"/>
      <c r="BO313" s="295"/>
      <c r="BP313" s="295"/>
      <c r="BQ313" s="295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3"/>
      <c r="B314" s="254"/>
      <c r="C314" s="254"/>
      <c r="D314" s="233"/>
      <c r="E314" s="234"/>
      <c r="F314" s="235"/>
      <c r="G314" s="255"/>
      <c r="H314" s="256"/>
      <c r="I314" s="237"/>
      <c r="J314" s="252"/>
      <c r="K314" s="239"/>
      <c r="L314" s="240"/>
      <c r="M314" s="8"/>
      <c r="N314" s="70"/>
      <c r="O314" s="71"/>
      <c r="P314" s="100"/>
      <c r="Q314" s="9"/>
      <c r="R314" s="9"/>
      <c r="S314" s="9"/>
      <c r="T314" s="257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5"/>
      <c r="BO314" s="295"/>
      <c r="BP314" s="295"/>
      <c r="BQ314" s="295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3"/>
      <c r="B315" s="254"/>
      <c r="C315" s="254"/>
      <c r="D315" s="233"/>
      <c r="E315" s="234"/>
      <c r="F315" s="235"/>
      <c r="G315" s="255"/>
      <c r="H315" s="256"/>
      <c r="I315" s="237"/>
      <c r="J315" s="252"/>
      <c r="K315" s="239"/>
      <c r="L315" s="240"/>
      <c r="M315" s="8"/>
      <c r="N315" s="70"/>
      <c r="O315" s="71"/>
      <c r="P315" s="100"/>
      <c r="Q315" s="9"/>
      <c r="R315" s="9"/>
      <c r="S315" s="9"/>
      <c r="T315" s="257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5"/>
      <c r="BO315" s="295"/>
      <c r="BP315" s="295"/>
      <c r="BQ315" s="295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3"/>
      <c r="B316" s="254"/>
      <c r="C316" s="254"/>
      <c r="D316" s="233"/>
      <c r="E316" s="234"/>
      <c r="F316" s="235"/>
      <c r="G316" s="255"/>
      <c r="H316" s="256"/>
      <c r="I316" s="237"/>
      <c r="J316" s="252"/>
      <c r="K316" s="239"/>
      <c r="L316" s="240"/>
      <c r="M316" s="8"/>
      <c r="N316" s="70"/>
      <c r="O316" s="71"/>
      <c r="P316" s="100"/>
      <c r="Q316" s="9"/>
      <c r="R316" s="9"/>
      <c r="S316" s="9"/>
      <c r="T316" s="257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5"/>
      <c r="BO316" s="295"/>
      <c r="BP316" s="295"/>
      <c r="BQ316" s="295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3"/>
      <c r="B317" s="254"/>
      <c r="C317" s="254"/>
      <c r="D317" s="233"/>
      <c r="E317" s="234"/>
      <c r="F317" s="235"/>
      <c r="G317" s="255"/>
      <c r="H317" s="256"/>
      <c r="I317" s="237"/>
      <c r="J317" s="252"/>
      <c r="K317" s="239"/>
      <c r="L317" s="240"/>
      <c r="M317" s="8"/>
      <c r="N317" s="70"/>
      <c r="O317" s="71"/>
      <c r="P317" s="100"/>
      <c r="Q317" s="9"/>
      <c r="R317" s="9"/>
      <c r="S317" s="9"/>
      <c r="T317" s="257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5"/>
      <c r="BO317" s="295"/>
      <c r="BP317" s="295"/>
      <c r="BQ317" s="295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3"/>
      <c r="B318" s="254"/>
      <c r="C318" s="254"/>
      <c r="D318" s="233"/>
      <c r="E318" s="234"/>
      <c r="F318" s="235"/>
      <c r="G318" s="255"/>
      <c r="H318" s="256"/>
      <c r="I318" s="237"/>
      <c r="J318" s="252"/>
      <c r="K318" s="239"/>
      <c r="L318" s="240"/>
      <c r="M318" s="8"/>
      <c r="N318" s="241"/>
      <c r="O318" s="239"/>
      <c r="P318" s="240"/>
      <c r="Q318" s="9"/>
      <c r="R318" s="9"/>
      <c r="S318" s="9"/>
      <c r="T318" s="257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5"/>
      <c r="BO318" s="295"/>
      <c r="BP318" s="295"/>
      <c r="BQ318" s="295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3"/>
      <c r="B319" s="254"/>
      <c r="C319" s="254"/>
      <c r="D319" s="233"/>
      <c r="E319" s="234"/>
      <c r="F319" s="235"/>
      <c r="G319" s="255"/>
      <c r="H319" s="256"/>
      <c r="I319" s="237"/>
      <c r="J319" s="252"/>
      <c r="K319" s="239"/>
      <c r="L319" s="240"/>
      <c r="M319" s="8"/>
      <c r="N319" s="70"/>
      <c r="O319" s="71"/>
      <c r="P319" s="100"/>
      <c r="Q319" s="9"/>
      <c r="R319" s="9"/>
      <c r="S319" s="9"/>
      <c r="T319" s="257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5"/>
      <c r="BO319" s="295"/>
      <c r="BP319" s="295"/>
      <c r="BQ319" s="295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3"/>
      <c r="B320" s="254"/>
      <c r="C320" s="254"/>
      <c r="D320" s="233"/>
      <c r="E320" s="234"/>
      <c r="F320" s="235"/>
      <c r="G320" s="255"/>
      <c r="H320" s="256"/>
      <c r="I320" s="237"/>
      <c r="J320" s="252"/>
      <c r="K320" s="239"/>
      <c r="L320" s="240"/>
      <c r="M320" s="8"/>
      <c r="N320" s="70"/>
      <c r="O320" s="71"/>
      <c r="P320" s="100"/>
      <c r="Q320" s="9"/>
      <c r="R320" s="9"/>
      <c r="S320" s="9"/>
      <c r="T320" s="257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5"/>
      <c r="BO320" s="295"/>
      <c r="BP320" s="295"/>
      <c r="BQ320" s="295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3"/>
      <c r="B321" s="254"/>
      <c r="C321" s="254"/>
      <c r="D321" s="233"/>
      <c r="E321" s="234"/>
      <c r="F321" s="235"/>
      <c r="G321" s="255"/>
      <c r="H321" s="256"/>
      <c r="I321" s="237"/>
      <c r="J321" s="252"/>
      <c r="K321" s="239"/>
      <c r="L321" s="240"/>
      <c r="M321" s="8"/>
      <c r="N321" s="70"/>
      <c r="O321" s="71"/>
      <c r="P321" s="100"/>
      <c r="Q321" s="9"/>
      <c r="R321" s="9"/>
      <c r="S321" s="9"/>
      <c r="T321" s="257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5"/>
      <c r="BO321" s="295"/>
      <c r="BP321" s="295"/>
      <c r="BQ321" s="295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3"/>
      <c r="B322" s="254"/>
      <c r="C322" s="254"/>
      <c r="D322" s="233"/>
      <c r="E322" s="234"/>
      <c r="F322" s="235"/>
      <c r="G322" s="255"/>
      <c r="H322" s="256"/>
      <c r="I322" s="237"/>
      <c r="J322" s="252"/>
      <c r="K322" s="239"/>
      <c r="L322" s="240"/>
      <c r="M322" s="8"/>
      <c r="N322" s="70"/>
      <c r="O322" s="71"/>
      <c r="P322" s="100"/>
      <c r="Q322" s="9"/>
      <c r="R322" s="9"/>
      <c r="S322" s="9"/>
      <c r="T322" s="257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5"/>
      <c r="BO322" s="295"/>
      <c r="BP322" s="295"/>
      <c r="BQ322" s="295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3"/>
      <c r="B323" s="254"/>
      <c r="C323" s="254"/>
      <c r="D323" s="233"/>
      <c r="E323" s="234"/>
      <c r="F323" s="235"/>
      <c r="G323" s="255"/>
      <c r="H323" s="256"/>
      <c r="I323" s="237"/>
      <c r="J323" s="252"/>
      <c r="K323" s="239"/>
      <c r="L323" s="240"/>
      <c r="M323" s="8"/>
      <c r="N323" s="70"/>
      <c r="O323" s="71"/>
      <c r="P323" s="100"/>
      <c r="Q323" s="9"/>
      <c r="R323" s="9"/>
      <c r="S323" s="9"/>
      <c r="T323" s="257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5"/>
      <c r="BO323" s="295"/>
      <c r="BP323" s="295"/>
      <c r="BQ323" s="295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3"/>
      <c r="B324" s="254"/>
      <c r="C324" s="254"/>
      <c r="D324" s="233"/>
      <c r="E324" s="234"/>
      <c r="F324" s="235"/>
      <c r="G324" s="255"/>
      <c r="H324" s="256"/>
      <c r="I324" s="237"/>
      <c r="J324" s="252"/>
      <c r="K324" s="239"/>
      <c r="L324" s="240"/>
      <c r="M324" s="8"/>
      <c r="N324" s="70"/>
      <c r="O324" s="71"/>
      <c r="P324" s="100"/>
      <c r="Q324" s="9"/>
      <c r="R324" s="9"/>
      <c r="S324" s="9"/>
      <c r="T324" s="257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5"/>
      <c r="BO324" s="295"/>
      <c r="BP324" s="295"/>
      <c r="BQ324" s="295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3"/>
      <c r="B325" s="254"/>
      <c r="C325" s="254"/>
      <c r="D325" s="233"/>
      <c r="E325" s="234"/>
      <c r="F325" s="235"/>
      <c r="G325" s="255"/>
      <c r="H325" s="256"/>
      <c r="I325" s="237"/>
      <c r="J325" s="252"/>
      <c r="K325" s="239"/>
      <c r="L325" s="240"/>
      <c r="M325" s="8"/>
      <c r="N325" s="70"/>
      <c r="O325" s="71"/>
      <c r="P325" s="100"/>
      <c r="Q325" s="9"/>
      <c r="R325" s="9"/>
      <c r="S325" s="9"/>
      <c r="T325" s="257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5"/>
      <c r="BO325" s="295"/>
      <c r="BP325" s="295"/>
      <c r="BQ325" s="295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3"/>
      <c r="B326" s="254"/>
      <c r="C326" s="254"/>
      <c r="D326" s="233"/>
      <c r="E326" s="234"/>
      <c r="F326" s="235"/>
      <c r="G326" s="255"/>
      <c r="H326" s="256"/>
      <c r="I326" s="237"/>
      <c r="J326" s="252"/>
      <c r="K326" s="239"/>
      <c r="L326" s="240"/>
      <c r="M326" s="8"/>
      <c r="N326" s="70"/>
      <c r="O326" s="71"/>
      <c r="P326" s="100"/>
      <c r="Q326" s="9"/>
      <c r="R326" s="9"/>
      <c r="S326" s="9"/>
      <c r="T326" s="257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5"/>
      <c r="BO326" s="295"/>
      <c r="BP326" s="295"/>
      <c r="BQ326" s="295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3"/>
      <c r="B327" s="254"/>
      <c r="C327" s="254"/>
      <c r="D327" s="233"/>
      <c r="E327" s="234"/>
      <c r="F327" s="235"/>
      <c r="G327" s="255"/>
      <c r="H327" s="256"/>
      <c r="I327" s="237"/>
      <c r="J327" s="252"/>
      <c r="K327" s="239"/>
      <c r="L327" s="240"/>
      <c r="M327" s="8"/>
      <c r="N327" s="70"/>
      <c r="O327" s="71"/>
      <c r="P327" s="100"/>
      <c r="Q327" s="9"/>
      <c r="R327" s="9"/>
      <c r="S327" s="9"/>
      <c r="T327" s="257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5"/>
      <c r="BO327" s="295"/>
      <c r="BP327" s="295"/>
      <c r="BQ327" s="295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3"/>
      <c r="B328" s="254"/>
      <c r="C328" s="254"/>
      <c r="D328" s="233"/>
      <c r="E328" s="234"/>
      <c r="F328" s="235"/>
      <c r="G328" s="255"/>
      <c r="H328" s="256"/>
      <c r="I328" s="237"/>
      <c r="J328" s="252"/>
      <c r="K328" s="239"/>
      <c r="L328" s="240"/>
      <c r="M328" s="8"/>
      <c r="N328" s="70"/>
      <c r="O328" s="71"/>
      <c r="P328" s="100"/>
      <c r="Q328" s="9"/>
      <c r="R328" s="9"/>
      <c r="S328" s="9"/>
      <c r="T328" s="257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5"/>
      <c r="BO328" s="295"/>
      <c r="BP328" s="295"/>
      <c r="BQ328" s="295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3"/>
      <c r="B329" s="254"/>
      <c r="C329" s="254"/>
      <c r="D329" s="233"/>
      <c r="E329" s="234"/>
      <c r="F329" s="235"/>
      <c r="G329" s="255"/>
      <c r="H329" s="256"/>
      <c r="I329" s="237"/>
      <c r="J329" s="252"/>
      <c r="K329" s="239"/>
      <c r="L329" s="240"/>
      <c r="M329" s="8"/>
      <c r="N329" s="70"/>
      <c r="O329" s="71"/>
      <c r="P329" s="100"/>
      <c r="Q329" s="9"/>
      <c r="R329" s="9"/>
      <c r="S329" s="9"/>
      <c r="T329" s="257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5"/>
      <c r="BO329" s="295"/>
      <c r="BP329" s="295"/>
      <c r="BQ329" s="295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3"/>
      <c r="B330" s="254"/>
      <c r="C330" s="254"/>
      <c r="D330" s="233"/>
      <c r="E330" s="234"/>
      <c r="F330" s="235"/>
      <c r="G330" s="255"/>
      <c r="H330" s="256"/>
      <c r="I330" s="237"/>
      <c r="J330" s="252"/>
      <c r="K330" s="239"/>
      <c r="L330" s="240"/>
      <c r="M330" s="8"/>
      <c r="N330" s="70"/>
      <c r="O330" s="71"/>
      <c r="P330" s="100"/>
      <c r="Q330" s="9"/>
      <c r="R330" s="9"/>
      <c r="S330" s="9"/>
      <c r="T330" s="257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5"/>
      <c r="BO330" s="295"/>
      <c r="BP330" s="295"/>
      <c r="BQ330" s="295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3"/>
      <c r="B331" s="254"/>
      <c r="C331" s="254"/>
      <c r="D331" s="233"/>
      <c r="E331" s="234"/>
      <c r="F331" s="235"/>
      <c r="G331" s="255"/>
      <c r="H331" s="256"/>
      <c r="I331" s="237"/>
      <c r="J331" s="252"/>
      <c r="K331" s="239"/>
      <c r="L331" s="240"/>
      <c r="M331" s="8"/>
      <c r="N331" s="70"/>
      <c r="O331" s="71"/>
      <c r="P331" s="100"/>
      <c r="Q331" s="9"/>
      <c r="R331" s="9"/>
      <c r="S331" s="9"/>
      <c r="T331" s="257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5"/>
      <c r="BO331" s="295"/>
      <c r="BP331" s="295"/>
      <c r="BQ331" s="295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3"/>
      <c r="B332" s="254"/>
      <c r="C332" s="254"/>
      <c r="D332" s="233"/>
      <c r="E332" s="234"/>
      <c r="F332" s="235"/>
      <c r="G332" s="255"/>
      <c r="H332" s="256"/>
      <c r="I332" s="237"/>
      <c r="J332" s="252"/>
      <c r="K332" s="239"/>
      <c r="L332" s="240"/>
      <c r="M332" s="8"/>
      <c r="N332" s="70"/>
      <c r="O332" s="71"/>
      <c r="P332" s="100"/>
      <c r="Q332" s="9"/>
      <c r="R332" s="9"/>
      <c r="S332" s="9"/>
      <c r="T332" s="257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5"/>
      <c r="BO332" s="295"/>
      <c r="BP332" s="295"/>
      <c r="BQ332" s="295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3"/>
      <c r="B333" s="254"/>
      <c r="C333" s="254"/>
      <c r="D333" s="233"/>
      <c r="E333" s="234"/>
      <c r="F333" s="235"/>
      <c r="G333" s="255"/>
      <c r="H333" s="256"/>
      <c r="I333" s="237"/>
      <c r="J333" s="252"/>
      <c r="K333" s="239"/>
      <c r="L333" s="240"/>
      <c r="M333" s="8"/>
      <c r="N333" s="70"/>
      <c r="O333" s="71"/>
      <c r="P333" s="100"/>
      <c r="Q333" s="9"/>
      <c r="R333" s="9"/>
      <c r="S333" s="9"/>
      <c r="T333" s="257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5"/>
      <c r="BO333" s="295"/>
      <c r="BP333" s="295"/>
      <c r="BQ333" s="295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3"/>
      <c r="B334" s="254"/>
      <c r="C334" s="254"/>
      <c r="D334" s="233"/>
      <c r="E334" s="234"/>
      <c r="F334" s="235"/>
      <c r="G334" s="255"/>
      <c r="H334" s="256"/>
      <c r="I334" s="237"/>
      <c r="J334" s="252"/>
      <c r="K334" s="239"/>
      <c r="L334" s="240"/>
      <c r="M334" s="8"/>
      <c r="N334" s="70"/>
      <c r="O334" s="71"/>
      <c r="P334" s="100"/>
      <c r="Q334" s="9"/>
      <c r="R334" s="9"/>
      <c r="S334" s="9"/>
      <c r="T334" s="257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5"/>
      <c r="BO334" s="295"/>
      <c r="BP334" s="295"/>
      <c r="BQ334" s="295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3"/>
      <c r="B335" s="254"/>
      <c r="C335" s="254"/>
      <c r="D335" s="233"/>
      <c r="E335" s="234"/>
      <c r="F335" s="235"/>
      <c r="G335" s="255"/>
      <c r="H335" s="256"/>
      <c r="I335" s="237"/>
      <c r="J335" s="252"/>
      <c r="K335" s="239"/>
      <c r="L335" s="240"/>
      <c r="M335" s="8"/>
      <c r="N335" s="70"/>
      <c r="O335" s="71"/>
      <c r="P335" s="100"/>
      <c r="Q335" s="9"/>
      <c r="R335" s="9"/>
      <c r="S335" s="9"/>
      <c r="T335" s="257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5"/>
      <c r="BO335" s="295"/>
      <c r="BP335" s="295"/>
      <c r="BQ335" s="295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3"/>
      <c r="B336" s="254"/>
      <c r="C336" s="254"/>
      <c r="D336" s="233"/>
      <c r="E336" s="234"/>
      <c r="F336" s="235"/>
      <c r="G336" s="255"/>
      <c r="H336" s="256"/>
      <c r="I336" s="237"/>
      <c r="J336" s="252"/>
      <c r="K336" s="239"/>
      <c r="L336" s="240"/>
      <c r="M336" s="8"/>
      <c r="N336" s="70"/>
      <c r="O336" s="71"/>
      <c r="P336" s="100"/>
      <c r="Q336" s="9"/>
      <c r="R336" s="9"/>
      <c r="S336" s="9"/>
      <c r="T336" s="257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5"/>
      <c r="BO336" s="295"/>
      <c r="BP336" s="295"/>
      <c r="BQ336" s="295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3"/>
      <c r="B337" s="254"/>
      <c r="C337" s="254"/>
      <c r="D337" s="233"/>
      <c r="E337" s="234"/>
      <c r="F337" s="235"/>
      <c r="G337" s="255"/>
      <c r="H337" s="256"/>
      <c r="I337" s="237"/>
      <c r="J337" s="252"/>
      <c r="K337" s="239"/>
      <c r="L337" s="240"/>
      <c r="M337" s="8"/>
      <c r="N337" s="70"/>
      <c r="O337" s="71"/>
      <c r="P337" s="100"/>
      <c r="Q337" s="9"/>
      <c r="R337" s="9"/>
      <c r="S337" s="9"/>
      <c r="T337" s="257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5"/>
      <c r="BO337" s="295"/>
      <c r="BP337" s="295"/>
      <c r="BQ337" s="295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3"/>
      <c r="B338" s="254"/>
      <c r="C338" s="254"/>
      <c r="D338" s="233"/>
      <c r="E338" s="234"/>
      <c r="F338" s="235"/>
      <c r="G338" s="255"/>
      <c r="H338" s="256"/>
      <c r="I338" s="237"/>
      <c r="J338" s="252"/>
      <c r="K338" s="239"/>
      <c r="L338" s="240"/>
      <c r="M338" s="8"/>
      <c r="N338" s="70"/>
      <c r="O338" s="71"/>
      <c r="P338" s="100"/>
      <c r="Q338" s="9"/>
      <c r="R338" s="9"/>
      <c r="S338" s="9"/>
      <c r="T338" s="257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5"/>
      <c r="BO338" s="295"/>
      <c r="BP338" s="295"/>
      <c r="BQ338" s="295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3"/>
      <c r="B339" s="254"/>
      <c r="C339" s="254"/>
      <c r="D339" s="233"/>
      <c r="E339" s="234"/>
      <c r="F339" s="235"/>
      <c r="G339" s="255"/>
      <c r="H339" s="256"/>
      <c r="I339" s="237"/>
      <c r="J339" s="252"/>
      <c r="K339" s="239"/>
      <c r="L339" s="240"/>
      <c r="M339" s="8"/>
      <c r="N339" s="70"/>
      <c r="O339" s="71"/>
      <c r="P339" s="100"/>
      <c r="Q339" s="9"/>
      <c r="R339" s="9"/>
      <c r="S339" s="9"/>
      <c r="T339" s="257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5"/>
      <c r="BO339" s="295"/>
      <c r="BP339" s="295"/>
      <c r="BQ339" s="295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3"/>
      <c r="B340" s="258"/>
      <c r="C340" s="254"/>
      <c r="D340" s="233"/>
      <c r="E340" s="234"/>
      <c r="F340" s="235"/>
      <c r="G340" s="255"/>
      <c r="H340" s="256"/>
      <c r="I340" s="237"/>
      <c r="J340" s="252"/>
      <c r="K340" s="239"/>
      <c r="L340" s="240"/>
      <c r="M340" s="8"/>
      <c r="N340" s="70"/>
      <c r="O340" s="71"/>
      <c r="P340" s="100"/>
      <c r="Q340" s="9"/>
      <c r="R340" s="9"/>
      <c r="S340" s="9"/>
      <c r="T340" s="257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5"/>
      <c r="BO340" s="295"/>
      <c r="BP340" s="295"/>
      <c r="BQ340" s="295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3"/>
      <c r="B341" s="258"/>
      <c r="C341" s="254"/>
      <c r="D341" s="233"/>
      <c r="E341" s="234"/>
      <c r="F341" s="235"/>
      <c r="G341" s="255"/>
      <c r="H341" s="256"/>
      <c r="I341" s="237"/>
      <c r="J341" s="252"/>
      <c r="K341" s="239"/>
      <c r="L341" s="240"/>
      <c r="M341" s="8"/>
      <c r="N341" s="70"/>
      <c r="O341" s="71"/>
      <c r="P341" s="100"/>
      <c r="Q341" s="9"/>
      <c r="R341" s="9"/>
      <c r="S341" s="9"/>
      <c r="T341" s="257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5"/>
      <c r="BO341" s="295"/>
      <c r="BP341" s="295"/>
      <c r="BQ341" s="295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3"/>
      <c r="B342" s="258"/>
      <c r="C342" s="254"/>
      <c r="D342" s="233"/>
      <c r="E342" s="234"/>
      <c r="F342" s="235"/>
      <c r="G342" s="255"/>
      <c r="H342" s="256"/>
      <c r="I342" s="237"/>
      <c r="J342" s="252"/>
      <c r="K342" s="239"/>
      <c r="L342" s="240"/>
      <c r="M342" s="8"/>
      <c r="N342" s="70"/>
      <c r="O342" s="71"/>
      <c r="P342" s="100"/>
      <c r="Q342" s="9"/>
      <c r="R342" s="9"/>
      <c r="S342" s="9"/>
      <c r="T342" s="257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5"/>
      <c r="BO342" s="295"/>
      <c r="BP342" s="295"/>
      <c r="BQ342" s="295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3"/>
      <c r="B343" s="254"/>
      <c r="C343" s="254"/>
      <c r="D343" s="233"/>
      <c r="E343" s="234"/>
      <c r="F343" s="235"/>
      <c r="G343" s="255"/>
      <c r="H343" s="256"/>
      <c r="I343" s="237"/>
      <c r="J343" s="252"/>
      <c r="K343" s="239"/>
      <c r="L343" s="240"/>
      <c r="M343" s="8"/>
      <c r="N343" s="70"/>
      <c r="O343" s="71"/>
      <c r="P343" s="100"/>
      <c r="Q343" s="9"/>
      <c r="R343" s="9"/>
      <c r="S343" s="9"/>
      <c r="T343" s="257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5"/>
      <c r="BO343" s="295"/>
      <c r="BP343" s="295"/>
      <c r="BQ343" s="295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3"/>
      <c r="B344" s="254"/>
      <c r="C344" s="254"/>
      <c r="D344" s="233"/>
      <c r="E344" s="234"/>
      <c r="F344" s="235"/>
      <c r="G344" s="255"/>
      <c r="H344" s="256"/>
      <c r="I344" s="237"/>
      <c r="J344" s="252"/>
      <c r="K344" s="239"/>
      <c r="L344" s="240"/>
      <c r="M344" s="8"/>
      <c r="N344" s="70"/>
      <c r="O344" s="71"/>
      <c r="P344" s="100"/>
      <c r="Q344" s="9"/>
      <c r="R344" s="9"/>
      <c r="S344" s="9"/>
      <c r="T344" s="257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5"/>
      <c r="BO344" s="295"/>
      <c r="BP344" s="295"/>
      <c r="BQ344" s="295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3"/>
      <c r="B345" s="254"/>
      <c r="C345" s="254"/>
      <c r="D345" s="233"/>
      <c r="E345" s="234"/>
      <c r="F345" s="235"/>
      <c r="G345" s="255"/>
      <c r="H345" s="256"/>
      <c r="I345" s="237"/>
      <c r="J345" s="252"/>
      <c r="K345" s="239"/>
      <c r="L345" s="240"/>
      <c r="M345" s="8"/>
      <c r="N345" s="70"/>
      <c r="O345" s="71"/>
      <c r="P345" s="100"/>
      <c r="Q345" s="9"/>
      <c r="R345" s="9"/>
      <c r="S345" s="9"/>
      <c r="T345" s="257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5"/>
      <c r="BO345" s="295"/>
      <c r="BP345" s="295"/>
      <c r="BQ345" s="295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3"/>
      <c r="B346" s="254"/>
      <c r="C346" s="254"/>
      <c r="D346" s="233"/>
      <c r="E346" s="234"/>
      <c r="F346" s="235"/>
      <c r="G346" s="255"/>
      <c r="H346" s="256"/>
      <c r="I346" s="237"/>
      <c r="J346" s="252"/>
      <c r="K346" s="239"/>
      <c r="L346" s="240"/>
      <c r="M346" s="8"/>
      <c r="N346" s="70"/>
      <c r="O346" s="71"/>
      <c r="P346" s="100"/>
      <c r="Q346" s="9"/>
      <c r="R346" s="9"/>
      <c r="S346" s="9"/>
      <c r="T346" s="257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5"/>
      <c r="BO346" s="295"/>
      <c r="BP346" s="295"/>
      <c r="BQ346" s="295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3"/>
      <c r="B347" s="254"/>
      <c r="C347" s="254"/>
      <c r="D347" s="233"/>
      <c r="E347" s="234"/>
      <c r="F347" s="235"/>
      <c r="G347" s="255"/>
      <c r="H347" s="256"/>
      <c r="I347" s="237"/>
      <c r="J347" s="252"/>
      <c r="K347" s="239"/>
      <c r="L347" s="240"/>
      <c r="M347" s="8"/>
      <c r="N347" s="241"/>
      <c r="O347" s="239"/>
      <c r="P347" s="240"/>
      <c r="Q347" s="9"/>
      <c r="R347" s="9"/>
      <c r="S347" s="9"/>
      <c r="T347" s="257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5"/>
      <c r="BO347" s="295"/>
      <c r="BP347" s="295"/>
      <c r="BQ347" s="295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3"/>
      <c r="B348" s="254"/>
      <c r="C348" s="254"/>
      <c r="D348" s="233"/>
      <c r="E348" s="234"/>
      <c r="F348" s="235"/>
      <c r="G348" s="255"/>
      <c r="H348" s="256"/>
      <c r="I348" s="237"/>
      <c r="J348" s="252"/>
      <c r="K348" s="239"/>
      <c r="L348" s="240"/>
      <c r="M348" s="8"/>
      <c r="N348" s="70"/>
      <c r="O348" s="71"/>
      <c r="P348" s="100"/>
      <c r="Q348" s="9"/>
      <c r="R348" s="9"/>
      <c r="S348" s="9"/>
      <c r="T348" s="257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5"/>
      <c r="BO348" s="295"/>
      <c r="BP348" s="295"/>
      <c r="BQ348" s="295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3"/>
      <c r="B349" s="254"/>
      <c r="C349" s="254"/>
      <c r="D349" s="233"/>
      <c r="E349" s="234"/>
      <c r="F349" s="235"/>
      <c r="G349" s="255"/>
      <c r="H349" s="256"/>
      <c r="I349" s="237"/>
      <c r="J349" s="252"/>
      <c r="K349" s="239"/>
      <c r="L349" s="240"/>
      <c r="M349" s="8"/>
      <c r="N349" s="70"/>
      <c r="O349" s="71"/>
      <c r="P349" s="100"/>
      <c r="Q349" s="9"/>
      <c r="R349" s="9"/>
      <c r="S349" s="9"/>
      <c r="T349" s="257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5"/>
      <c r="BO349" s="295"/>
      <c r="BP349" s="295"/>
      <c r="BQ349" s="295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3"/>
      <c r="B350" s="254"/>
      <c r="C350" s="254"/>
      <c r="D350" s="233"/>
      <c r="E350" s="234"/>
      <c r="F350" s="235"/>
      <c r="G350" s="255"/>
      <c r="H350" s="256"/>
      <c r="I350" s="237"/>
      <c r="J350" s="252"/>
      <c r="K350" s="239"/>
      <c r="L350" s="240"/>
      <c r="M350" s="8"/>
      <c r="N350" s="70"/>
      <c r="O350" s="71"/>
      <c r="P350" s="100"/>
      <c r="Q350" s="9"/>
      <c r="R350" s="9"/>
      <c r="S350" s="9"/>
      <c r="T350" s="257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5"/>
      <c r="BO350" s="295"/>
      <c r="BP350" s="295"/>
      <c r="BQ350" s="295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3"/>
      <c r="B351" s="254"/>
      <c r="C351" s="254"/>
      <c r="D351" s="233"/>
      <c r="E351" s="234"/>
      <c r="F351" s="235"/>
      <c r="G351" s="255"/>
      <c r="H351" s="256"/>
      <c r="I351" s="237"/>
      <c r="J351" s="252"/>
      <c r="K351" s="239"/>
      <c r="L351" s="240"/>
      <c r="M351" s="8"/>
      <c r="N351" s="70"/>
      <c r="O351" s="71"/>
      <c r="P351" s="100"/>
      <c r="Q351" s="9"/>
      <c r="R351" s="9"/>
      <c r="S351" s="9"/>
      <c r="T351" s="257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5"/>
      <c r="BO351" s="295"/>
      <c r="BP351" s="295"/>
      <c r="BQ351" s="295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3"/>
      <c r="B352" s="254"/>
      <c r="C352" s="254"/>
      <c r="D352" s="233"/>
      <c r="E352" s="234"/>
      <c r="F352" s="235"/>
      <c r="G352" s="255"/>
      <c r="H352" s="256"/>
      <c r="I352" s="237"/>
      <c r="J352" s="252"/>
      <c r="K352" s="239"/>
      <c r="L352" s="240"/>
      <c r="M352" s="8"/>
      <c r="N352" s="70"/>
      <c r="O352" s="71"/>
      <c r="P352" s="100"/>
      <c r="Q352" s="9"/>
      <c r="R352" s="9"/>
      <c r="S352" s="9"/>
      <c r="T352" s="257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5"/>
      <c r="BO352" s="295"/>
      <c r="BP352" s="295"/>
      <c r="BQ352" s="295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3"/>
      <c r="B353" s="254"/>
      <c r="C353" s="254"/>
      <c r="D353" s="233"/>
      <c r="E353" s="234"/>
      <c r="F353" s="235"/>
      <c r="G353" s="255"/>
      <c r="H353" s="256"/>
      <c r="I353" s="237"/>
      <c r="J353" s="252"/>
      <c r="K353" s="239"/>
      <c r="L353" s="240"/>
      <c r="M353" s="8"/>
      <c r="N353" s="70"/>
      <c r="O353" s="71"/>
      <c r="P353" s="100"/>
      <c r="Q353" s="9"/>
      <c r="R353" s="9"/>
      <c r="S353" s="9"/>
      <c r="T353" s="257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5"/>
      <c r="BO353" s="295"/>
      <c r="BP353" s="295"/>
      <c r="BQ353" s="295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3"/>
      <c r="B354" s="254"/>
      <c r="C354" s="254"/>
      <c r="D354" s="233"/>
      <c r="E354" s="234"/>
      <c r="F354" s="235"/>
      <c r="G354" s="255"/>
      <c r="H354" s="256"/>
      <c r="I354" s="237"/>
      <c r="J354" s="252"/>
      <c r="K354" s="239"/>
      <c r="L354" s="240"/>
      <c r="M354" s="8"/>
      <c r="N354" s="70"/>
      <c r="O354" s="71"/>
      <c r="P354" s="100"/>
      <c r="Q354" s="9"/>
      <c r="R354" s="9"/>
      <c r="S354" s="9"/>
      <c r="T354" s="257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5"/>
      <c r="BO354" s="295"/>
      <c r="BP354" s="295"/>
      <c r="BQ354" s="295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3"/>
      <c r="B355" s="254"/>
      <c r="C355" s="254"/>
      <c r="D355" s="233"/>
      <c r="E355" s="234"/>
      <c r="F355" s="235"/>
      <c r="G355" s="255"/>
      <c r="H355" s="256"/>
      <c r="I355" s="237"/>
      <c r="J355" s="252"/>
      <c r="K355" s="239"/>
      <c r="L355" s="240"/>
      <c r="M355" s="8"/>
      <c r="N355" s="70"/>
      <c r="O355" s="71"/>
      <c r="P355" s="100"/>
      <c r="Q355" s="9"/>
      <c r="R355" s="9"/>
      <c r="S355" s="9"/>
      <c r="T355" s="257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5"/>
      <c r="BO355" s="295"/>
      <c r="BP355" s="295"/>
      <c r="BQ355" s="295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3"/>
      <c r="B356" s="254"/>
      <c r="C356" s="254"/>
      <c r="D356" s="233"/>
      <c r="E356" s="234"/>
      <c r="F356" s="235"/>
      <c r="G356" s="255"/>
      <c r="H356" s="256"/>
      <c r="I356" s="237"/>
      <c r="J356" s="252"/>
      <c r="K356" s="239"/>
      <c r="L356" s="240"/>
      <c r="M356" s="8"/>
      <c r="N356" s="70"/>
      <c r="O356" s="71"/>
      <c r="P356" s="100"/>
      <c r="Q356" s="9"/>
      <c r="R356" s="9"/>
      <c r="S356" s="9"/>
      <c r="T356" s="257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5"/>
      <c r="BO356" s="295"/>
      <c r="BP356" s="295"/>
      <c r="BQ356" s="295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3"/>
      <c r="B357" s="258"/>
      <c r="C357" s="254"/>
      <c r="D357" s="233"/>
      <c r="E357" s="234"/>
      <c r="F357" s="235"/>
      <c r="G357" s="255"/>
      <c r="H357" s="256"/>
      <c r="I357" s="237"/>
      <c r="J357" s="252"/>
      <c r="K357" s="239"/>
      <c r="L357" s="240"/>
      <c r="M357" s="8"/>
      <c r="N357" s="70"/>
      <c r="O357" s="71"/>
      <c r="P357" s="100"/>
      <c r="Q357" s="9"/>
      <c r="R357" s="9"/>
      <c r="S357" s="9"/>
      <c r="T357" s="257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5"/>
      <c r="BO357" s="295"/>
      <c r="BP357" s="295"/>
      <c r="BQ357" s="295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3"/>
      <c r="B358" s="258"/>
      <c r="C358" s="254"/>
      <c r="D358" s="233"/>
      <c r="E358" s="234"/>
      <c r="F358" s="235"/>
      <c r="G358" s="255"/>
      <c r="H358" s="256"/>
      <c r="I358" s="237"/>
      <c r="J358" s="252"/>
      <c r="K358" s="239"/>
      <c r="L358" s="240"/>
      <c r="M358" s="8"/>
      <c r="N358" s="70"/>
      <c r="O358" s="71"/>
      <c r="P358" s="100"/>
      <c r="Q358" s="9"/>
      <c r="R358" s="9"/>
      <c r="S358" s="9"/>
      <c r="T358" s="257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5"/>
      <c r="BO358" s="295"/>
      <c r="BP358" s="295"/>
      <c r="BQ358" s="295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3"/>
      <c r="B359" s="258"/>
      <c r="C359" s="254"/>
      <c r="D359" s="233"/>
      <c r="E359" s="234"/>
      <c r="F359" s="235"/>
      <c r="G359" s="255"/>
      <c r="H359" s="256"/>
      <c r="I359" s="237"/>
      <c r="J359" s="252"/>
      <c r="K359" s="239"/>
      <c r="L359" s="240"/>
      <c r="M359" s="8"/>
      <c r="N359" s="70"/>
      <c r="O359" s="71"/>
      <c r="P359" s="100"/>
      <c r="Q359" s="9"/>
      <c r="R359" s="9"/>
      <c r="S359" s="9"/>
      <c r="T359" s="257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5"/>
      <c r="BO359" s="295"/>
      <c r="BP359" s="295"/>
      <c r="BQ359" s="295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3"/>
      <c r="B360" s="258"/>
      <c r="C360" s="254"/>
      <c r="D360" s="233"/>
      <c r="E360" s="234"/>
      <c r="F360" s="235"/>
      <c r="G360" s="255"/>
      <c r="H360" s="256"/>
      <c r="I360" s="237"/>
      <c r="J360" s="252"/>
      <c r="K360" s="239"/>
      <c r="L360" s="240"/>
      <c r="M360" s="8"/>
      <c r="N360" s="70"/>
      <c r="O360" s="71"/>
      <c r="P360" s="100"/>
      <c r="Q360" s="9"/>
      <c r="R360" s="9"/>
      <c r="S360" s="9"/>
      <c r="T360" s="257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5"/>
      <c r="BO360" s="295"/>
      <c r="BP360" s="295"/>
      <c r="BQ360" s="295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3"/>
      <c r="B361" s="254"/>
      <c r="C361" s="254"/>
      <c r="D361" s="233"/>
      <c r="E361" s="234"/>
      <c r="F361" s="235"/>
      <c r="G361" s="255"/>
      <c r="H361" s="256"/>
      <c r="I361" s="237"/>
      <c r="J361" s="252"/>
      <c r="K361" s="239"/>
      <c r="L361" s="240"/>
      <c r="M361" s="8"/>
      <c r="N361" s="70"/>
      <c r="O361" s="71"/>
      <c r="P361" s="100"/>
      <c r="Q361" s="9"/>
      <c r="R361" s="9"/>
      <c r="S361" s="9"/>
      <c r="T361" s="257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5"/>
      <c r="BO361" s="295"/>
      <c r="BP361" s="295"/>
      <c r="BQ361" s="295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3"/>
      <c r="B362" s="254"/>
      <c r="C362" s="254"/>
      <c r="D362" s="233"/>
      <c r="E362" s="234"/>
      <c r="F362" s="235"/>
      <c r="G362" s="255"/>
      <c r="H362" s="256"/>
      <c r="I362" s="237"/>
      <c r="J362" s="252"/>
      <c r="K362" s="239"/>
      <c r="L362" s="240"/>
      <c r="M362" s="8"/>
      <c r="N362" s="70"/>
      <c r="O362" s="71"/>
      <c r="P362" s="100"/>
      <c r="Q362" s="9"/>
      <c r="R362" s="9"/>
      <c r="S362" s="9"/>
      <c r="T362" s="257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5"/>
      <c r="BO362" s="295"/>
      <c r="BP362" s="295"/>
      <c r="BQ362" s="295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3"/>
      <c r="B363" s="254"/>
      <c r="C363" s="254"/>
      <c r="D363" s="233"/>
      <c r="E363" s="234"/>
      <c r="F363" s="235"/>
      <c r="G363" s="255"/>
      <c r="H363" s="256"/>
      <c r="I363" s="237"/>
      <c r="J363" s="252"/>
      <c r="K363" s="239"/>
      <c r="L363" s="240"/>
      <c r="M363" s="8"/>
      <c r="N363" s="70"/>
      <c r="O363" s="71"/>
      <c r="P363" s="100"/>
      <c r="Q363" s="9"/>
      <c r="R363" s="9"/>
      <c r="S363" s="9"/>
      <c r="T363" s="257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5"/>
      <c r="BO363" s="295"/>
      <c r="BP363" s="295"/>
      <c r="BQ363" s="295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3"/>
      <c r="B364" s="254"/>
      <c r="C364" s="254"/>
      <c r="D364" s="233"/>
      <c r="E364" s="234"/>
      <c r="F364" s="235"/>
      <c r="G364" s="255"/>
      <c r="H364" s="256"/>
      <c r="I364" s="237"/>
      <c r="J364" s="252"/>
      <c r="K364" s="239"/>
      <c r="L364" s="240"/>
      <c r="M364" s="8"/>
      <c r="N364" s="70"/>
      <c r="O364" s="71"/>
      <c r="P364" s="100"/>
      <c r="Q364" s="9"/>
      <c r="R364" s="9"/>
      <c r="S364" s="9"/>
      <c r="T364" s="257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5"/>
      <c r="BO364" s="295"/>
      <c r="BP364" s="295"/>
      <c r="BQ364" s="295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3"/>
      <c r="B365" s="254"/>
      <c r="C365" s="254"/>
      <c r="D365" s="233"/>
      <c r="E365" s="234"/>
      <c r="F365" s="235"/>
      <c r="G365" s="255"/>
      <c r="H365" s="256"/>
      <c r="I365" s="237"/>
      <c r="J365" s="252"/>
      <c r="K365" s="239"/>
      <c r="L365" s="240"/>
      <c r="M365" s="8"/>
      <c r="N365" s="70"/>
      <c r="O365" s="71"/>
      <c r="P365" s="100"/>
      <c r="Q365" s="9"/>
      <c r="R365" s="9"/>
      <c r="S365" s="9"/>
      <c r="T365" s="257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5"/>
      <c r="BO365" s="295"/>
      <c r="BP365" s="295"/>
      <c r="BQ365" s="295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3"/>
      <c r="B366" s="258"/>
      <c r="C366" s="254"/>
      <c r="D366" s="233"/>
      <c r="E366" s="234"/>
      <c r="F366" s="235"/>
      <c r="G366" s="255"/>
      <c r="H366" s="256"/>
      <c r="I366" s="237"/>
      <c r="J366" s="252"/>
      <c r="K366" s="239"/>
      <c r="L366" s="240"/>
      <c r="M366" s="8"/>
      <c r="N366" s="70"/>
      <c r="O366" s="71"/>
      <c r="P366" s="100"/>
      <c r="Q366" s="9"/>
      <c r="R366" s="9"/>
      <c r="S366" s="9"/>
      <c r="T366" s="257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5"/>
      <c r="BO366" s="295"/>
      <c r="BP366" s="295"/>
      <c r="BQ366" s="295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3"/>
      <c r="B367" s="258"/>
      <c r="C367" s="254"/>
      <c r="D367" s="233"/>
      <c r="E367" s="234"/>
      <c r="F367" s="235"/>
      <c r="G367" s="255"/>
      <c r="H367" s="256"/>
      <c r="I367" s="237"/>
      <c r="J367" s="252"/>
      <c r="K367" s="239"/>
      <c r="L367" s="240"/>
      <c r="M367" s="8"/>
      <c r="N367" s="70"/>
      <c r="O367" s="71"/>
      <c r="P367" s="100"/>
      <c r="Q367" s="9"/>
      <c r="R367" s="9"/>
      <c r="S367" s="9"/>
      <c r="T367" s="257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5"/>
      <c r="BO367" s="295"/>
      <c r="BP367" s="295"/>
      <c r="BQ367" s="295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3"/>
      <c r="B368" s="258"/>
      <c r="C368" s="254"/>
      <c r="D368" s="233"/>
      <c r="E368" s="234"/>
      <c r="F368" s="235"/>
      <c r="G368" s="255"/>
      <c r="H368" s="256"/>
      <c r="I368" s="237"/>
      <c r="J368" s="252"/>
      <c r="K368" s="239"/>
      <c r="L368" s="240"/>
      <c r="M368" s="8"/>
      <c r="N368" s="70"/>
      <c r="O368" s="71"/>
      <c r="P368" s="100"/>
      <c r="Q368" s="9"/>
      <c r="R368" s="9"/>
      <c r="S368" s="9"/>
      <c r="T368" s="257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5"/>
      <c r="BO368" s="295"/>
      <c r="BP368" s="295"/>
      <c r="BQ368" s="295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3"/>
      <c r="B369" s="254"/>
      <c r="C369" s="254"/>
      <c r="D369" s="233"/>
      <c r="E369" s="234"/>
      <c r="F369" s="235"/>
      <c r="G369" s="255"/>
      <c r="H369" s="256"/>
      <c r="I369" s="237"/>
      <c r="J369" s="252"/>
      <c r="K369" s="239"/>
      <c r="L369" s="240"/>
      <c r="M369" s="8"/>
      <c r="N369" s="241"/>
      <c r="O369" s="239"/>
      <c r="P369" s="240"/>
      <c r="Q369" s="9"/>
      <c r="R369" s="9"/>
      <c r="S369" s="9"/>
      <c r="T369" s="257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5"/>
      <c r="BO369" s="295"/>
      <c r="BP369" s="295"/>
      <c r="BQ369" s="295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3"/>
      <c r="B370" s="254"/>
      <c r="C370" s="254"/>
      <c r="D370" s="233"/>
      <c r="E370" s="234"/>
      <c r="F370" s="235"/>
      <c r="G370" s="255"/>
      <c r="H370" s="256"/>
      <c r="I370" s="237"/>
      <c r="J370" s="252"/>
      <c r="K370" s="239"/>
      <c r="L370" s="240"/>
      <c r="M370" s="8"/>
      <c r="N370" s="70"/>
      <c r="O370" s="71"/>
      <c r="P370" s="100"/>
      <c r="Q370" s="9"/>
      <c r="R370" s="9"/>
      <c r="S370" s="9"/>
      <c r="T370" s="257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5"/>
      <c r="BO370" s="295"/>
      <c r="BP370" s="295"/>
      <c r="BQ370" s="295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3"/>
      <c r="B371" s="254"/>
      <c r="C371" s="254"/>
      <c r="D371" s="233"/>
      <c r="E371" s="234"/>
      <c r="F371" s="235"/>
      <c r="G371" s="255"/>
      <c r="H371" s="256"/>
      <c r="I371" s="237"/>
      <c r="J371" s="252"/>
      <c r="K371" s="239"/>
      <c r="L371" s="240"/>
      <c r="M371" s="8"/>
      <c r="N371" s="70"/>
      <c r="O371" s="71"/>
      <c r="P371" s="100"/>
      <c r="Q371" s="9"/>
      <c r="R371" s="9"/>
      <c r="S371" s="9"/>
      <c r="T371" s="257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5"/>
      <c r="BO371" s="295"/>
      <c r="BP371" s="295"/>
      <c r="BQ371" s="295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3"/>
      <c r="B372" s="254"/>
      <c r="C372" s="254"/>
      <c r="D372" s="233"/>
      <c r="E372" s="234"/>
      <c r="F372" s="235"/>
      <c r="G372" s="255"/>
      <c r="H372" s="256"/>
      <c r="I372" s="237"/>
      <c r="J372" s="252"/>
      <c r="K372" s="239"/>
      <c r="L372" s="240"/>
      <c r="M372" s="8"/>
      <c r="N372" s="70"/>
      <c r="O372" s="71"/>
      <c r="P372" s="100"/>
      <c r="Q372" s="9"/>
      <c r="R372" s="9"/>
      <c r="S372" s="9"/>
      <c r="T372" s="257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5"/>
      <c r="BO372" s="295"/>
      <c r="BP372" s="295"/>
      <c r="BQ372" s="295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3"/>
      <c r="B373" s="254"/>
      <c r="C373" s="254"/>
      <c r="D373" s="233"/>
      <c r="E373" s="234"/>
      <c r="F373" s="235"/>
      <c r="G373" s="255"/>
      <c r="H373" s="256"/>
      <c r="I373" s="237"/>
      <c r="J373" s="252"/>
      <c r="K373" s="239"/>
      <c r="L373" s="240"/>
      <c r="M373" s="8"/>
      <c r="N373" s="70"/>
      <c r="O373" s="71"/>
      <c r="P373" s="100"/>
      <c r="Q373" s="9"/>
      <c r="R373" s="9"/>
      <c r="S373" s="9"/>
      <c r="T373" s="257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5"/>
      <c r="BO373" s="295"/>
      <c r="BP373" s="295"/>
      <c r="BQ373" s="295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3"/>
      <c r="B374" s="254"/>
      <c r="C374" s="254"/>
      <c r="D374" s="233"/>
      <c r="E374" s="234"/>
      <c r="F374" s="235"/>
      <c r="G374" s="255"/>
      <c r="H374" s="256"/>
      <c r="I374" s="237"/>
      <c r="J374" s="252"/>
      <c r="K374" s="239"/>
      <c r="L374" s="240"/>
      <c r="M374" s="8"/>
      <c r="N374" s="70"/>
      <c r="O374" s="71"/>
      <c r="P374" s="100"/>
      <c r="Q374" s="9"/>
      <c r="R374" s="9"/>
      <c r="S374" s="9"/>
      <c r="T374" s="257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5"/>
      <c r="BO374" s="295"/>
      <c r="BP374" s="295"/>
      <c r="BQ374" s="295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3"/>
      <c r="B375" s="254"/>
      <c r="C375" s="254"/>
      <c r="D375" s="233"/>
      <c r="E375" s="234"/>
      <c r="F375" s="235"/>
      <c r="G375" s="255"/>
      <c r="H375" s="256"/>
      <c r="I375" s="237"/>
      <c r="J375" s="252"/>
      <c r="K375" s="239"/>
      <c r="L375" s="240"/>
      <c r="M375" s="8"/>
      <c r="N375" s="70"/>
      <c r="O375" s="71"/>
      <c r="P375" s="100"/>
      <c r="Q375" s="9"/>
      <c r="R375" s="9"/>
      <c r="S375" s="9"/>
      <c r="T375" s="257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5"/>
      <c r="BO375" s="295"/>
      <c r="BP375" s="295"/>
      <c r="BQ375" s="295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3"/>
      <c r="B376" s="254"/>
      <c r="C376" s="254"/>
      <c r="D376" s="233"/>
      <c r="E376" s="234"/>
      <c r="F376" s="235"/>
      <c r="G376" s="255"/>
      <c r="H376" s="256"/>
      <c r="I376" s="237"/>
      <c r="J376" s="252"/>
      <c r="K376" s="239"/>
      <c r="L376" s="240"/>
      <c r="M376" s="8"/>
      <c r="N376" s="70"/>
      <c r="O376" s="71"/>
      <c r="P376" s="100"/>
      <c r="Q376" s="9"/>
      <c r="R376" s="9"/>
      <c r="S376" s="9"/>
      <c r="T376" s="257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5"/>
      <c r="BO376" s="295"/>
      <c r="BP376" s="295"/>
      <c r="BQ376" s="295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3"/>
      <c r="B377" s="254"/>
      <c r="C377" s="254"/>
      <c r="D377" s="233"/>
      <c r="E377" s="234"/>
      <c r="F377" s="235"/>
      <c r="G377" s="255"/>
      <c r="H377" s="256"/>
      <c r="I377" s="237"/>
      <c r="J377" s="252"/>
      <c r="K377" s="239"/>
      <c r="L377" s="240"/>
      <c r="M377" s="8"/>
      <c r="N377" s="70"/>
      <c r="O377" s="71"/>
      <c r="P377" s="100"/>
      <c r="Q377" s="9"/>
      <c r="R377" s="9"/>
      <c r="S377" s="9"/>
      <c r="T377" s="257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5"/>
      <c r="BO377" s="295"/>
      <c r="BP377" s="295"/>
      <c r="BQ377" s="295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3"/>
      <c r="B378" s="254"/>
      <c r="C378" s="254"/>
      <c r="D378" s="233"/>
      <c r="E378" s="234"/>
      <c r="F378" s="235"/>
      <c r="G378" s="255"/>
      <c r="H378" s="256"/>
      <c r="I378" s="237"/>
      <c r="J378" s="252"/>
      <c r="K378" s="239"/>
      <c r="L378" s="240"/>
      <c r="M378" s="8"/>
      <c r="N378" s="70"/>
      <c r="O378" s="71"/>
      <c r="P378" s="100"/>
      <c r="Q378" s="9"/>
      <c r="R378" s="9"/>
      <c r="S378" s="9"/>
      <c r="T378" s="257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5"/>
      <c r="BO378" s="295"/>
      <c r="BP378" s="295"/>
      <c r="BQ378" s="295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3"/>
      <c r="B379" s="254"/>
      <c r="C379" s="254"/>
      <c r="D379" s="233"/>
      <c r="E379" s="234"/>
      <c r="F379" s="235"/>
      <c r="G379" s="255"/>
      <c r="H379" s="256"/>
      <c r="I379" s="237"/>
      <c r="J379" s="252"/>
      <c r="K379" s="239"/>
      <c r="L379" s="240"/>
      <c r="M379" s="8"/>
      <c r="N379" s="70"/>
      <c r="O379" s="71"/>
      <c r="P379" s="100"/>
      <c r="Q379" s="9"/>
      <c r="R379" s="9"/>
      <c r="S379" s="9"/>
      <c r="T379" s="257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5"/>
      <c r="BO379" s="295"/>
      <c r="BP379" s="295"/>
      <c r="BQ379" s="295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3"/>
      <c r="B380" s="254"/>
      <c r="C380" s="254"/>
      <c r="D380" s="233"/>
      <c r="E380" s="234"/>
      <c r="F380" s="235"/>
      <c r="G380" s="255"/>
      <c r="H380" s="256"/>
      <c r="I380" s="237"/>
      <c r="J380" s="252"/>
      <c r="K380" s="239"/>
      <c r="L380" s="240"/>
      <c r="M380" s="8"/>
      <c r="N380" s="70"/>
      <c r="O380" s="71"/>
      <c r="P380" s="100"/>
      <c r="Q380" s="9"/>
      <c r="R380" s="9"/>
      <c r="S380" s="9"/>
      <c r="T380" s="257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5"/>
      <c r="BO380" s="295"/>
      <c r="BP380" s="295"/>
      <c r="BQ380" s="295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3"/>
      <c r="B381" s="254"/>
      <c r="C381" s="254"/>
      <c r="D381" s="233"/>
      <c r="E381" s="234"/>
      <c r="F381" s="235"/>
      <c r="G381" s="255"/>
      <c r="H381" s="256"/>
      <c r="I381" s="237"/>
      <c r="J381" s="252"/>
      <c r="K381" s="239"/>
      <c r="L381" s="240"/>
      <c r="M381" s="8"/>
      <c r="N381" s="70"/>
      <c r="O381" s="71"/>
      <c r="P381" s="100"/>
      <c r="Q381" s="9"/>
      <c r="R381" s="9"/>
      <c r="S381" s="9"/>
      <c r="T381" s="257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5"/>
      <c r="BO381" s="295"/>
      <c r="BP381" s="295"/>
      <c r="BQ381" s="295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3"/>
      <c r="B382" s="254"/>
      <c r="C382" s="254"/>
      <c r="D382" s="233"/>
      <c r="E382" s="234"/>
      <c r="F382" s="235"/>
      <c r="G382" s="255"/>
      <c r="H382" s="256"/>
      <c r="I382" s="237"/>
      <c r="J382" s="252"/>
      <c r="K382" s="239"/>
      <c r="L382" s="240"/>
      <c r="M382" s="8"/>
      <c r="N382" s="70"/>
      <c r="O382" s="71"/>
      <c r="P382" s="100"/>
      <c r="Q382" s="9"/>
      <c r="R382" s="9"/>
      <c r="S382" s="9"/>
      <c r="T382" s="257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5"/>
      <c r="BO382" s="295"/>
      <c r="BP382" s="295"/>
      <c r="BQ382" s="295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3"/>
      <c r="B383" s="254"/>
      <c r="C383" s="254"/>
      <c r="D383" s="233"/>
      <c r="E383" s="234"/>
      <c r="F383" s="235"/>
      <c r="G383" s="255"/>
      <c r="H383" s="256"/>
      <c r="I383" s="237"/>
      <c r="J383" s="252"/>
      <c r="K383" s="239"/>
      <c r="L383" s="240"/>
      <c r="M383" s="8"/>
      <c r="N383" s="70"/>
      <c r="O383" s="71"/>
      <c r="P383" s="100"/>
      <c r="Q383" s="9"/>
      <c r="R383" s="9"/>
      <c r="S383" s="9"/>
      <c r="T383" s="257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5"/>
      <c r="BO383" s="295"/>
      <c r="BP383" s="295"/>
      <c r="BQ383" s="295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3"/>
      <c r="B384" s="254"/>
      <c r="C384" s="254"/>
      <c r="D384" s="233"/>
      <c r="E384" s="234"/>
      <c r="F384" s="235"/>
      <c r="G384" s="255"/>
      <c r="H384" s="256"/>
      <c r="I384" s="237"/>
      <c r="J384" s="252"/>
      <c r="K384" s="239"/>
      <c r="L384" s="240"/>
      <c r="M384" s="8"/>
      <c r="N384" s="70"/>
      <c r="O384" s="71"/>
      <c r="P384" s="100"/>
      <c r="Q384" s="9"/>
      <c r="R384" s="9"/>
      <c r="S384" s="9"/>
      <c r="T384" s="257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5"/>
      <c r="BO384" s="295"/>
      <c r="BP384" s="295"/>
      <c r="BQ384" s="295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3"/>
      <c r="B385" s="254"/>
      <c r="C385" s="254"/>
      <c r="D385" s="233"/>
      <c r="E385" s="234"/>
      <c r="F385" s="235"/>
      <c r="G385" s="255"/>
      <c r="H385" s="256"/>
      <c r="I385" s="237"/>
      <c r="J385" s="252"/>
      <c r="K385" s="239"/>
      <c r="L385" s="240"/>
      <c r="M385" s="8"/>
      <c r="N385" s="70"/>
      <c r="O385" s="71"/>
      <c r="P385" s="100"/>
      <c r="Q385" s="9"/>
      <c r="R385" s="9"/>
      <c r="S385" s="9"/>
      <c r="T385" s="257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5"/>
      <c r="BO385" s="295"/>
      <c r="BP385" s="295"/>
      <c r="BQ385" s="295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3"/>
      <c r="B386" s="254"/>
      <c r="C386" s="254"/>
      <c r="D386" s="233"/>
      <c r="E386" s="234"/>
      <c r="F386" s="235"/>
      <c r="G386" s="255"/>
      <c r="H386" s="256"/>
      <c r="I386" s="237"/>
      <c r="J386" s="252"/>
      <c r="K386" s="239"/>
      <c r="L386" s="240"/>
      <c r="M386" s="8"/>
      <c r="N386" s="70"/>
      <c r="O386" s="71"/>
      <c r="P386" s="100"/>
      <c r="Q386" s="9"/>
      <c r="R386" s="9"/>
      <c r="S386" s="9"/>
      <c r="T386" s="257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5"/>
      <c r="BO386" s="295"/>
      <c r="BP386" s="295"/>
      <c r="BQ386" s="295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3"/>
      <c r="B387" s="254"/>
      <c r="C387" s="254"/>
      <c r="D387" s="233"/>
      <c r="E387" s="234"/>
      <c r="F387" s="235"/>
      <c r="G387" s="255"/>
      <c r="H387" s="256"/>
      <c r="I387" s="237"/>
      <c r="J387" s="252"/>
      <c r="K387" s="239"/>
      <c r="L387" s="240"/>
      <c r="M387" s="8"/>
      <c r="N387" s="70"/>
      <c r="O387" s="71"/>
      <c r="P387" s="100"/>
      <c r="Q387" s="9"/>
      <c r="R387" s="9"/>
      <c r="S387" s="9"/>
      <c r="T387" s="257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5"/>
      <c r="BO387" s="295"/>
      <c r="BP387" s="295"/>
      <c r="BQ387" s="295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3"/>
      <c r="B388" s="254"/>
      <c r="C388" s="254"/>
      <c r="D388" s="233"/>
      <c r="E388" s="234"/>
      <c r="F388" s="235"/>
      <c r="G388" s="255"/>
      <c r="H388" s="256"/>
      <c r="I388" s="237"/>
      <c r="J388" s="252"/>
      <c r="K388" s="239"/>
      <c r="L388" s="240"/>
      <c r="M388" s="8"/>
      <c r="N388" s="70"/>
      <c r="O388" s="71"/>
      <c r="P388" s="100"/>
      <c r="Q388" s="9"/>
      <c r="R388" s="9"/>
      <c r="S388" s="9"/>
      <c r="T388" s="257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5"/>
      <c r="BO388" s="295"/>
      <c r="BP388" s="295"/>
      <c r="BQ388" s="295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3"/>
      <c r="B389" s="254"/>
      <c r="C389" s="254"/>
      <c r="D389" s="233"/>
      <c r="E389" s="234"/>
      <c r="F389" s="235"/>
      <c r="G389" s="255"/>
      <c r="H389" s="256"/>
      <c r="I389" s="237"/>
      <c r="J389" s="252"/>
      <c r="K389" s="239"/>
      <c r="L389" s="240"/>
      <c r="M389" s="8"/>
      <c r="N389" s="70"/>
      <c r="O389" s="71"/>
      <c r="P389" s="100"/>
      <c r="Q389" s="9"/>
      <c r="R389" s="9"/>
      <c r="S389" s="9"/>
      <c r="T389" s="257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5"/>
      <c r="BO389" s="295"/>
      <c r="BP389" s="295"/>
      <c r="BQ389" s="295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3"/>
      <c r="B390" s="254"/>
      <c r="C390" s="254"/>
      <c r="D390" s="233"/>
      <c r="E390" s="234"/>
      <c r="F390" s="235"/>
      <c r="G390" s="255"/>
      <c r="H390" s="256"/>
      <c r="I390" s="237"/>
      <c r="J390" s="252"/>
      <c r="K390" s="239"/>
      <c r="L390" s="240"/>
      <c r="M390" s="8"/>
      <c r="N390" s="70"/>
      <c r="O390" s="71"/>
      <c r="P390" s="100"/>
      <c r="Q390" s="9"/>
      <c r="R390" s="9"/>
      <c r="S390" s="9"/>
      <c r="T390" s="257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5"/>
      <c r="BO390" s="295"/>
      <c r="BP390" s="295"/>
      <c r="BQ390" s="295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3"/>
      <c r="B391" s="254"/>
      <c r="C391" s="254"/>
      <c r="D391" s="233"/>
      <c r="E391" s="234"/>
      <c r="F391" s="235"/>
      <c r="G391" s="255"/>
      <c r="H391" s="256"/>
      <c r="I391" s="237"/>
      <c r="J391" s="252"/>
      <c r="K391" s="239"/>
      <c r="L391" s="240"/>
      <c r="M391" s="8"/>
      <c r="N391" s="70"/>
      <c r="O391" s="71"/>
      <c r="P391" s="100"/>
      <c r="Q391" s="9"/>
      <c r="R391" s="9"/>
      <c r="S391" s="9"/>
      <c r="T391" s="257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5"/>
      <c r="BO391" s="295"/>
      <c r="BP391" s="295"/>
      <c r="BQ391" s="295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3"/>
      <c r="B392" s="254"/>
      <c r="C392" s="254"/>
      <c r="D392" s="233"/>
      <c r="E392" s="234"/>
      <c r="F392" s="235"/>
      <c r="G392" s="255"/>
      <c r="H392" s="256"/>
      <c r="I392" s="237"/>
      <c r="J392" s="252"/>
      <c r="K392" s="239"/>
      <c r="L392" s="240"/>
      <c r="M392" s="8"/>
      <c r="N392" s="70"/>
      <c r="O392" s="71"/>
      <c r="P392" s="100"/>
      <c r="Q392" s="9"/>
      <c r="R392" s="9"/>
      <c r="S392" s="9"/>
      <c r="T392" s="257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5"/>
      <c r="BO392" s="295"/>
      <c r="BP392" s="295"/>
      <c r="BQ392" s="295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3"/>
      <c r="B393" s="254"/>
      <c r="C393" s="254"/>
      <c r="D393" s="233"/>
      <c r="E393" s="234"/>
      <c r="F393" s="235"/>
      <c r="G393" s="255"/>
      <c r="H393" s="256"/>
      <c r="I393" s="237"/>
      <c r="J393" s="252"/>
      <c r="K393" s="239"/>
      <c r="L393" s="240"/>
      <c r="M393" s="8"/>
      <c r="N393" s="70"/>
      <c r="O393" s="71"/>
      <c r="P393" s="100"/>
      <c r="Q393" s="9"/>
      <c r="R393" s="9"/>
      <c r="S393" s="9"/>
      <c r="T393" s="257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5"/>
      <c r="BO393" s="295"/>
      <c r="BP393" s="295"/>
      <c r="BQ393" s="295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3"/>
      <c r="B394" s="254"/>
      <c r="C394" s="254"/>
      <c r="D394" s="233"/>
      <c r="E394" s="234"/>
      <c r="F394" s="235"/>
      <c r="G394" s="255"/>
      <c r="H394" s="256"/>
      <c r="I394" s="237"/>
      <c r="J394" s="252"/>
      <c r="K394" s="239"/>
      <c r="L394" s="240"/>
      <c r="M394" s="8"/>
      <c r="N394" s="70"/>
      <c r="O394" s="71"/>
      <c r="P394" s="100"/>
      <c r="Q394" s="9"/>
      <c r="R394" s="9"/>
      <c r="S394" s="9"/>
      <c r="T394" s="257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5"/>
      <c r="BO394" s="295"/>
      <c r="BP394" s="295"/>
      <c r="BQ394" s="295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3"/>
      <c r="B395" s="254"/>
      <c r="C395" s="254"/>
      <c r="D395" s="233"/>
      <c r="E395" s="234"/>
      <c r="F395" s="235"/>
      <c r="G395" s="255"/>
      <c r="H395" s="256"/>
      <c r="I395" s="237"/>
      <c r="J395" s="252"/>
      <c r="K395" s="239"/>
      <c r="L395" s="240"/>
      <c r="M395" s="8"/>
      <c r="N395" s="70"/>
      <c r="O395" s="71"/>
      <c r="P395" s="100"/>
      <c r="Q395" s="9"/>
      <c r="R395" s="9"/>
      <c r="S395" s="9"/>
      <c r="T395" s="257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5"/>
      <c r="BO395" s="295"/>
      <c r="BP395" s="295"/>
      <c r="BQ395" s="295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3"/>
      <c r="B396" s="254"/>
      <c r="C396" s="254"/>
      <c r="D396" s="233"/>
      <c r="E396" s="234"/>
      <c r="F396" s="235"/>
      <c r="G396" s="255"/>
      <c r="H396" s="256"/>
      <c r="I396" s="237"/>
      <c r="J396" s="252"/>
      <c r="K396" s="239"/>
      <c r="L396" s="240"/>
      <c r="M396" s="8"/>
      <c r="N396" s="70"/>
      <c r="O396" s="71"/>
      <c r="P396" s="100"/>
      <c r="Q396" s="9"/>
      <c r="R396" s="9"/>
      <c r="S396" s="9"/>
      <c r="T396" s="257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5"/>
      <c r="BO396" s="295"/>
      <c r="BP396" s="295"/>
      <c r="BQ396" s="295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3"/>
      <c r="B397" s="254"/>
      <c r="C397" s="254"/>
      <c r="D397" s="233"/>
      <c r="E397" s="234"/>
      <c r="F397" s="235"/>
      <c r="G397" s="255"/>
      <c r="H397" s="256"/>
      <c r="I397" s="237"/>
      <c r="J397" s="252"/>
      <c r="K397" s="239"/>
      <c r="L397" s="240"/>
      <c r="M397" s="8"/>
      <c r="N397" s="70"/>
      <c r="O397" s="71"/>
      <c r="P397" s="100"/>
      <c r="Q397" s="9"/>
      <c r="R397" s="9"/>
      <c r="S397" s="9"/>
      <c r="T397" s="257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5"/>
      <c r="BO397" s="295"/>
      <c r="BP397" s="295"/>
      <c r="BQ397" s="295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3"/>
      <c r="B398" s="254"/>
      <c r="C398" s="254"/>
      <c r="D398" s="233"/>
      <c r="E398" s="234"/>
      <c r="F398" s="235"/>
      <c r="G398" s="255"/>
      <c r="H398" s="256"/>
      <c r="I398" s="237"/>
      <c r="J398" s="252"/>
      <c r="K398" s="239"/>
      <c r="L398" s="240"/>
      <c r="M398" s="8"/>
      <c r="N398" s="70"/>
      <c r="O398" s="71"/>
      <c r="P398" s="100"/>
      <c r="Q398" s="9"/>
      <c r="R398" s="9"/>
      <c r="S398" s="9"/>
      <c r="T398" s="257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5"/>
      <c r="BO398" s="295"/>
      <c r="BP398" s="295"/>
      <c r="BQ398" s="295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3"/>
      <c r="B399" s="254"/>
      <c r="C399" s="254"/>
      <c r="D399" s="233"/>
      <c r="E399" s="234"/>
      <c r="F399" s="235"/>
      <c r="G399" s="255"/>
      <c r="H399" s="256"/>
      <c r="I399" s="237"/>
      <c r="J399" s="252"/>
      <c r="K399" s="239"/>
      <c r="L399" s="240"/>
      <c r="M399" s="8"/>
      <c r="N399" s="241"/>
      <c r="O399" s="239"/>
      <c r="P399" s="240"/>
      <c r="Q399" s="9"/>
      <c r="R399" s="9"/>
      <c r="S399" s="9"/>
      <c r="T399" s="257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5"/>
      <c r="BO399" s="295"/>
      <c r="BP399" s="295"/>
      <c r="BQ399" s="295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3"/>
      <c r="B400" s="254"/>
      <c r="C400" s="254"/>
      <c r="D400" s="233"/>
      <c r="E400" s="234"/>
      <c r="F400" s="235"/>
      <c r="G400" s="255"/>
      <c r="H400" s="256"/>
      <c r="I400" s="237"/>
      <c r="J400" s="252"/>
      <c r="K400" s="239"/>
      <c r="L400" s="240"/>
      <c r="M400" s="8"/>
      <c r="N400" s="70"/>
      <c r="O400" s="71"/>
      <c r="P400" s="100"/>
      <c r="Q400" s="9"/>
      <c r="R400" s="9"/>
      <c r="S400" s="9"/>
      <c r="T400" s="257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5"/>
      <c r="BO400" s="295"/>
      <c r="BP400" s="295"/>
      <c r="BQ400" s="295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3"/>
      <c r="B401" s="254"/>
      <c r="C401" s="254"/>
      <c r="D401" s="233"/>
      <c r="E401" s="234"/>
      <c r="F401" s="235"/>
      <c r="G401" s="255"/>
      <c r="H401" s="256"/>
      <c r="I401" s="237"/>
      <c r="J401" s="252"/>
      <c r="K401" s="239"/>
      <c r="L401" s="240"/>
      <c r="M401" s="8"/>
      <c r="N401" s="70"/>
      <c r="O401" s="71"/>
      <c r="P401" s="100"/>
      <c r="Q401" s="9"/>
      <c r="R401" s="9"/>
      <c r="S401" s="9"/>
      <c r="T401" s="257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5"/>
      <c r="BO401" s="295"/>
      <c r="BP401" s="295"/>
      <c r="BQ401" s="295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3"/>
      <c r="B402" s="254"/>
      <c r="C402" s="254"/>
      <c r="D402" s="233"/>
      <c r="E402" s="234"/>
      <c r="F402" s="235"/>
      <c r="G402" s="255"/>
      <c r="H402" s="256"/>
      <c r="I402" s="237"/>
      <c r="J402" s="252"/>
      <c r="K402" s="239"/>
      <c r="L402" s="240"/>
      <c r="M402" s="8"/>
      <c r="N402" s="70"/>
      <c r="O402" s="71"/>
      <c r="P402" s="100"/>
      <c r="Q402" s="9"/>
      <c r="R402" s="9"/>
      <c r="S402" s="9"/>
      <c r="T402" s="257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5"/>
      <c r="BO402" s="295"/>
      <c r="BP402" s="295"/>
      <c r="BQ402" s="295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3"/>
      <c r="B403" s="254"/>
      <c r="C403" s="254"/>
      <c r="D403" s="233"/>
      <c r="E403" s="234"/>
      <c r="F403" s="235"/>
      <c r="G403" s="255"/>
      <c r="H403" s="256"/>
      <c r="I403" s="237"/>
      <c r="J403" s="252"/>
      <c r="K403" s="239"/>
      <c r="L403" s="240"/>
      <c r="M403" s="8"/>
      <c r="N403" s="70"/>
      <c r="O403" s="71"/>
      <c r="P403" s="100"/>
      <c r="Q403" s="9"/>
      <c r="R403" s="9"/>
      <c r="S403" s="9"/>
      <c r="T403" s="257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5"/>
      <c r="BO403" s="295"/>
      <c r="BP403" s="295"/>
      <c r="BQ403" s="295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3"/>
      <c r="B404" s="254"/>
      <c r="C404" s="254"/>
      <c r="D404" s="233"/>
      <c r="E404" s="234"/>
      <c r="F404" s="235"/>
      <c r="G404" s="255"/>
      <c r="H404" s="256"/>
      <c r="I404" s="237"/>
      <c r="J404" s="252"/>
      <c r="K404" s="239"/>
      <c r="L404" s="240"/>
      <c r="M404" s="8"/>
      <c r="N404" s="70"/>
      <c r="O404" s="71"/>
      <c r="P404" s="100"/>
      <c r="Q404" s="9"/>
      <c r="R404" s="9"/>
      <c r="S404" s="9"/>
      <c r="T404" s="257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5"/>
      <c r="BO404" s="295"/>
      <c r="BP404" s="295"/>
      <c r="BQ404" s="295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3"/>
      <c r="B405" s="254"/>
      <c r="C405" s="254"/>
      <c r="D405" s="233"/>
      <c r="E405" s="234"/>
      <c r="F405" s="235"/>
      <c r="G405" s="255"/>
      <c r="H405" s="256"/>
      <c r="I405" s="237"/>
      <c r="J405" s="252"/>
      <c r="K405" s="239"/>
      <c r="L405" s="240"/>
      <c r="M405" s="8"/>
      <c r="N405" s="70"/>
      <c r="O405" s="71"/>
      <c r="P405" s="100"/>
      <c r="Q405" s="9"/>
      <c r="R405" s="9"/>
      <c r="S405" s="9"/>
      <c r="T405" s="257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5"/>
      <c r="BO405" s="295"/>
      <c r="BP405" s="295"/>
      <c r="BQ405" s="295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3"/>
      <c r="B406" s="254"/>
      <c r="C406" s="254"/>
      <c r="D406" s="233"/>
      <c r="E406" s="234"/>
      <c r="F406" s="235"/>
      <c r="G406" s="255"/>
      <c r="H406" s="256"/>
      <c r="I406" s="237"/>
      <c r="J406" s="252"/>
      <c r="K406" s="239"/>
      <c r="L406" s="240"/>
      <c r="M406" s="8"/>
      <c r="N406" s="70"/>
      <c r="O406" s="71"/>
      <c r="P406" s="100"/>
      <c r="Q406" s="9"/>
      <c r="R406" s="9"/>
      <c r="S406" s="9"/>
      <c r="T406" s="257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5"/>
      <c r="BO406" s="295"/>
      <c r="BP406" s="295"/>
      <c r="BQ406" s="295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3"/>
      <c r="B407" s="254"/>
      <c r="C407" s="254"/>
      <c r="D407" s="233"/>
      <c r="E407" s="234"/>
      <c r="F407" s="235"/>
      <c r="G407" s="255"/>
      <c r="H407" s="256"/>
      <c r="I407" s="237"/>
      <c r="J407" s="252"/>
      <c r="K407" s="239"/>
      <c r="L407" s="240"/>
      <c r="M407" s="8"/>
      <c r="N407" s="70"/>
      <c r="O407" s="71"/>
      <c r="P407" s="100"/>
      <c r="Q407" s="9"/>
      <c r="R407" s="9"/>
      <c r="S407" s="9"/>
      <c r="T407" s="257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5"/>
      <c r="BO407" s="295"/>
      <c r="BP407" s="295"/>
      <c r="BQ407" s="295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3"/>
      <c r="B408" s="254"/>
      <c r="C408" s="254"/>
      <c r="D408" s="233"/>
      <c r="E408" s="234"/>
      <c r="F408" s="235"/>
      <c r="G408" s="255"/>
      <c r="H408" s="256"/>
      <c r="I408" s="237"/>
      <c r="J408" s="252"/>
      <c r="K408" s="239"/>
      <c r="L408" s="240"/>
      <c r="M408" s="8"/>
      <c r="N408" s="70"/>
      <c r="O408" s="71"/>
      <c r="P408" s="100"/>
      <c r="Q408" s="9"/>
      <c r="R408" s="9"/>
      <c r="S408" s="9"/>
      <c r="T408" s="257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5"/>
      <c r="BO408" s="295"/>
      <c r="BP408" s="295"/>
      <c r="BQ408" s="295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3"/>
      <c r="B409" s="254"/>
      <c r="C409" s="254"/>
      <c r="D409" s="233"/>
      <c r="E409" s="234"/>
      <c r="F409" s="235"/>
      <c r="G409" s="255"/>
      <c r="H409" s="256"/>
      <c r="I409" s="237"/>
      <c r="J409" s="252"/>
      <c r="K409" s="239"/>
      <c r="L409" s="240"/>
      <c r="M409" s="8"/>
      <c r="N409" s="70"/>
      <c r="O409" s="71"/>
      <c r="P409" s="100"/>
      <c r="Q409" s="9"/>
      <c r="R409" s="9"/>
      <c r="S409" s="9"/>
      <c r="T409" s="257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5"/>
      <c r="BO409" s="295"/>
      <c r="BP409" s="295"/>
      <c r="BQ409" s="295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3"/>
      <c r="B410" s="254"/>
      <c r="C410" s="254"/>
      <c r="D410" s="233"/>
      <c r="E410" s="234"/>
      <c r="F410" s="235"/>
      <c r="G410" s="255"/>
      <c r="H410" s="256"/>
      <c r="I410" s="237"/>
      <c r="J410" s="252"/>
      <c r="K410" s="239"/>
      <c r="L410" s="240"/>
      <c r="M410" s="8"/>
      <c r="N410" s="70"/>
      <c r="O410" s="71"/>
      <c r="P410" s="100"/>
      <c r="Q410" s="9"/>
      <c r="R410" s="9"/>
      <c r="S410" s="9"/>
      <c r="T410" s="257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5"/>
      <c r="BO410" s="295"/>
      <c r="BP410" s="295"/>
      <c r="BQ410" s="295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3"/>
      <c r="B411" s="254"/>
      <c r="C411" s="254"/>
      <c r="D411" s="233"/>
      <c r="E411" s="234"/>
      <c r="F411" s="235"/>
      <c r="G411" s="255"/>
      <c r="H411" s="256"/>
      <c r="I411" s="237"/>
      <c r="J411" s="252"/>
      <c r="K411" s="239"/>
      <c r="L411" s="240"/>
      <c r="M411" s="8"/>
      <c r="N411" s="70"/>
      <c r="O411" s="71"/>
      <c r="P411" s="100"/>
      <c r="Q411" s="9"/>
      <c r="R411" s="9"/>
      <c r="S411" s="9"/>
      <c r="T411" s="257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5"/>
      <c r="BO411" s="295"/>
      <c r="BP411" s="295"/>
      <c r="BQ411" s="295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3"/>
      <c r="B412" s="254"/>
      <c r="C412" s="254"/>
      <c r="D412" s="233"/>
      <c r="E412" s="234"/>
      <c r="F412" s="235"/>
      <c r="G412" s="255"/>
      <c r="H412" s="256"/>
      <c r="I412" s="237"/>
      <c r="J412" s="252"/>
      <c r="K412" s="239"/>
      <c r="L412" s="240"/>
      <c r="M412" s="8"/>
      <c r="N412" s="70"/>
      <c r="O412" s="71"/>
      <c r="P412" s="100"/>
      <c r="Q412" s="9"/>
      <c r="R412" s="9"/>
      <c r="S412" s="9"/>
      <c r="T412" s="257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5"/>
      <c r="BO412" s="295"/>
      <c r="BP412" s="295"/>
      <c r="BQ412" s="295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3"/>
      <c r="B413" s="254"/>
      <c r="C413" s="254"/>
      <c r="D413" s="233"/>
      <c r="E413" s="234"/>
      <c r="F413" s="235"/>
      <c r="G413" s="255"/>
      <c r="H413" s="256"/>
      <c r="I413" s="237"/>
      <c r="J413" s="252"/>
      <c r="K413" s="239"/>
      <c r="L413" s="240"/>
      <c r="M413" s="8"/>
      <c r="N413" s="70"/>
      <c r="O413" s="71"/>
      <c r="P413" s="100"/>
      <c r="Q413" s="9"/>
      <c r="R413" s="9"/>
      <c r="S413" s="9"/>
      <c r="T413" s="257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5"/>
      <c r="BO413" s="295"/>
      <c r="BP413" s="295"/>
      <c r="BQ413" s="295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3"/>
      <c r="B414" s="254"/>
      <c r="C414" s="254"/>
      <c r="D414" s="233"/>
      <c r="E414" s="234"/>
      <c r="F414" s="235"/>
      <c r="G414" s="255"/>
      <c r="H414" s="256"/>
      <c r="I414" s="237"/>
      <c r="J414" s="252"/>
      <c r="K414" s="239"/>
      <c r="L414" s="240"/>
      <c r="M414" s="8"/>
      <c r="N414" s="70"/>
      <c r="O414" s="71"/>
      <c r="P414" s="100"/>
      <c r="Q414" s="9"/>
      <c r="R414" s="9"/>
      <c r="S414" s="9"/>
      <c r="T414" s="257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5"/>
      <c r="BO414" s="295"/>
      <c r="BP414" s="295"/>
      <c r="BQ414" s="295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3"/>
      <c r="B415" s="254"/>
      <c r="C415" s="254"/>
      <c r="D415" s="233"/>
      <c r="E415" s="234"/>
      <c r="F415" s="235"/>
      <c r="G415" s="255"/>
      <c r="H415" s="256"/>
      <c r="I415" s="237"/>
      <c r="J415" s="252"/>
      <c r="K415" s="239"/>
      <c r="L415" s="240"/>
      <c r="M415" s="8"/>
      <c r="N415" s="70"/>
      <c r="O415" s="71"/>
      <c r="P415" s="100"/>
      <c r="Q415" s="9"/>
      <c r="R415" s="9"/>
      <c r="S415" s="9"/>
      <c r="T415" s="257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5"/>
      <c r="BO415" s="295"/>
      <c r="BP415" s="295"/>
      <c r="BQ415" s="295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3"/>
      <c r="B416" s="254"/>
      <c r="C416" s="254"/>
      <c r="D416" s="233"/>
      <c r="E416" s="234"/>
      <c r="F416" s="235"/>
      <c r="G416" s="255"/>
      <c r="H416" s="256"/>
      <c r="I416" s="237"/>
      <c r="J416" s="252"/>
      <c r="K416" s="239"/>
      <c r="L416" s="240"/>
      <c r="M416" s="8"/>
      <c r="N416" s="70"/>
      <c r="O416" s="71"/>
      <c r="P416" s="100"/>
      <c r="Q416" s="9"/>
      <c r="R416" s="9"/>
      <c r="S416" s="9"/>
      <c r="T416" s="257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5"/>
      <c r="BO416" s="295"/>
      <c r="BP416" s="295"/>
      <c r="BQ416" s="295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3"/>
      <c r="B417" s="254"/>
      <c r="C417" s="254"/>
      <c r="D417" s="233"/>
      <c r="E417" s="234"/>
      <c r="F417" s="235"/>
      <c r="G417" s="255"/>
      <c r="H417" s="256"/>
      <c r="I417" s="237"/>
      <c r="J417" s="252"/>
      <c r="K417" s="239"/>
      <c r="L417" s="240"/>
      <c r="M417" s="8"/>
      <c r="N417" s="70"/>
      <c r="O417" s="71"/>
      <c r="P417" s="100"/>
      <c r="Q417" s="9"/>
      <c r="R417" s="9"/>
      <c r="S417" s="9"/>
      <c r="T417" s="257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5"/>
      <c r="BO417" s="295"/>
      <c r="BP417" s="295"/>
      <c r="BQ417" s="295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3"/>
      <c r="B418" s="254"/>
      <c r="C418" s="254"/>
      <c r="D418" s="233"/>
      <c r="E418" s="234"/>
      <c r="F418" s="235"/>
      <c r="G418" s="255"/>
      <c r="H418" s="256"/>
      <c r="I418" s="237"/>
      <c r="J418" s="252"/>
      <c r="K418" s="239"/>
      <c r="L418" s="240"/>
      <c r="M418" s="8"/>
      <c r="N418" s="70"/>
      <c r="O418" s="71"/>
      <c r="P418" s="100"/>
      <c r="Q418" s="9"/>
      <c r="R418" s="9"/>
      <c r="S418" s="9"/>
      <c r="T418" s="257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5"/>
      <c r="BO418" s="295"/>
      <c r="BP418" s="295"/>
      <c r="BQ418" s="295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3"/>
      <c r="B419" s="254"/>
      <c r="C419" s="254"/>
      <c r="D419" s="233"/>
      <c r="E419" s="234"/>
      <c r="F419" s="235"/>
      <c r="G419" s="255"/>
      <c r="H419" s="256"/>
      <c r="I419" s="237"/>
      <c r="J419" s="252"/>
      <c r="K419" s="239"/>
      <c r="L419" s="240"/>
      <c r="M419" s="8"/>
      <c r="N419" s="70"/>
      <c r="O419" s="71"/>
      <c r="P419" s="100"/>
      <c r="Q419" s="9"/>
      <c r="R419" s="9"/>
      <c r="S419" s="9"/>
      <c r="T419" s="257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5"/>
      <c r="BO419" s="295"/>
      <c r="BP419" s="295"/>
      <c r="BQ419" s="295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3"/>
      <c r="B420" s="254"/>
      <c r="C420" s="254"/>
      <c r="D420" s="233"/>
      <c r="E420" s="234"/>
      <c r="F420" s="235"/>
      <c r="G420" s="255"/>
      <c r="H420" s="256"/>
      <c r="I420" s="237"/>
      <c r="J420" s="252"/>
      <c r="K420" s="239"/>
      <c r="L420" s="240"/>
      <c r="M420" s="8"/>
      <c r="N420" s="70"/>
      <c r="O420" s="71"/>
      <c r="P420" s="100"/>
      <c r="Q420" s="9"/>
      <c r="R420" s="9"/>
      <c r="S420" s="9"/>
      <c r="T420" s="257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5"/>
      <c r="BO420" s="295"/>
      <c r="BP420" s="295"/>
      <c r="BQ420" s="295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3"/>
      <c r="B421" s="254"/>
      <c r="C421" s="254"/>
      <c r="D421" s="233"/>
      <c r="E421" s="234"/>
      <c r="F421" s="235"/>
      <c r="G421" s="255"/>
      <c r="H421" s="256"/>
      <c r="I421" s="237"/>
      <c r="J421" s="252"/>
      <c r="K421" s="239"/>
      <c r="L421" s="240"/>
      <c r="M421" s="8"/>
      <c r="N421" s="241"/>
      <c r="O421" s="239"/>
      <c r="P421" s="240"/>
      <c r="Q421" s="9"/>
      <c r="R421" s="9"/>
      <c r="S421" s="9"/>
      <c r="T421" s="257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5"/>
      <c r="BO421" s="295"/>
      <c r="BP421" s="295"/>
      <c r="BQ421" s="295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3"/>
      <c r="B422" s="254"/>
      <c r="C422" s="254"/>
      <c r="D422" s="233"/>
      <c r="E422" s="234"/>
      <c r="F422" s="235"/>
      <c r="G422" s="255"/>
      <c r="H422" s="256"/>
      <c r="I422" s="237"/>
      <c r="J422" s="252"/>
      <c r="K422" s="239"/>
      <c r="L422" s="240"/>
      <c r="M422" s="8"/>
      <c r="N422" s="70"/>
      <c r="O422" s="71"/>
      <c r="P422" s="100"/>
      <c r="Q422" s="9"/>
      <c r="R422" s="9"/>
      <c r="S422" s="9"/>
      <c r="T422" s="257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5"/>
      <c r="BO422" s="295"/>
      <c r="BP422" s="295"/>
      <c r="BQ422" s="295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3"/>
      <c r="B423" s="254"/>
      <c r="C423" s="254"/>
      <c r="D423" s="233"/>
      <c r="E423" s="234"/>
      <c r="F423" s="235"/>
      <c r="G423" s="255"/>
      <c r="H423" s="256"/>
      <c r="I423" s="237"/>
      <c r="J423" s="252"/>
      <c r="K423" s="239"/>
      <c r="L423" s="240"/>
      <c r="M423" s="8"/>
      <c r="N423" s="70"/>
      <c r="O423" s="71"/>
      <c r="P423" s="100"/>
      <c r="Q423" s="9"/>
      <c r="R423" s="9"/>
      <c r="S423" s="9"/>
      <c r="T423" s="257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5"/>
      <c r="BO423" s="295"/>
      <c r="BP423" s="295"/>
      <c r="BQ423" s="295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3"/>
      <c r="B424" s="254"/>
      <c r="C424" s="254"/>
      <c r="D424" s="233"/>
      <c r="E424" s="234"/>
      <c r="F424" s="235"/>
      <c r="G424" s="255"/>
      <c r="H424" s="256"/>
      <c r="I424" s="237"/>
      <c r="J424" s="252"/>
      <c r="K424" s="239"/>
      <c r="L424" s="240"/>
      <c r="M424" s="8"/>
      <c r="N424" s="70"/>
      <c r="O424" s="71"/>
      <c r="P424" s="100"/>
      <c r="Q424" s="9"/>
      <c r="R424" s="9"/>
      <c r="S424" s="9"/>
      <c r="T424" s="257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5"/>
      <c r="BO424" s="295"/>
      <c r="BP424" s="295"/>
      <c r="BQ424" s="295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3"/>
      <c r="B425" s="254"/>
      <c r="C425" s="254"/>
      <c r="D425" s="233"/>
      <c r="E425" s="234"/>
      <c r="F425" s="235"/>
      <c r="G425" s="255"/>
      <c r="H425" s="256"/>
      <c r="I425" s="237"/>
      <c r="J425" s="252"/>
      <c r="K425" s="239"/>
      <c r="L425" s="240"/>
      <c r="M425" s="8"/>
      <c r="N425" s="70"/>
      <c r="O425" s="71"/>
      <c r="P425" s="100"/>
      <c r="Q425" s="9"/>
      <c r="R425" s="9"/>
      <c r="S425" s="9"/>
      <c r="T425" s="257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5"/>
      <c r="BO425" s="295"/>
      <c r="BP425" s="295"/>
      <c r="BQ425" s="295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3"/>
      <c r="B426" s="254"/>
      <c r="C426" s="254"/>
      <c r="D426" s="233"/>
      <c r="E426" s="234"/>
      <c r="F426" s="235"/>
      <c r="G426" s="255"/>
      <c r="H426" s="256"/>
      <c r="I426" s="237"/>
      <c r="J426" s="252"/>
      <c r="K426" s="239"/>
      <c r="L426" s="240"/>
      <c r="M426" s="8"/>
      <c r="N426" s="70"/>
      <c r="O426" s="71"/>
      <c r="P426" s="100"/>
      <c r="Q426" s="9"/>
      <c r="R426" s="9"/>
      <c r="S426" s="9"/>
      <c r="T426" s="257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5"/>
      <c r="BO426" s="295"/>
      <c r="BP426" s="295"/>
      <c r="BQ426" s="295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3"/>
      <c r="B427" s="254"/>
      <c r="C427" s="254"/>
      <c r="D427" s="233"/>
      <c r="E427" s="234"/>
      <c r="F427" s="235"/>
      <c r="G427" s="255"/>
      <c r="H427" s="256"/>
      <c r="I427" s="237"/>
      <c r="J427" s="252"/>
      <c r="K427" s="239"/>
      <c r="L427" s="240"/>
      <c r="M427" s="8"/>
      <c r="N427" s="70"/>
      <c r="O427" s="71"/>
      <c r="P427" s="100"/>
      <c r="Q427" s="9"/>
      <c r="R427" s="9"/>
      <c r="S427" s="9"/>
      <c r="T427" s="257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5"/>
      <c r="BO427" s="295"/>
      <c r="BP427" s="295"/>
      <c r="BQ427" s="295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3"/>
      <c r="B428" s="254"/>
      <c r="C428" s="254"/>
      <c r="D428" s="233"/>
      <c r="E428" s="234"/>
      <c r="F428" s="235"/>
      <c r="G428" s="255"/>
      <c r="H428" s="256"/>
      <c r="I428" s="237"/>
      <c r="J428" s="252"/>
      <c r="K428" s="239"/>
      <c r="L428" s="240"/>
      <c r="M428" s="8"/>
      <c r="N428" s="70"/>
      <c r="O428" s="71"/>
      <c r="P428" s="100"/>
      <c r="Q428" s="9"/>
      <c r="R428" s="9"/>
      <c r="S428" s="9"/>
      <c r="T428" s="257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5"/>
      <c r="BO428" s="295"/>
      <c r="BP428" s="295"/>
      <c r="BQ428" s="295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3"/>
      <c r="B429" s="254"/>
      <c r="C429" s="254"/>
      <c r="D429" s="233"/>
      <c r="E429" s="234"/>
      <c r="F429" s="235"/>
      <c r="G429" s="255"/>
      <c r="H429" s="256"/>
      <c r="I429" s="237"/>
      <c r="J429" s="252"/>
      <c r="K429" s="239"/>
      <c r="L429" s="240"/>
      <c r="M429" s="8"/>
      <c r="N429" s="70"/>
      <c r="O429" s="71"/>
      <c r="P429" s="100"/>
      <c r="Q429" s="9"/>
      <c r="R429" s="9"/>
      <c r="S429" s="9"/>
      <c r="T429" s="257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5"/>
      <c r="BO429" s="295"/>
      <c r="BP429" s="295"/>
      <c r="BQ429" s="295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3"/>
      <c r="B430" s="254"/>
      <c r="C430" s="254"/>
      <c r="D430" s="233"/>
      <c r="E430" s="234"/>
      <c r="F430" s="235"/>
      <c r="G430" s="255"/>
      <c r="H430" s="256"/>
      <c r="I430" s="237"/>
      <c r="J430" s="252"/>
      <c r="K430" s="239"/>
      <c r="L430" s="240"/>
      <c r="M430" s="8"/>
      <c r="N430" s="70"/>
      <c r="O430" s="71"/>
      <c r="P430" s="100"/>
      <c r="Q430" s="9"/>
      <c r="R430" s="9"/>
      <c r="S430" s="9"/>
      <c r="T430" s="257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5"/>
      <c r="BO430" s="295"/>
      <c r="BP430" s="295"/>
      <c r="BQ430" s="295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3"/>
      <c r="B431" s="254"/>
      <c r="C431" s="254"/>
      <c r="D431" s="233"/>
      <c r="E431" s="234"/>
      <c r="F431" s="235"/>
      <c r="G431" s="255"/>
      <c r="H431" s="256"/>
      <c r="I431" s="237"/>
      <c r="J431" s="252"/>
      <c r="K431" s="239"/>
      <c r="L431" s="240"/>
      <c r="M431" s="8"/>
      <c r="N431" s="70"/>
      <c r="O431" s="71"/>
      <c r="P431" s="100"/>
      <c r="Q431" s="9"/>
      <c r="R431" s="9"/>
      <c r="S431" s="9"/>
      <c r="T431" s="257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5"/>
      <c r="BO431" s="295"/>
      <c r="BP431" s="295"/>
      <c r="BQ431" s="295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3"/>
      <c r="B432" s="254"/>
      <c r="C432" s="254"/>
      <c r="D432" s="233"/>
      <c r="E432" s="234"/>
      <c r="F432" s="235"/>
      <c r="G432" s="255"/>
      <c r="H432" s="256"/>
      <c r="I432" s="237"/>
      <c r="J432" s="252"/>
      <c r="K432" s="239"/>
      <c r="L432" s="240"/>
      <c r="M432" s="8"/>
      <c r="N432" s="70"/>
      <c r="O432" s="71"/>
      <c r="P432" s="100"/>
      <c r="Q432" s="9"/>
      <c r="R432" s="9"/>
      <c r="S432" s="9"/>
      <c r="T432" s="257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5"/>
      <c r="BO432" s="295"/>
      <c r="BP432" s="295"/>
      <c r="BQ432" s="295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3"/>
      <c r="B433" s="254"/>
      <c r="C433" s="254"/>
      <c r="D433" s="233"/>
      <c r="E433" s="234"/>
      <c r="F433" s="235"/>
      <c r="G433" s="255"/>
      <c r="H433" s="256"/>
      <c r="I433" s="237"/>
      <c r="J433" s="252"/>
      <c r="K433" s="239"/>
      <c r="L433" s="240"/>
      <c r="M433" s="8"/>
      <c r="N433" s="70"/>
      <c r="O433" s="71"/>
      <c r="P433" s="100"/>
      <c r="Q433" s="9"/>
      <c r="R433" s="9"/>
      <c r="S433" s="9"/>
      <c r="T433" s="257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5"/>
      <c r="BO433" s="295"/>
      <c r="BP433" s="295"/>
      <c r="BQ433" s="295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3"/>
      <c r="B434" s="254"/>
      <c r="C434" s="254"/>
      <c r="D434" s="233"/>
      <c r="E434" s="234"/>
      <c r="F434" s="235"/>
      <c r="G434" s="255"/>
      <c r="H434" s="256"/>
      <c r="I434" s="237"/>
      <c r="J434" s="252"/>
      <c r="K434" s="239"/>
      <c r="L434" s="240"/>
      <c r="M434" s="8"/>
      <c r="N434" s="70"/>
      <c r="O434" s="71"/>
      <c r="P434" s="100"/>
      <c r="Q434" s="9"/>
      <c r="R434" s="9"/>
      <c r="S434" s="9"/>
      <c r="T434" s="257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5"/>
      <c r="BO434" s="295"/>
      <c r="BP434" s="295"/>
      <c r="BQ434" s="295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3"/>
      <c r="B435" s="254"/>
      <c r="C435" s="254"/>
      <c r="D435" s="233"/>
      <c r="E435" s="234"/>
      <c r="F435" s="235"/>
      <c r="G435" s="255"/>
      <c r="H435" s="256"/>
      <c r="I435" s="237"/>
      <c r="J435" s="252"/>
      <c r="K435" s="239"/>
      <c r="L435" s="240"/>
      <c r="M435" s="8"/>
      <c r="N435" s="70"/>
      <c r="O435" s="71"/>
      <c r="P435" s="100"/>
      <c r="Q435" s="9"/>
      <c r="R435" s="9"/>
      <c r="S435" s="9"/>
      <c r="T435" s="257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5"/>
      <c r="BO435" s="295"/>
      <c r="BP435" s="295"/>
      <c r="BQ435" s="295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3"/>
      <c r="B436" s="254"/>
      <c r="C436" s="254"/>
      <c r="D436" s="233"/>
      <c r="E436" s="234"/>
      <c r="F436" s="235"/>
      <c r="G436" s="255"/>
      <c r="H436" s="256"/>
      <c r="I436" s="237"/>
      <c r="J436" s="252"/>
      <c r="K436" s="239"/>
      <c r="L436" s="240"/>
      <c r="M436" s="8"/>
      <c r="N436" s="70"/>
      <c r="O436" s="71"/>
      <c r="P436" s="100"/>
      <c r="Q436" s="9"/>
      <c r="R436" s="9"/>
      <c r="S436" s="9"/>
      <c r="T436" s="257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5"/>
      <c r="BO436" s="295"/>
      <c r="BP436" s="295"/>
      <c r="BQ436" s="295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eJT8eBM0MmlAnLqPgCYpCmZwbhk9eiWGckqVdw17BjevdOC/sNVrn1hx3ACTVK36MaZP2DGefg2nv24Wee8u2g==" saltValue="TjFqwt5DEsTlgingNkJz5g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59"/>
      <c r="B11" s="262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59"/>
      <c r="B12" s="262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2"/>
      <c r="N12" s="9"/>
      <c r="O12" s="9"/>
      <c r="P12" s="9"/>
      <c r="Q12" s="242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3"/>
      <c r="AC12" s="242"/>
      <c r="AD12" s="242"/>
      <c r="AE12" s="244"/>
      <c r="AF12" s="243"/>
      <c r="AG12" s="243"/>
      <c r="AH12" s="242"/>
      <c r="AI12" s="242"/>
      <c r="AJ12" s="242"/>
      <c r="AK12" s="242"/>
      <c r="AL12" s="242"/>
      <c r="AM12" s="250"/>
      <c r="AN12" s="242"/>
      <c r="AO12" s="242"/>
      <c r="AP12" s="242"/>
      <c r="AQ12" s="242"/>
      <c r="AR12" s="242"/>
      <c r="AS12" s="242"/>
      <c r="AT12" s="242"/>
      <c r="AU12" s="242"/>
      <c r="AV12" s="242"/>
      <c r="AW12" s="242"/>
      <c r="AX12" s="242"/>
      <c r="AY12" s="242"/>
      <c r="AZ12" s="242"/>
      <c r="BA12" s="242"/>
      <c r="BB12" s="242"/>
      <c r="BC12" s="242"/>
      <c r="BD12" s="246"/>
      <c r="BE12" s="242"/>
      <c r="BF12" s="242"/>
      <c r="BG12" s="242"/>
      <c r="BH12" s="242"/>
      <c r="BI12" s="242"/>
      <c r="BJ12" s="243"/>
      <c r="BK12" s="248"/>
      <c r="BL12" s="248"/>
      <c r="BM12" s="248"/>
      <c r="BN12" s="248"/>
    </row>
    <row r="13" spans="1:77" x14ac:dyDescent="0.25">
      <c r="A13" s="259"/>
      <c r="B13" s="262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59"/>
      <c r="B14" s="262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59"/>
      <c r="B15" s="262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59"/>
      <c r="B16" s="262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59"/>
      <c r="B17" s="262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59"/>
      <c r="B21" s="262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59"/>
      <c r="B22" s="262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59"/>
      <c r="B23" s="262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59"/>
      <c r="B24" s="262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59"/>
      <c r="B25" s="262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59"/>
      <c r="B26" s="262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3"/>
      <c r="B27" s="276"/>
      <c r="C27" s="264"/>
      <c r="D27" s="265"/>
      <c r="E27" s="266"/>
      <c r="F27" s="267"/>
      <c r="G27" s="266"/>
      <c r="H27" s="267"/>
      <c r="I27" s="266"/>
      <c r="J27" s="268"/>
      <c r="K27" s="268"/>
      <c r="L27" s="268"/>
      <c r="M27" s="15"/>
      <c r="N27" s="268"/>
      <c r="O27" s="268"/>
      <c r="P27" s="268"/>
      <c r="Q27" s="15"/>
      <c r="R27" s="269"/>
      <c r="S27" s="269"/>
      <c r="T27" s="269"/>
      <c r="U27" s="270"/>
      <c r="V27" s="270"/>
      <c r="W27" s="270"/>
      <c r="X27" s="268"/>
      <c r="Y27" s="268"/>
      <c r="Z27" s="268"/>
      <c r="AA27" s="271"/>
      <c r="AB27" s="272"/>
      <c r="AC27" s="15"/>
      <c r="AD27" s="15"/>
      <c r="AE27" s="273"/>
      <c r="AF27" s="272"/>
      <c r="AG27" s="272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274"/>
      <c r="BE27" s="15"/>
      <c r="BF27" s="15"/>
      <c r="BG27" s="15"/>
      <c r="BH27" s="15"/>
      <c r="BI27" s="15"/>
      <c r="BJ27" s="272"/>
      <c r="BK27" s="275"/>
      <c r="BL27" s="275"/>
      <c r="BM27" s="275"/>
      <c r="BN27" s="275"/>
    </row>
    <row r="28" spans="1:66" x14ac:dyDescent="0.25">
      <c r="A28" s="259"/>
      <c r="B28" s="262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3"/>
      <c r="B29" s="264"/>
      <c r="C29" s="264"/>
      <c r="D29" s="265"/>
      <c r="E29" s="266"/>
      <c r="F29" s="267"/>
      <c r="G29" s="266"/>
      <c r="H29" s="267"/>
      <c r="I29" s="266"/>
      <c r="J29" s="268"/>
      <c r="K29" s="268"/>
      <c r="L29" s="268"/>
      <c r="M29" s="15"/>
      <c r="N29" s="268"/>
      <c r="O29" s="268"/>
      <c r="P29" s="268"/>
      <c r="Q29" s="15"/>
      <c r="R29" s="269"/>
      <c r="S29" s="269"/>
      <c r="T29" s="269"/>
      <c r="U29" s="270"/>
      <c r="V29" s="270"/>
      <c r="W29" s="270"/>
      <c r="X29" s="268"/>
      <c r="Y29" s="268"/>
      <c r="Z29" s="268"/>
      <c r="AA29" s="271"/>
      <c r="AB29" s="272"/>
      <c r="AC29" s="15"/>
      <c r="AD29" s="15"/>
      <c r="AE29" s="273"/>
      <c r="AF29" s="272"/>
      <c r="AG29" s="272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274"/>
      <c r="BE29" s="15"/>
      <c r="BF29" s="15"/>
      <c r="BG29" s="15"/>
      <c r="BH29" s="15"/>
      <c r="BI29" s="15"/>
      <c r="BJ29" s="272"/>
      <c r="BK29" s="275"/>
      <c r="BL29" s="275"/>
      <c r="BM29" s="275"/>
      <c r="BN29" s="275"/>
    </row>
    <row r="30" spans="1:66" x14ac:dyDescent="0.25">
      <c r="A30" s="259"/>
      <c r="B30" s="262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59"/>
      <c r="B31" s="262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59"/>
      <c r="B32" s="262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59"/>
      <c r="B34" s="262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3"/>
      <c r="B40" s="276"/>
      <c r="C40" s="264"/>
      <c r="D40" s="265"/>
      <c r="E40" s="266"/>
      <c r="F40" s="267"/>
      <c r="G40" s="266"/>
      <c r="H40" s="267"/>
      <c r="I40" s="266"/>
      <c r="J40" s="268"/>
      <c r="K40" s="268"/>
      <c r="L40" s="268"/>
      <c r="M40" s="15"/>
      <c r="N40" s="268"/>
      <c r="O40" s="268"/>
      <c r="P40" s="268"/>
      <c r="Q40" s="15"/>
      <c r="R40" s="269"/>
      <c r="S40" s="269"/>
      <c r="T40" s="269"/>
      <c r="U40" s="270"/>
      <c r="V40" s="270"/>
      <c r="W40" s="270"/>
      <c r="X40" s="268"/>
      <c r="Y40" s="268"/>
      <c r="Z40" s="268"/>
      <c r="AA40" s="271"/>
      <c r="AB40" s="272"/>
      <c r="AC40" s="15"/>
      <c r="AD40" s="15"/>
      <c r="AE40" s="273"/>
      <c r="AF40" s="272"/>
      <c r="AG40" s="272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274"/>
      <c r="BE40" s="15"/>
      <c r="BF40" s="15"/>
      <c r="BG40" s="15"/>
      <c r="BH40" s="15"/>
      <c r="BI40" s="15"/>
      <c r="BJ40" s="272"/>
      <c r="BK40" s="275"/>
      <c r="BL40" s="275"/>
      <c r="BM40" s="275"/>
      <c r="BN40" s="275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3"/>
      <c r="B42" s="276"/>
      <c r="C42" s="264"/>
      <c r="D42" s="265"/>
      <c r="E42" s="266"/>
      <c r="F42" s="267"/>
      <c r="G42" s="266"/>
      <c r="H42" s="267"/>
      <c r="I42" s="266"/>
      <c r="J42" s="268"/>
      <c r="K42" s="268"/>
      <c r="L42" s="268"/>
      <c r="M42" s="15"/>
      <c r="N42" s="268"/>
      <c r="O42" s="268"/>
      <c r="P42" s="268"/>
      <c r="Q42" s="15"/>
      <c r="R42" s="269"/>
      <c r="S42" s="269"/>
      <c r="T42" s="269"/>
      <c r="U42" s="270"/>
      <c r="V42" s="270"/>
      <c r="W42" s="270"/>
      <c r="X42" s="268"/>
      <c r="Y42" s="268"/>
      <c r="Z42" s="268"/>
      <c r="AA42" s="271"/>
      <c r="AB42" s="272"/>
      <c r="AC42" s="15"/>
      <c r="AD42" s="15"/>
      <c r="AE42" s="273"/>
      <c r="AF42" s="272"/>
      <c r="AG42" s="272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274"/>
      <c r="BE42" s="15"/>
      <c r="BF42" s="15"/>
      <c r="BG42" s="15"/>
      <c r="BH42" s="15"/>
      <c r="BI42" s="15"/>
      <c r="BJ42" s="272"/>
      <c r="BK42" s="275"/>
      <c r="BL42" s="275"/>
      <c r="BM42" s="275"/>
      <c r="BN42" s="275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59"/>
      <c r="B44" s="276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59"/>
      <c r="B45" s="276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59"/>
      <c r="B46" s="276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59"/>
      <c r="B66" s="262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59"/>
      <c r="B67" s="262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59"/>
      <c r="B73" s="262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59"/>
      <c r="B84" s="262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59"/>
      <c r="B85" s="262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59"/>
      <c r="B86" s="262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59"/>
      <c r="B95" s="262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59"/>
      <c r="B96" s="262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59"/>
      <c r="B100" s="262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59"/>
      <c r="B106" s="262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59"/>
      <c r="B107" s="262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59"/>
      <c r="B114" s="262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59"/>
      <c r="B115" s="262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59"/>
      <c r="B116" s="262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59"/>
      <c r="B117" s="262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UQ2kcd0acp4bm9ylF9lonVUjRZlrJ41iZz+/5kSGEv+1MlOJnyZGg8lRlVF1Qc7I/ZFZ9sEBQyMCeWtfzGzuxg==" saltValue="XjVjHlOiUl8nvj/OQimHKA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zHFHsQ/eUPF5zJRp6wQk9QqFZsVOBwTSQckkuuWG4+zTiKB4p5+wWW3z0SFRwQCIf9U93yAK7pSe4M19/B7BCQ==" saltValue="9dHcHaR2/z+llzuFuxcr/g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YltBa6rInK6Dx++An34i2gq+tCZnqddGmi5VP02cqsb/EY4T+ZTfphHRYqlKRJBzICYN3wh/5vZsJy9bnFsEdg==" saltValue="FZg2eEhVu8Bc6bJX8O7GWA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