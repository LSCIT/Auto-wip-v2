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8CB81BA1-B012-49DE-B31F-7AD37EE9B0A4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37" i="82" l="1"/>
  <c r="AR36" i="82"/>
  <c r="AQ37" i="82"/>
  <c r="AQ36" i="82"/>
  <c r="AP37" i="82"/>
  <c r="AP36" i="82"/>
  <c r="AN37" i="82"/>
  <c r="AN36" i="82"/>
  <c r="AM37" i="82"/>
  <c r="AM36" i="82"/>
  <c r="AL37" i="82"/>
  <c r="AL36" i="82"/>
  <c r="AJ37" i="82"/>
  <c r="AJ36" i="82"/>
  <c r="AI37" i="82"/>
  <c r="AI36" i="82"/>
  <c r="AH37" i="82"/>
  <c r="AH36" i="82"/>
  <c r="AF37" i="82"/>
  <c r="AF36" i="82"/>
  <c r="AE37" i="82"/>
  <c r="AE36" i="82"/>
  <c r="AD37" i="82"/>
  <c r="AD36" i="82"/>
  <c r="AA37" i="82"/>
  <c r="AA36" i="82"/>
  <c r="Z37" i="82"/>
  <c r="Z36" i="82"/>
  <c r="Y37" i="82"/>
  <c r="Y36" i="82"/>
  <c r="X37" i="82"/>
  <c r="X36" i="82"/>
  <c r="W37" i="82"/>
  <c r="W36" i="82"/>
  <c r="S37" i="82"/>
  <c r="S36" i="82"/>
  <c r="R37" i="82"/>
  <c r="R36" i="82"/>
  <c r="Q37" i="82"/>
  <c r="Q36" i="82"/>
  <c r="N37" i="82"/>
  <c r="N36" i="82"/>
  <c r="M37" i="82"/>
  <c r="M36" i="82"/>
  <c r="J37" i="82"/>
  <c r="J36" i="82"/>
  <c r="F37" i="82"/>
  <c r="F36" i="82"/>
  <c r="E37" i="82"/>
  <c r="E36" i="82"/>
  <c r="AN34" i="82"/>
  <c r="AI34" i="82"/>
  <c r="AD34" i="82"/>
  <c r="X34" i="82"/>
  <c r="Q34" i="82"/>
  <c r="F34" i="82"/>
  <c r="AR32" i="82"/>
  <c r="AQ32" i="82"/>
  <c r="AP32" i="82"/>
  <c r="AN32" i="82"/>
  <c r="AM32" i="82"/>
  <c r="AL32" i="82"/>
  <c r="AJ32" i="82"/>
  <c r="AI32" i="82"/>
  <c r="AH32" i="82"/>
  <c r="AF32" i="82"/>
  <c r="AE32" i="82"/>
  <c r="AE38" i="82" s="1"/>
  <c r="AD32" i="82"/>
  <c r="AA32" i="82"/>
  <c r="Z32" i="82"/>
  <c r="Y32" i="82"/>
  <c r="Y38" i="82" s="1"/>
  <c r="X32" i="82"/>
  <c r="W32" i="82"/>
  <c r="S32" i="82"/>
  <c r="R32" i="82"/>
  <c r="R38" i="82" s="1"/>
  <c r="Q32" i="82"/>
  <c r="N32" i="82"/>
  <c r="M32" i="82"/>
  <c r="J32" i="82"/>
  <c r="J38" i="82" s="1"/>
  <c r="F32" i="82"/>
  <c r="E32" i="82"/>
  <c r="AR22" i="82"/>
  <c r="AQ22" i="82"/>
  <c r="AQ34" i="82" s="1"/>
  <c r="AP22" i="82"/>
  <c r="AP34" i="82" s="1"/>
  <c r="AN22" i="82"/>
  <c r="AN38" i="82" s="1"/>
  <c r="AM22" i="82"/>
  <c r="AL22" i="82"/>
  <c r="AL34" i="82" s="1"/>
  <c r="AJ22" i="82"/>
  <c r="AJ34" i="82" s="1"/>
  <c r="AI22" i="82"/>
  <c r="AI38" i="82" s="1"/>
  <c r="AH22" i="82"/>
  <c r="AF22" i="82"/>
  <c r="AF34" i="82" s="1"/>
  <c r="AE22" i="82"/>
  <c r="AE34" i="82" s="1"/>
  <c r="AD22" i="82"/>
  <c r="AD38" i="82" s="1"/>
  <c r="AA22" i="82"/>
  <c r="Z22" i="82"/>
  <c r="Z34" i="82" s="1"/>
  <c r="Y22" i="82"/>
  <c r="Y34" i="82" s="1"/>
  <c r="X22" i="82"/>
  <c r="X38" i="82" s="1"/>
  <c r="W22" i="82"/>
  <c r="S22" i="82"/>
  <c r="S34" i="82" s="1"/>
  <c r="R22" i="82"/>
  <c r="R34" i="82" s="1"/>
  <c r="Q22" i="82"/>
  <c r="Q38" i="82" s="1"/>
  <c r="N22" i="82"/>
  <c r="M22" i="82"/>
  <c r="M34" i="82" s="1"/>
  <c r="J22" i="82"/>
  <c r="J34" i="82" s="1"/>
  <c r="F22" i="82"/>
  <c r="F38" i="82" s="1"/>
  <c r="E22" i="82"/>
  <c r="AW37" i="75"/>
  <c r="AW36" i="75"/>
  <c r="AV37" i="75"/>
  <c r="AV36" i="75"/>
  <c r="AU37" i="75"/>
  <c r="AU36" i="75"/>
  <c r="AS37" i="75"/>
  <c r="AS36" i="75"/>
  <c r="AR37" i="75"/>
  <c r="AR36" i="75"/>
  <c r="AQ37" i="75"/>
  <c r="AQ36" i="75"/>
  <c r="AN37" i="75"/>
  <c r="AN36" i="75"/>
  <c r="AM37" i="75"/>
  <c r="AM36" i="75"/>
  <c r="AL37" i="75"/>
  <c r="AL36" i="75"/>
  <c r="AI37" i="75"/>
  <c r="AI36" i="75"/>
  <c r="AH37" i="75"/>
  <c r="AH36" i="75"/>
  <c r="AG37" i="75"/>
  <c r="AG36" i="75"/>
  <c r="AD37" i="75"/>
  <c r="AD36" i="75"/>
  <c r="AC37" i="75"/>
  <c r="AC36" i="75"/>
  <c r="AO37" i="75"/>
  <c r="AO36" i="75"/>
  <c r="AJ37" i="75"/>
  <c r="AJ36" i="75"/>
  <c r="Z37" i="75"/>
  <c r="Z36" i="75"/>
  <c r="V37" i="75"/>
  <c r="V36" i="75"/>
  <c r="Y37" i="75"/>
  <c r="Y36" i="75"/>
  <c r="X37" i="75"/>
  <c r="X36" i="75"/>
  <c r="W37" i="75"/>
  <c r="W36" i="75"/>
  <c r="R37" i="75"/>
  <c r="R36" i="75"/>
  <c r="Q37" i="75"/>
  <c r="Q36" i="75"/>
  <c r="P37" i="75"/>
  <c r="P36" i="75"/>
  <c r="M37" i="75"/>
  <c r="M36" i="75"/>
  <c r="L37" i="75"/>
  <c r="L36" i="75"/>
  <c r="I37" i="75"/>
  <c r="I36" i="75"/>
  <c r="F37" i="75"/>
  <c r="F36" i="75"/>
  <c r="E37" i="75"/>
  <c r="E36" i="75"/>
  <c r="AS34" i="75"/>
  <c r="AM34" i="75"/>
  <c r="AG34" i="75"/>
  <c r="AJ34" i="75"/>
  <c r="X34" i="75"/>
  <c r="P34" i="75"/>
  <c r="F34" i="75"/>
  <c r="AW32" i="75"/>
  <c r="AV32" i="75"/>
  <c r="AU32" i="75"/>
  <c r="AS32" i="75"/>
  <c r="AR32" i="75"/>
  <c r="AQ32" i="75"/>
  <c r="AN32" i="75"/>
  <c r="AM32" i="75"/>
  <c r="AL32" i="75"/>
  <c r="AI32" i="75"/>
  <c r="AH32" i="75"/>
  <c r="AG32" i="75"/>
  <c r="AD32" i="75"/>
  <c r="AC32" i="75"/>
  <c r="AO32" i="75"/>
  <c r="AJ32" i="75"/>
  <c r="Z32" i="75"/>
  <c r="V32" i="75"/>
  <c r="Y32" i="75"/>
  <c r="X32" i="75"/>
  <c r="W32" i="75"/>
  <c r="R32" i="75"/>
  <c r="Q32" i="75"/>
  <c r="Q34" i="75" s="1"/>
  <c r="P32" i="75"/>
  <c r="M32" i="75"/>
  <c r="L32" i="75"/>
  <c r="I32" i="75"/>
  <c r="I34" i="75" s="1"/>
  <c r="F32" i="75"/>
  <c r="E32" i="75"/>
  <c r="AW22" i="75"/>
  <c r="AV22" i="75"/>
  <c r="AV34" i="75" s="1"/>
  <c r="AU22" i="75"/>
  <c r="AU34" i="75" s="1"/>
  <c r="AS22" i="75"/>
  <c r="AS38" i="75" s="1"/>
  <c r="AR22" i="75"/>
  <c r="AQ22" i="75"/>
  <c r="AQ34" i="75" s="1"/>
  <c r="AN22" i="75"/>
  <c r="AN34" i="75" s="1"/>
  <c r="AM22" i="75"/>
  <c r="AM38" i="75" s="1"/>
  <c r="AL22" i="75"/>
  <c r="AI22" i="75"/>
  <c r="AI34" i="75" s="1"/>
  <c r="AH22" i="75"/>
  <c r="AH34" i="75" s="1"/>
  <c r="AG22" i="75"/>
  <c r="AG38" i="75" s="1"/>
  <c r="AD22" i="75"/>
  <c r="AC22" i="75"/>
  <c r="AC34" i="75" s="1"/>
  <c r="AO22" i="75"/>
  <c r="AO34" i="75" s="1"/>
  <c r="AJ22" i="75"/>
  <c r="AJ38" i="75" s="1"/>
  <c r="Z22" i="75"/>
  <c r="V22" i="75"/>
  <c r="V34" i="75" s="1"/>
  <c r="Y22" i="75"/>
  <c r="Y34" i="75" s="1"/>
  <c r="X22" i="75"/>
  <c r="X38" i="75" s="1"/>
  <c r="W22" i="75"/>
  <c r="R22" i="75"/>
  <c r="R34" i="75" s="1"/>
  <c r="Q22" i="75"/>
  <c r="P22" i="75"/>
  <c r="P38" i="75" s="1"/>
  <c r="M22" i="75"/>
  <c r="L22" i="75"/>
  <c r="L34" i="75" s="1"/>
  <c r="I22" i="75"/>
  <c r="F22" i="75"/>
  <c r="F38" i="75" s="1"/>
  <c r="E22" i="75"/>
  <c r="AS6" i="75"/>
  <c r="AC6" i="75"/>
  <c r="AM38" i="82" l="1"/>
  <c r="E38" i="82"/>
  <c r="AR38" i="82"/>
  <c r="E34" i="82"/>
  <c r="N34" i="82"/>
  <c r="N38" i="82" s="1"/>
  <c r="W34" i="82"/>
  <c r="W38" i="82" s="1"/>
  <c r="AA34" i="82"/>
  <c r="AA38" i="82" s="1"/>
  <c r="AH34" i="82"/>
  <c r="AH38" i="82" s="1"/>
  <c r="AM34" i="82"/>
  <c r="AR34" i="82"/>
  <c r="M38" i="82"/>
  <c r="S38" i="82"/>
  <c r="Z38" i="82"/>
  <c r="AF38" i="82"/>
  <c r="AL38" i="82"/>
  <c r="AQ38" i="82"/>
  <c r="AJ38" i="82"/>
  <c r="AP38" i="82"/>
  <c r="W38" i="75"/>
  <c r="Z38" i="75"/>
  <c r="AR38" i="75"/>
  <c r="AW38" i="75"/>
  <c r="I38" i="75"/>
  <c r="Q38" i="75"/>
  <c r="E34" i="75"/>
  <c r="E38" i="75" s="1"/>
  <c r="M34" i="75"/>
  <c r="M38" i="75" s="1"/>
  <c r="W34" i="75"/>
  <c r="Z34" i="75"/>
  <c r="AD34" i="75"/>
  <c r="AD38" i="75" s="1"/>
  <c r="AL34" i="75"/>
  <c r="AL38" i="75" s="1"/>
  <c r="AR34" i="75"/>
  <c r="AW34" i="75"/>
  <c r="L38" i="75"/>
  <c r="R38" i="75"/>
  <c r="V38" i="75"/>
  <c r="AC38" i="75"/>
  <c r="AI38" i="75"/>
  <c r="AQ38" i="75"/>
  <c r="AV38" i="75"/>
  <c r="Y38" i="75"/>
  <c r="AO38" i="75"/>
  <c r="AH38" i="75"/>
  <c r="AN38" i="75"/>
  <c r="AU38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I9" authorId="0" shapeId="0" xr:uid="{15F240AD-16CC-42ED-A562-8133D96BDCD6}">
      <text>
        <r>
          <rPr>
            <sz val="10"/>
            <color indexed="81"/>
            <rFont val="Arial"/>
            <family val="2"/>
          </rPr>
          <t>1 - 191,227_x000D_
2 - 129,771_x000D_
3 - 72,030_x000D_
4 - 65,847_x000D_
5 - 37,908_x000D_
6 - 5,419</t>
        </r>
      </text>
    </comment>
    <comment ref="M9" authorId="0" shapeId="0" xr:uid="{9ABA9934-3C26-4691-B108-370F280FA3F4}">
      <text>
        <r>
          <rPr>
            <sz val="10"/>
            <color indexed="81"/>
            <rFont val="Arial"/>
            <family val="2"/>
          </rPr>
          <t>1 - 191,227_x000D_
2 - 129,771_x000D_
3 - 72,030_x000D_
4 - 65,847_x000D_
5 - 37,908_x000D_
6 - 5,419</t>
        </r>
      </text>
    </comment>
    <comment ref="I10" authorId="0" shapeId="0" xr:uid="{BDA89703-A2F7-49DE-8145-31342504DBD0}">
      <text>
        <r>
          <rPr>
            <sz val="10"/>
            <color indexed="81"/>
            <rFont val="Arial"/>
            <family val="2"/>
          </rPr>
          <t>1 - 6,040_x000D_
2 - 6,040_x000D_
3 - 6,040_x000D_
4 - 5,938_x000D_
5 - 4,405_x000D_
6 - 401</t>
        </r>
      </text>
    </comment>
    <comment ref="M10" authorId="0" shapeId="0" xr:uid="{A633891F-389D-4DE8-8521-D00C2A99E58D}">
      <text>
        <r>
          <rPr>
            <sz val="10"/>
            <color indexed="81"/>
            <rFont val="Arial"/>
            <family val="2"/>
          </rPr>
          <t>1 - 6,040_x000D_
2 - 6,040_x000D_
3 - 6,040_x000D_
4 - 5,938_x000D_
5 - 4,405_x000D_
6 - 401</t>
        </r>
      </text>
    </comment>
    <comment ref="I11" authorId="0" shapeId="0" xr:uid="{62AC480C-D8AE-40B3-A8B9-D4C50661406F}">
      <text>
        <r>
          <rPr>
            <sz val="10"/>
            <color indexed="81"/>
            <rFont val="Arial"/>
            <family val="2"/>
          </rPr>
          <t>1 - 53,457_x000D_
2 - 53,457_x000D_
3 - 53,457_x000D_
4 - 53,457_x000D_
5 - 53,457_x000D_
6 - 49,013</t>
        </r>
      </text>
    </comment>
    <comment ref="M11" authorId="0" shapeId="0" xr:uid="{7CD1BD79-DC90-4FC3-9E8D-D650CC7C4874}">
      <text>
        <r>
          <rPr>
            <sz val="10"/>
            <color indexed="81"/>
            <rFont val="Arial"/>
            <family val="2"/>
          </rPr>
          <t>1 - 28,769_x000D_
2 - 28,770_x000D_
3 - 28,530_x000D_
4 - 33,310_x000D_
5 - 33,310_x000D_
6 - 28,866</t>
        </r>
      </text>
    </comment>
    <comment ref="I12" authorId="0" shapeId="0" xr:uid="{BDAE7C61-9F9E-42BD-A768-4432F461CF48}">
      <text>
        <r>
          <rPr>
            <sz val="10"/>
            <color indexed="81"/>
            <rFont val="Arial"/>
            <family val="2"/>
          </rPr>
          <t>1 - 326,800_x000D_
2 - 326,800_x000D_
3 - 326,800_x000D_
4 - 326,800_x000D_
5 - 326,800_x000D_
6 - 326,800</t>
        </r>
      </text>
    </comment>
    <comment ref="M12" authorId="0" shapeId="0" xr:uid="{E704DF96-01EB-49D3-B660-0B257D566079}">
      <text>
        <r>
          <rPr>
            <sz val="10"/>
            <color indexed="81"/>
            <rFont val="Arial"/>
            <family val="2"/>
          </rPr>
          <t>1 - 196,535_x000D_
2 - 196,535_x000D_
3 - 196,535_x000D_
4 - 201,037_x000D_
5 - 201,037_x000D_
6 - 201,037</t>
        </r>
      </text>
    </comment>
    <comment ref="I13" authorId="0" shapeId="0" xr:uid="{69BE8FD4-259C-4903-87FD-6DD61692C13E}">
      <text>
        <r>
          <rPr>
            <sz val="10"/>
            <color indexed="81"/>
            <rFont val="Arial"/>
            <family val="2"/>
          </rPr>
          <t>1 - 79,066_x000D_
2 - 73,479_x000D_
3 - 38,140_x000D_
4 - 31,667_x000D_
5 - 0_x000D_
6 - 0</t>
        </r>
      </text>
    </comment>
    <comment ref="M13" authorId="0" shapeId="0" xr:uid="{006D229F-853D-447D-8BA8-8C54F3959F32}">
      <text>
        <r>
          <rPr>
            <sz val="10"/>
            <color indexed="81"/>
            <rFont val="Arial"/>
            <family val="2"/>
          </rPr>
          <t>1 - 79,066_x000D_
2 - 73,479_x000D_
3 - 38,140_x000D_
4 - 31,667_x000D_
5 - 0_x000D_
6 - 0</t>
        </r>
      </text>
    </comment>
    <comment ref="I14" authorId="0" shapeId="0" xr:uid="{688B0087-C5AF-413D-BB53-DC9AC620A500}">
      <text>
        <r>
          <rPr>
            <sz val="10"/>
            <color indexed="81"/>
            <rFont val="Arial"/>
            <family val="2"/>
          </rPr>
          <t>1 - 15,077_x000D_
2 - 15,056_x000D_
3 - 5,661_x000D_
4 - 2,884_x000D_
5 - 0_x000D_
6 - 0</t>
        </r>
      </text>
    </comment>
    <comment ref="M14" authorId="0" shapeId="0" xr:uid="{6A942C38-888E-4214-8784-0AD8FA820723}">
      <text>
        <r>
          <rPr>
            <sz val="10"/>
            <color indexed="81"/>
            <rFont val="Arial"/>
            <family val="2"/>
          </rPr>
          <t>1 - 15,077_x000D_
2 - 11,571_x000D_
3 - 5,661_x000D_
4 - 2,884_x000D_
5 - 0_x000D_
6 - 0</t>
        </r>
      </text>
    </comment>
    <comment ref="I15" authorId="0" shapeId="0" xr:uid="{056EC487-D725-4DC2-B193-4B6162F2AC54}">
      <text>
        <r>
          <rPr>
            <sz val="10"/>
            <color indexed="81"/>
            <rFont val="Arial"/>
            <family val="2"/>
          </rPr>
          <t>1 - 9,015_x000D_
2 - 9,015_x000D_
3 - 1,871_x000D_
4 - 225_x000D_
5 - 0_x000D_
6 - 0</t>
        </r>
      </text>
    </comment>
    <comment ref="M15" authorId="0" shapeId="0" xr:uid="{B7E3B1DD-5D52-4579-9615-6437B1740649}">
      <text>
        <r>
          <rPr>
            <sz val="10"/>
            <color indexed="81"/>
            <rFont val="Arial"/>
            <family val="2"/>
          </rPr>
          <t>1 - 4,358_x000D_
2 - 4,114_x000D_
3 - 1,871_x000D_
4 - 225_x000D_
5 - 0_x000D_
6 - 0</t>
        </r>
      </text>
    </comment>
    <comment ref="I16" authorId="0" shapeId="0" xr:uid="{8048DA43-1B9E-4F9E-9960-25E99B78A159}">
      <text>
        <r>
          <rPr>
            <sz val="9"/>
            <color indexed="81"/>
            <rFont val="Arial"/>
            <family val="2"/>
          </rPr>
          <t>Changed $129,600.00 to $129,600.00 by ExcelImport on 04/06/2026</t>
        </r>
      </text>
    </comment>
    <comment ref="M16" authorId="0" shapeId="0" xr:uid="{9FBE888D-F2AB-479D-817D-DE0F4AA638B9}">
      <text>
        <r>
          <rPr>
            <sz val="9"/>
            <color indexed="81"/>
            <rFont val="Arial"/>
            <family val="2"/>
          </rPr>
          <t>Changed $93,851.63 to $93,772.00 by ExcelImport on 04/06/2026</t>
        </r>
      </text>
    </comment>
    <comment ref="I18" authorId="0" shapeId="0" xr:uid="{654B6827-251B-4D79-B396-4A9E4AED0087}">
      <text>
        <r>
          <rPr>
            <sz val="9"/>
            <color indexed="81"/>
            <rFont val="Arial"/>
            <family val="2"/>
          </rPr>
          <t>Changed $121,000.00 to $121,000.00 by ExcelImport on 04/06/2026</t>
        </r>
      </text>
    </comment>
    <comment ref="M18" authorId="0" shapeId="0" xr:uid="{6AB0EB26-6D29-48E1-AC29-1F7D1505711C}">
      <text>
        <r>
          <rPr>
            <sz val="9"/>
            <color indexed="81"/>
            <rFont val="Arial"/>
            <family val="2"/>
          </rPr>
          <t>Changed $86,889.66 to $86,860.00 by ExcelImport on 04/06/2026</t>
        </r>
      </text>
    </comment>
    <comment ref="I20" authorId="0" shapeId="0" xr:uid="{94D282F2-CFFB-4B47-A3BC-26AA0C6930B7}">
      <text>
        <r>
          <rPr>
            <sz val="10"/>
            <color indexed="81"/>
            <rFont val="Arial"/>
            <family val="2"/>
          </rPr>
          <t>1 - 89,400_x000D_
2 - 0_x000D_
3 - 0_x000D_
4 - 0_x000D_
5 - 0_x000D_
6 - 0</t>
        </r>
      </text>
    </comment>
    <comment ref="M20" authorId="0" shapeId="0" xr:uid="{C9C142E4-9EA1-4EBF-8C53-DA34B467A3BB}">
      <text>
        <r>
          <rPr>
            <sz val="10"/>
            <color indexed="81"/>
            <rFont val="Arial"/>
            <family val="2"/>
          </rPr>
          <t>1 - 64,356_x000D_
2 - 0_x000D_
3 - 0_x000D_
4 - 0_x000D_
5 - 0_x000D_
6 - 0</t>
        </r>
      </text>
    </comment>
    <comment ref="I21" authorId="0" shapeId="0" xr:uid="{2DB5F535-2508-42AF-AF0A-2DB2286D33A4}">
      <text>
        <r>
          <rPr>
            <sz val="9"/>
            <color indexed="81"/>
            <rFont val="Arial"/>
            <family val="2"/>
          </rPr>
          <t>Changed $89,400.00 to $89,400.00 by ExcelImport on 04/06/2026</t>
        </r>
      </text>
    </comment>
    <comment ref="M21" authorId="0" shapeId="0" xr:uid="{D8FA2F19-B2F6-449E-AB35-E03148184F30}">
      <text>
        <r>
          <rPr>
            <sz val="9"/>
            <color indexed="81"/>
            <rFont val="Arial"/>
            <family val="2"/>
          </rPr>
          <t>Changed $67,644.64 to $67,616.00 by ExcelImport on 04/06/2026</t>
        </r>
      </text>
    </comment>
    <comment ref="I25" authorId="0" shapeId="0" xr:uid="{05387325-10EE-418C-8FDC-EA5C816CCEDA}">
      <text>
        <r>
          <rPr>
            <sz val="10"/>
            <color indexed="81"/>
            <rFont val="Arial"/>
            <family val="2"/>
          </rPr>
          <t>1 - 14,473_x000D_
2 - 14,473_x000D_
3 - 13,279_x000D_
4 - 13,214_x000D_
5 - 11,388_x000D_
6 - 6,761</t>
        </r>
      </text>
    </comment>
    <comment ref="M25" authorId="0" shapeId="0" xr:uid="{B8F5B66A-8696-4F2E-970A-64036D697A03}">
      <text>
        <r>
          <rPr>
            <sz val="10"/>
            <color indexed="81"/>
            <rFont val="Arial"/>
            <family val="2"/>
          </rPr>
          <t>1 - 14,473_x000D_
2 - 14,473_x000D_
3 - 13,279_x000D_
4 - 13,214_x000D_
5 - 11,388_x000D_
6 - 6,761</t>
        </r>
      </text>
    </comment>
    <comment ref="I26" authorId="0" shapeId="0" xr:uid="{7E992F4C-8E77-4B96-BB34-5B62314D8FB0}">
      <text>
        <r>
          <rPr>
            <sz val="10"/>
            <color indexed="81"/>
            <rFont val="Arial"/>
            <family val="2"/>
          </rPr>
          <t>1 - 20,537_x000D_
2 - 17,430_x000D_
3 - 16,962_x000D_
4 - 14,593_x000D_
5 - 14,194_x000D_
6 - 12,179</t>
        </r>
      </text>
    </comment>
    <comment ref="M26" authorId="0" shapeId="0" xr:uid="{BEC207C4-5C22-4F68-B808-5E9671ADE94E}">
      <text>
        <r>
          <rPr>
            <sz val="10"/>
            <color indexed="81"/>
            <rFont val="Arial"/>
            <family val="2"/>
          </rPr>
          <t>1 - 20,537_x000D_
2 - 17,430_x000D_
3 - 16,962_x000D_
4 - 14,593_x000D_
5 - 14,194_x000D_
6 - 12,179</t>
        </r>
      </text>
    </comment>
    <comment ref="I27" authorId="0" shapeId="0" xr:uid="{7F967765-A65E-4EF3-9E9E-624C99C7CEF6}">
      <text>
        <r>
          <rPr>
            <sz val="10"/>
            <color indexed="81"/>
            <rFont val="Arial"/>
            <family val="2"/>
          </rPr>
          <t>1 - 17,735_x000D_
2 - 17,735_x000D_
3 - 16,093_x000D_
4 - 13,466_x000D_
5 - 9,060_x000D_
6 - 5,670</t>
        </r>
      </text>
    </comment>
    <comment ref="M27" authorId="0" shapeId="0" xr:uid="{7B957DC6-CA7F-434B-AC93-5206B0A93EF8}">
      <text>
        <r>
          <rPr>
            <sz val="10"/>
            <color indexed="81"/>
            <rFont val="Arial"/>
            <family val="2"/>
          </rPr>
          <t>1 - 17,735_x000D_
2 - 17,735_x000D_
3 - 16,093_x000D_
4 - 13,466_x000D_
5 - 9,060_x000D_
6 - 5,670</t>
        </r>
      </text>
    </comment>
    <comment ref="I28" authorId="0" shapeId="0" xr:uid="{4873972B-8859-43F6-8800-27D9E46E51A5}">
      <text>
        <r>
          <rPr>
            <sz val="10"/>
            <color indexed="81"/>
            <rFont val="Arial"/>
            <family val="2"/>
          </rPr>
          <t>1 - 975_x000D_
2 - 975_x000D_
3 - 780_x000D_
4 - 0_x000D_
5 - 0_x000D_
6 - 0</t>
        </r>
      </text>
    </comment>
    <comment ref="M28" authorId="0" shapeId="0" xr:uid="{43AFCDDE-67C4-4ECA-9E65-162E1E29C7DC}">
      <text>
        <r>
          <rPr>
            <sz val="10"/>
            <color indexed="81"/>
            <rFont val="Arial"/>
            <family val="2"/>
          </rPr>
          <t>1 - 975_x000D_
2 - 975_x000D_
3 - 780_x000D_
4 - 0_x000D_
5 - 0_x000D_
6 - 0</t>
        </r>
      </text>
    </comment>
    <comment ref="I29" authorId="0" shapeId="0" xr:uid="{14C0CE2E-D5F6-45EF-A9A3-DEC0EB436551}">
      <text>
        <r>
          <rPr>
            <sz val="10"/>
            <color indexed="81"/>
            <rFont val="Arial"/>
            <family val="2"/>
          </rPr>
          <t>1 - 1,243_x000D_
2 - 1,243_x000D_
3 - 1,243_x000D_
4 - 1,243_x000D_
5 - 999_x000D_
6 - 902</t>
        </r>
      </text>
    </comment>
    <comment ref="M29" authorId="0" shapeId="0" xr:uid="{7EBA34E3-94AA-4336-8739-0079D1C9DF69}">
      <text>
        <r>
          <rPr>
            <sz val="10"/>
            <color indexed="81"/>
            <rFont val="Arial"/>
            <family val="2"/>
          </rPr>
          <t>1 - 1,243_x000D_
2 - 1,243_x000D_
3 - 1,243_x000D_
4 - 1,243_x000D_
5 - 999_x000D_
6 - 902</t>
        </r>
      </text>
    </comment>
    <comment ref="I30" authorId="0" shapeId="0" xr:uid="{2B4EA8CB-BECE-4525-A2BE-7E2DF66FB908}">
      <text>
        <r>
          <rPr>
            <sz val="10"/>
            <color indexed="81"/>
            <rFont val="Arial"/>
            <family val="2"/>
          </rPr>
          <t>1 - 5,000_x000D_
2 - 5,000_x000D_
3 - 5,000_x000D_
4 - 5,000_x000D_
5 - 0_x000D_
6 - 0</t>
        </r>
      </text>
    </comment>
    <comment ref="M30" authorId="0" shapeId="0" xr:uid="{6BAF7E6D-44F2-41CB-A8DC-72B076ACEE8D}">
      <text>
        <r>
          <rPr>
            <sz val="10"/>
            <color indexed="81"/>
            <rFont val="Arial"/>
            <family val="2"/>
          </rPr>
          <t>1 - 4,082_x000D_
2 - 4,082_x000D_
3 - 3,887_x000D_
4 - 5,000_x000D_
5 - 0_x000D_
6 - 0</t>
        </r>
      </text>
    </comment>
    <comment ref="I31" authorId="0" shapeId="0" xr:uid="{045BA065-0F8C-457D-8586-A20C3FC655E9}">
      <text>
        <r>
          <rPr>
            <sz val="10"/>
            <color indexed="81"/>
            <rFont val="Arial"/>
            <family val="2"/>
          </rPr>
          <t>1 - 37,530_x000D_
2 - 37,530_x000D_
3 - 37,530_x000D_
4 - 37,530_x000D_
5 - 0_x000D_
6 - 0</t>
        </r>
      </text>
    </comment>
    <comment ref="M31" authorId="0" shapeId="0" xr:uid="{F8187A90-FFDC-427A-B570-2FF776AEF2F5}">
      <text>
        <r>
          <rPr>
            <sz val="10"/>
            <color indexed="81"/>
            <rFont val="Arial"/>
            <family val="2"/>
          </rPr>
          <t>1 - 30,795_x000D_
2 - 33,550_x000D_
3 - 32,225_x000D_
4 - 31,444_x000D_
5 - 0_x000D_
6 - 0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J9" authorId="0" shapeId="0" xr:uid="{68461AA9-5B07-4768-B4A2-32EB156ECDA4}">
      <text>
        <r>
          <rPr>
            <sz val="10"/>
            <color indexed="81"/>
            <rFont val="Arial"/>
            <family val="2"/>
          </rPr>
          <t>1 - 0_x000D_
2 - 0_x000D_
3 - 72,030_x000D_
4 - 0_x000D_
5 - 0_x000D_
6 - 5,419</t>
        </r>
      </text>
    </comment>
    <comment ref="N9" authorId="0" shapeId="0" xr:uid="{0DFD8C75-8082-4A67-901B-9B5D332733D8}">
      <text>
        <r>
          <rPr>
            <sz val="10"/>
            <color indexed="81"/>
            <rFont val="Arial"/>
            <family val="2"/>
          </rPr>
          <t>1 - 0_x000D_
2 - 0_x000D_
3 - 72,030_x000D_
4 - 0_x000D_
5 - 0_x000D_
6 - 5,419</t>
        </r>
      </text>
    </comment>
    <comment ref="J10" authorId="0" shapeId="0" xr:uid="{3A7909A9-668C-4277-827D-A26E148A63B1}">
      <text>
        <r>
          <rPr>
            <sz val="10"/>
            <color indexed="81"/>
            <rFont val="Arial"/>
            <family val="2"/>
          </rPr>
          <t>1 - 0_x000D_
2 - 0_x000D_
3 - 6,040_x000D_
4 - 0_x000D_
5 - 0_x000D_
6 - 401</t>
        </r>
      </text>
    </comment>
    <comment ref="N10" authorId="0" shapeId="0" xr:uid="{F30A4283-C048-45BD-B0E1-40A0E6D73415}">
      <text>
        <r>
          <rPr>
            <sz val="10"/>
            <color indexed="81"/>
            <rFont val="Arial"/>
            <family val="2"/>
          </rPr>
          <t>1 - 0_x000D_
2 - 0_x000D_
3 - 6,040_x000D_
4 - 0_x000D_
5 - 0_x000D_
6 - 401</t>
        </r>
      </text>
    </comment>
    <comment ref="J11" authorId="0" shapeId="0" xr:uid="{D18B24CC-4B03-4316-A234-84519E613B13}">
      <text>
        <r>
          <rPr>
            <sz val="10"/>
            <color indexed="81"/>
            <rFont val="Arial"/>
            <family val="2"/>
          </rPr>
          <t>1 - 0_x000D_
2 - 0_x000D_
3 - 53,457_x000D_
4 - 0_x000D_
5 - 0_x000D_
6 - 49,013</t>
        </r>
      </text>
    </comment>
    <comment ref="N11" authorId="0" shapeId="0" xr:uid="{C9613FAB-34B0-4A64-8468-0670A8DAA26D}">
      <text>
        <r>
          <rPr>
            <sz val="10"/>
            <color indexed="81"/>
            <rFont val="Arial"/>
            <family val="2"/>
          </rPr>
          <t>1 - 0_x000D_
2 - 0_x000D_
3 - 28,530_x000D_
4 - 0_x000D_
5 - 0_x000D_
6 - 28,866</t>
        </r>
      </text>
    </comment>
    <comment ref="J12" authorId="0" shapeId="0" xr:uid="{3422B6D7-2991-4D89-B154-6ADC3BF1BA40}">
      <text>
        <r>
          <rPr>
            <sz val="10"/>
            <color indexed="81"/>
            <rFont val="Arial"/>
            <family val="2"/>
          </rPr>
          <t>1 - 0_x000D_
2 - 0_x000D_
3 - 326,800_x000D_
4 - 0_x000D_
5 - 0_x000D_
6 - 326,800</t>
        </r>
      </text>
    </comment>
    <comment ref="N12" authorId="0" shapeId="0" xr:uid="{1E375C9C-BED9-43E5-9059-24DFF803A9DD}">
      <text>
        <r>
          <rPr>
            <sz val="10"/>
            <color indexed="81"/>
            <rFont val="Arial"/>
            <family val="2"/>
          </rPr>
          <t>1 - 0_x000D_
2 - 0_x000D_
3 - 196,535_x000D_
4 - 0_x000D_
5 - 0_x000D_
6 - 201,037</t>
        </r>
      </text>
    </comment>
    <comment ref="J13" authorId="0" shapeId="0" xr:uid="{8277B54F-B4BA-489E-999E-3E71BB16867D}">
      <text>
        <r>
          <rPr>
            <sz val="10"/>
            <color indexed="81"/>
            <rFont val="Arial"/>
            <family val="2"/>
          </rPr>
          <t>1 - 0_x000D_
2 - 0_x000D_
3 - 38,140_x000D_
4 - 0_x000D_
5 - 0_x000D_
6 - 0</t>
        </r>
      </text>
    </comment>
    <comment ref="N13" authorId="0" shapeId="0" xr:uid="{F558A852-A16B-4708-9230-34F238D1ACAB}">
      <text>
        <r>
          <rPr>
            <sz val="10"/>
            <color indexed="81"/>
            <rFont val="Arial"/>
            <family val="2"/>
          </rPr>
          <t>1 - 0_x000D_
2 - 0_x000D_
3 - 38,140_x000D_
4 - 0_x000D_
5 - 0_x000D_
6 - 0</t>
        </r>
      </text>
    </comment>
    <comment ref="J14" authorId="0" shapeId="0" xr:uid="{91A0F1F0-9004-413E-AD26-38D89999F12B}">
      <text>
        <r>
          <rPr>
            <sz val="10"/>
            <color indexed="81"/>
            <rFont val="Arial"/>
            <family val="2"/>
          </rPr>
          <t>1 - 0_x000D_
2 - 0_x000D_
3 - 5,661_x000D_
4 - 0_x000D_
5 - 0_x000D_
6 - 0</t>
        </r>
      </text>
    </comment>
    <comment ref="N14" authorId="0" shapeId="0" xr:uid="{5CBAEFA5-5ADA-433A-A5DB-3BAA33D9362E}">
      <text>
        <r>
          <rPr>
            <sz val="10"/>
            <color indexed="81"/>
            <rFont val="Arial"/>
            <family val="2"/>
          </rPr>
          <t>1 - 0_x000D_
2 - 0_x000D_
3 - 5,661_x000D_
4 - 0_x000D_
5 - 0_x000D_
6 - 0</t>
        </r>
      </text>
    </comment>
    <comment ref="J15" authorId="0" shapeId="0" xr:uid="{15AC1E61-A7DC-4375-BD72-496402C5DC73}">
      <text>
        <r>
          <rPr>
            <sz val="10"/>
            <color indexed="81"/>
            <rFont val="Arial"/>
            <family val="2"/>
          </rPr>
          <t>1 - 0_x000D_
2 - 0_x000D_
3 - 1,871_x000D_
4 - 0_x000D_
5 - 0_x000D_
6 - 0</t>
        </r>
      </text>
    </comment>
    <comment ref="N15" authorId="0" shapeId="0" xr:uid="{0197DAD7-C0C3-4260-9DF8-7E754F21CC6C}">
      <text>
        <r>
          <rPr>
            <sz val="10"/>
            <color indexed="81"/>
            <rFont val="Arial"/>
            <family val="2"/>
          </rPr>
          <t>1 - 0_x000D_
2 - 0_x000D_
3 - 1,871_x000D_
4 - 0_x000D_
5 - 0_x000D_
6 - 0</t>
        </r>
      </text>
    </comment>
    <comment ref="J16" authorId="0" shapeId="0" xr:uid="{6D7CB9C5-22E2-4F56-ABAE-A854D51438A5}">
      <text>
        <r>
          <rPr>
            <sz val="9"/>
            <color indexed="81"/>
            <rFont val="Arial"/>
            <family val="2"/>
          </rPr>
          <t>Changed $129,600.00 to $6,600.20 by ExcelImport on 04/06/2026</t>
        </r>
      </text>
    </comment>
    <comment ref="N16" authorId="0" shapeId="0" xr:uid="{B8B09100-711C-40AC-B963-F83410183353}">
      <text>
        <r>
          <rPr>
            <sz val="9"/>
            <color indexed="81"/>
            <rFont val="Arial"/>
            <family val="2"/>
          </rPr>
          <t>Changed $93,851.63 to $6,600.20 by ExcelImport on 04/06/2026</t>
        </r>
      </text>
    </comment>
    <comment ref="J18" authorId="0" shapeId="0" xr:uid="{C5102C9D-C77D-4889-B1B0-F90F652B1A63}">
      <text>
        <r>
          <rPr>
            <sz val="9"/>
            <color indexed="81"/>
            <rFont val="Arial"/>
            <family val="2"/>
          </rPr>
          <t>Changed $121,000.00 to $524.30 by ExcelImport on 04/06/2026</t>
        </r>
      </text>
    </comment>
    <comment ref="N18" authorId="0" shapeId="0" xr:uid="{1C0B886F-438A-4FF5-83C6-19BD988195CB}">
      <text>
        <r>
          <rPr>
            <sz val="9"/>
            <color indexed="81"/>
            <rFont val="Arial"/>
            <family val="2"/>
          </rPr>
          <t>Changed $86,889.66 to $524.30 by ExcelImport on 04/06/2026</t>
        </r>
      </text>
    </comment>
    <comment ref="J20" authorId="0" shapeId="0" xr:uid="{FBF200F2-2FE3-4129-86EB-C215DFD61E8E}">
      <text>
        <r>
          <rPr>
            <sz val="9"/>
            <color indexed="81"/>
            <rFont val="Arial"/>
            <family val="2"/>
          </rPr>
          <t>Changed $89,400.00 to $6,624.81 by ExcelImport on 04/06/2026</t>
        </r>
      </text>
    </comment>
    <comment ref="N20" authorId="0" shapeId="0" xr:uid="{2F7F5555-F506-48A2-BAA6-D84E52D44DA2}">
      <text>
        <r>
          <rPr>
            <sz val="9"/>
            <color indexed="81"/>
            <rFont val="Arial"/>
            <family val="2"/>
          </rPr>
          <t>Changed $66,723.32 to $6,624.81 by ExcelImport on 04/06/2026</t>
        </r>
      </text>
    </comment>
    <comment ref="J21" authorId="0" shapeId="0" xr:uid="{AC7217E1-0E2A-4F24-A841-EBA4655F011D}">
      <text>
        <r>
          <rPr>
            <sz val="9"/>
            <color indexed="81"/>
            <rFont val="Arial"/>
            <family val="2"/>
          </rPr>
          <t>Changed $89,400.00 to $89,400.00 by ExcelImport on 04/06/2026</t>
        </r>
      </text>
    </comment>
    <comment ref="N21" authorId="0" shapeId="0" xr:uid="{EFCB03AE-E5F0-4AEC-87A2-B0BEF83D5C11}">
      <text>
        <r>
          <rPr>
            <sz val="9"/>
            <color indexed="81"/>
            <rFont val="Arial"/>
            <family val="2"/>
          </rPr>
          <t>Changed $67,644.64 to $67,616.00 by ExcelImport on 04/06/2026</t>
        </r>
      </text>
    </comment>
    <comment ref="J25" authorId="0" shapeId="0" xr:uid="{534C1FEB-33B8-4380-A9F5-D40D95C30364}">
      <text>
        <r>
          <rPr>
            <sz val="10"/>
            <color indexed="81"/>
            <rFont val="Arial"/>
            <family val="2"/>
          </rPr>
          <t>1 - 0_x000D_
2 - 0_x000D_
3 - 13,279_x000D_
4 - 0_x000D_
5 - 0_x000D_
6 - 6,761</t>
        </r>
      </text>
    </comment>
    <comment ref="N25" authorId="0" shapeId="0" xr:uid="{126D0790-3301-4308-B869-46E666FF526B}">
      <text>
        <r>
          <rPr>
            <sz val="10"/>
            <color indexed="81"/>
            <rFont val="Arial"/>
            <family val="2"/>
          </rPr>
          <t>1 - 0_x000D_
2 - 0_x000D_
3 - 13,279_x000D_
4 - 0_x000D_
5 - 0_x000D_
6 - 6,761</t>
        </r>
      </text>
    </comment>
    <comment ref="J26" authorId="0" shapeId="0" xr:uid="{96A198FB-2F10-4ED1-B8F5-AFEA95DBF0BD}">
      <text>
        <r>
          <rPr>
            <sz val="10"/>
            <color indexed="81"/>
            <rFont val="Arial"/>
            <family val="2"/>
          </rPr>
          <t>1 - 0_x000D_
2 - 0_x000D_
3 - 16,962_x000D_
4 - 0_x000D_
5 - 0_x000D_
6 - 12,179</t>
        </r>
      </text>
    </comment>
    <comment ref="N26" authorId="0" shapeId="0" xr:uid="{6394D67E-6DC1-48CF-8B33-DAA4F67599C9}">
      <text>
        <r>
          <rPr>
            <sz val="10"/>
            <color indexed="81"/>
            <rFont val="Arial"/>
            <family val="2"/>
          </rPr>
          <t>1 - 0_x000D_
2 - 0_x000D_
3 - 16,962_x000D_
4 - 0_x000D_
5 - 0_x000D_
6 - 12,179</t>
        </r>
      </text>
    </comment>
    <comment ref="J27" authorId="0" shapeId="0" xr:uid="{72B4D98E-2878-4429-9993-721226E608C1}">
      <text>
        <r>
          <rPr>
            <sz val="10"/>
            <color indexed="81"/>
            <rFont val="Arial"/>
            <family val="2"/>
          </rPr>
          <t>1 - 0_x000D_
2 - 0_x000D_
3 - 16,093_x000D_
4 - 0_x000D_
5 - 0_x000D_
6 - 5,670</t>
        </r>
      </text>
    </comment>
    <comment ref="N27" authorId="0" shapeId="0" xr:uid="{7EF4B0CA-7EAC-46F4-AF48-217997F52E57}">
      <text>
        <r>
          <rPr>
            <sz val="10"/>
            <color indexed="81"/>
            <rFont val="Arial"/>
            <family val="2"/>
          </rPr>
          <t>1 - 0_x000D_
2 - 0_x000D_
3 - 16,093_x000D_
4 - 0_x000D_
5 - 0_x000D_
6 - 5,670</t>
        </r>
      </text>
    </comment>
    <comment ref="J28" authorId="0" shapeId="0" xr:uid="{FEB22D0F-C25A-4D42-85AA-056369472B64}">
      <text>
        <r>
          <rPr>
            <sz val="10"/>
            <color indexed="81"/>
            <rFont val="Arial"/>
            <family val="2"/>
          </rPr>
          <t>1 - 0_x000D_
2 - 0_x000D_
3 - 780_x000D_
4 - 0_x000D_
5 - 0_x000D_
6 - 0</t>
        </r>
      </text>
    </comment>
    <comment ref="N28" authorId="0" shapeId="0" xr:uid="{3F6B0BDC-BB5C-49DD-BD43-307970A0C612}">
      <text>
        <r>
          <rPr>
            <sz val="10"/>
            <color indexed="81"/>
            <rFont val="Arial"/>
            <family val="2"/>
          </rPr>
          <t>1 - 0_x000D_
2 - 0_x000D_
3 - 780_x000D_
4 - 0_x000D_
5 - 0_x000D_
6 - 0</t>
        </r>
      </text>
    </comment>
    <comment ref="J29" authorId="0" shapeId="0" xr:uid="{B29B43D7-0040-4013-B887-904600DBDBF0}">
      <text>
        <r>
          <rPr>
            <sz val="10"/>
            <color indexed="81"/>
            <rFont val="Arial"/>
            <family val="2"/>
          </rPr>
          <t>1 - 0_x000D_
2 - 0_x000D_
3 - 1,243_x000D_
4 - 0_x000D_
5 - 0_x000D_
6 - 902</t>
        </r>
      </text>
    </comment>
    <comment ref="N29" authorId="0" shapeId="0" xr:uid="{D9BB98C7-D1F9-4188-90CC-FF68BCE6684F}">
      <text>
        <r>
          <rPr>
            <sz val="10"/>
            <color indexed="81"/>
            <rFont val="Arial"/>
            <family val="2"/>
          </rPr>
          <t>1 - 0_x000D_
2 - 0_x000D_
3 - 1,243_x000D_
4 - 0_x000D_
5 - 0_x000D_
6 - 902</t>
        </r>
      </text>
    </comment>
    <comment ref="J30" authorId="0" shapeId="0" xr:uid="{40E63886-283A-4BBA-814D-ECFCBA1F4ED3}">
      <text>
        <r>
          <rPr>
            <sz val="10"/>
            <color indexed="81"/>
            <rFont val="Arial"/>
            <family val="2"/>
          </rPr>
          <t>1 - 0_x000D_
2 - 0_x000D_
3 - 5,000_x000D_
4 - 0_x000D_
5 - 0_x000D_
6 - 0</t>
        </r>
      </text>
    </comment>
    <comment ref="N30" authorId="0" shapeId="0" xr:uid="{2AB48A8E-A08D-47D9-AC8D-5B6A3FD550DB}">
      <text>
        <r>
          <rPr>
            <sz val="10"/>
            <color indexed="81"/>
            <rFont val="Arial"/>
            <family val="2"/>
          </rPr>
          <t>1 - 0_x000D_
2 - 0_x000D_
3 - 3,887_x000D_
4 - 0_x000D_
5 - 0_x000D_
6 - 0</t>
        </r>
      </text>
    </comment>
    <comment ref="J31" authorId="0" shapeId="0" xr:uid="{56038E6E-C793-4E7B-A128-FD410E47E97A}">
      <text>
        <r>
          <rPr>
            <sz val="10"/>
            <color indexed="81"/>
            <rFont val="Arial"/>
            <family val="2"/>
          </rPr>
          <t>1 - 0_x000D_
2 - 0_x000D_
3 - 37,530_x000D_
4 - 0_x000D_
5 - 0_x000D_
6 - 0</t>
        </r>
      </text>
    </comment>
    <comment ref="N31" authorId="0" shapeId="0" xr:uid="{4E763193-3FE2-48A0-8D5F-E5589A4F753E}">
      <text>
        <r>
          <rPr>
            <sz val="10"/>
            <color indexed="81"/>
            <rFont val="Arial"/>
            <family val="2"/>
          </rPr>
          <t>1 - 0_x000D_
2 - 0_x000D_
3 - 32,225_x000D_
4 - 0_x000D_
5 - 0_x000D_
6 - 0</t>
        </r>
      </text>
    </comment>
  </commentList>
</comments>
</file>

<file path=xl/sharedStrings.xml><?xml version="1.0" encoding="utf-8"?>
<sst xmlns="http://schemas.openxmlformats.org/spreadsheetml/2006/main" count="4946" uniqueCount="684">
  <si>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</si>
  <si>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</si>
  <si>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</si>
  <si>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</si>
  <si>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</si>
  <si>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</si>
  <si>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</si>
  <si>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</si>
  <si>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</si>
  <si>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</si>
  <si>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</si>
  <si>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</si>
  <si>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</si>
  <si>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</si>
  <si>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</si>
  <si>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</si>
  <si>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</si>
  <si>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</si>
  <si>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</si>
  <si>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</si>
  <si>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</si>
  <si>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</si>
  <si>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</si>
  <si>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</si>
  <si>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</si>
  <si>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</si>
  <si>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</si>
  <si>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</si>
  <si>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</si>
  <si>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</si>
  <si>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</si>
  <si>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</si>
  <si>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</si>
  <si>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</si>
  <si>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</si>
  <si>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</si>
  <si>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</si>
  <si>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</si>
  <si>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</si>
  <si>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</si>
  <si>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</si>
  <si>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</si>
  <si>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</si>
  <si>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</si>
  <si>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</si>
  <si>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</si>
  <si>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</si>
  <si>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</si>
  <si>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</si>
  <si>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</si>
  <si>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</si>
  <si>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</si>
  <si>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</si>
  <si>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</si>
  <si>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</si>
  <si>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</si>
  <si>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</si>
  <si>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</si>
  <si>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</si>
  <si>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</si>
  <si>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</si>
  <si>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</si>
  <si>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</si>
  <si>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</si>
  <si>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</si>
  <si>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</si>
  <si>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</si>
  <si>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</si>
  <si>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</si>
  <si>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</si>
  <si>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</si>
  <si>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</si>
  <si>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</si>
  <si>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</si>
  <si>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</si>
  <si>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</si>
  <si>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</si>
  <si>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</si>
  <si>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</si>
  <si>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</si>
  <si>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</si>
  <si>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</si>
  <si>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</si>
  <si>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</si>
  <si>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</si>
  <si>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</si>
  <si>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</si>
  <si>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</si>
  <si>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</si>
  <si>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</si>
  <si>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</si>
  <si>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</si>
  <si>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</si>
  <si>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</si>
  <si>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</si>
  <si>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</si>
  <si>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</si>
  <si>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</si>
  <si>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</si>
  <si>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</si>
  <si>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</si>
  <si>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</si>
  <si>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</si>
  <si>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</si>
  <si>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</si>
  <si>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</si>
  <si>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</si>
  <si>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</si>
  <si>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</si>
  <si>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</si>
  <si>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</si>
  <si>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</si>
  <si>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</si>
  <si>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</si>
  <si>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</si>
  <si>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</si>
  <si>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</si>
  <si>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</si>
  <si>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</si>
  <si>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</si>
  <si>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</si>
  <si>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</si>
  <si>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</si>
  <si>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</si>
  <si>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</si>
  <si>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</si>
  <si>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</si>
  <si>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</si>
  <si>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</si>
  <si>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</si>
  <si>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</si>
  <si>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</si>
  <si>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</si>
  <si>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</si>
  <si>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</si>
  <si>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</si>
  <si>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</si>
  <si>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</si>
  <si>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</si>
  <si>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</si>
  <si>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</si>
  <si>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</si>
  <si>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</si>
  <si>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</si>
  <si>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</si>
  <si>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</si>
  <si>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</si>
  <si>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</si>
  <si>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</si>
  <si>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</si>
  <si>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</si>
  <si>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</si>
  <si>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</si>
  <si>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</si>
  <si>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</si>
  <si>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</si>
  <si>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</si>
  <si>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</si>
  <si>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</si>
  <si>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</si>
  <si>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</si>
  <si>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</si>
  <si>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</si>
  <si>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</si>
  <si>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</si>
  <si>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</si>
  <si>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</si>
  <si>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</si>
  <si>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</si>
  <si>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</si>
  <si>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</si>
  <si>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</si>
  <si>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</si>
  <si>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</si>
  <si>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</si>
  <si>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</si>
  <si>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</si>
  <si>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</si>
  <si>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</si>
  <si>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</si>
  <si>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</si>
  <si>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</si>
  <si>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</si>
  <si>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</si>
  <si>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</si>
  <si>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</si>
  <si>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</si>
  <si>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</si>
  <si>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</si>
  <si>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</si>
  <si>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</si>
  <si>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</si>
  <si>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</si>
  <si>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</si>
  <si>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</si>
  <si>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</si>
  <si>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</si>
  <si>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</si>
  <si>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</si>
  <si>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</si>
  <si>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</si>
  <si>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</si>
  <si>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</si>
  <si>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</si>
  <si>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</si>
  <si>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</si>
  <si>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</si>
  <si>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</si>
  <si>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</si>
  <si>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</si>
  <si>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</si>
  <si>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</si>
  <si>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</si>
  <si>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</si>
  <si>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</si>
  <si>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</si>
  <si>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</si>
  <si>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</si>
  <si>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</si>
  <si>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</si>
  <si>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</si>
  <si>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</si>
  <si>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</si>
  <si>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</si>
  <si>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</si>
  <si>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</si>
  <si>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</si>
  <si>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</si>
  <si>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</si>
  <si>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</si>
  <si>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</si>
  <si>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</si>
  <si>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</si>
  <si>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</si>
  <si>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</si>
  <si>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</si>
  <si>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</si>
  <si>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</si>
  <si>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</si>
  <si>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</si>
  <si>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</si>
  <si>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</si>
  <si>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</si>
  <si>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</si>
  <si>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</si>
  <si>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</si>
  <si>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</si>
  <si>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</si>
  <si>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</si>
  <si>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</si>
  <si>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</si>
  <si>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</si>
  <si>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</si>
  <si>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</si>
  <si>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</si>
  <si>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</si>
  <si>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</si>
  <si>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</si>
  <si>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</si>
  <si>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</si>
  <si>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</si>
  <si>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</si>
  <si>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</si>
  <si>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</si>
  <si>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</si>
  <si>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</si>
  <si>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</si>
  <si>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</si>
  <si>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</si>
  <si>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</si>
  <si>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</si>
  <si>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</si>
  <si>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</si>
  <si>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</si>
  <si>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</si>
  <si>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</si>
  <si>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</si>
  <si>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</si>
  <si>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</si>
  <si>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</si>
  <si>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</si>
  <si>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</si>
  <si>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</si>
  <si>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</si>
  <si>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</si>
  <si>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</si>
  <si>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</si>
  <si>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</si>
  <si>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</si>
  <si>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</si>
  <si>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</si>
  <si>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</si>
  <si>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</si>
  <si>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</si>
  <si>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</si>
  <si>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</si>
  <si>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</si>
  <si>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</si>
  <si>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</si>
  <si>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</si>
  <si>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</si>
  <si>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</si>
  <si>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</si>
  <si>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</si>
  <si>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</si>
  <si>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</si>
  <si>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</si>
  <si>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</si>
  <si>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</si>
  <si>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</si>
  <si>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</si>
  <si>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</si>
  <si>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</si>
  <si>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</si>
  <si>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</si>
  <si>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</si>
  <si>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</si>
  <si>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</si>
  <si>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</si>
  <si>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</si>
  <si>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</si>
  <si>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</si>
  <si>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</si>
  <si>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</si>
  <si>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</si>
  <si>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</si>
  <si>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</si>
  <si>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</si>
  <si>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</si>
  <si>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</si>
  <si>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</si>
  <si>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</si>
  <si>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</si>
  <si>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</si>
  <si>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</si>
  <si>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</si>
  <si>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</si>
  <si>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</si>
  <si>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</si>
  <si>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</si>
  <si>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</si>
  <si>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</si>
  <si>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</si>
  <si>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</si>
  <si>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</si>
  <si>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</si>
  <si>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</si>
  <si>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</si>
  <si>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</si>
  <si>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</si>
  <si>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</si>
  <si>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</si>
  <si>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</si>
  <si>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</si>
  <si>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</si>
  <si>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</si>
  <si>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</si>
  <si>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</si>
  <si>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</si>
  <si>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</si>
  <si>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</si>
  <si>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</si>
  <si>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</si>
  <si>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</si>
  <si>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</si>
  <si>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</si>
  <si>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</si>
  <si>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</si>
  <si>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</si>
  <si>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</si>
  <si>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</si>
  <si>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</si>
  <si>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</si>
  <si>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</si>
  <si>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</si>
  <si>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</si>
  <si>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</si>
  <si>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</si>
  <si>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</si>
  <si>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</si>
  <si>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</si>
  <si>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</si>
  <si>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</si>
  <si>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</si>
  <si>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</si>
  <si>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</si>
  <si>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</si>
  <si>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</si>
  <si>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</si>
  <si>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</si>
  <si>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</si>
  <si>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</si>
  <si>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</si>
  <si>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</si>
  <si>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</si>
  <si>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</si>
  <si>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</si>
  <si>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</si>
  <si>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</si>
  <si>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</si>
  <si>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</si>
  <si>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</si>
  <si>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</si>
  <si>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</si>
  <si>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</si>
  <si>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</si>
  <si>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</si>
  <si>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</si>
  <si>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</si>
  <si>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</si>
  <si>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</si>
  <si>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</si>
  <si>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</si>
  <si>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</si>
  <si>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</si>
  <si>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</si>
  <si>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</si>
  <si>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</si>
  <si>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</si>
  <si>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</si>
  <si>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</si>
  <si>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</si>
  <si>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</si>
  <si>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</si>
  <si>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</si>
  <si>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</si>
  <si>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</si>
  <si>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</si>
  <si>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</si>
  <si>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</si>
  <si>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</si>
  <si>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</si>
  <si>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</si>
  <si>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</si>
  <si>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</si>
  <si>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</si>
  <si>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</si>
  <si>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</si>
  <si>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</si>
  <si>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</si>
  <si>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</si>
  <si>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</si>
  <si>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</si>
  <si>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</si>
  <si>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</si>
  <si>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</si>
  <si>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</si>
  <si>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</si>
  <si>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</si>
  <si>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</si>
  <si>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</si>
  <si>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</si>
  <si>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</si>
  <si>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</si>
  <si>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</si>
  <si>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</si>
  <si>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</si>
  <si>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</si>
  <si>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</si>
  <si>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</si>
  <si>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</si>
  <si>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</si>
  <si>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</si>
  <si>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</si>
  <si>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</si>
  <si>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</si>
  <si>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</si>
  <si>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</si>
  <si>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</si>
  <si>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</si>
  <si>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</si>
  <si>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</si>
  <si>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</si>
  <si>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</si>
  <si>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</si>
  <si>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</si>
  <si>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</si>
  <si>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</si>
  <si>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</si>
  <si>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</si>
  <si>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</si>
  <si>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</si>
  <si>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</si>
  <si>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</si>
  <si>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</si>
  <si>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</si>
  <si>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</si>
  <si>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</si>
  <si>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</si>
  <si>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</si>
  <si>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</si>
  <si>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</si>
  <si>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</si>
  <si>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</si>
  <si>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</si>
  <si>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</si>
  <si>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</si>
  <si>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</si>
  <si>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</si>
  <si>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</si>
  <si>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</si>
  <si>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</si>
  <si>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</si>
  <si>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</si>
  <si>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</si>
  <si>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</si>
  <si>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</si>
  <si>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</si>
  <si>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</si>
  <si>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</si>
  <si>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</si>
  <si>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</si>
  <si>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</si>
  <si>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</si>
  <si>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</si>
  <si>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</si>
  <si>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</si>
  <si>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</si>
  <si>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</si>
  <si>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</si>
  <si>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</si>
  <si>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</si>
  <si>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</si>
  <si>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</si>
  <si>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</si>
  <si>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</si>
  <si>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</si>
  <si>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</si>
  <si>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</si>
  <si>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</si>
  <si>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</si>
  <si>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</si>
  <si>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</si>
  <si>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</si>
  <si>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</si>
  <si>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</si>
  <si>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</si>
  <si>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</si>
  <si>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</si>
  <si>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</si>
  <si>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</si>
  <si>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</si>
  <si>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</si>
  <si>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</si>
  <si>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</si>
  <si>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</si>
  <si>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</si>
  <si>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</si>
  <si>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</si>
  <si>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</si>
  <si>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</si>
  <si>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</si>
  <si>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</si>
  <si>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</si>
  <si>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</si>
  <si>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</si>
  <si>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</si>
  <si>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</si>
  <si>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</si>
  <si>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</si>
  <si>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</si>
  <si>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</si>
  <si>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</si>
  <si>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</si>
  <si>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</si>
  <si>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</si>
  <si>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</si>
  <si>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</si>
  <si>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</si>
  <si>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</si>
  <si>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</si>
  <si>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</si>
  <si>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</si>
  <si>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</si>
  <si>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</si>
  <si>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</si>
  <si>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</si>
  <si>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</si>
  <si>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</si>
  <si>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</si>
  <si>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</si>
  <si>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</si>
  <si>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</si>
  <si>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</si>
  <si>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</si>
  <si>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</si>
  <si>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</si>
  <si>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</si>
  <si>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</si>
  <si>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</si>
  <si>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</si>
  <si>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</si>
  <si>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</si>
  <si>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</si>
  <si>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</si>
  <si>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</si>
  <si>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</si>
  <si>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</si>
  <si>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</si>
  <si>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</si>
  <si>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</si>
  <si>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</si>
  <si>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</si>
  <si>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</si>
  <si>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</si>
  <si>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</si>
  <si>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</si>
  <si>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</si>
  <si>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</si>
  <si>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</si>
  <si>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</si>
  <si>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</si>
  <si>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</si>
  <si>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</si>
  <si>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</si>
  <si>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</si>
  <si>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</si>
  <si>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</si>
  <si>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</si>
  <si>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</si>
  <si>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</si>
  <si>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</si>
  <si>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</si>
  <si>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</si>
  <si>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</si>
  <si>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</si>
  <si>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</si>
  <si>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</si>
  <si>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</si>
  <si>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</si>
  <si>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</si>
  <si>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</si>
  <si>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</si>
  <si>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</si>
  <si>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ExcelImport</t>
  </si>
  <si>
    <t xml:space="preserve">  Open Jobs</t>
  </si>
  <si>
    <t>Kevin Ford</t>
  </si>
  <si>
    <t xml:space="preserve">    TCWD - SCADA Integration Services</t>
  </si>
  <si>
    <t xml:space="preserve">    EOCWD - SCADA Field Site RTU Prog Ph.1</t>
  </si>
  <si>
    <t xml:space="preserve">    Furnish Planning Services for SCADA, Instrumentation, and SM</t>
  </si>
  <si>
    <t xml:space="preserve">    WNOU Plant Replacement Flow Transmitters  – San Gabriel Vall</t>
  </si>
  <si>
    <t xml:space="preserve">    Trabuco Canyon Water District - On Call SVCS</t>
  </si>
  <si>
    <t xml:space="preserve">    IRWD - MWRP Fueling Facility CP-100 Programming</t>
  </si>
  <si>
    <t xml:space="preserve">    Irvine Ranch Water District - Michelson Water Recycling Plan</t>
  </si>
  <si>
    <t xml:space="preserve">    South Orange County Water Agency - CTP &amp; JBL SCADA Upgrade</t>
  </si>
  <si>
    <t xml:space="preserve">    PLC Programming Support - South Orange County Wastewater Aut</t>
  </si>
  <si>
    <t>Company 16 Grand Totals</t>
  </si>
  <si>
    <t>Company 16 Open Job Totals</t>
  </si>
  <si>
    <t>Company 16 Closed Job Totals</t>
  </si>
  <si>
    <t>Division 78</t>
  </si>
  <si>
    <t>78.1083.</t>
  </si>
  <si>
    <t>78.1087.</t>
  </si>
  <si>
    <t>78.1136.</t>
  </si>
  <si>
    <t>78.1137.</t>
  </si>
  <si>
    <t>78.1161.</t>
  </si>
  <si>
    <t xml:space="preserve">    On-Call Support - City of Redlands</t>
  </si>
  <si>
    <t>78.1162.</t>
  </si>
  <si>
    <t xml:space="preserve">    SCADA Systems Integrator On-Call Services - Trabuco Canyon W</t>
  </si>
  <si>
    <t>78.1165.</t>
  </si>
  <si>
    <t xml:space="preserve">    SCADA Support Solids Open P.O - South Orange County Wasterwa</t>
  </si>
  <si>
    <t>78.1195.</t>
  </si>
  <si>
    <t xml:space="preserve">    Montebello Water System CenB22 PLC Replacement – San Gabriel</t>
  </si>
  <si>
    <t>78.1196.</t>
  </si>
  <si>
    <t xml:space="preserve">    Montebello Water System M6 and M9 PLC Replacement - San Gabr</t>
  </si>
  <si>
    <t>78.1197.</t>
  </si>
  <si>
    <t xml:space="preserve">    Montebello Water System M8 PLC Replacement – San Gabriel Val</t>
  </si>
  <si>
    <t>78.1198.</t>
  </si>
  <si>
    <t xml:space="preserve">    Montebello Water System M10 PLC Replacement – San Gabriel Va</t>
  </si>
  <si>
    <t>78.1199.</t>
  </si>
  <si>
    <t xml:space="preserve">    Montebello Water System M11 Well Site PLC Retrofit – San Gab</t>
  </si>
  <si>
    <t>78.1200.</t>
  </si>
  <si>
    <t xml:space="preserve">    Montebello Water System M12 Well Site PLC Retrofit - San Gab</t>
  </si>
  <si>
    <t xml:space="preserve">  Division 78 Open Job Totals</t>
  </si>
  <si>
    <t>78.1016.</t>
  </si>
  <si>
    <t>78.1042.</t>
  </si>
  <si>
    <t>78.1049.</t>
  </si>
  <si>
    <t>78.1064.</t>
  </si>
  <si>
    <t>78.1084.</t>
  </si>
  <si>
    <t>78.1164.</t>
  </si>
  <si>
    <t xml:space="preserve">    Solids Open P.O - South Orange County Wasterwater Authority</t>
  </si>
  <si>
    <t>78.1171.</t>
  </si>
  <si>
    <t xml:space="preserve">    Temp Radio System to Support Plant 13 Renovations - San Gabr</t>
  </si>
  <si>
    <t xml:space="preserve">  Division 78 Closed Job Totals</t>
  </si>
  <si>
    <t>Division 78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</si>
</sst>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9"/>
      <color indexed="81"/>
      <name val="Arial"/>
      <family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78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CtFXccA99m0S92feIfbZXmaxUh25v1UIhOyaWvfK7x5aYc7p/qkdYjb/g6JNl+GoklFlOakbdw2GXmQULM1l1A==" saltValue="Oz5TIBqGXPs/6Qy77fXVo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649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7"/>
      <c r="BU7" s="297"/>
      <c r="BV7" s="297"/>
      <c r="BW7" s="297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635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7"/>
      <c r="BU8" s="297"/>
      <c r="BV8" s="297"/>
      <c r="BW8" s="297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650</v>
      </c>
      <c r="B9" s="232" t="s">
        <v>639</v>
      </c>
      <c r="C9" s="232" t="s">
        <v>636</v>
      </c>
      <c r="D9" s="233"/>
      <c r="E9" s="234">
        <v>473432.58</v>
      </c>
      <c r="F9" s="235">
        <v>473432.58</v>
      </c>
      <c r="G9" s="236"/>
      <c r="H9" s="237"/>
      <c r="I9" s="238">
        <v>311081.13</v>
      </c>
      <c r="J9" s="249"/>
      <c r="K9" s="240"/>
      <c r="L9" s="8">
        <v>618070.01</v>
      </c>
      <c r="M9" s="241">
        <v>311081.13</v>
      </c>
      <c r="N9" s="72"/>
      <c r="O9" s="100"/>
      <c r="P9" s="9"/>
      <c r="Q9" s="9">
        <v>0</v>
      </c>
      <c r="R9" s="9"/>
      <c r="S9" s="152">
        <v>46174</v>
      </c>
      <c r="T9" s="10"/>
      <c r="U9" s="23"/>
      <c r="V9" s="11"/>
      <c r="W9" s="11"/>
      <c r="X9" s="8">
        <v>311081.13</v>
      </c>
      <c r="Y9" s="9"/>
      <c r="Z9" s="70">
        <v>0</v>
      </c>
      <c r="AA9" s="72"/>
      <c r="AB9" s="108"/>
      <c r="AC9" s="9">
        <v>0</v>
      </c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311081.13</v>
      </c>
      <c r="AN9" s="9"/>
      <c r="AO9" s="9"/>
      <c r="AP9" s="10"/>
      <c r="AQ9" s="25"/>
      <c r="AR9" s="25"/>
      <c r="AS9" s="25"/>
      <c r="AT9" s="10"/>
      <c r="AU9" s="12">
        <v>311081.13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311081.13</v>
      </c>
      <c r="BF9" s="15">
        <v>311081.13</v>
      </c>
      <c r="BG9" s="242">
        <v>0</v>
      </c>
      <c r="BH9" s="15">
        <v>311081.13</v>
      </c>
      <c r="BI9" s="15">
        <v>311081.13</v>
      </c>
      <c r="BJ9" s="242">
        <v>0</v>
      </c>
      <c r="BK9" s="242">
        <v>0</v>
      </c>
      <c r="BL9" s="242"/>
      <c r="BM9" s="242">
        <v>1</v>
      </c>
      <c r="BN9" s="242">
        <v>0</v>
      </c>
      <c r="BO9" s="242">
        <v>0</v>
      </c>
      <c r="BP9" s="242"/>
      <c r="BQ9" s="242"/>
      <c r="BR9" s="242"/>
      <c r="BS9" s="242"/>
      <c r="BT9" s="297"/>
      <c r="BU9" s="297"/>
      <c r="BV9" s="297"/>
      <c r="BW9" s="297"/>
      <c r="BX9" s="242"/>
      <c r="BY9" s="242"/>
      <c r="BZ9" s="245"/>
      <c r="CA9" s="245"/>
      <c r="CB9" s="245"/>
      <c r="CC9" s="246" t="s">
        <v>634</v>
      </c>
      <c r="CD9" s="242">
        <v>0</v>
      </c>
      <c r="CE9" s="248">
        <v>0</v>
      </c>
      <c r="CF9" s="248">
        <v>0</v>
      </c>
      <c r="CG9" s="248">
        <v>0</v>
      </c>
      <c r="CH9" s="248">
        <v>0</v>
      </c>
      <c r="CI9" s="247" t="s">
        <v>633</v>
      </c>
      <c r="CJ9" s="248">
        <v>311081.13</v>
      </c>
      <c r="CK9" s="248">
        <v>311081.13</v>
      </c>
      <c r="CL9" s="248">
        <v>311081.13</v>
      </c>
      <c r="CM9" s="248">
        <v>0</v>
      </c>
    </row>
    <row r="10" spans="1:102" x14ac:dyDescent="0.25">
      <c r="A10" s="231" t="s">
        <v>651</v>
      </c>
      <c r="B10" s="232" t="s">
        <v>640</v>
      </c>
      <c r="C10" s="232" t="s">
        <v>636</v>
      </c>
      <c r="D10" s="233"/>
      <c r="E10" s="234">
        <v>7076.75</v>
      </c>
      <c r="F10" s="235">
        <v>7076.75</v>
      </c>
      <c r="G10" s="236"/>
      <c r="H10" s="237"/>
      <c r="I10" s="238">
        <v>6040.26</v>
      </c>
      <c r="J10" s="249"/>
      <c r="K10" s="240"/>
      <c r="L10" s="8">
        <v>12642.36</v>
      </c>
      <c r="M10" s="241">
        <v>6040.26</v>
      </c>
      <c r="N10" s="72"/>
      <c r="O10" s="100"/>
      <c r="P10" s="9"/>
      <c r="Q10" s="9">
        <v>0</v>
      </c>
      <c r="R10" s="9"/>
      <c r="S10" s="152">
        <v>46174</v>
      </c>
      <c r="T10" s="10"/>
      <c r="U10" s="23"/>
      <c r="V10" s="11"/>
      <c r="W10" s="11"/>
      <c r="X10" s="8">
        <v>6040.26</v>
      </c>
      <c r="Y10" s="9"/>
      <c r="Z10" s="70">
        <v>0</v>
      </c>
      <c r="AA10" s="72"/>
      <c r="AB10" s="108"/>
      <c r="AC10" s="9">
        <v>0</v>
      </c>
      <c r="AD10" s="9"/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/>
      <c r="AM10" s="8">
        <v>6040.26</v>
      </c>
      <c r="AN10" s="9"/>
      <c r="AO10" s="9"/>
      <c r="AP10" s="10"/>
      <c r="AQ10" s="25"/>
      <c r="AR10" s="25"/>
      <c r="AS10" s="25"/>
      <c r="AT10" s="10"/>
      <c r="AU10" s="12">
        <v>6040.26</v>
      </c>
      <c r="AV10" s="12"/>
      <c r="AW10" s="12"/>
      <c r="AX10" s="242"/>
      <c r="AY10" s="243"/>
      <c r="AZ10" s="242"/>
      <c r="BA10" s="242"/>
      <c r="BB10" s="244"/>
      <c r="BC10" s="243" t="s">
        <v>630</v>
      </c>
      <c r="BD10" s="243" t="s">
        <v>630</v>
      </c>
      <c r="BE10" s="15">
        <v>6040.26</v>
      </c>
      <c r="BF10" s="15">
        <v>6040.26</v>
      </c>
      <c r="BG10" s="242">
        <v>0</v>
      </c>
      <c r="BH10" s="15">
        <v>6040.26</v>
      </c>
      <c r="BI10" s="15">
        <v>6040.26</v>
      </c>
      <c r="BJ10" s="242">
        <v>0</v>
      </c>
      <c r="BK10" s="242">
        <v>0</v>
      </c>
      <c r="BL10" s="242"/>
      <c r="BM10" s="242">
        <v>1</v>
      </c>
      <c r="BN10" s="242">
        <v>0</v>
      </c>
      <c r="BO10" s="242">
        <v>0</v>
      </c>
      <c r="BP10" s="242"/>
      <c r="BQ10" s="242"/>
      <c r="BR10" s="242"/>
      <c r="BS10" s="242"/>
      <c r="BT10" s="297"/>
      <c r="BU10" s="297"/>
      <c r="BV10" s="297"/>
      <c r="BW10" s="297"/>
      <c r="BX10" s="242"/>
      <c r="BY10" s="242"/>
      <c r="BZ10" s="245"/>
      <c r="CA10" s="245"/>
      <c r="CB10" s="245"/>
      <c r="CC10" s="246" t="s">
        <v>634</v>
      </c>
      <c r="CD10" s="242">
        <v>0</v>
      </c>
      <c r="CE10" s="248">
        <v>0</v>
      </c>
      <c r="CF10" s="248">
        <v>0</v>
      </c>
      <c r="CG10" s="248">
        <v>0</v>
      </c>
      <c r="CH10" s="248">
        <v>0</v>
      </c>
      <c r="CI10" s="247" t="s">
        <v>633</v>
      </c>
      <c r="CJ10" s="248">
        <v>6040.26</v>
      </c>
      <c r="CK10" s="248">
        <v>6040.26</v>
      </c>
      <c r="CL10" s="248">
        <v>6040.26</v>
      </c>
      <c r="CM10" s="248">
        <v>0</v>
      </c>
    </row>
    <row r="11" spans="1:102" x14ac:dyDescent="0.25">
      <c r="A11" s="231" t="s">
        <v>652</v>
      </c>
      <c r="B11" s="232" t="s">
        <v>642</v>
      </c>
      <c r="C11" s="232" t="s">
        <v>636</v>
      </c>
      <c r="D11" s="233"/>
      <c r="E11" s="234">
        <v>0</v>
      </c>
      <c r="F11" s="235">
        <v>0</v>
      </c>
      <c r="G11" s="236"/>
      <c r="H11" s="237"/>
      <c r="I11" s="238">
        <v>49013</v>
      </c>
      <c r="J11" s="249"/>
      <c r="K11" s="240"/>
      <c r="L11" s="8">
        <v>28769.35</v>
      </c>
      <c r="M11" s="241">
        <v>28801</v>
      </c>
      <c r="N11" s="72"/>
      <c r="O11" s="100"/>
      <c r="P11" s="9"/>
      <c r="Q11" s="9">
        <v>24688</v>
      </c>
      <c r="R11" s="9"/>
      <c r="S11" s="152">
        <v>46082</v>
      </c>
      <c r="T11" s="10"/>
      <c r="U11" s="23"/>
      <c r="V11" s="11"/>
      <c r="W11" s="11"/>
      <c r="X11" s="8">
        <v>21013.22</v>
      </c>
      <c r="Y11" s="9"/>
      <c r="Z11" s="70">
        <v>14746.68</v>
      </c>
      <c r="AA11" s="72"/>
      <c r="AB11" s="108"/>
      <c r="AC11" s="9">
        <v>17894.68</v>
      </c>
      <c r="AD11" s="9"/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/>
      <c r="AM11" s="8">
        <v>21013.22</v>
      </c>
      <c r="AN11" s="9"/>
      <c r="AO11" s="9"/>
      <c r="AP11" s="10"/>
      <c r="AQ11" s="25"/>
      <c r="AR11" s="25"/>
      <c r="AS11" s="25"/>
      <c r="AT11" s="10"/>
      <c r="AU11" s="12">
        <v>41336</v>
      </c>
      <c r="AV11" s="12"/>
      <c r="AW11" s="12"/>
      <c r="AX11" s="242"/>
      <c r="AY11" s="243"/>
      <c r="AZ11" s="242"/>
      <c r="BA11" s="242"/>
      <c r="BB11" s="244"/>
      <c r="BC11" s="243" t="s">
        <v>630</v>
      </c>
      <c r="BD11" s="243" t="s">
        <v>630</v>
      </c>
      <c r="BE11" s="15">
        <v>49013</v>
      </c>
      <c r="BF11" s="15">
        <v>28801</v>
      </c>
      <c r="BG11" s="15">
        <v>14746.68</v>
      </c>
      <c r="BH11" s="15">
        <v>49013</v>
      </c>
      <c r="BI11" s="15">
        <v>28801</v>
      </c>
      <c r="BJ11" s="242">
        <v>0</v>
      </c>
      <c r="BK11" s="250">
        <v>17894.68</v>
      </c>
      <c r="BL11" s="242"/>
      <c r="BM11" s="242">
        <v>1</v>
      </c>
      <c r="BN11" s="242">
        <v>24688</v>
      </c>
      <c r="BO11" s="242">
        <v>0</v>
      </c>
      <c r="BP11" s="242"/>
      <c r="BQ11" s="242"/>
      <c r="BR11" s="242"/>
      <c r="BS11" s="242"/>
      <c r="BT11" s="297"/>
      <c r="BU11" s="297"/>
      <c r="BV11" s="297"/>
      <c r="BW11" s="297"/>
      <c r="BX11" s="242"/>
      <c r="BY11" s="242"/>
      <c r="BZ11" s="245"/>
      <c r="CA11" s="245"/>
      <c r="CB11" s="294">
        <v>14746.68</v>
      </c>
      <c r="CC11" s="246" t="s">
        <v>634</v>
      </c>
      <c r="CD11" s="242">
        <v>0</v>
      </c>
      <c r="CE11" s="242">
        <v>0</v>
      </c>
      <c r="CF11" s="242">
        <v>0</v>
      </c>
      <c r="CG11" s="242">
        <v>0</v>
      </c>
      <c r="CH11" s="242">
        <v>0</v>
      </c>
      <c r="CI11" s="247" t="s">
        <v>633</v>
      </c>
      <c r="CJ11" s="248">
        <v>21013.22</v>
      </c>
      <c r="CK11" s="248">
        <v>21013.22</v>
      </c>
      <c r="CL11" s="248">
        <v>41336</v>
      </c>
      <c r="CM11" s="248">
        <v>0</v>
      </c>
    </row>
    <row r="12" spans="1:102" x14ac:dyDescent="0.25">
      <c r="A12" s="231" t="s">
        <v>653</v>
      </c>
      <c r="B12" s="232" t="s">
        <v>643</v>
      </c>
      <c r="C12" s="232" t="s">
        <v>636</v>
      </c>
      <c r="D12" s="233"/>
      <c r="E12" s="234">
        <v>326800</v>
      </c>
      <c r="F12" s="235">
        <v>326800</v>
      </c>
      <c r="G12" s="236"/>
      <c r="H12" s="237"/>
      <c r="I12" s="238">
        <v>253000</v>
      </c>
      <c r="J12" s="249"/>
      <c r="K12" s="240"/>
      <c r="L12" s="8">
        <v>133257.23000000001</v>
      </c>
      <c r="M12" s="241">
        <v>122734.75</v>
      </c>
      <c r="N12" s="71"/>
      <c r="O12" s="100"/>
      <c r="P12" s="9"/>
      <c r="Q12" s="9">
        <v>130265.25</v>
      </c>
      <c r="R12" s="9"/>
      <c r="S12" s="152">
        <v>46266</v>
      </c>
      <c r="T12" s="10"/>
      <c r="U12" s="23"/>
      <c r="V12" s="11"/>
      <c r="W12" s="11"/>
      <c r="X12" s="8">
        <v>50374.19</v>
      </c>
      <c r="Y12" s="9"/>
      <c r="Z12" s="70">
        <v>53464.94</v>
      </c>
      <c r="AA12" s="72"/>
      <c r="AB12" s="108"/>
      <c r="AC12" s="9">
        <v>31574.42</v>
      </c>
      <c r="AD12" s="9"/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/>
      <c r="AM12" s="8">
        <v>50374.19</v>
      </c>
      <c r="AN12" s="9"/>
      <c r="AO12" s="9"/>
      <c r="AP12" s="10"/>
      <c r="AQ12" s="25"/>
      <c r="AR12" s="25"/>
      <c r="AS12" s="25"/>
      <c r="AT12" s="10"/>
      <c r="AU12" s="12">
        <v>111200</v>
      </c>
      <c r="AV12" s="12"/>
      <c r="AW12" s="12"/>
      <c r="AX12" s="242"/>
      <c r="AY12" s="243"/>
      <c r="AZ12" s="242"/>
      <c r="BA12" s="242"/>
      <c r="BB12" s="244"/>
      <c r="BC12" s="243" t="s">
        <v>630</v>
      </c>
      <c r="BD12" s="243" t="s">
        <v>630</v>
      </c>
      <c r="BE12" s="15">
        <v>253000</v>
      </c>
      <c r="BF12" s="15">
        <v>122734.75</v>
      </c>
      <c r="BG12" s="15">
        <v>53464.94</v>
      </c>
      <c r="BH12" s="15">
        <v>253000</v>
      </c>
      <c r="BI12" s="15">
        <v>122734.75</v>
      </c>
      <c r="BJ12" s="242">
        <v>0</v>
      </c>
      <c r="BK12" s="242">
        <v>31574.42</v>
      </c>
      <c r="BL12" s="242"/>
      <c r="BM12" s="242">
        <v>1</v>
      </c>
      <c r="BN12" s="242">
        <v>130265.25</v>
      </c>
      <c r="BO12" s="242">
        <v>0</v>
      </c>
      <c r="BP12" s="242"/>
      <c r="BQ12" s="242"/>
      <c r="BR12" s="242"/>
      <c r="BS12" s="242"/>
      <c r="BT12" s="297"/>
      <c r="BU12" s="297"/>
      <c r="BV12" s="297"/>
      <c r="BW12" s="297"/>
      <c r="BX12" s="242"/>
      <c r="BY12" s="242"/>
      <c r="BZ12" s="245"/>
      <c r="CA12" s="245"/>
      <c r="CB12" s="294">
        <v>53464.94</v>
      </c>
      <c r="CC12" s="246" t="s">
        <v>634</v>
      </c>
      <c r="CD12" s="242">
        <v>0</v>
      </c>
      <c r="CE12" s="242">
        <v>0</v>
      </c>
      <c r="CF12" s="242">
        <v>0</v>
      </c>
      <c r="CG12" s="242">
        <v>0</v>
      </c>
      <c r="CH12" s="242">
        <v>0</v>
      </c>
      <c r="CI12" s="247" t="s">
        <v>633</v>
      </c>
      <c r="CJ12" s="248">
        <v>50374.19</v>
      </c>
      <c r="CK12" s="248">
        <v>50374.19</v>
      </c>
      <c r="CL12" s="248">
        <v>111200</v>
      </c>
      <c r="CM12" s="248">
        <v>0</v>
      </c>
    </row>
    <row r="13" spans="1:102" x14ac:dyDescent="0.25">
      <c r="A13" s="231" t="s">
        <v>654</v>
      </c>
      <c r="B13" s="232" t="s">
        <v>655</v>
      </c>
      <c r="C13" s="232" t="s">
        <v>636</v>
      </c>
      <c r="D13" s="233"/>
      <c r="E13" s="234">
        <v>176326.65</v>
      </c>
      <c r="F13" s="235">
        <v>176326.65</v>
      </c>
      <c r="G13" s="236"/>
      <c r="H13" s="237"/>
      <c r="I13" s="238">
        <v>154241.65</v>
      </c>
      <c r="J13" s="249"/>
      <c r="K13" s="240"/>
      <c r="L13" s="8">
        <v>115035.47</v>
      </c>
      <c r="M13" s="241">
        <v>116541.85</v>
      </c>
      <c r="N13" s="71"/>
      <c r="O13" s="100"/>
      <c r="P13" s="9"/>
      <c r="Q13" s="9">
        <v>0</v>
      </c>
      <c r="R13" s="9"/>
      <c r="S13" s="152"/>
      <c r="T13" s="10"/>
      <c r="U13" s="23"/>
      <c r="V13" s="11"/>
      <c r="W13" s="11"/>
      <c r="X13" s="8">
        <v>116541.85</v>
      </c>
      <c r="Y13" s="9"/>
      <c r="Z13" s="70">
        <v>37699.800000000003</v>
      </c>
      <c r="AA13" s="71"/>
      <c r="AB13" s="108"/>
      <c r="AC13" s="9">
        <v>0</v>
      </c>
      <c r="AD13" s="9"/>
      <c r="AE13" s="10"/>
      <c r="AF13" s="24">
        <v>0</v>
      </c>
      <c r="AG13" s="11">
        <v>0</v>
      </c>
      <c r="AH13" s="8">
        <v>0</v>
      </c>
      <c r="AI13" s="9">
        <v>0</v>
      </c>
      <c r="AJ13" s="9">
        <v>0</v>
      </c>
      <c r="AK13" s="10"/>
      <c r="AL13" s="11"/>
      <c r="AM13" s="8">
        <v>116541.85</v>
      </c>
      <c r="AN13" s="9"/>
      <c r="AO13" s="9"/>
      <c r="AP13" s="10"/>
      <c r="AQ13" s="25"/>
      <c r="AR13" s="25"/>
      <c r="AS13" s="25"/>
      <c r="AT13" s="10"/>
      <c r="AU13" s="12">
        <v>83647.649999999994</v>
      </c>
      <c r="AV13" s="12"/>
      <c r="AW13" s="12"/>
      <c r="AX13" s="242"/>
      <c r="AY13" s="243"/>
      <c r="AZ13" s="242"/>
      <c r="BA13" s="242"/>
      <c r="BB13" s="244"/>
      <c r="BC13" s="243" t="s">
        <v>630</v>
      </c>
      <c r="BD13" s="243" t="s">
        <v>630</v>
      </c>
      <c r="BE13" s="15">
        <v>154241.65</v>
      </c>
      <c r="BF13" s="15">
        <v>116541.85</v>
      </c>
      <c r="BG13" s="15">
        <v>37699.800000000003</v>
      </c>
      <c r="BH13" s="15">
        <v>154241.65</v>
      </c>
      <c r="BI13" s="15">
        <v>116541.85</v>
      </c>
      <c r="BJ13" s="242">
        <v>0</v>
      </c>
      <c r="BK13" s="242">
        <v>0</v>
      </c>
      <c r="BL13" s="242"/>
      <c r="BM13" s="242">
        <v>1</v>
      </c>
      <c r="BN13" s="242">
        <v>0</v>
      </c>
      <c r="BO13" s="242">
        <v>0</v>
      </c>
      <c r="BP13" s="242"/>
      <c r="BQ13" s="242"/>
      <c r="BR13" s="242"/>
      <c r="BS13" s="242"/>
      <c r="BT13" s="297"/>
      <c r="BU13" s="297"/>
      <c r="BV13" s="297"/>
      <c r="BW13" s="297"/>
      <c r="BX13" s="242"/>
      <c r="BY13" s="242"/>
      <c r="BZ13" s="245"/>
      <c r="CA13" s="245"/>
      <c r="CB13" s="294">
        <v>37699.800000000003</v>
      </c>
      <c r="CC13" s="246" t="s">
        <v>634</v>
      </c>
      <c r="CD13" s="242">
        <v>0</v>
      </c>
      <c r="CE13" s="242">
        <v>0</v>
      </c>
      <c r="CF13" s="242">
        <v>0</v>
      </c>
      <c r="CG13" s="242">
        <v>0</v>
      </c>
      <c r="CH13" s="242">
        <v>0</v>
      </c>
      <c r="CI13" s="247" t="s">
        <v>633</v>
      </c>
      <c r="CJ13" s="248">
        <v>116541.85</v>
      </c>
      <c r="CK13" s="248">
        <v>116541.85</v>
      </c>
      <c r="CL13" s="248">
        <v>83647.649999999994</v>
      </c>
      <c r="CM13" s="248">
        <v>0</v>
      </c>
    </row>
    <row r="14" spans="1:102" x14ac:dyDescent="0.25">
      <c r="A14" s="231" t="s">
        <v>656</v>
      </c>
      <c r="B14" s="232" t="s">
        <v>657</v>
      </c>
      <c r="C14" s="232" t="s">
        <v>636</v>
      </c>
      <c r="D14" s="233"/>
      <c r="E14" s="234">
        <v>40941.9</v>
      </c>
      <c r="F14" s="235">
        <v>40941.9</v>
      </c>
      <c r="G14" s="236"/>
      <c r="H14" s="237"/>
      <c r="I14" s="238">
        <v>18922.78</v>
      </c>
      <c r="J14" s="249"/>
      <c r="K14" s="240"/>
      <c r="L14" s="8">
        <v>17884.900000000001</v>
      </c>
      <c r="M14" s="241">
        <v>18922.78</v>
      </c>
      <c r="N14" s="72"/>
      <c r="O14" s="100"/>
      <c r="P14" s="9"/>
      <c r="Q14" s="9">
        <v>0</v>
      </c>
      <c r="R14" s="9"/>
      <c r="S14" s="152"/>
      <c r="T14" s="10"/>
      <c r="U14" s="23"/>
      <c r="V14" s="11"/>
      <c r="W14" s="11"/>
      <c r="X14" s="8">
        <v>18922.78</v>
      </c>
      <c r="Y14" s="9"/>
      <c r="Z14" s="70">
        <v>0</v>
      </c>
      <c r="AA14" s="72"/>
      <c r="AB14" s="108"/>
      <c r="AC14" s="9">
        <v>0</v>
      </c>
      <c r="AD14" s="9"/>
      <c r="AE14" s="10"/>
      <c r="AF14" s="24">
        <v>0</v>
      </c>
      <c r="AG14" s="11">
        <v>0</v>
      </c>
      <c r="AH14" s="8">
        <v>0</v>
      </c>
      <c r="AI14" s="9">
        <v>0</v>
      </c>
      <c r="AJ14" s="9">
        <v>0</v>
      </c>
      <c r="AK14" s="10"/>
      <c r="AL14" s="11"/>
      <c r="AM14" s="8">
        <v>18922.78</v>
      </c>
      <c r="AN14" s="9"/>
      <c r="AO14" s="9"/>
      <c r="AP14" s="10"/>
      <c r="AQ14" s="25"/>
      <c r="AR14" s="25"/>
      <c r="AS14" s="25"/>
      <c r="AT14" s="10"/>
      <c r="AU14" s="12">
        <v>16055.9</v>
      </c>
      <c r="AV14" s="12"/>
      <c r="AW14" s="12"/>
      <c r="AX14" s="242"/>
      <c r="AY14" s="243"/>
      <c r="AZ14" s="242"/>
      <c r="BA14" s="242"/>
      <c r="BB14" s="244"/>
      <c r="BC14" s="243" t="s">
        <v>630</v>
      </c>
      <c r="BD14" s="243" t="s">
        <v>630</v>
      </c>
      <c r="BE14" s="15">
        <v>18922.78</v>
      </c>
      <c r="BF14" s="15">
        <v>18922.78</v>
      </c>
      <c r="BG14" s="242">
        <v>0</v>
      </c>
      <c r="BH14" s="15">
        <v>18922.78</v>
      </c>
      <c r="BI14" s="15">
        <v>18922.78</v>
      </c>
      <c r="BJ14" s="242">
        <v>0</v>
      </c>
      <c r="BK14" s="242">
        <v>0</v>
      </c>
      <c r="BL14" s="242"/>
      <c r="BM14" s="242">
        <v>1</v>
      </c>
      <c r="BN14" s="242">
        <v>0</v>
      </c>
      <c r="BO14" s="242">
        <v>0</v>
      </c>
      <c r="BP14" s="242"/>
      <c r="BQ14" s="242"/>
      <c r="BR14" s="242"/>
      <c r="BS14" s="242"/>
      <c r="BT14" s="297"/>
      <c r="BU14" s="297"/>
      <c r="BV14" s="297"/>
      <c r="BW14" s="297"/>
      <c r="BX14" s="242"/>
      <c r="BY14" s="242"/>
      <c r="BZ14" s="245"/>
      <c r="CA14" s="245"/>
      <c r="CB14" s="245"/>
      <c r="CC14" s="246" t="s">
        <v>634</v>
      </c>
      <c r="CD14" s="242">
        <v>0</v>
      </c>
      <c r="CE14" s="242">
        <v>0</v>
      </c>
      <c r="CF14" s="242">
        <v>0</v>
      </c>
      <c r="CG14" s="242">
        <v>0</v>
      </c>
      <c r="CH14" s="242">
        <v>0</v>
      </c>
      <c r="CI14" s="247" t="s">
        <v>633</v>
      </c>
      <c r="CJ14" s="248">
        <v>18922.78</v>
      </c>
      <c r="CK14" s="248">
        <v>18922.78</v>
      </c>
      <c r="CL14" s="248">
        <v>16055.9</v>
      </c>
      <c r="CM14" s="248">
        <v>0</v>
      </c>
    </row>
    <row r="15" spans="1:102" x14ac:dyDescent="0.25">
      <c r="A15" s="231" t="s">
        <v>658</v>
      </c>
      <c r="B15" s="232" t="s">
        <v>659</v>
      </c>
      <c r="C15" s="232" t="s">
        <v>636</v>
      </c>
      <c r="D15" s="233"/>
      <c r="E15" s="234">
        <v>0</v>
      </c>
      <c r="F15" s="235">
        <v>0</v>
      </c>
      <c r="G15" s="236"/>
      <c r="H15" s="237"/>
      <c r="I15" s="238">
        <v>9577.5</v>
      </c>
      <c r="J15" s="249"/>
      <c r="K15" s="240"/>
      <c r="L15" s="8">
        <v>4449.38</v>
      </c>
      <c r="M15" s="241">
        <v>4449.38</v>
      </c>
      <c r="N15" s="72"/>
      <c r="O15" s="100"/>
      <c r="P15" s="9"/>
      <c r="Q15" s="9">
        <v>4657</v>
      </c>
      <c r="R15" s="9"/>
      <c r="S15" s="152"/>
      <c r="T15" s="10"/>
      <c r="U15" s="23"/>
      <c r="V15" s="11"/>
      <c r="W15" s="11"/>
      <c r="X15" s="8">
        <v>4449.38</v>
      </c>
      <c r="Y15" s="9"/>
      <c r="Z15" s="70">
        <v>5128.12</v>
      </c>
      <c r="AA15" s="71"/>
      <c r="AB15" s="108"/>
      <c r="AC15" s="9">
        <v>4656.4799999999996</v>
      </c>
      <c r="AD15" s="9"/>
      <c r="AE15" s="10"/>
      <c r="AF15" s="24">
        <v>0</v>
      </c>
      <c r="AG15" s="11">
        <v>0</v>
      </c>
      <c r="AH15" s="8">
        <v>0</v>
      </c>
      <c r="AI15" s="9">
        <v>0</v>
      </c>
      <c r="AJ15" s="9">
        <v>0</v>
      </c>
      <c r="AK15" s="10"/>
      <c r="AL15" s="11"/>
      <c r="AM15" s="8">
        <v>4449.38</v>
      </c>
      <c r="AN15" s="9"/>
      <c r="AO15" s="9"/>
      <c r="AP15" s="10"/>
      <c r="AQ15" s="25"/>
      <c r="AR15" s="25"/>
      <c r="AS15" s="25"/>
      <c r="AT15" s="10"/>
      <c r="AU15" s="12">
        <v>9577.5</v>
      </c>
      <c r="AV15" s="12"/>
      <c r="AW15" s="12"/>
      <c r="AX15" s="242"/>
      <c r="AY15" s="243"/>
      <c r="AZ15" s="242"/>
      <c r="BA15" s="242"/>
      <c r="BB15" s="244"/>
      <c r="BC15" s="243" t="s">
        <v>630</v>
      </c>
      <c r="BD15" s="243" t="s">
        <v>630</v>
      </c>
      <c r="BE15" s="15">
        <v>9577.5</v>
      </c>
      <c r="BF15" s="15">
        <v>4449.38</v>
      </c>
      <c r="BG15" s="15">
        <v>5128.12</v>
      </c>
      <c r="BH15" s="15">
        <v>9577.5</v>
      </c>
      <c r="BI15" s="15">
        <v>4449.38</v>
      </c>
      <c r="BJ15" s="242">
        <v>0</v>
      </c>
      <c r="BK15" s="242">
        <v>4656.4799999999996</v>
      </c>
      <c r="BL15" s="242"/>
      <c r="BM15" s="242">
        <v>1</v>
      </c>
      <c r="BN15" s="242">
        <v>4657</v>
      </c>
      <c r="BO15" s="242">
        <v>0</v>
      </c>
      <c r="BP15" s="242"/>
      <c r="BQ15" s="242"/>
      <c r="BR15" s="242"/>
      <c r="BS15" s="242"/>
      <c r="BT15" s="297"/>
      <c r="BU15" s="297"/>
      <c r="BV15" s="297"/>
      <c r="BW15" s="297"/>
      <c r="BX15" s="242"/>
      <c r="BY15" s="242"/>
      <c r="BZ15" s="245"/>
      <c r="CA15" s="245"/>
      <c r="CB15" s="294">
        <v>5128.12</v>
      </c>
      <c r="CC15" s="246" t="s">
        <v>634</v>
      </c>
      <c r="CD15" s="242">
        <v>0</v>
      </c>
      <c r="CE15" s="242">
        <v>0</v>
      </c>
      <c r="CF15" s="242">
        <v>0</v>
      </c>
      <c r="CG15" s="242">
        <v>0</v>
      </c>
      <c r="CH15" s="242">
        <v>0</v>
      </c>
      <c r="CI15" s="247" t="s">
        <v>633</v>
      </c>
      <c r="CJ15" s="248">
        <v>4449.38</v>
      </c>
      <c r="CK15" s="248">
        <v>4449.38</v>
      </c>
      <c r="CL15" s="248">
        <v>9577.5</v>
      </c>
      <c r="CM15" s="248">
        <v>0</v>
      </c>
    </row>
    <row r="16" spans="1:102" x14ac:dyDescent="0.25">
      <c r="A16" s="231" t="s">
        <v>660</v>
      </c>
      <c r="B16" s="232" t="s">
        <v>661</v>
      </c>
      <c r="C16" s="232" t="s">
        <v>636</v>
      </c>
      <c r="D16" s="233"/>
      <c r="E16" s="234">
        <v>129600</v>
      </c>
      <c r="F16" s="235">
        <v>129600</v>
      </c>
      <c r="G16" s="236"/>
      <c r="H16" s="237"/>
      <c r="I16" s="238">
        <v>129600</v>
      </c>
      <c r="J16" s="249"/>
      <c r="K16" s="240"/>
      <c r="L16" s="8">
        <v>93851.63</v>
      </c>
      <c r="M16" s="241">
        <v>93772</v>
      </c>
      <c r="N16" s="72"/>
      <c r="O16" s="100"/>
      <c r="P16" s="9"/>
      <c r="Q16" s="9"/>
      <c r="R16" s="9"/>
      <c r="S16" s="152">
        <v>46266</v>
      </c>
      <c r="T16" s="10"/>
      <c r="U16" s="23"/>
      <c r="V16" s="11"/>
      <c r="W16" s="11"/>
      <c r="X16" s="8">
        <v>6600.2</v>
      </c>
      <c r="Y16" s="9"/>
      <c r="Z16" s="70">
        <v>0</v>
      </c>
      <c r="AA16" s="72"/>
      <c r="AB16" s="108"/>
      <c r="AC16" s="9"/>
      <c r="AD16" s="9"/>
      <c r="AE16" s="10"/>
      <c r="AF16" s="24">
        <v>0</v>
      </c>
      <c r="AG16" s="11">
        <v>0</v>
      </c>
      <c r="AH16" s="8">
        <v>0</v>
      </c>
      <c r="AI16" s="9">
        <v>0</v>
      </c>
      <c r="AJ16" s="9">
        <v>0</v>
      </c>
      <c r="AK16" s="10"/>
      <c r="AL16" s="11"/>
      <c r="AM16" s="8">
        <v>6600.2</v>
      </c>
      <c r="AN16" s="9"/>
      <c r="AO16" s="9"/>
      <c r="AP16" s="10"/>
      <c r="AQ16" s="25"/>
      <c r="AR16" s="25"/>
      <c r="AS16" s="25"/>
      <c r="AT16" s="10"/>
      <c r="AU16" s="12">
        <v>0</v>
      </c>
      <c r="AV16" s="12"/>
      <c r="AW16" s="12"/>
      <c r="AX16" s="242"/>
      <c r="AY16" s="243"/>
      <c r="AZ16" s="242"/>
      <c r="BA16" s="242"/>
      <c r="BB16" s="244"/>
      <c r="BC16" s="243" t="s">
        <v>630</v>
      </c>
      <c r="BD16" s="243" t="s">
        <v>630</v>
      </c>
      <c r="BE16" s="15">
        <v>129600</v>
      </c>
      <c r="BF16" s="15">
        <v>93772</v>
      </c>
      <c r="BG16" s="242">
        <v>0</v>
      </c>
      <c r="BH16" s="15">
        <v>6600.2</v>
      </c>
      <c r="BI16" s="15">
        <v>6600.2</v>
      </c>
      <c r="BJ16" s="242">
        <v>0</v>
      </c>
      <c r="BK16" s="242">
        <v>0</v>
      </c>
      <c r="BL16" s="242"/>
      <c r="BM16" s="242">
        <v>1</v>
      </c>
      <c r="BN16" s="242">
        <v>0</v>
      </c>
      <c r="BO16" s="242">
        <v>0</v>
      </c>
      <c r="BP16" s="242"/>
      <c r="BQ16" s="242"/>
      <c r="BR16" s="242"/>
      <c r="BS16" s="242"/>
      <c r="BT16" s="297"/>
      <c r="BU16" s="297"/>
      <c r="BV16" s="297"/>
      <c r="BW16" s="297"/>
      <c r="BX16" s="242"/>
      <c r="BY16" s="242"/>
      <c r="BZ16" s="245"/>
      <c r="CA16" s="245"/>
      <c r="CB16" s="245"/>
      <c r="CC16" s="246" t="s">
        <v>634</v>
      </c>
      <c r="CD16" s="242">
        <v>0</v>
      </c>
      <c r="CE16" s="242">
        <v>0</v>
      </c>
      <c r="CF16" s="242">
        <v>0</v>
      </c>
      <c r="CG16" s="242">
        <v>0</v>
      </c>
      <c r="CH16" s="242">
        <v>0</v>
      </c>
      <c r="CI16" s="247" t="s">
        <v>633</v>
      </c>
      <c r="CJ16" s="248">
        <v>6600.2</v>
      </c>
      <c r="CK16" s="248">
        <v>6600.2</v>
      </c>
      <c r="CL16" s="248">
        <v>0</v>
      </c>
      <c r="CM16" s="248">
        <v>0</v>
      </c>
    </row>
    <row r="17" spans="1:91" x14ac:dyDescent="0.25">
      <c r="A17" s="231" t="s">
        <v>662</v>
      </c>
      <c r="B17" s="232" t="s">
        <v>663</v>
      </c>
      <c r="C17" s="232" t="s">
        <v>636</v>
      </c>
      <c r="D17" s="233"/>
      <c r="E17" s="234">
        <v>104600</v>
      </c>
      <c r="F17" s="235">
        <v>104600</v>
      </c>
      <c r="G17" s="236"/>
      <c r="H17" s="237"/>
      <c r="I17" s="238">
        <v>104600</v>
      </c>
      <c r="J17" s="249"/>
      <c r="K17" s="240"/>
      <c r="L17" s="8">
        <v>0</v>
      </c>
      <c r="M17" s="241">
        <v>0</v>
      </c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>
        <v>0</v>
      </c>
      <c r="Y17" s="9"/>
      <c r="Z17" s="70">
        <v>0</v>
      </c>
      <c r="AA17" s="71"/>
      <c r="AB17" s="108"/>
      <c r="AC17" s="9"/>
      <c r="AD17" s="9"/>
      <c r="AE17" s="10"/>
      <c r="AF17" s="24">
        <v>0</v>
      </c>
      <c r="AG17" s="11">
        <v>0</v>
      </c>
      <c r="AH17" s="8">
        <v>0</v>
      </c>
      <c r="AI17" s="9">
        <v>0</v>
      </c>
      <c r="AJ17" s="9">
        <v>0</v>
      </c>
      <c r="AK17" s="10"/>
      <c r="AL17" s="11"/>
      <c r="AM17" s="8">
        <v>0</v>
      </c>
      <c r="AN17" s="9"/>
      <c r="AO17" s="9"/>
      <c r="AP17" s="10"/>
      <c r="AQ17" s="25"/>
      <c r="AR17" s="25"/>
      <c r="AS17" s="25"/>
      <c r="AT17" s="10"/>
      <c r="AU17" s="12">
        <v>0</v>
      </c>
      <c r="AV17" s="12"/>
      <c r="AW17" s="12"/>
      <c r="AX17" s="242"/>
      <c r="AY17" s="243"/>
      <c r="AZ17" s="242"/>
      <c r="BA17" s="242"/>
      <c r="BB17" s="244"/>
      <c r="BC17" s="243"/>
      <c r="BD17" s="243"/>
      <c r="BE17" s="242">
        <v>0</v>
      </c>
      <c r="BF17" s="242">
        <v>0</v>
      </c>
      <c r="BG17" s="242">
        <v>0</v>
      </c>
      <c r="BH17" s="242">
        <v>0</v>
      </c>
      <c r="BI17" s="242">
        <v>0</v>
      </c>
      <c r="BJ17" s="242">
        <v>0</v>
      </c>
      <c r="BK17" s="242">
        <v>0</v>
      </c>
      <c r="BL17" s="242"/>
      <c r="BM17" s="242">
        <v>1</v>
      </c>
      <c r="BN17" s="242">
        <v>0</v>
      </c>
      <c r="BO17" s="242">
        <v>0</v>
      </c>
      <c r="BP17" s="242"/>
      <c r="BQ17" s="242"/>
      <c r="BR17" s="242"/>
      <c r="BS17" s="242"/>
      <c r="BT17" s="297"/>
      <c r="BU17" s="297"/>
      <c r="BV17" s="297"/>
      <c r="BW17" s="297"/>
      <c r="BX17" s="242"/>
      <c r="BY17" s="242"/>
      <c r="BZ17" s="245"/>
      <c r="CA17" s="245"/>
      <c r="CB17" s="245"/>
      <c r="CC17" s="246"/>
      <c r="CD17" s="242">
        <v>0</v>
      </c>
      <c r="CE17" s="242">
        <v>0</v>
      </c>
      <c r="CF17" s="242">
        <v>0</v>
      </c>
      <c r="CG17" s="242">
        <v>0</v>
      </c>
      <c r="CH17" s="242">
        <v>0</v>
      </c>
      <c r="CI17" s="247" t="s">
        <v>633</v>
      </c>
      <c r="CJ17" s="248">
        <v>0</v>
      </c>
      <c r="CK17" s="248">
        <v>0</v>
      </c>
      <c r="CL17" s="248">
        <v>0</v>
      </c>
      <c r="CM17" s="248">
        <v>0</v>
      </c>
    </row>
    <row r="18" spans="1:91" x14ac:dyDescent="0.25">
      <c r="A18" s="231" t="s">
        <v>664</v>
      </c>
      <c r="B18" s="232" t="s">
        <v>665</v>
      </c>
      <c r="C18" s="232" t="s">
        <v>636</v>
      </c>
      <c r="D18" s="233"/>
      <c r="E18" s="234">
        <v>121000</v>
      </c>
      <c r="F18" s="235">
        <v>121000</v>
      </c>
      <c r="G18" s="236"/>
      <c r="H18" s="237"/>
      <c r="I18" s="238">
        <v>121000</v>
      </c>
      <c r="J18" s="249"/>
      <c r="K18" s="240"/>
      <c r="L18" s="8">
        <v>86889.66</v>
      </c>
      <c r="M18" s="241">
        <v>86860</v>
      </c>
      <c r="N18" s="72"/>
      <c r="O18" s="100"/>
      <c r="P18" s="9"/>
      <c r="Q18" s="9"/>
      <c r="R18" s="9"/>
      <c r="S18" s="152">
        <v>46266</v>
      </c>
      <c r="T18" s="10"/>
      <c r="U18" s="23"/>
      <c r="V18" s="11"/>
      <c r="W18" s="11"/>
      <c r="X18" s="8">
        <v>524.29999999999995</v>
      </c>
      <c r="Y18" s="9"/>
      <c r="Z18" s="70">
        <v>0</v>
      </c>
      <c r="AA18" s="71"/>
      <c r="AB18" s="108"/>
      <c r="AC18" s="9"/>
      <c r="AD18" s="9"/>
      <c r="AE18" s="10"/>
      <c r="AF18" s="24">
        <v>0</v>
      </c>
      <c r="AG18" s="11">
        <v>0</v>
      </c>
      <c r="AH18" s="8">
        <v>0</v>
      </c>
      <c r="AI18" s="9">
        <v>0</v>
      </c>
      <c r="AJ18" s="9">
        <v>0</v>
      </c>
      <c r="AK18" s="10"/>
      <c r="AL18" s="11"/>
      <c r="AM18" s="8">
        <v>524.29999999999995</v>
      </c>
      <c r="AN18" s="9"/>
      <c r="AO18" s="9"/>
      <c r="AP18" s="10"/>
      <c r="AQ18" s="25"/>
      <c r="AR18" s="25"/>
      <c r="AS18" s="25"/>
      <c r="AT18" s="10"/>
      <c r="AU18" s="12">
        <v>0</v>
      </c>
      <c r="AV18" s="12"/>
      <c r="AW18" s="12"/>
      <c r="AX18" s="242"/>
      <c r="AY18" s="243"/>
      <c r="AZ18" s="242"/>
      <c r="BA18" s="242"/>
      <c r="BB18" s="244"/>
      <c r="BC18" s="243" t="s">
        <v>630</v>
      </c>
      <c r="BD18" s="243" t="s">
        <v>630</v>
      </c>
      <c r="BE18" s="15">
        <v>121000</v>
      </c>
      <c r="BF18" s="15">
        <v>86860</v>
      </c>
      <c r="BG18" s="242">
        <v>0</v>
      </c>
      <c r="BH18" s="15">
        <v>524.29999999999995</v>
      </c>
      <c r="BI18" s="15">
        <v>524.29999999999995</v>
      </c>
      <c r="BJ18" s="242">
        <v>0</v>
      </c>
      <c r="BK18" s="242">
        <v>0</v>
      </c>
      <c r="BL18" s="242"/>
      <c r="BM18" s="242">
        <v>1</v>
      </c>
      <c r="BN18" s="242">
        <v>0</v>
      </c>
      <c r="BO18" s="242">
        <v>0</v>
      </c>
      <c r="BP18" s="242"/>
      <c r="BQ18" s="242"/>
      <c r="BR18" s="242"/>
      <c r="BS18" s="242"/>
      <c r="BT18" s="297"/>
      <c r="BU18" s="297"/>
      <c r="BV18" s="297"/>
      <c r="BW18" s="297"/>
      <c r="BX18" s="242"/>
      <c r="BY18" s="242"/>
      <c r="BZ18" s="245"/>
      <c r="CA18" s="245"/>
      <c r="CB18" s="245"/>
      <c r="CC18" s="246" t="s">
        <v>634</v>
      </c>
      <c r="CD18" s="242">
        <v>0</v>
      </c>
      <c r="CE18" s="242">
        <v>0</v>
      </c>
      <c r="CF18" s="242">
        <v>0</v>
      </c>
      <c r="CG18" s="242">
        <v>0</v>
      </c>
      <c r="CH18" s="242">
        <v>0</v>
      </c>
      <c r="CI18" s="247" t="s">
        <v>633</v>
      </c>
      <c r="CJ18" s="248">
        <v>524.29999999999995</v>
      </c>
      <c r="CK18" s="248">
        <v>524.29999999999995</v>
      </c>
      <c r="CL18" s="248">
        <v>0</v>
      </c>
      <c r="CM18" s="248">
        <v>0</v>
      </c>
    </row>
    <row r="19" spans="1:91" x14ac:dyDescent="0.25">
      <c r="A19" s="231" t="s">
        <v>666</v>
      </c>
      <c r="B19" s="232" t="s">
        <v>667</v>
      </c>
      <c r="C19" s="232" t="s">
        <v>636</v>
      </c>
      <c r="D19" s="233"/>
      <c r="E19" s="234">
        <v>96250</v>
      </c>
      <c r="F19" s="235">
        <v>96250</v>
      </c>
      <c r="G19" s="236"/>
      <c r="H19" s="237"/>
      <c r="I19" s="238">
        <v>96250</v>
      </c>
      <c r="J19" s="239"/>
      <c r="K19" s="240"/>
      <c r="L19" s="8">
        <v>0</v>
      </c>
      <c r="M19" s="241">
        <v>0</v>
      </c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>
        <v>0</v>
      </c>
      <c r="Y19" s="9"/>
      <c r="Z19" s="70">
        <v>0</v>
      </c>
      <c r="AA19" s="71"/>
      <c r="AB19" s="108"/>
      <c r="AC19" s="9"/>
      <c r="AD19" s="9"/>
      <c r="AE19" s="10"/>
      <c r="AF19" s="24">
        <v>0</v>
      </c>
      <c r="AG19" s="11">
        <v>0</v>
      </c>
      <c r="AH19" s="8">
        <v>0</v>
      </c>
      <c r="AI19" s="9">
        <v>0</v>
      </c>
      <c r="AJ19" s="9">
        <v>0</v>
      </c>
      <c r="AK19" s="10"/>
      <c r="AL19" s="11"/>
      <c r="AM19" s="8">
        <v>0</v>
      </c>
      <c r="AN19" s="9"/>
      <c r="AO19" s="9"/>
      <c r="AP19" s="10"/>
      <c r="AQ19" s="25"/>
      <c r="AR19" s="25"/>
      <c r="AS19" s="25"/>
      <c r="AT19" s="10"/>
      <c r="AU19" s="12">
        <v>0</v>
      </c>
      <c r="AV19" s="12"/>
      <c r="AW19" s="12"/>
      <c r="AX19" s="242"/>
      <c r="AY19" s="243"/>
      <c r="AZ19" s="242"/>
      <c r="BA19" s="242"/>
      <c r="BB19" s="244"/>
      <c r="BC19" s="243"/>
      <c r="BD19" s="243"/>
      <c r="BE19" s="242">
        <v>0</v>
      </c>
      <c r="BF19" s="242">
        <v>0</v>
      </c>
      <c r="BG19" s="242">
        <v>0</v>
      </c>
      <c r="BH19" s="242">
        <v>0</v>
      </c>
      <c r="BI19" s="242">
        <v>0</v>
      </c>
      <c r="BJ19" s="242">
        <v>0</v>
      </c>
      <c r="BK19" s="242">
        <v>0</v>
      </c>
      <c r="BL19" s="242"/>
      <c r="BM19" s="242">
        <v>1</v>
      </c>
      <c r="BN19" s="242">
        <v>0</v>
      </c>
      <c r="BO19" s="242">
        <v>0</v>
      </c>
      <c r="BP19" s="242"/>
      <c r="BQ19" s="242"/>
      <c r="BR19" s="242"/>
      <c r="BS19" s="242"/>
      <c r="BT19" s="297"/>
      <c r="BU19" s="297"/>
      <c r="BV19" s="297"/>
      <c r="BW19" s="297"/>
      <c r="BX19" s="242"/>
      <c r="BY19" s="242"/>
      <c r="BZ19" s="245"/>
      <c r="CA19" s="245"/>
      <c r="CB19" s="245"/>
      <c r="CC19" s="246"/>
      <c r="CD19" s="242">
        <v>0</v>
      </c>
      <c r="CE19" s="242">
        <v>0</v>
      </c>
      <c r="CF19" s="242">
        <v>0</v>
      </c>
      <c r="CG19" s="242">
        <v>0</v>
      </c>
      <c r="CH19" s="242">
        <v>0</v>
      </c>
      <c r="CI19" s="247" t="s">
        <v>633</v>
      </c>
      <c r="CJ19" s="248">
        <v>0</v>
      </c>
      <c r="CK19" s="248">
        <v>0</v>
      </c>
      <c r="CL19" s="248">
        <v>0</v>
      </c>
      <c r="CM19" s="248">
        <v>0</v>
      </c>
    </row>
    <row r="20" spans="1:91" x14ac:dyDescent="0.25">
      <c r="A20" s="231" t="s">
        <v>668</v>
      </c>
      <c r="B20" s="232" t="s">
        <v>669</v>
      </c>
      <c r="C20" s="232" t="s">
        <v>636</v>
      </c>
      <c r="D20" s="233"/>
      <c r="E20" s="234">
        <v>89400</v>
      </c>
      <c r="F20" s="235">
        <v>89400</v>
      </c>
      <c r="G20" s="236"/>
      <c r="H20" s="237"/>
      <c r="I20" s="238">
        <v>89400</v>
      </c>
      <c r="J20" s="239"/>
      <c r="K20" s="240"/>
      <c r="L20" s="8">
        <v>66723.320000000007</v>
      </c>
      <c r="M20" s="241">
        <v>64747</v>
      </c>
      <c r="N20" s="72"/>
      <c r="O20" s="100"/>
      <c r="P20" s="9"/>
      <c r="Q20" s="9">
        <v>25044</v>
      </c>
      <c r="R20" s="9"/>
      <c r="S20" s="152">
        <v>46266</v>
      </c>
      <c r="T20" s="10"/>
      <c r="U20" s="23"/>
      <c r="V20" s="11"/>
      <c r="W20" s="11"/>
      <c r="X20" s="8">
        <v>6624.81</v>
      </c>
      <c r="Y20" s="9"/>
      <c r="Z20" s="70">
        <v>0</v>
      </c>
      <c r="AA20" s="71"/>
      <c r="AB20" s="108"/>
      <c r="AC20" s="9">
        <v>0</v>
      </c>
      <c r="AD20" s="9"/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/>
      <c r="AM20" s="8">
        <v>6624.81</v>
      </c>
      <c r="AN20" s="9"/>
      <c r="AO20" s="9"/>
      <c r="AP20" s="10"/>
      <c r="AQ20" s="25"/>
      <c r="AR20" s="25"/>
      <c r="AS20" s="25"/>
      <c r="AT20" s="10"/>
      <c r="AU20" s="12">
        <v>0</v>
      </c>
      <c r="AV20" s="12"/>
      <c r="AW20" s="12"/>
      <c r="AX20" s="242"/>
      <c r="AY20" s="243"/>
      <c r="AZ20" s="242"/>
      <c r="BA20" s="242"/>
      <c r="BB20" s="244"/>
      <c r="BC20" s="243" t="s">
        <v>630</v>
      </c>
      <c r="BD20" s="243" t="s">
        <v>630</v>
      </c>
      <c r="BE20" s="15">
        <v>89400</v>
      </c>
      <c r="BF20" s="15">
        <v>64747</v>
      </c>
      <c r="BG20" s="242">
        <v>0</v>
      </c>
      <c r="BH20" s="15">
        <v>6624.81</v>
      </c>
      <c r="BI20" s="15">
        <v>6624.81</v>
      </c>
      <c r="BJ20" s="242">
        <v>0</v>
      </c>
      <c r="BK20" s="242">
        <v>0</v>
      </c>
      <c r="BL20" s="242"/>
      <c r="BM20" s="242">
        <v>1</v>
      </c>
      <c r="BN20" s="242">
        <v>25044</v>
      </c>
      <c r="BO20" s="242">
        <v>0</v>
      </c>
      <c r="BP20" s="242"/>
      <c r="BQ20" s="242"/>
      <c r="BR20" s="242"/>
      <c r="BS20" s="242"/>
      <c r="BT20" s="297"/>
      <c r="BU20" s="297"/>
      <c r="BV20" s="297"/>
      <c r="BW20" s="297"/>
      <c r="BX20" s="242"/>
      <c r="BY20" s="242"/>
      <c r="BZ20" s="245"/>
      <c r="CA20" s="245"/>
      <c r="CB20" s="245"/>
      <c r="CC20" s="246" t="s">
        <v>634</v>
      </c>
      <c r="CD20" s="242">
        <v>0</v>
      </c>
      <c r="CE20" s="242">
        <v>0</v>
      </c>
      <c r="CF20" s="242">
        <v>0</v>
      </c>
      <c r="CG20" s="242">
        <v>0</v>
      </c>
      <c r="CH20" s="242">
        <v>0</v>
      </c>
      <c r="CI20" s="247" t="s">
        <v>633</v>
      </c>
      <c r="CJ20" s="248">
        <v>6624.81</v>
      </c>
      <c r="CK20" s="248">
        <v>6624.81</v>
      </c>
      <c r="CL20" s="248">
        <v>0</v>
      </c>
      <c r="CM20" s="248">
        <v>0</v>
      </c>
    </row>
    <row r="21" spans="1:91" x14ac:dyDescent="0.25">
      <c r="A21" s="231" t="s">
        <v>670</v>
      </c>
      <c r="B21" s="232" t="s">
        <v>671</v>
      </c>
      <c r="C21" s="232" t="s">
        <v>636</v>
      </c>
      <c r="D21" s="233"/>
      <c r="E21" s="234">
        <v>89400</v>
      </c>
      <c r="F21" s="235">
        <v>89400</v>
      </c>
      <c r="G21" s="236"/>
      <c r="H21" s="237"/>
      <c r="I21" s="238">
        <v>89400</v>
      </c>
      <c r="J21" s="239"/>
      <c r="K21" s="240"/>
      <c r="L21" s="8">
        <v>67644.639999999999</v>
      </c>
      <c r="M21" s="241">
        <v>67616</v>
      </c>
      <c r="N21" s="71"/>
      <c r="O21" s="100"/>
      <c r="P21" s="9"/>
      <c r="Q21" s="9"/>
      <c r="R21" s="9"/>
      <c r="S21" s="152">
        <v>46266</v>
      </c>
      <c r="T21" s="10"/>
      <c r="U21" s="23"/>
      <c r="V21" s="11"/>
      <c r="W21" s="11"/>
      <c r="X21" s="8">
        <v>2266.3000000000002</v>
      </c>
      <c r="Y21" s="9"/>
      <c r="Z21" s="70">
        <v>0</v>
      </c>
      <c r="AA21" s="71"/>
      <c r="AB21" s="108"/>
      <c r="AC21" s="9"/>
      <c r="AD21" s="9"/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/>
      <c r="AM21" s="8">
        <v>2266.3000000000002</v>
      </c>
      <c r="AN21" s="9"/>
      <c r="AO21" s="9"/>
      <c r="AP21" s="10"/>
      <c r="AQ21" s="25"/>
      <c r="AR21" s="25"/>
      <c r="AS21" s="25"/>
      <c r="AT21" s="10"/>
      <c r="AU21" s="12">
        <v>0</v>
      </c>
      <c r="AV21" s="12"/>
      <c r="AW21" s="12"/>
      <c r="AX21" s="242"/>
      <c r="AY21" s="243"/>
      <c r="AZ21" s="242"/>
      <c r="BA21" s="242"/>
      <c r="BB21" s="244"/>
      <c r="BC21" s="243" t="s">
        <v>630</v>
      </c>
      <c r="BD21" s="243" t="s">
        <v>630</v>
      </c>
      <c r="BE21" s="15">
        <v>89400</v>
      </c>
      <c r="BF21" s="15">
        <v>67616</v>
      </c>
      <c r="BG21" s="242">
        <v>0</v>
      </c>
      <c r="BH21" s="15">
        <v>89400</v>
      </c>
      <c r="BI21" s="15">
        <v>67616</v>
      </c>
      <c r="BJ21" s="242">
        <v>0</v>
      </c>
      <c r="BK21" s="242">
        <v>0</v>
      </c>
      <c r="BL21" s="242"/>
      <c r="BM21" s="242">
        <v>1</v>
      </c>
      <c r="BN21" s="242">
        <v>0</v>
      </c>
      <c r="BO21" s="242">
        <v>0</v>
      </c>
      <c r="BP21" s="242"/>
      <c r="BQ21" s="242"/>
      <c r="BR21" s="242"/>
      <c r="BS21" s="242"/>
      <c r="BT21" s="297"/>
      <c r="BU21" s="297"/>
      <c r="BV21" s="297"/>
      <c r="BW21" s="297"/>
      <c r="BX21" s="242"/>
      <c r="BY21" s="242"/>
      <c r="BZ21" s="245"/>
      <c r="CA21" s="245"/>
      <c r="CB21" s="245"/>
      <c r="CC21" s="246" t="s">
        <v>634</v>
      </c>
      <c r="CD21" s="242">
        <v>0</v>
      </c>
      <c r="CE21" s="242">
        <v>0</v>
      </c>
      <c r="CF21" s="242">
        <v>0</v>
      </c>
      <c r="CG21" s="242">
        <v>0</v>
      </c>
      <c r="CH21" s="242">
        <v>0</v>
      </c>
      <c r="CI21" s="247" t="s">
        <v>633</v>
      </c>
      <c r="CJ21" s="248">
        <v>2266.3000000000002</v>
      </c>
      <c r="CK21" s="248">
        <v>2266.3000000000002</v>
      </c>
      <c r="CL21" s="248">
        <v>0</v>
      </c>
      <c r="CM21" s="248">
        <v>0</v>
      </c>
    </row>
    <row r="22" spans="1:91" x14ac:dyDescent="0.25">
      <c r="A22" s="231"/>
      <c r="B22" s="120" t="s">
        <v>672</v>
      </c>
      <c r="C22" s="232"/>
      <c r="D22" s="233"/>
      <c r="E22" s="279">
        <f>SUM(E8:E21)</f>
        <v>1654827.8800000001</v>
      </c>
      <c r="F22" s="268">
        <f>SUM(F8:F21)</f>
        <v>1654827.8800000001</v>
      </c>
      <c r="G22" s="236"/>
      <c r="H22" s="237"/>
      <c r="I22" s="280">
        <f>SUM(I8:I21)</f>
        <v>1432126.32</v>
      </c>
      <c r="J22" s="239"/>
      <c r="K22" s="240"/>
      <c r="L22" s="272">
        <f>SUM(L8:L21)</f>
        <v>1245217.95</v>
      </c>
      <c r="M22" s="281">
        <f>SUM(M8:M21)</f>
        <v>921566.15</v>
      </c>
      <c r="N22" s="71"/>
      <c r="O22" s="100"/>
      <c r="P22" s="270">
        <f>SUM(P8:P21)</f>
        <v>0</v>
      </c>
      <c r="Q22" s="270">
        <f>SUM(Q8:Q21)</f>
        <v>184654.25</v>
      </c>
      <c r="R22" s="270">
        <f>SUM(R8:R21)</f>
        <v>0</v>
      </c>
      <c r="S22" s="152"/>
      <c r="T22" s="10"/>
      <c r="U22" s="23"/>
      <c r="V22" s="271">
        <f>SUM(V8:V21)</f>
        <v>0</v>
      </c>
      <c r="W22" s="271">
        <f>SUM(W8:W21)</f>
        <v>0</v>
      </c>
      <c r="X22" s="272">
        <f>SUM(X8:X21)</f>
        <v>544438.42000000016</v>
      </c>
      <c r="Y22" s="270">
        <f>SUM(Y8:Y21)</f>
        <v>0</v>
      </c>
      <c r="Z22" s="282">
        <f>SUM(Z8:Z21)</f>
        <v>111039.54</v>
      </c>
      <c r="AA22" s="71"/>
      <c r="AB22" s="108"/>
      <c r="AC22" s="270">
        <f>SUM(AC8:AC21)</f>
        <v>54125.58</v>
      </c>
      <c r="AD22" s="270">
        <f>SUM(AD8:AD21)</f>
        <v>0</v>
      </c>
      <c r="AE22" s="10"/>
      <c r="AF22" s="24"/>
      <c r="AG22" s="271">
        <f>SUM(AG8:AG21)</f>
        <v>0</v>
      </c>
      <c r="AH22" s="272">
        <f>SUM(AH8:AH21)</f>
        <v>0</v>
      </c>
      <c r="AI22" s="270">
        <f>SUM(AI8:AI21)</f>
        <v>0</v>
      </c>
      <c r="AJ22" s="270">
        <f>SUM(AJ8:AJ21)</f>
        <v>0</v>
      </c>
      <c r="AK22" s="10"/>
      <c r="AL22" s="271">
        <f>SUM(AL8:AL21)</f>
        <v>0</v>
      </c>
      <c r="AM22" s="272">
        <f>SUM(AM8:AM21)</f>
        <v>544438.42000000016</v>
      </c>
      <c r="AN22" s="270">
        <f>SUM(AN8:AN21)</f>
        <v>0</v>
      </c>
      <c r="AO22" s="270">
        <f>SUM(AO8:AO21)</f>
        <v>0</v>
      </c>
      <c r="AP22" s="10"/>
      <c r="AQ22" s="283">
        <f>SUM(AQ8:AQ21)</f>
        <v>0</v>
      </c>
      <c r="AR22" s="283">
        <f>SUM(AR8:AR21)</f>
        <v>0</v>
      </c>
      <c r="AS22" s="283">
        <f>SUM(AS8:AS21)</f>
        <v>0</v>
      </c>
      <c r="AT22" s="10"/>
      <c r="AU22" s="284">
        <f>SUM(AU8:AU21)</f>
        <v>578938.44000000006</v>
      </c>
      <c r="AV22" s="284">
        <f>SUM(AV8:AV21)</f>
        <v>0</v>
      </c>
      <c r="AW22" s="284">
        <f>SUM(AW8:AW21)</f>
        <v>0</v>
      </c>
      <c r="AX22" s="242"/>
      <c r="AY22" s="243"/>
      <c r="AZ22" s="242"/>
      <c r="BA22" s="242"/>
      <c r="BB22" s="244"/>
      <c r="BC22" s="243"/>
      <c r="BD22" s="243"/>
      <c r="BE22" s="242"/>
      <c r="BF22" s="242"/>
      <c r="BG22" s="242"/>
      <c r="BH22" s="242"/>
      <c r="BI22" s="242"/>
      <c r="BJ22" s="242"/>
      <c r="BK22" s="242"/>
      <c r="BL22" s="242"/>
      <c r="BM22" s="242"/>
      <c r="BN22" s="242"/>
      <c r="BO22" s="242"/>
      <c r="BP22" s="242"/>
      <c r="BQ22" s="242"/>
      <c r="BR22" s="242"/>
      <c r="BS22" s="242"/>
      <c r="BT22" s="297"/>
      <c r="BU22" s="297"/>
      <c r="BV22" s="297"/>
      <c r="BW22" s="297"/>
      <c r="BX22" s="242"/>
      <c r="BY22" s="242"/>
      <c r="BZ22" s="245"/>
      <c r="CA22" s="245"/>
      <c r="CB22" s="245"/>
      <c r="CC22" s="246"/>
      <c r="CD22" s="242"/>
      <c r="CE22" s="242"/>
      <c r="CF22" s="242"/>
      <c r="CG22" s="242"/>
      <c r="CH22" s="242"/>
      <c r="CI22" s="247"/>
      <c r="CJ22" s="248"/>
      <c r="CK22" s="248"/>
      <c r="CL22" s="248"/>
      <c r="CM22" s="248"/>
    </row>
    <row r="23" spans="1:91" x14ac:dyDescent="0.25">
      <c r="A23" s="231"/>
      <c r="B23" s="232"/>
      <c r="C23" s="232"/>
      <c r="D23" s="233"/>
      <c r="E23" s="234"/>
      <c r="F23" s="235"/>
      <c r="G23" s="236"/>
      <c r="H23" s="237"/>
      <c r="I23" s="238"/>
      <c r="J23" s="239"/>
      <c r="K23" s="240"/>
      <c r="L23" s="8"/>
      <c r="M23" s="241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2"/>
      <c r="AY23" s="243"/>
      <c r="AZ23" s="242"/>
      <c r="BA23" s="242"/>
      <c r="BB23" s="244"/>
      <c r="BC23" s="243"/>
      <c r="BD23" s="243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97"/>
      <c r="BU23" s="297"/>
      <c r="BV23" s="297"/>
      <c r="BW23" s="297"/>
      <c r="BX23" s="242"/>
      <c r="BY23" s="242"/>
      <c r="BZ23" s="245"/>
      <c r="CA23" s="245"/>
      <c r="CB23" s="245"/>
      <c r="CC23" s="246"/>
      <c r="CD23" s="242"/>
      <c r="CE23" s="242"/>
      <c r="CF23" s="242"/>
      <c r="CG23" s="242"/>
      <c r="CH23" s="242"/>
      <c r="CI23" s="247"/>
      <c r="CJ23" s="248"/>
      <c r="CK23" s="248"/>
      <c r="CL23" s="248"/>
      <c r="CM23" s="248"/>
    </row>
    <row r="24" spans="1:91" x14ac:dyDescent="0.25">
      <c r="A24" s="231"/>
      <c r="B24" s="120" t="s">
        <v>632</v>
      </c>
      <c r="C24" s="232"/>
      <c r="D24" s="233"/>
      <c r="E24" s="234"/>
      <c r="F24" s="235"/>
      <c r="G24" s="236"/>
      <c r="H24" s="237"/>
      <c r="I24" s="238"/>
      <c r="J24" s="239"/>
      <c r="K24" s="240"/>
      <c r="L24" s="8"/>
      <c r="M24" s="241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2"/>
      <c r="AY24" s="243"/>
      <c r="AZ24" s="242"/>
      <c r="BA24" s="242"/>
      <c r="BB24" s="244"/>
      <c r="BC24" s="243"/>
      <c r="BD24" s="243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97"/>
      <c r="BU24" s="297"/>
      <c r="BV24" s="297"/>
      <c r="BW24" s="297"/>
      <c r="BX24" s="242"/>
      <c r="BY24" s="242"/>
      <c r="BZ24" s="245"/>
      <c r="CA24" s="245"/>
      <c r="CB24" s="245"/>
      <c r="CC24" s="246"/>
      <c r="CD24" s="242"/>
      <c r="CE24" s="242"/>
      <c r="CF24" s="242"/>
      <c r="CG24" s="242"/>
      <c r="CH24" s="242"/>
      <c r="CI24" s="247"/>
      <c r="CJ24" s="248"/>
      <c r="CK24" s="248"/>
      <c r="CL24" s="248"/>
      <c r="CM24" s="248"/>
    </row>
    <row r="25" spans="1:91" x14ac:dyDescent="0.25">
      <c r="A25" s="231" t="s">
        <v>673</v>
      </c>
      <c r="B25" s="232" t="s">
        <v>641</v>
      </c>
      <c r="C25" s="232" t="s">
        <v>636</v>
      </c>
      <c r="D25" s="233"/>
      <c r="E25" s="234">
        <v>15764.45</v>
      </c>
      <c r="F25" s="235">
        <v>15764.45</v>
      </c>
      <c r="G25" s="236"/>
      <c r="H25" s="237"/>
      <c r="I25" s="238">
        <v>14472.89</v>
      </c>
      <c r="J25" s="249"/>
      <c r="K25" s="240"/>
      <c r="L25" s="8">
        <v>12127.81</v>
      </c>
      <c r="M25" s="241">
        <v>14472.89</v>
      </c>
      <c r="N25" s="71"/>
      <c r="O25" s="100"/>
      <c r="P25" s="9"/>
      <c r="Q25" s="9">
        <v>0</v>
      </c>
      <c r="R25" s="9"/>
      <c r="S25" s="152">
        <v>45901</v>
      </c>
      <c r="T25" s="10"/>
      <c r="U25" s="23"/>
      <c r="V25" s="11"/>
      <c r="W25" s="11"/>
      <c r="X25" s="8">
        <v>14472.89</v>
      </c>
      <c r="Y25" s="9"/>
      <c r="Z25" s="70">
        <v>0</v>
      </c>
      <c r="AA25" s="71"/>
      <c r="AB25" s="108"/>
      <c r="AC25" s="9">
        <v>0</v>
      </c>
      <c r="AD25" s="9"/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/>
      <c r="AM25" s="8">
        <v>14472.89</v>
      </c>
      <c r="AN25" s="9"/>
      <c r="AO25" s="9"/>
      <c r="AP25" s="10"/>
      <c r="AQ25" s="25"/>
      <c r="AR25" s="25"/>
      <c r="AS25" s="25"/>
      <c r="AT25" s="10"/>
      <c r="AU25" s="12">
        <v>14472.89</v>
      </c>
      <c r="AV25" s="12"/>
      <c r="AW25" s="12"/>
      <c r="AX25" s="242"/>
      <c r="AY25" s="243"/>
      <c r="AZ25" s="242"/>
      <c r="BA25" s="242"/>
      <c r="BB25" s="244"/>
      <c r="BC25" s="243" t="s">
        <v>630</v>
      </c>
      <c r="BD25" s="243" t="s">
        <v>630</v>
      </c>
      <c r="BE25" s="15">
        <v>14472.89</v>
      </c>
      <c r="BF25" s="15">
        <v>14472.89</v>
      </c>
      <c r="BG25" s="242">
        <v>0</v>
      </c>
      <c r="BH25" s="15">
        <v>14472.89</v>
      </c>
      <c r="BI25" s="15">
        <v>14472.89</v>
      </c>
      <c r="BJ25" s="242">
        <v>0</v>
      </c>
      <c r="BK25" s="242">
        <v>0</v>
      </c>
      <c r="BL25" s="242"/>
      <c r="BM25" s="242">
        <v>2</v>
      </c>
      <c r="BN25" s="242">
        <v>0</v>
      </c>
      <c r="BO25" s="242">
        <v>0</v>
      </c>
      <c r="BP25" s="242"/>
      <c r="BQ25" s="242"/>
      <c r="BR25" s="242"/>
      <c r="BS25" s="242"/>
      <c r="BT25" s="297"/>
      <c r="BU25" s="297"/>
      <c r="BV25" s="297"/>
      <c r="BW25" s="297"/>
      <c r="BX25" s="242"/>
      <c r="BY25" s="242"/>
      <c r="BZ25" s="245"/>
      <c r="CA25" s="245"/>
      <c r="CB25" s="245"/>
      <c r="CC25" s="246" t="s">
        <v>634</v>
      </c>
      <c r="CD25" s="242">
        <v>0</v>
      </c>
      <c r="CE25" s="242">
        <v>0</v>
      </c>
      <c r="CF25" s="242">
        <v>0</v>
      </c>
      <c r="CG25" s="242">
        <v>0</v>
      </c>
      <c r="CH25" s="242">
        <v>0</v>
      </c>
      <c r="CI25" s="247" t="s">
        <v>633</v>
      </c>
      <c r="CJ25" s="248">
        <v>14472.89</v>
      </c>
      <c r="CK25" s="248">
        <v>14472.89</v>
      </c>
      <c r="CL25" s="248">
        <v>14472.89</v>
      </c>
      <c r="CM25" s="248">
        <v>0</v>
      </c>
    </row>
    <row r="26" spans="1:91" x14ac:dyDescent="0.25">
      <c r="A26" s="231" t="s">
        <v>674</v>
      </c>
      <c r="B26" s="232" t="s">
        <v>637</v>
      </c>
      <c r="C26" s="232" t="s">
        <v>636</v>
      </c>
      <c r="D26" s="233"/>
      <c r="E26" s="234">
        <v>25447.89</v>
      </c>
      <c r="F26" s="235">
        <v>25447.89</v>
      </c>
      <c r="G26" s="236"/>
      <c r="H26" s="237"/>
      <c r="I26" s="238">
        <v>21381.88</v>
      </c>
      <c r="J26" s="249"/>
      <c r="K26" s="240"/>
      <c r="L26" s="8">
        <v>36229.040000000001</v>
      </c>
      <c r="M26" s="241">
        <v>21381.88</v>
      </c>
      <c r="N26" s="71"/>
      <c r="O26" s="100"/>
      <c r="P26" s="9"/>
      <c r="Q26" s="9">
        <v>0</v>
      </c>
      <c r="R26" s="9"/>
      <c r="S26" s="152">
        <v>46082</v>
      </c>
      <c r="T26" s="10"/>
      <c r="U26" s="23"/>
      <c r="V26" s="11"/>
      <c r="W26" s="11"/>
      <c r="X26" s="8">
        <v>21381.88</v>
      </c>
      <c r="Y26" s="9"/>
      <c r="Z26" s="70">
        <v>0</v>
      </c>
      <c r="AA26" s="71"/>
      <c r="AB26" s="108"/>
      <c r="AC26" s="9">
        <v>0</v>
      </c>
      <c r="AD26" s="9"/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/>
      <c r="AM26" s="8">
        <v>21381.88</v>
      </c>
      <c r="AN26" s="9"/>
      <c r="AO26" s="9"/>
      <c r="AP26" s="10"/>
      <c r="AQ26" s="25"/>
      <c r="AR26" s="25"/>
      <c r="AS26" s="25"/>
      <c r="AT26" s="10"/>
      <c r="AU26" s="12">
        <v>21381.88</v>
      </c>
      <c r="AV26" s="12"/>
      <c r="AW26" s="12"/>
      <c r="AX26" s="242"/>
      <c r="AY26" s="243"/>
      <c r="AZ26" s="242"/>
      <c r="BA26" s="242"/>
      <c r="BB26" s="244"/>
      <c r="BC26" s="243" t="s">
        <v>630</v>
      </c>
      <c r="BD26" s="243" t="s">
        <v>630</v>
      </c>
      <c r="BE26" s="15">
        <v>21381.88</v>
      </c>
      <c r="BF26" s="15">
        <v>21381.88</v>
      </c>
      <c r="BG26" s="242">
        <v>0</v>
      </c>
      <c r="BH26" s="15">
        <v>21381.88</v>
      </c>
      <c r="BI26" s="15">
        <v>21381.88</v>
      </c>
      <c r="BJ26" s="242">
        <v>0</v>
      </c>
      <c r="BK26" s="242">
        <v>0</v>
      </c>
      <c r="BL26" s="242"/>
      <c r="BM26" s="242">
        <v>2</v>
      </c>
      <c r="BN26" s="242">
        <v>0</v>
      </c>
      <c r="BO26" s="242">
        <v>0</v>
      </c>
      <c r="BP26" s="242"/>
      <c r="BQ26" s="242"/>
      <c r="BR26" s="242"/>
      <c r="BS26" s="242"/>
      <c r="BT26" s="297"/>
      <c r="BU26" s="297"/>
      <c r="BV26" s="297"/>
      <c r="BW26" s="297"/>
      <c r="BX26" s="242"/>
      <c r="BY26" s="242"/>
      <c r="BZ26" s="245"/>
      <c r="CA26" s="245"/>
      <c r="CB26" s="245"/>
      <c r="CC26" s="246" t="s">
        <v>634</v>
      </c>
      <c r="CD26" s="242">
        <v>0</v>
      </c>
      <c r="CE26" s="242">
        <v>0</v>
      </c>
      <c r="CF26" s="242">
        <v>0</v>
      </c>
      <c r="CG26" s="242">
        <v>0</v>
      </c>
      <c r="CH26" s="242">
        <v>0</v>
      </c>
      <c r="CI26" s="247" t="s">
        <v>633</v>
      </c>
      <c r="CJ26" s="248">
        <v>21381.88</v>
      </c>
      <c r="CK26" s="248">
        <v>21381.88</v>
      </c>
      <c r="CL26" s="248">
        <v>21381.88</v>
      </c>
      <c r="CM26" s="248">
        <v>0</v>
      </c>
    </row>
    <row r="27" spans="1:91" x14ac:dyDescent="0.25">
      <c r="A27" s="231" t="s">
        <v>675</v>
      </c>
      <c r="B27" s="232" t="s">
        <v>638</v>
      </c>
      <c r="C27" s="232" t="s">
        <v>636</v>
      </c>
      <c r="D27" s="233"/>
      <c r="E27" s="234">
        <v>26544.55</v>
      </c>
      <c r="F27" s="235">
        <v>26544.55</v>
      </c>
      <c r="G27" s="236"/>
      <c r="H27" s="237"/>
      <c r="I27" s="238">
        <v>18172.8</v>
      </c>
      <c r="J27" s="239"/>
      <c r="K27" s="240"/>
      <c r="L27" s="8">
        <v>22461.38</v>
      </c>
      <c r="M27" s="241">
        <v>18172.8</v>
      </c>
      <c r="N27" s="71"/>
      <c r="O27" s="100"/>
      <c r="P27" s="9"/>
      <c r="Q27" s="9">
        <v>0</v>
      </c>
      <c r="R27" s="9"/>
      <c r="S27" s="152">
        <v>46082</v>
      </c>
      <c r="T27" s="10"/>
      <c r="U27" s="23"/>
      <c r="V27" s="11"/>
      <c r="W27" s="11"/>
      <c r="X27" s="8">
        <v>18172.8</v>
      </c>
      <c r="Y27" s="9"/>
      <c r="Z27" s="70">
        <v>0</v>
      </c>
      <c r="AA27" s="71"/>
      <c r="AB27" s="108"/>
      <c r="AC27" s="9">
        <v>0</v>
      </c>
      <c r="AD27" s="9"/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/>
      <c r="AM27" s="8">
        <v>18172.8</v>
      </c>
      <c r="AN27" s="9"/>
      <c r="AO27" s="9"/>
      <c r="AP27" s="10"/>
      <c r="AQ27" s="25"/>
      <c r="AR27" s="25"/>
      <c r="AS27" s="25"/>
      <c r="AT27" s="10"/>
      <c r="AU27" s="12">
        <v>18172.8</v>
      </c>
      <c r="AV27" s="12"/>
      <c r="AW27" s="12"/>
      <c r="AX27" s="242"/>
      <c r="AY27" s="243"/>
      <c r="AZ27" s="242"/>
      <c r="BA27" s="242"/>
      <c r="BB27" s="244"/>
      <c r="BC27" s="243" t="s">
        <v>630</v>
      </c>
      <c r="BD27" s="243" t="s">
        <v>630</v>
      </c>
      <c r="BE27" s="15">
        <v>18172.8</v>
      </c>
      <c r="BF27" s="15">
        <v>18172.8</v>
      </c>
      <c r="BG27" s="242">
        <v>0</v>
      </c>
      <c r="BH27" s="15">
        <v>18172.8</v>
      </c>
      <c r="BI27" s="15">
        <v>18172.8</v>
      </c>
      <c r="BJ27" s="242">
        <v>0</v>
      </c>
      <c r="BK27" s="242">
        <v>0</v>
      </c>
      <c r="BL27" s="242"/>
      <c r="BM27" s="242">
        <v>2</v>
      </c>
      <c r="BN27" s="242">
        <v>0</v>
      </c>
      <c r="BO27" s="242">
        <v>0</v>
      </c>
      <c r="BP27" s="242"/>
      <c r="BQ27" s="242"/>
      <c r="BR27" s="242"/>
      <c r="BS27" s="242"/>
      <c r="BT27" s="297"/>
      <c r="BU27" s="297"/>
      <c r="BV27" s="297"/>
      <c r="BW27" s="297"/>
      <c r="BX27" s="242"/>
      <c r="BY27" s="242"/>
      <c r="BZ27" s="245"/>
      <c r="CA27" s="245"/>
      <c r="CB27" s="245"/>
      <c r="CC27" s="246" t="s">
        <v>634</v>
      </c>
      <c r="CD27" s="242">
        <v>0</v>
      </c>
      <c r="CE27" s="242">
        <v>0</v>
      </c>
      <c r="CF27" s="242">
        <v>0</v>
      </c>
      <c r="CG27" s="242">
        <v>0</v>
      </c>
      <c r="CH27" s="242">
        <v>0</v>
      </c>
      <c r="CI27" s="247" t="s">
        <v>633</v>
      </c>
      <c r="CJ27" s="248">
        <v>18172.8</v>
      </c>
      <c r="CK27" s="248">
        <v>18172.8</v>
      </c>
      <c r="CL27" s="248">
        <v>18172.8</v>
      </c>
      <c r="CM27" s="248">
        <v>0</v>
      </c>
    </row>
    <row r="28" spans="1:91" x14ac:dyDescent="0.25">
      <c r="A28" s="231" t="s">
        <v>676</v>
      </c>
      <c r="B28" s="232" t="s">
        <v>644</v>
      </c>
      <c r="C28" s="232" t="s">
        <v>636</v>
      </c>
      <c r="D28" s="233"/>
      <c r="E28" s="234">
        <v>975</v>
      </c>
      <c r="F28" s="235">
        <v>975</v>
      </c>
      <c r="G28" s="236"/>
      <c r="H28" s="237"/>
      <c r="I28" s="238">
        <v>975</v>
      </c>
      <c r="J28" s="239"/>
      <c r="K28" s="240"/>
      <c r="L28" s="8">
        <v>975</v>
      </c>
      <c r="M28" s="241">
        <v>975</v>
      </c>
      <c r="N28" s="239"/>
      <c r="O28" s="240"/>
      <c r="P28" s="9"/>
      <c r="Q28" s="9">
        <v>0</v>
      </c>
      <c r="R28" s="9"/>
      <c r="S28" s="152">
        <v>45992</v>
      </c>
      <c r="T28" s="10"/>
      <c r="U28" s="23"/>
      <c r="V28" s="11"/>
      <c r="W28" s="11"/>
      <c r="X28" s="8">
        <v>975</v>
      </c>
      <c r="Y28" s="9"/>
      <c r="Z28" s="70">
        <v>0</v>
      </c>
      <c r="AA28" s="71"/>
      <c r="AB28" s="108"/>
      <c r="AC28" s="9">
        <v>0</v>
      </c>
      <c r="AD28" s="9"/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/>
      <c r="AM28" s="8">
        <v>975</v>
      </c>
      <c r="AN28" s="9"/>
      <c r="AO28" s="9"/>
      <c r="AP28" s="10"/>
      <c r="AQ28" s="25"/>
      <c r="AR28" s="25"/>
      <c r="AS28" s="25"/>
      <c r="AT28" s="10"/>
      <c r="AU28" s="12">
        <v>975</v>
      </c>
      <c r="AV28" s="12"/>
      <c r="AW28" s="12"/>
      <c r="AX28" s="242"/>
      <c r="AY28" s="243"/>
      <c r="AZ28" s="242"/>
      <c r="BA28" s="242"/>
      <c r="BB28" s="244"/>
      <c r="BC28" s="243" t="s">
        <v>630</v>
      </c>
      <c r="BD28" s="243" t="s">
        <v>630</v>
      </c>
      <c r="BE28" s="15">
        <v>975</v>
      </c>
      <c r="BF28" s="15">
        <v>975</v>
      </c>
      <c r="BG28" s="242">
        <v>0</v>
      </c>
      <c r="BH28" s="15">
        <v>975</v>
      </c>
      <c r="BI28" s="15">
        <v>975</v>
      </c>
      <c r="BJ28" s="242">
        <v>0</v>
      </c>
      <c r="BK28" s="242">
        <v>0</v>
      </c>
      <c r="BL28" s="242"/>
      <c r="BM28" s="242">
        <v>2</v>
      </c>
      <c r="BN28" s="242">
        <v>0</v>
      </c>
      <c r="BO28" s="242">
        <v>0</v>
      </c>
      <c r="BP28" s="242"/>
      <c r="BQ28" s="242"/>
      <c r="BR28" s="242"/>
      <c r="BS28" s="242"/>
      <c r="BT28" s="297"/>
      <c r="BU28" s="297"/>
      <c r="BV28" s="297"/>
      <c r="BW28" s="297"/>
      <c r="BX28" s="242"/>
      <c r="BY28" s="242"/>
      <c r="BZ28" s="245"/>
      <c r="CA28" s="245"/>
      <c r="CB28" s="245"/>
      <c r="CC28" s="246" t="s">
        <v>634</v>
      </c>
      <c r="CD28" s="242">
        <v>0</v>
      </c>
      <c r="CE28" s="242">
        <v>0</v>
      </c>
      <c r="CF28" s="242">
        <v>0</v>
      </c>
      <c r="CG28" s="242">
        <v>0</v>
      </c>
      <c r="CH28" s="242">
        <v>0</v>
      </c>
      <c r="CI28" s="247" t="s">
        <v>633</v>
      </c>
      <c r="CJ28" s="248">
        <v>975</v>
      </c>
      <c r="CK28" s="248">
        <v>975</v>
      </c>
      <c r="CL28" s="248">
        <v>975</v>
      </c>
      <c r="CM28" s="248">
        <v>0</v>
      </c>
    </row>
    <row r="29" spans="1:91" x14ac:dyDescent="0.25">
      <c r="A29" s="231" t="s">
        <v>677</v>
      </c>
      <c r="B29" s="232" t="s">
        <v>645</v>
      </c>
      <c r="C29" s="232" t="s">
        <v>636</v>
      </c>
      <c r="D29" s="233"/>
      <c r="E29" s="234">
        <v>1243.1300000000001</v>
      </c>
      <c r="F29" s="235">
        <v>1243.1300000000001</v>
      </c>
      <c r="G29" s="236"/>
      <c r="H29" s="237"/>
      <c r="I29" s="238">
        <v>1243.1300000000001</v>
      </c>
      <c r="J29" s="239"/>
      <c r="K29" s="240"/>
      <c r="L29" s="8">
        <v>1243.1300000000001</v>
      </c>
      <c r="M29" s="241">
        <v>1243.1300000000001</v>
      </c>
      <c r="N29" s="71"/>
      <c r="O29" s="100"/>
      <c r="P29" s="9"/>
      <c r="Q29" s="9">
        <v>0</v>
      </c>
      <c r="R29" s="9"/>
      <c r="S29" s="152">
        <v>45901</v>
      </c>
      <c r="T29" s="10"/>
      <c r="U29" s="23"/>
      <c r="V29" s="11"/>
      <c r="W29" s="11"/>
      <c r="X29" s="8">
        <v>1243.1300000000001</v>
      </c>
      <c r="Y29" s="9"/>
      <c r="Z29" s="70">
        <v>0</v>
      </c>
      <c r="AA29" s="71"/>
      <c r="AB29" s="108"/>
      <c r="AC29" s="9">
        <v>0</v>
      </c>
      <c r="AD29" s="9"/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/>
      <c r="AM29" s="8">
        <v>1243.1300000000001</v>
      </c>
      <c r="AN29" s="9"/>
      <c r="AO29" s="9"/>
      <c r="AP29" s="10"/>
      <c r="AQ29" s="25"/>
      <c r="AR29" s="25"/>
      <c r="AS29" s="25"/>
      <c r="AT29" s="10"/>
      <c r="AU29" s="12">
        <v>1243.1300000000001</v>
      </c>
      <c r="AV29" s="12"/>
      <c r="AW29" s="12"/>
      <c r="AX29" s="242"/>
      <c r="AY29" s="243"/>
      <c r="AZ29" s="242"/>
      <c r="BA29" s="242"/>
      <c r="BB29" s="244"/>
      <c r="BC29" s="243" t="s">
        <v>630</v>
      </c>
      <c r="BD29" s="243" t="s">
        <v>630</v>
      </c>
      <c r="BE29" s="15">
        <v>1243.1300000000001</v>
      </c>
      <c r="BF29" s="15">
        <v>1243.1300000000001</v>
      </c>
      <c r="BG29" s="242">
        <v>0</v>
      </c>
      <c r="BH29" s="15">
        <v>1243.1300000000001</v>
      </c>
      <c r="BI29" s="15">
        <v>1243.1300000000001</v>
      </c>
      <c r="BJ29" s="242">
        <v>0</v>
      </c>
      <c r="BK29" s="242">
        <v>0</v>
      </c>
      <c r="BL29" s="242"/>
      <c r="BM29" s="242">
        <v>2</v>
      </c>
      <c r="BN29" s="242">
        <v>0</v>
      </c>
      <c r="BO29" s="242">
        <v>0</v>
      </c>
      <c r="BP29" s="242"/>
      <c r="BQ29" s="242"/>
      <c r="BR29" s="242"/>
      <c r="BS29" s="242"/>
      <c r="BT29" s="297"/>
      <c r="BU29" s="297"/>
      <c r="BV29" s="297"/>
      <c r="BW29" s="297"/>
      <c r="BX29" s="242"/>
      <c r="BY29" s="242"/>
      <c r="BZ29" s="245"/>
      <c r="CA29" s="245"/>
      <c r="CB29" s="245"/>
      <c r="CC29" s="246" t="s">
        <v>634</v>
      </c>
      <c r="CD29" s="242">
        <v>0</v>
      </c>
      <c r="CE29" s="242">
        <v>0</v>
      </c>
      <c r="CF29" s="242">
        <v>0</v>
      </c>
      <c r="CG29" s="242">
        <v>0</v>
      </c>
      <c r="CH29" s="242">
        <v>0</v>
      </c>
      <c r="CI29" s="247" t="s">
        <v>633</v>
      </c>
      <c r="CJ29" s="248">
        <v>1243.1300000000001</v>
      </c>
      <c r="CK29" s="248">
        <v>1243.1300000000001</v>
      </c>
      <c r="CL29" s="248">
        <v>1243.1300000000001</v>
      </c>
      <c r="CM29" s="248">
        <v>0</v>
      </c>
    </row>
    <row r="30" spans="1:91" x14ac:dyDescent="0.25">
      <c r="A30" s="231" t="s">
        <v>678</v>
      </c>
      <c r="B30" s="232" t="s">
        <v>679</v>
      </c>
      <c r="C30" s="232" t="s">
        <v>636</v>
      </c>
      <c r="D30" s="233"/>
      <c r="E30" s="234">
        <v>5000</v>
      </c>
      <c r="F30" s="235">
        <v>5000</v>
      </c>
      <c r="G30" s="236"/>
      <c r="H30" s="237"/>
      <c r="I30" s="238">
        <v>5000</v>
      </c>
      <c r="J30" s="239"/>
      <c r="K30" s="240"/>
      <c r="L30" s="8">
        <v>4081.9</v>
      </c>
      <c r="M30" s="241">
        <v>4081.9</v>
      </c>
      <c r="N30" s="71"/>
      <c r="O30" s="100"/>
      <c r="P30" s="9"/>
      <c r="Q30" s="9">
        <v>918</v>
      </c>
      <c r="R30" s="9"/>
      <c r="S30" s="152">
        <v>45931</v>
      </c>
      <c r="T30" s="10"/>
      <c r="U30" s="23"/>
      <c r="V30" s="11"/>
      <c r="W30" s="11"/>
      <c r="X30" s="8">
        <v>4081.9</v>
      </c>
      <c r="Y30" s="9"/>
      <c r="Z30" s="70">
        <v>918.1</v>
      </c>
      <c r="AA30" s="71"/>
      <c r="AB30" s="108"/>
      <c r="AC30" s="9">
        <v>917.98</v>
      </c>
      <c r="AD30" s="9"/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/>
      <c r="AM30" s="8">
        <v>4081.9</v>
      </c>
      <c r="AN30" s="9"/>
      <c r="AO30" s="9"/>
      <c r="AP30" s="10"/>
      <c r="AQ30" s="25"/>
      <c r="AR30" s="25"/>
      <c r="AS30" s="25"/>
      <c r="AT30" s="10"/>
      <c r="AU30" s="12">
        <v>5000</v>
      </c>
      <c r="AV30" s="12"/>
      <c r="AW30" s="12"/>
      <c r="AX30" s="242"/>
      <c r="AY30" s="243"/>
      <c r="AZ30" s="242"/>
      <c r="BA30" s="242"/>
      <c r="BB30" s="244"/>
      <c r="BC30" s="243" t="s">
        <v>630</v>
      </c>
      <c r="BD30" s="243" t="s">
        <v>630</v>
      </c>
      <c r="BE30" s="15">
        <v>5000</v>
      </c>
      <c r="BF30" s="15">
        <v>4081.9</v>
      </c>
      <c r="BG30" s="15">
        <v>918.1</v>
      </c>
      <c r="BH30" s="15">
        <v>5000</v>
      </c>
      <c r="BI30" s="15">
        <v>4081.9</v>
      </c>
      <c r="BJ30" s="242">
        <v>0</v>
      </c>
      <c r="BK30" s="242">
        <v>917.98</v>
      </c>
      <c r="BL30" s="242"/>
      <c r="BM30" s="242">
        <v>2</v>
      </c>
      <c r="BN30" s="242">
        <v>918</v>
      </c>
      <c r="BO30" s="242">
        <v>0</v>
      </c>
      <c r="BP30" s="242"/>
      <c r="BQ30" s="242"/>
      <c r="BR30" s="242"/>
      <c r="BS30" s="242"/>
      <c r="BT30" s="297"/>
      <c r="BU30" s="297"/>
      <c r="BV30" s="297"/>
      <c r="BW30" s="297"/>
      <c r="BX30" s="242"/>
      <c r="BY30" s="242"/>
      <c r="BZ30" s="245"/>
      <c r="CA30" s="245"/>
      <c r="CB30" s="294">
        <v>918.1</v>
      </c>
      <c r="CC30" s="246" t="s">
        <v>634</v>
      </c>
      <c r="CD30" s="242">
        <v>0</v>
      </c>
      <c r="CE30" s="242">
        <v>0</v>
      </c>
      <c r="CF30" s="242">
        <v>0</v>
      </c>
      <c r="CG30" s="242">
        <v>0</v>
      </c>
      <c r="CH30" s="242">
        <v>0</v>
      </c>
      <c r="CI30" s="247" t="s">
        <v>633</v>
      </c>
      <c r="CJ30" s="248">
        <v>4081.9</v>
      </c>
      <c r="CK30" s="248">
        <v>4081.9</v>
      </c>
      <c r="CL30" s="248">
        <v>5000</v>
      </c>
      <c r="CM30" s="248">
        <v>0</v>
      </c>
    </row>
    <row r="31" spans="1:91" x14ac:dyDescent="0.25">
      <c r="A31" s="231" t="s">
        <v>680</v>
      </c>
      <c r="B31" s="232" t="s">
        <v>681</v>
      </c>
      <c r="C31" s="232" t="s">
        <v>636</v>
      </c>
      <c r="D31" s="233"/>
      <c r="E31" s="234">
        <v>66330</v>
      </c>
      <c r="F31" s="235">
        <v>95130</v>
      </c>
      <c r="G31" s="236"/>
      <c r="H31" s="237"/>
      <c r="I31" s="238">
        <v>66330</v>
      </c>
      <c r="J31" s="239"/>
      <c r="K31" s="240"/>
      <c r="L31" s="8">
        <v>31423.11</v>
      </c>
      <c r="M31" s="241">
        <v>54251</v>
      </c>
      <c r="N31" s="71"/>
      <c r="O31" s="100"/>
      <c r="P31" s="9"/>
      <c r="Q31" s="9">
        <v>6735</v>
      </c>
      <c r="R31" s="9"/>
      <c r="S31" s="152">
        <v>46082</v>
      </c>
      <c r="T31" s="10"/>
      <c r="U31" s="23"/>
      <c r="V31" s="11"/>
      <c r="W31" s="11"/>
      <c r="X31" s="8">
        <v>29392.09</v>
      </c>
      <c r="Y31" s="9"/>
      <c r="Z31" s="70">
        <v>6544.16</v>
      </c>
      <c r="AA31" s="71"/>
      <c r="AB31" s="108"/>
      <c r="AC31" s="9">
        <v>5575.85</v>
      </c>
      <c r="AD31" s="9"/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/>
      <c r="AM31" s="8">
        <v>29392.09</v>
      </c>
      <c r="AN31" s="9"/>
      <c r="AO31" s="9"/>
      <c r="AP31" s="10"/>
      <c r="AQ31" s="25"/>
      <c r="AR31" s="25"/>
      <c r="AS31" s="25"/>
      <c r="AT31" s="10"/>
      <c r="AU31" s="12">
        <v>37530</v>
      </c>
      <c r="AV31" s="12"/>
      <c r="AW31" s="12"/>
      <c r="AX31" s="242"/>
      <c r="AY31" s="243"/>
      <c r="AZ31" s="242"/>
      <c r="BA31" s="242"/>
      <c r="BB31" s="244"/>
      <c r="BC31" s="243" t="s">
        <v>630</v>
      </c>
      <c r="BD31" s="243" t="s">
        <v>630</v>
      </c>
      <c r="BE31" s="15">
        <v>66330</v>
      </c>
      <c r="BF31" s="15">
        <v>54251</v>
      </c>
      <c r="BG31" s="15">
        <v>6544.16</v>
      </c>
      <c r="BH31" s="15">
        <v>37530</v>
      </c>
      <c r="BI31" s="15">
        <v>29392.09</v>
      </c>
      <c r="BJ31" s="242">
        <v>0</v>
      </c>
      <c r="BK31" s="242">
        <v>5575.85</v>
      </c>
      <c r="BL31" s="242"/>
      <c r="BM31" s="242">
        <v>2</v>
      </c>
      <c r="BN31" s="242">
        <v>6735</v>
      </c>
      <c r="BO31" s="242">
        <v>0</v>
      </c>
      <c r="BP31" s="242"/>
      <c r="BQ31" s="242"/>
      <c r="BR31" s="242"/>
      <c r="BS31" s="242"/>
      <c r="BT31" s="297"/>
      <c r="BU31" s="297"/>
      <c r="BV31" s="297"/>
      <c r="BW31" s="297"/>
      <c r="BX31" s="242"/>
      <c r="BY31" s="242"/>
      <c r="BZ31" s="245"/>
      <c r="CA31" s="245"/>
      <c r="CB31" s="294">
        <v>6544.16</v>
      </c>
      <c r="CC31" s="246" t="s">
        <v>634</v>
      </c>
      <c r="CD31" s="242">
        <v>0</v>
      </c>
      <c r="CE31" s="242">
        <v>0</v>
      </c>
      <c r="CF31" s="242">
        <v>0</v>
      </c>
      <c r="CG31" s="242">
        <v>0</v>
      </c>
      <c r="CH31" s="242">
        <v>0</v>
      </c>
      <c r="CI31" s="247" t="s">
        <v>633</v>
      </c>
      <c r="CJ31" s="248">
        <v>29392.09</v>
      </c>
      <c r="CK31" s="248">
        <v>29392.09</v>
      </c>
      <c r="CL31" s="248">
        <v>37530</v>
      </c>
      <c r="CM31" s="248">
        <v>0</v>
      </c>
    </row>
    <row r="32" spans="1:91" x14ac:dyDescent="0.25">
      <c r="A32" s="231"/>
      <c r="B32" s="120" t="s">
        <v>682</v>
      </c>
      <c r="C32" s="232"/>
      <c r="D32" s="233"/>
      <c r="E32" s="279">
        <f>SUM(E24:E31)</f>
        <v>141305.02000000002</v>
      </c>
      <c r="F32" s="268">
        <f>SUM(F24:F31)</f>
        <v>170105.02000000002</v>
      </c>
      <c r="G32" s="236"/>
      <c r="H32" s="237"/>
      <c r="I32" s="280">
        <f>SUM(I24:I31)</f>
        <v>127575.70000000001</v>
      </c>
      <c r="J32" s="239"/>
      <c r="K32" s="240"/>
      <c r="L32" s="272">
        <f>SUM(L24:L31)</f>
        <v>108541.37</v>
      </c>
      <c r="M32" s="281">
        <f>SUM(M24:M31)</f>
        <v>114578.6</v>
      </c>
      <c r="N32" s="71"/>
      <c r="O32" s="100"/>
      <c r="P32" s="270">
        <f>SUM(P24:P31)</f>
        <v>0</v>
      </c>
      <c r="Q32" s="270">
        <f>SUM(Q24:Q31)</f>
        <v>7653</v>
      </c>
      <c r="R32" s="270">
        <f>SUM(R24:R31)</f>
        <v>0</v>
      </c>
      <c r="S32" s="152"/>
      <c r="T32" s="10"/>
      <c r="U32" s="23"/>
      <c r="V32" s="271">
        <f>SUM(V24:V31)</f>
        <v>0</v>
      </c>
      <c r="W32" s="271">
        <f>SUM(W24:W31)</f>
        <v>0</v>
      </c>
      <c r="X32" s="272">
        <f>SUM(X24:X31)</f>
        <v>89719.69</v>
      </c>
      <c r="Y32" s="270">
        <f>SUM(Y24:Y31)</f>
        <v>0</v>
      </c>
      <c r="Z32" s="282">
        <f>SUM(Z24:Z31)</f>
        <v>7462.26</v>
      </c>
      <c r="AA32" s="71"/>
      <c r="AB32" s="108"/>
      <c r="AC32" s="270">
        <f>SUM(AC24:AC31)</f>
        <v>6493.83</v>
      </c>
      <c r="AD32" s="270">
        <f>SUM(AD24:AD31)</f>
        <v>0</v>
      </c>
      <c r="AE32" s="10"/>
      <c r="AF32" s="24"/>
      <c r="AG32" s="271">
        <f>SUM(AG24:AG31)</f>
        <v>0</v>
      </c>
      <c r="AH32" s="272">
        <f>SUM(AH24:AH31)</f>
        <v>0</v>
      </c>
      <c r="AI32" s="270">
        <f>SUM(AI24:AI31)</f>
        <v>0</v>
      </c>
      <c r="AJ32" s="270">
        <f>SUM(AJ24:AJ31)</f>
        <v>0</v>
      </c>
      <c r="AK32" s="10"/>
      <c r="AL32" s="271">
        <f>SUM(AL24:AL31)</f>
        <v>0</v>
      </c>
      <c r="AM32" s="272">
        <f>SUM(AM24:AM31)</f>
        <v>89719.69</v>
      </c>
      <c r="AN32" s="270">
        <f>SUM(AN24:AN31)</f>
        <v>0</v>
      </c>
      <c r="AO32" s="270">
        <f>SUM(AO24:AO31)</f>
        <v>0</v>
      </c>
      <c r="AP32" s="10"/>
      <c r="AQ32" s="283">
        <f>SUM(AQ24:AQ31)</f>
        <v>0</v>
      </c>
      <c r="AR32" s="283">
        <f>SUM(AR24:AR31)</f>
        <v>0</v>
      </c>
      <c r="AS32" s="283">
        <f>SUM(AS24:AS31)</f>
        <v>0</v>
      </c>
      <c r="AT32" s="10"/>
      <c r="AU32" s="284">
        <f>SUM(AU24:AU31)</f>
        <v>98775.700000000012</v>
      </c>
      <c r="AV32" s="284">
        <f>SUM(AV24:AV31)</f>
        <v>0</v>
      </c>
      <c r="AW32" s="284">
        <f>SUM(AW24:AW31)</f>
        <v>0</v>
      </c>
      <c r="AX32" s="242"/>
      <c r="AY32" s="243"/>
      <c r="AZ32" s="242"/>
      <c r="BA32" s="242"/>
      <c r="BB32" s="244"/>
      <c r="BC32" s="243"/>
      <c r="BD32" s="243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97"/>
      <c r="BU32" s="297"/>
      <c r="BV32" s="297"/>
      <c r="BW32" s="297"/>
      <c r="BX32" s="242"/>
      <c r="BY32" s="242"/>
      <c r="BZ32" s="245"/>
      <c r="CA32" s="245"/>
      <c r="CB32" s="245"/>
      <c r="CC32" s="246"/>
      <c r="CD32" s="242"/>
      <c r="CE32" s="242"/>
      <c r="CF32" s="242"/>
      <c r="CG32" s="242"/>
      <c r="CH32" s="242"/>
      <c r="CI32" s="247"/>
      <c r="CJ32" s="248"/>
      <c r="CK32" s="248"/>
      <c r="CL32" s="248"/>
      <c r="CM32" s="248"/>
    </row>
    <row r="33" spans="1:91" x14ac:dyDescent="0.25">
      <c r="A33" s="231"/>
      <c r="B33" s="232"/>
      <c r="C33" s="232"/>
      <c r="D33" s="233"/>
      <c r="E33" s="234"/>
      <c r="F33" s="235"/>
      <c r="G33" s="236"/>
      <c r="H33" s="237"/>
      <c r="I33" s="238"/>
      <c r="J33" s="239"/>
      <c r="K33" s="240"/>
      <c r="L33" s="8"/>
      <c r="M33" s="241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2"/>
      <c r="AY33" s="243"/>
      <c r="AZ33" s="242"/>
      <c r="BA33" s="242"/>
      <c r="BB33" s="244"/>
      <c r="BC33" s="243"/>
      <c r="BD33" s="243"/>
      <c r="BE33" s="242"/>
      <c r="BF33" s="242"/>
      <c r="BG33" s="242"/>
      <c r="BH33" s="242"/>
      <c r="BI33" s="242"/>
      <c r="BJ33" s="242"/>
      <c r="BK33" s="242"/>
      <c r="BL33" s="242"/>
      <c r="BM33" s="242"/>
      <c r="BN33" s="242"/>
      <c r="BO33" s="242"/>
      <c r="BP33" s="242"/>
      <c r="BQ33" s="242"/>
      <c r="BR33" s="242"/>
      <c r="BS33" s="242"/>
      <c r="BT33" s="297"/>
      <c r="BU33" s="297"/>
      <c r="BV33" s="297"/>
      <c r="BW33" s="297"/>
      <c r="BX33" s="242"/>
      <c r="BY33" s="242"/>
      <c r="BZ33" s="245"/>
      <c r="CA33" s="245"/>
      <c r="CB33" s="245"/>
      <c r="CC33" s="246"/>
      <c r="CD33" s="242"/>
      <c r="CE33" s="242"/>
      <c r="CF33" s="242"/>
      <c r="CG33" s="242"/>
      <c r="CH33" s="242"/>
      <c r="CI33" s="247"/>
      <c r="CJ33" s="248"/>
      <c r="CK33" s="248"/>
      <c r="CL33" s="248"/>
      <c r="CM33" s="248"/>
    </row>
    <row r="34" spans="1:91" x14ac:dyDescent="0.25">
      <c r="A34" s="231"/>
      <c r="B34" s="120" t="s">
        <v>683</v>
      </c>
      <c r="C34" s="232"/>
      <c r="D34" s="233"/>
      <c r="E34" s="279">
        <f>SUM(E7:E33)/2</f>
        <v>1796132.9000000001</v>
      </c>
      <c r="F34" s="268">
        <f>SUM(F7:F33)/2</f>
        <v>1824932.9000000001</v>
      </c>
      <c r="G34" s="236"/>
      <c r="H34" s="237"/>
      <c r="I34" s="280">
        <f>SUM(I7:I33)/2</f>
        <v>1559702.02</v>
      </c>
      <c r="J34" s="239"/>
      <c r="K34" s="240"/>
      <c r="L34" s="272">
        <f>SUM(L7:L33)/2</f>
        <v>1353759.3199999998</v>
      </c>
      <c r="M34" s="281">
        <f>SUM(M7:M33)/2</f>
        <v>1036144.7499999999</v>
      </c>
      <c r="N34" s="71"/>
      <c r="O34" s="100"/>
      <c r="P34" s="270">
        <f>SUM(P7:P33)/2</f>
        <v>0</v>
      </c>
      <c r="Q34" s="270">
        <f>SUM(Q7:Q33)/2</f>
        <v>192307.25</v>
      </c>
      <c r="R34" s="270">
        <f>SUM(R7:R33)/2</f>
        <v>0</v>
      </c>
      <c r="S34" s="152"/>
      <c r="T34" s="10"/>
      <c r="U34" s="23"/>
      <c r="V34" s="271">
        <f>SUM(V7:V33)/2</f>
        <v>0</v>
      </c>
      <c r="W34" s="271">
        <f>SUM(W7:W33)/2</f>
        <v>0</v>
      </c>
      <c r="X34" s="272">
        <f>SUM(X7:X33)/2</f>
        <v>634158.11</v>
      </c>
      <c r="Y34" s="270">
        <f>SUM(Y7:Y33)/2</f>
        <v>0</v>
      </c>
      <c r="Z34" s="282">
        <f>SUM(Z7:Z33)/2</f>
        <v>118501.8</v>
      </c>
      <c r="AA34" s="71"/>
      <c r="AB34" s="108"/>
      <c r="AC34" s="270">
        <f>SUM(AC7:AC33)/2</f>
        <v>60619.41</v>
      </c>
      <c r="AD34" s="270">
        <f>SUM(AD7:AD33)/2</f>
        <v>0</v>
      </c>
      <c r="AE34" s="10"/>
      <c r="AF34" s="24"/>
      <c r="AG34" s="271">
        <f>SUM(AG7:AG33)/2</f>
        <v>0</v>
      </c>
      <c r="AH34" s="272">
        <f>SUM(AH7:AH33)/2</f>
        <v>0</v>
      </c>
      <c r="AI34" s="270">
        <f>SUM(AI7:AI33)/2</f>
        <v>0</v>
      </c>
      <c r="AJ34" s="270">
        <f>SUM(AJ7:AJ33)/2</f>
        <v>0</v>
      </c>
      <c r="AK34" s="10"/>
      <c r="AL34" s="271">
        <f>SUM(AL7:AL33)/2</f>
        <v>0</v>
      </c>
      <c r="AM34" s="272">
        <f>SUM(AM7:AM33)/2</f>
        <v>634158.11</v>
      </c>
      <c r="AN34" s="270">
        <f>SUM(AN7:AN33)/2</f>
        <v>0</v>
      </c>
      <c r="AO34" s="270">
        <f>SUM(AO7:AO33)/2</f>
        <v>0</v>
      </c>
      <c r="AP34" s="10"/>
      <c r="AQ34" s="283">
        <f>SUM(AQ7:AQ33)/2</f>
        <v>0</v>
      </c>
      <c r="AR34" s="283">
        <f>SUM(AR7:AR33)/2</f>
        <v>0</v>
      </c>
      <c r="AS34" s="283">
        <f>SUM(AS7:AS33)/2</f>
        <v>0</v>
      </c>
      <c r="AT34" s="10"/>
      <c r="AU34" s="284">
        <f>SUM(AU7:AU33)/2</f>
        <v>677714.1399999999</v>
      </c>
      <c r="AV34" s="284">
        <f>SUM(AV7:AV33)/2</f>
        <v>0</v>
      </c>
      <c r="AW34" s="284">
        <f>SUM(AW7:AW33)/2</f>
        <v>0</v>
      </c>
      <c r="AX34" s="242"/>
      <c r="AY34" s="243"/>
      <c r="AZ34" s="242"/>
      <c r="BA34" s="242"/>
      <c r="BB34" s="244"/>
      <c r="BC34" s="243"/>
      <c r="BD34" s="243"/>
      <c r="BE34" s="242"/>
      <c r="BF34" s="242"/>
      <c r="BG34" s="242"/>
      <c r="BH34" s="242"/>
      <c r="BI34" s="242"/>
      <c r="BJ34" s="242"/>
      <c r="BK34" s="242"/>
      <c r="BL34" s="242"/>
      <c r="BM34" s="242"/>
      <c r="BN34" s="242"/>
      <c r="BO34" s="242"/>
      <c r="BP34" s="242"/>
      <c r="BQ34" s="242"/>
      <c r="BR34" s="242"/>
      <c r="BS34" s="242"/>
      <c r="BT34" s="297"/>
      <c r="BU34" s="297"/>
      <c r="BV34" s="297"/>
      <c r="BW34" s="297"/>
      <c r="BX34" s="242"/>
      <c r="BY34" s="242"/>
      <c r="BZ34" s="245"/>
      <c r="CA34" s="245"/>
      <c r="CB34" s="245"/>
      <c r="CC34" s="246"/>
      <c r="CD34" s="242"/>
      <c r="CE34" s="242"/>
      <c r="CF34" s="242"/>
      <c r="CG34" s="242"/>
      <c r="CH34" s="242"/>
      <c r="CI34" s="247"/>
      <c r="CJ34" s="248"/>
      <c r="CK34" s="248"/>
      <c r="CL34" s="248"/>
      <c r="CM34" s="248"/>
    </row>
    <row r="35" spans="1:91" x14ac:dyDescent="0.25">
      <c r="A35" s="231"/>
      <c r="B35" s="232"/>
      <c r="C35" s="232"/>
      <c r="D35" s="233"/>
      <c r="E35" s="234"/>
      <c r="F35" s="235"/>
      <c r="G35" s="236"/>
      <c r="H35" s="237"/>
      <c r="I35" s="238"/>
      <c r="J35" s="239"/>
      <c r="K35" s="240"/>
      <c r="L35" s="8"/>
      <c r="M35" s="241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2"/>
      <c r="AY35" s="243"/>
      <c r="AZ35" s="242"/>
      <c r="BA35" s="242"/>
      <c r="BB35" s="244"/>
      <c r="BC35" s="243"/>
      <c r="BD35" s="243"/>
      <c r="BE35" s="242"/>
      <c r="BF35" s="242"/>
      <c r="BG35" s="242"/>
      <c r="BH35" s="242"/>
      <c r="BI35" s="242"/>
      <c r="BJ35" s="242"/>
      <c r="BK35" s="242"/>
      <c r="BL35" s="242"/>
      <c r="BM35" s="242"/>
      <c r="BN35" s="242"/>
      <c r="BO35" s="242"/>
      <c r="BP35" s="242"/>
      <c r="BQ35" s="242"/>
      <c r="BR35" s="242"/>
      <c r="BS35" s="242"/>
      <c r="BT35" s="297"/>
      <c r="BU35" s="297"/>
      <c r="BV35" s="297"/>
      <c r="BW35" s="297"/>
      <c r="BX35" s="242"/>
      <c r="BY35" s="242"/>
      <c r="BZ35" s="245"/>
      <c r="CA35" s="245"/>
      <c r="CB35" s="245"/>
      <c r="CC35" s="246"/>
      <c r="CD35" s="242"/>
      <c r="CE35" s="242"/>
      <c r="CF35" s="242"/>
      <c r="CG35" s="242"/>
      <c r="CH35" s="242"/>
      <c r="CI35" s="247"/>
      <c r="CJ35" s="248"/>
      <c r="CK35" s="248"/>
      <c r="CL35" s="248"/>
      <c r="CM35" s="248"/>
    </row>
    <row r="36" spans="1:91" x14ac:dyDescent="0.25">
      <c r="A36" s="286"/>
      <c r="B36" s="285" t="s">
        <v>647</v>
      </c>
      <c r="C36" s="120"/>
      <c r="D36" s="267"/>
      <c r="E36" s="279">
        <f>SUMIF(BM8:BM36,1, E8:E36)</f>
        <v>1654827.8800000001</v>
      </c>
      <c r="F36" s="268">
        <f>SUMIF(BM8:BM36,1, F8:F36)</f>
        <v>1654827.8800000001</v>
      </c>
      <c r="G36" s="287"/>
      <c r="H36" s="104"/>
      <c r="I36" s="280">
        <f>SUMIF(BM8:BM36,1, I8:I36)</f>
        <v>1432126.32</v>
      </c>
      <c r="J36" s="288"/>
      <c r="K36" s="98"/>
      <c r="L36" s="272">
        <f>SUMIF(BM8:BM36,1, L8:L36)</f>
        <v>1245217.95</v>
      </c>
      <c r="M36" s="281">
        <f>SUMIF(BM8:BM36,1, M8:M36)</f>
        <v>921566.15</v>
      </c>
      <c r="N36" s="289"/>
      <c r="O36" s="99"/>
      <c r="P36" s="270">
        <f>SUMIF(BM8:BM36,1, P8:P36)</f>
        <v>0</v>
      </c>
      <c r="Q36" s="270">
        <f>SUMIF(BM8:BM36,1, Q8:Q36)</f>
        <v>184654.25</v>
      </c>
      <c r="R36" s="270">
        <f>SUMIF(BM8:BM36,1, R8:R36)</f>
        <v>0</v>
      </c>
      <c r="S36" s="290"/>
      <c r="T36" s="291"/>
      <c r="U36" s="292"/>
      <c r="V36" s="271">
        <f>SUMIF(BM8:BM36,1, V8:V36)</f>
        <v>0</v>
      </c>
      <c r="W36" s="271">
        <f>SUMIF(BM8:BM36,1, W8:W36)</f>
        <v>0</v>
      </c>
      <c r="X36" s="272">
        <f>SUMIF(BM8:BM36,1, X8:X36)</f>
        <v>544438.42000000016</v>
      </c>
      <c r="Y36" s="270">
        <f>SUMIF(BM8:BM36,1, Y8:Y36)</f>
        <v>0</v>
      </c>
      <c r="Z36" s="282">
        <f>SUMIF(BM8:BM36,1, Z8:Z36)</f>
        <v>111039.54</v>
      </c>
      <c r="AA36" s="289"/>
      <c r="AB36" s="107"/>
      <c r="AC36" s="270">
        <f>SUMIF(BM8:BM36,1, AC8:AC36)</f>
        <v>54125.58</v>
      </c>
      <c r="AD36" s="270">
        <f>SUMIF(BM8:BM36,1, AD8:AD36)</f>
        <v>0</v>
      </c>
      <c r="AE36" s="291"/>
      <c r="AF36" s="293"/>
      <c r="AG36" s="271">
        <f>SUMIF(BM8:BM36,1, AG8:AG36)</f>
        <v>0</v>
      </c>
      <c r="AH36" s="272">
        <f>SUMIF(BM8:BM36,1, AH8:AH36)</f>
        <v>0</v>
      </c>
      <c r="AI36" s="270">
        <f>SUMIF(BM8:BM36,1, AI8:AI36)</f>
        <v>0</v>
      </c>
      <c r="AJ36" s="270">
        <f>SUMIF(BM8:BM36,1, AJ8:AJ36)</f>
        <v>0</v>
      </c>
      <c r="AK36" s="291"/>
      <c r="AL36" s="271">
        <f>SUMIF(BM8:BM36,1, AL8:AL36)</f>
        <v>0</v>
      </c>
      <c r="AM36" s="272">
        <f>SUMIF(BM8:BM36,1, AM8:AM36)</f>
        <v>544438.42000000016</v>
      </c>
      <c r="AN36" s="270">
        <f>SUMIF(BM8:BM36,1, AN8:AN36)</f>
        <v>0</v>
      </c>
      <c r="AO36" s="270">
        <f>SUMIF(BM8:BM36,1, AO8:AO36)</f>
        <v>0</v>
      </c>
      <c r="AP36" s="291"/>
      <c r="AQ36" s="283">
        <f>SUMIF(BM8:BM36,1, AQ8:AQ36)</f>
        <v>0</v>
      </c>
      <c r="AR36" s="283">
        <f>SUMIF(BM8:BM36,1, AR8:AR36)</f>
        <v>0</v>
      </c>
      <c r="AS36" s="283">
        <f>SUMIF(BM8:BM36,1, AS8:AS36)</f>
        <v>0</v>
      </c>
      <c r="AT36" s="291"/>
      <c r="AU36" s="284">
        <f>SUMIF(BM8:BM36,1, AU8:AU36)</f>
        <v>578938.44000000006</v>
      </c>
      <c r="AV36" s="284">
        <f>SUMIF(BM8:BM36,1, AV8:AV36)</f>
        <v>0</v>
      </c>
      <c r="AW36" s="284">
        <f>SUMIF(BM8:BM36,1, AW8:AW36)</f>
        <v>0</v>
      </c>
      <c r="AX36" s="15"/>
      <c r="AY36" s="274"/>
      <c r="AZ36" s="15"/>
      <c r="BA36" s="15"/>
      <c r="BB36" s="275"/>
      <c r="BC36" s="274"/>
      <c r="BD36" s="274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298"/>
      <c r="BU36" s="298"/>
      <c r="BV36" s="298"/>
      <c r="BW36" s="298"/>
      <c r="BX36" s="15"/>
      <c r="BY36" s="15"/>
      <c r="BZ36" s="294"/>
      <c r="CA36" s="294"/>
      <c r="CB36" s="294"/>
      <c r="CC36" s="276"/>
      <c r="CD36" s="15"/>
      <c r="CE36" s="15"/>
      <c r="CF36" s="15"/>
      <c r="CG36" s="15"/>
      <c r="CH36" s="15"/>
      <c r="CI36" s="295"/>
      <c r="CJ36" s="277"/>
      <c r="CK36" s="277"/>
      <c r="CL36" s="277"/>
      <c r="CM36" s="277"/>
    </row>
    <row r="37" spans="1:91" x14ac:dyDescent="0.25">
      <c r="A37" s="286"/>
      <c r="B37" s="285" t="s">
        <v>648</v>
      </c>
      <c r="C37" s="120"/>
      <c r="D37" s="267"/>
      <c r="E37" s="279">
        <f>SUMIF(BM8:BM36,2, E8:E36)</f>
        <v>141305.02000000002</v>
      </c>
      <c r="F37" s="268">
        <f>SUMIF(BM8:BM36,2, F8:F36)</f>
        <v>170105.02000000002</v>
      </c>
      <c r="G37" s="287"/>
      <c r="H37" s="104"/>
      <c r="I37" s="280">
        <f>SUMIF(BM8:BM36,2, I8:I36)</f>
        <v>127575.70000000001</v>
      </c>
      <c r="J37" s="288"/>
      <c r="K37" s="98"/>
      <c r="L37" s="272">
        <f>SUMIF(BM8:BM36,2, L8:L36)</f>
        <v>108541.37</v>
      </c>
      <c r="M37" s="281">
        <f>SUMIF(BM8:BM36,2, M8:M36)</f>
        <v>114578.6</v>
      </c>
      <c r="N37" s="289"/>
      <c r="O37" s="99"/>
      <c r="P37" s="270">
        <f>SUMIF(BM8:BM36,2, P8:P36)</f>
        <v>0</v>
      </c>
      <c r="Q37" s="270">
        <f>SUMIF(BM8:BM36,2, Q8:Q36)</f>
        <v>7653</v>
      </c>
      <c r="R37" s="270">
        <f>SUMIF(BM8:BM36,2, R8:R36)</f>
        <v>0</v>
      </c>
      <c r="S37" s="290"/>
      <c r="T37" s="291"/>
      <c r="U37" s="292"/>
      <c r="V37" s="271">
        <f>SUMIF(BM8:BM36,2, V8:V36)</f>
        <v>0</v>
      </c>
      <c r="W37" s="271">
        <f>SUMIF(BM8:BM36,2, W8:W36)</f>
        <v>0</v>
      </c>
      <c r="X37" s="272">
        <f>SUMIF(BM8:BM36,2, X8:X36)</f>
        <v>89719.69</v>
      </c>
      <c r="Y37" s="270">
        <f>SUMIF(BM8:BM36,2, Y8:Y36)</f>
        <v>0</v>
      </c>
      <c r="Z37" s="282">
        <f>SUMIF(BM8:BM36,2, Z8:Z36)</f>
        <v>7462.26</v>
      </c>
      <c r="AA37" s="289"/>
      <c r="AB37" s="107"/>
      <c r="AC37" s="270">
        <f>SUMIF(BM8:BM36,2, AC8:AC36)</f>
        <v>6493.83</v>
      </c>
      <c r="AD37" s="270">
        <f>SUMIF(BM8:BM36,2, AD8:AD36)</f>
        <v>0</v>
      </c>
      <c r="AE37" s="291"/>
      <c r="AF37" s="293"/>
      <c r="AG37" s="271">
        <f>SUMIF(BM8:BM36,2, AG8:AG36)</f>
        <v>0</v>
      </c>
      <c r="AH37" s="272">
        <f>SUMIF(BM8:BM36,2, AH8:AH36)</f>
        <v>0</v>
      </c>
      <c r="AI37" s="270">
        <f>SUMIF(BM8:BM36,2, AI8:AI36)</f>
        <v>0</v>
      </c>
      <c r="AJ37" s="270">
        <f>SUMIF(BM8:BM36,2, AJ8:AJ36)</f>
        <v>0</v>
      </c>
      <c r="AK37" s="291"/>
      <c r="AL37" s="271">
        <f>SUMIF(BM8:BM36,2, AL8:AL36)</f>
        <v>0</v>
      </c>
      <c r="AM37" s="272">
        <f>SUMIF(BM8:BM36,2, AM8:AM36)</f>
        <v>89719.69</v>
      </c>
      <c r="AN37" s="270">
        <f>SUMIF(BM8:BM36,2, AN8:AN36)</f>
        <v>0</v>
      </c>
      <c r="AO37" s="270">
        <f>SUMIF(BM8:BM36,2, AO8:AO36)</f>
        <v>0</v>
      </c>
      <c r="AP37" s="291"/>
      <c r="AQ37" s="283">
        <f>SUMIF(BM8:BM36,2, AQ8:AQ36)</f>
        <v>0</v>
      </c>
      <c r="AR37" s="283">
        <f>SUMIF(BM8:BM36,2, AR8:AR36)</f>
        <v>0</v>
      </c>
      <c r="AS37" s="283">
        <f>SUMIF(BM8:BM36,2, AS8:AS36)</f>
        <v>0</v>
      </c>
      <c r="AT37" s="291"/>
      <c r="AU37" s="284">
        <f>SUMIF(BM8:BM36,2, AU8:AU36)</f>
        <v>98775.700000000012</v>
      </c>
      <c r="AV37" s="284">
        <f>SUMIF(BM8:BM36,2, AV8:AV36)</f>
        <v>0</v>
      </c>
      <c r="AW37" s="284">
        <f>SUMIF(BM8:BM36,2, AW8:AW36)</f>
        <v>0</v>
      </c>
      <c r="AX37" s="15"/>
      <c r="AY37" s="274"/>
      <c r="AZ37" s="15"/>
      <c r="BA37" s="15"/>
      <c r="BB37" s="275"/>
      <c r="BC37" s="274"/>
      <c r="BD37" s="274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298"/>
      <c r="BU37" s="298"/>
      <c r="BV37" s="298"/>
      <c r="BW37" s="298"/>
      <c r="BX37" s="15"/>
      <c r="BY37" s="15"/>
      <c r="BZ37" s="294"/>
      <c r="CA37" s="294"/>
      <c r="CB37" s="294"/>
      <c r="CC37" s="276"/>
      <c r="CD37" s="15"/>
      <c r="CE37" s="15"/>
      <c r="CF37" s="15"/>
      <c r="CG37" s="15"/>
      <c r="CH37" s="15"/>
      <c r="CI37" s="295"/>
      <c r="CJ37" s="277"/>
      <c r="CK37" s="277"/>
      <c r="CL37" s="277"/>
      <c r="CM37" s="277"/>
    </row>
    <row r="38" spans="1:91" x14ac:dyDescent="0.25">
      <c r="A38" s="286"/>
      <c r="B38" s="285" t="s">
        <v>646</v>
      </c>
      <c r="C38" s="120"/>
      <c r="D38" s="267"/>
      <c r="E38" s="279">
        <f>SUM(E8:E37)/4</f>
        <v>1796132.9</v>
      </c>
      <c r="F38" s="268">
        <f>SUM(F8:F37)/4</f>
        <v>1824932.9</v>
      </c>
      <c r="G38" s="287"/>
      <c r="H38" s="104"/>
      <c r="I38" s="280">
        <f>SUM(I8:I37)/4</f>
        <v>1559702.0200000003</v>
      </c>
      <c r="J38" s="288"/>
      <c r="K38" s="98"/>
      <c r="L38" s="272">
        <f>SUM(L8:L37)/4</f>
        <v>1353759.3199999998</v>
      </c>
      <c r="M38" s="281">
        <f>SUM(M8:M37)/4</f>
        <v>1036144.7499999999</v>
      </c>
      <c r="N38" s="289"/>
      <c r="O38" s="99"/>
      <c r="P38" s="270">
        <f>SUM(P8:P37)/4</f>
        <v>0</v>
      </c>
      <c r="Q38" s="270">
        <f>SUM(Q8:Q37)/4</f>
        <v>192307.25</v>
      </c>
      <c r="R38" s="270">
        <f>SUM(R8:R37)/4</f>
        <v>0</v>
      </c>
      <c r="S38" s="290"/>
      <c r="T38" s="291"/>
      <c r="U38" s="292"/>
      <c r="V38" s="271">
        <f>SUM(V8:V37)/4</f>
        <v>0</v>
      </c>
      <c r="W38" s="271">
        <f>SUM(W8:W37)/4</f>
        <v>0</v>
      </c>
      <c r="X38" s="272">
        <f>SUM(X8:X37)/4</f>
        <v>634158.11</v>
      </c>
      <c r="Y38" s="270">
        <f>SUM(Y8:Y37)/4</f>
        <v>0</v>
      </c>
      <c r="Z38" s="282">
        <f>SUM(Z8:Z37)/4</f>
        <v>118501.8</v>
      </c>
      <c r="AA38" s="289"/>
      <c r="AB38" s="107"/>
      <c r="AC38" s="270">
        <f>SUM(AC8:AC37)/4</f>
        <v>60619.409999999996</v>
      </c>
      <c r="AD38" s="270">
        <f>SUM(AD8:AD37)/4</f>
        <v>0</v>
      </c>
      <c r="AE38" s="291"/>
      <c r="AF38" s="293"/>
      <c r="AG38" s="271">
        <f>SUM(AG8:AG37)/4</f>
        <v>0</v>
      </c>
      <c r="AH38" s="272">
        <f>SUM(AH8:AH37)/4</f>
        <v>0</v>
      </c>
      <c r="AI38" s="270">
        <f>SUM(AI8:AI37)/4</f>
        <v>0</v>
      </c>
      <c r="AJ38" s="270">
        <f>SUM(AJ8:AJ37)/4</f>
        <v>0</v>
      </c>
      <c r="AK38" s="291"/>
      <c r="AL38" s="271">
        <f>SUM(AL8:AL37)/4</f>
        <v>0</v>
      </c>
      <c r="AM38" s="272">
        <f>SUM(AM8:AM37)/4</f>
        <v>634158.11</v>
      </c>
      <c r="AN38" s="270">
        <f>SUM(AN8:AN37)/4</f>
        <v>0</v>
      </c>
      <c r="AO38" s="270">
        <f>SUM(AO8:AO37)/4</f>
        <v>0</v>
      </c>
      <c r="AP38" s="291"/>
      <c r="AQ38" s="283">
        <f>SUM(AQ8:AQ37)/4</f>
        <v>0</v>
      </c>
      <c r="AR38" s="283">
        <f>SUM(AR8:AR37)/4</f>
        <v>0</v>
      </c>
      <c r="AS38" s="283">
        <f>SUM(AS8:AS37)/4</f>
        <v>0</v>
      </c>
      <c r="AT38" s="291"/>
      <c r="AU38" s="284">
        <f>SUM(AU8:AU37)/4</f>
        <v>677714.14</v>
      </c>
      <c r="AV38" s="284">
        <f>SUM(AV8:AV37)/4</f>
        <v>0</v>
      </c>
      <c r="AW38" s="284">
        <f>SUM(AW8:AW37)/4</f>
        <v>0</v>
      </c>
      <c r="AX38" s="15"/>
      <c r="AY38" s="274"/>
      <c r="AZ38" s="15"/>
      <c r="BA38" s="15"/>
      <c r="BB38" s="275"/>
      <c r="BC38" s="274"/>
      <c r="BD38" s="274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298"/>
      <c r="BU38" s="298"/>
      <c r="BV38" s="298"/>
      <c r="BW38" s="298"/>
      <c r="BX38" s="15"/>
      <c r="BY38" s="15"/>
      <c r="BZ38" s="294"/>
      <c r="CA38" s="294"/>
      <c r="CB38" s="294"/>
      <c r="CC38" s="276"/>
      <c r="CD38" s="15"/>
      <c r="CE38" s="15"/>
      <c r="CF38" s="15"/>
      <c r="CG38" s="15"/>
      <c r="CH38" s="15"/>
      <c r="CI38" s="295"/>
      <c r="CJ38" s="277"/>
      <c r="CK38" s="277"/>
      <c r="CL38" s="277"/>
      <c r="CM38" s="277"/>
    </row>
    <row r="39" spans="1:91" x14ac:dyDescent="0.25">
      <c r="A39" s="231"/>
      <c r="B39" s="232"/>
      <c r="C39" s="232"/>
      <c r="D39" s="233"/>
      <c r="E39" s="234"/>
      <c r="F39" s="235"/>
      <c r="G39" s="236"/>
      <c r="H39" s="237"/>
      <c r="I39" s="238"/>
      <c r="J39" s="239"/>
      <c r="K39" s="240"/>
      <c r="L39" s="8"/>
      <c r="M39" s="241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2"/>
      <c r="AY39" s="243"/>
      <c r="AZ39" s="242"/>
      <c r="BA39" s="242"/>
      <c r="BB39" s="244"/>
      <c r="BC39" s="243"/>
      <c r="BD39" s="243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97"/>
      <c r="BU39" s="297"/>
      <c r="BV39" s="297"/>
      <c r="BW39" s="297"/>
      <c r="BX39" s="242"/>
      <c r="BY39" s="242"/>
      <c r="BZ39" s="245"/>
      <c r="CA39" s="245"/>
      <c r="CB39" s="245"/>
      <c r="CC39" s="246"/>
      <c r="CD39" s="242"/>
      <c r="CE39" s="242"/>
      <c r="CF39" s="242"/>
      <c r="CG39" s="242"/>
      <c r="CH39" s="242"/>
      <c r="CI39" s="247"/>
      <c r="CJ39" s="248"/>
      <c r="CK39" s="248"/>
      <c r="CL39" s="248"/>
      <c r="CM39" s="248"/>
    </row>
    <row r="40" spans="1:91" x14ac:dyDescent="0.25">
      <c r="A40" s="231"/>
      <c r="B40" s="232"/>
      <c r="C40" s="232"/>
      <c r="D40" s="233"/>
      <c r="E40" s="234"/>
      <c r="F40" s="235"/>
      <c r="G40" s="236"/>
      <c r="H40" s="237"/>
      <c r="I40" s="238"/>
      <c r="J40" s="239"/>
      <c r="K40" s="240"/>
      <c r="L40" s="8"/>
      <c r="M40" s="241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97"/>
      <c r="BU40" s="297"/>
      <c r="BV40" s="297"/>
      <c r="BW40" s="297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/>
      <c r="B41" s="232"/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97"/>
      <c r="BU41" s="297"/>
      <c r="BV41" s="297"/>
      <c r="BW41" s="297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/>
      <c r="B42" s="232"/>
      <c r="C42" s="232"/>
      <c r="D42" s="233"/>
      <c r="E42" s="234"/>
      <c r="F42" s="235"/>
      <c r="G42" s="236"/>
      <c r="H42" s="237"/>
      <c r="I42" s="238"/>
      <c r="J42" s="239"/>
      <c r="K42" s="240"/>
      <c r="L42" s="8"/>
      <c r="M42" s="241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2"/>
      <c r="AY42" s="243"/>
      <c r="AZ42" s="242"/>
      <c r="BA42" s="242"/>
      <c r="BB42" s="244"/>
      <c r="BC42" s="243"/>
      <c r="BD42" s="243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97"/>
      <c r="BU42" s="297"/>
      <c r="BV42" s="297"/>
      <c r="BW42" s="297"/>
      <c r="BX42" s="242"/>
      <c r="BY42" s="242"/>
      <c r="BZ42" s="245"/>
      <c r="CA42" s="245"/>
      <c r="CB42" s="245"/>
      <c r="CC42" s="246"/>
      <c r="CD42" s="242"/>
      <c r="CE42" s="242"/>
      <c r="CF42" s="242"/>
      <c r="CG42" s="242"/>
      <c r="CH42" s="242"/>
      <c r="CI42" s="247"/>
      <c r="CJ42" s="248"/>
      <c r="CK42" s="248"/>
      <c r="CL42" s="248"/>
      <c r="CM42" s="248"/>
    </row>
    <row r="43" spans="1:91" x14ac:dyDescent="0.25">
      <c r="A43" s="231"/>
      <c r="B43" s="232"/>
      <c r="C43" s="232"/>
      <c r="D43" s="233"/>
      <c r="E43" s="234"/>
      <c r="F43" s="235"/>
      <c r="G43" s="236"/>
      <c r="H43" s="237"/>
      <c r="I43" s="238"/>
      <c r="J43" s="239"/>
      <c r="K43" s="240"/>
      <c r="L43" s="8"/>
      <c r="M43" s="241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97"/>
      <c r="BU43" s="297"/>
      <c r="BV43" s="297"/>
      <c r="BW43" s="297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31"/>
      <c r="B44" s="232"/>
      <c r="C44" s="232"/>
      <c r="D44" s="233"/>
      <c r="E44" s="234"/>
      <c r="F44" s="235"/>
      <c r="G44" s="236"/>
      <c r="H44" s="237"/>
      <c r="I44" s="238"/>
      <c r="J44" s="239"/>
      <c r="K44" s="240"/>
      <c r="L44" s="8"/>
      <c r="M44" s="241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2"/>
      <c r="AY44" s="243"/>
      <c r="AZ44" s="242"/>
      <c r="BA44" s="242"/>
      <c r="BB44" s="244"/>
      <c r="BC44" s="243"/>
      <c r="BD44" s="243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97"/>
      <c r="BU44" s="297"/>
      <c r="BV44" s="297"/>
      <c r="BW44" s="297"/>
      <c r="BX44" s="242"/>
      <c r="BY44" s="242"/>
      <c r="BZ44" s="245"/>
      <c r="CA44" s="245"/>
      <c r="CB44" s="245"/>
      <c r="CC44" s="246"/>
      <c r="CD44" s="242"/>
      <c r="CE44" s="242"/>
      <c r="CF44" s="242"/>
      <c r="CG44" s="242"/>
      <c r="CH44" s="242"/>
      <c r="CI44" s="247"/>
      <c r="CJ44" s="248"/>
      <c r="CK44" s="248"/>
      <c r="CL44" s="248"/>
      <c r="CM44" s="248"/>
    </row>
    <row r="45" spans="1:91" x14ac:dyDescent="0.25">
      <c r="A45" s="231"/>
      <c r="B45" s="251"/>
      <c r="C45" s="232"/>
      <c r="D45" s="233"/>
      <c r="E45" s="234"/>
      <c r="F45" s="235"/>
      <c r="G45" s="236"/>
      <c r="H45" s="237"/>
      <c r="I45" s="238"/>
      <c r="J45" s="239"/>
      <c r="K45" s="240"/>
      <c r="L45" s="8"/>
      <c r="M45" s="241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2"/>
      <c r="AY45" s="243"/>
      <c r="AZ45" s="242"/>
      <c r="BA45" s="242"/>
      <c r="BB45" s="244"/>
      <c r="BC45" s="243"/>
      <c r="BD45" s="243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97"/>
      <c r="BU45" s="297"/>
      <c r="BV45" s="297"/>
      <c r="BW45" s="297"/>
      <c r="BX45" s="242"/>
      <c r="BY45" s="242"/>
      <c r="BZ45" s="245"/>
      <c r="CA45" s="245"/>
      <c r="CB45" s="245"/>
      <c r="CC45" s="246"/>
      <c r="CD45" s="242"/>
      <c r="CE45" s="242"/>
      <c r="CF45" s="242"/>
      <c r="CG45" s="242"/>
      <c r="CH45" s="242"/>
      <c r="CI45" s="247"/>
      <c r="CJ45" s="248"/>
      <c r="CK45" s="248"/>
      <c r="CL45" s="248"/>
      <c r="CM45" s="248"/>
    </row>
    <row r="46" spans="1:91" x14ac:dyDescent="0.25">
      <c r="A46" s="231"/>
      <c r="B46" s="251"/>
      <c r="C46" s="232"/>
      <c r="D46" s="233"/>
      <c r="E46" s="234"/>
      <c r="F46" s="235"/>
      <c r="G46" s="236"/>
      <c r="H46" s="237"/>
      <c r="I46" s="238"/>
      <c r="J46" s="239"/>
      <c r="K46" s="240"/>
      <c r="L46" s="8"/>
      <c r="M46" s="241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2"/>
      <c r="AY46" s="243"/>
      <c r="AZ46" s="242"/>
      <c r="BA46" s="242"/>
      <c r="BB46" s="244"/>
      <c r="BC46" s="243"/>
      <c r="BD46" s="243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97"/>
      <c r="BU46" s="297"/>
      <c r="BV46" s="297"/>
      <c r="BW46" s="297"/>
      <c r="BX46" s="242"/>
      <c r="BY46" s="242"/>
      <c r="BZ46" s="245"/>
      <c r="CA46" s="245"/>
      <c r="CB46" s="245"/>
      <c r="CC46" s="246"/>
      <c r="CD46" s="242"/>
      <c r="CE46" s="242"/>
      <c r="CF46" s="242"/>
      <c r="CG46" s="242"/>
      <c r="CH46" s="242"/>
      <c r="CI46" s="247"/>
      <c r="CJ46" s="248"/>
      <c r="CK46" s="248"/>
      <c r="CL46" s="248"/>
      <c r="CM46" s="248"/>
    </row>
    <row r="47" spans="1:91" x14ac:dyDescent="0.25">
      <c r="A47" s="231"/>
      <c r="B47" s="232"/>
      <c r="C47" s="232"/>
      <c r="D47" s="233"/>
      <c r="E47" s="234"/>
      <c r="F47" s="235"/>
      <c r="G47" s="236"/>
      <c r="H47" s="237"/>
      <c r="I47" s="238"/>
      <c r="J47" s="239"/>
      <c r="K47" s="240"/>
      <c r="L47" s="8"/>
      <c r="M47" s="241"/>
      <c r="N47" s="239"/>
      <c r="O47" s="240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2"/>
      <c r="AY47" s="243"/>
      <c r="AZ47" s="242"/>
      <c r="BA47" s="242"/>
      <c r="BB47" s="244"/>
      <c r="BC47" s="243"/>
      <c r="BD47" s="243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97"/>
      <c r="BU47" s="297"/>
      <c r="BV47" s="297"/>
      <c r="BW47" s="297"/>
      <c r="BX47" s="242"/>
      <c r="BY47" s="242"/>
      <c r="BZ47" s="245"/>
      <c r="CA47" s="245"/>
      <c r="CB47" s="245"/>
      <c r="CC47" s="246"/>
      <c r="CD47" s="242"/>
      <c r="CE47" s="242"/>
      <c r="CF47" s="242"/>
      <c r="CG47" s="242"/>
      <c r="CH47" s="242"/>
      <c r="CI47" s="247"/>
      <c r="CJ47" s="248"/>
      <c r="CK47" s="248"/>
      <c r="CL47" s="248"/>
      <c r="CM47" s="248"/>
    </row>
    <row r="48" spans="1:91" x14ac:dyDescent="0.25">
      <c r="A48" s="231"/>
      <c r="B48" s="232"/>
      <c r="C48" s="232"/>
      <c r="D48" s="233"/>
      <c r="E48" s="234"/>
      <c r="F48" s="235"/>
      <c r="G48" s="236"/>
      <c r="H48" s="237"/>
      <c r="I48" s="238"/>
      <c r="J48" s="239"/>
      <c r="K48" s="240"/>
      <c r="L48" s="8"/>
      <c r="M48" s="241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2"/>
      <c r="AY48" s="243"/>
      <c r="AZ48" s="242"/>
      <c r="BA48" s="242"/>
      <c r="BB48" s="244"/>
      <c r="BC48" s="243"/>
      <c r="BD48" s="243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97"/>
      <c r="BU48" s="297"/>
      <c r="BV48" s="297"/>
      <c r="BW48" s="297"/>
      <c r="BX48" s="242"/>
      <c r="BY48" s="242"/>
      <c r="BZ48" s="245"/>
      <c r="CA48" s="245"/>
      <c r="CB48" s="245"/>
      <c r="CC48" s="246"/>
      <c r="CD48" s="242"/>
      <c r="CE48" s="242"/>
      <c r="CF48" s="242"/>
      <c r="CG48" s="242"/>
      <c r="CH48" s="242"/>
      <c r="CI48" s="247"/>
      <c r="CJ48" s="248"/>
      <c r="CK48" s="248"/>
      <c r="CL48" s="248"/>
      <c r="CM48" s="248"/>
    </row>
    <row r="49" spans="1:91" x14ac:dyDescent="0.25">
      <c r="A49" s="231"/>
      <c r="B49" s="232"/>
      <c r="C49" s="232"/>
      <c r="D49" s="233"/>
      <c r="E49" s="234"/>
      <c r="F49" s="235"/>
      <c r="G49" s="236"/>
      <c r="H49" s="237"/>
      <c r="I49" s="238"/>
      <c r="J49" s="239"/>
      <c r="K49" s="240"/>
      <c r="L49" s="8"/>
      <c r="M49" s="241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2"/>
      <c r="AY49" s="243"/>
      <c r="AZ49" s="242"/>
      <c r="BA49" s="242"/>
      <c r="BB49" s="244"/>
      <c r="BC49" s="243"/>
      <c r="BD49" s="243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97"/>
      <c r="BU49" s="297"/>
      <c r="BV49" s="297"/>
      <c r="BW49" s="297"/>
      <c r="BX49" s="242"/>
      <c r="BY49" s="242"/>
      <c r="BZ49" s="245"/>
      <c r="CA49" s="245"/>
      <c r="CB49" s="245"/>
      <c r="CC49" s="246"/>
      <c r="CD49" s="242"/>
      <c r="CE49" s="242"/>
      <c r="CF49" s="242"/>
      <c r="CG49" s="242"/>
      <c r="CH49" s="242"/>
      <c r="CI49" s="247"/>
      <c r="CJ49" s="248"/>
      <c r="CK49" s="248"/>
      <c r="CL49" s="248"/>
      <c r="CM49" s="248"/>
    </row>
    <row r="50" spans="1:91" x14ac:dyDescent="0.25">
      <c r="A50" s="231"/>
      <c r="B50" s="232"/>
      <c r="C50" s="232"/>
      <c r="D50" s="233"/>
      <c r="E50" s="234"/>
      <c r="F50" s="235"/>
      <c r="G50" s="236"/>
      <c r="H50" s="237"/>
      <c r="I50" s="238"/>
      <c r="J50" s="239"/>
      <c r="K50" s="240"/>
      <c r="L50" s="8"/>
      <c r="M50" s="241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2"/>
      <c r="AY50" s="243"/>
      <c r="AZ50" s="242"/>
      <c r="BA50" s="242"/>
      <c r="BB50" s="244"/>
      <c r="BC50" s="243"/>
      <c r="BD50" s="243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97"/>
      <c r="BU50" s="297"/>
      <c r="BV50" s="297"/>
      <c r="BW50" s="297"/>
      <c r="BX50" s="242"/>
      <c r="BY50" s="242"/>
      <c r="BZ50" s="245"/>
      <c r="CA50" s="245"/>
      <c r="CB50" s="245"/>
      <c r="CC50" s="246"/>
      <c r="CD50" s="242"/>
      <c r="CE50" s="242"/>
      <c r="CF50" s="242"/>
      <c r="CG50" s="242"/>
      <c r="CH50" s="242"/>
      <c r="CI50" s="247"/>
      <c r="CJ50" s="248"/>
      <c r="CK50" s="248"/>
      <c r="CL50" s="248"/>
      <c r="CM50" s="248"/>
    </row>
    <row r="51" spans="1:91" x14ac:dyDescent="0.25">
      <c r="A51" s="231"/>
      <c r="B51" s="232"/>
      <c r="C51" s="232"/>
      <c r="D51" s="233"/>
      <c r="E51" s="234"/>
      <c r="F51" s="235"/>
      <c r="G51" s="236"/>
      <c r="H51" s="237"/>
      <c r="I51" s="238"/>
      <c r="J51" s="239"/>
      <c r="K51" s="240"/>
      <c r="L51" s="8"/>
      <c r="M51" s="241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2"/>
      <c r="AY51" s="243"/>
      <c r="AZ51" s="242"/>
      <c r="BA51" s="242"/>
      <c r="BB51" s="244"/>
      <c r="BC51" s="243"/>
      <c r="BD51" s="243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97"/>
      <c r="BU51" s="297"/>
      <c r="BV51" s="297"/>
      <c r="BW51" s="297"/>
      <c r="BX51" s="242"/>
      <c r="BY51" s="242"/>
      <c r="BZ51" s="245"/>
      <c r="CA51" s="245"/>
      <c r="CB51" s="245"/>
      <c r="CC51" s="246"/>
      <c r="CD51" s="242"/>
      <c r="CE51" s="242"/>
      <c r="CF51" s="242"/>
      <c r="CG51" s="242"/>
      <c r="CH51" s="242"/>
      <c r="CI51" s="247"/>
      <c r="CJ51" s="248"/>
      <c r="CK51" s="248"/>
      <c r="CL51" s="248"/>
      <c r="CM51" s="248"/>
    </row>
    <row r="52" spans="1:91" x14ac:dyDescent="0.25">
      <c r="A52" s="231"/>
      <c r="B52" s="232"/>
      <c r="C52" s="232"/>
      <c r="D52" s="233"/>
      <c r="E52" s="234"/>
      <c r="F52" s="235"/>
      <c r="G52" s="236"/>
      <c r="H52" s="237"/>
      <c r="I52" s="238"/>
      <c r="J52" s="239"/>
      <c r="K52" s="240"/>
      <c r="L52" s="8"/>
      <c r="M52" s="241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2"/>
      <c r="AY52" s="243"/>
      <c r="AZ52" s="242"/>
      <c r="BA52" s="242"/>
      <c r="BB52" s="244"/>
      <c r="BC52" s="243"/>
      <c r="BD52" s="243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97"/>
      <c r="BU52" s="297"/>
      <c r="BV52" s="297"/>
      <c r="BW52" s="297"/>
      <c r="BX52" s="242"/>
      <c r="BY52" s="242"/>
      <c r="BZ52" s="245"/>
      <c r="CA52" s="245"/>
      <c r="CB52" s="245"/>
      <c r="CC52" s="246"/>
      <c r="CD52" s="242"/>
      <c r="CE52" s="242"/>
      <c r="CF52" s="242"/>
      <c r="CG52" s="242"/>
      <c r="CH52" s="242"/>
      <c r="CI52" s="247"/>
      <c r="CJ52" s="248"/>
      <c r="CK52" s="248"/>
      <c r="CL52" s="248"/>
      <c r="CM52" s="248"/>
    </row>
    <row r="53" spans="1:91" x14ac:dyDescent="0.25">
      <c r="A53" s="231"/>
      <c r="B53" s="232"/>
      <c r="C53" s="232"/>
      <c r="D53" s="233"/>
      <c r="E53" s="234"/>
      <c r="F53" s="235"/>
      <c r="G53" s="236"/>
      <c r="H53" s="237"/>
      <c r="I53" s="238"/>
      <c r="J53" s="239"/>
      <c r="K53" s="240"/>
      <c r="L53" s="8"/>
      <c r="M53" s="241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2"/>
      <c r="AY53" s="243"/>
      <c r="AZ53" s="242"/>
      <c r="BA53" s="242"/>
      <c r="BB53" s="244"/>
      <c r="BC53" s="243"/>
      <c r="BD53" s="243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97"/>
      <c r="BU53" s="297"/>
      <c r="BV53" s="297"/>
      <c r="BW53" s="297"/>
      <c r="BX53" s="242"/>
      <c r="BY53" s="242"/>
      <c r="BZ53" s="245"/>
      <c r="CA53" s="245"/>
      <c r="CB53" s="245"/>
      <c r="CC53" s="246"/>
      <c r="CD53" s="242"/>
      <c r="CE53" s="242"/>
      <c r="CF53" s="242"/>
      <c r="CG53" s="242"/>
      <c r="CH53" s="242"/>
      <c r="CI53" s="247"/>
      <c r="CJ53" s="248"/>
      <c r="CK53" s="248"/>
      <c r="CL53" s="248"/>
      <c r="CM53" s="248"/>
    </row>
    <row r="54" spans="1:91" x14ac:dyDescent="0.25">
      <c r="A54" s="231"/>
      <c r="B54" s="232"/>
      <c r="C54" s="232"/>
      <c r="D54" s="233"/>
      <c r="E54" s="234"/>
      <c r="F54" s="235"/>
      <c r="G54" s="236"/>
      <c r="H54" s="237"/>
      <c r="I54" s="238"/>
      <c r="J54" s="239"/>
      <c r="K54" s="240"/>
      <c r="L54" s="8"/>
      <c r="M54" s="241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2"/>
      <c r="AY54" s="243"/>
      <c r="AZ54" s="242"/>
      <c r="BA54" s="242"/>
      <c r="BB54" s="244"/>
      <c r="BC54" s="243"/>
      <c r="BD54" s="243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97"/>
      <c r="BU54" s="297"/>
      <c r="BV54" s="297"/>
      <c r="BW54" s="297"/>
      <c r="BX54" s="242"/>
      <c r="BY54" s="242"/>
      <c r="BZ54" s="245"/>
      <c r="CA54" s="245"/>
      <c r="CB54" s="245"/>
      <c r="CC54" s="246"/>
      <c r="CD54" s="242"/>
      <c r="CE54" s="242"/>
      <c r="CF54" s="242"/>
      <c r="CG54" s="242"/>
      <c r="CH54" s="242"/>
      <c r="CI54" s="247"/>
      <c r="CJ54" s="248"/>
      <c r="CK54" s="248"/>
      <c r="CL54" s="248"/>
      <c r="CM54" s="248"/>
    </row>
    <row r="55" spans="1:91" x14ac:dyDescent="0.25">
      <c r="A55" s="231"/>
      <c r="B55" s="232"/>
      <c r="C55" s="232"/>
      <c r="D55" s="233"/>
      <c r="E55" s="234"/>
      <c r="F55" s="235"/>
      <c r="G55" s="236"/>
      <c r="H55" s="237"/>
      <c r="I55" s="238"/>
      <c r="J55" s="239"/>
      <c r="K55" s="240"/>
      <c r="L55" s="8"/>
      <c r="M55" s="241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2"/>
      <c r="AY55" s="243"/>
      <c r="AZ55" s="242"/>
      <c r="BA55" s="242"/>
      <c r="BB55" s="244"/>
      <c r="BC55" s="243"/>
      <c r="BD55" s="243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97"/>
      <c r="BU55" s="297"/>
      <c r="BV55" s="297"/>
      <c r="BW55" s="297"/>
      <c r="BX55" s="242"/>
      <c r="BY55" s="242"/>
      <c r="BZ55" s="245"/>
      <c r="CA55" s="245"/>
      <c r="CB55" s="245"/>
      <c r="CC55" s="246"/>
      <c r="CD55" s="242"/>
      <c r="CE55" s="242"/>
      <c r="CF55" s="242"/>
      <c r="CG55" s="242"/>
      <c r="CH55" s="242"/>
      <c r="CI55" s="247"/>
      <c r="CJ55" s="248"/>
      <c r="CK55" s="248"/>
      <c r="CL55" s="248"/>
      <c r="CM55" s="248"/>
    </row>
    <row r="56" spans="1:91" x14ac:dyDescent="0.25">
      <c r="A56" s="231"/>
      <c r="B56" s="232"/>
      <c r="C56" s="232"/>
      <c r="D56" s="233"/>
      <c r="E56" s="234"/>
      <c r="F56" s="235"/>
      <c r="G56" s="236"/>
      <c r="H56" s="237"/>
      <c r="I56" s="238"/>
      <c r="J56" s="239"/>
      <c r="K56" s="240"/>
      <c r="L56" s="8"/>
      <c r="M56" s="241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2"/>
      <c r="AY56" s="243"/>
      <c r="AZ56" s="242"/>
      <c r="BA56" s="242"/>
      <c r="BB56" s="244"/>
      <c r="BC56" s="243"/>
      <c r="BD56" s="243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97"/>
      <c r="BU56" s="297"/>
      <c r="BV56" s="297"/>
      <c r="BW56" s="297"/>
      <c r="BX56" s="242"/>
      <c r="BY56" s="242"/>
      <c r="BZ56" s="245"/>
      <c r="CA56" s="245"/>
      <c r="CB56" s="245"/>
      <c r="CC56" s="246"/>
      <c r="CD56" s="242"/>
      <c r="CE56" s="242"/>
      <c r="CF56" s="242"/>
      <c r="CG56" s="242"/>
      <c r="CH56" s="242"/>
      <c r="CI56" s="247"/>
      <c r="CJ56" s="248"/>
      <c r="CK56" s="248"/>
      <c r="CL56" s="248"/>
      <c r="CM56" s="248"/>
    </row>
    <row r="57" spans="1:91" x14ac:dyDescent="0.25">
      <c r="A57" s="231"/>
      <c r="B57" s="232"/>
      <c r="C57" s="232"/>
      <c r="D57" s="233"/>
      <c r="E57" s="234"/>
      <c r="F57" s="235"/>
      <c r="G57" s="236"/>
      <c r="H57" s="237"/>
      <c r="I57" s="238"/>
      <c r="J57" s="239"/>
      <c r="K57" s="240"/>
      <c r="L57" s="8"/>
      <c r="M57" s="241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2"/>
      <c r="AY57" s="243"/>
      <c r="AZ57" s="242"/>
      <c r="BA57" s="242"/>
      <c r="BB57" s="244"/>
      <c r="BC57" s="243"/>
      <c r="BD57" s="243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97"/>
      <c r="BU57" s="297"/>
      <c r="BV57" s="297"/>
      <c r="BW57" s="297"/>
      <c r="BX57" s="242"/>
      <c r="BY57" s="242"/>
      <c r="BZ57" s="245"/>
      <c r="CA57" s="245"/>
      <c r="CB57" s="245"/>
      <c r="CC57" s="246"/>
      <c r="CD57" s="242"/>
      <c r="CE57" s="242"/>
      <c r="CF57" s="242"/>
      <c r="CG57" s="242"/>
      <c r="CH57" s="242"/>
      <c r="CI57" s="247"/>
      <c r="CJ57" s="248"/>
      <c r="CK57" s="248"/>
      <c r="CL57" s="248"/>
      <c r="CM57" s="248"/>
    </row>
    <row r="58" spans="1:91" x14ac:dyDescent="0.25">
      <c r="A58" s="231"/>
      <c r="B58" s="232"/>
      <c r="C58" s="232"/>
      <c r="D58" s="233"/>
      <c r="E58" s="234"/>
      <c r="F58" s="235"/>
      <c r="G58" s="236"/>
      <c r="H58" s="237"/>
      <c r="I58" s="238"/>
      <c r="J58" s="239"/>
      <c r="K58" s="240"/>
      <c r="L58" s="8"/>
      <c r="M58" s="241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2"/>
      <c r="AY58" s="243"/>
      <c r="AZ58" s="242"/>
      <c r="BA58" s="242"/>
      <c r="BB58" s="244"/>
      <c r="BC58" s="243"/>
      <c r="BD58" s="243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97"/>
      <c r="BU58" s="297"/>
      <c r="BV58" s="297"/>
      <c r="BW58" s="297"/>
      <c r="BX58" s="242"/>
      <c r="BY58" s="242"/>
      <c r="BZ58" s="245"/>
      <c r="CA58" s="245"/>
      <c r="CB58" s="245"/>
      <c r="CC58" s="246"/>
      <c r="CD58" s="242"/>
      <c r="CE58" s="242"/>
      <c r="CF58" s="242"/>
      <c r="CG58" s="242"/>
      <c r="CH58" s="242"/>
      <c r="CI58" s="247"/>
      <c r="CJ58" s="248"/>
      <c r="CK58" s="248"/>
      <c r="CL58" s="248"/>
      <c r="CM58" s="248"/>
    </row>
    <row r="59" spans="1:91" x14ac:dyDescent="0.25">
      <c r="A59" s="231"/>
      <c r="B59" s="232"/>
      <c r="C59" s="232"/>
      <c r="D59" s="233"/>
      <c r="E59" s="234"/>
      <c r="F59" s="235"/>
      <c r="G59" s="236"/>
      <c r="H59" s="237"/>
      <c r="I59" s="238"/>
      <c r="J59" s="239"/>
      <c r="K59" s="240"/>
      <c r="L59" s="8"/>
      <c r="M59" s="241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2"/>
      <c r="AY59" s="243"/>
      <c r="AZ59" s="242"/>
      <c r="BA59" s="242"/>
      <c r="BB59" s="244"/>
      <c r="BC59" s="243"/>
      <c r="BD59" s="243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97"/>
      <c r="BU59" s="297"/>
      <c r="BV59" s="297"/>
      <c r="BW59" s="297"/>
      <c r="BX59" s="242"/>
      <c r="BY59" s="242"/>
      <c r="BZ59" s="245"/>
      <c r="CA59" s="245"/>
      <c r="CB59" s="245"/>
      <c r="CC59" s="246"/>
      <c r="CD59" s="242"/>
      <c r="CE59" s="242"/>
      <c r="CF59" s="242"/>
      <c r="CG59" s="242"/>
      <c r="CH59" s="242"/>
      <c r="CI59" s="247"/>
      <c r="CJ59" s="248"/>
      <c r="CK59" s="248"/>
      <c r="CL59" s="248"/>
      <c r="CM59" s="248"/>
    </row>
    <row r="60" spans="1:91" x14ac:dyDescent="0.25">
      <c r="A60" s="231"/>
      <c r="B60" s="232"/>
      <c r="C60" s="232"/>
      <c r="D60" s="233"/>
      <c r="E60" s="234"/>
      <c r="F60" s="235"/>
      <c r="G60" s="236"/>
      <c r="H60" s="237"/>
      <c r="I60" s="238"/>
      <c r="J60" s="239"/>
      <c r="K60" s="240"/>
      <c r="L60" s="8"/>
      <c r="M60" s="241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2"/>
      <c r="AY60" s="243"/>
      <c r="AZ60" s="242"/>
      <c r="BA60" s="242"/>
      <c r="BB60" s="244"/>
      <c r="BC60" s="243"/>
      <c r="BD60" s="243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97"/>
      <c r="BU60" s="297"/>
      <c r="BV60" s="297"/>
      <c r="BW60" s="297"/>
      <c r="BX60" s="242"/>
      <c r="BY60" s="242"/>
      <c r="BZ60" s="245"/>
      <c r="CA60" s="245"/>
      <c r="CB60" s="245"/>
      <c r="CC60" s="246"/>
      <c r="CD60" s="242"/>
      <c r="CE60" s="242"/>
      <c r="CF60" s="242"/>
      <c r="CG60" s="242"/>
      <c r="CH60" s="242"/>
      <c r="CI60" s="247"/>
      <c r="CJ60" s="248"/>
      <c r="CK60" s="248"/>
      <c r="CL60" s="248"/>
      <c r="CM60" s="248"/>
    </row>
    <row r="61" spans="1:91" x14ac:dyDescent="0.25">
      <c r="A61" s="231"/>
      <c r="B61" s="232"/>
      <c r="C61" s="232"/>
      <c r="D61" s="233"/>
      <c r="E61" s="234"/>
      <c r="F61" s="235"/>
      <c r="G61" s="236"/>
      <c r="H61" s="237"/>
      <c r="I61" s="238"/>
      <c r="J61" s="239"/>
      <c r="K61" s="240"/>
      <c r="L61" s="8"/>
      <c r="M61" s="241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2"/>
      <c r="AY61" s="243"/>
      <c r="AZ61" s="242"/>
      <c r="BA61" s="242"/>
      <c r="BB61" s="244"/>
      <c r="BC61" s="243"/>
      <c r="BD61" s="243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97"/>
      <c r="BU61" s="297"/>
      <c r="BV61" s="297"/>
      <c r="BW61" s="297"/>
      <c r="BX61" s="242"/>
      <c r="BY61" s="242"/>
      <c r="BZ61" s="245"/>
      <c r="CA61" s="245"/>
      <c r="CB61" s="245"/>
      <c r="CC61" s="246"/>
      <c r="CD61" s="242"/>
      <c r="CE61" s="242"/>
      <c r="CF61" s="242"/>
      <c r="CG61" s="242"/>
      <c r="CH61" s="242"/>
      <c r="CI61" s="247"/>
      <c r="CJ61" s="248"/>
      <c r="CK61" s="248"/>
      <c r="CL61" s="248"/>
      <c r="CM61" s="248"/>
    </row>
    <row r="62" spans="1:91" x14ac:dyDescent="0.25">
      <c r="A62" s="231"/>
      <c r="B62" s="232"/>
      <c r="C62" s="232"/>
      <c r="D62" s="233"/>
      <c r="E62" s="234"/>
      <c r="F62" s="235"/>
      <c r="G62" s="236"/>
      <c r="H62" s="237"/>
      <c r="I62" s="238"/>
      <c r="J62" s="239"/>
      <c r="K62" s="240"/>
      <c r="L62" s="8"/>
      <c r="M62" s="241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97"/>
      <c r="BU62" s="297"/>
      <c r="BV62" s="297"/>
      <c r="BW62" s="297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97"/>
      <c r="BU63" s="297"/>
      <c r="BV63" s="297"/>
      <c r="BW63" s="297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232"/>
      <c r="C64" s="232"/>
      <c r="D64" s="233"/>
      <c r="E64" s="234"/>
      <c r="F64" s="235"/>
      <c r="G64" s="236"/>
      <c r="H64" s="237"/>
      <c r="I64" s="238"/>
      <c r="J64" s="239"/>
      <c r="K64" s="240"/>
      <c r="L64" s="8"/>
      <c r="M64" s="241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97"/>
      <c r="BU64" s="297"/>
      <c r="BV64" s="297"/>
      <c r="BW64" s="297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97"/>
      <c r="BU65" s="297"/>
      <c r="BV65" s="297"/>
      <c r="BW65" s="297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31"/>
      <c r="B66" s="232"/>
      <c r="C66" s="232"/>
      <c r="D66" s="233"/>
      <c r="E66" s="234"/>
      <c r="F66" s="235"/>
      <c r="G66" s="236"/>
      <c r="H66" s="237"/>
      <c r="I66" s="238"/>
      <c r="J66" s="239"/>
      <c r="K66" s="240"/>
      <c r="L66" s="8"/>
      <c r="M66" s="241"/>
      <c r="N66" s="239"/>
      <c r="O66" s="240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2"/>
      <c r="AY66" s="243"/>
      <c r="AZ66" s="242"/>
      <c r="BA66" s="242"/>
      <c r="BB66" s="244"/>
      <c r="BC66" s="243"/>
      <c r="BD66" s="243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97"/>
      <c r="BU66" s="297"/>
      <c r="BV66" s="297"/>
      <c r="BW66" s="297"/>
      <c r="BX66" s="242"/>
      <c r="BY66" s="242"/>
      <c r="BZ66" s="245"/>
      <c r="CA66" s="245"/>
      <c r="CB66" s="245"/>
      <c r="CC66" s="246"/>
      <c r="CD66" s="242"/>
      <c r="CE66" s="242"/>
      <c r="CF66" s="242"/>
      <c r="CG66" s="242"/>
      <c r="CH66" s="242"/>
      <c r="CI66" s="247"/>
      <c r="CJ66" s="248"/>
      <c r="CK66" s="248"/>
      <c r="CL66" s="248"/>
      <c r="CM66" s="248"/>
    </row>
    <row r="67" spans="1:91" x14ac:dyDescent="0.25">
      <c r="A67" s="231"/>
      <c r="B67" s="232"/>
      <c r="C67" s="232"/>
      <c r="D67" s="233"/>
      <c r="E67" s="234"/>
      <c r="F67" s="235"/>
      <c r="G67" s="236"/>
      <c r="H67" s="237"/>
      <c r="I67" s="238"/>
      <c r="J67" s="239"/>
      <c r="K67" s="240"/>
      <c r="L67" s="8"/>
      <c r="M67" s="241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97"/>
      <c r="BU67" s="297"/>
      <c r="BV67" s="297"/>
      <c r="BW67" s="297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97"/>
      <c r="BU68" s="297"/>
      <c r="BV68" s="297"/>
      <c r="BW68" s="297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7"/>
      <c r="BU69" s="297"/>
      <c r="BV69" s="297"/>
      <c r="BW69" s="297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7"/>
      <c r="BU70" s="297"/>
      <c r="BV70" s="297"/>
      <c r="BW70" s="297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97"/>
      <c r="BU71" s="297"/>
      <c r="BV71" s="297"/>
      <c r="BW71" s="297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97"/>
      <c r="BU72" s="297"/>
      <c r="BV72" s="297"/>
      <c r="BW72" s="297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97"/>
      <c r="BU73" s="297"/>
      <c r="BV73" s="297"/>
      <c r="BW73" s="297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7"/>
      <c r="BU74" s="297"/>
      <c r="BV74" s="297"/>
      <c r="BW74" s="297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7"/>
      <c r="BU75" s="297"/>
      <c r="BV75" s="297"/>
      <c r="BW75" s="297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7"/>
      <c r="BU76" s="297"/>
      <c r="BV76" s="297"/>
      <c r="BW76" s="297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7"/>
      <c r="BU77" s="297"/>
      <c r="BV77" s="297"/>
      <c r="BW77" s="297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7"/>
      <c r="BU78" s="297"/>
      <c r="BV78" s="297"/>
      <c r="BW78" s="297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7"/>
      <c r="BU79" s="297"/>
      <c r="BV79" s="297"/>
      <c r="BW79" s="297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7"/>
      <c r="BU80" s="297"/>
      <c r="BV80" s="297"/>
      <c r="BW80" s="297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7"/>
      <c r="BU81" s="297"/>
      <c r="BV81" s="297"/>
      <c r="BW81" s="297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7"/>
      <c r="BU82" s="297"/>
      <c r="BV82" s="297"/>
      <c r="BW82" s="297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7"/>
      <c r="BU83" s="297"/>
      <c r="BV83" s="297"/>
      <c r="BW83" s="297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7"/>
      <c r="BU84" s="297"/>
      <c r="BV84" s="297"/>
      <c r="BW84" s="297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7"/>
      <c r="BU85" s="297"/>
      <c r="BV85" s="297"/>
      <c r="BW85" s="297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7"/>
      <c r="BU86" s="297"/>
      <c r="BV86" s="297"/>
      <c r="BW86" s="297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7"/>
      <c r="BU87" s="297"/>
      <c r="BV87" s="297"/>
      <c r="BW87" s="297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7"/>
      <c r="BU88" s="297"/>
      <c r="BV88" s="297"/>
      <c r="BW88" s="297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7"/>
      <c r="BU89" s="297"/>
      <c r="BV89" s="297"/>
      <c r="BW89" s="297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7"/>
      <c r="BU90" s="297"/>
      <c r="BV90" s="297"/>
      <c r="BW90" s="297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7"/>
      <c r="BU91" s="297"/>
      <c r="BV91" s="297"/>
      <c r="BW91" s="297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7"/>
      <c r="BU92" s="297"/>
      <c r="BV92" s="297"/>
      <c r="BW92" s="297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7"/>
      <c r="BU93" s="297"/>
      <c r="BV93" s="297"/>
      <c r="BW93" s="297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7"/>
      <c r="BU94" s="297"/>
      <c r="BV94" s="297"/>
      <c r="BW94" s="297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7"/>
      <c r="BU95" s="297"/>
      <c r="BV95" s="297"/>
      <c r="BW95" s="297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7"/>
      <c r="BU96" s="297"/>
      <c r="BV96" s="297"/>
      <c r="BW96" s="297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7"/>
      <c r="BU97" s="297"/>
      <c r="BV97" s="297"/>
      <c r="BW97" s="297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7"/>
      <c r="BU98" s="297"/>
      <c r="BV98" s="297"/>
      <c r="BW98" s="297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7"/>
      <c r="BU99" s="297"/>
      <c r="BV99" s="297"/>
      <c r="BW99" s="297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7"/>
      <c r="BU100" s="297"/>
      <c r="BV100" s="297"/>
      <c r="BW100" s="297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7"/>
      <c r="BU101" s="297"/>
      <c r="BV101" s="297"/>
      <c r="BW101" s="297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7"/>
      <c r="BU102" s="297"/>
      <c r="BV102" s="297"/>
      <c r="BW102" s="297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7"/>
      <c r="BU103" s="297"/>
      <c r="BV103" s="297"/>
      <c r="BW103" s="297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7"/>
      <c r="BU104" s="297"/>
      <c r="BV104" s="297"/>
      <c r="BW104" s="297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7"/>
      <c r="BU105" s="297"/>
      <c r="BV105" s="297"/>
      <c r="BW105" s="297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7"/>
      <c r="BU106" s="297"/>
      <c r="BV106" s="297"/>
      <c r="BW106" s="297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7"/>
      <c r="BU107" s="297"/>
      <c r="BV107" s="297"/>
      <c r="BW107" s="297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7"/>
      <c r="BU108" s="297"/>
      <c r="BV108" s="297"/>
      <c r="BW108" s="297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7"/>
      <c r="BU109" s="297"/>
      <c r="BV109" s="297"/>
      <c r="BW109" s="297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7"/>
      <c r="BU110" s="297"/>
      <c r="BV110" s="297"/>
      <c r="BW110" s="297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7"/>
      <c r="BU111" s="297"/>
      <c r="BV111" s="297"/>
      <c r="BW111" s="297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7"/>
      <c r="BU112" s="297"/>
      <c r="BV112" s="297"/>
      <c r="BW112" s="297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7"/>
      <c r="BU113" s="297"/>
      <c r="BV113" s="297"/>
      <c r="BW113" s="297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7"/>
      <c r="BU114" s="297"/>
      <c r="BV114" s="297"/>
      <c r="BW114" s="297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7"/>
      <c r="BU115" s="297"/>
      <c r="BV115" s="297"/>
      <c r="BW115" s="297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7"/>
      <c r="BU116" s="297"/>
      <c r="BV116" s="297"/>
      <c r="BW116" s="297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7"/>
      <c r="BU117" s="297"/>
      <c r="BV117" s="297"/>
      <c r="BW117" s="297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7"/>
      <c r="BU118" s="297"/>
      <c r="BV118" s="297"/>
      <c r="BW118" s="297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7"/>
      <c r="BU119" s="297"/>
      <c r="BV119" s="297"/>
      <c r="BW119" s="297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7"/>
      <c r="BU120" s="297"/>
      <c r="BV120" s="297"/>
      <c r="BW120" s="297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7"/>
      <c r="BU121" s="297"/>
      <c r="BV121" s="297"/>
      <c r="BW121" s="297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7"/>
      <c r="BU122" s="297"/>
      <c r="BV122" s="297"/>
      <c r="BW122" s="297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7"/>
      <c r="BU123" s="297"/>
      <c r="BV123" s="297"/>
      <c r="BW123" s="297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7"/>
      <c r="BU124" s="297"/>
      <c r="BV124" s="297"/>
      <c r="BW124" s="297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7"/>
      <c r="BU125" s="297"/>
      <c r="BV125" s="297"/>
      <c r="BW125" s="297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7"/>
      <c r="BU126" s="297"/>
      <c r="BV126" s="297"/>
      <c r="BW126" s="297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7"/>
      <c r="BU127" s="297"/>
      <c r="BV127" s="297"/>
      <c r="BW127" s="297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7"/>
      <c r="BU128" s="297"/>
      <c r="BV128" s="297"/>
      <c r="BW128" s="297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7"/>
      <c r="BU129" s="297"/>
      <c r="BV129" s="297"/>
      <c r="BW129" s="297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7"/>
      <c r="BU130" s="297"/>
      <c r="BV130" s="297"/>
      <c r="BW130" s="297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7"/>
      <c r="BU131" s="297"/>
      <c r="BV131" s="297"/>
      <c r="BW131" s="297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7"/>
      <c r="BU132" s="297"/>
      <c r="BV132" s="297"/>
      <c r="BW132" s="297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7"/>
      <c r="BU133" s="297"/>
      <c r="BV133" s="297"/>
      <c r="BW133" s="297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7"/>
      <c r="BU134" s="297"/>
      <c r="BV134" s="297"/>
      <c r="BW134" s="297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7"/>
      <c r="BU135" s="297"/>
      <c r="BV135" s="297"/>
      <c r="BW135" s="297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7"/>
      <c r="BU136" s="297"/>
      <c r="BV136" s="297"/>
      <c r="BW136" s="297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7"/>
      <c r="BU137" s="297"/>
      <c r="BV137" s="297"/>
      <c r="BW137" s="297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7"/>
      <c r="BU138" s="297"/>
      <c r="BV138" s="297"/>
      <c r="BW138" s="297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7"/>
      <c r="BU139" s="297"/>
      <c r="BV139" s="297"/>
      <c r="BW139" s="297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7"/>
      <c r="BU140" s="297"/>
      <c r="BV140" s="297"/>
      <c r="BW140" s="297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7"/>
      <c r="BU141" s="297"/>
      <c r="BV141" s="297"/>
      <c r="BW141" s="297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7"/>
      <c r="BU142" s="297"/>
      <c r="BV142" s="297"/>
      <c r="BW142" s="297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7"/>
      <c r="BU143" s="297"/>
      <c r="BV143" s="297"/>
      <c r="BW143" s="297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7"/>
      <c r="BU144" s="297"/>
      <c r="BV144" s="297"/>
      <c r="BW144" s="297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7"/>
      <c r="BU145" s="297"/>
      <c r="BV145" s="297"/>
      <c r="BW145" s="297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7"/>
      <c r="BU146" s="297"/>
      <c r="BV146" s="297"/>
      <c r="BW146" s="297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7"/>
      <c r="BU147" s="297"/>
      <c r="BV147" s="297"/>
      <c r="BW147" s="297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7"/>
      <c r="BU148" s="297"/>
      <c r="BV148" s="297"/>
      <c r="BW148" s="297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7"/>
      <c r="BU149" s="297"/>
      <c r="BV149" s="297"/>
      <c r="BW149" s="297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7"/>
      <c r="BU150" s="297"/>
      <c r="BV150" s="297"/>
      <c r="BW150" s="297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7"/>
      <c r="BU151" s="297"/>
      <c r="BV151" s="297"/>
      <c r="BW151" s="297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7"/>
      <c r="BU152" s="297"/>
      <c r="BV152" s="297"/>
      <c r="BW152" s="297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7"/>
      <c r="BU153" s="297"/>
      <c r="BV153" s="297"/>
      <c r="BW153" s="297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7"/>
      <c r="BU154" s="297"/>
      <c r="BV154" s="297"/>
      <c r="BW154" s="297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7"/>
      <c r="BU155" s="297"/>
      <c r="BV155" s="297"/>
      <c r="BW155" s="297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7"/>
      <c r="BU156" s="297"/>
      <c r="BV156" s="297"/>
      <c r="BW156" s="297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7"/>
      <c r="BU157" s="297"/>
      <c r="BV157" s="297"/>
      <c r="BW157" s="297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7"/>
      <c r="BU158" s="297"/>
      <c r="BV158" s="297"/>
      <c r="BW158" s="297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7"/>
      <c r="BU159" s="297"/>
      <c r="BV159" s="297"/>
      <c r="BW159" s="297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7"/>
      <c r="BU160" s="297"/>
      <c r="BV160" s="297"/>
      <c r="BW160" s="297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7"/>
      <c r="BU161" s="297"/>
      <c r="BV161" s="297"/>
      <c r="BW161" s="297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7"/>
      <c r="BU162" s="297"/>
      <c r="BV162" s="297"/>
      <c r="BW162" s="297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7"/>
      <c r="BU163" s="297"/>
      <c r="BV163" s="297"/>
      <c r="BW163" s="297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7"/>
      <c r="BU164" s="297"/>
      <c r="BV164" s="297"/>
      <c r="BW164" s="297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7"/>
      <c r="BU165" s="297"/>
      <c r="BV165" s="297"/>
      <c r="BW165" s="297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7"/>
      <c r="BU166" s="297"/>
      <c r="BV166" s="297"/>
      <c r="BW166" s="297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7"/>
      <c r="BU167" s="297"/>
      <c r="BV167" s="297"/>
      <c r="BW167" s="297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7"/>
      <c r="BU168" s="297"/>
      <c r="BV168" s="297"/>
      <c r="BW168" s="297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7"/>
      <c r="BU169" s="297"/>
      <c r="BV169" s="297"/>
      <c r="BW169" s="297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7"/>
      <c r="BU170" s="297"/>
      <c r="BV170" s="297"/>
      <c r="BW170" s="297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7"/>
      <c r="BU171" s="297"/>
      <c r="BV171" s="297"/>
      <c r="BW171" s="297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7"/>
      <c r="BU172" s="297"/>
      <c r="BV172" s="297"/>
      <c r="BW172" s="297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7"/>
      <c r="BU173" s="297"/>
      <c r="BV173" s="297"/>
      <c r="BW173" s="297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7"/>
      <c r="BU174" s="297"/>
      <c r="BV174" s="297"/>
      <c r="BW174" s="297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7"/>
      <c r="BU175" s="297"/>
      <c r="BV175" s="297"/>
      <c r="BW175" s="297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7"/>
      <c r="BU176" s="297"/>
      <c r="BV176" s="297"/>
      <c r="BW176" s="297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7"/>
      <c r="BU177" s="297"/>
      <c r="BV177" s="297"/>
      <c r="BW177" s="297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7"/>
      <c r="BU178" s="297"/>
      <c r="BV178" s="297"/>
      <c r="BW178" s="297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7"/>
      <c r="BU179" s="297"/>
      <c r="BV179" s="297"/>
      <c r="BW179" s="297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7"/>
      <c r="BU180" s="297"/>
      <c r="BV180" s="297"/>
      <c r="BW180" s="297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7"/>
      <c r="BU181" s="297"/>
      <c r="BV181" s="297"/>
      <c r="BW181" s="297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7"/>
      <c r="BU182" s="297"/>
      <c r="BV182" s="297"/>
      <c r="BW182" s="297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7"/>
      <c r="BU183" s="297"/>
      <c r="BV183" s="297"/>
      <c r="BW183" s="297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7"/>
      <c r="BU184" s="297"/>
      <c r="BV184" s="297"/>
      <c r="BW184" s="297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7"/>
      <c r="BU185" s="297"/>
      <c r="BV185" s="297"/>
      <c r="BW185" s="297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7"/>
      <c r="BU186" s="297"/>
      <c r="BV186" s="297"/>
      <c r="BW186" s="297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7"/>
      <c r="BU187" s="297"/>
      <c r="BV187" s="297"/>
      <c r="BW187" s="297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7"/>
      <c r="BU188" s="297"/>
      <c r="BV188" s="297"/>
      <c r="BW188" s="297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7"/>
      <c r="BU189" s="297"/>
      <c r="BV189" s="297"/>
      <c r="BW189" s="297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7"/>
      <c r="BU190" s="297"/>
      <c r="BV190" s="297"/>
      <c r="BW190" s="297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7"/>
      <c r="BU191" s="297"/>
      <c r="BV191" s="297"/>
      <c r="BW191" s="297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7"/>
      <c r="BU192" s="297"/>
      <c r="BV192" s="297"/>
      <c r="BW192" s="297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7"/>
      <c r="BU193" s="297"/>
      <c r="BV193" s="297"/>
      <c r="BW193" s="297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7"/>
      <c r="BU194" s="297"/>
      <c r="BV194" s="297"/>
      <c r="BW194" s="297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7"/>
      <c r="BU195" s="297"/>
      <c r="BV195" s="297"/>
      <c r="BW195" s="297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7"/>
      <c r="BU196" s="297"/>
      <c r="BV196" s="297"/>
      <c r="BW196" s="297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7"/>
      <c r="BU197" s="297"/>
      <c r="BV197" s="297"/>
      <c r="BW197" s="297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7"/>
      <c r="BU198" s="297"/>
      <c r="BV198" s="297"/>
      <c r="BW198" s="297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7"/>
      <c r="BU199" s="297"/>
      <c r="BV199" s="297"/>
      <c r="BW199" s="297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7"/>
      <c r="BU200" s="297"/>
      <c r="BV200" s="297"/>
      <c r="BW200" s="297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7"/>
      <c r="BU201" s="297"/>
      <c r="BV201" s="297"/>
      <c r="BW201" s="297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7"/>
      <c r="BU202" s="297"/>
      <c r="BV202" s="297"/>
      <c r="BW202" s="297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7"/>
      <c r="BU203" s="297"/>
      <c r="BV203" s="297"/>
      <c r="BW203" s="297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7"/>
      <c r="BU204" s="297"/>
      <c r="BV204" s="297"/>
      <c r="BW204" s="297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7"/>
      <c r="BU205" s="297"/>
      <c r="BV205" s="297"/>
      <c r="BW205" s="297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7"/>
      <c r="BU206" s="297"/>
      <c r="BV206" s="297"/>
      <c r="BW206" s="297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7"/>
      <c r="BU207" s="297"/>
      <c r="BV207" s="297"/>
      <c r="BW207" s="297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7"/>
      <c r="BU208" s="297"/>
      <c r="BV208" s="297"/>
      <c r="BW208" s="297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7"/>
      <c r="BU209" s="297"/>
      <c r="BV209" s="297"/>
      <c r="BW209" s="297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7"/>
      <c r="BU210" s="297"/>
      <c r="BV210" s="297"/>
      <c r="BW210" s="297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7"/>
      <c r="BU211" s="297"/>
      <c r="BV211" s="297"/>
      <c r="BW211" s="297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7"/>
      <c r="BU212" s="297"/>
      <c r="BV212" s="297"/>
      <c r="BW212" s="297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7"/>
      <c r="BU213" s="297"/>
      <c r="BV213" s="297"/>
      <c r="BW213" s="297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7"/>
      <c r="BU214" s="297"/>
      <c r="BV214" s="297"/>
      <c r="BW214" s="297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7"/>
      <c r="BU215" s="297"/>
      <c r="BV215" s="297"/>
      <c r="BW215" s="297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7"/>
      <c r="BU216" s="297"/>
      <c r="BV216" s="297"/>
      <c r="BW216" s="297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7"/>
      <c r="BU217" s="297"/>
      <c r="BV217" s="297"/>
      <c r="BW217" s="297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7"/>
      <c r="BU218" s="297"/>
      <c r="BV218" s="297"/>
      <c r="BW218" s="297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7"/>
      <c r="BU219" s="297"/>
      <c r="BV219" s="297"/>
      <c r="BW219" s="297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7"/>
      <c r="BU220" s="297"/>
      <c r="BV220" s="297"/>
      <c r="BW220" s="297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7"/>
      <c r="BU221" s="297"/>
      <c r="BV221" s="297"/>
      <c r="BW221" s="297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7"/>
      <c r="BU222" s="297"/>
      <c r="BV222" s="297"/>
      <c r="BW222" s="297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7"/>
      <c r="BU223" s="297"/>
      <c r="BV223" s="297"/>
      <c r="BW223" s="297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7"/>
      <c r="BU224" s="297"/>
      <c r="BV224" s="297"/>
      <c r="BW224" s="297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7"/>
      <c r="BU225" s="297"/>
      <c r="BV225" s="297"/>
      <c r="BW225" s="297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7"/>
      <c r="BU226" s="297"/>
      <c r="BV226" s="297"/>
      <c r="BW226" s="297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7"/>
      <c r="BU227" s="297"/>
      <c r="BV227" s="297"/>
      <c r="BW227" s="297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7"/>
      <c r="BU228" s="297"/>
      <c r="BV228" s="297"/>
      <c r="BW228" s="297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7"/>
      <c r="BU229" s="297"/>
      <c r="BV229" s="297"/>
      <c r="BW229" s="297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7"/>
      <c r="BU230" s="297"/>
      <c r="BV230" s="297"/>
      <c r="BW230" s="297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7"/>
      <c r="BU231" s="297"/>
      <c r="BV231" s="297"/>
      <c r="BW231" s="297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7"/>
      <c r="BU232" s="297"/>
      <c r="BV232" s="297"/>
      <c r="BW232" s="297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7"/>
      <c r="BU233" s="297"/>
      <c r="BV233" s="297"/>
      <c r="BW233" s="297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7"/>
      <c r="BU234" s="297"/>
      <c r="BV234" s="297"/>
      <c r="BW234" s="297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7"/>
      <c r="BU235" s="297"/>
      <c r="BV235" s="297"/>
      <c r="BW235" s="297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7"/>
      <c r="BU236" s="297"/>
      <c r="BV236" s="297"/>
      <c r="BW236" s="297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7"/>
      <c r="BU237" s="297"/>
      <c r="BV237" s="297"/>
      <c r="BW237" s="297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7"/>
      <c r="BU238" s="297"/>
      <c r="BV238" s="297"/>
      <c r="BW238" s="297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7"/>
      <c r="BU239" s="297"/>
      <c r="BV239" s="297"/>
      <c r="BW239" s="297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7"/>
      <c r="BU240" s="297"/>
      <c r="BV240" s="297"/>
      <c r="BW240" s="297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7"/>
      <c r="BU241" s="297"/>
      <c r="BV241" s="297"/>
      <c r="BW241" s="297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7"/>
      <c r="BU242" s="297"/>
      <c r="BV242" s="297"/>
      <c r="BW242" s="297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7"/>
      <c r="BU243" s="297"/>
      <c r="BV243" s="297"/>
      <c r="BW243" s="297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7"/>
      <c r="BU244" s="297"/>
      <c r="BV244" s="297"/>
      <c r="BW244" s="297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7"/>
      <c r="BU245" s="297"/>
      <c r="BV245" s="297"/>
      <c r="BW245" s="297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7"/>
      <c r="BU246" s="297"/>
      <c r="BV246" s="297"/>
      <c r="BW246" s="297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7"/>
      <c r="BU247" s="297"/>
      <c r="BV247" s="297"/>
      <c r="BW247" s="297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7"/>
      <c r="BU248" s="297"/>
      <c r="BV248" s="297"/>
      <c r="BW248" s="297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7"/>
      <c r="BU249" s="297"/>
      <c r="BV249" s="297"/>
      <c r="BW249" s="297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7"/>
      <c r="BU250" s="297"/>
      <c r="BV250" s="297"/>
      <c r="BW250" s="297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7"/>
      <c r="BU251" s="297"/>
      <c r="BV251" s="297"/>
      <c r="BW251" s="297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7"/>
      <c r="BU252" s="297"/>
      <c r="BV252" s="297"/>
      <c r="BW252" s="297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7"/>
      <c r="BU253" s="297"/>
      <c r="BV253" s="297"/>
      <c r="BW253" s="297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7"/>
      <c r="BU254" s="297"/>
      <c r="BV254" s="297"/>
      <c r="BW254" s="297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7"/>
      <c r="BU255" s="297"/>
      <c r="BV255" s="297"/>
      <c r="BW255" s="297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7"/>
      <c r="BU256" s="297"/>
      <c r="BV256" s="297"/>
      <c r="BW256" s="297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7"/>
      <c r="BU257" s="297"/>
      <c r="BV257" s="297"/>
      <c r="BW257" s="297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7"/>
      <c r="BU258" s="297"/>
      <c r="BV258" s="297"/>
      <c r="BW258" s="297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7"/>
      <c r="BU259" s="297"/>
      <c r="BV259" s="297"/>
      <c r="BW259" s="297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7"/>
      <c r="BU260" s="297"/>
      <c r="BV260" s="297"/>
      <c r="BW260" s="297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7"/>
      <c r="BU261" s="297"/>
      <c r="BV261" s="297"/>
      <c r="BW261" s="297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7"/>
      <c r="BU262" s="297"/>
      <c r="BV262" s="297"/>
      <c r="BW262" s="297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7"/>
      <c r="BU263" s="297"/>
      <c r="BV263" s="297"/>
      <c r="BW263" s="297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7"/>
      <c r="BU264" s="297"/>
      <c r="BV264" s="297"/>
      <c r="BW264" s="297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7"/>
      <c r="BU265" s="297"/>
      <c r="BV265" s="297"/>
      <c r="BW265" s="297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7"/>
      <c r="BU266" s="297"/>
      <c r="BV266" s="297"/>
      <c r="BW266" s="297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7"/>
      <c r="BU267" s="297"/>
      <c r="BV267" s="297"/>
      <c r="BW267" s="297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7"/>
      <c r="BU268" s="297"/>
      <c r="BV268" s="297"/>
      <c r="BW268" s="297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7"/>
      <c r="BU269" s="297"/>
      <c r="BV269" s="297"/>
      <c r="BW269" s="297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7"/>
      <c r="BU270" s="297"/>
      <c r="BV270" s="297"/>
      <c r="BW270" s="297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7"/>
      <c r="BU271" s="297"/>
      <c r="BV271" s="297"/>
      <c r="BW271" s="297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7"/>
      <c r="BU272" s="297"/>
      <c r="BV272" s="297"/>
      <c r="BW272" s="297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7"/>
      <c r="BU273" s="297"/>
      <c r="BV273" s="297"/>
      <c r="BW273" s="297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7"/>
      <c r="BU274" s="297"/>
      <c r="BV274" s="297"/>
      <c r="BW274" s="297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7"/>
      <c r="BU275" s="297"/>
      <c r="BV275" s="297"/>
      <c r="BW275" s="297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7"/>
      <c r="BU276" s="297"/>
      <c r="BV276" s="297"/>
      <c r="BW276" s="297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7"/>
      <c r="BU277" s="297"/>
      <c r="BV277" s="297"/>
      <c r="BW277" s="297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7"/>
      <c r="BU278" s="297"/>
      <c r="BV278" s="297"/>
      <c r="BW278" s="297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7"/>
      <c r="BU279" s="297"/>
      <c r="BV279" s="297"/>
      <c r="BW279" s="297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7"/>
      <c r="BU280" s="297"/>
      <c r="BV280" s="297"/>
      <c r="BW280" s="297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7"/>
      <c r="BU281" s="297"/>
      <c r="BV281" s="297"/>
      <c r="BW281" s="297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7"/>
      <c r="BU282" s="297"/>
      <c r="BV282" s="297"/>
      <c r="BW282" s="297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7"/>
      <c r="BU283" s="297"/>
      <c r="BV283" s="297"/>
      <c r="BW283" s="297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7"/>
      <c r="BU284" s="297"/>
      <c r="BV284" s="297"/>
      <c r="BW284" s="297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7"/>
      <c r="BU285" s="297"/>
      <c r="BV285" s="297"/>
      <c r="BW285" s="297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7"/>
      <c r="BU286" s="297"/>
      <c r="BV286" s="297"/>
      <c r="BW286" s="297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7"/>
      <c r="BU287" s="297"/>
      <c r="BV287" s="297"/>
      <c r="BW287" s="297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7"/>
      <c r="BU288" s="297"/>
      <c r="BV288" s="297"/>
      <c r="BW288" s="297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7"/>
      <c r="BU289" s="297"/>
      <c r="BV289" s="297"/>
      <c r="BW289" s="297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7"/>
      <c r="BU290" s="297"/>
      <c r="BV290" s="297"/>
      <c r="BW290" s="297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7"/>
      <c r="BU291" s="297"/>
      <c r="BV291" s="297"/>
      <c r="BW291" s="297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7"/>
      <c r="BU292" s="297"/>
      <c r="BV292" s="297"/>
      <c r="BW292" s="297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7"/>
      <c r="BU293" s="297"/>
      <c r="BV293" s="297"/>
      <c r="BW293" s="297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7"/>
      <c r="BU294" s="297"/>
      <c r="BV294" s="297"/>
      <c r="BW294" s="297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7"/>
      <c r="BU295" s="297"/>
      <c r="BV295" s="297"/>
      <c r="BW295" s="297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7"/>
      <c r="BU296" s="297"/>
      <c r="BV296" s="297"/>
      <c r="BW296" s="297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7"/>
      <c r="BU297" s="297"/>
      <c r="BV297" s="297"/>
      <c r="BW297" s="297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7"/>
      <c r="BU298" s="297"/>
      <c r="BV298" s="297"/>
      <c r="BW298" s="297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7"/>
      <c r="BU299" s="297"/>
      <c r="BV299" s="297"/>
      <c r="BW299" s="297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7"/>
      <c r="BU300" s="297"/>
      <c r="BV300" s="297"/>
      <c r="BW300" s="297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7"/>
      <c r="BU301" s="297"/>
      <c r="BV301" s="297"/>
      <c r="BW301" s="297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7"/>
      <c r="BU302" s="297"/>
      <c r="BV302" s="297"/>
      <c r="BW302" s="297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7"/>
      <c r="BU303" s="297"/>
      <c r="BV303" s="297"/>
      <c r="BW303" s="297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7"/>
      <c r="BU304" s="297"/>
      <c r="BV304" s="297"/>
      <c r="BW304" s="297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7"/>
      <c r="BU305" s="297"/>
      <c r="BV305" s="297"/>
      <c r="BW305" s="297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7"/>
      <c r="BU306" s="297"/>
      <c r="BV306" s="297"/>
      <c r="BW306" s="297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7"/>
      <c r="BU307" s="297"/>
      <c r="BV307" s="297"/>
      <c r="BW307" s="297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7"/>
      <c r="BU308" s="297"/>
      <c r="BV308" s="297"/>
      <c r="BW308" s="297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7"/>
      <c r="BU309" s="297"/>
      <c r="BV309" s="297"/>
      <c r="BW309" s="297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7"/>
      <c r="BU310" s="297"/>
      <c r="BV310" s="297"/>
      <c r="BW310" s="297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7"/>
      <c r="BU311" s="297"/>
      <c r="BV311" s="297"/>
      <c r="BW311" s="297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7"/>
      <c r="BU312" s="297"/>
      <c r="BV312" s="297"/>
      <c r="BW312" s="297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7"/>
      <c r="BU313" s="297"/>
      <c r="BV313" s="297"/>
      <c r="BW313" s="297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7"/>
      <c r="BU314" s="297"/>
      <c r="BV314" s="297"/>
      <c r="BW314" s="297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7"/>
      <c r="BU315" s="297"/>
      <c r="BV315" s="297"/>
      <c r="BW315" s="297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7"/>
      <c r="BU316" s="297"/>
      <c r="BV316" s="297"/>
      <c r="BW316" s="297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7"/>
      <c r="BU317" s="297"/>
      <c r="BV317" s="297"/>
      <c r="BW317" s="297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7"/>
      <c r="BU318" s="297"/>
      <c r="BV318" s="297"/>
      <c r="BW318" s="297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7"/>
      <c r="BU319" s="297"/>
      <c r="BV319" s="297"/>
      <c r="BW319" s="297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7"/>
      <c r="BU320" s="297"/>
      <c r="BV320" s="297"/>
      <c r="BW320" s="297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7"/>
      <c r="BU321" s="297"/>
      <c r="BV321" s="297"/>
      <c r="BW321" s="297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7"/>
      <c r="BU322" s="297"/>
      <c r="BV322" s="297"/>
      <c r="BW322" s="297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7"/>
      <c r="BU323" s="297"/>
      <c r="BV323" s="297"/>
      <c r="BW323" s="297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7"/>
      <c r="BU324" s="297"/>
      <c r="BV324" s="297"/>
      <c r="BW324" s="297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7"/>
      <c r="BU325" s="297"/>
      <c r="BV325" s="297"/>
      <c r="BW325" s="297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7"/>
      <c r="BU326" s="297"/>
      <c r="BV326" s="297"/>
      <c r="BW326" s="297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7"/>
      <c r="BU327" s="297"/>
      <c r="BV327" s="297"/>
      <c r="BW327" s="297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7"/>
      <c r="BU328" s="297"/>
      <c r="BV328" s="297"/>
      <c r="BW328" s="297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7"/>
      <c r="BU329" s="297"/>
      <c r="BV329" s="297"/>
      <c r="BW329" s="297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7"/>
      <c r="BU330" s="297"/>
      <c r="BV330" s="297"/>
      <c r="BW330" s="297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7"/>
      <c r="BU331" s="297"/>
      <c r="BV331" s="297"/>
      <c r="BW331" s="297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7"/>
      <c r="BU332" s="297"/>
      <c r="BV332" s="297"/>
      <c r="BW332" s="297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7"/>
      <c r="BU333" s="297"/>
      <c r="BV333" s="297"/>
      <c r="BW333" s="297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7"/>
      <c r="BU334" s="297"/>
      <c r="BV334" s="297"/>
      <c r="BW334" s="297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7"/>
      <c r="BU335" s="297"/>
      <c r="BV335" s="297"/>
      <c r="BW335" s="297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7"/>
      <c r="BU336" s="297"/>
      <c r="BV336" s="297"/>
      <c r="BW336" s="297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7"/>
      <c r="BU337" s="297"/>
      <c r="BV337" s="297"/>
      <c r="BW337" s="297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7"/>
      <c r="BU338" s="297"/>
      <c r="BV338" s="297"/>
      <c r="BW338" s="297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7"/>
      <c r="BU339" s="297"/>
      <c r="BV339" s="297"/>
      <c r="BW339" s="297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7"/>
      <c r="BU340" s="297"/>
      <c r="BV340" s="297"/>
      <c r="BW340" s="297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7"/>
      <c r="BU341" s="297"/>
      <c r="BV341" s="297"/>
      <c r="BW341" s="297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7"/>
      <c r="BU342" s="297"/>
      <c r="BV342" s="297"/>
      <c r="BW342" s="297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7"/>
      <c r="BU343" s="297"/>
      <c r="BV343" s="297"/>
      <c r="BW343" s="297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7"/>
      <c r="BU344" s="297"/>
      <c r="BV344" s="297"/>
      <c r="BW344" s="297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7"/>
      <c r="BU345" s="297"/>
      <c r="BV345" s="297"/>
      <c r="BW345" s="297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7"/>
      <c r="BU346" s="297"/>
      <c r="BV346" s="297"/>
      <c r="BW346" s="297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7"/>
      <c r="BU347" s="297"/>
      <c r="BV347" s="297"/>
      <c r="BW347" s="297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7"/>
      <c r="BU348" s="297"/>
      <c r="BV348" s="297"/>
      <c r="BW348" s="297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7"/>
      <c r="BU349" s="297"/>
      <c r="BV349" s="297"/>
      <c r="BW349" s="297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7"/>
      <c r="BU350" s="297"/>
      <c r="BV350" s="297"/>
      <c r="BW350" s="297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7"/>
      <c r="BU351" s="297"/>
      <c r="BV351" s="297"/>
      <c r="BW351" s="297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7"/>
      <c r="BU352" s="297"/>
      <c r="BV352" s="297"/>
      <c r="BW352" s="297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7"/>
      <c r="BU353" s="297"/>
      <c r="BV353" s="297"/>
      <c r="BW353" s="297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7"/>
      <c r="BU354" s="297"/>
      <c r="BV354" s="297"/>
      <c r="BW354" s="297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7"/>
      <c r="BU355" s="297"/>
      <c r="BV355" s="297"/>
      <c r="BW355" s="297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7"/>
      <c r="BU356" s="297"/>
      <c r="BV356" s="297"/>
      <c r="BW356" s="297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7"/>
      <c r="BU357" s="297"/>
      <c r="BV357" s="297"/>
      <c r="BW357" s="297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7"/>
      <c r="BU358" s="297"/>
      <c r="BV358" s="297"/>
      <c r="BW358" s="297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7"/>
      <c r="BU359" s="297"/>
      <c r="BV359" s="297"/>
      <c r="BW359" s="297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7"/>
      <c r="BU360" s="297"/>
      <c r="BV360" s="297"/>
      <c r="BW360" s="297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7"/>
      <c r="BU361" s="297"/>
      <c r="BV361" s="297"/>
      <c r="BW361" s="297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7"/>
      <c r="BU362" s="297"/>
      <c r="BV362" s="297"/>
      <c r="BW362" s="297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7"/>
      <c r="BU363" s="297"/>
      <c r="BV363" s="297"/>
      <c r="BW363" s="297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7"/>
      <c r="BU364" s="297"/>
      <c r="BV364" s="297"/>
      <c r="BW364" s="297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7"/>
      <c r="BU365" s="297"/>
      <c r="BV365" s="297"/>
      <c r="BW365" s="297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7"/>
      <c r="BU366" s="297"/>
      <c r="BV366" s="297"/>
      <c r="BW366" s="297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7"/>
      <c r="BU367" s="297"/>
      <c r="BV367" s="297"/>
      <c r="BW367" s="297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7"/>
      <c r="BU368" s="297"/>
      <c r="BV368" s="297"/>
      <c r="BW368" s="297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7"/>
      <c r="BU369" s="297"/>
      <c r="BV369" s="297"/>
      <c r="BW369" s="297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7"/>
      <c r="BU370" s="297"/>
      <c r="BV370" s="297"/>
      <c r="BW370" s="297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7"/>
      <c r="BU371" s="297"/>
      <c r="BV371" s="297"/>
      <c r="BW371" s="297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7"/>
      <c r="BU372" s="297"/>
      <c r="BV372" s="297"/>
      <c r="BW372" s="297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7"/>
      <c r="BU373" s="297"/>
      <c r="BV373" s="297"/>
      <c r="BW373" s="297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7"/>
      <c r="BU374" s="297"/>
      <c r="BV374" s="297"/>
      <c r="BW374" s="297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7"/>
      <c r="BU375" s="297"/>
      <c r="BV375" s="297"/>
      <c r="BW375" s="297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7"/>
      <c r="BU376" s="297"/>
      <c r="BV376" s="297"/>
      <c r="BW376" s="297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7"/>
      <c r="BU377" s="297"/>
      <c r="BV377" s="297"/>
      <c r="BW377" s="297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7"/>
      <c r="BU378" s="297"/>
      <c r="BV378" s="297"/>
      <c r="BW378" s="297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7"/>
      <c r="BU379" s="297"/>
      <c r="BV379" s="297"/>
      <c r="BW379" s="297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7"/>
      <c r="BU380" s="297"/>
      <c r="BV380" s="297"/>
      <c r="BW380" s="297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7"/>
      <c r="BU381" s="297"/>
      <c r="BV381" s="297"/>
      <c r="BW381" s="297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7"/>
      <c r="BU382" s="297"/>
      <c r="BV382" s="297"/>
      <c r="BW382" s="297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7"/>
      <c r="BU383" s="297"/>
      <c r="BV383" s="297"/>
      <c r="BW383" s="297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7"/>
      <c r="BU384" s="297"/>
      <c r="BV384" s="297"/>
      <c r="BW384" s="297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7"/>
      <c r="BU385" s="297"/>
      <c r="BV385" s="297"/>
      <c r="BW385" s="297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7"/>
      <c r="BU386" s="297"/>
      <c r="BV386" s="297"/>
      <c r="BW386" s="297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7"/>
      <c r="BU387" s="297"/>
      <c r="BV387" s="297"/>
      <c r="BW387" s="297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7"/>
      <c r="BU388" s="297"/>
      <c r="BV388" s="297"/>
      <c r="BW388" s="297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7"/>
      <c r="BU389" s="297"/>
      <c r="BV389" s="297"/>
      <c r="BW389" s="297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7"/>
      <c r="BU390" s="297"/>
      <c r="BV390" s="297"/>
      <c r="BW390" s="297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7"/>
      <c r="BU391" s="297"/>
      <c r="BV391" s="297"/>
      <c r="BW391" s="297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7"/>
      <c r="BU392" s="297"/>
      <c r="BV392" s="297"/>
      <c r="BW392" s="297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7"/>
      <c r="BU393" s="297"/>
      <c r="BV393" s="297"/>
      <c r="BW393" s="297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7"/>
      <c r="BU394" s="297"/>
      <c r="BV394" s="297"/>
      <c r="BW394" s="297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7"/>
      <c r="BU395" s="297"/>
      <c r="BV395" s="297"/>
      <c r="BW395" s="297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7"/>
      <c r="BU396" s="297"/>
      <c r="BV396" s="297"/>
      <c r="BW396" s="297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7"/>
      <c r="BU397" s="297"/>
      <c r="BV397" s="297"/>
      <c r="BW397" s="297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7"/>
      <c r="BU398" s="297"/>
      <c r="BV398" s="297"/>
      <c r="BW398" s="297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7"/>
      <c r="BU399" s="297"/>
      <c r="BV399" s="297"/>
      <c r="BW399" s="297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7"/>
      <c r="BU400" s="297"/>
      <c r="BV400" s="297"/>
      <c r="BW400" s="297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7"/>
      <c r="BU401" s="297"/>
      <c r="BV401" s="297"/>
      <c r="BW401" s="297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7"/>
      <c r="BU402" s="297"/>
      <c r="BV402" s="297"/>
      <c r="BW402" s="297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7"/>
      <c r="BU403" s="297"/>
      <c r="BV403" s="297"/>
      <c r="BW403" s="297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7"/>
      <c r="BU404" s="297"/>
      <c r="BV404" s="297"/>
      <c r="BW404" s="297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7"/>
      <c r="BU405" s="297"/>
      <c r="BV405" s="297"/>
      <c r="BW405" s="297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7"/>
      <c r="BU406" s="297"/>
      <c r="BV406" s="297"/>
      <c r="BW406" s="297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7"/>
      <c r="BU407" s="297"/>
      <c r="BV407" s="297"/>
      <c r="BW407" s="297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7"/>
      <c r="BU408" s="297"/>
      <c r="BV408" s="297"/>
      <c r="BW408" s="297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7"/>
      <c r="BU409" s="297"/>
      <c r="BV409" s="297"/>
      <c r="BW409" s="297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7"/>
      <c r="BU410" s="297"/>
      <c r="BV410" s="297"/>
      <c r="BW410" s="297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7"/>
      <c r="BU411" s="297"/>
      <c r="BV411" s="297"/>
      <c r="BW411" s="297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7"/>
      <c r="BU412" s="297"/>
      <c r="BV412" s="297"/>
      <c r="BW412" s="297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7"/>
      <c r="BU413" s="297"/>
      <c r="BV413" s="297"/>
      <c r="BW413" s="297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7"/>
      <c r="BU414" s="297"/>
      <c r="BV414" s="297"/>
      <c r="BW414" s="297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7"/>
      <c r="BU415" s="297"/>
      <c r="BV415" s="297"/>
      <c r="BW415" s="297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7"/>
      <c r="BU416" s="297"/>
      <c r="BV416" s="297"/>
      <c r="BW416" s="297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7"/>
      <c r="BU417" s="297"/>
      <c r="BV417" s="297"/>
      <c r="BW417" s="297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7"/>
      <c r="BU418" s="297"/>
      <c r="BV418" s="297"/>
      <c r="BW418" s="297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7"/>
      <c r="BU419" s="297"/>
      <c r="BV419" s="297"/>
      <c r="BW419" s="297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7"/>
      <c r="BU420" s="297"/>
      <c r="BV420" s="297"/>
      <c r="BW420" s="297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7"/>
      <c r="BU421" s="297"/>
      <c r="BV421" s="297"/>
      <c r="BW421" s="297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7"/>
      <c r="BU422" s="297"/>
      <c r="BV422" s="297"/>
      <c r="BW422" s="297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7"/>
      <c r="BU423" s="297"/>
      <c r="BV423" s="297"/>
      <c r="BW423" s="297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7"/>
      <c r="BU424" s="297"/>
      <c r="BV424" s="297"/>
      <c r="BW424" s="297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7"/>
      <c r="BU425" s="297"/>
      <c r="BV425" s="297"/>
      <c r="BW425" s="297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7"/>
      <c r="BU426" s="297"/>
      <c r="BV426" s="297"/>
      <c r="BW426" s="297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7"/>
      <c r="BU427" s="297"/>
      <c r="BV427" s="297"/>
      <c r="BW427" s="297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7"/>
      <c r="BU428" s="297"/>
      <c r="BV428" s="297"/>
      <c r="BW428" s="297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7"/>
      <c r="BU429" s="297"/>
      <c r="BV429" s="297"/>
      <c r="BW429" s="297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7"/>
      <c r="BU430" s="297"/>
      <c r="BV430" s="297"/>
      <c r="BW430" s="297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7"/>
      <c r="BU431" s="297"/>
      <c r="BV431" s="297"/>
      <c r="BW431" s="297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7"/>
      <c r="BU432" s="297"/>
      <c r="BV432" s="297"/>
      <c r="BW432" s="297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7"/>
      <c r="BU433" s="297"/>
      <c r="BV433" s="297"/>
      <c r="BW433" s="297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7"/>
      <c r="BU434" s="297"/>
      <c r="BV434" s="297"/>
      <c r="BW434" s="297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7"/>
      <c r="BU435" s="297"/>
      <c r="BV435" s="297"/>
      <c r="BW435" s="297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7"/>
      <c r="BU436" s="297"/>
      <c r="BV436" s="297"/>
      <c r="BW436" s="297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7"/>
      <c r="BU437" s="297"/>
      <c r="BV437" s="297"/>
      <c r="BW437" s="297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CsB3QXbdh3OxOJmYWuDEv+mk/JOqoY5tl+c4LMpefAGMGAP/+5NGHA3b4kJyJpqMN8vQG9S9Nlc3CZ253l9FLw==" saltValue="xkHrQq/mwfDCiPl/cjQM0g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649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7"/>
      <c r="BO7" s="297"/>
      <c r="BP7" s="297"/>
      <c r="BQ7" s="297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635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7"/>
      <c r="BO8" s="297"/>
      <c r="BP8" s="297"/>
      <c r="BQ8" s="297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650</v>
      </c>
      <c r="B9" s="255" t="s">
        <v>639</v>
      </c>
      <c r="C9" s="255" t="s">
        <v>636</v>
      </c>
      <c r="D9" s="233"/>
      <c r="E9" s="234">
        <v>473432.58</v>
      </c>
      <c r="F9" s="235">
        <v>473432.58</v>
      </c>
      <c r="G9" s="256"/>
      <c r="H9" s="257"/>
      <c r="I9" s="237"/>
      <c r="J9" s="238">
        <v>311081.13</v>
      </c>
      <c r="K9" s="249"/>
      <c r="L9" s="240"/>
      <c r="M9" s="8">
        <v>618070.01</v>
      </c>
      <c r="N9" s="241">
        <v>311081.13</v>
      </c>
      <c r="O9" s="72"/>
      <c r="P9" s="100"/>
      <c r="Q9" s="9"/>
      <c r="R9" s="9"/>
      <c r="S9" s="9"/>
      <c r="T9" s="258">
        <v>46174</v>
      </c>
      <c r="U9" s="10"/>
      <c r="V9" s="23"/>
      <c r="W9" s="11"/>
      <c r="X9" s="8">
        <v>311081.13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311081.13</v>
      </c>
      <c r="AJ9" s="9"/>
      <c r="AK9" s="10"/>
      <c r="AL9" s="25"/>
      <c r="AM9" s="25"/>
      <c r="AN9" s="25"/>
      <c r="AO9" s="10"/>
      <c r="AP9" s="12">
        <v>311081.13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311081.13</v>
      </c>
      <c r="BA9" s="15">
        <v>311081.13</v>
      </c>
      <c r="BB9" s="15">
        <v>311081.13</v>
      </c>
      <c r="BC9" s="15">
        <v>311081.13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0</v>
      </c>
      <c r="BJ9" s="242"/>
      <c r="BK9" s="242"/>
      <c r="BL9" s="242"/>
      <c r="BM9" s="242"/>
      <c r="BN9" s="297"/>
      <c r="BO9" s="297"/>
      <c r="BP9" s="297"/>
      <c r="BQ9" s="297"/>
      <c r="BR9" s="245"/>
      <c r="BS9" s="245"/>
      <c r="BT9" s="242"/>
      <c r="BU9" s="242"/>
      <c r="BV9" s="246" t="s">
        <v>634</v>
      </c>
      <c r="BW9" s="242">
        <v>0</v>
      </c>
      <c r="BX9" s="248">
        <v>0</v>
      </c>
      <c r="BY9" s="248">
        <v>0</v>
      </c>
      <c r="BZ9" s="248">
        <v>0</v>
      </c>
      <c r="CA9" s="248">
        <v>0</v>
      </c>
      <c r="CB9" s="243" t="s">
        <v>633</v>
      </c>
      <c r="CC9" s="248">
        <v>311081.13</v>
      </c>
      <c r="CD9" s="248">
        <v>311081.13</v>
      </c>
      <c r="CE9" s="248">
        <v>311081.13</v>
      </c>
      <c r="CF9" s="248">
        <v>0</v>
      </c>
    </row>
    <row r="10" spans="1:95" x14ac:dyDescent="0.25">
      <c r="A10" s="254" t="s">
        <v>651</v>
      </c>
      <c r="B10" s="255" t="s">
        <v>640</v>
      </c>
      <c r="C10" s="255" t="s">
        <v>636</v>
      </c>
      <c r="D10" s="233"/>
      <c r="E10" s="234">
        <v>7076.75</v>
      </c>
      <c r="F10" s="235">
        <v>7076.75</v>
      </c>
      <c r="G10" s="256"/>
      <c r="H10" s="257"/>
      <c r="I10" s="237"/>
      <c r="J10" s="238">
        <v>6040.26</v>
      </c>
      <c r="K10" s="249"/>
      <c r="L10" s="240"/>
      <c r="M10" s="8">
        <v>12642.36</v>
      </c>
      <c r="N10" s="241">
        <v>6040.26</v>
      </c>
      <c r="O10" s="72"/>
      <c r="P10" s="100"/>
      <c r="Q10" s="9"/>
      <c r="R10" s="9"/>
      <c r="S10" s="9"/>
      <c r="T10" s="258">
        <v>46174</v>
      </c>
      <c r="U10" s="10"/>
      <c r="V10" s="23"/>
      <c r="W10" s="11"/>
      <c r="X10" s="8">
        <v>6040.26</v>
      </c>
      <c r="Y10" s="9"/>
      <c r="Z10" s="9"/>
      <c r="AA10" s="9"/>
      <c r="AB10" s="10"/>
      <c r="AC10" s="24">
        <v>0</v>
      </c>
      <c r="AD10" s="11">
        <v>0</v>
      </c>
      <c r="AE10" s="8">
        <v>0</v>
      </c>
      <c r="AF10" s="9"/>
      <c r="AG10" s="10"/>
      <c r="AH10" s="11"/>
      <c r="AI10" s="8">
        <v>6040.26</v>
      </c>
      <c r="AJ10" s="9"/>
      <c r="AK10" s="10"/>
      <c r="AL10" s="25"/>
      <c r="AM10" s="25"/>
      <c r="AN10" s="25"/>
      <c r="AO10" s="10"/>
      <c r="AP10" s="12">
        <v>6040.26</v>
      </c>
      <c r="AQ10" s="12"/>
      <c r="AR10" s="12"/>
      <c r="AS10" s="242"/>
      <c r="AT10" s="243"/>
      <c r="AU10" s="242"/>
      <c r="AV10" s="242"/>
      <c r="AW10" s="244"/>
      <c r="AX10" s="243" t="s">
        <v>630</v>
      </c>
      <c r="AY10" s="243" t="s">
        <v>630</v>
      </c>
      <c r="AZ10" s="15">
        <v>6040.26</v>
      </c>
      <c r="BA10" s="15">
        <v>6040.26</v>
      </c>
      <c r="BB10" s="15">
        <v>6040.26</v>
      </c>
      <c r="BC10" s="15">
        <v>6040.26</v>
      </c>
      <c r="BD10" s="242">
        <v>0</v>
      </c>
      <c r="BE10" s="242">
        <v>0</v>
      </c>
      <c r="BF10" s="242"/>
      <c r="BG10" s="242">
        <v>1</v>
      </c>
      <c r="BH10" s="242">
        <v>0</v>
      </c>
      <c r="BI10" s="242">
        <v>0</v>
      </c>
      <c r="BJ10" s="242"/>
      <c r="BK10" s="242"/>
      <c r="BL10" s="242"/>
      <c r="BM10" s="242"/>
      <c r="BN10" s="297"/>
      <c r="BO10" s="297"/>
      <c r="BP10" s="297"/>
      <c r="BQ10" s="297"/>
      <c r="BR10" s="245"/>
      <c r="BS10" s="245"/>
      <c r="BT10" s="242"/>
      <c r="BU10" s="242"/>
      <c r="BV10" s="246" t="s">
        <v>634</v>
      </c>
      <c r="BW10" s="242">
        <v>0</v>
      </c>
      <c r="BX10" s="248">
        <v>0</v>
      </c>
      <c r="BY10" s="248">
        <v>0</v>
      </c>
      <c r="BZ10" s="248">
        <v>0</v>
      </c>
      <c r="CA10" s="248">
        <v>0</v>
      </c>
      <c r="CB10" s="243" t="s">
        <v>633</v>
      </c>
      <c r="CC10" s="248">
        <v>6040.26</v>
      </c>
      <c r="CD10" s="248">
        <v>6040.26</v>
      </c>
      <c r="CE10" s="248">
        <v>6040.26</v>
      </c>
      <c r="CF10" s="248">
        <v>0</v>
      </c>
    </row>
    <row r="11" spans="1:95" x14ac:dyDescent="0.25">
      <c r="A11" s="254" t="s">
        <v>652</v>
      </c>
      <c r="B11" s="255" t="s">
        <v>642</v>
      </c>
      <c r="C11" s="255" t="s">
        <v>636</v>
      </c>
      <c r="D11" s="233"/>
      <c r="E11" s="234">
        <v>0</v>
      </c>
      <c r="F11" s="235">
        <v>0</v>
      </c>
      <c r="G11" s="256"/>
      <c r="H11" s="257"/>
      <c r="I11" s="237"/>
      <c r="J11" s="238">
        <v>49013</v>
      </c>
      <c r="K11" s="249"/>
      <c r="L11" s="240"/>
      <c r="M11" s="8">
        <v>28769.35</v>
      </c>
      <c r="N11" s="241">
        <v>28801</v>
      </c>
      <c r="O11" s="72"/>
      <c r="P11" s="100"/>
      <c r="Q11" s="9"/>
      <c r="R11" s="9"/>
      <c r="S11" s="9"/>
      <c r="T11" s="258">
        <v>46082</v>
      </c>
      <c r="U11" s="10"/>
      <c r="V11" s="23"/>
      <c r="W11" s="11"/>
      <c r="X11" s="8">
        <v>21013.22</v>
      </c>
      <c r="Y11" s="9"/>
      <c r="Z11" s="9"/>
      <c r="AA11" s="9"/>
      <c r="AB11" s="10"/>
      <c r="AC11" s="24">
        <v>0</v>
      </c>
      <c r="AD11" s="11">
        <v>0</v>
      </c>
      <c r="AE11" s="8">
        <v>0</v>
      </c>
      <c r="AF11" s="9"/>
      <c r="AG11" s="10"/>
      <c r="AH11" s="11"/>
      <c r="AI11" s="8">
        <v>21013.22</v>
      </c>
      <c r="AJ11" s="9"/>
      <c r="AK11" s="10"/>
      <c r="AL11" s="25"/>
      <c r="AM11" s="25"/>
      <c r="AN11" s="25"/>
      <c r="AO11" s="10"/>
      <c r="AP11" s="12">
        <v>41336</v>
      </c>
      <c r="AQ11" s="12"/>
      <c r="AR11" s="12"/>
      <c r="AS11" s="242"/>
      <c r="AT11" s="243"/>
      <c r="AU11" s="242"/>
      <c r="AV11" s="242"/>
      <c r="AW11" s="244"/>
      <c r="AX11" s="243" t="s">
        <v>630</v>
      </c>
      <c r="AY11" s="243" t="s">
        <v>630</v>
      </c>
      <c r="AZ11" s="15">
        <v>49013</v>
      </c>
      <c r="BA11" s="15">
        <v>28801</v>
      </c>
      <c r="BB11" s="15">
        <v>49013</v>
      </c>
      <c r="BC11" s="15">
        <v>28801</v>
      </c>
      <c r="BD11" s="242">
        <v>0</v>
      </c>
      <c r="BE11" s="250">
        <v>0</v>
      </c>
      <c r="BF11" s="242"/>
      <c r="BG11" s="242">
        <v>1</v>
      </c>
      <c r="BH11" s="242">
        <v>0</v>
      </c>
      <c r="BI11" s="242">
        <v>0</v>
      </c>
      <c r="BJ11" s="242"/>
      <c r="BK11" s="242"/>
      <c r="BL11" s="242"/>
      <c r="BM11" s="242"/>
      <c r="BN11" s="297"/>
      <c r="BO11" s="297"/>
      <c r="BP11" s="297"/>
      <c r="BQ11" s="297"/>
      <c r="BR11" s="245"/>
      <c r="BS11" s="245"/>
      <c r="BT11" s="242"/>
      <c r="BU11" s="242"/>
      <c r="BV11" s="246" t="s">
        <v>634</v>
      </c>
      <c r="BW11" s="242">
        <v>0</v>
      </c>
      <c r="BX11" s="242">
        <v>0</v>
      </c>
      <c r="BY11" s="242">
        <v>0</v>
      </c>
      <c r="BZ11" s="242">
        <v>0</v>
      </c>
      <c r="CA11" s="242">
        <v>0</v>
      </c>
      <c r="CB11" s="243" t="s">
        <v>633</v>
      </c>
      <c r="CC11" s="248">
        <v>21013.22</v>
      </c>
      <c r="CD11" s="248">
        <v>21013.22</v>
      </c>
      <c r="CE11" s="248">
        <v>41336</v>
      </c>
      <c r="CF11" s="248">
        <v>0</v>
      </c>
    </row>
    <row r="12" spans="1:95" x14ac:dyDescent="0.25">
      <c r="A12" s="254" t="s">
        <v>653</v>
      </c>
      <c r="B12" s="255" t="s">
        <v>643</v>
      </c>
      <c r="C12" s="255" t="s">
        <v>636</v>
      </c>
      <c r="D12" s="233"/>
      <c r="E12" s="234">
        <v>326800</v>
      </c>
      <c r="F12" s="235">
        <v>326800</v>
      </c>
      <c r="G12" s="256"/>
      <c r="H12" s="257"/>
      <c r="I12" s="237"/>
      <c r="J12" s="238">
        <v>253000</v>
      </c>
      <c r="K12" s="249"/>
      <c r="L12" s="240"/>
      <c r="M12" s="8">
        <v>133257.23000000001</v>
      </c>
      <c r="N12" s="241">
        <v>122734.75</v>
      </c>
      <c r="O12" s="71"/>
      <c r="P12" s="100"/>
      <c r="Q12" s="9"/>
      <c r="R12" s="9"/>
      <c r="S12" s="9"/>
      <c r="T12" s="258">
        <v>46266</v>
      </c>
      <c r="U12" s="10"/>
      <c r="V12" s="23"/>
      <c r="W12" s="11"/>
      <c r="X12" s="8">
        <v>50374.19</v>
      </c>
      <c r="Y12" s="9"/>
      <c r="Z12" s="9"/>
      <c r="AA12" s="9"/>
      <c r="AB12" s="10"/>
      <c r="AC12" s="24">
        <v>0</v>
      </c>
      <c r="AD12" s="11">
        <v>0</v>
      </c>
      <c r="AE12" s="8">
        <v>0</v>
      </c>
      <c r="AF12" s="9"/>
      <c r="AG12" s="10"/>
      <c r="AH12" s="11"/>
      <c r="AI12" s="8">
        <v>50374.19</v>
      </c>
      <c r="AJ12" s="9"/>
      <c r="AK12" s="10"/>
      <c r="AL12" s="25"/>
      <c r="AM12" s="25"/>
      <c r="AN12" s="25"/>
      <c r="AO12" s="10"/>
      <c r="AP12" s="12">
        <v>111200</v>
      </c>
      <c r="AQ12" s="12"/>
      <c r="AR12" s="12"/>
      <c r="AS12" s="242"/>
      <c r="AT12" s="243"/>
      <c r="AU12" s="242"/>
      <c r="AV12" s="242"/>
      <c r="AW12" s="244"/>
      <c r="AX12" s="243" t="s">
        <v>630</v>
      </c>
      <c r="AY12" s="243" t="s">
        <v>630</v>
      </c>
      <c r="AZ12" s="15">
        <v>253000</v>
      </c>
      <c r="BA12" s="15">
        <v>122734.75</v>
      </c>
      <c r="BB12" s="15">
        <v>253000</v>
      </c>
      <c r="BC12" s="15">
        <v>122734.75</v>
      </c>
      <c r="BD12" s="242">
        <v>0</v>
      </c>
      <c r="BE12" s="242">
        <v>0</v>
      </c>
      <c r="BF12" s="242"/>
      <c r="BG12" s="242">
        <v>1</v>
      </c>
      <c r="BH12" s="242">
        <v>0</v>
      </c>
      <c r="BI12" s="242">
        <v>0</v>
      </c>
      <c r="BJ12" s="242"/>
      <c r="BK12" s="242"/>
      <c r="BL12" s="242"/>
      <c r="BM12" s="242"/>
      <c r="BN12" s="297"/>
      <c r="BO12" s="297"/>
      <c r="BP12" s="297"/>
      <c r="BQ12" s="297"/>
      <c r="BR12" s="245"/>
      <c r="BS12" s="245"/>
      <c r="BT12" s="242"/>
      <c r="BU12" s="242"/>
      <c r="BV12" s="246" t="s">
        <v>634</v>
      </c>
      <c r="BW12" s="242">
        <v>0</v>
      </c>
      <c r="BX12" s="242">
        <v>0</v>
      </c>
      <c r="BY12" s="242">
        <v>0</v>
      </c>
      <c r="BZ12" s="242">
        <v>0</v>
      </c>
      <c r="CA12" s="242">
        <v>0</v>
      </c>
      <c r="CB12" s="243" t="s">
        <v>633</v>
      </c>
      <c r="CC12" s="248">
        <v>50374.19</v>
      </c>
      <c r="CD12" s="248">
        <v>50374.19</v>
      </c>
      <c r="CE12" s="248">
        <v>111200</v>
      </c>
      <c r="CF12" s="248">
        <v>0</v>
      </c>
    </row>
    <row r="13" spans="1:95" x14ac:dyDescent="0.25">
      <c r="A13" s="254" t="s">
        <v>654</v>
      </c>
      <c r="B13" s="255" t="s">
        <v>655</v>
      </c>
      <c r="C13" s="255" t="s">
        <v>636</v>
      </c>
      <c r="D13" s="233"/>
      <c r="E13" s="234">
        <v>176326.65</v>
      </c>
      <c r="F13" s="235">
        <v>176326.65</v>
      </c>
      <c r="G13" s="256"/>
      <c r="H13" s="257"/>
      <c r="I13" s="237"/>
      <c r="J13" s="238">
        <v>154241.65</v>
      </c>
      <c r="K13" s="249"/>
      <c r="L13" s="240"/>
      <c r="M13" s="8">
        <v>115035.47</v>
      </c>
      <c r="N13" s="241">
        <v>116541.85</v>
      </c>
      <c r="O13" s="71"/>
      <c r="P13" s="100"/>
      <c r="Q13" s="9"/>
      <c r="R13" s="9"/>
      <c r="S13" s="9"/>
      <c r="T13" s="258"/>
      <c r="U13" s="10"/>
      <c r="V13" s="23"/>
      <c r="W13" s="11"/>
      <c r="X13" s="8">
        <v>116541.85</v>
      </c>
      <c r="Y13" s="9"/>
      <c r="Z13" s="9"/>
      <c r="AA13" s="9"/>
      <c r="AB13" s="10"/>
      <c r="AC13" s="24">
        <v>0</v>
      </c>
      <c r="AD13" s="11">
        <v>0</v>
      </c>
      <c r="AE13" s="8">
        <v>0</v>
      </c>
      <c r="AF13" s="9"/>
      <c r="AG13" s="10"/>
      <c r="AH13" s="11"/>
      <c r="AI13" s="8">
        <v>116541.85</v>
      </c>
      <c r="AJ13" s="9"/>
      <c r="AK13" s="10"/>
      <c r="AL13" s="25"/>
      <c r="AM13" s="25"/>
      <c r="AN13" s="25"/>
      <c r="AO13" s="10"/>
      <c r="AP13" s="12">
        <v>83647.649999999994</v>
      </c>
      <c r="AQ13" s="12"/>
      <c r="AR13" s="12"/>
      <c r="AS13" s="242"/>
      <c r="AT13" s="243"/>
      <c r="AU13" s="242"/>
      <c r="AV13" s="242"/>
      <c r="AW13" s="244"/>
      <c r="AX13" s="243" t="s">
        <v>630</v>
      </c>
      <c r="AY13" s="243" t="s">
        <v>630</v>
      </c>
      <c r="AZ13" s="15">
        <v>154241.65</v>
      </c>
      <c r="BA13" s="15">
        <v>116541.85</v>
      </c>
      <c r="BB13" s="15">
        <v>154241.65</v>
      </c>
      <c r="BC13" s="15">
        <v>116541.85</v>
      </c>
      <c r="BD13" s="242">
        <v>0</v>
      </c>
      <c r="BE13" s="242">
        <v>0</v>
      </c>
      <c r="BF13" s="242"/>
      <c r="BG13" s="242">
        <v>1</v>
      </c>
      <c r="BH13" s="242">
        <v>0</v>
      </c>
      <c r="BI13" s="242">
        <v>0</v>
      </c>
      <c r="BJ13" s="242"/>
      <c r="BK13" s="242"/>
      <c r="BL13" s="242"/>
      <c r="BM13" s="242"/>
      <c r="BN13" s="297"/>
      <c r="BO13" s="297"/>
      <c r="BP13" s="297"/>
      <c r="BQ13" s="297"/>
      <c r="BR13" s="245"/>
      <c r="BS13" s="245"/>
      <c r="BT13" s="242"/>
      <c r="BU13" s="242"/>
      <c r="BV13" s="246" t="s">
        <v>634</v>
      </c>
      <c r="BW13" s="242">
        <v>0</v>
      </c>
      <c r="BX13" s="242">
        <v>0</v>
      </c>
      <c r="BY13" s="242">
        <v>0</v>
      </c>
      <c r="BZ13" s="242">
        <v>0</v>
      </c>
      <c r="CA13" s="242">
        <v>0</v>
      </c>
      <c r="CB13" s="243" t="s">
        <v>633</v>
      </c>
      <c r="CC13" s="248">
        <v>116541.85</v>
      </c>
      <c r="CD13" s="248">
        <v>116541.85</v>
      </c>
      <c r="CE13" s="248">
        <v>83647.649999999994</v>
      </c>
      <c r="CF13" s="248">
        <v>0</v>
      </c>
    </row>
    <row r="14" spans="1:95" x14ac:dyDescent="0.25">
      <c r="A14" s="254" t="s">
        <v>656</v>
      </c>
      <c r="B14" s="255" t="s">
        <v>657</v>
      </c>
      <c r="C14" s="255" t="s">
        <v>636</v>
      </c>
      <c r="D14" s="233"/>
      <c r="E14" s="234">
        <v>40941.9</v>
      </c>
      <c r="F14" s="235">
        <v>40941.9</v>
      </c>
      <c r="G14" s="256"/>
      <c r="H14" s="257"/>
      <c r="I14" s="237"/>
      <c r="J14" s="238">
        <v>18922.78</v>
      </c>
      <c r="K14" s="249"/>
      <c r="L14" s="240"/>
      <c r="M14" s="8">
        <v>17884.900000000001</v>
      </c>
      <c r="N14" s="241">
        <v>18922.78</v>
      </c>
      <c r="O14" s="72"/>
      <c r="P14" s="100"/>
      <c r="Q14" s="9"/>
      <c r="R14" s="9"/>
      <c r="S14" s="9"/>
      <c r="T14" s="258"/>
      <c r="U14" s="10"/>
      <c r="V14" s="23"/>
      <c r="W14" s="11"/>
      <c r="X14" s="8">
        <v>18922.78</v>
      </c>
      <c r="Y14" s="9"/>
      <c r="Z14" s="9"/>
      <c r="AA14" s="9"/>
      <c r="AB14" s="10"/>
      <c r="AC14" s="24">
        <v>0</v>
      </c>
      <c r="AD14" s="11">
        <v>0</v>
      </c>
      <c r="AE14" s="8">
        <v>0</v>
      </c>
      <c r="AF14" s="9"/>
      <c r="AG14" s="10"/>
      <c r="AH14" s="11"/>
      <c r="AI14" s="8">
        <v>18922.78</v>
      </c>
      <c r="AJ14" s="9"/>
      <c r="AK14" s="10"/>
      <c r="AL14" s="25"/>
      <c r="AM14" s="25"/>
      <c r="AN14" s="25"/>
      <c r="AO14" s="10"/>
      <c r="AP14" s="12">
        <v>16055.9</v>
      </c>
      <c r="AQ14" s="12"/>
      <c r="AR14" s="12"/>
      <c r="AS14" s="242"/>
      <c r="AT14" s="243"/>
      <c r="AU14" s="242"/>
      <c r="AV14" s="242"/>
      <c r="AW14" s="244"/>
      <c r="AX14" s="243" t="s">
        <v>630</v>
      </c>
      <c r="AY14" s="243" t="s">
        <v>630</v>
      </c>
      <c r="AZ14" s="15">
        <v>18922.78</v>
      </c>
      <c r="BA14" s="15">
        <v>18922.78</v>
      </c>
      <c r="BB14" s="15">
        <v>18922.78</v>
      </c>
      <c r="BC14" s="15">
        <v>18922.78</v>
      </c>
      <c r="BD14" s="242">
        <v>0</v>
      </c>
      <c r="BE14" s="242">
        <v>0</v>
      </c>
      <c r="BF14" s="242"/>
      <c r="BG14" s="242">
        <v>1</v>
      </c>
      <c r="BH14" s="242">
        <v>0</v>
      </c>
      <c r="BI14" s="242">
        <v>0</v>
      </c>
      <c r="BJ14" s="242"/>
      <c r="BK14" s="242"/>
      <c r="BL14" s="242"/>
      <c r="BM14" s="242"/>
      <c r="BN14" s="297"/>
      <c r="BO14" s="297"/>
      <c r="BP14" s="297"/>
      <c r="BQ14" s="297"/>
      <c r="BR14" s="245"/>
      <c r="BS14" s="245"/>
      <c r="BT14" s="242"/>
      <c r="BU14" s="242"/>
      <c r="BV14" s="246" t="s">
        <v>634</v>
      </c>
      <c r="BW14" s="242">
        <v>0</v>
      </c>
      <c r="BX14" s="242">
        <v>0</v>
      </c>
      <c r="BY14" s="242">
        <v>0</v>
      </c>
      <c r="BZ14" s="242">
        <v>0</v>
      </c>
      <c r="CA14" s="242">
        <v>0</v>
      </c>
      <c r="CB14" s="243" t="s">
        <v>633</v>
      </c>
      <c r="CC14" s="248">
        <v>18922.78</v>
      </c>
      <c r="CD14" s="248">
        <v>18922.78</v>
      </c>
      <c r="CE14" s="248">
        <v>16055.9</v>
      </c>
      <c r="CF14" s="248">
        <v>0</v>
      </c>
    </row>
    <row r="15" spans="1:95" x14ac:dyDescent="0.25">
      <c r="A15" s="254" t="s">
        <v>658</v>
      </c>
      <c r="B15" s="255" t="s">
        <v>659</v>
      </c>
      <c r="C15" s="255" t="s">
        <v>636</v>
      </c>
      <c r="D15" s="233"/>
      <c r="E15" s="234">
        <v>0</v>
      </c>
      <c r="F15" s="235">
        <v>0</v>
      </c>
      <c r="G15" s="256"/>
      <c r="H15" s="257"/>
      <c r="I15" s="237"/>
      <c r="J15" s="238">
        <v>9577.5</v>
      </c>
      <c r="K15" s="249"/>
      <c r="L15" s="240"/>
      <c r="M15" s="8">
        <v>4449.38</v>
      </c>
      <c r="N15" s="241">
        <v>4449.38</v>
      </c>
      <c r="O15" s="72"/>
      <c r="P15" s="100"/>
      <c r="Q15" s="9"/>
      <c r="R15" s="9"/>
      <c r="S15" s="9"/>
      <c r="T15" s="258"/>
      <c r="U15" s="10"/>
      <c r="V15" s="23"/>
      <c r="W15" s="11"/>
      <c r="X15" s="8">
        <v>4449.38</v>
      </c>
      <c r="Y15" s="9"/>
      <c r="Z15" s="9"/>
      <c r="AA15" s="9"/>
      <c r="AB15" s="10"/>
      <c r="AC15" s="24">
        <v>0</v>
      </c>
      <c r="AD15" s="11">
        <v>0</v>
      </c>
      <c r="AE15" s="8">
        <v>0</v>
      </c>
      <c r="AF15" s="9"/>
      <c r="AG15" s="10"/>
      <c r="AH15" s="11"/>
      <c r="AI15" s="8">
        <v>4449.38</v>
      </c>
      <c r="AJ15" s="9"/>
      <c r="AK15" s="10"/>
      <c r="AL15" s="25"/>
      <c r="AM15" s="25"/>
      <c r="AN15" s="25"/>
      <c r="AO15" s="10"/>
      <c r="AP15" s="12">
        <v>9577.5</v>
      </c>
      <c r="AQ15" s="12"/>
      <c r="AR15" s="12"/>
      <c r="AS15" s="242"/>
      <c r="AT15" s="243"/>
      <c r="AU15" s="242"/>
      <c r="AV15" s="242"/>
      <c r="AW15" s="244"/>
      <c r="AX15" s="243" t="s">
        <v>630</v>
      </c>
      <c r="AY15" s="243" t="s">
        <v>630</v>
      </c>
      <c r="AZ15" s="15">
        <v>9577.5</v>
      </c>
      <c r="BA15" s="15">
        <v>4449.38</v>
      </c>
      <c r="BB15" s="15">
        <v>9577.5</v>
      </c>
      <c r="BC15" s="15">
        <v>4449.38</v>
      </c>
      <c r="BD15" s="242">
        <v>0</v>
      </c>
      <c r="BE15" s="242">
        <v>0</v>
      </c>
      <c r="BF15" s="242"/>
      <c r="BG15" s="242">
        <v>1</v>
      </c>
      <c r="BH15" s="242">
        <v>0</v>
      </c>
      <c r="BI15" s="242">
        <v>0</v>
      </c>
      <c r="BJ15" s="242"/>
      <c r="BK15" s="242"/>
      <c r="BL15" s="242"/>
      <c r="BM15" s="242"/>
      <c r="BN15" s="297"/>
      <c r="BO15" s="297"/>
      <c r="BP15" s="297"/>
      <c r="BQ15" s="297"/>
      <c r="BR15" s="245"/>
      <c r="BS15" s="245"/>
      <c r="BT15" s="242"/>
      <c r="BU15" s="242"/>
      <c r="BV15" s="246" t="s">
        <v>634</v>
      </c>
      <c r="BW15" s="242">
        <v>0</v>
      </c>
      <c r="BX15" s="242">
        <v>0</v>
      </c>
      <c r="BY15" s="242">
        <v>0</v>
      </c>
      <c r="BZ15" s="242">
        <v>0</v>
      </c>
      <c r="CA15" s="242">
        <v>0</v>
      </c>
      <c r="CB15" s="243" t="s">
        <v>633</v>
      </c>
      <c r="CC15" s="248">
        <v>4449.38</v>
      </c>
      <c r="CD15" s="248">
        <v>4449.38</v>
      </c>
      <c r="CE15" s="248">
        <v>9577.5</v>
      </c>
      <c r="CF15" s="248">
        <v>0</v>
      </c>
    </row>
    <row r="16" spans="1:95" x14ac:dyDescent="0.25">
      <c r="A16" s="254" t="s">
        <v>660</v>
      </c>
      <c r="B16" s="255" t="s">
        <v>661</v>
      </c>
      <c r="C16" s="255" t="s">
        <v>636</v>
      </c>
      <c r="D16" s="233"/>
      <c r="E16" s="234">
        <v>129600</v>
      </c>
      <c r="F16" s="235">
        <v>129600</v>
      </c>
      <c r="G16" s="256"/>
      <c r="H16" s="257"/>
      <c r="I16" s="237"/>
      <c r="J16" s="238">
        <v>6600.2</v>
      </c>
      <c r="K16" s="249"/>
      <c r="L16" s="240"/>
      <c r="M16" s="8">
        <v>93851.63</v>
      </c>
      <c r="N16" s="241">
        <v>6600.2</v>
      </c>
      <c r="O16" s="72"/>
      <c r="P16" s="100"/>
      <c r="Q16" s="9"/>
      <c r="R16" s="9"/>
      <c r="S16" s="9"/>
      <c r="T16" s="258">
        <v>46266</v>
      </c>
      <c r="U16" s="10"/>
      <c r="V16" s="23"/>
      <c r="W16" s="11"/>
      <c r="X16" s="8">
        <v>6600.2</v>
      </c>
      <c r="Y16" s="9"/>
      <c r="Z16" s="9"/>
      <c r="AA16" s="9"/>
      <c r="AB16" s="10"/>
      <c r="AC16" s="24">
        <v>0</v>
      </c>
      <c r="AD16" s="11">
        <v>0</v>
      </c>
      <c r="AE16" s="8">
        <v>0</v>
      </c>
      <c r="AF16" s="9"/>
      <c r="AG16" s="10"/>
      <c r="AH16" s="11"/>
      <c r="AI16" s="8">
        <v>6600.2</v>
      </c>
      <c r="AJ16" s="9"/>
      <c r="AK16" s="10"/>
      <c r="AL16" s="25"/>
      <c r="AM16" s="25"/>
      <c r="AN16" s="25"/>
      <c r="AO16" s="10"/>
      <c r="AP16" s="12">
        <v>0</v>
      </c>
      <c r="AQ16" s="12"/>
      <c r="AR16" s="12"/>
      <c r="AS16" s="242"/>
      <c r="AT16" s="243"/>
      <c r="AU16" s="242"/>
      <c r="AV16" s="242"/>
      <c r="AW16" s="244"/>
      <c r="AX16" s="243" t="s">
        <v>630</v>
      </c>
      <c r="AY16" s="243" t="s">
        <v>630</v>
      </c>
      <c r="AZ16" s="15">
        <v>129600</v>
      </c>
      <c r="BA16" s="15">
        <v>93772</v>
      </c>
      <c r="BB16" s="15">
        <v>6600.2</v>
      </c>
      <c r="BC16" s="15">
        <v>6600.2</v>
      </c>
      <c r="BD16" s="242">
        <v>0</v>
      </c>
      <c r="BE16" s="242">
        <v>0</v>
      </c>
      <c r="BF16" s="242"/>
      <c r="BG16" s="242">
        <v>1</v>
      </c>
      <c r="BH16" s="242">
        <v>0</v>
      </c>
      <c r="BI16" s="242">
        <v>0</v>
      </c>
      <c r="BJ16" s="242"/>
      <c r="BK16" s="242"/>
      <c r="BL16" s="242"/>
      <c r="BM16" s="242"/>
      <c r="BN16" s="297"/>
      <c r="BO16" s="297"/>
      <c r="BP16" s="297"/>
      <c r="BQ16" s="297"/>
      <c r="BR16" s="245"/>
      <c r="BS16" s="245"/>
      <c r="BT16" s="242"/>
      <c r="BU16" s="242"/>
      <c r="BV16" s="246" t="s">
        <v>634</v>
      </c>
      <c r="BW16" s="242">
        <v>0</v>
      </c>
      <c r="BX16" s="242">
        <v>0</v>
      </c>
      <c r="BY16" s="242">
        <v>0</v>
      </c>
      <c r="BZ16" s="242">
        <v>0</v>
      </c>
      <c r="CA16" s="242">
        <v>0</v>
      </c>
      <c r="CB16" s="243" t="s">
        <v>633</v>
      </c>
      <c r="CC16" s="248">
        <v>6600.2</v>
      </c>
      <c r="CD16" s="248">
        <v>6600.2</v>
      </c>
      <c r="CE16" s="248">
        <v>0</v>
      </c>
      <c r="CF16" s="248">
        <v>0</v>
      </c>
    </row>
    <row r="17" spans="1:84" x14ac:dyDescent="0.25">
      <c r="A17" s="254" t="s">
        <v>662</v>
      </c>
      <c r="B17" s="255" t="s">
        <v>663</v>
      </c>
      <c r="C17" s="255" t="s">
        <v>636</v>
      </c>
      <c r="D17" s="233"/>
      <c r="E17" s="234">
        <v>104600</v>
      </c>
      <c r="F17" s="235">
        <v>104600</v>
      </c>
      <c r="G17" s="256"/>
      <c r="H17" s="257"/>
      <c r="I17" s="237"/>
      <c r="J17" s="238">
        <v>104600</v>
      </c>
      <c r="K17" s="249"/>
      <c r="L17" s="240"/>
      <c r="M17" s="8">
        <v>0</v>
      </c>
      <c r="N17" s="241">
        <v>0</v>
      </c>
      <c r="O17" s="72"/>
      <c r="P17" s="100"/>
      <c r="Q17" s="9"/>
      <c r="R17" s="9"/>
      <c r="S17" s="9"/>
      <c r="T17" s="258"/>
      <c r="U17" s="10"/>
      <c r="V17" s="23"/>
      <c r="W17" s="11"/>
      <c r="X17" s="8">
        <v>0</v>
      </c>
      <c r="Y17" s="9"/>
      <c r="Z17" s="9"/>
      <c r="AA17" s="9"/>
      <c r="AB17" s="10"/>
      <c r="AC17" s="24">
        <v>0</v>
      </c>
      <c r="AD17" s="11">
        <v>0</v>
      </c>
      <c r="AE17" s="8">
        <v>0</v>
      </c>
      <c r="AF17" s="9"/>
      <c r="AG17" s="10"/>
      <c r="AH17" s="11"/>
      <c r="AI17" s="8">
        <v>0</v>
      </c>
      <c r="AJ17" s="9"/>
      <c r="AK17" s="10"/>
      <c r="AL17" s="25"/>
      <c r="AM17" s="25"/>
      <c r="AN17" s="25"/>
      <c r="AO17" s="10"/>
      <c r="AP17" s="12">
        <v>0</v>
      </c>
      <c r="AQ17" s="12"/>
      <c r="AR17" s="12"/>
      <c r="AS17" s="242"/>
      <c r="AT17" s="243"/>
      <c r="AU17" s="242"/>
      <c r="AV17" s="242"/>
      <c r="AW17" s="244"/>
      <c r="AX17" s="243"/>
      <c r="AY17" s="243"/>
      <c r="AZ17" s="242">
        <v>0</v>
      </c>
      <c r="BA17" s="242">
        <v>0</v>
      </c>
      <c r="BB17" s="242">
        <v>0</v>
      </c>
      <c r="BC17" s="242">
        <v>0</v>
      </c>
      <c r="BD17" s="242">
        <v>0</v>
      </c>
      <c r="BE17" s="242">
        <v>0</v>
      </c>
      <c r="BF17" s="242"/>
      <c r="BG17" s="242">
        <v>1</v>
      </c>
      <c r="BH17" s="242">
        <v>0</v>
      </c>
      <c r="BI17" s="242">
        <v>0</v>
      </c>
      <c r="BJ17" s="242"/>
      <c r="BK17" s="242"/>
      <c r="BL17" s="242"/>
      <c r="BM17" s="242"/>
      <c r="BN17" s="297"/>
      <c r="BO17" s="297"/>
      <c r="BP17" s="297"/>
      <c r="BQ17" s="297"/>
      <c r="BR17" s="245"/>
      <c r="BS17" s="245"/>
      <c r="BT17" s="242"/>
      <c r="BU17" s="242"/>
      <c r="BV17" s="246"/>
      <c r="BW17" s="242">
        <v>0</v>
      </c>
      <c r="BX17" s="242">
        <v>0</v>
      </c>
      <c r="BY17" s="242">
        <v>0</v>
      </c>
      <c r="BZ17" s="242">
        <v>0</v>
      </c>
      <c r="CA17" s="242">
        <v>0</v>
      </c>
      <c r="CB17" s="243" t="s">
        <v>633</v>
      </c>
      <c r="CC17" s="248">
        <v>0</v>
      </c>
      <c r="CD17" s="248">
        <v>0</v>
      </c>
      <c r="CE17" s="248">
        <v>0</v>
      </c>
      <c r="CF17" s="248">
        <v>0</v>
      </c>
    </row>
    <row r="18" spans="1:84" x14ac:dyDescent="0.25">
      <c r="A18" s="254" t="s">
        <v>664</v>
      </c>
      <c r="B18" s="255" t="s">
        <v>665</v>
      </c>
      <c r="C18" s="255" t="s">
        <v>636</v>
      </c>
      <c r="D18" s="233"/>
      <c r="E18" s="234">
        <v>121000</v>
      </c>
      <c r="F18" s="235">
        <v>121000</v>
      </c>
      <c r="G18" s="256"/>
      <c r="H18" s="257"/>
      <c r="I18" s="237"/>
      <c r="J18" s="238">
        <v>524.29999999999995</v>
      </c>
      <c r="K18" s="249"/>
      <c r="L18" s="240"/>
      <c r="M18" s="8">
        <v>86889.66</v>
      </c>
      <c r="N18" s="241">
        <v>524.29999999999995</v>
      </c>
      <c r="O18" s="72"/>
      <c r="P18" s="100"/>
      <c r="Q18" s="9"/>
      <c r="R18" s="9"/>
      <c r="S18" s="9"/>
      <c r="T18" s="258">
        <v>46266</v>
      </c>
      <c r="U18" s="10"/>
      <c r="V18" s="23"/>
      <c r="W18" s="11"/>
      <c r="X18" s="8">
        <v>524.29999999999995</v>
      </c>
      <c r="Y18" s="9"/>
      <c r="Z18" s="9"/>
      <c r="AA18" s="9"/>
      <c r="AB18" s="10"/>
      <c r="AC18" s="24">
        <v>0</v>
      </c>
      <c r="AD18" s="11">
        <v>0</v>
      </c>
      <c r="AE18" s="8">
        <v>0</v>
      </c>
      <c r="AF18" s="9"/>
      <c r="AG18" s="10"/>
      <c r="AH18" s="11"/>
      <c r="AI18" s="8">
        <v>524.29999999999995</v>
      </c>
      <c r="AJ18" s="9"/>
      <c r="AK18" s="10"/>
      <c r="AL18" s="25"/>
      <c r="AM18" s="25"/>
      <c r="AN18" s="25"/>
      <c r="AO18" s="10"/>
      <c r="AP18" s="12">
        <v>0</v>
      </c>
      <c r="AQ18" s="12"/>
      <c r="AR18" s="12"/>
      <c r="AS18" s="242"/>
      <c r="AT18" s="243"/>
      <c r="AU18" s="242"/>
      <c r="AV18" s="242"/>
      <c r="AW18" s="244"/>
      <c r="AX18" s="243" t="s">
        <v>630</v>
      </c>
      <c r="AY18" s="243" t="s">
        <v>630</v>
      </c>
      <c r="AZ18" s="15">
        <v>121000</v>
      </c>
      <c r="BA18" s="15">
        <v>86860</v>
      </c>
      <c r="BB18" s="15">
        <v>524.29999999999995</v>
      </c>
      <c r="BC18" s="15">
        <v>524.29999999999995</v>
      </c>
      <c r="BD18" s="242">
        <v>0</v>
      </c>
      <c r="BE18" s="242">
        <v>0</v>
      </c>
      <c r="BF18" s="242"/>
      <c r="BG18" s="242">
        <v>1</v>
      </c>
      <c r="BH18" s="242">
        <v>0</v>
      </c>
      <c r="BI18" s="242">
        <v>0</v>
      </c>
      <c r="BJ18" s="242"/>
      <c r="BK18" s="242"/>
      <c r="BL18" s="242"/>
      <c r="BM18" s="242"/>
      <c r="BN18" s="297"/>
      <c r="BO18" s="297"/>
      <c r="BP18" s="297"/>
      <c r="BQ18" s="297"/>
      <c r="BR18" s="245"/>
      <c r="BS18" s="245"/>
      <c r="BT18" s="242"/>
      <c r="BU18" s="242"/>
      <c r="BV18" s="246" t="s">
        <v>634</v>
      </c>
      <c r="BW18" s="242">
        <v>0</v>
      </c>
      <c r="BX18" s="242">
        <v>0</v>
      </c>
      <c r="BY18" s="242">
        <v>0</v>
      </c>
      <c r="BZ18" s="242">
        <v>0</v>
      </c>
      <c r="CA18" s="242">
        <v>0</v>
      </c>
      <c r="CB18" s="243" t="s">
        <v>633</v>
      </c>
      <c r="CC18" s="248">
        <v>524.29999999999995</v>
      </c>
      <c r="CD18" s="248">
        <v>524.29999999999995</v>
      </c>
      <c r="CE18" s="248">
        <v>0</v>
      </c>
      <c r="CF18" s="248">
        <v>0</v>
      </c>
    </row>
    <row r="19" spans="1:84" x14ac:dyDescent="0.25">
      <c r="A19" s="254" t="s">
        <v>666</v>
      </c>
      <c r="B19" s="255" t="s">
        <v>667</v>
      </c>
      <c r="C19" s="255" t="s">
        <v>636</v>
      </c>
      <c r="D19" s="233"/>
      <c r="E19" s="234">
        <v>96250</v>
      </c>
      <c r="F19" s="235">
        <v>96250</v>
      </c>
      <c r="G19" s="256"/>
      <c r="H19" s="257"/>
      <c r="I19" s="237"/>
      <c r="J19" s="238">
        <v>96250</v>
      </c>
      <c r="K19" s="239"/>
      <c r="L19" s="240"/>
      <c r="M19" s="8">
        <v>0</v>
      </c>
      <c r="N19" s="241">
        <v>0</v>
      </c>
      <c r="O19" s="72"/>
      <c r="P19" s="100"/>
      <c r="Q19" s="9"/>
      <c r="R19" s="9"/>
      <c r="S19" s="9"/>
      <c r="T19" s="258"/>
      <c r="U19" s="10"/>
      <c r="V19" s="23"/>
      <c r="W19" s="11"/>
      <c r="X19" s="8">
        <v>0</v>
      </c>
      <c r="Y19" s="9"/>
      <c r="Z19" s="9"/>
      <c r="AA19" s="9"/>
      <c r="AB19" s="10"/>
      <c r="AC19" s="24">
        <v>0</v>
      </c>
      <c r="AD19" s="11">
        <v>0</v>
      </c>
      <c r="AE19" s="8">
        <v>0</v>
      </c>
      <c r="AF19" s="9"/>
      <c r="AG19" s="10"/>
      <c r="AH19" s="11"/>
      <c r="AI19" s="8">
        <v>0</v>
      </c>
      <c r="AJ19" s="9"/>
      <c r="AK19" s="10"/>
      <c r="AL19" s="25"/>
      <c r="AM19" s="25"/>
      <c r="AN19" s="25"/>
      <c r="AO19" s="10"/>
      <c r="AP19" s="12">
        <v>0</v>
      </c>
      <c r="AQ19" s="12"/>
      <c r="AR19" s="12"/>
      <c r="AS19" s="242"/>
      <c r="AT19" s="243"/>
      <c r="AU19" s="242"/>
      <c r="AV19" s="242"/>
      <c r="AW19" s="244"/>
      <c r="AX19" s="243"/>
      <c r="AY19" s="243"/>
      <c r="AZ19" s="242">
        <v>0</v>
      </c>
      <c r="BA19" s="242">
        <v>0</v>
      </c>
      <c r="BB19" s="242">
        <v>0</v>
      </c>
      <c r="BC19" s="242">
        <v>0</v>
      </c>
      <c r="BD19" s="242">
        <v>0</v>
      </c>
      <c r="BE19" s="242">
        <v>0</v>
      </c>
      <c r="BF19" s="242"/>
      <c r="BG19" s="242">
        <v>1</v>
      </c>
      <c r="BH19" s="242">
        <v>0</v>
      </c>
      <c r="BI19" s="242">
        <v>0</v>
      </c>
      <c r="BJ19" s="242"/>
      <c r="BK19" s="242"/>
      <c r="BL19" s="242"/>
      <c r="BM19" s="242"/>
      <c r="BN19" s="297"/>
      <c r="BO19" s="297"/>
      <c r="BP19" s="297"/>
      <c r="BQ19" s="297"/>
      <c r="BR19" s="245"/>
      <c r="BS19" s="245"/>
      <c r="BT19" s="242"/>
      <c r="BU19" s="242"/>
      <c r="BV19" s="246"/>
      <c r="BW19" s="242">
        <v>0</v>
      </c>
      <c r="BX19" s="242">
        <v>0</v>
      </c>
      <c r="BY19" s="242">
        <v>0</v>
      </c>
      <c r="BZ19" s="242">
        <v>0</v>
      </c>
      <c r="CA19" s="242">
        <v>0</v>
      </c>
      <c r="CB19" s="243" t="s">
        <v>633</v>
      </c>
      <c r="CC19" s="248">
        <v>0</v>
      </c>
      <c r="CD19" s="248">
        <v>0</v>
      </c>
      <c r="CE19" s="248">
        <v>0</v>
      </c>
      <c r="CF19" s="248">
        <v>0</v>
      </c>
    </row>
    <row r="20" spans="1:84" x14ac:dyDescent="0.25">
      <c r="A20" s="254" t="s">
        <v>668</v>
      </c>
      <c r="B20" s="255" t="s">
        <v>669</v>
      </c>
      <c r="C20" s="255" t="s">
        <v>636</v>
      </c>
      <c r="D20" s="233"/>
      <c r="E20" s="234">
        <v>89400</v>
      </c>
      <c r="F20" s="235">
        <v>89400</v>
      </c>
      <c r="G20" s="256"/>
      <c r="H20" s="257"/>
      <c r="I20" s="237"/>
      <c r="J20" s="238">
        <v>6624.81</v>
      </c>
      <c r="K20" s="239"/>
      <c r="L20" s="240"/>
      <c r="M20" s="8">
        <v>66723.320000000007</v>
      </c>
      <c r="N20" s="241">
        <v>6624.81</v>
      </c>
      <c r="O20" s="72"/>
      <c r="P20" s="100"/>
      <c r="Q20" s="9"/>
      <c r="R20" s="9"/>
      <c r="S20" s="9"/>
      <c r="T20" s="258">
        <v>46266</v>
      </c>
      <c r="U20" s="10"/>
      <c r="V20" s="23"/>
      <c r="W20" s="11"/>
      <c r="X20" s="8">
        <v>6624.81</v>
      </c>
      <c r="Y20" s="9"/>
      <c r="Z20" s="9"/>
      <c r="AA20" s="9"/>
      <c r="AB20" s="10"/>
      <c r="AC20" s="24">
        <v>0</v>
      </c>
      <c r="AD20" s="11">
        <v>0</v>
      </c>
      <c r="AE20" s="8">
        <v>0</v>
      </c>
      <c r="AF20" s="9"/>
      <c r="AG20" s="10"/>
      <c r="AH20" s="11"/>
      <c r="AI20" s="8">
        <v>6624.81</v>
      </c>
      <c r="AJ20" s="9"/>
      <c r="AK20" s="10"/>
      <c r="AL20" s="25"/>
      <c r="AM20" s="25"/>
      <c r="AN20" s="25"/>
      <c r="AO20" s="10"/>
      <c r="AP20" s="12">
        <v>0</v>
      </c>
      <c r="AQ20" s="12"/>
      <c r="AR20" s="12"/>
      <c r="AS20" s="242"/>
      <c r="AT20" s="243"/>
      <c r="AU20" s="242"/>
      <c r="AV20" s="242"/>
      <c r="AW20" s="244"/>
      <c r="AX20" s="243" t="s">
        <v>630</v>
      </c>
      <c r="AY20" s="243" t="s">
        <v>630</v>
      </c>
      <c r="AZ20" s="15">
        <v>89400</v>
      </c>
      <c r="BA20" s="15">
        <v>64747</v>
      </c>
      <c r="BB20" s="15">
        <v>6624.81</v>
      </c>
      <c r="BC20" s="15">
        <v>6624.81</v>
      </c>
      <c r="BD20" s="242">
        <v>0</v>
      </c>
      <c r="BE20" s="242">
        <v>0</v>
      </c>
      <c r="BF20" s="242"/>
      <c r="BG20" s="242">
        <v>1</v>
      </c>
      <c r="BH20" s="242">
        <v>0</v>
      </c>
      <c r="BI20" s="242">
        <v>0</v>
      </c>
      <c r="BJ20" s="242"/>
      <c r="BK20" s="242"/>
      <c r="BL20" s="242"/>
      <c r="BM20" s="242"/>
      <c r="BN20" s="297"/>
      <c r="BO20" s="297"/>
      <c r="BP20" s="297"/>
      <c r="BQ20" s="297"/>
      <c r="BR20" s="245"/>
      <c r="BS20" s="245"/>
      <c r="BT20" s="242"/>
      <c r="BU20" s="242"/>
      <c r="BV20" s="246" t="s">
        <v>634</v>
      </c>
      <c r="BW20" s="242">
        <v>0</v>
      </c>
      <c r="BX20" s="242">
        <v>0</v>
      </c>
      <c r="BY20" s="242">
        <v>0</v>
      </c>
      <c r="BZ20" s="242">
        <v>0</v>
      </c>
      <c r="CA20" s="242">
        <v>0</v>
      </c>
      <c r="CB20" s="243" t="s">
        <v>633</v>
      </c>
      <c r="CC20" s="248">
        <v>6624.81</v>
      </c>
      <c r="CD20" s="248">
        <v>6624.81</v>
      </c>
      <c r="CE20" s="248">
        <v>0</v>
      </c>
      <c r="CF20" s="248">
        <v>0</v>
      </c>
    </row>
    <row r="21" spans="1:84" x14ac:dyDescent="0.25">
      <c r="A21" s="254" t="s">
        <v>670</v>
      </c>
      <c r="B21" s="255" t="s">
        <v>671</v>
      </c>
      <c r="C21" s="255" t="s">
        <v>636</v>
      </c>
      <c r="D21" s="233"/>
      <c r="E21" s="234">
        <v>89400</v>
      </c>
      <c r="F21" s="235">
        <v>89400</v>
      </c>
      <c r="G21" s="256"/>
      <c r="H21" s="257"/>
      <c r="I21" s="237"/>
      <c r="J21" s="238">
        <v>89400</v>
      </c>
      <c r="K21" s="239"/>
      <c r="L21" s="240"/>
      <c r="M21" s="8">
        <v>67644.639999999999</v>
      </c>
      <c r="N21" s="241">
        <v>67616</v>
      </c>
      <c r="O21" s="71"/>
      <c r="P21" s="100"/>
      <c r="Q21" s="9"/>
      <c r="R21" s="9"/>
      <c r="S21" s="9"/>
      <c r="T21" s="258">
        <v>46266</v>
      </c>
      <c r="U21" s="10"/>
      <c r="V21" s="23"/>
      <c r="W21" s="11"/>
      <c r="X21" s="8">
        <v>2266.3000000000002</v>
      </c>
      <c r="Y21" s="9"/>
      <c r="Z21" s="9"/>
      <c r="AA21" s="9"/>
      <c r="AB21" s="10"/>
      <c r="AC21" s="24">
        <v>0</v>
      </c>
      <c r="AD21" s="11">
        <v>0</v>
      </c>
      <c r="AE21" s="8">
        <v>0</v>
      </c>
      <c r="AF21" s="9"/>
      <c r="AG21" s="10"/>
      <c r="AH21" s="11"/>
      <c r="AI21" s="8">
        <v>2266.3000000000002</v>
      </c>
      <c r="AJ21" s="9"/>
      <c r="AK21" s="10"/>
      <c r="AL21" s="25"/>
      <c r="AM21" s="25"/>
      <c r="AN21" s="25"/>
      <c r="AO21" s="10"/>
      <c r="AP21" s="12">
        <v>0</v>
      </c>
      <c r="AQ21" s="12"/>
      <c r="AR21" s="12"/>
      <c r="AS21" s="242"/>
      <c r="AT21" s="243"/>
      <c r="AU21" s="242"/>
      <c r="AV21" s="242"/>
      <c r="AW21" s="244"/>
      <c r="AX21" s="243" t="s">
        <v>630</v>
      </c>
      <c r="AY21" s="243" t="s">
        <v>630</v>
      </c>
      <c r="AZ21" s="15">
        <v>89400</v>
      </c>
      <c r="BA21" s="15">
        <v>67616</v>
      </c>
      <c r="BB21" s="15">
        <v>89400</v>
      </c>
      <c r="BC21" s="15">
        <v>67616</v>
      </c>
      <c r="BD21" s="242">
        <v>0</v>
      </c>
      <c r="BE21" s="242">
        <v>0</v>
      </c>
      <c r="BF21" s="242"/>
      <c r="BG21" s="242">
        <v>1</v>
      </c>
      <c r="BH21" s="242">
        <v>0</v>
      </c>
      <c r="BI21" s="242">
        <v>0</v>
      </c>
      <c r="BJ21" s="242"/>
      <c r="BK21" s="242"/>
      <c r="BL21" s="242"/>
      <c r="BM21" s="242"/>
      <c r="BN21" s="297"/>
      <c r="BO21" s="297"/>
      <c r="BP21" s="297"/>
      <c r="BQ21" s="297"/>
      <c r="BR21" s="245"/>
      <c r="BS21" s="245"/>
      <c r="BT21" s="242"/>
      <c r="BU21" s="242"/>
      <c r="BV21" s="246" t="s">
        <v>634</v>
      </c>
      <c r="BW21" s="242">
        <v>0</v>
      </c>
      <c r="BX21" s="242">
        <v>0</v>
      </c>
      <c r="BY21" s="242">
        <v>0</v>
      </c>
      <c r="BZ21" s="242">
        <v>0</v>
      </c>
      <c r="CA21" s="242">
        <v>0</v>
      </c>
      <c r="CB21" s="243" t="s">
        <v>633</v>
      </c>
      <c r="CC21" s="248">
        <v>2266.3000000000002</v>
      </c>
      <c r="CD21" s="248">
        <v>2266.3000000000002</v>
      </c>
      <c r="CE21" s="248">
        <v>0</v>
      </c>
      <c r="CF21" s="248">
        <v>0</v>
      </c>
    </row>
    <row r="22" spans="1:84" x14ac:dyDescent="0.25">
      <c r="A22" s="254"/>
      <c r="B22" s="93" t="s">
        <v>672</v>
      </c>
      <c r="C22" s="255"/>
      <c r="D22" s="233"/>
      <c r="E22" s="279">
        <f>SUM(E8:E21)</f>
        <v>1654827.8800000001</v>
      </c>
      <c r="F22" s="268">
        <f>SUM(F8:F21)</f>
        <v>1654827.8800000001</v>
      </c>
      <c r="G22" s="256"/>
      <c r="H22" s="257"/>
      <c r="I22" s="237"/>
      <c r="J22" s="280">
        <f>SUM(J8:J21)</f>
        <v>1105875.6300000001</v>
      </c>
      <c r="K22" s="239"/>
      <c r="L22" s="240"/>
      <c r="M22" s="272">
        <f>SUM(M8:M21)</f>
        <v>1245217.95</v>
      </c>
      <c r="N22" s="281">
        <f>SUM(N8:N21)</f>
        <v>689936.46000000008</v>
      </c>
      <c r="O22" s="71"/>
      <c r="P22" s="100"/>
      <c r="Q22" s="270">
        <f>SUM(Q8:Q21)</f>
        <v>0</v>
      </c>
      <c r="R22" s="270">
        <f>SUM(R8:R21)</f>
        <v>0</v>
      </c>
      <c r="S22" s="270">
        <f>SUM(S8:S21)</f>
        <v>0</v>
      </c>
      <c r="T22" s="258"/>
      <c r="U22" s="10"/>
      <c r="V22" s="23"/>
      <c r="W22" s="271">
        <f>SUM(W8:W21)</f>
        <v>0</v>
      </c>
      <c r="X22" s="272">
        <f>SUM(X8:X21)</f>
        <v>544438.42000000016</v>
      </c>
      <c r="Y22" s="270">
        <f>SUM(Y8:Y21)</f>
        <v>0</v>
      </c>
      <c r="Z22" s="270">
        <f>SUM(Z8:Z21)</f>
        <v>0</v>
      </c>
      <c r="AA22" s="270">
        <f>SUM(AA8:AA21)</f>
        <v>0</v>
      </c>
      <c r="AB22" s="10"/>
      <c r="AC22" s="24"/>
      <c r="AD22" s="271">
        <f>SUM(AD8:AD21)</f>
        <v>0</v>
      </c>
      <c r="AE22" s="272">
        <f>SUM(AE8:AE21)</f>
        <v>0</v>
      </c>
      <c r="AF22" s="270">
        <f>SUM(AF8:AF21)</f>
        <v>0</v>
      </c>
      <c r="AG22" s="10"/>
      <c r="AH22" s="271">
        <f>SUM(AH8:AH21)</f>
        <v>0</v>
      </c>
      <c r="AI22" s="272">
        <f>SUM(AI8:AI21)</f>
        <v>544438.42000000016</v>
      </c>
      <c r="AJ22" s="270">
        <f>SUM(AJ8:AJ21)</f>
        <v>0</v>
      </c>
      <c r="AK22" s="10"/>
      <c r="AL22" s="283">
        <f>SUM(AL8:AL21)</f>
        <v>0</v>
      </c>
      <c r="AM22" s="283">
        <f>SUM(AM8:AM21)</f>
        <v>0</v>
      </c>
      <c r="AN22" s="283">
        <f>SUM(AN8:AN21)</f>
        <v>0</v>
      </c>
      <c r="AO22" s="10"/>
      <c r="AP22" s="284">
        <f>SUM(AP8:AP21)</f>
        <v>578938.44000000006</v>
      </c>
      <c r="AQ22" s="284">
        <f>SUM(AQ8:AQ21)</f>
        <v>0</v>
      </c>
      <c r="AR22" s="284">
        <f>SUM(AR8:AR21)</f>
        <v>0</v>
      </c>
      <c r="AS22" s="242"/>
      <c r="AT22" s="243"/>
      <c r="AU22" s="242"/>
      <c r="AV22" s="242"/>
      <c r="AW22" s="244"/>
      <c r="AX22" s="243"/>
      <c r="AY22" s="243"/>
      <c r="AZ22" s="242"/>
      <c r="BA22" s="242"/>
      <c r="BB22" s="242"/>
      <c r="BC22" s="242"/>
      <c r="BD22" s="242"/>
      <c r="BE22" s="242"/>
      <c r="BF22" s="242"/>
      <c r="BG22" s="242"/>
      <c r="BH22" s="242"/>
      <c r="BI22" s="242"/>
      <c r="BJ22" s="242"/>
      <c r="BK22" s="242"/>
      <c r="BL22" s="242"/>
      <c r="BM22" s="242"/>
      <c r="BN22" s="297"/>
      <c r="BO22" s="297"/>
      <c r="BP22" s="297"/>
      <c r="BQ22" s="297"/>
      <c r="BR22" s="245"/>
      <c r="BS22" s="245"/>
      <c r="BT22" s="242"/>
      <c r="BU22" s="242"/>
      <c r="BV22" s="246"/>
      <c r="BW22" s="242"/>
      <c r="BX22" s="242"/>
      <c r="BY22" s="242"/>
      <c r="BZ22" s="242"/>
      <c r="CA22" s="242"/>
      <c r="CB22" s="243"/>
      <c r="CC22" s="248"/>
      <c r="CD22" s="248"/>
      <c r="CE22" s="248"/>
      <c r="CF22" s="248"/>
    </row>
    <row r="23" spans="1:84" x14ac:dyDescent="0.25">
      <c r="A23" s="254"/>
      <c r="B23" s="255"/>
      <c r="C23" s="255"/>
      <c r="D23" s="233"/>
      <c r="E23" s="234"/>
      <c r="F23" s="235"/>
      <c r="G23" s="256"/>
      <c r="H23" s="257"/>
      <c r="I23" s="237"/>
      <c r="J23" s="238"/>
      <c r="K23" s="239"/>
      <c r="L23" s="240"/>
      <c r="M23" s="8"/>
      <c r="N23" s="241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2"/>
      <c r="AT23" s="243"/>
      <c r="AU23" s="242"/>
      <c r="AV23" s="242"/>
      <c r="AW23" s="244"/>
      <c r="AX23" s="243"/>
      <c r="AY23" s="243"/>
      <c r="AZ23" s="242"/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97"/>
      <c r="BO23" s="297"/>
      <c r="BP23" s="297"/>
      <c r="BQ23" s="297"/>
      <c r="BR23" s="245"/>
      <c r="BS23" s="245"/>
      <c r="BT23" s="242"/>
      <c r="BU23" s="242"/>
      <c r="BV23" s="246"/>
      <c r="BW23" s="242"/>
      <c r="BX23" s="242"/>
      <c r="BY23" s="242"/>
      <c r="BZ23" s="242"/>
      <c r="CA23" s="242"/>
      <c r="CB23" s="243"/>
      <c r="CC23" s="248"/>
      <c r="CD23" s="248"/>
      <c r="CE23" s="248"/>
      <c r="CF23" s="248"/>
    </row>
    <row r="24" spans="1:84" x14ac:dyDescent="0.25">
      <c r="A24" s="254"/>
      <c r="B24" s="93" t="s">
        <v>632</v>
      </c>
      <c r="C24" s="255"/>
      <c r="D24" s="233"/>
      <c r="E24" s="234"/>
      <c r="F24" s="235"/>
      <c r="G24" s="256"/>
      <c r="H24" s="257"/>
      <c r="I24" s="237"/>
      <c r="J24" s="238"/>
      <c r="K24" s="239"/>
      <c r="L24" s="240"/>
      <c r="M24" s="8"/>
      <c r="N24" s="241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2"/>
      <c r="AT24" s="243"/>
      <c r="AU24" s="242"/>
      <c r="AV24" s="242"/>
      <c r="AW24" s="244"/>
      <c r="AX24" s="243"/>
      <c r="AY24" s="243"/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97"/>
      <c r="BO24" s="297"/>
      <c r="BP24" s="297"/>
      <c r="BQ24" s="297"/>
      <c r="BR24" s="245"/>
      <c r="BS24" s="245"/>
      <c r="BT24" s="242"/>
      <c r="BU24" s="242"/>
      <c r="BV24" s="246"/>
      <c r="BW24" s="242"/>
      <c r="BX24" s="242"/>
      <c r="BY24" s="242"/>
      <c r="BZ24" s="242"/>
      <c r="CA24" s="242"/>
      <c r="CB24" s="243"/>
      <c r="CC24" s="248"/>
      <c r="CD24" s="248"/>
      <c r="CE24" s="248"/>
      <c r="CF24" s="248"/>
    </row>
    <row r="25" spans="1:84" x14ac:dyDescent="0.25">
      <c r="A25" s="254" t="s">
        <v>673</v>
      </c>
      <c r="B25" s="255" t="s">
        <v>641</v>
      </c>
      <c r="C25" s="255" t="s">
        <v>636</v>
      </c>
      <c r="D25" s="233"/>
      <c r="E25" s="234">
        <v>15764.45</v>
      </c>
      <c r="F25" s="235">
        <v>15764.45</v>
      </c>
      <c r="G25" s="256"/>
      <c r="H25" s="257"/>
      <c r="I25" s="237"/>
      <c r="J25" s="238">
        <v>14472.89</v>
      </c>
      <c r="K25" s="249"/>
      <c r="L25" s="240"/>
      <c r="M25" s="8">
        <v>12127.81</v>
      </c>
      <c r="N25" s="241">
        <v>14472.89</v>
      </c>
      <c r="O25" s="71"/>
      <c r="P25" s="100"/>
      <c r="Q25" s="9"/>
      <c r="R25" s="9"/>
      <c r="S25" s="9"/>
      <c r="T25" s="258">
        <v>45901</v>
      </c>
      <c r="U25" s="10"/>
      <c r="V25" s="23"/>
      <c r="W25" s="11"/>
      <c r="X25" s="8">
        <v>14472.89</v>
      </c>
      <c r="Y25" s="9"/>
      <c r="Z25" s="9"/>
      <c r="AA25" s="9"/>
      <c r="AB25" s="10"/>
      <c r="AC25" s="24">
        <v>0</v>
      </c>
      <c r="AD25" s="11">
        <v>0</v>
      </c>
      <c r="AE25" s="8">
        <v>0</v>
      </c>
      <c r="AF25" s="9"/>
      <c r="AG25" s="10"/>
      <c r="AH25" s="11"/>
      <c r="AI25" s="8">
        <v>14472.89</v>
      </c>
      <c r="AJ25" s="9"/>
      <c r="AK25" s="10"/>
      <c r="AL25" s="25"/>
      <c r="AM25" s="25"/>
      <c r="AN25" s="25"/>
      <c r="AO25" s="10"/>
      <c r="AP25" s="12">
        <v>14472.89</v>
      </c>
      <c r="AQ25" s="12"/>
      <c r="AR25" s="12"/>
      <c r="AS25" s="242"/>
      <c r="AT25" s="243"/>
      <c r="AU25" s="242"/>
      <c r="AV25" s="242"/>
      <c r="AW25" s="244"/>
      <c r="AX25" s="243" t="s">
        <v>630</v>
      </c>
      <c r="AY25" s="243" t="s">
        <v>630</v>
      </c>
      <c r="AZ25" s="15">
        <v>14472.89</v>
      </c>
      <c r="BA25" s="15">
        <v>14472.89</v>
      </c>
      <c r="BB25" s="15">
        <v>14472.89</v>
      </c>
      <c r="BC25" s="15">
        <v>14472.89</v>
      </c>
      <c r="BD25" s="242">
        <v>0</v>
      </c>
      <c r="BE25" s="242">
        <v>0</v>
      </c>
      <c r="BF25" s="242"/>
      <c r="BG25" s="242">
        <v>2</v>
      </c>
      <c r="BH25" s="242">
        <v>0</v>
      </c>
      <c r="BI25" s="242">
        <v>0</v>
      </c>
      <c r="BJ25" s="242"/>
      <c r="BK25" s="242"/>
      <c r="BL25" s="242"/>
      <c r="BM25" s="242"/>
      <c r="BN25" s="297"/>
      <c r="BO25" s="297"/>
      <c r="BP25" s="297"/>
      <c r="BQ25" s="297"/>
      <c r="BR25" s="245"/>
      <c r="BS25" s="245"/>
      <c r="BT25" s="242"/>
      <c r="BU25" s="242"/>
      <c r="BV25" s="246" t="s">
        <v>634</v>
      </c>
      <c r="BW25" s="242">
        <v>0</v>
      </c>
      <c r="BX25" s="242">
        <v>0</v>
      </c>
      <c r="BY25" s="242">
        <v>0</v>
      </c>
      <c r="BZ25" s="242">
        <v>0</v>
      </c>
      <c r="CA25" s="242">
        <v>0</v>
      </c>
      <c r="CB25" s="243" t="s">
        <v>633</v>
      </c>
      <c r="CC25" s="248">
        <v>14472.89</v>
      </c>
      <c r="CD25" s="248">
        <v>14472.89</v>
      </c>
      <c r="CE25" s="248">
        <v>14472.89</v>
      </c>
      <c r="CF25" s="248">
        <v>0</v>
      </c>
    </row>
    <row r="26" spans="1:84" x14ac:dyDescent="0.25">
      <c r="A26" s="254" t="s">
        <v>674</v>
      </c>
      <c r="B26" s="255" t="s">
        <v>637</v>
      </c>
      <c r="C26" s="255" t="s">
        <v>636</v>
      </c>
      <c r="D26" s="233"/>
      <c r="E26" s="234">
        <v>25447.89</v>
      </c>
      <c r="F26" s="235">
        <v>25447.89</v>
      </c>
      <c r="G26" s="256"/>
      <c r="H26" s="257"/>
      <c r="I26" s="237"/>
      <c r="J26" s="238">
        <v>21381.88</v>
      </c>
      <c r="K26" s="249"/>
      <c r="L26" s="240"/>
      <c r="M26" s="8">
        <v>36229.040000000001</v>
      </c>
      <c r="N26" s="241">
        <v>21381.88</v>
      </c>
      <c r="O26" s="71"/>
      <c r="P26" s="100"/>
      <c r="Q26" s="9"/>
      <c r="R26" s="9"/>
      <c r="S26" s="9"/>
      <c r="T26" s="258">
        <v>46082</v>
      </c>
      <c r="U26" s="10"/>
      <c r="V26" s="23"/>
      <c r="W26" s="11"/>
      <c r="X26" s="8">
        <v>21381.88</v>
      </c>
      <c r="Y26" s="9"/>
      <c r="Z26" s="9"/>
      <c r="AA26" s="9"/>
      <c r="AB26" s="10"/>
      <c r="AC26" s="24">
        <v>0</v>
      </c>
      <c r="AD26" s="11">
        <v>0</v>
      </c>
      <c r="AE26" s="8">
        <v>0</v>
      </c>
      <c r="AF26" s="9"/>
      <c r="AG26" s="10"/>
      <c r="AH26" s="11"/>
      <c r="AI26" s="8">
        <v>21381.88</v>
      </c>
      <c r="AJ26" s="9"/>
      <c r="AK26" s="10"/>
      <c r="AL26" s="25"/>
      <c r="AM26" s="25"/>
      <c r="AN26" s="25"/>
      <c r="AO26" s="10"/>
      <c r="AP26" s="12">
        <v>21381.88</v>
      </c>
      <c r="AQ26" s="12"/>
      <c r="AR26" s="12"/>
      <c r="AS26" s="242"/>
      <c r="AT26" s="243"/>
      <c r="AU26" s="242"/>
      <c r="AV26" s="242"/>
      <c r="AW26" s="244"/>
      <c r="AX26" s="243" t="s">
        <v>630</v>
      </c>
      <c r="AY26" s="243" t="s">
        <v>630</v>
      </c>
      <c r="AZ26" s="15">
        <v>21381.88</v>
      </c>
      <c r="BA26" s="15">
        <v>21381.88</v>
      </c>
      <c r="BB26" s="15">
        <v>21381.88</v>
      </c>
      <c r="BC26" s="15">
        <v>21381.88</v>
      </c>
      <c r="BD26" s="242">
        <v>0</v>
      </c>
      <c r="BE26" s="242">
        <v>0</v>
      </c>
      <c r="BF26" s="242"/>
      <c r="BG26" s="242">
        <v>2</v>
      </c>
      <c r="BH26" s="242">
        <v>0</v>
      </c>
      <c r="BI26" s="242">
        <v>0</v>
      </c>
      <c r="BJ26" s="242"/>
      <c r="BK26" s="242"/>
      <c r="BL26" s="242"/>
      <c r="BM26" s="242"/>
      <c r="BN26" s="297"/>
      <c r="BO26" s="297"/>
      <c r="BP26" s="297"/>
      <c r="BQ26" s="297"/>
      <c r="BR26" s="245"/>
      <c r="BS26" s="245"/>
      <c r="BT26" s="242"/>
      <c r="BU26" s="242"/>
      <c r="BV26" s="246" t="s">
        <v>634</v>
      </c>
      <c r="BW26" s="242">
        <v>0</v>
      </c>
      <c r="BX26" s="242">
        <v>0</v>
      </c>
      <c r="BY26" s="242">
        <v>0</v>
      </c>
      <c r="BZ26" s="242">
        <v>0</v>
      </c>
      <c r="CA26" s="242">
        <v>0</v>
      </c>
      <c r="CB26" s="243" t="s">
        <v>633</v>
      </c>
      <c r="CC26" s="248">
        <v>21381.88</v>
      </c>
      <c r="CD26" s="248">
        <v>21381.88</v>
      </c>
      <c r="CE26" s="248">
        <v>21381.88</v>
      </c>
      <c r="CF26" s="248">
        <v>0</v>
      </c>
    </row>
    <row r="27" spans="1:84" x14ac:dyDescent="0.25">
      <c r="A27" s="254" t="s">
        <v>675</v>
      </c>
      <c r="B27" s="255" t="s">
        <v>638</v>
      </c>
      <c r="C27" s="255" t="s">
        <v>636</v>
      </c>
      <c r="D27" s="233"/>
      <c r="E27" s="234">
        <v>26544.55</v>
      </c>
      <c r="F27" s="235">
        <v>26544.55</v>
      </c>
      <c r="G27" s="256"/>
      <c r="H27" s="257"/>
      <c r="I27" s="237"/>
      <c r="J27" s="238">
        <v>18172.8</v>
      </c>
      <c r="K27" s="239"/>
      <c r="L27" s="240"/>
      <c r="M27" s="8">
        <v>22461.38</v>
      </c>
      <c r="N27" s="241">
        <v>18172.8</v>
      </c>
      <c r="O27" s="71"/>
      <c r="P27" s="100"/>
      <c r="Q27" s="9"/>
      <c r="R27" s="9"/>
      <c r="S27" s="9"/>
      <c r="T27" s="258">
        <v>46082</v>
      </c>
      <c r="U27" s="10"/>
      <c r="V27" s="23"/>
      <c r="W27" s="11"/>
      <c r="X27" s="8">
        <v>18172.8</v>
      </c>
      <c r="Y27" s="9"/>
      <c r="Z27" s="9"/>
      <c r="AA27" s="9"/>
      <c r="AB27" s="10"/>
      <c r="AC27" s="24">
        <v>0</v>
      </c>
      <c r="AD27" s="11">
        <v>0</v>
      </c>
      <c r="AE27" s="8">
        <v>0</v>
      </c>
      <c r="AF27" s="9"/>
      <c r="AG27" s="10"/>
      <c r="AH27" s="11"/>
      <c r="AI27" s="8">
        <v>18172.8</v>
      </c>
      <c r="AJ27" s="9"/>
      <c r="AK27" s="10"/>
      <c r="AL27" s="25"/>
      <c r="AM27" s="25"/>
      <c r="AN27" s="25"/>
      <c r="AO27" s="10"/>
      <c r="AP27" s="12">
        <v>18172.8</v>
      </c>
      <c r="AQ27" s="12"/>
      <c r="AR27" s="12"/>
      <c r="AS27" s="242"/>
      <c r="AT27" s="243"/>
      <c r="AU27" s="242"/>
      <c r="AV27" s="242"/>
      <c r="AW27" s="244"/>
      <c r="AX27" s="243" t="s">
        <v>630</v>
      </c>
      <c r="AY27" s="243" t="s">
        <v>630</v>
      </c>
      <c r="AZ27" s="15">
        <v>18172.8</v>
      </c>
      <c r="BA27" s="15">
        <v>18172.8</v>
      </c>
      <c r="BB27" s="15">
        <v>18172.8</v>
      </c>
      <c r="BC27" s="15">
        <v>18172.8</v>
      </c>
      <c r="BD27" s="242">
        <v>0</v>
      </c>
      <c r="BE27" s="242">
        <v>0</v>
      </c>
      <c r="BF27" s="242"/>
      <c r="BG27" s="242">
        <v>2</v>
      </c>
      <c r="BH27" s="242">
        <v>0</v>
      </c>
      <c r="BI27" s="242">
        <v>0</v>
      </c>
      <c r="BJ27" s="242"/>
      <c r="BK27" s="242"/>
      <c r="BL27" s="242"/>
      <c r="BM27" s="242"/>
      <c r="BN27" s="297"/>
      <c r="BO27" s="297"/>
      <c r="BP27" s="297"/>
      <c r="BQ27" s="297"/>
      <c r="BR27" s="245"/>
      <c r="BS27" s="245"/>
      <c r="BT27" s="242"/>
      <c r="BU27" s="242"/>
      <c r="BV27" s="246" t="s">
        <v>634</v>
      </c>
      <c r="BW27" s="242">
        <v>0</v>
      </c>
      <c r="BX27" s="242">
        <v>0</v>
      </c>
      <c r="BY27" s="242">
        <v>0</v>
      </c>
      <c r="BZ27" s="242">
        <v>0</v>
      </c>
      <c r="CA27" s="242">
        <v>0</v>
      </c>
      <c r="CB27" s="243" t="s">
        <v>633</v>
      </c>
      <c r="CC27" s="248">
        <v>18172.8</v>
      </c>
      <c r="CD27" s="248">
        <v>18172.8</v>
      </c>
      <c r="CE27" s="248">
        <v>18172.8</v>
      </c>
      <c r="CF27" s="248">
        <v>0</v>
      </c>
    </row>
    <row r="28" spans="1:84" x14ac:dyDescent="0.25">
      <c r="A28" s="254" t="s">
        <v>676</v>
      </c>
      <c r="B28" s="255" t="s">
        <v>644</v>
      </c>
      <c r="C28" s="255" t="s">
        <v>636</v>
      </c>
      <c r="D28" s="233"/>
      <c r="E28" s="234">
        <v>975</v>
      </c>
      <c r="F28" s="235">
        <v>975</v>
      </c>
      <c r="G28" s="256"/>
      <c r="H28" s="257"/>
      <c r="I28" s="237"/>
      <c r="J28" s="238">
        <v>975</v>
      </c>
      <c r="K28" s="239"/>
      <c r="L28" s="240"/>
      <c r="M28" s="8">
        <v>975</v>
      </c>
      <c r="N28" s="241">
        <v>975</v>
      </c>
      <c r="O28" s="239"/>
      <c r="P28" s="240"/>
      <c r="Q28" s="9"/>
      <c r="R28" s="9"/>
      <c r="S28" s="9"/>
      <c r="T28" s="258">
        <v>45992</v>
      </c>
      <c r="U28" s="10"/>
      <c r="V28" s="23"/>
      <c r="W28" s="11"/>
      <c r="X28" s="8">
        <v>975</v>
      </c>
      <c r="Y28" s="9"/>
      <c r="Z28" s="9"/>
      <c r="AA28" s="9"/>
      <c r="AB28" s="10"/>
      <c r="AC28" s="24">
        <v>0</v>
      </c>
      <c r="AD28" s="11">
        <v>0</v>
      </c>
      <c r="AE28" s="8">
        <v>0</v>
      </c>
      <c r="AF28" s="9"/>
      <c r="AG28" s="10"/>
      <c r="AH28" s="11"/>
      <c r="AI28" s="8">
        <v>975</v>
      </c>
      <c r="AJ28" s="9"/>
      <c r="AK28" s="10"/>
      <c r="AL28" s="25"/>
      <c r="AM28" s="25"/>
      <c r="AN28" s="25"/>
      <c r="AO28" s="10"/>
      <c r="AP28" s="12">
        <v>975</v>
      </c>
      <c r="AQ28" s="12"/>
      <c r="AR28" s="12"/>
      <c r="AS28" s="242"/>
      <c r="AT28" s="243"/>
      <c r="AU28" s="242"/>
      <c r="AV28" s="242"/>
      <c r="AW28" s="244"/>
      <c r="AX28" s="243" t="s">
        <v>630</v>
      </c>
      <c r="AY28" s="243" t="s">
        <v>630</v>
      </c>
      <c r="AZ28" s="15">
        <v>975</v>
      </c>
      <c r="BA28" s="15">
        <v>975</v>
      </c>
      <c r="BB28" s="15">
        <v>975</v>
      </c>
      <c r="BC28" s="15">
        <v>975</v>
      </c>
      <c r="BD28" s="242">
        <v>0</v>
      </c>
      <c r="BE28" s="242">
        <v>0</v>
      </c>
      <c r="BF28" s="242"/>
      <c r="BG28" s="242">
        <v>2</v>
      </c>
      <c r="BH28" s="242">
        <v>0</v>
      </c>
      <c r="BI28" s="242">
        <v>0</v>
      </c>
      <c r="BJ28" s="242"/>
      <c r="BK28" s="242"/>
      <c r="BL28" s="242"/>
      <c r="BM28" s="242"/>
      <c r="BN28" s="297"/>
      <c r="BO28" s="297"/>
      <c r="BP28" s="297"/>
      <c r="BQ28" s="297"/>
      <c r="BR28" s="245"/>
      <c r="BS28" s="245"/>
      <c r="BT28" s="242"/>
      <c r="BU28" s="242"/>
      <c r="BV28" s="246" t="s">
        <v>634</v>
      </c>
      <c r="BW28" s="242">
        <v>0</v>
      </c>
      <c r="BX28" s="242">
        <v>0</v>
      </c>
      <c r="BY28" s="242">
        <v>0</v>
      </c>
      <c r="BZ28" s="242">
        <v>0</v>
      </c>
      <c r="CA28" s="242">
        <v>0</v>
      </c>
      <c r="CB28" s="243" t="s">
        <v>633</v>
      </c>
      <c r="CC28" s="248">
        <v>975</v>
      </c>
      <c r="CD28" s="248">
        <v>975</v>
      </c>
      <c r="CE28" s="248">
        <v>975</v>
      </c>
      <c r="CF28" s="248">
        <v>0</v>
      </c>
    </row>
    <row r="29" spans="1:84" x14ac:dyDescent="0.25">
      <c r="A29" s="254" t="s">
        <v>677</v>
      </c>
      <c r="B29" s="255" t="s">
        <v>645</v>
      </c>
      <c r="C29" s="255" t="s">
        <v>636</v>
      </c>
      <c r="D29" s="233"/>
      <c r="E29" s="234">
        <v>1243.1300000000001</v>
      </c>
      <c r="F29" s="235">
        <v>1243.1300000000001</v>
      </c>
      <c r="G29" s="256"/>
      <c r="H29" s="257"/>
      <c r="I29" s="237"/>
      <c r="J29" s="238">
        <v>1243.1300000000001</v>
      </c>
      <c r="K29" s="239"/>
      <c r="L29" s="240"/>
      <c r="M29" s="8">
        <v>1243.1300000000001</v>
      </c>
      <c r="N29" s="241">
        <v>1243.1300000000001</v>
      </c>
      <c r="O29" s="71"/>
      <c r="P29" s="100"/>
      <c r="Q29" s="9"/>
      <c r="R29" s="9"/>
      <c r="S29" s="9"/>
      <c r="T29" s="258">
        <v>45901</v>
      </c>
      <c r="U29" s="10"/>
      <c r="V29" s="23"/>
      <c r="W29" s="11"/>
      <c r="X29" s="8">
        <v>1243.1300000000001</v>
      </c>
      <c r="Y29" s="9"/>
      <c r="Z29" s="9"/>
      <c r="AA29" s="9"/>
      <c r="AB29" s="10"/>
      <c r="AC29" s="24">
        <v>0</v>
      </c>
      <c r="AD29" s="11">
        <v>0</v>
      </c>
      <c r="AE29" s="8">
        <v>0</v>
      </c>
      <c r="AF29" s="9"/>
      <c r="AG29" s="10"/>
      <c r="AH29" s="11"/>
      <c r="AI29" s="8">
        <v>1243.1300000000001</v>
      </c>
      <c r="AJ29" s="9"/>
      <c r="AK29" s="10"/>
      <c r="AL29" s="25"/>
      <c r="AM29" s="25"/>
      <c r="AN29" s="25"/>
      <c r="AO29" s="10"/>
      <c r="AP29" s="12">
        <v>1243.1300000000001</v>
      </c>
      <c r="AQ29" s="12"/>
      <c r="AR29" s="12"/>
      <c r="AS29" s="242"/>
      <c r="AT29" s="243"/>
      <c r="AU29" s="242"/>
      <c r="AV29" s="242"/>
      <c r="AW29" s="244"/>
      <c r="AX29" s="243" t="s">
        <v>630</v>
      </c>
      <c r="AY29" s="243" t="s">
        <v>630</v>
      </c>
      <c r="AZ29" s="15">
        <v>1243.1300000000001</v>
      </c>
      <c r="BA29" s="15">
        <v>1243.1300000000001</v>
      </c>
      <c r="BB29" s="15">
        <v>1243.1300000000001</v>
      </c>
      <c r="BC29" s="15">
        <v>1243.1300000000001</v>
      </c>
      <c r="BD29" s="242">
        <v>0</v>
      </c>
      <c r="BE29" s="242">
        <v>0</v>
      </c>
      <c r="BF29" s="242"/>
      <c r="BG29" s="242">
        <v>2</v>
      </c>
      <c r="BH29" s="242">
        <v>0</v>
      </c>
      <c r="BI29" s="242">
        <v>0</v>
      </c>
      <c r="BJ29" s="242"/>
      <c r="BK29" s="242"/>
      <c r="BL29" s="242"/>
      <c r="BM29" s="242"/>
      <c r="BN29" s="297"/>
      <c r="BO29" s="297"/>
      <c r="BP29" s="297"/>
      <c r="BQ29" s="297"/>
      <c r="BR29" s="245"/>
      <c r="BS29" s="245"/>
      <c r="BT29" s="242"/>
      <c r="BU29" s="242"/>
      <c r="BV29" s="246" t="s">
        <v>634</v>
      </c>
      <c r="BW29" s="242">
        <v>0</v>
      </c>
      <c r="BX29" s="242">
        <v>0</v>
      </c>
      <c r="BY29" s="242">
        <v>0</v>
      </c>
      <c r="BZ29" s="242">
        <v>0</v>
      </c>
      <c r="CA29" s="242">
        <v>0</v>
      </c>
      <c r="CB29" s="243" t="s">
        <v>633</v>
      </c>
      <c r="CC29" s="248">
        <v>1243.1300000000001</v>
      </c>
      <c r="CD29" s="248">
        <v>1243.1300000000001</v>
      </c>
      <c r="CE29" s="248">
        <v>1243.1300000000001</v>
      </c>
      <c r="CF29" s="248">
        <v>0</v>
      </c>
    </row>
    <row r="30" spans="1:84" x14ac:dyDescent="0.25">
      <c r="A30" s="254" t="s">
        <v>678</v>
      </c>
      <c r="B30" s="255" t="s">
        <v>679</v>
      </c>
      <c r="C30" s="255" t="s">
        <v>636</v>
      </c>
      <c r="D30" s="233"/>
      <c r="E30" s="234">
        <v>5000</v>
      </c>
      <c r="F30" s="235">
        <v>5000</v>
      </c>
      <c r="G30" s="256"/>
      <c r="H30" s="257"/>
      <c r="I30" s="237"/>
      <c r="J30" s="238">
        <v>5000</v>
      </c>
      <c r="K30" s="239"/>
      <c r="L30" s="240"/>
      <c r="M30" s="8">
        <v>4081.9</v>
      </c>
      <c r="N30" s="241">
        <v>4081.9</v>
      </c>
      <c r="O30" s="71"/>
      <c r="P30" s="100"/>
      <c r="Q30" s="9"/>
      <c r="R30" s="9"/>
      <c r="S30" s="9"/>
      <c r="T30" s="258">
        <v>45931</v>
      </c>
      <c r="U30" s="10"/>
      <c r="V30" s="23"/>
      <c r="W30" s="11"/>
      <c r="X30" s="8">
        <v>4081.9</v>
      </c>
      <c r="Y30" s="9"/>
      <c r="Z30" s="9"/>
      <c r="AA30" s="9"/>
      <c r="AB30" s="10"/>
      <c r="AC30" s="24">
        <v>0</v>
      </c>
      <c r="AD30" s="11">
        <v>0</v>
      </c>
      <c r="AE30" s="8">
        <v>0</v>
      </c>
      <c r="AF30" s="9"/>
      <c r="AG30" s="10"/>
      <c r="AH30" s="11"/>
      <c r="AI30" s="8">
        <v>4081.9</v>
      </c>
      <c r="AJ30" s="9"/>
      <c r="AK30" s="10"/>
      <c r="AL30" s="25"/>
      <c r="AM30" s="25"/>
      <c r="AN30" s="25"/>
      <c r="AO30" s="10"/>
      <c r="AP30" s="12">
        <v>5000</v>
      </c>
      <c r="AQ30" s="12"/>
      <c r="AR30" s="12"/>
      <c r="AS30" s="242"/>
      <c r="AT30" s="243"/>
      <c r="AU30" s="242"/>
      <c r="AV30" s="242"/>
      <c r="AW30" s="244"/>
      <c r="AX30" s="243" t="s">
        <v>630</v>
      </c>
      <c r="AY30" s="243" t="s">
        <v>630</v>
      </c>
      <c r="AZ30" s="15">
        <v>5000</v>
      </c>
      <c r="BA30" s="15">
        <v>4081.9</v>
      </c>
      <c r="BB30" s="15">
        <v>5000</v>
      </c>
      <c r="BC30" s="15">
        <v>4081.9</v>
      </c>
      <c r="BD30" s="242">
        <v>0</v>
      </c>
      <c r="BE30" s="242">
        <v>0</v>
      </c>
      <c r="BF30" s="242"/>
      <c r="BG30" s="242">
        <v>2</v>
      </c>
      <c r="BH30" s="242">
        <v>0</v>
      </c>
      <c r="BI30" s="242">
        <v>0</v>
      </c>
      <c r="BJ30" s="242"/>
      <c r="BK30" s="242"/>
      <c r="BL30" s="242"/>
      <c r="BM30" s="242"/>
      <c r="BN30" s="297"/>
      <c r="BO30" s="297"/>
      <c r="BP30" s="297"/>
      <c r="BQ30" s="297"/>
      <c r="BR30" s="245"/>
      <c r="BS30" s="245"/>
      <c r="BT30" s="242"/>
      <c r="BU30" s="242"/>
      <c r="BV30" s="246" t="s">
        <v>634</v>
      </c>
      <c r="BW30" s="242">
        <v>0</v>
      </c>
      <c r="BX30" s="242">
        <v>0</v>
      </c>
      <c r="BY30" s="242">
        <v>0</v>
      </c>
      <c r="BZ30" s="242">
        <v>0</v>
      </c>
      <c r="CA30" s="242">
        <v>0</v>
      </c>
      <c r="CB30" s="243" t="s">
        <v>633</v>
      </c>
      <c r="CC30" s="248">
        <v>4081.9</v>
      </c>
      <c r="CD30" s="248">
        <v>4081.9</v>
      </c>
      <c r="CE30" s="248">
        <v>5000</v>
      </c>
      <c r="CF30" s="248">
        <v>0</v>
      </c>
    </row>
    <row r="31" spans="1:84" x14ac:dyDescent="0.25">
      <c r="A31" s="254" t="s">
        <v>680</v>
      </c>
      <c r="B31" s="255" t="s">
        <v>681</v>
      </c>
      <c r="C31" s="255" t="s">
        <v>636</v>
      </c>
      <c r="D31" s="233"/>
      <c r="E31" s="234">
        <v>66330</v>
      </c>
      <c r="F31" s="235">
        <v>95130</v>
      </c>
      <c r="G31" s="256"/>
      <c r="H31" s="257"/>
      <c r="I31" s="237"/>
      <c r="J31" s="238">
        <v>37530</v>
      </c>
      <c r="K31" s="239"/>
      <c r="L31" s="240"/>
      <c r="M31" s="8">
        <v>31423.11</v>
      </c>
      <c r="N31" s="241">
        <v>29392.09</v>
      </c>
      <c r="O31" s="71"/>
      <c r="P31" s="100"/>
      <c r="Q31" s="9"/>
      <c r="R31" s="9"/>
      <c r="S31" s="9"/>
      <c r="T31" s="258">
        <v>46082</v>
      </c>
      <c r="U31" s="10"/>
      <c r="V31" s="23"/>
      <c r="W31" s="11"/>
      <c r="X31" s="8">
        <v>29392.09</v>
      </c>
      <c r="Y31" s="9"/>
      <c r="Z31" s="9"/>
      <c r="AA31" s="9"/>
      <c r="AB31" s="10"/>
      <c r="AC31" s="24">
        <v>0</v>
      </c>
      <c r="AD31" s="11">
        <v>0</v>
      </c>
      <c r="AE31" s="8">
        <v>0</v>
      </c>
      <c r="AF31" s="9"/>
      <c r="AG31" s="10"/>
      <c r="AH31" s="11"/>
      <c r="AI31" s="8">
        <v>29392.09</v>
      </c>
      <c r="AJ31" s="9"/>
      <c r="AK31" s="10"/>
      <c r="AL31" s="25"/>
      <c r="AM31" s="25"/>
      <c r="AN31" s="25"/>
      <c r="AO31" s="10"/>
      <c r="AP31" s="12">
        <v>37530</v>
      </c>
      <c r="AQ31" s="12"/>
      <c r="AR31" s="12"/>
      <c r="AS31" s="242"/>
      <c r="AT31" s="243"/>
      <c r="AU31" s="242"/>
      <c r="AV31" s="242"/>
      <c r="AW31" s="244"/>
      <c r="AX31" s="243" t="s">
        <v>630</v>
      </c>
      <c r="AY31" s="243" t="s">
        <v>630</v>
      </c>
      <c r="AZ31" s="15">
        <v>66330</v>
      </c>
      <c r="BA31" s="15">
        <v>54251</v>
      </c>
      <c r="BB31" s="15">
        <v>37530</v>
      </c>
      <c r="BC31" s="15">
        <v>29392.09</v>
      </c>
      <c r="BD31" s="242">
        <v>0</v>
      </c>
      <c r="BE31" s="242">
        <v>0</v>
      </c>
      <c r="BF31" s="242"/>
      <c r="BG31" s="242">
        <v>2</v>
      </c>
      <c r="BH31" s="242">
        <v>0</v>
      </c>
      <c r="BI31" s="242">
        <v>0</v>
      </c>
      <c r="BJ31" s="242"/>
      <c r="BK31" s="242"/>
      <c r="BL31" s="242"/>
      <c r="BM31" s="242"/>
      <c r="BN31" s="297"/>
      <c r="BO31" s="297"/>
      <c r="BP31" s="297"/>
      <c r="BQ31" s="297"/>
      <c r="BR31" s="245"/>
      <c r="BS31" s="245"/>
      <c r="BT31" s="242"/>
      <c r="BU31" s="242"/>
      <c r="BV31" s="246" t="s">
        <v>634</v>
      </c>
      <c r="BW31" s="242">
        <v>0</v>
      </c>
      <c r="BX31" s="242">
        <v>0</v>
      </c>
      <c r="BY31" s="242">
        <v>0</v>
      </c>
      <c r="BZ31" s="242">
        <v>0</v>
      </c>
      <c r="CA31" s="242">
        <v>0</v>
      </c>
      <c r="CB31" s="243" t="s">
        <v>633</v>
      </c>
      <c r="CC31" s="248">
        <v>29392.09</v>
      </c>
      <c r="CD31" s="248">
        <v>29392.09</v>
      </c>
      <c r="CE31" s="248">
        <v>37530</v>
      </c>
      <c r="CF31" s="248">
        <v>0</v>
      </c>
    </row>
    <row r="32" spans="1:84" x14ac:dyDescent="0.25">
      <c r="A32" s="254"/>
      <c r="B32" s="93" t="s">
        <v>682</v>
      </c>
      <c r="C32" s="255"/>
      <c r="D32" s="233"/>
      <c r="E32" s="279">
        <f>SUM(E24:E31)</f>
        <v>141305.02000000002</v>
      </c>
      <c r="F32" s="268">
        <f>SUM(F24:F31)</f>
        <v>170105.02000000002</v>
      </c>
      <c r="G32" s="256"/>
      <c r="H32" s="257"/>
      <c r="I32" s="237"/>
      <c r="J32" s="280">
        <f>SUM(J24:J31)</f>
        <v>98775.700000000012</v>
      </c>
      <c r="K32" s="239"/>
      <c r="L32" s="240"/>
      <c r="M32" s="272">
        <f>SUM(M24:M31)</f>
        <v>108541.37</v>
      </c>
      <c r="N32" s="281">
        <f>SUM(N24:N31)</f>
        <v>89719.69</v>
      </c>
      <c r="O32" s="71"/>
      <c r="P32" s="100"/>
      <c r="Q32" s="270">
        <f>SUM(Q24:Q31)</f>
        <v>0</v>
      </c>
      <c r="R32" s="270">
        <f>SUM(R24:R31)</f>
        <v>0</v>
      </c>
      <c r="S32" s="270">
        <f>SUM(S24:S31)</f>
        <v>0</v>
      </c>
      <c r="T32" s="258"/>
      <c r="U32" s="10"/>
      <c r="V32" s="23"/>
      <c r="W32" s="271">
        <f>SUM(W24:W31)</f>
        <v>0</v>
      </c>
      <c r="X32" s="272">
        <f>SUM(X24:X31)</f>
        <v>89719.69</v>
      </c>
      <c r="Y32" s="270">
        <f>SUM(Y24:Y31)</f>
        <v>0</v>
      </c>
      <c r="Z32" s="270">
        <f>SUM(Z24:Z31)</f>
        <v>0</v>
      </c>
      <c r="AA32" s="270">
        <f>SUM(AA24:AA31)</f>
        <v>0</v>
      </c>
      <c r="AB32" s="10"/>
      <c r="AC32" s="24"/>
      <c r="AD32" s="271">
        <f>SUM(AD24:AD31)</f>
        <v>0</v>
      </c>
      <c r="AE32" s="272">
        <f>SUM(AE24:AE31)</f>
        <v>0</v>
      </c>
      <c r="AF32" s="270">
        <f>SUM(AF24:AF31)</f>
        <v>0</v>
      </c>
      <c r="AG32" s="10"/>
      <c r="AH32" s="271">
        <f>SUM(AH24:AH31)</f>
        <v>0</v>
      </c>
      <c r="AI32" s="272">
        <f>SUM(AI24:AI31)</f>
        <v>89719.69</v>
      </c>
      <c r="AJ32" s="270">
        <f>SUM(AJ24:AJ31)</f>
        <v>0</v>
      </c>
      <c r="AK32" s="10"/>
      <c r="AL32" s="283">
        <f>SUM(AL24:AL31)</f>
        <v>0</v>
      </c>
      <c r="AM32" s="283">
        <f>SUM(AM24:AM31)</f>
        <v>0</v>
      </c>
      <c r="AN32" s="283">
        <f>SUM(AN24:AN31)</f>
        <v>0</v>
      </c>
      <c r="AO32" s="10"/>
      <c r="AP32" s="284">
        <f>SUM(AP24:AP31)</f>
        <v>98775.700000000012</v>
      </c>
      <c r="AQ32" s="284">
        <f>SUM(AQ24:AQ31)</f>
        <v>0</v>
      </c>
      <c r="AR32" s="284">
        <f>SUM(AR24:AR31)</f>
        <v>0</v>
      </c>
      <c r="AS32" s="242"/>
      <c r="AT32" s="243"/>
      <c r="AU32" s="242"/>
      <c r="AV32" s="242"/>
      <c r="AW32" s="244"/>
      <c r="AX32" s="243"/>
      <c r="AY32" s="243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97"/>
      <c r="BO32" s="297"/>
      <c r="BP32" s="297"/>
      <c r="BQ32" s="297"/>
      <c r="BR32" s="245"/>
      <c r="BS32" s="245"/>
      <c r="BT32" s="242"/>
      <c r="BU32" s="242"/>
      <c r="BV32" s="246"/>
      <c r="BW32" s="242"/>
      <c r="BX32" s="242"/>
      <c r="BY32" s="242"/>
      <c r="BZ32" s="242"/>
      <c r="CA32" s="242"/>
      <c r="CB32" s="243"/>
      <c r="CC32" s="248"/>
      <c r="CD32" s="248"/>
      <c r="CE32" s="248"/>
      <c r="CF32" s="248"/>
    </row>
    <row r="33" spans="1:84" x14ac:dyDescent="0.25">
      <c r="A33" s="254"/>
      <c r="B33" s="255"/>
      <c r="C33" s="255"/>
      <c r="D33" s="233"/>
      <c r="E33" s="234"/>
      <c r="F33" s="235"/>
      <c r="G33" s="256"/>
      <c r="H33" s="257"/>
      <c r="I33" s="237"/>
      <c r="J33" s="238"/>
      <c r="K33" s="239"/>
      <c r="L33" s="240"/>
      <c r="M33" s="8"/>
      <c r="N33" s="241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2"/>
      <c r="AT33" s="243"/>
      <c r="AU33" s="242"/>
      <c r="AV33" s="242"/>
      <c r="AW33" s="244"/>
      <c r="AX33" s="243"/>
      <c r="AY33" s="243"/>
      <c r="AZ33" s="242"/>
      <c r="BA33" s="242"/>
      <c r="BB33" s="242"/>
      <c r="BC33" s="242"/>
      <c r="BD33" s="242"/>
      <c r="BE33" s="242"/>
      <c r="BF33" s="242"/>
      <c r="BG33" s="242"/>
      <c r="BH33" s="242"/>
      <c r="BI33" s="242"/>
      <c r="BJ33" s="242"/>
      <c r="BK33" s="242"/>
      <c r="BL33" s="242"/>
      <c r="BM33" s="242"/>
      <c r="BN33" s="297"/>
      <c r="BO33" s="297"/>
      <c r="BP33" s="297"/>
      <c r="BQ33" s="297"/>
      <c r="BR33" s="245"/>
      <c r="BS33" s="245"/>
      <c r="BT33" s="242"/>
      <c r="BU33" s="242"/>
      <c r="BV33" s="246"/>
      <c r="BW33" s="242"/>
      <c r="BX33" s="242"/>
      <c r="BY33" s="242"/>
      <c r="BZ33" s="242"/>
      <c r="CA33" s="242"/>
      <c r="CB33" s="243"/>
      <c r="CC33" s="248"/>
      <c r="CD33" s="248"/>
      <c r="CE33" s="248"/>
      <c r="CF33" s="248"/>
    </row>
    <row r="34" spans="1:84" x14ac:dyDescent="0.25">
      <c r="A34" s="254"/>
      <c r="B34" s="93" t="s">
        <v>683</v>
      </c>
      <c r="C34" s="255"/>
      <c r="D34" s="233"/>
      <c r="E34" s="279">
        <f>SUM(E7:E33)/2</f>
        <v>1796132.9000000001</v>
      </c>
      <c r="F34" s="268">
        <f>SUM(F7:F33)/2</f>
        <v>1824932.9000000001</v>
      </c>
      <c r="G34" s="256"/>
      <c r="H34" s="257"/>
      <c r="I34" s="237"/>
      <c r="J34" s="280">
        <f>SUM(J7:J33)/2</f>
        <v>1204651.33</v>
      </c>
      <c r="K34" s="239"/>
      <c r="L34" s="240"/>
      <c r="M34" s="272">
        <f>SUM(M7:M33)/2</f>
        <v>1353759.3199999998</v>
      </c>
      <c r="N34" s="281">
        <f>SUM(N7:N33)/2</f>
        <v>779656.14999999991</v>
      </c>
      <c r="O34" s="71"/>
      <c r="P34" s="100"/>
      <c r="Q34" s="270">
        <f>SUM(Q7:Q33)/2</f>
        <v>0</v>
      </c>
      <c r="R34" s="270">
        <f>SUM(R7:R33)/2</f>
        <v>0</v>
      </c>
      <c r="S34" s="270">
        <f>SUM(S7:S33)/2</f>
        <v>0</v>
      </c>
      <c r="T34" s="258"/>
      <c r="U34" s="10"/>
      <c r="V34" s="23"/>
      <c r="W34" s="271">
        <f>SUM(W7:W33)/2</f>
        <v>0</v>
      </c>
      <c r="X34" s="272">
        <f>SUM(X7:X33)/2</f>
        <v>634158.11</v>
      </c>
      <c r="Y34" s="270">
        <f>SUM(Y7:Y33)/2</f>
        <v>0</v>
      </c>
      <c r="Z34" s="270">
        <f>SUM(Z7:Z33)/2</f>
        <v>0</v>
      </c>
      <c r="AA34" s="270">
        <f>SUM(AA7:AA33)/2</f>
        <v>0</v>
      </c>
      <c r="AB34" s="10"/>
      <c r="AC34" s="24"/>
      <c r="AD34" s="271">
        <f>SUM(AD7:AD33)/2</f>
        <v>0</v>
      </c>
      <c r="AE34" s="272">
        <f>SUM(AE7:AE33)/2</f>
        <v>0</v>
      </c>
      <c r="AF34" s="270">
        <f>SUM(AF7:AF33)/2</f>
        <v>0</v>
      </c>
      <c r="AG34" s="10"/>
      <c r="AH34" s="271">
        <f>SUM(AH7:AH33)/2</f>
        <v>0</v>
      </c>
      <c r="AI34" s="272">
        <f>SUM(AI7:AI33)/2</f>
        <v>634158.11</v>
      </c>
      <c r="AJ34" s="270">
        <f>SUM(AJ7:AJ33)/2</f>
        <v>0</v>
      </c>
      <c r="AK34" s="10"/>
      <c r="AL34" s="283">
        <f>SUM(AL7:AL33)/2</f>
        <v>0</v>
      </c>
      <c r="AM34" s="283">
        <f>SUM(AM7:AM33)/2</f>
        <v>0</v>
      </c>
      <c r="AN34" s="283">
        <f>SUM(AN7:AN33)/2</f>
        <v>0</v>
      </c>
      <c r="AO34" s="10"/>
      <c r="AP34" s="284">
        <f>SUM(AP7:AP33)/2</f>
        <v>677714.1399999999</v>
      </c>
      <c r="AQ34" s="284">
        <f>SUM(AQ7:AQ33)/2</f>
        <v>0</v>
      </c>
      <c r="AR34" s="284">
        <f>SUM(AR7:AR33)/2</f>
        <v>0</v>
      </c>
      <c r="AS34" s="242"/>
      <c r="AT34" s="243"/>
      <c r="AU34" s="242"/>
      <c r="AV34" s="242"/>
      <c r="AW34" s="244"/>
      <c r="AX34" s="243"/>
      <c r="AY34" s="243"/>
      <c r="AZ34" s="242"/>
      <c r="BA34" s="242"/>
      <c r="BB34" s="242"/>
      <c r="BC34" s="242"/>
      <c r="BD34" s="242"/>
      <c r="BE34" s="242"/>
      <c r="BF34" s="242"/>
      <c r="BG34" s="242"/>
      <c r="BH34" s="242"/>
      <c r="BI34" s="242"/>
      <c r="BJ34" s="242"/>
      <c r="BK34" s="242"/>
      <c r="BL34" s="242"/>
      <c r="BM34" s="242"/>
      <c r="BN34" s="297"/>
      <c r="BO34" s="297"/>
      <c r="BP34" s="297"/>
      <c r="BQ34" s="297"/>
      <c r="BR34" s="245"/>
      <c r="BS34" s="245"/>
      <c r="BT34" s="242"/>
      <c r="BU34" s="242"/>
      <c r="BV34" s="246"/>
      <c r="BW34" s="242"/>
      <c r="BX34" s="242"/>
      <c r="BY34" s="242"/>
      <c r="BZ34" s="242"/>
      <c r="CA34" s="242"/>
      <c r="CB34" s="243"/>
      <c r="CC34" s="248"/>
      <c r="CD34" s="248"/>
      <c r="CE34" s="248"/>
      <c r="CF34" s="248"/>
    </row>
    <row r="35" spans="1:84" x14ac:dyDescent="0.25">
      <c r="A35" s="254"/>
      <c r="B35" s="255"/>
      <c r="C35" s="255"/>
      <c r="D35" s="233"/>
      <c r="E35" s="234"/>
      <c r="F35" s="235"/>
      <c r="G35" s="256"/>
      <c r="H35" s="257"/>
      <c r="I35" s="237"/>
      <c r="J35" s="238"/>
      <c r="K35" s="239"/>
      <c r="L35" s="240"/>
      <c r="M35" s="8"/>
      <c r="N35" s="241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2"/>
      <c r="AT35" s="243"/>
      <c r="AU35" s="242"/>
      <c r="AV35" s="242"/>
      <c r="AW35" s="244"/>
      <c r="AX35" s="243"/>
      <c r="AY35" s="243"/>
      <c r="AZ35" s="242"/>
      <c r="BA35" s="242"/>
      <c r="BB35" s="242"/>
      <c r="BC35" s="242"/>
      <c r="BD35" s="242"/>
      <c r="BE35" s="242"/>
      <c r="BF35" s="242"/>
      <c r="BG35" s="242"/>
      <c r="BH35" s="242"/>
      <c r="BI35" s="242"/>
      <c r="BJ35" s="242"/>
      <c r="BK35" s="242"/>
      <c r="BL35" s="242"/>
      <c r="BM35" s="242"/>
      <c r="BN35" s="297"/>
      <c r="BO35" s="297"/>
      <c r="BP35" s="297"/>
      <c r="BQ35" s="297"/>
      <c r="BR35" s="245"/>
      <c r="BS35" s="245"/>
      <c r="BT35" s="242"/>
      <c r="BU35" s="242"/>
      <c r="BV35" s="246"/>
      <c r="BW35" s="242"/>
      <c r="BX35" s="242"/>
      <c r="BY35" s="242"/>
      <c r="BZ35" s="242"/>
      <c r="CA35" s="242"/>
      <c r="CB35" s="243"/>
      <c r="CC35" s="248"/>
      <c r="CD35" s="248"/>
      <c r="CE35" s="248"/>
      <c r="CF35" s="248"/>
    </row>
    <row r="36" spans="1:84" x14ac:dyDescent="0.25">
      <c r="A36" s="300"/>
      <c r="B36" s="299" t="s">
        <v>647</v>
      </c>
      <c r="C36" s="93"/>
      <c r="D36" s="267"/>
      <c r="E36" s="279">
        <f>SUMIF(BG8:BG36,1, E8:E36)</f>
        <v>1654827.8800000001</v>
      </c>
      <c r="F36" s="268">
        <f>SUMIF(BG8:BG36,1, F8:F36)</f>
        <v>1654827.8800000001</v>
      </c>
      <c r="G36" s="301"/>
      <c r="H36" s="113"/>
      <c r="I36" s="104"/>
      <c r="J36" s="280">
        <f>SUMIF(BG8:BG36,1, J8:J36)</f>
        <v>1105875.6300000001</v>
      </c>
      <c r="K36" s="288"/>
      <c r="L36" s="98"/>
      <c r="M36" s="272">
        <f>SUMIF(BG8:BG36,1, M8:M36)</f>
        <v>1245217.95</v>
      </c>
      <c r="N36" s="281">
        <f>SUMIF(BG8:BG36,1, N8:N36)</f>
        <v>689936.46000000008</v>
      </c>
      <c r="O36" s="289"/>
      <c r="P36" s="99"/>
      <c r="Q36" s="270">
        <f>SUMIF(BG8:BG36,1, Q8:Q36)</f>
        <v>0</v>
      </c>
      <c r="R36" s="270">
        <f>SUMIF(BG8:BG36,1, R8:R36)</f>
        <v>0</v>
      </c>
      <c r="S36" s="270">
        <f>SUMIF(BG8:BG36,1, S8:S36)</f>
        <v>0</v>
      </c>
      <c r="T36" s="302"/>
      <c r="U36" s="291"/>
      <c r="V36" s="292"/>
      <c r="W36" s="271">
        <f>SUMIF(BG8:BG36,1, W8:W36)</f>
        <v>0</v>
      </c>
      <c r="X36" s="272">
        <f>SUMIF(BG8:BG36,1, X8:X36)</f>
        <v>544438.42000000016</v>
      </c>
      <c r="Y36" s="270">
        <f>SUMIF(BG8:BG36,1, Y8:Y36)</f>
        <v>0</v>
      </c>
      <c r="Z36" s="270">
        <f>SUMIF(BG8:BG36,1, Z8:Z36)</f>
        <v>0</v>
      </c>
      <c r="AA36" s="270">
        <f>SUMIF(BG8:BG36,1, AA8:AA36)</f>
        <v>0</v>
      </c>
      <c r="AB36" s="291"/>
      <c r="AC36" s="293"/>
      <c r="AD36" s="271">
        <f>SUMIF(BG8:BG36,1, AD8:AD36)</f>
        <v>0</v>
      </c>
      <c r="AE36" s="272">
        <f>SUMIF(BG8:BG36,1, AE8:AE36)</f>
        <v>0</v>
      </c>
      <c r="AF36" s="270">
        <f>SUMIF(BG8:BG36,1, AF8:AF36)</f>
        <v>0</v>
      </c>
      <c r="AG36" s="291"/>
      <c r="AH36" s="271">
        <f>SUMIF(BG8:BG36,1, AH8:AH36)</f>
        <v>0</v>
      </c>
      <c r="AI36" s="272">
        <f>SUMIF(BG8:BG36,1, AI8:AI36)</f>
        <v>544438.42000000016</v>
      </c>
      <c r="AJ36" s="270">
        <f>SUMIF(BG8:BG36,1, AJ8:AJ36)</f>
        <v>0</v>
      </c>
      <c r="AK36" s="291"/>
      <c r="AL36" s="283">
        <f>SUMIF(BG8:BG36,1, AL8:AL36)</f>
        <v>0</v>
      </c>
      <c r="AM36" s="283">
        <f>SUMIF(BG8:BG36,1, AM8:AM36)</f>
        <v>0</v>
      </c>
      <c r="AN36" s="283">
        <f>SUMIF(BG8:BG36,1, AN8:AN36)</f>
        <v>0</v>
      </c>
      <c r="AO36" s="291"/>
      <c r="AP36" s="284">
        <f>SUMIF(BG8:BG36,1, AP8:AP36)</f>
        <v>578938.44000000006</v>
      </c>
      <c r="AQ36" s="284">
        <f>SUMIF(BG8:BG36,1, AQ8:AQ36)</f>
        <v>0</v>
      </c>
      <c r="AR36" s="284">
        <f>SUMIF(BG8:BG36,1, AR8:AR36)</f>
        <v>0</v>
      </c>
      <c r="AS36" s="15"/>
      <c r="AT36" s="274"/>
      <c r="AU36" s="15"/>
      <c r="AV36" s="15"/>
      <c r="AW36" s="275"/>
      <c r="AX36" s="274"/>
      <c r="AY36" s="274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298"/>
      <c r="BO36" s="298"/>
      <c r="BP36" s="298"/>
      <c r="BQ36" s="298"/>
      <c r="BR36" s="294"/>
      <c r="BS36" s="294"/>
      <c r="BT36" s="15"/>
      <c r="BU36" s="15"/>
      <c r="BV36" s="276"/>
      <c r="BW36" s="15"/>
      <c r="BX36" s="15"/>
      <c r="BY36" s="15"/>
      <c r="BZ36" s="15"/>
      <c r="CA36" s="15"/>
      <c r="CB36" s="274"/>
      <c r="CC36" s="277"/>
      <c r="CD36" s="277"/>
      <c r="CE36" s="277"/>
      <c r="CF36" s="277"/>
    </row>
    <row r="37" spans="1:84" x14ac:dyDescent="0.25">
      <c r="A37" s="300"/>
      <c r="B37" s="299" t="s">
        <v>648</v>
      </c>
      <c r="C37" s="93"/>
      <c r="D37" s="267"/>
      <c r="E37" s="279">
        <f>SUMIF(BG8:BG36,2, E8:E36)</f>
        <v>141305.02000000002</v>
      </c>
      <c r="F37" s="268">
        <f>SUMIF(BG8:BG36,2, F8:F36)</f>
        <v>170105.02000000002</v>
      </c>
      <c r="G37" s="301"/>
      <c r="H37" s="113"/>
      <c r="I37" s="104"/>
      <c r="J37" s="280">
        <f>SUMIF(BG8:BG36,2, J8:J36)</f>
        <v>98775.700000000012</v>
      </c>
      <c r="K37" s="288"/>
      <c r="L37" s="98"/>
      <c r="M37" s="272">
        <f>SUMIF(BG8:BG36,2, M8:M36)</f>
        <v>108541.37</v>
      </c>
      <c r="N37" s="281">
        <f>SUMIF(BG8:BG36,2, N8:N36)</f>
        <v>89719.69</v>
      </c>
      <c r="O37" s="289"/>
      <c r="P37" s="99"/>
      <c r="Q37" s="270">
        <f>SUMIF(BG8:BG36,2, Q8:Q36)</f>
        <v>0</v>
      </c>
      <c r="R37" s="270">
        <f>SUMIF(BG8:BG36,2, R8:R36)</f>
        <v>0</v>
      </c>
      <c r="S37" s="270">
        <f>SUMIF(BG8:BG36,2, S8:S36)</f>
        <v>0</v>
      </c>
      <c r="T37" s="302"/>
      <c r="U37" s="291"/>
      <c r="V37" s="292"/>
      <c r="W37" s="271">
        <f>SUMIF(BG8:BG36,2, W8:W36)</f>
        <v>0</v>
      </c>
      <c r="X37" s="272">
        <f>SUMIF(BG8:BG36,2, X8:X36)</f>
        <v>89719.69</v>
      </c>
      <c r="Y37" s="270">
        <f>SUMIF(BG8:BG36,2, Y8:Y36)</f>
        <v>0</v>
      </c>
      <c r="Z37" s="270">
        <f>SUMIF(BG8:BG36,2, Z8:Z36)</f>
        <v>0</v>
      </c>
      <c r="AA37" s="270">
        <f>SUMIF(BG8:BG36,2, AA8:AA36)</f>
        <v>0</v>
      </c>
      <c r="AB37" s="291"/>
      <c r="AC37" s="293"/>
      <c r="AD37" s="271">
        <f>SUMIF(BG8:BG36,2, AD8:AD36)</f>
        <v>0</v>
      </c>
      <c r="AE37" s="272">
        <f>SUMIF(BG8:BG36,2, AE8:AE36)</f>
        <v>0</v>
      </c>
      <c r="AF37" s="270">
        <f>SUMIF(BG8:BG36,2, AF8:AF36)</f>
        <v>0</v>
      </c>
      <c r="AG37" s="291"/>
      <c r="AH37" s="271">
        <f>SUMIF(BG8:BG36,2, AH8:AH36)</f>
        <v>0</v>
      </c>
      <c r="AI37" s="272">
        <f>SUMIF(BG8:BG36,2, AI8:AI36)</f>
        <v>89719.69</v>
      </c>
      <c r="AJ37" s="270">
        <f>SUMIF(BG8:BG36,2, AJ8:AJ36)</f>
        <v>0</v>
      </c>
      <c r="AK37" s="291"/>
      <c r="AL37" s="283">
        <f>SUMIF(BG8:BG36,2, AL8:AL36)</f>
        <v>0</v>
      </c>
      <c r="AM37" s="283">
        <f>SUMIF(BG8:BG36,2, AM8:AM36)</f>
        <v>0</v>
      </c>
      <c r="AN37" s="283">
        <f>SUMIF(BG8:BG36,2, AN8:AN36)</f>
        <v>0</v>
      </c>
      <c r="AO37" s="291"/>
      <c r="AP37" s="284">
        <f>SUMIF(BG8:BG36,2, AP8:AP36)</f>
        <v>98775.700000000012</v>
      </c>
      <c r="AQ37" s="284">
        <f>SUMIF(BG8:BG36,2, AQ8:AQ36)</f>
        <v>0</v>
      </c>
      <c r="AR37" s="284">
        <f>SUMIF(BG8:BG36,2, AR8:AR36)</f>
        <v>0</v>
      </c>
      <c r="AS37" s="15"/>
      <c r="AT37" s="274"/>
      <c r="AU37" s="15"/>
      <c r="AV37" s="15"/>
      <c r="AW37" s="275"/>
      <c r="AX37" s="274"/>
      <c r="AY37" s="274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298"/>
      <c r="BO37" s="298"/>
      <c r="BP37" s="298"/>
      <c r="BQ37" s="298"/>
      <c r="BR37" s="294"/>
      <c r="BS37" s="294"/>
      <c r="BT37" s="15"/>
      <c r="BU37" s="15"/>
      <c r="BV37" s="276"/>
      <c r="BW37" s="15"/>
      <c r="BX37" s="15"/>
      <c r="BY37" s="15"/>
      <c r="BZ37" s="15"/>
      <c r="CA37" s="15"/>
      <c r="CB37" s="274"/>
      <c r="CC37" s="277"/>
      <c r="CD37" s="277"/>
      <c r="CE37" s="277"/>
      <c r="CF37" s="277"/>
    </row>
    <row r="38" spans="1:84" x14ac:dyDescent="0.25">
      <c r="A38" s="300"/>
      <c r="B38" s="299" t="s">
        <v>646</v>
      </c>
      <c r="C38" s="93"/>
      <c r="D38" s="267"/>
      <c r="E38" s="279">
        <f>SUM(E8:E37)/4</f>
        <v>1796132.9</v>
      </c>
      <c r="F38" s="268">
        <f>SUM(F8:F37)/4</f>
        <v>1824932.9</v>
      </c>
      <c r="G38" s="301"/>
      <c r="H38" s="113"/>
      <c r="I38" s="104"/>
      <c r="J38" s="280">
        <f>SUM(J8:J37)/4</f>
        <v>1204651.33</v>
      </c>
      <c r="K38" s="288"/>
      <c r="L38" s="98"/>
      <c r="M38" s="272">
        <f>SUM(M8:M37)/4</f>
        <v>1353759.3199999998</v>
      </c>
      <c r="N38" s="281">
        <f>SUM(N8:N37)/4</f>
        <v>779656.14999999991</v>
      </c>
      <c r="O38" s="289"/>
      <c r="P38" s="99"/>
      <c r="Q38" s="270">
        <f>SUM(Q8:Q37)/4</f>
        <v>0</v>
      </c>
      <c r="R38" s="270">
        <f>SUM(R8:R37)/4</f>
        <v>0</v>
      </c>
      <c r="S38" s="270">
        <f>SUM(S8:S37)/4</f>
        <v>0</v>
      </c>
      <c r="T38" s="302"/>
      <c r="U38" s="291"/>
      <c r="V38" s="292"/>
      <c r="W38" s="271">
        <f>SUM(W8:W37)/4</f>
        <v>0</v>
      </c>
      <c r="X38" s="272">
        <f>SUM(X8:X37)/4</f>
        <v>634158.11</v>
      </c>
      <c r="Y38" s="270">
        <f>SUM(Y8:Y37)/4</f>
        <v>0</v>
      </c>
      <c r="Z38" s="270">
        <f>SUM(Z8:Z37)/4</f>
        <v>0</v>
      </c>
      <c r="AA38" s="270">
        <f>SUM(AA8:AA37)/4</f>
        <v>0</v>
      </c>
      <c r="AB38" s="291"/>
      <c r="AC38" s="293"/>
      <c r="AD38" s="271">
        <f>SUM(AD8:AD37)/4</f>
        <v>0</v>
      </c>
      <c r="AE38" s="272">
        <f>SUM(AE8:AE37)/4</f>
        <v>0</v>
      </c>
      <c r="AF38" s="270">
        <f>SUM(AF8:AF37)/4</f>
        <v>0</v>
      </c>
      <c r="AG38" s="291"/>
      <c r="AH38" s="271">
        <f>SUM(AH8:AH37)/4</f>
        <v>0</v>
      </c>
      <c r="AI38" s="272">
        <f>SUM(AI8:AI37)/4</f>
        <v>634158.11</v>
      </c>
      <c r="AJ38" s="270">
        <f>SUM(AJ8:AJ37)/4</f>
        <v>0</v>
      </c>
      <c r="AK38" s="291"/>
      <c r="AL38" s="283">
        <f>SUM(AL8:AL37)/4</f>
        <v>0</v>
      </c>
      <c r="AM38" s="283">
        <f>SUM(AM8:AM37)/4</f>
        <v>0</v>
      </c>
      <c r="AN38" s="283">
        <f>SUM(AN8:AN37)/4</f>
        <v>0</v>
      </c>
      <c r="AO38" s="291"/>
      <c r="AP38" s="284">
        <f>SUM(AP8:AP37)/4</f>
        <v>677714.14</v>
      </c>
      <c r="AQ38" s="284">
        <f>SUM(AQ8:AQ37)/4</f>
        <v>0</v>
      </c>
      <c r="AR38" s="284">
        <f>SUM(AR8:AR37)/4</f>
        <v>0</v>
      </c>
      <c r="AS38" s="15"/>
      <c r="AT38" s="274"/>
      <c r="AU38" s="15"/>
      <c r="AV38" s="15"/>
      <c r="AW38" s="275"/>
      <c r="AX38" s="274"/>
      <c r="AY38" s="274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298"/>
      <c r="BO38" s="298"/>
      <c r="BP38" s="298"/>
      <c r="BQ38" s="298"/>
      <c r="BR38" s="294"/>
      <c r="BS38" s="294"/>
      <c r="BT38" s="15"/>
      <c r="BU38" s="15"/>
      <c r="BV38" s="276"/>
      <c r="BW38" s="15"/>
      <c r="BX38" s="15"/>
      <c r="BY38" s="15"/>
      <c r="BZ38" s="15"/>
      <c r="CA38" s="15"/>
      <c r="CB38" s="274"/>
      <c r="CC38" s="277"/>
      <c r="CD38" s="277"/>
      <c r="CE38" s="277"/>
      <c r="CF38" s="277"/>
    </row>
    <row r="39" spans="1:84" x14ac:dyDescent="0.25">
      <c r="A39" s="254"/>
      <c r="B39" s="255"/>
      <c r="C39" s="255"/>
      <c r="D39" s="233"/>
      <c r="E39" s="234"/>
      <c r="F39" s="235"/>
      <c r="G39" s="256"/>
      <c r="H39" s="257"/>
      <c r="I39" s="237"/>
      <c r="J39" s="238"/>
      <c r="K39" s="239"/>
      <c r="L39" s="240"/>
      <c r="M39" s="8"/>
      <c r="N39" s="241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2"/>
      <c r="AT39" s="243"/>
      <c r="AU39" s="242"/>
      <c r="AV39" s="242"/>
      <c r="AW39" s="244"/>
      <c r="AX39" s="243"/>
      <c r="AY39" s="243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97"/>
      <c r="BO39" s="297"/>
      <c r="BP39" s="297"/>
      <c r="BQ39" s="297"/>
      <c r="BR39" s="245"/>
      <c r="BS39" s="245"/>
      <c r="BT39" s="242"/>
      <c r="BU39" s="242"/>
      <c r="BV39" s="246"/>
      <c r="BW39" s="242"/>
      <c r="BX39" s="242"/>
      <c r="BY39" s="242"/>
      <c r="BZ39" s="242"/>
      <c r="CA39" s="242"/>
      <c r="CB39" s="243"/>
      <c r="CC39" s="248"/>
      <c r="CD39" s="248"/>
      <c r="CE39" s="248"/>
      <c r="CF39" s="248"/>
    </row>
    <row r="40" spans="1:84" x14ac:dyDescent="0.25">
      <c r="A40" s="254"/>
      <c r="B40" s="255"/>
      <c r="C40" s="255"/>
      <c r="D40" s="233"/>
      <c r="E40" s="234"/>
      <c r="F40" s="235"/>
      <c r="G40" s="256"/>
      <c r="H40" s="257"/>
      <c r="I40" s="237"/>
      <c r="J40" s="238"/>
      <c r="K40" s="239"/>
      <c r="L40" s="240"/>
      <c r="M40" s="8"/>
      <c r="N40" s="241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97"/>
      <c r="BO40" s="297"/>
      <c r="BP40" s="297"/>
      <c r="BQ40" s="297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4"/>
      <c r="B41" s="255"/>
      <c r="C41" s="255"/>
      <c r="D41" s="233"/>
      <c r="E41" s="234"/>
      <c r="F41" s="235"/>
      <c r="G41" s="256"/>
      <c r="H41" s="257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97"/>
      <c r="BO41" s="297"/>
      <c r="BP41" s="297"/>
      <c r="BQ41" s="297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4"/>
      <c r="B42" s="255"/>
      <c r="C42" s="255"/>
      <c r="D42" s="233"/>
      <c r="E42" s="234"/>
      <c r="F42" s="235"/>
      <c r="G42" s="256"/>
      <c r="H42" s="257"/>
      <c r="I42" s="237"/>
      <c r="J42" s="238"/>
      <c r="K42" s="239"/>
      <c r="L42" s="240"/>
      <c r="M42" s="8"/>
      <c r="N42" s="241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2"/>
      <c r="AT42" s="243"/>
      <c r="AU42" s="242"/>
      <c r="AV42" s="242"/>
      <c r="AW42" s="244"/>
      <c r="AX42" s="243"/>
      <c r="AY42" s="243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97"/>
      <c r="BO42" s="297"/>
      <c r="BP42" s="297"/>
      <c r="BQ42" s="297"/>
      <c r="BR42" s="245"/>
      <c r="BS42" s="245"/>
      <c r="BT42" s="242"/>
      <c r="BU42" s="242"/>
      <c r="BV42" s="246"/>
      <c r="BW42" s="242"/>
      <c r="BX42" s="242"/>
      <c r="BY42" s="242"/>
      <c r="BZ42" s="242"/>
      <c r="CA42" s="242"/>
      <c r="CB42" s="243"/>
      <c r="CC42" s="248"/>
      <c r="CD42" s="248"/>
      <c r="CE42" s="248"/>
      <c r="CF42" s="248"/>
    </row>
    <row r="43" spans="1:84" x14ac:dyDescent="0.25">
      <c r="A43" s="254"/>
      <c r="B43" s="255"/>
      <c r="C43" s="255"/>
      <c r="D43" s="233"/>
      <c r="E43" s="234"/>
      <c r="F43" s="235"/>
      <c r="G43" s="256"/>
      <c r="H43" s="257"/>
      <c r="I43" s="237"/>
      <c r="J43" s="238"/>
      <c r="K43" s="239"/>
      <c r="L43" s="240"/>
      <c r="M43" s="8"/>
      <c r="N43" s="241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97"/>
      <c r="BO43" s="297"/>
      <c r="BP43" s="297"/>
      <c r="BQ43" s="297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54"/>
      <c r="B44" s="255"/>
      <c r="C44" s="255"/>
      <c r="D44" s="233"/>
      <c r="E44" s="234"/>
      <c r="F44" s="235"/>
      <c r="G44" s="256"/>
      <c r="H44" s="257"/>
      <c r="I44" s="237"/>
      <c r="J44" s="238"/>
      <c r="K44" s="239"/>
      <c r="L44" s="240"/>
      <c r="M44" s="8"/>
      <c r="N44" s="241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2"/>
      <c r="AT44" s="243"/>
      <c r="AU44" s="242"/>
      <c r="AV44" s="242"/>
      <c r="AW44" s="244"/>
      <c r="AX44" s="243"/>
      <c r="AY44" s="243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97"/>
      <c r="BO44" s="297"/>
      <c r="BP44" s="297"/>
      <c r="BQ44" s="297"/>
      <c r="BR44" s="245"/>
      <c r="BS44" s="245"/>
      <c r="BT44" s="242"/>
      <c r="BU44" s="242"/>
      <c r="BV44" s="246"/>
      <c r="BW44" s="242"/>
      <c r="BX44" s="242"/>
      <c r="BY44" s="242"/>
      <c r="BZ44" s="242"/>
      <c r="CA44" s="242"/>
      <c r="CB44" s="243"/>
      <c r="CC44" s="248"/>
      <c r="CD44" s="248"/>
      <c r="CE44" s="248"/>
      <c r="CF44" s="248"/>
    </row>
    <row r="45" spans="1:84" x14ac:dyDescent="0.25">
      <c r="A45" s="254"/>
      <c r="B45" s="259"/>
      <c r="C45" s="255"/>
      <c r="D45" s="233"/>
      <c r="E45" s="234"/>
      <c r="F45" s="235"/>
      <c r="G45" s="256"/>
      <c r="H45" s="257"/>
      <c r="I45" s="237"/>
      <c r="J45" s="238"/>
      <c r="K45" s="239"/>
      <c r="L45" s="240"/>
      <c r="M45" s="8"/>
      <c r="N45" s="241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2"/>
      <c r="AT45" s="243"/>
      <c r="AU45" s="242"/>
      <c r="AV45" s="242"/>
      <c r="AW45" s="244"/>
      <c r="AX45" s="243"/>
      <c r="AY45" s="243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97"/>
      <c r="BO45" s="297"/>
      <c r="BP45" s="297"/>
      <c r="BQ45" s="297"/>
      <c r="BR45" s="245"/>
      <c r="BS45" s="245"/>
      <c r="BT45" s="242"/>
      <c r="BU45" s="242"/>
      <c r="BV45" s="246"/>
      <c r="BW45" s="242"/>
      <c r="BX45" s="242"/>
      <c r="BY45" s="242"/>
      <c r="BZ45" s="242"/>
      <c r="CA45" s="242"/>
      <c r="CB45" s="243"/>
      <c r="CC45" s="248"/>
      <c r="CD45" s="248"/>
      <c r="CE45" s="248"/>
      <c r="CF45" s="248"/>
    </row>
    <row r="46" spans="1:84" x14ac:dyDescent="0.25">
      <c r="A46" s="254"/>
      <c r="B46" s="259"/>
      <c r="C46" s="255"/>
      <c r="D46" s="233"/>
      <c r="E46" s="234"/>
      <c r="F46" s="235"/>
      <c r="G46" s="256"/>
      <c r="H46" s="257"/>
      <c r="I46" s="237"/>
      <c r="J46" s="238"/>
      <c r="K46" s="239"/>
      <c r="L46" s="240"/>
      <c r="M46" s="8"/>
      <c r="N46" s="241"/>
      <c r="O46" s="239"/>
      <c r="P46" s="240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2"/>
      <c r="AT46" s="243"/>
      <c r="AU46" s="242"/>
      <c r="AV46" s="242"/>
      <c r="AW46" s="244"/>
      <c r="AX46" s="243"/>
      <c r="AY46" s="243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97"/>
      <c r="BO46" s="297"/>
      <c r="BP46" s="297"/>
      <c r="BQ46" s="297"/>
      <c r="BR46" s="245"/>
      <c r="BS46" s="245"/>
      <c r="BT46" s="242"/>
      <c r="BU46" s="242"/>
      <c r="BV46" s="246"/>
      <c r="BW46" s="242"/>
      <c r="BX46" s="242"/>
      <c r="BY46" s="242"/>
      <c r="BZ46" s="242"/>
      <c r="CA46" s="242"/>
      <c r="CB46" s="243"/>
      <c r="CC46" s="248"/>
      <c r="CD46" s="248"/>
      <c r="CE46" s="248"/>
      <c r="CF46" s="248"/>
    </row>
    <row r="47" spans="1:84" x14ac:dyDescent="0.25">
      <c r="A47" s="254"/>
      <c r="B47" s="255"/>
      <c r="C47" s="255"/>
      <c r="D47" s="233"/>
      <c r="E47" s="234"/>
      <c r="F47" s="235"/>
      <c r="G47" s="256"/>
      <c r="H47" s="257"/>
      <c r="I47" s="237"/>
      <c r="J47" s="238"/>
      <c r="K47" s="239"/>
      <c r="L47" s="240"/>
      <c r="M47" s="8"/>
      <c r="N47" s="241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2"/>
      <c r="AT47" s="243"/>
      <c r="AU47" s="242"/>
      <c r="AV47" s="242"/>
      <c r="AW47" s="244"/>
      <c r="AX47" s="243"/>
      <c r="AY47" s="243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97"/>
      <c r="BO47" s="297"/>
      <c r="BP47" s="297"/>
      <c r="BQ47" s="297"/>
      <c r="BR47" s="245"/>
      <c r="BS47" s="245"/>
      <c r="BT47" s="242"/>
      <c r="BU47" s="242"/>
      <c r="BV47" s="246"/>
      <c r="BW47" s="242"/>
      <c r="BX47" s="242"/>
      <c r="BY47" s="242"/>
      <c r="BZ47" s="242"/>
      <c r="CA47" s="242"/>
      <c r="CB47" s="243"/>
      <c r="CC47" s="248"/>
      <c r="CD47" s="248"/>
      <c r="CE47" s="248"/>
      <c r="CF47" s="248"/>
    </row>
    <row r="48" spans="1:84" x14ac:dyDescent="0.25">
      <c r="A48" s="254"/>
      <c r="B48" s="255"/>
      <c r="C48" s="255"/>
      <c r="D48" s="233"/>
      <c r="E48" s="234"/>
      <c r="F48" s="235"/>
      <c r="G48" s="256"/>
      <c r="H48" s="257"/>
      <c r="I48" s="237"/>
      <c r="J48" s="238"/>
      <c r="K48" s="239"/>
      <c r="L48" s="240"/>
      <c r="M48" s="8"/>
      <c r="N48" s="241"/>
      <c r="O48" s="239"/>
      <c r="P48" s="240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2"/>
      <c r="AT48" s="243"/>
      <c r="AU48" s="242"/>
      <c r="AV48" s="242"/>
      <c r="AW48" s="244"/>
      <c r="AX48" s="243"/>
      <c r="AY48" s="243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97"/>
      <c r="BO48" s="297"/>
      <c r="BP48" s="297"/>
      <c r="BQ48" s="297"/>
      <c r="BR48" s="245"/>
      <c r="BS48" s="245"/>
      <c r="BT48" s="242"/>
      <c r="BU48" s="242"/>
      <c r="BV48" s="246"/>
      <c r="BW48" s="242"/>
      <c r="BX48" s="242"/>
      <c r="BY48" s="242"/>
      <c r="BZ48" s="242"/>
      <c r="CA48" s="242"/>
      <c r="CB48" s="243"/>
      <c r="CC48" s="248"/>
      <c r="CD48" s="248"/>
      <c r="CE48" s="248"/>
      <c r="CF48" s="248"/>
    </row>
    <row r="49" spans="1:84" x14ac:dyDescent="0.25">
      <c r="A49" s="254"/>
      <c r="B49" s="255"/>
      <c r="C49" s="255"/>
      <c r="D49" s="233"/>
      <c r="E49" s="234"/>
      <c r="F49" s="235"/>
      <c r="G49" s="256"/>
      <c r="H49" s="257"/>
      <c r="I49" s="237"/>
      <c r="J49" s="238"/>
      <c r="K49" s="239"/>
      <c r="L49" s="240"/>
      <c r="M49" s="8"/>
      <c r="N49" s="241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2"/>
      <c r="AT49" s="243"/>
      <c r="AU49" s="242"/>
      <c r="AV49" s="242"/>
      <c r="AW49" s="244"/>
      <c r="AX49" s="243"/>
      <c r="AY49" s="243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97"/>
      <c r="BO49" s="297"/>
      <c r="BP49" s="297"/>
      <c r="BQ49" s="297"/>
      <c r="BR49" s="245"/>
      <c r="BS49" s="245"/>
      <c r="BT49" s="242"/>
      <c r="BU49" s="242"/>
      <c r="BV49" s="246"/>
      <c r="BW49" s="242"/>
      <c r="BX49" s="242"/>
      <c r="BY49" s="242"/>
      <c r="BZ49" s="242"/>
      <c r="CA49" s="242"/>
      <c r="CB49" s="243"/>
      <c r="CC49" s="248"/>
      <c r="CD49" s="248"/>
      <c r="CE49" s="248"/>
      <c r="CF49" s="248"/>
    </row>
    <row r="50" spans="1:84" x14ac:dyDescent="0.25">
      <c r="A50" s="254"/>
      <c r="B50" s="255"/>
      <c r="C50" s="255"/>
      <c r="D50" s="233"/>
      <c r="E50" s="234"/>
      <c r="F50" s="235"/>
      <c r="G50" s="256"/>
      <c r="H50" s="257"/>
      <c r="I50" s="237"/>
      <c r="J50" s="238"/>
      <c r="K50" s="239"/>
      <c r="L50" s="240"/>
      <c r="M50" s="8"/>
      <c r="N50" s="241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2"/>
      <c r="AT50" s="243"/>
      <c r="AU50" s="242"/>
      <c r="AV50" s="242"/>
      <c r="AW50" s="244"/>
      <c r="AX50" s="243"/>
      <c r="AY50" s="243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97"/>
      <c r="BO50" s="297"/>
      <c r="BP50" s="297"/>
      <c r="BQ50" s="297"/>
      <c r="BR50" s="245"/>
      <c r="BS50" s="245"/>
      <c r="BT50" s="242"/>
      <c r="BU50" s="242"/>
      <c r="BV50" s="246"/>
      <c r="BW50" s="242"/>
      <c r="BX50" s="242"/>
      <c r="BY50" s="242"/>
      <c r="BZ50" s="242"/>
      <c r="CA50" s="242"/>
      <c r="CB50" s="243"/>
      <c r="CC50" s="248"/>
      <c r="CD50" s="248"/>
      <c r="CE50" s="248"/>
      <c r="CF50" s="248"/>
    </row>
    <row r="51" spans="1:84" x14ac:dyDescent="0.25">
      <c r="A51" s="254"/>
      <c r="B51" s="255"/>
      <c r="C51" s="255"/>
      <c r="D51" s="233"/>
      <c r="E51" s="234"/>
      <c r="F51" s="235"/>
      <c r="G51" s="256"/>
      <c r="H51" s="257"/>
      <c r="I51" s="237"/>
      <c r="J51" s="238"/>
      <c r="K51" s="239"/>
      <c r="L51" s="240"/>
      <c r="M51" s="8"/>
      <c r="N51" s="241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2"/>
      <c r="AT51" s="243"/>
      <c r="AU51" s="242"/>
      <c r="AV51" s="242"/>
      <c r="AW51" s="244"/>
      <c r="AX51" s="243"/>
      <c r="AY51" s="243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97"/>
      <c r="BO51" s="297"/>
      <c r="BP51" s="297"/>
      <c r="BQ51" s="297"/>
      <c r="BR51" s="245"/>
      <c r="BS51" s="245"/>
      <c r="BT51" s="242"/>
      <c r="BU51" s="242"/>
      <c r="BV51" s="246"/>
      <c r="BW51" s="242"/>
      <c r="BX51" s="242"/>
      <c r="BY51" s="242"/>
      <c r="BZ51" s="242"/>
      <c r="CA51" s="242"/>
      <c r="CB51" s="243"/>
      <c r="CC51" s="248"/>
      <c r="CD51" s="248"/>
      <c r="CE51" s="248"/>
      <c r="CF51" s="248"/>
    </row>
    <row r="52" spans="1:84" x14ac:dyDescent="0.25">
      <c r="A52" s="254"/>
      <c r="B52" s="255"/>
      <c r="C52" s="255"/>
      <c r="D52" s="233"/>
      <c r="E52" s="234"/>
      <c r="F52" s="235"/>
      <c r="G52" s="256"/>
      <c r="H52" s="257"/>
      <c r="I52" s="237"/>
      <c r="J52" s="238"/>
      <c r="K52" s="239"/>
      <c r="L52" s="240"/>
      <c r="M52" s="8"/>
      <c r="N52" s="241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2"/>
      <c r="AT52" s="243"/>
      <c r="AU52" s="242"/>
      <c r="AV52" s="242"/>
      <c r="AW52" s="244"/>
      <c r="AX52" s="243"/>
      <c r="AY52" s="243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97"/>
      <c r="BO52" s="297"/>
      <c r="BP52" s="297"/>
      <c r="BQ52" s="297"/>
      <c r="BR52" s="245"/>
      <c r="BS52" s="245"/>
      <c r="BT52" s="242"/>
      <c r="BU52" s="242"/>
      <c r="BV52" s="246"/>
      <c r="BW52" s="242"/>
      <c r="BX52" s="242"/>
      <c r="BY52" s="242"/>
      <c r="BZ52" s="242"/>
      <c r="CA52" s="242"/>
      <c r="CB52" s="243"/>
      <c r="CC52" s="248"/>
      <c r="CD52" s="248"/>
      <c r="CE52" s="248"/>
      <c r="CF52" s="248"/>
    </row>
    <row r="53" spans="1:84" x14ac:dyDescent="0.25">
      <c r="A53" s="254"/>
      <c r="B53" s="255"/>
      <c r="C53" s="255"/>
      <c r="D53" s="233"/>
      <c r="E53" s="234"/>
      <c r="F53" s="235"/>
      <c r="G53" s="256"/>
      <c r="H53" s="257"/>
      <c r="I53" s="237"/>
      <c r="J53" s="238"/>
      <c r="K53" s="239"/>
      <c r="L53" s="240"/>
      <c r="M53" s="8"/>
      <c r="N53" s="241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2"/>
      <c r="AT53" s="243"/>
      <c r="AU53" s="242"/>
      <c r="AV53" s="242"/>
      <c r="AW53" s="244"/>
      <c r="AX53" s="243"/>
      <c r="AY53" s="243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97"/>
      <c r="BO53" s="297"/>
      <c r="BP53" s="297"/>
      <c r="BQ53" s="297"/>
      <c r="BR53" s="245"/>
      <c r="BS53" s="245"/>
      <c r="BT53" s="242"/>
      <c r="BU53" s="242"/>
      <c r="BV53" s="246"/>
      <c r="BW53" s="242"/>
      <c r="BX53" s="242"/>
      <c r="BY53" s="242"/>
      <c r="BZ53" s="242"/>
      <c r="CA53" s="242"/>
      <c r="CB53" s="243"/>
      <c r="CC53" s="248"/>
      <c r="CD53" s="248"/>
      <c r="CE53" s="248"/>
      <c r="CF53" s="248"/>
    </row>
    <row r="54" spans="1:84" x14ac:dyDescent="0.25">
      <c r="A54" s="254"/>
      <c r="B54" s="255"/>
      <c r="C54" s="255"/>
      <c r="D54" s="233"/>
      <c r="E54" s="234"/>
      <c r="F54" s="235"/>
      <c r="G54" s="256"/>
      <c r="H54" s="257"/>
      <c r="I54" s="237"/>
      <c r="J54" s="238"/>
      <c r="K54" s="239"/>
      <c r="L54" s="240"/>
      <c r="M54" s="8"/>
      <c r="N54" s="241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2"/>
      <c r="AT54" s="243"/>
      <c r="AU54" s="242"/>
      <c r="AV54" s="242"/>
      <c r="AW54" s="244"/>
      <c r="AX54" s="243"/>
      <c r="AY54" s="243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97"/>
      <c r="BO54" s="297"/>
      <c r="BP54" s="297"/>
      <c r="BQ54" s="297"/>
      <c r="BR54" s="245"/>
      <c r="BS54" s="245"/>
      <c r="BT54" s="242"/>
      <c r="BU54" s="242"/>
      <c r="BV54" s="246"/>
      <c r="BW54" s="242"/>
      <c r="BX54" s="242"/>
      <c r="BY54" s="242"/>
      <c r="BZ54" s="242"/>
      <c r="CA54" s="242"/>
      <c r="CB54" s="243"/>
      <c r="CC54" s="248"/>
      <c r="CD54" s="248"/>
      <c r="CE54" s="248"/>
      <c r="CF54" s="248"/>
    </row>
    <row r="55" spans="1:84" x14ac:dyDescent="0.25">
      <c r="A55" s="254"/>
      <c r="B55" s="255"/>
      <c r="C55" s="255"/>
      <c r="D55" s="233"/>
      <c r="E55" s="234"/>
      <c r="F55" s="235"/>
      <c r="G55" s="256"/>
      <c r="H55" s="257"/>
      <c r="I55" s="237"/>
      <c r="J55" s="238"/>
      <c r="K55" s="239"/>
      <c r="L55" s="240"/>
      <c r="M55" s="8"/>
      <c r="N55" s="241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2"/>
      <c r="AT55" s="243"/>
      <c r="AU55" s="242"/>
      <c r="AV55" s="242"/>
      <c r="AW55" s="244"/>
      <c r="AX55" s="243"/>
      <c r="AY55" s="243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97"/>
      <c r="BO55" s="297"/>
      <c r="BP55" s="297"/>
      <c r="BQ55" s="297"/>
      <c r="BR55" s="245"/>
      <c r="BS55" s="245"/>
      <c r="BT55" s="242"/>
      <c r="BU55" s="242"/>
      <c r="BV55" s="246"/>
      <c r="BW55" s="242"/>
      <c r="BX55" s="242"/>
      <c r="BY55" s="242"/>
      <c r="BZ55" s="242"/>
      <c r="CA55" s="242"/>
      <c r="CB55" s="243"/>
      <c r="CC55" s="248"/>
      <c r="CD55" s="248"/>
      <c r="CE55" s="248"/>
      <c r="CF55" s="248"/>
    </row>
    <row r="56" spans="1:84" x14ac:dyDescent="0.25">
      <c r="A56" s="254"/>
      <c r="B56" s="255"/>
      <c r="C56" s="255"/>
      <c r="D56" s="233"/>
      <c r="E56" s="234"/>
      <c r="F56" s="235"/>
      <c r="G56" s="256"/>
      <c r="H56" s="257"/>
      <c r="I56" s="237"/>
      <c r="J56" s="238"/>
      <c r="K56" s="239"/>
      <c r="L56" s="240"/>
      <c r="M56" s="8"/>
      <c r="N56" s="241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2"/>
      <c r="AT56" s="243"/>
      <c r="AU56" s="242"/>
      <c r="AV56" s="242"/>
      <c r="AW56" s="244"/>
      <c r="AX56" s="243"/>
      <c r="AY56" s="243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97"/>
      <c r="BO56" s="297"/>
      <c r="BP56" s="297"/>
      <c r="BQ56" s="297"/>
      <c r="BR56" s="245"/>
      <c r="BS56" s="245"/>
      <c r="BT56" s="242"/>
      <c r="BU56" s="242"/>
      <c r="BV56" s="246"/>
      <c r="BW56" s="242"/>
      <c r="BX56" s="242"/>
      <c r="BY56" s="242"/>
      <c r="BZ56" s="242"/>
      <c r="CA56" s="242"/>
      <c r="CB56" s="243"/>
      <c r="CC56" s="248"/>
      <c r="CD56" s="248"/>
      <c r="CE56" s="248"/>
      <c r="CF56" s="248"/>
    </row>
    <row r="57" spans="1:84" x14ac:dyDescent="0.25">
      <c r="A57" s="254"/>
      <c r="B57" s="255"/>
      <c r="C57" s="255"/>
      <c r="D57" s="233"/>
      <c r="E57" s="234"/>
      <c r="F57" s="235"/>
      <c r="G57" s="256"/>
      <c r="H57" s="257"/>
      <c r="I57" s="237"/>
      <c r="J57" s="238"/>
      <c r="K57" s="239"/>
      <c r="L57" s="240"/>
      <c r="M57" s="8"/>
      <c r="N57" s="241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2"/>
      <c r="AT57" s="243"/>
      <c r="AU57" s="242"/>
      <c r="AV57" s="242"/>
      <c r="AW57" s="244"/>
      <c r="AX57" s="243"/>
      <c r="AY57" s="243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97"/>
      <c r="BO57" s="297"/>
      <c r="BP57" s="297"/>
      <c r="BQ57" s="297"/>
      <c r="BR57" s="245"/>
      <c r="BS57" s="245"/>
      <c r="BT57" s="242"/>
      <c r="BU57" s="242"/>
      <c r="BV57" s="246"/>
      <c r="BW57" s="242"/>
      <c r="BX57" s="242"/>
      <c r="BY57" s="242"/>
      <c r="BZ57" s="242"/>
      <c r="CA57" s="242"/>
      <c r="CB57" s="243"/>
      <c r="CC57" s="248"/>
      <c r="CD57" s="248"/>
      <c r="CE57" s="248"/>
      <c r="CF57" s="248"/>
    </row>
    <row r="58" spans="1:84" x14ac:dyDescent="0.25">
      <c r="A58" s="254"/>
      <c r="B58" s="255"/>
      <c r="C58" s="255"/>
      <c r="D58" s="233"/>
      <c r="E58" s="234"/>
      <c r="F58" s="235"/>
      <c r="G58" s="256"/>
      <c r="H58" s="257"/>
      <c r="I58" s="237"/>
      <c r="J58" s="238"/>
      <c r="K58" s="239"/>
      <c r="L58" s="240"/>
      <c r="M58" s="8"/>
      <c r="N58" s="241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2"/>
      <c r="AT58" s="243"/>
      <c r="AU58" s="242"/>
      <c r="AV58" s="242"/>
      <c r="AW58" s="244"/>
      <c r="AX58" s="243"/>
      <c r="AY58" s="243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97"/>
      <c r="BO58" s="297"/>
      <c r="BP58" s="297"/>
      <c r="BQ58" s="297"/>
      <c r="BR58" s="245"/>
      <c r="BS58" s="245"/>
      <c r="BT58" s="242"/>
      <c r="BU58" s="242"/>
      <c r="BV58" s="246"/>
      <c r="BW58" s="242"/>
      <c r="BX58" s="242"/>
      <c r="BY58" s="242"/>
      <c r="BZ58" s="242"/>
      <c r="CA58" s="242"/>
      <c r="CB58" s="243"/>
      <c r="CC58" s="248"/>
      <c r="CD58" s="248"/>
      <c r="CE58" s="248"/>
      <c r="CF58" s="248"/>
    </row>
    <row r="59" spans="1:84" x14ac:dyDescent="0.25">
      <c r="A59" s="254"/>
      <c r="B59" s="255"/>
      <c r="C59" s="255"/>
      <c r="D59" s="233"/>
      <c r="E59" s="234"/>
      <c r="F59" s="235"/>
      <c r="G59" s="256"/>
      <c r="H59" s="257"/>
      <c r="I59" s="237"/>
      <c r="J59" s="238"/>
      <c r="K59" s="239"/>
      <c r="L59" s="240"/>
      <c r="M59" s="8"/>
      <c r="N59" s="241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2"/>
      <c r="AT59" s="243"/>
      <c r="AU59" s="242"/>
      <c r="AV59" s="242"/>
      <c r="AW59" s="244"/>
      <c r="AX59" s="243"/>
      <c r="AY59" s="243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97"/>
      <c r="BO59" s="297"/>
      <c r="BP59" s="297"/>
      <c r="BQ59" s="297"/>
      <c r="BR59" s="245"/>
      <c r="BS59" s="245"/>
      <c r="BT59" s="242"/>
      <c r="BU59" s="242"/>
      <c r="BV59" s="246"/>
      <c r="BW59" s="242"/>
      <c r="BX59" s="242"/>
      <c r="BY59" s="242"/>
      <c r="BZ59" s="242"/>
      <c r="CA59" s="242"/>
      <c r="CB59" s="243"/>
      <c r="CC59" s="248"/>
      <c r="CD59" s="248"/>
      <c r="CE59" s="248"/>
      <c r="CF59" s="248"/>
    </row>
    <row r="60" spans="1:84" x14ac:dyDescent="0.25">
      <c r="A60" s="254"/>
      <c r="B60" s="255"/>
      <c r="C60" s="255"/>
      <c r="D60" s="233"/>
      <c r="E60" s="234"/>
      <c r="F60" s="235"/>
      <c r="G60" s="256"/>
      <c r="H60" s="257"/>
      <c r="I60" s="237"/>
      <c r="J60" s="238"/>
      <c r="K60" s="239"/>
      <c r="L60" s="240"/>
      <c r="M60" s="8"/>
      <c r="N60" s="241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2"/>
      <c r="AT60" s="243"/>
      <c r="AU60" s="242"/>
      <c r="AV60" s="242"/>
      <c r="AW60" s="244"/>
      <c r="AX60" s="243"/>
      <c r="AY60" s="243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97"/>
      <c r="BO60" s="297"/>
      <c r="BP60" s="297"/>
      <c r="BQ60" s="297"/>
      <c r="BR60" s="245"/>
      <c r="BS60" s="245"/>
      <c r="BT60" s="242"/>
      <c r="BU60" s="242"/>
      <c r="BV60" s="246"/>
      <c r="BW60" s="242"/>
      <c r="BX60" s="242"/>
      <c r="BY60" s="242"/>
      <c r="BZ60" s="242"/>
      <c r="CA60" s="242"/>
      <c r="CB60" s="243"/>
      <c r="CC60" s="248"/>
      <c r="CD60" s="248"/>
      <c r="CE60" s="248"/>
      <c r="CF60" s="248"/>
    </row>
    <row r="61" spans="1:84" x14ac:dyDescent="0.25">
      <c r="A61" s="254"/>
      <c r="B61" s="255"/>
      <c r="C61" s="255"/>
      <c r="D61" s="233"/>
      <c r="E61" s="234"/>
      <c r="F61" s="235"/>
      <c r="G61" s="256"/>
      <c r="H61" s="257"/>
      <c r="I61" s="237"/>
      <c r="J61" s="238"/>
      <c r="K61" s="239"/>
      <c r="L61" s="240"/>
      <c r="M61" s="8"/>
      <c r="N61" s="241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2"/>
      <c r="AT61" s="243"/>
      <c r="AU61" s="242"/>
      <c r="AV61" s="242"/>
      <c r="AW61" s="244"/>
      <c r="AX61" s="243"/>
      <c r="AY61" s="243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97"/>
      <c r="BO61" s="297"/>
      <c r="BP61" s="297"/>
      <c r="BQ61" s="297"/>
      <c r="BR61" s="245"/>
      <c r="BS61" s="245"/>
      <c r="BT61" s="242"/>
      <c r="BU61" s="242"/>
      <c r="BV61" s="246"/>
      <c r="BW61" s="242"/>
      <c r="BX61" s="242"/>
      <c r="BY61" s="242"/>
      <c r="BZ61" s="242"/>
      <c r="CA61" s="242"/>
      <c r="CB61" s="243"/>
      <c r="CC61" s="248"/>
      <c r="CD61" s="248"/>
      <c r="CE61" s="248"/>
      <c r="CF61" s="248"/>
    </row>
    <row r="62" spans="1:84" x14ac:dyDescent="0.25">
      <c r="A62" s="254"/>
      <c r="B62" s="255"/>
      <c r="C62" s="255"/>
      <c r="D62" s="233"/>
      <c r="E62" s="234"/>
      <c r="F62" s="235"/>
      <c r="G62" s="256"/>
      <c r="H62" s="257"/>
      <c r="I62" s="237"/>
      <c r="J62" s="238"/>
      <c r="K62" s="239"/>
      <c r="L62" s="240"/>
      <c r="M62" s="8"/>
      <c r="N62" s="241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97"/>
      <c r="BO62" s="297"/>
      <c r="BP62" s="297"/>
      <c r="BQ62" s="297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4"/>
      <c r="B63" s="255"/>
      <c r="C63" s="255"/>
      <c r="D63" s="233"/>
      <c r="E63" s="234"/>
      <c r="F63" s="235"/>
      <c r="G63" s="256"/>
      <c r="H63" s="257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97"/>
      <c r="BO63" s="297"/>
      <c r="BP63" s="297"/>
      <c r="BQ63" s="297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4"/>
      <c r="B64" s="255"/>
      <c r="C64" s="255"/>
      <c r="D64" s="233"/>
      <c r="E64" s="234"/>
      <c r="F64" s="235"/>
      <c r="G64" s="256"/>
      <c r="H64" s="257"/>
      <c r="I64" s="237"/>
      <c r="J64" s="238"/>
      <c r="K64" s="239"/>
      <c r="L64" s="240"/>
      <c r="M64" s="8"/>
      <c r="N64" s="241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97"/>
      <c r="BO64" s="297"/>
      <c r="BP64" s="297"/>
      <c r="BQ64" s="297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4"/>
      <c r="B65" s="255"/>
      <c r="C65" s="255"/>
      <c r="D65" s="233"/>
      <c r="E65" s="234"/>
      <c r="F65" s="235"/>
      <c r="G65" s="256"/>
      <c r="H65" s="257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97"/>
      <c r="BO65" s="297"/>
      <c r="BP65" s="297"/>
      <c r="BQ65" s="297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254"/>
      <c r="B66" s="255"/>
      <c r="C66" s="255"/>
      <c r="D66" s="233"/>
      <c r="E66" s="234"/>
      <c r="F66" s="235"/>
      <c r="G66" s="256"/>
      <c r="H66" s="257"/>
      <c r="I66" s="237"/>
      <c r="J66" s="238"/>
      <c r="K66" s="239"/>
      <c r="L66" s="240"/>
      <c r="M66" s="8"/>
      <c r="N66" s="241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2"/>
      <c r="AT66" s="243"/>
      <c r="AU66" s="242"/>
      <c r="AV66" s="242"/>
      <c r="AW66" s="244"/>
      <c r="AX66" s="243"/>
      <c r="AY66" s="243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97"/>
      <c r="BO66" s="297"/>
      <c r="BP66" s="297"/>
      <c r="BQ66" s="297"/>
      <c r="BR66" s="245"/>
      <c r="BS66" s="245"/>
      <c r="BT66" s="242"/>
      <c r="BU66" s="242"/>
      <c r="BV66" s="246"/>
      <c r="BW66" s="242"/>
      <c r="BX66" s="242"/>
      <c r="BY66" s="242"/>
      <c r="BZ66" s="242"/>
      <c r="CA66" s="242"/>
      <c r="CB66" s="243"/>
      <c r="CC66" s="248"/>
      <c r="CD66" s="248"/>
      <c r="CE66" s="248"/>
      <c r="CF66" s="248"/>
    </row>
    <row r="67" spans="1:84" x14ac:dyDescent="0.25">
      <c r="A67" s="254"/>
      <c r="B67" s="255"/>
      <c r="C67" s="255"/>
      <c r="D67" s="233"/>
      <c r="E67" s="234"/>
      <c r="F67" s="235"/>
      <c r="G67" s="256"/>
      <c r="H67" s="257"/>
      <c r="I67" s="237"/>
      <c r="J67" s="238"/>
      <c r="K67" s="239"/>
      <c r="L67" s="240"/>
      <c r="M67" s="8"/>
      <c r="N67" s="241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97"/>
      <c r="BO67" s="297"/>
      <c r="BP67" s="297"/>
      <c r="BQ67" s="297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4"/>
      <c r="B68" s="255"/>
      <c r="C68" s="255"/>
      <c r="D68" s="233"/>
      <c r="E68" s="234"/>
      <c r="F68" s="235"/>
      <c r="G68" s="256"/>
      <c r="H68" s="257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97"/>
      <c r="BO68" s="297"/>
      <c r="BP68" s="297"/>
      <c r="BQ68" s="297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4"/>
      <c r="B69" s="255"/>
      <c r="C69" s="255"/>
      <c r="D69" s="233"/>
      <c r="E69" s="234"/>
      <c r="F69" s="235"/>
      <c r="G69" s="256"/>
      <c r="H69" s="257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7"/>
      <c r="BO69" s="297"/>
      <c r="BP69" s="297"/>
      <c r="BQ69" s="297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7"/>
      <c r="BO70" s="297"/>
      <c r="BP70" s="297"/>
      <c r="BQ70" s="297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4"/>
      <c r="B71" s="255"/>
      <c r="C71" s="255"/>
      <c r="D71" s="233"/>
      <c r="E71" s="234"/>
      <c r="F71" s="235"/>
      <c r="G71" s="256"/>
      <c r="H71" s="257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97"/>
      <c r="BO71" s="297"/>
      <c r="BP71" s="297"/>
      <c r="BQ71" s="297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4"/>
      <c r="B72" s="255"/>
      <c r="C72" s="255"/>
      <c r="D72" s="233"/>
      <c r="E72" s="234"/>
      <c r="F72" s="235"/>
      <c r="G72" s="256"/>
      <c r="H72" s="257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97"/>
      <c r="BO72" s="297"/>
      <c r="BP72" s="297"/>
      <c r="BQ72" s="297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4"/>
      <c r="B73" s="255"/>
      <c r="C73" s="255"/>
      <c r="D73" s="233"/>
      <c r="E73" s="234"/>
      <c r="F73" s="235"/>
      <c r="G73" s="256"/>
      <c r="H73" s="257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97"/>
      <c r="BO73" s="297"/>
      <c r="BP73" s="297"/>
      <c r="BQ73" s="297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7"/>
      <c r="BO74" s="297"/>
      <c r="BP74" s="297"/>
      <c r="BQ74" s="297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7"/>
      <c r="BO75" s="297"/>
      <c r="BP75" s="297"/>
      <c r="BQ75" s="297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7"/>
      <c r="BO76" s="297"/>
      <c r="BP76" s="297"/>
      <c r="BQ76" s="297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7"/>
      <c r="BO77" s="297"/>
      <c r="BP77" s="297"/>
      <c r="BQ77" s="297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7"/>
      <c r="BO78" s="297"/>
      <c r="BP78" s="297"/>
      <c r="BQ78" s="297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7"/>
      <c r="BO79" s="297"/>
      <c r="BP79" s="297"/>
      <c r="BQ79" s="297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7"/>
      <c r="BO80" s="297"/>
      <c r="BP80" s="297"/>
      <c r="BQ80" s="297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7"/>
      <c r="BO81" s="297"/>
      <c r="BP81" s="297"/>
      <c r="BQ81" s="297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7"/>
      <c r="BO82" s="297"/>
      <c r="BP82" s="297"/>
      <c r="BQ82" s="297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7"/>
      <c r="BO83" s="297"/>
      <c r="BP83" s="297"/>
      <c r="BQ83" s="297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7"/>
      <c r="BO84" s="297"/>
      <c r="BP84" s="297"/>
      <c r="BQ84" s="297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7"/>
      <c r="BO85" s="297"/>
      <c r="BP85" s="297"/>
      <c r="BQ85" s="297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7"/>
      <c r="BO86" s="297"/>
      <c r="BP86" s="297"/>
      <c r="BQ86" s="297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7"/>
      <c r="BO87" s="297"/>
      <c r="BP87" s="297"/>
      <c r="BQ87" s="297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7"/>
      <c r="BO88" s="297"/>
      <c r="BP88" s="297"/>
      <c r="BQ88" s="297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7"/>
      <c r="BO89" s="297"/>
      <c r="BP89" s="297"/>
      <c r="BQ89" s="297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7"/>
      <c r="BO90" s="297"/>
      <c r="BP90" s="297"/>
      <c r="BQ90" s="297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7"/>
      <c r="BO91" s="297"/>
      <c r="BP91" s="297"/>
      <c r="BQ91" s="297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7"/>
      <c r="BO92" s="297"/>
      <c r="BP92" s="297"/>
      <c r="BQ92" s="297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7"/>
      <c r="BO93" s="297"/>
      <c r="BP93" s="297"/>
      <c r="BQ93" s="297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7"/>
      <c r="BO94" s="297"/>
      <c r="BP94" s="297"/>
      <c r="BQ94" s="297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7"/>
      <c r="BO95" s="297"/>
      <c r="BP95" s="297"/>
      <c r="BQ95" s="297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7"/>
      <c r="BO96" s="297"/>
      <c r="BP96" s="297"/>
      <c r="BQ96" s="297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7"/>
      <c r="BO97" s="297"/>
      <c r="BP97" s="297"/>
      <c r="BQ97" s="297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7"/>
      <c r="BO98" s="297"/>
      <c r="BP98" s="297"/>
      <c r="BQ98" s="297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7"/>
      <c r="BO99" s="297"/>
      <c r="BP99" s="297"/>
      <c r="BQ99" s="297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7"/>
      <c r="BO100" s="297"/>
      <c r="BP100" s="297"/>
      <c r="BQ100" s="297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7"/>
      <c r="BO101" s="297"/>
      <c r="BP101" s="297"/>
      <c r="BQ101" s="297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7"/>
      <c r="BO102" s="297"/>
      <c r="BP102" s="297"/>
      <c r="BQ102" s="297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7"/>
      <c r="BO103" s="297"/>
      <c r="BP103" s="297"/>
      <c r="BQ103" s="297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7"/>
      <c r="BO104" s="297"/>
      <c r="BP104" s="297"/>
      <c r="BQ104" s="297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7"/>
      <c r="BO105" s="297"/>
      <c r="BP105" s="297"/>
      <c r="BQ105" s="297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7"/>
      <c r="BO106" s="297"/>
      <c r="BP106" s="297"/>
      <c r="BQ106" s="297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7"/>
      <c r="BO107" s="297"/>
      <c r="BP107" s="297"/>
      <c r="BQ107" s="297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7"/>
      <c r="BO108" s="297"/>
      <c r="BP108" s="297"/>
      <c r="BQ108" s="297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7"/>
      <c r="BO109" s="297"/>
      <c r="BP109" s="297"/>
      <c r="BQ109" s="297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7"/>
      <c r="BO110" s="297"/>
      <c r="BP110" s="297"/>
      <c r="BQ110" s="297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7"/>
      <c r="BO111" s="297"/>
      <c r="BP111" s="297"/>
      <c r="BQ111" s="297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7"/>
      <c r="BO112" s="297"/>
      <c r="BP112" s="297"/>
      <c r="BQ112" s="297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7"/>
      <c r="BO113" s="297"/>
      <c r="BP113" s="297"/>
      <c r="BQ113" s="297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7"/>
      <c r="BO114" s="297"/>
      <c r="BP114" s="297"/>
      <c r="BQ114" s="297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7"/>
      <c r="BO115" s="297"/>
      <c r="BP115" s="297"/>
      <c r="BQ115" s="297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7"/>
      <c r="BO116" s="297"/>
      <c r="BP116" s="297"/>
      <c r="BQ116" s="297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7"/>
      <c r="BO117" s="297"/>
      <c r="BP117" s="297"/>
      <c r="BQ117" s="297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7"/>
      <c r="BO118" s="297"/>
      <c r="BP118" s="297"/>
      <c r="BQ118" s="297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7"/>
      <c r="BO119" s="297"/>
      <c r="BP119" s="297"/>
      <c r="BQ119" s="297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7"/>
      <c r="BO120" s="297"/>
      <c r="BP120" s="297"/>
      <c r="BQ120" s="297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7"/>
      <c r="BO121" s="297"/>
      <c r="BP121" s="297"/>
      <c r="BQ121" s="297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7"/>
      <c r="BO122" s="297"/>
      <c r="BP122" s="297"/>
      <c r="BQ122" s="297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7"/>
      <c r="BO123" s="297"/>
      <c r="BP123" s="297"/>
      <c r="BQ123" s="297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7"/>
      <c r="BO124" s="297"/>
      <c r="BP124" s="297"/>
      <c r="BQ124" s="297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7"/>
      <c r="BO125" s="297"/>
      <c r="BP125" s="297"/>
      <c r="BQ125" s="297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7"/>
      <c r="BO126" s="297"/>
      <c r="BP126" s="297"/>
      <c r="BQ126" s="297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7"/>
      <c r="BO127" s="297"/>
      <c r="BP127" s="297"/>
      <c r="BQ127" s="297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7"/>
      <c r="BO128" s="297"/>
      <c r="BP128" s="297"/>
      <c r="BQ128" s="297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7"/>
      <c r="BO129" s="297"/>
      <c r="BP129" s="297"/>
      <c r="BQ129" s="297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7"/>
      <c r="BO130" s="297"/>
      <c r="BP130" s="297"/>
      <c r="BQ130" s="297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7"/>
      <c r="BO131" s="297"/>
      <c r="BP131" s="297"/>
      <c r="BQ131" s="297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7"/>
      <c r="BO132" s="297"/>
      <c r="BP132" s="297"/>
      <c r="BQ132" s="297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7"/>
      <c r="BO133" s="297"/>
      <c r="BP133" s="297"/>
      <c r="BQ133" s="297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7"/>
      <c r="BO134" s="297"/>
      <c r="BP134" s="297"/>
      <c r="BQ134" s="297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7"/>
      <c r="BO135" s="297"/>
      <c r="BP135" s="297"/>
      <c r="BQ135" s="297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7"/>
      <c r="BO136" s="297"/>
      <c r="BP136" s="297"/>
      <c r="BQ136" s="297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7"/>
      <c r="BO137" s="297"/>
      <c r="BP137" s="297"/>
      <c r="BQ137" s="297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7"/>
      <c r="BO138" s="297"/>
      <c r="BP138" s="297"/>
      <c r="BQ138" s="297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7"/>
      <c r="BO139" s="297"/>
      <c r="BP139" s="297"/>
      <c r="BQ139" s="297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7"/>
      <c r="BO140" s="297"/>
      <c r="BP140" s="297"/>
      <c r="BQ140" s="297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7"/>
      <c r="BO141" s="297"/>
      <c r="BP141" s="297"/>
      <c r="BQ141" s="297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7"/>
      <c r="BO142" s="297"/>
      <c r="BP142" s="297"/>
      <c r="BQ142" s="297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7"/>
      <c r="BO143" s="297"/>
      <c r="BP143" s="297"/>
      <c r="BQ143" s="297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7"/>
      <c r="BO144" s="297"/>
      <c r="BP144" s="297"/>
      <c r="BQ144" s="297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7"/>
      <c r="BO145" s="297"/>
      <c r="BP145" s="297"/>
      <c r="BQ145" s="297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7"/>
      <c r="BO146" s="297"/>
      <c r="BP146" s="297"/>
      <c r="BQ146" s="297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7"/>
      <c r="BO147" s="297"/>
      <c r="BP147" s="297"/>
      <c r="BQ147" s="297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7"/>
      <c r="BO148" s="297"/>
      <c r="BP148" s="297"/>
      <c r="BQ148" s="297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7"/>
      <c r="BO149" s="297"/>
      <c r="BP149" s="297"/>
      <c r="BQ149" s="297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7"/>
      <c r="BO150" s="297"/>
      <c r="BP150" s="297"/>
      <c r="BQ150" s="297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7"/>
      <c r="BO151" s="297"/>
      <c r="BP151" s="297"/>
      <c r="BQ151" s="297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7"/>
      <c r="BO152" s="297"/>
      <c r="BP152" s="297"/>
      <c r="BQ152" s="297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7"/>
      <c r="BO153" s="297"/>
      <c r="BP153" s="297"/>
      <c r="BQ153" s="297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7"/>
      <c r="BO154" s="297"/>
      <c r="BP154" s="297"/>
      <c r="BQ154" s="297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7"/>
      <c r="BO155" s="297"/>
      <c r="BP155" s="297"/>
      <c r="BQ155" s="297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7"/>
      <c r="BO156" s="297"/>
      <c r="BP156" s="297"/>
      <c r="BQ156" s="297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7"/>
      <c r="BO157" s="297"/>
      <c r="BP157" s="297"/>
      <c r="BQ157" s="297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7"/>
      <c r="BO158" s="297"/>
      <c r="BP158" s="297"/>
      <c r="BQ158" s="297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7"/>
      <c r="BO159" s="297"/>
      <c r="BP159" s="297"/>
      <c r="BQ159" s="297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7"/>
      <c r="BO160" s="297"/>
      <c r="BP160" s="297"/>
      <c r="BQ160" s="297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7"/>
      <c r="BO161" s="297"/>
      <c r="BP161" s="297"/>
      <c r="BQ161" s="297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7"/>
      <c r="BO162" s="297"/>
      <c r="BP162" s="297"/>
      <c r="BQ162" s="297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7"/>
      <c r="BO163" s="297"/>
      <c r="BP163" s="297"/>
      <c r="BQ163" s="297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7"/>
      <c r="BO164" s="297"/>
      <c r="BP164" s="297"/>
      <c r="BQ164" s="297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7"/>
      <c r="BO165" s="297"/>
      <c r="BP165" s="297"/>
      <c r="BQ165" s="297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7"/>
      <c r="BO166" s="297"/>
      <c r="BP166" s="297"/>
      <c r="BQ166" s="297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7"/>
      <c r="BO167" s="297"/>
      <c r="BP167" s="297"/>
      <c r="BQ167" s="297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7"/>
      <c r="BO168" s="297"/>
      <c r="BP168" s="297"/>
      <c r="BQ168" s="297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7"/>
      <c r="BO169" s="297"/>
      <c r="BP169" s="297"/>
      <c r="BQ169" s="297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7"/>
      <c r="BO170" s="297"/>
      <c r="BP170" s="297"/>
      <c r="BQ170" s="297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7"/>
      <c r="BO171" s="297"/>
      <c r="BP171" s="297"/>
      <c r="BQ171" s="297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7"/>
      <c r="BO172" s="297"/>
      <c r="BP172" s="297"/>
      <c r="BQ172" s="297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7"/>
      <c r="BO173" s="297"/>
      <c r="BP173" s="297"/>
      <c r="BQ173" s="297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7"/>
      <c r="BO174" s="297"/>
      <c r="BP174" s="297"/>
      <c r="BQ174" s="297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7"/>
      <c r="BO175" s="297"/>
      <c r="BP175" s="297"/>
      <c r="BQ175" s="297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7"/>
      <c r="BO176" s="297"/>
      <c r="BP176" s="297"/>
      <c r="BQ176" s="297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7"/>
      <c r="BO177" s="297"/>
      <c r="BP177" s="297"/>
      <c r="BQ177" s="297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7"/>
      <c r="BO178" s="297"/>
      <c r="BP178" s="297"/>
      <c r="BQ178" s="297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7"/>
      <c r="BO179" s="297"/>
      <c r="BP179" s="297"/>
      <c r="BQ179" s="297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7"/>
      <c r="BO180" s="297"/>
      <c r="BP180" s="297"/>
      <c r="BQ180" s="297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7"/>
      <c r="BO181" s="297"/>
      <c r="BP181" s="297"/>
      <c r="BQ181" s="297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7"/>
      <c r="BO182" s="297"/>
      <c r="BP182" s="297"/>
      <c r="BQ182" s="297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7"/>
      <c r="BO183" s="297"/>
      <c r="BP183" s="297"/>
      <c r="BQ183" s="297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7"/>
      <c r="BO184" s="297"/>
      <c r="BP184" s="297"/>
      <c r="BQ184" s="297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7"/>
      <c r="BO185" s="297"/>
      <c r="BP185" s="297"/>
      <c r="BQ185" s="297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7"/>
      <c r="BO186" s="297"/>
      <c r="BP186" s="297"/>
      <c r="BQ186" s="297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7"/>
      <c r="BO187" s="297"/>
      <c r="BP187" s="297"/>
      <c r="BQ187" s="297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7"/>
      <c r="BO188" s="297"/>
      <c r="BP188" s="297"/>
      <c r="BQ188" s="297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7"/>
      <c r="BO189" s="297"/>
      <c r="BP189" s="297"/>
      <c r="BQ189" s="297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7"/>
      <c r="BO190" s="297"/>
      <c r="BP190" s="297"/>
      <c r="BQ190" s="297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7"/>
      <c r="BO191" s="297"/>
      <c r="BP191" s="297"/>
      <c r="BQ191" s="297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7"/>
      <c r="BO192" s="297"/>
      <c r="BP192" s="297"/>
      <c r="BQ192" s="297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7"/>
      <c r="BO193" s="297"/>
      <c r="BP193" s="297"/>
      <c r="BQ193" s="297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7"/>
      <c r="BO194" s="297"/>
      <c r="BP194" s="297"/>
      <c r="BQ194" s="297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7"/>
      <c r="BO195" s="297"/>
      <c r="BP195" s="297"/>
      <c r="BQ195" s="297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7"/>
      <c r="BO196" s="297"/>
      <c r="BP196" s="297"/>
      <c r="BQ196" s="297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7"/>
      <c r="BO197" s="297"/>
      <c r="BP197" s="297"/>
      <c r="BQ197" s="297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7"/>
      <c r="BO198" s="297"/>
      <c r="BP198" s="297"/>
      <c r="BQ198" s="297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7"/>
      <c r="BO199" s="297"/>
      <c r="BP199" s="297"/>
      <c r="BQ199" s="297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7"/>
      <c r="BO200" s="297"/>
      <c r="BP200" s="297"/>
      <c r="BQ200" s="297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7"/>
      <c r="BO201" s="297"/>
      <c r="BP201" s="297"/>
      <c r="BQ201" s="297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7"/>
      <c r="BO202" s="297"/>
      <c r="BP202" s="297"/>
      <c r="BQ202" s="297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7"/>
      <c r="BO203" s="297"/>
      <c r="BP203" s="297"/>
      <c r="BQ203" s="297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7"/>
      <c r="BO204" s="297"/>
      <c r="BP204" s="297"/>
      <c r="BQ204" s="297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7"/>
      <c r="BO205" s="297"/>
      <c r="BP205" s="297"/>
      <c r="BQ205" s="297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7"/>
      <c r="BO206" s="297"/>
      <c r="BP206" s="297"/>
      <c r="BQ206" s="297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7"/>
      <c r="BO207" s="297"/>
      <c r="BP207" s="297"/>
      <c r="BQ207" s="297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7"/>
      <c r="BO208" s="297"/>
      <c r="BP208" s="297"/>
      <c r="BQ208" s="297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7"/>
      <c r="BO209" s="297"/>
      <c r="BP209" s="297"/>
      <c r="BQ209" s="297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7"/>
      <c r="BO210" s="297"/>
      <c r="BP210" s="297"/>
      <c r="BQ210" s="297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7"/>
      <c r="BO211" s="297"/>
      <c r="BP211" s="297"/>
      <c r="BQ211" s="297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7"/>
      <c r="BO212" s="297"/>
      <c r="BP212" s="297"/>
      <c r="BQ212" s="297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7"/>
      <c r="BO213" s="297"/>
      <c r="BP213" s="297"/>
      <c r="BQ213" s="297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7"/>
      <c r="BO214" s="297"/>
      <c r="BP214" s="297"/>
      <c r="BQ214" s="297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7"/>
      <c r="BO215" s="297"/>
      <c r="BP215" s="297"/>
      <c r="BQ215" s="297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7"/>
      <c r="BO216" s="297"/>
      <c r="BP216" s="297"/>
      <c r="BQ216" s="297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7"/>
      <c r="BO217" s="297"/>
      <c r="BP217" s="297"/>
      <c r="BQ217" s="297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7"/>
      <c r="BO218" s="297"/>
      <c r="BP218" s="297"/>
      <c r="BQ218" s="297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7"/>
      <c r="BO219" s="297"/>
      <c r="BP219" s="297"/>
      <c r="BQ219" s="297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7"/>
      <c r="BO220" s="297"/>
      <c r="BP220" s="297"/>
      <c r="BQ220" s="297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7"/>
      <c r="BO221" s="297"/>
      <c r="BP221" s="297"/>
      <c r="BQ221" s="297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7"/>
      <c r="BO222" s="297"/>
      <c r="BP222" s="297"/>
      <c r="BQ222" s="297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7"/>
      <c r="BO223" s="297"/>
      <c r="BP223" s="297"/>
      <c r="BQ223" s="297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7"/>
      <c r="BO224" s="297"/>
      <c r="BP224" s="297"/>
      <c r="BQ224" s="297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7"/>
      <c r="BO225" s="297"/>
      <c r="BP225" s="297"/>
      <c r="BQ225" s="297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7"/>
      <c r="BO226" s="297"/>
      <c r="BP226" s="297"/>
      <c r="BQ226" s="297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7"/>
      <c r="BO227" s="297"/>
      <c r="BP227" s="297"/>
      <c r="BQ227" s="297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7"/>
      <c r="BO228" s="297"/>
      <c r="BP228" s="297"/>
      <c r="BQ228" s="297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7"/>
      <c r="BO229" s="297"/>
      <c r="BP229" s="297"/>
      <c r="BQ229" s="297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7"/>
      <c r="BO230" s="297"/>
      <c r="BP230" s="297"/>
      <c r="BQ230" s="297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7"/>
      <c r="BO231" s="297"/>
      <c r="BP231" s="297"/>
      <c r="BQ231" s="297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7"/>
      <c r="BO232" s="297"/>
      <c r="BP232" s="297"/>
      <c r="BQ232" s="297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7"/>
      <c r="BO233" s="297"/>
      <c r="BP233" s="297"/>
      <c r="BQ233" s="297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7"/>
      <c r="BO234" s="297"/>
      <c r="BP234" s="297"/>
      <c r="BQ234" s="297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7"/>
      <c r="BO235" s="297"/>
      <c r="BP235" s="297"/>
      <c r="BQ235" s="297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7"/>
      <c r="BO236" s="297"/>
      <c r="BP236" s="297"/>
      <c r="BQ236" s="297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7"/>
      <c r="BO237" s="297"/>
      <c r="BP237" s="297"/>
      <c r="BQ237" s="297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7"/>
      <c r="BO238" s="297"/>
      <c r="BP238" s="297"/>
      <c r="BQ238" s="297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7"/>
      <c r="BO239" s="297"/>
      <c r="BP239" s="297"/>
      <c r="BQ239" s="297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7"/>
      <c r="BO240" s="297"/>
      <c r="BP240" s="297"/>
      <c r="BQ240" s="297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7"/>
      <c r="BO241" s="297"/>
      <c r="BP241" s="297"/>
      <c r="BQ241" s="297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7"/>
      <c r="BO242" s="297"/>
      <c r="BP242" s="297"/>
      <c r="BQ242" s="297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7"/>
      <c r="BO243" s="297"/>
      <c r="BP243" s="297"/>
      <c r="BQ243" s="297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7"/>
      <c r="BO244" s="297"/>
      <c r="BP244" s="297"/>
      <c r="BQ244" s="297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7"/>
      <c r="BO245" s="297"/>
      <c r="BP245" s="297"/>
      <c r="BQ245" s="297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7"/>
      <c r="BO246" s="297"/>
      <c r="BP246" s="297"/>
      <c r="BQ246" s="297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7"/>
      <c r="BO247" s="297"/>
      <c r="BP247" s="297"/>
      <c r="BQ247" s="297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7"/>
      <c r="BO248" s="297"/>
      <c r="BP248" s="297"/>
      <c r="BQ248" s="297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7"/>
      <c r="BO249" s="297"/>
      <c r="BP249" s="297"/>
      <c r="BQ249" s="297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7"/>
      <c r="BO250" s="297"/>
      <c r="BP250" s="297"/>
      <c r="BQ250" s="297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7"/>
      <c r="BO251" s="297"/>
      <c r="BP251" s="297"/>
      <c r="BQ251" s="297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7"/>
      <c r="BO252" s="297"/>
      <c r="BP252" s="297"/>
      <c r="BQ252" s="297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7"/>
      <c r="BO253" s="297"/>
      <c r="BP253" s="297"/>
      <c r="BQ253" s="297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7"/>
      <c r="BO254" s="297"/>
      <c r="BP254" s="297"/>
      <c r="BQ254" s="297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7"/>
      <c r="BO255" s="297"/>
      <c r="BP255" s="297"/>
      <c r="BQ255" s="297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7"/>
      <c r="BO256" s="297"/>
      <c r="BP256" s="297"/>
      <c r="BQ256" s="297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7"/>
      <c r="BO257" s="297"/>
      <c r="BP257" s="297"/>
      <c r="BQ257" s="297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7"/>
      <c r="BO258" s="297"/>
      <c r="BP258" s="297"/>
      <c r="BQ258" s="297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7"/>
      <c r="BO259" s="297"/>
      <c r="BP259" s="297"/>
      <c r="BQ259" s="297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7"/>
      <c r="BO260" s="297"/>
      <c r="BP260" s="297"/>
      <c r="BQ260" s="297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7"/>
      <c r="BO261" s="297"/>
      <c r="BP261" s="297"/>
      <c r="BQ261" s="297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7"/>
      <c r="BO262" s="297"/>
      <c r="BP262" s="297"/>
      <c r="BQ262" s="297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7"/>
      <c r="BO263" s="297"/>
      <c r="BP263" s="297"/>
      <c r="BQ263" s="297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7"/>
      <c r="BO264" s="297"/>
      <c r="BP264" s="297"/>
      <c r="BQ264" s="297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7"/>
      <c r="BO265" s="297"/>
      <c r="BP265" s="297"/>
      <c r="BQ265" s="297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7"/>
      <c r="BO266" s="297"/>
      <c r="BP266" s="297"/>
      <c r="BQ266" s="297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7"/>
      <c r="BO267" s="297"/>
      <c r="BP267" s="297"/>
      <c r="BQ267" s="297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7"/>
      <c r="BO268" s="297"/>
      <c r="BP268" s="297"/>
      <c r="BQ268" s="297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7"/>
      <c r="BO269" s="297"/>
      <c r="BP269" s="297"/>
      <c r="BQ269" s="297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7"/>
      <c r="BO270" s="297"/>
      <c r="BP270" s="297"/>
      <c r="BQ270" s="297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7"/>
      <c r="BO271" s="297"/>
      <c r="BP271" s="297"/>
      <c r="BQ271" s="297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7"/>
      <c r="BO272" s="297"/>
      <c r="BP272" s="297"/>
      <c r="BQ272" s="297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7"/>
      <c r="BO273" s="297"/>
      <c r="BP273" s="297"/>
      <c r="BQ273" s="297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7"/>
      <c r="BO274" s="297"/>
      <c r="BP274" s="297"/>
      <c r="BQ274" s="297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7"/>
      <c r="BO275" s="297"/>
      <c r="BP275" s="297"/>
      <c r="BQ275" s="297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7"/>
      <c r="BO276" s="297"/>
      <c r="BP276" s="297"/>
      <c r="BQ276" s="297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7"/>
      <c r="BO277" s="297"/>
      <c r="BP277" s="297"/>
      <c r="BQ277" s="297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7"/>
      <c r="BO278" s="297"/>
      <c r="BP278" s="297"/>
      <c r="BQ278" s="297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7"/>
      <c r="BO279" s="297"/>
      <c r="BP279" s="297"/>
      <c r="BQ279" s="297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7"/>
      <c r="BO280" s="297"/>
      <c r="BP280" s="297"/>
      <c r="BQ280" s="297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7"/>
      <c r="BO281" s="297"/>
      <c r="BP281" s="297"/>
      <c r="BQ281" s="297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7"/>
      <c r="BO282" s="297"/>
      <c r="BP282" s="297"/>
      <c r="BQ282" s="297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7"/>
      <c r="BO283" s="297"/>
      <c r="BP283" s="297"/>
      <c r="BQ283" s="297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7"/>
      <c r="BO284" s="297"/>
      <c r="BP284" s="297"/>
      <c r="BQ284" s="297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7"/>
      <c r="BO285" s="297"/>
      <c r="BP285" s="297"/>
      <c r="BQ285" s="297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7"/>
      <c r="BO286" s="297"/>
      <c r="BP286" s="297"/>
      <c r="BQ286" s="297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7"/>
      <c r="BO287" s="297"/>
      <c r="BP287" s="297"/>
      <c r="BQ287" s="297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7"/>
      <c r="BO288" s="297"/>
      <c r="BP288" s="297"/>
      <c r="BQ288" s="297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7"/>
      <c r="BO289" s="297"/>
      <c r="BP289" s="297"/>
      <c r="BQ289" s="297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7"/>
      <c r="BO290" s="297"/>
      <c r="BP290" s="297"/>
      <c r="BQ290" s="297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7"/>
      <c r="BO291" s="297"/>
      <c r="BP291" s="297"/>
      <c r="BQ291" s="297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7"/>
      <c r="BO292" s="297"/>
      <c r="BP292" s="297"/>
      <c r="BQ292" s="297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7"/>
      <c r="BO293" s="297"/>
      <c r="BP293" s="297"/>
      <c r="BQ293" s="297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7"/>
      <c r="BO294" s="297"/>
      <c r="BP294" s="297"/>
      <c r="BQ294" s="297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7"/>
      <c r="BO295" s="297"/>
      <c r="BP295" s="297"/>
      <c r="BQ295" s="297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7"/>
      <c r="BO296" s="297"/>
      <c r="BP296" s="297"/>
      <c r="BQ296" s="297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7"/>
      <c r="BO297" s="297"/>
      <c r="BP297" s="297"/>
      <c r="BQ297" s="297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7"/>
      <c r="BO298" s="297"/>
      <c r="BP298" s="297"/>
      <c r="BQ298" s="297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7"/>
      <c r="BO299" s="297"/>
      <c r="BP299" s="297"/>
      <c r="BQ299" s="297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7"/>
      <c r="BO300" s="297"/>
      <c r="BP300" s="297"/>
      <c r="BQ300" s="297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7"/>
      <c r="BO301" s="297"/>
      <c r="BP301" s="297"/>
      <c r="BQ301" s="297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7"/>
      <c r="BO302" s="297"/>
      <c r="BP302" s="297"/>
      <c r="BQ302" s="297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7"/>
      <c r="BO303" s="297"/>
      <c r="BP303" s="297"/>
      <c r="BQ303" s="297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7"/>
      <c r="BO304" s="297"/>
      <c r="BP304" s="297"/>
      <c r="BQ304" s="297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7"/>
      <c r="BO305" s="297"/>
      <c r="BP305" s="297"/>
      <c r="BQ305" s="297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7"/>
      <c r="BO306" s="297"/>
      <c r="BP306" s="297"/>
      <c r="BQ306" s="297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7"/>
      <c r="BO307" s="297"/>
      <c r="BP307" s="297"/>
      <c r="BQ307" s="297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7"/>
      <c r="BO308" s="297"/>
      <c r="BP308" s="297"/>
      <c r="BQ308" s="297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7"/>
      <c r="BO309" s="297"/>
      <c r="BP309" s="297"/>
      <c r="BQ309" s="297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7"/>
      <c r="BO310" s="297"/>
      <c r="BP310" s="297"/>
      <c r="BQ310" s="297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7"/>
      <c r="BO311" s="297"/>
      <c r="BP311" s="297"/>
      <c r="BQ311" s="297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7"/>
      <c r="BO312" s="297"/>
      <c r="BP312" s="297"/>
      <c r="BQ312" s="297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7"/>
      <c r="BO313" s="297"/>
      <c r="BP313" s="297"/>
      <c r="BQ313" s="297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7"/>
      <c r="BO314" s="297"/>
      <c r="BP314" s="297"/>
      <c r="BQ314" s="297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7"/>
      <c r="BO315" s="297"/>
      <c r="BP315" s="297"/>
      <c r="BQ315" s="297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7"/>
      <c r="BO316" s="297"/>
      <c r="BP316" s="297"/>
      <c r="BQ316" s="297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7"/>
      <c r="BO317" s="297"/>
      <c r="BP317" s="297"/>
      <c r="BQ317" s="297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7"/>
      <c r="BO318" s="297"/>
      <c r="BP318" s="297"/>
      <c r="BQ318" s="297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7"/>
      <c r="BO319" s="297"/>
      <c r="BP319" s="297"/>
      <c r="BQ319" s="297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7"/>
      <c r="BO320" s="297"/>
      <c r="BP320" s="297"/>
      <c r="BQ320" s="297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7"/>
      <c r="BO321" s="297"/>
      <c r="BP321" s="297"/>
      <c r="BQ321" s="297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7"/>
      <c r="BO322" s="297"/>
      <c r="BP322" s="297"/>
      <c r="BQ322" s="297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7"/>
      <c r="BO323" s="297"/>
      <c r="BP323" s="297"/>
      <c r="BQ323" s="297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7"/>
      <c r="BO324" s="297"/>
      <c r="BP324" s="297"/>
      <c r="BQ324" s="297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7"/>
      <c r="BO325" s="297"/>
      <c r="BP325" s="297"/>
      <c r="BQ325" s="297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7"/>
      <c r="BO326" s="297"/>
      <c r="BP326" s="297"/>
      <c r="BQ326" s="297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7"/>
      <c r="BO327" s="297"/>
      <c r="BP327" s="297"/>
      <c r="BQ327" s="297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7"/>
      <c r="BO328" s="297"/>
      <c r="BP328" s="297"/>
      <c r="BQ328" s="297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7"/>
      <c r="BO329" s="297"/>
      <c r="BP329" s="297"/>
      <c r="BQ329" s="297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7"/>
      <c r="BO330" s="297"/>
      <c r="BP330" s="297"/>
      <c r="BQ330" s="297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7"/>
      <c r="BO331" s="297"/>
      <c r="BP331" s="297"/>
      <c r="BQ331" s="297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7"/>
      <c r="BO332" s="297"/>
      <c r="BP332" s="297"/>
      <c r="BQ332" s="297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7"/>
      <c r="BO333" s="297"/>
      <c r="BP333" s="297"/>
      <c r="BQ333" s="297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7"/>
      <c r="BO334" s="297"/>
      <c r="BP334" s="297"/>
      <c r="BQ334" s="297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7"/>
      <c r="BO335" s="297"/>
      <c r="BP335" s="297"/>
      <c r="BQ335" s="297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7"/>
      <c r="BO336" s="297"/>
      <c r="BP336" s="297"/>
      <c r="BQ336" s="297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7"/>
      <c r="BO337" s="297"/>
      <c r="BP337" s="297"/>
      <c r="BQ337" s="297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7"/>
      <c r="BO338" s="297"/>
      <c r="BP338" s="297"/>
      <c r="BQ338" s="297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7"/>
      <c r="BO339" s="297"/>
      <c r="BP339" s="297"/>
      <c r="BQ339" s="297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7"/>
      <c r="BO340" s="297"/>
      <c r="BP340" s="297"/>
      <c r="BQ340" s="297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7"/>
      <c r="BO341" s="297"/>
      <c r="BP341" s="297"/>
      <c r="BQ341" s="297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7"/>
      <c r="BO342" s="297"/>
      <c r="BP342" s="297"/>
      <c r="BQ342" s="297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7"/>
      <c r="BO343" s="297"/>
      <c r="BP343" s="297"/>
      <c r="BQ343" s="297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7"/>
      <c r="BO344" s="297"/>
      <c r="BP344" s="297"/>
      <c r="BQ344" s="297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7"/>
      <c r="BO345" s="297"/>
      <c r="BP345" s="297"/>
      <c r="BQ345" s="297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7"/>
      <c r="BO346" s="297"/>
      <c r="BP346" s="297"/>
      <c r="BQ346" s="297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7"/>
      <c r="BO347" s="297"/>
      <c r="BP347" s="297"/>
      <c r="BQ347" s="297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7"/>
      <c r="BO348" s="297"/>
      <c r="BP348" s="297"/>
      <c r="BQ348" s="297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7"/>
      <c r="BO349" s="297"/>
      <c r="BP349" s="297"/>
      <c r="BQ349" s="297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7"/>
      <c r="BO350" s="297"/>
      <c r="BP350" s="297"/>
      <c r="BQ350" s="297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7"/>
      <c r="BO351" s="297"/>
      <c r="BP351" s="297"/>
      <c r="BQ351" s="297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7"/>
      <c r="BO352" s="297"/>
      <c r="BP352" s="297"/>
      <c r="BQ352" s="297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7"/>
      <c r="BO353" s="297"/>
      <c r="BP353" s="297"/>
      <c r="BQ353" s="297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7"/>
      <c r="BO354" s="297"/>
      <c r="BP354" s="297"/>
      <c r="BQ354" s="297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7"/>
      <c r="BO355" s="297"/>
      <c r="BP355" s="297"/>
      <c r="BQ355" s="297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7"/>
      <c r="BO356" s="297"/>
      <c r="BP356" s="297"/>
      <c r="BQ356" s="297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7"/>
      <c r="BO357" s="297"/>
      <c r="BP357" s="297"/>
      <c r="BQ357" s="297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7"/>
      <c r="BO358" s="297"/>
      <c r="BP358" s="297"/>
      <c r="BQ358" s="297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7"/>
      <c r="BO359" s="297"/>
      <c r="BP359" s="297"/>
      <c r="BQ359" s="297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7"/>
      <c r="BO360" s="297"/>
      <c r="BP360" s="297"/>
      <c r="BQ360" s="297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7"/>
      <c r="BO361" s="297"/>
      <c r="BP361" s="297"/>
      <c r="BQ361" s="297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7"/>
      <c r="BO362" s="297"/>
      <c r="BP362" s="297"/>
      <c r="BQ362" s="297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7"/>
      <c r="BO363" s="297"/>
      <c r="BP363" s="297"/>
      <c r="BQ363" s="297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7"/>
      <c r="BO364" s="297"/>
      <c r="BP364" s="297"/>
      <c r="BQ364" s="297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7"/>
      <c r="BO365" s="297"/>
      <c r="BP365" s="297"/>
      <c r="BQ365" s="297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7"/>
      <c r="BO366" s="297"/>
      <c r="BP366" s="297"/>
      <c r="BQ366" s="297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7"/>
      <c r="BO367" s="297"/>
      <c r="BP367" s="297"/>
      <c r="BQ367" s="297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7"/>
      <c r="BO368" s="297"/>
      <c r="BP368" s="297"/>
      <c r="BQ368" s="297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7"/>
      <c r="BO369" s="297"/>
      <c r="BP369" s="297"/>
      <c r="BQ369" s="297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7"/>
      <c r="BO370" s="297"/>
      <c r="BP370" s="297"/>
      <c r="BQ370" s="297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7"/>
      <c r="BO371" s="297"/>
      <c r="BP371" s="297"/>
      <c r="BQ371" s="297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7"/>
      <c r="BO372" s="297"/>
      <c r="BP372" s="297"/>
      <c r="BQ372" s="297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7"/>
      <c r="BO373" s="297"/>
      <c r="BP373" s="297"/>
      <c r="BQ373" s="297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7"/>
      <c r="BO374" s="297"/>
      <c r="BP374" s="297"/>
      <c r="BQ374" s="297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7"/>
      <c r="BO375" s="297"/>
      <c r="BP375" s="297"/>
      <c r="BQ375" s="297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7"/>
      <c r="BO376" s="297"/>
      <c r="BP376" s="297"/>
      <c r="BQ376" s="297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7"/>
      <c r="BO377" s="297"/>
      <c r="BP377" s="297"/>
      <c r="BQ377" s="297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7"/>
      <c r="BO378" s="297"/>
      <c r="BP378" s="297"/>
      <c r="BQ378" s="297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7"/>
      <c r="BO379" s="297"/>
      <c r="BP379" s="297"/>
      <c r="BQ379" s="297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7"/>
      <c r="BO380" s="297"/>
      <c r="BP380" s="297"/>
      <c r="BQ380" s="297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7"/>
      <c r="BO381" s="297"/>
      <c r="BP381" s="297"/>
      <c r="BQ381" s="297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7"/>
      <c r="BO382" s="297"/>
      <c r="BP382" s="297"/>
      <c r="BQ382" s="297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7"/>
      <c r="BO383" s="297"/>
      <c r="BP383" s="297"/>
      <c r="BQ383" s="297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7"/>
      <c r="BO384" s="297"/>
      <c r="BP384" s="297"/>
      <c r="BQ384" s="297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7"/>
      <c r="BO385" s="297"/>
      <c r="BP385" s="297"/>
      <c r="BQ385" s="297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7"/>
      <c r="BO386" s="297"/>
      <c r="BP386" s="297"/>
      <c r="BQ386" s="297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7"/>
      <c r="BO387" s="297"/>
      <c r="BP387" s="297"/>
      <c r="BQ387" s="297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7"/>
      <c r="BO388" s="297"/>
      <c r="BP388" s="297"/>
      <c r="BQ388" s="297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7"/>
      <c r="BO389" s="297"/>
      <c r="BP389" s="297"/>
      <c r="BQ389" s="297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7"/>
      <c r="BO390" s="297"/>
      <c r="BP390" s="297"/>
      <c r="BQ390" s="297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7"/>
      <c r="BO391" s="297"/>
      <c r="BP391" s="297"/>
      <c r="BQ391" s="297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7"/>
      <c r="BO392" s="297"/>
      <c r="BP392" s="297"/>
      <c r="BQ392" s="297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7"/>
      <c r="BO393" s="297"/>
      <c r="BP393" s="297"/>
      <c r="BQ393" s="297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7"/>
      <c r="BO394" s="297"/>
      <c r="BP394" s="297"/>
      <c r="BQ394" s="297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7"/>
      <c r="BO395" s="297"/>
      <c r="BP395" s="297"/>
      <c r="BQ395" s="297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7"/>
      <c r="BO396" s="297"/>
      <c r="BP396" s="297"/>
      <c r="BQ396" s="297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7"/>
      <c r="BO397" s="297"/>
      <c r="BP397" s="297"/>
      <c r="BQ397" s="297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7"/>
      <c r="BO398" s="297"/>
      <c r="BP398" s="297"/>
      <c r="BQ398" s="297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7"/>
      <c r="BO399" s="297"/>
      <c r="BP399" s="297"/>
      <c r="BQ399" s="297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7"/>
      <c r="BO400" s="297"/>
      <c r="BP400" s="297"/>
      <c r="BQ400" s="297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7"/>
      <c r="BO401" s="297"/>
      <c r="BP401" s="297"/>
      <c r="BQ401" s="297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7"/>
      <c r="BO402" s="297"/>
      <c r="BP402" s="297"/>
      <c r="BQ402" s="297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7"/>
      <c r="BO403" s="297"/>
      <c r="BP403" s="297"/>
      <c r="BQ403" s="297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7"/>
      <c r="BO404" s="297"/>
      <c r="BP404" s="297"/>
      <c r="BQ404" s="297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7"/>
      <c r="BO405" s="297"/>
      <c r="BP405" s="297"/>
      <c r="BQ405" s="297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7"/>
      <c r="BO406" s="297"/>
      <c r="BP406" s="297"/>
      <c r="BQ406" s="297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7"/>
      <c r="BO407" s="297"/>
      <c r="BP407" s="297"/>
      <c r="BQ407" s="297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7"/>
      <c r="BO408" s="297"/>
      <c r="BP408" s="297"/>
      <c r="BQ408" s="297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7"/>
      <c r="BO409" s="297"/>
      <c r="BP409" s="297"/>
      <c r="BQ409" s="297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7"/>
      <c r="BO410" s="297"/>
      <c r="BP410" s="297"/>
      <c r="BQ410" s="297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7"/>
      <c r="BO411" s="297"/>
      <c r="BP411" s="297"/>
      <c r="BQ411" s="297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7"/>
      <c r="BO412" s="297"/>
      <c r="BP412" s="297"/>
      <c r="BQ412" s="297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7"/>
      <c r="BO413" s="297"/>
      <c r="BP413" s="297"/>
      <c r="BQ413" s="297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7"/>
      <c r="BO414" s="297"/>
      <c r="BP414" s="297"/>
      <c r="BQ414" s="297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7"/>
      <c r="BO415" s="297"/>
      <c r="BP415" s="297"/>
      <c r="BQ415" s="297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7"/>
      <c r="BO416" s="297"/>
      <c r="BP416" s="297"/>
      <c r="BQ416" s="297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7"/>
      <c r="BO417" s="297"/>
      <c r="BP417" s="297"/>
      <c r="BQ417" s="297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7"/>
      <c r="BO418" s="297"/>
      <c r="BP418" s="297"/>
      <c r="BQ418" s="297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7"/>
      <c r="BO419" s="297"/>
      <c r="BP419" s="297"/>
      <c r="BQ419" s="297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7"/>
      <c r="BO420" s="297"/>
      <c r="BP420" s="297"/>
      <c r="BQ420" s="297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7"/>
      <c r="BO421" s="297"/>
      <c r="BP421" s="297"/>
      <c r="BQ421" s="297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7"/>
      <c r="BO422" s="297"/>
      <c r="BP422" s="297"/>
      <c r="BQ422" s="297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7"/>
      <c r="BO423" s="297"/>
      <c r="BP423" s="297"/>
      <c r="BQ423" s="297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7"/>
      <c r="BO424" s="297"/>
      <c r="BP424" s="297"/>
      <c r="BQ424" s="297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7"/>
      <c r="BO425" s="297"/>
      <c r="BP425" s="297"/>
      <c r="BQ425" s="297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7"/>
      <c r="BO426" s="297"/>
      <c r="BP426" s="297"/>
      <c r="BQ426" s="297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7"/>
      <c r="BO427" s="297"/>
      <c r="BP427" s="297"/>
      <c r="BQ427" s="297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7"/>
      <c r="BO428" s="297"/>
      <c r="BP428" s="297"/>
      <c r="BQ428" s="297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7"/>
      <c r="BO429" s="297"/>
      <c r="BP429" s="297"/>
      <c r="BQ429" s="297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7"/>
      <c r="BO430" s="297"/>
      <c r="BP430" s="297"/>
      <c r="BQ430" s="297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7"/>
      <c r="BO431" s="297"/>
      <c r="BP431" s="297"/>
      <c r="BQ431" s="297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7"/>
      <c r="BO432" s="297"/>
      <c r="BP432" s="297"/>
      <c r="BQ432" s="297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7"/>
      <c r="BO433" s="297"/>
      <c r="BP433" s="297"/>
      <c r="BQ433" s="297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7"/>
      <c r="BO434" s="297"/>
      <c r="BP434" s="297"/>
      <c r="BQ434" s="297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7"/>
      <c r="BO435" s="297"/>
      <c r="BP435" s="297"/>
      <c r="BQ435" s="297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7"/>
      <c r="BO436" s="297"/>
      <c r="BP436" s="297"/>
      <c r="BQ436" s="297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EOhQL9VLp0JEoFv+60+oWPmooILbgWmlREryVqeRNU1uWK0Qw8dcc1h3+kZOYM6b6eUcs5Lr4u5PsUqFFLqeLw==" saltValue="LS0b/NmANR2gzRUFImh9aA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1"/>
      <c r="B10" s="262"/>
      <c r="C10" s="262"/>
      <c r="D10" s="233"/>
      <c r="E10" s="235"/>
      <c r="F10" s="263"/>
      <c r="G10" s="235"/>
      <c r="H10" s="263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1"/>
      <c r="B12" s="264"/>
      <c r="C12" s="262"/>
      <c r="D12" s="233"/>
      <c r="E12" s="235"/>
      <c r="F12" s="263"/>
      <c r="G12" s="235"/>
      <c r="H12" s="263"/>
      <c r="I12" s="235"/>
      <c r="J12" s="9"/>
      <c r="K12" s="9"/>
      <c r="L12" s="9"/>
      <c r="M12" s="242"/>
      <c r="N12" s="9"/>
      <c r="O12" s="9"/>
      <c r="P12" s="9"/>
      <c r="Q12" s="242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3"/>
      <c r="AC12" s="242"/>
      <c r="AD12" s="242"/>
      <c r="AE12" s="244"/>
      <c r="AF12" s="243"/>
      <c r="AG12" s="243"/>
      <c r="AH12" s="242"/>
      <c r="AI12" s="242"/>
      <c r="AJ12" s="242"/>
      <c r="AK12" s="242"/>
      <c r="AL12" s="242"/>
      <c r="AM12" s="250"/>
      <c r="AN12" s="242"/>
      <c r="AO12" s="242"/>
      <c r="AP12" s="242"/>
      <c r="AQ12" s="242"/>
      <c r="AR12" s="242"/>
      <c r="AS12" s="242"/>
      <c r="AT12" s="242"/>
      <c r="AU12" s="242"/>
      <c r="AV12" s="242"/>
      <c r="AW12" s="242"/>
      <c r="AX12" s="242"/>
      <c r="AY12" s="242"/>
      <c r="AZ12" s="242"/>
      <c r="BA12" s="242"/>
      <c r="BB12" s="242"/>
      <c r="BC12" s="242"/>
      <c r="BD12" s="246"/>
      <c r="BE12" s="242"/>
      <c r="BF12" s="242"/>
      <c r="BG12" s="242"/>
      <c r="BH12" s="242"/>
      <c r="BI12" s="242"/>
      <c r="BJ12" s="243"/>
      <c r="BK12" s="248"/>
      <c r="BL12" s="248"/>
      <c r="BM12" s="248"/>
      <c r="BN12" s="248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64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64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64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64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4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5"/>
      <c r="B22" s="278"/>
      <c r="C22" s="266"/>
      <c r="D22" s="267"/>
      <c r="E22" s="268"/>
      <c r="F22" s="269"/>
      <c r="G22" s="268"/>
      <c r="H22" s="269"/>
      <c r="I22" s="268"/>
      <c r="J22" s="270"/>
      <c r="K22" s="270"/>
      <c r="L22" s="270"/>
      <c r="M22" s="15"/>
      <c r="N22" s="270"/>
      <c r="O22" s="270"/>
      <c r="P22" s="270"/>
      <c r="Q22" s="15"/>
      <c r="R22" s="271"/>
      <c r="S22" s="271"/>
      <c r="T22" s="271"/>
      <c r="U22" s="272"/>
      <c r="V22" s="272"/>
      <c r="W22" s="272"/>
      <c r="X22" s="270"/>
      <c r="Y22" s="270"/>
      <c r="Z22" s="270"/>
      <c r="AA22" s="273"/>
      <c r="AB22" s="274"/>
      <c r="AC22" s="15"/>
      <c r="AD22" s="15"/>
      <c r="AE22" s="275"/>
      <c r="AF22" s="274"/>
      <c r="AG22" s="274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276"/>
      <c r="BE22" s="15"/>
      <c r="BF22" s="15"/>
      <c r="BG22" s="15"/>
      <c r="BH22" s="15"/>
      <c r="BI22" s="15"/>
      <c r="BJ22" s="274"/>
      <c r="BK22" s="277"/>
      <c r="BL22" s="277"/>
      <c r="BM22" s="277"/>
      <c r="BN22" s="277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5"/>
      <c r="B24" s="278"/>
      <c r="C24" s="266"/>
      <c r="D24" s="267"/>
      <c r="E24" s="268"/>
      <c r="F24" s="269"/>
      <c r="G24" s="268"/>
      <c r="H24" s="269"/>
      <c r="I24" s="268"/>
      <c r="J24" s="270"/>
      <c r="K24" s="270"/>
      <c r="L24" s="270"/>
      <c r="M24" s="15"/>
      <c r="N24" s="270"/>
      <c r="O24" s="270"/>
      <c r="P24" s="270"/>
      <c r="Q24" s="15"/>
      <c r="R24" s="271"/>
      <c r="S24" s="271"/>
      <c r="T24" s="271"/>
      <c r="U24" s="272"/>
      <c r="V24" s="272"/>
      <c r="W24" s="272"/>
      <c r="X24" s="270"/>
      <c r="Y24" s="270"/>
      <c r="Z24" s="270"/>
      <c r="AA24" s="273"/>
      <c r="AB24" s="274"/>
      <c r="AC24" s="15"/>
      <c r="AD24" s="15"/>
      <c r="AE24" s="275"/>
      <c r="AF24" s="274"/>
      <c r="AG24" s="274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276"/>
      <c r="BE24" s="15"/>
      <c r="BF24" s="15"/>
      <c r="BG24" s="15"/>
      <c r="BH24" s="15"/>
      <c r="BI24" s="15"/>
      <c r="BJ24" s="274"/>
      <c r="BK24" s="277"/>
      <c r="BL24" s="277"/>
      <c r="BM24" s="277"/>
      <c r="BN24" s="277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5"/>
      <c r="B32" s="278"/>
      <c r="C32" s="266"/>
      <c r="D32" s="267"/>
      <c r="E32" s="268"/>
      <c r="F32" s="269"/>
      <c r="G32" s="268"/>
      <c r="H32" s="269"/>
      <c r="I32" s="268"/>
      <c r="J32" s="270"/>
      <c r="K32" s="270"/>
      <c r="L32" s="270"/>
      <c r="M32" s="15"/>
      <c r="N32" s="270"/>
      <c r="O32" s="270"/>
      <c r="P32" s="270"/>
      <c r="Q32" s="15"/>
      <c r="R32" s="271"/>
      <c r="S32" s="271"/>
      <c r="T32" s="271"/>
      <c r="U32" s="272"/>
      <c r="V32" s="272"/>
      <c r="W32" s="272"/>
      <c r="X32" s="270"/>
      <c r="Y32" s="270"/>
      <c r="Z32" s="270"/>
      <c r="AA32" s="273"/>
      <c r="AB32" s="274"/>
      <c r="AC32" s="15"/>
      <c r="AD32" s="15"/>
      <c r="AE32" s="275"/>
      <c r="AF32" s="274"/>
      <c r="AG32" s="274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276"/>
      <c r="BE32" s="15"/>
      <c r="BF32" s="15"/>
      <c r="BG32" s="15"/>
      <c r="BH32" s="15"/>
      <c r="BI32" s="15"/>
      <c r="BJ32" s="274"/>
      <c r="BK32" s="277"/>
      <c r="BL32" s="277"/>
      <c r="BM32" s="277"/>
      <c r="BN32" s="277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5"/>
      <c r="B34" s="278"/>
      <c r="C34" s="266"/>
      <c r="D34" s="267"/>
      <c r="E34" s="268"/>
      <c r="F34" s="269"/>
      <c r="G34" s="268"/>
      <c r="H34" s="269"/>
      <c r="I34" s="268"/>
      <c r="J34" s="270"/>
      <c r="K34" s="270"/>
      <c r="L34" s="270"/>
      <c r="M34" s="15"/>
      <c r="N34" s="270"/>
      <c r="O34" s="270"/>
      <c r="P34" s="270"/>
      <c r="Q34" s="15"/>
      <c r="R34" s="271"/>
      <c r="S34" s="271"/>
      <c r="T34" s="271"/>
      <c r="U34" s="272"/>
      <c r="V34" s="272"/>
      <c r="W34" s="272"/>
      <c r="X34" s="270"/>
      <c r="Y34" s="270"/>
      <c r="Z34" s="270"/>
      <c r="AA34" s="273"/>
      <c r="AB34" s="274"/>
      <c r="AC34" s="15"/>
      <c r="AD34" s="15"/>
      <c r="AE34" s="275"/>
      <c r="AF34" s="274"/>
      <c r="AG34" s="274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276"/>
      <c r="BE34" s="15"/>
      <c r="BF34" s="15"/>
      <c r="BG34" s="15"/>
      <c r="BH34" s="15"/>
      <c r="BI34" s="15"/>
      <c r="BJ34" s="274"/>
      <c r="BK34" s="277"/>
      <c r="BL34" s="277"/>
      <c r="BM34" s="277"/>
      <c r="BN34" s="277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78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78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78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g/kCoPeV3lu58si99uabziy0YkdJZ777F3bZy1BpJkc4zJatEkwpV/+pm54/H2E6mCjpfvUb4XPIBpN6DAUzZA==" saltValue="opOOPTSLS0vDP2Nc8yRCbQ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rVm3h/8hE8g0MjyDvEz1Z1pVL+aC7UKDksX5I1iJhUaRNKpLdZmuXVJuQnodezwiFWo6Tyh0Gbh/pB3ITXGrqA==" saltValue="SD+JytiJxJ/y+0sPku7hsg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dznXDPbMIJ/f+nT8w/NQqcJU2FmHHJm70Au8FhcIgSvkKzf7N0hGTNGsUPLllepVfsyUsQz3X0icHcZ42pf9Xw==" saltValue="0jOceTMzN0cF/obSdAj68Q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