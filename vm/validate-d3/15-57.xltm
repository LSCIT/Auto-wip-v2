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0F57EF77-D40A-45A2-8A3E-8851A899F07E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23" i="82" l="1"/>
  <c r="AR22" i="82"/>
  <c r="AQ23" i="82"/>
  <c r="AQ22" i="82"/>
  <c r="AP23" i="82"/>
  <c r="AP22" i="82"/>
  <c r="AN23" i="82"/>
  <c r="AN22" i="82"/>
  <c r="AM23" i="82"/>
  <c r="AM22" i="82"/>
  <c r="AL23" i="82"/>
  <c r="AL22" i="82"/>
  <c r="AJ23" i="82"/>
  <c r="AJ22" i="82"/>
  <c r="AI23" i="82"/>
  <c r="AI22" i="82"/>
  <c r="AH23" i="82"/>
  <c r="AH22" i="82"/>
  <c r="AF23" i="82"/>
  <c r="AF22" i="82"/>
  <c r="AE23" i="82"/>
  <c r="AE22" i="82"/>
  <c r="AD23" i="82"/>
  <c r="AD22" i="82"/>
  <c r="AA23" i="82"/>
  <c r="AA22" i="82"/>
  <c r="Z23" i="82"/>
  <c r="Z22" i="82"/>
  <c r="Y23" i="82"/>
  <c r="Y22" i="82"/>
  <c r="X23" i="82"/>
  <c r="X22" i="82"/>
  <c r="W23" i="82"/>
  <c r="W22" i="82"/>
  <c r="S23" i="82"/>
  <c r="S22" i="82"/>
  <c r="R23" i="82"/>
  <c r="R22" i="82"/>
  <c r="Q23" i="82"/>
  <c r="Q22" i="82"/>
  <c r="N23" i="82"/>
  <c r="N22" i="82"/>
  <c r="M23" i="82"/>
  <c r="M22" i="82"/>
  <c r="J23" i="82"/>
  <c r="J22" i="82"/>
  <c r="F23" i="82"/>
  <c r="F22" i="82"/>
  <c r="E23" i="82"/>
  <c r="E22" i="82"/>
  <c r="AN20" i="82"/>
  <c r="AI20" i="82"/>
  <c r="AD20" i="82"/>
  <c r="X20" i="82"/>
  <c r="Q20" i="82"/>
  <c r="F20" i="82"/>
  <c r="F24" i="82" s="1"/>
  <c r="AR18" i="82"/>
  <c r="AQ18" i="82"/>
  <c r="AP18" i="82"/>
  <c r="AP20" i="82" s="1"/>
  <c r="AN18" i="82"/>
  <c r="AM18" i="82"/>
  <c r="AL18" i="82"/>
  <c r="AJ18" i="82"/>
  <c r="AJ20" i="82" s="1"/>
  <c r="AI18" i="82"/>
  <c r="AH18" i="82"/>
  <c r="AF18" i="82"/>
  <c r="AE18" i="82"/>
  <c r="AE20" i="82" s="1"/>
  <c r="AD18" i="82"/>
  <c r="AD24" i="82" s="1"/>
  <c r="AA18" i="82"/>
  <c r="Z18" i="82"/>
  <c r="Y18" i="82"/>
  <c r="Y20" i="82" s="1"/>
  <c r="X18" i="82"/>
  <c r="X24" i="82" s="1"/>
  <c r="W18" i="82"/>
  <c r="S18" i="82"/>
  <c r="R18" i="82"/>
  <c r="R20" i="82" s="1"/>
  <c r="Q18" i="82"/>
  <c r="Q24" i="82" s="1"/>
  <c r="N18" i="82"/>
  <c r="M18" i="82"/>
  <c r="J18" i="82"/>
  <c r="J20" i="82" s="1"/>
  <c r="F18" i="82"/>
  <c r="E18" i="82"/>
  <c r="AR13" i="82"/>
  <c r="AQ13" i="82"/>
  <c r="AQ20" i="82" s="1"/>
  <c r="AP13" i="82"/>
  <c r="AP24" i="82" s="1"/>
  <c r="AN13" i="82"/>
  <c r="AN24" i="82" s="1"/>
  <c r="AM13" i="82"/>
  <c r="AL13" i="82"/>
  <c r="AL20" i="82" s="1"/>
  <c r="AJ13" i="82"/>
  <c r="AJ24" i="82" s="1"/>
  <c r="AI13" i="82"/>
  <c r="AI24" i="82" s="1"/>
  <c r="AH13" i="82"/>
  <c r="AF13" i="82"/>
  <c r="AF20" i="82" s="1"/>
  <c r="AE13" i="82"/>
  <c r="AD13" i="82"/>
  <c r="AA13" i="82"/>
  <c r="Z13" i="82"/>
  <c r="Z20" i="82" s="1"/>
  <c r="Y13" i="82"/>
  <c r="X13" i="82"/>
  <c r="W13" i="82"/>
  <c r="S13" i="82"/>
  <c r="S20" i="82" s="1"/>
  <c r="R13" i="82"/>
  <c r="Q13" i="82"/>
  <c r="N13" i="82"/>
  <c r="M13" i="82"/>
  <c r="M20" i="82" s="1"/>
  <c r="J13" i="82"/>
  <c r="F13" i="82"/>
  <c r="E13" i="82"/>
  <c r="AW23" i="75"/>
  <c r="AW22" i="75"/>
  <c r="AV23" i="75"/>
  <c r="AV22" i="75"/>
  <c r="AU23" i="75"/>
  <c r="AU22" i="75"/>
  <c r="AS23" i="75"/>
  <c r="AS22" i="75"/>
  <c r="AR23" i="75"/>
  <c r="AR22" i="75"/>
  <c r="AQ23" i="75"/>
  <c r="AQ22" i="75"/>
  <c r="AN23" i="75"/>
  <c r="AN22" i="75"/>
  <c r="AM23" i="75"/>
  <c r="AM22" i="75"/>
  <c r="AL23" i="75"/>
  <c r="AL22" i="75"/>
  <c r="AI23" i="75"/>
  <c r="AI22" i="75"/>
  <c r="AH23" i="75"/>
  <c r="AH22" i="75"/>
  <c r="AG23" i="75"/>
  <c r="AG22" i="75"/>
  <c r="AD23" i="75"/>
  <c r="AD22" i="75"/>
  <c r="AC23" i="75"/>
  <c r="AC22" i="75"/>
  <c r="AO23" i="75"/>
  <c r="AO22" i="75"/>
  <c r="AJ23" i="75"/>
  <c r="AJ22" i="75"/>
  <c r="Z23" i="75"/>
  <c r="Z22" i="75"/>
  <c r="V23" i="75"/>
  <c r="V22" i="75"/>
  <c r="Y23" i="75"/>
  <c r="Y22" i="75"/>
  <c r="X23" i="75"/>
  <c r="X22" i="75"/>
  <c r="W23" i="75"/>
  <c r="W22" i="75"/>
  <c r="R23" i="75"/>
  <c r="R22" i="75"/>
  <c r="Q23" i="75"/>
  <c r="Q22" i="75"/>
  <c r="P23" i="75"/>
  <c r="P22" i="75"/>
  <c r="M23" i="75"/>
  <c r="M22" i="75"/>
  <c r="L23" i="75"/>
  <c r="L22" i="75"/>
  <c r="I23" i="75"/>
  <c r="I22" i="75"/>
  <c r="F23" i="75"/>
  <c r="F22" i="75"/>
  <c r="E23" i="75"/>
  <c r="E22" i="75"/>
  <c r="AS20" i="75"/>
  <c r="AM20" i="75"/>
  <c r="AG20" i="75"/>
  <c r="AJ20" i="75"/>
  <c r="X20" i="75"/>
  <c r="P20" i="75"/>
  <c r="F20" i="75"/>
  <c r="AW18" i="75"/>
  <c r="AV18" i="75"/>
  <c r="AU18" i="75"/>
  <c r="AS18" i="75"/>
  <c r="AR18" i="75"/>
  <c r="AQ18" i="75"/>
  <c r="AN18" i="75"/>
  <c r="AM18" i="75"/>
  <c r="AL18" i="75"/>
  <c r="AI18" i="75"/>
  <c r="AH18" i="75"/>
  <c r="AG18" i="75"/>
  <c r="AD18" i="75"/>
  <c r="AC18" i="75"/>
  <c r="AO18" i="75"/>
  <c r="AJ18" i="75"/>
  <c r="Z18" i="75"/>
  <c r="V18" i="75"/>
  <c r="Y18" i="75"/>
  <c r="Y24" i="75" s="1"/>
  <c r="X18" i="75"/>
  <c r="W18" i="75"/>
  <c r="R18" i="75"/>
  <c r="Q18" i="75"/>
  <c r="Q24" i="75" s="1"/>
  <c r="P18" i="75"/>
  <c r="M18" i="75"/>
  <c r="L18" i="75"/>
  <c r="I18" i="75"/>
  <c r="I24" i="75" s="1"/>
  <c r="F18" i="75"/>
  <c r="E18" i="75"/>
  <c r="AW13" i="75"/>
  <c r="AV13" i="75"/>
  <c r="AV20" i="75" s="1"/>
  <c r="AU13" i="75"/>
  <c r="AU20" i="75" s="1"/>
  <c r="AS13" i="75"/>
  <c r="AS24" i="75" s="1"/>
  <c r="AR13" i="75"/>
  <c r="AQ13" i="75"/>
  <c r="AQ20" i="75" s="1"/>
  <c r="AN13" i="75"/>
  <c r="AN20" i="75" s="1"/>
  <c r="AM13" i="75"/>
  <c r="AM24" i="75" s="1"/>
  <c r="AL13" i="75"/>
  <c r="AI13" i="75"/>
  <c r="AI20" i="75" s="1"/>
  <c r="AH13" i="75"/>
  <c r="AH20" i="75" s="1"/>
  <c r="AG13" i="75"/>
  <c r="AG24" i="75" s="1"/>
  <c r="AD13" i="75"/>
  <c r="AC13" i="75"/>
  <c r="AC20" i="75" s="1"/>
  <c r="AO13" i="75"/>
  <c r="AO20" i="75" s="1"/>
  <c r="AJ13" i="75"/>
  <c r="AJ24" i="75" s="1"/>
  <c r="Z13" i="75"/>
  <c r="V13" i="75"/>
  <c r="V20" i="75" s="1"/>
  <c r="Y13" i="75"/>
  <c r="Y20" i="75" s="1"/>
  <c r="X13" i="75"/>
  <c r="X24" i="75" s="1"/>
  <c r="W13" i="75"/>
  <c r="R13" i="75"/>
  <c r="R20" i="75" s="1"/>
  <c r="Q13" i="75"/>
  <c r="Q20" i="75" s="1"/>
  <c r="P13" i="75"/>
  <c r="P24" i="75" s="1"/>
  <c r="M13" i="75"/>
  <c r="L13" i="75"/>
  <c r="L20" i="75" s="1"/>
  <c r="I13" i="75"/>
  <c r="I20" i="75" s="1"/>
  <c r="F13" i="75"/>
  <c r="F24" i="75" s="1"/>
  <c r="E13" i="75"/>
  <c r="AS6" i="75"/>
  <c r="AC6" i="75"/>
  <c r="J24" i="82" l="1"/>
  <c r="E20" i="82"/>
  <c r="E24" i="82" s="1"/>
  <c r="N20" i="82"/>
  <c r="N24" i="82" s="1"/>
  <c r="W20" i="82"/>
  <c r="W24" i="82" s="1"/>
  <c r="AA20" i="82"/>
  <c r="AA24" i="82" s="1"/>
  <c r="AH20" i="82"/>
  <c r="AH24" i="82" s="1"/>
  <c r="AM20" i="82"/>
  <c r="AM24" i="82" s="1"/>
  <c r="AR20" i="82"/>
  <c r="AR24" i="82" s="1"/>
  <c r="M24" i="82"/>
  <c r="S24" i="82"/>
  <c r="Z24" i="82"/>
  <c r="AF24" i="82"/>
  <c r="AL24" i="82"/>
  <c r="AQ24" i="82"/>
  <c r="R24" i="82"/>
  <c r="Y24" i="82"/>
  <c r="AE24" i="82"/>
  <c r="E20" i="75"/>
  <c r="E24" i="75" s="1"/>
  <c r="M20" i="75"/>
  <c r="M24" i="75" s="1"/>
  <c r="W20" i="75"/>
  <c r="W24" i="75" s="1"/>
  <c r="Z20" i="75"/>
  <c r="Z24" i="75" s="1"/>
  <c r="AD20" i="75"/>
  <c r="AD24" i="75" s="1"/>
  <c r="AL20" i="75"/>
  <c r="AL24" i="75" s="1"/>
  <c r="AR20" i="75"/>
  <c r="AR24" i="75" s="1"/>
  <c r="AW20" i="75"/>
  <c r="AW24" i="75" s="1"/>
  <c r="L24" i="75"/>
  <c r="R24" i="75"/>
  <c r="V24" i="75"/>
  <c r="AC24" i="75"/>
  <c r="AI24" i="75"/>
  <c r="AQ24" i="75"/>
  <c r="AV24" i="75"/>
  <c r="AO24" i="75"/>
  <c r="AH24" i="75"/>
  <c r="AN24" i="75"/>
  <c r="AU24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46B74C60-9B9E-4510-A4C3-BE0FBC384C57}">
      <text>
        <r>
          <rPr>
            <sz val="10"/>
            <color indexed="81"/>
            <rFont val="Arial"/>
            <family val="2"/>
          </rPr>
          <t>Original - _x000D_
2,657,385_x000D_
Change Order - _x000D_
35,508,035</t>
        </r>
      </text>
    </comment>
    <comment ref="F9" authorId="0" shapeId="0" xr:uid="{246412B9-C4B7-4EED-A815-2254DCB60082}">
      <text>
        <r>
          <rPr>
            <sz val="10"/>
            <color indexed="81"/>
            <rFont val="Arial"/>
            <family val="2"/>
          </rPr>
          <t>1 - 0_x000D_
2 - 0_x000D_
3 - 38,144,758_x000D_
4 - 0_x000D_
5 - 0_x000D_
6 - 3,583,401</t>
        </r>
      </text>
    </comment>
    <comment ref="I9" authorId="0" shapeId="0" xr:uid="{9FC4A971-A5D7-4FD9-AFDF-BAF5D55BE895}">
      <text>
        <r>
          <rPr>
            <sz val="10"/>
            <color indexed="81"/>
            <rFont val="Arial"/>
            <family val="2"/>
          </rPr>
          <t>1 - 38,165,420_x000D_
2 - 38,165,420_x000D_
3 - 38,144,758_x000D_
4 - 38,144,758_x000D_
5 - 38,162,648_x000D_
6 - 3,583,401</t>
        </r>
      </text>
    </comment>
    <comment ref="L9" authorId="0" shapeId="0" xr:uid="{6681B763-53E1-4A49-856E-04936CC41AC3}">
      <text>
        <r>
          <rPr>
            <sz val="10"/>
            <color indexed="81"/>
            <rFont val="Arial"/>
            <family val="2"/>
          </rPr>
          <t>1 - 0_x000D_
2 - 0_x000D_
3 - 35,819,403_x000D_
4 - 0_x000D_
5 - 0_x000D_
6 - 3,293,781</t>
        </r>
      </text>
    </comment>
    <comment ref="M9" authorId="0" shapeId="0" xr:uid="{74E7B54F-7752-47B6-8AB7-A25830F49309}">
      <text>
        <r>
          <rPr>
            <sz val="10"/>
            <color indexed="81"/>
            <rFont val="Arial"/>
            <family val="2"/>
          </rPr>
          <t>1 - 35,758,334_x000D_
2 - 35,758,334_x000D_
3 - 35,819,403_x000D_
4 - 35,819,403_x000D_
5 - 36,083,643_x000D_
6 - 3,293,781</t>
        </r>
      </text>
    </comment>
    <comment ref="F10" authorId="0" shapeId="0" xr:uid="{6E5EB9C5-662A-4D13-986B-E539976C12A5}">
      <text>
        <r>
          <rPr>
            <sz val="10"/>
            <color indexed="81"/>
            <rFont val="Arial"/>
            <family val="2"/>
          </rPr>
          <t>1 - 0_x000D_
2 - 0_x000D_
3 - 40,106,225_x000D_
4 - 0_x000D_
5 - 0_x000D_
6 - 40,106,225</t>
        </r>
      </text>
    </comment>
    <comment ref="I10" authorId="0" shapeId="0" xr:uid="{87B0BC5F-4E4B-44AE-A594-7BE5B87546AD}">
      <text>
        <r>
          <rPr>
            <sz val="10"/>
            <color indexed="81"/>
            <rFont val="Arial"/>
            <family val="2"/>
          </rPr>
          <t>1 - 40,106,225_x000D_
2 - 40,106,225_x000D_
3 - 40,106,225_x000D_
4 - 40,106,225_x000D_
5 - 40,106,225_x000D_
6 - 40,106,225</t>
        </r>
      </text>
    </comment>
    <comment ref="L10" authorId="0" shapeId="0" xr:uid="{2802DC09-B7D4-4A76-BD45-83477A2C4040}">
      <text>
        <r>
          <rPr>
            <sz val="10"/>
            <color indexed="81"/>
            <rFont val="Arial"/>
            <family val="2"/>
          </rPr>
          <t>1 - 0_x000D_
2 - 0_x000D_
3 - 37,896,368_x000D_
4 - 0_x000D_
5 - 0_x000D_
6 - 37,896,368</t>
        </r>
      </text>
    </comment>
    <comment ref="M10" authorId="0" shapeId="0" xr:uid="{F351A72D-3EA1-450F-8E1C-DA34B6230B50}">
      <text>
        <r>
          <rPr>
            <sz val="10"/>
            <color indexed="81"/>
            <rFont val="Arial"/>
            <family val="2"/>
          </rPr>
          <t>1 - 37,896,368_x000D_
2 - 37,896,368_x000D_
3 - 37,896,368_x000D_
4 - 37,896,368_x000D_
5 - 37,896,368_x000D_
6 - 37,896,368</t>
        </r>
      </text>
    </comment>
    <comment ref="F11" authorId="0" shapeId="0" xr:uid="{B0BDE063-F2ED-49D6-A45C-DC9A2E18271B}">
      <text>
        <r>
          <rPr>
            <sz val="10"/>
            <color indexed="81"/>
            <rFont val="Arial"/>
            <family val="2"/>
          </rPr>
          <t>1 - 0_x000D_
2 - 0_x000D_
3 - 153,858_x000D_
4 - 0_x000D_
5 - 0_x000D_
6 - 0</t>
        </r>
      </text>
    </comment>
    <comment ref="I11" authorId="0" shapeId="0" xr:uid="{7BC4E9FC-4A75-4AFA-B472-4A4AFB22DA36}">
      <text>
        <r>
          <rPr>
            <sz val="10"/>
            <color indexed="81"/>
            <rFont val="Arial"/>
            <family val="2"/>
          </rPr>
          <t>1 - 162,630_x000D_
2 - 162,630_x000D_
3 - 153,858_x000D_
4 - 175,000_x000D_
5 - 0_x000D_
6 - 0</t>
        </r>
      </text>
    </comment>
    <comment ref="L11" authorId="0" shapeId="0" xr:uid="{B25A8523-37F7-496F-8EFF-237BC2F92693}">
      <text>
        <r>
          <rPr>
            <sz val="10"/>
            <color indexed="81"/>
            <rFont val="Arial"/>
            <family val="2"/>
          </rPr>
          <t>1 - 0_x000D_
2 - 0_x000D_
3 - 186,093_x000D_
4 - 0_x000D_
5 - 0_x000D_
6 - 0</t>
        </r>
      </text>
    </comment>
    <comment ref="M11" authorId="0" shapeId="0" xr:uid="{13FEAE54-FBAA-4F0D-8BA5-B650275D57BE}">
      <text>
        <r>
          <rPr>
            <sz val="10"/>
            <color indexed="81"/>
            <rFont val="Arial"/>
            <family val="2"/>
          </rPr>
          <t>1 - 194,865_x000D_
2 - 194,865_x000D_
3 - 186,093_x000D_
4 - 175,000_x000D_
5 - 0_x000D_
6 - 0</t>
        </r>
      </text>
    </comment>
    <comment ref="I12" authorId="0" shapeId="0" xr:uid="{A98CB21E-F928-43DE-ADCD-92235EE4C890}">
      <text>
        <r>
          <rPr>
            <sz val="10"/>
            <color indexed="81"/>
            <rFont val="Arial"/>
            <family val="2"/>
          </rPr>
          <t>1 - 2,876,047_x000D_
2 - 2,876,047_x000D_
3 - 0_x000D_
4 - 0_x000D_
5 - 0_x000D_
6 - 0</t>
        </r>
      </text>
    </comment>
    <comment ref="M12" authorId="0" shapeId="0" xr:uid="{38061F37-8F05-4AE2-8D5C-51E490A80802}">
      <text>
        <r>
          <rPr>
            <sz val="10"/>
            <color indexed="81"/>
            <rFont val="Arial"/>
            <family val="2"/>
          </rPr>
          <t>1 - 2,743,982_x000D_
2 - 2,743,982_x000D_
3 - 0_x000D_
4 - 0_x000D_
5 - 0_x000D_
6 - 0</t>
        </r>
      </text>
    </comment>
    <comment ref="I16" authorId="0" shapeId="0" xr:uid="{B4839B1B-D4F4-4D07-871F-C826E9606889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16" authorId="0" shapeId="0" xr:uid="{6B1C808E-5B0F-45AF-9622-775989B45774}">
      <text>
        <r>
          <rPr>
            <sz val="10"/>
            <color indexed="81"/>
            <rFont val="Arial"/>
            <family val="2"/>
          </rPr>
          <t>1 - 0_x000D_
2 - 0_x000D_
3 - 52,860_x000D_
4 - 0_x000D_
5 - 0_x000D_
6 - 17,058</t>
        </r>
      </text>
    </comment>
    <comment ref="M16" authorId="0" shapeId="0" xr:uid="{31178C48-675E-4A66-BA24-BA6591CB15EF}">
      <text>
        <r>
          <rPr>
            <sz val="10"/>
            <color indexed="81"/>
            <rFont val="Arial"/>
            <family val="2"/>
          </rPr>
          <t>1 - 79,964_x000D_
2 - 69,676_x000D_
3 - 52,860_x000D_
4 - 42,909_x000D_
5 - 21,468_x000D_
6 - 17,058</t>
        </r>
      </text>
    </comment>
    <comment ref="I17" authorId="0" shapeId="0" xr:uid="{5DC0B1C8-8C73-4A72-9222-D2B3EAA3A174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L17" authorId="0" shapeId="0" xr:uid="{B9ED2564-4D8F-4142-9A82-5066059103C4}">
      <text>
        <r>
          <rPr>
            <sz val="10"/>
            <color indexed="81"/>
            <rFont val="Arial"/>
            <family val="2"/>
          </rPr>
          <t>1 - 0_x000D_
2 - 0_x000D_
3 - 4,433_x000D_
4 - 0_x000D_
5 - 0_x000D_
6 - 4,433</t>
        </r>
      </text>
    </comment>
    <comment ref="M17" authorId="0" shapeId="0" xr:uid="{211A20C5-8219-4004-941E-E19948E263F1}">
      <text>
        <r>
          <rPr>
            <sz val="10"/>
            <color indexed="81"/>
            <rFont val="Arial"/>
            <family val="2"/>
          </rPr>
          <t>1 - 10,411_x000D_
2 - 10,411_x000D_
3 - 4,433_x000D_
4 - 4,433_x000D_
5 - 4,433_x000D_
6 - 4,433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BEFBE740-AC61-4479-BCD0-65C168D16671}">
      <text>
        <r>
          <rPr>
            <sz val="10"/>
            <color indexed="81"/>
            <rFont val="Arial"/>
            <family val="2"/>
          </rPr>
          <t>Original - _x000D_
2,657,385_x000D_
Change Order - _x000D_
35,508,035</t>
        </r>
      </text>
    </comment>
    <comment ref="F9" authorId="0" shapeId="0" xr:uid="{BAEB490A-47C1-4599-90A5-0FB8A9677FF4}">
      <text>
        <r>
          <rPr>
            <sz val="10"/>
            <color indexed="81"/>
            <rFont val="Arial"/>
            <family val="2"/>
          </rPr>
          <t>1 - 0_x000D_
2 - 0_x000D_
3 - 38,144,758_x000D_
4 - 0_x000D_
5 - 0_x000D_
6 - 3,583,401</t>
        </r>
      </text>
    </comment>
    <comment ref="J9" authorId="0" shapeId="0" xr:uid="{19028BEB-998A-4777-8FA0-EF77E69EA32F}">
      <text>
        <r>
          <rPr>
            <sz val="10"/>
            <color indexed="81"/>
            <rFont val="Arial"/>
            <family val="2"/>
          </rPr>
          <t>1 - 0_x000D_
2 - 0_x000D_
3 - 38,144,758_x000D_
4 - 0_x000D_
5 - 0_x000D_
6 - 3,583,401</t>
        </r>
      </text>
    </comment>
    <comment ref="M9" authorId="0" shapeId="0" xr:uid="{3805ADFE-CE6E-46C7-9918-B512AFB8C434}">
      <text>
        <r>
          <rPr>
            <sz val="10"/>
            <color indexed="81"/>
            <rFont val="Arial"/>
            <family val="2"/>
          </rPr>
          <t>1 - 0_x000D_
2 - 0_x000D_
3 - 35,819,403_x000D_
4 - 0_x000D_
5 - 0_x000D_
6 - 3,293,781</t>
        </r>
      </text>
    </comment>
    <comment ref="N9" authorId="0" shapeId="0" xr:uid="{F36636E7-A236-453C-BD8D-0816F7EA5C1C}">
      <text>
        <r>
          <rPr>
            <sz val="10"/>
            <color indexed="81"/>
            <rFont val="Arial"/>
            <family val="2"/>
          </rPr>
          <t>1 - 0_x000D_
2 - 0_x000D_
3 - 35,819,403_x000D_
4 - 0_x000D_
5 - 0_x000D_
6 - 3,293,781</t>
        </r>
      </text>
    </comment>
    <comment ref="F10" authorId="0" shapeId="0" xr:uid="{2D4E4883-5776-4DC0-A5FB-85DB376241E2}">
      <text>
        <r>
          <rPr>
            <sz val="10"/>
            <color indexed="81"/>
            <rFont val="Arial"/>
            <family val="2"/>
          </rPr>
          <t>1 - 0_x000D_
2 - 0_x000D_
3 - 40,106,225_x000D_
4 - 0_x000D_
5 - 0_x000D_
6 - 40,106,225</t>
        </r>
      </text>
    </comment>
    <comment ref="J10" authorId="0" shapeId="0" xr:uid="{5A24D2D3-8FAB-47E5-A054-EE5F5A19805D}">
      <text>
        <r>
          <rPr>
            <sz val="10"/>
            <color indexed="81"/>
            <rFont val="Arial"/>
            <family val="2"/>
          </rPr>
          <t>1 - 0_x000D_
2 - 0_x000D_
3 - 40,106,225_x000D_
4 - 0_x000D_
5 - 0_x000D_
6 - 40,106,225</t>
        </r>
      </text>
    </comment>
    <comment ref="M10" authorId="0" shapeId="0" xr:uid="{A9C797E3-056C-48FB-8ABB-D7DD24B1B8DD}">
      <text>
        <r>
          <rPr>
            <sz val="10"/>
            <color indexed="81"/>
            <rFont val="Arial"/>
            <family val="2"/>
          </rPr>
          <t>1 - 0_x000D_
2 - 0_x000D_
3 - 37,896,368_x000D_
4 - 0_x000D_
5 - 0_x000D_
6 - 37,896,368</t>
        </r>
      </text>
    </comment>
    <comment ref="N10" authorId="0" shapeId="0" xr:uid="{6DCD7460-47C0-4755-A065-6ADA19AFC43D}">
      <text>
        <r>
          <rPr>
            <sz val="10"/>
            <color indexed="81"/>
            <rFont val="Arial"/>
            <family val="2"/>
          </rPr>
          <t>1 - 0_x000D_
2 - 0_x000D_
3 - 37,896,368_x000D_
4 - 0_x000D_
5 - 0_x000D_
6 - 37,896,368</t>
        </r>
      </text>
    </comment>
    <comment ref="F11" authorId="0" shapeId="0" xr:uid="{6C684C22-C545-44C6-BCD8-68381A305EE6}">
      <text>
        <r>
          <rPr>
            <sz val="10"/>
            <color indexed="81"/>
            <rFont val="Arial"/>
            <family val="2"/>
          </rPr>
          <t>1 - 0_x000D_
2 - 0_x000D_
3 - 153,858_x000D_
4 - 0_x000D_
5 - 0_x000D_
6 - 0</t>
        </r>
      </text>
    </comment>
    <comment ref="J11" authorId="0" shapeId="0" xr:uid="{22D94EE5-6A18-4BAB-8012-31101F558297}">
      <text>
        <r>
          <rPr>
            <sz val="10"/>
            <color indexed="81"/>
            <rFont val="Arial"/>
            <family val="2"/>
          </rPr>
          <t>1 - 0_x000D_
2 - 0_x000D_
3 - 153,858_x000D_
4 - 0_x000D_
5 - 0_x000D_
6 - 0</t>
        </r>
      </text>
    </comment>
    <comment ref="M11" authorId="0" shapeId="0" xr:uid="{7D454F11-4D9C-4436-AECD-E69D9765B0F5}">
      <text>
        <r>
          <rPr>
            <sz val="10"/>
            <color indexed="81"/>
            <rFont val="Arial"/>
            <family val="2"/>
          </rPr>
          <t>1 - 0_x000D_
2 - 0_x000D_
3 - 186,093_x000D_
4 - 0_x000D_
5 - 0_x000D_
6 - 0</t>
        </r>
      </text>
    </comment>
    <comment ref="N11" authorId="0" shapeId="0" xr:uid="{A1F9AC5F-0EBC-44CD-B526-FA5717AC7F18}">
      <text>
        <r>
          <rPr>
            <sz val="10"/>
            <color indexed="81"/>
            <rFont val="Arial"/>
            <family val="2"/>
          </rPr>
          <t>1 - 0_x000D_
2 - 0_x000D_
3 - 186,093_x000D_
4 - 0_x000D_
5 - 0_x000D_
6 - 0</t>
        </r>
      </text>
    </comment>
    <comment ref="J12" authorId="0" shapeId="0" xr:uid="{2A432AB8-298C-42D8-A820-95D4E4EBD757}">
      <text>
        <r>
          <rPr>
            <sz val="9"/>
            <color indexed="81"/>
            <rFont val="Arial"/>
            <family val="2"/>
          </rPr>
          <t>Changed $2,876,047.00 to $2,876,047.00 by ExcelImport on 04/06/2026</t>
        </r>
      </text>
    </comment>
    <comment ref="N12" authorId="0" shapeId="0" xr:uid="{8C7CBA1E-16A2-41EB-9448-50532A5D036D}">
      <text>
        <r>
          <rPr>
            <sz val="9"/>
            <color indexed="81"/>
            <rFont val="Arial"/>
            <family val="2"/>
          </rPr>
          <t>Changed $2,829,323.94 to $2,743,982.00 by ExcelImport on 04/06/2026</t>
        </r>
      </text>
    </comment>
    <comment ref="J16" authorId="0" shapeId="0" xr:uid="{46A7685A-8F58-4F2A-AB9A-5C2E95AB3E0F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6" authorId="0" shapeId="0" xr:uid="{DDFEAD69-D279-4489-AC08-5ED61C7F2A6E}">
      <text>
        <r>
          <rPr>
            <sz val="10"/>
            <color indexed="81"/>
            <rFont val="Arial"/>
            <family val="2"/>
          </rPr>
          <t>1 - 0_x000D_
2 - 0_x000D_
3 - 52,860_x000D_
4 - 0_x000D_
5 - 0_x000D_
6 - 17,058</t>
        </r>
      </text>
    </comment>
    <comment ref="N16" authorId="0" shapeId="0" xr:uid="{181EAF18-6E5B-4F72-B8CF-A0EB8A8CC081}">
      <text>
        <r>
          <rPr>
            <sz val="10"/>
            <color indexed="81"/>
            <rFont val="Arial"/>
            <family val="2"/>
          </rPr>
          <t>1 - 0_x000D_
2 - 0_x000D_
3 - 52,860_x000D_
4 - 0_x000D_
5 - 0_x000D_
6 - 17,058</t>
        </r>
      </text>
    </comment>
    <comment ref="J17" authorId="0" shapeId="0" xr:uid="{60EFB02B-40AD-49B2-B877-0DE55611A364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M17" authorId="0" shapeId="0" xr:uid="{AEA95FBE-035C-4B1F-A7D3-F9664FF840F8}">
      <text>
        <r>
          <rPr>
            <sz val="10"/>
            <color indexed="81"/>
            <rFont val="Arial"/>
            <family val="2"/>
          </rPr>
          <t>1 - 0_x000D_
2 - 0_x000D_
3 - 4,433_x000D_
4 - 0_x000D_
5 - 0_x000D_
6 - 4,433</t>
        </r>
      </text>
    </comment>
    <comment ref="N17" authorId="0" shapeId="0" xr:uid="{AC4CE635-2768-4D33-B59D-66804FECBF02}">
      <text>
        <r>
          <rPr>
            <sz val="10"/>
            <color indexed="81"/>
            <rFont val="Arial"/>
            <family val="2"/>
          </rPr>
          <t>1 - 0_x000D_
2 - 0_x000D_
3 - 4,433_x000D_
4 - 0_x000D_
5 - 0_x000D_
6 - 4,433</t>
        </r>
      </text>
    </comment>
  </commentList>
</comments>
</file>

<file path=xl/sharedStrings.xml><?xml version="1.0" encoding="utf-8"?>
<sst xmlns="http://schemas.openxmlformats.org/spreadsheetml/2006/main" count="4762" uniqueCount="659">
  <si>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</si>
  <si>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</si>
  <si>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</si>
  <si>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</si>
  <si>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</si>
  <si>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</si>
  <si>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</si>
  <si>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</si>
  <si>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</si>
  <si>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</si>
  <si>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</si>
  <si>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</si>
  <si>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</si>
  <si>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</si>
  <si>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</si>
  <si>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</si>
  <si>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</si>
  <si>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</si>
  <si>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</si>
  <si>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</si>
  <si>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</si>
  <si>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</si>
  <si>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</si>
  <si>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</si>
  <si>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</si>
  <si>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</si>
  <si>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</si>
  <si>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</si>
  <si>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</si>
  <si>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</si>
  <si>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</si>
  <si>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</si>
  <si>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</si>
  <si>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</si>
  <si>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</si>
  <si>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</si>
  <si>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</si>
  <si>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</si>
  <si>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</si>
  <si>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</si>
  <si>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</si>
  <si>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</si>
  <si>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</si>
  <si>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</si>
  <si>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</si>
  <si>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</si>
  <si>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</si>
  <si>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</si>
  <si>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</si>
  <si>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</si>
  <si>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</si>
  <si>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</si>
  <si>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</si>
  <si>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</si>
  <si>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</si>
  <si>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</si>
  <si>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</si>
  <si>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</si>
  <si>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</si>
  <si>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</si>
  <si>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</si>
  <si>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</si>
  <si>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</si>
  <si>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</si>
  <si>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</si>
  <si>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</si>
  <si>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</si>
  <si>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</si>
  <si>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</si>
  <si>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</si>
  <si>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</si>
  <si>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</si>
  <si>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</si>
  <si>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</si>
  <si>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</si>
  <si>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</si>
  <si>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</si>
  <si>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</si>
  <si>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</si>
  <si>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</si>
  <si>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</si>
  <si>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</si>
  <si>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</si>
  <si>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</si>
  <si>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</si>
  <si>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</si>
  <si>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</si>
  <si>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</si>
  <si>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</si>
  <si>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</si>
  <si>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</si>
  <si>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</si>
  <si>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</si>
  <si>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</si>
  <si>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</si>
  <si>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</si>
  <si>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</si>
  <si>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</si>
  <si>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</si>
  <si>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</si>
  <si>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</si>
  <si>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</si>
  <si>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</si>
  <si>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</si>
  <si>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</si>
  <si>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</si>
  <si>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</si>
  <si>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</si>
  <si>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</si>
  <si>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</si>
  <si>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</si>
  <si>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</si>
  <si>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</si>
  <si>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</si>
  <si>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</si>
  <si>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</si>
  <si>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</si>
  <si>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</si>
  <si>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</si>
  <si>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</si>
  <si>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</si>
  <si>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</si>
  <si>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</si>
  <si>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</si>
  <si>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</si>
  <si>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</si>
  <si>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</si>
  <si>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</si>
  <si>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</si>
  <si>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</si>
  <si>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</si>
  <si>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</si>
  <si>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</si>
  <si>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</si>
  <si>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</si>
  <si>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</si>
  <si>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</si>
  <si>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</si>
  <si>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</si>
  <si>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</si>
  <si>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</si>
  <si>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</si>
  <si>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</si>
  <si>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</si>
  <si>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</si>
  <si>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</si>
  <si>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</si>
  <si>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</si>
  <si>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</si>
  <si>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</si>
  <si>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</si>
  <si>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</si>
  <si>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</si>
  <si>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</si>
  <si>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</si>
  <si>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</si>
  <si>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</si>
  <si>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</si>
  <si>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</si>
  <si>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</si>
  <si>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</si>
  <si>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</si>
  <si>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</si>
  <si>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</si>
  <si>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</si>
  <si>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</si>
  <si>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</si>
  <si>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</si>
  <si>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</si>
  <si>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</si>
  <si>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</si>
  <si>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</si>
  <si>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</si>
  <si>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</si>
  <si>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</si>
  <si>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</si>
  <si>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</si>
  <si>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</si>
  <si>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</si>
  <si>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</si>
  <si>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</si>
  <si>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</si>
  <si>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</si>
  <si>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</si>
  <si>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</si>
  <si>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</si>
  <si>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</si>
  <si>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</si>
  <si>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</si>
  <si>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</si>
  <si>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</si>
  <si>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</si>
  <si>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</si>
  <si>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</si>
  <si>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</si>
  <si>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</si>
  <si>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</si>
  <si>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</si>
  <si>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</si>
  <si>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</si>
  <si>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</si>
  <si>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</si>
  <si>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</si>
  <si>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</si>
  <si>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</si>
  <si>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</si>
  <si>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</si>
  <si>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</si>
  <si>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</si>
  <si>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</si>
  <si>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</si>
  <si>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</si>
  <si>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</si>
  <si>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</si>
  <si>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</si>
  <si>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</si>
  <si>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</si>
  <si>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</si>
  <si>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</si>
  <si>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</si>
  <si>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</si>
  <si>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</si>
  <si>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</si>
  <si>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</si>
  <si>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</si>
  <si>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</si>
  <si>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</si>
  <si>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</si>
  <si>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</si>
  <si>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</si>
  <si>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</si>
  <si>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</si>
  <si>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</si>
  <si>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</si>
  <si>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</si>
  <si>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</si>
  <si>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</si>
  <si>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</si>
  <si>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</si>
  <si>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</si>
  <si>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</si>
  <si>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</si>
  <si>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</si>
  <si>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</si>
  <si>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</si>
  <si>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</si>
  <si>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</si>
  <si>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</si>
  <si>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</si>
  <si>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</si>
  <si>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</si>
  <si>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</si>
  <si>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</si>
  <si>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</si>
  <si>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</si>
  <si>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</si>
  <si>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</si>
  <si>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</si>
  <si>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</si>
  <si>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</si>
  <si>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</si>
  <si>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</si>
  <si>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</si>
  <si>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</si>
  <si>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</si>
  <si>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</si>
  <si>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</si>
  <si>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</si>
  <si>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</si>
  <si>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</si>
  <si>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</si>
  <si>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</si>
  <si>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</si>
  <si>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</si>
  <si>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</si>
  <si>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</si>
  <si>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</si>
  <si>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</si>
  <si>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</si>
  <si>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</si>
  <si>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</si>
  <si>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</si>
  <si>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</si>
  <si>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</si>
  <si>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</si>
  <si>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</si>
  <si>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</si>
  <si>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</si>
  <si>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</si>
  <si>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</si>
  <si>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</si>
  <si>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</si>
  <si>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</si>
  <si>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</si>
  <si>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</si>
  <si>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</si>
  <si>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</si>
  <si>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</si>
  <si>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</si>
  <si>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</si>
  <si>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</si>
  <si>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</si>
  <si>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</si>
  <si>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</si>
  <si>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</si>
  <si>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</si>
  <si>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</si>
  <si>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</si>
  <si>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</si>
  <si>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</si>
  <si>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</si>
  <si>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</si>
  <si>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</si>
  <si>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</si>
  <si>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</si>
  <si>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</si>
  <si>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</si>
  <si>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</si>
  <si>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</si>
  <si>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</si>
  <si>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</si>
  <si>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</si>
  <si>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</si>
  <si>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</si>
  <si>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</si>
  <si>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</si>
  <si>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</si>
  <si>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</si>
  <si>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</si>
  <si>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</si>
  <si>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</si>
  <si>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</si>
  <si>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</si>
  <si>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</si>
  <si>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</si>
  <si>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</si>
  <si>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</si>
  <si>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</si>
  <si>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</si>
  <si>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</si>
  <si>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</si>
  <si>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</si>
  <si>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</si>
  <si>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</si>
  <si>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</si>
  <si>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</si>
  <si>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</si>
  <si>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</si>
  <si>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</si>
  <si>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</si>
  <si>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</si>
  <si>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</si>
  <si>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</si>
  <si>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</si>
  <si>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</si>
  <si>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</si>
  <si>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</si>
  <si>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</si>
  <si>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</si>
  <si>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</si>
  <si>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</si>
  <si>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</si>
  <si>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</si>
  <si>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</si>
  <si>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</si>
  <si>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</si>
  <si>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</si>
  <si>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</si>
  <si>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</si>
  <si>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</si>
  <si>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</si>
  <si>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</si>
  <si>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</si>
  <si>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</si>
  <si>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</si>
  <si>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</si>
  <si>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</si>
  <si>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</si>
  <si>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</si>
  <si>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</si>
  <si>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</si>
  <si>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</si>
  <si>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</si>
  <si>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</si>
  <si>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</si>
  <si>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</si>
  <si>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</si>
  <si>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</si>
  <si>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</si>
  <si>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</si>
  <si>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</si>
  <si>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</si>
  <si>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</si>
  <si>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</si>
  <si>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</si>
  <si>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</si>
  <si>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</si>
  <si>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</si>
  <si>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</si>
  <si>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</si>
  <si>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</si>
  <si>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</si>
  <si>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</si>
  <si>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</si>
  <si>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</si>
  <si>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</si>
  <si>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</si>
  <si>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</si>
  <si>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</si>
  <si>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</si>
  <si>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</si>
  <si>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</si>
  <si>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</si>
  <si>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</si>
  <si>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</si>
  <si>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</si>
  <si>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</si>
  <si>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</si>
  <si>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</si>
  <si>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</si>
  <si>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</si>
  <si>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</si>
  <si>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</si>
  <si>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</si>
  <si>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</si>
  <si>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</si>
  <si>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</si>
  <si>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</si>
  <si>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</si>
  <si>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</si>
  <si>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</si>
  <si>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</si>
  <si>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</si>
  <si>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</si>
  <si>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</si>
  <si>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</si>
  <si>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</si>
  <si>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</si>
  <si>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</si>
  <si>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</si>
  <si>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</si>
  <si>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</si>
  <si>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</si>
  <si>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</si>
  <si>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</si>
  <si>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</si>
  <si>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</si>
  <si>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</si>
  <si>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</si>
  <si>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</si>
  <si>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</si>
  <si>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</si>
  <si>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</si>
  <si>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</si>
  <si>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</si>
  <si>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</si>
  <si>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</si>
  <si>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</si>
  <si>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</si>
  <si>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</si>
  <si>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</si>
  <si>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</si>
  <si>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</si>
  <si>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</si>
  <si>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</si>
  <si>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</si>
  <si>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</si>
  <si>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</si>
  <si>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</si>
  <si>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</si>
  <si>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</si>
  <si>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</si>
  <si>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</si>
  <si>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</si>
  <si>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</si>
  <si>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</si>
  <si>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</si>
  <si>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</si>
  <si>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</si>
  <si>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</si>
  <si>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</si>
  <si>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</si>
  <si>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</si>
  <si>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</si>
  <si>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</si>
  <si>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</si>
  <si>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</si>
  <si>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</si>
  <si>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</si>
  <si>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</si>
  <si>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</si>
  <si>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</si>
  <si>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</si>
  <si>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</si>
  <si>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</si>
  <si>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</si>
  <si>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</si>
  <si>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</si>
  <si>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</si>
  <si>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</si>
  <si>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</si>
  <si>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</si>
  <si>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</si>
  <si>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</si>
  <si>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</si>
  <si>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</si>
  <si>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</si>
  <si>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</si>
  <si>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</si>
  <si>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</si>
  <si>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</si>
  <si>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</si>
  <si>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</si>
  <si>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</si>
  <si>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</si>
  <si>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</si>
  <si>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</si>
  <si>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</si>
  <si>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</si>
  <si>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</si>
  <si>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</si>
  <si>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</si>
  <si>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</si>
  <si>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</si>
  <si>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</si>
  <si>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</si>
  <si>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</si>
  <si>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</si>
  <si>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</si>
  <si>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</si>
  <si>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</si>
  <si>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</si>
  <si>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</si>
  <si>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</si>
  <si>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</si>
  <si>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</si>
  <si>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</si>
  <si>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</si>
  <si>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</si>
  <si>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</si>
  <si>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</si>
  <si>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</si>
  <si>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</si>
  <si>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</si>
  <si>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</si>
  <si>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</si>
  <si>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</si>
  <si>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</si>
  <si>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</si>
  <si>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</si>
  <si>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</si>
  <si>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</si>
  <si>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</si>
  <si>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</si>
  <si>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</si>
  <si>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</si>
  <si>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</si>
  <si>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</si>
  <si>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</si>
  <si>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</si>
  <si>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</si>
  <si>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</si>
  <si>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</si>
  <si>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</si>
  <si>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</si>
  <si>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</si>
  <si>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</si>
  <si>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</si>
  <si>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</si>
  <si>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</si>
  <si>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</si>
  <si>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</si>
  <si>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</si>
  <si>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</si>
  <si>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</si>
  <si>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</si>
  <si>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</si>
  <si>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</si>
  <si>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</si>
  <si>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</si>
  <si>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</si>
  <si>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</si>
  <si>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</si>
  <si>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</si>
  <si>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</si>
  <si>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</si>
  <si>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</si>
  <si>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</si>
  <si>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</si>
  <si>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</si>
  <si>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</si>
  <si>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</si>
  <si>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</si>
  <si>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</si>
  <si>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</si>
  <si>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</si>
  <si>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</si>
  <si>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</si>
  <si>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</si>
  <si>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</si>
  <si>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</si>
  <si>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</si>
  <si>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</si>
  <si>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</si>
  <si>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</si>
  <si>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</si>
  <si>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</si>
  <si>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</si>
  <si>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</si>
  <si>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</si>
  <si>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</si>
  <si>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</si>
  <si>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</si>
  <si>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</si>
  <si>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</si>
  <si>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</si>
  <si>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</si>
  <si>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</si>
  <si>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</si>
  <si>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</si>
  <si>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</si>
  <si>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</si>
  <si>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</si>
  <si>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</si>
  <si>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</si>
  <si>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</si>
  <si>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</si>
  <si>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</si>
  <si>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</si>
  <si>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</si>
  <si>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</si>
  <si>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</si>
  <si>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</si>
  <si>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</si>
  <si>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Company 15 Grand Totals</t>
  </si>
  <si>
    <t>Company 15 Open Job Totals</t>
  </si>
  <si>
    <t>Company 15 Closed Job Totals</t>
  </si>
  <si>
    <t>ExcelImport</t>
  </si>
  <si>
    <t xml:space="preserve">  Open Jobs</t>
  </si>
  <si>
    <t>Stephen Henning</t>
  </si>
  <si>
    <t>Marcos Reyes</t>
  </si>
  <si>
    <t>Matt Cain</t>
  </si>
  <si>
    <t>Division 57</t>
  </si>
  <si>
    <t>57.0003.</t>
  </si>
  <si>
    <t xml:space="preserve">    Advanced Water Treatment Facility Salinity Management System</t>
  </si>
  <si>
    <t>Jason Radliff</t>
  </si>
  <si>
    <t>57.0004.</t>
  </si>
  <si>
    <t xml:space="preserve">    Oso Creek Water Reclamation Plant Optimization Project</t>
  </si>
  <si>
    <t>57.0007.</t>
  </si>
  <si>
    <t xml:space="preserve">    East County Package 5 - Phase 1B</t>
  </si>
  <si>
    <t>57.0008.</t>
  </si>
  <si>
    <t xml:space="preserve">    IID - El Centro Generating Station WWTP</t>
  </si>
  <si>
    <t xml:space="preserve">  Division 57 Open Job Totals</t>
  </si>
  <si>
    <t>57.0005.</t>
  </si>
  <si>
    <t xml:space="preserve">    San Diego - Overhead 2025 FY</t>
  </si>
  <si>
    <t>57.0006.</t>
  </si>
  <si>
    <t xml:space="preserve">    San Diego - Estimating 2025 FY</t>
  </si>
  <si>
    <t xml:space="preserve">  Division 57 Closed Job Totals</t>
  </si>
  <si>
    <t>Division 57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</si>
</sst>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9"/>
      <color indexed="81"/>
      <name val="Arial"/>
      <family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57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hU1JerwtGm83lJl3+iO3y9VEIMwKY+3wVxOyDwR7ef3lUCPJ/sMvvdXF2GDY8RljIVq+4h14prskGm2xliBLJw==" saltValue="7dJL23iLlZr/gYb6sVT8E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642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638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643</v>
      </c>
      <c r="B9" s="232" t="s">
        <v>644</v>
      </c>
      <c r="C9" s="232" t="s">
        <v>645</v>
      </c>
      <c r="D9" s="233"/>
      <c r="E9" s="234">
        <v>38165419.5</v>
      </c>
      <c r="F9" s="235">
        <v>38275337.5</v>
      </c>
      <c r="G9" s="236"/>
      <c r="H9" s="237"/>
      <c r="I9" s="238">
        <v>38165419.5</v>
      </c>
      <c r="J9" s="249"/>
      <c r="K9" s="240"/>
      <c r="L9" s="8">
        <v>35038025.350000001</v>
      </c>
      <c r="M9" s="241">
        <v>35758333.5</v>
      </c>
      <c r="N9" s="72"/>
      <c r="O9" s="100"/>
      <c r="P9" s="9"/>
      <c r="Q9" s="9">
        <v>2407086</v>
      </c>
      <c r="R9" s="9"/>
      <c r="S9" s="152">
        <v>46478</v>
      </c>
      <c r="T9" s="10"/>
      <c r="U9" s="23"/>
      <c r="V9" s="11"/>
      <c r="W9" s="11"/>
      <c r="X9" s="8">
        <v>6316909.1299999999</v>
      </c>
      <c r="Y9" s="9"/>
      <c r="Z9" s="70">
        <v>123922.17</v>
      </c>
      <c r="AA9" s="72"/>
      <c r="AB9" s="108"/>
      <c r="AC9" s="9">
        <v>96385.26</v>
      </c>
      <c r="AD9" s="9"/>
      <c r="AE9" s="10"/>
      <c r="AF9" s="24">
        <v>0.33279957119635112</v>
      </c>
      <c r="AG9" s="11">
        <v>998227.32000000007</v>
      </c>
      <c r="AH9" s="8">
        <v>901841.91</v>
      </c>
      <c r="AI9" s="9">
        <v>96385.41</v>
      </c>
      <c r="AJ9" s="9">
        <v>96385.41</v>
      </c>
      <c r="AK9" s="10"/>
      <c r="AL9" s="11"/>
      <c r="AM9" s="8">
        <v>5415067.2199999997</v>
      </c>
      <c r="AN9" s="9"/>
      <c r="AO9" s="9"/>
      <c r="AP9" s="10"/>
      <c r="AQ9" s="25"/>
      <c r="AR9" s="25"/>
      <c r="AS9" s="25"/>
      <c r="AT9" s="10"/>
      <c r="AU9" s="12">
        <v>6863233.25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38165419.5</v>
      </c>
      <c r="BF9" s="15">
        <v>35758333.5</v>
      </c>
      <c r="BG9" s="15">
        <v>123922.17</v>
      </c>
      <c r="BH9" s="15">
        <v>38165419.5</v>
      </c>
      <c r="BI9" s="15">
        <v>35758333.5</v>
      </c>
      <c r="BJ9" s="242">
        <v>0</v>
      </c>
      <c r="BK9" s="242">
        <v>96385.26</v>
      </c>
      <c r="BL9" s="242"/>
      <c r="BM9" s="242">
        <v>1</v>
      </c>
      <c r="BN9" s="242">
        <v>2407086</v>
      </c>
      <c r="BO9" s="242">
        <v>2325355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94">
        <v>123922.17</v>
      </c>
      <c r="CC9" s="246" t="s">
        <v>637</v>
      </c>
      <c r="CD9" s="242">
        <v>0</v>
      </c>
      <c r="CE9" s="248">
        <v>12737994.039999999</v>
      </c>
      <c r="CF9" s="248">
        <v>2709865</v>
      </c>
      <c r="CG9" s="248">
        <v>12737994.039999999</v>
      </c>
      <c r="CH9" s="248">
        <v>2709865</v>
      </c>
      <c r="CI9" s="247" t="s">
        <v>633</v>
      </c>
      <c r="CJ9" s="248">
        <v>6316909.1299999999</v>
      </c>
      <c r="CK9" s="248">
        <v>5415067.2199999997</v>
      </c>
      <c r="CL9" s="248">
        <v>6863233.25</v>
      </c>
      <c r="CM9" s="248">
        <v>0</v>
      </c>
    </row>
    <row r="10" spans="1:102" x14ac:dyDescent="0.25">
      <c r="A10" s="231" t="s">
        <v>646</v>
      </c>
      <c r="B10" s="232" t="s">
        <v>647</v>
      </c>
      <c r="C10" s="232" t="s">
        <v>645</v>
      </c>
      <c r="D10" s="233"/>
      <c r="E10" s="234">
        <v>40106224.630000003</v>
      </c>
      <c r="F10" s="235">
        <v>40106224.630000003</v>
      </c>
      <c r="G10" s="236"/>
      <c r="H10" s="237"/>
      <c r="I10" s="238">
        <v>40106224.630000003</v>
      </c>
      <c r="J10" s="249"/>
      <c r="K10" s="240"/>
      <c r="L10" s="8">
        <v>9333681.1600000001</v>
      </c>
      <c r="M10" s="241">
        <v>37896367.630000003</v>
      </c>
      <c r="N10" s="72"/>
      <c r="O10" s="100"/>
      <c r="P10" s="9"/>
      <c r="Q10" s="9">
        <v>2209857</v>
      </c>
      <c r="R10" s="9"/>
      <c r="S10" s="152">
        <v>46106</v>
      </c>
      <c r="T10" s="10"/>
      <c r="U10" s="23"/>
      <c r="V10" s="11"/>
      <c r="W10" s="11"/>
      <c r="X10" s="8">
        <v>750298.86</v>
      </c>
      <c r="Y10" s="9"/>
      <c r="Z10" s="70">
        <v>0</v>
      </c>
      <c r="AA10" s="72"/>
      <c r="AB10" s="108"/>
      <c r="AC10" s="9">
        <v>0</v>
      </c>
      <c r="AD10" s="9"/>
      <c r="AE10" s="10"/>
      <c r="AF10" s="24">
        <v>1.8125951983224416E-2</v>
      </c>
      <c r="AG10" s="11">
        <v>686907.74</v>
      </c>
      <c r="AH10" s="8">
        <v>686907.74</v>
      </c>
      <c r="AI10" s="9">
        <v>0</v>
      </c>
      <c r="AJ10" s="9">
        <v>0</v>
      </c>
      <c r="AK10" s="10"/>
      <c r="AL10" s="11"/>
      <c r="AM10" s="8">
        <v>63391.12</v>
      </c>
      <c r="AN10" s="9"/>
      <c r="AO10" s="9"/>
      <c r="AP10" s="10"/>
      <c r="AQ10" s="25"/>
      <c r="AR10" s="25"/>
      <c r="AS10" s="25"/>
      <c r="AT10" s="10"/>
      <c r="AU10" s="12">
        <v>900072.76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40106224.630000003</v>
      </c>
      <c r="BF10" s="15">
        <v>37896367.630000003</v>
      </c>
      <c r="BG10" s="242">
        <v>0</v>
      </c>
      <c r="BH10" s="15">
        <v>40106224.630000003</v>
      </c>
      <c r="BI10" s="15">
        <v>37896367.630000003</v>
      </c>
      <c r="BJ10" s="242">
        <v>0</v>
      </c>
      <c r="BK10" s="242">
        <v>0</v>
      </c>
      <c r="BL10" s="242"/>
      <c r="BM10" s="242">
        <v>1</v>
      </c>
      <c r="BN10" s="242">
        <v>2209857</v>
      </c>
      <c r="BO10" s="242">
        <v>2209857</v>
      </c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45"/>
      <c r="CC10" s="246" t="s">
        <v>637</v>
      </c>
      <c r="CD10" s="242">
        <v>0</v>
      </c>
      <c r="CE10" s="248">
        <v>686907.74</v>
      </c>
      <c r="CF10" s="248">
        <v>37896367.630000003</v>
      </c>
      <c r="CG10" s="248">
        <v>686907.74</v>
      </c>
      <c r="CH10" s="248">
        <v>37896367.630000003</v>
      </c>
      <c r="CI10" s="247" t="s">
        <v>633</v>
      </c>
      <c r="CJ10" s="248">
        <v>750298.86</v>
      </c>
      <c r="CK10" s="248">
        <v>63391.12</v>
      </c>
      <c r="CL10" s="248">
        <v>900072.76</v>
      </c>
      <c r="CM10" s="248">
        <v>0</v>
      </c>
    </row>
    <row r="11" spans="1:102" x14ac:dyDescent="0.25">
      <c r="A11" s="231" t="s">
        <v>648</v>
      </c>
      <c r="B11" s="232" t="s">
        <v>649</v>
      </c>
      <c r="C11" s="232" t="s">
        <v>641</v>
      </c>
      <c r="D11" s="233"/>
      <c r="E11" s="234">
        <v>153818</v>
      </c>
      <c r="F11" s="235">
        <v>153818</v>
      </c>
      <c r="G11" s="236"/>
      <c r="H11" s="237"/>
      <c r="I11" s="238">
        <v>162630</v>
      </c>
      <c r="J11" s="249"/>
      <c r="K11" s="240"/>
      <c r="L11" s="8">
        <v>196248.4</v>
      </c>
      <c r="M11" s="241">
        <v>196248.4</v>
      </c>
      <c r="N11" s="72"/>
      <c r="O11" s="100"/>
      <c r="P11" s="9"/>
      <c r="Q11" s="9">
        <v>-32235.100000000006</v>
      </c>
      <c r="R11" s="9"/>
      <c r="S11" s="152">
        <v>46053</v>
      </c>
      <c r="T11" s="10"/>
      <c r="U11" s="23"/>
      <c r="V11" s="11"/>
      <c r="W11" s="11"/>
      <c r="X11" s="8">
        <v>196248.4</v>
      </c>
      <c r="Y11" s="9"/>
      <c r="Z11" s="70">
        <v>-33618.400000000001</v>
      </c>
      <c r="AA11" s="72"/>
      <c r="AB11" s="108"/>
      <c r="AC11" s="9">
        <v>-32235.1</v>
      </c>
      <c r="AD11" s="9"/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/>
      <c r="AM11" s="8">
        <v>196248.4</v>
      </c>
      <c r="AN11" s="9"/>
      <c r="AO11" s="9"/>
      <c r="AP11" s="10"/>
      <c r="AQ11" s="25"/>
      <c r="AR11" s="25"/>
      <c r="AS11" s="25"/>
      <c r="AT11" s="10"/>
      <c r="AU11" s="12">
        <v>153858.35999999999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162630</v>
      </c>
      <c r="BF11" s="15">
        <v>196248.4</v>
      </c>
      <c r="BG11" s="15">
        <v>-33618.400000000001</v>
      </c>
      <c r="BH11" s="15">
        <v>196248.4</v>
      </c>
      <c r="BI11" s="15">
        <v>196248.4</v>
      </c>
      <c r="BJ11" s="242">
        <v>0</v>
      </c>
      <c r="BK11" s="250">
        <v>-32235.1</v>
      </c>
      <c r="BL11" s="242"/>
      <c r="BM11" s="242">
        <v>1</v>
      </c>
      <c r="BN11" s="242">
        <v>-32235.100000000006</v>
      </c>
      <c r="BO11" s="242">
        <v>-32235</v>
      </c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94">
        <v>-33618.400000000001</v>
      </c>
      <c r="CC11" s="246" t="s">
        <v>637</v>
      </c>
      <c r="CD11" s="242">
        <v>0</v>
      </c>
      <c r="CE11" s="242">
        <v>0</v>
      </c>
      <c r="CF11" s="242">
        <v>0</v>
      </c>
      <c r="CG11" s="242">
        <v>0</v>
      </c>
      <c r="CH11" s="242">
        <v>0</v>
      </c>
      <c r="CI11" s="247" t="s">
        <v>633</v>
      </c>
      <c r="CJ11" s="248">
        <v>196248.4</v>
      </c>
      <c r="CK11" s="248">
        <v>196248.4</v>
      </c>
      <c r="CL11" s="248">
        <v>153858.35999999999</v>
      </c>
      <c r="CM11" s="248">
        <v>0</v>
      </c>
    </row>
    <row r="12" spans="1:102" x14ac:dyDescent="0.25">
      <c r="A12" s="231" t="s">
        <v>650</v>
      </c>
      <c r="B12" s="232" t="s">
        <v>651</v>
      </c>
      <c r="C12" s="232" t="s">
        <v>639</v>
      </c>
      <c r="D12" s="233"/>
      <c r="E12" s="234">
        <v>2876047</v>
      </c>
      <c r="F12" s="235">
        <v>2876047</v>
      </c>
      <c r="G12" s="236"/>
      <c r="H12" s="237"/>
      <c r="I12" s="238">
        <v>2876047</v>
      </c>
      <c r="J12" s="249"/>
      <c r="K12" s="240"/>
      <c r="L12" s="8">
        <v>2829323.94</v>
      </c>
      <c r="M12" s="241">
        <v>2743982</v>
      </c>
      <c r="N12" s="71"/>
      <c r="O12" s="100"/>
      <c r="P12" s="9"/>
      <c r="Q12" s="9">
        <v>132065</v>
      </c>
      <c r="R12" s="9"/>
      <c r="S12" s="152">
        <v>46327</v>
      </c>
      <c r="T12" s="10"/>
      <c r="U12" s="23"/>
      <c r="V12" s="11"/>
      <c r="W12" s="11"/>
      <c r="X12" s="8">
        <v>262382.86</v>
      </c>
      <c r="Y12" s="9"/>
      <c r="Z12" s="70">
        <v>0</v>
      </c>
      <c r="AA12" s="72"/>
      <c r="AB12" s="108"/>
      <c r="AC12" s="9">
        <v>0</v>
      </c>
      <c r="AD12" s="9"/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/>
      <c r="AM12" s="8">
        <v>262382.86</v>
      </c>
      <c r="AN12" s="9"/>
      <c r="AO12" s="9"/>
      <c r="AP12" s="10"/>
      <c r="AQ12" s="25"/>
      <c r="AR12" s="25"/>
      <c r="AS12" s="25"/>
      <c r="AT12" s="10"/>
      <c r="AU12" s="12">
        <v>266758</v>
      </c>
      <c r="AV12" s="12"/>
      <c r="AW12" s="12"/>
      <c r="AX12" s="242"/>
      <c r="AY12" s="243"/>
      <c r="AZ12" s="242"/>
      <c r="BA12" s="242"/>
      <c r="BB12" s="244"/>
      <c r="BC12" s="243" t="s">
        <v>630</v>
      </c>
      <c r="BD12" s="243" t="s">
        <v>630</v>
      </c>
      <c r="BE12" s="15">
        <v>2876047</v>
      </c>
      <c r="BF12" s="15">
        <v>2743982</v>
      </c>
      <c r="BG12" s="242">
        <v>0</v>
      </c>
      <c r="BH12" s="15">
        <v>2876047</v>
      </c>
      <c r="BI12" s="15">
        <v>2743982</v>
      </c>
      <c r="BJ12" s="242">
        <v>0</v>
      </c>
      <c r="BK12" s="242">
        <v>0</v>
      </c>
      <c r="BL12" s="242"/>
      <c r="BM12" s="242">
        <v>1</v>
      </c>
      <c r="BN12" s="242">
        <v>132065</v>
      </c>
      <c r="BO12" s="242">
        <v>0</v>
      </c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45"/>
      <c r="CC12" s="246" t="s">
        <v>637</v>
      </c>
      <c r="CD12" s="242">
        <v>0</v>
      </c>
      <c r="CE12" s="242">
        <v>0</v>
      </c>
      <c r="CF12" s="242">
        <v>0</v>
      </c>
      <c r="CG12" s="242">
        <v>0</v>
      </c>
      <c r="CH12" s="242">
        <v>0</v>
      </c>
      <c r="CI12" s="247" t="s">
        <v>633</v>
      </c>
      <c r="CJ12" s="248">
        <v>262382.86</v>
      </c>
      <c r="CK12" s="248">
        <v>262382.86</v>
      </c>
      <c r="CL12" s="248">
        <v>266758</v>
      </c>
      <c r="CM12" s="248">
        <v>0</v>
      </c>
    </row>
    <row r="13" spans="1:102" x14ac:dyDescent="0.25">
      <c r="A13" s="231"/>
      <c r="B13" s="120" t="s">
        <v>652</v>
      </c>
      <c r="C13" s="232"/>
      <c r="D13" s="233"/>
      <c r="E13" s="279">
        <f>SUM(E8:E12)</f>
        <v>81301509.129999995</v>
      </c>
      <c r="F13" s="268">
        <f>SUM(F8:F12)</f>
        <v>81411427.129999995</v>
      </c>
      <c r="G13" s="236"/>
      <c r="H13" s="237"/>
      <c r="I13" s="280">
        <f>SUM(I8:I12)</f>
        <v>81310321.129999995</v>
      </c>
      <c r="J13" s="249"/>
      <c r="K13" s="240"/>
      <c r="L13" s="272">
        <f>SUM(L8:L12)</f>
        <v>47397278.850000001</v>
      </c>
      <c r="M13" s="281">
        <f>SUM(M8:M12)</f>
        <v>76594931.530000001</v>
      </c>
      <c r="N13" s="71"/>
      <c r="O13" s="100"/>
      <c r="P13" s="270">
        <f>SUM(P8:P12)</f>
        <v>0</v>
      </c>
      <c r="Q13" s="270">
        <f>SUM(Q8:Q12)</f>
        <v>4716772.9000000004</v>
      </c>
      <c r="R13" s="270">
        <f>SUM(R8:R12)</f>
        <v>0</v>
      </c>
      <c r="S13" s="152"/>
      <c r="T13" s="10"/>
      <c r="U13" s="23"/>
      <c r="V13" s="271">
        <f>SUM(V8:V12)</f>
        <v>0</v>
      </c>
      <c r="W13" s="271">
        <f>SUM(W8:W12)</f>
        <v>0</v>
      </c>
      <c r="X13" s="272">
        <f>SUM(X8:X12)</f>
        <v>7525839.2500000009</v>
      </c>
      <c r="Y13" s="270">
        <f>SUM(Y8:Y12)</f>
        <v>0</v>
      </c>
      <c r="Z13" s="282">
        <f>SUM(Z8:Z12)</f>
        <v>90303.76999999999</v>
      </c>
      <c r="AA13" s="71"/>
      <c r="AB13" s="108"/>
      <c r="AC13" s="270">
        <f>SUM(AC8:AC12)</f>
        <v>64150.159999999996</v>
      </c>
      <c r="AD13" s="270">
        <f>SUM(AD8:AD12)</f>
        <v>0</v>
      </c>
      <c r="AE13" s="10"/>
      <c r="AF13" s="24"/>
      <c r="AG13" s="271">
        <f>SUM(AG8:AG12)</f>
        <v>1685135.06</v>
      </c>
      <c r="AH13" s="272">
        <f>SUM(AH8:AH12)</f>
        <v>1588749.65</v>
      </c>
      <c r="AI13" s="270">
        <f>SUM(AI8:AI12)</f>
        <v>96385.41</v>
      </c>
      <c r="AJ13" s="270">
        <f>SUM(AJ8:AJ12)</f>
        <v>96385.41</v>
      </c>
      <c r="AK13" s="10"/>
      <c r="AL13" s="271">
        <f>SUM(AL8:AL12)</f>
        <v>0</v>
      </c>
      <c r="AM13" s="272">
        <f>SUM(AM8:AM12)</f>
        <v>5937089.6000000006</v>
      </c>
      <c r="AN13" s="270">
        <f>SUM(AN8:AN12)</f>
        <v>0</v>
      </c>
      <c r="AO13" s="270">
        <f>SUM(AO8:AO12)</f>
        <v>0</v>
      </c>
      <c r="AP13" s="10"/>
      <c r="AQ13" s="283">
        <f>SUM(AQ8:AQ12)</f>
        <v>0</v>
      </c>
      <c r="AR13" s="283">
        <f>SUM(AR8:AR12)</f>
        <v>0</v>
      </c>
      <c r="AS13" s="283">
        <f>SUM(AS8:AS12)</f>
        <v>0</v>
      </c>
      <c r="AT13" s="10"/>
      <c r="AU13" s="284">
        <f>SUM(AU8:AU12)</f>
        <v>8183922.3700000001</v>
      </c>
      <c r="AV13" s="284">
        <f>SUM(AV8:AV12)</f>
        <v>0</v>
      </c>
      <c r="AW13" s="284">
        <f>SUM(AW8:AW12)</f>
        <v>0</v>
      </c>
      <c r="AX13" s="242"/>
      <c r="AY13" s="243"/>
      <c r="AZ13" s="242"/>
      <c r="BA13" s="242"/>
      <c r="BB13" s="244"/>
      <c r="BC13" s="243"/>
      <c r="BD13" s="243"/>
      <c r="BE13" s="242"/>
      <c r="BF13" s="242"/>
      <c r="BG13" s="242"/>
      <c r="BH13" s="242"/>
      <c r="BI13" s="242"/>
      <c r="BJ13" s="242"/>
      <c r="BK13" s="242"/>
      <c r="BL13" s="242"/>
      <c r="BM13" s="242"/>
      <c r="BN13" s="242"/>
      <c r="BO13" s="242"/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45"/>
      <c r="CC13" s="246"/>
      <c r="CD13" s="242"/>
      <c r="CE13" s="242"/>
      <c r="CF13" s="242"/>
      <c r="CG13" s="242"/>
      <c r="CH13" s="242"/>
      <c r="CI13" s="247"/>
      <c r="CJ13" s="248"/>
      <c r="CK13" s="248"/>
      <c r="CL13" s="248"/>
      <c r="CM13" s="248"/>
    </row>
    <row r="14" spans="1:102" x14ac:dyDescent="0.25">
      <c r="A14" s="231"/>
      <c r="B14" s="232"/>
      <c r="C14" s="232"/>
      <c r="D14" s="233"/>
      <c r="E14" s="234"/>
      <c r="F14" s="235"/>
      <c r="G14" s="236"/>
      <c r="H14" s="237"/>
      <c r="I14" s="238"/>
      <c r="J14" s="249"/>
      <c r="K14" s="240"/>
      <c r="L14" s="8"/>
      <c r="M14" s="241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2"/>
      <c r="AY14" s="243"/>
      <c r="AZ14" s="242"/>
      <c r="BA14" s="242"/>
      <c r="BB14" s="244"/>
      <c r="BC14" s="243"/>
      <c r="BD14" s="243"/>
      <c r="BE14" s="242"/>
      <c r="BF14" s="242"/>
      <c r="BG14" s="242"/>
      <c r="BH14" s="242"/>
      <c r="BI14" s="242"/>
      <c r="BJ14" s="242"/>
      <c r="BK14" s="242"/>
      <c r="BL14" s="242"/>
      <c r="BM14" s="242"/>
      <c r="BN14" s="242"/>
      <c r="BO14" s="242"/>
      <c r="BP14" s="242"/>
      <c r="BQ14" s="242"/>
      <c r="BR14" s="242"/>
      <c r="BS14" s="242"/>
      <c r="BT14" s="297"/>
      <c r="BU14" s="297"/>
      <c r="BV14" s="297"/>
      <c r="BW14" s="297"/>
      <c r="BX14" s="242"/>
      <c r="BY14" s="242"/>
      <c r="BZ14" s="245"/>
      <c r="CA14" s="245"/>
      <c r="CB14" s="245"/>
      <c r="CC14" s="246"/>
      <c r="CD14" s="242"/>
      <c r="CE14" s="242"/>
      <c r="CF14" s="242"/>
      <c r="CG14" s="242"/>
      <c r="CH14" s="242"/>
      <c r="CI14" s="247"/>
      <c r="CJ14" s="248"/>
      <c r="CK14" s="248"/>
      <c r="CL14" s="248"/>
      <c r="CM14" s="248"/>
    </row>
    <row r="15" spans="1:102" x14ac:dyDescent="0.25">
      <c r="A15" s="231"/>
      <c r="B15" s="120" t="s">
        <v>632</v>
      </c>
      <c r="C15" s="232"/>
      <c r="D15" s="233"/>
      <c r="E15" s="234"/>
      <c r="F15" s="235"/>
      <c r="G15" s="236"/>
      <c r="H15" s="237"/>
      <c r="I15" s="238"/>
      <c r="J15" s="249"/>
      <c r="K15" s="240"/>
      <c r="L15" s="8"/>
      <c r="M15" s="241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2"/>
      <c r="AY15" s="243"/>
      <c r="AZ15" s="242"/>
      <c r="BA15" s="242"/>
      <c r="BB15" s="244"/>
      <c r="BC15" s="243"/>
      <c r="BD15" s="243"/>
      <c r="BE15" s="242"/>
      <c r="BF15" s="242"/>
      <c r="BG15" s="242"/>
      <c r="BH15" s="242"/>
      <c r="BI15" s="242"/>
      <c r="BJ15" s="242"/>
      <c r="BK15" s="242"/>
      <c r="BL15" s="242"/>
      <c r="BM15" s="242"/>
      <c r="BN15" s="242"/>
      <c r="BO15" s="242"/>
      <c r="BP15" s="242"/>
      <c r="BQ15" s="242"/>
      <c r="BR15" s="242"/>
      <c r="BS15" s="242"/>
      <c r="BT15" s="297"/>
      <c r="BU15" s="297"/>
      <c r="BV15" s="297"/>
      <c r="BW15" s="297"/>
      <c r="BX15" s="242"/>
      <c r="BY15" s="242"/>
      <c r="BZ15" s="245"/>
      <c r="CA15" s="245"/>
      <c r="CB15" s="245"/>
      <c r="CC15" s="246"/>
      <c r="CD15" s="242"/>
      <c r="CE15" s="242"/>
      <c r="CF15" s="242"/>
      <c r="CG15" s="242"/>
      <c r="CH15" s="242"/>
      <c r="CI15" s="247"/>
      <c r="CJ15" s="248"/>
      <c r="CK15" s="248"/>
      <c r="CL15" s="248"/>
      <c r="CM15" s="248"/>
    </row>
    <row r="16" spans="1:102" x14ac:dyDescent="0.25">
      <c r="A16" s="231" t="s">
        <v>653</v>
      </c>
      <c r="B16" s="232" t="s">
        <v>654</v>
      </c>
      <c r="C16" s="232" t="s">
        <v>640</v>
      </c>
      <c r="D16" s="233"/>
      <c r="E16" s="234">
        <v>0</v>
      </c>
      <c r="F16" s="235">
        <v>0</v>
      </c>
      <c r="G16" s="236"/>
      <c r="H16" s="237"/>
      <c r="I16" s="238">
        <v>0</v>
      </c>
      <c r="J16" s="249"/>
      <c r="K16" s="240"/>
      <c r="L16" s="8">
        <v>92874.26</v>
      </c>
      <c r="M16" s="241">
        <v>92874.26</v>
      </c>
      <c r="N16" s="72"/>
      <c r="O16" s="100"/>
      <c r="P16" s="9"/>
      <c r="Q16" s="9">
        <v>-79963.66</v>
      </c>
      <c r="R16" s="9"/>
      <c r="S16" s="152">
        <v>46022</v>
      </c>
      <c r="T16" s="10"/>
      <c r="U16" s="23"/>
      <c r="V16" s="11"/>
      <c r="W16" s="11"/>
      <c r="X16" s="8">
        <v>92874.26</v>
      </c>
      <c r="Y16" s="9"/>
      <c r="Z16" s="70">
        <v>-92874.26</v>
      </c>
      <c r="AA16" s="72"/>
      <c r="AB16" s="108"/>
      <c r="AC16" s="9">
        <v>-79963.66</v>
      </c>
      <c r="AD16" s="9"/>
      <c r="AE16" s="10"/>
      <c r="AF16" s="24">
        <v>0</v>
      </c>
      <c r="AG16" s="11">
        <v>0</v>
      </c>
      <c r="AH16" s="8">
        <v>0</v>
      </c>
      <c r="AI16" s="9">
        <v>0</v>
      </c>
      <c r="AJ16" s="9">
        <v>0</v>
      </c>
      <c r="AK16" s="10"/>
      <c r="AL16" s="11"/>
      <c r="AM16" s="8">
        <v>92874.26</v>
      </c>
      <c r="AN16" s="9"/>
      <c r="AO16" s="9"/>
      <c r="AP16" s="10"/>
      <c r="AQ16" s="25"/>
      <c r="AR16" s="25"/>
      <c r="AS16" s="25"/>
      <c r="AT16" s="10"/>
      <c r="AU16" s="12">
        <v>0</v>
      </c>
      <c r="AV16" s="12"/>
      <c r="AW16" s="12"/>
      <c r="AX16" s="242"/>
      <c r="AY16" s="243"/>
      <c r="AZ16" s="242"/>
      <c r="BA16" s="242"/>
      <c r="BB16" s="244"/>
      <c r="BC16" s="243" t="s">
        <v>630</v>
      </c>
      <c r="BD16" s="243" t="s">
        <v>630</v>
      </c>
      <c r="BE16" s="15">
        <v>0</v>
      </c>
      <c r="BF16" s="15">
        <v>92874.26</v>
      </c>
      <c r="BG16" s="15">
        <v>-92874.26</v>
      </c>
      <c r="BH16" s="15">
        <v>0</v>
      </c>
      <c r="BI16" s="15">
        <v>92874.26</v>
      </c>
      <c r="BJ16" s="242">
        <v>0</v>
      </c>
      <c r="BK16" s="242">
        <v>-79963.66</v>
      </c>
      <c r="BL16" s="242"/>
      <c r="BM16" s="242">
        <v>2</v>
      </c>
      <c r="BN16" s="242">
        <v>-79963.66</v>
      </c>
      <c r="BO16" s="242">
        <v>-52860.36</v>
      </c>
      <c r="BP16" s="242"/>
      <c r="BQ16" s="242"/>
      <c r="BR16" s="242"/>
      <c r="BS16" s="242"/>
      <c r="BT16" s="297"/>
      <c r="BU16" s="297"/>
      <c r="BV16" s="297"/>
      <c r="BW16" s="297"/>
      <c r="BX16" s="242"/>
      <c r="BY16" s="242"/>
      <c r="BZ16" s="245"/>
      <c r="CA16" s="245"/>
      <c r="CB16" s="294">
        <v>-92874.26</v>
      </c>
      <c r="CC16" s="246" t="s">
        <v>637</v>
      </c>
      <c r="CD16" s="242">
        <v>0</v>
      </c>
      <c r="CE16" s="242">
        <v>0</v>
      </c>
      <c r="CF16" s="242">
        <v>0</v>
      </c>
      <c r="CG16" s="242">
        <v>0</v>
      </c>
      <c r="CH16" s="242">
        <v>0</v>
      </c>
      <c r="CI16" s="247" t="s">
        <v>633</v>
      </c>
      <c r="CJ16" s="248">
        <v>92874.26</v>
      </c>
      <c r="CK16" s="248">
        <v>92874.26</v>
      </c>
      <c r="CL16" s="248">
        <v>0</v>
      </c>
      <c r="CM16" s="248">
        <v>0</v>
      </c>
    </row>
    <row r="17" spans="1:91" x14ac:dyDescent="0.25">
      <c r="A17" s="231" t="s">
        <v>655</v>
      </c>
      <c r="B17" s="232" t="s">
        <v>656</v>
      </c>
      <c r="C17" s="232" t="s">
        <v>640</v>
      </c>
      <c r="D17" s="233"/>
      <c r="E17" s="234">
        <v>0</v>
      </c>
      <c r="F17" s="235">
        <v>0</v>
      </c>
      <c r="G17" s="236"/>
      <c r="H17" s="237"/>
      <c r="I17" s="238">
        <v>0</v>
      </c>
      <c r="J17" s="249"/>
      <c r="K17" s="240"/>
      <c r="L17" s="8">
        <v>13743.76</v>
      </c>
      <c r="M17" s="241">
        <v>13743.76</v>
      </c>
      <c r="N17" s="72"/>
      <c r="O17" s="100"/>
      <c r="P17" s="9"/>
      <c r="Q17" s="9">
        <v>-10411.32</v>
      </c>
      <c r="R17" s="9"/>
      <c r="S17" s="152">
        <v>46022</v>
      </c>
      <c r="T17" s="10"/>
      <c r="U17" s="23"/>
      <c r="V17" s="11"/>
      <c r="W17" s="11"/>
      <c r="X17" s="8">
        <v>13743.76</v>
      </c>
      <c r="Y17" s="9"/>
      <c r="Z17" s="70">
        <v>-13743.76</v>
      </c>
      <c r="AA17" s="71"/>
      <c r="AB17" s="108"/>
      <c r="AC17" s="9">
        <v>-10411.32</v>
      </c>
      <c r="AD17" s="9"/>
      <c r="AE17" s="10"/>
      <c r="AF17" s="24">
        <v>0</v>
      </c>
      <c r="AG17" s="11">
        <v>0</v>
      </c>
      <c r="AH17" s="8">
        <v>0</v>
      </c>
      <c r="AI17" s="9">
        <v>0</v>
      </c>
      <c r="AJ17" s="9">
        <v>0</v>
      </c>
      <c r="AK17" s="10"/>
      <c r="AL17" s="11"/>
      <c r="AM17" s="8">
        <v>13743.76</v>
      </c>
      <c r="AN17" s="9"/>
      <c r="AO17" s="9"/>
      <c r="AP17" s="10"/>
      <c r="AQ17" s="25"/>
      <c r="AR17" s="25"/>
      <c r="AS17" s="25"/>
      <c r="AT17" s="10"/>
      <c r="AU17" s="12">
        <v>0</v>
      </c>
      <c r="AV17" s="12"/>
      <c r="AW17" s="12"/>
      <c r="AX17" s="242"/>
      <c r="AY17" s="243"/>
      <c r="AZ17" s="242"/>
      <c r="BA17" s="242"/>
      <c r="BB17" s="244"/>
      <c r="BC17" s="243" t="s">
        <v>630</v>
      </c>
      <c r="BD17" s="243" t="s">
        <v>630</v>
      </c>
      <c r="BE17" s="15">
        <v>0</v>
      </c>
      <c r="BF17" s="15">
        <v>13743.76</v>
      </c>
      <c r="BG17" s="15">
        <v>-13743.76</v>
      </c>
      <c r="BH17" s="15">
        <v>0</v>
      </c>
      <c r="BI17" s="15">
        <v>13743.76</v>
      </c>
      <c r="BJ17" s="242">
        <v>0</v>
      </c>
      <c r="BK17" s="242">
        <v>-10411.32</v>
      </c>
      <c r="BL17" s="242"/>
      <c r="BM17" s="242">
        <v>2</v>
      </c>
      <c r="BN17" s="242">
        <v>-10411.32</v>
      </c>
      <c r="BO17" s="242">
        <v>-4432.92</v>
      </c>
      <c r="BP17" s="242"/>
      <c r="BQ17" s="242"/>
      <c r="BR17" s="242"/>
      <c r="BS17" s="242"/>
      <c r="BT17" s="297"/>
      <c r="BU17" s="297"/>
      <c r="BV17" s="297"/>
      <c r="BW17" s="297"/>
      <c r="BX17" s="242"/>
      <c r="BY17" s="242"/>
      <c r="BZ17" s="245"/>
      <c r="CA17" s="245"/>
      <c r="CB17" s="294">
        <v>-13743.76</v>
      </c>
      <c r="CC17" s="246" t="s">
        <v>637</v>
      </c>
      <c r="CD17" s="242">
        <v>0</v>
      </c>
      <c r="CE17" s="242">
        <v>0</v>
      </c>
      <c r="CF17" s="242">
        <v>0</v>
      </c>
      <c r="CG17" s="242">
        <v>0</v>
      </c>
      <c r="CH17" s="242">
        <v>0</v>
      </c>
      <c r="CI17" s="247" t="s">
        <v>633</v>
      </c>
      <c r="CJ17" s="248">
        <v>13743.76</v>
      </c>
      <c r="CK17" s="248">
        <v>13743.76</v>
      </c>
      <c r="CL17" s="248">
        <v>0</v>
      </c>
      <c r="CM17" s="248">
        <v>0</v>
      </c>
    </row>
    <row r="18" spans="1:91" x14ac:dyDescent="0.25">
      <c r="A18" s="231"/>
      <c r="B18" s="120" t="s">
        <v>657</v>
      </c>
      <c r="C18" s="232"/>
      <c r="D18" s="233"/>
      <c r="E18" s="279">
        <f>SUM(E15:E17)</f>
        <v>0</v>
      </c>
      <c r="F18" s="268">
        <f>SUM(F15:F17)</f>
        <v>0</v>
      </c>
      <c r="G18" s="236"/>
      <c r="H18" s="237"/>
      <c r="I18" s="280">
        <f>SUM(I15:I17)</f>
        <v>0</v>
      </c>
      <c r="J18" s="249"/>
      <c r="K18" s="240"/>
      <c r="L18" s="272">
        <f>SUM(L15:L17)</f>
        <v>106618.01999999999</v>
      </c>
      <c r="M18" s="281">
        <f>SUM(M15:M17)</f>
        <v>106618.01999999999</v>
      </c>
      <c r="N18" s="72"/>
      <c r="O18" s="100"/>
      <c r="P18" s="270">
        <f>SUM(P15:P17)</f>
        <v>0</v>
      </c>
      <c r="Q18" s="270">
        <f>SUM(Q15:Q17)</f>
        <v>-90374.98000000001</v>
      </c>
      <c r="R18" s="270">
        <f>SUM(R15:R17)</f>
        <v>0</v>
      </c>
      <c r="S18" s="152"/>
      <c r="T18" s="10"/>
      <c r="U18" s="23"/>
      <c r="V18" s="271">
        <f>SUM(V15:V17)</f>
        <v>0</v>
      </c>
      <c r="W18" s="271">
        <f>SUM(W15:W17)</f>
        <v>0</v>
      </c>
      <c r="X18" s="272">
        <f>SUM(X15:X17)</f>
        <v>106618.01999999999</v>
      </c>
      <c r="Y18" s="270">
        <f>SUM(Y15:Y17)</f>
        <v>0</v>
      </c>
      <c r="Z18" s="282">
        <f>SUM(Z15:Z17)</f>
        <v>-106618.01999999999</v>
      </c>
      <c r="AA18" s="71"/>
      <c r="AB18" s="108"/>
      <c r="AC18" s="270">
        <f>SUM(AC15:AC17)</f>
        <v>-90374.98000000001</v>
      </c>
      <c r="AD18" s="270">
        <f>SUM(AD15:AD17)</f>
        <v>0</v>
      </c>
      <c r="AE18" s="10"/>
      <c r="AF18" s="24"/>
      <c r="AG18" s="271">
        <f>SUM(AG15:AG17)</f>
        <v>0</v>
      </c>
      <c r="AH18" s="272">
        <f>SUM(AH15:AH17)</f>
        <v>0</v>
      </c>
      <c r="AI18" s="270">
        <f>SUM(AI15:AI17)</f>
        <v>0</v>
      </c>
      <c r="AJ18" s="270">
        <f>SUM(AJ15:AJ17)</f>
        <v>0</v>
      </c>
      <c r="AK18" s="10"/>
      <c r="AL18" s="271">
        <f>SUM(AL15:AL17)</f>
        <v>0</v>
      </c>
      <c r="AM18" s="272">
        <f>SUM(AM15:AM17)</f>
        <v>106618.01999999999</v>
      </c>
      <c r="AN18" s="270">
        <f>SUM(AN15:AN17)</f>
        <v>0</v>
      </c>
      <c r="AO18" s="270">
        <f>SUM(AO15:AO17)</f>
        <v>0</v>
      </c>
      <c r="AP18" s="10"/>
      <c r="AQ18" s="283">
        <f>SUM(AQ15:AQ17)</f>
        <v>0</v>
      </c>
      <c r="AR18" s="283">
        <f>SUM(AR15:AR17)</f>
        <v>0</v>
      </c>
      <c r="AS18" s="283">
        <f>SUM(AS15:AS17)</f>
        <v>0</v>
      </c>
      <c r="AT18" s="10"/>
      <c r="AU18" s="284">
        <f>SUM(AU15:AU17)</f>
        <v>0</v>
      </c>
      <c r="AV18" s="284">
        <f>SUM(AV15:AV17)</f>
        <v>0</v>
      </c>
      <c r="AW18" s="284">
        <f>SUM(AW15:AW17)</f>
        <v>0</v>
      </c>
      <c r="AX18" s="242"/>
      <c r="AY18" s="243"/>
      <c r="AZ18" s="242"/>
      <c r="BA18" s="242"/>
      <c r="BB18" s="244"/>
      <c r="BC18" s="243"/>
      <c r="BD18" s="243"/>
      <c r="BE18" s="242"/>
      <c r="BF18" s="242"/>
      <c r="BG18" s="242"/>
      <c r="BH18" s="242"/>
      <c r="BI18" s="242"/>
      <c r="BJ18" s="242"/>
      <c r="BK18" s="242"/>
      <c r="BL18" s="242"/>
      <c r="BM18" s="242"/>
      <c r="BN18" s="242"/>
      <c r="BO18" s="242"/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45"/>
      <c r="CC18" s="246"/>
      <c r="CD18" s="242"/>
      <c r="CE18" s="242"/>
      <c r="CF18" s="242"/>
      <c r="CG18" s="242"/>
      <c r="CH18" s="242"/>
      <c r="CI18" s="247"/>
      <c r="CJ18" s="248"/>
      <c r="CK18" s="248"/>
      <c r="CL18" s="248"/>
      <c r="CM18" s="248"/>
    </row>
    <row r="19" spans="1:91" x14ac:dyDescent="0.25">
      <c r="A19" s="231"/>
      <c r="B19" s="232"/>
      <c r="C19" s="232"/>
      <c r="D19" s="233"/>
      <c r="E19" s="234"/>
      <c r="F19" s="235"/>
      <c r="G19" s="236"/>
      <c r="H19" s="237"/>
      <c r="I19" s="238"/>
      <c r="J19" s="239"/>
      <c r="K19" s="240"/>
      <c r="L19" s="8"/>
      <c r="M19" s="241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2"/>
      <c r="AY19" s="243"/>
      <c r="AZ19" s="242"/>
      <c r="BA19" s="242"/>
      <c r="BB19" s="244"/>
      <c r="BC19" s="243"/>
      <c r="BD19" s="243"/>
      <c r="BE19" s="242"/>
      <c r="BF19" s="242"/>
      <c r="BG19" s="242"/>
      <c r="BH19" s="242"/>
      <c r="BI19" s="242"/>
      <c r="BJ19" s="242"/>
      <c r="BK19" s="242"/>
      <c r="BL19" s="242"/>
      <c r="BM19" s="242"/>
      <c r="BN19" s="242"/>
      <c r="BO19" s="242"/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45"/>
      <c r="CC19" s="246"/>
      <c r="CD19" s="242"/>
      <c r="CE19" s="242"/>
      <c r="CF19" s="242"/>
      <c r="CG19" s="242"/>
      <c r="CH19" s="242"/>
      <c r="CI19" s="247"/>
      <c r="CJ19" s="248"/>
      <c r="CK19" s="248"/>
      <c r="CL19" s="248"/>
      <c r="CM19" s="248"/>
    </row>
    <row r="20" spans="1:91" x14ac:dyDescent="0.25">
      <c r="A20" s="231"/>
      <c r="B20" s="120" t="s">
        <v>658</v>
      </c>
      <c r="C20" s="232"/>
      <c r="D20" s="233"/>
      <c r="E20" s="279">
        <f>SUM(E7:E19)/2</f>
        <v>81301509.129999995</v>
      </c>
      <c r="F20" s="268">
        <f>SUM(F7:F19)/2</f>
        <v>81411427.129999995</v>
      </c>
      <c r="G20" s="236"/>
      <c r="H20" s="237"/>
      <c r="I20" s="280">
        <f>SUM(I7:I19)/2</f>
        <v>81310321.129999995</v>
      </c>
      <c r="J20" s="239"/>
      <c r="K20" s="240"/>
      <c r="L20" s="272">
        <f>SUM(L7:L19)/2</f>
        <v>47503896.870000005</v>
      </c>
      <c r="M20" s="281">
        <f>SUM(M7:M19)/2</f>
        <v>76701549.549999997</v>
      </c>
      <c r="N20" s="72"/>
      <c r="O20" s="100"/>
      <c r="P20" s="270">
        <f>SUM(P7:P19)/2</f>
        <v>0</v>
      </c>
      <c r="Q20" s="270">
        <f>SUM(Q7:Q19)/2</f>
        <v>4626397.92</v>
      </c>
      <c r="R20" s="270">
        <f>SUM(R7:R19)/2</f>
        <v>0</v>
      </c>
      <c r="S20" s="152"/>
      <c r="T20" s="10"/>
      <c r="U20" s="23"/>
      <c r="V20" s="271">
        <f>SUM(V7:V19)/2</f>
        <v>0</v>
      </c>
      <c r="W20" s="271">
        <f>SUM(W7:W19)/2</f>
        <v>0</v>
      </c>
      <c r="X20" s="272">
        <f>SUM(X7:X19)/2</f>
        <v>7632457.2700000005</v>
      </c>
      <c r="Y20" s="270">
        <f>SUM(Y7:Y19)/2</f>
        <v>0</v>
      </c>
      <c r="Z20" s="282">
        <f>SUM(Z7:Z19)/2</f>
        <v>-16314.25</v>
      </c>
      <c r="AA20" s="71"/>
      <c r="AB20" s="108"/>
      <c r="AC20" s="270">
        <f>SUM(AC7:AC19)/2</f>
        <v>-26224.820000000011</v>
      </c>
      <c r="AD20" s="270">
        <f>SUM(AD7:AD19)/2</f>
        <v>0</v>
      </c>
      <c r="AE20" s="10"/>
      <c r="AF20" s="24"/>
      <c r="AG20" s="271">
        <f>SUM(AG7:AG19)/2</f>
        <v>1685135.06</v>
      </c>
      <c r="AH20" s="272">
        <f>SUM(AH7:AH19)/2</f>
        <v>1588749.65</v>
      </c>
      <c r="AI20" s="270">
        <f>SUM(AI7:AI19)/2</f>
        <v>96385.41</v>
      </c>
      <c r="AJ20" s="270">
        <f>SUM(AJ7:AJ19)/2</f>
        <v>96385.41</v>
      </c>
      <c r="AK20" s="10"/>
      <c r="AL20" s="271">
        <f>SUM(AL7:AL19)/2</f>
        <v>0</v>
      </c>
      <c r="AM20" s="272">
        <f>SUM(AM7:AM19)/2</f>
        <v>6043707.6200000001</v>
      </c>
      <c r="AN20" s="270">
        <f>SUM(AN7:AN19)/2</f>
        <v>0</v>
      </c>
      <c r="AO20" s="270">
        <f>SUM(AO7:AO19)/2</f>
        <v>0</v>
      </c>
      <c r="AP20" s="10"/>
      <c r="AQ20" s="283">
        <f>SUM(AQ7:AQ19)/2</f>
        <v>0</v>
      </c>
      <c r="AR20" s="283">
        <f>SUM(AR7:AR19)/2</f>
        <v>0</v>
      </c>
      <c r="AS20" s="283">
        <f>SUM(AS7:AS19)/2</f>
        <v>0</v>
      </c>
      <c r="AT20" s="10"/>
      <c r="AU20" s="284">
        <f>SUM(AU7:AU19)/2</f>
        <v>8183922.3700000001</v>
      </c>
      <c r="AV20" s="284">
        <f>SUM(AV7:AV19)/2</f>
        <v>0</v>
      </c>
      <c r="AW20" s="284">
        <f>SUM(AW7:AW19)/2</f>
        <v>0</v>
      </c>
      <c r="AX20" s="242"/>
      <c r="AY20" s="243"/>
      <c r="AZ20" s="242"/>
      <c r="BA20" s="242"/>
      <c r="BB20" s="244"/>
      <c r="BC20" s="243"/>
      <c r="BD20" s="243"/>
      <c r="BE20" s="242"/>
      <c r="BF20" s="242"/>
      <c r="BG20" s="242"/>
      <c r="BH20" s="242"/>
      <c r="BI20" s="242"/>
      <c r="BJ20" s="242"/>
      <c r="BK20" s="242"/>
      <c r="BL20" s="242"/>
      <c r="BM20" s="242"/>
      <c r="BN20" s="242"/>
      <c r="BO20" s="242"/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45"/>
      <c r="CC20" s="246"/>
      <c r="CD20" s="242"/>
      <c r="CE20" s="242"/>
      <c r="CF20" s="242"/>
      <c r="CG20" s="242"/>
      <c r="CH20" s="242"/>
      <c r="CI20" s="247"/>
      <c r="CJ20" s="248"/>
      <c r="CK20" s="248"/>
      <c r="CL20" s="248"/>
      <c r="CM20" s="248"/>
    </row>
    <row r="21" spans="1:91" x14ac:dyDescent="0.25">
      <c r="A21" s="231"/>
      <c r="B21" s="232"/>
      <c r="C21" s="232"/>
      <c r="D21" s="233"/>
      <c r="E21" s="234"/>
      <c r="F21" s="235"/>
      <c r="G21" s="236"/>
      <c r="H21" s="237"/>
      <c r="I21" s="238"/>
      <c r="J21" s="239"/>
      <c r="K21" s="240"/>
      <c r="L21" s="8"/>
      <c r="M21" s="241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2"/>
      <c r="AY21" s="243"/>
      <c r="AZ21" s="242"/>
      <c r="BA21" s="242"/>
      <c r="BB21" s="244"/>
      <c r="BC21" s="243"/>
      <c r="BD21" s="243"/>
      <c r="BE21" s="242"/>
      <c r="BF21" s="242"/>
      <c r="BG21" s="242"/>
      <c r="BH21" s="242"/>
      <c r="BI21" s="242"/>
      <c r="BJ21" s="242"/>
      <c r="BK21" s="242"/>
      <c r="BL21" s="242"/>
      <c r="BM21" s="242"/>
      <c r="BN21" s="242"/>
      <c r="BO21" s="242"/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45"/>
      <c r="CC21" s="246"/>
      <c r="CD21" s="242"/>
      <c r="CE21" s="242"/>
      <c r="CF21" s="242"/>
      <c r="CG21" s="242"/>
      <c r="CH21" s="242"/>
      <c r="CI21" s="247"/>
      <c r="CJ21" s="248"/>
      <c r="CK21" s="248"/>
      <c r="CL21" s="248"/>
      <c r="CM21" s="248"/>
    </row>
    <row r="22" spans="1:91" x14ac:dyDescent="0.25">
      <c r="A22" s="286"/>
      <c r="B22" s="285" t="s">
        <v>635</v>
      </c>
      <c r="C22" s="120"/>
      <c r="D22" s="267"/>
      <c r="E22" s="279">
        <f>SUMIF(BM8:BM22,1, E8:E22)</f>
        <v>81301509.129999995</v>
      </c>
      <c r="F22" s="268">
        <f>SUMIF(BM8:BM22,1, F8:F22)</f>
        <v>81411427.129999995</v>
      </c>
      <c r="G22" s="287"/>
      <c r="H22" s="104"/>
      <c r="I22" s="280">
        <f>SUMIF(BM8:BM22,1, I8:I22)</f>
        <v>81310321.129999995</v>
      </c>
      <c r="J22" s="288"/>
      <c r="K22" s="98"/>
      <c r="L22" s="272">
        <f>SUMIF(BM8:BM22,1, L8:L22)</f>
        <v>47397278.850000001</v>
      </c>
      <c r="M22" s="281">
        <f>SUMIF(BM8:BM22,1, M8:M22)</f>
        <v>76594931.530000001</v>
      </c>
      <c r="N22" s="289"/>
      <c r="O22" s="99"/>
      <c r="P22" s="270">
        <f>SUMIF(BM8:BM22,1, P8:P22)</f>
        <v>0</v>
      </c>
      <c r="Q22" s="270">
        <f>SUMIF(BM8:BM22,1, Q8:Q22)</f>
        <v>4716772.9000000004</v>
      </c>
      <c r="R22" s="270">
        <f>SUMIF(BM8:BM22,1, R8:R22)</f>
        <v>0</v>
      </c>
      <c r="S22" s="290"/>
      <c r="T22" s="291"/>
      <c r="U22" s="292"/>
      <c r="V22" s="271">
        <f>SUMIF(BM8:BM22,1, V8:V22)</f>
        <v>0</v>
      </c>
      <c r="W22" s="271">
        <f>SUMIF(BM8:BM22,1, W8:W22)</f>
        <v>0</v>
      </c>
      <c r="X22" s="272">
        <f>SUMIF(BM8:BM22,1, X8:X22)</f>
        <v>7525839.2500000009</v>
      </c>
      <c r="Y22" s="270">
        <f>SUMIF(BM8:BM22,1, Y8:Y22)</f>
        <v>0</v>
      </c>
      <c r="Z22" s="282">
        <f>SUMIF(BM8:BM22,1, Z8:Z22)</f>
        <v>90303.76999999999</v>
      </c>
      <c r="AA22" s="289"/>
      <c r="AB22" s="107"/>
      <c r="AC22" s="270">
        <f>SUMIF(BM8:BM22,1, AC8:AC22)</f>
        <v>64150.159999999996</v>
      </c>
      <c r="AD22" s="270">
        <f>SUMIF(BM8:BM22,1, AD8:AD22)</f>
        <v>0</v>
      </c>
      <c r="AE22" s="291"/>
      <c r="AF22" s="293"/>
      <c r="AG22" s="271">
        <f>SUMIF(BM8:BM22,1, AG8:AG22)</f>
        <v>1685135.06</v>
      </c>
      <c r="AH22" s="272">
        <f>SUMIF(BM8:BM22,1, AH8:AH22)</f>
        <v>1588749.65</v>
      </c>
      <c r="AI22" s="270">
        <f>SUMIF(BM8:BM22,1, AI8:AI22)</f>
        <v>96385.41</v>
      </c>
      <c r="AJ22" s="270">
        <f>SUMIF(BM8:BM22,1, AJ8:AJ22)</f>
        <v>96385.41</v>
      </c>
      <c r="AK22" s="291"/>
      <c r="AL22" s="271">
        <f>SUMIF(BM8:BM22,1, AL8:AL22)</f>
        <v>0</v>
      </c>
      <c r="AM22" s="272">
        <f>SUMIF(BM8:BM22,1, AM8:AM22)</f>
        <v>5937089.6000000006</v>
      </c>
      <c r="AN22" s="270">
        <f>SUMIF(BM8:BM22,1, AN8:AN22)</f>
        <v>0</v>
      </c>
      <c r="AO22" s="270">
        <f>SUMIF(BM8:BM22,1, AO8:AO22)</f>
        <v>0</v>
      </c>
      <c r="AP22" s="291"/>
      <c r="AQ22" s="283">
        <f>SUMIF(BM8:BM22,1, AQ8:AQ22)</f>
        <v>0</v>
      </c>
      <c r="AR22" s="283">
        <f>SUMIF(BM8:BM22,1, AR8:AR22)</f>
        <v>0</v>
      </c>
      <c r="AS22" s="283">
        <f>SUMIF(BM8:BM22,1, AS8:AS22)</f>
        <v>0</v>
      </c>
      <c r="AT22" s="291"/>
      <c r="AU22" s="284">
        <f>SUMIF(BM8:BM22,1, AU8:AU22)</f>
        <v>8183922.3700000001</v>
      </c>
      <c r="AV22" s="284">
        <f>SUMIF(BM8:BM22,1, AV8:AV22)</f>
        <v>0</v>
      </c>
      <c r="AW22" s="284">
        <f>SUMIF(BM8:BM22,1, AW8:AW22)</f>
        <v>0</v>
      </c>
      <c r="AX22" s="15"/>
      <c r="AY22" s="274"/>
      <c r="AZ22" s="15"/>
      <c r="BA22" s="15"/>
      <c r="BB22" s="275"/>
      <c r="BC22" s="274"/>
      <c r="BD22" s="274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298"/>
      <c r="BU22" s="298"/>
      <c r="BV22" s="298"/>
      <c r="BW22" s="298"/>
      <c r="BX22" s="15"/>
      <c r="BY22" s="15"/>
      <c r="BZ22" s="294"/>
      <c r="CA22" s="294"/>
      <c r="CB22" s="294"/>
      <c r="CC22" s="276"/>
      <c r="CD22" s="15"/>
      <c r="CE22" s="15"/>
      <c r="CF22" s="15"/>
      <c r="CG22" s="15"/>
      <c r="CH22" s="15"/>
      <c r="CI22" s="295"/>
      <c r="CJ22" s="277"/>
      <c r="CK22" s="277"/>
      <c r="CL22" s="277"/>
      <c r="CM22" s="277"/>
    </row>
    <row r="23" spans="1:91" x14ac:dyDescent="0.25">
      <c r="A23" s="286"/>
      <c r="B23" s="285" t="s">
        <v>636</v>
      </c>
      <c r="C23" s="120"/>
      <c r="D23" s="267"/>
      <c r="E23" s="279">
        <f>SUMIF(BM8:BM22,2, E8:E22)</f>
        <v>0</v>
      </c>
      <c r="F23" s="268">
        <f>SUMIF(BM8:BM22,2, F8:F22)</f>
        <v>0</v>
      </c>
      <c r="G23" s="287"/>
      <c r="H23" s="104"/>
      <c r="I23" s="280">
        <f>SUMIF(BM8:BM22,2, I8:I22)</f>
        <v>0</v>
      </c>
      <c r="J23" s="288"/>
      <c r="K23" s="98"/>
      <c r="L23" s="272">
        <f>SUMIF(BM8:BM22,2, L8:L22)</f>
        <v>106618.01999999999</v>
      </c>
      <c r="M23" s="281">
        <f>SUMIF(BM8:BM22,2, M8:M22)</f>
        <v>106618.01999999999</v>
      </c>
      <c r="N23" s="289"/>
      <c r="O23" s="99"/>
      <c r="P23" s="270">
        <f>SUMIF(BM8:BM22,2, P8:P22)</f>
        <v>0</v>
      </c>
      <c r="Q23" s="270">
        <f>SUMIF(BM8:BM22,2, Q8:Q22)</f>
        <v>-90374.98000000001</v>
      </c>
      <c r="R23" s="270">
        <f>SUMIF(BM8:BM22,2, R8:R22)</f>
        <v>0</v>
      </c>
      <c r="S23" s="290"/>
      <c r="T23" s="291"/>
      <c r="U23" s="292"/>
      <c r="V23" s="271">
        <f>SUMIF(BM8:BM22,2, V8:V22)</f>
        <v>0</v>
      </c>
      <c r="W23" s="271">
        <f>SUMIF(BM8:BM22,2, W8:W22)</f>
        <v>0</v>
      </c>
      <c r="X23" s="272">
        <f>SUMIF(BM8:BM22,2, X8:X22)</f>
        <v>106618.01999999999</v>
      </c>
      <c r="Y23" s="270">
        <f>SUMIF(BM8:BM22,2, Y8:Y22)</f>
        <v>0</v>
      </c>
      <c r="Z23" s="282">
        <f>SUMIF(BM8:BM22,2, Z8:Z22)</f>
        <v>-106618.01999999999</v>
      </c>
      <c r="AA23" s="289"/>
      <c r="AB23" s="107"/>
      <c r="AC23" s="270">
        <f>SUMIF(BM8:BM22,2, AC8:AC22)</f>
        <v>-90374.98000000001</v>
      </c>
      <c r="AD23" s="270">
        <f>SUMIF(BM8:BM22,2, AD8:AD22)</f>
        <v>0</v>
      </c>
      <c r="AE23" s="291"/>
      <c r="AF23" s="293"/>
      <c r="AG23" s="271">
        <f>SUMIF(BM8:BM22,2, AG8:AG22)</f>
        <v>0</v>
      </c>
      <c r="AH23" s="272">
        <f>SUMIF(BM8:BM22,2, AH8:AH22)</f>
        <v>0</v>
      </c>
      <c r="AI23" s="270">
        <f>SUMIF(BM8:BM22,2, AI8:AI22)</f>
        <v>0</v>
      </c>
      <c r="AJ23" s="270">
        <f>SUMIF(BM8:BM22,2, AJ8:AJ22)</f>
        <v>0</v>
      </c>
      <c r="AK23" s="291"/>
      <c r="AL23" s="271">
        <f>SUMIF(BM8:BM22,2, AL8:AL22)</f>
        <v>0</v>
      </c>
      <c r="AM23" s="272">
        <f>SUMIF(BM8:BM22,2, AM8:AM22)</f>
        <v>106618.01999999999</v>
      </c>
      <c r="AN23" s="270">
        <f>SUMIF(BM8:BM22,2, AN8:AN22)</f>
        <v>0</v>
      </c>
      <c r="AO23" s="270">
        <f>SUMIF(BM8:BM22,2, AO8:AO22)</f>
        <v>0</v>
      </c>
      <c r="AP23" s="291"/>
      <c r="AQ23" s="283">
        <f>SUMIF(BM8:BM22,2, AQ8:AQ22)</f>
        <v>0</v>
      </c>
      <c r="AR23" s="283">
        <f>SUMIF(BM8:BM22,2, AR8:AR22)</f>
        <v>0</v>
      </c>
      <c r="AS23" s="283">
        <f>SUMIF(BM8:BM22,2, AS8:AS22)</f>
        <v>0</v>
      </c>
      <c r="AT23" s="291"/>
      <c r="AU23" s="284">
        <f>SUMIF(BM8:BM22,2, AU8:AU22)</f>
        <v>0</v>
      </c>
      <c r="AV23" s="284">
        <f>SUMIF(BM8:BM22,2, AV8:AV22)</f>
        <v>0</v>
      </c>
      <c r="AW23" s="284">
        <f>SUMIF(BM8:BM22,2, AW8:AW22)</f>
        <v>0</v>
      </c>
      <c r="AX23" s="15"/>
      <c r="AY23" s="274"/>
      <c r="AZ23" s="15"/>
      <c r="BA23" s="15"/>
      <c r="BB23" s="275"/>
      <c r="BC23" s="274"/>
      <c r="BD23" s="274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298"/>
      <c r="BU23" s="298"/>
      <c r="BV23" s="298"/>
      <c r="BW23" s="298"/>
      <c r="BX23" s="15"/>
      <c r="BY23" s="15"/>
      <c r="BZ23" s="294"/>
      <c r="CA23" s="294"/>
      <c r="CB23" s="294"/>
      <c r="CC23" s="276"/>
      <c r="CD23" s="15"/>
      <c r="CE23" s="15"/>
      <c r="CF23" s="15"/>
      <c r="CG23" s="15"/>
      <c r="CH23" s="15"/>
      <c r="CI23" s="295"/>
      <c r="CJ23" s="277"/>
      <c r="CK23" s="277"/>
      <c r="CL23" s="277"/>
      <c r="CM23" s="277"/>
    </row>
    <row r="24" spans="1:91" x14ac:dyDescent="0.25">
      <c r="A24" s="286"/>
      <c r="B24" s="285" t="s">
        <v>634</v>
      </c>
      <c r="C24" s="120"/>
      <c r="D24" s="267"/>
      <c r="E24" s="279">
        <f>SUM(E8:E23)/4</f>
        <v>81301509.129999995</v>
      </c>
      <c r="F24" s="268">
        <f>SUM(F8:F23)/4</f>
        <v>81411427.129999995</v>
      </c>
      <c r="G24" s="287"/>
      <c r="H24" s="104"/>
      <c r="I24" s="280">
        <f>SUM(I8:I23)/4</f>
        <v>81310321.129999995</v>
      </c>
      <c r="J24" s="288"/>
      <c r="K24" s="98"/>
      <c r="L24" s="272">
        <f>SUM(L8:L23)/4</f>
        <v>47503896.870000005</v>
      </c>
      <c r="M24" s="281">
        <f>SUM(M8:M23)/4</f>
        <v>76701549.549999982</v>
      </c>
      <c r="N24" s="289"/>
      <c r="O24" s="99"/>
      <c r="P24" s="270">
        <f>SUM(P8:P23)/4</f>
        <v>0</v>
      </c>
      <c r="Q24" s="270">
        <f>SUM(Q8:Q23)/4</f>
        <v>4626397.92</v>
      </c>
      <c r="R24" s="270">
        <f>SUM(R8:R23)/4</f>
        <v>0</v>
      </c>
      <c r="S24" s="290"/>
      <c r="T24" s="291"/>
      <c r="U24" s="292"/>
      <c r="V24" s="271">
        <f>SUM(V8:V23)/4</f>
        <v>0</v>
      </c>
      <c r="W24" s="271">
        <f>SUM(W8:W23)/4</f>
        <v>0</v>
      </c>
      <c r="X24" s="272">
        <f>SUM(X8:X23)/4</f>
        <v>7632457.2700000005</v>
      </c>
      <c r="Y24" s="270">
        <f>SUM(Y8:Y23)/4</f>
        <v>0</v>
      </c>
      <c r="Z24" s="282">
        <f>SUM(Z8:Z23)/4</f>
        <v>-16314.25</v>
      </c>
      <c r="AA24" s="289"/>
      <c r="AB24" s="107"/>
      <c r="AC24" s="270">
        <f>SUM(AC8:AC23)/4</f>
        <v>-26224.820000000014</v>
      </c>
      <c r="AD24" s="270">
        <f>SUM(AD8:AD23)/4</f>
        <v>0</v>
      </c>
      <c r="AE24" s="291"/>
      <c r="AF24" s="293"/>
      <c r="AG24" s="271">
        <f>SUM(AG8:AG23)/4</f>
        <v>1685135.06</v>
      </c>
      <c r="AH24" s="272">
        <f>SUM(AH8:AH23)/4</f>
        <v>1588749.65</v>
      </c>
      <c r="AI24" s="270">
        <f>SUM(AI8:AI23)/4</f>
        <v>96385.41</v>
      </c>
      <c r="AJ24" s="270">
        <f>SUM(AJ8:AJ23)/4</f>
        <v>96385.41</v>
      </c>
      <c r="AK24" s="291"/>
      <c r="AL24" s="271">
        <f>SUM(AL8:AL23)/4</f>
        <v>0</v>
      </c>
      <c r="AM24" s="272">
        <f>SUM(AM8:AM23)/4</f>
        <v>6043707.6200000001</v>
      </c>
      <c r="AN24" s="270">
        <f>SUM(AN8:AN23)/4</f>
        <v>0</v>
      </c>
      <c r="AO24" s="270">
        <f>SUM(AO8:AO23)/4</f>
        <v>0</v>
      </c>
      <c r="AP24" s="291"/>
      <c r="AQ24" s="283">
        <f>SUM(AQ8:AQ23)/4</f>
        <v>0</v>
      </c>
      <c r="AR24" s="283">
        <f>SUM(AR8:AR23)/4</f>
        <v>0</v>
      </c>
      <c r="AS24" s="283">
        <f>SUM(AS8:AS23)/4</f>
        <v>0</v>
      </c>
      <c r="AT24" s="291"/>
      <c r="AU24" s="284">
        <f>SUM(AU8:AU23)/4</f>
        <v>8183922.3700000001</v>
      </c>
      <c r="AV24" s="284">
        <f>SUM(AV8:AV23)/4</f>
        <v>0</v>
      </c>
      <c r="AW24" s="284">
        <f>SUM(AW8:AW23)/4</f>
        <v>0</v>
      </c>
      <c r="AX24" s="15"/>
      <c r="AY24" s="274"/>
      <c r="AZ24" s="15"/>
      <c r="BA24" s="15"/>
      <c r="BB24" s="275"/>
      <c r="BC24" s="274"/>
      <c r="BD24" s="274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298"/>
      <c r="BU24" s="298"/>
      <c r="BV24" s="298"/>
      <c r="BW24" s="298"/>
      <c r="BX24" s="15"/>
      <c r="BY24" s="15"/>
      <c r="BZ24" s="294"/>
      <c r="CA24" s="294"/>
      <c r="CB24" s="294"/>
      <c r="CC24" s="276"/>
      <c r="CD24" s="15"/>
      <c r="CE24" s="15"/>
      <c r="CF24" s="15"/>
      <c r="CG24" s="15"/>
      <c r="CH24" s="15"/>
      <c r="CI24" s="295"/>
      <c r="CJ24" s="277"/>
      <c r="CK24" s="277"/>
      <c r="CL24" s="277"/>
      <c r="CM24" s="277"/>
    </row>
    <row r="25" spans="1:91" x14ac:dyDescent="0.25">
      <c r="A25" s="231"/>
      <c r="B25" s="232"/>
      <c r="C25" s="232"/>
      <c r="D25" s="233"/>
      <c r="E25" s="234"/>
      <c r="F25" s="235"/>
      <c r="G25" s="236"/>
      <c r="H25" s="237"/>
      <c r="I25" s="238"/>
      <c r="J25" s="249"/>
      <c r="K25" s="240"/>
      <c r="L25" s="8"/>
      <c r="M25" s="241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2"/>
      <c r="AY25" s="243"/>
      <c r="AZ25" s="242"/>
      <c r="BA25" s="242"/>
      <c r="BB25" s="244"/>
      <c r="BC25" s="243"/>
      <c r="BD25" s="243"/>
      <c r="BE25" s="242"/>
      <c r="BF25" s="242"/>
      <c r="BG25" s="242"/>
      <c r="BH25" s="242"/>
      <c r="BI25" s="242"/>
      <c r="BJ25" s="242"/>
      <c r="BK25" s="242"/>
      <c r="BL25" s="242"/>
      <c r="BM25" s="242"/>
      <c r="BN25" s="242"/>
      <c r="BO25" s="242"/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/>
      <c r="CD25" s="242"/>
      <c r="CE25" s="242"/>
      <c r="CF25" s="242"/>
      <c r="CG25" s="242"/>
      <c r="CH25" s="242"/>
      <c r="CI25" s="247"/>
      <c r="CJ25" s="248"/>
      <c r="CK25" s="248"/>
      <c r="CL25" s="248"/>
      <c r="CM25" s="248"/>
    </row>
    <row r="26" spans="1:91" x14ac:dyDescent="0.25">
      <c r="A26" s="231"/>
      <c r="B26" s="232"/>
      <c r="C26" s="232"/>
      <c r="D26" s="233"/>
      <c r="E26" s="234"/>
      <c r="F26" s="235"/>
      <c r="G26" s="236"/>
      <c r="H26" s="237"/>
      <c r="I26" s="238"/>
      <c r="J26" s="249"/>
      <c r="K26" s="240"/>
      <c r="L26" s="8"/>
      <c r="M26" s="241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2"/>
      <c r="AY26" s="243"/>
      <c r="AZ26" s="242"/>
      <c r="BA26" s="242"/>
      <c r="BB26" s="244"/>
      <c r="BC26" s="243"/>
      <c r="BD26" s="243"/>
      <c r="BE26" s="242"/>
      <c r="BF26" s="242"/>
      <c r="BG26" s="242"/>
      <c r="BH26" s="242"/>
      <c r="BI26" s="242"/>
      <c r="BJ26" s="242"/>
      <c r="BK26" s="242"/>
      <c r="BL26" s="242"/>
      <c r="BM26" s="242"/>
      <c r="BN26" s="242"/>
      <c r="BO26" s="242"/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45"/>
      <c r="CC26" s="246"/>
      <c r="CD26" s="242"/>
      <c r="CE26" s="242"/>
      <c r="CF26" s="242"/>
      <c r="CG26" s="242"/>
      <c r="CH26" s="242"/>
      <c r="CI26" s="247"/>
      <c r="CJ26" s="248"/>
      <c r="CK26" s="248"/>
      <c r="CL26" s="248"/>
      <c r="CM26" s="248"/>
    </row>
    <row r="27" spans="1:91" x14ac:dyDescent="0.25">
      <c r="A27" s="231"/>
      <c r="B27" s="232"/>
      <c r="C27" s="232"/>
      <c r="D27" s="233"/>
      <c r="E27" s="234"/>
      <c r="F27" s="235"/>
      <c r="G27" s="236"/>
      <c r="H27" s="237"/>
      <c r="I27" s="238"/>
      <c r="J27" s="239"/>
      <c r="K27" s="240"/>
      <c r="L27" s="8"/>
      <c r="M27" s="241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2"/>
      <c r="AY27" s="243"/>
      <c r="AZ27" s="242"/>
      <c r="BA27" s="242"/>
      <c r="BB27" s="244"/>
      <c r="BC27" s="243"/>
      <c r="BD27" s="243"/>
      <c r="BE27" s="242"/>
      <c r="BF27" s="242"/>
      <c r="BG27" s="242"/>
      <c r="BH27" s="242"/>
      <c r="BI27" s="242"/>
      <c r="BJ27" s="242"/>
      <c r="BK27" s="242"/>
      <c r="BL27" s="242"/>
      <c r="BM27" s="242"/>
      <c r="BN27" s="242"/>
      <c r="BO27" s="242"/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45"/>
      <c r="CC27" s="246"/>
      <c r="CD27" s="242"/>
      <c r="CE27" s="242"/>
      <c r="CF27" s="242"/>
      <c r="CG27" s="242"/>
      <c r="CH27" s="242"/>
      <c r="CI27" s="247"/>
      <c r="CJ27" s="248"/>
      <c r="CK27" s="248"/>
      <c r="CL27" s="248"/>
      <c r="CM27" s="248"/>
    </row>
    <row r="28" spans="1:91" x14ac:dyDescent="0.25">
      <c r="A28" s="231"/>
      <c r="B28" s="232"/>
      <c r="C28" s="232"/>
      <c r="D28" s="233"/>
      <c r="E28" s="234"/>
      <c r="F28" s="235"/>
      <c r="G28" s="236"/>
      <c r="H28" s="237"/>
      <c r="I28" s="238"/>
      <c r="J28" s="239"/>
      <c r="K28" s="240"/>
      <c r="L28" s="8"/>
      <c r="M28" s="241"/>
      <c r="N28" s="239"/>
      <c r="O28" s="240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2"/>
      <c r="AY28" s="243"/>
      <c r="AZ28" s="242"/>
      <c r="BA28" s="242"/>
      <c r="BB28" s="244"/>
      <c r="BC28" s="243"/>
      <c r="BD28" s="243"/>
      <c r="BE28" s="242"/>
      <c r="BF28" s="242"/>
      <c r="BG28" s="242"/>
      <c r="BH28" s="242"/>
      <c r="BI28" s="242"/>
      <c r="BJ28" s="242"/>
      <c r="BK28" s="242"/>
      <c r="BL28" s="242"/>
      <c r="BM28" s="242"/>
      <c r="BN28" s="242"/>
      <c r="BO28" s="242"/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/>
      <c r="CD28" s="242"/>
      <c r="CE28" s="242"/>
      <c r="CF28" s="242"/>
      <c r="CG28" s="242"/>
      <c r="CH28" s="242"/>
      <c r="CI28" s="247"/>
      <c r="CJ28" s="248"/>
      <c r="CK28" s="248"/>
      <c r="CL28" s="248"/>
      <c r="CM28" s="248"/>
    </row>
    <row r="29" spans="1:91" x14ac:dyDescent="0.25">
      <c r="A29" s="231"/>
      <c r="B29" s="232"/>
      <c r="C29" s="232"/>
      <c r="D29" s="233"/>
      <c r="E29" s="234"/>
      <c r="F29" s="235"/>
      <c r="G29" s="236"/>
      <c r="H29" s="237"/>
      <c r="I29" s="238"/>
      <c r="J29" s="239"/>
      <c r="K29" s="240"/>
      <c r="L29" s="8"/>
      <c r="M29" s="241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2"/>
      <c r="AY29" s="243"/>
      <c r="AZ29" s="242"/>
      <c r="BA29" s="242"/>
      <c r="BB29" s="244"/>
      <c r="BC29" s="243"/>
      <c r="BD29" s="243"/>
      <c r="BE29" s="242"/>
      <c r="BF29" s="242"/>
      <c r="BG29" s="242"/>
      <c r="BH29" s="242"/>
      <c r="BI29" s="242"/>
      <c r="BJ29" s="242"/>
      <c r="BK29" s="242"/>
      <c r="BL29" s="242"/>
      <c r="BM29" s="242"/>
      <c r="BN29" s="242"/>
      <c r="BO29" s="242"/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45"/>
      <c r="CC29" s="246"/>
      <c r="CD29" s="242"/>
      <c r="CE29" s="242"/>
      <c r="CF29" s="242"/>
      <c r="CG29" s="242"/>
      <c r="CH29" s="242"/>
      <c r="CI29" s="247"/>
      <c r="CJ29" s="248"/>
      <c r="CK29" s="248"/>
      <c r="CL29" s="248"/>
      <c r="CM29" s="248"/>
    </row>
    <row r="30" spans="1:91" x14ac:dyDescent="0.25">
      <c r="A30" s="231"/>
      <c r="B30" s="232"/>
      <c r="C30" s="232"/>
      <c r="D30" s="233"/>
      <c r="E30" s="234"/>
      <c r="F30" s="235"/>
      <c r="G30" s="236"/>
      <c r="H30" s="237"/>
      <c r="I30" s="238"/>
      <c r="J30" s="239"/>
      <c r="K30" s="240"/>
      <c r="L30" s="8"/>
      <c r="M30" s="241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2"/>
      <c r="AY30" s="243"/>
      <c r="AZ30" s="242"/>
      <c r="BA30" s="242"/>
      <c r="BB30" s="244"/>
      <c r="BC30" s="243"/>
      <c r="BD30" s="243"/>
      <c r="BE30" s="242"/>
      <c r="BF30" s="242"/>
      <c r="BG30" s="242"/>
      <c r="BH30" s="242"/>
      <c r="BI30" s="242"/>
      <c r="BJ30" s="242"/>
      <c r="BK30" s="242"/>
      <c r="BL30" s="242"/>
      <c r="BM30" s="242"/>
      <c r="BN30" s="242"/>
      <c r="BO30" s="242"/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45"/>
      <c r="CC30" s="246"/>
      <c r="CD30" s="242"/>
      <c r="CE30" s="242"/>
      <c r="CF30" s="242"/>
      <c r="CG30" s="242"/>
      <c r="CH30" s="242"/>
      <c r="CI30" s="247"/>
      <c r="CJ30" s="248"/>
      <c r="CK30" s="248"/>
      <c r="CL30" s="248"/>
      <c r="CM30" s="248"/>
    </row>
    <row r="31" spans="1:91" x14ac:dyDescent="0.25">
      <c r="A31" s="231"/>
      <c r="B31" s="232"/>
      <c r="C31" s="232"/>
      <c r="D31" s="233"/>
      <c r="E31" s="234"/>
      <c r="F31" s="235"/>
      <c r="G31" s="236"/>
      <c r="H31" s="237"/>
      <c r="I31" s="238"/>
      <c r="J31" s="239"/>
      <c r="K31" s="240"/>
      <c r="L31" s="8"/>
      <c r="M31" s="241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2"/>
      <c r="AY31" s="243"/>
      <c r="AZ31" s="242"/>
      <c r="BA31" s="242"/>
      <c r="BB31" s="244"/>
      <c r="BC31" s="243"/>
      <c r="BD31" s="243"/>
      <c r="BE31" s="242"/>
      <c r="BF31" s="242"/>
      <c r="BG31" s="242"/>
      <c r="BH31" s="242"/>
      <c r="BI31" s="242"/>
      <c r="BJ31" s="242"/>
      <c r="BK31" s="242"/>
      <c r="BL31" s="242"/>
      <c r="BM31" s="242"/>
      <c r="BN31" s="242"/>
      <c r="BO31" s="242"/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45"/>
      <c r="CC31" s="246"/>
      <c r="CD31" s="242"/>
      <c r="CE31" s="242"/>
      <c r="CF31" s="242"/>
      <c r="CG31" s="242"/>
      <c r="CH31" s="242"/>
      <c r="CI31" s="247"/>
      <c r="CJ31" s="248"/>
      <c r="CK31" s="248"/>
      <c r="CL31" s="248"/>
      <c r="CM31" s="248"/>
    </row>
    <row r="32" spans="1:91" x14ac:dyDescent="0.25">
      <c r="A32" s="231"/>
      <c r="B32" s="232"/>
      <c r="C32" s="232"/>
      <c r="D32" s="233"/>
      <c r="E32" s="234"/>
      <c r="F32" s="235"/>
      <c r="G32" s="236"/>
      <c r="H32" s="237"/>
      <c r="I32" s="238"/>
      <c r="J32" s="239"/>
      <c r="K32" s="240"/>
      <c r="L32" s="8"/>
      <c r="M32" s="241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2"/>
      <c r="AY32" s="243"/>
      <c r="AZ32" s="242"/>
      <c r="BA32" s="242"/>
      <c r="BB32" s="244"/>
      <c r="BC32" s="243"/>
      <c r="BD32" s="243"/>
      <c r="BE32" s="242"/>
      <c r="BF32" s="242"/>
      <c r="BG32" s="242"/>
      <c r="BH32" s="242"/>
      <c r="BI32" s="242"/>
      <c r="BJ32" s="242"/>
      <c r="BK32" s="242"/>
      <c r="BL32" s="242"/>
      <c r="BM32" s="242"/>
      <c r="BN32" s="242"/>
      <c r="BO32" s="242"/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/>
      <c r="CD32" s="242"/>
      <c r="CE32" s="242"/>
      <c r="CF32" s="242"/>
      <c r="CG32" s="242"/>
      <c r="CH32" s="242"/>
      <c r="CI32" s="247"/>
      <c r="CJ32" s="248"/>
      <c r="CK32" s="248"/>
      <c r="CL32" s="248"/>
      <c r="CM32" s="248"/>
    </row>
    <row r="33" spans="1:91" x14ac:dyDescent="0.25">
      <c r="A33" s="231"/>
      <c r="B33" s="232"/>
      <c r="C33" s="232"/>
      <c r="D33" s="233"/>
      <c r="E33" s="234"/>
      <c r="F33" s="235"/>
      <c r="G33" s="236"/>
      <c r="H33" s="237"/>
      <c r="I33" s="238"/>
      <c r="J33" s="239"/>
      <c r="K33" s="240"/>
      <c r="L33" s="8"/>
      <c r="M33" s="241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2"/>
      <c r="AY33" s="243"/>
      <c r="AZ33" s="242"/>
      <c r="BA33" s="242"/>
      <c r="BB33" s="244"/>
      <c r="BC33" s="243"/>
      <c r="BD33" s="243"/>
      <c r="BE33" s="242"/>
      <c r="BF33" s="242"/>
      <c r="BG33" s="242"/>
      <c r="BH33" s="242"/>
      <c r="BI33" s="242"/>
      <c r="BJ33" s="242"/>
      <c r="BK33" s="242"/>
      <c r="BL33" s="242"/>
      <c r="BM33" s="242"/>
      <c r="BN33" s="242"/>
      <c r="BO33" s="242"/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45"/>
      <c r="CC33" s="246"/>
      <c r="CD33" s="242"/>
      <c r="CE33" s="242"/>
      <c r="CF33" s="242"/>
      <c r="CG33" s="242"/>
      <c r="CH33" s="242"/>
      <c r="CI33" s="247"/>
      <c r="CJ33" s="248"/>
      <c r="CK33" s="248"/>
      <c r="CL33" s="248"/>
      <c r="CM33" s="248"/>
    </row>
    <row r="34" spans="1:91" x14ac:dyDescent="0.25">
      <c r="A34" s="231"/>
      <c r="B34" s="232"/>
      <c r="C34" s="232"/>
      <c r="D34" s="233"/>
      <c r="E34" s="234"/>
      <c r="F34" s="235"/>
      <c r="G34" s="236"/>
      <c r="H34" s="237"/>
      <c r="I34" s="238"/>
      <c r="J34" s="239"/>
      <c r="K34" s="240"/>
      <c r="L34" s="8"/>
      <c r="M34" s="241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2"/>
      <c r="AY34" s="243"/>
      <c r="AZ34" s="242"/>
      <c r="BA34" s="242"/>
      <c r="BB34" s="244"/>
      <c r="BC34" s="243"/>
      <c r="BD34" s="243"/>
      <c r="BE34" s="242"/>
      <c r="BF34" s="242"/>
      <c r="BG34" s="242"/>
      <c r="BH34" s="242"/>
      <c r="BI34" s="242"/>
      <c r="BJ34" s="242"/>
      <c r="BK34" s="242"/>
      <c r="BL34" s="242"/>
      <c r="BM34" s="242"/>
      <c r="BN34" s="242"/>
      <c r="BO34" s="242"/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/>
      <c r="CD34" s="242"/>
      <c r="CE34" s="242"/>
      <c r="CF34" s="242"/>
      <c r="CG34" s="242"/>
      <c r="CH34" s="242"/>
      <c r="CI34" s="247"/>
      <c r="CJ34" s="248"/>
      <c r="CK34" s="248"/>
      <c r="CL34" s="248"/>
      <c r="CM34" s="248"/>
    </row>
    <row r="35" spans="1:91" x14ac:dyDescent="0.25">
      <c r="A35" s="231"/>
      <c r="B35" s="232"/>
      <c r="C35" s="232"/>
      <c r="D35" s="233"/>
      <c r="E35" s="234"/>
      <c r="F35" s="235"/>
      <c r="G35" s="236"/>
      <c r="H35" s="237"/>
      <c r="I35" s="238"/>
      <c r="J35" s="239"/>
      <c r="K35" s="240"/>
      <c r="L35" s="8"/>
      <c r="M35" s="241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2"/>
      <c r="AY35" s="243"/>
      <c r="AZ35" s="242"/>
      <c r="BA35" s="242"/>
      <c r="BB35" s="244"/>
      <c r="BC35" s="243"/>
      <c r="BD35" s="243"/>
      <c r="BE35" s="242"/>
      <c r="BF35" s="242"/>
      <c r="BG35" s="242"/>
      <c r="BH35" s="242"/>
      <c r="BI35" s="242"/>
      <c r="BJ35" s="242"/>
      <c r="BK35" s="242"/>
      <c r="BL35" s="242"/>
      <c r="BM35" s="242"/>
      <c r="BN35" s="242"/>
      <c r="BO35" s="242"/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45"/>
      <c r="CC35" s="246"/>
      <c r="CD35" s="242"/>
      <c r="CE35" s="242"/>
      <c r="CF35" s="242"/>
      <c r="CG35" s="242"/>
      <c r="CH35" s="242"/>
      <c r="CI35" s="247"/>
      <c r="CJ35" s="248"/>
      <c r="CK35" s="248"/>
      <c r="CL35" s="248"/>
      <c r="CM35" s="248"/>
    </row>
    <row r="36" spans="1:91" x14ac:dyDescent="0.25">
      <c r="A36" s="231"/>
      <c r="B36" s="232"/>
      <c r="C36" s="232"/>
      <c r="D36" s="233"/>
      <c r="E36" s="234"/>
      <c r="F36" s="235"/>
      <c r="G36" s="236"/>
      <c r="H36" s="237"/>
      <c r="I36" s="238"/>
      <c r="J36" s="239"/>
      <c r="K36" s="240"/>
      <c r="L36" s="8"/>
      <c r="M36" s="241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2"/>
      <c r="AY36" s="243"/>
      <c r="AZ36" s="242"/>
      <c r="BA36" s="242"/>
      <c r="BB36" s="244"/>
      <c r="BC36" s="243"/>
      <c r="BD36" s="243"/>
      <c r="BE36" s="242"/>
      <c r="BF36" s="242"/>
      <c r="BG36" s="242"/>
      <c r="BH36" s="242"/>
      <c r="BI36" s="242"/>
      <c r="BJ36" s="242"/>
      <c r="BK36" s="242"/>
      <c r="BL36" s="242"/>
      <c r="BM36" s="242"/>
      <c r="BN36" s="242"/>
      <c r="BO36" s="242"/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45"/>
      <c r="CC36" s="246"/>
      <c r="CD36" s="242"/>
      <c r="CE36" s="242"/>
      <c r="CF36" s="242"/>
      <c r="CG36" s="242"/>
      <c r="CH36" s="242"/>
      <c r="CI36" s="247"/>
      <c r="CJ36" s="248"/>
      <c r="CK36" s="248"/>
      <c r="CL36" s="248"/>
      <c r="CM36" s="248"/>
    </row>
    <row r="37" spans="1:91" x14ac:dyDescent="0.25">
      <c r="A37" s="231"/>
      <c r="B37" s="232"/>
      <c r="C37" s="232"/>
      <c r="D37" s="233"/>
      <c r="E37" s="234"/>
      <c r="F37" s="235"/>
      <c r="G37" s="236"/>
      <c r="H37" s="237"/>
      <c r="I37" s="238"/>
      <c r="J37" s="239"/>
      <c r="K37" s="240"/>
      <c r="L37" s="8"/>
      <c r="M37" s="241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2"/>
      <c r="AY37" s="243"/>
      <c r="AZ37" s="242"/>
      <c r="BA37" s="242"/>
      <c r="BB37" s="244"/>
      <c r="BC37" s="243"/>
      <c r="BD37" s="243"/>
      <c r="BE37" s="242"/>
      <c r="BF37" s="242"/>
      <c r="BG37" s="242"/>
      <c r="BH37" s="242"/>
      <c r="BI37" s="242"/>
      <c r="BJ37" s="242"/>
      <c r="BK37" s="242"/>
      <c r="BL37" s="242"/>
      <c r="BM37" s="242"/>
      <c r="BN37" s="242"/>
      <c r="BO37" s="242"/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45"/>
      <c r="CC37" s="246"/>
      <c r="CD37" s="242"/>
      <c r="CE37" s="242"/>
      <c r="CF37" s="242"/>
      <c r="CG37" s="242"/>
      <c r="CH37" s="242"/>
      <c r="CI37" s="247"/>
      <c r="CJ37" s="248"/>
      <c r="CK37" s="248"/>
      <c r="CL37" s="248"/>
      <c r="CM37" s="248"/>
    </row>
    <row r="38" spans="1:91" x14ac:dyDescent="0.25">
      <c r="A38" s="231"/>
      <c r="B38" s="232"/>
      <c r="C38" s="232"/>
      <c r="D38" s="233"/>
      <c r="E38" s="234"/>
      <c r="F38" s="235"/>
      <c r="G38" s="236"/>
      <c r="H38" s="237"/>
      <c r="I38" s="238"/>
      <c r="J38" s="239"/>
      <c r="K38" s="240"/>
      <c r="L38" s="8"/>
      <c r="M38" s="241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2"/>
      <c r="AY38" s="243"/>
      <c r="AZ38" s="242"/>
      <c r="BA38" s="242"/>
      <c r="BB38" s="244"/>
      <c r="BC38" s="243"/>
      <c r="BD38" s="243"/>
      <c r="BE38" s="242"/>
      <c r="BF38" s="242"/>
      <c r="BG38" s="242"/>
      <c r="BH38" s="242"/>
      <c r="BI38" s="242"/>
      <c r="BJ38" s="242"/>
      <c r="BK38" s="242"/>
      <c r="BL38" s="242"/>
      <c r="BM38" s="242"/>
      <c r="BN38" s="242"/>
      <c r="BO38" s="242"/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45"/>
      <c r="CC38" s="246"/>
      <c r="CD38" s="242"/>
      <c r="CE38" s="242"/>
      <c r="CF38" s="242"/>
      <c r="CG38" s="242"/>
      <c r="CH38" s="242"/>
      <c r="CI38" s="247"/>
      <c r="CJ38" s="248"/>
      <c r="CK38" s="248"/>
      <c r="CL38" s="248"/>
      <c r="CM38" s="248"/>
    </row>
    <row r="39" spans="1:91" x14ac:dyDescent="0.25">
      <c r="A39" s="231"/>
      <c r="B39" s="232"/>
      <c r="C39" s="232"/>
      <c r="D39" s="233"/>
      <c r="E39" s="234"/>
      <c r="F39" s="235"/>
      <c r="G39" s="236"/>
      <c r="H39" s="237"/>
      <c r="I39" s="238"/>
      <c r="J39" s="239"/>
      <c r="K39" s="240"/>
      <c r="L39" s="8"/>
      <c r="M39" s="241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232"/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/>
      <c r="B42" s="232"/>
      <c r="C42" s="232"/>
      <c r="D42" s="233"/>
      <c r="E42" s="234"/>
      <c r="F42" s="235"/>
      <c r="G42" s="236"/>
      <c r="H42" s="237"/>
      <c r="I42" s="238"/>
      <c r="J42" s="239"/>
      <c r="K42" s="240"/>
      <c r="L42" s="8"/>
      <c r="M42" s="241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2"/>
      <c r="AY42" s="243"/>
      <c r="AZ42" s="242"/>
      <c r="BA42" s="242"/>
      <c r="BB42" s="244"/>
      <c r="BC42" s="243"/>
      <c r="BD42" s="243"/>
      <c r="BE42" s="242"/>
      <c r="BF42" s="242"/>
      <c r="BG42" s="242"/>
      <c r="BH42" s="242"/>
      <c r="BI42" s="242"/>
      <c r="BJ42" s="242"/>
      <c r="BK42" s="242"/>
      <c r="BL42" s="242"/>
      <c r="BM42" s="242"/>
      <c r="BN42" s="242"/>
      <c r="BO42" s="242"/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45"/>
      <c r="CC42" s="246"/>
      <c r="CD42" s="242"/>
      <c r="CE42" s="242"/>
      <c r="CF42" s="242"/>
      <c r="CG42" s="242"/>
      <c r="CH42" s="242"/>
      <c r="CI42" s="247"/>
      <c r="CJ42" s="248"/>
      <c r="CK42" s="248"/>
      <c r="CL42" s="248"/>
      <c r="CM42" s="248"/>
    </row>
    <row r="43" spans="1:91" x14ac:dyDescent="0.25">
      <c r="A43" s="231"/>
      <c r="B43" s="232"/>
      <c r="C43" s="232"/>
      <c r="D43" s="233"/>
      <c r="E43" s="234"/>
      <c r="F43" s="235"/>
      <c r="G43" s="236"/>
      <c r="H43" s="237"/>
      <c r="I43" s="238"/>
      <c r="J43" s="239"/>
      <c r="K43" s="240"/>
      <c r="L43" s="8"/>
      <c r="M43" s="241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2"/>
      <c r="AY43" s="243"/>
      <c r="AZ43" s="242"/>
      <c r="BA43" s="242"/>
      <c r="BB43" s="244"/>
      <c r="BC43" s="243"/>
      <c r="BD43" s="243"/>
      <c r="BE43" s="242"/>
      <c r="BF43" s="242"/>
      <c r="BG43" s="242"/>
      <c r="BH43" s="242"/>
      <c r="BI43" s="242"/>
      <c r="BJ43" s="242"/>
      <c r="BK43" s="242"/>
      <c r="BL43" s="242"/>
      <c r="BM43" s="242"/>
      <c r="BN43" s="242"/>
      <c r="BO43" s="242"/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/>
      <c r="CE43" s="242"/>
      <c r="CF43" s="242"/>
      <c r="CG43" s="242"/>
      <c r="CH43" s="242"/>
      <c r="CI43" s="247"/>
      <c r="CJ43" s="248"/>
      <c r="CK43" s="248"/>
      <c r="CL43" s="248"/>
      <c r="CM43" s="248"/>
    </row>
    <row r="44" spans="1:91" x14ac:dyDescent="0.25">
      <c r="A44" s="231"/>
      <c r="B44" s="232"/>
      <c r="C44" s="232"/>
      <c r="D44" s="233"/>
      <c r="E44" s="234"/>
      <c r="F44" s="235"/>
      <c r="G44" s="236"/>
      <c r="H44" s="237"/>
      <c r="I44" s="238"/>
      <c r="J44" s="239"/>
      <c r="K44" s="240"/>
      <c r="L44" s="8"/>
      <c r="M44" s="241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2"/>
      <c r="AY44" s="243"/>
      <c r="AZ44" s="242"/>
      <c r="BA44" s="242"/>
      <c r="BB44" s="244"/>
      <c r="BC44" s="243"/>
      <c r="BD44" s="243"/>
      <c r="BE44" s="242"/>
      <c r="BF44" s="242"/>
      <c r="BG44" s="242"/>
      <c r="BH44" s="242"/>
      <c r="BI44" s="242"/>
      <c r="BJ44" s="242"/>
      <c r="BK44" s="242"/>
      <c r="BL44" s="242"/>
      <c r="BM44" s="242"/>
      <c r="BN44" s="242"/>
      <c r="BO44" s="242"/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45"/>
      <c r="CC44" s="246"/>
      <c r="CD44" s="242"/>
      <c r="CE44" s="242"/>
      <c r="CF44" s="242"/>
      <c r="CG44" s="242"/>
      <c r="CH44" s="242"/>
      <c r="CI44" s="247"/>
      <c r="CJ44" s="248"/>
      <c r="CK44" s="248"/>
      <c r="CL44" s="248"/>
      <c r="CM44" s="248"/>
    </row>
    <row r="45" spans="1:91" x14ac:dyDescent="0.25">
      <c r="A45" s="231"/>
      <c r="B45" s="251"/>
      <c r="C45" s="232"/>
      <c r="D45" s="233"/>
      <c r="E45" s="234"/>
      <c r="F45" s="235"/>
      <c r="G45" s="236"/>
      <c r="H45" s="237"/>
      <c r="I45" s="238"/>
      <c r="J45" s="239"/>
      <c r="K45" s="240"/>
      <c r="L45" s="8"/>
      <c r="M45" s="241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2"/>
      <c r="AY45" s="243"/>
      <c r="AZ45" s="242"/>
      <c r="BA45" s="242"/>
      <c r="BB45" s="244"/>
      <c r="BC45" s="243"/>
      <c r="BD45" s="243"/>
      <c r="BE45" s="242"/>
      <c r="BF45" s="242"/>
      <c r="BG45" s="242"/>
      <c r="BH45" s="242"/>
      <c r="BI45" s="242"/>
      <c r="BJ45" s="242"/>
      <c r="BK45" s="242"/>
      <c r="BL45" s="242"/>
      <c r="BM45" s="242"/>
      <c r="BN45" s="242"/>
      <c r="BO45" s="242"/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/>
      <c r="CD45" s="242"/>
      <c r="CE45" s="242"/>
      <c r="CF45" s="242"/>
      <c r="CG45" s="242"/>
      <c r="CH45" s="242"/>
      <c r="CI45" s="247"/>
      <c r="CJ45" s="248"/>
      <c r="CK45" s="248"/>
      <c r="CL45" s="248"/>
      <c r="CM45" s="248"/>
    </row>
    <row r="46" spans="1:91" x14ac:dyDescent="0.25">
      <c r="A46" s="231"/>
      <c r="B46" s="251"/>
      <c r="C46" s="232"/>
      <c r="D46" s="233"/>
      <c r="E46" s="234"/>
      <c r="F46" s="235"/>
      <c r="G46" s="236"/>
      <c r="H46" s="237"/>
      <c r="I46" s="238"/>
      <c r="J46" s="239"/>
      <c r="K46" s="240"/>
      <c r="L46" s="8"/>
      <c r="M46" s="241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2"/>
      <c r="AY46" s="243"/>
      <c r="AZ46" s="242"/>
      <c r="BA46" s="242"/>
      <c r="BB46" s="244"/>
      <c r="BC46" s="243"/>
      <c r="BD46" s="243"/>
      <c r="BE46" s="242"/>
      <c r="BF46" s="242"/>
      <c r="BG46" s="242"/>
      <c r="BH46" s="242"/>
      <c r="BI46" s="242"/>
      <c r="BJ46" s="242"/>
      <c r="BK46" s="242"/>
      <c r="BL46" s="242"/>
      <c r="BM46" s="242"/>
      <c r="BN46" s="242"/>
      <c r="BO46" s="242"/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45"/>
      <c r="CC46" s="246"/>
      <c r="CD46" s="242"/>
      <c r="CE46" s="242"/>
      <c r="CF46" s="242"/>
      <c r="CG46" s="242"/>
      <c r="CH46" s="242"/>
      <c r="CI46" s="247"/>
      <c r="CJ46" s="248"/>
      <c r="CK46" s="248"/>
      <c r="CL46" s="248"/>
      <c r="CM46" s="248"/>
    </row>
    <row r="47" spans="1:91" x14ac:dyDescent="0.25">
      <c r="A47" s="231"/>
      <c r="B47" s="232"/>
      <c r="C47" s="232"/>
      <c r="D47" s="233"/>
      <c r="E47" s="234"/>
      <c r="F47" s="235"/>
      <c r="G47" s="236"/>
      <c r="H47" s="237"/>
      <c r="I47" s="238"/>
      <c r="J47" s="239"/>
      <c r="K47" s="240"/>
      <c r="L47" s="8"/>
      <c r="M47" s="241"/>
      <c r="N47" s="239"/>
      <c r="O47" s="240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2"/>
      <c r="AY47" s="243"/>
      <c r="AZ47" s="242"/>
      <c r="BA47" s="242"/>
      <c r="BB47" s="244"/>
      <c r="BC47" s="243"/>
      <c r="BD47" s="243"/>
      <c r="BE47" s="242"/>
      <c r="BF47" s="242"/>
      <c r="BG47" s="242"/>
      <c r="BH47" s="242"/>
      <c r="BI47" s="242"/>
      <c r="BJ47" s="242"/>
      <c r="BK47" s="242"/>
      <c r="BL47" s="242"/>
      <c r="BM47" s="242"/>
      <c r="BN47" s="242"/>
      <c r="BO47" s="242"/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45"/>
      <c r="CC47" s="246"/>
      <c r="CD47" s="242"/>
      <c r="CE47" s="242"/>
      <c r="CF47" s="242"/>
      <c r="CG47" s="242"/>
      <c r="CH47" s="242"/>
      <c r="CI47" s="247"/>
      <c r="CJ47" s="248"/>
      <c r="CK47" s="248"/>
      <c r="CL47" s="248"/>
      <c r="CM47" s="248"/>
    </row>
    <row r="48" spans="1:91" x14ac:dyDescent="0.25">
      <c r="A48" s="231"/>
      <c r="B48" s="232"/>
      <c r="C48" s="232"/>
      <c r="D48" s="233"/>
      <c r="E48" s="234"/>
      <c r="F48" s="235"/>
      <c r="G48" s="236"/>
      <c r="H48" s="237"/>
      <c r="I48" s="238"/>
      <c r="J48" s="239"/>
      <c r="K48" s="240"/>
      <c r="L48" s="8"/>
      <c r="M48" s="241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2"/>
      <c r="AY48" s="243"/>
      <c r="AZ48" s="242"/>
      <c r="BA48" s="242"/>
      <c r="BB48" s="244"/>
      <c r="BC48" s="243"/>
      <c r="BD48" s="243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45"/>
      <c r="CC48" s="246"/>
      <c r="CD48" s="242"/>
      <c r="CE48" s="242"/>
      <c r="CF48" s="242"/>
      <c r="CG48" s="242"/>
      <c r="CH48" s="242"/>
      <c r="CI48" s="247"/>
      <c r="CJ48" s="248"/>
      <c r="CK48" s="248"/>
      <c r="CL48" s="248"/>
      <c r="CM48" s="248"/>
    </row>
    <row r="49" spans="1:91" x14ac:dyDescent="0.25">
      <c r="A49" s="231"/>
      <c r="B49" s="232"/>
      <c r="C49" s="232"/>
      <c r="D49" s="233"/>
      <c r="E49" s="234"/>
      <c r="F49" s="235"/>
      <c r="G49" s="236"/>
      <c r="H49" s="237"/>
      <c r="I49" s="238"/>
      <c r="J49" s="239"/>
      <c r="K49" s="240"/>
      <c r="L49" s="8"/>
      <c r="M49" s="241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2"/>
      <c r="AY49" s="243"/>
      <c r="AZ49" s="242"/>
      <c r="BA49" s="242"/>
      <c r="BB49" s="244"/>
      <c r="BC49" s="243"/>
      <c r="BD49" s="243"/>
      <c r="BE49" s="242"/>
      <c r="BF49" s="242"/>
      <c r="BG49" s="242"/>
      <c r="BH49" s="242"/>
      <c r="BI49" s="242"/>
      <c r="BJ49" s="242"/>
      <c r="BK49" s="242"/>
      <c r="BL49" s="242"/>
      <c r="BM49" s="242"/>
      <c r="BN49" s="242"/>
      <c r="BO49" s="242"/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45"/>
      <c r="CC49" s="246"/>
      <c r="CD49" s="242"/>
      <c r="CE49" s="242"/>
      <c r="CF49" s="242"/>
      <c r="CG49" s="242"/>
      <c r="CH49" s="242"/>
      <c r="CI49" s="247"/>
      <c r="CJ49" s="248"/>
      <c r="CK49" s="248"/>
      <c r="CL49" s="248"/>
      <c r="CM49" s="248"/>
    </row>
    <row r="50" spans="1:91" x14ac:dyDescent="0.25">
      <c r="A50" s="231"/>
      <c r="B50" s="232"/>
      <c r="C50" s="232"/>
      <c r="D50" s="233"/>
      <c r="E50" s="234"/>
      <c r="F50" s="235"/>
      <c r="G50" s="236"/>
      <c r="H50" s="237"/>
      <c r="I50" s="238"/>
      <c r="J50" s="239"/>
      <c r="K50" s="240"/>
      <c r="L50" s="8"/>
      <c r="M50" s="241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2"/>
      <c r="AY50" s="243"/>
      <c r="AZ50" s="242"/>
      <c r="BA50" s="242"/>
      <c r="BB50" s="244"/>
      <c r="BC50" s="243"/>
      <c r="BD50" s="243"/>
      <c r="BE50" s="242"/>
      <c r="BF50" s="242"/>
      <c r="BG50" s="242"/>
      <c r="BH50" s="242"/>
      <c r="BI50" s="242"/>
      <c r="BJ50" s="242"/>
      <c r="BK50" s="242"/>
      <c r="BL50" s="242"/>
      <c r="BM50" s="242"/>
      <c r="BN50" s="242"/>
      <c r="BO50" s="242"/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45"/>
      <c r="CC50" s="246"/>
      <c r="CD50" s="242"/>
      <c r="CE50" s="242"/>
      <c r="CF50" s="242"/>
      <c r="CG50" s="242"/>
      <c r="CH50" s="242"/>
      <c r="CI50" s="247"/>
      <c r="CJ50" s="248"/>
      <c r="CK50" s="248"/>
      <c r="CL50" s="248"/>
      <c r="CM50" s="248"/>
    </row>
    <row r="51" spans="1:91" x14ac:dyDescent="0.25">
      <c r="A51" s="231"/>
      <c r="B51" s="232"/>
      <c r="C51" s="232"/>
      <c r="D51" s="233"/>
      <c r="E51" s="234"/>
      <c r="F51" s="235"/>
      <c r="G51" s="236"/>
      <c r="H51" s="237"/>
      <c r="I51" s="238"/>
      <c r="J51" s="239"/>
      <c r="K51" s="240"/>
      <c r="L51" s="8"/>
      <c r="M51" s="241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2"/>
      <c r="AY51" s="243"/>
      <c r="AZ51" s="242"/>
      <c r="BA51" s="242"/>
      <c r="BB51" s="244"/>
      <c r="BC51" s="243"/>
      <c r="BD51" s="243"/>
      <c r="BE51" s="242"/>
      <c r="BF51" s="242"/>
      <c r="BG51" s="242"/>
      <c r="BH51" s="242"/>
      <c r="BI51" s="242"/>
      <c r="BJ51" s="242"/>
      <c r="BK51" s="242"/>
      <c r="BL51" s="242"/>
      <c r="BM51" s="242"/>
      <c r="BN51" s="242"/>
      <c r="BO51" s="242"/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45"/>
      <c r="CC51" s="246"/>
      <c r="CD51" s="242"/>
      <c r="CE51" s="242"/>
      <c r="CF51" s="242"/>
      <c r="CG51" s="242"/>
      <c r="CH51" s="242"/>
      <c r="CI51" s="247"/>
      <c r="CJ51" s="248"/>
      <c r="CK51" s="248"/>
      <c r="CL51" s="248"/>
      <c r="CM51" s="248"/>
    </row>
    <row r="52" spans="1:91" x14ac:dyDescent="0.25">
      <c r="A52" s="231"/>
      <c r="B52" s="232"/>
      <c r="C52" s="232"/>
      <c r="D52" s="233"/>
      <c r="E52" s="234"/>
      <c r="F52" s="235"/>
      <c r="G52" s="236"/>
      <c r="H52" s="237"/>
      <c r="I52" s="238"/>
      <c r="J52" s="239"/>
      <c r="K52" s="240"/>
      <c r="L52" s="8"/>
      <c r="M52" s="241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2"/>
      <c r="AY52" s="243"/>
      <c r="AZ52" s="242"/>
      <c r="BA52" s="242"/>
      <c r="BB52" s="244"/>
      <c r="BC52" s="243"/>
      <c r="BD52" s="243"/>
      <c r="BE52" s="242"/>
      <c r="BF52" s="242"/>
      <c r="BG52" s="242"/>
      <c r="BH52" s="242"/>
      <c r="BI52" s="242"/>
      <c r="BJ52" s="242"/>
      <c r="BK52" s="242"/>
      <c r="BL52" s="242"/>
      <c r="BM52" s="242"/>
      <c r="BN52" s="242"/>
      <c r="BO52" s="242"/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/>
      <c r="CD52" s="242"/>
      <c r="CE52" s="242"/>
      <c r="CF52" s="242"/>
      <c r="CG52" s="242"/>
      <c r="CH52" s="242"/>
      <c r="CI52" s="247"/>
      <c r="CJ52" s="248"/>
      <c r="CK52" s="248"/>
      <c r="CL52" s="248"/>
      <c r="CM52" s="248"/>
    </row>
    <row r="53" spans="1:91" x14ac:dyDescent="0.25">
      <c r="A53" s="231"/>
      <c r="B53" s="232"/>
      <c r="C53" s="232"/>
      <c r="D53" s="233"/>
      <c r="E53" s="234"/>
      <c r="F53" s="235"/>
      <c r="G53" s="236"/>
      <c r="H53" s="237"/>
      <c r="I53" s="238"/>
      <c r="J53" s="239"/>
      <c r="K53" s="240"/>
      <c r="L53" s="8"/>
      <c r="M53" s="241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2"/>
      <c r="AY53" s="243"/>
      <c r="AZ53" s="242"/>
      <c r="BA53" s="242"/>
      <c r="BB53" s="244"/>
      <c r="BC53" s="243"/>
      <c r="BD53" s="243"/>
      <c r="BE53" s="242"/>
      <c r="BF53" s="242"/>
      <c r="BG53" s="242"/>
      <c r="BH53" s="242"/>
      <c r="BI53" s="242"/>
      <c r="BJ53" s="242"/>
      <c r="BK53" s="242"/>
      <c r="BL53" s="242"/>
      <c r="BM53" s="242"/>
      <c r="BN53" s="242"/>
      <c r="BO53" s="242"/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45"/>
      <c r="CC53" s="246"/>
      <c r="CD53" s="242"/>
      <c r="CE53" s="242"/>
      <c r="CF53" s="242"/>
      <c r="CG53" s="242"/>
      <c r="CH53" s="242"/>
      <c r="CI53" s="247"/>
      <c r="CJ53" s="248"/>
      <c r="CK53" s="248"/>
      <c r="CL53" s="248"/>
      <c r="CM53" s="248"/>
    </row>
    <row r="54" spans="1:91" x14ac:dyDescent="0.25">
      <c r="A54" s="231"/>
      <c r="B54" s="232"/>
      <c r="C54" s="232"/>
      <c r="D54" s="233"/>
      <c r="E54" s="234"/>
      <c r="F54" s="235"/>
      <c r="G54" s="236"/>
      <c r="H54" s="237"/>
      <c r="I54" s="238"/>
      <c r="J54" s="239"/>
      <c r="K54" s="240"/>
      <c r="L54" s="8"/>
      <c r="M54" s="241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2"/>
      <c r="AY54" s="243"/>
      <c r="AZ54" s="242"/>
      <c r="BA54" s="242"/>
      <c r="BB54" s="244"/>
      <c r="BC54" s="243"/>
      <c r="BD54" s="243"/>
      <c r="BE54" s="242"/>
      <c r="BF54" s="242"/>
      <c r="BG54" s="242"/>
      <c r="BH54" s="242"/>
      <c r="BI54" s="242"/>
      <c r="BJ54" s="242"/>
      <c r="BK54" s="242"/>
      <c r="BL54" s="242"/>
      <c r="BM54" s="242"/>
      <c r="BN54" s="242"/>
      <c r="BO54" s="242"/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45"/>
      <c r="CC54" s="246"/>
      <c r="CD54" s="242"/>
      <c r="CE54" s="242"/>
      <c r="CF54" s="242"/>
      <c r="CG54" s="242"/>
      <c r="CH54" s="242"/>
      <c r="CI54" s="247"/>
      <c r="CJ54" s="248"/>
      <c r="CK54" s="248"/>
      <c r="CL54" s="248"/>
      <c r="CM54" s="248"/>
    </row>
    <row r="55" spans="1:91" x14ac:dyDescent="0.25">
      <c r="A55" s="231"/>
      <c r="B55" s="232"/>
      <c r="C55" s="232"/>
      <c r="D55" s="233"/>
      <c r="E55" s="234"/>
      <c r="F55" s="235"/>
      <c r="G55" s="236"/>
      <c r="H55" s="237"/>
      <c r="I55" s="238"/>
      <c r="J55" s="239"/>
      <c r="K55" s="240"/>
      <c r="L55" s="8"/>
      <c r="M55" s="241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2"/>
      <c r="AY55" s="243"/>
      <c r="AZ55" s="242"/>
      <c r="BA55" s="242"/>
      <c r="BB55" s="244"/>
      <c r="BC55" s="243"/>
      <c r="BD55" s="243"/>
      <c r="BE55" s="242"/>
      <c r="BF55" s="242"/>
      <c r="BG55" s="242"/>
      <c r="BH55" s="242"/>
      <c r="BI55" s="242"/>
      <c r="BJ55" s="242"/>
      <c r="BK55" s="242"/>
      <c r="BL55" s="242"/>
      <c r="BM55" s="242"/>
      <c r="BN55" s="242"/>
      <c r="BO55" s="242"/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45"/>
      <c r="CC55" s="246"/>
      <c r="CD55" s="242"/>
      <c r="CE55" s="242"/>
      <c r="CF55" s="242"/>
      <c r="CG55" s="242"/>
      <c r="CH55" s="242"/>
      <c r="CI55" s="247"/>
      <c r="CJ55" s="248"/>
      <c r="CK55" s="248"/>
      <c r="CL55" s="248"/>
      <c r="CM55" s="248"/>
    </row>
    <row r="56" spans="1:91" x14ac:dyDescent="0.25">
      <c r="A56" s="231"/>
      <c r="B56" s="232"/>
      <c r="C56" s="232"/>
      <c r="D56" s="233"/>
      <c r="E56" s="234"/>
      <c r="F56" s="235"/>
      <c r="G56" s="236"/>
      <c r="H56" s="237"/>
      <c r="I56" s="238"/>
      <c r="J56" s="239"/>
      <c r="K56" s="240"/>
      <c r="L56" s="8"/>
      <c r="M56" s="241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2"/>
      <c r="AY56" s="243"/>
      <c r="AZ56" s="242"/>
      <c r="BA56" s="242"/>
      <c r="BB56" s="244"/>
      <c r="BC56" s="243"/>
      <c r="BD56" s="243"/>
      <c r="BE56" s="242"/>
      <c r="BF56" s="242"/>
      <c r="BG56" s="242"/>
      <c r="BH56" s="242"/>
      <c r="BI56" s="242"/>
      <c r="BJ56" s="242"/>
      <c r="BK56" s="242"/>
      <c r="BL56" s="242"/>
      <c r="BM56" s="242"/>
      <c r="BN56" s="242"/>
      <c r="BO56" s="242"/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45"/>
      <c r="CC56" s="246"/>
      <c r="CD56" s="242"/>
      <c r="CE56" s="242"/>
      <c r="CF56" s="242"/>
      <c r="CG56" s="242"/>
      <c r="CH56" s="242"/>
      <c r="CI56" s="247"/>
      <c r="CJ56" s="248"/>
      <c r="CK56" s="248"/>
      <c r="CL56" s="248"/>
      <c r="CM56" s="248"/>
    </row>
    <row r="57" spans="1:91" x14ac:dyDescent="0.25">
      <c r="A57" s="231"/>
      <c r="B57" s="232"/>
      <c r="C57" s="232"/>
      <c r="D57" s="233"/>
      <c r="E57" s="234"/>
      <c r="F57" s="235"/>
      <c r="G57" s="236"/>
      <c r="H57" s="237"/>
      <c r="I57" s="238"/>
      <c r="J57" s="239"/>
      <c r="K57" s="240"/>
      <c r="L57" s="8"/>
      <c r="M57" s="241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2"/>
      <c r="AY57" s="243"/>
      <c r="AZ57" s="242"/>
      <c r="BA57" s="242"/>
      <c r="BB57" s="244"/>
      <c r="BC57" s="243"/>
      <c r="BD57" s="243"/>
      <c r="BE57" s="242"/>
      <c r="BF57" s="242"/>
      <c r="BG57" s="242"/>
      <c r="BH57" s="242"/>
      <c r="BI57" s="242"/>
      <c r="BJ57" s="242"/>
      <c r="BK57" s="242"/>
      <c r="BL57" s="242"/>
      <c r="BM57" s="242"/>
      <c r="BN57" s="242"/>
      <c r="BO57" s="242"/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45"/>
      <c r="CC57" s="246"/>
      <c r="CD57" s="242"/>
      <c r="CE57" s="242"/>
      <c r="CF57" s="242"/>
      <c r="CG57" s="242"/>
      <c r="CH57" s="242"/>
      <c r="CI57" s="247"/>
      <c r="CJ57" s="248"/>
      <c r="CK57" s="248"/>
      <c r="CL57" s="248"/>
      <c r="CM57" s="248"/>
    </row>
    <row r="58" spans="1:91" x14ac:dyDescent="0.25">
      <c r="A58" s="231"/>
      <c r="B58" s="232"/>
      <c r="C58" s="232"/>
      <c r="D58" s="233"/>
      <c r="E58" s="234"/>
      <c r="F58" s="235"/>
      <c r="G58" s="236"/>
      <c r="H58" s="237"/>
      <c r="I58" s="238"/>
      <c r="J58" s="239"/>
      <c r="K58" s="240"/>
      <c r="L58" s="8"/>
      <c r="M58" s="241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2"/>
      <c r="AY58" s="243"/>
      <c r="AZ58" s="242"/>
      <c r="BA58" s="242"/>
      <c r="BB58" s="244"/>
      <c r="BC58" s="243"/>
      <c r="BD58" s="243"/>
      <c r="BE58" s="242"/>
      <c r="BF58" s="242"/>
      <c r="BG58" s="242"/>
      <c r="BH58" s="242"/>
      <c r="BI58" s="242"/>
      <c r="BJ58" s="242"/>
      <c r="BK58" s="242"/>
      <c r="BL58" s="242"/>
      <c r="BM58" s="242"/>
      <c r="BN58" s="242"/>
      <c r="BO58" s="242"/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45"/>
      <c r="CC58" s="246"/>
      <c r="CD58" s="242"/>
      <c r="CE58" s="242"/>
      <c r="CF58" s="242"/>
      <c r="CG58" s="242"/>
      <c r="CH58" s="242"/>
      <c r="CI58" s="247"/>
      <c r="CJ58" s="248"/>
      <c r="CK58" s="248"/>
      <c r="CL58" s="248"/>
      <c r="CM58" s="248"/>
    </row>
    <row r="59" spans="1:91" x14ac:dyDescent="0.25">
      <c r="A59" s="231"/>
      <c r="B59" s="232"/>
      <c r="C59" s="232"/>
      <c r="D59" s="233"/>
      <c r="E59" s="234"/>
      <c r="F59" s="235"/>
      <c r="G59" s="236"/>
      <c r="H59" s="237"/>
      <c r="I59" s="238"/>
      <c r="J59" s="239"/>
      <c r="K59" s="240"/>
      <c r="L59" s="8"/>
      <c r="M59" s="241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2"/>
      <c r="AY59" s="243"/>
      <c r="AZ59" s="242"/>
      <c r="BA59" s="242"/>
      <c r="BB59" s="244"/>
      <c r="BC59" s="243"/>
      <c r="BD59" s="243"/>
      <c r="BE59" s="242"/>
      <c r="BF59" s="242"/>
      <c r="BG59" s="242"/>
      <c r="BH59" s="242"/>
      <c r="BI59" s="242"/>
      <c r="BJ59" s="242"/>
      <c r="BK59" s="242"/>
      <c r="BL59" s="242"/>
      <c r="BM59" s="242"/>
      <c r="BN59" s="242"/>
      <c r="BO59" s="242"/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45"/>
      <c r="CC59" s="246"/>
      <c r="CD59" s="242"/>
      <c r="CE59" s="242"/>
      <c r="CF59" s="242"/>
      <c r="CG59" s="242"/>
      <c r="CH59" s="242"/>
      <c r="CI59" s="247"/>
      <c r="CJ59" s="248"/>
      <c r="CK59" s="248"/>
      <c r="CL59" s="248"/>
      <c r="CM59" s="248"/>
    </row>
    <row r="60" spans="1:91" x14ac:dyDescent="0.25">
      <c r="A60" s="231"/>
      <c r="B60" s="232"/>
      <c r="C60" s="232"/>
      <c r="D60" s="233"/>
      <c r="E60" s="234"/>
      <c r="F60" s="235"/>
      <c r="G60" s="236"/>
      <c r="H60" s="237"/>
      <c r="I60" s="238"/>
      <c r="J60" s="239"/>
      <c r="K60" s="240"/>
      <c r="L60" s="8"/>
      <c r="M60" s="241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2"/>
      <c r="AY60" s="243"/>
      <c r="AZ60" s="242"/>
      <c r="BA60" s="242"/>
      <c r="BB60" s="244"/>
      <c r="BC60" s="243"/>
      <c r="BD60" s="243"/>
      <c r="BE60" s="242"/>
      <c r="BF60" s="242"/>
      <c r="BG60" s="242"/>
      <c r="BH60" s="242"/>
      <c r="BI60" s="242"/>
      <c r="BJ60" s="242"/>
      <c r="BK60" s="242"/>
      <c r="BL60" s="242"/>
      <c r="BM60" s="242"/>
      <c r="BN60" s="242"/>
      <c r="BO60" s="242"/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45"/>
      <c r="CC60" s="246"/>
      <c r="CD60" s="242"/>
      <c r="CE60" s="242"/>
      <c r="CF60" s="242"/>
      <c r="CG60" s="242"/>
      <c r="CH60" s="242"/>
      <c r="CI60" s="247"/>
      <c r="CJ60" s="248"/>
      <c r="CK60" s="248"/>
      <c r="CL60" s="248"/>
      <c r="CM60" s="248"/>
    </row>
    <row r="61" spans="1:91" x14ac:dyDescent="0.25">
      <c r="A61" s="231"/>
      <c r="B61" s="232"/>
      <c r="C61" s="232"/>
      <c r="D61" s="233"/>
      <c r="E61" s="234"/>
      <c r="F61" s="235"/>
      <c r="G61" s="236"/>
      <c r="H61" s="237"/>
      <c r="I61" s="238"/>
      <c r="J61" s="239"/>
      <c r="K61" s="240"/>
      <c r="L61" s="8"/>
      <c r="M61" s="241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2"/>
      <c r="AY61" s="243"/>
      <c r="AZ61" s="242"/>
      <c r="BA61" s="242"/>
      <c r="BB61" s="244"/>
      <c r="BC61" s="243"/>
      <c r="BD61" s="243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/>
      <c r="CD61" s="242"/>
      <c r="CE61" s="242"/>
      <c r="CF61" s="242"/>
      <c r="CG61" s="242"/>
      <c r="CH61" s="242"/>
      <c r="CI61" s="247"/>
      <c r="CJ61" s="248"/>
      <c r="CK61" s="248"/>
      <c r="CL61" s="248"/>
      <c r="CM61" s="248"/>
    </row>
    <row r="62" spans="1:91" x14ac:dyDescent="0.25">
      <c r="A62" s="231"/>
      <c r="B62" s="232"/>
      <c r="C62" s="232"/>
      <c r="D62" s="233"/>
      <c r="E62" s="234"/>
      <c r="F62" s="235"/>
      <c r="G62" s="236"/>
      <c r="H62" s="237"/>
      <c r="I62" s="238"/>
      <c r="J62" s="239"/>
      <c r="K62" s="240"/>
      <c r="L62" s="8"/>
      <c r="M62" s="241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2"/>
      <c r="AY62" s="243"/>
      <c r="AZ62" s="242"/>
      <c r="BA62" s="242"/>
      <c r="BB62" s="244"/>
      <c r="BC62" s="243"/>
      <c r="BD62" s="243"/>
      <c r="BE62" s="242"/>
      <c r="BF62" s="242"/>
      <c r="BG62" s="242"/>
      <c r="BH62" s="242"/>
      <c r="BI62" s="242"/>
      <c r="BJ62" s="242"/>
      <c r="BK62" s="242"/>
      <c r="BL62" s="242"/>
      <c r="BM62" s="242"/>
      <c r="BN62" s="242"/>
      <c r="BO62" s="242"/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/>
      <c r="CD62" s="242"/>
      <c r="CE62" s="242"/>
      <c r="CF62" s="242"/>
      <c r="CG62" s="242"/>
      <c r="CH62" s="242"/>
      <c r="CI62" s="247"/>
      <c r="CJ62" s="248"/>
      <c r="CK62" s="248"/>
      <c r="CL62" s="248"/>
      <c r="CM62" s="248"/>
    </row>
    <row r="63" spans="1:91" x14ac:dyDescent="0.25">
      <c r="A63" s="231"/>
      <c r="B63" s="232"/>
      <c r="C63" s="232"/>
      <c r="D63" s="233"/>
      <c r="E63" s="234"/>
      <c r="F63" s="235"/>
      <c r="G63" s="236"/>
      <c r="H63" s="237"/>
      <c r="I63" s="238"/>
      <c r="J63" s="239"/>
      <c r="K63" s="240"/>
      <c r="L63" s="8"/>
      <c r="M63" s="241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2"/>
      <c r="AY63" s="243"/>
      <c r="AZ63" s="242"/>
      <c r="BA63" s="242"/>
      <c r="BB63" s="244"/>
      <c r="BC63" s="243"/>
      <c r="BD63" s="243"/>
      <c r="BE63" s="242"/>
      <c r="BF63" s="242"/>
      <c r="BG63" s="242"/>
      <c r="BH63" s="242"/>
      <c r="BI63" s="242"/>
      <c r="BJ63" s="242"/>
      <c r="BK63" s="242"/>
      <c r="BL63" s="242"/>
      <c r="BM63" s="242"/>
      <c r="BN63" s="242"/>
      <c r="BO63" s="242"/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/>
      <c r="CE63" s="242"/>
      <c r="CF63" s="242"/>
      <c r="CG63" s="242"/>
      <c r="CH63" s="242"/>
      <c r="CI63" s="247"/>
      <c r="CJ63" s="248"/>
      <c r="CK63" s="248"/>
      <c r="CL63" s="248"/>
      <c r="CM63" s="248"/>
    </row>
    <row r="64" spans="1:91" x14ac:dyDescent="0.25">
      <c r="A64" s="231"/>
      <c r="B64" s="232"/>
      <c r="C64" s="232"/>
      <c r="D64" s="233"/>
      <c r="E64" s="234"/>
      <c r="F64" s="235"/>
      <c r="G64" s="236"/>
      <c r="H64" s="237"/>
      <c r="I64" s="238"/>
      <c r="J64" s="239"/>
      <c r="K64" s="240"/>
      <c r="L64" s="8"/>
      <c r="M64" s="241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2"/>
      <c r="AY64" s="243"/>
      <c r="AZ64" s="242"/>
      <c r="BA64" s="242"/>
      <c r="BB64" s="244"/>
      <c r="BC64" s="243"/>
      <c r="BD64" s="243"/>
      <c r="BE64" s="242"/>
      <c r="BF64" s="242"/>
      <c r="BG64" s="242"/>
      <c r="BH64" s="242"/>
      <c r="BI64" s="242"/>
      <c r="BJ64" s="242"/>
      <c r="BK64" s="242"/>
      <c r="BL64" s="242"/>
      <c r="BM64" s="242"/>
      <c r="BN64" s="242"/>
      <c r="BO64" s="242"/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/>
      <c r="CE64" s="242"/>
      <c r="CF64" s="242"/>
      <c r="CG64" s="242"/>
      <c r="CH64" s="242"/>
      <c r="CI64" s="247"/>
      <c r="CJ64" s="248"/>
      <c r="CK64" s="248"/>
      <c r="CL64" s="248"/>
      <c r="CM64" s="248"/>
    </row>
    <row r="65" spans="1:91" x14ac:dyDescent="0.25">
      <c r="A65" s="231"/>
      <c r="B65" s="232"/>
      <c r="C65" s="232"/>
      <c r="D65" s="233"/>
      <c r="E65" s="234"/>
      <c r="F65" s="235"/>
      <c r="G65" s="236"/>
      <c r="H65" s="237"/>
      <c r="I65" s="238"/>
      <c r="J65" s="239"/>
      <c r="K65" s="240"/>
      <c r="L65" s="8"/>
      <c r="M65" s="241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2"/>
      <c r="AY65" s="243"/>
      <c r="AZ65" s="242"/>
      <c r="BA65" s="242"/>
      <c r="BB65" s="244"/>
      <c r="BC65" s="243"/>
      <c r="BD65" s="243"/>
      <c r="BE65" s="242"/>
      <c r="BF65" s="242"/>
      <c r="BG65" s="242"/>
      <c r="BH65" s="242"/>
      <c r="BI65" s="242"/>
      <c r="BJ65" s="242"/>
      <c r="BK65" s="242"/>
      <c r="BL65" s="242"/>
      <c r="BM65" s="242"/>
      <c r="BN65" s="242"/>
      <c r="BO65" s="242"/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/>
      <c r="CD65" s="242"/>
      <c r="CE65" s="242"/>
      <c r="CF65" s="242"/>
      <c r="CG65" s="242"/>
      <c r="CH65" s="242"/>
      <c r="CI65" s="247"/>
      <c r="CJ65" s="248"/>
      <c r="CK65" s="248"/>
      <c r="CL65" s="248"/>
      <c r="CM65" s="248"/>
    </row>
    <row r="66" spans="1:91" x14ac:dyDescent="0.25">
      <c r="A66" s="231"/>
      <c r="B66" s="232"/>
      <c r="C66" s="232"/>
      <c r="D66" s="233"/>
      <c r="E66" s="234"/>
      <c r="F66" s="235"/>
      <c r="G66" s="236"/>
      <c r="H66" s="237"/>
      <c r="I66" s="238"/>
      <c r="J66" s="239"/>
      <c r="K66" s="240"/>
      <c r="L66" s="8"/>
      <c r="M66" s="241"/>
      <c r="N66" s="239"/>
      <c r="O66" s="240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2"/>
      <c r="AY66" s="243"/>
      <c r="AZ66" s="242"/>
      <c r="BA66" s="242"/>
      <c r="BB66" s="244"/>
      <c r="BC66" s="243"/>
      <c r="BD66" s="243"/>
      <c r="BE66" s="242"/>
      <c r="BF66" s="242"/>
      <c r="BG66" s="242"/>
      <c r="BH66" s="242"/>
      <c r="BI66" s="242"/>
      <c r="BJ66" s="242"/>
      <c r="BK66" s="242"/>
      <c r="BL66" s="242"/>
      <c r="BM66" s="242"/>
      <c r="BN66" s="242"/>
      <c r="BO66" s="242"/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45"/>
      <c r="CC66" s="246"/>
      <c r="CD66" s="242"/>
      <c r="CE66" s="242"/>
      <c r="CF66" s="242"/>
      <c r="CG66" s="242"/>
      <c r="CH66" s="242"/>
      <c r="CI66" s="247"/>
      <c r="CJ66" s="248"/>
      <c r="CK66" s="248"/>
      <c r="CL66" s="248"/>
      <c r="CM66" s="248"/>
    </row>
    <row r="67" spans="1:91" x14ac:dyDescent="0.25">
      <c r="A67" s="231"/>
      <c r="B67" s="232"/>
      <c r="C67" s="232"/>
      <c r="D67" s="233"/>
      <c r="E67" s="234"/>
      <c r="F67" s="235"/>
      <c r="G67" s="236"/>
      <c r="H67" s="237"/>
      <c r="I67" s="238"/>
      <c r="J67" s="239"/>
      <c r="K67" s="240"/>
      <c r="L67" s="8"/>
      <c r="M67" s="241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2"/>
      <c r="AY67" s="243"/>
      <c r="AZ67" s="242"/>
      <c r="BA67" s="242"/>
      <c r="BB67" s="244"/>
      <c r="BC67" s="243"/>
      <c r="BD67" s="243"/>
      <c r="BE67" s="242"/>
      <c r="BF67" s="242"/>
      <c r="BG67" s="242"/>
      <c r="BH67" s="242"/>
      <c r="BI67" s="242"/>
      <c r="BJ67" s="242"/>
      <c r="BK67" s="242"/>
      <c r="BL67" s="242"/>
      <c r="BM67" s="242"/>
      <c r="BN67" s="242"/>
      <c r="BO67" s="242"/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/>
      <c r="CD67" s="242"/>
      <c r="CE67" s="242"/>
      <c r="CF67" s="242"/>
      <c r="CG67" s="242"/>
      <c r="CH67" s="242"/>
      <c r="CI67" s="247"/>
      <c r="CJ67" s="248"/>
      <c r="CK67" s="248"/>
      <c r="CL67" s="248"/>
      <c r="CM67" s="248"/>
    </row>
    <row r="68" spans="1:91" x14ac:dyDescent="0.25">
      <c r="A68" s="231"/>
      <c r="B68" s="232"/>
      <c r="C68" s="232"/>
      <c r="D68" s="233"/>
      <c r="E68" s="234"/>
      <c r="F68" s="235"/>
      <c r="G68" s="236"/>
      <c r="H68" s="237"/>
      <c r="I68" s="238"/>
      <c r="J68" s="239"/>
      <c r="K68" s="240"/>
      <c r="L68" s="8"/>
      <c r="M68" s="241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2"/>
      <c r="AY68" s="243"/>
      <c r="AZ68" s="242"/>
      <c r="BA68" s="242"/>
      <c r="BB68" s="244"/>
      <c r="BC68" s="243"/>
      <c r="BD68" s="243"/>
      <c r="BE68" s="242"/>
      <c r="BF68" s="242"/>
      <c r="BG68" s="242"/>
      <c r="BH68" s="242"/>
      <c r="BI68" s="242"/>
      <c r="BJ68" s="242"/>
      <c r="BK68" s="242"/>
      <c r="BL68" s="242"/>
      <c r="BM68" s="242"/>
      <c r="BN68" s="242"/>
      <c r="BO68" s="242"/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45"/>
      <c r="CC68" s="246"/>
      <c r="CD68" s="242"/>
      <c r="CE68" s="242"/>
      <c r="CF68" s="242"/>
      <c r="CG68" s="242"/>
      <c r="CH68" s="242"/>
      <c r="CI68" s="247"/>
      <c r="CJ68" s="248"/>
      <c r="CK68" s="248"/>
      <c r="CL68" s="248"/>
      <c r="CM68" s="248"/>
    </row>
    <row r="69" spans="1:91" x14ac:dyDescent="0.25">
      <c r="A69" s="231"/>
      <c r="B69" s="232"/>
      <c r="C69" s="232"/>
      <c r="D69" s="233"/>
      <c r="E69" s="234"/>
      <c r="F69" s="235"/>
      <c r="G69" s="236"/>
      <c r="H69" s="237"/>
      <c r="I69" s="238"/>
      <c r="J69" s="239"/>
      <c r="K69" s="240"/>
      <c r="L69" s="8"/>
      <c r="M69" s="241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2"/>
      <c r="AY69" s="243"/>
      <c r="AZ69" s="242"/>
      <c r="BA69" s="242"/>
      <c r="BB69" s="244"/>
      <c r="BC69" s="243"/>
      <c r="BD69" s="243"/>
      <c r="BE69" s="242"/>
      <c r="BF69" s="242"/>
      <c r="BG69" s="242"/>
      <c r="BH69" s="242"/>
      <c r="BI69" s="242"/>
      <c r="BJ69" s="242"/>
      <c r="BK69" s="242"/>
      <c r="BL69" s="242"/>
      <c r="BM69" s="242"/>
      <c r="BN69" s="242"/>
      <c r="BO69" s="242"/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/>
      <c r="CE69" s="242"/>
      <c r="CF69" s="242"/>
      <c r="CG69" s="242"/>
      <c r="CH69" s="242"/>
      <c r="CI69" s="247"/>
      <c r="CJ69" s="248"/>
      <c r="CK69" s="248"/>
      <c r="CL69" s="248"/>
      <c r="CM69" s="248"/>
    </row>
    <row r="70" spans="1:91" x14ac:dyDescent="0.25">
      <c r="A70" s="231"/>
      <c r="B70" s="232"/>
      <c r="C70" s="232"/>
      <c r="D70" s="233"/>
      <c r="E70" s="234"/>
      <c r="F70" s="235"/>
      <c r="G70" s="236"/>
      <c r="H70" s="237"/>
      <c r="I70" s="238"/>
      <c r="J70" s="239"/>
      <c r="K70" s="240"/>
      <c r="L70" s="8"/>
      <c r="M70" s="241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2"/>
      <c r="AY70" s="243"/>
      <c r="AZ70" s="242"/>
      <c r="BA70" s="242"/>
      <c r="BB70" s="244"/>
      <c r="BC70" s="243"/>
      <c r="BD70" s="243"/>
      <c r="BE70" s="242"/>
      <c r="BF70" s="242"/>
      <c r="BG70" s="242"/>
      <c r="BH70" s="242"/>
      <c r="BI70" s="242"/>
      <c r="BJ70" s="242"/>
      <c r="BK70" s="242"/>
      <c r="BL70" s="242"/>
      <c r="BM70" s="242"/>
      <c r="BN70" s="242"/>
      <c r="BO70" s="242"/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45"/>
      <c r="CC70" s="246"/>
      <c r="CD70" s="242"/>
      <c r="CE70" s="242"/>
      <c r="CF70" s="242"/>
      <c r="CG70" s="242"/>
      <c r="CH70" s="242"/>
      <c r="CI70" s="247"/>
      <c r="CJ70" s="248"/>
      <c r="CK70" s="248"/>
      <c r="CL70" s="248"/>
      <c r="CM70" s="248"/>
    </row>
    <row r="71" spans="1:91" x14ac:dyDescent="0.25">
      <c r="A71" s="231"/>
      <c r="B71" s="232"/>
      <c r="C71" s="232"/>
      <c r="D71" s="233"/>
      <c r="E71" s="234"/>
      <c r="F71" s="235"/>
      <c r="G71" s="236"/>
      <c r="H71" s="237"/>
      <c r="I71" s="238"/>
      <c r="J71" s="239"/>
      <c r="K71" s="240"/>
      <c r="L71" s="8"/>
      <c r="M71" s="241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2"/>
      <c r="AY71" s="243"/>
      <c r="AZ71" s="242"/>
      <c r="BA71" s="242"/>
      <c r="BB71" s="244"/>
      <c r="BC71" s="243"/>
      <c r="BD71" s="243"/>
      <c r="BE71" s="242"/>
      <c r="BF71" s="242"/>
      <c r="BG71" s="242"/>
      <c r="BH71" s="242"/>
      <c r="BI71" s="242"/>
      <c r="BJ71" s="242"/>
      <c r="BK71" s="242"/>
      <c r="BL71" s="242"/>
      <c r="BM71" s="242"/>
      <c r="BN71" s="242"/>
      <c r="BO71" s="242"/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45"/>
      <c r="CC71" s="246"/>
      <c r="CD71" s="242"/>
      <c r="CE71" s="242"/>
      <c r="CF71" s="242"/>
      <c r="CG71" s="242"/>
      <c r="CH71" s="242"/>
      <c r="CI71" s="247"/>
      <c r="CJ71" s="248"/>
      <c r="CK71" s="248"/>
      <c r="CL71" s="248"/>
      <c r="CM71" s="248"/>
    </row>
    <row r="72" spans="1:91" x14ac:dyDescent="0.25">
      <c r="A72" s="231"/>
      <c r="B72" s="232"/>
      <c r="C72" s="232"/>
      <c r="D72" s="233"/>
      <c r="E72" s="234"/>
      <c r="F72" s="235"/>
      <c r="G72" s="236"/>
      <c r="H72" s="237"/>
      <c r="I72" s="238"/>
      <c r="J72" s="239"/>
      <c r="K72" s="240"/>
      <c r="L72" s="8"/>
      <c r="M72" s="241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2"/>
      <c r="AY72" s="243"/>
      <c r="AZ72" s="242"/>
      <c r="BA72" s="242"/>
      <c r="BB72" s="244"/>
      <c r="BC72" s="243"/>
      <c r="BD72" s="243"/>
      <c r="BE72" s="242"/>
      <c r="BF72" s="242"/>
      <c r="BG72" s="242"/>
      <c r="BH72" s="242"/>
      <c r="BI72" s="242"/>
      <c r="BJ72" s="242"/>
      <c r="BK72" s="242"/>
      <c r="BL72" s="242"/>
      <c r="BM72" s="242"/>
      <c r="BN72" s="242"/>
      <c r="BO72" s="242"/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45"/>
      <c r="CC72" s="246"/>
      <c r="CD72" s="242"/>
      <c r="CE72" s="242"/>
      <c r="CF72" s="242"/>
      <c r="CG72" s="242"/>
      <c r="CH72" s="242"/>
      <c r="CI72" s="247"/>
      <c r="CJ72" s="248"/>
      <c r="CK72" s="248"/>
      <c r="CL72" s="248"/>
      <c r="CM72" s="248"/>
    </row>
    <row r="73" spans="1:91" x14ac:dyDescent="0.25">
      <c r="A73" s="231"/>
      <c r="B73" s="232"/>
      <c r="C73" s="232"/>
      <c r="D73" s="233"/>
      <c r="E73" s="234"/>
      <c r="F73" s="235"/>
      <c r="G73" s="236"/>
      <c r="H73" s="237"/>
      <c r="I73" s="238"/>
      <c r="J73" s="239"/>
      <c r="K73" s="240"/>
      <c r="L73" s="8"/>
      <c r="M73" s="241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2"/>
      <c r="AY73" s="243"/>
      <c r="AZ73" s="242"/>
      <c r="BA73" s="242"/>
      <c r="BB73" s="244"/>
      <c r="BC73" s="243"/>
      <c r="BD73" s="243"/>
      <c r="BE73" s="242"/>
      <c r="BF73" s="242"/>
      <c r="BG73" s="242"/>
      <c r="BH73" s="242"/>
      <c r="BI73" s="242"/>
      <c r="BJ73" s="242"/>
      <c r="BK73" s="242"/>
      <c r="BL73" s="242"/>
      <c r="BM73" s="242"/>
      <c r="BN73" s="242"/>
      <c r="BO73" s="242"/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/>
      <c r="CD73" s="242"/>
      <c r="CE73" s="242"/>
      <c r="CF73" s="242"/>
      <c r="CG73" s="242"/>
      <c r="CH73" s="242"/>
      <c r="CI73" s="247"/>
      <c r="CJ73" s="248"/>
      <c r="CK73" s="248"/>
      <c r="CL73" s="248"/>
      <c r="CM73" s="248"/>
    </row>
    <row r="74" spans="1:91" x14ac:dyDescent="0.25">
      <c r="A74" s="231"/>
      <c r="B74" s="232"/>
      <c r="C74" s="232"/>
      <c r="D74" s="233"/>
      <c r="E74" s="234"/>
      <c r="F74" s="235"/>
      <c r="G74" s="236"/>
      <c r="H74" s="237"/>
      <c r="I74" s="238"/>
      <c r="J74" s="239"/>
      <c r="K74" s="240"/>
      <c r="L74" s="8"/>
      <c r="M74" s="241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2"/>
      <c r="AY74" s="243"/>
      <c r="AZ74" s="242"/>
      <c r="BA74" s="242"/>
      <c r="BB74" s="244"/>
      <c r="BC74" s="243"/>
      <c r="BD74" s="243"/>
      <c r="BE74" s="242"/>
      <c r="BF74" s="242"/>
      <c r="BG74" s="242"/>
      <c r="BH74" s="242"/>
      <c r="BI74" s="242"/>
      <c r="BJ74" s="242"/>
      <c r="BK74" s="242"/>
      <c r="BL74" s="242"/>
      <c r="BM74" s="242"/>
      <c r="BN74" s="242"/>
      <c r="BO74" s="242"/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45"/>
      <c r="CC74" s="246"/>
      <c r="CD74" s="242"/>
      <c r="CE74" s="242"/>
      <c r="CF74" s="242"/>
      <c r="CG74" s="242"/>
      <c r="CH74" s="242"/>
      <c r="CI74" s="247"/>
      <c r="CJ74" s="248"/>
      <c r="CK74" s="248"/>
      <c r="CL74" s="248"/>
      <c r="CM74" s="248"/>
    </row>
    <row r="75" spans="1:91" x14ac:dyDescent="0.25">
      <c r="A75" s="231"/>
      <c r="B75" s="232"/>
      <c r="C75" s="232"/>
      <c r="D75" s="233"/>
      <c r="E75" s="234"/>
      <c r="F75" s="235"/>
      <c r="G75" s="236"/>
      <c r="H75" s="237"/>
      <c r="I75" s="238"/>
      <c r="J75" s="239"/>
      <c r="K75" s="240"/>
      <c r="L75" s="8"/>
      <c r="M75" s="241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2"/>
      <c r="AY75" s="243"/>
      <c r="AZ75" s="242"/>
      <c r="BA75" s="242"/>
      <c r="BB75" s="244"/>
      <c r="BC75" s="243"/>
      <c r="BD75" s="243"/>
      <c r="BE75" s="242"/>
      <c r="BF75" s="242"/>
      <c r="BG75" s="242"/>
      <c r="BH75" s="242"/>
      <c r="BI75" s="242"/>
      <c r="BJ75" s="242"/>
      <c r="BK75" s="242"/>
      <c r="BL75" s="242"/>
      <c r="BM75" s="242"/>
      <c r="BN75" s="242"/>
      <c r="BO75" s="242"/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45"/>
      <c r="CC75" s="246"/>
      <c r="CD75" s="242"/>
      <c r="CE75" s="242"/>
      <c r="CF75" s="242"/>
      <c r="CG75" s="242"/>
      <c r="CH75" s="242"/>
      <c r="CI75" s="247"/>
      <c r="CJ75" s="248"/>
      <c r="CK75" s="248"/>
      <c r="CL75" s="248"/>
      <c r="CM75" s="248"/>
    </row>
    <row r="76" spans="1:91" x14ac:dyDescent="0.25">
      <c r="A76" s="231"/>
      <c r="B76" s="232"/>
      <c r="C76" s="232"/>
      <c r="D76" s="233"/>
      <c r="E76" s="234"/>
      <c r="F76" s="235"/>
      <c r="G76" s="236"/>
      <c r="H76" s="237"/>
      <c r="I76" s="238"/>
      <c r="J76" s="239"/>
      <c r="K76" s="240"/>
      <c r="L76" s="8"/>
      <c r="M76" s="241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2"/>
      <c r="AY76" s="243"/>
      <c r="AZ76" s="242"/>
      <c r="BA76" s="242"/>
      <c r="BB76" s="244"/>
      <c r="BC76" s="243"/>
      <c r="BD76" s="243"/>
      <c r="BE76" s="242"/>
      <c r="BF76" s="242"/>
      <c r="BG76" s="242"/>
      <c r="BH76" s="242"/>
      <c r="BI76" s="242"/>
      <c r="BJ76" s="242"/>
      <c r="BK76" s="242"/>
      <c r="BL76" s="242"/>
      <c r="BM76" s="242"/>
      <c r="BN76" s="242"/>
      <c r="BO76" s="242"/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45"/>
      <c r="CC76" s="246"/>
      <c r="CD76" s="242"/>
      <c r="CE76" s="242"/>
      <c r="CF76" s="242"/>
      <c r="CG76" s="242"/>
      <c r="CH76" s="242"/>
      <c r="CI76" s="247"/>
      <c r="CJ76" s="248"/>
      <c r="CK76" s="248"/>
      <c r="CL76" s="248"/>
      <c r="CM76" s="248"/>
    </row>
    <row r="77" spans="1:91" x14ac:dyDescent="0.25">
      <c r="A77" s="231"/>
      <c r="B77" s="232"/>
      <c r="C77" s="232"/>
      <c r="D77" s="233"/>
      <c r="E77" s="234"/>
      <c r="F77" s="235"/>
      <c r="G77" s="236"/>
      <c r="H77" s="237"/>
      <c r="I77" s="238"/>
      <c r="J77" s="239"/>
      <c r="K77" s="240"/>
      <c r="L77" s="8"/>
      <c r="M77" s="241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2"/>
      <c r="AY77" s="243"/>
      <c r="AZ77" s="242"/>
      <c r="BA77" s="242"/>
      <c r="BB77" s="244"/>
      <c r="BC77" s="243"/>
      <c r="BD77" s="243"/>
      <c r="BE77" s="242"/>
      <c r="BF77" s="242"/>
      <c r="BG77" s="242"/>
      <c r="BH77" s="242"/>
      <c r="BI77" s="242"/>
      <c r="BJ77" s="242"/>
      <c r="BK77" s="242"/>
      <c r="BL77" s="242"/>
      <c r="BM77" s="242"/>
      <c r="BN77" s="242"/>
      <c r="BO77" s="242"/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45"/>
      <c r="CC77" s="246"/>
      <c r="CD77" s="242"/>
      <c r="CE77" s="242"/>
      <c r="CF77" s="242"/>
      <c r="CG77" s="242"/>
      <c r="CH77" s="242"/>
      <c r="CI77" s="247"/>
      <c r="CJ77" s="248"/>
      <c r="CK77" s="248"/>
      <c r="CL77" s="248"/>
      <c r="CM77" s="248"/>
    </row>
    <row r="78" spans="1:91" x14ac:dyDescent="0.25">
      <c r="A78" s="231"/>
      <c r="B78" s="232"/>
      <c r="C78" s="232"/>
      <c r="D78" s="233"/>
      <c r="E78" s="234"/>
      <c r="F78" s="235"/>
      <c r="G78" s="236"/>
      <c r="H78" s="237"/>
      <c r="I78" s="238"/>
      <c r="J78" s="239"/>
      <c r="K78" s="240"/>
      <c r="L78" s="8"/>
      <c r="M78" s="241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2"/>
      <c r="AY78" s="243"/>
      <c r="AZ78" s="242"/>
      <c r="BA78" s="242"/>
      <c r="BB78" s="244"/>
      <c r="BC78" s="243"/>
      <c r="BD78" s="243"/>
      <c r="BE78" s="242"/>
      <c r="BF78" s="242"/>
      <c r="BG78" s="242"/>
      <c r="BH78" s="242"/>
      <c r="BI78" s="242"/>
      <c r="BJ78" s="242"/>
      <c r="BK78" s="242"/>
      <c r="BL78" s="242"/>
      <c r="BM78" s="242"/>
      <c r="BN78" s="242"/>
      <c r="BO78" s="242"/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45"/>
      <c r="CC78" s="246"/>
      <c r="CD78" s="242"/>
      <c r="CE78" s="242"/>
      <c r="CF78" s="242"/>
      <c r="CG78" s="242"/>
      <c r="CH78" s="242"/>
      <c r="CI78" s="247"/>
      <c r="CJ78" s="248"/>
      <c r="CK78" s="248"/>
      <c r="CL78" s="248"/>
      <c r="CM78" s="248"/>
    </row>
    <row r="79" spans="1:91" x14ac:dyDescent="0.25">
      <c r="A79" s="231"/>
      <c r="B79" s="232"/>
      <c r="C79" s="232"/>
      <c r="D79" s="233"/>
      <c r="E79" s="234"/>
      <c r="F79" s="235"/>
      <c r="G79" s="236"/>
      <c r="H79" s="237"/>
      <c r="I79" s="238"/>
      <c r="J79" s="239"/>
      <c r="K79" s="240"/>
      <c r="L79" s="8"/>
      <c r="M79" s="241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2"/>
      <c r="AY79" s="243"/>
      <c r="AZ79" s="242"/>
      <c r="BA79" s="242"/>
      <c r="BB79" s="244"/>
      <c r="BC79" s="243"/>
      <c r="BD79" s="243"/>
      <c r="BE79" s="242"/>
      <c r="BF79" s="242"/>
      <c r="BG79" s="242"/>
      <c r="BH79" s="242"/>
      <c r="BI79" s="242"/>
      <c r="BJ79" s="242"/>
      <c r="BK79" s="242"/>
      <c r="BL79" s="242"/>
      <c r="BM79" s="242"/>
      <c r="BN79" s="242"/>
      <c r="BO79" s="242"/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45"/>
      <c r="CC79" s="246"/>
      <c r="CD79" s="242"/>
      <c r="CE79" s="242"/>
      <c r="CF79" s="242"/>
      <c r="CG79" s="242"/>
      <c r="CH79" s="242"/>
      <c r="CI79" s="247"/>
      <c r="CJ79" s="248"/>
      <c r="CK79" s="248"/>
      <c r="CL79" s="248"/>
      <c r="CM79" s="248"/>
    </row>
    <row r="80" spans="1:91" x14ac:dyDescent="0.25">
      <c r="A80" s="231"/>
      <c r="B80" s="232"/>
      <c r="C80" s="232"/>
      <c r="D80" s="233"/>
      <c r="E80" s="234"/>
      <c r="F80" s="235"/>
      <c r="G80" s="236"/>
      <c r="H80" s="237"/>
      <c r="I80" s="238"/>
      <c r="J80" s="239"/>
      <c r="K80" s="240"/>
      <c r="L80" s="8"/>
      <c r="M80" s="241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2"/>
      <c r="AY80" s="243"/>
      <c r="AZ80" s="242"/>
      <c r="BA80" s="242"/>
      <c r="BB80" s="244"/>
      <c r="BC80" s="243"/>
      <c r="BD80" s="243"/>
      <c r="BE80" s="242"/>
      <c r="BF80" s="242"/>
      <c r="BG80" s="242"/>
      <c r="BH80" s="242"/>
      <c r="BI80" s="242"/>
      <c r="BJ80" s="242"/>
      <c r="BK80" s="242"/>
      <c r="BL80" s="242"/>
      <c r="BM80" s="242"/>
      <c r="BN80" s="242"/>
      <c r="BO80" s="242"/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45"/>
      <c r="CC80" s="246"/>
      <c r="CD80" s="242"/>
      <c r="CE80" s="242"/>
      <c r="CF80" s="242"/>
      <c r="CG80" s="242"/>
      <c r="CH80" s="242"/>
      <c r="CI80" s="247"/>
      <c r="CJ80" s="248"/>
      <c r="CK80" s="248"/>
      <c r="CL80" s="248"/>
      <c r="CM80" s="248"/>
    </row>
    <row r="81" spans="1:91" x14ac:dyDescent="0.25">
      <c r="A81" s="231"/>
      <c r="B81" s="232"/>
      <c r="C81" s="232"/>
      <c r="D81" s="233"/>
      <c r="E81" s="234"/>
      <c r="F81" s="235"/>
      <c r="G81" s="236"/>
      <c r="H81" s="237"/>
      <c r="I81" s="238"/>
      <c r="J81" s="239"/>
      <c r="K81" s="240"/>
      <c r="L81" s="8"/>
      <c r="M81" s="241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2"/>
      <c r="AY81" s="243"/>
      <c r="AZ81" s="242"/>
      <c r="BA81" s="242"/>
      <c r="BB81" s="244"/>
      <c r="BC81" s="243"/>
      <c r="BD81" s="243"/>
      <c r="BE81" s="242"/>
      <c r="BF81" s="242"/>
      <c r="BG81" s="242"/>
      <c r="BH81" s="242"/>
      <c r="BI81" s="242"/>
      <c r="BJ81" s="242"/>
      <c r="BK81" s="242"/>
      <c r="BL81" s="242"/>
      <c r="BM81" s="242"/>
      <c r="BN81" s="242"/>
      <c r="BO81" s="242"/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45"/>
      <c r="CC81" s="246"/>
      <c r="CD81" s="242"/>
      <c r="CE81" s="242"/>
      <c r="CF81" s="242"/>
      <c r="CG81" s="242"/>
      <c r="CH81" s="242"/>
      <c r="CI81" s="247"/>
      <c r="CJ81" s="248"/>
      <c r="CK81" s="248"/>
      <c r="CL81" s="248"/>
      <c r="CM81" s="248"/>
    </row>
    <row r="82" spans="1:91" x14ac:dyDescent="0.25">
      <c r="A82" s="231"/>
      <c r="B82" s="232"/>
      <c r="C82" s="232"/>
      <c r="D82" s="233"/>
      <c r="E82" s="234"/>
      <c r="F82" s="235"/>
      <c r="G82" s="236"/>
      <c r="H82" s="237"/>
      <c r="I82" s="238"/>
      <c r="J82" s="239"/>
      <c r="K82" s="240"/>
      <c r="L82" s="8"/>
      <c r="M82" s="241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2"/>
      <c r="AY82" s="243"/>
      <c r="AZ82" s="242"/>
      <c r="BA82" s="242"/>
      <c r="BB82" s="244"/>
      <c r="BC82" s="243"/>
      <c r="BD82" s="243"/>
      <c r="BE82" s="242"/>
      <c r="BF82" s="242"/>
      <c r="BG82" s="242"/>
      <c r="BH82" s="242"/>
      <c r="BI82" s="242"/>
      <c r="BJ82" s="242"/>
      <c r="BK82" s="242"/>
      <c r="BL82" s="242"/>
      <c r="BM82" s="242"/>
      <c r="BN82" s="242"/>
      <c r="BO82" s="242"/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45"/>
      <c r="CC82" s="246"/>
      <c r="CD82" s="242"/>
      <c r="CE82" s="242"/>
      <c r="CF82" s="242"/>
      <c r="CG82" s="242"/>
      <c r="CH82" s="242"/>
      <c r="CI82" s="247"/>
      <c r="CJ82" s="248"/>
      <c r="CK82" s="248"/>
      <c r="CL82" s="248"/>
      <c r="CM82" s="248"/>
    </row>
    <row r="83" spans="1:91" x14ac:dyDescent="0.25">
      <c r="A83" s="231"/>
      <c r="B83" s="232"/>
      <c r="C83" s="232"/>
      <c r="D83" s="233"/>
      <c r="E83" s="234"/>
      <c r="F83" s="235"/>
      <c r="G83" s="236"/>
      <c r="H83" s="237"/>
      <c r="I83" s="238"/>
      <c r="J83" s="239"/>
      <c r="K83" s="240"/>
      <c r="L83" s="8"/>
      <c r="M83" s="241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2"/>
      <c r="AY83" s="243"/>
      <c r="AZ83" s="242"/>
      <c r="BA83" s="242"/>
      <c r="BB83" s="244"/>
      <c r="BC83" s="243"/>
      <c r="BD83" s="243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45"/>
      <c r="CC83" s="246"/>
      <c r="CD83" s="242"/>
      <c r="CE83" s="242"/>
      <c r="CF83" s="242"/>
      <c r="CG83" s="242"/>
      <c r="CH83" s="242"/>
      <c r="CI83" s="247"/>
      <c r="CJ83" s="248"/>
      <c r="CK83" s="248"/>
      <c r="CL83" s="248"/>
      <c r="CM83" s="248"/>
    </row>
    <row r="84" spans="1:91" x14ac:dyDescent="0.25">
      <c r="A84" s="231"/>
      <c r="B84" s="232"/>
      <c r="C84" s="232"/>
      <c r="D84" s="233"/>
      <c r="E84" s="234"/>
      <c r="F84" s="235"/>
      <c r="G84" s="236"/>
      <c r="H84" s="237"/>
      <c r="I84" s="238"/>
      <c r="J84" s="239"/>
      <c r="K84" s="240"/>
      <c r="L84" s="8"/>
      <c r="M84" s="241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2"/>
      <c r="AY84" s="243"/>
      <c r="AZ84" s="242"/>
      <c r="BA84" s="242"/>
      <c r="BB84" s="244"/>
      <c r="BC84" s="243"/>
      <c r="BD84" s="243"/>
      <c r="BE84" s="242"/>
      <c r="BF84" s="242"/>
      <c r="BG84" s="242"/>
      <c r="BH84" s="242"/>
      <c r="BI84" s="242"/>
      <c r="BJ84" s="242"/>
      <c r="BK84" s="242"/>
      <c r="BL84" s="242"/>
      <c r="BM84" s="242"/>
      <c r="BN84" s="242"/>
      <c r="BO84" s="242"/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45"/>
      <c r="CC84" s="246"/>
      <c r="CD84" s="242"/>
      <c r="CE84" s="242"/>
      <c r="CF84" s="242"/>
      <c r="CG84" s="242"/>
      <c r="CH84" s="242"/>
      <c r="CI84" s="247"/>
      <c r="CJ84" s="248"/>
      <c r="CK84" s="248"/>
      <c r="CL84" s="248"/>
      <c r="CM84" s="248"/>
    </row>
    <row r="85" spans="1:91" x14ac:dyDescent="0.25">
      <c r="A85" s="231"/>
      <c r="B85" s="232"/>
      <c r="C85" s="232"/>
      <c r="D85" s="233"/>
      <c r="E85" s="234"/>
      <c r="F85" s="235"/>
      <c r="G85" s="236"/>
      <c r="H85" s="237"/>
      <c r="I85" s="238"/>
      <c r="J85" s="239"/>
      <c r="K85" s="240"/>
      <c r="L85" s="8"/>
      <c r="M85" s="241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2"/>
      <c r="AY85" s="243"/>
      <c r="AZ85" s="242"/>
      <c r="BA85" s="242"/>
      <c r="BB85" s="244"/>
      <c r="BC85" s="243"/>
      <c r="BD85" s="243"/>
      <c r="BE85" s="242"/>
      <c r="BF85" s="242"/>
      <c r="BG85" s="242"/>
      <c r="BH85" s="242"/>
      <c r="BI85" s="242"/>
      <c r="BJ85" s="242"/>
      <c r="BK85" s="242"/>
      <c r="BL85" s="242"/>
      <c r="BM85" s="242"/>
      <c r="BN85" s="242"/>
      <c r="BO85" s="242"/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45"/>
      <c r="CC85" s="246"/>
      <c r="CD85" s="242"/>
      <c r="CE85" s="242"/>
      <c r="CF85" s="242"/>
      <c r="CG85" s="242"/>
      <c r="CH85" s="242"/>
      <c r="CI85" s="247"/>
      <c r="CJ85" s="248"/>
      <c r="CK85" s="248"/>
      <c r="CL85" s="248"/>
      <c r="CM85" s="248"/>
    </row>
    <row r="86" spans="1:91" x14ac:dyDescent="0.25">
      <c r="A86" s="231"/>
      <c r="B86" s="232"/>
      <c r="C86" s="232"/>
      <c r="D86" s="233"/>
      <c r="E86" s="234"/>
      <c r="F86" s="235"/>
      <c r="G86" s="236"/>
      <c r="H86" s="237"/>
      <c r="I86" s="238"/>
      <c r="J86" s="239"/>
      <c r="K86" s="240"/>
      <c r="L86" s="8"/>
      <c r="M86" s="241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2"/>
      <c r="AY86" s="243"/>
      <c r="AZ86" s="242"/>
      <c r="BA86" s="242"/>
      <c r="BB86" s="244"/>
      <c r="BC86" s="243"/>
      <c r="BD86" s="243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45"/>
      <c r="CC86" s="246"/>
      <c r="CD86" s="242"/>
      <c r="CE86" s="242"/>
      <c r="CF86" s="242"/>
      <c r="CG86" s="242"/>
      <c r="CH86" s="242"/>
      <c r="CI86" s="247"/>
      <c r="CJ86" s="248"/>
      <c r="CK86" s="248"/>
      <c r="CL86" s="248"/>
      <c r="CM86" s="248"/>
    </row>
    <row r="87" spans="1:91" x14ac:dyDescent="0.25">
      <c r="A87" s="231"/>
      <c r="B87" s="232"/>
      <c r="C87" s="232"/>
      <c r="D87" s="233"/>
      <c r="E87" s="234"/>
      <c r="F87" s="235"/>
      <c r="G87" s="236"/>
      <c r="H87" s="237"/>
      <c r="I87" s="238"/>
      <c r="J87" s="239"/>
      <c r="K87" s="240"/>
      <c r="L87" s="8"/>
      <c r="M87" s="241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2"/>
      <c r="AY87" s="243"/>
      <c r="AZ87" s="242"/>
      <c r="BA87" s="242"/>
      <c r="BB87" s="244"/>
      <c r="BC87" s="243"/>
      <c r="BD87" s="243"/>
      <c r="BE87" s="242"/>
      <c r="BF87" s="242"/>
      <c r="BG87" s="242"/>
      <c r="BH87" s="242"/>
      <c r="BI87" s="242"/>
      <c r="BJ87" s="242"/>
      <c r="BK87" s="242"/>
      <c r="BL87" s="242"/>
      <c r="BM87" s="242"/>
      <c r="BN87" s="242"/>
      <c r="BO87" s="242"/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45"/>
      <c r="CC87" s="246"/>
      <c r="CD87" s="242"/>
      <c r="CE87" s="242"/>
      <c r="CF87" s="242"/>
      <c r="CG87" s="242"/>
      <c r="CH87" s="242"/>
      <c r="CI87" s="247"/>
      <c r="CJ87" s="248"/>
      <c r="CK87" s="248"/>
      <c r="CL87" s="248"/>
      <c r="CM87" s="248"/>
    </row>
    <row r="88" spans="1:91" x14ac:dyDescent="0.25">
      <c r="A88" s="231"/>
      <c r="B88" s="232"/>
      <c r="C88" s="232"/>
      <c r="D88" s="233"/>
      <c r="E88" s="234"/>
      <c r="F88" s="235"/>
      <c r="G88" s="236"/>
      <c r="H88" s="237"/>
      <c r="I88" s="238"/>
      <c r="J88" s="239"/>
      <c r="K88" s="240"/>
      <c r="L88" s="8"/>
      <c r="M88" s="241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2"/>
      <c r="AY88" s="243"/>
      <c r="AZ88" s="242"/>
      <c r="BA88" s="242"/>
      <c r="BB88" s="244"/>
      <c r="BC88" s="243"/>
      <c r="BD88" s="243"/>
      <c r="BE88" s="242"/>
      <c r="BF88" s="242"/>
      <c r="BG88" s="242"/>
      <c r="BH88" s="242"/>
      <c r="BI88" s="242"/>
      <c r="BJ88" s="242"/>
      <c r="BK88" s="242"/>
      <c r="BL88" s="242"/>
      <c r="BM88" s="242"/>
      <c r="BN88" s="242"/>
      <c r="BO88" s="242"/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45"/>
      <c r="CC88" s="246"/>
      <c r="CD88" s="242"/>
      <c r="CE88" s="242"/>
      <c r="CF88" s="242"/>
      <c r="CG88" s="242"/>
      <c r="CH88" s="242"/>
      <c r="CI88" s="247"/>
      <c r="CJ88" s="248"/>
      <c r="CK88" s="248"/>
      <c r="CL88" s="248"/>
      <c r="CM88" s="248"/>
    </row>
    <row r="89" spans="1:91" x14ac:dyDescent="0.25">
      <c r="A89" s="231"/>
      <c r="B89" s="232"/>
      <c r="C89" s="232"/>
      <c r="D89" s="233"/>
      <c r="E89" s="234"/>
      <c r="F89" s="235"/>
      <c r="G89" s="236"/>
      <c r="H89" s="237"/>
      <c r="I89" s="238"/>
      <c r="J89" s="239"/>
      <c r="K89" s="240"/>
      <c r="L89" s="8"/>
      <c r="M89" s="241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2"/>
      <c r="AY89" s="243"/>
      <c r="AZ89" s="242"/>
      <c r="BA89" s="242"/>
      <c r="BB89" s="244"/>
      <c r="BC89" s="243"/>
      <c r="BD89" s="243"/>
      <c r="BE89" s="242"/>
      <c r="BF89" s="242"/>
      <c r="BG89" s="242"/>
      <c r="BH89" s="242"/>
      <c r="BI89" s="242"/>
      <c r="BJ89" s="242"/>
      <c r="BK89" s="242"/>
      <c r="BL89" s="242"/>
      <c r="BM89" s="242"/>
      <c r="BN89" s="242"/>
      <c r="BO89" s="242"/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45"/>
      <c r="CC89" s="246"/>
      <c r="CD89" s="242"/>
      <c r="CE89" s="242"/>
      <c r="CF89" s="242"/>
      <c r="CG89" s="242"/>
      <c r="CH89" s="242"/>
      <c r="CI89" s="247"/>
      <c r="CJ89" s="248"/>
      <c r="CK89" s="248"/>
      <c r="CL89" s="248"/>
      <c r="CM89" s="248"/>
    </row>
    <row r="90" spans="1:91" x14ac:dyDescent="0.25">
      <c r="A90" s="231"/>
      <c r="B90" s="232"/>
      <c r="C90" s="232"/>
      <c r="D90" s="233"/>
      <c r="E90" s="234"/>
      <c r="F90" s="235"/>
      <c r="G90" s="236"/>
      <c r="H90" s="237"/>
      <c r="I90" s="238"/>
      <c r="J90" s="239"/>
      <c r="K90" s="240"/>
      <c r="L90" s="8"/>
      <c r="M90" s="241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2"/>
      <c r="AY90" s="243"/>
      <c r="AZ90" s="242"/>
      <c r="BA90" s="242"/>
      <c r="BB90" s="244"/>
      <c r="BC90" s="243"/>
      <c r="BD90" s="243"/>
      <c r="BE90" s="242"/>
      <c r="BF90" s="242"/>
      <c r="BG90" s="242"/>
      <c r="BH90" s="242"/>
      <c r="BI90" s="242"/>
      <c r="BJ90" s="242"/>
      <c r="BK90" s="242"/>
      <c r="BL90" s="242"/>
      <c r="BM90" s="242"/>
      <c r="BN90" s="242"/>
      <c r="BO90" s="242"/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45"/>
      <c r="CC90" s="246"/>
      <c r="CD90" s="242"/>
      <c r="CE90" s="242"/>
      <c r="CF90" s="242"/>
      <c r="CG90" s="242"/>
      <c r="CH90" s="242"/>
      <c r="CI90" s="247"/>
      <c r="CJ90" s="248"/>
      <c r="CK90" s="248"/>
      <c r="CL90" s="248"/>
      <c r="CM90" s="248"/>
    </row>
    <row r="91" spans="1:91" x14ac:dyDescent="0.25">
      <c r="A91" s="231"/>
      <c r="B91" s="232"/>
      <c r="C91" s="232"/>
      <c r="D91" s="233"/>
      <c r="E91" s="234"/>
      <c r="F91" s="235"/>
      <c r="G91" s="236"/>
      <c r="H91" s="237"/>
      <c r="I91" s="238"/>
      <c r="J91" s="239"/>
      <c r="K91" s="240"/>
      <c r="L91" s="8"/>
      <c r="M91" s="241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232"/>
      <c r="C93" s="232"/>
      <c r="D93" s="233"/>
      <c r="E93" s="234"/>
      <c r="F93" s="235"/>
      <c r="G93" s="236"/>
      <c r="H93" s="237"/>
      <c r="I93" s="238"/>
      <c r="J93" s="239"/>
      <c r="K93" s="240"/>
      <c r="L93" s="8"/>
      <c r="M93" s="241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31"/>
      <c r="B95" s="232"/>
      <c r="C95" s="232"/>
      <c r="D95" s="233"/>
      <c r="E95" s="234"/>
      <c r="F95" s="235"/>
      <c r="G95" s="236"/>
      <c r="H95" s="237"/>
      <c r="I95" s="238"/>
      <c r="J95" s="239"/>
      <c r="K95" s="240"/>
      <c r="L95" s="8"/>
      <c r="M95" s="241"/>
      <c r="N95" s="239"/>
      <c r="O95" s="240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2"/>
      <c r="AY95" s="243"/>
      <c r="AZ95" s="242"/>
      <c r="BA95" s="242"/>
      <c r="BB95" s="244"/>
      <c r="BC95" s="243"/>
      <c r="BD95" s="243"/>
      <c r="BE95" s="242"/>
      <c r="BF95" s="242"/>
      <c r="BG95" s="242"/>
      <c r="BH95" s="242"/>
      <c r="BI95" s="242"/>
      <c r="BJ95" s="242"/>
      <c r="BK95" s="242"/>
      <c r="BL95" s="242"/>
      <c r="BM95" s="242"/>
      <c r="BN95" s="242"/>
      <c r="BO95" s="242"/>
      <c r="BP95" s="242"/>
      <c r="BQ95" s="242"/>
      <c r="BR95" s="242"/>
      <c r="BS95" s="242"/>
      <c r="BT95" s="297"/>
      <c r="BU95" s="297"/>
      <c r="BV95" s="297"/>
      <c r="BW95" s="297"/>
      <c r="BX95" s="242"/>
      <c r="BY95" s="242"/>
      <c r="BZ95" s="245"/>
      <c r="CA95" s="245"/>
      <c r="CB95" s="245"/>
      <c r="CC95" s="246"/>
      <c r="CD95" s="242"/>
      <c r="CE95" s="242"/>
      <c r="CF95" s="242"/>
      <c r="CG95" s="242"/>
      <c r="CH95" s="242"/>
      <c r="CI95" s="247"/>
      <c r="CJ95" s="248"/>
      <c r="CK95" s="248"/>
      <c r="CL95" s="248"/>
      <c r="CM95" s="248"/>
    </row>
    <row r="96" spans="1:91" x14ac:dyDescent="0.25">
      <c r="A96" s="231"/>
      <c r="B96" s="232"/>
      <c r="C96" s="232"/>
      <c r="D96" s="233"/>
      <c r="E96" s="234"/>
      <c r="F96" s="235"/>
      <c r="G96" s="236"/>
      <c r="H96" s="237"/>
      <c r="I96" s="238"/>
      <c r="J96" s="239"/>
      <c r="K96" s="240"/>
      <c r="L96" s="8"/>
      <c r="M96" s="241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2"/>
      <c r="AY96" s="243"/>
      <c r="AZ96" s="242"/>
      <c r="BA96" s="242"/>
      <c r="BB96" s="244"/>
      <c r="BC96" s="243"/>
      <c r="BD96" s="243"/>
      <c r="BE96" s="242"/>
      <c r="BF96" s="242"/>
      <c r="BG96" s="242"/>
      <c r="BH96" s="242"/>
      <c r="BI96" s="242"/>
      <c r="BJ96" s="242"/>
      <c r="BK96" s="242"/>
      <c r="BL96" s="242"/>
      <c r="BM96" s="242"/>
      <c r="BN96" s="242"/>
      <c r="BO96" s="242"/>
      <c r="BP96" s="242"/>
      <c r="BQ96" s="242"/>
      <c r="BR96" s="242"/>
      <c r="BS96" s="242"/>
      <c r="BT96" s="297"/>
      <c r="BU96" s="297"/>
      <c r="BV96" s="297"/>
      <c r="BW96" s="297"/>
      <c r="BX96" s="242"/>
      <c r="BY96" s="242"/>
      <c r="BZ96" s="245"/>
      <c r="CA96" s="245"/>
      <c r="CB96" s="245"/>
      <c r="CC96" s="246"/>
      <c r="CD96" s="242"/>
      <c r="CE96" s="242"/>
      <c r="CF96" s="242"/>
      <c r="CG96" s="242"/>
      <c r="CH96" s="242"/>
      <c r="CI96" s="247"/>
      <c r="CJ96" s="248"/>
      <c r="CK96" s="248"/>
      <c r="CL96" s="248"/>
      <c r="CM96" s="248"/>
    </row>
    <row r="97" spans="1:91" x14ac:dyDescent="0.25">
      <c r="A97" s="231"/>
      <c r="B97" s="232"/>
      <c r="C97" s="232"/>
      <c r="D97" s="233"/>
      <c r="E97" s="234"/>
      <c r="F97" s="235"/>
      <c r="G97" s="236"/>
      <c r="H97" s="237"/>
      <c r="I97" s="238"/>
      <c r="J97" s="239"/>
      <c r="K97" s="240"/>
      <c r="L97" s="8"/>
      <c r="M97" s="241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2"/>
      <c r="AY97" s="243"/>
      <c r="AZ97" s="242"/>
      <c r="BA97" s="242"/>
      <c r="BB97" s="244"/>
      <c r="BC97" s="243"/>
      <c r="BD97" s="243"/>
      <c r="BE97" s="242"/>
      <c r="BF97" s="242"/>
      <c r="BG97" s="242"/>
      <c r="BH97" s="242"/>
      <c r="BI97" s="242"/>
      <c r="BJ97" s="242"/>
      <c r="BK97" s="242"/>
      <c r="BL97" s="242"/>
      <c r="BM97" s="242"/>
      <c r="BN97" s="242"/>
      <c r="BO97" s="242"/>
      <c r="BP97" s="242"/>
      <c r="BQ97" s="242"/>
      <c r="BR97" s="242"/>
      <c r="BS97" s="242"/>
      <c r="BT97" s="297"/>
      <c r="BU97" s="297"/>
      <c r="BV97" s="297"/>
      <c r="BW97" s="297"/>
      <c r="BX97" s="242"/>
      <c r="BY97" s="242"/>
      <c r="BZ97" s="245"/>
      <c r="CA97" s="245"/>
      <c r="CB97" s="245"/>
      <c r="CC97" s="246"/>
      <c r="CD97" s="242"/>
      <c r="CE97" s="242"/>
      <c r="CF97" s="242"/>
      <c r="CG97" s="242"/>
      <c r="CH97" s="242"/>
      <c r="CI97" s="247"/>
      <c r="CJ97" s="248"/>
      <c r="CK97" s="248"/>
      <c r="CL97" s="248"/>
      <c r="CM97" s="248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fMLGGHRZ/9bzmU5z3uY9QkY4BAUqrL2vBBgsRs8fDGGyVyZYZbFANrPbnypri+ZmgKBsqslw3PeypkOPi+5v0g==" saltValue="xanrpjmDj5ObLva+E5FvKQ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642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638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643</v>
      </c>
      <c r="B9" s="255" t="s">
        <v>644</v>
      </c>
      <c r="C9" s="255" t="s">
        <v>645</v>
      </c>
      <c r="D9" s="233"/>
      <c r="E9" s="234">
        <v>38165419.5</v>
      </c>
      <c r="F9" s="235">
        <v>38275337.5</v>
      </c>
      <c r="G9" s="256"/>
      <c r="H9" s="257"/>
      <c r="I9" s="237"/>
      <c r="J9" s="238">
        <v>38165419.5</v>
      </c>
      <c r="K9" s="249"/>
      <c r="L9" s="240"/>
      <c r="M9" s="8">
        <v>35038025.350000001</v>
      </c>
      <c r="N9" s="241">
        <v>35758333.5</v>
      </c>
      <c r="O9" s="72"/>
      <c r="P9" s="100"/>
      <c r="Q9" s="9"/>
      <c r="R9" s="9"/>
      <c r="S9" s="9"/>
      <c r="T9" s="258">
        <v>46478</v>
      </c>
      <c r="U9" s="10"/>
      <c r="V9" s="23"/>
      <c r="W9" s="11"/>
      <c r="X9" s="8">
        <v>6316909.1299999999</v>
      </c>
      <c r="Y9" s="9"/>
      <c r="Z9" s="9"/>
      <c r="AA9" s="9"/>
      <c r="AB9" s="10"/>
      <c r="AC9" s="24">
        <v>0.33279957119635112</v>
      </c>
      <c r="AD9" s="11">
        <v>4239198.9544136748</v>
      </c>
      <c r="AE9" s="8">
        <v>901841.91</v>
      </c>
      <c r="AF9" s="9"/>
      <c r="AG9" s="10"/>
      <c r="AH9" s="11"/>
      <c r="AI9" s="8">
        <v>5415067.2199999997</v>
      </c>
      <c r="AJ9" s="9"/>
      <c r="AK9" s="10"/>
      <c r="AL9" s="25"/>
      <c r="AM9" s="25"/>
      <c r="AN9" s="25"/>
      <c r="AO9" s="10"/>
      <c r="AP9" s="12">
        <v>6863233.25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38165419.5</v>
      </c>
      <c r="BA9" s="15">
        <v>35758333.5</v>
      </c>
      <c r="BB9" s="15">
        <v>38165419.5</v>
      </c>
      <c r="BC9" s="15">
        <v>35758333.5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2325355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637</v>
      </c>
      <c r="BW9" s="242">
        <v>0</v>
      </c>
      <c r="BX9" s="248">
        <v>12737994.039999999</v>
      </c>
      <c r="BY9" s="248">
        <v>2709865</v>
      </c>
      <c r="BZ9" s="248">
        <v>12737994.039999999</v>
      </c>
      <c r="CA9" s="248">
        <v>2709865</v>
      </c>
      <c r="CB9" s="243" t="s">
        <v>633</v>
      </c>
      <c r="CC9" s="248">
        <v>6316909.1299999999</v>
      </c>
      <c r="CD9" s="248">
        <v>5415067.2199999997</v>
      </c>
      <c r="CE9" s="248">
        <v>6863233.25</v>
      </c>
      <c r="CF9" s="248">
        <v>0</v>
      </c>
    </row>
    <row r="10" spans="1:95" x14ac:dyDescent="0.25">
      <c r="A10" s="254" t="s">
        <v>646</v>
      </c>
      <c r="B10" s="255" t="s">
        <v>647</v>
      </c>
      <c r="C10" s="255" t="s">
        <v>645</v>
      </c>
      <c r="D10" s="233"/>
      <c r="E10" s="234">
        <v>40106224.630000003</v>
      </c>
      <c r="F10" s="235">
        <v>40106224.630000003</v>
      </c>
      <c r="G10" s="256"/>
      <c r="H10" s="257"/>
      <c r="I10" s="237"/>
      <c r="J10" s="238">
        <v>40106224.630000003</v>
      </c>
      <c r="K10" s="249"/>
      <c r="L10" s="240"/>
      <c r="M10" s="8">
        <v>9333681.1600000001</v>
      </c>
      <c r="N10" s="241">
        <v>37896367.630000003</v>
      </c>
      <c r="O10" s="72"/>
      <c r="P10" s="100"/>
      <c r="Q10" s="9"/>
      <c r="R10" s="9"/>
      <c r="S10" s="9"/>
      <c r="T10" s="258">
        <v>46106</v>
      </c>
      <c r="U10" s="10"/>
      <c r="V10" s="23"/>
      <c r="W10" s="11"/>
      <c r="X10" s="8">
        <v>750298.86</v>
      </c>
      <c r="Y10" s="9"/>
      <c r="Z10" s="9"/>
      <c r="AA10" s="9"/>
      <c r="AB10" s="10"/>
      <c r="AC10" s="24">
        <v>1.8125951983224416E-2</v>
      </c>
      <c r="AD10" s="11">
        <v>12450.856712145191</v>
      </c>
      <c r="AE10" s="8">
        <v>686907.74</v>
      </c>
      <c r="AF10" s="9"/>
      <c r="AG10" s="10"/>
      <c r="AH10" s="11"/>
      <c r="AI10" s="8">
        <v>63391.12</v>
      </c>
      <c r="AJ10" s="9"/>
      <c r="AK10" s="10"/>
      <c r="AL10" s="25"/>
      <c r="AM10" s="25"/>
      <c r="AN10" s="25"/>
      <c r="AO10" s="10"/>
      <c r="AP10" s="12">
        <v>900072.76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40106224.630000003</v>
      </c>
      <c r="BA10" s="15">
        <v>37896367.630000003</v>
      </c>
      <c r="BB10" s="15">
        <v>40106224.630000003</v>
      </c>
      <c r="BC10" s="15">
        <v>37896367.630000003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2209857</v>
      </c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 t="s">
        <v>637</v>
      </c>
      <c r="BW10" s="242">
        <v>0</v>
      </c>
      <c r="BX10" s="248">
        <v>686907.74</v>
      </c>
      <c r="BY10" s="248">
        <v>37896367.630000003</v>
      </c>
      <c r="BZ10" s="248">
        <v>686907.74</v>
      </c>
      <c r="CA10" s="248">
        <v>37896367.630000003</v>
      </c>
      <c r="CB10" s="243" t="s">
        <v>633</v>
      </c>
      <c r="CC10" s="248">
        <v>750298.86</v>
      </c>
      <c r="CD10" s="248">
        <v>63391.12</v>
      </c>
      <c r="CE10" s="248">
        <v>900072.76</v>
      </c>
      <c r="CF10" s="248">
        <v>0</v>
      </c>
    </row>
    <row r="11" spans="1:95" x14ac:dyDescent="0.25">
      <c r="A11" s="254" t="s">
        <v>648</v>
      </c>
      <c r="B11" s="255" t="s">
        <v>649</v>
      </c>
      <c r="C11" s="255" t="s">
        <v>641</v>
      </c>
      <c r="D11" s="233"/>
      <c r="E11" s="234">
        <v>153818</v>
      </c>
      <c r="F11" s="235">
        <v>153818</v>
      </c>
      <c r="G11" s="256"/>
      <c r="H11" s="257"/>
      <c r="I11" s="237"/>
      <c r="J11" s="238">
        <v>196248.4</v>
      </c>
      <c r="K11" s="249"/>
      <c r="L11" s="240"/>
      <c r="M11" s="8">
        <v>196248.4</v>
      </c>
      <c r="N11" s="241">
        <v>196248.4</v>
      </c>
      <c r="O11" s="72"/>
      <c r="P11" s="100"/>
      <c r="Q11" s="9"/>
      <c r="R11" s="9"/>
      <c r="S11" s="9"/>
      <c r="T11" s="258">
        <v>46053</v>
      </c>
      <c r="U11" s="10"/>
      <c r="V11" s="23"/>
      <c r="W11" s="11"/>
      <c r="X11" s="8">
        <v>196248.4</v>
      </c>
      <c r="Y11" s="9"/>
      <c r="Z11" s="9"/>
      <c r="AA11" s="9"/>
      <c r="AB11" s="10"/>
      <c r="AC11" s="24">
        <v>0</v>
      </c>
      <c r="AD11" s="11">
        <v>0</v>
      </c>
      <c r="AE11" s="8">
        <v>0</v>
      </c>
      <c r="AF11" s="9"/>
      <c r="AG11" s="10"/>
      <c r="AH11" s="11"/>
      <c r="AI11" s="8">
        <v>196248.4</v>
      </c>
      <c r="AJ11" s="9"/>
      <c r="AK11" s="10"/>
      <c r="AL11" s="25"/>
      <c r="AM11" s="25"/>
      <c r="AN11" s="25"/>
      <c r="AO11" s="10"/>
      <c r="AP11" s="12">
        <v>153858.35999999999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162630</v>
      </c>
      <c r="BA11" s="15">
        <v>196248.4</v>
      </c>
      <c r="BB11" s="15">
        <v>196248.4</v>
      </c>
      <c r="BC11" s="15">
        <v>196248.4</v>
      </c>
      <c r="BD11" s="242">
        <v>0</v>
      </c>
      <c r="BE11" s="250">
        <v>0</v>
      </c>
      <c r="BF11" s="242"/>
      <c r="BG11" s="242">
        <v>1</v>
      </c>
      <c r="BH11" s="242">
        <v>0</v>
      </c>
      <c r="BI11" s="242">
        <v>-32235</v>
      </c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 t="s">
        <v>637</v>
      </c>
      <c r="BW11" s="242">
        <v>0</v>
      </c>
      <c r="BX11" s="242">
        <v>0</v>
      </c>
      <c r="BY11" s="242">
        <v>0</v>
      </c>
      <c r="BZ11" s="242">
        <v>0</v>
      </c>
      <c r="CA11" s="242">
        <v>0</v>
      </c>
      <c r="CB11" s="243" t="s">
        <v>633</v>
      </c>
      <c r="CC11" s="248">
        <v>196248.4</v>
      </c>
      <c r="CD11" s="248">
        <v>196248.4</v>
      </c>
      <c r="CE11" s="248">
        <v>153858.35999999999</v>
      </c>
      <c r="CF11" s="248">
        <v>0</v>
      </c>
    </row>
    <row r="12" spans="1:95" x14ac:dyDescent="0.25">
      <c r="A12" s="254" t="s">
        <v>650</v>
      </c>
      <c r="B12" s="255" t="s">
        <v>651</v>
      </c>
      <c r="C12" s="255" t="s">
        <v>639</v>
      </c>
      <c r="D12" s="233"/>
      <c r="E12" s="234">
        <v>2876047</v>
      </c>
      <c r="F12" s="235">
        <v>2876047</v>
      </c>
      <c r="G12" s="256"/>
      <c r="H12" s="257"/>
      <c r="I12" s="237"/>
      <c r="J12" s="238">
        <v>2876047</v>
      </c>
      <c r="K12" s="249"/>
      <c r="L12" s="240"/>
      <c r="M12" s="8">
        <v>2829323.94</v>
      </c>
      <c r="N12" s="241">
        <v>2743982</v>
      </c>
      <c r="O12" s="71"/>
      <c r="P12" s="100"/>
      <c r="Q12" s="9"/>
      <c r="R12" s="9"/>
      <c r="S12" s="9"/>
      <c r="T12" s="258">
        <v>46327</v>
      </c>
      <c r="U12" s="10"/>
      <c r="V12" s="23"/>
      <c r="W12" s="11"/>
      <c r="X12" s="8">
        <v>262382.86</v>
      </c>
      <c r="Y12" s="9"/>
      <c r="Z12" s="9"/>
      <c r="AA12" s="9"/>
      <c r="AB12" s="10"/>
      <c r="AC12" s="24">
        <v>0</v>
      </c>
      <c r="AD12" s="11">
        <v>0</v>
      </c>
      <c r="AE12" s="8">
        <v>0</v>
      </c>
      <c r="AF12" s="9"/>
      <c r="AG12" s="10"/>
      <c r="AH12" s="11"/>
      <c r="AI12" s="8">
        <v>262382.86</v>
      </c>
      <c r="AJ12" s="9"/>
      <c r="AK12" s="10"/>
      <c r="AL12" s="25"/>
      <c r="AM12" s="25"/>
      <c r="AN12" s="25"/>
      <c r="AO12" s="10"/>
      <c r="AP12" s="12">
        <v>266758</v>
      </c>
      <c r="AQ12" s="12"/>
      <c r="AR12" s="12"/>
      <c r="AS12" s="242"/>
      <c r="AT12" s="243"/>
      <c r="AU12" s="242"/>
      <c r="AV12" s="242"/>
      <c r="AW12" s="244"/>
      <c r="AX12" s="243" t="s">
        <v>630</v>
      </c>
      <c r="AY12" s="243" t="s">
        <v>630</v>
      </c>
      <c r="AZ12" s="15">
        <v>2876047</v>
      </c>
      <c r="BA12" s="15">
        <v>2743982</v>
      </c>
      <c r="BB12" s="15">
        <v>2876047</v>
      </c>
      <c r="BC12" s="15">
        <v>2743982</v>
      </c>
      <c r="BD12" s="242">
        <v>0</v>
      </c>
      <c r="BE12" s="242">
        <v>0</v>
      </c>
      <c r="BF12" s="242"/>
      <c r="BG12" s="242">
        <v>1</v>
      </c>
      <c r="BH12" s="242">
        <v>0</v>
      </c>
      <c r="BI12" s="242">
        <v>0</v>
      </c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 t="s">
        <v>637</v>
      </c>
      <c r="BW12" s="242">
        <v>0</v>
      </c>
      <c r="BX12" s="242">
        <v>0</v>
      </c>
      <c r="BY12" s="242">
        <v>0</v>
      </c>
      <c r="BZ12" s="242">
        <v>0</v>
      </c>
      <c r="CA12" s="242">
        <v>0</v>
      </c>
      <c r="CB12" s="243" t="s">
        <v>633</v>
      </c>
      <c r="CC12" s="248">
        <v>262382.86</v>
      </c>
      <c r="CD12" s="248">
        <v>262382.86</v>
      </c>
      <c r="CE12" s="248">
        <v>266758</v>
      </c>
      <c r="CF12" s="248">
        <v>0</v>
      </c>
    </row>
    <row r="13" spans="1:95" x14ac:dyDescent="0.25">
      <c r="A13" s="254"/>
      <c r="B13" s="93" t="s">
        <v>652</v>
      </c>
      <c r="C13" s="255"/>
      <c r="D13" s="233"/>
      <c r="E13" s="279">
        <f>SUM(E8:E12)</f>
        <v>81301509.129999995</v>
      </c>
      <c r="F13" s="268">
        <f>SUM(F8:F12)</f>
        <v>81411427.129999995</v>
      </c>
      <c r="G13" s="256"/>
      <c r="H13" s="257"/>
      <c r="I13" s="237"/>
      <c r="J13" s="280">
        <f>SUM(J8:J12)</f>
        <v>81343939.530000001</v>
      </c>
      <c r="K13" s="249"/>
      <c r="L13" s="240"/>
      <c r="M13" s="272">
        <f>SUM(M8:M12)</f>
        <v>47397278.850000001</v>
      </c>
      <c r="N13" s="281">
        <f>SUM(N8:N12)</f>
        <v>76594931.530000001</v>
      </c>
      <c r="O13" s="71"/>
      <c r="P13" s="100"/>
      <c r="Q13" s="270">
        <f>SUM(Q8:Q12)</f>
        <v>0</v>
      </c>
      <c r="R13" s="270">
        <f>SUM(R8:R12)</f>
        <v>0</v>
      </c>
      <c r="S13" s="270">
        <f>SUM(S8:S12)</f>
        <v>0</v>
      </c>
      <c r="T13" s="258"/>
      <c r="U13" s="10"/>
      <c r="V13" s="23"/>
      <c r="W13" s="271">
        <f>SUM(W8:W12)</f>
        <v>0</v>
      </c>
      <c r="X13" s="272">
        <f>SUM(X8:X12)</f>
        <v>7525839.2500000009</v>
      </c>
      <c r="Y13" s="270">
        <f>SUM(Y8:Y12)</f>
        <v>0</v>
      </c>
      <c r="Z13" s="270">
        <f>SUM(Z8:Z12)</f>
        <v>0</v>
      </c>
      <c r="AA13" s="270">
        <f>SUM(AA8:AA12)</f>
        <v>0</v>
      </c>
      <c r="AB13" s="10"/>
      <c r="AC13" s="24"/>
      <c r="AD13" s="271">
        <f>SUM(AD8:AD12)</f>
        <v>4251649.8111258196</v>
      </c>
      <c r="AE13" s="272">
        <f>SUM(AE8:AE12)</f>
        <v>1588749.65</v>
      </c>
      <c r="AF13" s="270">
        <f>SUM(AF8:AF12)</f>
        <v>0</v>
      </c>
      <c r="AG13" s="10"/>
      <c r="AH13" s="271">
        <f>SUM(AH8:AH12)</f>
        <v>0</v>
      </c>
      <c r="AI13" s="272">
        <f>SUM(AI8:AI12)</f>
        <v>5937089.6000000006</v>
      </c>
      <c r="AJ13" s="270">
        <f>SUM(AJ8:AJ12)</f>
        <v>0</v>
      </c>
      <c r="AK13" s="10"/>
      <c r="AL13" s="283">
        <f>SUM(AL8:AL12)</f>
        <v>0</v>
      </c>
      <c r="AM13" s="283">
        <f>SUM(AM8:AM12)</f>
        <v>0</v>
      </c>
      <c r="AN13" s="283">
        <f>SUM(AN8:AN12)</f>
        <v>0</v>
      </c>
      <c r="AO13" s="10"/>
      <c r="AP13" s="284">
        <f>SUM(AP8:AP12)</f>
        <v>8183922.3700000001</v>
      </c>
      <c r="AQ13" s="284">
        <f>SUM(AQ8:AQ12)</f>
        <v>0</v>
      </c>
      <c r="AR13" s="284">
        <f>SUM(AR8:AR12)</f>
        <v>0</v>
      </c>
      <c r="AS13" s="242"/>
      <c r="AT13" s="243"/>
      <c r="AU13" s="242"/>
      <c r="AV13" s="242"/>
      <c r="AW13" s="244"/>
      <c r="AX13" s="243"/>
      <c r="AY13" s="243"/>
      <c r="AZ13" s="242"/>
      <c r="BA13" s="242"/>
      <c r="BB13" s="242"/>
      <c r="BC13" s="242"/>
      <c r="BD13" s="242"/>
      <c r="BE13" s="242"/>
      <c r="BF13" s="242"/>
      <c r="BG13" s="242"/>
      <c r="BH13" s="242"/>
      <c r="BI13" s="242"/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/>
      <c r="BW13" s="242"/>
      <c r="BX13" s="242"/>
      <c r="BY13" s="242"/>
      <c r="BZ13" s="242"/>
      <c r="CA13" s="242"/>
      <c r="CB13" s="243"/>
      <c r="CC13" s="248"/>
      <c r="CD13" s="248"/>
      <c r="CE13" s="248"/>
      <c r="CF13" s="248"/>
    </row>
    <row r="14" spans="1:95" x14ac:dyDescent="0.25">
      <c r="A14" s="254"/>
      <c r="B14" s="255"/>
      <c r="C14" s="255"/>
      <c r="D14" s="233"/>
      <c r="E14" s="234"/>
      <c r="F14" s="235"/>
      <c r="G14" s="256"/>
      <c r="H14" s="257"/>
      <c r="I14" s="237"/>
      <c r="J14" s="238"/>
      <c r="K14" s="249"/>
      <c r="L14" s="240"/>
      <c r="M14" s="8"/>
      <c r="N14" s="241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2"/>
      <c r="AT14" s="243"/>
      <c r="AU14" s="242"/>
      <c r="AV14" s="242"/>
      <c r="AW14" s="244"/>
      <c r="AX14" s="243"/>
      <c r="AY14" s="243"/>
      <c r="AZ14" s="242"/>
      <c r="BA14" s="242"/>
      <c r="BB14" s="242"/>
      <c r="BC14" s="242"/>
      <c r="BD14" s="242"/>
      <c r="BE14" s="242"/>
      <c r="BF14" s="242"/>
      <c r="BG14" s="242"/>
      <c r="BH14" s="242"/>
      <c r="BI14" s="242"/>
      <c r="BJ14" s="242"/>
      <c r="BK14" s="242"/>
      <c r="BL14" s="242"/>
      <c r="BM14" s="242"/>
      <c r="BN14" s="297"/>
      <c r="BO14" s="297"/>
      <c r="BP14" s="297"/>
      <c r="BQ14" s="297"/>
      <c r="BR14" s="245"/>
      <c r="BS14" s="245"/>
      <c r="BT14" s="242"/>
      <c r="BU14" s="242"/>
      <c r="BV14" s="246"/>
      <c r="BW14" s="242"/>
      <c r="BX14" s="242"/>
      <c r="BY14" s="242"/>
      <c r="BZ14" s="242"/>
      <c r="CA14" s="242"/>
      <c r="CB14" s="243"/>
      <c r="CC14" s="248"/>
      <c r="CD14" s="248"/>
      <c r="CE14" s="248"/>
      <c r="CF14" s="248"/>
    </row>
    <row r="15" spans="1:95" x14ac:dyDescent="0.25">
      <c r="A15" s="254"/>
      <c r="B15" s="93" t="s">
        <v>632</v>
      </c>
      <c r="C15" s="255"/>
      <c r="D15" s="233"/>
      <c r="E15" s="234"/>
      <c r="F15" s="235"/>
      <c r="G15" s="256"/>
      <c r="H15" s="257"/>
      <c r="I15" s="237"/>
      <c r="J15" s="238"/>
      <c r="K15" s="249"/>
      <c r="L15" s="240"/>
      <c r="M15" s="8"/>
      <c r="N15" s="241"/>
      <c r="O15" s="72"/>
      <c r="P15" s="100"/>
      <c r="Q15" s="9"/>
      <c r="R15" s="9"/>
      <c r="S15" s="9"/>
      <c r="T15" s="258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2"/>
      <c r="AT15" s="243"/>
      <c r="AU15" s="242"/>
      <c r="AV15" s="242"/>
      <c r="AW15" s="244"/>
      <c r="AX15" s="243"/>
      <c r="AY15" s="243"/>
      <c r="AZ15" s="242"/>
      <c r="BA15" s="242"/>
      <c r="BB15" s="242"/>
      <c r="BC15" s="242"/>
      <c r="BD15" s="242"/>
      <c r="BE15" s="242"/>
      <c r="BF15" s="242"/>
      <c r="BG15" s="242"/>
      <c r="BH15" s="242"/>
      <c r="BI15" s="242"/>
      <c r="BJ15" s="242"/>
      <c r="BK15" s="242"/>
      <c r="BL15" s="242"/>
      <c r="BM15" s="242"/>
      <c r="BN15" s="297"/>
      <c r="BO15" s="297"/>
      <c r="BP15" s="297"/>
      <c r="BQ15" s="297"/>
      <c r="BR15" s="245"/>
      <c r="BS15" s="245"/>
      <c r="BT15" s="242"/>
      <c r="BU15" s="242"/>
      <c r="BV15" s="246"/>
      <c r="BW15" s="242"/>
      <c r="BX15" s="242"/>
      <c r="BY15" s="242"/>
      <c r="BZ15" s="242"/>
      <c r="CA15" s="242"/>
      <c r="CB15" s="243"/>
      <c r="CC15" s="248"/>
      <c r="CD15" s="248"/>
      <c r="CE15" s="248"/>
      <c r="CF15" s="248"/>
    </row>
    <row r="16" spans="1:95" x14ac:dyDescent="0.25">
      <c r="A16" s="254" t="s">
        <v>653</v>
      </c>
      <c r="B16" s="255" t="s">
        <v>654</v>
      </c>
      <c r="C16" s="255" t="s">
        <v>640</v>
      </c>
      <c r="D16" s="233"/>
      <c r="E16" s="234">
        <v>0</v>
      </c>
      <c r="F16" s="235">
        <v>0</v>
      </c>
      <c r="G16" s="256"/>
      <c r="H16" s="257"/>
      <c r="I16" s="237"/>
      <c r="J16" s="238">
        <v>0</v>
      </c>
      <c r="K16" s="249"/>
      <c r="L16" s="240"/>
      <c r="M16" s="8">
        <v>92874.26</v>
      </c>
      <c r="N16" s="241">
        <v>92874.26</v>
      </c>
      <c r="O16" s="72"/>
      <c r="P16" s="100"/>
      <c r="Q16" s="9"/>
      <c r="R16" s="9"/>
      <c r="S16" s="9"/>
      <c r="T16" s="258">
        <v>46022</v>
      </c>
      <c r="U16" s="10"/>
      <c r="V16" s="23"/>
      <c r="W16" s="11"/>
      <c r="X16" s="8">
        <v>92874.26</v>
      </c>
      <c r="Y16" s="9"/>
      <c r="Z16" s="9"/>
      <c r="AA16" s="9"/>
      <c r="AB16" s="10"/>
      <c r="AC16" s="24">
        <v>0</v>
      </c>
      <c r="AD16" s="11">
        <v>0</v>
      </c>
      <c r="AE16" s="8">
        <v>0</v>
      </c>
      <c r="AF16" s="9"/>
      <c r="AG16" s="10"/>
      <c r="AH16" s="11"/>
      <c r="AI16" s="8">
        <v>92874.26</v>
      </c>
      <c r="AJ16" s="9"/>
      <c r="AK16" s="10"/>
      <c r="AL16" s="25"/>
      <c r="AM16" s="25"/>
      <c r="AN16" s="25"/>
      <c r="AO16" s="10"/>
      <c r="AP16" s="12">
        <v>0</v>
      </c>
      <c r="AQ16" s="12"/>
      <c r="AR16" s="12"/>
      <c r="AS16" s="242"/>
      <c r="AT16" s="243"/>
      <c r="AU16" s="242"/>
      <c r="AV16" s="242"/>
      <c r="AW16" s="244"/>
      <c r="AX16" s="243" t="s">
        <v>630</v>
      </c>
      <c r="AY16" s="243" t="s">
        <v>630</v>
      </c>
      <c r="AZ16" s="15">
        <v>0</v>
      </c>
      <c r="BA16" s="15">
        <v>92874.26</v>
      </c>
      <c r="BB16" s="15">
        <v>0</v>
      </c>
      <c r="BC16" s="15">
        <v>92874.26</v>
      </c>
      <c r="BD16" s="242">
        <v>0</v>
      </c>
      <c r="BE16" s="242">
        <v>0</v>
      </c>
      <c r="BF16" s="242"/>
      <c r="BG16" s="242">
        <v>2</v>
      </c>
      <c r="BH16" s="242">
        <v>0</v>
      </c>
      <c r="BI16" s="242">
        <v>-52860.36</v>
      </c>
      <c r="BJ16" s="242"/>
      <c r="BK16" s="242"/>
      <c r="BL16" s="242"/>
      <c r="BM16" s="242"/>
      <c r="BN16" s="297"/>
      <c r="BO16" s="297"/>
      <c r="BP16" s="297"/>
      <c r="BQ16" s="297"/>
      <c r="BR16" s="245"/>
      <c r="BS16" s="245"/>
      <c r="BT16" s="242"/>
      <c r="BU16" s="242"/>
      <c r="BV16" s="246" t="s">
        <v>637</v>
      </c>
      <c r="BW16" s="242">
        <v>0</v>
      </c>
      <c r="BX16" s="242">
        <v>0</v>
      </c>
      <c r="BY16" s="242">
        <v>0</v>
      </c>
      <c r="BZ16" s="242">
        <v>0</v>
      </c>
      <c r="CA16" s="242">
        <v>0</v>
      </c>
      <c r="CB16" s="243" t="s">
        <v>633</v>
      </c>
      <c r="CC16" s="248">
        <v>92874.26</v>
      </c>
      <c r="CD16" s="248">
        <v>92874.26</v>
      </c>
      <c r="CE16" s="248">
        <v>0</v>
      </c>
      <c r="CF16" s="248">
        <v>0</v>
      </c>
    </row>
    <row r="17" spans="1:84" x14ac:dyDescent="0.25">
      <c r="A17" s="254" t="s">
        <v>655</v>
      </c>
      <c r="B17" s="255" t="s">
        <v>656</v>
      </c>
      <c r="C17" s="255" t="s">
        <v>640</v>
      </c>
      <c r="D17" s="233"/>
      <c r="E17" s="234">
        <v>0</v>
      </c>
      <c r="F17" s="235">
        <v>0</v>
      </c>
      <c r="G17" s="256"/>
      <c r="H17" s="257"/>
      <c r="I17" s="237"/>
      <c r="J17" s="238">
        <v>0</v>
      </c>
      <c r="K17" s="249"/>
      <c r="L17" s="240"/>
      <c r="M17" s="8">
        <v>13743.76</v>
      </c>
      <c r="N17" s="241">
        <v>13743.76</v>
      </c>
      <c r="O17" s="72"/>
      <c r="P17" s="100"/>
      <c r="Q17" s="9"/>
      <c r="R17" s="9"/>
      <c r="S17" s="9"/>
      <c r="T17" s="258">
        <v>46022</v>
      </c>
      <c r="U17" s="10"/>
      <c r="V17" s="23"/>
      <c r="W17" s="11"/>
      <c r="X17" s="8">
        <v>13743.76</v>
      </c>
      <c r="Y17" s="9"/>
      <c r="Z17" s="9"/>
      <c r="AA17" s="9"/>
      <c r="AB17" s="10"/>
      <c r="AC17" s="24">
        <v>0</v>
      </c>
      <c r="AD17" s="11">
        <v>0</v>
      </c>
      <c r="AE17" s="8">
        <v>0</v>
      </c>
      <c r="AF17" s="9"/>
      <c r="AG17" s="10"/>
      <c r="AH17" s="11"/>
      <c r="AI17" s="8">
        <v>13743.76</v>
      </c>
      <c r="AJ17" s="9"/>
      <c r="AK17" s="10"/>
      <c r="AL17" s="25"/>
      <c r="AM17" s="25"/>
      <c r="AN17" s="25"/>
      <c r="AO17" s="10"/>
      <c r="AP17" s="12">
        <v>0</v>
      </c>
      <c r="AQ17" s="12"/>
      <c r="AR17" s="12"/>
      <c r="AS17" s="242"/>
      <c r="AT17" s="243"/>
      <c r="AU17" s="242"/>
      <c r="AV17" s="242"/>
      <c r="AW17" s="244"/>
      <c r="AX17" s="243" t="s">
        <v>630</v>
      </c>
      <c r="AY17" s="243" t="s">
        <v>630</v>
      </c>
      <c r="AZ17" s="15">
        <v>0</v>
      </c>
      <c r="BA17" s="15">
        <v>13743.76</v>
      </c>
      <c r="BB17" s="15">
        <v>0</v>
      </c>
      <c r="BC17" s="15">
        <v>13743.76</v>
      </c>
      <c r="BD17" s="242">
        <v>0</v>
      </c>
      <c r="BE17" s="242">
        <v>0</v>
      </c>
      <c r="BF17" s="242"/>
      <c r="BG17" s="242">
        <v>2</v>
      </c>
      <c r="BH17" s="242">
        <v>0</v>
      </c>
      <c r="BI17" s="242">
        <v>-4432.92</v>
      </c>
      <c r="BJ17" s="242"/>
      <c r="BK17" s="242"/>
      <c r="BL17" s="242"/>
      <c r="BM17" s="242"/>
      <c r="BN17" s="297"/>
      <c r="BO17" s="297"/>
      <c r="BP17" s="297"/>
      <c r="BQ17" s="297"/>
      <c r="BR17" s="245"/>
      <c r="BS17" s="245"/>
      <c r="BT17" s="242"/>
      <c r="BU17" s="242"/>
      <c r="BV17" s="246" t="s">
        <v>637</v>
      </c>
      <c r="BW17" s="242">
        <v>0</v>
      </c>
      <c r="BX17" s="242">
        <v>0</v>
      </c>
      <c r="BY17" s="242">
        <v>0</v>
      </c>
      <c r="BZ17" s="242">
        <v>0</v>
      </c>
      <c r="CA17" s="242">
        <v>0</v>
      </c>
      <c r="CB17" s="243" t="s">
        <v>633</v>
      </c>
      <c r="CC17" s="248">
        <v>13743.76</v>
      </c>
      <c r="CD17" s="248">
        <v>13743.76</v>
      </c>
      <c r="CE17" s="248">
        <v>0</v>
      </c>
      <c r="CF17" s="248">
        <v>0</v>
      </c>
    </row>
    <row r="18" spans="1:84" x14ac:dyDescent="0.25">
      <c r="A18" s="254"/>
      <c r="B18" s="93" t="s">
        <v>657</v>
      </c>
      <c r="C18" s="255"/>
      <c r="D18" s="233"/>
      <c r="E18" s="279">
        <f>SUM(E15:E17)</f>
        <v>0</v>
      </c>
      <c r="F18" s="268">
        <f>SUM(F15:F17)</f>
        <v>0</v>
      </c>
      <c r="G18" s="256"/>
      <c r="H18" s="257"/>
      <c r="I18" s="237"/>
      <c r="J18" s="280">
        <f>SUM(J15:J17)</f>
        <v>0</v>
      </c>
      <c r="K18" s="249"/>
      <c r="L18" s="240"/>
      <c r="M18" s="272">
        <f>SUM(M15:M17)</f>
        <v>106618.01999999999</v>
      </c>
      <c r="N18" s="281">
        <f>SUM(N15:N17)</f>
        <v>106618.01999999999</v>
      </c>
      <c r="O18" s="72"/>
      <c r="P18" s="100"/>
      <c r="Q18" s="270">
        <f>SUM(Q15:Q17)</f>
        <v>0</v>
      </c>
      <c r="R18" s="270">
        <f>SUM(R15:R17)</f>
        <v>0</v>
      </c>
      <c r="S18" s="270">
        <f>SUM(S15:S17)</f>
        <v>0</v>
      </c>
      <c r="T18" s="258"/>
      <c r="U18" s="10"/>
      <c r="V18" s="23"/>
      <c r="W18" s="271">
        <f>SUM(W15:W17)</f>
        <v>0</v>
      </c>
      <c r="X18" s="272">
        <f>SUM(X15:X17)</f>
        <v>106618.01999999999</v>
      </c>
      <c r="Y18" s="270">
        <f>SUM(Y15:Y17)</f>
        <v>0</v>
      </c>
      <c r="Z18" s="270">
        <f>SUM(Z15:Z17)</f>
        <v>0</v>
      </c>
      <c r="AA18" s="270">
        <f>SUM(AA15:AA17)</f>
        <v>0</v>
      </c>
      <c r="AB18" s="10"/>
      <c r="AC18" s="24"/>
      <c r="AD18" s="271">
        <f>SUM(AD15:AD17)</f>
        <v>0</v>
      </c>
      <c r="AE18" s="272">
        <f>SUM(AE15:AE17)</f>
        <v>0</v>
      </c>
      <c r="AF18" s="270">
        <f>SUM(AF15:AF17)</f>
        <v>0</v>
      </c>
      <c r="AG18" s="10"/>
      <c r="AH18" s="271">
        <f>SUM(AH15:AH17)</f>
        <v>0</v>
      </c>
      <c r="AI18" s="272">
        <f>SUM(AI15:AI17)</f>
        <v>106618.01999999999</v>
      </c>
      <c r="AJ18" s="270">
        <f>SUM(AJ15:AJ17)</f>
        <v>0</v>
      </c>
      <c r="AK18" s="10"/>
      <c r="AL18" s="283">
        <f>SUM(AL15:AL17)</f>
        <v>0</v>
      </c>
      <c r="AM18" s="283">
        <f>SUM(AM15:AM17)</f>
        <v>0</v>
      </c>
      <c r="AN18" s="283">
        <f>SUM(AN15:AN17)</f>
        <v>0</v>
      </c>
      <c r="AO18" s="10"/>
      <c r="AP18" s="284">
        <f>SUM(AP15:AP17)</f>
        <v>0</v>
      </c>
      <c r="AQ18" s="284">
        <f>SUM(AQ15:AQ17)</f>
        <v>0</v>
      </c>
      <c r="AR18" s="284">
        <f>SUM(AR15:AR17)</f>
        <v>0</v>
      </c>
      <c r="AS18" s="242"/>
      <c r="AT18" s="243"/>
      <c r="AU18" s="242"/>
      <c r="AV18" s="242"/>
      <c r="AW18" s="244"/>
      <c r="AX18" s="243"/>
      <c r="AY18" s="243"/>
      <c r="AZ18" s="242"/>
      <c r="BA18" s="242"/>
      <c r="BB18" s="242"/>
      <c r="BC18" s="242"/>
      <c r="BD18" s="242"/>
      <c r="BE18" s="242"/>
      <c r="BF18" s="242"/>
      <c r="BG18" s="242"/>
      <c r="BH18" s="242"/>
      <c r="BI18" s="242"/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/>
      <c r="BW18" s="242"/>
      <c r="BX18" s="242"/>
      <c r="BY18" s="242"/>
      <c r="BZ18" s="242"/>
      <c r="CA18" s="242"/>
      <c r="CB18" s="243"/>
      <c r="CC18" s="248"/>
      <c r="CD18" s="248"/>
      <c r="CE18" s="248"/>
      <c r="CF18" s="248"/>
    </row>
    <row r="19" spans="1:84" x14ac:dyDescent="0.25">
      <c r="A19" s="254"/>
      <c r="B19" s="255"/>
      <c r="C19" s="255"/>
      <c r="D19" s="233"/>
      <c r="E19" s="234"/>
      <c r="F19" s="235"/>
      <c r="G19" s="256"/>
      <c r="H19" s="257"/>
      <c r="I19" s="237"/>
      <c r="J19" s="238"/>
      <c r="K19" s="239"/>
      <c r="L19" s="240"/>
      <c r="M19" s="8"/>
      <c r="N19" s="241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2"/>
      <c r="AT19" s="243"/>
      <c r="AU19" s="242"/>
      <c r="AV19" s="242"/>
      <c r="AW19" s="244"/>
      <c r="AX19" s="243"/>
      <c r="AY19" s="243"/>
      <c r="AZ19" s="242"/>
      <c r="BA19" s="242"/>
      <c r="BB19" s="242"/>
      <c r="BC19" s="242"/>
      <c r="BD19" s="242"/>
      <c r="BE19" s="242"/>
      <c r="BF19" s="242"/>
      <c r="BG19" s="242"/>
      <c r="BH19" s="242"/>
      <c r="BI19" s="242"/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/>
      <c r="BW19" s="242"/>
      <c r="BX19" s="242"/>
      <c r="BY19" s="242"/>
      <c r="BZ19" s="242"/>
      <c r="CA19" s="242"/>
      <c r="CB19" s="243"/>
      <c r="CC19" s="248"/>
      <c r="CD19" s="248"/>
      <c r="CE19" s="248"/>
      <c r="CF19" s="248"/>
    </row>
    <row r="20" spans="1:84" x14ac:dyDescent="0.25">
      <c r="A20" s="254"/>
      <c r="B20" s="93" t="s">
        <v>658</v>
      </c>
      <c r="C20" s="255"/>
      <c r="D20" s="233"/>
      <c r="E20" s="279">
        <f>SUM(E7:E19)/2</f>
        <v>81301509.129999995</v>
      </c>
      <c r="F20" s="268">
        <f>SUM(F7:F19)/2</f>
        <v>81411427.129999995</v>
      </c>
      <c r="G20" s="256"/>
      <c r="H20" s="257"/>
      <c r="I20" s="237"/>
      <c r="J20" s="280">
        <f>SUM(J7:J19)/2</f>
        <v>81343939.530000001</v>
      </c>
      <c r="K20" s="239"/>
      <c r="L20" s="240"/>
      <c r="M20" s="272">
        <f>SUM(M7:M19)/2</f>
        <v>47503896.870000005</v>
      </c>
      <c r="N20" s="281">
        <f>SUM(N7:N19)/2</f>
        <v>76701549.549999997</v>
      </c>
      <c r="O20" s="72"/>
      <c r="P20" s="100"/>
      <c r="Q20" s="270">
        <f>SUM(Q7:Q19)/2</f>
        <v>0</v>
      </c>
      <c r="R20" s="270">
        <f>SUM(R7:R19)/2</f>
        <v>0</v>
      </c>
      <c r="S20" s="270">
        <f>SUM(S7:S19)/2</f>
        <v>0</v>
      </c>
      <c r="T20" s="258"/>
      <c r="U20" s="10"/>
      <c r="V20" s="23"/>
      <c r="W20" s="271">
        <f>SUM(W7:W19)/2</f>
        <v>0</v>
      </c>
      <c r="X20" s="272">
        <f>SUM(X7:X19)/2</f>
        <v>7632457.2700000005</v>
      </c>
      <c r="Y20" s="270">
        <f>SUM(Y7:Y19)/2</f>
        <v>0</v>
      </c>
      <c r="Z20" s="270">
        <f>SUM(Z7:Z19)/2</f>
        <v>0</v>
      </c>
      <c r="AA20" s="270">
        <f>SUM(AA7:AA19)/2</f>
        <v>0</v>
      </c>
      <c r="AB20" s="10"/>
      <c r="AC20" s="24"/>
      <c r="AD20" s="271">
        <f>SUM(AD7:AD19)/2</f>
        <v>4251649.8111258196</v>
      </c>
      <c r="AE20" s="272">
        <f>SUM(AE7:AE19)/2</f>
        <v>1588749.65</v>
      </c>
      <c r="AF20" s="270">
        <f>SUM(AF7:AF19)/2</f>
        <v>0</v>
      </c>
      <c r="AG20" s="10"/>
      <c r="AH20" s="271">
        <f>SUM(AH7:AH19)/2</f>
        <v>0</v>
      </c>
      <c r="AI20" s="272">
        <f>SUM(AI7:AI19)/2</f>
        <v>6043707.6200000001</v>
      </c>
      <c r="AJ20" s="270">
        <f>SUM(AJ7:AJ19)/2</f>
        <v>0</v>
      </c>
      <c r="AK20" s="10"/>
      <c r="AL20" s="283">
        <f>SUM(AL7:AL19)/2</f>
        <v>0</v>
      </c>
      <c r="AM20" s="283">
        <f>SUM(AM7:AM19)/2</f>
        <v>0</v>
      </c>
      <c r="AN20" s="283">
        <f>SUM(AN7:AN19)/2</f>
        <v>0</v>
      </c>
      <c r="AO20" s="10"/>
      <c r="AP20" s="284">
        <f>SUM(AP7:AP19)/2</f>
        <v>8183922.3700000001</v>
      </c>
      <c r="AQ20" s="284">
        <f>SUM(AQ7:AQ19)/2</f>
        <v>0</v>
      </c>
      <c r="AR20" s="284">
        <f>SUM(AR7:AR19)/2</f>
        <v>0</v>
      </c>
      <c r="AS20" s="242"/>
      <c r="AT20" s="243"/>
      <c r="AU20" s="242"/>
      <c r="AV20" s="242"/>
      <c r="AW20" s="244"/>
      <c r="AX20" s="243"/>
      <c r="AY20" s="243"/>
      <c r="AZ20" s="242"/>
      <c r="BA20" s="242"/>
      <c r="BB20" s="242"/>
      <c r="BC20" s="242"/>
      <c r="BD20" s="242"/>
      <c r="BE20" s="242"/>
      <c r="BF20" s="242"/>
      <c r="BG20" s="242"/>
      <c r="BH20" s="242"/>
      <c r="BI20" s="242"/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/>
      <c r="BW20" s="242"/>
      <c r="BX20" s="242"/>
      <c r="BY20" s="242"/>
      <c r="BZ20" s="242"/>
      <c r="CA20" s="242"/>
      <c r="CB20" s="243"/>
      <c r="CC20" s="248"/>
      <c r="CD20" s="248"/>
      <c r="CE20" s="248"/>
      <c r="CF20" s="248"/>
    </row>
    <row r="21" spans="1:84" x14ac:dyDescent="0.25">
      <c r="A21" s="254"/>
      <c r="B21" s="255"/>
      <c r="C21" s="255"/>
      <c r="D21" s="233"/>
      <c r="E21" s="234"/>
      <c r="F21" s="235"/>
      <c r="G21" s="256"/>
      <c r="H21" s="257"/>
      <c r="I21" s="237"/>
      <c r="J21" s="238"/>
      <c r="K21" s="239"/>
      <c r="L21" s="240"/>
      <c r="M21" s="8"/>
      <c r="N21" s="241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2"/>
      <c r="AT21" s="243"/>
      <c r="AU21" s="242"/>
      <c r="AV21" s="242"/>
      <c r="AW21" s="244"/>
      <c r="AX21" s="243"/>
      <c r="AY21" s="243"/>
      <c r="AZ21" s="242"/>
      <c r="BA21" s="242"/>
      <c r="BB21" s="242"/>
      <c r="BC21" s="242"/>
      <c r="BD21" s="242"/>
      <c r="BE21" s="242"/>
      <c r="BF21" s="242"/>
      <c r="BG21" s="242"/>
      <c r="BH21" s="242"/>
      <c r="BI21" s="242"/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/>
      <c r="BW21" s="242"/>
      <c r="BX21" s="242"/>
      <c r="BY21" s="242"/>
      <c r="BZ21" s="242"/>
      <c r="CA21" s="242"/>
      <c r="CB21" s="243"/>
      <c r="CC21" s="248"/>
      <c r="CD21" s="248"/>
      <c r="CE21" s="248"/>
      <c r="CF21" s="248"/>
    </row>
    <row r="22" spans="1:84" x14ac:dyDescent="0.25">
      <c r="A22" s="300"/>
      <c r="B22" s="299" t="s">
        <v>635</v>
      </c>
      <c r="C22" s="93"/>
      <c r="D22" s="267"/>
      <c r="E22" s="279">
        <f>SUMIF(BG8:BG22,1, E8:E22)</f>
        <v>81301509.129999995</v>
      </c>
      <c r="F22" s="268">
        <f>SUMIF(BG8:BG22,1, F8:F22)</f>
        <v>81411427.129999995</v>
      </c>
      <c r="G22" s="301"/>
      <c r="H22" s="113"/>
      <c r="I22" s="104"/>
      <c r="J22" s="280">
        <f>SUMIF(BG8:BG22,1, J8:J22)</f>
        <v>81343939.530000001</v>
      </c>
      <c r="K22" s="288"/>
      <c r="L22" s="98"/>
      <c r="M22" s="272">
        <f>SUMIF(BG8:BG22,1, M8:M22)</f>
        <v>47397278.850000001</v>
      </c>
      <c r="N22" s="281">
        <f>SUMIF(BG8:BG22,1, N8:N22)</f>
        <v>76594931.530000001</v>
      </c>
      <c r="O22" s="289"/>
      <c r="P22" s="99"/>
      <c r="Q22" s="270">
        <f>SUMIF(BG8:BG22,1, Q8:Q22)</f>
        <v>0</v>
      </c>
      <c r="R22" s="270">
        <f>SUMIF(BG8:BG22,1, R8:R22)</f>
        <v>0</v>
      </c>
      <c r="S22" s="270">
        <f>SUMIF(BG8:BG22,1, S8:S22)</f>
        <v>0</v>
      </c>
      <c r="T22" s="302"/>
      <c r="U22" s="291"/>
      <c r="V22" s="292"/>
      <c r="W22" s="271">
        <f>SUMIF(BG8:BG22,1, W8:W22)</f>
        <v>0</v>
      </c>
      <c r="X22" s="272">
        <f>SUMIF(BG8:BG22,1, X8:X22)</f>
        <v>7525839.2500000009</v>
      </c>
      <c r="Y22" s="270">
        <f>SUMIF(BG8:BG22,1, Y8:Y22)</f>
        <v>0</v>
      </c>
      <c r="Z22" s="270">
        <f>SUMIF(BG8:BG22,1, Z8:Z22)</f>
        <v>0</v>
      </c>
      <c r="AA22" s="270">
        <f>SUMIF(BG8:BG22,1, AA8:AA22)</f>
        <v>0</v>
      </c>
      <c r="AB22" s="291"/>
      <c r="AC22" s="293"/>
      <c r="AD22" s="271">
        <f>SUMIF(BG8:BG22,1, AD8:AD22)</f>
        <v>4251649.8111258196</v>
      </c>
      <c r="AE22" s="272">
        <f>SUMIF(BG8:BG22,1, AE8:AE22)</f>
        <v>1588749.65</v>
      </c>
      <c r="AF22" s="270">
        <f>SUMIF(BG8:BG22,1, AF8:AF22)</f>
        <v>0</v>
      </c>
      <c r="AG22" s="291"/>
      <c r="AH22" s="271">
        <f>SUMIF(BG8:BG22,1, AH8:AH22)</f>
        <v>0</v>
      </c>
      <c r="AI22" s="272">
        <f>SUMIF(BG8:BG22,1, AI8:AI22)</f>
        <v>5937089.6000000006</v>
      </c>
      <c r="AJ22" s="270">
        <f>SUMIF(BG8:BG22,1, AJ8:AJ22)</f>
        <v>0</v>
      </c>
      <c r="AK22" s="291"/>
      <c r="AL22" s="283">
        <f>SUMIF(BG8:BG22,1, AL8:AL22)</f>
        <v>0</v>
      </c>
      <c r="AM22" s="283">
        <f>SUMIF(BG8:BG22,1, AM8:AM22)</f>
        <v>0</v>
      </c>
      <c r="AN22" s="283">
        <f>SUMIF(BG8:BG22,1, AN8:AN22)</f>
        <v>0</v>
      </c>
      <c r="AO22" s="291"/>
      <c r="AP22" s="284">
        <f>SUMIF(BG8:BG22,1, AP8:AP22)</f>
        <v>8183922.3700000001</v>
      </c>
      <c r="AQ22" s="284">
        <f>SUMIF(BG8:BG22,1, AQ8:AQ22)</f>
        <v>0</v>
      </c>
      <c r="AR22" s="284">
        <f>SUMIF(BG8:BG22,1, AR8:AR22)</f>
        <v>0</v>
      </c>
      <c r="AS22" s="15"/>
      <c r="AT22" s="274"/>
      <c r="AU22" s="15"/>
      <c r="AV22" s="15"/>
      <c r="AW22" s="275"/>
      <c r="AX22" s="274"/>
      <c r="AY22" s="274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298"/>
      <c r="BO22" s="298"/>
      <c r="BP22" s="298"/>
      <c r="BQ22" s="298"/>
      <c r="BR22" s="294"/>
      <c r="BS22" s="294"/>
      <c r="BT22" s="15"/>
      <c r="BU22" s="15"/>
      <c r="BV22" s="276"/>
      <c r="BW22" s="15"/>
      <c r="BX22" s="15"/>
      <c r="BY22" s="15"/>
      <c r="BZ22" s="15"/>
      <c r="CA22" s="15"/>
      <c r="CB22" s="274"/>
      <c r="CC22" s="277"/>
      <c r="CD22" s="277"/>
      <c r="CE22" s="277"/>
      <c r="CF22" s="277"/>
    </row>
    <row r="23" spans="1:84" x14ac:dyDescent="0.25">
      <c r="A23" s="300"/>
      <c r="B23" s="299" t="s">
        <v>636</v>
      </c>
      <c r="C23" s="93"/>
      <c r="D23" s="267"/>
      <c r="E23" s="279">
        <f>SUMIF(BG8:BG22,2, E8:E22)</f>
        <v>0</v>
      </c>
      <c r="F23" s="268">
        <f>SUMIF(BG8:BG22,2, F8:F22)</f>
        <v>0</v>
      </c>
      <c r="G23" s="301"/>
      <c r="H23" s="113"/>
      <c r="I23" s="104"/>
      <c r="J23" s="280">
        <f>SUMIF(BG8:BG22,2, J8:J22)</f>
        <v>0</v>
      </c>
      <c r="K23" s="288"/>
      <c r="L23" s="98"/>
      <c r="M23" s="272">
        <f>SUMIF(BG8:BG22,2, M8:M22)</f>
        <v>106618.01999999999</v>
      </c>
      <c r="N23" s="281">
        <f>SUMIF(BG8:BG22,2, N8:N22)</f>
        <v>106618.01999999999</v>
      </c>
      <c r="O23" s="289"/>
      <c r="P23" s="99"/>
      <c r="Q23" s="270">
        <f>SUMIF(BG8:BG22,2, Q8:Q22)</f>
        <v>0</v>
      </c>
      <c r="R23" s="270">
        <f>SUMIF(BG8:BG22,2, R8:R22)</f>
        <v>0</v>
      </c>
      <c r="S23" s="270">
        <f>SUMIF(BG8:BG22,2, S8:S22)</f>
        <v>0</v>
      </c>
      <c r="T23" s="302"/>
      <c r="U23" s="291"/>
      <c r="V23" s="292"/>
      <c r="W23" s="271">
        <f>SUMIF(BG8:BG22,2, W8:W22)</f>
        <v>0</v>
      </c>
      <c r="X23" s="272">
        <f>SUMIF(BG8:BG22,2, X8:X22)</f>
        <v>106618.01999999999</v>
      </c>
      <c r="Y23" s="270">
        <f>SUMIF(BG8:BG22,2, Y8:Y22)</f>
        <v>0</v>
      </c>
      <c r="Z23" s="270">
        <f>SUMIF(BG8:BG22,2, Z8:Z22)</f>
        <v>0</v>
      </c>
      <c r="AA23" s="270">
        <f>SUMIF(BG8:BG22,2, AA8:AA22)</f>
        <v>0</v>
      </c>
      <c r="AB23" s="291"/>
      <c r="AC23" s="293"/>
      <c r="AD23" s="271">
        <f>SUMIF(BG8:BG22,2, AD8:AD22)</f>
        <v>0</v>
      </c>
      <c r="AE23" s="272">
        <f>SUMIF(BG8:BG22,2, AE8:AE22)</f>
        <v>0</v>
      </c>
      <c r="AF23" s="270">
        <f>SUMIF(BG8:BG22,2, AF8:AF22)</f>
        <v>0</v>
      </c>
      <c r="AG23" s="291"/>
      <c r="AH23" s="271">
        <f>SUMIF(BG8:BG22,2, AH8:AH22)</f>
        <v>0</v>
      </c>
      <c r="AI23" s="272">
        <f>SUMIF(BG8:BG22,2, AI8:AI22)</f>
        <v>106618.01999999999</v>
      </c>
      <c r="AJ23" s="270">
        <f>SUMIF(BG8:BG22,2, AJ8:AJ22)</f>
        <v>0</v>
      </c>
      <c r="AK23" s="291"/>
      <c r="AL23" s="283">
        <f>SUMIF(BG8:BG22,2, AL8:AL22)</f>
        <v>0</v>
      </c>
      <c r="AM23" s="283">
        <f>SUMIF(BG8:BG22,2, AM8:AM22)</f>
        <v>0</v>
      </c>
      <c r="AN23" s="283">
        <f>SUMIF(BG8:BG22,2, AN8:AN22)</f>
        <v>0</v>
      </c>
      <c r="AO23" s="291"/>
      <c r="AP23" s="284">
        <f>SUMIF(BG8:BG22,2, AP8:AP22)</f>
        <v>0</v>
      </c>
      <c r="AQ23" s="284">
        <f>SUMIF(BG8:BG22,2, AQ8:AQ22)</f>
        <v>0</v>
      </c>
      <c r="AR23" s="284">
        <f>SUMIF(BG8:BG22,2, AR8:AR22)</f>
        <v>0</v>
      </c>
      <c r="AS23" s="15"/>
      <c r="AT23" s="274"/>
      <c r="AU23" s="15"/>
      <c r="AV23" s="15"/>
      <c r="AW23" s="275"/>
      <c r="AX23" s="274"/>
      <c r="AY23" s="274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298"/>
      <c r="BO23" s="298"/>
      <c r="BP23" s="298"/>
      <c r="BQ23" s="298"/>
      <c r="BR23" s="294"/>
      <c r="BS23" s="294"/>
      <c r="BT23" s="15"/>
      <c r="BU23" s="15"/>
      <c r="BV23" s="276"/>
      <c r="BW23" s="15"/>
      <c r="BX23" s="15"/>
      <c r="BY23" s="15"/>
      <c r="BZ23" s="15"/>
      <c r="CA23" s="15"/>
      <c r="CB23" s="274"/>
      <c r="CC23" s="277"/>
      <c r="CD23" s="277"/>
      <c r="CE23" s="277"/>
      <c r="CF23" s="277"/>
    </row>
    <row r="24" spans="1:84" x14ac:dyDescent="0.25">
      <c r="A24" s="300"/>
      <c r="B24" s="299" t="s">
        <v>634</v>
      </c>
      <c r="C24" s="93"/>
      <c r="D24" s="267"/>
      <c r="E24" s="279">
        <f>SUM(E8:E23)/4</f>
        <v>81301509.129999995</v>
      </c>
      <c r="F24" s="268">
        <f>SUM(F8:F23)/4</f>
        <v>81411427.129999995</v>
      </c>
      <c r="G24" s="301"/>
      <c r="H24" s="113"/>
      <c r="I24" s="104"/>
      <c r="J24" s="280">
        <f>SUM(J8:J23)/4</f>
        <v>81343939.530000001</v>
      </c>
      <c r="K24" s="288"/>
      <c r="L24" s="98"/>
      <c r="M24" s="272">
        <f>SUM(M8:M23)/4</f>
        <v>47503896.870000005</v>
      </c>
      <c r="N24" s="281">
        <f>SUM(N8:N23)/4</f>
        <v>76701549.549999982</v>
      </c>
      <c r="O24" s="289"/>
      <c r="P24" s="99"/>
      <c r="Q24" s="270">
        <f>SUM(Q8:Q23)/4</f>
        <v>0</v>
      </c>
      <c r="R24" s="270">
        <f>SUM(R8:R23)/4</f>
        <v>0</v>
      </c>
      <c r="S24" s="270">
        <f>SUM(S8:S23)/4</f>
        <v>0</v>
      </c>
      <c r="T24" s="302"/>
      <c r="U24" s="291"/>
      <c r="V24" s="292"/>
      <c r="W24" s="271">
        <f>SUM(W8:W23)/4</f>
        <v>0</v>
      </c>
      <c r="X24" s="272">
        <f>SUM(X8:X23)/4</f>
        <v>7632457.2700000005</v>
      </c>
      <c r="Y24" s="270">
        <f>SUM(Y8:Y23)/4</f>
        <v>0</v>
      </c>
      <c r="Z24" s="270">
        <f>SUM(Z8:Z23)/4</f>
        <v>0</v>
      </c>
      <c r="AA24" s="270">
        <f>SUM(AA8:AA23)/4</f>
        <v>0</v>
      </c>
      <c r="AB24" s="291"/>
      <c r="AC24" s="293"/>
      <c r="AD24" s="271">
        <f>SUM(AD8:AD23)/4</f>
        <v>4251649.8111258196</v>
      </c>
      <c r="AE24" s="272">
        <f>SUM(AE8:AE23)/4</f>
        <v>1588749.65</v>
      </c>
      <c r="AF24" s="270">
        <f>SUM(AF8:AF23)/4</f>
        <v>0</v>
      </c>
      <c r="AG24" s="291"/>
      <c r="AH24" s="271">
        <f>SUM(AH8:AH23)/4</f>
        <v>0</v>
      </c>
      <c r="AI24" s="272">
        <f>SUM(AI8:AI23)/4</f>
        <v>6043707.6200000001</v>
      </c>
      <c r="AJ24" s="270">
        <f>SUM(AJ8:AJ23)/4</f>
        <v>0</v>
      </c>
      <c r="AK24" s="291"/>
      <c r="AL24" s="283">
        <f>SUM(AL8:AL23)/4</f>
        <v>0</v>
      </c>
      <c r="AM24" s="283">
        <f>SUM(AM8:AM23)/4</f>
        <v>0</v>
      </c>
      <c r="AN24" s="283">
        <f>SUM(AN8:AN23)/4</f>
        <v>0</v>
      </c>
      <c r="AO24" s="291"/>
      <c r="AP24" s="284">
        <f>SUM(AP8:AP23)/4</f>
        <v>8183922.3700000001</v>
      </c>
      <c r="AQ24" s="284">
        <f>SUM(AQ8:AQ23)/4</f>
        <v>0</v>
      </c>
      <c r="AR24" s="284">
        <f>SUM(AR8:AR23)/4</f>
        <v>0</v>
      </c>
      <c r="AS24" s="15"/>
      <c r="AT24" s="274"/>
      <c r="AU24" s="15"/>
      <c r="AV24" s="15"/>
      <c r="AW24" s="275"/>
      <c r="AX24" s="274"/>
      <c r="AY24" s="274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298"/>
      <c r="BO24" s="298"/>
      <c r="BP24" s="298"/>
      <c r="BQ24" s="298"/>
      <c r="BR24" s="294"/>
      <c r="BS24" s="294"/>
      <c r="BT24" s="15"/>
      <c r="BU24" s="15"/>
      <c r="BV24" s="276"/>
      <c r="BW24" s="15"/>
      <c r="BX24" s="15"/>
      <c r="BY24" s="15"/>
      <c r="BZ24" s="15"/>
      <c r="CA24" s="15"/>
      <c r="CB24" s="274"/>
      <c r="CC24" s="277"/>
      <c r="CD24" s="277"/>
      <c r="CE24" s="277"/>
      <c r="CF24" s="277"/>
    </row>
    <row r="25" spans="1:84" x14ac:dyDescent="0.25">
      <c r="A25" s="254"/>
      <c r="B25" s="255"/>
      <c r="C25" s="255"/>
      <c r="D25" s="233"/>
      <c r="E25" s="234"/>
      <c r="F25" s="235"/>
      <c r="G25" s="256"/>
      <c r="H25" s="257"/>
      <c r="I25" s="237"/>
      <c r="J25" s="238"/>
      <c r="K25" s="249"/>
      <c r="L25" s="240"/>
      <c r="M25" s="8"/>
      <c r="N25" s="241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2"/>
      <c r="AT25" s="243"/>
      <c r="AU25" s="242"/>
      <c r="AV25" s="242"/>
      <c r="AW25" s="244"/>
      <c r="AX25" s="243"/>
      <c r="AY25" s="243"/>
      <c r="AZ25" s="242"/>
      <c r="BA25" s="242"/>
      <c r="BB25" s="242"/>
      <c r="BC25" s="242"/>
      <c r="BD25" s="242"/>
      <c r="BE25" s="242"/>
      <c r="BF25" s="242"/>
      <c r="BG25" s="242"/>
      <c r="BH25" s="242"/>
      <c r="BI25" s="242"/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/>
      <c r="BW25" s="242"/>
      <c r="BX25" s="242"/>
      <c r="BY25" s="242"/>
      <c r="BZ25" s="242"/>
      <c r="CA25" s="242"/>
      <c r="CB25" s="243"/>
      <c r="CC25" s="248"/>
      <c r="CD25" s="248"/>
      <c r="CE25" s="248"/>
      <c r="CF25" s="248"/>
    </row>
    <row r="26" spans="1:84" x14ac:dyDescent="0.25">
      <c r="A26" s="254"/>
      <c r="B26" s="255"/>
      <c r="C26" s="255"/>
      <c r="D26" s="233"/>
      <c r="E26" s="234"/>
      <c r="F26" s="235"/>
      <c r="G26" s="256"/>
      <c r="H26" s="257"/>
      <c r="I26" s="237"/>
      <c r="J26" s="238"/>
      <c r="K26" s="249"/>
      <c r="L26" s="240"/>
      <c r="M26" s="8"/>
      <c r="N26" s="241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2"/>
      <c r="AT26" s="243"/>
      <c r="AU26" s="242"/>
      <c r="AV26" s="242"/>
      <c r="AW26" s="244"/>
      <c r="AX26" s="243"/>
      <c r="AY26" s="243"/>
      <c r="AZ26" s="242"/>
      <c r="BA26" s="242"/>
      <c r="BB26" s="242"/>
      <c r="BC26" s="242"/>
      <c r="BD26" s="242"/>
      <c r="BE26" s="242"/>
      <c r="BF26" s="242"/>
      <c r="BG26" s="242"/>
      <c r="BH26" s="242"/>
      <c r="BI26" s="242"/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/>
      <c r="BW26" s="242"/>
      <c r="BX26" s="242"/>
      <c r="BY26" s="242"/>
      <c r="BZ26" s="242"/>
      <c r="CA26" s="242"/>
      <c r="CB26" s="243"/>
      <c r="CC26" s="248"/>
      <c r="CD26" s="248"/>
      <c r="CE26" s="248"/>
      <c r="CF26" s="248"/>
    </row>
    <row r="27" spans="1:84" x14ac:dyDescent="0.25">
      <c r="A27" s="254"/>
      <c r="B27" s="255"/>
      <c r="C27" s="255"/>
      <c r="D27" s="233"/>
      <c r="E27" s="234"/>
      <c r="F27" s="235"/>
      <c r="G27" s="256"/>
      <c r="H27" s="257"/>
      <c r="I27" s="237"/>
      <c r="J27" s="238"/>
      <c r="K27" s="239"/>
      <c r="L27" s="240"/>
      <c r="M27" s="8"/>
      <c r="N27" s="241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2"/>
      <c r="AT27" s="243"/>
      <c r="AU27" s="242"/>
      <c r="AV27" s="242"/>
      <c r="AW27" s="244"/>
      <c r="AX27" s="243"/>
      <c r="AY27" s="243"/>
      <c r="AZ27" s="242"/>
      <c r="BA27" s="242"/>
      <c r="BB27" s="242"/>
      <c r="BC27" s="242"/>
      <c r="BD27" s="242"/>
      <c r="BE27" s="242"/>
      <c r="BF27" s="242"/>
      <c r="BG27" s="242"/>
      <c r="BH27" s="242"/>
      <c r="BI27" s="242"/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/>
      <c r="BW27" s="242"/>
      <c r="BX27" s="242"/>
      <c r="BY27" s="242"/>
      <c r="BZ27" s="242"/>
      <c r="CA27" s="242"/>
      <c r="CB27" s="243"/>
      <c r="CC27" s="248"/>
      <c r="CD27" s="248"/>
      <c r="CE27" s="248"/>
      <c r="CF27" s="248"/>
    </row>
    <row r="28" spans="1:84" x14ac:dyDescent="0.25">
      <c r="A28" s="254"/>
      <c r="B28" s="255"/>
      <c r="C28" s="255"/>
      <c r="D28" s="233"/>
      <c r="E28" s="234"/>
      <c r="F28" s="235"/>
      <c r="G28" s="256"/>
      <c r="H28" s="257"/>
      <c r="I28" s="237"/>
      <c r="J28" s="238"/>
      <c r="K28" s="239"/>
      <c r="L28" s="240"/>
      <c r="M28" s="8"/>
      <c r="N28" s="241"/>
      <c r="O28" s="239"/>
      <c r="P28" s="240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2"/>
      <c r="AT28" s="243"/>
      <c r="AU28" s="242"/>
      <c r="AV28" s="242"/>
      <c r="AW28" s="244"/>
      <c r="AX28" s="243"/>
      <c r="AY28" s="243"/>
      <c r="AZ28" s="242"/>
      <c r="BA28" s="242"/>
      <c r="BB28" s="242"/>
      <c r="BC28" s="242"/>
      <c r="BD28" s="242"/>
      <c r="BE28" s="242"/>
      <c r="BF28" s="242"/>
      <c r="BG28" s="242"/>
      <c r="BH28" s="242"/>
      <c r="BI28" s="242"/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/>
      <c r="BW28" s="242"/>
      <c r="BX28" s="242"/>
      <c r="BY28" s="242"/>
      <c r="BZ28" s="242"/>
      <c r="CA28" s="242"/>
      <c r="CB28" s="243"/>
      <c r="CC28" s="248"/>
      <c r="CD28" s="248"/>
      <c r="CE28" s="248"/>
      <c r="CF28" s="248"/>
    </row>
    <row r="29" spans="1:84" x14ac:dyDescent="0.25">
      <c r="A29" s="254"/>
      <c r="B29" s="255"/>
      <c r="C29" s="255"/>
      <c r="D29" s="233"/>
      <c r="E29" s="234"/>
      <c r="F29" s="235"/>
      <c r="G29" s="256"/>
      <c r="H29" s="257"/>
      <c r="I29" s="237"/>
      <c r="J29" s="238"/>
      <c r="K29" s="239"/>
      <c r="L29" s="240"/>
      <c r="M29" s="8"/>
      <c r="N29" s="241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2"/>
      <c r="AT29" s="243"/>
      <c r="AU29" s="242"/>
      <c r="AV29" s="242"/>
      <c r="AW29" s="244"/>
      <c r="AX29" s="243"/>
      <c r="AY29" s="243"/>
      <c r="AZ29" s="242"/>
      <c r="BA29" s="242"/>
      <c r="BB29" s="242"/>
      <c r="BC29" s="242"/>
      <c r="BD29" s="242"/>
      <c r="BE29" s="242"/>
      <c r="BF29" s="242"/>
      <c r="BG29" s="242"/>
      <c r="BH29" s="242"/>
      <c r="BI29" s="242"/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/>
      <c r="BW29" s="242"/>
      <c r="BX29" s="242"/>
      <c r="BY29" s="242"/>
      <c r="BZ29" s="242"/>
      <c r="CA29" s="242"/>
      <c r="CB29" s="243"/>
      <c r="CC29" s="248"/>
      <c r="CD29" s="248"/>
      <c r="CE29" s="248"/>
      <c r="CF29" s="248"/>
    </row>
    <row r="30" spans="1:84" x14ac:dyDescent="0.25">
      <c r="A30" s="254"/>
      <c r="B30" s="255"/>
      <c r="C30" s="255"/>
      <c r="D30" s="233"/>
      <c r="E30" s="234"/>
      <c r="F30" s="235"/>
      <c r="G30" s="256"/>
      <c r="H30" s="257"/>
      <c r="I30" s="237"/>
      <c r="J30" s="238"/>
      <c r="K30" s="239"/>
      <c r="L30" s="240"/>
      <c r="M30" s="8"/>
      <c r="N30" s="241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2"/>
      <c r="AT30" s="243"/>
      <c r="AU30" s="242"/>
      <c r="AV30" s="242"/>
      <c r="AW30" s="244"/>
      <c r="AX30" s="243"/>
      <c r="AY30" s="243"/>
      <c r="AZ30" s="242"/>
      <c r="BA30" s="242"/>
      <c r="BB30" s="242"/>
      <c r="BC30" s="242"/>
      <c r="BD30" s="242"/>
      <c r="BE30" s="242"/>
      <c r="BF30" s="242"/>
      <c r="BG30" s="242"/>
      <c r="BH30" s="242"/>
      <c r="BI30" s="242"/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/>
      <c r="BW30" s="242"/>
      <c r="BX30" s="242"/>
      <c r="BY30" s="242"/>
      <c r="BZ30" s="242"/>
      <c r="CA30" s="242"/>
      <c r="CB30" s="243"/>
      <c r="CC30" s="248"/>
      <c r="CD30" s="248"/>
      <c r="CE30" s="248"/>
      <c r="CF30" s="248"/>
    </row>
    <row r="31" spans="1:84" x14ac:dyDescent="0.25">
      <c r="A31" s="254"/>
      <c r="B31" s="255"/>
      <c r="C31" s="255"/>
      <c r="D31" s="233"/>
      <c r="E31" s="234"/>
      <c r="F31" s="235"/>
      <c r="G31" s="256"/>
      <c r="H31" s="257"/>
      <c r="I31" s="237"/>
      <c r="J31" s="238"/>
      <c r="K31" s="239"/>
      <c r="L31" s="240"/>
      <c r="M31" s="8"/>
      <c r="N31" s="241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2"/>
      <c r="AT31" s="243"/>
      <c r="AU31" s="242"/>
      <c r="AV31" s="242"/>
      <c r="AW31" s="244"/>
      <c r="AX31" s="243"/>
      <c r="AY31" s="243"/>
      <c r="AZ31" s="242"/>
      <c r="BA31" s="242"/>
      <c r="BB31" s="242"/>
      <c r="BC31" s="242"/>
      <c r="BD31" s="242"/>
      <c r="BE31" s="242"/>
      <c r="BF31" s="242"/>
      <c r="BG31" s="242"/>
      <c r="BH31" s="242"/>
      <c r="BI31" s="242"/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/>
      <c r="BW31" s="242"/>
      <c r="BX31" s="242"/>
      <c r="BY31" s="242"/>
      <c r="BZ31" s="242"/>
      <c r="CA31" s="242"/>
      <c r="CB31" s="243"/>
      <c r="CC31" s="248"/>
      <c r="CD31" s="248"/>
      <c r="CE31" s="248"/>
      <c r="CF31" s="248"/>
    </row>
    <row r="32" spans="1:84" x14ac:dyDescent="0.25">
      <c r="A32" s="254"/>
      <c r="B32" s="255"/>
      <c r="C32" s="255"/>
      <c r="D32" s="233"/>
      <c r="E32" s="234"/>
      <c r="F32" s="235"/>
      <c r="G32" s="256"/>
      <c r="H32" s="257"/>
      <c r="I32" s="237"/>
      <c r="J32" s="238"/>
      <c r="K32" s="239"/>
      <c r="L32" s="240"/>
      <c r="M32" s="8"/>
      <c r="N32" s="241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2"/>
      <c r="AT32" s="243"/>
      <c r="AU32" s="242"/>
      <c r="AV32" s="242"/>
      <c r="AW32" s="244"/>
      <c r="AX32" s="243"/>
      <c r="AY32" s="243"/>
      <c r="AZ32" s="242"/>
      <c r="BA32" s="242"/>
      <c r="BB32" s="242"/>
      <c r="BC32" s="242"/>
      <c r="BD32" s="242"/>
      <c r="BE32" s="242"/>
      <c r="BF32" s="242"/>
      <c r="BG32" s="242"/>
      <c r="BH32" s="242"/>
      <c r="BI32" s="242"/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/>
      <c r="BW32" s="242"/>
      <c r="BX32" s="242"/>
      <c r="BY32" s="242"/>
      <c r="BZ32" s="242"/>
      <c r="CA32" s="242"/>
      <c r="CB32" s="243"/>
      <c r="CC32" s="248"/>
      <c r="CD32" s="248"/>
      <c r="CE32" s="248"/>
      <c r="CF32" s="248"/>
    </row>
    <row r="33" spans="1:84" x14ac:dyDescent="0.25">
      <c r="A33" s="254"/>
      <c r="B33" s="255"/>
      <c r="C33" s="255"/>
      <c r="D33" s="233"/>
      <c r="E33" s="234"/>
      <c r="F33" s="235"/>
      <c r="G33" s="256"/>
      <c r="H33" s="257"/>
      <c r="I33" s="237"/>
      <c r="J33" s="238"/>
      <c r="K33" s="239"/>
      <c r="L33" s="240"/>
      <c r="M33" s="8"/>
      <c r="N33" s="241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2"/>
      <c r="AT33" s="243"/>
      <c r="AU33" s="242"/>
      <c r="AV33" s="242"/>
      <c r="AW33" s="244"/>
      <c r="AX33" s="243"/>
      <c r="AY33" s="243"/>
      <c r="AZ33" s="242"/>
      <c r="BA33" s="242"/>
      <c r="BB33" s="242"/>
      <c r="BC33" s="242"/>
      <c r="BD33" s="242"/>
      <c r="BE33" s="242"/>
      <c r="BF33" s="242"/>
      <c r="BG33" s="242"/>
      <c r="BH33" s="242"/>
      <c r="BI33" s="242"/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/>
      <c r="BW33" s="242"/>
      <c r="BX33" s="242"/>
      <c r="BY33" s="242"/>
      <c r="BZ33" s="242"/>
      <c r="CA33" s="242"/>
      <c r="CB33" s="243"/>
      <c r="CC33" s="248"/>
      <c r="CD33" s="248"/>
      <c r="CE33" s="248"/>
      <c r="CF33" s="248"/>
    </row>
    <row r="34" spans="1:84" x14ac:dyDescent="0.25">
      <c r="A34" s="254"/>
      <c r="B34" s="255"/>
      <c r="C34" s="255"/>
      <c r="D34" s="233"/>
      <c r="E34" s="234"/>
      <c r="F34" s="235"/>
      <c r="G34" s="256"/>
      <c r="H34" s="257"/>
      <c r="I34" s="237"/>
      <c r="J34" s="238"/>
      <c r="K34" s="239"/>
      <c r="L34" s="240"/>
      <c r="M34" s="8"/>
      <c r="N34" s="241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2"/>
      <c r="AT34" s="243"/>
      <c r="AU34" s="242"/>
      <c r="AV34" s="242"/>
      <c r="AW34" s="244"/>
      <c r="AX34" s="243"/>
      <c r="AY34" s="243"/>
      <c r="AZ34" s="242"/>
      <c r="BA34" s="242"/>
      <c r="BB34" s="242"/>
      <c r="BC34" s="242"/>
      <c r="BD34" s="242"/>
      <c r="BE34" s="242"/>
      <c r="BF34" s="242"/>
      <c r="BG34" s="242"/>
      <c r="BH34" s="242"/>
      <c r="BI34" s="242"/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/>
      <c r="BW34" s="242"/>
      <c r="BX34" s="242"/>
      <c r="BY34" s="242"/>
      <c r="BZ34" s="242"/>
      <c r="CA34" s="242"/>
      <c r="CB34" s="243"/>
      <c r="CC34" s="248"/>
      <c r="CD34" s="248"/>
      <c r="CE34" s="248"/>
      <c r="CF34" s="248"/>
    </row>
    <row r="35" spans="1:84" x14ac:dyDescent="0.25">
      <c r="A35" s="254"/>
      <c r="B35" s="255"/>
      <c r="C35" s="255"/>
      <c r="D35" s="233"/>
      <c r="E35" s="234"/>
      <c r="F35" s="235"/>
      <c r="G35" s="256"/>
      <c r="H35" s="257"/>
      <c r="I35" s="237"/>
      <c r="J35" s="238"/>
      <c r="K35" s="239"/>
      <c r="L35" s="240"/>
      <c r="M35" s="8"/>
      <c r="N35" s="241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2"/>
      <c r="AT35" s="243"/>
      <c r="AU35" s="242"/>
      <c r="AV35" s="242"/>
      <c r="AW35" s="244"/>
      <c r="AX35" s="243"/>
      <c r="AY35" s="243"/>
      <c r="AZ35" s="242"/>
      <c r="BA35" s="242"/>
      <c r="BB35" s="242"/>
      <c r="BC35" s="242"/>
      <c r="BD35" s="242"/>
      <c r="BE35" s="242"/>
      <c r="BF35" s="242"/>
      <c r="BG35" s="242"/>
      <c r="BH35" s="242"/>
      <c r="BI35" s="242"/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/>
      <c r="BW35" s="242"/>
      <c r="BX35" s="242"/>
      <c r="BY35" s="242"/>
      <c r="BZ35" s="242"/>
      <c r="CA35" s="242"/>
      <c r="CB35" s="243"/>
      <c r="CC35" s="248"/>
      <c r="CD35" s="248"/>
      <c r="CE35" s="248"/>
      <c r="CF35" s="248"/>
    </row>
    <row r="36" spans="1:84" x14ac:dyDescent="0.25">
      <c r="A36" s="254"/>
      <c r="B36" s="255"/>
      <c r="C36" s="255"/>
      <c r="D36" s="233"/>
      <c r="E36" s="234"/>
      <c r="F36" s="235"/>
      <c r="G36" s="256"/>
      <c r="H36" s="257"/>
      <c r="I36" s="237"/>
      <c r="J36" s="238"/>
      <c r="K36" s="239"/>
      <c r="L36" s="240"/>
      <c r="M36" s="8"/>
      <c r="N36" s="241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2"/>
      <c r="AT36" s="243"/>
      <c r="AU36" s="242"/>
      <c r="AV36" s="242"/>
      <c r="AW36" s="244"/>
      <c r="AX36" s="243"/>
      <c r="AY36" s="243"/>
      <c r="AZ36" s="242"/>
      <c r="BA36" s="242"/>
      <c r="BB36" s="242"/>
      <c r="BC36" s="242"/>
      <c r="BD36" s="242"/>
      <c r="BE36" s="242"/>
      <c r="BF36" s="242"/>
      <c r="BG36" s="242"/>
      <c r="BH36" s="242"/>
      <c r="BI36" s="242"/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/>
      <c r="BW36" s="242"/>
      <c r="BX36" s="242"/>
      <c r="BY36" s="242"/>
      <c r="BZ36" s="242"/>
      <c r="CA36" s="242"/>
      <c r="CB36" s="243"/>
      <c r="CC36" s="248"/>
      <c r="CD36" s="248"/>
      <c r="CE36" s="248"/>
      <c r="CF36" s="248"/>
    </row>
    <row r="37" spans="1:84" x14ac:dyDescent="0.25">
      <c r="A37" s="254"/>
      <c r="B37" s="255"/>
      <c r="C37" s="255"/>
      <c r="D37" s="233"/>
      <c r="E37" s="234"/>
      <c r="F37" s="235"/>
      <c r="G37" s="256"/>
      <c r="H37" s="257"/>
      <c r="I37" s="237"/>
      <c r="J37" s="238"/>
      <c r="K37" s="239"/>
      <c r="L37" s="240"/>
      <c r="M37" s="8"/>
      <c r="N37" s="241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2"/>
      <c r="AT37" s="243"/>
      <c r="AU37" s="242"/>
      <c r="AV37" s="242"/>
      <c r="AW37" s="244"/>
      <c r="AX37" s="243"/>
      <c r="AY37" s="243"/>
      <c r="AZ37" s="242"/>
      <c r="BA37" s="242"/>
      <c r="BB37" s="242"/>
      <c r="BC37" s="242"/>
      <c r="BD37" s="242"/>
      <c r="BE37" s="242"/>
      <c r="BF37" s="242"/>
      <c r="BG37" s="242"/>
      <c r="BH37" s="242"/>
      <c r="BI37" s="242"/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/>
      <c r="BW37" s="242"/>
      <c r="BX37" s="242"/>
      <c r="BY37" s="242"/>
      <c r="BZ37" s="242"/>
      <c r="CA37" s="242"/>
      <c r="CB37" s="243"/>
      <c r="CC37" s="248"/>
      <c r="CD37" s="248"/>
      <c r="CE37" s="248"/>
      <c r="CF37" s="248"/>
    </row>
    <row r="38" spans="1:84" x14ac:dyDescent="0.25">
      <c r="A38" s="254"/>
      <c r="B38" s="255"/>
      <c r="C38" s="255"/>
      <c r="D38" s="233"/>
      <c r="E38" s="234"/>
      <c r="F38" s="235"/>
      <c r="G38" s="256"/>
      <c r="H38" s="257"/>
      <c r="I38" s="237"/>
      <c r="J38" s="238"/>
      <c r="K38" s="239"/>
      <c r="L38" s="240"/>
      <c r="M38" s="8"/>
      <c r="N38" s="241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2"/>
      <c r="AT38" s="243"/>
      <c r="AU38" s="242"/>
      <c r="AV38" s="242"/>
      <c r="AW38" s="244"/>
      <c r="AX38" s="243"/>
      <c r="AY38" s="243"/>
      <c r="AZ38" s="242"/>
      <c r="BA38" s="242"/>
      <c r="BB38" s="242"/>
      <c r="BC38" s="242"/>
      <c r="BD38" s="242"/>
      <c r="BE38" s="242"/>
      <c r="BF38" s="242"/>
      <c r="BG38" s="242"/>
      <c r="BH38" s="242"/>
      <c r="BI38" s="242"/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/>
      <c r="BW38" s="242"/>
      <c r="BX38" s="242"/>
      <c r="BY38" s="242"/>
      <c r="BZ38" s="242"/>
      <c r="CA38" s="242"/>
      <c r="CB38" s="243"/>
      <c r="CC38" s="248"/>
      <c r="CD38" s="248"/>
      <c r="CE38" s="248"/>
      <c r="CF38" s="248"/>
    </row>
    <row r="39" spans="1:84" x14ac:dyDescent="0.25">
      <c r="A39" s="254"/>
      <c r="B39" s="255"/>
      <c r="C39" s="255"/>
      <c r="D39" s="233"/>
      <c r="E39" s="234"/>
      <c r="F39" s="235"/>
      <c r="G39" s="256"/>
      <c r="H39" s="257"/>
      <c r="I39" s="237"/>
      <c r="J39" s="238"/>
      <c r="K39" s="239"/>
      <c r="L39" s="240"/>
      <c r="M39" s="8"/>
      <c r="N39" s="241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255"/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/>
      <c r="B42" s="255"/>
      <c r="C42" s="255"/>
      <c r="D42" s="233"/>
      <c r="E42" s="234"/>
      <c r="F42" s="235"/>
      <c r="G42" s="256"/>
      <c r="H42" s="257"/>
      <c r="I42" s="237"/>
      <c r="J42" s="238"/>
      <c r="K42" s="239"/>
      <c r="L42" s="240"/>
      <c r="M42" s="8"/>
      <c r="N42" s="241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2"/>
      <c r="AT42" s="243"/>
      <c r="AU42" s="242"/>
      <c r="AV42" s="242"/>
      <c r="AW42" s="244"/>
      <c r="AX42" s="243"/>
      <c r="AY42" s="243"/>
      <c r="AZ42" s="242"/>
      <c r="BA42" s="242"/>
      <c r="BB42" s="242"/>
      <c r="BC42" s="242"/>
      <c r="BD42" s="242"/>
      <c r="BE42" s="242"/>
      <c r="BF42" s="242"/>
      <c r="BG42" s="242"/>
      <c r="BH42" s="242"/>
      <c r="BI42" s="242"/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/>
      <c r="BW42" s="242"/>
      <c r="BX42" s="242"/>
      <c r="BY42" s="242"/>
      <c r="BZ42" s="242"/>
      <c r="CA42" s="242"/>
      <c r="CB42" s="243"/>
      <c r="CC42" s="248"/>
      <c r="CD42" s="248"/>
      <c r="CE42" s="248"/>
      <c r="CF42" s="248"/>
    </row>
    <row r="43" spans="1:84" x14ac:dyDescent="0.25">
      <c r="A43" s="254"/>
      <c r="B43" s="255"/>
      <c r="C43" s="255"/>
      <c r="D43" s="233"/>
      <c r="E43" s="234"/>
      <c r="F43" s="235"/>
      <c r="G43" s="256"/>
      <c r="H43" s="257"/>
      <c r="I43" s="237"/>
      <c r="J43" s="238"/>
      <c r="K43" s="239"/>
      <c r="L43" s="240"/>
      <c r="M43" s="8"/>
      <c r="N43" s="241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2"/>
      <c r="AT43" s="243"/>
      <c r="AU43" s="242"/>
      <c r="AV43" s="242"/>
      <c r="AW43" s="244"/>
      <c r="AX43" s="243"/>
      <c r="AY43" s="243"/>
      <c r="AZ43" s="242"/>
      <c r="BA43" s="242"/>
      <c r="BB43" s="242"/>
      <c r="BC43" s="242"/>
      <c r="BD43" s="242"/>
      <c r="BE43" s="242"/>
      <c r="BF43" s="242"/>
      <c r="BG43" s="242"/>
      <c r="BH43" s="242"/>
      <c r="BI43" s="242"/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/>
      <c r="BX43" s="242"/>
      <c r="BY43" s="242"/>
      <c r="BZ43" s="242"/>
      <c r="CA43" s="242"/>
      <c r="CB43" s="243"/>
      <c r="CC43" s="248"/>
      <c r="CD43" s="248"/>
      <c r="CE43" s="248"/>
      <c r="CF43" s="248"/>
    </row>
    <row r="44" spans="1:84" x14ac:dyDescent="0.25">
      <c r="A44" s="254"/>
      <c r="B44" s="255"/>
      <c r="C44" s="255"/>
      <c r="D44" s="233"/>
      <c r="E44" s="234"/>
      <c r="F44" s="235"/>
      <c r="G44" s="256"/>
      <c r="H44" s="257"/>
      <c r="I44" s="237"/>
      <c r="J44" s="238"/>
      <c r="K44" s="239"/>
      <c r="L44" s="240"/>
      <c r="M44" s="8"/>
      <c r="N44" s="241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2"/>
      <c r="AT44" s="243"/>
      <c r="AU44" s="242"/>
      <c r="AV44" s="242"/>
      <c r="AW44" s="244"/>
      <c r="AX44" s="243"/>
      <c r="AY44" s="243"/>
      <c r="AZ44" s="242"/>
      <c r="BA44" s="242"/>
      <c r="BB44" s="242"/>
      <c r="BC44" s="242"/>
      <c r="BD44" s="242"/>
      <c r="BE44" s="242"/>
      <c r="BF44" s="242"/>
      <c r="BG44" s="242"/>
      <c r="BH44" s="242"/>
      <c r="BI44" s="242"/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/>
      <c r="BW44" s="242"/>
      <c r="BX44" s="242"/>
      <c r="BY44" s="242"/>
      <c r="BZ44" s="242"/>
      <c r="CA44" s="242"/>
      <c r="CB44" s="243"/>
      <c r="CC44" s="248"/>
      <c r="CD44" s="248"/>
      <c r="CE44" s="248"/>
      <c r="CF44" s="248"/>
    </row>
    <row r="45" spans="1:84" x14ac:dyDescent="0.25">
      <c r="A45" s="254"/>
      <c r="B45" s="259"/>
      <c r="C45" s="255"/>
      <c r="D45" s="233"/>
      <c r="E45" s="234"/>
      <c r="F45" s="235"/>
      <c r="G45" s="256"/>
      <c r="H45" s="257"/>
      <c r="I45" s="237"/>
      <c r="J45" s="238"/>
      <c r="K45" s="239"/>
      <c r="L45" s="240"/>
      <c r="M45" s="8"/>
      <c r="N45" s="241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2"/>
      <c r="AT45" s="243"/>
      <c r="AU45" s="242"/>
      <c r="AV45" s="242"/>
      <c r="AW45" s="244"/>
      <c r="AX45" s="243"/>
      <c r="AY45" s="243"/>
      <c r="AZ45" s="242"/>
      <c r="BA45" s="242"/>
      <c r="BB45" s="242"/>
      <c r="BC45" s="242"/>
      <c r="BD45" s="242"/>
      <c r="BE45" s="242"/>
      <c r="BF45" s="242"/>
      <c r="BG45" s="242"/>
      <c r="BH45" s="242"/>
      <c r="BI45" s="242"/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/>
      <c r="BW45" s="242"/>
      <c r="BX45" s="242"/>
      <c r="BY45" s="242"/>
      <c r="BZ45" s="242"/>
      <c r="CA45" s="242"/>
      <c r="CB45" s="243"/>
      <c r="CC45" s="248"/>
      <c r="CD45" s="248"/>
      <c r="CE45" s="248"/>
      <c r="CF45" s="248"/>
    </row>
    <row r="46" spans="1:84" x14ac:dyDescent="0.25">
      <c r="A46" s="254"/>
      <c r="B46" s="259"/>
      <c r="C46" s="255"/>
      <c r="D46" s="233"/>
      <c r="E46" s="234"/>
      <c r="F46" s="235"/>
      <c r="G46" s="256"/>
      <c r="H46" s="257"/>
      <c r="I46" s="237"/>
      <c r="J46" s="238"/>
      <c r="K46" s="239"/>
      <c r="L46" s="240"/>
      <c r="M46" s="8"/>
      <c r="N46" s="241"/>
      <c r="O46" s="239"/>
      <c r="P46" s="240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2"/>
      <c r="AT46" s="243"/>
      <c r="AU46" s="242"/>
      <c r="AV46" s="242"/>
      <c r="AW46" s="244"/>
      <c r="AX46" s="243"/>
      <c r="AY46" s="243"/>
      <c r="AZ46" s="242"/>
      <c r="BA46" s="242"/>
      <c r="BB46" s="242"/>
      <c r="BC46" s="242"/>
      <c r="BD46" s="242"/>
      <c r="BE46" s="242"/>
      <c r="BF46" s="242"/>
      <c r="BG46" s="242"/>
      <c r="BH46" s="242"/>
      <c r="BI46" s="242"/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/>
      <c r="BW46" s="242"/>
      <c r="BX46" s="242"/>
      <c r="BY46" s="242"/>
      <c r="BZ46" s="242"/>
      <c r="CA46" s="242"/>
      <c r="CB46" s="243"/>
      <c r="CC46" s="248"/>
      <c r="CD46" s="248"/>
      <c r="CE46" s="248"/>
      <c r="CF46" s="248"/>
    </row>
    <row r="47" spans="1:84" x14ac:dyDescent="0.25">
      <c r="A47" s="254"/>
      <c r="B47" s="255"/>
      <c r="C47" s="255"/>
      <c r="D47" s="233"/>
      <c r="E47" s="234"/>
      <c r="F47" s="235"/>
      <c r="G47" s="256"/>
      <c r="H47" s="257"/>
      <c r="I47" s="237"/>
      <c r="J47" s="238"/>
      <c r="K47" s="239"/>
      <c r="L47" s="240"/>
      <c r="M47" s="8"/>
      <c r="N47" s="241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2"/>
      <c r="AT47" s="243"/>
      <c r="AU47" s="242"/>
      <c r="AV47" s="242"/>
      <c r="AW47" s="244"/>
      <c r="AX47" s="243"/>
      <c r="AY47" s="243"/>
      <c r="AZ47" s="242"/>
      <c r="BA47" s="242"/>
      <c r="BB47" s="242"/>
      <c r="BC47" s="242"/>
      <c r="BD47" s="242"/>
      <c r="BE47" s="242"/>
      <c r="BF47" s="242"/>
      <c r="BG47" s="242"/>
      <c r="BH47" s="242"/>
      <c r="BI47" s="242"/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/>
      <c r="BW47" s="242"/>
      <c r="BX47" s="242"/>
      <c r="BY47" s="242"/>
      <c r="BZ47" s="242"/>
      <c r="CA47" s="242"/>
      <c r="CB47" s="243"/>
      <c r="CC47" s="248"/>
      <c r="CD47" s="248"/>
      <c r="CE47" s="248"/>
      <c r="CF47" s="248"/>
    </row>
    <row r="48" spans="1:84" x14ac:dyDescent="0.25">
      <c r="A48" s="254"/>
      <c r="B48" s="255"/>
      <c r="C48" s="255"/>
      <c r="D48" s="233"/>
      <c r="E48" s="234"/>
      <c r="F48" s="235"/>
      <c r="G48" s="256"/>
      <c r="H48" s="257"/>
      <c r="I48" s="237"/>
      <c r="J48" s="238"/>
      <c r="K48" s="239"/>
      <c r="L48" s="240"/>
      <c r="M48" s="8"/>
      <c r="N48" s="241"/>
      <c r="O48" s="239"/>
      <c r="P48" s="240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2"/>
      <c r="AT48" s="243"/>
      <c r="AU48" s="242"/>
      <c r="AV48" s="242"/>
      <c r="AW48" s="244"/>
      <c r="AX48" s="243"/>
      <c r="AY48" s="243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/>
      <c r="BW48" s="242"/>
      <c r="BX48" s="242"/>
      <c r="BY48" s="242"/>
      <c r="BZ48" s="242"/>
      <c r="CA48" s="242"/>
      <c r="CB48" s="243"/>
      <c r="CC48" s="248"/>
      <c r="CD48" s="248"/>
      <c r="CE48" s="248"/>
      <c r="CF48" s="248"/>
    </row>
    <row r="49" spans="1:84" x14ac:dyDescent="0.25">
      <c r="A49" s="254"/>
      <c r="B49" s="255"/>
      <c r="C49" s="255"/>
      <c r="D49" s="233"/>
      <c r="E49" s="234"/>
      <c r="F49" s="235"/>
      <c r="G49" s="256"/>
      <c r="H49" s="257"/>
      <c r="I49" s="237"/>
      <c r="J49" s="238"/>
      <c r="K49" s="239"/>
      <c r="L49" s="240"/>
      <c r="M49" s="8"/>
      <c r="N49" s="241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2"/>
      <c r="AT49" s="243"/>
      <c r="AU49" s="242"/>
      <c r="AV49" s="242"/>
      <c r="AW49" s="244"/>
      <c r="AX49" s="243"/>
      <c r="AY49" s="243"/>
      <c r="AZ49" s="242"/>
      <c r="BA49" s="242"/>
      <c r="BB49" s="242"/>
      <c r="BC49" s="242"/>
      <c r="BD49" s="242"/>
      <c r="BE49" s="242"/>
      <c r="BF49" s="242"/>
      <c r="BG49" s="242"/>
      <c r="BH49" s="242"/>
      <c r="BI49" s="242"/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/>
      <c r="BW49" s="242"/>
      <c r="BX49" s="242"/>
      <c r="BY49" s="242"/>
      <c r="BZ49" s="242"/>
      <c r="CA49" s="242"/>
      <c r="CB49" s="243"/>
      <c r="CC49" s="248"/>
      <c r="CD49" s="248"/>
      <c r="CE49" s="248"/>
      <c r="CF49" s="248"/>
    </row>
    <row r="50" spans="1:84" x14ac:dyDescent="0.25">
      <c r="A50" s="254"/>
      <c r="B50" s="255"/>
      <c r="C50" s="255"/>
      <c r="D50" s="233"/>
      <c r="E50" s="234"/>
      <c r="F50" s="235"/>
      <c r="G50" s="256"/>
      <c r="H50" s="257"/>
      <c r="I50" s="237"/>
      <c r="J50" s="238"/>
      <c r="K50" s="239"/>
      <c r="L50" s="240"/>
      <c r="M50" s="8"/>
      <c r="N50" s="241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2"/>
      <c r="AT50" s="243"/>
      <c r="AU50" s="242"/>
      <c r="AV50" s="242"/>
      <c r="AW50" s="244"/>
      <c r="AX50" s="243"/>
      <c r="AY50" s="243"/>
      <c r="AZ50" s="242"/>
      <c r="BA50" s="242"/>
      <c r="BB50" s="242"/>
      <c r="BC50" s="242"/>
      <c r="BD50" s="242"/>
      <c r="BE50" s="242"/>
      <c r="BF50" s="242"/>
      <c r="BG50" s="242"/>
      <c r="BH50" s="242"/>
      <c r="BI50" s="242"/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/>
      <c r="BW50" s="242"/>
      <c r="BX50" s="242"/>
      <c r="BY50" s="242"/>
      <c r="BZ50" s="242"/>
      <c r="CA50" s="242"/>
      <c r="CB50" s="243"/>
      <c r="CC50" s="248"/>
      <c r="CD50" s="248"/>
      <c r="CE50" s="248"/>
      <c r="CF50" s="248"/>
    </row>
    <row r="51" spans="1:84" x14ac:dyDescent="0.25">
      <c r="A51" s="254"/>
      <c r="B51" s="255"/>
      <c r="C51" s="255"/>
      <c r="D51" s="233"/>
      <c r="E51" s="234"/>
      <c r="F51" s="235"/>
      <c r="G51" s="256"/>
      <c r="H51" s="257"/>
      <c r="I51" s="237"/>
      <c r="J51" s="238"/>
      <c r="K51" s="239"/>
      <c r="L51" s="240"/>
      <c r="M51" s="8"/>
      <c r="N51" s="241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2"/>
      <c r="AT51" s="243"/>
      <c r="AU51" s="242"/>
      <c r="AV51" s="242"/>
      <c r="AW51" s="244"/>
      <c r="AX51" s="243"/>
      <c r="AY51" s="243"/>
      <c r="AZ51" s="242"/>
      <c r="BA51" s="242"/>
      <c r="BB51" s="242"/>
      <c r="BC51" s="242"/>
      <c r="BD51" s="242"/>
      <c r="BE51" s="242"/>
      <c r="BF51" s="242"/>
      <c r="BG51" s="242"/>
      <c r="BH51" s="242"/>
      <c r="BI51" s="242"/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/>
      <c r="BW51" s="242"/>
      <c r="BX51" s="242"/>
      <c r="BY51" s="242"/>
      <c r="BZ51" s="242"/>
      <c r="CA51" s="242"/>
      <c r="CB51" s="243"/>
      <c r="CC51" s="248"/>
      <c r="CD51" s="248"/>
      <c r="CE51" s="248"/>
      <c r="CF51" s="248"/>
    </row>
    <row r="52" spans="1:84" x14ac:dyDescent="0.25">
      <c r="A52" s="254"/>
      <c r="B52" s="255"/>
      <c r="C52" s="255"/>
      <c r="D52" s="233"/>
      <c r="E52" s="234"/>
      <c r="F52" s="235"/>
      <c r="G52" s="256"/>
      <c r="H52" s="257"/>
      <c r="I52" s="237"/>
      <c r="J52" s="238"/>
      <c r="K52" s="239"/>
      <c r="L52" s="240"/>
      <c r="M52" s="8"/>
      <c r="N52" s="241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2"/>
      <c r="AT52" s="243"/>
      <c r="AU52" s="242"/>
      <c r="AV52" s="242"/>
      <c r="AW52" s="244"/>
      <c r="AX52" s="243"/>
      <c r="AY52" s="243"/>
      <c r="AZ52" s="242"/>
      <c r="BA52" s="242"/>
      <c r="BB52" s="242"/>
      <c r="BC52" s="242"/>
      <c r="BD52" s="242"/>
      <c r="BE52" s="242"/>
      <c r="BF52" s="242"/>
      <c r="BG52" s="242"/>
      <c r="BH52" s="242"/>
      <c r="BI52" s="242"/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/>
      <c r="BW52" s="242"/>
      <c r="BX52" s="242"/>
      <c r="BY52" s="242"/>
      <c r="BZ52" s="242"/>
      <c r="CA52" s="242"/>
      <c r="CB52" s="243"/>
      <c r="CC52" s="248"/>
      <c r="CD52" s="248"/>
      <c r="CE52" s="248"/>
      <c r="CF52" s="248"/>
    </row>
    <row r="53" spans="1:84" x14ac:dyDescent="0.25">
      <c r="A53" s="254"/>
      <c r="B53" s="255"/>
      <c r="C53" s="255"/>
      <c r="D53" s="233"/>
      <c r="E53" s="234"/>
      <c r="F53" s="235"/>
      <c r="G53" s="256"/>
      <c r="H53" s="257"/>
      <c r="I53" s="237"/>
      <c r="J53" s="238"/>
      <c r="K53" s="239"/>
      <c r="L53" s="240"/>
      <c r="M53" s="8"/>
      <c r="N53" s="241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2"/>
      <c r="AT53" s="243"/>
      <c r="AU53" s="242"/>
      <c r="AV53" s="242"/>
      <c r="AW53" s="244"/>
      <c r="AX53" s="243"/>
      <c r="AY53" s="243"/>
      <c r="AZ53" s="242"/>
      <c r="BA53" s="242"/>
      <c r="BB53" s="242"/>
      <c r="BC53" s="242"/>
      <c r="BD53" s="242"/>
      <c r="BE53" s="242"/>
      <c r="BF53" s="242"/>
      <c r="BG53" s="242"/>
      <c r="BH53" s="242"/>
      <c r="BI53" s="242"/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/>
      <c r="BW53" s="242"/>
      <c r="BX53" s="242"/>
      <c r="BY53" s="242"/>
      <c r="BZ53" s="242"/>
      <c r="CA53" s="242"/>
      <c r="CB53" s="243"/>
      <c r="CC53" s="248"/>
      <c r="CD53" s="248"/>
      <c r="CE53" s="248"/>
      <c r="CF53" s="248"/>
    </row>
    <row r="54" spans="1:84" x14ac:dyDescent="0.25">
      <c r="A54" s="254"/>
      <c r="B54" s="255"/>
      <c r="C54" s="255"/>
      <c r="D54" s="233"/>
      <c r="E54" s="234"/>
      <c r="F54" s="235"/>
      <c r="G54" s="256"/>
      <c r="H54" s="257"/>
      <c r="I54" s="237"/>
      <c r="J54" s="238"/>
      <c r="K54" s="239"/>
      <c r="L54" s="240"/>
      <c r="M54" s="8"/>
      <c r="N54" s="241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2"/>
      <c r="AT54" s="243"/>
      <c r="AU54" s="242"/>
      <c r="AV54" s="242"/>
      <c r="AW54" s="244"/>
      <c r="AX54" s="243"/>
      <c r="AY54" s="243"/>
      <c r="AZ54" s="242"/>
      <c r="BA54" s="242"/>
      <c r="BB54" s="242"/>
      <c r="BC54" s="242"/>
      <c r="BD54" s="242"/>
      <c r="BE54" s="242"/>
      <c r="BF54" s="242"/>
      <c r="BG54" s="242"/>
      <c r="BH54" s="242"/>
      <c r="BI54" s="242"/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/>
      <c r="BW54" s="242"/>
      <c r="BX54" s="242"/>
      <c r="BY54" s="242"/>
      <c r="BZ54" s="242"/>
      <c r="CA54" s="242"/>
      <c r="CB54" s="243"/>
      <c r="CC54" s="248"/>
      <c r="CD54" s="248"/>
      <c r="CE54" s="248"/>
      <c r="CF54" s="248"/>
    </row>
    <row r="55" spans="1:84" x14ac:dyDescent="0.25">
      <c r="A55" s="254"/>
      <c r="B55" s="255"/>
      <c r="C55" s="255"/>
      <c r="D55" s="233"/>
      <c r="E55" s="234"/>
      <c r="F55" s="235"/>
      <c r="G55" s="256"/>
      <c r="H55" s="257"/>
      <c r="I55" s="237"/>
      <c r="J55" s="238"/>
      <c r="K55" s="239"/>
      <c r="L55" s="240"/>
      <c r="M55" s="8"/>
      <c r="N55" s="241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2"/>
      <c r="AT55" s="243"/>
      <c r="AU55" s="242"/>
      <c r="AV55" s="242"/>
      <c r="AW55" s="244"/>
      <c r="AX55" s="243"/>
      <c r="AY55" s="243"/>
      <c r="AZ55" s="242"/>
      <c r="BA55" s="242"/>
      <c r="BB55" s="242"/>
      <c r="BC55" s="242"/>
      <c r="BD55" s="242"/>
      <c r="BE55" s="242"/>
      <c r="BF55" s="242"/>
      <c r="BG55" s="242"/>
      <c r="BH55" s="242"/>
      <c r="BI55" s="242"/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/>
      <c r="BW55" s="242"/>
      <c r="BX55" s="242"/>
      <c r="BY55" s="242"/>
      <c r="BZ55" s="242"/>
      <c r="CA55" s="242"/>
      <c r="CB55" s="243"/>
      <c r="CC55" s="248"/>
      <c r="CD55" s="248"/>
      <c r="CE55" s="248"/>
      <c r="CF55" s="248"/>
    </row>
    <row r="56" spans="1:84" x14ac:dyDescent="0.25">
      <c r="A56" s="254"/>
      <c r="B56" s="255"/>
      <c r="C56" s="255"/>
      <c r="D56" s="233"/>
      <c r="E56" s="234"/>
      <c r="F56" s="235"/>
      <c r="G56" s="256"/>
      <c r="H56" s="257"/>
      <c r="I56" s="237"/>
      <c r="J56" s="238"/>
      <c r="K56" s="239"/>
      <c r="L56" s="240"/>
      <c r="M56" s="8"/>
      <c r="N56" s="241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2"/>
      <c r="AT56" s="243"/>
      <c r="AU56" s="242"/>
      <c r="AV56" s="242"/>
      <c r="AW56" s="244"/>
      <c r="AX56" s="243"/>
      <c r="AY56" s="243"/>
      <c r="AZ56" s="242"/>
      <c r="BA56" s="242"/>
      <c r="BB56" s="242"/>
      <c r="BC56" s="242"/>
      <c r="BD56" s="242"/>
      <c r="BE56" s="242"/>
      <c r="BF56" s="242"/>
      <c r="BG56" s="242"/>
      <c r="BH56" s="242"/>
      <c r="BI56" s="242"/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/>
      <c r="BW56" s="242"/>
      <c r="BX56" s="242"/>
      <c r="BY56" s="242"/>
      <c r="BZ56" s="242"/>
      <c r="CA56" s="242"/>
      <c r="CB56" s="243"/>
      <c r="CC56" s="248"/>
      <c r="CD56" s="248"/>
      <c r="CE56" s="248"/>
      <c r="CF56" s="248"/>
    </row>
    <row r="57" spans="1:84" x14ac:dyDescent="0.25">
      <c r="A57" s="254"/>
      <c r="B57" s="255"/>
      <c r="C57" s="255"/>
      <c r="D57" s="233"/>
      <c r="E57" s="234"/>
      <c r="F57" s="235"/>
      <c r="G57" s="256"/>
      <c r="H57" s="257"/>
      <c r="I57" s="237"/>
      <c r="J57" s="238"/>
      <c r="K57" s="239"/>
      <c r="L57" s="240"/>
      <c r="M57" s="8"/>
      <c r="N57" s="241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2"/>
      <c r="AT57" s="243"/>
      <c r="AU57" s="242"/>
      <c r="AV57" s="242"/>
      <c r="AW57" s="244"/>
      <c r="AX57" s="243"/>
      <c r="AY57" s="243"/>
      <c r="AZ57" s="242"/>
      <c r="BA57" s="242"/>
      <c r="BB57" s="242"/>
      <c r="BC57" s="242"/>
      <c r="BD57" s="242"/>
      <c r="BE57" s="242"/>
      <c r="BF57" s="242"/>
      <c r="BG57" s="242"/>
      <c r="BH57" s="242"/>
      <c r="BI57" s="242"/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/>
      <c r="BW57" s="242"/>
      <c r="BX57" s="242"/>
      <c r="BY57" s="242"/>
      <c r="BZ57" s="242"/>
      <c r="CA57" s="242"/>
      <c r="CB57" s="243"/>
      <c r="CC57" s="248"/>
      <c r="CD57" s="248"/>
      <c r="CE57" s="248"/>
      <c r="CF57" s="248"/>
    </row>
    <row r="58" spans="1:84" x14ac:dyDescent="0.25">
      <c r="A58" s="254"/>
      <c r="B58" s="255"/>
      <c r="C58" s="255"/>
      <c r="D58" s="233"/>
      <c r="E58" s="234"/>
      <c r="F58" s="235"/>
      <c r="G58" s="256"/>
      <c r="H58" s="257"/>
      <c r="I58" s="237"/>
      <c r="J58" s="238"/>
      <c r="K58" s="239"/>
      <c r="L58" s="240"/>
      <c r="M58" s="8"/>
      <c r="N58" s="241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2"/>
      <c r="AT58" s="243"/>
      <c r="AU58" s="242"/>
      <c r="AV58" s="242"/>
      <c r="AW58" s="244"/>
      <c r="AX58" s="243"/>
      <c r="AY58" s="243"/>
      <c r="AZ58" s="242"/>
      <c r="BA58" s="242"/>
      <c r="BB58" s="242"/>
      <c r="BC58" s="242"/>
      <c r="BD58" s="242"/>
      <c r="BE58" s="242"/>
      <c r="BF58" s="242"/>
      <c r="BG58" s="242"/>
      <c r="BH58" s="242"/>
      <c r="BI58" s="242"/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/>
      <c r="BW58" s="242"/>
      <c r="BX58" s="242"/>
      <c r="BY58" s="242"/>
      <c r="BZ58" s="242"/>
      <c r="CA58" s="242"/>
      <c r="CB58" s="243"/>
      <c r="CC58" s="248"/>
      <c r="CD58" s="248"/>
      <c r="CE58" s="248"/>
      <c r="CF58" s="248"/>
    </row>
    <row r="59" spans="1:84" x14ac:dyDescent="0.25">
      <c r="A59" s="254"/>
      <c r="B59" s="255"/>
      <c r="C59" s="255"/>
      <c r="D59" s="233"/>
      <c r="E59" s="234"/>
      <c r="F59" s="235"/>
      <c r="G59" s="256"/>
      <c r="H59" s="257"/>
      <c r="I59" s="237"/>
      <c r="J59" s="238"/>
      <c r="K59" s="239"/>
      <c r="L59" s="240"/>
      <c r="M59" s="8"/>
      <c r="N59" s="241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2"/>
      <c r="AT59" s="243"/>
      <c r="AU59" s="242"/>
      <c r="AV59" s="242"/>
      <c r="AW59" s="244"/>
      <c r="AX59" s="243"/>
      <c r="AY59" s="243"/>
      <c r="AZ59" s="242"/>
      <c r="BA59" s="242"/>
      <c r="BB59" s="242"/>
      <c r="BC59" s="242"/>
      <c r="BD59" s="242"/>
      <c r="BE59" s="242"/>
      <c r="BF59" s="242"/>
      <c r="BG59" s="242"/>
      <c r="BH59" s="242"/>
      <c r="BI59" s="242"/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/>
      <c r="BW59" s="242"/>
      <c r="BX59" s="242"/>
      <c r="BY59" s="242"/>
      <c r="BZ59" s="242"/>
      <c r="CA59" s="242"/>
      <c r="CB59" s="243"/>
      <c r="CC59" s="248"/>
      <c r="CD59" s="248"/>
      <c r="CE59" s="248"/>
      <c r="CF59" s="248"/>
    </row>
    <row r="60" spans="1:84" x14ac:dyDescent="0.25">
      <c r="A60" s="254"/>
      <c r="B60" s="255"/>
      <c r="C60" s="255"/>
      <c r="D60" s="233"/>
      <c r="E60" s="234"/>
      <c r="F60" s="235"/>
      <c r="G60" s="256"/>
      <c r="H60" s="257"/>
      <c r="I60" s="237"/>
      <c r="J60" s="238"/>
      <c r="K60" s="239"/>
      <c r="L60" s="240"/>
      <c r="M60" s="8"/>
      <c r="N60" s="241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2"/>
      <c r="AT60" s="243"/>
      <c r="AU60" s="242"/>
      <c r="AV60" s="242"/>
      <c r="AW60" s="244"/>
      <c r="AX60" s="243"/>
      <c r="AY60" s="243"/>
      <c r="AZ60" s="242"/>
      <c r="BA60" s="242"/>
      <c r="BB60" s="242"/>
      <c r="BC60" s="242"/>
      <c r="BD60" s="242"/>
      <c r="BE60" s="242"/>
      <c r="BF60" s="242"/>
      <c r="BG60" s="242"/>
      <c r="BH60" s="242"/>
      <c r="BI60" s="242"/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/>
      <c r="BW60" s="242"/>
      <c r="BX60" s="242"/>
      <c r="BY60" s="242"/>
      <c r="BZ60" s="242"/>
      <c r="CA60" s="242"/>
      <c r="CB60" s="243"/>
      <c r="CC60" s="248"/>
      <c r="CD60" s="248"/>
      <c r="CE60" s="248"/>
      <c r="CF60" s="248"/>
    </row>
    <row r="61" spans="1:84" x14ac:dyDescent="0.25">
      <c r="A61" s="254"/>
      <c r="B61" s="255"/>
      <c r="C61" s="255"/>
      <c r="D61" s="233"/>
      <c r="E61" s="234"/>
      <c r="F61" s="235"/>
      <c r="G61" s="256"/>
      <c r="H61" s="257"/>
      <c r="I61" s="237"/>
      <c r="J61" s="238"/>
      <c r="K61" s="239"/>
      <c r="L61" s="240"/>
      <c r="M61" s="8"/>
      <c r="N61" s="241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2"/>
      <c r="AT61" s="243"/>
      <c r="AU61" s="242"/>
      <c r="AV61" s="242"/>
      <c r="AW61" s="244"/>
      <c r="AX61" s="243"/>
      <c r="AY61" s="243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/>
      <c r="BW61" s="242"/>
      <c r="BX61" s="242"/>
      <c r="BY61" s="242"/>
      <c r="BZ61" s="242"/>
      <c r="CA61" s="242"/>
      <c r="CB61" s="243"/>
      <c r="CC61" s="248"/>
      <c r="CD61" s="248"/>
      <c r="CE61" s="248"/>
      <c r="CF61" s="248"/>
    </row>
    <row r="62" spans="1:84" x14ac:dyDescent="0.25">
      <c r="A62" s="254"/>
      <c r="B62" s="255"/>
      <c r="C62" s="255"/>
      <c r="D62" s="233"/>
      <c r="E62" s="234"/>
      <c r="F62" s="235"/>
      <c r="G62" s="256"/>
      <c r="H62" s="257"/>
      <c r="I62" s="237"/>
      <c r="J62" s="238"/>
      <c r="K62" s="239"/>
      <c r="L62" s="240"/>
      <c r="M62" s="8"/>
      <c r="N62" s="241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2"/>
      <c r="AT62" s="243"/>
      <c r="AU62" s="242"/>
      <c r="AV62" s="242"/>
      <c r="AW62" s="244"/>
      <c r="AX62" s="243"/>
      <c r="AY62" s="243"/>
      <c r="AZ62" s="242"/>
      <c r="BA62" s="242"/>
      <c r="BB62" s="242"/>
      <c r="BC62" s="242"/>
      <c r="BD62" s="242"/>
      <c r="BE62" s="242"/>
      <c r="BF62" s="242"/>
      <c r="BG62" s="242"/>
      <c r="BH62" s="242"/>
      <c r="BI62" s="242"/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/>
      <c r="BW62" s="242"/>
      <c r="BX62" s="242"/>
      <c r="BY62" s="242"/>
      <c r="BZ62" s="242"/>
      <c r="CA62" s="242"/>
      <c r="CB62" s="243"/>
      <c r="CC62" s="248"/>
      <c r="CD62" s="248"/>
      <c r="CE62" s="248"/>
      <c r="CF62" s="248"/>
    </row>
    <row r="63" spans="1:84" x14ac:dyDescent="0.25">
      <c r="A63" s="254"/>
      <c r="B63" s="255"/>
      <c r="C63" s="255"/>
      <c r="D63" s="233"/>
      <c r="E63" s="234"/>
      <c r="F63" s="235"/>
      <c r="G63" s="256"/>
      <c r="H63" s="257"/>
      <c r="I63" s="237"/>
      <c r="J63" s="238"/>
      <c r="K63" s="239"/>
      <c r="L63" s="240"/>
      <c r="M63" s="8"/>
      <c r="N63" s="241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2"/>
      <c r="AT63" s="243"/>
      <c r="AU63" s="242"/>
      <c r="AV63" s="242"/>
      <c r="AW63" s="244"/>
      <c r="AX63" s="243"/>
      <c r="AY63" s="243"/>
      <c r="AZ63" s="242"/>
      <c r="BA63" s="242"/>
      <c r="BB63" s="242"/>
      <c r="BC63" s="242"/>
      <c r="BD63" s="242"/>
      <c r="BE63" s="242"/>
      <c r="BF63" s="242"/>
      <c r="BG63" s="242"/>
      <c r="BH63" s="242"/>
      <c r="BI63" s="242"/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/>
      <c r="BX63" s="242"/>
      <c r="BY63" s="242"/>
      <c r="BZ63" s="242"/>
      <c r="CA63" s="242"/>
      <c r="CB63" s="243"/>
      <c r="CC63" s="248"/>
      <c r="CD63" s="248"/>
      <c r="CE63" s="248"/>
      <c r="CF63" s="248"/>
    </row>
    <row r="64" spans="1:84" x14ac:dyDescent="0.25">
      <c r="A64" s="254"/>
      <c r="B64" s="255"/>
      <c r="C64" s="255"/>
      <c r="D64" s="233"/>
      <c r="E64" s="234"/>
      <c r="F64" s="235"/>
      <c r="G64" s="256"/>
      <c r="H64" s="257"/>
      <c r="I64" s="237"/>
      <c r="J64" s="238"/>
      <c r="K64" s="239"/>
      <c r="L64" s="240"/>
      <c r="M64" s="8"/>
      <c r="N64" s="241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2"/>
      <c r="AT64" s="243"/>
      <c r="AU64" s="242"/>
      <c r="AV64" s="242"/>
      <c r="AW64" s="244"/>
      <c r="AX64" s="243"/>
      <c r="AY64" s="243"/>
      <c r="AZ64" s="242"/>
      <c r="BA64" s="242"/>
      <c r="BB64" s="242"/>
      <c r="BC64" s="242"/>
      <c r="BD64" s="242"/>
      <c r="BE64" s="242"/>
      <c r="BF64" s="242"/>
      <c r="BG64" s="242"/>
      <c r="BH64" s="242"/>
      <c r="BI64" s="242"/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/>
      <c r="BX64" s="242"/>
      <c r="BY64" s="242"/>
      <c r="BZ64" s="242"/>
      <c r="CA64" s="242"/>
      <c r="CB64" s="243"/>
      <c r="CC64" s="248"/>
      <c r="CD64" s="248"/>
      <c r="CE64" s="248"/>
      <c r="CF64" s="248"/>
    </row>
    <row r="65" spans="1:84" x14ac:dyDescent="0.25">
      <c r="A65" s="254"/>
      <c r="B65" s="255"/>
      <c r="C65" s="255"/>
      <c r="D65" s="233"/>
      <c r="E65" s="234"/>
      <c r="F65" s="235"/>
      <c r="G65" s="256"/>
      <c r="H65" s="257"/>
      <c r="I65" s="237"/>
      <c r="J65" s="238"/>
      <c r="K65" s="239"/>
      <c r="L65" s="240"/>
      <c r="M65" s="8"/>
      <c r="N65" s="241"/>
      <c r="O65" s="239"/>
      <c r="P65" s="240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2"/>
      <c r="AT65" s="243"/>
      <c r="AU65" s="242"/>
      <c r="AV65" s="242"/>
      <c r="AW65" s="244"/>
      <c r="AX65" s="243"/>
      <c r="AY65" s="243"/>
      <c r="AZ65" s="242"/>
      <c r="BA65" s="242"/>
      <c r="BB65" s="242"/>
      <c r="BC65" s="242"/>
      <c r="BD65" s="242"/>
      <c r="BE65" s="242"/>
      <c r="BF65" s="242"/>
      <c r="BG65" s="242"/>
      <c r="BH65" s="242"/>
      <c r="BI65" s="242"/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/>
      <c r="BW65" s="242"/>
      <c r="BX65" s="242"/>
      <c r="BY65" s="242"/>
      <c r="BZ65" s="242"/>
      <c r="CA65" s="242"/>
      <c r="CB65" s="243"/>
      <c r="CC65" s="248"/>
      <c r="CD65" s="248"/>
      <c r="CE65" s="248"/>
      <c r="CF65" s="248"/>
    </row>
    <row r="66" spans="1:84" x14ac:dyDescent="0.25">
      <c r="A66" s="254"/>
      <c r="B66" s="255"/>
      <c r="C66" s="255"/>
      <c r="D66" s="233"/>
      <c r="E66" s="234"/>
      <c r="F66" s="235"/>
      <c r="G66" s="256"/>
      <c r="H66" s="257"/>
      <c r="I66" s="237"/>
      <c r="J66" s="238"/>
      <c r="K66" s="239"/>
      <c r="L66" s="240"/>
      <c r="M66" s="8"/>
      <c r="N66" s="241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2"/>
      <c r="AT66" s="243"/>
      <c r="AU66" s="242"/>
      <c r="AV66" s="242"/>
      <c r="AW66" s="244"/>
      <c r="AX66" s="243"/>
      <c r="AY66" s="243"/>
      <c r="AZ66" s="242"/>
      <c r="BA66" s="242"/>
      <c r="BB66" s="242"/>
      <c r="BC66" s="242"/>
      <c r="BD66" s="242"/>
      <c r="BE66" s="242"/>
      <c r="BF66" s="242"/>
      <c r="BG66" s="242"/>
      <c r="BH66" s="242"/>
      <c r="BI66" s="242"/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/>
      <c r="BW66" s="242"/>
      <c r="BX66" s="242"/>
      <c r="BY66" s="242"/>
      <c r="BZ66" s="242"/>
      <c r="CA66" s="242"/>
      <c r="CB66" s="243"/>
      <c r="CC66" s="248"/>
      <c r="CD66" s="248"/>
      <c r="CE66" s="248"/>
      <c r="CF66" s="248"/>
    </row>
    <row r="67" spans="1:84" x14ac:dyDescent="0.25">
      <c r="A67" s="254"/>
      <c r="B67" s="255"/>
      <c r="C67" s="255"/>
      <c r="D67" s="233"/>
      <c r="E67" s="234"/>
      <c r="F67" s="235"/>
      <c r="G67" s="256"/>
      <c r="H67" s="257"/>
      <c r="I67" s="237"/>
      <c r="J67" s="238"/>
      <c r="K67" s="239"/>
      <c r="L67" s="240"/>
      <c r="M67" s="8"/>
      <c r="N67" s="241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2"/>
      <c r="AT67" s="243"/>
      <c r="AU67" s="242"/>
      <c r="AV67" s="242"/>
      <c r="AW67" s="244"/>
      <c r="AX67" s="243"/>
      <c r="AY67" s="243"/>
      <c r="AZ67" s="242"/>
      <c r="BA67" s="242"/>
      <c r="BB67" s="242"/>
      <c r="BC67" s="242"/>
      <c r="BD67" s="242"/>
      <c r="BE67" s="242"/>
      <c r="BF67" s="242"/>
      <c r="BG67" s="242"/>
      <c r="BH67" s="242"/>
      <c r="BI67" s="242"/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/>
      <c r="BW67" s="242"/>
      <c r="BX67" s="242"/>
      <c r="BY67" s="242"/>
      <c r="BZ67" s="242"/>
      <c r="CA67" s="242"/>
      <c r="CB67" s="243"/>
      <c r="CC67" s="248"/>
      <c r="CD67" s="248"/>
      <c r="CE67" s="248"/>
      <c r="CF67" s="248"/>
    </row>
    <row r="68" spans="1:84" x14ac:dyDescent="0.25">
      <c r="A68" s="254"/>
      <c r="B68" s="255"/>
      <c r="C68" s="255"/>
      <c r="D68" s="233"/>
      <c r="E68" s="234"/>
      <c r="F68" s="235"/>
      <c r="G68" s="256"/>
      <c r="H68" s="257"/>
      <c r="I68" s="237"/>
      <c r="J68" s="238"/>
      <c r="K68" s="239"/>
      <c r="L68" s="240"/>
      <c r="M68" s="8"/>
      <c r="N68" s="241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2"/>
      <c r="AT68" s="243"/>
      <c r="AU68" s="242"/>
      <c r="AV68" s="242"/>
      <c r="AW68" s="244"/>
      <c r="AX68" s="243"/>
      <c r="AY68" s="243"/>
      <c r="AZ68" s="242"/>
      <c r="BA68" s="242"/>
      <c r="BB68" s="242"/>
      <c r="BC68" s="242"/>
      <c r="BD68" s="242"/>
      <c r="BE68" s="242"/>
      <c r="BF68" s="242"/>
      <c r="BG68" s="242"/>
      <c r="BH68" s="242"/>
      <c r="BI68" s="242"/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/>
      <c r="BW68" s="242"/>
      <c r="BX68" s="242"/>
      <c r="BY68" s="242"/>
      <c r="BZ68" s="242"/>
      <c r="CA68" s="242"/>
      <c r="CB68" s="243"/>
      <c r="CC68" s="248"/>
      <c r="CD68" s="248"/>
      <c r="CE68" s="248"/>
      <c r="CF68" s="248"/>
    </row>
    <row r="69" spans="1:84" x14ac:dyDescent="0.25">
      <c r="A69" s="254"/>
      <c r="B69" s="255"/>
      <c r="C69" s="255"/>
      <c r="D69" s="233"/>
      <c r="E69" s="234"/>
      <c r="F69" s="235"/>
      <c r="G69" s="256"/>
      <c r="H69" s="257"/>
      <c r="I69" s="237"/>
      <c r="J69" s="238"/>
      <c r="K69" s="239"/>
      <c r="L69" s="240"/>
      <c r="M69" s="8"/>
      <c r="N69" s="241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2"/>
      <c r="AT69" s="243"/>
      <c r="AU69" s="242"/>
      <c r="AV69" s="242"/>
      <c r="AW69" s="244"/>
      <c r="AX69" s="243"/>
      <c r="AY69" s="243"/>
      <c r="AZ69" s="242"/>
      <c r="BA69" s="242"/>
      <c r="BB69" s="242"/>
      <c r="BC69" s="242"/>
      <c r="BD69" s="242"/>
      <c r="BE69" s="242"/>
      <c r="BF69" s="242"/>
      <c r="BG69" s="242"/>
      <c r="BH69" s="242"/>
      <c r="BI69" s="242"/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/>
      <c r="BX69" s="242"/>
      <c r="BY69" s="242"/>
      <c r="BZ69" s="242"/>
      <c r="CA69" s="242"/>
      <c r="CB69" s="243"/>
      <c r="CC69" s="248"/>
      <c r="CD69" s="248"/>
      <c r="CE69" s="248"/>
      <c r="CF69" s="248"/>
    </row>
    <row r="70" spans="1:84" x14ac:dyDescent="0.25">
      <c r="A70" s="254"/>
      <c r="B70" s="255"/>
      <c r="C70" s="255"/>
      <c r="D70" s="233"/>
      <c r="E70" s="234"/>
      <c r="F70" s="235"/>
      <c r="G70" s="256"/>
      <c r="H70" s="257"/>
      <c r="I70" s="237"/>
      <c r="J70" s="238"/>
      <c r="K70" s="239"/>
      <c r="L70" s="240"/>
      <c r="M70" s="8"/>
      <c r="N70" s="241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2"/>
      <c r="AT70" s="243"/>
      <c r="AU70" s="242"/>
      <c r="AV70" s="242"/>
      <c r="AW70" s="244"/>
      <c r="AX70" s="243"/>
      <c r="AY70" s="243"/>
      <c r="AZ70" s="242"/>
      <c r="BA70" s="242"/>
      <c r="BB70" s="242"/>
      <c r="BC70" s="242"/>
      <c r="BD70" s="242"/>
      <c r="BE70" s="242"/>
      <c r="BF70" s="242"/>
      <c r="BG70" s="242"/>
      <c r="BH70" s="242"/>
      <c r="BI70" s="242"/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/>
      <c r="BW70" s="242"/>
      <c r="BX70" s="242"/>
      <c r="BY70" s="242"/>
      <c r="BZ70" s="242"/>
      <c r="CA70" s="242"/>
      <c r="CB70" s="243"/>
      <c r="CC70" s="248"/>
      <c r="CD70" s="248"/>
      <c r="CE70" s="248"/>
      <c r="CF70" s="248"/>
    </row>
    <row r="71" spans="1:84" x14ac:dyDescent="0.25">
      <c r="A71" s="254"/>
      <c r="B71" s="255"/>
      <c r="C71" s="255"/>
      <c r="D71" s="233"/>
      <c r="E71" s="234"/>
      <c r="F71" s="235"/>
      <c r="G71" s="256"/>
      <c r="H71" s="257"/>
      <c r="I71" s="237"/>
      <c r="J71" s="238"/>
      <c r="K71" s="239"/>
      <c r="L71" s="240"/>
      <c r="M71" s="8"/>
      <c r="N71" s="241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2"/>
      <c r="AT71" s="243"/>
      <c r="AU71" s="242"/>
      <c r="AV71" s="242"/>
      <c r="AW71" s="244"/>
      <c r="AX71" s="243"/>
      <c r="AY71" s="243"/>
      <c r="AZ71" s="242"/>
      <c r="BA71" s="242"/>
      <c r="BB71" s="242"/>
      <c r="BC71" s="242"/>
      <c r="BD71" s="242"/>
      <c r="BE71" s="242"/>
      <c r="BF71" s="242"/>
      <c r="BG71" s="242"/>
      <c r="BH71" s="242"/>
      <c r="BI71" s="242"/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/>
      <c r="BW71" s="242"/>
      <c r="BX71" s="242"/>
      <c r="BY71" s="242"/>
      <c r="BZ71" s="242"/>
      <c r="CA71" s="242"/>
      <c r="CB71" s="243"/>
      <c r="CC71" s="248"/>
      <c r="CD71" s="248"/>
      <c r="CE71" s="248"/>
      <c r="CF71" s="248"/>
    </row>
    <row r="72" spans="1:84" x14ac:dyDescent="0.25">
      <c r="A72" s="254"/>
      <c r="B72" s="255"/>
      <c r="C72" s="255"/>
      <c r="D72" s="233"/>
      <c r="E72" s="234"/>
      <c r="F72" s="235"/>
      <c r="G72" s="256"/>
      <c r="H72" s="257"/>
      <c r="I72" s="237"/>
      <c r="J72" s="238"/>
      <c r="K72" s="239"/>
      <c r="L72" s="240"/>
      <c r="M72" s="8"/>
      <c r="N72" s="241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2"/>
      <c r="AT72" s="243"/>
      <c r="AU72" s="242"/>
      <c r="AV72" s="242"/>
      <c r="AW72" s="244"/>
      <c r="AX72" s="243"/>
      <c r="AY72" s="243"/>
      <c r="AZ72" s="242"/>
      <c r="BA72" s="242"/>
      <c r="BB72" s="242"/>
      <c r="BC72" s="242"/>
      <c r="BD72" s="242"/>
      <c r="BE72" s="242"/>
      <c r="BF72" s="242"/>
      <c r="BG72" s="242"/>
      <c r="BH72" s="242"/>
      <c r="BI72" s="242"/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/>
      <c r="BW72" s="242"/>
      <c r="BX72" s="242"/>
      <c r="BY72" s="242"/>
      <c r="BZ72" s="242"/>
      <c r="CA72" s="242"/>
      <c r="CB72" s="243"/>
      <c r="CC72" s="248"/>
      <c r="CD72" s="248"/>
      <c r="CE72" s="248"/>
      <c r="CF72" s="248"/>
    </row>
    <row r="73" spans="1:84" x14ac:dyDescent="0.25">
      <c r="A73" s="254"/>
      <c r="B73" s="255"/>
      <c r="C73" s="255"/>
      <c r="D73" s="233"/>
      <c r="E73" s="234"/>
      <c r="F73" s="235"/>
      <c r="G73" s="256"/>
      <c r="H73" s="257"/>
      <c r="I73" s="237"/>
      <c r="J73" s="238"/>
      <c r="K73" s="239"/>
      <c r="L73" s="240"/>
      <c r="M73" s="8"/>
      <c r="N73" s="241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2"/>
      <c r="AT73" s="243"/>
      <c r="AU73" s="242"/>
      <c r="AV73" s="242"/>
      <c r="AW73" s="244"/>
      <c r="AX73" s="243"/>
      <c r="AY73" s="243"/>
      <c r="AZ73" s="242"/>
      <c r="BA73" s="242"/>
      <c r="BB73" s="242"/>
      <c r="BC73" s="242"/>
      <c r="BD73" s="242"/>
      <c r="BE73" s="242"/>
      <c r="BF73" s="242"/>
      <c r="BG73" s="242"/>
      <c r="BH73" s="242"/>
      <c r="BI73" s="242"/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/>
      <c r="BW73" s="242"/>
      <c r="BX73" s="242"/>
      <c r="BY73" s="242"/>
      <c r="BZ73" s="242"/>
      <c r="CA73" s="242"/>
      <c r="CB73" s="243"/>
      <c r="CC73" s="248"/>
      <c r="CD73" s="248"/>
      <c r="CE73" s="248"/>
      <c r="CF73" s="248"/>
    </row>
    <row r="74" spans="1:84" x14ac:dyDescent="0.25">
      <c r="A74" s="254"/>
      <c r="B74" s="255"/>
      <c r="C74" s="255"/>
      <c r="D74" s="233"/>
      <c r="E74" s="234"/>
      <c r="F74" s="235"/>
      <c r="G74" s="256"/>
      <c r="H74" s="257"/>
      <c r="I74" s="237"/>
      <c r="J74" s="238"/>
      <c r="K74" s="239"/>
      <c r="L74" s="240"/>
      <c r="M74" s="8"/>
      <c r="N74" s="241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2"/>
      <c r="AT74" s="243"/>
      <c r="AU74" s="242"/>
      <c r="AV74" s="242"/>
      <c r="AW74" s="244"/>
      <c r="AX74" s="243"/>
      <c r="AY74" s="243"/>
      <c r="AZ74" s="242"/>
      <c r="BA74" s="242"/>
      <c r="BB74" s="242"/>
      <c r="BC74" s="242"/>
      <c r="BD74" s="242"/>
      <c r="BE74" s="242"/>
      <c r="BF74" s="242"/>
      <c r="BG74" s="242"/>
      <c r="BH74" s="242"/>
      <c r="BI74" s="242"/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/>
      <c r="BW74" s="242"/>
      <c r="BX74" s="242"/>
      <c r="BY74" s="242"/>
      <c r="BZ74" s="242"/>
      <c r="CA74" s="242"/>
      <c r="CB74" s="243"/>
      <c r="CC74" s="248"/>
      <c r="CD74" s="248"/>
      <c r="CE74" s="248"/>
      <c r="CF74" s="248"/>
    </row>
    <row r="75" spans="1:84" x14ac:dyDescent="0.25">
      <c r="A75" s="254"/>
      <c r="B75" s="255"/>
      <c r="C75" s="255"/>
      <c r="D75" s="233"/>
      <c r="E75" s="234"/>
      <c r="F75" s="235"/>
      <c r="G75" s="256"/>
      <c r="H75" s="257"/>
      <c r="I75" s="237"/>
      <c r="J75" s="238"/>
      <c r="K75" s="239"/>
      <c r="L75" s="240"/>
      <c r="M75" s="8"/>
      <c r="N75" s="241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2"/>
      <c r="AT75" s="243"/>
      <c r="AU75" s="242"/>
      <c r="AV75" s="242"/>
      <c r="AW75" s="244"/>
      <c r="AX75" s="243"/>
      <c r="AY75" s="243"/>
      <c r="AZ75" s="242"/>
      <c r="BA75" s="242"/>
      <c r="BB75" s="242"/>
      <c r="BC75" s="242"/>
      <c r="BD75" s="242"/>
      <c r="BE75" s="242"/>
      <c r="BF75" s="242"/>
      <c r="BG75" s="242"/>
      <c r="BH75" s="242"/>
      <c r="BI75" s="242"/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/>
      <c r="BW75" s="242"/>
      <c r="BX75" s="242"/>
      <c r="BY75" s="242"/>
      <c r="BZ75" s="242"/>
      <c r="CA75" s="242"/>
      <c r="CB75" s="243"/>
      <c r="CC75" s="248"/>
      <c r="CD75" s="248"/>
      <c r="CE75" s="248"/>
      <c r="CF75" s="248"/>
    </row>
    <row r="76" spans="1:84" x14ac:dyDescent="0.25">
      <c r="A76" s="254"/>
      <c r="B76" s="255"/>
      <c r="C76" s="255"/>
      <c r="D76" s="233"/>
      <c r="E76" s="234"/>
      <c r="F76" s="235"/>
      <c r="G76" s="256"/>
      <c r="H76" s="257"/>
      <c r="I76" s="237"/>
      <c r="J76" s="238"/>
      <c r="K76" s="239"/>
      <c r="L76" s="240"/>
      <c r="M76" s="8"/>
      <c r="N76" s="241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2"/>
      <c r="AT76" s="243"/>
      <c r="AU76" s="242"/>
      <c r="AV76" s="242"/>
      <c r="AW76" s="244"/>
      <c r="AX76" s="243"/>
      <c r="AY76" s="243"/>
      <c r="AZ76" s="242"/>
      <c r="BA76" s="242"/>
      <c r="BB76" s="242"/>
      <c r="BC76" s="242"/>
      <c r="BD76" s="242"/>
      <c r="BE76" s="242"/>
      <c r="BF76" s="242"/>
      <c r="BG76" s="242"/>
      <c r="BH76" s="242"/>
      <c r="BI76" s="242"/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/>
      <c r="BW76" s="242"/>
      <c r="BX76" s="242"/>
      <c r="BY76" s="242"/>
      <c r="BZ76" s="242"/>
      <c r="CA76" s="242"/>
      <c r="CB76" s="243"/>
      <c r="CC76" s="248"/>
      <c r="CD76" s="248"/>
      <c r="CE76" s="248"/>
      <c r="CF76" s="248"/>
    </row>
    <row r="77" spans="1:84" x14ac:dyDescent="0.25">
      <c r="A77" s="254"/>
      <c r="B77" s="255"/>
      <c r="C77" s="255"/>
      <c r="D77" s="233"/>
      <c r="E77" s="234"/>
      <c r="F77" s="235"/>
      <c r="G77" s="256"/>
      <c r="H77" s="257"/>
      <c r="I77" s="237"/>
      <c r="J77" s="238"/>
      <c r="K77" s="239"/>
      <c r="L77" s="240"/>
      <c r="M77" s="8"/>
      <c r="N77" s="241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2"/>
      <c r="AT77" s="243"/>
      <c r="AU77" s="242"/>
      <c r="AV77" s="242"/>
      <c r="AW77" s="244"/>
      <c r="AX77" s="243"/>
      <c r="AY77" s="243"/>
      <c r="AZ77" s="242"/>
      <c r="BA77" s="242"/>
      <c r="BB77" s="242"/>
      <c r="BC77" s="242"/>
      <c r="BD77" s="242"/>
      <c r="BE77" s="242"/>
      <c r="BF77" s="242"/>
      <c r="BG77" s="242"/>
      <c r="BH77" s="242"/>
      <c r="BI77" s="242"/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/>
      <c r="BW77" s="242"/>
      <c r="BX77" s="242"/>
      <c r="BY77" s="242"/>
      <c r="BZ77" s="242"/>
      <c r="CA77" s="242"/>
      <c r="CB77" s="243"/>
      <c r="CC77" s="248"/>
      <c r="CD77" s="248"/>
      <c r="CE77" s="248"/>
      <c r="CF77" s="248"/>
    </row>
    <row r="78" spans="1:84" x14ac:dyDescent="0.25">
      <c r="A78" s="254"/>
      <c r="B78" s="255"/>
      <c r="C78" s="255"/>
      <c r="D78" s="233"/>
      <c r="E78" s="234"/>
      <c r="F78" s="235"/>
      <c r="G78" s="256"/>
      <c r="H78" s="257"/>
      <c r="I78" s="237"/>
      <c r="J78" s="238"/>
      <c r="K78" s="239"/>
      <c r="L78" s="240"/>
      <c r="M78" s="8"/>
      <c r="N78" s="241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2"/>
      <c r="AT78" s="243"/>
      <c r="AU78" s="242"/>
      <c r="AV78" s="242"/>
      <c r="AW78" s="244"/>
      <c r="AX78" s="243"/>
      <c r="AY78" s="243"/>
      <c r="AZ78" s="242"/>
      <c r="BA78" s="242"/>
      <c r="BB78" s="242"/>
      <c r="BC78" s="242"/>
      <c r="BD78" s="242"/>
      <c r="BE78" s="242"/>
      <c r="BF78" s="242"/>
      <c r="BG78" s="242"/>
      <c r="BH78" s="242"/>
      <c r="BI78" s="242"/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/>
      <c r="BW78" s="242"/>
      <c r="BX78" s="242"/>
      <c r="BY78" s="242"/>
      <c r="BZ78" s="242"/>
      <c r="CA78" s="242"/>
      <c r="CB78" s="243"/>
      <c r="CC78" s="248"/>
      <c r="CD78" s="248"/>
      <c r="CE78" s="248"/>
      <c r="CF78" s="248"/>
    </row>
    <row r="79" spans="1:84" x14ac:dyDescent="0.25">
      <c r="A79" s="254"/>
      <c r="B79" s="255"/>
      <c r="C79" s="255"/>
      <c r="D79" s="233"/>
      <c r="E79" s="234"/>
      <c r="F79" s="235"/>
      <c r="G79" s="256"/>
      <c r="H79" s="257"/>
      <c r="I79" s="237"/>
      <c r="J79" s="238"/>
      <c r="K79" s="239"/>
      <c r="L79" s="240"/>
      <c r="M79" s="8"/>
      <c r="N79" s="241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2"/>
      <c r="AT79" s="243"/>
      <c r="AU79" s="242"/>
      <c r="AV79" s="242"/>
      <c r="AW79" s="244"/>
      <c r="AX79" s="243"/>
      <c r="AY79" s="243"/>
      <c r="AZ79" s="242"/>
      <c r="BA79" s="242"/>
      <c r="BB79" s="242"/>
      <c r="BC79" s="242"/>
      <c r="BD79" s="242"/>
      <c r="BE79" s="242"/>
      <c r="BF79" s="242"/>
      <c r="BG79" s="242"/>
      <c r="BH79" s="242"/>
      <c r="BI79" s="242"/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/>
      <c r="BW79" s="242"/>
      <c r="BX79" s="242"/>
      <c r="BY79" s="242"/>
      <c r="BZ79" s="242"/>
      <c r="CA79" s="242"/>
      <c r="CB79" s="243"/>
      <c r="CC79" s="248"/>
      <c r="CD79" s="248"/>
      <c r="CE79" s="248"/>
      <c r="CF79" s="248"/>
    </row>
    <row r="80" spans="1:84" x14ac:dyDescent="0.25">
      <c r="A80" s="254"/>
      <c r="B80" s="255"/>
      <c r="C80" s="255"/>
      <c r="D80" s="233"/>
      <c r="E80" s="234"/>
      <c r="F80" s="235"/>
      <c r="G80" s="256"/>
      <c r="H80" s="257"/>
      <c r="I80" s="237"/>
      <c r="J80" s="238"/>
      <c r="K80" s="239"/>
      <c r="L80" s="240"/>
      <c r="M80" s="8"/>
      <c r="N80" s="241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2"/>
      <c r="AT80" s="243"/>
      <c r="AU80" s="242"/>
      <c r="AV80" s="242"/>
      <c r="AW80" s="244"/>
      <c r="AX80" s="243"/>
      <c r="AY80" s="243"/>
      <c r="AZ80" s="242"/>
      <c r="BA80" s="242"/>
      <c r="BB80" s="242"/>
      <c r="BC80" s="242"/>
      <c r="BD80" s="242"/>
      <c r="BE80" s="242"/>
      <c r="BF80" s="242"/>
      <c r="BG80" s="242"/>
      <c r="BH80" s="242"/>
      <c r="BI80" s="242"/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/>
      <c r="BW80" s="242"/>
      <c r="BX80" s="242"/>
      <c r="BY80" s="242"/>
      <c r="BZ80" s="242"/>
      <c r="CA80" s="242"/>
      <c r="CB80" s="243"/>
      <c r="CC80" s="248"/>
      <c r="CD80" s="248"/>
      <c r="CE80" s="248"/>
      <c r="CF80" s="248"/>
    </row>
    <row r="81" spans="1:84" x14ac:dyDescent="0.25">
      <c r="A81" s="254"/>
      <c r="B81" s="255"/>
      <c r="C81" s="255"/>
      <c r="D81" s="233"/>
      <c r="E81" s="234"/>
      <c r="F81" s="235"/>
      <c r="G81" s="256"/>
      <c r="H81" s="257"/>
      <c r="I81" s="237"/>
      <c r="J81" s="238"/>
      <c r="K81" s="239"/>
      <c r="L81" s="240"/>
      <c r="M81" s="8"/>
      <c r="N81" s="241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2"/>
      <c r="AT81" s="243"/>
      <c r="AU81" s="242"/>
      <c r="AV81" s="242"/>
      <c r="AW81" s="244"/>
      <c r="AX81" s="243"/>
      <c r="AY81" s="243"/>
      <c r="AZ81" s="242"/>
      <c r="BA81" s="242"/>
      <c r="BB81" s="242"/>
      <c r="BC81" s="242"/>
      <c r="BD81" s="242"/>
      <c r="BE81" s="242"/>
      <c r="BF81" s="242"/>
      <c r="BG81" s="242"/>
      <c r="BH81" s="242"/>
      <c r="BI81" s="242"/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/>
      <c r="BW81" s="242"/>
      <c r="BX81" s="242"/>
      <c r="BY81" s="242"/>
      <c r="BZ81" s="242"/>
      <c r="CA81" s="242"/>
      <c r="CB81" s="243"/>
      <c r="CC81" s="248"/>
      <c r="CD81" s="248"/>
      <c r="CE81" s="248"/>
      <c r="CF81" s="248"/>
    </row>
    <row r="82" spans="1:84" x14ac:dyDescent="0.25">
      <c r="A82" s="254"/>
      <c r="B82" s="255"/>
      <c r="C82" s="255"/>
      <c r="D82" s="233"/>
      <c r="E82" s="234"/>
      <c r="F82" s="235"/>
      <c r="G82" s="256"/>
      <c r="H82" s="257"/>
      <c r="I82" s="237"/>
      <c r="J82" s="238"/>
      <c r="K82" s="239"/>
      <c r="L82" s="240"/>
      <c r="M82" s="8"/>
      <c r="N82" s="241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2"/>
      <c r="AT82" s="243"/>
      <c r="AU82" s="242"/>
      <c r="AV82" s="242"/>
      <c r="AW82" s="244"/>
      <c r="AX82" s="243"/>
      <c r="AY82" s="243"/>
      <c r="AZ82" s="242"/>
      <c r="BA82" s="242"/>
      <c r="BB82" s="242"/>
      <c r="BC82" s="242"/>
      <c r="BD82" s="242"/>
      <c r="BE82" s="242"/>
      <c r="BF82" s="242"/>
      <c r="BG82" s="242"/>
      <c r="BH82" s="242"/>
      <c r="BI82" s="242"/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/>
      <c r="BW82" s="242"/>
      <c r="BX82" s="242"/>
      <c r="BY82" s="242"/>
      <c r="BZ82" s="242"/>
      <c r="CA82" s="242"/>
      <c r="CB82" s="243"/>
      <c r="CC82" s="248"/>
      <c r="CD82" s="248"/>
      <c r="CE82" s="248"/>
      <c r="CF82" s="248"/>
    </row>
    <row r="83" spans="1:84" x14ac:dyDescent="0.25">
      <c r="A83" s="254"/>
      <c r="B83" s="255"/>
      <c r="C83" s="255"/>
      <c r="D83" s="233"/>
      <c r="E83" s="234"/>
      <c r="F83" s="235"/>
      <c r="G83" s="256"/>
      <c r="H83" s="257"/>
      <c r="I83" s="237"/>
      <c r="J83" s="238"/>
      <c r="K83" s="239"/>
      <c r="L83" s="240"/>
      <c r="M83" s="8"/>
      <c r="N83" s="241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2"/>
      <c r="AT83" s="243"/>
      <c r="AU83" s="242"/>
      <c r="AV83" s="242"/>
      <c r="AW83" s="244"/>
      <c r="AX83" s="243"/>
      <c r="AY83" s="243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/>
      <c r="BW83" s="242"/>
      <c r="BX83" s="242"/>
      <c r="BY83" s="242"/>
      <c r="BZ83" s="242"/>
      <c r="CA83" s="242"/>
      <c r="CB83" s="243"/>
      <c r="CC83" s="248"/>
      <c r="CD83" s="248"/>
      <c r="CE83" s="248"/>
      <c r="CF83" s="248"/>
    </row>
    <row r="84" spans="1:84" x14ac:dyDescent="0.25">
      <c r="A84" s="254"/>
      <c r="B84" s="255"/>
      <c r="C84" s="255"/>
      <c r="D84" s="233"/>
      <c r="E84" s="234"/>
      <c r="F84" s="235"/>
      <c r="G84" s="256"/>
      <c r="H84" s="257"/>
      <c r="I84" s="237"/>
      <c r="J84" s="238"/>
      <c r="K84" s="239"/>
      <c r="L84" s="240"/>
      <c r="M84" s="8"/>
      <c r="N84" s="241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2"/>
      <c r="AT84" s="243"/>
      <c r="AU84" s="242"/>
      <c r="AV84" s="242"/>
      <c r="AW84" s="244"/>
      <c r="AX84" s="243"/>
      <c r="AY84" s="243"/>
      <c r="AZ84" s="242"/>
      <c r="BA84" s="242"/>
      <c r="BB84" s="242"/>
      <c r="BC84" s="242"/>
      <c r="BD84" s="242"/>
      <c r="BE84" s="242"/>
      <c r="BF84" s="242"/>
      <c r="BG84" s="242"/>
      <c r="BH84" s="242"/>
      <c r="BI84" s="242"/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/>
      <c r="BW84" s="242"/>
      <c r="BX84" s="242"/>
      <c r="BY84" s="242"/>
      <c r="BZ84" s="242"/>
      <c r="CA84" s="242"/>
      <c r="CB84" s="243"/>
      <c r="CC84" s="248"/>
      <c r="CD84" s="248"/>
      <c r="CE84" s="248"/>
      <c r="CF84" s="248"/>
    </row>
    <row r="85" spans="1:84" x14ac:dyDescent="0.25">
      <c r="A85" s="254"/>
      <c r="B85" s="255"/>
      <c r="C85" s="255"/>
      <c r="D85" s="233"/>
      <c r="E85" s="234"/>
      <c r="F85" s="235"/>
      <c r="G85" s="256"/>
      <c r="H85" s="257"/>
      <c r="I85" s="237"/>
      <c r="J85" s="238"/>
      <c r="K85" s="239"/>
      <c r="L85" s="240"/>
      <c r="M85" s="8"/>
      <c r="N85" s="241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2"/>
      <c r="AT85" s="243"/>
      <c r="AU85" s="242"/>
      <c r="AV85" s="242"/>
      <c r="AW85" s="244"/>
      <c r="AX85" s="243"/>
      <c r="AY85" s="243"/>
      <c r="AZ85" s="242"/>
      <c r="BA85" s="242"/>
      <c r="BB85" s="242"/>
      <c r="BC85" s="242"/>
      <c r="BD85" s="242"/>
      <c r="BE85" s="242"/>
      <c r="BF85" s="242"/>
      <c r="BG85" s="242"/>
      <c r="BH85" s="242"/>
      <c r="BI85" s="242"/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/>
      <c r="BW85" s="242"/>
      <c r="BX85" s="242"/>
      <c r="BY85" s="242"/>
      <c r="BZ85" s="242"/>
      <c r="CA85" s="242"/>
      <c r="CB85" s="243"/>
      <c r="CC85" s="248"/>
      <c r="CD85" s="248"/>
      <c r="CE85" s="248"/>
      <c r="CF85" s="248"/>
    </row>
    <row r="86" spans="1:84" x14ac:dyDescent="0.25">
      <c r="A86" s="254"/>
      <c r="B86" s="255"/>
      <c r="C86" s="255"/>
      <c r="D86" s="233"/>
      <c r="E86" s="234"/>
      <c r="F86" s="235"/>
      <c r="G86" s="256"/>
      <c r="H86" s="257"/>
      <c r="I86" s="237"/>
      <c r="J86" s="238"/>
      <c r="K86" s="239"/>
      <c r="L86" s="240"/>
      <c r="M86" s="8"/>
      <c r="N86" s="241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2"/>
      <c r="AT86" s="243"/>
      <c r="AU86" s="242"/>
      <c r="AV86" s="242"/>
      <c r="AW86" s="244"/>
      <c r="AX86" s="243"/>
      <c r="AY86" s="243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/>
      <c r="BW86" s="242"/>
      <c r="BX86" s="242"/>
      <c r="BY86" s="242"/>
      <c r="BZ86" s="242"/>
      <c r="CA86" s="242"/>
      <c r="CB86" s="243"/>
      <c r="CC86" s="248"/>
      <c r="CD86" s="248"/>
      <c r="CE86" s="248"/>
      <c r="CF86" s="248"/>
    </row>
    <row r="87" spans="1:84" x14ac:dyDescent="0.25">
      <c r="A87" s="254"/>
      <c r="B87" s="255"/>
      <c r="C87" s="255"/>
      <c r="D87" s="233"/>
      <c r="E87" s="234"/>
      <c r="F87" s="235"/>
      <c r="G87" s="256"/>
      <c r="H87" s="257"/>
      <c r="I87" s="237"/>
      <c r="J87" s="238"/>
      <c r="K87" s="239"/>
      <c r="L87" s="240"/>
      <c r="M87" s="8"/>
      <c r="N87" s="241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2"/>
      <c r="AT87" s="243"/>
      <c r="AU87" s="242"/>
      <c r="AV87" s="242"/>
      <c r="AW87" s="244"/>
      <c r="AX87" s="243"/>
      <c r="AY87" s="243"/>
      <c r="AZ87" s="242"/>
      <c r="BA87" s="242"/>
      <c r="BB87" s="242"/>
      <c r="BC87" s="242"/>
      <c r="BD87" s="242"/>
      <c r="BE87" s="242"/>
      <c r="BF87" s="242"/>
      <c r="BG87" s="242"/>
      <c r="BH87" s="242"/>
      <c r="BI87" s="242"/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/>
      <c r="BW87" s="242"/>
      <c r="BX87" s="242"/>
      <c r="BY87" s="242"/>
      <c r="BZ87" s="242"/>
      <c r="CA87" s="242"/>
      <c r="CB87" s="243"/>
      <c r="CC87" s="248"/>
      <c r="CD87" s="248"/>
      <c r="CE87" s="248"/>
      <c r="CF87" s="248"/>
    </row>
    <row r="88" spans="1:84" x14ac:dyDescent="0.25">
      <c r="A88" s="254"/>
      <c r="B88" s="255"/>
      <c r="C88" s="255"/>
      <c r="D88" s="233"/>
      <c r="E88" s="234"/>
      <c r="F88" s="235"/>
      <c r="G88" s="256"/>
      <c r="H88" s="257"/>
      <c r="I88" s="237"/>
      <c r="J88" s="238"/>
      <c r="K88" s="239"/>
      <c r="L88" s="240"/>
      <c r="M88" s="8"/>
      <c r="N88" s="241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2"/>
      <c r="AT88" s="243"/>
      <c r="AU88" s="242"/>
      <c r="AV88" s="242"/>
      <c r="AW88" s="244"/>
      <c r="AX88" s="243"/>
      <c r="AY88" s="243"/>
      <c r="AZ88" s="242"/>
      <c r="BA88" s="242"/>
      <c r="BB88" s="242"/>
      <c r="BC88" s="242"/>
      <c r="BD88" s="242"/>
      <c r="BE88" s="242"/>
      <c r="BF88" s="242"/>
      <c r="BG88" s="242"/>
      <c r="BH88" s="242"/>
      <c r="BI88" s="242"/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/>
      <c r="BW88" s="242"/>
      <c r="BX88" s="242"/>
      <c r="BY88" s="242"/>
      <c r="BZ88" s="242"/>
      <c r="CA88" s="242"/>
      <c r="CB88" s="243"/>
      <c r="CC88" s="248"/>
      <c r="CD88" s="248"/>
      <c r="CE88" s="248"/>
      <c r="CF88" s="248"/>
    </row>
    <row r="89" spans="1:84" x14ac:dyDescent="0.25">
      <c r="A89" s="254"/>
      <c r="B89" s="255"/>
      <c r="C89" s="255"/>
      <c r="D89" s="233"/>
      <c r="E89" s="234"/>
      <c r="F89" s="235"/>
      <c r="G89" s="256"/>
      <c r="H89" s="257"/>
      <c r="I89" s="237"/>
      <c r="J89" s="238"/>
      <c r="K89" s="239"/>
      <c r="L89" s="240"/>
      <c r="M89" s="8"/>
      <c r="N89" s="241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2"/>
      <c r="AT89" s="243"/>
      <c r="AU89" s="242"/>
      <c r="AV89" s="242"/>
      <c r="AW89" s="244"/>
      <c r="AX89" s="243"/>
      <c r="AY89" s="243"/>
      <c r="AZ89" s="242"/>
      <c r="BA89" s="242"/>
      <c r="BB89" s="242"/>
      <c r="BC89" s="242"/>
      <c r="BD89" s="242"/>
      <c r="BE89" s="242"/>
      <c r="BF89" s="242"/>
      <c r="BG89" s="242"/>
      <c r="BH89" s="242"/>
      <c r="BI89" s="242"/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/>
      <c r="BW89" s="242"/>
      <c r="BX89" s="242"/>
      <c r="BY89" s="242"/>
      <c r="BZ89" s="242"/>
      <c r="CA89" s="242"/>
      <c r="CB89" s="243"/>
      <c r="CC89" s="248"/>
      <c r="CD89" s="248"/>
      <c r="CE89" s="248"/>
      <c r="CF89" s="248"/>
    </row>
    <row r="90" spans="1:84" x14ac:dyDescent="0.25">
      <c r="A90" s="254"/>
      <c r="B90" s="255"/>
      <c r="C90" s="255"/>
      <c r="D90" s="233"/>
      <c r="E90" s="234"/>
      <c r="F90" s="235"/>
      <c r="G90" s="256"/>
      <c r="H90" s="257"/>
      <c r="I90" s="237"/>
      <c r="J90" s="238"/>
      <c r="K90" s="239"/>
      <c r="L90" s="240"/>
      <c r="M90" s="8"/>
      <c r="N90" s="241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2"/>
      <c r="AT90" s="243"/>
      <c r="AU90" s="242"/>
      <c r="AV90" s="242"/>
      <c r="AW90" s="244"/>
      <c r="AX90" s="243"/>
      <c r="AY90" s="243"/>
      <c r="AZ90" s="242"/>
      <c r="BA90" s="242"/>
      <c r="BB90" s="242"/>
      <c r="BC90" s="242"/>
      <c r="BD90" s="242"/>
      <c r="BE90" s="242"/>
      <c r="BF90" s="242"/>
      <c r="BG90" s="242"/>
      <c r="BH90" s="242"/>
      <c r="BI90" s="242"/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/>
      <c r="BW90" s="242"/>
      <c r="BX90" s="242"/>
      <c r="BY90" s="242"/>
      <c r="BZ90" s="242"/>
      <c r="CA90" s="242"/>
      <c r="CB90" s="243"/>
      <c r="CC90" s="248"/>
      <c r="CD90" s="248"/>
      <c r="CE90" s="248"/>
      <c r="CF90" s="248"/>
    </row>
    <row r="91" spans="1:84" x14ac:dyDescent="0.25">
      <c r="A91" s="254"/>
      <c r="B91" s="255"/>
      <c r="C91" s="255"/>
      <c r="D91" s="233"/>
      <c r="E91" s="234"/>
      <c r="F91" s="235"/>
      <c r="G91" s="256"/>
      <c r="H91" s="257"/>
      <c r="I91" s="237"/>
      <c r="J91" s="238"/>
      <c r="K91" s="239"/>
      <c r="L91" s="240"/>
      <c r="M91" s="8"/>
      <c r="N91" s="241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255"/>
      <c r="C93" s="255"/>
      <c r="D93" s="233"/>
      <c r="E93" s="234"/>
      <c r="F93" s="235"/>
      <c r="G93" s="256"/>
      <c r="H93" s="257"/>
      <c r="I93" s="237"/>
      <c r="J93" s="238"/>
      <c r="K93" s="239"/>
      <c r="L93" s="240"/>
      <c r="M93" s="8"/>
      <c r="N93" s="241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254"/>
      <c r="B95" s="255"/>
      <c r="C95" s="255"/>
      <c r="D95" s="233"/>
      <c r="E95" s="234"/>
      <c r="F95" s="235"/>
      <c r="G95" s="256"/>
      <c r="H95" s="257"/>
      <c r="I95" s="237"/>
      <c r="J95" s="238"/>
      <c r="K95" s="239"/>
      <c r="L95" s="240"/>
      <c r="M95" s="8"/>
      <c r="N95" s="241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2"/>
      <c r="AT95" s="243"/>
      <c r="AU95" s="242"/>
      <c r="AV95" s="242"/>
      <c r="AW95" s="244"/>
      <c r="AX95" s="243"/>
      <c r="AY95" s="243"/>
      <c r="AZ95" s="242"/>
      <c r="BA95" s="242"/>
      <c r="BB95" s="242"/>
      <c r="BC95" s="242"/>
      <c r="BD95" s="242"/>
      <c r="BE95" s="242"/>
      <c r="BF95" s="242"/>
      <c r="BG95" s="242"/>
      <c r="BH95" s="242"/>
      <c r="BI95" s="242"/>
      <c r="BJ95" s="242"/>
      <c r="BK95" s="242"/>
      <c r="BL95" s="242"/>
      <c r="BM95" s="242"/>
      <c r="BN95" s="297"/>
      <c r="BO95" s="297"/>
      <c r="BP95" s="297"/>
      <c r="BQ95" s="297"/>
      <c r="BR95" s="245"/>
      <c r="BS95" s="245"/>
      <c r="BT95" s="242"/>
      <c r="BU95" s="242"/>
      <c r="BV95" s="246"/>
      <c r="BW95" s="242"/>
      <c r="BX95" s="242"/>
      <c r="BY95" s="242"/>
      <c r="BZ95" s="242"/>
      <c r="CA95" s="242"/>
      <c r="CB95" s="243"/>
      <c r="CC95" s="248"/>
      <c r="CD95" s="248"/>
      <c r="CE95" s="248"/>
      <c r="CF95" s="248"/>
    </row>
    <row r="96" spans="1:84" x14ac:dyDescent="0.25">
      <c r="A96" s="254"/>
      <c r="B96" s="255"/>
      <c r="C96" s="255"/>
      <c r="D96" s="233"/>
      <c r="E96" s="234"/>
      <c r="F96" s="235"/>
      <c r="G96" s="256"/>
      <c r="H96" s="257"/>
      <c r="I96" s="237"/>
      <c r="J96" s="238"/>
      <c r="K96" s="239"/>
      <c r="L96" s="240"/>
      <c r="M96" s="8"/>
      <c r="N96" s="241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2"/>
      <c r="AT96" s="243"/>
      <c r="AU96" s="242"/>
      <c r="AV96" s="242"/>
      <c r="AW96" s="244"/>
      <c r="AX96" s="243"/>
      <c r="AY96" s="243"/>
      <c r="AZ96" s="242"/>
      <c r="BA96" s="242"/>
      <c r="BB96" s="242"/>
      <c r="BC96" s="242"/>
      <c r="BD96" s="242"/>
      <c r="BE96" s="242"/>
      <c r="BF96" s="242"/>
      <c r="BG96" s="242"/>
      <c r="BH96" s="242"/>
      <c r="BI96" s="242"/>
      <c r="BJ96" s="242"/>
      <c r="BK96" s="242"/>
      <c r="BL96" s="242"/>
      <c r="BM96" s="242"/>
      <c r="BN96" s="297"/>
      <c r="BO96" s="297"/>
      <c r="BP96" s="297"/>
      <c r="BQ96" s="297"/>
      <c r="BR96" s="245"/>
      <c r="BS96" s="245"/>
      <c r="BT96" s="242"/>
      <c r="BU96" s="242"/>
      <c r="BV96" s="246"/>
      <c r="BW96" s="242"/>
      <c r="BX96" s="242"/>
      <c r="BY96" s="242"/>
      <c r="BZ96" s="242"/>
      <c r="CA96" s="242"/>
      <c r="CB96" s="243"/>
      <c r="CC96" s="248"/>
      <c r="CD96" s="248"/>
      <c r="CE96" s="248"/>
      <c r="CF96" s="248"/>
    </row>
    <row r="97" spans="1:84" x14ac:dyDescent="0.25">
      <c r="A97" s="254"/>
      <c r="B97" s="255"/>
      <c r="C97" s="255"/>
      <c r="D97" s="233"/>
      <c r="E97" s="234"/>
      <c r="F97" s="235"/>
      <c r="G97" s="256"/>
      <c r="H97" s="257"/>
      <c r="I97" s="237"/>
      <c r="J97" s="238"/>
      <c r="K97" s="239"/>
      <c r="L97" s="240"/>
      <c r="M97" s="8"/>
      <c r="N97" s="241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2"/>
      <c r="AT97" s="243"/>
      <c r="AU97" s="242"/>
      <c r="AV97" s="242"/>
      <c r="AW97" s="244"/>
      <c r="AX97" s="243"/>
      <c r="AY97" s="243"/>
      <c r="AZ97" s="242"/>
      <c r="BA97" s="242"/>
      <c r="BB97" s="242"/>
      <c r="BC97" s="242"/>
      <c r="BD97" s="242"/>
      <c r="BE97" s="242"/>
      <c r="BF97" s="242"/>
      <c r="BG97" s="242"/>
      <c r="BH97" s="242"/>
      <c r="BI97" s="242"/>
      <c r="BJ97" s="242"/>
      <c r="BK97" s="242"/>
      <c r="BL97" s="242"/>
      <c r="BM97" s="242"/>
      <c r="BN97" s="297"/>
      <c r="BO97" s="297"/>
      <c r="BP97" s="297"/>
      <c r="BQ97" s="297"/>
      <c r="BR97" s="245"/>
      <c r="BS97" s="245"/>
      <c r="BT97" s="242"/>
      <c r="BU97" s="242"/>
      <c r="BV97" s="246"/>
      <c r="BW97" s="242"/>
      <c r="BX97" s="242"/>
      <c r="BY97" s="242"/>
      <c r="BZ97" s="242"/>
      <c r="CA97" s="242"/>
      <c r="CB97" s="243"/>
      <c r="CC97" s="248"/>
      <c r="CD97" s="248"/>
      <c r="CE97" s="248"/>
      <c r="CF97" s="248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E1JljRvHgTR02bPGM7CmYJS1T/JcPvIcqWPqnnB/vtf+PzVA262CXG4KaNIbuHiYP5/Y+zFCDRT31bGCW82sjA==" saltValue="sXWkhLyyvhqN12f0F8ii9A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1"/>
      <c r="B12" s="264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5"/>
      <c r="B13" s="278"/>
      <c r="C13" s="266"/>
      <c r="D13" s="267"/>
      <c r="E13" s="268"/>
      <c r="F13" s="269"/>
      <c r="G13" s="268"/>
      <c r="H13" s="269"/>
      <c r="I13" s="268"/>
      <c r="J13" s="270"/>
      <c r="K13" s="270"/>
      <c r="L13" s="270"/>
      <c r="M13" s="15"/>
      <c r="N13" s="270"/>
      <c r="O13" s="270"/>
      <c r="P13" s="270"/>
      <c r="Q13" s="15"/>
      <c r="R13" s="271"/>
      <c r="S13" s="271"/>
      <c r="T13" s="271"/>
      <c r="U13" s="272"/>
      <c r="V13" s="272"/>
      <c r="W13" s="272"/>
      <c r="X13" s="270"/>
      <c r="Y13" s="270"/>
      <c r="Z13" s="270"/>
      <c r="AA13" s="273"/>
      <c r="AB13" s="274"/>
      <c r="AC13" s="15"/>
      <c r="AD13" s="15"/>
      <c r="AE13" s="275"/>
      <c r="AF13" s="274"/>
      <c r="AG13" s="274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276"/>
      <c r="BE13" s="15"/>
      <c r="BF13" s="15"/>
      <c r="BG13" s="15"/>
      <c r="BH13" s="15"/>
      <c r="BI13" s="15"/>
      <c r="BJ13" s="274"/>
      <c r="BK13" s="277"/>
      <c r="BL13" s="277"/>
      <c r="BM13" s="277"/>
      <c r="BN13" s="277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5"/>
      <c r="B15" s="278"/>
      <c r="C15" s="266"/>
      <c r="D15" s="267"/>
      <c r="E15" s="268"/>
      <c r="F15" s="269"/>
      <c r="G15" s="268"/>
      <c r="H15" s="269"/>
      <c r="I15" s="268"/>
      <c r="J15" s="270"/>
      <c r="K15" s="270"/>
      <c r="L15" s="270"/>
      <c r="M15" s="15"/>
      <c r="N15" s="270"/>
      <c r="O15" s="270"/>
      <c r="P15" s="270"/>
      <c r="Q15" s="15"/>
      <c r="R15" s="271"/>
      <c r="S15" s="271"/>
      <c r="T15" s="271"/>
      <c r="U15" s="272"/>
      <c r="V15" s="272"/>
      <c r="W15" s="272"/>
      <c r="X15" s="270"/>
      <c r="Y15" s="270"/>
      <c r="Z15" s="270"/>
      <c r="AA15" s="273"/>
      <c r="AB15" s="274"/>
      <c r="AC15" s="15"/>
      <c r="AD15" s="15"/>
      <c r="AE15" s="275"/>
      <c r="AF15" s="274"/>
      <c r="AG15" s="274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276"/>
      <c r="BE15" s="15"/>
      <c r="BF15" s="15"/>
      <c r="BG15" s="15"/>
      <c r="BH15" s="15"/>
      <c r="BI15" s="15"/>
      <c r="BJ15" s="274"/>
      <c r="BK15" s="277"/>
      <c r="BL15" s="277"/>
      <c r="BM15" s="277"/>
      <c r="BN15" s="277"/>
    </row>
    <row r="16" spans="1:77" x14ac:dyDescent="0.25">
      <c r="A16" s="261"/>
      <c r="B16" s="264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5"/>
      <c r="B18" s="278"/>
      <c r="C18" s="266"/>
      <c r="D18" s="267"/>
      <c r="E18" s="268"/>
      <c r="F18" s="269"/>
      <c r="G18" s="268"/>
      <c r="H18" s="269"/>
      <c r="I18" s="268"/>
      <c r="J18" s="270"/>
      <c r="K18" s="270"/>
      <c r="L18" s="270"/>
      <c r="M18" s="15"/>
      <c r="N18" s="270"/>
      <c r="O18" s="270"/>
      <c r="P18" s="270"/>
      <c r="Q18" s="15"/>
      <c r="R18" s="271"/>
      <c r="S18" s="271"/>
      <c r="T18" s="271"/>
      <c r="U18" s="272"/>
      <c r="V18" s="272"/>
      <c r="W18" s="272"/>
      <c r="X18" s="270"/>
      <c r="Y18" s="270"/>
      <c r="Z18" s="270"/>
      <c r="AA18" s="273"/>
      <c r="AB18" s="274"/>
      <c r="AC18" s="15"/>
      <c r="AD18" s="15"/>
      <c r="AE18" s="275"/>
      <c r="AF18" s="274"/>
      <c r="AG18" s="274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276"/>
      <c r="BE18" s="15"/>
      <c r="BF18" s="15"/>
      <c r="BG18" s="15"/>
      <c r="BH18" s="15"/>
      <c r="BI18" s="15"/>
      <c r="BJ18" s="274"/>
      <c r="BK18" s="277"/>
      <c r="BL18" s="277"/>
      <c r="BM18" s="277"/>
      <c r="BN18" s="277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5"/>
      <c r="B20" s="278"/>
      <c r="C20" s="266"/>
      <c r="D20" s="267"/>
      <c r="E20" s="268"/>
      <c r="F20" s="269"/>
      <c r="G20" s="268"/>
      <c r="H20" s="269"/>
      <c r="I20" s="268"/>
      <c r="J20" s="270"/>
      <c r="K20" s="270"/>
      <c r="L20" s="270"/>
      <c r="M20" s="15"/>
      <c r="N20" s="270"/>
      <c r="O20" s="270"/>
      <c r="P20" s="270"/>
      <c r="Q20" s="15"/>
      <c r="R20" s="271"/>
      <c r="S20" s="271"/>
      <c r="T20" s="271"/>
      <c r="U20" s="272"/>
      <c r="V20" s="272"/>
      <c r="W20" s="272"/>
      <c r="X20" s="270"/>
      <c r="Y20" s="270"/>
      <c r="Z20" s="270"/>
      <c r="AA20" s="273"/>
      <c r="AB20" s="274"/>
      <c r="AC20" s="15"/>
      <c r="AD20" s="15"/>
      <c r="AE20" s="275"/>
      <c r="AF20" s="274"/>
      <c r="AG20" s="274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276"/>
      <c r="BE20" s="15"/>
      <c r="BF20" s="15"/>
      <c r="BG20" s="15"/>
      <c r="BH20" s="15"/>
      <c r="BI20" s="15"/>
      <c r="BJ20" s="274"/>
      <c r="BK20" s="277"/>
      <c r="BL20" s="277"/>
      <c r="BM20" s="277"/>
      <c r="BN20" s="277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78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78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78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1"/>
      <c r="B39" s="264"/>
      <c r="C39" s="262"/>
      <c r="D39" s="233"/>
      <c r="E39" s="235"/>
      <c r="F39" s="263"/>
      <c r="G39" s="235"/>
      <c r="H39" s="263"/>
      <c r="I39" s="235"/>
      <c r="J39" s="9"/>
      <c r="K39" s="9"/>
      <c r="L39" s="9"/>
      <c r="M39" s="242"/>
      <c r="N39" s="9"/>
      <c r="O39" s="9"/>
      <c r="P39" s="9"/>
      <c r="Q39" s="242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3"/>
      <c r="AC39" s="242"/>
      <c r="AD39" s="242"/>
      <c r="AE39" s="244"/>
      <c r="AF39" s="243"/>
      <c r="AG39" s="243"/>
      <c r="AH39" s="242"/>
      <c r="AI39" s="242"/>
      <c r="AJ39" s="242"/>
      <c r="AK39" s="242"/>
      <c r="AL39" s="242"/>
      <c r="AM39" s="242"/>
      <c r="AN39" s="242"/>
      <c r="AO39" s="242"/>
      <c r="AP39" s="242"/>
      <c r="AQ39" s="242"/>
      <c r="AR39" s="242"/>
      <c r="AS39" s="242"/>
      <c r="AT39" s="242"/>
      <c r="AU39" s="242"/>
      <c r="AV39" s="242"/>
      <c r="AW39" s="242"/>
      <c r="AX39" s="242"/>
      <c r="AY39" s="242"/>
      <c r="AZ39" s="242"/>
      <c r="BA39" s="242"/>
      <c r="BB39" s="242"/>
      <c r="BC39" s="242"/>
      <c r="BD39" s="246"/>
      <c r="BE39" s="242"/>
      <c r="BF39" s="242"/>
      <c r="BG39" s="242"/>
      <c r="BH39" s="242"/>
      <c r="BI39" s="242"/>
      <c r="BJ39" s="243"/>
      <c r="BK39" s="248"/>
      <c r="BL39" s="248"/>
      <c r="BM39" s="248"/>
      <c r="BN39" s="248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1"/>
      <c r="B41" s="262"/>
      <c r="C41" s="262"/>
      <c r="D41" s="233"/>
      <c r="E41" s="235"/>
      <c r="F41" s="263"/>
      <c r="G41" s="235"/>
      <c r="H41" s="263"/>
      <c r="I41" s="235"/>
      <c r="J41" s="9"/>
      <c r="K41" s="9"/>
      <c r="L41" s="9"/>
      <c r="M41" s="242"/>
      <c r="N41" s="9"/>
      <c r="O41" s="9"/>
      <c r="P41" s="9"/>
      <c r="Q41" s="242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3"/>
      <c r="AC41" s="242"/>
      <c r="AD41" s="242"/>
      <c r="AE41" s="244"/>
      <c r="AF41" s="243"/>
      <c r="AG41" s="243"/>
      <c r="AH41" s="242"/>
      <c r="AI41" s="242"/>
      <c r="AJ41" s="242"/>
      <c r="AK41" s="242"/>
      <c r="AL41" s="242"/>
      <c r="AM41" s="242"/>
      <c r="AN41" s="242"/>
      <c r="AO41" s="242"/>
      <c r="AP41" s="242"/>
      <c r="AQ41" s="242"/>
      <c r="AR41" s="242"/>
      <c r="AS41" s="242"/>
      <c r="AT41" s="242"/>
      <c r="AU41" s="242"/>
      <c r="AV41" s="242"/>
      <c r="AW41" s="242"/>
      <c r="AX41" s="242"/>
      <c r="AY41" s="242"/>
      <c r="AZ41" s="242"/>
      <c r="BA41" s="242"/>
      <c r="BB41" s="242"/>
      <c r="BC41" s="242"/>
      <c r="BD41" s="246"/>
      <c r="BE41" s="242"/>
      <c r="BF41" s="242"/>
      <c r="BG41" s="242"/>
      <c r="BH41" s="242"/>
      <c r="BI41" s="242"/>
      <c r="BJ41" s="243"/>
      <c r="BK41" s="248"/>
      <c r="BL41" s="248"/>
      <c r="BM41" s="248"/>
      <c r="BN41" s="248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1"/>
      <c r="B91" s="262"/>
      <c r="C91" s="262"/>
      <c r="D91" s="233"/>
      <c r="E91" s="235"/>
      <c r="F91" s="263"/>
      <c r="G91" s="235"/>
      <c r="H91" s="263"/>
      <c r="I91" s="235"/>
      <c r="J91" s="9"/>
      <c r="K91" s="9"/>
      <c r="L91" s="9"/>
      <c r="M91" s="242"/>
      <c r="N91" s="9"/>
      <c r="O91" s="9"/>
      <c r="P91" s="9"/>
      <c r="Q91" s="242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3"/>
      <c r="AC91" s="242"/>
      <c r="AD91" s="242"/>
      <c r="AE91" s="244"/>
      <c r="AF91" s="243"/>
      <c r="AG91" s="243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6"/>
      <c r="BE91" s="242"/>
      <c r="BF91" s="242"/>
      <c r="BG91" s="242"/>
      <c r="BH91" s="242"/>
      <c r="BI91" s="242"/>
      <c r="BJ91" s="243"/>
      <c r="BK91" s="248"/>
      <c r="BL91" s="248"/>
      <c r="BM91" s="248"/>
      <c r="BN91" s="248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1"/>
      <c r="B93" s="262"/>
      <c r="C93" s="262"/>
      <c r="D93" s="233"/>
      <c r="E93" s="235"/>
      <c r="F93" s="263"/>
      <c r="G93" s="235"/>
      <c r="H93" s="263"/>
      <c r="I93" s="235"/>
      <c r="J93" s="9"/>
      <c r="K93" s="9"/>
      <c r="L93" s="9"/>
      <c r="M93" s="242"/>
      <c r="N93" s="9"/>
      <c r="O93" s="9"/>
      <c r="P93" s="9"/>
      <c r="Q93" s="242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3"/>
      <c r="AC93" s="242"/>
      <c r="AD93" s="242"/>
      <c r="AE93" s="244"/>
      <c r="AF93" s="243"/>
      <c r="AG93" s="243"/>
      <c r="AH93" s="242"/>
      <c r="AI93" s="242"/>
      <c r="AJ93" s="242"/>
      <c r="AK93" s="242"/>
      <c r="AL93" s="242"/>
      <c r="AM93" s="242"/>
      <c r="AN93" s="242"/>
      <c r="AO93" s="242"/>
      <c r="AP93" s="242"/>
      <c r="AQ93" s="242"/>
      <c r="AR93" s="242"/>
      <c r="AS93" s="242"/>
      <c r="AT93" s="242"/>
      <c r="AU93" s="242"/>
      <c r="AV93" s="242"/>
      <c r="AW93" s="242"/>
      <c r="AX93" s="242"/>
      <c r="AY93" s="242"/>
      <c r="AZ93" s="242"/>
      <c r="BA93" s="242"/>
      <c r="BB93" s="242"/>
      <c r="BC93" s="242"/>
      <c r="BD93" s="246"/>
      <c r="BE93" s="242"/>
      <c r="BF93" s="242"/>
      <c r="BG93" s="242"/>
      <c r="BH93" s="242"/>
      <c r="BI93" s="242"/>
      <c r="BJ93" s="243"/>
      <c r="BK93" s="248"/>
      <c r="BL93" s="248"/>
      <c r="BM93" s="248"/>
      <c r="BN93" s="248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64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64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64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AAve44x0tyzLSRljDdXCtbZUBF4CFvnDjzv/Zd+vrBkjl4T9xQcvIpc8pA0P5tkExQkN3FJ2Y+uFax65v4pfLQ==" saltValue="QeS3Ckl3I2IPv5nSEsqaQg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VIOftXBv9jHq2nZ7NuCiZIWU/lskm2PTD1TodS4dSqKFukSajNJuqz+sIz38dUGTW7bnSqbD08xjpDSGKTFctg==" saltValue="eZEC7z3HB+cryBV249bjo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XQP1c8VlhA1bkFE+vVizdsq90eVevzJ3xFjK5lt/GoxpAJsvlzcYpfVWKrtoU4YdgBp3g5n+XQpjpaOhf9PLYg==" saltValue="ITejcu7qob3GH3FwNjws4w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