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3B2CC62D-49E6-4474-9F40-16E05D46245F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6" i="82" l="1"/>
  <c r="AR15" i="82"/>
  <c r="AQ16" i="82"/>
  <c r="AQ15" i="82"/>
  <c r="AP16" i="82"/>
  <c r="AP15" i="82"/>
  <c r="AN16" i="82"/>
  <c r="AN15" i="82"/>
  <c r="AM16" i="82"/>
  <c r="AM15" i="82"/>
  <c r="AL16" i="82"/>
  <c r="AL15" i="82"/>
  <c r="AJ16" i="82"/>
  <c r="AJ15" i="82"/>
  <c r="AI16" i="82"/>
  <c r="AI15" i="82"/>
  <c r="AH16" i="82"/>
  <c r="AH15" i="82"/>
  <c r="AF16" i="82"/>
  <c r="AF15" i="82"/>
  <c r="AE16" i="82"/>
  <c r="AE15" i="82"/>
  <c r="AD16" i="82"/>
  <c r="AD15" i="82"/>
  <c r="AA16" i="82"/>
  <c r="AA15" i="82"/>
  <c r="Z16" i="82"/>
  <c r="Z15" i="82"/>
  <c r="Y16" i="82"/>
  <c r="Y15" i="82"/>
  <c r="X16" i="82"/>
  <c r="X15" i="82"/>
  <c r="W16" i="82"/>
  <c r="W15" i="82"/>
  <c r="S16" i="82"/>
  <c r="S15" i="82"/>
  <c r="R16" i="82"/>
  <c r="R15" i="82"/>
  <c r="Q16" i="82"/>
  <c r="Q15" i="82"/>
  <c r="N16" i="82"/>
  <c r="N15" i="82"/>
  <c r="M16" i="82"/>
  <c r="M15" i="82"/>
  <c r="J16" i="82"/>
  <c r="J15" i="82"/>
  <c r="F17" i="82"/>
  <c r="F16" i="82"/>
  <c r="F15" i="82"/>
  <c r="E16" i="82"/>
  <c r="E15" i="82"/>
  <c r="AN13" i="82"/>
  <c r="AI13" i="82"/>
  <c r="AD13" i="82"/>
  <c r="Y13" i="82"/>
  <c r="X13" i="82"/>
  <c r="X17" i="82" s="1"/>
  <c r="R13" i="82"/>
  <c r="Q13" i="82"/>
  <c r="Q17" i="82" s="1"/>
  <c r="J13" i="82"/>
  <c r="F13" i="82"/>
  <c r="AR11" i="82"/>
  <c r="AQ11" i="82"/>
  <c r="AQ13" i="82" s="1"/>
  <c r="AP11" i="82"/>
  <c r="AP13" i="82" s="1"/>
  <c r="AN11" i="82"/>
  <c r="AN17" i="82" s="1"/>
  <c r="AM11" i="82"/>
  <c r="AL11" i="82"/>
  <c r="AL13" i="82" s="1"/>
  <c r="AJ11" i="82"/>
  <c r="AJ13" i="82" s="1"/>
  <c r="AI11" i="82"/>
  <c r="AI17" i="82" s="1"/>
  <c r="AH11" i="82"/>
  <c r="AF11" i="82"/>
  <c r="AF13" i="82" s="1"/>
  <c r="AE11" i="82"/>
  <c r="AE13" i="82" s="1"/>
  <c r="AD11" i="82"/>
  <c r="AD17" i="82" s="1"/>
  <c r="AA11" i="82"/>
  <c r="Z11" i="82"/>
  <c r="Z13" i="82" s="1"/>
  <c r="Y11" i="82"/>
  <c r="Y17" i="82" s="1"/>
  <c r="X11" i="82"/>
  <c r="W11" i="82"/>
  <c r="S11" i="82"/>
  <c r="S13" i="82" s="1"/>
  <c r="R11" i="82"/>
  <c r="R17" i="82" s="1"/>
  <c r="Q11" i="82"/>
  <c r="N11" i="82"/>
  <c r="M11" i="82"/>
  <c r="M13" i="82" s="1"/>
  <c r="J11" i="82"/>
  <c r="J17" i="82" s="1"/>
  <c r="F11" i="82"/>
  <c r="E11" i="82"/>
  <c r="AW16" i="75"/>
  <c r="AW15" i="75"/>
  <c r="AV17" i="75"/>
  <c r="AV16" i="75"/>
  <c r="AV15" i="75"/>
  <c r="AU16" i="75"/>
  <c r="AU15" i="75"/>
  <c r="AS16" i="75"/>
  <c r="AS15" i="75"/>
  <c r="AR16" i="75"/>
  <c r="AR15" i="75"/>
  <c r="AQ17" i="75"/>
  <c r="AQ16" i="75"/>
  <c r="AQ15" i="75"/>
  <c r="AN16" i="75"/>
  <c r="AN15" i="75"/>
  <c r="AM16" i="75"/>
  <c r="AM15" i="75"/>
  <c r="AL16" i="75"/>
  <c r="AL15" i="75"/>
  <c r="AI17" i="75"/>
  <c r="AI16" i="75"/>
  <c r="AI15" i="75"/>
  <c r="AH16" i="75"/>
  <c r="AH15" i="75"/>
  <c r="AG16" i="75"/>
  <c r="AG15" i="75"/>
  <c r="AD16" i="75"/>
  <c r="AD15" i="75"/>
  <c r="AC17" i="75"/>
  <c r="AC16" i="75"/>
  <c r="AC15" i="75"/>
  <c r="AO16" i="75"/>
  <c r="AO15" i="75"/>
  <c r="AJ16" i="75"/>
  <c r="AJ15" i="75"/>
  <c r="Z16" i="75"/>
  <c r="Z15" i="75"/>
  <c r="V17" i="75"/>
  <c r="V16" i="75"/>
  <c r="V15" i="75"/>
  <c r="Y16" i="75"/>
  <c r="Y15" i="75"/>
  <c r="X16" i="75"/>
  <c r="X15" i="75"/>
  <c r="W16" i="75"/>
  <c r="W15" i="75"/>
  <c r="R17" i="75"/>
  <c r="R16" i="75"/>
  <c r="R15" i="75"/>
  <c r="Q16" i="75"/>
  <c r="Q15" i="75"/>
  <c r="P16" i="75"/>
  <c r="P15" i="75"/>
  <c r="M16" i="75"/>
  <c r="M15" i="75"/>
  <c r="L17" i="75"/>
  <c r="L16" i="75"/>
  <c r="L15" i="75"/>
  <c r="I16" i="75"/>
  <c r="I15" i="75"/>
  <c r="F16" i="75"/>
  <c r="F15" i="75"/>
  <c r="E16" i="75"/>
  <c r="E15" i="75"/>
  <c r="AW13" i="75"/>
  <c r="AV13" i="75"/>
  <c r="AR13" i="75"/>
  <c r="AQ13" i="75"/>
  <c r="AL13" i="75"/>
  <c r="AI13" i="75"/>
  <c r="AD13" i="75"/>
  <c r="AC13" i="75"/>
  <c r="Z13" i="75"/>
  <c r="V13" i="75"/>
  <c r="W13" i="75"/>
  <c r="R13" i="75"/>
  <c r="M13" i="75"/>
  <c r="L13" i="75"/>
  <c r="E13" i="75"/>
  <c r="AW11" i="75"/>
  <c r="AW17" i="75" s="1"/>
  <c r="AV11" i="75"/>
  <c r="AU11" i="75"/>
  <c r="AS11" i="75"/>
  <c r="AR11" i="75"/>
  <c r="AR17" i="75" s="1"/>
  <c r="AQ11" i="75"/>
  <c r="AN11" i="75"/>
  <c r="AN13" i="75" s="1"/>
  <c r="AM11" i="75"/>
  <c r="AM13" i="75" s="1"/>
  <c r="AL11" i="75"/>
  <c r="AL17" i="75" s="1"/>
  <c r="AI11" i="75"/>
  <c r="AH11" i="75"/>
  <c r="AH13" i="75" s="1"/>
  <c r="AG11" i="75"/>
  <c r="AD11" i="75"/>
  <c r="AD17" i="75" s="1"/>
  <c r="AC11" i="75"/>
  <c r="AO11" i="75"/>
  <c r="AO13" i="75" s="1"/>
  <c r="AJ11" i="75"/>
  <c r="AJ13" i="75" s="1"/>
  <c r="Z11" i="75"/>
  <c r="Z17" i="75" s="1"/>
  <c r="V11" i="75"/>
  <c r="Y11" i="75"/>
  <c r="X11" i="75"/>
  <c r="W11" i="75"/>
  <c r="W17" i="75" s="1"/>
  <c r="R11" i="75"/>
  <c r="Q11" i="75"/>
  <c r="Q13" i="75" s="1"/>
  <c r="P11" i="75"/>
  <c r="P13" i="75" s="1"/>
  <c r="M11" i="75"/>
  <c r="M17" i="75" s="1"/>
  <c r="L11" i="75"/>
  <c r="I11" i="75"/>
  <c r="F11" i="75"/>
  <c r="E11" i="75"/>
  <c r="E17" i="75" s="1"/>
  <c r="AS6" i="75"/>
  <c r="AC6" i="75"/>
  <c r="N17" i="82" l="1"/>
  <c r="W17" i="82"/>
  <c r="AA17" i="82"/>
  <c r="AM17" i="82"/>
  <c r="AR17" i="82"/>
  <c r="E13" i="82"/>
  <c r="E17" i="82" s="1"/>
  <c r="N13" i="82"/>
  <c r="W13" i="82"/>
  <c r="AA13" i="82"/>
  <c r="AH13" i="82"/>
  <c r="AH17" i="82" s="1"/>
  <c r="AM13" i="82"/>
  <c r="AR13" i="82"/>
  <c r="M17" i="82"/>
  <c r="S17" i="82"/>
  <c r="Z17" i="82"/>
  <c r="AF17" i="82"/>
  <c r="AL17" i="82"/>
  <c r="AQ17" i="82"/>
  <c r="AE17" i="82"/>
  <c r="AJ17" i="82"/>
  <c r="AP17" i="82"/>
  <c r="X17" i="75"/>
  <c r="AG17" i="75"/>
  <c r="AS17" i="75"/>
  <c r="Y17" i="75"/>
  <c r="AU17" i="75"/>
  <c r="F13" i="75"/>
  <c r="F17" i="75" s="1"/>
  <c r="X13" i="75"/>
  <c r="AG13" i="75"/>
  <c r="AS13" i="75"/>
  <c r="Q17" i="75"/>
  <c r="AO17" i="75"/>
  <c r="AH17" i="75"/>
  <c r="AN17" i="75"/>
  <c r="I13" i="75"/>
  <c r="I17" i="75" s="1"/>
  <c r="Y13" i="75"/>
  <c r="AU13" i="75"/>
  <c r="P17" i="75"/>
  <c r="AJ17" i="75"/>
  <c r="AM17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47365031-AD73-474E-983A-BDE59C43BE04}">
      <text>
        <r>
          <rPr>
            <sz val="10"/>
            <color indexed="81"/>
            <rFont val="Arial"/>
            <family val="2"/>
          </rPr>
          <t>1 - 217,269_x000D_
2 - 217,269_x000D_
3 - 217,269_x000D_
4 - 81,258_x000D_
5 - 65,766_x000D_
6 - 4,355</t>
        </r>
      </text>
    </comment>
    <comment ref="M9" authorId="0" shapeId="0" xr:uid="{99B9C348-E7E2-4885-8732-FA0102EC6342}">
      <text>
        <r>
          <rPr>
            <sz val="10"/>
            <color indexed="81"/>
            <rFont val="Arial"/>
            <family val="2"/>
          </rPr>
          <t>1 - 169,351_x000D_
2 - 167,445_x000D_
3 - 158,008_x000D_
4 - 81,258_x000D_
5 - 65,766_x000D_
6 - 4,355</t>
        </r>
      </text>
    </comment>
    <comment ref="I10" authorId="0" shapeId="0" xr:uid="{0F2BDAD3-B7BD-4CA9-B8F2-BC4BF8843FAB}">
      <text>
        <r>
          <rPr>
            <sz val="10"/>
            <color indexed="81"/>
            <rFont val="Arial"/>
            <family val="2"/>
          </rPr>
          <t>1 - 1,774,000_x000D_
2 - 1,774,000_x000D_
3 - 1,774,000_x000D_
4 - 0_x000D_
5 - 0_x000D_
6 - 0</t>
        </r>
      </text>
    </comment>
    <comment ref="M10" authorId="0" shapeId="0" xr:uid="{57AE16DC-22C5-4F07-8804-F7E83C4AAAE6}">
      <text>
        <r>
          <rPr>
            <sz val="10"/>
            <color indexed="81"/>
            <rFont val="Arial"/>
            <family val="2"/>
          </rPr>
          <t>1 - 1,145,689_x000D_
2 - 1,145,731_x000D_
3 - 1,145,365_x000D_
4 - 0_x000D_
5 - 0_x000D_
6 - 0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46C670F4-9762-43DD-B2C4-A60C03A295E0}">
      <text>
        <r>
          <rPr>
            <sz val="10"/>
            <color indexed="81"/>
            <rFont val="Arial"/>
            <family val="2"/>
          </rPr>
          <t>1 - 0_x000D_
2 - 0_x000D_
3 - 217,269_x000D_
4 - 0_x000D_
5 - 0_x000D_
6 - 4,355</t>
        </r>
      </text>
    </comment>
    <comment ref="N9" authorId="0" shapeId="0" xr:uid="{2F0327BF-16F6-4B74-B07A-FDAAF30E73F9}">
      <text>
        <r>
          <rPr>
            <sz val="10"/>
            <color indexed="81"/>
            <rFont val="Arial"/>
            <family val="2"/>
          </rPr>
          <t>1 - 0_x000D_
2 - 0_x000D_
3 - 158,008_x000D_
4 - 0_x000D_
5 - 0_x000D_
6 - 4,355</t>
        </r>
      </text>
    </comment>
    <comment ref="J10" authorId="0" shapeId="0" xr:uid="{41538511-17CE-464B-A9A2-D50E3E76E1B5}">
      <text>
        <r>
          <rPr>
            <sz val="10"/>
            <color indexed="81"/>
            <rFont val="Arial"/>
            <family val="2"/>
          </rPr>
          <t>1 - 0_x000D_
2 - 0_x000D_
3 - 1,774,000_x000D_
4 - 0_x000D_
5 - 0_x000D_
6 - 0</t>
        </r>
      </text>
    </comment>
    <comment ref="N10" authorId="0" shapeId="0" xr:uid="{D9C50881-8E5D-4F0B-A69E-49EED970AF6D}">
      <text>
        <r>
          <rPr>
            <sz val="10"/>
            <color indexed="81"/>
            <rFont val="Arial"/>
            <family val="2"/>
          </rPr>
          <t>1 - 0_x000D_
2 - 0_x000D_
3 - 1,145,365_x000D_
4 - 0_x000D_
5 - 0_x000D_
6 - 0</t>
        </r>
      </text>
    </comment>
  </commentList>
</comments>
</file>

<file path=xl/sharedStrings.xml><?xml version="1.0" encoding="utf-8"?>
<sst xmlns="http://schemas.openxmlformats.org/spreadsheetml/2006/main" count="4702" uniqueCount="646">
  <si>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</si>
  <si>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</si>
  <si>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</si>
  <si>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</si>
  <si>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</si>
  <si>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</si>
  <si>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</si>
  <si>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</si>
  <si>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</si>
  <si>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</si>
  <si>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</si>
  <si>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</si>
  <si>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</si>
  <si>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</si>
  <si>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</si>
  <si>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</si>
  <si>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</si>
  <si>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</si>
  <si>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</si>
  <si>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</si>
  <si>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</si>
  <si>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</si>
  <si>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</si>
  <si>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</si>
  <si>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</si>
  <si>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</si>
  <si>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</si>
  <si>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</si>
  <si>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</si>
  <si>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</si>
  <si>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</si>
  <si>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</si>
  <si>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</si>
  <si>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</si>
  <si>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</si>
  <si>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</si>
  <si>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</si>
  <si>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</si>
  <si>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</si>
  <si>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</si>
  <si>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</si>
  <si>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</si>
  <si>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</si>
  <si>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</si>
  <si>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</si>
  <si>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</si>
  <si>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</si>
  <si>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</si>
  <si>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</si>
  <si>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</si>
  <si>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</si>
  <si>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</si>
  <si>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</si>
  <si>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</si>
  <si>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</si>
  <si>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</si>
  <si>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</si>
  <si>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</si>
  <si>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</si>
  <si>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</si>
  <si>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</si>
  <si>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</si>
  <si>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</si>
  <si>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</si>
  <si>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</si>
  <si>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</si>
  <si>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</si>
  <si>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</si>
  <si>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</si>
  <si>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</si>
  <si>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</si>
  <si>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</si>
  <si>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</si>
  <si>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</si>
  <si>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</si>
  <si>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</si>
  <si>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</si>
  <si>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</si>
  <si>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</si>
  <si>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</si>
  <si>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</si>
  <si>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</si>
  <si>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</si>
  <si>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</si>
  <si>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</si>
  <si>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</si>
  <si>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</si>
  <si>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</si>
  <si>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</si>
  <si>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</si>
  <si>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</si>
  <si>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</si>
  <si>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</si>
  <si>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</si>
  <si>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</si>
  <si>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</si>
  <si>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</si>
  <si>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</si>
  <si>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</si>
  <si>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</si>
  <si>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</si>
  <si>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</si>
  <si>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</si>
  <si>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</si>
  <si>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</si>
  <si>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</si>
  <si>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</si>
  <si>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</si>
  <si>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</si>
  <si>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</si>
  <si>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</si>
  <si>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</si>
  <si>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</si>
  <si>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</si>
  <si>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</si>
  <si>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</si>
  <si>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</si>
  <si>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</si>
  <si>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</si>
  <si>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</si>
  <si>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</si>
  <si>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</si>
  <si>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</si>
  <si>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</si>
  <si>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</si>
  <si>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</si>
  <si>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</si>
  <si>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</si>
  <si>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</si>
  <si>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</si>
  <si>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</si>
  <si>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</si>
  <si>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</si>
  <si>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</si>
  <si>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</si>
  <si>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</si>
  <si>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</si>
  <si>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</si>
  <si>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</si>
  <si>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</si>
  <si>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</si>
  <si>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</si>
  <si>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</si>
  <si>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</si>
  <si>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</si>
  <si>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</si>
  <si>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</si>
  <si>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</si>
  <si>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</si>
  <si>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</si>
  <si>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</si>
  <si>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</si>
  <si>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</si>
  <si>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</si>
  <si>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</si>
  <si>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</si>
  <si>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</si>
  <si>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</si>
  <si>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</si>
  <si>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</si>
  <si>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</si>
  <si>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</si>
  <si>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</si>
  <si>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</si>
  <si>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</si>
  <si>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</si>
  <si>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</si>
  <si>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</si>
  <si>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</si>
  <si>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</si>
  <si>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</si>
  <si>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</si>
  <si>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</si>
  <si>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</si>
  <si>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</si>
  <si>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</si>
  <si>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</si>
  <si>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</si>
  <si>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</si>
  <si>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</si>
  <si>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</si>
  <si>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</si>
  <si>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</si>
  <si>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</si>
  <si>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</si>
  <si>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</si>
  <si>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</si>
  <si>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</si>
  <si>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</si>
  <si>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</si>
  <si>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</si>
  <si>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</si>
  <si>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</si>
  <si>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</si>
  <si>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</si>
  <si>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</si>
  <si>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</si>
  <si>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</si>
  <si>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</si>
  <si>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</si>
  <si>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</si>
  <si>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</si>
  <si>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</si>
  <si>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</si>
  <si>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</si>
  <si>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</si>
  <si>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</si>
  <si>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</si>
  <si>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</si>
  <si>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</si>
  <si>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</si>
  <si>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</si>
  <si>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</si>
  <si>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</si>
  <si>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</si>
  <si>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</si>
  <si>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</si>
  <si>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</si>
  <si>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</si>
  <si>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</si>
  <si>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</si>
  <si>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</si>
  <si>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</si>
  <si>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</si>
  <si>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</si>
  <si>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</si>
  <si>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</si>
  <si>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</si>
  <si>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</si>
  <si>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</si>
  <si>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</si>
  <si>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</si>
  <si>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</si>
  <si>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</si>
  <si>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</si>
  <si>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</si>
  <si>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</si>
  <si>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</si>
  <si>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</si>
  <si>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</si>
  <si>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</si>
  <si>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</si>
  <si>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</si>
  <si>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</si>
  <si>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</si>
  <si>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</si>
  <si>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</si>
  <si>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</si>
  <si>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</si>
  <si>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</si>
  <si>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</si>
  <si>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</si>
  <si>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</si>
  <si>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</si>
  <si>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</si>
  <si>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</si>
  <si>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</si>
  <si>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</si>
  <si>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</si>
  <si>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</si>
  <si>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</si>
  <si>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</si>
  <si>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</si>
  <si>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</si>
  <si>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</si>
  <si>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</si>
  <si>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</si>
  <si>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</si>
  <si>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</si>
  <si>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</si>
  <si>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</si>
  <si>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</si>
  <si>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</si>
  <si>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</si>
  <si>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</si>
  <si>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</si>
  <si>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</si>
  <si>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</si>
  <si>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</si>
  <si>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</si>
  <si>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</si>
  <si>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</si>
  <si>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</si>
  <si>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</si>
  <si>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</si>
  <si>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</si>
  <si>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</si>
  <si>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</si>
  <si>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</si>
  <si>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</si>
  <si>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</si>
  <si>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</si>
  <si>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</si>
  <si>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</si>
  <si>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</si>
  <si>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</si>
  <si>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</si>
  <si>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</si>
  <si>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</si>
  <si>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</si>
  <si>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</si>
  <si>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</si>
  <si>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</si>
  <si>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</si>
  <si>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</si>
  <si>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</si>
  <si>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</si>
  <si>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</si>
  <si>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</si>
  <si>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</si>
  <si>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</si>
  <si>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</si>
  <si>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</si>
  <si>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</si>
  <si>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</si>
  <si>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</si>
  <si>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</si>
  <si>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</si>
  <si>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</si>
  <si>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</si>
  <si>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</si>
  <si>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</si>
  <si>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</si>
  <si>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</si>
  <si>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</si>
  <si>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</si>
  <si>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</si>
  <si>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</si>
  <si>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</si>
  <si>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</si>
  <si>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</si>
  <si>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</si>
  <si>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</si>
  <si>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</si>
  <si>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</si>
  <si>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</si>
  <si>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</si>
  <si>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</si>
  <si>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</si>
  <si>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</si>
  <si>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</si>
  <si>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</si>
  <si>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</si>
  <si>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</si>
  <si>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</si>
  <si>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</si>
  <si>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</si>
  <si>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</si>
  <si>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</si>
  <si>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</si>
  <si>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</si>
  <si>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</si>
  <si>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</si>
  <si>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</si>
  <si>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</si>
  <si>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</si>
  <si>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</si>
  <si>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</si>
  <si>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</si>
  <si>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</si>
  <si>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</si>
  <si>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</si>
  <si>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</si>
  <si>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</si>
  <si>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</si>
  <si>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</si>
  <si>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</si>
  <si>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</si>
  <si>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</si>
  <si>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</si>
  <si>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</si>
  <si>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</si>
  <si>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</si>
  <si>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</si>
  <si>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</si>
  <si>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</si>
  <si>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</si>
  <si>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</si>
  <si>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</si>
  <si>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</si>
  <si>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</si>
  <si>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</si>
  <si>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</si>
  <si>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</si>
  <si>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</si>
  <si>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</si>
  <si>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</si>
  <si>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</si>
  <si>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</si>
  <si>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</si>
  <si>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</si>
  <si>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</si>
  <si>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</si>
  <si>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</si>
  <si>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</si>
  <si>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</si>
  <si>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</si>
  <si>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</si>
  <si>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</si>
  <si>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</si>
  <si>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</si>
  <si>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</si>
  <si>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</si>
  <si>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</si>
  <si>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</si>
  <si>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</si>
  <si>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</si>
  <si>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</si>
  <si>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</si>
  <si>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</si>
  <si>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</si>
  <si>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</si>
  <si>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</si>
  <si>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</si>
  <si>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</si>
  <si>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</si>
  <si>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</si>
  <si>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</si>
  <si>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</si>
  <si>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</si>
  <si>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</si>
  <si>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</si>
  <si>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</si>
  <si>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</si>
  <si>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</si>
  <si>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</si>
  <si>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</si>
  <si>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</si>
  <si>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</si>
  <si>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</si>
  <si>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</si>
  <si>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</si>
  <si>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</si>
  <si>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</si>
  <si>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</si>
  <si>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</si>
  <si>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</si>
  <si>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</si>
  <si>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</si>
  <si>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</si>
  <si>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</si>
  <si>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</si>
  <si>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</si>
  <si>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</si>
  <si>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</si>
  <si>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</si>
  <si>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</si>
  <si>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</si>
  <si>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</si>
  <si>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</si>
  <si>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</si>
  <si>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</si>
  <si>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</si>
  <si>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</si>
  <si>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</si>
  <si>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</si>
  <si>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</si>
  <si>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</si>
  <si>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</si>
  <si>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</si>
  <si>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</si>
  <si>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</si>
  <si>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</si>
  <si>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</si>
  <si>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</si>
  <si>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</si>
  <si>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</si>
  <si>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</si>
  <si>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</si>
  <si>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</si>
  <si>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</si>
  <si>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</si>
  <si>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</si>
  <si>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</si>
  <si>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</si>
  <si>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</si>
  <si>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</si>
  <si>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</si>
  <si>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</si>
  <si>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</si>
  <si>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</si>
  <si>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</si>
  <si>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</si>
  <si>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</si>
  <si>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</si>
  <si>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</si>
  <si>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</si>
  <si>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</si>
  <si>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</si>
  <si>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</si>
  <si>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</si>
  <si>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</si>
  <si>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</si>
  <si>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</si>
  <si>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</si>
  <si>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</si>
  <si>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</si>
  <si>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</si>
  <si>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</si>
  <si>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</si>
  <si>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</si>
  <si>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</si>
  <si>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</si>
  <si>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</si>
  <si>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</si>
  <si>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</si>
  <si>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</si>
  <si>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</si>
  <si>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</si>
  <si>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</si>
  <si>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</si>
  <si>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</si>
  <si>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</si>
  <si>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</si>
  <si>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</si>
  <si>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</si>
  <si>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</si>
  <si>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</si>
  <si>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</si>
  <si>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</si>
  <si>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</si>
  <si>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</si>
  <si>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</si>
  <si>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</si>
  <si>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</si>
  <si>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</si>
  <si>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</si>
  <si>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</si>
  <si>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</si>
  <si>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</si>
  <si>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</si>
  <si>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</si>
  <si>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</si>
  <si>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</si>
  <si>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</si>
  <si>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</si>
  <si>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</si>
  <si>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</si>
  <si>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</si>
  <si>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</si>
  <si>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</si>
  <si>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</si>
  <si>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</si>
  <si>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</si>
  <si>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</si>
  <si>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</si>
  <si>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</si>
  <si>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</si>
  <si>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</si>
  <si>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</si>
  <si>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</si>
  <si>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</si>
  <si>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</si>
  <si>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</si>
  <si>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</si>
  <si>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</si>
  <si>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</si>
  <si>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</si>
  <si>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</si>
  <si>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</si>
  <si>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</si>
  <si>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</si>
  <si>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</si>
  <si>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</si>
  <si>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</si>
  <si>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</si>
  <si>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</si>
  <si>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</si>
  <si>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</si>
  <si>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</si>
  <si>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</si>
  <si>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</si>
  <si>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</si>
  <si>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</si>
  <si>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</si>
  <si>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</si>
  <si>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</si>
  <si>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</si>
  <si>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</si>
  <si>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</si>
  <si>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</si>
  <si>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</si>
  <si>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</si>
  <si>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</si>
  <si>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</si>
  <si>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</si>
  <si>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</si>
  <si>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</si>
  <si>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</si>
  <si>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</si>
  <si>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</si>
  <si>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</si>
  <si>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</si>
  <si>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</si>
  <si>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</si>
  <si>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</si>
  <si>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</si>
  <si>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</si>
  <si>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</si>
  <si>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</si>
  <si>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</si>
  <si>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</si>
  <si>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</si>
  <si>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</si>
  <si>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</si>
  <si>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</si>
  <si>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</si>
  <si>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</si>
  <si>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</si>
  <si>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</si>
  <si>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</si>
  <si>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</si>
  <si>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</si>
  <si>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</si>
  <si>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</si>
  <si>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</si>
  <si>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</si>
  <si>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</si>
  <si>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</si>
  <si>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</si>
  <si>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</si>
  <si>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</si>
  <si>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</si>
  <si>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</si>
  <si>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</si>
  <si>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</si>
  <si>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</si>
  <si>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</si>
  <si>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</si>
  <si>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</si>
  <si>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</si>
  <si>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</si>
  <si>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>0000000000000000</t>
  </si>
  <si>
    <t>ExcelImport</t>
  </si>
  <si>
    <t xml:space="preserve">  Open Jobs</t>
  </si>
  <si>
    <t>Kevin Ford</t>
  </si>
  <si>
    <t xml:space="preserve">    Riverside Public Works - Digester 5 Rehab</t>
  </si>
  <si>
    <t>Company 16 Grand Totals</t>
  </si>
  <si>
    <t>Company 16 Open Job Totals</t>
  </si>
  <si>
    <t>Company 16 Closed Job Totals</t>
  </si>
  <si>
    <t>Division 76</t>
  </si>
  <si>
    <t>76.1054.</t>
  </si>
  <si>
    <t>76.1189.</t>
  </si>
  <si>
    <t xml:space="preserve">    Wastewater Treatment Plant Solids Handling DB Project – City</t>
  </si>
  <si>
    <t xml:space="preserve">  Division 76 Open Job Totals</t>
  </si>
  <si>
    <t>Division 76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</si>
</sst>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76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2NiybsxcNAYpHq1wwyXBH+/GkUXbe9clwETI+CnyoXBb2nrKow+WZPlH59hPKhjyGD35XqDXUzaWOlSePeiVjg==" saltValue="/zHX1TUxWQQIXRcOGfyPa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640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634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641</v>
      </c>
      <c r="B9" s="232" t="s">
        <v>636</v>
      </c>
      <c r="C9" s="232" t="s">
        <v>635</v>
      </c>
      <c r="D9" s="233"/>
      <c r="E9" s="234">
        <v>201644</v>
      </c>
      <c r="F9" s="235">
        <v>201644</v>
      </c>
      <c r="G9" s="236"/>
      <c r="H9" s="237"/>
      <c r="I9" s="238">
        <v>217269</v>
      </c>
      <c r="J9" s="249"/>
      <c r="K9" s="240"/>
      <c r="L9" s="8">
        <v>169556.86</v>
      </c>
      <c r="M9" s="241">
        <v>167237</v>
      </c>
      <c r="N9" s="72"/>
      <c r="O9" s="100"/>
      <c r="P9" s="9"/>
      <c r="Q9" s="9">
        <v>47918</v>
      </c>
      <c r="R9" s="9"/>
      <c r="S9" s="152">
        <v>46082</v>
      </c>
      <c r="T9" s="10"/>
      <c r="U9" s="23"/>
      <c r="V9" s="11"/>
      <c r="W9" s="11"/>
      <c r="X9" s="8">
        <v>150189.18</v>
      </c>
      <c r="Y9" s="9"/>
      <c r="Z9" s="70">
        <v>44931.83</v>
      </c>
      <c r="AA9" s="72"/>
      <c r="AB9" s="108"/>
      <c r="AC9" s="9">
        <v>42862.32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150189.18</v>
      </c>
      <c r="AN9" s="9"/>
      <c r="AO9" s="9"/>
      <c r="AP9" s="10"/>
      <c r="AQ9" s="25"/>
      <c r="AR9" s="25"/>
      <c r="AS9" s="25"/>
      <c r="AT9" s="10"/>
      <c r="AU9" s="12">
        <v>201644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217269</v>
      </c>
      <c r="BF9" s="15">
        <v>167237</v>
      </c>
      <c r="BG9" s="15">
        <v>44931.83</v>
      </c>
      <c r="BH9" s="15">
        <v>217269</v>
      </c>
      <c r="BI9" s="15">
        <v>167237</v>
      </c>
      <c r="BJ9" s="242">
        <v>0</v>
      </c>
      <c r="BK9" s="242">
        <v>42862.32</v>
      </c>
      <c r="BL9" s="242"/>
      <c r="BM9" s="242">
        <v>1</v>
      </c>
      <c r="BN9" s="242">
        <v>47918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93">
        <v>44931.83</v>
      </c>
      <c r="CC9" s="246" t="s">
        <v>633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632</v>
      </c>
      <c r="CJ9" s="248">
        <v>150189.18</v>
      </c>
      <c r="CK9" s="248">
        <v>150189.18</v>
      </c>
      <c r="CL9" s="248">
        <v>201644</v>
      </c>
      <c r="CM9" s="248">
        <v>0</v>
      </c>
    </row>
    <row r="10" spans="1:102" x14ac:dyDescent="0.25">
      <c r="A10" s="231" t="s">
        <v>642</v>
      </c>
      <c r="B10" s="232" t="s">
        <v>643</v>
      </c>
      <c r="C10" s="232" t="s">
        <v>635</v>
      </c>
      <c r="D10" s="233"/>
      <c r="E10" s="234">
        <v>1784500</v>
      </c>
      <c r="F10" s="235">
        <v>1784500</v>
      </c>
      <c r="G10" s="236"/>
      <c r="H10" s="237"/>
      <c r="I10" s="238">
        <v>1784500</v>
      </c>
      <c r="J10" s="249"/>
      <c r="K10" s="240"/>
      <c r="L10" s="8">
        <v>1147744.96</v>
      </c>
      <c r="M10" s="241">
        <v>1180731</v>
      </c>
      <c r="N10" s="72"/>
      <c r="O10" s="100"/>
      <c r="P10" s="9"/>
      <c r="Q10" s="9">
        <v>628311</v>
      </c>
      <c r="R10" s="9"/>
      <c r="S10" s="152">
        <v>46357</v>
      </c>
      <c r="T10" s="10"/>
      <c r="U10" s="23"/>
      <c r="V10" s="11"/>
      <c r="W10" s="11"/>
      <c r="X10" s="8">
        <v>14535.62</v>
      </c>
      <c r="Y10" s="9"/>
      <c r="Z10" s="70">
        <v>0</v>
      </c>
      <c r="AA10" s="72"/>
      <c r="AB10" s="108"/>
      <c r="AC10" s="9">
        <v>0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14535.62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1784500</v>
      </c>
      <c r="BF10" s="15">
        <v>1180731</v>
      </c>
      <c r="BG10" s="242">
        <v>0</v>
      </c>
      <c r="BH10" s="15">
        <v>1784500</v>
      </c>
      <c r="BI10" s="15">
        <v>1180731</v>
      </c>
      <c r="BJ10" s="242">
        <v>0</v>
      </c>
      <c r="BK10" s="242">
        <v>0</v>
      </c>
      <c r="BL10" s="242"/>
      <c r="BM10" s="242">
        <v>1</v>
      </c>
      <c r="BN10" s="242">
        <v>628311</v>
      </c>
      <c r="BO10" s="242">
        <v>0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45"/>
      <c r="CC10" s="246" t="s">
        <v>633</v>
      </c>
      <c r="CD10" s="242">
        <v>0</v>
      </c>
      <c r="CE10" s="248">
        <v>0</v>
      </c>
      <c r="CF10" s="248">
        <v>0</v>
      </c>
      <c r="CG10" s="248">
        <v>0</v>
      </c>
      <c r="CH10" s="248">
        <v>0</v>
      </c>
      <c r="CI10" s="247" t="s">
        <v>632</v>
      </c>
      <c r="CJ10" s="248">
        <v>14535.62</v>
      </c>
      <c r="CK10" s="248">
        <v>14535.62</v>
      </c>
      <c r="CL10" s="248">
        <v>0</v>
      </c>
      <c r="CM10" s="248">
        <v>0</v>
      </c>
    </row>
    <row r="11" spans="1:102" x14ac:dyDescent="0.25">
      <c r="A11" s="231"/>
      <c r="B11" s="120" t="s">
        <v>644</v>
      </c>
      <c r="C11" s="232"/>
      <c r="D11" s="233"/>
      <c r="E11" s="279">
        <f>SUM(E8:E10)</f>
        <v>1986144</v>
      </c>
      <c r="F11" s="268">
        <f>SUM(F8:F10)</f>
        <v>1986144</v>
      </c>
      <c r="G11" s="236"/>
      <c r="H11" s="237"/>
      <c r="I11" s="280">
        <f>SUM(I8:I10)</f>
        <v>2001769</v>
      </c>
      <c r="J11" s="249"/>
      <c r="K11" s="240"/>
      <c r="L11" s="272">
        <f>SUM(L8:L10)</f>
        <v>1317301.8199999998</v>
      </c>
      <c r="M11" s="281">
        <f>SUM(M8:M10)</f>
        <v>1347968</v>
      </c>
      <c r="N11" s="72"/>
      <c r="O11" s="100"/>
      <c r="P11" s="270">
        <f>SUM(P8:P10)</f>
        <v>0</v>
      </c>
      <c r="Q11" s="270">
        <f>SUM(Q8:Q10)</f>
        <v>676229</v>
      </c>
      <c r="R11" s="270">
        <f>SUM(R8:R10)</f>
        <v>0</v>
      </c>
      <c r="S11" s="152"/>
      <c r="T11" s="10"/>
      <c r="U11" s="23"/>
      <c r="V11" s="271">
        <f>SUM(V8:V10)</f>
        <v>0</v>
      </c>
      <c r="W11" s="271">
        <f>SUM(W8:W10)</f>
        <v>0</v>
      </c>
      <c r="X11" s="272">
        <f>SUM(X8:X10)</f>
        <v>164724.79999999999</v>
      </c>
      <c r="Y11" s="270">
        <f>SUM(Y8:Y10)</f>
        <v>0</v>
      </c>
      <c r="Z11" s="282">
        <f>SUM(Z8:Z10)</f>
        <v>44931.83</v>
      </c>
      <c r="AA11" s="72"/>
      <c r="AB11" s="108"/>
      <c r="AC11" s="270">
        <f>SUM(AC8:AC10)</f>
        <v>42862.32</v>
      </c>
      <c r="AD11" s="270">
        <f>SUM(AD8:AD10)</f>
        <v>0</v>
      </c>
      <c r="AE11" s="10"/>
      <c r="AF11" s="24"/>
      <c r="AG11" s="271">
        <f>SUM(AG8:AG10)</f>
        <v>0</v>
      </c>
      <c r="AH11" s="272">
        <f>SUM(AH8:AH10)</f>
        <v>0</v>
      </c>
      <c r="AI11" s="270">
        <f>SUM(AI8:AI10)</f>
        <v>0</v>
      </c>
      <c r="AJ11" s="270">
        <f>SUM(AJ8:AJ10)</f>
        <v>0</v>
      </c>
      <c r="AK11" s="10"/>
      <c r="AL11" s="271">
        <f>SUM(AL8:AL10)</f>
        <v>0</v>
      </c>
      <c r="AM11" s="272">
        <f>SUM(AM8:AM10)</f>
        <v>164724.79999999999</v>
      </c>
      <c r="AN11" s="270">
        <f>SUM(AN8:AN10)</f>
        <v>0</v>
      </c>
      <c r="AO11" s="270">
        <f>SUM(AO8:AO10)</f>
        <v>0</v>
      </c>
      <c r="AP11" s="10"/>
      <c r="AQ11" s="283">
        <f>SUM(AQ8:AQ10)</f>
        <v>0</v>
      </c>
      <c r="AR11" s="283">
        <f>SUM(AR8:AR10)</f>
        <v>0</v>
      </c>
      <c r="AS11" s="283">
        <f>SUM(AS8:AS10)</f>
        <v>0</v>
      </c>
      <c r="AT11" s="10"/>
      <c r="AU11" s="284">
        <f>SUM(AU8:AU10)</f>
        <v>201644</v>
      </c>
      <c r="AV11" s="284">
        <f>SUM(AV8:AV10)</f>
        <v>0</v>
      </c>
      <c r="AW11" s="284">
        <f>SUM(AW8:AW10)</f>
        <v>0</v>
      </c>
      <c r="AX11" s="242"/>
      <c r="AY11" s="243"/>
      <c r="AZ11" s="242"/>
      <c r="BA11" s="242"/>
      <c r="BB11" s="244"/>
      <c r="BC11" s="243"/>
      <c r="BD11" s="243"/>
      <c r="BE11" s="242"/>
      <c r="BF11" s="242"/>
      <c r="BG11" s="242"/>
      <c r="BH11" s="242"/>
      <c r="BI11" s="242"/>
      <c r="BJ11" s="242"/>
      <c r="BK11" s="250"/>
      <c r="BL11" s="242"/>
      <c r="BM11" s="242"/>
      <c r="BN11" s="242"/>
      <c r="BO11" s="242"/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45"/>
      <c r="CC11" s="246"/>
      <c r="CD11" s="242"/>
      <c r="CE11" s="242"/>
      <c r="CF11" s="242"/>
      <c r="CG11" s="242"/>
      <c r="CH11" s="242"/>
      <c r="CI11" s="247"/>
      <c r="CJ11" s="248"/>
      <c r="CK11" s="248"/>
      <c r="CL11" s="248"/>
      <c r="CM11" s="248"/>
    </row>
    <row r="12" spans="1:102" x14ac:dyDescent="0.25">
      <c r="A12" s="231"/>
      <c r="B12" s="232"/>
      <c r="C12" s="232"/>
      <c r="D12" s="233"/>
      <c r="E12" s="234"/>
      <c r="F12" s="235"/>
      <c r="G12" s="236"/>
      <c r="H12" s="237"/>
      <c r="I12" s="238"/>
      <c r="J12" s="249"/>
      <c r="K12" s="240"/>
      <c r="L12" s="8"/>
      <c r="M12" s="241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/>
      <c r="B13" s="120" t="s">
        <v>645</v>
      </c>
      <c r="C13" s="232"/>
      <c r="D13" s="233"/>
      <c r="E13" s="279">
        <f>SUM(E7:E12)/2</f>
        <v>1986144</v>
      </c>
      <c r="F13" s="268">
        <f>SUM(F7:F12)/2</f>
        <v>1986144</v>
      </c>
      <c r="G13" s="236"/>
      <c r="H13" s="237"/>
      <c r="I13" s="280">
        <f>SUM(I7:I12)/2</f>
        <v>2001769</v>
      </c>
      <c r="J13" s="249"/>
      <c r="K13" s="240"/>
      <c r="L13" s="272">
        <f>SUM(L7:L12)/2</f>
        <v>1317301.8199999998</v>
      </c>
      <c r="M13" s="281">
        <f>SUM(M7:M12)/2</f>
        <v>1347968</v>
      </c>
      <c r="N13" s="71"/>
      <c r="O13" s="100"/>
      <c r="P13" s="270">
        <f>SUM(P7:P12)/2</f>
        <v>0</v>
      </c>
      <c r="Q13" s="270">
        <f>SUM(Q7:Q12)/2</f>
        <v>676229</v>
      </c>
      <c r="R13" s="270">
        <f>SUM(R7:R12)/2</f>
        <v>0</v>
      </c>
      <c r="S13" s="152"/>
      <c r="T13" s="10"/>
      <c r="U13" s="23"/>
      <c r="V13" s="271">
        <f>SUM(V7:V12)/2</f>
        <v>0</v>
      </c>
      <c r="W13" s="271">
        <f>SUM(W7:W12)/2</f>
        <v>0</v>
      </c>
      <c r="X13" s="272">
        <f>SUM(X7:X12)/2</f>
        <v>164724.79999999999</v>
      </c>
      <c r="Y13" s="270">
        <f>SUM(Y7:Y12)/2</f>
        <v>0</v>
      </c>
      <c r="Z13" s="282">
        <f>SUM(Z7:Z12)/2</f>
        <v>44931.83</v>
      </c>
      <c r="AA13" s="71"/>
      <c r="AB13" s="108"/>
      <c r="AC13" s="270">
        <f>SUM(AC7:AC12)/2</f>
        <v>42862.32</v>
      </c>
      <c r="AD13" s="270">
        <f>SUM(AD7:AD12)/2</f>
        <v>0</v>
      </c>
      <c r="AE13" s="10"/>
      <c r="AF13" s="24"/>
      <c r="AG13" s="271">
        <f>SUM(AG7:AG12)/2</f>
        <v>0</v>
      </c>
      <c r="AH13" s="272">
        <f>SUM(AH7:AH12)/2</f>
        <v>0</v>
      </c>
      <c r="AI13" s="270">
        <f>SUM(AI7:AI12)/2</f>
        <v>0</v>
      </c>
      <c r="AJ13" s="270">
        <f>SUM(AJ7:AJ12)/2</f>
        <v>0</v>
      </c>
      <c r="AK13" s="10"/>
      <c r="AL13" s="271">
        <f>SUM(AL7:AL12)/2</f>
        <v>0</v>
      </c>
      <c r="AM13" s="272">
        <f>SUM(AM7:AM12)/2</f>
        <v>164724.79999999999</v>
      </c>
      <c r="AN13" s="270">
        <f>SUM(AN7:AN12)/2</f>
        <v>0</v>
      </c>
      <c r="AO13" s="270">
        <f>SUM(AO7:AO12)/2</f>
        <v>0</v>
      </c>
      <c r="AP13" s="10"/>
      <c r="AQ13" s="283">
        <f>SUM(AQ7:AQ12)/2</f>
        <v>0</v>
      </c>
      <c r="AR13" s="283">
        <f>SUM(AR7:AR12)/2</f>
        <v>0</v>
      </c>
      <c r="AS13" s="283">
        <f>SUM(AS7:AS12)/2</f>
        <v>0</v>
      </c>
      <c r="AT13" s="10"/>
      <c r="AU13" s="284">
        <f>SUM(AU7:AU12)/2</f>
        <v>201644</v>
      </c>
      <c r="AV13" s="284">
        <f>SUM(AV7:AV12)/2</f>
        <v>0</v>
      </c>
      <c r="AW13" s="284">
        <f>SUM(AW7:AW12)/2</f>
        <v>0</v>
      </c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31"/>
      <c r="B14" s="232"/>
      <c r="C14" s="232"/>
      <c r="D14" s="233"/>
      <c r="E14" s="234"/>
      <c r="F14" s="235"/>
      <c r="G14" s="236"/>
      <c r="H14" s="237"/>
      <c r="I14" s="238"/>
      <c r="J14" s="249"/>
      <c r="K14" s="240"/>
      <c r="L14" s="8"/>
      <c r="M14" s="241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2"/>
      <c r="AY14" s="243"/>
      <c r="AZ14" s="242"/>
      <c r="BA14" s="242"/>
      <c r="BB14" s="244"/>
      <c r="BC14" s="243"/>
      <c r="BD14" s="243"/>
      <c r="BE14" s="242"/>
      <c r="BF14" s="242"/>
      <c r="BG14" s="242"/>
      <c r="BH14" s="242"/>
      <c r="BI14" s="242"/>
      <c r="BJ14" s="242"/>
      <c r="BK14" s="242"/>
      <c r="BL14" s="242"/>
      <c r="BM14" s="242"/>
      <c r="BN14" s="242"/>
      <c r="BO14" s="242"/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45"/>
      <c r="CC14" s="246"/>
      <c r="CD14" s="242"/>
      <c r="CE14" s="242"/>
      <c r="CF14" s="242"/>
      <c r="CG14" s="242"/>
      <c r="CH14" s="242"/>
      <c r="CI14" s="247"/>
      <c r="CJ14" s="248"/>
      <c r="CK14" s="248"/>
      <c r="CL14" s="248"/>
      <c r="CM14" s="248"/>
    </row>
    <row r="15" spans="1:102" x14ac:dyDescent="0.25">
      <c r="A15" s="286"/>
      <c r="B15" s="285" t="s">
        <v>638</v>
      </c>
      <c r="C15" s="120"/>
      <c r="D15" s="267"/>
      <c r="E15" s="279">
        <f>SUMIF(BM8:BM15,1, E8:E15)</f>
        <v>1986144</v>
      </c>
      <c r="F15" s="268">
        <f>SUMIF(BM8:BM15,1, F8:F15)</f>
        <v>1986144</v>
      </c>
      <c r="G15" s="287"/>
      <c r="H15" s="104"/>
      <c r="I15" s="280">
        <f>SUMIF(BM8:BM15,1, I8:I15)</f>
        <v>2001769</v>
      </c>
      <c r="J15" s="303"/>
      <c r="K15" s="98"/>
      <c r="L15" s="272">
        <f>SUMIF(BM8:BM15,1, L8:L15)</f>
        <v>1317301.8199999998</v>
      </c>
      <c r="M15" s="281">
        <f>SUMIF(BM8:BM15,1, M8:M15)</f>
        <v>1347968</v>
      </c>
      <c r="N15" s="295"/>
      <c r="O15" s="99"/>
      <c r="P15" s="270">
        <f>SUMIF(BM8:BM15,1, P8:P15)</f>
        <v>0</v>
      </c>
      <c r="Q15" s="270">
        <f>SUMIF(BM8:BM15,1, Q8:Q15)</f>
        <v>676229</v>
      </c>
      <c r="R15" s="270">
        <f>SUMIF(BM8:BM15,1, R8:R15)</f>
        <v>0</v>
      </c>
      <c r="S15" s="289"/>
      <c r="T15" s="290"/>
      <c r="U15" s="291"/>
      <c r="V15" s="271">
        <f>SUMIF(BM8:BM15,1, V8:V15)</f>
        <v>0</v>
      </c>
      <c r="W15" s="271">
        <f>SUMIF(BM8:BM15,1, W8:W15)</f>
        <v>0</v>
      </c>
      <c r="X15" s="272">
        <f>SUMIF(BM8:BM15,1, X8:X15)</f>
        <v>164724.79999999999</v>
      </c>
      <c r="Y15" s="270">
        <f>SUMIF(BM8:BM15,1, Y8:Y15)</f>
        <v>0</v>
      </c>
      <c r="Z15" s="282">
        <f>SUMIF(BM8:BM15,1, Z8:Z15)</f>
        <v>44931.83</v>
      </c>
      <c r="AA15" s="288"/>
      <c r="AB15" s="107"/>
      <c r="AC15" s="270">
        <f>SUMIF(BM8:BM15,1, AC8:AC15)</f>
        <v>42862.32</v>
      </c>
      <c r="AD15" s="270">
        <f>SUMIF(BM8:BM15,1, AD8:AD15)</f>
        <v>0</v>
      </c>
      <c r="AE15" s="290"/>
      <c r="AF15" s="292"/>
      <c r="AG15" s="271">
        <f>SUMIF(BM8:BM15,1, AG8:AG15)</f>
        <v>0</v>
      </c>
      <c r="AH15" s="272">
        <f>SUMIF(BM8:BM15,1, AH8:AH15)</f>
        <v>0</v>
      </c>
      <c r="AI15" s="270">
        <f>SUMIF(BM8:BM15,1, AI8:AI15)</f>
        <v>0</v>
      </c>
      <c r="AJ15" s="270">
        <f>SUMIF(BM8:BM15,1, AJ8:AJ15)</f>
        <v>0</v>
      </c>
      <c r="AK15" s="290"/>
      <c r="AL15" s="271">
        <f>SUMIF(BM8:BM15,1, AL8:AL15)</f>
        <v>0</v>
      </c>
      <c r="AM15" s="272">
        <f>SUMIF(BM8:BM15,1, AM8:AM15)</f>
        <v>164724.79999999999</v>
      </c>
      <c r="AN15" s="270">
        <f>SUMIF(BM8:BM15,1, AN8:AN15)</f>
        <v>0</v>
      </c>
      <c r="AO15" s="270">
        <f>SUMIF(BM8:BM15,1, AO8:AO15)</f>
        <v>0</v>
      </c>
      <c r="AP15" s="290"/>
      <c r="AQ15" s="283">
        <f>SUMIF(BM8:BM15,1, AQ8:AQ15)</f>
        <v>0</v>
      </c>
      <c r="AR15" s="283">
        <f>SUMIF(BM8:BM15,1, AR8:AR15)</f>
        <v>0</v>
      </c>
      <c r="AS15" s="283">
        <f>SUMIF(BM8:BM15,1, AS8:AS15)</f>
        <v>0</v>
      </c>
      <c r="AT15" s="290"/>
      <c r="AU15" s="284">
        <f>SUMIF(BM8:BM15,1, AU8:AU15)</f>
        <v>201644</v>
      </c>
      <c r="AV15" s="284">
        <f>SUMIF(BM8:BM15,1, AV8:AV15)</f>
        <v>0</v>
      </c>
      <c r="AW15" s="284">
        <f>SUMIF(BM8:BM15,1, AW8:AW15)</f>
        <v>0</v>
      </c>
      <c r="AX15" s="15"/>
      <c r="AY15" s="274"/>
      <c r="AZ15" s="15"/>
      <c r="BA15" s="15"/>
      <c r="BB15" s="275"/>
      <c r="BC15" s="274"/>
      <c r="BD15" s="274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298"/>
      <c r="BU15" s="298"/>
      <c r="BV15" s="298"/>
      <c r="BW15" s="298"/>
      <c r="BX15" s="15"/>
      <c r="BY15" s="15"/>
      <c r="BZ15" s="293"/>
      <c r="CA15" s="293"/>
      <c r="CB15" s="293"/>
      <c r="CC15" s="276"/>
      <c r="CD15" s="15"/>
      <c r="CE15" s="15"/>
      <c r="CF15" s="15"/>
      <c r="CG15" s="15"/>
      <c r="CH15" s="15"/>
      <c r="CI15" s="294"/>
      <c r="CJ15" s="277"/>
      <c r="CK15" s="277"/>
      <c r="CL15" s="277"/>
      <c r="CM15" s="277"/>
    </row>
    <row r="16" spans="1:102" x14ac:dyDescent="0.25">
      <c r="A16" s="286"/>
      <c r="B16" s="285" t="s">
        <v>639</v>
      </c>
      <c r="C16" s="120"/>
      <c r="D16" s="267"/>
      <c r="E16" s="279">
        <f>SUMIF(BM8:BM15,2, E8:E15)</f>
        <v>0</v>
      </c>
      <c r="F16" s="268">
        <f>SUMIF(BM8:BM15,2, F8:F15)</f>
        <v>0</v>
      </c>
      <c r="G16" s="287"/>
      <c r="H16" s="104"/>
      <c r="I16" s="280">
        <f>SUMIF(BM8:BM15,2, I8:I15)</f>
        <v>0</v>
      </c>
      <c r="J16" s="303"/>
      <c r="K16" s="98"/>
      <c r="L16" s="272">
        <f>SUMIF(BM8:BM15,2, L8:L15)</f>
        <v>0</v>
      </c>
      <c r="M16" s="281">
        <f>SUMIF(BM8:BM15,2, M8:M15)</f>
        <v>0</v>
      </c>
      <c r="N16" s="295"/>
      <c r="O16" s="99"/>
      <c r="P16" s="270">
        <f>SUMIF(BM8:BM15,2, P8:P15)</f>
        <v>0</v>
      </c>
      <c r="Q16" s="270">
        <f>SUMIF(BM8:BM15,2, Q8:Q15)</f>
        <v>0</v>
      </c>
      <c r="R16" s="270">
        <f>SUMIF(BM8:BM15,2, R8:R15)</f>
        <v>0</v>
      </c>
      <c r="S16" s="289"/>
      <c r="T16" s="290"/>
      <c r="U16" s="291"/>
      <c r="V16" s="271">
        <f>SUMIF(BM8:BM15,2, V8:V15)</f>
        <v>0</v>
      </c>
      <c r="W16" s="271">
        <f>SUMIF(BM8:BM15,2, W8:W15)</f>
        <v>0</v>
      </c>
      <c r="X16" s="272">
        <f>SUMIF(BM8:BM15,2, X8:X15)</f>
        <v>0</v>
      </c>
      <c r="Y16" s="270">
        <f>SUMIF(BM8:BM15,2, Y8:Y15)</f>
        <v>0</v>
      </c>
      <c r="Z16" s="282">
        <f>SUMIF(BM8:BM15,2, Z8:Z15)</f>
        <v>0</v>
      </c>
      <c r="AA16" s="295"/>
      <c r="AB16" s="107"/>
      <c r="AC16" s="270">
        <f>SUMIF(BM8:BM15,2, AC8:AC15)</f>
        <v>0</v>
      </c>
      <c r="AD16" s="270">
        <f>SUMIF(BM8:BM15,2, AD8:AD15)</f>
        <v>0</v>
      </c>
      <c r="AE16" s="290"/>
      <c r="AF16" s="292"/>
      <c r="AG16" s="271">
        <f>SUMIF(BM8:BM15,2, AG8:AG15)</f>
        <v>0</v>
      </c>
      <c r="AH16" s="272">
        <f>SUMIF(BM8:BM15,2, AH8:AH15)</f>
        <v>0</v>
      </c>
      <c r="AI16" s="270">
        <f>SUMIF(BM8:BM15,2, AI8:AI15)</f>
        <v>0</v>
      </c>
      <c r="AJ16" s="270">
        <f>SUMIF(BM8:BM15,2, AJ8:AJ15)</f>
        <v>0</v>
      </c>
      <c r="AK16" s="290"/>
      <c r="AL16" s="271">
        <f>SUMIF(BM8:BM15,2, AL8:AL15)</f>
        <v>0</v>
      </c>
      <c r="AM16" s="272">
        <f>SUMIF(BM8:BM15,2, AM8:AM15)</f>
        <v>0</v>
      </c>
      <c r="AN16" s="270">
        <f>SUMIF(BM8:BM15,2, AN8:AN15)</f>
        <v>0</v>
      </c>
      <c r="AO16" s="270">
        <f>SUMIF(BM8:BM15,2, AO8:AO15)</f>
        <v>0</v>
      </c>
      <c r="AP16" s="290"/>
      <c r="AQ16" s="283">
        <f>SUMIF(BM8:BM15,2, AQ8:AQ15)</f>
        <v>0</v>
      </c>
      <c r="AR16" s="283">
        <f>SUMIF(BM8:BM15,2, AR8:AR15)</f>
        <v>0</v>
      </c>
      <c r="AS16" s="283">
        <f>SUMIF(BM8:BM15,2, AS8:AS15)</f>
        <v>0</v>
      </c>
      <c r="AT16" s="290"/>
      <c r="AU16" s="284">
        <f>SUMIF(BM8:BM15,2, AU8:AU15)</f>
        <v>0</v>
      </c>
      <c r="AV16" s="284">
        <f>SUMIF(BM8:BM15,2, AV8:AV15)</f>
        <v>0</v>
      </c>
      <c r="AW16" s="284">
        <f>SUMIF(BM8:BM15,2, AW8:AW15)</f>
        <v>0</v>
      </c>
      <c r="AX16" s="15"/>
      <c r="AY16" s="274"/>
      <c r="AZ16" s="15"/>
      <c r="BA16" s="15"/>
      <c r="BB16" s="275"/>
      <c r="BC16" s="274"/>
      <c r="BD16" s="274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8"/>
      <c r="BU16" s="298"/>
      <c r="BV16" s="298"/>
      <c r="BW16" s="298"/>
      <c r="BX16" s="15"/>
      <c r="BY16" s="15"/>
      <c r="BZ16" s="293"/>
      <c r="CA16" s="293"/>
      <c r="CB16" s="293"/>
      <c r="CC16" s="276"/>
      <c r="CD16" s="15"/>
      <c r="CE16" s="15"/>
      <c r="CF16" s="15"/>
      <c r="CG16" s="15"/>
      <c r="CH16" s="15"/>
      <c r="CI16" s="294"/>
      <c r="CJ16" s="277"/>
      <c r="CK16" s="277"/>
      <c r="CL16" s="277"/>
      <c r="CM16" s="277"/>
    </row>
    <row r="17" spans="1:91" x14ac:dyDescent="0.25">
      <c r="A17" s="286"/>
      <c r="B17" s="285" t="s">
        <v>637</v>
      </c>
      <c r="C17" s="120"/>
      <c r="D17" s="267"/>
      <c r="E17" s="279">
        <f>SUM(E8:E16)/4</f>
        <v>1986144</v>
      </c>
      <c r="F17" s="268">
        <f>SUM(F8:F16)/4</f>
        <v>1986144</v>
      </c>
      <c r="G17" s="287"/>
      <c r="H17" s="104"/>
      <c r="I17" s="280">
        <f>SUM(I8:I16)/4</f>
        <v>2001769</v>
      </c>
      <c r="J17" s="303"/>
      <c r="K17" s="98"/>
      <c r="L17" s="272">
        <f>SUM(L8:L16)/4</f>
        <v>1317301.8199999998</v>
      </c>
      <c r="M17" s="281">
        <f>SUM(M8:M16)/4</f>
        <v>1347968</v>
      </c>
      <c r="N17" s="295"/>
      <c r="O17" s="99"/>
      <c r="P17" s="270">
        <f>SUM(P8:P16)/4</f>
        <v>0</v>
      </c>
      <c r="Q17" s="270">
        <f>SUM(Q8:Q16)/4</f>
        <v>676229</v>
      </c>
      <c r="R17" s="270">
        <f>SUM(R8:R16)/4</f>
        <v>0</v>
      </c>
      <c r="S17" s="289"/>
      <c r="T17" s="290"/>
      <c r="U17" s="291"/>
      <c r="V17" s="271">
        <f>SUM(V8:V16)/4</f>
        <v>0</v>
      </c>
      <c r="W17" s="271">
        <f>SUM(W8:W16)/4</f>
        <v>0</v>
      </c>
      <c r="X17" s="272">
        <f>SUM(X8:X16)/4</f>
        <v>164724.79999999999</v>
      </c>
      <c r="Y17" s="270">
        <f>SUM(Y8:Y16)/4</f>
        <v>0</v>
      </c>
      <c r="Z17" s="282">
        <f>SUM(Z8:Z16)/4</f>
        <v>44931.83</v>
      </c>
      <c r="AA17" s="288"/>
      <c r="AB17" s="107"/>
      <c r="AC17" s="270">
        <f>SUM(AC8:AC16)/4</f>
        <v>42862.32</v>
      </c>
      <c r="AD17" s="270">
        <f>SUM(AD8:AD16)/4</f>
        <v>0</v>
      </c>
      <c r="AE17" s="290"/>
      <c r="AF17" s="292"/>
      <c r="AG17" s="271">
        <f>SUM(AG8:AG16)/4</f>
        <v>0</v>
      </c>
      <c r="AH17" s="272">
        <f>SUM(AH8:AH16)/4</f>
        <v>0</v>
      </c>
      <c r="AI17" s="270">
        <f>SUM(AI8:AI16)/4</f>
        <v>0</v>
      </c>
      <c r="AJ17" s="270">
        <f>SUM(AJ8:AJ16)/4</f>
        <v>0</v>
      </c>
      <c r="AK17" s="290"/>
      <c r="AL17" s="271">
        <f>SUM(AL8:AL16)/4</f>
        <v>0</v>
      </c>
      <c r="AM17" s="272">
        <f>SUM(AM8:AM16)/4</f>
        <v>164724.79999999999</v>
      </c>
      <c r="AN17" s="270">
        <f>SUM(AN8:AN16)/4</f>
        <v>0</v>
      </c>
      <c r="AO17" s="270">
        <f>SUM(AO8:AO16)/4</f>
        <v>0</v>
      </c>
      <c r="AP17" s="290"/>
      <c r="AQ17" s="283">
        <f>SUM(AQ8:AQ16)/4</f>
        <v>0</v>
      </c>
      <c r="AR17" s="283">
        <f>SUM(AR8:AR16)/4</f>
        <v>0</v>
      </c>
      <c r="AS17" s="283">
        <f>SUM(AS8:AS16)/4</f>
        <v>0</v>
      </c>
      <c r="AT17" s="290"/>
      <c r="AU17" s="284">
        <f>SUM(AU8:AU16)/4</f>
        <v>201644</v>
      </c>
      <c r="AV17" s="284">
        <f>SUM(AV8:AV16)/4</f>
        <v>0</v>
      </c>
      <c r="AW17" s="284">
        <f>SUM(AW8:AW16)/4</f>
        <v>0</v>
      </c>
      <c r="AX17" s="15"/>
      <c r="AY17" s="274"/>
      <c r="AZ17" s="15"/>
      <c r="BA17" s="15"/>
      <c r="BB17" s="275"/>
      <c r="BC17" s="274"/>
      <c r="BD17" s="274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298"/>
      <c r="BU17" s="298"/>
      <c r="BV17" s="298"/>
      <c r="BW17" s="298"/>
      <c r="BX17" s="15"/>
      <c r="BY17" s="15"/>
      <c r="BZ17" s="293"/>
      <c r="CA17" s="293"/>
      <c r="CB17" s="293"/>
      <c r="CC17" s="276"/>
      <c r="CD17" s="15"/>
      <c r="CE17" s="15"/>
      <c r="CF17" s="15"/>
      <c r="CG17" s="15"/>
      <c r="CH17" s="15"/>
      <c r="CI17" s="294"/>
      <c r="CJ17" s="277"/>
      <c r="CK17" s="277"/>
      <c r="CL17" s="277"/>
      <c r="CM17" s="277"/>
    </row>
    <row r="18" spans="1:91" x14ac:dyDescent="0.25">
      <c r="A18" s="231"/>
      <c r="B18" s="232"/>
      <c r="C18" s="232"/>
      <c r="D18" s="233"/>
      <c r="E18" s="234"/>
      <c r="F18" s="235"/>
      <c r="G18" s="236"/>
      <c r="H18" s="237"/>
      <c r="I18" s="238"/>
      <c r="J18" s="249"/>
      <c r="K18" s="240"/>
      <c r="L18" s="8"/>
      <c r="M18" s="241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31"/>
      <c r="B20" s="232"/>
      <c r="C20" s="232"/>
      <c r="D20" s="233"/>
      <c r="E20" s="234"/>
      <c r="F20" s="235"/>
      <c r="G20" s="236"/>
      <c r="H20" s="237"/>
      <c r="I20" s="238"/>
      <c r="J20" s="239"/>
      <c r="K20" s="240"/>
      <c r="L20" s="8"/>
      <c r="M20" s="241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2"/>
      <c r="AY20" s="243"/>
      <c r="AZ20" s="242"/>
      <c r="BA20" s="242"/>
      <c r="BB20" s="244"/>
      <c r="BC20" s="243"/>
      <c r="BD20" s="243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/>
      <c r="CD20" s="242"/>
      <c r="CE20" s="242"/>
      <c r="CF20" s="242"/>
      <c r="CG20" s="242"/>
      <c r="CH20" s="242"/>
      <c r="CI20" s="247"/>
      <c r="CJ20" s="248"/>
      <c r="CK20" s="248"/>
      <c r="CL20" s="248"/>
      <c r="CM20" s="248"/>
    </row>
    <row r="21" spans="1:91" x14ac:dyDescent="0.25">
      <c r="A21" s="231"/>
      <c r="B21" s="232"/>
      <c r="C21" s="232"/>
      <c r="D21" s="233"/>
      <c r="E21" s="234"/>
      <c r="F21" s="235"/>
      <c r="G21" s="236"/>
      <c r="H21" s="237"/>
      <c r="I21" s="238"/>
      <c r="J21" s="239"/>
      <c r="K21" s="240"/>
      <c r="L21" s="8"/>
      <c r="M21" s="241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2"/>
      <c r="AY21" s="243"/>
      <c r="AZ21" s="242"/>
      <c r="BA21" s="242"/>
      <c r="BB21" s="244"/>
      <c r="BC21" s="243"/>
      <c r="BD21" s="243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/>
      <c r="CD21" s="242"/>
      <c r="CE21" s="242"/>
      <c r="CF21" s="242"/>
      <c r="CG21" s="242"/>
      <c r="CH21" s="242"/>
      <c r="CI21" s="247"/>
      <c r="CJ21" s="248"/>
      <c r="CK21" s="248"/>
      <c r="CL21" s="248"/>
      <c r="CM21" s="248"/>
    </row>
    <row r="22" spans="1:91" x14ac:dyDescent="0.25">
      <c r="A22" s="231"/>
      <c r="B22" s="232"/>
      <c r="C22" s="232"/>
      <c r="D22" s="233"/>
      <c r="E22" s="234"/>
      <c r="F22" s="235"/>
      <c r="G22" s="236"/>
      <c r="H22" s="237"/>
      <c r="I22" s="238"/>
      <c r="J22" s="239"/>
      <c r="K22" s="240"/>
      <c r="L22" s="8"/>
      <c r="M22" s="241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2"/>
      <c r="AY22" s="243"/>
      <c r="AZ22" s="242"/>
      <c r="BA22" s="242"/>
      <c r="BB22" s="244"/>
      <c r="BC22" s="243"/>
      <c r="BD22" s="243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/>
      <c r="CD22" s="242"/>
      <c r="CE22" s="242"/>
      <c r="CF22" s="242"/>
      <c r="CG22" s="242"/>
      <c r="CH22" s="242"/>
      <c r="CI22" s="247"/>
      <c r="CJ22" s="248"/>
      <c r="CK22" s="248"/>
      <c r="CL22" s="248"/>
      <c r="CM22" s="248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lqS/YdgFOKQjKDWnr3okSpIya/j7FitrN91MShe7NCgLGrWgPqvgwP55C1D22L8JNBFJ5dBEsJlheeOETYl3Xw==" saltValue="Il4TNEPIWWrTygHO+KwUxQ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640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634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641</v>
      </c>
      <c r="B9" s="255" t="s">
        <v>636</v>
      </c>
      <c r="C9" s="255" t="s">
        <v>635</v>
      </c>
      <c r="D9" s="233"/>
      <c r="E9" s="234">
        <v>201644</v>
      </c>
      <c r="F9" s="235">
        <v>201644</v>
      </c>
      <c r="G9" s="256"/>
      <c r="H9" s="257"/>
      <c r="I9" s="237"/>
      <c r="J9" s="238">
        <v>217269</v>
      </c>
      <c r="K9" s="249"/>
      <c r="L9" s="240"/>
      <c r="M9" s="8">
        <v>169556.86</v>
      </c>
      <c r="N9" s="241">
        <v>167237</v>
      </c>
      <c r="O9" s="72"/>
      <c r="P9" s="100"/>
      <c r="Q9" s="9"/>
      <c r="R9" s="9"/>
      <c r="S9" s="9"/>
      <c r="T9" s="258">
        <v>46082</v>
      </c>
      <c r="U9" s="10"/>
      <c r="V9" s="23"/>
      <c r="W9" s="11"/>
      <c r="X9" s="8">
        <v>150189.18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150189.18</v>
      </c>
      <c r="AJ9" s="9"/>
      <c r="AK9" s="10"/>
      <c r="AL9" s="25"/>
      <c r="AM9" s="25"/>
      <c r="AN9" s="25"/>
      <c r="AO9" s="10"/>
      <c r="AP9" s="12">
        <v>201644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217269</v>
      </c>
      <c r="BA9" s="15">
        <v>167237</v>
      </c>
      <c r="BB9" s="15">
        <v>217269</v>
      </c>
      <c r="BC9" s="15">
        <v>167237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633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632</v>
      </c>
      <c r="CC9" s="248">
        <v>150189.18</v>
      </c>
      <c r="CD9" s="248">
        <v>150189.18</v>
      </c>
      <c r="CE9" s="248">
        <v>201644</v>
      </c>
      <c r="CF9" s="248">
        <v>0</v>
      </c>
    </row>
    <row r="10" spans="1:95" x14ac:dyDescent="0.25">
      <c r="A10" s="254" t="s">
        <v>642</v>
      </c>
      <c r="B10" s="255" t="s">
        <v>643</v>
      </c>
      <c r="C10" s="255" t="s">
        <v>635</v>
      </c>
      <c r="D10" s="233"/>
      <c r="E10" s="234">
        <v>1784500</v>
      </c>
      <c r="F10" s="235">
        <v>1784500</v>
      </c>
      <c r="G10" s="256"/>
      <c r="H10" s="257"/>
      <c r="I10" s="237"/>
      <c r="J10" s="238">
        <v>1784500</v>
      </c>
      <c r="K10" s="249"/>
      <c r="L10" s="240"/>
      <c r="M10" s="8">
        <v>1147744.96</v>
      </c>
      <c r="N10" s="241">
        <v>1180731</v>
      </c>
      <c r="O10" s="72"/>
      <c r="P10" s="100"/>
      <c r="Q10" s="9"/>
      <c r="R10" s="9"/>
      <c r="S10" s="9"/>
      <c r="T10" s="258">
        <v>46357</v>
      </c>
      <c r="U10" s="10"/>
      <c r="V10" s="23"/>
      <c r="W10" s="11"/>
      <c r="X10" s="8">
        <v>14535.62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14535.62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1784500</v>
      </c>
      <c r="BA10" s="15">
        <v>1180731</v>
      </c>
      <c r="BB10" s="15">
        <v>1784500</v>
      </c>
      <c r="BC10" s="15">
        <v>1180731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0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633</v>
      </c>
      <c r="BW10" s="242">
        <v>0</v>
      </c>
      <c r="BX10" s="248">
        <v>0</v>
      </c>
      <c r="BY10" s="248">
        <v>0</v>
      </c>
      <c r="BZ10" s="248">
        <v>0</v>
      </c>
      <c r="CA10" s="248">
        <v>0</v>
      </c>
      <c r="CB10" s="243" t="s">
        <v>632</v>
      </c>
      <c r="CC10" s="248">
        <v>14535.62</v>
      </c>
      <c r="CD10" s="248">
        <v>14535.62</v>
      </c>
      <c r="CE10" s="248">
        <v>0</v>
      </c>
      <c r="CF10" s="248">
        <v>0</v>
      </c>
    </row>
    <row r="11" spans="1:95" x14ac:dyDescent="0.25">
      <c r="A11" s="254"/>
      <c r="B11" s="93" t="s">
        <v>644</v>
      </c>
      <c r="C11" s="255"/>
      <c r="D11" s="233"/>
      <c r="E11" s="279">
        <f>SUM(E8:E10)</f>
        <v>1986144</v>
      </c>
      <c r="F11" s="268">
        <f>SUM(F8:F10)</f>
        <v>1986144</v>
      </c>
      <c r="G11" s="256"/>
      <c r="H11" s="257"/>
      <c r="I11" s="237"/>
      <c r="J11" s="280">
        <f>SUM(J8:J10)</f>
        <v>2001769</v>
      </c>
      <c r="K11" s="249"/>
      <c r="L11" s="240"/>
      <c r="M11" s="272">
        <f>SUM(M8:M10)</f>
        <v>1317301.8199999998</v>
      </c>
      <c r="N11" s="281">
        <f>SUM(N8:N10)</f>
        <v>1347968</v>
      </c>
      <c r="O11" s="72"/>
      <c r="P11" s="100"/>
      <c r="Q11" s="270">
        <f>SUM(Q8:Q10)</f>
        <v>0</v>
      </c>
      <c r="R11" s="270">
        <f>SUM(R8:R10)</f>
        <v>0</v>
      </c>
      <c r="S11" s="270">
        <f>SUM(S8:S10)</f>
        <v>0</v>
      </c>
      <c r="T11" s="258"/>
      <c r="U11" s="10"/>
      <c r="V11" s="23"/>
      <c r="W11" s="271">
        <f>SUM(W8:W10)</f>
        <v>0</v>
      </c>
      <c r="X11" s="272">
        <f>SUM(X8:X10)</f>
        <v>164724.79999999999</v>
      </c>
      <c r="Y11" s="270">
        <f>SUM(Y8:Y10)</f>
        <v>0</v>
      </c>
      <c r="Z11" s="270">
        <f>SUM(Z8:Z10)</f>
        <v>0</v>
      </c>
      <c r="AA11" s="270">
        <f>SUM(AA8:AA10)</f>
        <v>0</v>
      </c>
      <c r="AB11" s="10"/>
      <c r="AC11" s="24"/>
      <c r="AD11" s="271">
        <f>SUM(AD8:AD10)</f>
        <v>0</v>
      </c>
      <c r="AE11" s="272">
        <f>SUM(AE8:AE10)</f>
        <v>0</v>
      </c>
      <c r="AF11" s="270">
        <f>SUM(AF8:AF10)</f>
        <v>0</v>
      </c>
      <c r="AG11" s="10"/>
      <c r="AH11" s="271">
        <f>SUM(AH8:AH10)</f>
        <v>0</v>
      </c>
      <c r="AI11" s="272">
        <f>SUM(AI8:AI10)</f>
        <v>164724.79999999999</v>
      </c>
      <c r="AJ11" s="270">
        <f>SUM(AJ8:AJ10)</f>
        <v>0</v>
      </c>
      <c r="AK11" s="10"/>
      <c r="AL11" s="283">
        <f>SUM(AL8:AL10)</f>
        <v>0</v>
      </c>
      <c r="AM11" s="283">
        <f>SUM(AM8:AM10)</f>
        <v>0</v>
      </c>
      <c r="AN11" s="283">
        <f>SUM(AN8:AN10)</f>
        <v>0</v>
      </c>
      <c r="AO11" s="10"/>
      <c r="AP11" s="284">
        <f>SUM(AP8:AP10)</f>
        <v>201644</v>
      </c>
      <c r="AQ11" s="284">
        <f>SUM(AQ8:AQ10)</f>
        <v>0</v>
      </c>
      <c r="AR11" s="284">
        <f>SUM(AR8:AR10)</f>
        <v>0</v>
      </c>
      <c r="AS11" s="242"/>
      <c r="AT11" s="243"/>
      <c r="AU11" s="242"/>
      <c r="AV11" s="242"/>
      <c r="AW11" s="244"/>
      <c r="AX11" s="243"/>
      <c r="AY11" s="243"/>
      <c r="AZ11" s="242"/>
      <c r="BA11" s="242"/>
      <c r="BB11" s="242"/>
      <c r="BC11" s="242"/>
      <c r="BD11" s="242"/>
      <c r="BE11" s="250"/>
      <c r="BF11" s="242"/>
      <c r="BG11" s="242"/>
      <c r="BH11" s="242"/>
      <c r="BI11" s="242"/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/>
      <c r="BW11" s="242"/>
      <c r="BX11" s="242"/>
      <c r="BY11" s="242"/>
      <c r="BZ11" s="242"/>
      <c r="CA11" s="242"/>
      <c r="CB11" s="243"/>
      <c r="CC11" s="248"/>
      <c r="CD11" s="248"/>
      <c r="CE11" s="248"/>
      <c r="CF11" s="248"/>
    </row>
    <row r="12" spans="1:95" x14ac:dyDescent="0.25">
      <c r="A12" s="254"/>
      <c r="B12" s="255"/>
      <c r="C12" s="255"/>
      <c r="D12" s="233"/>
      <c r="E12" s="234"/>
      <c r="F12" s="235"/>
      <c r="G12" s="256"/>
      <c r="H12" s="257"/>
      <c r="I12" s="237"/>
      <c r="J12" s="238"/>
      <c r="K12" s="249"/>
      <c r="L12" s="240"/>
      <c r="M12" s="8"/>
      <c r="N12" s="241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/>
      <c r="B13" s="93" t="s">
        <v>645</v>
      </c>
      <c r="C13" s="255"/>
      <c r="D13" s="233"/>
      <c r="E13" s="279">
        <f>SUM(E7:E12)/2</f>
        <v>1986144</v>
      </c>
      <c r="F13" s="268">
        <f>SUM(F7:F12)/2</f>
        <v>1986144</v>
      </c>
      <c r="G13" s="256"/>
      <c r="H13" s="257"/>
      <c r="I13" s="237"/>
      <c r="J13" s="280">
        <f>SUM(J7:J12)/2</f>
        <v>2001769</v>
      </c>
      <c r="K13" s="249"/>
      <c r="L13" s="240"/>
      <c r="M13" s="272">
        <f>SUM(M7:M12)/2</f>
        <v>1317301.8199999998</v>
      </c>
      <c r="N13" s="281">
        <f>SUM(N7:N12)/2</f>
        <v>1347968</v>
      </c>
      <c r="O13" s="71"/>
      <c r="P13" s="100"/>
      <c r="Q13" s="270">
        <f>SUM(Q7:Q12)/2</f>
        <v>0</v>
      </c>
      <c r="R13" s="270">
        <f>SUM(R7:R12)/2</f>
        <v>0</v>
      </c>
      <c r="S13" s="270">
        <f>SUM(S7:S12)/2</f>
        <v>0</v>
      </c>
      <c r="T13" s="258"/>
      <c r="U13" s="10"/>
      <c r="V13" s="23"/>
      <c r="W13" s="271">
        <f>SUM(W7:W12)/2</f>
        <v>0</v>
      </c>
      <c r="X13" s="272">
        <f>SUM(X7:X12)/2</f>
        <v>164724.79999999999</v>
      </c>
      <c r="Y13" s="270">
        <f>SUM(Y7:Y12)/2</f>
        <v>0</v>
      </c>
      <c r="Z13" s="270">
        <f>SUM(Z7:Z12)/2</f>
        <v>0</v>
      </c>
      <c r="AA13" s="270">
        <f>SUM(AA7:AA12)/2</f>
        <v>0</v>
      </c>
      <c r="AB13" s="10"/>
      <c r="AC13" s="24"/>
      <c r="AD13" s="271">
        <f>SUM(AD7:AD12)/2</f>
        <v>0</v>
      </c>
      <c r="AE13" s="272">
        <f>SUM(AE7:AE12)/2</f>
        <v>0</v>
      </c>
      <c r="AF13" s="270">
        <f>SUM(AF7:AF12)/2</f>
        <v>0</v>
      </c>
      <c r="AG13" s="10"/>
      <c r="AH13" s="271">
        <f>SUM(AH7:AH12)/2</f>
        <v>0</v>
      </c>
      <c r="AI13" s="272">
        <f>SUM(AI7:AI12)/2</f>
        <v>164724.79999999999</v>
      </c>
      <c r="AJ13" s="270">
        <f>SUM(AJ7:AJ12)/2</f>
        <v>0</v>
      </c>
      <c r="AK13" s="10"/>
      <c r="AL13" s="283">
        <f>SUM(AL7:AL12)/2</f>
        <v>0</v>
      </c>
      <c r="AM13" s="283">
        <f>SUM(AM7:AM12)/2</f>
        <v>0</v>
      </c>
      <c r="AN13" s="283">
        <f>SUM(AN7:AN12)/2</f>
        <v>0</v>
      </c>
      <c r="AO13" s="10"/>
      <c r="AP13" s="284">
        <f>SUM(AP7:AP12)/2</f>
        <v>201644</v>
      </c>
      <c r="AQ13" s="284">
        <f>SUM(AQ7:AQ12)/2</f>
        <v>0</v>
      </c>
      <c r="AR13" s="284">
        <f>SUM(AR7:AR12)/2</f>
        <v>0</v>
      </c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254"/>
      <c r="B14" s="255"/>
      <c r="C14" s="255"/>
      <c r="D14" s="233"/>
      <c r="E14" s="234"/>
      <c r="F14" s="235"/>
      <c r="G14" s="256"/>
      <c r="H14" s="257"/>
      <c r="I14" s="237"/>
      <c r="J14" s="238"/>
      <c r="K14" s="249"/>
      <c r="L14" s="240"/>
      <c r="M14" s="8"/>
      <c r="N14" s="241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2"/>
      <c r="AT14" s="243"/>
      <c r="AU14" s="242"/>
      <c r="AV14" s="242"/>
      <c r="AW14" s="244"/>
      <c r="AX14" s="243"/>
      <c r="AY14" s="243"/>
      <c r="AZ14" s="242"/>
      <c r="BA14" s="242"/>
      <c r="BB14" s="242"/>
      <c r="BC14" s="242"/>
      <c r="BD14" s="242"/>
      <c r="BE14" s="242"/>
      <c r="BF14" s="242"/>
      <c r="BG14" s="242"/>
      <c r="BH14" s="242"/>
      <c r="BI14" s="242"/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/>
      <c r="BW14" s="242"/>
      <c r="BX14" s="242"/>
      <c r="BY14" s="242"/>
      <c r="BZ14" s="242"/>
      <c r="CA14" s="242"/>
      <c r="CB14" s="243"/>
      <c r="CC14" s="248"/>
      <c r="CD14" s="248"/>
      <c r="CE14" s="248"/>
      <c r="CF14" s="248"/>
    </row>
    <row r="15" spans="1:95" x14ac:dyDescent="0.25">
      <c r="A15" s="300"/>
      <c r="B15" s="299" t="s">
        <v>638</v>
      </c>
      <c r="C15" s="93"/>
      <c r="D15" s="267"/>
      <c r="E15" s="279">
        <f>SUMIF(BG8:BG15,1, E8:E15)</f>
        <v>1986144</v>
      </c>
      <c r="F15" s="268">
        <f>SUMIF(BG8:BG15,1, F8:F15)</f>
        <v>1986144</v>
      </c>
      <c r="G15" s="301"/>
      <c r="H15" s="113"/>
      <c r="I15" s="104"/>
      <c r="J15" s="280">
        <f>SUMIF(BG8:BG15,1, J8:J15)</f>
        <v>2001769</v>
      </c>
      <c r="K15" s="303"/>
      <c r="L15" s="98"/>
      <c r="M15" s="272">
        <f>SUMIF(BG8:BG15,1, M8:M15)</f>
        <v>1317301.8199999998</v>
      </c>
      <c r="N15" s="281">
        <f>SUMIF(BG8:BG15,1, N8:N15)</f>
        <v>1347968</v>
      </c>
      <c r="O15" s="295"/>
      <c r="P15" s="99"/>
      <c r="Q15" s="270">
        <f>SUMIF(BG8:BG15,1, Q8:Q15)</f>
        <v>0</v>
      </c>
      <c r="R15" s="270">
        <f>SUMIF(BG8:BG15,1, R8:R15)</f>
        <v>0</v>
      </c>
      <c r="S15" s="270">
        <f>SUMIF(BG8:BG15,1, S8:S15)</f>
        <v>0</v>
      </c>
      <c r="T15" s="302"/>
      <c r="U15" s="290"/>
      <c r="V15" s="291"/>
      <c r="W15" s="271">
        <f>SUMIF(BG8:BG15,1, W8:W15)</f>
        <v>0</v>
      </c>
      <c r="X15" s="272">
        <f>SUMIF(BG8:BG15,1, X8:X15)</f>
        <v>164724.79999999999</v>
      </c>
      <c r="Y15" s="270">
        <f>SUMIF(BG8:BG15,1, Y8:Y15)</f>
        <v>0</v>
      </c>
      <c r="Z15" s="270">
        <f>SUMIF(BG8:BG15,1, Z8:Z15)</f>
        <v>0</v>
      </c>
      <c r="AA15" s="270">
        <f>SUMIF(BG8:BG15,1, AA8:AA15)</f>
        <v>0</v>
      </c>
      <c r="AB15" s="290"/>
      <c r="AC15" s="292"/>
      <c r="AD15" s="271">
        <f>SUMIF(BG8:BG15,1, AD8:AD15)</f>
        <v>0</v>
      </c>
      <c r="AE15" s="272">
        <f>SUMIF(BG8:BG15,1, AE8:AE15)</f>
        <v>0</v>
      </c>
      <c r="AF15" s="270">
        <f>SUMIF(BG8:BG15,1, AF8:AF15)</f>
        <v>0</v>
      </c>
      <c r="AG15" s="290"/>
      <c r="AH15" s="271">
        <f>SUMIF(BG8:BG15,1, AH8:AH15)</f>
        <v>0</v>
      </c>
      <c r="AI15" s="272">
        <f>SUMIF(BG8:BG15,1, AI8:AI15)</f>
        <v>164724.79999999999</v>
      </c>
      <c r="AJ15" s="270">
        <f>SUMIF(BG8:BG15,1, AJ8:AJ15)</f>
        <v>0</v>
      </c>
      <c r="AK15" s="290"/>
      <c r="AL15" s="283">
        <f>SUMIF(BG8:BG15,1, AL8:AL15)</f>
        <v>0</v>
      </c>
      <c r="AM15" s="283">
        <f>SUMIF(BG8:BG15,1, AM8:AM15)</f>
        <v>0</v>
      </c>
      <c r="AN15" s="283">
        <f>SUMIF(BG8:BG15,1, AN8:AN15)</f>
        <v>0</v>
      </c>
      <c r="AO15" s="290"/>
      <c r="AP15" s="284">
        <f>SUMIF(BG8:BG15,1, AP8:AP15)</f>
        <v>201644</v>
      </c>
      <c r="AQ15" s="284">
        <f>SUMIF(BG8:BG15,1, AQ8:AQ15)</f>
        <v>0</v>
      </c>
      <c r="AR15" s="284">
        <f>SUMIF(BG8:BG15,1, AR8:AR15)</f>
        <v>0</v>
      </c>
      <c r="AS15" s="15"/>
      <c r="AT15" s="274"/>
      <c r="AU15" s="15"/>
      <c r="AV15" s="15"/>
      <c r="AW15" s="275"/>
      <c r="AX15" s="274"/>
      <c r="AY15" s="274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298"/>
      <c r="BO15" s="298"/>
      <c r="BP15" s="298"/>
      <c r="BQ15" s="298"/>
      <c r="BR15" s="293"/>
      <c r="BS15" s="293"/>
      <c r="BT15" s="15"/>
      <c r="BU15" s="15"/>
      <c r="BV15" s="276"/>
      <c r="BW15" s="15"/>
      <c r="BX15" s="15"/>
      <c r="BY15" s="15"/>
      <c r="BZ15" s="15"/>
      <c r="CA15" s="15"/>
      <c r="CB15" s="274"/>
      <c r="CC15" s="277"/>
      <c r="CD15" s="277"/>
      <c r="CE15" s="277"/>
      <c r="CF15" s="277"/>
    </row>
    <row r="16" spans="1:95" x14ac:dyDescent="0.25">
      <c r="A16" s="300"/>
      <c r="B16" s="299" t="s">
        <v>639</v>
      </c>
      <c r="C16" s="93"/>
      <c r="D16" s="267"/>
      <c r="E16" s="279">
        <f>SUMIF(BG8:BG15,2, E8:E15)</f>
        <v>0</v>
      </c>
      <c r="F16" s="268">
        <f>SUMIF(BG8:BG15,2, F8:F15)</f>
        <v>0</v>
      </c>
      <c r="G16" s="301"/>
      <c r="H16" s="113"/>
      <c r="I16" s="104"/>
      <c r="J16" s="280">
        <f>SUMIF(BG8:BG15,2, J8:J15)</f>
        <v>0</v>
      </c>
      <c r="K16" s="303"/>
      <c r="L16" s="98"/>
      <c r="M16" s="272">
        <f>SUMIF(BG8:BG15,2, M8:M15)</f>
        <v>0</v>
      </c>
      <c r="N16" s="281">
        <f>SUMIF(BG8:BG15,2, N8:N15)</f>
        <v>0</v>
      </c>
      <c r="O16" s="295"/>
      <c r="P16" s="99"/>
      <c r="Q16" s="270">
        <f>SUMIF(BG8:BG15,2, Q8:Q15)</f>
        <v>0</v>
      </c>
      <c r="R16" s="270">
        <f>SUMIF(BG8:BG15,2, R8:R15)</f>
        <v>0</v>
      </c>
      <c r="S16" s="270">
        <f>SUMIF(BG8:BG15,2, S8:S15)</f>
        <v>0</v>
      </c>
      <c r="T16" s="302"/>
      <c r="U16" s="290"/>
      <c r="V16" s="291"/>
      <c r="W16" s="271">
        <f>SUMIF(BG8:BG15,2, W8:W15)</f>
        <v>0</v>
      </c>
      <c r="X16" s="272">
        <f>SUMIF(BG8:BG15,2, X8:X15)</f>
        <v>0</v>
      </c>
      <c r="Y16" s="270">
        <f>SUMIF(BG8:BG15,2, Y8:Y15)</f>
        <v>0</v>
      </c>
      <c r="Z16" s="270">
        <f>SUMIF(BG8:BG15,2, Z8:Z15)</f>
        <v>0</v>
      </c>
      <c r="AA16" s="270">
        <f>SUMIF(BG8:BG15,2, AA8:AA15)</f>
        <v>0</v>
      </c>
      <c r="AB16" s="290"/>
      <c r="AC16" s="292"/>
      <c r="AD16" s="271">
        <f>SUMIF(BG8:BG15,2, AD8:AD15)</f>
        <v>0</v>
      </c>
      <c r="AE16" s="272">
        <f>SUMIF(BG8:BG15,2, AE8:AE15)</f>
        <v>0</v>
      </c>
      <c r="AF16" s="270">
        <f>SUMIF(BG8:BG15,2, AF8:AF15)</f>
        <v>0</v>
      </c>
      <c r="AG16" s="290"/>
      <c r="AH16" s="271">
        <f>SUMIF(BG8:BG15,2, AH8:AH15)</f>
        <v>0</v>
      </c>
      <c r="AI16" s="272">
        <f>SUMIF(BG8:BG15,2, AI8:AI15)</f>
        <v>0</v>
      </c>
      <c r="AJ16" s="270">
        <f>SUMIF(BG8:BG15,2, AJ8:AJ15)</f>
        <v>0</v>
      </c>
      <c r="AK16" s="290"/>
      <c r="AL16" s="283">
        <f>SUMIF(BG8:BG15,2, AL8:AL15)</f>
        <v>0</v>
      </c>
      <c r="AM16" s="283">
        <f>SUMIF(BG8:BG15,2, AM8:AM15)</f>
        <v>0</v>
      </c>
      <c r="AN16" s="283">
        <f>SUMIF(BG8:BG15,2, AN8:AN15)</f>
        <v>0</v>
      </c>
      <c r="AO16" s="290"/>
      <c r="AP16" s="284">
        <f>SUMIF(BG8:BG15,2, AP8:AP15)</f>
        <v>0</v>
      </c>
      <c r="AQ16" s="284">
        <f>SUMIF(BG8:BG15,2, AQ8:AQ15)</f>
        <v>0</v>
      </c>
      <c r="AR16" s="284">
        <f>SUMIF(BG8:BG15,2, AR8:AR15)</f>
        <v>0</v>
      </c>
      <c r="AS16" s="15"/>
      <c r="AT16" s="274"/>
      <c r="AU16" s="15"/>
      <c r="AV16" s="15"/>
      <c r="AW16" s="275"/>
      <c r="AX16" s="274"/>
      <c r="AY16" s="274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8"/>
      <c r="BO16" s="298"/>
      <c r="BP16" s="298"/>
      <c r="BQ16" s="298"/>
      <c r="BR16" s="293"/>
      <c r="BS16" s="293"/>
      <c r="BT16" s="15"/>
      <c r="BU16" s="15"/>
      <c r="BV16" s="276"/>
      <c r="BW16" s="15"/>
      <c r="BX16" s="15"/>
      <c r="BY16" s="15"/>
      <c r="BZ16" s="15"/>
      <c r="CA16" s="15"/>
      <c r="CB16" s="274"/>
      <c r="CC16" s="277"/>
      <c r="CD16" s="277"/>
      <c r="CE16" s="277"/>
      <c r="CF16" s="277"/>
    </row>
    <row r="17" spans="1:84" x14ac:dyDescent="0.25">
      <c r="A17" s="300"/>
      <c r="B17" s="299" t="s">
        <v>637</v>
      </c>
      <c r="C17" s="93"/>
      <c r="D17" s="267"/>
      <c r="E17" s="279">
        <f>SUM(E8:E16)/4</f>
        <v>1986144</v>
      </c>
      <c r="F17" s="268">
        <f>SUM(F8:F16)/4</f>
        <v>1986144</v>
      </c>
      <c r="G17" s="301"/>
      <c r="H17" s="113"/>
      <c r="I17" s="104"/>
      <c r="J17" s="280">
        <f>SUM(J8:J16)/4</f>
        <v>2001769</v>
      </c>
      <c r="K17" s="303"/>
      <c r="L17" s="98"/>
      <c r="M17" s="272">
        <f>SUM(M8:M16)/4</f>
        <v>1317301.8199999998</v>
      </c>
      <c r="N17" s="281">
        <f>SUM(N8:N16)/4</f>
        <v>1347968</v>
      </c>
      <c r="O17" s="295"/>
      <c r="P17" s="99"/>
      <c r="Q17" s="270">
        <f>SUM(Q8:Q16)/4</f>
        <v>0</v>
      </c>
      <c r="R17" s="270">
        <f>SUM(R8:R16)/4</f>
        <v>0</v>
      </c>
      <c r="S17" s="270">
        <f>SUM(S8:S16)/4</f>
        <v>0</v>
      </c>
      <c r="T17" s="302"/>
      <c r="U17" s="290"/>
      <c r="V17" s="291"/>
      <c r="W17" s="271">
        <f>SUM(W8:W16)/4</f>
        <v>0</v>
      </c>
      <c r="X17" s="272">
        <f>SUM(X8:X16)/4</f>
        <v>164724.79999999999</v>
      </c>
      <c r="Y17" s="270">
        <f>SUM(Y8:Y16)/4</f>
        <v>0</v>
      </c>
      <c r="Z17" s="270">
        <f>SUM(Z8:Z16)/4</f>
        <v>0</v>
      </c>
      <c r="AA17" s="270">
        <f>SUM(AA8:AA16)/4</f>
        <v>0</v>
      </c>
      <c r="AB17" s="290"/>
      <c r="AC17" s="292"/>
      <c r="AD17" s="271">
        <f>SUM(AD8:AD16)/4</f>
        <v>0</v>
      </c>
      <c r="AE17" s="272">
        <f>SUM(AE8:AE16)/4</f>
        <v>0</v>
      </c>
      <c r="AF17" s="270">
        <f>SUM(AF8:AF16)/4</f>
        <v>0</v>
      </c>
      <c r="AG17" s="290"/>
      <c r="AH17" s="271">
        <f>SUM(AH8:AH16)/4</f>
        <v>0</v>
      </c>
      <c r="AI17" s="272">
        <f>SUM(AI8:AI16)/4</f>
        <v>164724.79999999999</v>
      </c>
      <c r="AJ17" s="270">
        <f>SUM(AJ8:AJ16)/4</f>
        <v>0</v>
      </c>
      <c r="AK17" s="290"/>
      <c r="AL17" s="283">
        <f>SUM(AL8:AL16)/4</f>
        <v>0</v>
      </c>
      <c r="AM17" s="283">
        <f>SUM(AM8:AM16)/4</f>
        <v>0</v>
      </c>
      <c r="AN17" s="283">
        <f>SUM(AN8:AN16)/4</f>
        <v>0</v>
      </c>
      <c r="AO17" s="290"/>
      <c r="AP17" s="284">
        <f>SUM(AP8:AP16)/4</f>
        <v>201644</v>
      </c>
      <c r="AQ17" s="284">
        <f>SUM(AQ8:AQ16)/4</f>
        <v>0</v>
      </c>
      <c r="AR17" s="284">
        <f>SUM(AR8:AR16)/4</f>
        <v>0</v>
      </c>
      <c r="AS17" s="15"/>
      <c r="AT17" s="274"/>
      <c r="AU17" s="15"/>
      <c r="AV17" s="15"/>
      <c r="AW17" s="275"/>
      <c r="AX17" s="274"/>
      <c r="AY17" s="274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298"/>
      <c r="BO17" s="298"/>
      <c r="BP17" s="298"/>
      <c r="BQ17" s="298"/>
      <c r="BR17" s="293"/>
      <c r="BS17" s="293"/>
      <c r="BT17" s="15"/>
      <c r="BU17" s="15"/>
      <c r="BV17" s="276"/>
      <c r="BW17" s="15"/>
      <c r="BX17" s="15"/>
      <c r="BY17" s="15"/>
      <c r="BZ17" s="15"/>
      <c r="CA17" s="15"/>
      <c r="CB17" s="274"/>
      <c r="CC17" s="277"/>
      <c r="CD17" s="277"/>
      <c r="CE17" s="277"/>
      <c r="CF17" s="277"/>
    </row>
    <row r="18" spans="1:84" x14ac:dyDescent="0.25">
      <c r="A18" s="254"/>
      <c r="B18" s="255"/>
      <c r="C18" s="255"/>
      <c r="D18" s="233"/>
      <c r="E18" s="234"/>
      <c r="F18" s="235"/>
      <c r="G18" s="256"/>
      <c r="H18" s="257"/>
      <c r="I18" s="237"/>
      <c r="J18" s="238"/>
      <c r="K18" s="249"/>
      <c r="L18" s="240"/>
      <c r="M18" s="8"/>
      <c r="N18" s="241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254"/>
      <c r="B20" s="255"/>
      <c r="C20" s="255"/>
      <c r="D20" s="233"/>
      <c r="E20" s="234"/>
      <c r="F20" s="235"/>
      <c r="G20" s="256"/>
      <c r="H20" s="257"/>
      <c r="I20" s="237"/>
      <c r="J20" s="238"/>
      <c r="K20" s="239"/>
      <c r="L20" s="240"/>
      <c r="M20" s="8"/>
      <c r="N20" s="241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2"/>
      <c r="AT20" s="243"/>
      <c r="AU20" s="242"/>
      <c r="AV20" s="242"/>
      <c r="AW20" s="244"/>
      <c r="AX20" s="243"/>
      <c r="AY20" s="243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/>
      <c r="BW20" s="242"/>
      <c r="BX20" s="242"/>
      <c r="BY20" s="242"/>
      <c r="BZ20" s="242"/>
      <c r="CA20" s="242"/>
      <c r="CB20" s="243"/>
      <c r="CC20" s="248"/>
      <c r="CD20" s="248"/>
      <c r="CE20" s="248"/>
      <c r="CF20" s="248"/>
    </row>
    <row r="21" spans="1:84" x14ac:dyDescent="0.25">
      <c r="A21" s="254"/>
      <c r="B21" s="255"/>
      <c r="C21" s="255"/>
      <c r="D21" s="233"/>
      <c r="E21" s="234"/>
      <c r="F21" s="235"/>
      <c r="G21" s="256"/>
      <c r="H21" s="257"/>
      <c r="I21" s="237"/>
      <c r="J21" s="238"/>
      <c r="K21" s="239"/>
      <c r="L21" s="240"/>
      <c r="M21" s="8"/>
      <c r="N21" s="241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2"/>
      <c r="AT21" s="243"/>
      <c r="AU21" s="242"/>
      <c r="AV21" s="242"/>
      <c r="AW21" s="244"/>
      <c r="AX21" s="243"/>
      <c r="AY21" s="243"/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/>
      <c r="BW21" s="242"/>
      <c r="BX21" s="242"/>
      <c r="BY21" s="242"/>
      <c r="BZ21" s="242"/>
      <c r="CA21" s="242"/>
      <c r="CB21" s="243"/>
      <c r="CC21" s="248"/>
      <c r="CD21" s="248"/>
      <c r="CE21" s="248"/>
      <c r="CF21" s="248"/>
    </row>
    <row r="22" spans="1:84" x14ac:dyDescent="0.25">
      <c r="A22" s="254"/>
      <c r="B22" s="255"/>
      <c r="C22" s="255"/>
      <c r="D22" s="233"/>
      <c r="E22" s="234"/>
      <c r="F22" s="235"/>
      <c r="G22" s="256"/>
      <c r="H22" s="257"/>
      <c r="I22" s="237"/>
      <c r="J22" s="238"/>
      <c r="K22" s="239"/>
      <c r="L22" s="240"/>
      <c r="M22" s="8"/>
      <c r="N22" s="241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2"/>
      <c r="AT22" s="243"/>
      <c r="AU22" s="242"/>
      <c r="AV22" s="242"/>
      <c r="AW22" s="244"/>
      <c r="AX22" s="243"/>
      <c r="AY22" s="243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/>
      <c r="BW22" s="242"/>
      <c r="BX22" s="242"/>
      <c r="BY22" s="242"/>
      <c r="BZ22" s="242"/>
      <c r="CA22" s="242"/>
      <c r="CB22" s="243"/>
      <c r="CC22" s="248"/>
      <c r="CD22" s="248"/>
      <c r="CE22" s="248"/>
      <c r="CF22" s="248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mSqj5e6pzYw7j0fdvlRCWwwcLq41iO7Vmt4ZCbjRaTernJDnT3vCcbWrwwXLNlQiEfMz/QtpSHBBC1Td2mC4Aw==" saltValue="LGo/BgC3nZIWRRTtfzZTeA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5"/>
      <c r="B11" s="278"/>
      <c r="C11" s="266"/>
      <c r="D11" s="267"/>
      <c r="E11" s="268"/>
      <c r="F11" s="269"/>
      <c r="G11" s="268"/>
      <c r="H11" s="269"/>
      <c r="I11" s="268"/>
      <c r="J11" s="270"/>
      <c r="K11" s="270"/>
      <c r="L11" s="270"/>
      <c r="M11" s="15"/>
      <c r="N11" s="270"/>
      <c r="O11" s="270"/>
      <c r="P11" s="270"/>
      <c r="Q11" s="15"/>
      <c r="R11" s="271"/>
      <c r="S11" s="271"/>
      <c r="T11" s="271"/>
      <c r="U11" s="272"/>
      <c r="V11" s="272"/>
      <c r="W11" s="272"/>
      <c r="X11" s="270"/>
      <c r="Y11" s="270"/>
      <c r="Z11" s="270"/>
      <c r="AA11" s="273"/>
      <c r="AB11" s="274"/>
      <c r="AC11" s="15"/>
      <c r="AD11" s="15"/>
      <c r="AE11" s="275"/>
      <c r="AF11" s="274"/>
      <c r="AG11" s="274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276"/>
      <c r="BE11" s="15"/>
      <c r="BF11" s="277"/>
      <c r="BG11" s="277"/>
      <c r="BH11" s="277"/>
      <c r="BI11" s="277"/>
      <c r="BJ11" s="274"/>
      <c r="BK11" s="277"/>
      <c r="BL11" s="277"/>
      <c r="BM11" s="277"/>
      <c r="BN11" s="277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5"/>
      <c r="B13" s="278"/>
      <c r="C13" s="266"/>
      <c r="D13" s="267"/>
      <c r="E13" s="268"/>
      <c r="F13" s="269"/>
      <c r="G13" s="268"/>
      <c r="H13" s="269"/>
      <c r="I13" s="268"/>
      <c r="J13" s="270"/>
      <c r="K13" s="270"/>
      <c r="L13" s="270"/>
      <c r="M13" s="15"/>
      <c r="N13" s="270"/>
      <c r="O13" s="270"/>
      <c r="P13" s="270"/>
      <c r="Q13" s="15"/>
      <c r="R13" s="271"/>
      <c r="S13" s="271"/>
      <c r="T13" s="271"/>
      <c r="U13" s="272"/>
      <c r="V13" s="272"/>
      <c r="W13" s="272"/>
      <c r="X13" s="270"/>
      <c r="Y13" s="270"/>
      <c r="Z13" s="270"/>
      <c r="AA13" s="273"/>
      <c r="AB13" s="274"/>
      <c r="AC13" s="15"/>
      <c r="AD13" s="15"/>
      <c r="AE13" s="275"/>
      <c r="AF13" s="274"/>
      <c r="AG13" s="274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276"/>
      <c r="BE13" s="15"/>
      <c r="BF13" s="15"/>
      <c r="BG13" s="15"/>
      <c r="BH13" s="15"/>
      <c r="BI13" s="15"/>
      <c r="BJ13" s="274"/>
      <c r="BK13" s="277"/>
      <c r="BL13" s="277"/>
      <c r="BM13" s="277"/>
      <c r="BN13" s="277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78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78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78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pTrEaKNGXzisvsOVmYuAKAgMD3Of0nP4uld0KWv4T6vw0S8FkBkyMqEK94tBVoB8+P/oOR8l0uCZyY9DK+5HLQ==" saltValue="B83JY1qwGjclpkckm4JZj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ywBoHClDF5db/yscbBqDAssk3YkpiMhQSDTMez58PTHBKxYiG9BMIAMQuHnmr44x8So9ZDI3yFPPfd62DTYrRQ==" saltValue="UAsc7Rx04Gr2MFYRMmqWy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eSe212IJp4ciIjJWbD/Ymft28UClx3WhbeUCAq09z69ROzsXzKpYbw2YH2HQUzXCyt3YOgZArf90gtAxnMDwmQ==" saltValue="hGTD8KBmmZvwS9rUEtwIq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