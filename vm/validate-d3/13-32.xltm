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7F557A1D-9C08-4C4F-A00E-A60BD73DE9C9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50" i="82" l="1"/>
  <c r="AR49" i="82"/>
  <c r="AQ50" i="82"/>
  <c r="AQ49" i="82"/>
  <c r="AP50" i="82"/>
  <c r="AP49" i="82"/>
  <c r="AN50" i="82"/>
  <c r="AN49" i="82"/>
  <c r="AM50" i="82"/>
  <c r="AM49" i="82"/>
  <c r="AL50" i="82"/>
  <c r="AL49" i="82"/>
  <c r="AJ50" i="82"/>
  <c r="AJ49" i="82"/>
  <c r="AI50" i="82"/>
  <c r="AI49" i="82"/>
  <c r="AH50" i="82"/>
  <c r="AH49" i="82"/>
  <c r="AF50" i="82"/>
  <c r="AF49" i="82"/>
  <c r="AE50" i="82"/>
  <c r="AE49" i="82"/>
  <c r="AD50" i="82"/>
  <c r="AD49" i="82"/>
  <c r="AA50" i="82"/>
  <c r="AA49" i="82"/>
  <c r="Z50" i="82"/>
  <c r="Z49" i="82"/>
  <c r="Y50" i="82"/>
  <c r="Y49" i="82"/>
  <c r="X50" i="82"/>
  <c r="X49" i="82"/>
  <c r="W50" i="82"/>
  <c r="W49" i="82"/>
  <c r="S50" i="82"/>
  <c r="S49" i="82"/>
  <c r="R50" i="82"/>
  <c r="R49" i="82"/>
  <c r="Q50" i="82"/>
  <c r="Q49" i="82"/>
  <c r="N50" i="82"/>
  <c r="N49" i="82"/>
  <c r="M50" i="82"/>
  <c r="M49" i="82"/>
  <c r="J50" i="82"/>
  <c r="J49" i="82"/>
  <c r="F50" i="82"/>
  <c r="F49" i="82"/>
  <c r="E50" i="82"/>
  <c r="E49" i="82"/>
  <c r="AR47" i="82"/>
  <c r="AM47" i="82"/>
  <c r="AH47" i="82"/>
  <c r="AA47" i="82"/>
  <c r="W47" i="82"/>
  <c r="N47" i="82"/>
  <c r="E47" i="82"/>
  <c r="AR45" i="82"/>
  <c r="AQ45" i="82"/>
  <c r="AP45" i="82"/>
  <c r="AN45" i="82"/>
  <c r="AM45" i="82"/>
  <c r="AL45" i="82"/>
  <c r="AJ45" i="82"/>
  <c r="AI45" i="82"/>
  <c r="AH45" i="82"/>
  <c r="AF45" i="82"/>
  <c r="AE45" i="82"/>
  <c r="AD45" i="82"/>
  <c r="AA45" i="82"/>
  <c r="Z45" i="82"/>
  <c r="Y45" i="82"/>
  <c r="X45" i="82"/>
  <c r="W45" i="82"/>
  <c r="S45" i="82"/>
  <c r="R45" i="82"/>
  <c r="Q45" i="82"/>
  <c r="N45" i="82"/>
  <c r="M45" i="82"/>
  <c r="J45" i="82"/>
  <c r="F45" i="82"/>
  <c r="E45" i="82"/>
  <c r="AR12" i="82"/>
  <c r="AR51" i="82" s="1"/>
  <c r="AQ12" i="82"/>
  <c r="AQ47" i="82" s="1"/>
  <c r="AQ51" i="82" s="1"/>
  <c r="AP12" i="82"/>
  <c r="AP47" i="82" s="1"/>
  <c r="AN12" i="82"/>
  <c r="AM12" i="82"/>
  <c r="AM51" i="82" s="1"/>
  <c r="AL12" i="82"/>
  <c r="AL47" i="82" s="1"/>
  <c r="AL51" i="82" s="1"/>
  <c r="AJ12" i="82"/>
  <c r="AJ47" i="82" s="1"/>
  <c r="AI12" i="82"/>
  <c r="AH12" i="82"/>
  <c r="AH51" i="82" s="1"/>
  <c r="AF12" i="82"/>
  <c r="AF47" i="82" s="1"/>
  <c r="AF51" i="82" s="1"/>
  <c r="AE12" i="82"/>
  <c r="AE47" i="82" s="1"/>
  <c r="AD12" i="82"/>
  <c r="AA12" i="82"/>
  <c r="AA51" i="82" s="1"/>
  <c r="Z12" i="82"/>
  <c r="Z47" i="82" s="1"/>
  <c r="Z51" i="82" s="1"/>
  <c r="Y12" i="82"/>
  <c r="Y47" i="82" s="1"/>
  <c r="X12" i="82"/>
  <c r="W12" i="82"/>
  <c r="W51" i="82" s="1"/>
  <c r="S12" i="82"/>
  <c r="S47" i="82" s="1"/>
  <c r="S51" i="82" s="1"/>
  <c r="R12" i="82"/>
  <c r="R47" i="82" s="1"/>
  <c r="Q12" i="82"/>
  <c r="N12" i="82"/>
  <c r="N51" i="82" s="1"/>
  <c r="M12" i="82"/>
  <c r="M47" i="82" s="1"/>
  <c r="M51" i="82" s="1"/>
  <c r="J12" i="82"/>
  <c r="J47" i="82" s="1"/>
  <c r="F12" i="82"/>
  <c r="E12" i="82"/>
  <c r="E51" i="82" s="1"/>
  <c r="AW50" i="75"/>
  <c r="AW49" i="75"/>
  <c r="AV50" i="75"/>
  <c r="AV49" i="75"/>
  <c r="AU50" i="75"/>
  <c r="AU49" i="75"/>
  <c r="AS50" i="75"/>
  <c r="AS49" i="75"/>
  <c r="AR50" i="75"/>
  <c r="AR49" i="75"/>
  <c r="AQ50" i="75"/>
  <c r="AQ49" i="75"/>
  <c r="AN50" i="75"/>
  <c r="AN49" i="75"/>
  <c r="AM50" i="75"/>
  <c r="AM49" i="75"/>
  <c r="AL50" i="75"/>
  <c r="AL49" i="75"/>
  <c r="AI50" i="75"/>
  <c r="AI49" i="75"/>
  <c r="AH50" i="75"/>
  <c r="AH49" i="75"/>
  <c r="AG50" i="75"/>
  <c r="AG49" i="75"/>
  <c r="AD50" i="75"/>
  <c r="AD49" i="75"/>
  <c r="AC50" i="75"/>
  <c r="AC49" i="75"/>
  <c r="AO50" i="75"/>
  <c r="AO49" i="75"/>
  <c r="AJ50" i="75"/>
  <c r="AJ49" i="75"/>
  <c r="Z50" i="75"/>
  <c r="Z49" i="75"/>
  <c r="V50" i="75"/>
  <c r="V49" i="75"/>
  <c r="Y50" i="75"/>
  <c r="Y49" i="75"/>
  <c r="X50" i="75"/>
  <c r="X49" i="75"/>
  <c r="W50" i="75"/>
  <c r="W49" i="75"/>
  <c r="R50" i="75"/>
  <c r="R49" i="75"/>
  <c r="Q50" i="75"/>
  <c r="Q49" i="75"/>
  <c r="P51" i="75"/>
  <c r="P50" i="75"/>
  <c r="P49" i="75"/>
  <c r="M50" i="75"/>
  <c r="M49" i="75"/>
  <c r="L50" i="75"/>
  <c r="L49" i="75"/>
  <c r="I50" i="75"/>
  <c r="I49" i="75"/>
  <c r="F51" i="75"/>
  <c r="F50" i="75"/>
  <c r="F49" i="75"/>
  <c r="E50" i="75"/>
  <c r="E49" i="75"/>
  <c r="AU47" i="75"/>
  <c r="AS47" i="75"/>
  <c r="AN47" i="75"/>
  <c r="AM47" i="75"/>
  <c r="AH47" i="75"/>
  <c r="AG47" i="75"/>
  <c r="AO47" i="75"/>
  <c r="AJ47" i="75"/>
  <c r="Y47" i="75"/>
  <c r="X47" i="75"/>
  <c r="Q47" i="75"/>
  <c r="P47" i="75"/>
  <c r="I47" i="75"/>
  <c r="F47" i="75"/>
  <c r="AW45" i="75"/>
  <c r="AV45" i="75"/>
  <c r="AU45" i="75"/>
  <c r="AS45" i="75"/>
  <c r="AR45" i="75"/>
  <c r="AQ45" i="75"/>
  <c r="AN45" i="75"/>
  <c r="AM45" i="75"/>
  <c r="AL45" i="75"/>
  <c r="AI45" i="75"/>
  <c r="AH45" i="75"/>
  <c r="AG45" i="75"/>
  <c r="AD45" i="75"/>
  <c r="AC45" i="75"/>
  <c r="AO45" i="75"/>
  <c r="AJ45" i="75"/>
  <c r="Z45" i="75"/>
  <c r="V45" i="75"/>
  <c r="Y45" i="75"/>
  <c r="X45" i="75"/>
  <c r="W45" i="75"/>
  <c r="R45" i="75"/>
  <c r="Q45" i="75"/>
  <c r="P45" i="75"/>
  <c r="M45" i="75"/>
  <c r="L45" i="75"/>
  <c r="I45" i="75"/>
  <c r="F45" i="75"/>
  <c r="E45" i="75"/>
  <c r="AW12" i="75"/>
  <c r="AV12" i="75"/>
  <c r="AV47" i="75" s="1"/>
  <c r="AU12" i="75"/>
  <c r="AU51" i="75" s="1"/>
  <c r="AS12" i="75"/>
  <c r="AS51" i="75" s="1"/>
  <c r="AR12" i="75"/>
  <c r="AQ12" i="75"/>
  <c r="AQ47" i="75" s="1"/>
  <c r="AN12" i="75"/>
  <c r="AN51" i="75" s="1"/>
  <c r="AM12" i="75"/>
  <c r="AM51" i="75" s="1"/>
  <c r="AL12" i="75"/>
  <c r="AI12" i="75"/>
  <c r="AI47" i="75" s="1"/>
  <c r="AH12" i="75"/>
  <c r="AH51" i="75" s="1"/>
  <c r="AG12" i="75"/>
  <c r="AG51" i="75" s="1"/>
  <c r="AD12" i="75"/>
  <c r="AC12" i="75"/>
  <c r="AC47" i="75" s="1"/>
  <c r="AO12" i="75"/>
  <c r="AO51" i="75" s="1"/>
  <c r="AJ12" i="75"/>
  <c r="AJ51" i="75" s="1"/>
  <c r="Z12" i="75"/>
  <c r="V12" i="75"/>
  <c r="V47" i="75" s="1"/>
  <c r="Y12" i="75"/>
  <c r="Y51" i="75" s="1"/>
  <c r="X12" i="75"/>
  <c r="X51" i="75" s="1"/>
  <c r="W12" i="75"/>
  <c r="R12" i="75"/>
  <c r="R47" i="75" s="1"/>
  <c r="Q12" i="75"/>
  <c r="Q51" i="75" s="1"/>
  <c r="P12" i="75"/>
  <c r="M12" i="75"/>
  <c r="L12" i="75"/>
  <c r="L47" i="75" s="1"/>
  <c r="I12" i="75"/>
  <c r="I51" i="75" s="1"/>
  <c r="F12" i="75"/>
  <c r="E12" i="75"/>
  <c r="AS6" i="75"/>
  <c r="AC6" i="75"/>
  <c r="X51" i="82" l="1"/>
  <c r="F47" i="82"/>
  <c r="F51" i="82" s="1"/>
  <c r="Q47" i="82"/>
  <c r="Q51" i="82" s="1"/>
  <c r="X47" i="82"/>
  <c r="AD47" i="82"/>
  <c r="AD51" i="82" s="1"/>
  <c r="AI47" i="82"/>
  <c r="AI51" i="82" s="1"/>
  <c r="AN47" i="82"/>
  <c r="AN51" i="82" s="1"/>
  <c r="J51" i="82"/>
  <c r="R51" i="82"/>
  <c r="Y51" i="82"/>
  <c r="AE51" i="82"/>
  <c r="AJ51" i="82"/>
  <c r="AP51" i="82"/>
  <c r="M51" i="75"/>
  <c r="AD51" i="75"/>
  <c r="AL51" i="75"/>
  <c r="E47" i="75"/>
  <c r="E51" i="75" s="1"/>
  <c r="M47" i="75"/>
  <c r="W47" i="75"/>
  <c r="W51" i="75" s="1"/>
  <c r="Z47" i="75"/>
  <c r="Z51" i="75" s="1"/>
  <c r="AD47" i="75"/>
  <c r="AL47" i="75"/>
  <c r="AR47" i="75"/>
  <c r="AR51" i="75" s="1"/>
  <c r="AW47" i="75"/>
  <c r="AW51" i="75" s="1"/>
  <c r="L51" i="75"/>
  <c r="R51" i="75"/>
  <c r="V51" i="75"/>
  <c r="AC51" i="75"/>
  <c r="AI51" i="75"/>
  <c r="AQ51" i="75"/>
  <c r="AV51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3B9E5946-070D-4BAC-94F8-C30CF38C9AA1}">
      <text>
        <r>
          <rPr>
            <sz val="10"/>
            <color indexed="81"/>
            <rFont val="Arial"/>
            <family val="2"/>
          </rPr>
          <t>Original - _x000D_
411,100_x000D_
Change Order - _x000D_
95,900</t>
        </r>
      </text>
    </comment>
    <comment ref="I9" authorId="0" shapeId="0" xr:uid="{163F1417-C886-471A-AB32-EBB2FC3467A2}">
      <text>
        <r>
          <rPr>
            <sz val="10"/>
            <color indexed="81"/>
            <rFont val="Arial"/>
            <family val="2"/>
          </rPr>
          <t>1 - 507,000_x000D_
2 - 411,100_x000D_
3 - 411,100_x000D_
4 - 411,100_x000D_
5 - 411,100_x000D_
6 - 411,100</t>
        </r>
      </text>
    </comment>
    <comment ref="M9" authorId="0" shapeId="0" xr:uid="{62A9B3E0-F532-4896-B7F8-EFF9C288F0F8}">
      <text>
        <r>
          <rPr>
            <sz val="10"/>
            <color indexed="81"/>
            <rFont val="Arial"/>
            <family val="2"/>
          </rPr>
          <t>1 - 467,000_x000D_
2 - 381,100_x000D_
3 - 381,100_x000D_
4 - 381,100_x000D_
5 - 386,100_x000D_
6 - 391,100</t>
        </r>
      </text>
    </comment>
    <comment ref="E10" authorId="0" shapeId="0" xr:uid="{E19F1867-19AA-4050-A28D-5DD9139CD4A5}">
      <text>
        <r>
          <rPr>
            <sz val="10"/>
            <color indexed="81"/>
            <rFont val="Arial"/>
            <family val="2"/>
          </rPr>
          <t>Original - _x000D_
475,000_x000D_
Change Order - _x000D_
19,981</t>
        </r>
      </text>
    </comment>
    <comment ref="I10" authorId="0" shapeId="0" xr:uid="{4F147351-219B-41D3-8C74-685FAFA3164E}">
      <text>
        <r>
          <rPr>
            <sz val="10"/>
            <color indexed="81"/>
            <rFont val="Arial"/>
            <family val="2"/>
          </rPr>
          <t>1 - 491,273_x000D_
2 - 491,273_x000D_
3 - 491,273_x000D_
4 - 491,273_x000D_
5 - 491,273_x000D_
6 - 491,273</t>
        </r>
      </text>
    </comment>
    <comment ref="M10" authorId="0" shapeId="0" xr:uid="{EEA6814D-71EF-4AF3-A253-E0FBEE65CD29}">
      <text>
        <r>
          <rPr>
            <sz val="10"/>
            <color indexed="81"/>
            <rFont val="Arial"/>
            <family val="2"/>
          </rPr>
          <t>1 - 321,273_x000D_
2 - 381,273_x000D_
3 - 446,273_x000D_
4 - 454,273_x000D_
5 - 455,273_x000D_
6 - 456,273</t>
        </r>
      </text>
    </comment>
    <comment ref="E11" authorId="0" shapeId="0" xr:uid="{D0C0EE08-4A25-457E-8485-D2CBF2CA8677}">
      <text>
        <r>
          <rPr>
            <sz val="10"/>
            <color indexed="81"/>
            <rFont val="Arial"/>
            <family val="2"/>
          </rPr>
          <t>Original - _x000D_
33,500_x000D_
Change Order - _x000D_
1,284,330</t>
        </r>
      </text>
    </comment>
    <comment ref="I11" authorId="0" shapeId="0" xr:uid="{9E49B3D7-0E42-4D81-8AE9-44AF29F6E325}">
      <text>
        <r>
          <rPr>
            <sz val="10"/>
            <color indexed="81"/>
            <rFont val="Arial"/>
            <family val="2"/>
          </rPr>
          <t>1 - 1,317,830_x000D_
2 - 1,317,830_x000D_
3 - 1,317,830_x000D_
4 - 648,500_x000D_
5 - 648,500_x000D_
6 - 648,500</t>
        </r>
      </text>
    </comment>
    <comment ref="M11" authorId="0" shapeId="0" xr:uid="{771F64B8-3B95-443B-8944-CE2A6906C64F}">
      <text>
        <r>
          <rPr>
            <sz val="10"/>
            <color indexed="81"/>
            <rFont val="Arial"/>
            <family val="2"/>
          </rPr>
          <t>1 - 1,267,830_x000D_
2 - 1,267,830_x000D_
3 - 1,272,830_x000D_
4 - 603,500_x000D_
5 - 603,500_x000D_
6 - 603,500</t>
        </r>
      </text>
    </comment>
    <comment ref="E15" authorId="0" shapeId="0" xr:uid="{6B09430D-41B4-4EFF-B81F-5BA2430C1267}">
      <text>
        <r>
          <rPr>
            <sz val="10"/>
            <color indexed="81"/>
            <rFont val="Arial"/>
            <family val="2"/>
          </rPr>
          <t>Original - _x000D_
15,775,000_x000D_
Change Order - _x000D_
1,341,858</t>
        </r>
      </text>
    </comment>
    <comment ref="I15" authorId="0" shapeId="0" xr:uid="{AF8B5E9E-6EC9-4249-B8F8-1637B013E966}">
      <text>
        <r>
          <rPr>
            <sz val="10"/>
            <color indexed="81"/>
            <rFont val="Arial"/>
            <family val="2"/>
          </rPr>
          <t>1 - 17,116,858_x000D_
2 - 17,116,858_x000D_
3 - 17,116,858_x000D_
4 - 17,006,858_x000D_
5 - 17,006,858_x000D_
6 - 17,006,858</t>
        </r>
      </text>
    </comment>
    <comment ref="M15" authorId="0" shapeId="0" xr:uid="{1F93635F-B2ED-4D19-A319-12DC5BE9C8B9}">
      <text>
        <r>
          <rPr>
            <sz val="10"/>
            <color indexed="81"/>
            <rFont val="Arial"/>
            <family val="2"/>
          </rPr>
          <t>1 - 22,896,858_x000D_
2 - 22,906,858_x000D_
3 - 22,916,858_x000D_
4 - 22,806,858_x000D_
5 - 22,806,858_x000D_
6 - 22,806,858</t>
        </r>
      </text>
    </comment>
    <comment ref="E17" authorId="0" shapeId="0" xr:uid="{1E03367D-390C-42F6-A64E-0CD424CDC0F5}">
      <text>
        <r>
          <rPr>
            <sz val="10"/>
            <color indexed="81"/>
            <rFont val="Arial"/>
            <family val="2"/>
          </rPr>
          <t>Original - _x000D_
35,408_x000D_
Change Order - _x000D_
29,711</t>
        </r>
      </text>
    </comment>
    <comment ref="E18" authorId="0" shapeId="0" xr:uid="{AA3AF871-6D84-4923-8931-D711F6852856}">
      <text>
        <r>
          <rPr>
            <sz val="10"/>
            <color indexed="81"/>
            <rFont val="Arial"/>
            <family val="2"/>
          </rPr>
          <t>Original - _x000D_
839,000_x000D_
Change Order - _x000D_
-1,056</t>
        </r>
      </text>
    </comment>
    <comment ref="E20" authorId="0" shapeId="0" xr:uid="{625FDE11-A00A-4775-9FED-7A88D47BB150}">
      <text>
        <r>
          <rPr>
            <sz val="10"/>
            <color indexed="81"/>
            <rFont val="Arial"/>
            <family val="2"/>
          </rPr>
          <t>Original - _x000D_
148,100_x000D_
Change Order - _x000D_
13,198</t>
        </r>
      </text>
    </comment>
    <comment ref="E21" authorId="0" shapeId="0" xr:uid="{89E78695-47D8-48D4-A33A-8212CB2982DE}">
      <text>
        <r>
          <rPr>
            <sz val="10"/>
            <color indexed="81"/>
            <rFont val="Arial"/>
            <family val="2"/>
          </rPr>
          <t>Original - _x000D_
552,300_x000D_
Change Order - _x000D_
-21,230</t>
        </r>
      </text>
    </comment>
    <comment ref="E22" authorId="0" shapeId="0" xr:uid="{1BF6E2E4-D214-4850-B48E-9FC306AB15C6}">
      <text>
        <r>
          <rPr>
            <sz val="10"/>
            <color indexed="81"/>
            <rFont val="Arial"/>
            <family val="2"/>
          </rPr>
          <t>Original - _x000D_
543,956_x000D_
Change Order - _x000D_
-79,003</t>
        </r>
      </text>
    </comment>
    <comment ref="I24" authorId="0" shapeId="0" xr:uid="{D2FD5A57-3ED9-4C7A-A7BD-85A98265DE25}">
      <text>
        <r>
          <rPr>
            <sz val="10"/>
            <color indexed="81"/>
            <rFont val="Arial"/>
            <family val="2"/>
          </rPr>
          <t>1 - 105,444_x000D_
2 - 105,444_x000D_
3 - 105,444_x000D_
4 - 105,444_x000D_
5 - 105,444_x000D_
6 - 105,444</t>
        </r>
      </text>
    </comment>
    <comment ref="M24" authorId="0" shapeId="0" xr:uid="{AB24589A-DDD4-4381-9D0E-2EF2E3CB1915}">
      <text>
        <r>
          <rPr>
            <sz val="10"/>
            <color indexed="81"/>
            <rFont val="Arial"/>
            <family val="2"/>
          </rPr>
          <t>1 - 61,905_x000D_
2 - 61,905_x000D_
3 - 61,905_x000D_
4 - 61,905_x000D_
5 - 61,905_x000D_
6 - 61,905</t>
        </r>
      </text>
    </comment>
    <comment ref="I37" authorId="0" shapeId="0" xr:uid="{FB9348CC-C811-4A90-9C05-3A9A74565ADA}">
      <text>
        <r>
          <rPr>
            <sz val="10"/>
            <color indexed="81"/>
            <rFont val="Arial"/>
            <family val="2"/>
          </rPr>
          <t>1 - 1,017,300_x000D_
2 - 1,017,300_x000D_
3 - 1,017,300_x000D_
4 - 1,017,300_x000D_
5 - 1,017,300_x000D_
6 - 1,017,300</t>
        </r>
      </text>
    </comment>
    <comment ref="M37" authorId="0" shapeId="0" xr:uid="{5BF4D3CD-6458-42E6-AE93-DFA99D74C99F}">
      <text>
        <r>
          <rPr>
            <sz val="10"/>
            <color indexed="81"/>
            <rFont val="Arial"/>
            <family val="2"/>
          </rPr>
          <t>1 - 797,250_x000D_
2 - 797,250_x000D_
3 - 797,250_x000D_
4 - 797,250_x000D_
5 - 797,250_x000D_
6 - 797,250</t>
        </r>
      </text>
    </comment>
    <comment ref="I38" authorId="0" shapeId="0" xr:uid="{18DC8B66-EC73-414E-BBB4-EF6AA6DB340C}">
      <text>
        <r>
          <rPr>
            <sz val="10"/>
            <color indexed="81"/>
            <rFont val="Arial"/>
            <family val="2"/>
          </rPr>
          <t>1 - 179,650_x000D_
2 - 212,000_x000D_
3 - 212,000_x000D_
4 - 212,000_x000D_
5 - 212,000_x000D_
6 - 212,000</t>
        </r>
      </text>
    </comment>
    <comment ref="M38" authorId="0" shapeId="0" xr:uid="{EA7FAA02-4048-48BA-895D-F7DCE637F77B}">
      <text>
        <r>
          <rPr>
            <sz val="10"/>
            <color indexed="81"/>
            <rFont val="Arial"/>
            <family val="2"/>
          </rPr>
          <t>1 - 141,650_x000D_
2 - 177,000_x000D_
3 - 182,000_x000D_
4 - 182,000_x000D_
5 - 182,000_x000D_
6 - 182,000</t>
        </r>
      </text>
    </comment>
    <comment ref="E39" authorId="0" shapeId="0" xr:uid="{A442FB82-A1C2-4C85-9010-77F5A4907646}">
      <text>
        <r>
          <rPr>
            <sz val="10"/>
            <color indexed="81"/>
            <rFont val="Arial"/>
            <family val="2"/>
          </rPr>
          <t>Original - _x000D_
39,400_x000D_
Change Order - _x000D_
-37,300</t>
        </r>
      </text>
    </comment>
    <comment ref="E40" authorId="0" shapeId="0" xr:uid="{B49654D7-903E-40D0-AB28-FF74A0177A10}">
      <text>
        <r>
          <rPr>
            <sz val="10"/>
            <color indexed="81"/>
            <rFont val="Arial"/>
            <family val="2"/>
          </rPr>
          <t>Original - _x000D_
1,177,800_x000D_
Change Order - _x000D_
-8,831</t>
        </r>
      </text>
    </comment>
    <comment ref="I40" authorId="0" shapeId="0" xr:uid="{29AB9300-A122-4DBA-B434-818BAE8D4780}">
      <text>
        <r>
          <rPr>
            <sz val="10"/>
            <color indexed="81"/>
            <rFont val="Arial"/>
            <family val="2"/>
          </rPr>
          <t>1 - 1,168,969_x000D_
2 - 1,168,969_x000D_
3 - 1,177,800_x000D_
4 - 1,177,800_x000D_
5 - 1,177,800_x000D_
6 - 1,177,800</t>
        </r>
      </text>
    </comment>
    <comment ref="M40" authorId="0" shapeId="0" xr:uid="{69BEC5F6-3ACA-4149-A6AE-DB0132198969}">
      <text>
        <r>
          <rPr>
            <sz val="10"/>
            <color indexed="81"/>
            <rFont val="Arial"/>
            <family val="2"/>
          </rPr>
          <t>1 - 905,529_x000D_
2 - 905,529_x000D_
3 - 977,800_x000D_
4 - 1,022,800_x000D_
5 - 1,047,800_x000D_
6 - 1,047,800</t>
        </r>
      </text>
    </comment>
    <comment ref="E41" authorId="0" shapeId="0" xr:uid="{EC6C00F9-8309-42DF-9CD1-9DE801B1F4EA}">
      <text>
        <r>
          <rPr>
            <sz val="10"/>
            <color indexed="81"/>
            <rFont val="Arial"/>
            <family val="2"/>
          </rPr>
          <t>Original - _x000D_
198,000_x000D_
Change Order - _x000D_
-15,654</t>
        </r>
      </text>
    </comment>
    <comment ref="E42" authorId="0" shapeId="0" xr:uid="{B96A18C4-1533-42B6-817B-66BEBF89489E}">
      <text>
        <r>
          <rPr>
            <sz val="10"/>
            <color indexed="81"/>
            <rFont val="Arial"/>
            <family val="2"/>
          </rPr>
          <t>Original - _x000D_
422,650_x000D_
Change Order - _x000D_
-16,700</t>
        </r>
      </text>
    </comment>
    <comment ref="I42" authorId="0" shapeId="0" xr:uid="{7E05DD05-5BA0-47FB-8650-351245B7258C}">
      <text>
        <r>
          <rPr>
            <sz val="10"/>
            <color indexed="81"/>
            <rFont val="Arial"/>
            <family val="2"/>
          </rPr>
          <t>1 - 422,650_x000D_
2 - 422,650_x000D_
3 - 422,650_x000D_
4 - 422,650_x000D_
5 - 422,650_x000D_
6 - 422,650</t>
        </r>
      </text>
    </comment>
    <comment ref="M42" authorId="0" shapeId="0" xr:uid="{65743894-2433-456B-A980-F7EED8E77AAD}">
      <text>
        <r>
          <rPr>
            <sz val="10"/>
            <color indexed="81"/>
            <rFont val="Arial"/>
            <family val="2"/>
          </rPr>
          <t>1 - 292,650_x000D_
2 - 302,650_x000D_
3 - 307,650_x000D_
4 - 307,650_x000D_
5 - 322,650_x000D_
6 - 322,650</t>
        </r>
      </text>
    </comment>
    <comment ref="E44" authorId="0" shapeId="0" xr:uid="{CA6E9B94-8C54-4870-A983-EF744CF3D911}">
      <text>
        <r>
          <rPr>
            <sz val="10"/>
            <color indexed="81"/>
            <rFont val="Arial"/>
            <family val="2"/>
          </rPr>
          <t>Original - _x000D_
355,900_x000D_
Change Order - _x000D_
4,863</t>
        </r>
      </text>
    </comment>
    <comment ref="I44" authorId="0" shapeId="0" xr:uid="{4DB409C8-8CBB-4AD0-A574-807C7C024364}">
      <text>
        <r>
          <rPr>
            <sz val="10"/>
            <color indexed="81"/>
            <rFont val="Arial"/>
            <family val="2"/>
          </rPr>
          <t>1 - 360,763_x000D_
2 - 360,763_x000D_
3 - 360,763_x000D_
4 - 360,763_x000D_
5 - 360,763_x000D_
6 - 360,763</t>
        </r>
      </text>
    </comment>
    <comment ref="M44" authorId="0" shapeId="0" xr:uid="{498B0E55-4C92-4165-93CF-B36C9B7BEF56}">
      <text>
        <r>
          <rPr>
            <sz val="10"/>
            <color indexed="81"/>
            <rFont val="Arial"/>
            <family val="2"/>
          </rPr>
          <t>1 - 215,503_x000D_
2 - 215,503_x000D_
3 - 215,503_x000D_
4 - 215,503_x000D_
5 - 215,503_x000D_
6 - 215,503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2DB8C8DE-BC5B-46D6-A1D0-352418E1CB81}">
      <text>
        <r>
          <rPr>
            <sz val="10"/>
            <color indexed="81"/>
            <rFont val="Arial"/>
            <family val="2"/>
          </rPr>
          <t>Original - _x000D_
411,100_x000D_
Change Order - _x000D_
95,900</t>
        </r>
      </text>
    </comment>
    <comment ref="J9" authorId="0" shapeId="0" xr:uid="{71EF2A48-6C6A-407E-956F-E0A53FC517C4}">
      <text>
        <r>
          <rPr>
            <sz val="10"/>
            <color indexed="81"/>
            <rFont val="Arial"/>
            <family val="2"/>
          </rPr>
          <t>1 - 0_x000D_
2 - 0_x000D_
3 - 411,100_x000D_
4 - 0_x000D_
5 - 0_x000D_
6 - 411,100</t>
        </r>
      </text>
    </comment>
    <comment ref="N9" authorId="0" shapeId="0" xr:uid="{6AC27FB3-940E-4F10-A51D-1158B1765D19}">
      <text>
        <r>
          <rPr>
            <sz val="10"/>
            <color indexed="81"/>
            <rFont val="Arial"/>
            <family val="2"/>
          </rPr>
          <t>1 - 0_x000D_
2 - 0_x000D_
3 - 381,100_x000D_
4 - 0_x000D_
5 - 0_x000D_
6 - 391,100</t>
        </r>
      </text>
    </comment>
    <comment ref="E10" authorId="0" shapeId="0" xr:uid="{1B96B333-BD21-40C9-ADB0-F18EFC7C4D35}">
      <text>
        <r>
          <rPr>
            <sz val="10"/>
            <color indexed="81"/>
            <rFont val="Arial"/>
            <family val="2"/>
          </rPr>
          <t>Original - _x000D_
475,000_x000D_
Change Order - _x000D_
19,981</t>
        </r>
      </text>
    </comment>
    <comment ref="J10" authorId="0" shapeId="0" xr:uid="{7A8B8411-C7CA-4ABC-807D-3DE43BE61AA1}">
      <text>
        <r>
          <rPr>
            <sz val="10"/>
            <color indexed="81"/>
            <rFont val="Arial"/>
            <family val="2"/>
          </rPr>
          <t>1 - 0_x000D_
2 - 0_x000D_
3 - 491,273_x000D_
4 - 0_x000D_
5 - 0_x000D_
6 - 491,273</t>
        </r>
      </text>
    </comment>
    <comment ref="N10" authorId="0" shapeId="0" xr:uid="{5A79A6FE-B5D1-49BA-B93C-70088779A2D1}">
      <text>
        <r>
          <rPr>
            <sz val="10"/>
            <color indexed="81"/>
            <rFont val="Arial"/>
            <family val="2"/>
          </rPr>
          <t>1 - 0_x000D_
2 - 0_x000D_
3 - 446,273_x000D_
4 - 0_x000D_
5 - 0_x000D_
6 - 456,273</t>
        </r>
      </text>
    </comment>
    <comment ref="E11" authorId="0" shapeId="0" xr:uid="{007FB514-4B5C-45EF-A429-02F9736A57F8}">
      <text>
        <r>
          <rPr>
            <sz val="10"/>
            <color indexed="81"/>
            <rFont val="Arial"/>
            <family val="2"/>
          </rPr>
          <t>Original - _x000D_
33,500_x000D_
Change Order - _x000D_
1,284,330</t>
        </r>
      </text>
    </comment>
    <comment ref="J11" authorId="0" shapeId="0" xr:uid="{45E91587-2978-4636-BA04-EC512A452C06}">
      <text>
        <r>
          <rPr>
            <sz val="10"/>
            <color indexed="81"/>
            <rFont val="Arial"/>
            <family val="2"/>
          </rPr>
          <t>1 - 0_x000D_
2 - 0_x000D_
3 - 1,317,830_x000D_
4 - 0_x000D_
5 - 0_x000D_
6 - 648,500</t>
        </r>
      </text>
    </comment>
    <comment ref="N11" authorId="0" shapeId="0" xr:uid="{55044663-C415-4BD4-8850-6B693C5D55DA}">
      <text>
        <r>
          <rPr>
            <sz val="10"/>
            <color indexed="81"/>
            <rFont val="Arial"/>
            <family val="2"/>
          </rPr>
          <t>1 - 0_x000D_
2 - 0_x000D_
3 - 1,272,830_x000D_
4 - 0_x000D_
5 - 0_x000D_
6 - 603,500</t>
        </r>
      </text>
    </comment>
    <comment ref="E15" authorId="0" shapeId="0" xr:uid="{58DE3438-FD01-45DF-B4F8-7797FC64E91D}">
      <text>
        <r>
          <rPr>
            <sz val="10"/>
            <color indexed="81"/>
            <rFont val="Arial"/>
            <family val="2"/>
          </rPr>
          <t>Original - _x000D_
15,775,000_x000D_
Change Order - _x000D_
1,341,858</t>
        </r>
      </text>
    </comment>
    <comment ref="J15" authorId="0" shapeId="0" xr:uid="{E261E183-59BD-4F7D-B2DC-B8599DECA408}">
      <text>
        <r>
          <rPr>
            <sz val="10"/>
            <color indexed="81"/>
            <rFont val="Arial"/>
            <family val="2"/>
          </rPr>
          <t>1 - 0_x000D_
2 - 0_x000D_
3 - 17,116,858_x000D_
4 - 0_x000D_
5 - 0_x000D_
6 - 17,006,858</t>
        </r>
      </text>
    </comment>
    <comment ref="N15" authorId="0" shapeId="0" xr:uid="{ABDCBA7D-75FE-40A9-9CCA-AF993E18AF26}">
      <text>
        <r>
          <rPr>
            <sz val="10"/>
            <color indexed="81"/>
            <rFont val="Arial"/>
            <family val="2"/>
          </rPr>
          <t>1 - 0_x000D_
2 - 0_x000D_
3 - 22,916,858_x000D_
4 - 0_x000D_
5 - 0_x000D_
6 - 22,806,858</t>
        </r>
      </text>
    </comment>
    <comment ref="E17" authorId="0" shapeId="0" xr:uid="{98365267-ECE9-4042-A14B-63AEA01B662F}">
      <text>
        <r>
          <rPr>
            <sz val="10"/>
            <color indexed="81"/>
            <rFont val="Arial"/>
            <family val="2"/>
          </rPr>
          <t>Original - _x000D_
35,408_x000D_
Change Order - _x000D_
29,711</t>
        </r>
      </text>
    </comment>
    <comment ref="E18" authorId="0" shapeId="0" xr:uid="{8633D999-AF9A-4AF1-A6F3-ECA5708D6405}">
      <text>
        <r>
          <rPr>
            <sz val="10"/>
            <color indexed="81"/>
            <rFont val="Arial"/>
            <family val="2"/>
          </rPr>
          <t>Original - _x000D_
839,000_x000D_
Change Order - _x000D_
-1,056</t>
        </r>
      </text>
    </comment>
    <comment ref="E20" authorId="0" shapeId="0" xr:uid="{6C669BE2-E2E9-4468-A2B3-8A19FFA4FC95}">
      <text>
        <r>
          <rPr>
            <sz val="10"/>
            <color indexed="81"/>
            <rFont val="Arial"/>
            <family val="2"/>
          </rPr>
          <t>Original - _x000D_
148,100_x000D_
Change Order - _x000D_
13,198</t>
        </r>
      </text>
    </comment>
    <comment ref="E21" authorId="0" shapeId="0" xr:uid="{6822B549-44EA-45CF-BC0F-8C702AFE4A4E}">
      <text>
        <r>
          <rPr>
            <sz val="10"/>
            <color indexed="81"/>
            <rFont val="Arial"/>
            <family val="2"/>
          </rPr>
          <t>Original - _x000D_
552,300_x000D_
Change Order - _x000D_
-21,230</t>
        </r>
      </text>
    </comment>
    <comment ref="E22" authorId="0" shapeId="0" xr:uid="{D6B7D971-2F2E-42E7-BBF3-6225E5609B11}">
      <text>
        <r>
          <rPr>
            <sz val="10"/>
            <color indexed="81"/>
            <rFont val="Arial"/>
            <family val="2"/>
          </rPr>
          <t>Original - _x000D_
543,956_x000D_
Change Order - _x000D_
-79,003</t>
        </r>
      </text>
    </comment>
    <comment ref="J24" authorId="0" shapeId="0" xr:uid="{506BEDE8-0843-4269-AB09-6C1C7892ABDA}">
      <text>
        <r>
          <rPr>
            <sz val="10"/>
            <color indexed="81"/>
            <rFont val="Arial"/>
            <family val="2"/>
          </rPr>
          <t>1 - 0_x000D_
2 - 0_x000D_
3 - 105,444_x000D_
4 - 0_x000D_
5 - 0_x000D_
6 - 105,444</t>
        </r>
      </text>
    </comment>
    <comment ref="N24" authorId="0" shapeId="0" xr:uid="{17AE9A5A-8748-4A0A-9397-A83BC207A7ED}">
      <text>
        <r>
          <rPr>
            <sz val="10"/>
            <color indexed="81"/>
            <rFont val="Arial"/>
            <family val="2"/>
          </rPr>
          <t>1 - 0_x000D_
2 - 0_x000D_
3 - 61,905_x000D_
4 - 0_x000D_
5 - 0_x000D_
6 - 61,905</t>
        </r>
      </text>
    </comment>
    <comment ref="J37" authorId="0" shapeId="0" xr:uid="{63295EF9-5392-4F86-BCF7-A5C42FCD7489}">
      <text>
        <r>
          <rPr>
            <sz val="10"/>
            <color indexed="81"/>
            <rFont val="Arial"/>
            <family val="2"/>
          </rPr>
          <t>1 - 0_x000D_
2 - 0_x000D_
3 - 1,017,300_x000D_
4 - 0_x000D_
5 - 0_x000D_
6 - 1,017,300</t>
        </r>
      </text>
    </comment>
    <comment ref="N37" authorId="0" shapeId="0" xr:uid="{52232DC8-28A6-4764-9166-E1CB363AE9EA}">
      <text>
        <r>
          <rPr>
            <sz val="10"/>
            <color indexed="81"/>
            <rFont val="Arial"/>
            <family val="2"/>
          </rPr>
          <t>1 - 0_x000D_
2 - 0_x000D_
3 - 797,250_x000D_
4 - 0_x000D_
5 - 0_x000D_
6 - 797,250</t>
        </r>
      </text>
    </comment>
    <comment ref="J38" authorId="0" shapeId="0" xr:uid="{83D53D01-5680-4EF7-930A-68331B4F551C}">
      <text>
        <r>
          <rPr>
            <sz val="10"/>
            <color indexed="81"/>
            <rFont val="Arial"/>
            <family val="2"/>
          </rPr>
          <t>1 - 0_x000D_
2 - 0_x000D_
3 - 212,000_x000D_
4 - 0_x000D_
5 - 0_x000D_
6 - 212,000</t>
        </r>
      </text>
    </comment>
    <comment ref="N38" authorId="0" shapeId="0" xr:uid="{63F2BF13-CFA7-40C9-B372-663CBD54DA7C}">
      <text>
        <r>
          <rPr>
            <sz val="10"/>
            <color indexed="81"/>
            <rFont val="Arial"/>
            <family val="2"/>
          </rPr>
          <t>1 - 0_x000D_
2 - 0_x000D_
3 - 182,000_x000D_
4 - 0_x000D_
5 - 0_x000D_
6 - 182,000</t>
        </r>
      </text>
    </comment>
    <comment ref="E39" authorId="0" shapeId="0" xr:uid="{CEB71D9A-718D-4860-ABE5-A455C75B7113}">
      <text>
        <r>
          <rPr>
            <sz val="10"/>
            <color indexed="81"/>
            <rFont val="Arial"/>
            <family val="2"/>
          </rPr>
          <t>Original - _x000D_
39,400_x000D_
Change Order - _x000D_
-37,300</t>
        </r>
      </text>
    </comment>
    <comment ref="E40" authorId="0" shapeId="0" xr:uid="{6D193CE4-7AB8-4E3D-9FA0-D21A83591E49}">
      <text>
        <r>
          <rPr>
            <sz val="10"/>
            <color indexed="81"/>
            <rFont val="Arial"/>
            <family val="2"/>
          </rPr>
          <t>Original - _x000D_
1,177,800_x000D_
Change Order - _x000D_
-8,831</t>
        </r>
      </text>
    </comment>
    <comment ref="J40" authorId="0" shapeId="0" xr:uid="{CD084909-89F6-4885-A8BB-6238B9990678}">
      <text>
        <r>
          <rPr>
            <sz val="10"/>
            <color indexed="81"/>
            <rFont val="Arial"/>
            <family val="2"/>
          </rPr>
          <t>1 - 0_x000D_
2 - 0_x000D_
3 - 1,177,800_x000D_
4 - 0_x000D_
5 - 0_x000D_
6 - 1,177,800</t>
        </r>
      </text>
    </comment>
    <comment ref="N40" authorId="0" shapeId="0" xr:uid="{4174D3BC-F5C7-4ADE-A28C-F7A9A3E15A24}">
      <text>
        <r>
          <rPr>
            <sz val="10"/>
            <color indexed="81"/>
            <rFont val="Arial"/>
            <family val="2"/>
          </rPr>
          <t>1 - 0_x000D_
2 - 0_x000D_
3 - 977,800_x000D_
4 - 0_x000D_
5 - 0_x000D_
6 - 1,047,800</t>
        </r>
      </text>
    </comment>
    <comment ref="E41" authorId="0" shapeId="0" xr:uid="{EA15264A-686C-4A19-85EF-7AED69CE3567}">
      <text>
        <r>
          <rPr>
            <sz val="10"/>
            <color indexed="81"/>
            <rFont val="Arial"/>
            <family val="2"/>
          </rPr>
          <t>Original - _x000D_
198,000_x000D_
Change Order - _x000D_
-15,654</t>
        </r>
      </text>
    </comment>
    <comment ref="E42" authorId="0" shapeId="0" xr:uid="{6E89A6B6-37CC-4B0F-8553-04B6DF317C2D}">
      <text>
        <r>
          <rPr>
            <sz val="10"/>
            <color indexed="81"/>
            <rFont val="Arial"/>
            <family val="2"/>
          </rPr>
          <t>Original - _x000D_
422,650_x000D_
Change Order - _x000D_
-16,700</t>
        </r>
      </text>
    </comment>
    <comment ref="J42" authorId="0" shapeId="0" xr:uid="{2A37AB96-0D41-484F-9F4B-AB32C2350E85}">
      <text>
        <r>
          <rPr>
            <sz val="10"/>
            <color indexed="81"/>
            <rFont val="Arial"/>
            <family val="2"/>
          </rPr>
          <t>1 - 0_x000D_
2 - 0_x000D_
3 - 422,650_x000D_
4 - 0_x000D_
5 - 0_x000D_
6 - 422,650</t>
        </r>
      </text>
    </comment>
    <comment ref="N42" authorId="0" shapeId="0" xr:uid="{3D10C13B-DCF2-42F1-B085-D64399DBE726}">
      <text>
        <r>
          <rPr>
            <sz val="10"/>
            <color indexed="81"/>
            <rFont val="Arial"/>
            <family val="2"/>
          </rPr>
          <t>1 - 0_x000D_
2 - 0_x000D_
3 - 307,650_x000D_
4 - 0_x000D_
5 - 0_x000D_
6 - 322,650</t>
        </r>
      </text>
    </comment>
    <comment ref="E44" authorId="0" shapeId="0" xr:uid="{A5622FD4-817E-4334-9136-9F2B1BF95386}">
      <text>
        <r>
          <rPr>
            <sz val="10"/>
            <color indexed="81"/>
            <rFont val="Arial"/>
            <family val="2"/>
          </rPr>
          <t>Original - _x000D_
355,900_x000D_
Change Order - _x000D_
4,863</t>
        </r>
      </text>
    </comment>
    <comment ref="J44" authorId="0" shapeId="0" xr:uid="{C7D4C905-EB31-49C4-B7DB-37A7549C83E1}">
      <text>
        <r>
          <rPr>
            <sz val="10"/>
            <color indexed="81"/>
            <rFont val="Arial"/>
            <family val="2"/>
          </rPr>
          <t>1 - 0_x000D_
2 - 0_x000D_
3 - 360,763_x000D_
4 - 0_x000D_
5 - 0_x000D_
6 - 360,763</t>
        </r>
      </text>
    </comment>
    <comment ref="N44" authorId="0" shapeId="0" xr:uid="{AA49E5F7-FD32-47A0-8EBB-2D4FF40B157F}">
      <text>
        <r>
          <rPr>
            <sz val="10"/>
            <color indexed="81"/>
            <rFont val="Arial"/>
            <family val="2"/>
          </rPr>
          <t>1 - 0_x000D_
2 - 0_x000D_
3 - 215,503_x000D_
4 - 0_x000D_
5 - 0_x000D_
6 - 215,503</t>
        </r>
      </text>
    </comment>
  </commentList>
</comments>
</file>

<file path=xl/sharedStrings.xml><?xml version="1.0" encoding="utf-8"?>
<sst xmlns="http://schemas.openxmlformats.org/spreadsheetml/2006/main" count="5002" uniqueCount="717">
  <si>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</si>
  <si>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</si>
  <si>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</si>
  <si>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</si>
  <si>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</si>
  <si>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</si>
  <si>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</si>
  <si>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</si>
  <si>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</si>
  <si>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</si>
  <si>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</si>
  <si>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</si>
  <si>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</si>
  <si>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</si>
  <si>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</si>
  <si>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</si>
  <si>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</si>
  <si>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</si>
  <si>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</si>
  <si>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</si>
  <si>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</si>
  <si>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</si>
  <si>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</si>
  <si>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</si>
  <si>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</si>
  <si>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</si>
  <si>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</si>
  <si>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</si>
  <si>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</si>
  <si>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</si>
  <si>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</si>
  <si>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</si>
  <si>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</si>
  <si>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</si>
  <si>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</si>
  <si>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</si>
  <si>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</si>
  <si>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</si>
  <si>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</si>
  <si>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</si>
  <si>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</si>
  <si>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</si>
  <si>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</si>
  <si>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</si>
  <si>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</si>
  <si>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</si>
  <si>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</si>
  <si>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</si>
  <si>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</si>
  <si>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</si>
  <si>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</si>
  <si>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</si>
  <si>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</si>
  <si>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</si>
  <si>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</si>
  <si>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</si>
  <si>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</si>
  <si>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</si>
  <si>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</si>
  <si>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</si>
  <si>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</si>
  <si>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</si>
  <si>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</si>
  <si>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</si>
  <si>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</si>
  <si>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</si>
  <si>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</si>
  <si>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</si>
  <si>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</si>
  <si>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</si>
  <si>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</si>
  <si>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</si>
  <si>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</si>
  <si>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</si>
  <si>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</si>
  <si>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</si>
  <si>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</si>
  <si>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</si>
  <si>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</si>
  <si>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</si>
  <si>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</si>
  <si>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</si>
  <si>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</si>
  <si>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</si>
  <si>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</si>
  <si>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</si>
  <si>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</si>
  <si>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</si>
  <si>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</si>
  <si>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</si>
  <si>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</si>
  <si>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</si>
  <si>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</si>
  <si>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</si>
  <si>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</si>
  <si>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</si>
  <si>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</si>
  <si>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</si>
  <si>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</si>
  <si>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</si>
  <si>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</si>
  <si>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</si>
  <si>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</si>
  <si>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</si>
  <si>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</si>
  <si>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</si>
  <si>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</si>
  <si>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</si>
  <si>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</si>
  <si>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</si>
  <si>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</si>
  <si>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</si>
  <si>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</si>
  <si>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</si>
  <si>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</si>
  <si>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</si>
  <si>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</si>
  <si>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</si>
  <si>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</si>
  <si>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</si>
  <si>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</si>
  <si>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</si>
  <si>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</si>
  <si>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</si>
  <si>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</si>
  <si>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</si>
  <si>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</si>
  <si>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</si>
  <si>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</si>
  <si>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</si>
  <si>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</si>
  <si>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</si>
  <si>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</si>
  <si>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</si>
  <si>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</si>
  <si>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</si>
  <si>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</si>
  <si>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</si>
  <si>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</si>
  <si>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</si>
  <si>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</si>
  <si>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</si>
  <si>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</si>
  <si>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</si>
  <si>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</si>
  <si>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</si>
  <si>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</si>
  <si>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</si>
  <si>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</si>
  <si>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</si>
  <si>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</si>
  <si>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</si>
  <si>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</si>
  <si>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</si>
  <si>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</si>
  <si>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</si>
  <si>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</si>
  <si>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</si>
  <si>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</si>
  <si>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</si>
  <si>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</si>
  <si>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</si>
  <si>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</si>
  <si>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</si>
  <si>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</si>
  <si>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</si>
  <si>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</si>
  <si>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</si>
  <si>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</si>
  <si>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</si>
  <si>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</si>
  <si>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</si>
  <si>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</si>
  <si>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</si>
  <si>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</si>
  <si>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</si>
  <si>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</si>
  <si>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</si>
  <si>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</si>
  <si>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</si>
  <si>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</si>
  <si>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</si>
  <si>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</si>
  <si>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</si>
  <si>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</si>
  <si>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</si>
  <si>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</si>
  <si>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</si>
  <si>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</si>
  <si>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</si>
  <si>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</si>
  <si>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</si>
  <si>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</si>
  <si>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</si>
  <si>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</si>
  <si>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</si>
  <si>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</si>
  <si>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</si>
  <si>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</si>
  <si>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</si>
  <si>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</si>
  <si>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</si>
  <si>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</si>
  <si>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</si>
  <si>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</si>
  <si>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</si>
  <si>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</si>
  <si>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</si>
  <si>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</si>
  <si>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</si>
  <si>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</si>
  <si>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</si>
  <si>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</si>
  <si>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</si>
  <si>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</si>
  <si>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</si>
  <si>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</si>
  <si>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</si>
  <si>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</si>
  <si>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</si>
  <si>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</si>
  <si>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</si>
  <si>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</si>
  <si>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</si>
  <si>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</si>
  <si>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</si>
  <si>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</si>
  <si>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</si>
  <si>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</si>
  <si>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</si>
  <si>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</si>
  <si>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</si>
  <si>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</si>
  <si>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</si>
  <si>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</si>
  <si>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</si>
  <si>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</si>
  <si>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</si>
  <si>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</si>
  <si>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</si>
  <si>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</si>
  <si>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</si>
  <si>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</si>
  <si>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</si>
  <si>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</si>
  <si>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</si>
  <si>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</si>
  <si>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</si>
  <si>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</si>
  <si>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</si>
  <si>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</si>
  <si>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</si>
  <si>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</si>
  <si>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</si>
  <si>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</si>
  <si>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</si>
  <si>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</si>
  <si>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</si>
  <si>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</si>
  <si>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</si>
  <si>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</si>
  <si>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</si>
  <si>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</si>
  <si>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</si>
  <si>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</si>
  <si>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</si>
  <si>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</si>
  <si>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</si>
  <si>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</si>
  <si>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</si>
  <si>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</si>
  <si>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</si>
  <si>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</si>
  <si>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</si>
  <si>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</si>
  <si>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</si>
  <si>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</si>
  <si>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</si>
  <si>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</si>
  <si>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</si>
  <si>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</si>
  <si>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</si>
  <si>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</si>
  <si>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</si>
  <si>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</si>
  <si>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</si>
  <si>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</si>
  <si>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</si>
  <si>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</si>
  <si>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</si>
  <si>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</si>
  <si>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</si>
  <si>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</si>
  <si>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</si>
  <si>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</si>
  <si>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</si>
  <si>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</si>
  <si>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</si>
  <si>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</si>
  <si>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</si>
  <si>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</si>
  <si>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</si>
  <si>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</si>
  <si>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</si>
  <si>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</si>
  <si>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</si>
  <si>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</si>
  <si>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</si>
  <si>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</si>
  <si>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</si>
  <si>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</si>
  <si>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</si>
  <si>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</si>
  <si>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</si>
  <si>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</si>
  <si>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</si>
  <si>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</si>
  <si>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</si>
  <si>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</si>
  <si>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</si>
  <si>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</si>
  <si>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</si>
  <si>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</si>
  <si>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</si>
  <si>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</si>
  <si>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</si>
  <si>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</si>
  <si>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</si>
  <si>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</si>
  <si>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</si>
  <si>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</si>
  <si>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</si>
  <si>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</si>
  <si>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</si>
  <si>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</si>
  <si>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</si>
  <si>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</si>
  <si>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</si>
  <si>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</si>
  <si>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</si>
  <si>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</si>
  <si>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</si>
  <si>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</si>
  <si>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</si>
  <si>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</si>
  <si>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</si>
  <si>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</si>
  <si>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</si>
  <si>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</si>
  <si>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</si>
  <si>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</si>
  <si>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</si>
  <si>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</si>
  <si>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</si>
  <si>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</si>
  <si>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</si>
  <si>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</si>
  <si>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</si>
  <si>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</si>
  <si>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</si>
  <si>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</si>
  <si>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</si>
  <si>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</si>
  <si>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</si>
  <si>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</si>
  <si>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</si>
  <si>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</si>
  <si>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</si>
  <si>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</si>
  <si>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</si>
  <si>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</si>
  <si>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</si>
  <si>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</si>
  <si>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</si>
  <si>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</si>
  <si>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</si>
  <si>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</si>
  <si>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</si>
  <si>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</si>
  <si>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</si>
  <si>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</si>
  <si>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</si>
  <si>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</si>
  <si>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</si>
  <si>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</si>
  <si>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</si>
  <si>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</si>
  <si>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</si>
  <si>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</si>
  <si>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</si>
  <si>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</si>
  <si>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</si>
  <si>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</si>
  <si>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</si>
  <si>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</si>
  <si>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</si>
  <si>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</si>
  <si>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</si>
  <si>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</si>
  <si>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</si>
  <si>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</si>
  <si>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</si>
  <si>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</si>
  <si>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</si>
  <si>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</si>
  <si>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</si>
  <si>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</si>
  <si>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</si>
  <si>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</si>
  <si>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</si>
  <si>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</si>
  <si>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</si>
  <si>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</si>
  <si>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</si>
  <si>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</si>
  <si>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</si>
  <si>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</si>
  <si>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</si>
  <si>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</si>
  <si>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</si>
  <si>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</si>
  <si>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</si>
  <si>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</si>
  <si>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</si>
  <si>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</si>
  <si>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</si>
  <si>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</si>
  <si>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</si>
  <si>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</si>
  <si>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</si>
  <si>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</si>
  <si>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</si>
  <si>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</si>
  <si>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</si>
  <si>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</si>
  <si>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</si>
  <si>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</si>
  <si>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</si>
  <si>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</si>
  <si>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</si>
  <si>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</si>
  <si>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</si>
  <si>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</si>
  <si>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</si>
  <si>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</si>
  <si>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</si>
  <si>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</si>
  <si>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</si>
  <si>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</si>
  <si>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</si>
  <si>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</si>
  <si>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</si>
  <si>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</si>
  <si>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</si>
  <si>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</si>
  <si>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</si>
  <si>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</si>
  <si>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</si>
  <si>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</si>
  <si>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</si>
  <si>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</si>
  <si>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</si>
  <si>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</si>
  <si>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</si>
  <si>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</si>
  <si>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</si>
  <si>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</si>
  <si>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</si>
  <si>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</si>
  <si>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</si>
  <si>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</si>
  <si>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</si>
  <si>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</si>
  <si>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</si>
  <si>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</si>
  <si>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</si>
  <si>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</si>
  <si>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</si>
  <si>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</si>
  <si>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</si>
  <si>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</si>
  <si>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</si>
  <si>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</si>
  <si>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</si>
  <si>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</si>
  <si>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</si>
  <si>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</si>
  <si>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</si>
  <si>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</si>
  <si>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</si>
  <si>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</si>
  <si>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</si>
  <si>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</si>
  <si>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</si>
  <si>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</si>
  <si>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</si>
  <si>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</si>
  <si>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</si>
  <si>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</si>
  <si>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</si>
  <si>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</si>
  <si>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</si>
  <si>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</si>
  <si>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</si>
  <si>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</si>
  <si>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</si>
  <si>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</si>
  <si>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</si>
  <si>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</si>
  <si>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</si>
  <si>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</si>
  <si>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</si>
  <si>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</si>
  <si>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</si>
  <si>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</si>
  <si>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</si>
  <si>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</si>
  <si>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</si>
  <si>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</si>
  <si>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</si>
  <si>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</si>
  <si>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</si>
  <si>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</si>
  <si>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</si>
  <si>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</si>
  <si>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</si>
  <si>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</si>
  <si>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</si>
  <si>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</si>
  <si>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</si>
  <si>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</si>
  <si>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</si>
  <si>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</si>
  <si>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</si>
  <si>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</si>
  <si>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</si>
  <si>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</si>
  <si>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</si>
  <si>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</si>
  <si>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</si>
  <si>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</si>
  <si>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</si>
  <si>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</si>
  <si>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</si>
  <si>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</si>
  <si>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</si>
  <si>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</si>
  <si>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</si>
  <si>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</si>
  <si>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</si>
  <si>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</si>
  <si>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</si>
  <si>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</si>
  <si>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</si>
  <si>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</si>
  <si>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</si>
  <si>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</si>
  <si>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</si>
  <si>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</si>
  <si>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</si>
  <si>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</si>
  <si>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</si>
  <si>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</si>
  <si>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</si>
  <si>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</si>
  <si>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</si>
  <si>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</si>
  <si>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</si>
  <si>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</si>
  <si>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</si>
  <si>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</si>
  <si>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</si>
  <si>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</si>
  <si>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</si>
  <si>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</si>
  <si>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</si>
  <si>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</si>
  <si>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</si>
  <si>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</si>
  <si>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</si>
  <si>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</si>
  <si>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</si>
  <si>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</si>
  <si>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</si>
  <si>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</si>
  <si>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</si>
  <si>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</si>
  <si>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</si>
  <si>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</si>
  <si>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</si>
  <si>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</si>
  <si>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</si>
  <si>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</si>
  <si>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</si>
  <si>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</si>
  <si>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</si>
  <si>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</si>
  <si>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</si>
  <si>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</si>
  <si>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</si>
  <si>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</si>
  <si>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</si>
  <si>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</si>
  <si>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</si>
  <si>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</si>
  <si>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</si>
  <si>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</si>
  <si>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</si>
  <si>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</si>
  <si>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</si>
  <si>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</si>
  <si>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</si>
  <si>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</si>
  <si>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</si>
  <si>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</si>
  <si>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</si>
  <si>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</si>
  <si>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</si>
  <si>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</si>
  <si>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</si>
  <si>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</si>
  <si>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</si>
  <si>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</si>
  <si>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</si>
  <si>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</si>
  <si>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</si>
  <si>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</si>
  <si>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</si>
  <si>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</si>
  <si>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</si>
  <si>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</si>
  <si>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</si>
  <si>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</si>
  <si>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</si>
  <si>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</si>
  <si>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</si>
  <si>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John Sloan</t>
  </si>
  <si>
    <t>Company 13 Grand Totals</t>
  </si>
  <si>
    <t>Company 13 Open Job Totals</t>
  </si>
  <si>
    <t>Company 13 Closed Job Totals</t>
  </si>
  <si>
    <t>Division 32</t>
  </si>
  <si>
    <t>32.2230.</t>
  </si>
  <si>
    <t xml:space="preserve">    VCH, Food Service Renovation</t>
  </si>
  <si>
    <t>Joe Gonzalez</t>
  </si>
  <si>
    <t>32.2258.</t>
  </si>
  <si>
    <t xml:space="preserve">    City of Dos Palos-Water Treatment Plant Replacement</t>
  </si>
  <si>
    <t>Chuck Cox</t>
  </si>
  <si>
    <t>32.2263.</t>
  </si>
  <si>
    <t xml:space="preserve">    VCH- CIP 689 - Cooling Tower #1 Replacement</t>
  </si>
  <si>
    <t xml:space="preserve">  Division 32 Open Job Totals</t>
  </si>
  <si>
    <t>32.2056.</t>
  </si>
  <si>
    <t xml:space="preserve">    Fresno County West Annex Jail</t>
  </si>
  <si>
    <t>32.2156.</t>
  </si>
  <si>
    <t xml:space="preserve">    Miscellaneous Work at Pontiac Building 2</t>
  </si>
  <si>
    <t>Joshua Wilkinson</t>
  </si>
  <si>
    <t>32.2190.</t>
  </si>
  <si>
    <t xml:space="preserve">    SAMC, Bariatric Water Closets</t>
  </si>
  <si>
    <t>Jeff Wong</t>
  </si>
  <si>
    <t>32.2193.</t>
  </si>
  <si>
    <t xml:space="preserve">    Fresno City College, Child Development Center</t>
  </si>
  <si>
    <t>32.2207.</t>
  </si>
  <si>
    <t xml:space="preserve">    Kaiser, Inpatient Restroom Refresh</t>
  </si>
  <si>
    <t>32.2208.</t>
  </si>
  <si>
    <t xml:space="preserve">    Kaiser, Tepid Water for Eyewash</t>
  </si>
  <si>
    <t>32.2216.</t>
  </si>
  <si>
    <t xml:space="preserve">    VCH Hot Water Return Circuit Setters</t>
  </si>
  <si>
    <t>32.2236.</t>
  </si>
  <si>
    <t xml:space="preserve">    VCH - Emergency Kitchen Sewer Repairs</t>
  </si>
  <si>
    <t>32.2238.</t>
  </si>
  <si>
    <t xml:space="preserve">    CCMC Automated Lab Line Replacement</t>
  </si>
  <si>
    <t>Brandon Mead</t>
  </si>
  <si>
    <t>32.2239.</t>
  </si>
  <si>
    <t xml:space="preserve">    Community Medical Centers (CMC) -  2030 Program Support</t>
  </si>
  <si>
    <t>32.2240.</t>
  </si>
  <si>
    <t xml:space="preserve">    Sunnyside High School Kitchen Dishwasher Replacement Project</t>
  </si>
  <si>
    <t>32.2241.</t>
  </si>
  <si>
    <t xml:space="preserve">    Hoover High School Kitchen Dishwasher Replacement Project</t>
  </si>
  <si>
    <t>32.2242.</t>
  </si>
  <si>
    <t xml:space="preserve">    McLane High School Kitchen Dishwasher Replacement Project</t>
  </si>
  <si>
    <t>32.2243.</t>
  </si>
  <si>
    <t xml:space="preserve">    Plumbing Division - Administration OH 2024 FY</t>
  </si>
  <si>
    <t>32.2244.</t>
  </si>
  <si>
    <t xml:space="preserve">    Plumbing Division - Pursuit OH 2024 FY</t>
  </si>
  <si>
    <t>32.2245.</t>
  </si>
  <si>
    <t xml:space="preserve">    Plumbing Division - Engineering OH 2024 FY</t>
  </si>
  <si>
    <t>32.2246.</t>
  </si>
  <si>
    <t xml:space="preserve">    Plumbing - Warranty for Closed Jobs 2024 FY</t>
  </si>
  <si>
    <t>32.2247.</t>
  </si>
  <si>
    <t xml:space="preserve">    Kaiser Small Jobs as Directed 2024 FY</t>
  </si>
  <si>
    <t>32.2248.</t>
  </si>
  <si>
    <t xml:space="preserve">    SAMC, Maintenance Work Repair 2024</t>
  </si>
  <si>
    <t>32.2249.</t>
  </si>
  <si>
    <t xml:space="preserve">    CRMC, Maintenance Work Repair 2024 FY</t>
  </si>
  <si>
    <t>32.2252.</t>
  </si>
  <si>
    <t xml:space="preserve">    VCH, Small Jobs 2024 FY</t>
  </si>
  <si>
    <t>32.2253.</t>
  </si>
  <si>
    <t xml:space="preserve">    CCMC Work 2024 FY</t>
  </si>
  <si>
    <t>32.2254.</t>
  </si>
  <si>
    <t xml:space="preserve">    VCH - CIP 662 Cooling Tower #2 Replacement</t>
  </si>
  <si>
    <t>32.2255.</t>
  </si>
  <si>
    <t xml:space="preserve">    VCH - ECHO Cardiology IDMP</t>
  </si>
  <si>
    <t>32.2256.</t>
  </si>
  <si>
    <t xml:space="preserve">    VCH - Liquid Oxygen Vaporizer Improvements</t>
  </si>
  <si>
    <t>32.2257.</t>
  </si>
  <si>
    <t xml:space="preserve">    VCH - Kruger - PICU IDMP Reno &amp; Re-Pipe</t>
  </si>
  <si>
    <t>32.2259.</t>
  </si>
  <si>
    <t xml:space="preserve">    Kaiser - MC Analyzer, Chemistry x2 Lifecycle Replacement</t>
  </si>
  <si>
    <t>Jesus Alcazar</t>
  </si>
  <si>
    <t>32.2260.</t>
  </si>
  <si>
    <t xml:space="preserve">    VCH - CIP 669 MRI #3 Filtrene Chiller Replacement</t>
  </si>
  <si>
    <t>32.2261.</t>
  </si>
  <si>
    <t xml:space="preserve">    VCH - ED Restroom Renovation (Kruger)</t>
  </si>
  <si>
    <t>Elizabeth Meza</t>
  </si>
  <si>
    <t>32.2262.</t>
  </si>
  <si>
    <t xml:space="preserve">    Middle River Power BESS - Henrietta</t>
  </si>
  <si>
    <t xml:space="preserve">  Division 32 Closed Job Totals</t>
  </si>
  <si>
    <t>Division 32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</si>
</sst>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6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left" wrapText="1"/>
    </xf>
    <xf numFmtId="0" fontId="23" fillId="3" borderId="1" xfId="5" applyFont="1" applyFill="1" applyBorder="1" applyAlignment="1">
      <alignment horizontal="left" wrapText="1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32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mOaK51JghY+S3hiNp8wf+iHracHaQSiBZUn1gb8CM95E4Bx06rMOpTpoJojDF18+mB2fiiz9wwXKpqLhmdTEWw==" saltValue="VNP/uZ8spmZqbbg6Ik9I3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640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641</v>
      </c>
      <c r="B9" s="232" t="s">
        <v>642</v>
      </c>
      <c r="C9" s="232" t="s">
        <v>643</v>
      </c>
      <c r="D9" s="233"/>
      <c r="E9" s="234">
        <v>507000</v>
      </c>
      <c r="F9" s="235">
        <v>507000</v>
      </c>
      <c r="G9" s="236"/>
      <c r="H9" s="237"/>
      <c r="I9" s="238">
        <v>507000</v>
      </c>
      <c r="J9" s="249"/>
      <c r="K9" s="240"/>
      <c r="L9" s="8">
        <v>463624.64</v>
      </c>
      <c r="M9" s="241">
        <v>467000</v>
      </c>
      <c r="N9" s="72"/>
      <c r="O9" s="100"/>
      <c r="P9" s="9"/>
      <c r="Q9" s="9">
        <v>40000</v>
      </c>
      <c r="R9" s="9"/>
      <c r="S9" s="152">
        <v>46508</v>
      </c>
      <c r="T9" s="10"/>
      <c r="U9" s="23"/>
      <c r="V9" s="11"/>
      <c r="W9" s="11"/>
      <c r="X9" s="8">
        <v>81020.649999999994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0</v>
      </c>
      <c r="AG9" s="11">
        <v>4436.3</v>
      </c>
      <c r="AH9" s="8">
        <v>4436.3</v>
      </c>
      <c r="AI9" s="9">
        <v>0</v>
      </c>
      <c r="AJ9" s="9">
        <v>0</v>
      </c>
      <c r="AK9" s="10"/>
      <c r="AL9" s="11"/>
      <c r="AM9" s="8">
        <v>76584.350000000006</v>
      </c>
      <c r="AN9" s="9"/>
      <c r="AO9" s="9"/>
      <c r="AP9" s="10"/>
      <c r="AQ9" s="25"/>
      <c r="AR9" s="25"/>
      <c r="AS9" s="25"/>
      <c r="AT9" s="10"/>
      <c r="AU9" s="12">
        <v>113258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507000</v>
      </c>
      <c r="BF9" s="15">
        <v>467000</v>
      </c>
      <c r="BG9" s="242">
        <v>0</v>
      </c>
      <c r="BH9" s="15">
        <v>507000</v>
      </c>
      <c r="BI9" s="15">
        <v>467000</v>
      </c>
      <c r="BJ9" s="242">
        <v>0</v>
      </c>
      <c r="BK9" s="242">
        <v>0</v>
      </c>
      <c r="BL9" s="242"/>
      <c r="BM9" s="242">
        <v>1</v>
      </c>
      <c r="BN9" s="242">
        <v>40000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 t="s">
        <v>634</v>
      </c>
      <c r="CD9" s="242">
        <v>0</v>
      </c>
      <c r="CE9" s="248">
        <v>4436.3</v>
      </c>
      <c r="CF9" s="248">
        <v>0</v>
      </c>
      <c r="CG9" s="248">
        <v>4436.3</v>
      </c>
      <c r="CH9" s="248">
        <v>0</v>
      </c>
      <c r="CI9" s="247" t="s">
        <v>633</v>
      </c>
      <c r="CJ9" s="248">
        <v>81020.649999999994</v>
      </c>
      <c r="CK9" s="248">
        <v>76584.350000000006</v>
      </c>
      <c r="CL9" s="248">
        <v>113258</v>
      </c>
      <c r="CM9" s="248">
        <v>0</v>
      </c>
    </row>
    <row r="10" spans="1:102" x14ac:dyDescent="0.25">
      <c r="A10" s="231" t="s">
        <v>644</v>
      </c>
      <c r="B10" s="232" t="s">
        <v>645</v>
      </c>
      <c r="C10" s="232" t="s">
        <v>646</v>
      </c>
      <c r="D10" s="233"/>
      <c r="E10" s="234">
        <v>494981.39</v>
      </c>
      <c r="F10" s="235">
        <v>497587.39</v>
      </c>
      <c r="G10" s="236"/>
      <c r="H10" s="237"/>
      <c r="I10" s="238">
        <v>494981.39</v>
      </c>
      <c r="J10" s="249"/>
      <c r="K10" s="240"/>
      <c r="L10" s="8">
        <v>314480.17</v>
      </c>
      <c r="M10" s="241">
        <v>314981.39</v>
      </c>
      <c r="N10" s="72"/>
      <c r="O10" s="100"/>
      <c r="P10" s="9"/>
      <c r="Q10" s="9">
        <v>170000</v>
      </c>
      <c r="R10" s="9"/>
      <c r="S10" s="152">
        <v>46082</v>
      </c>
      <c r="T10" s="10"/>
      <c r="U10" s="23"/>
      <c r="V10" s="11"/>
      <c r="W10" s="11"/>
      <c r="X10" s="8">
        <v>300560.74</v>
      </c>
      <c r="Y10" s="9"/>
      <c r="Z10" s="70">
        <v>171759.14</v>
      </c>
      <c r="AA10" s="72"/>
      <c r="AB10" s="108"/>
      <c r="AC10" s="9">
        <v>151882.41</v>
      </c>
      <c r="AD10" s="9"/>
      <c r="AE10" s="10"/>
      <c r="AF10" s="24">
        <v>0</v>
      </c>
      <c r="AG10" s="11">
        <v>89235.83</v>
      </c>
      <c r="AH10" s="8">
        <v>89235.83</v>
      </c>
      <c r="AI10" s="9">
        <v>0</v>
      </c>
      <c r="AJ10" s="9">
        <v>0</v>
      </c>
      <c r="AK10" s="10"/>
      <c r="AL10" s="11"/>
      <c r="AM10" s="8">
        <v>211324.91</v>
      </c>
      <c r="AN10" s="9"/>
      <c r="AO10" s="9"/>
      <c r="AP10" s="10"/>
      <c r="AQ10" s="25"/>
      <c r="AR10" s="25"/>
      <c r="AS10" s="25"/>
      <c r="AT10" s="10"/>
      <c r="AU10" s="12">
        <v>494981.39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494981.39</v>
      </c>
      <c r="BF10" s="15">
        <v>314981.39</v>
      </c>
      <c r="BG10" s="15">
        <v>171759.14</v>
      </c>
      <c r="BH10" s="15">
        <v>494981.39</v>
      </c>
      <c r="BI10" s="15">
        <v>314981.39</v>
      </c>
      <c r="BJ10" s="242">
        <v>0</v>
      </c>
      <c r="BK10" s="242">
        <v>151882.41</v>
      </c>
      <c r="BL10" s="242"/>
      <c r="BM10" s="242">
        <v>1</v>
      </c>
      <c r="BN10" s="242">
        <v>170000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4">
        <v>171759.14</v>
      </c>
      <c r="CC10" s="246" t="s">
        <v>634</v>
      </c>
      <c r="CD10" s="242">
        <v>0</v>
      </c>
      <c r="CE10" s="248">
        <v>89235.83</v>
      </c>
      <c r="CF10" s="248">
        <v>0</v>
      </c>
      <c r="CG10" s="248">
        <v>89235.83</v>
      </c>
      <c r="CH10" s="248">
        <v>0</v>
      </c>
      <c r="CI10" s="247" t="s">
        <v>633</v>
      </c>
      <c r="CJ10" s="248">
        <v>300560.74</v>
      </c>
      <c r="CK10" s="248">
        <v>211324.91</v>
      </c>
      <c r="CL10" s="248">
        <v>494981.39</v>
      </c>
      <c r="CM10" s="248">
        <v>0</v>
      </c>
    </row>
    <row r="11" spans="1:102" x14ac:dyDescent="0.25">
      <c r="A11" s="231" t="s">
        <v>647</v>
      </c>
      <c r="B11" s="232" t="s">
        <v>648</v>
      </c>
      <c r="C11" s="232" t="s">
        <v>643</v>
      </c>
      <c r="D11" s="233"/>
      <c r="E11" s="234">
        <v>1317830</v>
      </c>
      <c r="F11" s="235">
        <v>1317830</v>
      </c>
      <c r="G11" s="236"/>
      <c r="H11" s="237"/>
      <c r="I11" s="238">
        <v>1317830</v>
      </c>
      <c r="J11" s="249"/>
      <c r="K11" s="240"/>
      <c r="L11" s="8">
        <v>1136400.7</v>
      </c>
      <c r="M11" s="241">
        <v>1267830</v>
      </c>
      <c r="N11" s="72"/>
      <c r="O11" s="100"/>
      <c r="P11" s="9"/>
      <c r="Q11" s="9">
        <v>50000</v>
      </c>
      <c r="R11" s="9"/>
      <c r="S11" s="152">
        <v>46082</v>
      </c>
      <c r="T11" s="10"/>
      <c r="U11" s="23"/>
      <c r="V11" s="11"/>
      <c r="W11" s="11"/>
      <c r="X11" s="8">
        <v>584633.17000000004</v>
      </c>
      <c r="Y11" s="9"/>
      <c r="Z11" s="70">
        <v>23056.45</v>
      </c>
      <c r="AA11" s="72"/>
      <c r="AB11" s="108"/>
      <c r="AC11" s="9">
        <v>23011.99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584633.17000000004</v>
      </c>
      <c r="AN11" s="9"/>
      <c r="AO11" s="9"/>
      <c r="AP11" s="10"/>
      <c r="AQ11" s="25"/>
      <c r="AR11" s="25"/>
      <c r="AS11" s="25"/>
      <c r="AT11" s="10"/>
      <c r="AU11" s="12">
        <v>636307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1317830</v>
      </c>
      <c r="BF11" s="15">
        <v>1267830</v>
      </c>
      <c r="BG11" s="15">
        <v>23056.45</v>
      </c>
      <c r="BH11" s="15">
        <v>1317830</v>
      </c>
      <c r="BI11" s="15">
        <v>1267830</v>
      </c>
      <c r="BJ11" s="242">
        <v>0</v>
      </c>
      <c r="BK11" s="250">
        <v>23011.99</v>
      </c>
      <c r="BL11" s="242"/>
      <c r="BM11" s="242">
        <v>1</v>
      </c>
      <c r="BN11" s="242">
        <v>50000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23056.45</v>
      </c>
      <c r="CC11" s="246" t="s">
        <v>634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584633.17000000004</v>
      </c>
      <c r="CK11" s="248">
        <v>584633.17000000004</v>
      </c>
      <c r="CL11" s="248">
        <v>636307</v>
      </c>
      <c r="CM11" s="248">
        <v>0</v>
      </c>
    </row>
    <row r="12" spans="1:102" x14ac:dyDescent="0.25">
      <c r="A12" s="231"/>
      <c r="B12" s="120" t="s">
        <v>649</v>
      </c>
      <c r="C12" s="232"/>
      <c r="D12" s="233"/>
      <c r="E12" s="279">
        <f>SUM(E8:E11)</f>
        <v>2319811.39</v>
      </c>
      <c r="F12" s="268">
        <f>SUM(F8:F11)</f>
        <v>2322417.39</v>
      </c>
      <c r="G12" s="236"/>
      <c r="H12" s="237"/>
      <c r="I12" s="280">
        <f>SUM(I8:I11)</f>
        <v>2319811.39</v>
      </c>
      <c r="J12" s="249"/>
      <c r="K12" s="240"/>
      <c r="L12" s="272">
        <f>SUM(L8:L11)</f>
        <v>1914505.51</v>
      </c>
      <c r="M12" s="281">
        <f>SUM(M8:M11)</f>
        <v>2049811.3900000001</v>
      </c>
      <c r="N12" s="71"/>
      <c r="O12" s="100"/>
      <c r="P12" s="270">
        <f>SUM(P8:P11)</f>
        <v>0</v>
      </c>
      <c r="Q12" s="270">
        <f>SUM(Q8:Q11)</f>
        <v>260000</v>
      </c>
      <c r="R12" s="270">
        <f>SUM(R8:R11)</f>
        <v>0</v>
      </c>
      <c r="S12" s="152"/>
      <c r="T12" s="10"/>
      <c r="U12" s="23"/>
      <c r="V12" s="271">
        <f>SUM(V8:V11)</f>
        <v>0</v>
      </c>
      <c r="W12" s="271">
        <f>SUM(W8:W11)</f>
        <v>0</v>
      </c>
      <c r="X12" s="272">
        <f>SUM(X8:X11)</f>
        <v>966214.56</v>
      </c>
      <c r="Y12" s="270">
        <f>SUM(Y8:Y11)</f>
        <v>0</v>
      </c>
      <c r="Z12" s="282">
        <f>SUM(Z8:Z11)</f>
        <v>194815.59000000003</v>
      </c>
      <c r="AA12" s="72"/>
      <c r="AB12" s="108"/>
      <c r="AC12" s="270">
        <f>SUM(AC8:AC11)</f>
        <v>174894.4</v>
      </c>
      <c r="AD12" s="270">
        <f>SUM(AD8:AD11)</f>
        <v>0</v>
      </c>
      <c r="AE12" s="10"/>
      <c r="AF12" s="24"/>
      <c r="AG12" s="271">
        <f>SUM(AG8:AG11)</f>
        <v>93672.13</v>
      </c>
      <c r="AH12" s="272">
        <f>SUM(AH8:AH11)</f>
        <v>93672.13</v>
      </c>
      <c r="AI12" s="270">
        <f>SUM(AI8:AI11)</f>
        <v>0</v>
      </c>
      <c r="AJ12" s="270">
        <f>SUM(AJ8:AJ11)</f>
        <v>0</v>
      </c>
      <c r="AK12" s="10"/>
      <c r="AL12" s="271">
        <f>SUM(AL8:AL11)</f>
        <v>0</v>
      </c>
      <c r="AM12" s="272">
        <f>SUM(AM8:AM11)</f>
        <v>872542.43</v>
      </c>
      <c r="AN12" s="270">
        <f>SUM(AN8:AN11)</f>
        <v>0</v>
      </c>
      <c r="AO12" s="270">
        <f>SUM(AO8:AO11)</f>
        <v>0</v>
      </c>
      <c r="AP12" s="10"/>
      <c r="AQ12" s="283">
        <f>SUM(AQ8:AQ11)</f>
        <v>0</v>
      </c>
      <c r="AR12" s="283">
        <f>SUM(AR8:AR11)</f>
        <v>0</v>
      </c>
      <c r="AS12" s="283">
        <f>SUM(AS8:AS11)</f>
        <v>0</v>
      </c>
      <c r="AT12" s="10"/>
      <c r="AU12" s="284">
        <f>SUM(AU8:AU11)</f>
        <v>1244546.3900000001</v>
      </c>
      <c r="AV12" s="284">
        <f>SUM(AV8:AV11)</f>
        <v>0</v>
      </c>
      <c r="AW12" s="284">
        <f>SUM(AW8:AW11)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120" t="s">
        <v>632</v>
      </c>
      <c r="C14" s="232"/>
      <c r="D14" s="233"/>
      <c r="E14" s="234"/>
      <c r="F14" s="235"/>
      <c r="G14" s="236"/>
      <c r="H14" s="237"/>
      <c r="I14" s="238"/>
      <c r="J14" s="249"/>
      <c r="K14" s="240"/>
      <c r="L14" s="8"/>
      <c r="M14" s="241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31" t="s">
        <v>650</v>
      </c>
      <c r="B15" s="232" t="s">
        <v>651</v>
      </c>
      <c r="C15" s="232" t="s">
        <v>646</v>
      </c>
      <c r="D15" s="233"/>
      <c r="E15" s="234">
        <v>17116858</v>
      </c>
      <c r="F15" s="235">
        <v>17116858</v>
      </c>
      <c r="G15" s="236"/>
      <c r="H15" s="237"/>
      <c r="I15" s="238">
        <v>17116858</v>
      </c>
      <c r="J15" s="249"/>
      <c r="K15" s="240"/>
      <c r="L15" s="8">
        <v>22720043.010000002</v>
      </c>
      <c r="M15" s="241">
        <v>22696705.010000002</v>
      </c>
      <c r="N15" s="72"/>
      <c r="O15" s="100"/>
      <c r="P15" s="9"/>
      <c r="Q15" s="9">
        <v>-5780000</v>
      </c>
      <c r="R15" s="9"/>
      <c r="S15" s="152">
        <v>45992</v>
      </c>
      <c r="T15" s="10"/>
      <c r="U15" s="23"/>
      <c r="V15" s="11"/>
      <c r="W15" s="11"/>
      <c r="X15" s="8">
        <v>22696705.010000002</v>
      </c>
      <c r="Y15" s="9"/>
      <c r="Z15" s="70">
        <v>-5579847.0099999998</v>
      </c>
      <c r="AA15" s="71"/>
      <c r="AB15" s="108"/>
      <c r="AC15" s="9">
        <v>-5780000</v>
      </c>
      <c r="AD15" s="9"/>
      <c r="AE15" s="10"/>
      <c r="AF15" s="24">
        <v>0</v>
      </c>
      <c r="AG15" s="11">
        <v>16846147.690000001</v>
      </c>
      <c r="AH15" s="8">
        <v>22646147.690000001</v>
      </c>
      <c r="AI15" s="9">
        <v>-5800000</v>
      </c>
      <c r="AJ15" s="9">
        <v>-5800000</v>
      </c>
      <c r="AK15" s="10"/>
      <c r="AL15" s="11"/>
      <c r="AM15" s="8">
        <v>50557.32</v>
      </c>
      <c r="AN15" s="9"/>
      <c r="AO15" s="9"/>
      <c r="AP15" s="10"/>
      <c r="AQ15" s="25"/>
      <c r="AR15" s="25"/>
      <c r="AS15" s="25"/>
      <c r="AT15" s="10"/>
      <c r="AU15" s="12">
        <v>17116858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17116858</v>
      </c>
      <c r="BF15" s="15">
        <v>22696705.010000002</v>
      </c>
      <c r="BG15" s="15">
        <v>-5579847.0099999998</v>
      </c>
      <c r="BH15" s="15">
        <v>17116858</v>
      </c>
      <c r="BI15" s="15">
        <v>22696705.010000002</v>
      </c>
      <c r="BJ15" s="242">
        <v>0</v>
      </c>
      <c r="BK15" s="242">
        <v>-5780000</v>
      </c>
      <c r="BL15" s="242"/>
      <c r="BM15" s="242">
        <v>2</v>
      </c>
      <c r="BN15" s="242">
        <v>-5780000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-5579847.0099999998</v>
      </c>
      <c r="CC15" s="246" t="s">
        <v>634</v>
      </c>
      <c r="CD15" s="242">
        <v>0</v>
      </c>
      <c r="CE15" s="242">
        <v>22646147.690000001</v>
      </c>
      <c r="CF15" s="242">
        <v>0</v>
      </c>
      <c r="CG15" s="242">
        <v>22646147.690000001</v>
      </c>
      <c r="CH15" s="242">
        <v>0</v>
      </c>
      <c r="CI15" s="247" t="s">
        <v>633</v>
      </c>
      <c r="CJ15" s="248">
        <v>22696705.010000002</v>
      </c>
      <c r="CK15" s="248">
        <v>50557.32</v>
      </c>
      <c r="CL15" s="248">
        <v>17116858</v>
      </c>
      <c r="CM15" s="248">
        <v>0</v>
      </c>
    </row>
    <row r="16" spans="1:102" x14ac:dyDescent="0.25">
      <c r="A16" s="231" t="s">
        <v>652</v>
      </c>
      <c r="B16" s="232" t="s">
        <v>653</v>
      </c>
      <c r="C16" s="232" t="s">
        <v>654</v>
      </c>
      <c r="D16" s="233"/>
      <c r="E16" s="234">
        <v>18950.560000000001</v>
      </c>
      <c r="F16" s="235">
        <v>18950.560000000001</v>
      </c>
      <c r="G16" s="236"/>
      <c r="H16" s="237"/>
      <c r="I16" s="238">
        <v>18950.560000000001</v>
      </c>
      <c r="J16" s="249"/>
      <c r="K16" s="240"/>
      <c r="L16" s="8">
        <v>91062.36</v>
      </c>
      <c r="M16" s="241">
        <v>91062.36</v>
      </c>
      <c r="N16" s="72"/>
      <c r="O16" s="100"/>
      <c r="P16" s="9"/>
      <c r="Q16" s="9"/>
      <c r="R16" s="9"/>
      <c r="S16" s="152">
        <v>45744</v>
      </c>
      <c r="T16" s="10"/>
      <c r="U16" s="23"/>
      <c r="V16" s="11"/>
      <c r="W16" s="11"/>
      <c r="X16" s="8">
        <v>91062.36</v>
      </c>
      <c r="Y16" s="9"/>
      <c r="Z16" s="70">
        <v>0</v>
      </c>
      <c r="AA16" s="72"/>
      <c r="AB16" s="108"/>
      <c r="AC16" s="9"/>
      <c r="AD16" s="9"/>
      <c r="AE16" s="10"/>
      <c r="AF16" s="24">
        <v>0</v>
      </c>
      <c r="AG16" s="11">
        <v>18950.559999999998</v>
      </c>
      <c r="AH16" s="8">
        <v>91062.36</v>
      </c>
      <c r="AI16" s="9">
        <v>-72111.8</v>
      </c>
      <c r="AJ16" s="9">
        <v>-72111.8</v>
      </c>
      <c r="AK16" s="10"/>
      <c r="AL16" s="11"/>
      <c r="AM16" s="8">
        <v>0</v>
      </c>
      <c r="AN16" s="9"/>
      <c r="AO16" s="9"/>
      <c r="AP16" s="10"/>
      <c r="AQ16" s="25"/>
      <c r="AR16" s="25"/>
      <c r="AS16" s="25"/>
      <c r="AT16" s="10"/>
      <c r="AU16" s="12">
        <v>18950.560000000001</v>
      </c>
      <c r="AV16" s="12"/>
      <c r="AW16" s="12"/>
      <c r="AX16" s="242"/>
      <c r="AY16" s="243"/>
      <c r="AZ16" s="242"/>
      <c r="BA16" s="242"/>
      <c r="BB16" s="244"/>
      <c r="BC16" s="243"/>
      <c r="BD16" s="243"/>
      <c r="BE16" s="242">
        <v>0</v>
      </c>
      <c r="BF16" s="242">
        <v>0</v>
      </c>
      <c r="BG16" s="242">
        <v>0</v>
      </c>
      <c r="BH16" s="242">
        <v>0</v>
      </c>
      <c r="BI16" s="242">
        <v>0</v>
      </c>
      <c r="BJ16" s="242">
        <v>0</v>
      </c>
      <c r="BK16" s="242">
        <v>0</v>
      </c>
      <c r="BL16" s="242"/>
      <c r="BM16" s="242">
        <v>2</v>
      </c>
      <c r="BN16" s="242">
        <v>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45"/>
      <c r="CC16" s="246"/>
      <c r="CD16" s="242">
        <v>0</v>
      </c>
      <c r="CE16" s="242">
        <v>91062.36</v>
      </c>
      <c r="CF16" s="242">
        <v>0</v>
      </c>
      <c r="CG16" s="242">
        <v>91062.36</v>
      </c>
      <c r="CH16" s="242">
        <v>0</v>
      </c>
      <c r="CI16" s="247" t="s">
        <v>633</v>
      </c>
      <c r="CJ16" s="248">
        <v>91062.36</v>
      </c>
      <c r="CK16" s="248">
        <v>0</v>
      </c>
      <c r="CL16" s="248">
        <v>18950.560000000001</v>
      </c>
      <c r="CM16" s="248">
        <v>0</v>
      </c>
    </row>
    <row r="17" spans="1:91" x14ac:dyDescent="0.25">
      <c r="A17" s="231" t="s">
        <v>655</v>
      </c>
      <c r="B17" s="232" t="s">
        <v>656</v>
      </c>
      <c r="C17" s="232" t="s">
        <v>657</v>
      </c>
      <c r="D17" s="233"/>
      <c r="E17" s="234">
        <v>65119.35</v>
      </c>
      <c r="F17" s="235">
        <v>65119.35</v>
      </c>
      <c r="G17" s="236"/>
      <c r="H17" s="237"/>
      <c r="I17" s="238">
        <v>65119.35</v>
      </c>
      <c r="J17" s="249"/>
      <c r="K17" s="240"/>
      <c r="L17" s="8">
        <v>61428.42</v>
      </c>
      <c r="M17" s="241">
        <v>61428.42</v>
      </c>
      <c r="N17" s="72"/>
      <c r="O17" s="100"/>
      <c r="P17" s="9"/>
      <c r="Q17" s="9"/>
      <c r="R17" s="9"/>
      <c r="S17" s="152">
        <v>45744</v>
      </c>
      <c r="T17" s="10"/>
      <c r="U17" s="23"/>
      <c r="V17" s="11"/>
      <c r="W17" s="11"/>
      <c r="X17" s="8">
        <v>61428.42</v>
      </c>
      <c r="Y17" s="9"/>
      <c r="Z17" s="70">
        <v>0</v>
      </c>
      <c r="AA17" s="71"/>
      <c r="AB17" s="108"/>
      <c r="AC17" s="9"/>
      <c r="AD17" s="9"/>
      <c r="AE17" s="10"/>
      <c r="AF17" s="24">
        <v>0</v>
      </c>
      <c r="AG17" s="11">
        <v>65119.35</v>
      </c>
      <c r="AH17" s="8">
        <v>61428.42</v>
      </c>
      <c r="AI17" s="9">
        <v>3690.93</v>
      </c>
      <c r="AJ17" s="9">
        <v>3690.93</v>
      </c>
      <c r="AK17" s="10"/>
      <c r="AL17" s="11"/>
      <c r="AM17" s="8">
        <v>0</v>
      </c>
      <c r="AN17" s="9"/>
      <c r="AO17" s="9"/>
      <c r="AP17" s="10"/>
      <c r="AQ17" s="25"/>
      <c r="AR17" s="25"/>
      <c r="AS17" s="25"/>
      <c r="AT17" s="10"/>
      <c r="AU17" s="12">
        <v>65119.35</v>
      </c>
      <c r="AV17" s="12"/>
      <c r="AW17" s="12"/>
      <c r="AX17" s="242"/>
      <c r="AY17" s="243"/>
      <c r="AZ17" s="242"/>
      <c r="BA17" s="242"/>
      <c r="BB17" s="244"/>
      <c r="BC17" s="243"/>
      <c r="BD17" s="243"/>
      <c r="BE17" s="242">
        <v>0</v>
      </c>
      <c r="BF17" s="242">
        <v>0</v>
      </c>
      <c r="BG17" s="242">
        <v>0</v>
      </c>
      <c r="BH17" s="242">
        <v>0</v>
      </c>
      <c r="BI17" s="242">
        <v>0</v>
      </c>
      <c r="BJ17" s="242">
        <v>0</v>
      </c>
      <c r="BK17" s="242">
        <v>0</v>
      </c>
      <c r="BL17" s="242"/>
      <c r="BM17" s="242">
        <v>2</v>
      </c>
      <c r="BN17" s="242">
        <v>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/>
      <c r="CD17" s="242">
        <v>0</v>
      </c>
      <c r="CE17" s="242">
        <v>61428.42</v>
      </c>
      <c r="CF17" s="242">
        <v>0</v>
      </c>
      <c r="CG17" s="242">
        <v>61428.42</v>
      </c>
      <c r="CH17" s="242">
        <v>0</v>
      </c>
      <c r="CI17" s="247" t="s">
        <v>633</v>
      </c>
      <c r="CJ17" s="248">
        <v>61428.42</v>
      </c>
      <c r="CK17" s="248">
        <v>0</v>
      </c>
      <c r="CL17" s="248">
        <v>65119.35</v>
      </c>
      <c r="CM17" s="248">
        <v>0</v>
      </c>
    </row>
    <row r="18" spans="1:91" x14ac:dyDescent="0.25">
      <c r="A18" s="231" t="s">
        <v>658</v>
      </c>
      <c r="B18" s="232" t="s">
        <v>659</v>
      </c>
      <c r="C18" s="232" t="s">
        <v>646</v>
      </c>
      <c r="D18" s="233"/>
      <c r="E18" s="234">
        <v>837944</v>
      </c>
      <c r="F18" s="235">
        <v>837944</v>
      </c>
      <c r="G18" s="236"/>
      <c r="H18" s="237"/>
      <c r="I18" s="238">
        <v>837944</v>
      </c>
      <c r="J18" s="249"/>
      <c r="K18" s="240"/>
      <c r="L18" s="8">
        <v>1177894.75</v>
      </c>
      <c r="M18" s="241">
        <v>1180283.77</v>
      </c>
      <c r="N18" s="72"/>
      <c r="O18" s="100"/>
      <c r="P18" s="9"/>
      <c r="Q18" s="9"/>
      <c r="R18" s="9"/>
      <c r="S18" s="152">
        <v>45717</v>
      </c>
      <c r="T18" s="10"/>
      <c r="U18" s="23"/>
      <c r="V18" s="11"/>
      <c r="W18" s="11"/>
      <c r="X18" s="8">
        <v>1180283.77</v>
      </c>
      <c r="Y18" s="9"/>
      <c r="Z18" s="70">
        <v>0</v>
      </c>
      <c r="AA18" s="71"/>
      <c r="AB18" s="108"/>
      <c r="AC18" s="9"/>
      <c r="AD18" s="9"/>
      <c r="AE18" s="10"/>
      <c r="AF18" s="24">
        <v>0</v>
      </c>
      <c r="AG18" s="11">
        <v>837944</v>
      </c>
      <c r="AH18" s="8">
        <v>1180283.77</v>
      </c>
      <c r="AI18" s="9">
        <v>-342339.77</v>
      </c>
      <c r="AJ18" s="9">
        <v>-342339.77</v>
      </c>
      <c r="AK18" s="10"/>
      <c r="AL18" s="11"/>
      <c r="AM18" s="8">
        <v>0</v>
      </c>
      <c r="AN18" s="9"/>
      <c r="AO18" s="9"/>
      <c r="AP18" s="10"/>
      <c r="AQ18" s="25"/>
      <c r="AR18" s="25"/>
      <c r="AS18" s="25"/>
      <c r="AT18" s="10"/>
      <c r="AU18" s="12">
        <v>837944</v>
      </c>
      <c r="AV18" s="12"/>
      <c r="AW18" s="12"/>
      <c r="AX18" s="242"/>
      <c r="AY18" s="243"/>
      <c r="AZ18" s="242"/>
      <c r="BA18" s="242"/>
      <c r="BB18" s="244"/>
      <c r="BC18" s="243"/>
      <c r="BD18" s="243"/>
      <c r="BE18" s="242">
        <v>0</v>
      </c>
      <c r="BF18" s="242">
        <v>0</v>
      </c>
      <c r="BG18" s="242">
        <v>0</v>
      </c>
      <c r="BH18" s="242">
        <v>0</v>
      </c>
      <c r="BI18" s="242">
        <v>0</v>
      </c>
      <c r="BJ18" s="242">
        <v>0</v>
      </c>
      <c r="BK18" s="242">
        <v>0</v>
      </c>
      <c r="BL18" s="242"/>
      <c r="BM18" s="242">
        <v>2</v>
      </c>
      <c r="BN18" s="242">
        <v>0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>
        <v>0</v>
      </c>
      <c r="CE18" s="242">
        <v>1180283.77</v>
      </c>
      <c r="CF18" s="242">
        <v>0</v>
      </c>
      <c r="CG18" s="242">
        <v>1180283.77</v>
      </c>
      <c r="CH18" s="242">
        <v>0</v>
      </c>
      <c r="CI18" s="247" t="s">
        <v>633</v>
      </c>
      <c r="CJ18" s="248">
        <v>1180283.77</v>
      </c>
      <c r="CK18" s="248">
        <v>0</v>
      </c>
      <c r="CL18" s="248">
        <v>837944</v>
      </c>
      <c r="CM18" s="248">
        <v>0</v>
      </c>
    </row>
    <row r="19" spans="1:91" x14ac:dyDescent="0.25">
      <c r="A19" s="231" t="s">
        <v>660</v>
      </c>
      <c r="B19" s="232" t="s">
        <v>661</v>
      </c>
      <c r="C19" s="232" t="s">
        <v>657</v>
      </c>
      <c r="D19" s="233"/>
      <c r="E19" s="234">
        <v>16900</v>
      </c>
      <c r="F19" s="235">
        <v>16900</v>
      </c>
      <c r="G19" s="236"/>
      <c r="H19" s="237"/>
      <c r="I19" s="238">
        <v>16900</v>
      </c>
      <c r="J19" s="239"/>
      <c r="K19" s="240"/>
      <c r="L19" s="8">
        <v>1385.37</v>
      </c>
      <c r="M19" s="241">
        <v>1385.37</v>
      </c>
      <c r="N19" s="72"/>
      <c r="O19" s="100"/>
      <c r="P19" s="9"/>
      <c r="Q19" s="9"/>
      <c r="R19" s="9"/>
      <c r="S19" s="152">
        <v>45744</v>
      </c>
      <c r="T19" s="10"/>
      <c r="U19" s="23"/>
      <c r="V19" s="11"/>
      <c r="W19" s="11"/>
      <c r="X19" s="8">
        <v>1298.74</v>
      </c>
      <c r="Y19" s="9"/>
      <c r="Z19" s="70">
        <v>0</v>
      </c>
      <c r="AA19" s="71"/>
      <c r="AB19" s="108"/>
      <c r="AC19" s="9"/>
      <c r="AD19" s="9"/>
      <c r="AE19" s="10"/>
      <c r="AF19" s="24">
        <v>0</v>
      </c>
      <c r="AG19" s="11">
        <v>1299</v>
      </c>
      <c r="AH19" s="8">
        <v>1298.74</v>
      </c>
      <c r="AI19" s="9">
        <v>0.26</v>
      </c>
      <c r="AJ19" s="9">
        <v>0.26</v>
      </c>
      <c r="AK19" s="10"/>
      <c r="AL19" s="11"/>
      <c r="AM19" s="8">
        <v>0</v>
      </c>
      <c r="AN19" s="9"/>
      <c r="AO19" s="9"/>
      <c r="AP19" s="10"/>
      <c r="AQ19" s="25"/>
      <c r="AR19" s="25"/>
      <c r="AS19" s="25"/>
      <c r="AT19" s="10"/>
      <c r="AU19" s="12">
        <v>1299</v>
      </c>
      <c r="AV19" s="12"/>
      <c r="AW19" s="12"/>
      <c r="AX19" s="242"/>
      <c r="AY19" s="243"/>
      <c r="AZ19" s="242"/>
      <c r="BA19" s="242"/>
      <c r="BB19" s="244"/>
      <c r="BC19" s="243"/>
      <c r="BD19" s="243"/>
      <c r="BE19" s="242">
        <v>0</v>
      </c>
      <c r="BF19" s="242">
        <v>0</v>
      </c>
      <c r="BG19" s="242">
        <v>0</v>
      </c>
      <c r="BH19" s="242">
        <v>0</v>
      </c>
      <c r="BI19" s="242">
        <v>0</v>
      </c>
      <c r="BJ19" s="242">
        <v>0</v>
      </c>
      <c r="BK19" s="242">
        <v>0</v>
      </c>
      <c r="BL19" s="242"/>
      <c r="BM19" s="242">
        <v>2</v>
      </c>
      <c r="BN19" s="242">
        <v>0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>
        <v>0</v>
      </c>
      <c r="CE19" s="242">
        <v>1298.74</v>
      </c>
      <c r="CF19" s="242">
        <v>0</v>
      </c>
      <c r="CG19" s="242">
        <v>1298.74</v>
      </c>
      <c r="CH19" s="242">
        <v>0</v>
      </c>
      <c r="CI19" s="247" t="s">
        <v>633</v>
      </c>
      <c r="CJ19" s="248">
        <v>1298.74</v>
      </c>
      <c r="CK19" s="248">
        <v>0</v>
      </c>
      <c r="CL19" s="248">
        <v>1299</v>
      </c>
      <c r="CM19" s="248">
        <v>0</v>
      </c>
    </row>
    <row r="20" spans="1:91" x14ac:dyDescent="0.25">
      <c r="A20" s="231" t="s">
        <v>662</v>
      </c>
      <c r="B20" s="232" t="s">
        <v>663</v>
      </c>
      <c r="C20" s="232" t="s">
        <v>657</v>
      </c>
      <c r="D20" s="233"/>
      <c r="E20" s="234">
        <v>161298</v>
      </c>
      <c r="F20" s="235">
        <v>161298</v>
      </c>
      <c r="G20" s="236"/>
      <c r="H20" s="237"/>
      <c r="I20" s="238">
        <v>161298</v>
      </c>
      <c r="J20" s="239"/>
      <c r="K20" s="240"/>
      <c r="L20" s="8">
        <v>121977.77</v>
      </c>
      <c r="M20" s="241">
        <v>121977.81</v>
      </c>
      <c r="N20" s="72"/>
      <c r="O20" s="100"/>
      <c r="P20" s="9"/>
      <c r="Q20" s="9"/>
      <c r="R20" s="9"/>
      <c r="S20" s="152">
        <v>45744</v>
      </c>
      <c r="T20" s="10"/>
      <c r="U20" s="23"/>
      <c r="V20" s="11"/>
      <c r="W20" s="11"/>
      <c r="X20" s="8">
        <v>121977.81</v>
      </c>
      <c r="Y20" s="9"/>
      <c r="Z20" s="70">
        <v>0</v>
      </c>
      <c r="AA20" s="71"/>
      <c r="AB20" s="108"/>
      <c r="AC20" s="9"/>
      <c r="AD20" s="9"/>
      <c r="AE20" s="10"/>
      <c r="AF20" s="24">
        <v>0</v>
      </c>
      <c r="AG20" s="11">
        <v>161298</v>
      </c>
      <c r="AH20" s="8">
        <v>121977.81</v>
      </c>
      <c r="AI20" s="9">
        <v>39320.19</v>
      </c>
      <c r="AJ20" s="9">
        <v>39320.19</v>
      </c>
      <c r="AK20" s="10"/>
      <c r="AL20" s="11"/>
      <c r="AM20" s="8">
        <v>0</v>
      </c>
      <c r="AN20" s="9"/>
      <c r="AO20" s="9"/>
      <c r="AP20" s="10"/>
      <c r="AQ20" s="25"/>
      <c r="AR20" s="25"/>
      <c r="AS20" s="25"/>
      <c r="AT20" s="10"/>
      <c r="AU20" s="12">
        <v>161298</v>
      </c>
      <c r="AV20" s="12"/>
      <c r="AW20" s="12"/>
      <c r="AX20" s="242"/>
      <c r="AY20" s="243"/>
      <c r="AZ20" s="242"/>
      <c r="BA20" s="242"/>
      <c r="BB20" s="244"/>
      <c r="BC20" s="243"/>
      <c r="BD20" s="243"/>
      <c r="BE20" s="242">
        <v>0</v>
      </c>
      <c r="BF20" s="242">
        <v>0</v>
      </c>
      <c r="BG20" s="242">
        <v>0</v>
      </c>
      <c r="BH20" s="242">
        <v>0</v>
      </c>
      <c r="BI20" s="242">
        <v>0</v>
      </c>
      <c r="BJ20" s="242">
        <v>0</v>
      </c>
      <c r="BK20" s="242">
        <v>0</v>
      </c>
      <c r="BL20" s="242"/>
      <c r="BM20" s="242">
        <v>2</v>
      </c>
      <c r="BN20" s="242">
        <v>0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>
        <v>0</v>
      </c>
      <c r="CE20" s="242">
        <v>121977.81</v>
      </c>
      <c r="CF20" s="242">
        <v>0</v>
      </c>
      <c r="CG20" s="242">
        <v>121977.81</v>
      </c>
      <c r="CH20" s="242">
        <v>0</v>
      </c>
      <c r="CI20" s="247" t="s">
        <v>633</v>
      </c>
      <c r="CJ20" s="248">
        <v>121977.81</v>
      </c>
      <c r="CK20" s="248">
        <v>0</v>
      </c>
      <c r="CL20" s="248">
        <v>161298</v>
      </c>
      <c r="CM20" s="248">
        <v>0</v>
      </c>
    </row>
    <row r="21" spans="1:91" x14ac:dyDescent="0.25">
      <c r="A21" s="231" t="s">
        <v>664</v>
      </c>
      <c r="B21" s="232" t="s">
        <v>665</v>
      </c>
      <c r="C21" s="232" t="s">
        <v>657</v>
      </c>
      <c r="D21" s="233"/>
      <c r="E21" s="234">
        <v>531070</v>
      </c>
      <c r="F21" s="235">
        <v>531070</v>
      </c>
      <c r="G21" s="236"/>
      <c r="H21" s="237"/>
      <c r="I21" s="238">
        <v>531070</v>
      </c>
      <c r="J21" s="239"/>
      <c r="K21" s="240"/>
      <c r="L21" s="8">
        <v>556283.51</v>
      </c>
      <c r="M21" s="241">
        <v>556283.51</v>
      </c>
      <c r="N21" s="71"/>
      <c r="O21" s="100"/>
      <c r="P21" s="9"/>
      <c r="Q21" s="9"/>
      <c r="R21" s="9"/>
      <c r="S21" s="152">
        <v>45744</v>
      </c>
      <c r="T21" s="10"/>
      <c r="U21" s="23"/>
      <c r="V21" s="11"/>
      <c r="W21" s="11"/>
      <c r="X21" s="8">
        <v>461744.33</v>
      </c>
      <c r="Y21" s="9"/>
      <c r="Z21" s="70">
        <v>0</v>
      </c>
      <c r="AA21" s="71"/>
      <c r="AB21" s="108"/>
      <c r="AC21" s="9"/>
      <c r="AD21" s="9"/>
      <c r="AE21" s="10"/>
      <c r="AF21" s="24">
        <v>0</v>
      </c>
      <c r="AG21" s="11">
        <v>555417.1</v>
      </c>
      <c r="AH21" s="8">
        <v>461744.33</v>
      </c>
      <c r="AI21" s="9">
        <v>93672.77</v>
      </c>
      <c r="AJ21" s="9">
        <v>93672.77</v>
      </c>
      <c r="AK21" s="10"/>
      <c r="AL21" s="11"/>
      <c r="AM21" s="8">
        <v>0</v>
      </c>
      <c r="AN21" s="9"/>
      <c r="AO21" s="9"/>
      <c r="AP21" s="10"/>
      <c r="AQ21" s="25"/>
      <c r="AR21" s="25"/>
      <c r="AS21" s="25"/>
      <c r="AT21" s="10"/>
      <c r="AU21" s="12">
        <v>555417.1</v>
      </c>
      <c r="AV21" s="12"/>
      <c r="AW21" s="12"/>
      <c r="AX21" s="242"/>
      <c r="AY21" s="243"/>
      <c r="AZ21" s="242"/>
      <c r="BA21" s="242"/>
      <c r="BB21" s="244"/>
      <c r="BC21" s="243"/>
      <c r="BD21" s="243"/>
      <c r="BE21" s="242">
        <v>0</v>
      </c>
      <c r="BF21" s="242">
        <v>0</v>
      </c>
      <c r="BG21" s="242">
        <v>0</v>
      </c>
      <c r="BH21" s="242">
        <v>0</v>
      </c>
      <c r="BI21" s="242">
        <v>0</v>
      </c>
      <c r="BJ21" s="242">
        <v>0</v>
      </c>
      <c r="BK21" s="242">
        <v>0</v>
      </c>
      <c r="BL21" s="242"/>
      <c r="BM21" s="242">
        <v>2</v>
      </c>
      <c r="BN21" s="242">
        <v>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>
        <v>0</v>
      </c>
      <c r="CE21" s="242">
        <v>461744.33</v>
      </c>
      <c r="CF21" s="242">
        <v>0</v>
      </c>
      <c r="CG21" s="242">
        <v>461744.33</v>
      </c>
      <c r="CH21" s="242">
        <v>0</v>
      </c>
      <c r="CI21" s="247" t="s">
        <v>633</v>
      </c>
      <c r="CJ21" s="248">
        <v>461744.33</v>
      </c>
      <c r="CK21" s="248">
        <v>0</v>
      </c>
      <c r="CL21" s="248">
        <v>555417.1</v>
      </c>
      <c r="CM21" s="248">
        <v>0</v>
      </c>
    </row>
    <row r="22" spans="1:91" x14ac:dyDescent="0.25">
      <c r="A22" s="231" t="s">
        <v>666</v>
      </c>
      <c r="B22" s="232" t="s">
        <v>667</v>
      </c>
      <c r="C22" s="232" t="s">
        <v>636</v>
      </c>
      <c r="D22" s="233"/>
      <c r="E22" s="234">
        <v>464953</v>
      </c>
      <c r="F22" s="235">
        <v>464953</v>
      </c>
      <c r="G22" s="236"/>
      <c r="H22" s="237"/>
      <c r="I22" s="238">
        <v>464953</v>
      </c>
      <c r="J22" s="239"/>
      <c r="K22" s="240"/>
      <c r="L22" s="8">
        <v>409471.93</v>
      </c>
      <c r="M22" s="241">
        <v>409471.93</v>
      </c>
      <c r="N22" s="71"/>
      <c r="O22" s="100"/>
      <c r="P22" s="9"/>
      <c r="Q22" s="9"/>
      <c r="R22" s="9"/>
      <c r="S22" s="152">
        <v>45744</v>
      </c>
      <c r="T22" s="10"/>
      <c r="U22" s="23"/>
      <c r="V22" s="11"/>
      <c r="W22" s="11"/>
      <c r="X22" s="8">
        <v>409471.93</v>
      </c>
      <c r="Y22" s="9"/>
      <c r="Z22" s="70">
        <v>0</v>
      </c>
      <c r="AA22" s="71"/>
      <c r="AB22" s="108"/>
      <c r="AC22" s="9"/>
      <c r="AD22" s="9"/>
      <c r="AE22" s="10"/>
      <c r="AF22" s="24">
        <v>0</v>
      </c>
      <c r="AG22" s="11">
        <v>464953</v>
      </c>
      <c r="AH22" s="8">
        <v>409471.93</v>
      </c>
      <c r="AI22" s="9">
        <v>55481.07</v>
      </c>
      <c r="AJ22" s="9">
        <v>55481.07</v>
      </c>
      <c r="AK22" s="10"/>
      <c r="AL22" s="11"/>
      <c r="AM22" s="8">
        <v>0</v>
      </c>
      <c r="AN22" s="9"/>
      <c r="AO22" s="9"/>
      <c r="AP22" s="10"/>
      <c r="AQ22" s="25"/>
      <c r="AR22" s="25"/>
      <c r="AS22" s="25"/>
      <c r="AT22" s="10"/>
      <c r="AU22" s="12">
        <v>464953</v>
      </c>
      <c r="AV22" s="12"/>
      <c r="AW22" s="12"/>
      <c r="AX22" s="242"/>
      <c r="AY22" s="243"/>
      <c r="AZ22" s="242"/>
      <c r="BA22" s="242"/>
      <c r="BB22" s="244"/>
      <c r="BC22" s="243"/>
      <c r="BD22" s="243"/>
      <c r="BE22" s="242">
        <v>0</v>
      </c>
      <c r="BF22" s="242">
        <v>0</v>
      </c>
      <c r="BG22" s="242">
        <v>0</v>
      </c>
      <c r="BH22" s="242">
        <v>0</v>
      </c>
      <c r="BI22" s="242">
        <v>0</v>
      </c>
      <c r="BJ22" s="242">
        <v>0</v>
      </c>
      <c r="BK22" s="242">
        <v>0</v>
      </c>
      <c r="BL22" s="242"/>
      <c r="BM22" s="242">
        <v>2</v>
      </c>
      <c r="BN22" s="242">
        <v>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>
        <v>0</v>
      </c>
      <c r="CE22" s="242">
        <v>409471.93</v>
      </c>
      <c r="CF22" s="242">
        <v>0</v>
      </c>
      <c r="CG22" s="242">
        <v>409471.93</v>
      </c>
      <c r="CH22" s="242">
        <v>0</v>
      </c>
      <c r="CI22" s="247" t="s">
        <v>633</v>
      </c>
      <c r="CJ22" s="248">
        <v>409471.93</v>
      </c>
      <c r="CK22" s="248">
        <v>0</v>
      </c>
      <c r="CL22" s="248">
        <v>464953</v>
      </c>
      <c r="CM22" s="248">
        <v>0</v>
      </c>
    </row>
    <row r="23" spans="1:91" x14ac:dyDescent="0.25">
      <c r="A23" s="231" t="s">
        <v>668</v>
      </c>
      <c r="B23" s="232" t="s">
        <v>669</v>
      </c>
      <c r="C23" s="232" t="s">
        <v>670</v>
      </c>
      <c r="D23" s="233"/>
      <c r="E23" s="234">
        <v>83000</v>
      </c>
      <c r="F23" s="235">
        <v>83000</v>
      </c>
      <c r="G23" s="236"/>
      <c r="H23" s="237"/>
      <c r="I23" s="238">
        <v>83000</v>
      </c>
      <c r="J23" s="239"/>
      <c r="K23" s="240"/>
      <c r="L23" s="8">
        <v>79834.320000000007</v>
      </c>
      <c r="M23" s="241">
        <v>79834.320000000007</v>
      </c>
      <c r="N23" s="71"/>
      <c r="O23" s="100"/>
      <c r="P23" s="9"/>
      <c r="Q23" s="9"/>
      <c r="R23" s="9"/>
      <c r="S23" s="152">
        <v>45744</v>
      </c>
      <c r="T23" s="10"/>
      <c r="U23" s="23"/>
      <c r="V23" s="11"/>
      <c r="W23" s="11"/>
      <c r="X23" s="8">
        <v>79834.320000000007</v>
      </c>
      <c r="Y23" s="9"/>
      <c r="Z23" s="70">
        <v>0</v>
      </c>
      <c r="AA23" s="71"/>
      <c r="AB23" s="108"/>
      <c r="AC23" s="9"/>
      <c r="AD23" s="9"/>
      <c r="AE23" s="10"/>
      <c r="AF23" s="24">
        <v>0</v>
      </c>
      <c r="AG23" s="11">
        <v>83000</v>
      </c>
      <c r="AH23" s="8">
        <v>79834.320000000007</v>
      </c>
      <c r="AI23" s="9">
        <v>3165.68</v>
      </c>
      <c r="AJ23" s="9">
        <v>3165.68</v>
      </c>
      <c r="AK23" s="10"/>
      <c r="AL23" s="11"/>
      <c r="AM23" s="8">
        <v>0</v>
      </c>
      <c r="AN23" s="9"/>
      <c r="AO23" s="9"/>
      <c r="AP23" s="10"/>
      <c r="AQ23" s="25"/>
      <c r="AR23" s="25"/>
      <c r="AS23" s="25"/>
      <c r="AT23" s="10"/>
      <c r="AU23" s="12">
        <v>83000</v>
      </c>
      <c r="AV23" s="12"/>
      <c r="AW23" s="12"/>
      <c r="AX23" s="242"/>
      <c r="AY23" s="243"/>
      <c r="AZ23" s="242"/>
      <c r="BA23" s="242"/>
      <c r="BB23" s="244"/>
      <c r="BC23" s="243"/>
      <c r="BD23" s="243"/>
      <c r="BE23" s="242">
        <v>0</v>
      </c>
      <c r="BF23" s="242">
        <v>0</v>
      </c>
      <c r="BG23" s="242">
        <v>0</v>
      </c>
      <c r="BH23" s="242">
        <v>0</v>
      </c>
      <c r="BI23" s="242">
        <v>0</v>
      </c>
      <c r="BJ23" s="242">
        <v>0</v>
      </c>
      <c r="BK23" s="242">
        <v>0</v>
      </c>
      <c r="BL23" s="242"/>
      <c r="BM23" s="242">
        <v>2</v>
      </c>
      <c r="BN23" s="242">
        <v>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>
        <v>0</v>
      </c>
      <c r="CE23" s="242">
        <v>79834.320000000007</v>
      </c>
      <c r="CF23" s="242">
        <v>0</v>
      </c>
      <c r="CG23" s="242">
        <v>79834.320000000007</v>
      </c>
      <c r="CH23" s="242">
        <v>0</v>
      </c>
      <c r="CI23" s="247" t="s">
        <v>633</v>
      </c>
      <c r="CJ23" s="248">
        <v>79834.320000000007</v>
      </c>
      <c r="CK23" s="248">
        <v>0</v>
      </c>
      <c r="CL23" s="248">
        <v>83000</v>
      </c>
      <c r="CM23" s="248">
        <v>0</v>
      </c>
    </row>
    <row r="24" spans="1:91" x14ac:dyDescent="0.25">
      <c r="A24" s="231" t="s">
        <v>671</v>
      </c>
      <c r="B24" s="232" t="s">
        <v>672</v>
      </c>
      <c r="C24" s="232" t="s">
        <v>657</v>
      </c>
      <c r="D24" s="233"/>
      <c r="E24" s="234">
        <v>149160</v>
      </c>
      <c r="F24" s="235">
        <v>149160</v>
      </c>
      <c r="G24" s="236"/>
      <c r="H24" s="237"/>
      <c r="I24" s="238">
        <v>105444</v>
      </c>
      <c r="J24" s="239"/>
      <c r="K24" s="240"/>
      <c r="L24" s="8">
        <v>61905.24</v>
      </c>
      <c r="M24" s="241">
        <v>61905.24</v>
      </c>
      <c r="N24" s="71"/>
      <c r="O24" s="100"/>
      <c r="P24" s="9"/>
      <c r="Q24" s="9">
        <v>43538.76</v>
      </c>
      <c r="R24" s="9"/>
      <c r="S24" s="152">
        <v>45748</v>
      </c>
      <c r="T24" s="10"/>
      <c r="U24" s="23"/>
      <c r="V24" s="11"/>
      <c r="W24" s="11"/>
      <c r="X24" s="8">
        <v>61905.24</v>
      </c>
      <c r="Y24" s="9"/>
      <c r="Z24" s="70">
        <v>43538.76</v>
      </c>
      <c r="AA24" s="71"/>
      <c r="AB24" s="108"/>
      <c r="AC24" s="9">
        <v>43538.76</v>
      </c>
      <c r="AD24" s="9"/>
      <c r="AE24" s="10"/>
      <c r="AF24" s="24">
        <v>0</v>
      </c>
      <c r="AG24" s="11">
        <v>105444</v>
      </c>
      <c r="AH24" s="8">
        <v>61905.24</v>
      </c>
      <c r="AI24" s="9">
        <v>43538.76</v>
      </c>
      <c r="AJ24" s="9">
        <v>43538.76</v>
      </c>
      <c r="AK24" s="10"/>
      <c r="AL24" s="11"/>
      <c r="AM24" s="8">
        <v>0</v>
      </c>
      <c r="AN24" s="9"/>
      <c r="AO24" s="9"/>
      <c r="AP24" s="10"/>
      <c r="AQ24" s="25"/>
      <c r="AR24" s="25"/>
      <c r="AS24" s="25"/>
      <c r="AT24" s="10"/>
      <c r="AU24" s="12">
        <v>105444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105444</v>
      </c>
      <c r="BF24" s="15">
        <v>61905.24</v>
      </c>
      <c r="BG24" s="15">
        <v>43538.76</v>
      </c>
      <c r="BH24" s="15">
        <v>105444</v>
      </c>
      <c r="BI24" s="15">
        <v>61905.24</v>
      </c>
      <c r="BJ24" s="242">
        <v>0</v>
      </c>
      <c r="BK24" s="242">
        <v>43538.76</v>
      </c>
      <c r="BL24" s="242"/>
      <c r="BM24" s="242">
        <v>2</v>
      </c>
      <c r="BN24" s="242">
        <v>43538.76</v>
      </c>
      <c r="BO24" s="242">
        <v>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94">
        <v>43538.76</v>
      </c>
      <c r="CC24" s="246" t="s">
        <v>634</v>
      </c>
      <c r="CD24" s="242">
        <v>0</v>
      </c>
      <c r="CE24" s="242">
        <v>61905.24</v>
      </c>
      <c r="CF24" s="242">
        <v>0</v>
      </c>
      <c r="CG24" s="242">
        <v>61905.24</v>
      </c>
      <c r="CH24" s="242">
        <v>0</v>
      </c>
      <c r="CI24" s="247" t="s">
        <v>633</v>
      </c>
      <c r="CJ24" s="248">
        <v>61905.24</v>
      </c>
      <c r="CK24" s="248">
        <v>0</v>
      </c>
      <c r="CL24" s="248">
        <v>105444</v>
      </c>
      <c r="CM24" s="248">
        <v>0</v>
      </c>
    </row>
    <row r="25" spans="1:91" x14ac:dyDescent="0.25">
      <c r="A25" s="231" t="s">
        <v>673</v>
      </c>
      <c r="B25" s="232" t="s">
        <v>674</v>
      </c>
      <c r="C25" s="232" t="s">
        <v>646</v>
      </c>
      <c r="D25" s="233"/>
      <c r="E25" s="234">
        <v>33400</v>
      </c>
      <c r="F25" s="235">
        <v>33400</v>
      </c>
      <c r="G25" s="236"/>
      <c r="H25" s="237"/>
      <c r="I25" s="238">
        <v>33400</v>
      </c>
      <c r="J25" s="249"/>
      <c r="K25" s="240"/>
      <c r="L25" s="8">
        <v>15753.95</v>
      </c>
      <c r="M25" s="241">
        <v>16608.23</v>
      </c>
      <c r="N25" s="71"/>
      <c r="O25" s="100"/>
      <c r="P25" s="9"/>
      <c r="Q25" s="9"/>
      <c r="R25" s="9"/>
      <c r="S25" s="152">
        <v>45744</v>
      </c>
      <c r="T25" s="10"/>
      <c r="U25" s="23"/>
      <c r="V25" s="11"/>
      <c r="W25" s="11"/>
      <c r="X25" s="8">
        <v>16608.23</v>
      </c>
      <c r="Y25" s="9"/>
      <c r="Z25" s="70">
        <v>0</v>
      </c>
      <c r="AA25" s="71"/>
      <c r="AB25" s="108"/>
      <c r="AC25" s="9"/>
      <c r="AD25" s="9"/>
      <c r="AE25" s="10"/>
      <c r="AF25" s="24">
        <v>0</v>
      </c>
      <c r="AG25" s="11">
        <v>33400</v>
      </c>
      <c r="AH25" s="8">
        <v>16608.23</v>
      </c>
      <c r="AI25" s="9">
        <v>16791.77</v>
      </c>
      <c r="AJ25" s="9">
        <v>16791.77</v>
      </c>
      <c r="AK25" s="10"/>
      <c r="AL25" s="11"/>
      <c r="AM25" s="8">
        <v>0</v>
      </c>
      <c r="AN25" s="9"/>
      <c r="AO25" s="9"/>
      <c r="AP25" s="10"/>
      <c r="AQ25" s="25"/>
      <c r="AR25" s="25"/>
      <c r="AS25" s="25"/>
      <c r="AT25" s="10"/>
      <c r="AU25" s="12">
        <v>33400</v>
      </c>
      <c r="AV25" s="12"/>
      <c r="AW25" s="12"/>
      <c r="AX25" s="242"/>
      <c r="AY25" s="243"/>
      <c r="AZ25" s="242"/>
      <c r="BA25" s="242"/>
      <c r="BB25" s="244"/>
      <c r="BC25" s="243"/>
      <c r="BD25" s="243"/>
      <c r="BE25" s="242">
        <v>0</v>
      </c>
      <c r="BF25" s="242">
        <v>0</v>
      </c>
      <c r="BG25" s="242">
        <v>0</v>
      </c>
      <c r="BH25" s="242">
        <v>0</v>
      </c>
      <c r="BI25" s="242">
        <v>0</v>
      </c>
      <c r="BJ25" s="242">
        <v>0</v>
      </c>
      <c r="BK25" s="242">
        <v>0</v>
      </c>
      <c r="BL25" s="242"/>
      <c r="BM25" s="242">
        <v>2</v>
      </c>
      <c r="BN25" s="242">
        <v>0</v>
      </c>
      <c r="BO25" s="242">
        <v>0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>
        <v>0</v>
      </c>
      <c r="CE25" s="242">
        <v>16608.23</v>
      </c>
      <c r="CF25" s="242">
        <v>0</v>
      </c>
      <c r="CG25" s="242">
        <v>16608.23</v>
      </c>
      <c r="CH25" s="242">
        <v>0</v>
      </c>
      <c r="CI25" s="247" t="s">
        <v>633</v>
      </c>
      <c r="CJ25" s="248">
        <v>16608.23</v>
      </c>
      <c r="CK25" s="248">
        <v>0</v>
      </c>
      <c r="CL25" s="248">
        <v>33400</v>
      </c>
      <c r="CM25" s="248">
        <v>0</v>
      </c>
    </row>
    <row r="26" spans="1:91" x14ac:dyDescent="0.25">
      <c r="A26" s="231" t="s">
        <v>675</v>
      </c>
      <c r="B26" s="232" t="s">
        <v>676</v>
      </c>
      <c r="C26" s="232" t="s">
        <v>646</v>
      </c>
      <c r="D26" s="233"/>
      <c r="E26" s="234">
        <v>44900</v>
      </c>
      <c r="F26" s="235">
        <v>44900</v>
      </c>
      <c r="G26" s="236"/>
      <c r="H26" s="237"/>
      <c r="I26" s="238">
        <v>44900</v>
      </c>
      <c r="J26" s="249"/>
      <c r="K26" s="240"/>
      <c r="L26" s="8">
        <v>21201.33</v>
      </c>
      <c r="M26" s="241">
        <v>21201.33</v>
      </c>
      <c r="N26" s="71"/>
      <c r="O26" s="100"/>
      <c r="P26" s="9"/>
      <c r="Q26" s="9"/>
      <c r="R26" s="9"/>
      <c r="S26" s="152">
        <v>45744</v>
      </c>
      <c r="T26" s="10"/>
      <c r="U26" s="23"/>
      <c r="V26" s="11"/>
      <c r="W26" s="11"/>
      <c r="X26" s="8">
        <v>21201.33</v>
      </c>
      <c r="Y26" s="9"/>
      <c r="Z26" s="70">
        <v>0</v>
      </c>
      <c r="AA26" s="71"/>
      <c r="AB26" s="108"/>
      <c r="AC26" s="9"/>
      <c r="AD26" s="9"/>
      <c r="AE26" s="10"/>
      <c r="AF26" s="24">
        <v>0</v>
      </c>
      <c r="AG26" s="11">
        <v>44900</v>
      </c>
      <c r="AH26" s="8">
        <v>21201.33</v>
      </c>
      <c r="AI26" s="9">
        <v>23698.67</v>
      </c>
      <c r="AJ26" s="9">
        <v>23698.67</v>
      </c>
      <c r="AK26" s="10"/>
      <c r="AL26" s="11"/>
      <c r="AM26" s="8">
        <v>0</v>
      </c>
      <c r="AN26" s="9"/>
      <c r="AO26" s="9"/>
      <c r="AP26" s="10"/>
      <c r="AQ26" s="25"/>
      <c r="AR26" s="25"/>
      <c r="AS26" s="25"/>
      <c r="AT26" s="10"/>
      <c r="AU26" s="12">
        <v>44900</v>
      </c>
      <c r="AV26" s="12"/>
      <c r="AW26" s="12"/>
      <c r="AX26" s="242"/>
      <c r="AY26" s="243"/>
      <c r="AZ26" s="242"/>
      <c r="BA26" s="242"/>
      <c r="BB26" s="244"/>
      <c r="BC26" s="243"/>
      <c r="BD26" s="243"/>
      <c r="BE26" s="242">
        <v>0</v>
      </c>
      <c r="BF26" s="242">
        <v>0</v>
      </c>
      <c r="BG26" s="242">
        <v>0</v>
      </c>
      <c r="BH26" s="242">
        <v>0</v>
      </c>
      <c r="BI26" s="242">
        <v>0</v>
      </c>
      <c r="BJ26" s="242">
        <v>0</v>
      </c>
      <c r="BK26" s="242">
        <v>0</v>
      </c>
      <c r="BL26" s="242"/>
      <c r="BM26" s="242">
        <v>2</v>
      </c>
      <c r="BN26" s="242">
        <v>0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>
        <v>0</v>
      </c>
      <c r="CE26" s="242">
        <v>21201.33</v>
      </c>
      <c r="CF26" s="242">
        <v>0</v>
      </c>
      <c r="CG26" s="242">
        <v>21201.33</v>
      </c>
      <c r="CH26" s="242">
        <v>0</v>
      </c>
      <c r="CI26" s="247" t="s">
        <v>633</v>
      </c>
      <c r="CJ26" s="248">
        <v>21201.33</v>
      </c>
      <c r="CK26" s="248">
        <v>0</v>
      </c>
      <c r="CL26" s="248">
        <v>44900</v>
      </c>
      <c r="CM26" s="248">
        <v>0</v>
      </c>
    </row>
    <row r="27" spans="1:91" x14ac:dyDescent="0.25">
      <c r="A27" s="231" t="s">
        <v>677</v>
      </c>
      <c r="B27" s="232" t="s">
        <v>678</v>
      </c>
      <c r="C27" s="232" t="s">
        <v>646</v>
      </c>
      <c r="D27" s="233"/>
      <c r="E27" s="234">
        <v>44900</v>
      </c>
      <c r="F27" s="235">
        <v>44900</v>
      </c>
      <c r="G27" s="236"/>
      <c r="H27" s="237"/>
      <c r="I27" s="238">
        <v>44900</v>
      </c>
      <c r="J27" s="239"/>
      <c r="K27" s="240"/>
      <c r="L27" s="8">
        <v>25220.81</v>
      </c>
      <c r="M27" s="241">
        <v>25284.82</v>
      </c>
      <c r="N27" s="71"/>
      <c r="O27" s="100"/>
      <c r="P27" s="9"/>
      <c r="Q27" s="9"/>
      <c r="R27" s="9"/>
      <c r="S27" s="152">
        <v>45744</v>
      </c>
      <c r="T27" s="10"/>
      <c r="U27" s="23"/>
      <c r="V27" s="11"/>
      <c r="W27" s="11"/>
      <c r="X27" s="8">
        <v>25284.82</v>
      </c>
      <c r="Y27" s="9"/>
      <c r="Z27" s="70">
        <v>0</v>
      </c>
      <c r="AA27" s="71"/>
      <c r="AB27" s="108"/>
      <c r="AC27" s="9"/>
      <c r="AD27" s="9"/>
      <c r="AE27" s="10"/>
      <c r="AF27" s="24">
        <v>0</v>
      </c>
      <c r="AG27" s="11">
        <v>44900</v>
      </c>
      <c r="AH27" s="8">
        <v>25284.82</v>
      </c>
      <c r="AI27" s="9">
        <v>19615.18</v>
      </c>
      <c r="AJ27" s="9">
        <v>19615.18</v>
      </c>
      <c r="AK27" s="10"/>
      <c r="AL27" s="11"/>
      <c r="AM27" s="8">
        <v>0</v>
      </c>
      <c r="AN27" s="9"/>
      <c r="AO27" s="9"/>
      <c r="AP27" s="10"/>
      <c r="AQ27" s="25"/>
      <c r="AR27" s="25"/>
      <c r="AS27" s="25"/>
      <c r="AT27" s="10"/>
      <c r="AU27" s="12">
        <v>44900</v>
      </c>
      <c r="AV27" s="12"/>
      <c r="AW27" s="12"/>
      <c r="AX27" s="242"/>
      <c r="AY27" s="243"/>
      <c r="AZ27" s="242"/>
      <c r="BA27" s="242"/>
      <c r="BB27" s="244"/>
      <c r="BC27" s="243"/>
      <c r="BD27" s="243"/>
      <c r="BE27" s="242">
        <v>0</v>
      </c>
      <c r="BF27" s="242">
        <v>0</v>
      </c>
      <c r="BG27" s="242">
        <v>0</v>
      </c>
      <c r="BH27" s="242">
        <v>0</v>
      </c>
      <c r="BI27" s="242">
        <v>0</v>
      </c>
      <c r="BJ27" s="242">
        <v>0</v>
      </c>
      <c r="BK27" s="242">
        <v>0</v>
      </c>
      <c r="BL27" s="242"/>
      <c r="BM27" s="242">
        <v>2</v>
      </c>
      <c r="BN27" s="242">
        <v>0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>
        <v>0</v>
      </c>
      <c r="CE27" s="242">
        <v>25284.82</v>
      </c>
      <c r="CF27" s="242">
        <v>0</v>
      </c>
      <c r="CG27" s="242">
        <v>25284.82</v>
      </c>
      <c r="CH27" s="242">
        <v>0</v>
      </c>
      <c r="CI27" s="247" t="s">
        <v>633</v>
      </c>
      <c r="CJ27" s="248">
        <v>25284.82</v>
      </c>
      <c r="CK27" s="248">
        <v>0</v>
      </c>
      <c r="CL27" s="248">
        <v>44900</v>
      </c>
      <c r="CM27" s="248">
        <v>0</v>
      </c>
    </row>
    <row r="28" spans="1:91" x14ac:dyDescent="0.25">
      <c r="A28" s="231" t="s">
        <v>679</v>
      </c>
      <c r="B28" s="232" t="s">
        <v>680</v>
      </c>
      <c r="C28" s="232" t="s">
        <v>636</v>
      </c>
      <c r="D28" s="233"/>
      <c r="E28" s="234">
        <v>0</v>
      </c>
      <c r="F28" s="235">
        <v>0</v>
      </c>
      <c r="G28" s="236"/>
      <c r="H28" s="237"/>
      <c r="I28" s="238">
        <v>0</v>
      </c>
      <c r="J28" s="239"/>
      <c r="K28" s="240"/>
      <c r="L28" s="8">
        <v>872273.71</v>
      </c>
      <c r="M28" s="241">
        <v>872273.71</v>
      </c>
      <c r="N28" s="239"/>
      <c r="O28" s="240"/>
      <c r="P28" s="9"/>
      <c r="Q28" s="9"/>
      <c r="R28" s="9"/>
      <c r="S28" s="152">
        <v>45744</v>
      </c>
      <c r="T28" s="10"/>
      <c r="U28" s="23"/>
      <c r="V28" s="11"/>
      <c r="W28" s="11"/>
      <c r="X28" s="8">
        <v>872273.71</v>
      </c>
      <c r="Y28" s="9"/>
      <c r="Z28" s="70">
        <v>0</v>
      </c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872273.71</v>
      </c>
      <c r="AI28" s="9">
        <v>-872273.71</v>
      </c>
      <c r="AJ28" s="9">
        <v>-872273.71</v>
      </c>
      <c r="AK28" s="10"/>
      <c r="AL28" s="11"/>
      <c r="AM28" s="8">
        <v>0</v>
      </c>
      <c r="AN28" s="9"/>
      <c r="AO28" s="9"/>
      <c r="AP28" s="10"/>
      <c r="AQ28" s="25"/>
      <c r="AR28" s="25"/>
      <c r="AS28" s="25"/>
      <c r="AT28" s="10"/>
      <c r="AU28" s="12">
        <v>0</v>
      </c>
      <c r="AV28" s="12"/>
      <c r="AW28" s="12"/>
      <c r="AX28" s="242"/>
      <c r="AY28" s="243"/>
      <c r="AZ28" s="242"/>
      <c r="BA28" s="242"/>
      <c r="BB28" s="244"/>
      <c r="BC28" s="243"/>
      <c r="BD28" s="243"/>
      <c r="BE28" s="242">
        <v>0</v>
      </c>
      <c r="BF28" s="242">
        <v>0</v>
      </c>
      <c r="BG28" s="242">
        <v>0</v>
      </c>
      <c r="BH28" s="242">
        <v>0</v>
      </c>
      <c r="BI28" s="242">
        <v>0</v>
      </c>
      <c r="BJ28" s="242">
        <v>0</v>
      </c>
      <c r="BK28" s="242">
        <v>0</v>
      </c>
      <c r="BL28" s="242"/>
      <c r="BM28" s="242">
        <v>2</v>
      </c>
      <c r="BN28" s="242">
        <v>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>
        <v>0</v>
      </c>
      <c r="CE28" s="242">
        <v>872273.71</v>
      </c>
      <c r="CF28" s="242">
        <v>0</v>
      </c>
      <c r="CG28" s="242">
        <v>872273.71</v>
      </c>
      <c r="CH28" s="242">
        <v>0</v>
      </c>
      <c r="CI28" s="247" t="s">
        <v>633</v>
      </c>
      <c r="CJ28" s="248">
        <v>872273.71</v>
      </c>
      <c r="CK28" s="248">
        <v>0</v>
      </c>
      <c r="CL28" s="248">
        <v>0</v>
      </c>
      <c r="CM28" s="248">
        <v>0</v>
      </c>
    </row>
    <row r="29" spans="1:91" x14ac:dyDescent="0.25">
      <c r="A29" s="231" t="s">
        <v>681</v>
      </c>
      <c r="B29" s="232" t="s">
        <v>682</v>
      </c>
      <c r="C29" s="232" t="s">
        <v>636</v>
      </c>
      <c r="D29" s="233"/>
      <c r="E29" s="234">
        <v>0</v>
      </c>
      <c r="F29" s="235">
        <v>0</v>
      </c>
      <c r="G29" s="236"/>
      <c r="H29" s="237"/>
      <c r="I29" s="238">
        <v>0</v>
      </c>
      <c r="J29" s="239"/>
      <c r="K29" s="240"/>
      <c r="L29" s="8">
        <v>39136.86</v>
      </c>
      <c r="M29" s="241">
        <v>39136.86</v>
      </c>
      <c r="N29" s="71"/>
      <c r="O29" s="100"/>
      <c r="P29" s="9"/>
      <c r="Q29" s="9"/>
      <c r="R29" s="9"/>
      <c r="S29" s="152">
        <v>45744</v>
      </c>
      <c r="T29" s="10"/>
      <c r="U29" s="23"/>
      <c r="V29" s="11"/>
      <c r="W29" s="11"/>
      <c r="X29" s="8">
        <v>39136.86</v>
      </c>
      <c r="Y29" s="9"/>
      <c r="Z29" s="70">
        <v>0</v>
      </c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39136.86</v>
      </c>
      <c r="AI29" s="9">
        <v>-39136.86</v>
      </c>
      <c r="AJ29" s="9">
        <v>-39136.86</v>
      </c>
      <c r="AK29" s="10"/>
      <c r="AL29" s="11"/>
      <c r="AM29" s="8">
        <v>0</v>
      </c>
      <c r="AN29" s="9"/>
      <c r="AO29" s="9"/>
      <c r="AP29" s="10"/>
      <c r="AQ29" s="25"/>
      <c r="AR29" s="25"/>
      <c r="AS29" s="25"/>
      <c r="AT29" s="10"/>
      <c r="AU29" s="12">
        <v>0</v>
      </c>
      <c r="AV29" s="12"/>
      <c r="AW29" s="12"/>
      <c r="AX29" s="242"/>
      <c r="AY29" s="243"/>
      <c r="AZ29" s="242"/>
      <c r="BA29" s="242"/>
      <c r="BB29" s="244"/>
      <c r="BC29" s="243"/>
      <c r="BD29" s="243"/>
      <c r="BE29" s="242">
        <v>0</v>
      </c>
      <c r="BF29" s="242">
        <v>0</v>
      </c>
      <c r="BG29" s="242">
        <v>0</v>
      </c>
      <c r="BH29" s="242">
        <v>0</v>
      </c>
      <c r="BI29" s="242">
        <v>0</v>
      </c>
      <c r="BJ29" s="242">
        <v>0</v>
      </c>
      <c r="BK29" s="242">
        <v>0</v>
      </c>
      <c r="BL29" s="242"/>
      <c r="BM29" s="242">
        <v>2</v>
      </c>
      <c r="BN29" s="242">
        <v>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>
        <v>0</v>
      </c>
      <c r="CE29" s="242">
        <v>39136.86</v>
      </c>
      <c r="CF29" s="242">
        <v>0</v>
      </c>
      <c r="CG29" s="242">
        <v>39136.86</v>
      </c>
      <c r="CH29" s="242">
        <v>0</v>
      </c>
      <c r="CI29" s="247" t="s">
        <v>633</v>
      </c>
      <c r="CJ29" s="248">
        <v>39136.86</v>
      </c>
      <c r="CK29" s="248">
        <v>0</v>
      </c>
      <c r="CL29" s="248">
        <v>0</v>
      </c>
      <c r="CM29" s="248">
        <v>0</v>
      </c>
    </row>
    <row r="30" spans="1:91" x14ac:dyDescent="0.25">
      <c r="A30" s="231" t="s">
        <v>683</v>
      </c>
      <c r="B30" s="232" t="s">
        <v>684</v>
      </c>
      <c r="C30" s="232" t="s">
        <v>636</v>
      </c>
      <c r="D30" s="233"/>
      <c r="E30" s="234">
        <v>0</v>
      </c>
      <c r="F30" s="235">
        <v>0</v>
      </c>
      <c r="G30" s="236"/>
      <c r="H30" s="237"/>
      <c r="I30" s="238">
        <v>0</v>
      </c>
      <c r="J30" s="239"/>
      <c r="K30" s="240"/>
      <c r="L30" s="8">
        <v>25431.95</v>
      </c>
      <c r="M30" s="241">
        <v>25431.95</v>
      </c>
      <c r="N30" s="71"/>
      <c r="O30" s="100"/>
      <c r="P30" s="9"/>
      <c r="Q30" s="9"/>
      <c r="R30" s="9"/>
      <c r="S30" s="152">
        <v>45744</v>
      </c>
      <c r="T30" s="10"/>
      <c r="U30" s="23"/>
      <c r="V30" s="11"/>
      <c r="W30" s="11"/>
      <c r="X30" s="8">
        <v>25431.95</v>
      </c>
      <c r="Y30" s="9"/>
      <c r="Z30" s="70">
        <v>0</v>
      </c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25431.95</v>
      </c>
      <c r="AI30" s="9">
        <v>-25431.95</v>
      </c>
      <c r="AJ30" s="9">
        <v>-25431.95</v>
      </c>
      <c r="AK30" s="10"/>
      <c r="AL30" s="11"/>
      <c r="AM30" s="8">
        <v>0</v>
      </c>
      <c r="AN30" s="9"/>
      <c r="AO30" s="9"/>
      <c r="AP30" s="10"/>
      <c r="AQ30" s="25"/>
      <c r="AR30" s="25"/>
      <c r="AS30" s="25"/>
      <c r="AT30" s="10"/>
      <c r="AU30" s="12">
        <v>0</v>
      </c>
      <c r="AV30" s="12"/>
      <c r="AW30" s="12"/>
      <c r="AX30" s="242"/>
      <c r="AY30" s="243"/>
      <c r="AZ30" s="242"/>
      <c r="BA30" s="242"/>
      <c r="BB30" s="244"/>
      <c r="BC30" s="243"/>
      <c r="BD30" s="243"/>
      <c r="BE30" s="242">
        <v>0</v>
      </c>
      <c r="BF30" s="242">
        <v>0</v>
      </c>
      <c r="BG30" s="242">
        <v>0</v>
      </c>
      <c r="BH30" s="242">
        <v>0</v>
      </c>
      <c r="BI30" s="242">
        <v>0</v>
      </c>
      <c r="BJ30" s="242">
        <v>0</v>
      </c>
      <c r="BK30" s="242">
        <v>0</v>
      </c>
      <c r="BL30" s="242"/>
      <c r="BM30" s="242">
        <v>2</v>
      </c>
      <c r="BN30" s="242">
        <v>0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>
        <v>0</v>
      </c>
      <c r="CE30" s="242">
        <v>25431.95</v>
      </c>
      <c r="CF30" s="242">
        <v>0</v>
      </c>
      <c r="CG30" s="242">
        <v>25431.95</v>
      </c>
      <c r="CH30" s="242">
        <v>0</v>
      </c>
      <c r="CI30" s="247" t="s">
        <v>633</v>
      </c>
      <c r="CJ30" s="248">
        <v>25431.95</v>
      </c>
      <c r="CK30" s="248">
        <v>0</v>
      </c>
      <c r="CL30" s="248">
        <v>0</v>
      </c>
      <c r="CM30" s="248">
        <v>0</v>
      </c>
    </row>
    <row r="31" spans="1:91" x14ac:dyDescent="0.25">
      <c r="A31" s="231" t="s">
        <v>685</v>
      </c>
      <c r="B31" s="232" t="s">
        <v>686</v>
      </c>
      <c r="C31" s="232" t="s">
        <v>636</v>
      </c>
      <c r="D31" s="233"/>
      <c r="E31" s="234">
        <v>0</v>
      </c>
      <c r="F31" s="235">
        <v>0</v>
      </c>
      <c r="G31" s="236"/>
      <c r="H31" s="237"/>
      <c r="I31" s="238">
        <v>0</v>
      </c>
      <c r="J31" s="239"/>
      <c r="K31" s="240"/>
      <c r="L31" s="8">
        <v>8709.06</v>
      </c>
      <c r="M31" s="241">
        <v>8709.06</v>
      </c>
      <c r="N31" s="71"/>
      <c r="O31" s="100"/>
      <c r="P31" s="9"/>
      <c r="Q31" s="9"/>
      <c r="R31" s="9"/>
      <c r="S31" s="152">
        <v>45744</v>
      </c>
      <c r="T31" s="10"/>
      <c r="U31" s="23"/>
      <c r="V31" s="11"/>
      <c r="W31" s="11"/>
      <c r="X31" s="8">
        <v>8709.06</v>
      </c>
      <c r="Y31" s="9"/>
      <c r="Z31" s="70">
        <v>0</v>
      </c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8709.06</v>
      </c>
      <c r="AI31" s="9">
        <v>-8709.06</v>
      </c>
      <c r="AJ31" s="9">
        <v>-8709.06</v>
      </c>
      <c r="AK31" s="10"/>
      <c r="AL31" s="11"/>
      <c r="AM31" s="8">
        <v>0</v>
      </c>
      <c r="AN31" s="9"/>
      <c r="AO31" s="9"/>
      <c r="AP31" s="10"/>
      <c r="AQ31" s="25"/>
      <c r="AR31" s="25"/>
      <c r="AS31" s="25"/>
      <c r="AT31" s="10"/>
      <c r="AU31" s="12">
        <v>0</v>
      </c>
      <c r="AV31" s="12"/>
      <c r="AW31" s="12"/>
      <c r="AX31" s="242"/>
      <c r="AY31" s="243"/>
      <c r="AZ31" s="242"/>
      <c r="BA31" s="242"/>
      <c r="BB31" s="244"/>
      <c r="BC31" s="243"/>
      <c r="BD31" s="243"/>
      <c r="BE31" s="242">
        <v>0</v>
      </c>
      <c r="BF31" s="242">
        <v>0</v>
      </c>
      <c r="BG31" s="242">
        <v>0</v>
      </c>
      <c r="BH31" s="242">
        <v>0</v>
      </c>
      <c r="BI31" s="242">
        <v>0</v>
      </c>
      <c r="BJ31" s="242">
        <v>0</v>
      </c>
      <c r="BK31" s="242">
        <v>0</v>
      </c>
      <c r="BL31" s="242"/>
      <c r="BM31" s="242">
        <v>2</v>
      </c>
      <c r="BN31" s="242">
        <v>0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>
        <v>0</v>
      </c>
      <c r="CE31" s="242">
        <v>8709.06</v>
      </c>
      <c r="CF31" s="242">
        <v>0</v>
      </c>
      <c r="CG31" s="242">
        <v>8709.06</v>
      </c>
      <c r="CH31" s="242">
        <v>0</v>
      </c>
      <c r="CI31" s="247" t="s">
        <v>633</v>
      </c>
      <c r="CJ31" s="248">
        <v>8709.06</v>
      </c>
      <c r="CK31" s="248">
        <v>0</v>
      </c>
      <c r="CL31" s="248">
        <v>0</v>
      </c>
      <c r="CM31" s="248">
        <v>0</v>
      </c>
    </row>
    <row r="32" spans="1:91" x14ac:dyDescent="0.25">
      <c r="A32" s="231" t="s">
        <v>687</v>
      </c>
      <c r="B32" s="232" t="s">
        <v>688</v>
      </c>
      <c r="C32" s="232" t="s">
        <v>670</v>
      </c>
      <c r="D32" s="233"/>
      <c r="E32" s="234">
        <v>1229.32</v>
      </c>
      <c r="F32" s="235">
        <v>1229.32</v>
      </c>
      <c r="G32" s="236"/>
      <c r="H32" s="237"/>
      <c r="I32" s="238">
        <v>1229.32</v>
      </c>
      <c r="J32" s="239"/>
      <c r="K32" s="240"/>
      <c r="L32" s="8">
        <v>155.43</v>
      </c>
      <c r="M32" s="241">
        <v>155.43</v>
      </c>
      <c r="N32" s="71"/>
      <c r="O32" s="100"/>
      <c r="P32" s="9"/>
      <c r="Q32" s="9"/>
      <c r="R32" s="9"/>
      <c r="S32" s="152">
        <v>45744</v>
      </c>
      <c r="T32" s="10"/>
      <c r="U32" s="23"/>
      <c r="V32" s="11"/>
      <c r="W32" s="11"/>
      <c r="X32" s="8">
        <v>155.43</v>
      </c>
      <c r="Y32" s="9"/>
      <c r="Z32" s="70">
        <v>0</v>
      </c>
      <c r="AA32" s="71"/>
      <c r="AB32" s="108"/>
      <c r="AC32" s="9"/>
      <c r="AD32" s="9"/>
      <c r="AE32" s="10"/>
      <c r="AF32" s="24">
        <v>0</v>
      </c>
      <c r="AG32" s="11">
        <v>1229.3200000000002</v>
      </c>
      <c r="AH32" s="8">
        <v>155.43</v>
      </c>
      <c r="AI32" s="9">
        <v>1073.8900000000001</v>
      </c>
      <c r="AJ32" s="9">
        <v>1073.8900000000001</v>
      </c>
      <c r="AK32" s="10"/>
      <c r="AL32" s="11"/>
      <c r="AM32" s="8">
        <v>0</v>
      </c>
      <c r="AN32" s="9"/>
      <c r="AO32" s="9"/>
      <c r="AP32" s="10"/>
      <c r="AQ32" s="25"/>
      <c r="AR32" s="25"/>
      <c r="AS32" s="25"/>
      <c r="AT32" s="10"/>
      <c r="AU32" s="12">
        <v>1229.32</v>
      </c>
      <c r="AV32" s="12"/>
      <c r="AW32" s="12"/>
      <c r="AX32" s="242"/>
      <c r="AY32" s="243"/>
      <c r="AZ32" s="242"/>
      <c r="BA32" s="242"/>
      <c r="BB32" s="244"/>
      <c r="BC32" s="243"/>
      <c r="BD32" s="243"/>
      <c r="BE32" s="242">
        <v>0</v>
      </c>
      <c r="BF32" s="242">
        <v>0</v>
      </c>
      <c r="BG32" s="242">
        <v>0</v>
      </c>
      <c r="BH32" s="242">
        <v>0</v>
      </c>
      <c r="BI32" s="242">
        <v>0</v>
      </c>
      <c r="BJ32" s="242">
        <v>0</v>
      </c>
      <c r="BK32" s="242">
        <v>0</v>
      </c>
      <c r="BL32" s="242"/>
      <c r="BM32" s="242">
        <v>2</v>
      </c>
      <c r="BN32" s="242">
        <v>0</v>
      </c>
      <c r="BO32" s="242">
        <v>0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>
        <v>0</v>
      </c>
      <c r="CE32" s="242">
        <v>155.43</v>
      </c>
      <c r="CF32" s="242">
        <v>0</v>
      </c>
      <c r="CG32" s="242">
        <v>155.43</v>
      </c>
      <c r="CH32" s="242">
        <v>0</v>
      </c>
      <c r="CI32" s="247" t="s">
        <v>633</v>
      </c>
      <c r="CJ32" s="248">
        <v>155.43</v>
      </c>
      <c r="CK32" s="248">
        <v>0</v>
      </c>
      <c r="CL32" s="248">
        <v>1229.32</v>
      </c>
      <c r="CM32" s="248">
        <v>0</v>
      </c>
    </row>
    <row r="33" spans="1:91" x14ac:dyDescent="0.25">
      <c r="A33" s="231" t="s">
        <v>689</v>
      </c>
      <c r="B33" s="232" t="s">
        <v>690</v>
      </c>
      <c r="C33" s="232" t="s">
        <v>670</v>
      </c>
      <c r="D33" s="233"/>
      <c r="E33" s="234">
        <v>572731.54</v>
      </c>
      <c r="F33" s="235">
        <v>572731.54</v>
      </c>
      <c r="G33" s="236"/>
      <c r="H33" s="237"/>
      <c r="I33" s="238">
        <v>572731.54</v>
      </c>
      <c r="J33" s="239"/>
      <c r="K33" s="240"/>
      <c r="L33" s="8">
        <v>470904.42</v>
      </c>
      <c r="M33" s="241">
        <v>470904.42</v>
      </c>
      <c r="N33" s="71"/>
      <c r="O33" s="100"/>
      <c r="P33" s="9"/>
      <c r="Q33" s="9"/>
      <c r="R33" s="9"/>
      <c r="S33" s="152">
        <v>45772</v>
      </c>
      <c r="T33" s="10"/>
      <c r="U33" s="23"/>
      <c r="V33" s="11"/>
      <c r="W33" s="11"/>
      <c r="X33" s="8">
        <v>470904.42</v>
      </c>
      <c r="Y33" s="9"/>
      <c r="Z33" s="70">
        <v>0</v>
      </c>
      <c r="AA33" s="71"/>
      <c r="AB33" s="108"/>
      <c r="AC33" s="9"/>
      <c r="AD33" s="9"/>
      <c r="AE33" s="10"/>
      <c r="AF33" s="24">
        <v>0</v>
      </c>
      <c r="AG33" s="11">
        <v>572731.54</v>
      </c>
      <c r="AH33" s="8">
        <v>470904.42</v>
      </c>
      <c r="AI33" s="9">
        <v>101827.12</v>
      </c>
      <c r="AJ33" s="9">
        <v>101827.12</v>
      </c>
      <c r="AK33" s="10"/>
      <c r="AL33" s="11"/>
      <c r="AM33" s="8">
        <v>0</v>
      </c>
      <c r="AN33" s="9"/>
      <c r="AO33" s="9"/>
      <c r="AP33" s="10"/>
      <c r="AQ33" s="25"/>
      <c r="AR33" s="25"/>
      <c r="AS33" s="25"/>
      <c r="AT33" s="10"/>
      <c r="AU33" s="12">
        <v>572731.54</v>
      </c>
      <c r="AV33" s="12"/>
      <c r="AW33" s="12"/>
      <c r="AX33" s="242"/>
      <c r="AY33" s="243"/>
      <c r="AZ33" s="242"/>
      <c r="BA33" s="242"/>
      <c r="BB33" s="244"/>
      <c r="BC33" s="243"/>
      <c r="BD33" s="243"/>
      <c r="BE33" s="242">
        <v>0</v>
      </c>
      <c r="BF33" s="242">
        <v>0</v>
      </c>
      <c r="BG33" s="242">
        <v>0</v>
      </c>
      <c r="BH33" s="242">
        <v>0</v>
      </c>
      <c r="BI33" s="242">
        <v>0</v>
      </c>
      <c r="BJ33" s="242">
        <v>0</v>
      </c>
      <c r="BK33" s="242">
        <v>0</v>
      </c>
      <c r="BL33" s="242"/>
      <c r="BM33" s="242">
        <v>2</v>
      </c>
      <c r="BN33" s="242">
        <v>0</v>
      </c>
      <c r="BO33" s="242">
        <v>0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>
        <v>0</v>
      </c>
      <c r="CE33" s="242">
        <v>470904.42</v>
      </c>
      <c r="CF33" s="242">
        <v>0</v>
      </c>
      <c r="CG33" s="242">
        <v>470904.42</v>
      </c>
      <c r="CH33" s="242">
        <v>0</v>
      </c>
      <c r="CI33" s="247" t="s">
        <v>633</v>
      </c>
      <c r="CJ33" s="248">
        <v>470904.42</v>
      </c>
      <c r="CK33" s="248">
        <v>0</v>
      </c>
      <c r="CL33" s="248">
        <v>572731.54</v>
      </c>
      <c r="CM33" s="248">
        <v>0</v>
      </c>
    </row>
    <row r="34" spans="1:91" x14ac:dyDescent="0.25">
      <c r="A34" s="231" t="s">
        <v>691</v>
      </c>
      <c r="B34" s="232" t="s">
        <v>692</v>
      </c>
      <c r="C34" s="232" t="s">
        <v>670</v>
      </c>
      <c r="D34" s="233"/>
      <c r="E34" s="234">
        <v>98325.5</v>
      </c>
      <c r="F34" s="235">
        <v>98325.5</v>
      </c>
      <c r="G34" s="236"/>
      <c r="H34" s="237"/>
      <c r="I34" s="238">
        <v>98325.5</v>
      </c>
      <c r="J34" s="239"/>
      <c r="K34" s="240"/>
      <c r="L34" s="8">
        <v>74320.86</v>
      </c>
      <c r="M34" s="241">
        <v>74320.86</v>
      </c>
      <c r="N34" s="71"/>
      <c r="O34" s="100"/>
      <c r="P34" s="9"/>
      <c r="Q34" s="9"/>
      <c r="R34" s="9"/>
      <c r="S34" s="152">
        <v>45744</v>
      </c>
      <c r="T34" s="10"/>
      <c r="U34" s="23"/>
      <c r="V34" s="11"/>
      <c r="W34" s="11"/>
      <c r="X34" s="8">
        <v>74320.86</v>
      </c>
      <c r="Y34" s="9"/>
      <c r="Z34" s="70">
        <v>0</v>
      </c>
      <c r="AA34" s="71"/>
      <c r="AB34" s="108"/>
      <c r="AC34" s="9"/>
      <c r="AD34" s="9"/>
      <c r="AE34" s="10"/>
      <c r="AF34" s="24">
        <v>0</v>
      </c>
      <c r="AG34" s="11">
        <v>98325.5</v>
      </c>
      <c r="AH34" s="8">
        <v>74320.86</v>
      </c>
      <c r="AI34" s="9">
        <v>24004.639999999999</v>
      </c>
      <c r="AJ34" s="9">
        <v>24004.639999999999</v>
      </c>
      <c r="AK34" s="10"/>
      <c r="AL34" s="11"/>
      <c r="AM34" s="8">
        <v>0</v>
      </c>
      <c r="AN34" s="9"/>
      <c r="AO34" s="9"/>
      <c r="AP34" s="10"/>
      <c r="AQ34" s="25"/>
      <c r="AR34" s="25"/>
      <c r="AS34" s="25"/>
      <c r="AT34" s="10"/>
      <c r="AU34" s="12">
        <v>98325.5</v>
      </c>
      <c r="AV34" s="12"/>
      <c r="AW34" s="12"/>
      <c r="AX34" s="242"/>
      <c r="AY34" s="243"/>
      <c r="AZ34" s="242"/>
      <c r="BA34" s="242"/>
      <c r="BB34" s="244"/>
      <c r="BC34" s="243"/>
      <c r="BD34" s="243"/>
      <c r="BE34" s="242">
        <v>0</v>
      </c>
      <c r="BF34" s="242">
        <v>0</v>
      </c>
      <c r="BG34" s="242">
        <v>0</v>
      </c>
      <c r="BH34" s="242">
        <v>0</v>
      </c>
      <c r="BI34" s="242">
        <v>0</v>
      </c>
      <c r="BJ34" s="242">
        <v>0</v>
      </c>
      <c r="BK34" s="242">
        <v>0</v>
      </c>
      <c r="BL34" s="242"/>
      <c r="BM34" s="242">
        <v>2</v>
      </c>
      <c r="BN34" s="242">
        <v>0</v>
      </c>
      <c r="BO34" s="242">
        <v>0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>
        <v>0</v>
      </c>
      <c r="CE34" s="242">
        <v>74320.86</v>
      </c>
      <c r="CF34" s="242">
        <v>0</v>
      </c>
      <c r="CG34" s="242">
        <v>74320.86</v>
      </c>
      <c r="CH34" s="242">
        <v>0</v>
      </c>
      <c r="CI34" s="247" t="s">
        <v>633</v>
      </c>
      <c r="CJ34" s="248">
        <v>74320.86</v>
      </c>
      <c r="CK34" s="248">
        <v>0</v>
      </c>
      <c r="CL34" s="248">
        <v>98325.5</v>
      </c>
      <c r="CM34" s="248">
        <v>0</v>
      </c>
    </row>
    <row r="35" spans="1:91" x14ac:dyDescent="0.25">
      <c r="A35" s="231" t="s">
        <v>693</v>
      </c>
      <c r="B35" s="232" t="s">
        <v>694</v>
      </c>
      <c r="C35" s="232" t="s">
        <v>670</v>
      </c>
      <c r="D35" s="233"/>
      <c r="E35" s="234">
        <v>77926.820000000007</v>
      </c>
      <c r="F35" s="235">
        <v>77926.820000000007</v>
      </c>
      <c r="G35" s="236"/>
      <c r="H35" s="237"/>
      <c r="I35" s="238">
        <v>77926.820000000007</v>
      </c>
      <c r="J35" s="239"/>
      <c r="K35" s="240"/>
      <c r="L35" s="8">
        <v>202943.79</v>
      </c>
      <c r="M35" s="241">
        <v>214286.76</v>
      </c>
      <c r="N35" s="71"/>
      <c r="O35" s="100"/>
      <c r="P35" s="9"/>
      <c r="Q35" s="9"/>
      <c r="R35" s="9"/>
      <c r="S35" s="152">
        <v>45744</v>
      </c>
      <c r="T35" s="10"/>
      <c r="U35" s="23"/>
      <c r="V35" s="11"/>
      <c r="W35" s="11"/>
      <c r="X35" s="8">
        <v>214286.76</v>
      </c>
      <c r="Y35" s="9"/>
      <c r="Z35" s="70">
        <v>0</v>
      </c>
      <c r="AA35" s="71"/>
      <c r="AB35" s="108"/>
      <c r="AC35" s="9"/>
      <c r="AD35" s="9"/>
      <c r="AE35" s="10"/>
      <c r="AF35" s="24">
        <v>0</v>
      </c>
      <c r="AG35" s="11">
        <v>77926.820000000007</v>
      </c>
      <c r="AH35" s="8">
        <v>214286.76</v>
      </c>
      <c r="AI35" s="9">
        <v>-136359.94</v>
      </c>
      <c r="AJ35" s="9">
        <v>-136359.94</v>
      </c>
      <c r="AK35" s="10"/>
      <c r="AL35" s="11"/>
      <c r="AM35" s="8">
        <v>0</v>
      </c>
      <c r="AN35" s="9"/>
      <c r="AO35" s="9"/>
      <c r="AP35" s="10"/>
      <c r="AQ35" s="25"/>
      <c r="AR35" s="25"/>
      <c r="AS35" s="25"/>
      <c r="AT35" s="10"/>
      <c r="AU35" s="12">
        <v>77926.820000000007</v>
      </c>
      <c r="AV35" s="12"/>
      <c r="AW35" s="12"/>
      <c r="AX35" s="242"/>
      <c r="AY35" s="243"/>
      <c r="AZ35" s="242"/>
      <c r="BA35" s="242"/>
      <c r="BB35" s="244"/>
      <c r="BC35" s="243"/>
      <c r="BD35" s="243"/>
      <c r="BE35" s="242">
        <v>0</v>
      </c>
      <c r="BF35" s="242">
        <v>0</v>
      </c>
      <c r="BG35" s="242">
        <v>0</v>
      </c>
      <c r="BH35" s="242">
        <v>0</v>
      </c>
      <c r="BI35" s="242">
        <v>0</v>
      </c>
      <c r="BJ35" s="242">
        <v>0</v>
      </c>
      <c r="BK35" s="242">
        <v>0</v>
      </c>
      <c r="BL35" s="242"/>
      <c r="BM35" s="242">
        <v>2</v>
      </c>
      <c r="BN35" s="242">
        <v>0</v>
      </c>
      <c r="BO35" s="242">
        <v>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>
        <v>0</v>
      </c>
      <c r="CE35" s="242">
        <v>214286.76</v>
      </c>
      <c r="CF35" s="242">
        <v>0</v>
      </c>
      <c r="CG35" s="242">
        <v>214286.76</v>
      </c>
      <c r="CH35" s="242">
        <v>0</v>
      </c>
      <c r="CI35" s="247" t="s">
        <v>633</v>
      </c>
      <c r="CJ35" s="248">
        <v>214286.76</v>
      </c>
      <c r="CK35" s="248">
        <v>0</v>
      </c>
      <c r="CL35" s="248">
        <v>77926.820000000007</v>
      </c>
      <c r="CM35" s="248">
        <v>0</v>
      </c>
    </row>
    <row r="36" spans="1:91" x14ac:dyDescent="0.25">
      <c r="A36" s="231" t="s">
        <v>695</v>
      </c>
      <c r="B36" s="232" t="s">
        <v>696</v>
      </c>
      <c r="C36" s="232" t="s">
        <v>670</v>
      </c>
      <c r="D36" s="233"/>
      <c r="E36" s="234">
        <v>0</v>
      </c>
      <c r="F36" s="235">
        <v>0</v>
      </c>
      <c r="G36" s="236"/>
      <c r="H36" s="237"/>
      <c r="I36" s="238">
        <v>88862</v>
      </c>
      <c r="J36" s="239"/>
      <c r="K36" s="240"/>
      <c r="L36" s="8">
        <v>119824.08</v>
      </c>
      <c r="M36" s="241">
        <v>119824.08</v>
      </c>
      <c r="N36" s="71"/>
      <c r="O36" s="100"/>
      <c r="P36" s="9"/>
      <c r="Q36" s="9"/>
      <c r="R36" s="9"/>
      <c r="S36" s="152">
        <v>45744</v>
      </c>
      <c r="T36" s="10"/>
      <c r="U36" s="23"/>
      <c r="V36" s="11"/>
      <c r="W36" s="11"/>
      <c r="X36" s="8">
        <v>119824.08</v>
      </c>
      <c r="Y36" s="9"/>
      <c r="Z36" s="70">
        <v>0</v>
      </c>
      <c r="AA36" s="71"/>
      <c r="AB36" s="108"/>
      <c r="AC36" s="9"/>
      <c r="AD36" s="9"/>
      <c r="AE36" s="10"/>
      <c r="AF36" s="24">
        <v>0</v>
      </c>
      <c r="AG36" s="11">
        <v>88862</v>
      </c>
      <c r="AH36" s="8">
        <v>119824.08</v>
      </c>
      <c r="AI36" s="9">
        <v>-30962.080000000002</v>
      </c>
      <c r="AJ36" s="9">
        <v>-30962.080000000002</v>
      </c>
      <c r="AK36" s="10"/>
      <c r="AL36" s="11"/>
      <c r="AM36" s="8">
        <v>0</v>
      </c>
      <c r="AN36" s="9"/>
      <c r="AO36" s="9"/>
      <c r="AP36" s="10"/>
      <c r="AQ36" s="25"/>
      <c r="AR36" s="25"/>
      <c r="AS36" s="25"/>
      <c r="AT36" s="10"/>
      <c r="AU36" s="12">
        <v>88862</v>
      </c>
      <c r="AV36" s="12"/>
      <c r="AW36" s="12"/>
      <c r="AX36" s="242"/>
      <c r="AY36" s="243"/>
      <c r="AZ36" s="242"/>
      <c r="BA36" s="242"/>
      <c r="BB36" s="244"/>
      <c r="BC36" s="243"/>
      <c r="BD36" s="243"/>
      <c r="BE36" s="242">
        <v>0</v>
      </c>
      <c r="BF36" s="242">
        <v>0</v>
      </c>
      <c r="BG36" s="242">
        <v>0</v>
      </c>
      <c r="BH36" s="242">
        <v>0</v>
      </c>
      <c r="BI36" s="242">
        <v>0</v>
      </c>
      <c r="BJ36" s="242">
        <v>0</v>
      </c>
      <c r="BK36" s="242">
        <v>0</v>
      </c>
      <c r="BL36" s="242"/>
      <c r="BM36" s="242">
        <v>2</v>
      </c>
      <c r="BN36" s="242">
        <v>0</v>
      </c>
      <c r="BO36" s="242">
        <v>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>
        <v>0</v>
      </c>
      <c r="CE36" s="242">
        <v>119824.08</v>
      </c>
      <c r="CF36" s="242">
        <v>0</v>
      </c>
      <c r="CG36" s="242">
        <v>119824.08</v>
      </c>
      <c r="CH36" s="242">
        <v>0</v>
      </c>
      <c r="CI36" s="247" t="s">
        <v>633</v>
      </c>
      <c r="CJ36" s="248">
        <v>119824.08</v>
      </c>
      <c r="CK36" s="248">
        <v>0</v>
      </c>
      <c r="CL36" s="248">
        <v>88862</v>
      </c>
      <c r="CM36" s="248">
        <v>0</v>
      </c>
    </row>
    <row r="37" spans="1:91" x14ac:dyDescent="0.25">
      <c r="A37" s="231" t="s">
        <v>697</v>
      </c>
      <c r="B37" s="232" t="s">
        <v>698</v>
      </c>
      <c r="C37" s="232" t="s">
        <v>636</v>
      </c>
      <c r="D37" s="233"/>
      <c r="E37" s="234">
        <v>1017300</v>
      </c>
      <c r="F37" s="235">
        <v>1017300</v>
      </c>
      <c r="G37" s="236"/>
      <c r="H37" s="237"/>
      <c r="I37" s="238">
        <v>1017300</v>
      </c>
      <c r="J37" s="239"/>
      <c r="K37" s="240"/>
      <c r="L37" s="8">
        <v>797250.06</v>
      </c>
      <c r="M37" s="241">
        <v>797250.06</v>
      </c>
      <c r="N37" s="71"/>
      <c r="O37" s="100"/>
      <c r="P37" s="9"/>
      <c r="Q37" s="9">
        <v>220049.93999999994</v>
      </c>
      <c r="R37" s="9"/>
      <c r="S37" s="152">
        <v>45748</v>
      </c>
      <c r="T37" s="10"/>
      <c r="U37" s="23"/>
      <c r="V37" s="11"/>
      <c r="W37" s="11"/>
      <c r="X37" s="8">
        <v>797250.06</v>
      </c>
      <c r="Y37" s="9"/>
      <c r="Z37" s="70">
        <v>220049.94</v>
      </c>
      <c r="AA37" s="71"/>
      <c r="AB37" s="108"/>
      <c r="AC37" s="9">
        <v>220049.94</v>
      </c>
      <c r="AD37" s="9"/>
      <c r="AE37" s="10"/>
      <c r="AF37" s="24">
        <v>0</v>
      </c>
      <c r="AG37" s="11">
        <v>730196.36</v>
      </c>
      <c r="AH37" s="8">
        <v>705074.1</v>
      </c>
      <c r="AI37" s="9">
        <v>25122.26</v>
      </c>
      <c r="AJ37" s="9">
        <v>25122.26</v>
      </c>
      <c r="AK37" s="10"/>
      <c r="AL37" s="11"/>
      <c r="AM37" s="8">
        <v>92175.96</v>
      </c>
      <c r="AN37" s="9"/>
      <c r="AO37" s="9"/>
      <c r="AP37" s="10"/>
      <c r="AQ37" s="25"/>
      <c r="AR37" s="25"/>
      <c r="AS37" s="25"/>
      <c r="AT37" s="10"/>
      <c r="AU37" s="12">
        <v>1017300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1017300</v>
      </c>
      <c r="BF37" s="15">
        <v>797250.06</v>
      </c>
      <c r="BG37" s="15">
        <v>220049.94</v>
      </c>
      <c r="BH37" s="15">
        <v>1017300</v>
      </c>
      <c r="BI37" s="15">
        <v>797250.06</v>
      </c>
      <c r="BJ37" s="242">
        <v>0</v>
      </c>
      <c r="BK37" s="242">
        <v>220049.94</v>
      </c>
      <c r="BL37" s="242"/>
      <c r="BM37" s="242">
        <v>2</v>
      </c>
      <c r="BN37" s="242">
        <v>220049.93999999994</v>
      </c>
      <c r="BO37" s="242">
        <v>0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94">
        <v>220049.94</v>
      </c>
      <c r="CC37" s="246" t="s">
        <v>634</v>
      </c>
      <c r="CD37" s="242">
        <v>0</v>
      </c>
      <c r="CE37" s="242">
        <v>705074.1</v>
      </c>
      <c r="CF37" s="242">
        <v>0</v>
      </c>
      <c r="CG37" s="242">
        <v>705074.1</v>
      </c>
      <c r="CH37" s="242">
        <v>0</v>
      </c>
      <c r="CI37" s="247" t="s">
        <v>633</v>
      </c>
      <c r="CJ37" s="248">
        <v>797250.06</v>
      </c>
      <c r="CK37" s="248">
        <v>92175.96</v>
      </c>
      <c r="CL37" s="248">
        <v>1017300</v>
      </c>
      <c r="CM37" s="248">
        <v>0</v>
      </c>
    </row>
    <row r="38" spans="1:91" x14ac:dyDescent="0.25">
      <c r="A38" s="231" t="s">
        <v>699</v>
      </c>
      <c r="B38" s="232" t="s">
        <v>700</v>
      </c>
      <c r="C38" s="232" t="s">
        <v>636</v>
      </c>
      <c r="D38" s="233"/>
      <c r="E38" s="234">
        <v>212000</v>
      </c>
      <c r="F38" s="235">
        <v>179650</v>
      </c>
      <c r="G38" s="236"/>
      <c r="H38" s="237"/>
      <c r="I38" s="238">
        <v>179650</v>
      </c>
      <c r="J38" s="239"/>
      <c r="K38" s="240"/>
      <c r="L38" s="8">
        <v>162037.23000000001</v>
      </c>
      <c r="M38" s="241">
        <v>140567.65</v>
      </c>
      <c r="N38" s="71"/>
      <c r="O38" s="100"/>
      <c r="P38" s="9"/>
      <c r="Q38" s="9">
        <v>38000</v>
      </c>
      <c r="R38" s="9"/>
      <c r="S38" s="152">
        <v>45992</v>
      </c>
      <c r="T38" s="10"/>
      <c r="U38" s="23"/>
      <c r="V38" s="11"/>
      <c r="W38" s="11"/>
      <c r="X38" s="8">
        <v>140567.65</v>
      </c>
      <c r="Y38" s="9"/>
      <c r="Z38" s="70">
        <v>39082.35</v>
      </c>
      <c r="AA38" s="71"/>
      <c r="AB38" s="108"/>
      <c r="AC38" s="9">
        <v>37709.64</v>
      </c>
      <c r="AD38" s="9"/>
      <c r="AE38" s="10"/>
      <c r="AF38" s="24">
        <v>0</v>
      </c>
      <c r="AG38" s="11">
        <v>145201.87999999998</v>
      </c>
      <c r="AH38" s="8">
        <v>139380.10999999999</v>
      </c>
      <c r="AI38" s="9">
        <v>5821.77</v>
      </c>
      <c r="AJ38" s="9">
        <v>5821.77</v>
      </c>
      <c r="AK38" s="10"/>
      <c r="AL38" s="11"/>
      <c r="AM38" s="8">
        <v>1187.54</v>
      </c>
      <c r="AN38" s="9"/>
      <c r="AO38" s="9"/>
      <c r="AP38" s="10"/>
      <c r="AQ38" s="25"/>
      <c r="AR38" s="25"/>
      <c r="AS38" s="25"/>
      <c r="AT38" s="10"/>
      <c r="AU38" s="12">
        <v>179650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15">
        <v>179650</v>
      </c>
      <c r="BF38" s="15">
        <v>140567.65</v>
      </c>
      <c r="BG38" s="15">
        <v>39082.35</v>
      </c>
      <c r="BH38" s="15">
        <v>179650</v>
      </c>
      <c r="BI38" s="15">
        <v>140567.65</v>
      </c>
      <c r="BJ38" s="242">
        <v>0</v>
      </c>
      <c r="BK38" s="242">
        <v>37709.64</v>
      </c>
      <c r="BL38" s="242"/>
      <c r="BM38" s="242">
        <v>2</v>
      </c>
      <c r="BN38" s="242">
        <v>38000</v>
      </c>
      <c r="BO38" s="242">
        <v>0</v>
      </c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94">
        <v>39082.35</v>
      </c>
      <c r="CC38" s="246" t="s">
        <v>634</v>
      </c>
      <c r="CD38" s="242">
        <v>0</v>
      </c>
      <c r="CE38" s="242">
        <v>139380.10999999999</v>
      </c>
      <c r="CF38" s="242">
        <v>0</v>
      </c>
      <c r="CG38" s="242">
        <v>139380.10999999999</v>
      </c>
      <c r="CH38" s="242">
        <v>0</v>
      </c>
      <c r="CI38" s="247" t="s">
        <v>633</v>
      </c>
      <c r="CJ38" s="248">
        <v>140567.65</v>
      </c>
      <c r="CK38" s="248">
        <v>1187.54</v>
      </c>
      <c r="CL38" s="248">
        <v>179650</v>
      </c>
      <c r="CM38" s="248">
        <v>0</v>
      </c>
    </row>
    <row r="39" spans="1:91" x14ac:dyDescent="0.25">
      <c r="A39" s="231" t="s">
        <v>701</v>
      </c>
      <c r="B39" s="232" t="s">
        <v>702</v>
      </c>
      <c r="C39" s="232" t="s">
        <v>636</v>
      </c>
      <c r="D39" s="233"/>
      <c r="E39" s="234">
        <v>2100</v>
      </c>
      <c r="F39" s="235">
        <v>2100</v>
      </c>
      <c r="G39" s="236"/>
      <c r="H39" s="237"/>
      <c r="I39" s="238">
        <v>2100</v>
      </c>
      <c r="J39" s="239"/>
      <c r="K39" s="240"/>
      <c r="L39" s="8">
        <v>2177.56</v>
      </c>
      <c r="M39" s="241">
        <v>2177.56</v>
      </c>
      <c r="N39" s="71"/>
      <c r="O39" s="100"/>
      <c r="P39" s="9"/>
      <c r="Q39" s="9"/>
      <c r="R39" s="9"/>
      <c r="S39" s="152">
        <v>45744</v>
      </c>
      <c r="T39" s="10"/>
      <c r="U39" s="23"/>
      <c r="V39" s="11"/>
      <c r="W39" s="11"/>
      <c r="X39" s="8">
        <v>2177.56</v>
      </c>
      <c r="Y39" s="9"/>
      <c r="Z39" s="70">
        <v>0</v>
      </c>
      <c r="AA39" s="71"/>
      <c r="AB39" s="108"/>
      <c r="AC39" s="9"/>
      <c r="AD39" s="9"/>
      <c r="AE39" s="10"/>
      <c r="AF39" s="24">
        <v>0</v>
      </c>
      <c r="AG39" s="11">
        <v>2100</v>
      </c>
      <c r="AH39" s="8">
        <v>2177.56</v>
      </c>
      <c r="AI39" s="9">
        <v>-77.56</v>
      </c>
      <c r="AJ39" s="9">
        <v>-77.56</v>
      </c>
      <c r="AK39" s="10"/>
      <c r="AL39" s="11"/>
      <c r="AM39" s="8">
        <v>0</v>
      </c>
      <c r="AN39" s="9"/>
      <c r="AO39" s="9"/>
      <c r="AP39" s="10"/>
      <c r="AQ39" s="25"/>
      <c r="AR39" s="25"/>
      <c r="AS39" s="25"/>
      <c r="AT39" s="10"/>
      <c r="AU39" s="12">
        <v>2100</v>
      </c>
      <c r="AV39" s="12"/>
      <c r="AW39" s="12"/>
      <c r="AX39" s="242"/>
      <c r="AY39" s="243"/>
      <c r="AZ39" s="242"/>
      <c r="BA39" s="242"/>
      <c r="BB39" s="244"/>
      <c r="BC39" s="243"/>
      <c r="BD39" s="243"/>
      <c r="BE39" s="242">
        <v>0</v>
      </c>
      <c r="BF39" s="242">
        <v>0</v>
      </c>
      <c r="BG39" s="242">
        <v>0</v>
      </c>
      <c r="BH39" s="242">
        <v>0</v>
      </c>
      <c r="BI39" s="242">
        <v>0</v>
      </c>
      <c r="BJ39" s="242">
        <v>0</v>
      </c>
      <c r="BK39" s="242">
        <v>0</v>
      </c>
      <c r="BL39" s="242"/>
      <c r="BM39" s="242">
        <v>2</v>
      </c>
      <c r="BN39" s="242">
        <v>0</v>
      </c>
      <c r="BO39" s="242">
        <v>0</v>
      </c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>
        <v>0</v>
      </c>
      <c r="CE39" s="242">
        <v>2177.56</v>
      </c>
      <c r="CF39" s="242">
        <v>0</v>
      </c>
      <c r="CG39" s="242">
        <v>2177.56</v>
      </c>
      <c r="CH39" s="242">
        <v>0</v>
      </c>
      <c r="CI39" s="247" t="s">
        <v>633</v>
      </c>
      <c r="CJ39" s="248">
        <v>2177.56</v>
      </c>
      <c r="CK39" s="248">
        <v>0</v>
      </c>
      <c r="CL39" s="248">
        <v>2100</v>
      </c>
      <c r="CM39" s="248">
        <v>0</v>
      </c>
    </row>
    <row r="40" spans="1:91" x14ac:dyDescent="0.25">
      <c r="A40" s="231" t="s">
        <v>703</v>
      </c>
      <c r="B40" s="232" t="s">
        <v>704</v>
      </c>
      <c r="C40" s="232" t="s">
        <v>636</v>
      </c>
      <c r="D40" s="233"/>
      <c r="E40" s="234">
        <v>1168969</v>
      </c>
      <c r="F40" s="235">
        <v>1168969</v>
      </c>
      <c r="G40" s="236"/>
      <c r="H40" s="237"/>
      <c r="I40" s="238">
        <v>1168969</v>
      </c>
      <c r="J40" s="239"/>
      <c r="K40" s="240"/>
      <c r="L40" s="8">
        <v>925928.56</v>
      </c>
      <c r="M40" s="241">
        <v>905528.56</v>
      </c>
      <c r="N40" s="71"/>
      <c r="O40" s="100"/>
      <c r="P40" s="9"/>
      <c r="Q40" s="9">
        <v>263440.43999999994</v>
      </c>
      <c r="R40" s="9"/>
      <c r="S40" s="152">
        <v>45962</v>
      </c>
      <c r="T40" s="10"/>
      <c r="U40" s="23"/>
      <c r="V40" s="11"/>
      <c r="W40" s="11"/>
      <c r="X40" s="8">
        <v>905528.56</v>
      </c>
      <c r="Y40" s="9"/>
      <c r="Z40" s="70">
        <v>263440.44</v>
      </c>
      <c r="AA40" s="71"/>
      <c r="AB40" s="108"/>
      <c r="AC40" s="9">
        <v>263440.44</v>
      </c>
      <c r="AD40" s="9"/>
      <c r="AE40" s="10"/>
      <c r="AF40" s="24">
        <v>0</v>
      </c>
      <c r="AG40" s="11">
        <v>805043.25</v>
      </c>
      <c r="AH40" s="8">
        <v>760614.81</v>
      </c>
      <c r="AI40" s="9">
        <v>44428.44</v>
      </c>
      <c r="AJ40" s="9">
        <v>44428.44</v>
      </c>
      <c r="AK40" s="10"/>
      <c r="AL40" s="11"/>
      <c r="AM40" s="8">
        <v>144913.75</v>
      </c>
      <c r="AN40" s="9"/>
      <c r="AO40" s="9"/>
      <c r="AP40" s="10"/>
      <c r="AQ40" s="25"/>
      <c r="AR40" s="25"/>
      <c r="AS40" s="25"/>
      <c r="AT40" s="10"/>
      <c r="AU40" s="12">
        <v>1168969</v>
      </c>
      <c r="AV40" s="12"/>
      <c r="AW40" s="12"/>
      <c r="AX40" s="242"/>
      <c r="AY40" s="243"/>
      <c r="AZ40" s="242"/>
      <c r="BA40" s="242"/>
      <c r="BB40" s="244"/>
      <c r="BC40" s="243" t="s">
        <v>630</v>
      </c>
      <c r="BD40" s="243" t="s">
        <v>630</v>
      </c>
      <c r="BE40" s="15">
        <v>1168969</v>
      </c>
      <c r="BF40" s="15">
        <v>905528.56</v>
      </c>
      <c r="BG40" s="15">
        <v>263440.44</v>
      </c>
      <c r="BH40" s="15">
        <v>1168969</v>
      </c>
      <c r="BI40" s="15">
        <v>905528.56</v>
      </c>
      <c r="BJ40" s="242">
        <v>0</v>
      </c>
      <c r="BK40" s="242">
        <v>263440.44</v>
      </c>
      <c r="BL40" s="242"/>
      <c r="BM40" s="242">
        <v>2</v>
      </c>
      <c r="BN40" s="242">
        <v>263440.43999999994</v>
      </c>
      <c r="BO40" s="242">
        <v>0</v>
      </c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94">
        <v>263440.44</v>
      </c>
      <c r="CC40" s="246" t="s">
        <v>634</v>
      </c>
      <c r="CD40" s="242">
        <v>0</v>
      </c>
      <c r="CE40" s="242">
        <v>760614.81</v>
      </c>
      <c r="CF40" s="242">
        <v>0</v>
      </c>
      <c r="CG40" s="242">
        <v>760614.81</v>
      </c>
      <c r="CH40" s="242">
        <v>0</v>
      </c>
      <c r="CI40" s="247" t="s">
        <v>633</v>
      </c>
      <c r="CJ40" s="248">
        <v>905528.56</v>
      </c>
      <c r="CK40" s="248">
        <v>144913.75</v>
      </c>
      <c r="CL40" s="248">
        <v>1168969</v>
      </c>
      <c r="CM40" s="248">
        <v>0</v>
      </c>
    </row>
    <row r="41" spans="1:91" x14ac:dyDescent="0.25">
      <c r="A41" s="231" t="s">
        <v>705</v>
      </c>
      <c r="B41" s="232" t="s">
        <v>706</v>
      </c>
      <c r="C41" s="232" t="s">
        <v>707</v>
      </c>
      <c r="D41" s="233"/>
      <c r="E41" s="234">
        <v>182346</v>
      </c>
      <c r="F41" s="235">
        <v>182346</v>
      </c>
      <c r="G41" s="236"/>
      <c r="H41" s="237"/>
      <c r="I41" s="238">
        <v>182346</v>
      </c>
      <c r="J41" s="239"/>
      <c r="K41" s="240"/>
      <c r="L41" s="8">
        <v>18943.7</v>
      </c>
      <c r="M41" s="241">
        <v>18943.7</v>
      </c>
      <c r="N41" s="71"/>
      <c r="O41" s="100"/>
      <c r="P41" s="9"/>
      <c r="Q41" s="9"/>
      <c r="R41" s="9"/>
      <c r="S41" s="152">
        <v>45744</v>
      </c>
      <c r="T41" s="10"/>
      <c r="U41" s="23"/>
      <c r="V41" s="11"/>
      <c r="W41" s="11"/>
      <c r="X41" s="8">
        <v>18243.7</v>
      </c>
      <c r="Y41" s="9"/>
      <c r="Z41" s="70">
        <v>0</v>
      </c>
      <c r="AA41" s="71"/>
      <c r="AB41" s="108"/>
      <c r="AC41" s="9"/>
      <c r="AD41" s="9"/>
      <c r="AE41" s="10"/>
      <c r="AF41" s="24">
        <v>0</v>
      </c>
      <c r="AG41" s="11">
        <v>182346</v>
      </c>
      <c r="AH41" s="8">
        <v>18243.7</v>
      </c>
      <c r="AI41" s="9">
        <v>164102.29999999999</v>
      </c>
      <c r="AJ41" s="9">
        <v>164102.29999999999</v>
      </c>
      <c r="AK41" s="10"/>
      <c r="AL41" s="11"/>
      <c r="AM41" s="8">
        <v>0</v>
      </c>
      <c r="AN41" s="9"/>
      <c r="AO41" s="9"/>
      <c r="AP41" s="10"/>
      <c r="AQ41" s="25"/>
      <c r="AR41" s="25"/>
      <c r="AS41" s="25"/>
      <c r="AT41" s="10"/>
      <c r="AU41" s="12">
        <v>182346</v>
      </c>
      <c r="AV41" s="12"/>
      <c r="AW41" s="12"/>
      <c r="AX41" s="242"/>
      <c r="AY41" s="243"/>
      <c r="AZ41" s="242"/>
      <c r="BA41" s="242"/>
      <c r="BB41" s="244"/>
      <c r="BC41" s="243"/>
      <c r="BD41" s="243"/>
      <c r="BE41" s="242">
        <v>0</v>
      </c>
      <c r="BF41" s="242">
        <v>0</v>
      </c>
      <c r="BG41" s="242">
        <v>0</v>
      </c>
      <c r="BH41" s="242">
        <v>0</v>
      </c>
      <c r="BI41" s="242">
        <v>0</v>
      </c>
      <c r="BJ41" s="242">
        <v>0</v>
      </c>
      <c r="BK41" s="242">
        <v>0</v>
      </c>
      <c r="BL41" s="242"/>
      <c r="BM41" s="242">
        <v>2</v>
      </c>
      <c r="BN41" s="242">
        <v>0</v>
      </c>
      <c r="BO41" s="242">
        <v>0</v>
      </c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>
        <v>0</v>
      </c>
      <c r="CE41" s="242">
        <v>18243.7</v>
      </c>
      <c r="CF41" s="242">
        <v>0</v>
      </c>
      <c r="CG41" s="242">
        <v>18243.7</v>
      </c>
      <c r="CH41" s="242">
        <v>0</v>
      </c>
      <c r="CI41" s="247" t="s">
        <v>633</v>
      </c>
      <c r="CJ41" s="248">
        <v>18243.7</v>
      </c>
      <c r="CK41" s="248">
        <v>0</v>
      </c>
      <c r="CL41" s="248">
        <v>182346</v>
      </c>
      <c r="CM41" s="248">
        <v>0</v>
      </c>
    </row>
    <row r="42" spans="1:91" x14ac:dyDescent="0.25">
      <c r="A42" s="231" t="s">
        <v>708</v>
      </c>
      <c r="B42" s="232" t="s">
        <v>709</v>
      </c>
      <c r="C42" s="232" t="s">
        <v>636</v>
      </c>
      <c r="D42" s="233"/>
      <c r="E42" s="234">
        <v>405950</v>
      </c>
      <c r="F42" s="235">
        <v>405950</v>
      </c>
      <c r="G42" s="236"/>
      <c r="H42" s="237"/>
      <c r="I42" s="238">
        <v>405950</v>
      </c>
      <c r="J42" s="239"/>
      <c r="K42" s="240"/>
      <c r="L42" s="8">
        <v>275272.48</v>
      </c>
      <c r="M42" s="241">
        <v>275272.48</v>
      </c>
      <c r="N42" s="71"/>
      <c r="O42" s="100"/>
      <c r="P42" s="9"/>
      <c r="Q42" s="9">
        <v>130000</v>
      </c>
      <c r="R42" s="9"/>
      <c r="S42" s="152">
        <v>45992</v>
      </c>
      <c r="T42" s="10"/>
      <c r="U42" s="23"/>
      <c r="V42" s="11"/>
      <c r="W42" s="11"/>
      <c r="X42" s="8">
        <v>275272.48</v>
      </c>
      <c r="Y42" s="9"/>
      <c r="Z42" s="70">
        <v>130677.52</v>
      </c>
      <c r="AA42" s="71"/>
      <c r="AB42" s="108"/>
      <c r="AC42" s="9">
        <v>122280.62</v>
      </c>
      <c r="AD42" s="9"/>
      <c r="AE42" s="10"/>
      <c r="AF42" s="24">
        <v>0</v>
      </c>
      <c r="AG42" s="11">
        <v>237994.47</v>
      </c>
      <c r="AH42" s="8">
        <v>232363.46</v>
      </c>
      <c r="AI42" s="9">
        <v>5631.01</v>
      </c>
      <c r="AJ42" s="9">
        <v>5631.01</v>
      </c>
      <c r="AK42" s="10"/>
      <c r="AL42" s="11"/>
      <c r="AM42" s="8">
        <v>42909.02</v>
      </c>
      <c r="AN42" s="9"/>
      <c r="AO42" s="9"/>
      <c r="AP42" s="10"/>
      <c r="AQ42" s="25"/>
      <c r="AR42" s="25"/>
      <c r="AS42" s="25"/>
      <c r="AT42" s="10"/>
      <c r="AU42" s="12">
        <v>405950</v>
      </c>
      <c r="AV42" s="12"/>
      <c r="AW42" s="12"/>
      <c r="AX42" s="242"/>
      <c r="AY42" s="243"/>
      <c r="AZ42" s="242"/>
      <c r="BA42" s="242"/>
      <c r="BB42" s="244"/>
      <c r="BC42" s="243" t="s">
        <v>630</v>
      </c>
      <c r="BD42" s="243" t="s">
        <v>630</v>
      </c>
      <c r="BE42" s="15">
        <v>405950</v>
      </c>
      <c r="BF42" s="15">
        <v>275272.48</v>
      </c>
      <c r="BG42" s="15">
        <v>130677.52</v>
      </c>
      <c r="BH42" s="15">
        <v>405950</v>
      </c>
      <c r="BI42" s="15">
        <v>275272.48</v>
      </c>
      <c r="BJ42" s="242">
        <v>0</v>
      </c>
      <c r="BK42" s="242">
        <v>122280.62</v>
      </c>
      <c r="BL42" s="242"/>
      <c r="BM42" s="242">
        <v>2</v>
      </c>
      <c r="BN42" s="242">
        <v>130000</v>
      </c>
      <c r="BO42" s="242">
        <v>0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94">
        <v>130677.52</v>
      </c>
      <c r="CC42" s="246" t="s">
        <v>634</v>
      </c>
      <c r="CD42" s="242">
        <v>0</v>
      </c>
      <c r="CE42" s="242">
        <v>232363.46</v>
      </c>
      <c r="CF42" s="242">
        <v>0</v>
      </c>
      <c r="CG42" s="242">
        <v>232363.46</v>
      </c>
      <c r="CH42" s="242">
        <v>0</v>
      </c>
      <c r="CI42" s="247" t="s">
        <v>633</v>
      </c>
      <c r="CJ42" s="248">
        <v>275272.48</v>
      </c>
      <c r="CK42" s="248">
        <v>42909.02</v>
      </c>
      <c r="CL42" s="248">
        <v>405950</v>
      </c>
      <c r="CM42" s="248">
        <v>0</v>
      </c>
    </row>
    <row r="43" spans="1:91" x14ac:dyDescent="0.25">
      <c r="A43" s="231" t="s">
        <v>710</v>
      </c>
      <c r="B43" s="232" t="s">
        <v>711</v>
      </c>
      <c r="C43" s="232" t="s">
        <v>712</v>
      </c>
      <c r="D43" s="233"/>
      <c r="E43" s="234">
        <v>38400</v>
      </c>
      <c r="F43" s="235">
        <v>38400</v>
      </c>
      <c r="G43" s="236"/>
      <c r="H43" s="237"/>
      <c r="I43" s="238">
        <v>38400</v>
      </c>
      <c r="J43" s="239"/>
      <c r="K43" s="240"/>
      <c r="L43" s="8">
        <v>24297.09</v>
      </c>
      <c r="M43" s="241">
        <v>24297.09</v>
      </c>
      <c r="N43" s="71"/>
      <c r="O43" s="100"/>
      <c r="P43" s="9"/>
      <c r="Q43" s="9"/>
      <c r="R43" s="9"/>
      <c r="S43" s="152">
        <v>45744</v>
      </c>
      <c r="T43" s="10"/>
      <c r="U43" s="23"/>
      <c r="V43" s="11"/>
      <c r="W43" s="11"/>
      <c r="X43" s="8">
        <v>23060.06</v>
      </c>
      <c r="Y43" s="9"/>
      <c r="Z43" s="70">
        <v>0</v>
      </c>
      <c r="AA43" s="71"/>
      <c r="AB43" s="108"/>
      <c r="AC43" s="9"/>
      <c r="AD43" s="9"/>
      <c r="AE43" s="10"/>
      <c r="AF43" s="24">
        <v>0</v>
      </c>
      <c r="AG43" s="11">
        <v>38400</v>
      </c>
      <c r="AH43" s="8">
        <v>23060.06</v>
      </c>
      <c r="AI43" s="9">
        <v>15339.94</v>
      </c>
      <c r="AJ43" s="9">
        <v>15339.94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38400</v>
      </c>
      <c r="AV43" s="12"/>
      <c r="AW43" s="12"/>
      <c r="AX43" s="242"/>
      <c r="AY43" s="243"/>
      <c r="AZ43" s="242"/>
      <c r="BA43" s="242"/>
      <c r="BB43" s="244"/>
      <c r="BC43" s="243"/>
      <c r="BD43" s="243"/>
      <c r="BE43" s="242">
        <v>0</v>
      </c>
      <c r="BF43" s="242">
        <v>0</v>
      </c>
      <c r="BG43" s="242">
        <v>0</v>
      </c>
      <c r="BH43" s="242">
        <v>0</v>
      </c>
      <c r="BI43" s="242">
        <v>0</v>
      </c>
      <c r="BJ43" s="242">
        <v>0</v>
      </c>
      <c r="BK43" s="242">
        <v>0</v>
      </c>
      <c r="BL43" s="242"/>
      <c r="BM43" s="242">
        <v>2</v>
      </c>
      <c r="BN43" s="242">
        <v>0</v>
      </c>
      <c r="BO43" s="242">
        <v>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>
        <v>0</v>
      </c>
      <c r="CE43" s="242">
        <v>23060.06</v>
      </c>
      <c r="CF43" s="242">
        <v>0</v>
      </c>
      <c r="CG43" s="242">
        <v>23060.06</v>
      </c>
      <c r="CH43" s="242">
        <v>0</v>
      </c>
      <c r="CI43" s="247" t="s">
        <v>633</v>
      </c>
      <c r="CJ43" s="248">
        <v>23060.06</v>
      </c>
      <c r="CK43" s="248">
        <v>0</v>
      </c>
      <c r="CL43" s="248">
        <v>38400</v>
      </c>
      <c r="CM43" s="248">
        <v>0</v>
      </c>
    </row>
    <row r="44" spans="1:91" x14ac:dyDescent="0.25">
      <c r="A44" s="231" t="s">
        <v>713</v>
      </c>
      <c r="B44" s="232" t="s">
        <v>714</v>
      </c>
      <c r="C44" s="232" t="s">
        <v>657</v>
      </c>
      <c r="D44" s="233"/>
      <c r="E44" s="234">
        <v>360762.82</v>
      </c>
      <c r="F44" s="235">
        <v>360762.82</v>
      </c>
      <c r="G44" s="236"/>
      <c r="H44" s="237"/>
      <c r="I44" s="238">
        <v>360762.82</v>
      </c>
      <c r="J44" s="239"/>
      <c r="K44" s="240"/>
      <c r="L44" s="8">
        <v>215502.73</v>
      </c>
      <c r="M44" s="241">
        <v>215502.73</v>
      </c>
      <c r="N44" s="71"/>
      <c r="O44" s="100"/>
      <c r="P44" s="9"/>
      <c r="Q44" s="9">
        <v>145260.09</v>
      </c>
      <c r="R44" s="9"/>
      <c r="S44" s="152">
        <v>45809</v>
      </c>
      <c r="T44" s="10"/>
      <c r="U44" s="23"/>
      <c r="V44" s="11"/>
      <c r="W44" s="11"/>
      <c r="X44" s="8">
        <v>215502.73</v>
      </c>
      <c r="Y44" s="9"/>
      <c r="Z44" s="70">
        <v>145260.09</v>
      </c>
      <c r="AA44" s="71"/>
      <c r="AB44" s="108"/>
      <c r="AC44" s="9">
        <v>145260.09</v>
      </c>
      <c r="AD44" s="9"/>
      <c r="AE44" s="10"/>
      <c r="AF44" s="24">
        <v>0</v>
      </c>
      <c r="AG44" s="11">
        <v>161312.24</v>
      </c>
      <c r="AH44" s="8">
        <v>143107.13</v>
      </c>
      <c r="AI44" s="9">
        <v>18205.11</v>
      </c>
      <c r="AJ44" s="9">
        <v>18205.11</v>
      </c>
      <c r="AK44" s="10"/>
      <c r="AL44" s="11"/>
      <c r="AM44" s="8">
        <v>72395.600000000006</v>
      </c>
      <c r="AN44" s="9"/>
      <c r="AO44" s="9"/>
      <c r="AP44" s="10"/>
      <c r="AQ44" s="25"/>
      <c r="AR44" s="25"/>
      <c r="AS44" s="25"/>
      <c r="AT44" s="10"/>
      <c r="AU44" s="12">
        <v>360762.82</v>
      </c>
      <c r="AV44" s="12"/>
      <c r="AW44" s="12"/>
      <c r="AX44" s="242"/>
      <c r="AY44" s="243"/>
      <c r="AZ44" s="242"/>
      <c r="BA44" s="242"/>
      <c r="BB44" s="244"/>
      <c r="BC44" s="243" t="s">
        <v>630</v>
      </c>
      <c r="BD44" s="243" t="s">
        <v>630</v>
      </c>
      <c r="BE44" s="15">
        <v>360762.82</v>
      </c>
      <c r="BF44" s="15">
        <v>215502.73</v>
      </c>
      <c r="BG44" s="15">
        <v>145260.09</v>
      </c>
      <c r="BH44" s="15">
        <v>360762.82</v>
      </c>
      <c r="BI44" s="15">
        <v>215502.73</v>
      </c>
      <c r="BJ44" s="242">
        <v>0</v>
      </c>
      <c r="BK44" s="242">
        <v>145260.09</v>
      </c>
      <c r="BL44" s="242"/>
      <c r="BM44" s="242">
        <v>2</v>
      </c>
      <c r="BN44" s="242">
        <v>145260.09</v>
      </c>
      <c r="BO44" s="242">
        <v>0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94">
        <v>145260.09</v>
      </c>
      <c r="CC44" s="246" t="s">
        <v>634</v>
      </c>
      <c r="CD44" s="242">
        <v>0</v>
      </c>
      <c r="CE44" s="242">
        <v>143107.13</v>
      </c>
      <c r="CF44" s="242">
        <v>0</v>
      </c>
      <c r="CG44" s="242">
        <v>143107.13</v>
      </c>
      <c r="CH44" s="242">
        <v>0</v>
      </c>
      <c r="CI44" s="247" t="s">
        <v>633</v>
      </c>
      <c r="CJ44" s="248">
        <v>215502.73</v>
      </c>
      <c r="CK44" s="248">
        <v>72395.600000000006</v>
      </c>
      <c r="CL44" s="248">
        <v>360762.82</v>
      </c>
      <c r="CM44" s="248">
        <v>0</v>
      </c>
    </row>
    <row r="45" spans="1:91" x14ac:dyDescent="0.25">
      <c r="A45" s="231"/>
      <c r="B45" s="303" t="s">
        <v>715</v>
      </c>
      <c r="C45" s="232"/>
      <c r="D45" s="233"/>
      <c r="E45" s="279">
        <f>SUM(E14:E44)</f>
        <v>23706493.91</v>
      </c>
      <c r="F45" s="268">
        <f>SUM(F14:F44)</f>
        <v>23674143.91</v>
      </c>
      <c r="G45" s="236"/>
      <c r="H45" s="237"/>
      <c r="I45" s="280">
        <f>SUM(I14:I44)</f>
        <v>23719289.91</v>
      </c>
      <c r="J45" s="239"/>
      <c r="K45" s="240"/>
      <c r="L45" s="272">
        <f>SUM(L14:L44)</f>
        <v>29578572.339999992</v>
      </c>
      <c r="M45" s="281">
        <f>SUM(M14:M44)</f>
        <v>29528015.079999994</v>
      </c>
      <c r="N45" s="71"/>
      <c r="O45" s="100"/>
      <c r="P45" s="270">
        <f>SUM(P14:P44)</f>
        <v>0</v>
      </c>
      <c r="Q45" s="270">
        <f>SUM(Q14:Q44)</f>
        <v>-4939710.7700000014</v>
      </c>
      <c r="R45" s="270">
        <f>SUM(R14:R44)</f>
        <v>0</v>
      </c>
      <c r="S45" s="152"/>
      <c r="T45" s="10"/>
      <c r="U45" s="23"/>
      <c r="V45" s="271">
        <f>SUM(V14:V44)</f>
        <v>0</v>
      </c>
      <c r="W45" s="271">
        <f>SUM(W14:W44)</f>
        <v>0</v>
      </c>
      <c r="X45" s="272">
        <f>SUM(X14:X44)</f>
        <v>29431452.239999987</v>
      </c>
      <c r="Y45" s="270">
        <f>SUM(Y14:Y44)</f>
        <v>0</v>
      </c>
      <c r="Z45" s="282">
        <f>SUM(Z14:Z44)</f>
        <v>-4737797.91</v>
      </c>
      <c r="AA45" s="71"/>
      <c r="AB45" s="108"/>
      <c r="AC45" s="270">
        <f>SUM(AC14:AC44)</f>
        <v>-4947720.51</v>
      </c>
      <c r="AD45" s="270">
        <f>SUM(AD14:AD44)</f>
        <v>0</v>
      </c>
      <c r="AE45" s="10"/>
      <c r="AF45" s="24"/>
      <c r="AG45" s="271">
        <f>SUM(AG14:AG44)</f>
        <v>22404442.079999998</v>
      </c>
      <c r="AH45" s="272">
        <f>SUM(AH14:AH44)</f>
        <v>29027313.04999999</v>
      </c>
      <c r="AI45" s="270">
        <f>SUM(AI14:AI44)</f>
        <v>-6622870.9700000025</v>
      </c>
      <c r="AJ45" s="270">
        <f>SUM(AJ14:AJ44)</f>
        <v>-6622870.9700000025</v>
      </c>
      <c r="AK45" s="10"/>
      <c r="AL45" s="271">
        <f>SUM(AL14:AL44)</f>
        <v>0</v>
      </c>
      <c r="AM45" s="272">
        <f>SUM(AM14:AM44)</f>
        <v>404139.19000000006</v>
      </c>
      <c r="AN45" s="270">
        <f>SUM(AN14:AN44)</f>
        <v>0</v>
      </c>
      <c r="AO45" s="270">
        <f>SUM(AO14:AO44)</f>
        <v>0</v>
      </c>
      <c r="AP45" s="10"/>
      <c r="AQ45" s="283">
        <f>SUM(AQ14:AQ44)</f>
        <v>0</v>
      </c>
      <c r="AR45" s="283">
        <f>SUM(AR14:AR44)</f>
        <v>0</v>
      </c>
      <c r="AS45" s="283">
        <f>SUM(AS14:AS44)</f>
        <v>0</v>
      </c>
      <c r="AT45" s="10"/>
      <c r="AU45" s="284">
        <f>SUM(AU14:AU44)</f>
        <v>23728036.010000002</v>
      </c>
      <c r="AV45" s="284">
        <f>SUM(AV14:AV44)</f>
        <v>0</v>
      </c>
      <c r="AW45" s="284">
        <f>SUM(AW14:AW44)</f>
        <v>0</v>
      </c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120" t="s">
        <v>716</v>
      </c>
      <c r="C47" s="232"/>
      <c r="D47" s="233"/>
      <c r="E47" s="279">
        <f>SUM(E7:E46)/2</f>
        <v>26026305.300000001</v>
      </c>
      <c r="F47" s="268">
        <f>SUM(F7:F46)/2</f>
        <v>25996561.300000001</v>
      </c>
      <c r="G47" s="236"/>
      <c r="H47" s="237"/>
      <c r="I47" s="280">
        <f>SUM(I7:I46)/2</f>
        <v>26039101.300000001</v>
      </c>
      <c r="J47" s="239"/>
      <c r="K47" s="240"/>
      <c r="L47" s="272">
        <f>SUM(L7:L46)/2</f>
        <v>31493077.849999994</v>
      </c>
      <c r="M47" s="281">
        <f>SUM(M7:M46)/2</f>
        <v>31577826.469999991</v>
      </c>
      <c r="N47" s="239"/>
      <c r="O47" s="240"/>
      <c r="P47" s="270">
        <f>SUM(P7:P46)/2</f>
        <v>0</v>
      </c>
      <c r="Q47" s="270">
        <f>SUM(Q7:Q46)/2</f>
        <v>-4679710.7700000014</v>
      </c>
      <c r="R47" s="270">
        <f>SUM(R7:R46)/2</f>
        <v>0</v>
      </c>
      <c r="S47" s="152"/>
      <c r="T47" s="10"/>
      <c r="U47" s="23"/>
      <c r="V47" s="271">
        <f>SUM(V7:V46)/2</f>
        <v>0</v>
      </c>
      <c r="W47" s="271">
        <f>SUM(W7:W46)/2</f>
        <v>0</v>
      </c>
      <c r="X47" s="272">
        <f>SUM(X7:X46)/2</f>
        <v>30397666.79999999</v>
      </c>
      <c r="Y47" s="270">
        <f>SUM(Y7:Y46)/2</f>
        <v>0</v>
      </c>
      <c r="Z47" s="282">
        <f>SUM(Z7:Z46)/2</f>
        <v>-4542982.32</v>
      </c>
      <c r="AA47" s="71"/>
      <c r="AB47" s="108"/>
      <c r="AC47" s="270">
        <f>SUM(AC7:AC46)/2</f>
        <v>-4772826.1099999994</v>
      </c>
      <c r="AD47" s="270">
        <f>SUM(AD7:AD46)/2</f>
        <v>0</v>
      </c>
      <c r="AE47" s="10"/>
      <c r="AF47" s="24"/>
      <c r="AG47" s="271">
        <f>SUM(AG7:AG46)/2</f>
        <v>22498114.210000001</v>
      </c>
      <c r="AH47" s="272">
        <f>SUM(AH7:AH46)/2</f>
        <v>29120985.179999992</v>
      </c>
      <c r="AI47" s="270">
        <f>SUM(AI7:AI46)/2</f>
        <v>-6622870.9700000025</v>
      </c>
      <c r="AJ47" s="270">
        <f>SUM(AJ7:AJ46)/2</f>
        <v>-6622870.9700000025</v>
      </c>
      <c r="AK47" s="10"/>
      <c r="AL47" s="271">
        <f>SUM(AL7:AL46)/2</f>
        <v>0</v>
      </c>
      <c r="AM47" s="272">
        <f>SUM(AM7:AM46)/2</f>
        <v>1276681.6200000001</v>
      </c>
      <c r="AN47" s="270">
        <f>SUM(AN7:AN46)/2</f>
        <v>0</v>
      </c>
      <c r="AO47" s="270">
        <f>SUM(AO7:AO46)/2</f>
        <v>0</v>
      </c>
      <c r="AP47" s="10"/>
      <c r="AQ47" s="283">
        <f>SUM(AQ7:AQ46)/2</f>
        <v>0</v>
      </c>
      <c r="AR47" s="283">
        <f>SUM(AR7:AR46)/2</f>
        <v>0</v>
      </c>
      <c r="AS47" s="283">
        <f>SUM(AS7:AS46)/2</f>
        <v>0</v>
      </c>
      <c r="AT47" s="10"/>
      <c r="AU47" s="284">
        <f>SUM(AU7:AU46)/2</f>
        <v>24972582.400000002</v>
      </c>
      <c r="AV47" s="284">
        <f>SUM(AV7:AV46)/2</f>
        <v>0</v>
      </c>
      <c r="AW47" s="284">
        <f>SUM(AW7:AW46)/2</f>
        <v>0</v>
      </c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86"/>
      <c r="B49" s="285" t="s">
        <v>638</v>
      </c>
      <c r="C49" s="120"/>
      <c r="D49" s="267"/>
      <c r="E49" s="279">
        <f>SUMIF(BM8:BM49,1, E8:E49)</f>
        <v>2319811.39</v>
      </c>
      <c r="F49" s="268">
        <f>SUMIF(BM8:BM49,1, F8:F49)</f>
        <v>2322417.39</v>
      </c>
      <c r="G49" s="287"/>
      <c r="H49" s="104"/>
      <c r="I49" s="280">
        <f>SUMIF(BM8:BM49,1, I8:I49)</f>
        <v>2319811.39</v>
      </c>
      <c r="J49" s="288"/>
      <c r="K49" s="98"/>
      <c r="L49" s="272">
        <f>SUMIF(BM8:BM49,1, L8:L49)</f>
        <v>1914505.51</v>
      </c>
      <c r="M49" s="281">
        <f>SUMIF(BM8:BM49,1, M8:M49)</f>
        <v>2049811.3900000001</v>
      </c>
      <c r="N49" s="289"/>
      <c r="O49" s="99"/>
      <c r="P49" s="270">
        <f>SUMIF(BM8:BM49,1, P8:P49)</f>
        <v>0</v>
      </c>
      <c r="Q49" s="270">
        <f>SUMIF(BM8:BM49,1, Q8:Q49)</f>
        <v>260000</v>
      </c>
      <c r="R49" s="270">
        <f>SUMIF(BM8:BM49,1, R8:R49)</f>
        <v>0</v>
      </c>
      <c r="S49" s="290"/>
      <c r="T49" s="291"/>
      <c r="U49" s="292"/>
      <c r="V49" s="271">
        <f>SUMIF(BM8:BM49,1, V8:V49)</f>
        <v>0</v>
      </c>
      <c r="W49" s="271">
        <f>SUMIF(BM8:BM49,1, W8:W49)</f>
        <v>0</v>
      </c>
      <c r="X49" s="272">
        <f>SUMIF(BM8:BM49,1, X8:X49)</f>
        <v>966214.56</v>
      </c>
      <c r="Y49" s="270">
        <f>SUMIF(BM8:BM49,1, Y8:Y49)</f>
        <v>0</v>
      </c>
      <c r="Z49" s="282">
        <f>SUMIF(BM8:BM49,1, Z8:Z49)</f>
        <v>194815.59000000003</v>
      </c>
      <c r="AA49" s="289"/>
      <c r="AB49" s="107"/>
      <c r="AC49" s="270">
        <f>SUMIF(BM8:BM49,1, AC8:AC49)</f>
        <v>174894.4</v>
      </c>
      <c r="AD49" s="270">
        <f>SUMIF(BM8:BM49,1, AD8:AD49)</f>
        <v>0</v>
      </c>
      <c r="AE49" s="291"/>
      <c r="AF49" s="293"/>
      <c r="AG49" s="271">
        <f>SUMIF(BM8:BM49,1, AG8:AG49)</f>
        <v>93672.13</v>
      </c>
      <c r="AH49" s="272">
        <f>SUMIF(BM8:BM49,1, AH8:AH49)</f>
        <v>93672.13</v>
      </c>
      <c r="AI49" s="270">
        <f>SUMIF(BM8:BM49,1, AI8:AI49)</f>
        <v>0</v>
      </c>
      <c r="AJ49" s="270">
        <f>SUMIF(BM8:BM49,1, AJ8:AJ49)</f>
        <v>0</v>
      </c>
      <c r="AK49" s="291"/>
      <c r="AL49" s="271">
        <f>SUMIF(BM8:BM49,1, AL8:AL49)</f>
        <v>0</v>
      </c>
      <c r="AM49" s="272">
        <f>SUMIF(BM8:BM49,1, AM8:AM49)</f>
        <v>872542.43</v>
      </c>
      <c r="AN49" s="270">
        <f>SUMIF(BM8:BM49,1, AN8:AN49)</f>
        <v>0</v>
      </c>
      <c r="AO49" s="270">
        <f>SUMIF(BM8:BM49,1, AO8:AO49)</f>
        <v>0</v>
      </c>
      <c r="AP49" s="291"/>
      <c r="AQ49" s="283">
        <f>SUMIF(BM8:BM49,1, AQ8:AQ49)</f>
        <v>0</v>
      </c>
      <c r="AR49" s="283">
        <f>SUMIF(BM8:BM49,1, AR8:AR49)</f>
        <v>0</v>
      </c>
      <c r="AS49" s="283">
        <f>SUMIF(BM8:BM49,1, AS8:AS49)</f>
        <v>0</v>
      </c>
      <c r="AT49" s="291"/>
      <c r="AU49" s="284">
        <f>SUMIF(BM8:BM49,1, AU8:AU49)</f>
        <v>1244546.3900000001</v>
      </c>
      <c r="AV49" s="284">
        <f>SUMIF(BM8:BM49,1, AV8:AV49)</f>
        <v>0</v>
      </c>
      <c r="AW49" s="284">
        <f>SUMIF(BM8:BM49,1, AW8:AW49)</f>
        <v>0</v>
      </c>
      <c r="AX49" s="15"/>
      <c r="AY49" s="274"/>
      <c r="AZ49" s="15"/>
      <c r="BA49" s="15"/>
      <c r="BB49" s="275"/>
      <c r="BC49" s="274"/>
      <c r="BD49" s="274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298"/>
      <c r="BU49" s="298"/>
      <c r="BV49" s="298"/>
      <c r="BW49" s="298"/>
      <c r="BX49" s="15"/>
      <c r="BY49" s="15"/>
      <c r="BZ49" s="294"/>
      <c r="CA49" s="294"/>
      <c r="CB49" s="294"/>
      <c r="CC49" s="276"/>
      <c r="CD49" s="15"/>
      <c r="CE49" s="15"/>
      <c r="CF49" s="15"/>
      <c r="CG49" s="15"/>
      <c r="CH49" s="15"/>
      <c r="CI49" s="295"/>
      <c r="CJ49" s="277"/>
      <c r="CK49" s="277"/>
      <c r="CL49" s="277"/>
      <c r="CM49" s="277"/>
    </row>
    <row r="50" spans="1:91" x14ac:dyDescent="0.25">
      <c r="A50" s="286"/>
      <c r="B50" s="285" t="s">
        <v>639</v>
      </c>
      <c r="C50" s="120"/>
      <c r="D50" s="267"/>
      <c r="E50" s="279">
        <f>SUMIF(BM8:BM49,2, E8:E49)</f>
        <v>23706493.91</v>
      </c>
      <c r="F50" s="268">
        <f>SUMIF(BM8:BM49,2, F8:F49)</f>
        <v>23674143.91</v>
      </c>
      <c r="G50" s="287"/>
      <c r="H50" s="104"/>
      <c r="I50" s="280">
        <f>SUMIF(BM8:BM49,2, I8:I49)</f>
        <v>23719289.91</v>
      </c>
      <c r="J50" s="288"/>
      <c r="K50" s="98"/>
      <c r="L50" s="272">
        <f>SUMIF(BM8:BM49,2, L8:L49)</f>
        <v>29578572.339999992</v>
      </c>
      <c r="M50" s="281">
        <f>SUMIF(BM8:BM49,2, M8:M49)</f>
        <v>29528015.079999994</v>
      </c>
      <c r="N50" s="289"/>
      <c r="O50" s="99"/>
      <c r="P50" s="270">
        <f>SUMIF(BM8:BM49,2, P8:P49)</f>
        <v>0</v>
      </c>
      <c r="Q50" s="270">
        <f>SUMIF(BM8:BM49,2, Q8:Q49)</f>
        <v>-4939710.7700000014</v>
      </c>
      <c r="R50" s="270">
        <f>SUMIF(BM8:BM49,2, R8:R49)</f>
        <v>0</v>
      </c>
      <c r="S50" s="290"/>
      <c r="T50" s="291"/>
      <c r="U50" s="292"/>
      <c r="V50" s="271">
        <f>SUMIF(BM8:BM49,2, V8:V49)</f>
        <v>0</v>
      </c>
      <c r="W50" s="271">
        <f>SUMIF(BM8:BM49,2, W8:W49)</f>
        <v>0</v>
      </c>
      <c r="X50" s="272">
        <f>SUMIF(BM8:BM49,2, X8:X49)</f>
        <v>29431452.239999987</v>
      </c>
      <c r="Y50" s="270">
        <f>SUMIF(BM8:BM49,2, Y8:Y49)</f>
        <v>0</v>
      </c>
      <c r="Z50" s="282">
        <f>SUMIF(BM8:BM49,2, Z8:Z49)</f>
        <v>-4737797.91</v>
      </c>
      <c r="AA50" s="289"/>
      <c r="AB50" s="107"/>
      <c r="AC50" s="270">
        <f>SUMIF(BM8:BM49,2, AC8:AC49)</f>
        <v>-4947720.51</v>
      </c>
      <c r="AD50" s="270">
        <f>SUMIF(BM8:BM49,2, AD8:AD49)</f>
        <v>0</v>
      </c>
      <c r="AE50" s="291"/>
      <c r="AF50" s="293"/>
      <c r="AG50" s="271">
        <f>SUMIF(BM8:BM49,2, AG8:AG49)</f>
        <v>22404442.079999998</v>
      </c>
      <c r="AH50" s="272">
        <f>SUMIF(BM8:BM49,2, AH8:AH49)</f>
        <v>29027313.04999999</v>
      </c>
      <c r="AI50" s="270">
        <f>SUMIF(BM8:BM49,2, AI8:AI49)</f>
        <v>-6622870.9700000025</v>
      </c>
      <c r="AJ50" s="270">
        <f>SUMIF(BM8:BM49,2, AJ8:AJ49)</f>
        <v>-6622870.9700000025</v>
      </c>
      <c r="AK50" s="291"/>
      <c r="AL50" s="271">
        <f>SUMIF(BM8:BM49,2, AL8:AL49)</f>
        <v>0</v>
      </c>
      <c r="AM50" s="272">
        <f>SUMIF(BM8:BM49,2, AM8:AM49)</f>
        <v>404139.19000000006</v>
      </c>
      <c r="AN50" s="270">
        <f>SUMIF(BM8:BM49,2, AN8:AN49)</f>
        <v>0</v>
      </c>
      <c r="AO50" s="270">
        <f>SUMIF(BM8:BM49,2, AO8:AO49)</f>
        <v>0</v>
      </c>
      <c r="AP50" s="291"/>
      <c r="AQ50" s="283">
        <f>SUMIF(BM8:BM49,2, AQ8:AQ49)</f>
        <v>0</v>
      </c>
      <c r="AR50" s="283">
        <f>SUMIF(BM8:BM49,2, AR8:AR49)</f>
        <v>0</v>
      </c>
      <c r="AS50" s="283">
        <f>SUMIF(BM8:BM49,2, AS8:AS49)</f>
        <v>0</v>
      </c>
      <c r="AT50" s="291"/>
      <c r="AU50" s="284">
        <f>SUMIF(BM8:BM49,2, AU8:AU49)</f>
        <v>23728036.010000002</v>
      </c>
      <c r="AV50" s="284">
        <f>SUMIF(BM8:BM49,2, AV8:AV49)</f>
        <v>0</v>
      </c>
      <c r="AW50" s="284">
        <f>SUMIF(BM8:BM49,2, AW8:AW49)</f>
        <v>0</v>
      </c>
      <c r="AX50" s="15"/>
      <c r="AY50" s="274"/>
      <c r="AZ50" s="15"/>
      <c r="BA50" s="15"/>
      <c r="BB50" s="275"/>
      <c r="BC50" s="274"/>
      <c r="BD50" s="274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298"/>
      <c r="BU50" s="298"/>
      <c r="BV50" s="298"/>
      <c r="BW50" s="298"/>
      <c r="BX50" s="15"/>
      <c r="BY50" s="15"/>
      <c r="BZ50" s="294"/>
      <c r="CA50" s="294"/>
      <c r="CB50" s="294"/>
      <c r="CC50" s="276"/>
      <c r="CD50" s="15"/>
      <c r="CE50" s="15"/>
      <c r="CF50" s="15"/>
      <c r="CG50" s="15"/>
      <c r="CH50" s="15"/>
      <c r="CI50" s="295"/>
      <c r="CJ50" s="277"/>
      <c r="CK50" s="277"/>
      <c r="CL50" s="277"/>
      <c r="CM50" s="277"/>
    </row>
    <row r="51" spans="1:91" x14ac:dyDescent="0.25">
      <c r="A51" s="286"/>
      <c r="B51" s="285" t="s">
        <v>637</v>
      </c>
      <c r="C51" s="120"/>
      <c r="D51" s="267"/>
      <c r="E51" s="279">
        <f>SUM(E8:E50)/4</f>
        <v>26026305.300000001</v>
      </c>
      <c r="F51" s="268">
        <f>SUM(F8:F50)/4</f>
        <v>25996561.300000001</v>
      </c>
      <c r="G51" s="287"/>
      <c r="H51" s="104"/>
      <c r="I51" s="280">
        <f>SUM(I8:I50)/4</f>
        <v>26039101.300000001</v>
      </c>
      <c r="J51" s="288"/>
      <c r="K51" s="98"/>
      <c r="L51" s="272">
        <f>SUM(L8:L50)/4</f>
        <v>31493077.849999994</v>
      </c>
      <c r="M51" s="281">
        <f>SUM(M8:M50)/4</f>
        <v>31577826.469999991</v>
      </c>
      <c r="N51" s="289"/>
      <c r="O51" s="99"/>
      <c r="P51" s="270">
        <f>SUM(P8:P50)/4</f>
        <v>0</v>
      </c>
      <c r="Q51" s="270">
        <f>SUM(Q8:Q50)/4</f>
        <v>-4679710.7700000014</v>
      </c>
      <c r="R51" s="270">
        <f>SUM(R8:R50)/4</f>
        <v>0</v>
      </c>
      <c r="S51" s="290"/>
      <c r="T51" s="291"/>
      <c r="U51" s="292"/>
      <c r="V51" s="271">
        <f>SUM(V8:V50)/4</f>
        <v>0</v>
      </c>
      <c r="W51" s="271">
        <f>SUM(W8:W50)/4</f>
        <v>0</v>
      </c>
      <c r="X51" s="272">
        <f>SUM(X8:X50)/4</f>
        <v>30397666.79999999</v>
      </c>
      <c r="Y51" s="270">
        <f>SUM(Y8:Y50)/4</f>
        <v>0</v>
      </c>
      <c r="Z51" s="282">
        <f>SUM(Z8:Z50)/4</f>
        <v>-4542982.32</v>
      </c>
      <c r="AA51" s="289"/>
      <c r="AB51" s="107"/>
      <c r="AC51" s="270">
        <f>SUM(AC8:AC50)/4</f>
        <v>-4772826.1099999994</v>
      </c>
      <c r="AD51" s="270">
        <f>SUM(AD8:AD50)/4</f>
        <v>0</v>
      </c>
      <c r="AE51" s="291"/>
      <c r="AF51" s="293"/>
      <c r="AG51" s="271">
        <f>SUM(AG8:AG50)/4</f>
        <v>22498114.209999997</v>
      </c>
      <c r="AH51" s="272">
        <f>SUM(AH8:AH50)/4</f>
        <v>29120985.179999992</v>
      </c>
      <c r="AI51" s="270">
        <f>SUM(AI8:AI50)/4</f>
        <v>-6622870.9700000025</v>
      </c>
      <c r="AJ51" s="270">
        <f>SUM(AJ8:AJ50)/4</f>
        <v>-6622870.9700000025</v>
      </c>
      <c r="AK51" s="291"/>
      <c r="AL51" s="271">
        <f>SUM(AL8:AL50)/4</f>
        <v>0</v>
      </c>
      <c r="AM51" s="272">
        <f>SUM(AM8:AM50)/4</f>
        <v>1276681.6200000001</v>
      </c>
      <c r="AN51" s="270">
        <f>SUM(AN8:AN50)/4</f>
        <v>0</v>
      </c>
      <c r="AO51" s="270">
        <f>SUM(AO8:AO50)/4</f>
        <v>0</v>
      </c>
      <c r="AP51" s="291"/>
      <c r="AQ51" s="283">
        <f>SUM(AQ8:AQ50)/4</f>
        <v>0</v>
      </c>
      <c r="AR51" s="283">
        <f>SUM(AR8:AR50)/4</f>
        <v>0</v>
      </c>
      <c r="AS51" s="283">
        <f>SUM(AS8:AS50)/4</f>
        <v>0</v>
      </c>
      <c r="AT51" s="291"/>
      <c r="AU51" s="284">
        <f>SUM(AU8:AU50)/4</f>
        <v>24972582.400000002</v>
      </c>
      <c r="AV51" s="284">
        <f>SUM(AV8:AV50)/4</f>
        <v>0</v>
      </c>
      <c r="AW51" s="284">
        <f>SUM(AW8:AW50)/4</f>
        <v>0</v>
      </c>
      <c r="AX51" s="15"/>
      <c r="AY51" s="274"/>
      <c r="AZ51" s="15"/>
      <c r="BA51" s="15"/>
      <c r="BB51" s="275"/>
      <c r="BC51" s="274"/>
      <c r="BD51" s="274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298"/>
      <c r="BU51" s="298"/>
      <c r="BV51" s="298"/>
      <c r="BW51" s="298"/>
      <c r="BX51" s="15"/>
      <c r="BY51" s="15"/>
      <c r="BZ51" s="294"/>
      <c r="CA51" s="294"/>
      <c r="CB51" s="294"/>
      <c r="CC51" s="276"/>
      <c r="CD51" s="15"/>
      <c r="CE51" s="15"/>
      <c r="CF51" s="15"/>
      <c r="CG51" s="15"/>
      <c r="CH51" s="15"/>
      <c r="CI51" s="295"/>
      <c r="CJ51" s="277"/>
      <c r="CK51" s="277"/>
      <c r="CL51" s="277"/>
      <c r="CM51" s="277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275KcPJvtvvF/ctCXVDbYhcqbfVavVCqs4sMxsSCG+LaVUcmhksqUfIBuDKk3QcCoT8mEGjKLynV3y0H6U2zvw==" saltValue="ythiqFWvXhowW1RFFYRnU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640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641</v>
      </c>
      <c r="B9" s="255" t="s">
        <v>642</v>
      </c>
      <c r="C9" s="255" t="s">
        <v>643</v>
      </c>
      <c r="D9" s="233"/>
      <c r="E9" s="234">
        <v>507000</v>
      </c>
      <c r="F9" s="235">
        <v>507000</v>
      </c>
      <c r="G9" s="256"/>
      <c r="H9" s="257"/>
      <c r="I9" s="237"/>
      <c r="J9" s="238">
        <v>507000</v>
      </c>
      <c r="K9" s="249"/>
      <c r="L9" s="240"/>
      <c r="M9" s="8">
        <v>463624.64</v>
      </c>
      <c r="N9" s="241">
        <v>467000</v>
      </c>
      <c r="O9" s="72"/>
      <c r="P9" s="100"/>
      <c r="Q9" s="9"/>
      <c r="R9" s="9"/>
      <c r="S9" s="9"/>
      <c r="T9" s="258">
        <v>46508</v>
      </c>
      <c r="U9" s="10"/>
      <c r="V9" s="23"/>
      <c r="W9" s="11"/>
      <c r="X9" s="8">
        <v>81020.649999999994</v>
      </c>
      <c r="Y9" s="9"/>
      <c r="Z9" s="9"/>
      <c r="AA9" s="9"/>
      <c r="AB9" s="10"/>
      <c r="AC9" s="24">
        <v>0</v>
      </c>
      <c r="AD9" s="11">
        <v>0</v>
      </c>
      <c r="AE9" s="8">
        <v>4436.3</v>
      </c>
      <c r="AF9" s="9"/>
      <c r="AG9" s="10"/>
      <c r="AH9" s="11"/>
      <c r="AI9" s="8">
        <v>76584.350000000006</v>
      </c>
      <c r="AJ9" s="9"/>
      <c r="AK9" s="10"/>
      <c r="AL9" s="25"/>
      <c r="AM9" s="25"/>
      <c r="AN9" s="25"/>
      <c r="AO9" s="10"/>
      <c r="AP9" s="12">
        <v>113258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507000</v>
      </c>
      <c r="BA9" s="15">
        <v>467000</v>
      </c>
      <c r="BB9" s="15">
        <v>507000</v>
      </c>
      <c r="BC9" s="15">
        <v>467000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4436.3</v>
      </c>
      <c r="BY9" s="248">
        <v>0</v>
      </c>
      <c r="BZ9" s="248">
        <v>4436.3</v>
      </c>
      <c r="CA9" s="248">
        <v>0</v>
      </c>
      <c r="CB9" s="243" t="s">
        <v>633</v>
      </c>
      <c r="CC9" s="248">
        <v>81020.649999999994</v>
      </c>
      <c r="CD9" s="248">
        <v>76584.350000000006</v>
      </c>
      <c r="CE9" s="248">
        <v>113258</v>
      </c>
      <c r="CF9" s="248">
        <v>0</v>
      </c>
    </row>
    <row r="10" spans="1:95" x14ac:dyDescent="0.25">
      <c r="A10" s="254" t="s">
        <v>644</v>
      </c>
      <c r="B10" s="255" t="s">
        <v>645</v>
      </c>
      <c r="C10" s="255" t="s">
        <v>646</v>
      </c>
      <c r="D10" s="233"/>
      <c r="E10" s="234">
        <v>494981.39</v>
      </c>
      <c r="F10" s="235">
        <v>497587.39</v>
      </c>
      <c r="G10" s="256"/>
      <c r="H10" s="257"/>
      <c r="I10" s="237"/>
      <c r="J10" s="238">
        <v>494981.39</v>
      </c>
      <c r="K10" s="249"/>
      <c r="L10" s="240"/>
      <c r="M10" s="8">
        <v>314480.17</v>
      </c>
      <c r="N10" s="241">
        <v>314981.39</v>
      </c>
      <c r="O10" s="72"/>
      <c r="P10" s="100"/>
      <c r="Q10" s="9"/>
      <c r="R10" s="9"/>
      <c r="S10" s="9"/>
      <c r="T10" s="258">
        <v>46082</v>
      </c>
      <c r="U10" s="10"/>
      <c r="V10" s="23"/>
      <c r="W10" s="11"/>
      <c r="X10" s="8">
        <v>300560.74</v>
      </c>
      <c r="Y10" s="9"/>
      <c r="Z10" s="9"/>
      <c r="AA10" s="9"/>
      <c r="AB10" s="10"/>
      <c r="AC10" s="24">
        <v>0</v>
      </c>
      <c r="AD10" s="11">
        <v>0</v>
      </c>
      <c r="AE10" s="8">
        <v>89235.83</v>
      </c>
      <c r="AF10" s="9"/>
      <c r="AG10" s="10"/>
      <c r="AH10" s="11"/>
      <c r="AI10" s="8">
        <v>211324.91</v>
      </c>
      <c r="AJ10" s="9"/>
      <c r="AK10" s="10"/>
      <c r="AL10" s="25"/>
      <c r="AM10" s="25"/>
      <c r="AN10" s="25"/>
      <c r="AO10" s="10"/>
      <c r="AP10" s="12">
        <v>494981.39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494981.39</v>
      </c>
      <c r="BA10" s="15">
        <v>314981.39</v>
      </c>
      <c r="BB10" s="15">
        <v>494981.39</v>
      </c>
      <c r="BC10" s="15">
        <v>314981.39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89235.83</v>
      </c>
      <c r="BY10" s="248">
        <v>0</v>
      </c>
      <c r="BZ10" s="248">
        <v>89235.83</v>
      </c>
      <c r="CA10" s="248">
        <v>0</v>
      </c>
      <c r="CB10" s="243" t="s">
        <v>633</v>
      </c>
      <c r="CC10" s="248">
        <v>300560.74</v>
      </c>
      <c r="CD10" s="248">
        <v>211324.91</v>
      </c>
      <c r="CE10" s="248">
        <v>494981.39</v>
      </c>
      <c r="CF10" s="248">
        <v>0</v>
      </c>
    </row>
    <row r="11" spans="1:95" x14ac:dyDescent="0.25">
      <c r="A11" s="254" t="s">
        <v>647</v>
      </c>
      <c r="B11" s="255" t="s">
        <v>648</v>
      </c>
      <c r="C11" s="255" t="s">
        <v>643</v>
      </c>
      <c r="D11" s="233"/>
      <c r="E11" s="234">
        <v>1317830</v>
      </c>
      <c r="F11" s="235">
        <v>1317830</v>
      </c>
      <c r="G11" s="256"/>
      <c r="H11" s="257"/>
      <c r="I11" s="237"/>
      <c r="J11" s="238">
        <v>1317830</v>
      </c>
      <c r="K11" s="249"/>
      <c r="L11" s="240"/>
      <c r="M11" s="8">
        <v>1136400.7</v>
      </c>
      <c r="N11" s="241">
        <v>1267830</v>
      </c>
      <c r="O11" s="72"/>
      <c r="P11" s="100"/>
      <c r="Q11" s="9"/>
      <c r="R11" s="9"/>
      <c r="S11" s="9"/>
      <c r="T11" s="258">
        <v>46082</v>
      </c>
      <c r="U11" s="10"/>
      <c r="V11" s="23"/>
      <c r="W11" s="11"/>
      <c r="X11" s="8">
        <v>584633.17000000004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584633.17000000004</v>
      </c>
      <c r="AJ11" s="9"/>
      <c r="AK11" s="10"/>
      <c r="AL11" s="25"/>
      <c r="AM11" s="25"/>
      <c r="AN11" s="25"/>
      <c r="AO11" s="10"/>
      <c r="AP11" s="12">
        <v>636307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1317830</v>
      </c>
      <c r="BA11" s="15">
        <v>1267830</v>
      </c>
      <c r="BB11" s="15">
        <v>1317830</v>
      </c>
      <c r="BC11" s="15">
        <v>1267830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584633.17000000004</v>
      </c>
      <c r="CD11" s="248">
        <v>584633.17000000004</v>
      </c>
      <c r="CE11" s="248">
        <v>636307</v>
      </c>
      <c r="CF11" s="248">
        <v>0</v>
      </c>
    </row>
    <row r="12" spans="1:95" x14ac:dyDescent="0.25">
      <c r="A12" s="254"/>
      <c r="B12" s="93" t="s">
        <v>649</v>
      </c>
      <c r="C12" s="255"/>
      <c r="D12" s="233"/>
      <c r="E12" s="279">
        <f>SUM(E8:E11)</f>
        <v>2319811.39</v>
      </c>
      <c r="F12" s="268">
        <f>SUM(F8:F11)</f>
        <v>2322417.39</v>
      </c>
      <c r="G12" s="256"/>
      <c r="H12" s="257"/>
      <c r="I12" s="237"/>
      <c r="J12" s="280">
        <f>SUM(J8:J11)</f>
        <v>2319811.39</v>
      </c>
      <c r="K12" s="249"/>
      <c r="L12" s="240"/>
      <c r="M12" s="272">
        <f>SUM(M8:M11)</f>
        <v>1914505.51</v>
      </c>
      <c r="N12" s="281">
        <f>SUM(N8:N11)</f>
        <v>2049811.3900000001</v>
      </c>
      <c r="O12" s="71"/>
      <c r="P12" s="100"/>
      <c r="Q12" s="270">
        <f>SUM(Q8:Q11)</f>
        <v>0</v>
      </c>
      <c r="R12" s="270">
        <f>SUM(R8:R11)</f>
        <v>0</v>
      </c>
      <c r="S12" s="270">
        <f>SUM(S8:S11)</f>
        <v>0</v>
      </c>
      <c r="T12" s="258"/>
      <c r="U12" s="10"/>
      <c r="V12" s="23"/>
      <c r="W12" s="271">
        <f>SUM(W8:W11)</f>
        <v>0</v>
      </c>
      <c r="X12" s="272">
        <f>SUM(X8:X11)</f>
        <v>966214.56</v>
      </c>
      <c r="Y12" s="270">
        <f>SUM(Y8:Y11)</f>
        <v>0</v>
      </c>
      <c r="Z12" s="270">
        <f>SUM(Z8:Z11)</f>
        <v>0</v>
      </c>
      <c r="AA12" s="270">
        <f>SUM(AA8:AA11)</f>
        <v>0</v>
      </c>
      <c r="AB12" s="10"/>
      <c r="AC12" s="24"/>
      <c r="AD12" s="271">
        <f>SUM(AD8:AD11)</f>
        <v>0</v>
      </c>
      <c r="AE12" s="272">
        <f>SUM(AE8:AE11)</f>
        <v>93672.13</v>
      </c>
      <c r="AF12" s="270">
        <f>SUM(AF8:AF11)</f>
        <v>0</v>
      </c>
      <c r="AG12" s="10"/>
      <c r="AH12" s="271">
        <f>SUM(AH8:AH11)</f>
        <v>0</v>
      </c>
      <c r="AI12" s="272">
        <f>SUM(AI8:AI11)</f>
        <v>872542.43</v>
      </c>
      <c r="AJ12" s="270">
        <f>SUM(AJ8:AJ11)</f>
        <v>0</v>
      </c>
      <c r="AK12" s="10"/>
      <c r="AL12" s="283">
        <f>SUM(AL8:AL11)</f>
        <v>0</v>
      </c>
      <c r="AM12" s="283">
        <f>SUM(AM8:AM11)</f>
        <v>0</v>
      </c>
      <c r="AN12" s="283">
        <f>SUM(AN8:AN11)</f>
        <v>0</v>
      </c>
      <c r="AO12" s="10"/>
      <c r="AP12" s="284">
        <f>SUM(AP8:AP11)</f>
        <v>1244546.3900000001</v>
      </c>
      <c r="AQ12" s="284">
        <f>SUM(AQ8:AQ11)</f>
        <v>0</v>
      </c>
      <c r="AR12" s="284">
        <f>SUM(AR8:AR11)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93" t="s">
        <v>632</v>
      </c>
      <c r="C14" s="255"/>
      <c r="D14" s="233"/>
      <c r="E14" s="234"/>
      <c r="F14" s="235"/>
      <c r="G14" s="256"/>
      <c r="H14" s="257"/>
      <c r="I14" s="237"/>
      <c r="J14" s="238"/>
      <c r="K14" s="249"/>
      <c r="L14" s="240"/>
      <c r="M14" s="8"/>
      <c r="N14" s="241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254" t="s">
        <v>650</v>
      </c>
      <c r="B15" s="255" t="s">
        <v>651</v>
      </c>
      <c r="C15" s="255" t="s">
        <v>646</v>
      </c>
      <c r="D15" s="233"/>
      <c r="E15" s="234">
        <v>17116858</v>
      </c>
      <c r="F15" s="235">
        <v>17116858</v>
      </c>
      <c r="G15" s="256"/>
      <c r="H15" s="257"/>
      <c r="I15" s="237"/>
      <c r="J15" s="238">
        <v>17116858</v>
      </c>
      <c r="K15" s="249"/>
      <c r="L15" s="240"/>
      <c r="M15" s="8">
        <v>22720043.010000002</v>
      </c>
      <c r="N15" s="241">
        <v>22696705.010000002</v>
      </c>
      <c r="O15" s="72"/>
      <c r="P15" s="100"/>
      <c r="Q15" s="9"/>
      <c r="R15" s="9"/>
      <c r="S15" s="9"/>
      <c r="T15" s="258">
        <v>45992</v>
      </c>
      <c r="U15" s="10"/>
      <c r="V15" s="23"/>
      <c r="W15" s="11"/>
      <c r="X15" s="8">
        <v>22696705.010000002</v>
      </c>
      <c r="Y15" s="9"/>
      <c r="Z15" s="9"/>
      <c r="AA15" s="9"/>
      <c r="AB15" s="10"/>
      <c r="AC15" s="24">
        <v>0</v>
      </c>
      <c r="AD15" s="11">
        <v>0</v>
      </c>
      <c r="AE15" s="8">
        <v>22646147.690000001</v>
      </c>
      <c r="AF15" s="9"/>
      <c r="AG15" s="10"/>
      <c r="AH15" s="11"/>
      <c r="AI15" s="8">
        <v>50557.32</v>
      </c>
      <c r="AJ15" s="9"/>
      <c r="AK15" s="10"/>
      <c r="AL15" s="25"/>
      <c r="AM15" s="25"/>
      <c r="AN15" s="25"/>
      <c r="AO15" s="10"/>
      <c r="AP15" s="12">
        <v>17116858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17116858</v>
      </c>
      <c r="BA15" s="15">
        <v>22696705.010000002</v>
      </c>
      <c r="BB15" s="15">
        <v>17116858</v>
      </c>
      <c r="BC15" s="15">
        <v>22696705.010000002</v>
      </c>
      <c r="BD15" s="242">
        <v>0</v>
      </c>
      <c r="BE15" s="242">
        <v>0</v>
      </c>
      <c r="BF15" s="242"/>
      <c r="BG15" s="242">
        <v>2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22646147.690000001</v>
      </c>
      <c r="BY15" s="242">
        <v>0</v>
      </c>
      <c r="BZ15" s="242">
        <v>22646147.690000001</v>
      </c>
      <c r="CA15" s="242">
        <v>0</v>
      </c>
      <c r="CB15" s="243" t="s">
        <v>633</v>
      </c>
      <c r="CC15" s="248">
        <v>22696705.010000002</v>
      </c>
      <c r="CD15" s="248">
        <v>50557.32</v>
      </c>
      <c r="CE15" s="248">
        <v>17116858</v>
      </c>
      <c r="CF15" s="248">
        <v>0</v>
      </c>
    </row>
    <row r="16" spans="1:95" x14ac:dyDescent="0.25">
      <c r="A16" s="254" t="s">
        <v>652</v>
      </c>
      <c r="B16" s="255" t="s">
        <v>653</v>
      </c>
      <c r="C16" s="255" t="s">
        <v>654</v>
      </c>
      <c r="D16" s="233"/>
      <c r="E16" s="234">
        <v>18950.560000000001</v>
      </c>
      <c r="F16" s="235">
        <v>18950.560000000001</v>
      </c>
      <c r="G16" s="256"/>
      <c r="H16" s="257"/>
      <c r="I16" s="237"/>
      <c r="J16" s="238">
        <v>18950.560000000001</v>
      </c>
      <c r="K16" s="249"/>
      <c r="L16" s="240"/>
      <c r="M16" s="8">
        <v>91062.36</v>
      </c>
      <c r="N16" s="241">
        <v>91062.36</v>
      </c>
      <c r="O16" s="72"/>
      <c r="P16" s="100"/>
      <c r="Q16" s="9"/>
      <c r="R16" s="9"/>
      <c r="S16" s="9"/>
      <c r="T16" s="258">
        <v>45744</v>
      </c>
      <c r="U16" s="10"/>
      <c r="V16" s="23"/>
      <c r="W16" s="11"/>
      <c r="X16" s="8">
        <v>91062.36</v>
      </c>
      <c r="Y16" s="9"/>
      <c r="Z16" s="9"/>
      <c r="AA16" s="9"/>
      <c r="AB16" s="10"/>
      <c r="AC16" s="24">
        <v>0</v>
      </c>
      <c r="AD16" s="11">
        <v>0</v>
      </c>
      <c r="AE16" s="8">
        <v>91062.36</v>
      </c>
      <c r="AF16" s="9"/>
      <c r="AG16" s="10"/>
      <c r="AH16" s="11"/>
      <c r="AI16" s="8">
        <v>0</v>
      </c>
      <c r="AJ16" s="9"/>
      <c r="AK16" s="10"/>
      <c r="AL16" s="25"/>
      <c r="AM16" s="25"/>
      <c r="AN16" s="25"/>
      <c r="AO16" s="10"/>
      <c r="AP16" s="12">
        <v>18950.560000000001</v>
      </c>
      <c r="AQ16" s="12"/>
      <c r="AR16" s="12"/>
      <c r="AS16" s="242"/>
      <c r="AT16" s="243"/>
      <c r="AU16" s="242"/>
      <c r="AV16" s="242"/>
      <c r="AW16" s="244"/>
      <c r="AX16" s="243"/>
      <c r="AY16" s="243"/>
      <c r="AZ16" s="242">
        <v>0</v>
      </c>
      <c r="BA16" s="242">
        <v>0</v>
      </c>
      <c r="BB16" s="242">
        <v>0</v>
      </c>
      <c r="BC16" s="242">
        <v>0</v>
      </c>
      <c r="BD16" s="242">
        <v>0</v>
      </c>
      <c r="BE16" s="242">
        <v>0</v>
      </c>
      <c r="BF16" s="242"/>
      <c r="BG16" s="242">
        <v>2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/>
      <c r="BW16" s="242">
        <v>0</v>
      </c>
      <c r="BX16" s="242">
        <v>91062.36</v>
      </c>
      <c r="BY16" s="242">
        <v>0</v>
      </c>
      <c r="BZ16" s="242">
        <v>91062.36</v>
      </c>
      <c r="CA16" s="242">
        <v>0</v>
      </c>
      <c r="CB16" s="243" t="s">
        <v>633</v>
      </c>
      <c r="CC16" s="248">
        <v>91062.36</v>
      </c>
      <c r="CD16" s="248">
        <v>0</v>
      </c>
      <c r="CE16" s="248">
        <v>18950.560000000001</v>
      </c>
      <c r="CF16" s="248">
        <v>0</v>
      </c>
    </row>
    <row r="17" spans="1:84" x14ac:dyDescent="0.25">
      <c r="A17" s="254" t="s">
        <v>655</v>
      </c>
      <c r="B17" s="255" t="s">
        <v>656</v>
      </c>
      <c r="C17" s="255" t="s">
        <v>657</v>
      </c>
      <c r="D17" s="233"/>
      <c r="E17" s="234">
        <v>65119.35</v>
      </c>
      <c r="F17" s="235">
        <v>65119.35</v>
      </c>
      <c r="G17" s="256"/>
      <c r="H17" s="257"/>
      <c r="I17" s="237"/>
      <c r="J17" s="238">
        <v>65119.35</v>
      </c>
      <c r="K17" s="249"/>
      <c r="L17" s="240"/>
      <c r="M17" s="8">
        <v>61428.42</v>
      </c>
      <c r="N17" s="241">
        <v>61428.42</v>
      </c>
      <c r="O17" s="72"/>
      <c r="P17" s="100"/>
      <c r="Q17" s="9"/>
      <c r="R17" s="9"/>
      <c r="S17" s="9"/>
      <c r="T17" s="258">
        <v>45744</v>
      </c>
      <c r="U17" s="10"/>
      <c r="V17" s="23"/>
      <c r="W17" s="11"/>
      <c r="X17" s="8">
        <v>61428.42</v>
      </c>
      <c r="Y17" s="9"/>
      <c r="Z17" s="9"/>
      <c r="AA17" s="9"/>
      <c r="AB17" s="10"/>
      <c r="AC17" s="24">
        <v>0</v>
      </c>
      <c r="AD17" s="11">
        <v>0</v>
      </c>
      <c r="AE17" s="8">
        <v>61428.42</v>
      </c>
      <c r="AF17" s="9"/>
      <c r="AG17" s="10"/>
      <c r="AH17" s="11"/>
      <c r="AI17" s="8">
        <v>0</v>
      </c>
      <c r="AJ17" s="9"/>
      <c r="AK17" s="10"/>
      <c r="AL17" s="25"/>
      <c r="AM17" s="25"/>
      <c r="AN17" s="25"/>
      <c r="AO17" s="10"/>
      <c r="AP17" s="12">
        <v>65119.35</v>
      </c>
      <c r="AQ17" s="12"/>
      <c r="AR17" s="12"/>
      <c r="AS17" s="242"/>
      <c r="AT17" s="243"/>
      <c r="AU17" s="242"/>
      <c r="AV17" s="242"/>
      <c r="AW17" s="244"/>
      <c r="AX17" s="243"/>
      <c r="AY17" s="243"/>
      <c r="AZ17" s="242">
        <v>0</v>
      </c>
      <c r="BA17" s="242">
        <v>0</v>
      </c>
      <c r="BB17" s="242">
        <v>0</v>
      </c>
      <c r="BC17" s="242">
        <v>0</v>
      </c>
      <c r="BD17" s="242">
        <v>0</v>
      </c>
      <c r="BE17" s="242">
        <v>0</v>
      </c>
      <c r="BF17" s="242"/>
      <c r="BG17" s="242">
        <v>2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/>
      <c r="BW17" s="242">
        <v>0</v>
      </c>
      <c r="BX17" s="242">
        <v>61428.42</v>
      </c>
      <c r="BY17" s="242">
        <v>0</v>
      </c>
      <c r="BZ17" s="242">
        <v>61428.42</v>
      </c>
      <c r="CA17" s="242">
        <v>0</v>
      </c>
      <c r="CB17" s="243" t="s">
        <v>633</v>
      </c>
      <c r="CC17" s="248">
        <v>61428.42</v>
      </c>
      <c r="CD17" s="248">
        <v>0</v>
      </c>
      <c r="CE17" s="248">
        <v>65119.35</v>
      </c>
      <c r="CF17" s="248">
        <v>0</v>
      </c>
    </row>
    <row r="18" spans="1:84" x14ac:dyDescent="0.25">
      <c r="A18" s="254" t="s">
        <v>658</v>
      </c>
      <c r="B18" s="255" t="s">
        <v>659</v>
      </c>
      <c r="C18" s="255" t="s">
        <v>646</v>
      </c>
      <c r="D18" s="233"/>
      <c r="E18" s="234">
        <v>837944</v>
      </c>
      <c r="F18" s="235">
        <v>837944</v>
      </c>
      <c r="G18" s="256"/>
      <c r="H18" s="257"/>
      <c r="I18" s="237"/>
      <c r="J18" s="238">
        <v>837944</v>
      </c>
      <c r="K18" s="249"/>
      <c r="L18" s="240"/>
      <c r="M18" s="8">
        <v>1177894.75</v>
      </c>
      <c r="N18" s="241">
        <v>1180283.77</v>
      </c>
      <c r="O18" s="72"/>
      <c r="P18" s="100"/>
      <c r="Q18" s="9"/>
      <c r="R18" s="9"/>
      <c r="S18" s="9"/>
      <c r="T18" s="258">
        <v>45717</v>
      </c>
      <c r="U18" s="10"/>
      <c r="V18" s="23"/>
      <c r="W18" s="11"/>
      <c r="X18" s="8">
        <v>1180283.77</v>
      </c>
      <c r="Y18" s="9"/>
      <c r="Z18" s="9"/>
      <c r="AA18" s="9"/>
      <c r="AB18" s="10"/>
      <c r="AC18" s="24">
        <v>0</v>
      </c>
      <c r="AD18" s="11">
        <v>0</v>
      </c>
      <c r="AE18" s="8">
        <v>1180283.77</v>
      </c>
      <c r="AF18" s="9"/>
      <c r="AG18" s="10"/>
      <c r="AH18" s="11"/>
      <c r="AI18" s="8">
        <v>0</v>
      </c>
      <c r="AJ18" s="9"/>
      <c r="AK18" s="10"/>
      <c r="AL18" s="25"/>
      <c r="AM18" s="25"/>
      <c r="AN18" s="25"/>
      <c r="AO18" s="10"/>
      <c r="AP18" s="12">
        <v>837944</v>
      </c>
      <c r="AQ18" s="12"/>
      <c r="AR18" s="12"/>
      <c r="AS18" s="242"/>
      <c r="AT18" s="243"/>
      <c r="AU18" s="242"/>
      <c r="AV18" s="242"/>
      <c r="AW18" s="244"/>
      <c r="AX18" s="243"/>
      <c r="AY18" s="243"/>
      <c r="AZ18" s="242">
        <v>0</v>
      </c>
      <c r="BA18" s="242">
        <v>0</v>
      </c>
      <c r="BB18" s="242">
        <v>0</v>
      </c>
      <c r="BC18" s="242">
        <v>0</v>
      </c>
      <c r="BD18" s="242">
        <v>0</v>
      </c>
      <c r="BE18" s="242">
        <v>0</v>
      </c>
      <c r="BF18" s="242"/>
      <c r="BG18" s="242">
        <v>2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>
        <v>0</v>
      </c>
      <c r="BX18" s="242">
        <v>1180283.77</v>
      </c>
      <c r="BY18" s="242">
        <v>0</v>
      </c>
      <c r="BZ18" s="242">
        <v>1180283.77</v>
      </c>
      <c r="CA18" s="242">
        <v>0</v>
      </c>
      <c r="CB18" s="243" t="s">
        <v>633</v>
      </c>
      <c r="CC18" s="248">
        <v>1180283.77</v>
      </c>
      <c r="CD18" s="248">
        <v>0</v>
      </c>
      <c r="CE18" s="248">
        <v>837944</v>
      </c>
      <c r="CF18" s="248">
        <v>0</v>
      </c>
    </row>
    <row r="19" spans="1:84" x14ac:dyDescent="0.25">
      <c r="A19" s="254" t="s">
        <v>660</v>
      </c>
      <c r="B19" s="255" t="s">
        <v>661</v>
      </c>
      <c r="C19" s="255" t="s">
        <v>657</v>
      </c>
      <c r="D19" s="233"/>
      <c r="E19" s="234">
        <v>16900</v>
      </c>
      <c r="F19" s="235">
        <v>16900</v>
      </c>
      <c r="G19" s="256"/>
      <c r="H19" s="257"/>
      <c r="I19" s="237"/>
      <c r="J19" s="238">
        <v>16900</v>
      </c>
      <c r="K19" s="239"/>
      <c r="L19" s="240"/>
      <c r="M19" s="8">
        <v>1385.37</v>
      </c>
      <c r="N19" s="241">
        <v>1385.37</v>
      </c>
      <c r="O19" s="72"/>
      <c r="P19" s="100"/>
      <c r="Q19" s="9"/>
      <c r="R19" s="9"/>
      <c r="S19" s="9"/>
      <c r="T19" s="258">
        <v>45744</v>
      </c>
      <c r="U19" s="10"/>
      <c r="V19" s="23"/>
      <c r="W19" s="11"/>
      <c r="X19" s="8">
        <v>1298.74</v>
      </c>
      <c r="Y19" s="9"/>
      <c r="Z19" s="9"/>
      <c r="AA19" s="9"/>
      <c r="AB19" s="10"/>
      <c r="AC19" s="24">
        <v>0</v>
      </c>
      <c r="AD19" s="11">
        <v>0</v>
      </c>
      <c r="AE19" s="8">
        <v>1298.74</v>
      </c>
      <c r="AF19" s="9"/>
      <c r="AG19" s="10"/>
      <c r="AH19" s="11"/>
      <c r="AI19" s="8">
        <v>0</v>
      </c>
      <c r="AJ19" s="9"/>
      <c r="AK19" s="10"/>
      <c r="AL19" s="25"/>
      <c r="AM19" s="25"/>
      <c r="AN19" s="25"/>
      <c r="AO19" s="10"/>
      <c r="AP19" s="12">
        <v>1299</v>
      </c>
      <c r="AQ19" s="12"/>
      <c r="AR19" s="12"/>
      <c r="AS19" s="242"/>
      <c r="AT19" s="243"/>
      <c r="AU19" s="242"/>
      <c r="AV19" s="242"/>
      <c r="AW19" s="244"/>
      <c r="AX19" s="243"/>
      <c r="AY19" s="243"/>
      <c r="AZ19" s="242">
        <v>0</v>
      </c>
      <c r="BA19" s="242">
        <v>0</v>
      </c>
      <c r="BB19" s="242">
        <v>0</v>
      </c>
      <c r="BC19" s="242">
        <v>0</v>
      </c>
      <c r="BD19" s="242">
        <v>0</v>
      </c>
      <c r="BE19" s="242">
        <v>0</v>
      </c>
      <c r="BF19" s="242"/>
      <c r="BG19" s="242">
        <v>2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>
        <v>0</v>
      </c>
      <c r="BX19" s="242">
        <v>1298.74</v>
      </c>
      <c r="BY19" s="242">
        <v>0</v>
      </c>
      <c r="BZ19" s="242">
        <v>1298.74</v>
      </c>
      <c r="CA19" s="242">
        <v>0</v>
      </c>
      <c r="CB19" s="243" t="s">
        <v>633</v>
      </c>
      <c r="CC19" s="248">
        <v>1298.74</v>
      </c>
      <c r="CD19" s="248">
        <v>0</v>
      </c>
      <c r="CE19" s="248">
        <v>1299</v>
      </c>
      <c r="CF19" s="248">
        <v>0</v>
      </c>
    </row>
    <row r="20" spans="1:84" x14ac:dyDescent="0.25">
      <c r="A20" s="254" t="s">
        <v>662</v>
      </c>
      <c r="B20" s="255" t="s">
        <v>663</v>
      </c>
      <c r="C20" s="255" t="s">
        <v>657</v>
      </c>
      <c r="D20" s="233"/>
      <c r="E20" s="234">
        <v>161298</v>
      </c>
      <c r="F20" s="235">
        <v>161298</v>
      </c>
      <c r="G20" s="256"/>
      <c r="H20" s="257"/>
      <c r="I20" s="237"/>
      <c r="J20" s="238">
        <v>161298</v>
      </c>
      <c r="K20" s="239"/>
      <c r="L20" s="240"/>
      <c r="M20" s="8">
        <v>121977.77</v>
      </c>
      <c r="N20" s="241">
        <v>121977.81</v>
      </c>
      <c r="O20" s="72"/>
      <c r="P20" s="100"/>
      <c r="Q20" s="9"/>
      <c r="R20" s="9"/>
      <c r="S20" s="9"/>
      <c r="T20" s="258">
        <v>45744</v>
      </c>
      <c r="U20" s="10"/>
      <c r="V20" s="23"/>
      <c r="W20" s="11"/>
      <c r="X20" s="8">
        <v>121977.81</v>
      </c>
      <c r="Y20" s="9"/>
      <c r="Z20" s="9"/>
      <c r="AA20" s="9"/>
      <c r="AB20" s="10"/>
      <c r="AC20" s="24">
        <v>0</v>
      </c>
      <c r="AD20" s="11">
        <v>0</v>
      </c>
      <c r="AE20" s="8">
        <v>121977.81</v>
      </c>
      <c r="AF20" s="9"/>
      <c r="AG20" s="10"/>
      <c r="AH20" s="11"/>
      <c r="AI20" s="8">
        <v>0</v>
      </c>
      <c r="AJ20" s="9"/>
      <c r="AK20" s="10"/>
      <c r="AL20" s="25"/>
      <c r="AM20" s="25"/>
      <c r="AN20" s="25"/>
      <c r="AO20" s="10"/>
      <c r="AP20" s="12">
        <v>161298</v>
      </c>
      <c r="AQ20" s="12"/>
      <c r="AR20" s="12"/>
      <c r="AS20" s="242"/>
      <c r="AT20" s="243"/>
      <c r="AU20" s="242"/>
      <c r="AV20" s="242"/>
      <c r="AW20" s="244"/>
      <c r="AX20" s="243"/>
      <c r="AY20" s="243"/>
      <c r="AZ20" s="242">
        <v>0</v>
      </c>
      <c r="BA20" s="242">
        <v>0</v>
      </c>
      <c r="BB20" s="242">
        <v>0</v>
      </c>
      <c r="BC20" s="242">
        <v>0</v>
      </c>
      <c r="BD20" s="242">
        <v>0</v>
      </c>
      <c r="BE20" s="242">
        <v>0</v>
      </c>
      <c r="BF20" s="242"/>
      <c r="BG20" s="242">
        <v>2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>
        <v>0</v>
      </c>
      <c r="BX20" s="242">
        <v>121977.81</v>
      </c>
      <c r="BY20" s="242">
        <v>0</v>
      </c>
      <c r="BZ20" s="242">
        <v>121977.81</v>
      </c>
      <c r="CA20" s="242">
        <v>0</v>
      </c>
      <c r="CB20" s="243" t="s">
        <v>633</v>
      </c>
      <c r="CC20" s="248">
        <v>121977.81</v>
      </c>
      <c r="CD20" s="248">
        <v>0</v>
      </c>
      <c r="CE20" s="248">
        <v>161298</v>
      </c>
      <c r="CF20" s="248">
        <v>0</v>
      </c>
    </row>
    <row r="21" spans="1:84" x14ac:dyDescent="0.25">
      <c r="A21" s="254" t="s">
        <v>664</v>
      </c>
      <c r="B21" s="255" t="s">
        <v>665</v>
      </c>
      <c r="C21" s="255" t="s">
        <v>657</v>
      </c>
      <c r="D21" s="233"/>
      <c r="E21" s="234">
        <v>531070</v>
      </c>
      <c r="F21" s="235">
        <v>531070</v>
      </c>
      <c r="G21" s="256"/>
      <c r="H21" s="257"/>
      <c r="I21" s="237"/>
      <c r="J21" s="238">
        <v>531070</v>
      </c>
      <c r="K21" s="239"/>
      <c r="L21" s="240"/>
      <c r="M21" s="8">
        <v>556283.51</v>
      </c>
      <c r="N21" s="241">
        <v>556283.51</v>
      </c>
      <c r="O21" s="71"/>
      <c r="P21" s="100"/>
      <c r="Q21" s="9"/>
      <c r="R21" s="9"/>
      <c r="S21" s="9"/>
      <c r="T21" s="258">
        <v>45744</v>
      </c>
      <c r="U21" s="10"/>
      <c r="V21" s="23"/>
      <c r="W21" s="11"/>
      <c r="X21" s="8">
        <v>461744.33</v>
      </c>
      <c r="Y21" s="9"/>
      <c r="Z21" s="9"/>
      <c r="AA21" s="9"/>
      <c r="AB21" s="10"/>
      <c r="AC21" s="24">
        <v>0</v>
      </c>
      <c r="AD21" s="11">
        <v>0</v>
      </c>
      <c r="AE21" s="8">
        <v>461744.33</v>
      </c>
      <c r="AF21" s="9"/>
      <c r="AG21" s="10"/>
      <c r="AH21" s="11"/>
      <c r="AI21" s="8">
        <v>0</v>
      </c>
      <c r="AJ21" s="9"/>
      <c r="AK21" s="10"/>
      <c r="AL21" s="25"/>
      <c r="AM21" s="25"/>
      <c r="AN21" s="25"/>
      <c r="AO21" s="10"/>
      <c r="AP21" s="12">
        <v>555417.1</v>
      </c>
      <c r="AQ21" s="12"/>
      <c r="AR21" s="12"/>
      <c r="AS21" s="242"/>
      <c r="AT21" s="243"/>
      <c r="AU21" s="242"/>
      <c r="AV21" s="242"/>
      <c r="AW21" s="244"/>
      <c r="AX21" s="243"/>
      <c r="AY21" s="243"/>
      <c r="AZ21" s="242">
        <v>0</v>
      </c>
      <c r="BA21" s="242">
        <v>0</v>
      </c>
      <c r="BB21" s="242">
        <v>0</v>
      </c>
      <c r="BC21" s="242">
        <v>0</v>
      </c>
      <c r="BD21" s="242">
        <v>0</v>
      </c>
      <c r="BE21" s="242">
        <v>0</v>
      </c>
      <c r="BF21" s="242"/>
      <c r="BG21" s="242">
        <v>2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>
        <v>0</v>
      </c>
      <c r="BX21" s="242">
        <v>461744.33</v>
      </c>
      <c r="BY21" s="242">
        <v>0</v>
      </c>
      <c r="BZ21" s="242">
        <v>461744.33</v>
      </c>
      <c r="CA21" s="242">
        <v>0</v>
      </c>
      <c r="CB21" s="243" t="s">
        <v>633</v>
      </c>
      <c r="CC21" s="248">
        <v>461744.33</v>
      </c>
      <c r="CD21" s="248">
        <v>0</v>
      </c>
      <c r="CE21" s="248">
        <v>555417.1</v>
      </c>
      <c r="CF21" s="248">
        <v>0</v>
      </c>
    </row>
    <row r="22" spans="1:84" x14ac:dyDescent="0.25">
      <c r="A22" s="254" t="s">
        <v>666</v>
      </c>
      <c r="B22" s="255" t="s">
        <v>667</v>
      </c>
      <c r="C22" s="255" t="s">
        <v>636</v>
      </c>
      <c r="D22" s="233"/>
      <c r="E22" s="234">
        <v>464953</v>
      </c>
      <c r="F22" s="235">
        <v>464953</v>
      </c>
      <c r="G22" s="256"/>
      <c r="H22" s="257"/>
      <c r="I22" s="237"/>
      <c r="J22" s="238">
        <v>464953</v>
      </c>
      <c r="K22" s="239"/>
      <c r="L22" s="240"/>
      <c r="M22" s="8">
        <v>409471.93</v>
      </c>
      <c r="N22" s="241">
        <v>409471.93</v>
      </c>
      <c r="O22" s="71"/>
      <c r="P22" s="100"/>
      <c r="Q22" s="9"/>
      <c r="R22" s="9"/>
      <c r="S22" s="9"/>
      <c r="T22" s="258">
        <v>45744</v>
      </c>
      <c r="U22" s="10"/>
      <c r="V22" s="23"/>
      <c r="W22" s="11"/>
      <c r="X22" s="8">
        <v>409471.93</v>
      </c>
      <c r="Y22" s="9"/>
      <c r="Z22" s="9"/>
      <c r="AA22" s="9"/>
      <c r="AB22" s="10"/>
      <c r="AC22" s="24">
        <v>0</v>
      </c>
      <c r="AD22" s="11">
        <v>0</v>
      </c>
      <c r="AE22" s="8">
        <v>409471.93</v>
      </c>
      <c r="AF22" s="9"/>
      <c r="AG22" s="10"/>
      <c r="AH22" s="11"/>
      <c r="AI22" s="8">
        <v>0</v>
      </c>
      <c r="AJ22" s="9"/>
      <c r="AK22" s="10"/>
      <c r="AL22" s="25"/>
      <c r="AM22" s="25"/>
      <c r="AN22" s="25"/>
      <c r="AO22" s="10"/>
      <c r="AP22" s="12">
        <v>464953</v>
      </c>
      <c r="AQ22" s="12"/>
      <c r="AR22" s="12"/>
      <c r="AS22" s="242"/>
      <c r="AT22" s="243"/>
      <c r="AU22" s="242"/>
      <c r="AV22" s="242"/>
      <c r="AW22" s="244"/>
      <c r="AX22" s="243"/>
      <c r="AY22" s="243"/>
      <c r="AZ22" s="242">
        <v>0</v>
      </c>
      <c r="BA22" s="242">
        <v>0</v>
      </c>
      <c r="BB22" s="242">
        <v>0</v>
      </c>
      <c r="BC22" s="242">
        <v>0</v>
      </c>
      <c r="BD22" s="242">
        <v>0</v>
      </c>
      <c r="BE22" s="242">
        <v>0</v>
      </c>
      <c r="BF22" s="242"/>
      <c r="BG22" s="242">
        <v>2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>
        <v>0</v>
      </c>
      <c r="BX22" s="242">
        <v>409471.93</v>
      </c>
      <c r="BY22" s="242">
        <v>0</v>
      </c>
      <c r="BZ22" s="242">
        <v>409471.93</v>
      </c>
      <c r="CA22" s="242">
        <v>0</v>
      </c>
      <c r="CB22" s="243" t="s">
        <v>633</v>
      </c>
      <c r="CC22" s="248">
        <v>409471.93</v>
      </c>
      <c r="CD22" s="248">
        <v>0</v>
      </c>
      <c r="CE22" s="248">
        <v>464953</v>
      </c>
      <c r="CF22" s="248">
        <v>0</v>
      </c>
    </row>
    <row r="23" spans="1:84" x14ac:dyDescent="0.25">
      <c r="A23" s="254" t="s">
        <v>668</v>
      </c>
      <c r="B23" s="255" t="s">
        <v>669</v>
      </c>
      <c r="C23" s="255" t="s">
        <v>670</v>
      </c>
      <c r="D23" s="233"/>
      <c r="E23" s="234">
        <v>83000</v>
      </c>
      <c r="F23" s="235">
        <v>83000</v>
      </c>
      <c r="G23" s="256"/>
      <c r="H23" s="257"/>
      <c r="I23" s="237"/>
      <c r="J23" s="238">
        <v>83000</v>
      </c>
      <c r="K23" s="239"/>
      <c r="L23" s="240"/>
      <c r="M23" s="8">
        <v>79834.320000000007</v>
      </c>
      <c r="N23" s="241">
        <v>79834.320000000007</v>
      </c>
      <c r="O23" s="71"/>
      <c r="P23" s="100"/>
      <c r="Q23" s="9"/>
      <c r="R23" s="9"/>
      <c r="S23" s="9"/>
      <c r="T23" s="258">
        <v>45744</v>
      </c>
      <c r="U23" s="10"/>
      <c r="V23" s="23"/>
      <c r="W23" s="11"/>
      <c r="X23" s="8">
        <v>79834.320000000007</v>
      </c>
      <c r="Y23" s="9"/>
      <c r="Z23" s="9"/>
      <c r="AA23" s="9"/>
      <c r="AB23" s="10"/>
      <c r="AC23" s="24">
        <v>0</v>
      </c>
      <c r="AD23" s="11">
        <v>0</v>
      </c>
      <c r="AE23" s="8">
        <v>79834.320000000007</v>
      </c>
      <c r="AF23" s="9"/>
      <c r="AG23" s="10"/>
      <c r="AH23" s="11"/>
      <c r="AI23" s="8">
        <v>0</v>
      </c>
      <c r="AJ23" s="9"/>
      <c r="AK23" s="10"/>
      <c r="AL23" s="25"/>
      <c r="AM23" s="25"/>
      <c r="AN23" s="25"/>
      <c r="AO23" s="10"/>
      <c r="AP23" s="12">
        <v>83000</v>
      </c>
      <c r="AQ23" s="12"/>
      <c r="AR23" s="12"/>
      <c r="AS23" s="242"/>
      <c r="AT23" s="243"/>
      <c r="AU23" s="242"/>
      <c r="AV23" s="242"/>
      <c r="AW23" s="244"/>
      <c r="AX23" s="243"/>
      <c r="AY23" s="243"/>
      <c r="AZ23" s="242">
        <v>0</v>
      </c>
      <c r="BA23" s="242">
        <v>0</v>
      </c>
      <c r="BB23" s="242">
        <v>0</v>
      </c>
      <c r="BC23" s="242">
        <v>0</v>
      </c>
      <c r="BD23" s="242">
        <v>0</v>
      </c>
      <c r="BE23" s="242">
        <v>0</v>
      </c>
      <c r="BF23" s="242"/>
      <c r="BG23" s="242">
        <v>2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>
        <v>0</v>
      </c>
      <c r="BX23" s="242">
        <v>79834.320000000007</v>
      </c>
      <c r="BY23" s="242">
        <v>0</v>
      </c>
      <c r="BZ23" s="242">
        <v>79834.320000000007</v>
      </c>
      <c r="CA23" s="242">
        <v>0</v>
      </c>
      <c r="CB23" s="243" t="s">
        <v>633</v>
      </c>
      <c r="CC23" s="248">
        <v>79834.320000000007</v>
      </c>
      <c r="CD23" s="248">
        <v>0</v>
      </c>
      <c r="CE23" s="248">
        <v>83000</v>
      </c>
      <c r="CF23" s="248">
        <v>0</v>
      </c>
    </row>
    <row r="24" spans="1:84" x14ac:dyDescent="0.25">
      <c r="A24" s="254" t="s">
        <v>671</v>
      </c>
      <c r="B24" s="255" t="s">
        <v>672</v>
      </c>
      <c r="C24" s="255" t="s">
        <v>657</v>
      </c>
      <c r="D24" s="233"/>
      <c r="E24" s="234">
        <v>149160</v>
      </c>
      <c r="F24" s="235">
        <v>149160</v>
      </c>
      <c r="G24" s="256"/>
      <c r="H24" s="257"/>
      <c r="I24" s="237"/>
      <c r="J24" s="238">
        <v>105444</v>
      </c>
      <c r="K24" s="239"/>
      <c r="L24" s="240"/>
      <c r="M24" s="8">
        <v>61905.24</v>
      </c>
      <c r="N24" s="241">
        <v>61905.24</v>
      </c>
      <c r="O24" s="71"/>
      <c r="P24" s="100"/>
      <c r="Q24" s="9"/>
      <c r="R24" s="9"/>
      <c r="S24" s="9"/>
      <c r="T24" s="258">
        <v>45748</v>
      </c>
      <c r="U24" s="10"/>
      <c r="V24" s="23"/>
      <c r="W24" s="11"/>
      <c r="X24" s="8">
        <v>61905.24</v>
      </c>
      <c r="Y24" s="9"/>
      <c r="Z24" s="9"/>
      <c r="AA24" s="9"/>
      <c r="AB24" s="10"/>
      <c r="AC24" s="24">
        <v>0</v>
      </c>
      <c r="AD24" s="11">
        <v>0</v>
      </c>
      <c r="AE24" s="8">
        <v>61905.24</v>
      </c>
      <c r="AF24" s="9"/>
      <c r="AG24" s="10"/>
      <c r="AH24" s="11"/>
      <c r="AI24" s="8">
        <v>0</v>
      </c>
      <c r="AJ24" s="9"/>
      <c r="AK24" s="10"/>
      <c r="AL24" s="25"/>
      <c r="AM24" s="25"/>
      <c r="AN24" s="25"/>
      <c r="AO24" s="10"/>
      <c r="AP24" s="12">
        <v>105444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105444</v>
      </c>
      <c r="BA24" s="15">
        <v>61905.24</v>
      </c>
      <c r="BB24" s="15">
        <v>105444</v>
      </c>
      <c r="BC24" s="15">
        <v>61905.24</v>
      </c>
      <c r="BD24" s="242">
        <v>0</v>
      </c>
      <c r="BE24" s="242">
        <v>0</v>
      </c>
      <c r="BF24" s="242"/>
      <c r="BG24" s="242">
        <v>2</v>
      </c>
      <c r="BH24" s="242">
        <v>0</v>
      </c>
      <c r="BI24" s="242">
        <v>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634</v>
      </c>
      <c r="BW24" s="242">
        <v>0</v>
      </c>
      <c r="BX24" s="242">
        <v>61905.24</v>
      </c>
      <c r="BY24" s="242">
        <v>0</v>
      </c>
      <c r="BZ24" s="242">
        <v>61905.24</v>
      </c>
      <c r="CA24" s="242">
        <v>0</v>
      </c>
      <c r="CB24" s="243" t="s">
        <v>633</v>
      </c>
      <c r="CC24" s="248">
        <v>61905.24</v>
      </c>
      <c r="CD24" s="248">
        <v>0</v>
      </c>
      <c r="CE24" s="248">
        <v>105444</v>
      </c>
      <c r="CF24" s="248">
        <v>0</v>
      </c>
    </row>
    <row r="25" spans="1:84" x14ac:dyDescent="0.25">
      <c r="A25" s="254" t="s">
        <v>673</v>
      </c>
      <c r="B25" s="255" t="s">
        <v>674</v>
      </c>
      <c r="C25" s="255" t="s">
        <v>646</v>
      </c>
      <c r="D25" s="233"/>
      <c r="E25" s="234">
        <v>33400</v>
      </c>
      <c r="F25" s="235">
        <v>33400</v>
      </c>
      <c r="G25" s="256"/>
      <c r="H25" s="257"/>
      <c r="I25" s="237"/>
      <c r="J25" s="238">
        <v>33400</v>
      </c>
      <c r="K25" s="249"/>
      <c r="L25" s="240"/>
      <c r="M25" s="8">
        <v>15753.95</v>
      </c>
      <c r="N25" s="241">
        <v>16608.23</v>
      </c>
      <c r="O25" s="71"/>
      <c r="P25" s="100"/>
      <c r="Q25" s="9"/>
      <c r="R25" s="9"/>
      <c r="S25" s="9"/>
      <c r="T25" s="258">
        <v>45744</v>
      </c>
      <c r="U25" s="10"/>
      <c r="V25" s="23"/>
      <c r="W25" s="11"/>
      <c r="X25" s="8">
        <v>16608.23</v>
      </c>
      <c r="Y25" s="9"/>
      <c r="Z25" s="9"/>
      <c r="AA25" s="9"/>
      <c r="AB25" s="10"/>
      <c r="AC25" s="24">
        <v>0</v>
      </c>
      <c r="AD25" s="11">
        <v>0</v>
      </c>
      <c r="AE25" s="8">
        <v>16608.23</v>
      </c>
      <c r="AF25" s="9"/>
      <c r="AG25" s="10"/>
      <c r="AH25" s="11"/>
      <c r="AI25" s="8">
        <v>0</v>
      </c>
      <c r="AJ25" s="9"/>
      <c r="AK25" s="10"/>
      <c r="AL25" s="25"/>
      <c r="AM25" s="25"/>
      <c r="AN25" s="25"/>
      <c r="AO25" s="10"/>
      <c r="AP25" s="12">
        <v>33400</v>
      </c>
      <c r="AQ25" s="12"/>
      <c r="AR25" s="12"/>
      <c r="AS25" s="242"/>
      <c r="AT25" s="243"/>
      <c r="AU25" s="242"/>
      <c r="AV25" s="242"/>
      <c r="AW25" s="244"/>
      <c r="AX25" s="243"/>
      <c r="AY25" s="243"/>
      <c r="AZ25" s="242">
        <v>0</v>
      </c>
      <c r="BA25" s="242">
        <v>0</v>
      </c>
      <c r="BB25" s="242">
        <v>0</v>
      </c>
      <c r="BC25" s="242">
        <v>0</v>
      </c>
      <c r="BD25" s="242">
        <v>0</v>
      </c>
      <c r="BE25" s="242">
        <v>0</v>
      </c>
      <c r="BF25" s="242"/>
      <c r="BG25" s="242">
        <v>2</v>
      </c>
      <c r="BH25" s="242">
        <v>0</v>
      </c>
      <c r="BI25" s="242">
        <v>0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>
        <v>0</v>
      </c>
      <c r="BX25" s="242">
        <v>16608.23</v>
      </c>
      <c r="BY25" s="242">
        <v>0</v>
      </c>
      <c r="BZ25" s="242">
        <v>16608.23</v>
      </c>
      <c r="CA25" s="242">
        <v>0</v>
      </c>
      <c r="CB25" s="243" t="s">
        <v>633</v>
      </c>
      <c r="CC25" s="248">
        <v>16608.23</v>
      </c>
      <c r="CD25" s="248">
        <v>0</v>
      </c>
      <c r="CE25" s="248">
        <v>33400</v>
      </c>
      <c r="CF25" s="248">
        <v>0</v>
      </c>
    </row>
    <row r="26" spans="1:84" x14ac:dyDescent="0.25">
      <c r="A26" s="254" t="s">
        <v>675</v>
      </c>
      <c r="B26" s="255" t="s">
        <v>676</v>
      </c>
      <c r="C26" s="255" t="s">
        <v>646</v>
      </c>
      <c r="D26" s="233"/>
      <c r="E26" s="234">
        <v>44900</v>
      </c>
      <c r="F26" s="235">
        <v>44900</v>
      </c>
      <c r="G26" s="256"/>
      <c r="H26" s="257"/>
      <c r="I26" s="237"/>
      <c r="J26" s="238">
        <v>44900</v>
      </c>
      <c r="K26" s="249"/>
      <c r="L26" s="240"/>
      <c r="M26" s="8">
        <v>21201.33</v>
      </c>
      <c r="N26" s="241">
        <v>21201.33</v>
      </c>
      <c r="O26" s="71"/>
      <c r="P26" s="100"/>
      <c r="Q26" s="9"/>
      <c r="R26" s="9"/>
      <c r="S26" s="9"/>
      <c r="T26" s="258">
        <v>45744</v>
      </c>
      <c r="U26" s="10"/>
      <c r="V26" s="23"/>
      <c r="W26" s="11"/>
      <c r="X26" s="8">
        <v>21201.33</v>
      </c>
      <c r="Y26" s="9"/>
      <c r="Z26" s="9"/>
      <c r="AA26" s="9"/>
      <c r="AB26" s="10"/>
      <c r="AC26" s="24">
        <v>0</v>
      </c>
      <c r="AD26" s="11">
        <v>0</v>
      </c>
      <c r="AE26" s="8">
        <v>21201.33</v>
      </c>
      <c r="AF26" s="9"/>
      <c r="AG26" s="10"/>
      <c r="AH26" s="11"/>
      <c r="AI26" s="8">
        <v>0</v>
      </c>
      <c r="AJ26" s="9"/>
      <c r="AK26" s="10"/>
      <c r="AL26" s="25"/>
      <c r="AM26" s="25"/>
      <c r="AN26" s="25"/>
      <c r="AO26" s="10"/>
      <c r="AP26" s="12">
        <v>44900</v>
      </c>
      <c r="AQ26" s="12"/>
      <c r="AR26" s="12"/>
      <c r="AS26" s="242"/>
      <c r="AT26" s="243"/>
      <c r="AU26" s="242"/>
      <c r="AV26" s="242"/>
      <c r="AW26" s="244"/>
      <c r="AX26" s="243"/>
      <c r="AY26" s="243"/>
      <c r="AZ26" s="242">
        <v>0</v>
      </c>
      <c r="BA26" s="242">
        <v>0</v>
      </c>
      <c r="BB26" s="242">
        <v>0</v>
      </c>
      <c r="BC26" s="242">
        <v>0</v>
      </c>
      <c r="BD26" s="242">
        <v>0</v>
      </c>
      <c r="BE26" s="242">
        <v>0</v>
      </c>
      <c r="BF26" s="242"/>
      <c r="BG26" s="242">
        <v>2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>
        <v>0</v>
      </c>
      <c r="BX26" s="242">
        <v>21201.33</v>
      </c>
      <c r="BY26" s="242">
        <v>0</v>
      </c>
      <c r="BZ26" s="242">
        <v>21201.33</v>
      </c>
      <c r="CA26" s="242">
        <v>0</v>
      </c>
      <c r="CB26" s="243" t="s">
        <v>633</v>
      </c>
      <c r="CC26" s="248">
        <v>21201.33</v>
      </c>
      <c r="CD26" s="248">
        <v>0</v>
      </c>
      <c r="CE26" s="248">
        <v>44900</v>
      </c>
      <c r="CF26" s="248">
        <v>0</v>
      </c>
    </row>
    <row r="27" spans="1:84" x14ac:dyDescent="0.25">
      <c r="A27" s="254" t="s">
        <v>677</v>
      </c>
      <c r="B27" s="255" t="s">
        <v>678</v>
      </c>
      <c r="C27" s="255" t="s">
        <v>646</v>
      </c>
      <c r="D27" s="233"/>
      <c r="E27" s="234">
        <v>44900</v>
      </c>
      <c r="F27" s="235">
        <v>44900</v>
      </c>
      <c r="G27" s="256"/>
      <c r="H27" s="257"/>
      <c r="I27" s="237"/>
      <c r="J27" s="238">
        <v>44900</v>
      </c>
      <c r="K27" s="239"/>
      <c r="L27" s="240"/>
      <c r="M27" s="8">
        <v>25220.81</v>
      </c>
      <c r="N27" s="241">
        <v>25284.82</v>
      </c>
      <c r="O27" s="71"/>
      <c r="P27" s="100"/>
      <c r="Q27" s="9"/>
      <c r="R27" s="9"/>
      <c r="S27" s="9"/>
      <c r="T27" s="258">
        <v>45744</v>
      </c>
      <c r="U27" s="10"/>
      <c r="V27" s="23"/>
      <c r="W27" s="11"/>
      <c r="X27" s="8">
        <v>25284.82</v>
      </c>
      <c r="Y27" s="9"/>
      <c r="Z27" s="9"/>
      <c r="AA27" s="9"/>
      <c r="AB27" s="10"/>
      <c r="AC27" s="24">
        <v>0</v>
      </c>
      <c r="AD27" s="11">
        <v>0</v>
      </c>
      <c r="AE27" s="8">
        <v>25284.82</v>
      </c>
      <c r="AF27" s="9"/>
      <c r="AG27" s="10"/>
      <c r="AH27" s="11"/>
      <c r="AI27" s="8">
        <v>0</v>
      </c>
      <c r="AJ27" s="9"/>
      <c r="AK27" s="10"/>
      <c r="AL27" s="25"/>
      <c r="AM27" s="25"/>
      <c r="AN27" s="25"/>
      <c r="AO27" s="10"/>
      <c r="AP27" s="12">
        <v>44900</v>
      </c>
      <c r="AQ27" s="12"/>
      <c r="AR27" s="12"/>
      <c r="AS27" s="242"/>
      <c r="AT27" s="243"/>
      <c r="AU27" s="242"/>
      <c r="AV27" s="242"/>
      <c r="AW27" s="244"/>
      <c r="AX27" s="243"/>
      <c r="AY27" s="243"/>
      <c r="AZ27" s="242">
        <v>0</v>
      </c>
      <c r="BA27" s="242">
        <v>0</v>
      </c>
      <c r="BB27" s="242">
        <v>0</v>
      </c>
      <c r="BC27" s="242">
        <v>0</v>
      </c>
      <c r="BD27" s="242">
        <v>0</v>
      </c>
      <c r="BE27" s="242">
        <v>0</v>
      </c>
      <c r="BF27" s="242"/>
      <c r="BG27" s="242">
        <v>2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>
        <v>0</v>
      </c>
      <c r="BX27" s="242">
        <v>25284.82</v>
      </c>
      <c r="BY27" s="242">
        <v>0</v>
      </c>
      <c r="BZ27" s="242">
        <v>25284.82</v>
      </c>
      <c r="CA27" s="242">
        <v>0</v>
      </c>
      <c r="CB27" s="243" t="s">
        <v>633</v>
      </c>
      <c r="CC27" s="248">
        <v>25284.82</v>
      </c>
      <c r="CD27" s="248">
        <v>0</v>
      </c>
      <c r="CE27" s="248">
        <v>44900</v>
      </c>
      <c r="CF27" s="248">
        <v>0</v>
      </c>
    </row>
    <row r="28" spans="1:84" x14ac:dyDescent="0.25">
      <c r="A28" s="254" t="s">
        <v>679</v>
      </c>
      <c r="B28" s="255" t="s">
        <v>680</v>
      </c>
      <c r="C28" s="255" t="s">
        <v>636</v>
      </c>
      <c r="D28" s="233"/>
      <c r="E28" s="234">
        <v>0</v>
      </c>
      <c r="F28" s="235">
        <v>0</v>
      </c>
      <c r="G28" s="256"/>
      <c r="H28" s="257"/>
      <c r="I28" s="237"/>
      <c r="J28" s="238">
        <v>0</v>
      </c>
      <c r="K28" s="239"/>
      <c r="L28" s="240"/>
      <c r="M28" s="8">
        <v>872273.71</v>
      </c>
      <c r="N28" s="241">
        <v>872273.71</v>
      </c>
      <c r="O28" s="239"/>
      <c r="P28" s="240"/>
      <c r="Q28" s="9"/>
      <c r="R28" s="9"/>
      <c r="S28" s="9"/>
      <c r="T28" s="258">
        <v>45744</v>
      </c>
      <c r="U28" s="10"/>
      <c r="V28" s="23"/>
      <c r="W28" s="11"/>
      <c r="X28" s="8">
        <v>872273.71</v>
      </c>
      <c r="Y28" s="9"/>
      <c r="Z28" s="9"/>
      <c r="AA28" s="9"/>
      <c r="AB28" s="10"/>
      <c r="AC28" s="24">
        <v>0</v>
      </c>
      <c r="AD28" s="11">
        <v>0</v>
      </c>
      <c r="AE28" s="8">
        <v>872273.71</v>
      </c>
      <c r="AF28" s="9"/>
      <c r="AG28" s="10"/>
      <c r="AH28" s="11"/>
      <c r="AI28" s="8">
        <v>0</v>
      </c>
      <c r="AJ28" s="9"/>
      <c r="AK28" s="10"/>
      <c r="AL28" s="25"/>
      <c r="AM28" s="25"/>
      <c r="AN28" s="25"/>
      <c r="AO28" s="10"/>
      <c r="AP28" s="12">
        <v>0</v>
      </c>
      <c r="AQ28" s="12"/>
      <c r="AR28" s="12"/>
      <c r="AS28" s="242"/>
      <c r="AT28" s="243"/>
      <c r="AU28" s="242"/>
      <c r="AV28" s="242"/>
      <c r="AW28" s="244"/>
      <c r="AX28" s="243"/>
      <c r="AY28" s="243"/>
      <c r="AZ28" s="242">
        <v>0</v>
      </c>
      <c r="BA28" s="242">
        <v>0</v>
      </c>
      <c r="BB28" s="242">
        <v>0</v>
      </c>
      <c r="BC28" s="242">
        <v>0</v>
      </c>
      <c r="BD28" s="242">
        <v>0</v>
      </c>
      <c r="BE28" s="242">
        <v>0</v>
      </c>
      <c r="BF28" s="242"/>
      <c r="BG28" s="242">
        <v>2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>
        <v>0</v>
      </c>
      <c r="BX28" s="242">
        <v>872273.71</v>
      </c>
      <c r="BY28" s="242">
        <v>0</v>
      </c>
      <c r="BZ28" s="242">
        <v>872273.71</v>
      </c>
      <c r="CA28" s="242">
        <v>0</v>
      </c>
      <c r="CB28" s="243" t="s">
        <v>633</v>
      </c>
      <c r="CC28" s="248">
        <v>872273.71</v>
      </c>
      <c r="CD28" s="248">
        <v>0</v>
      </c>
      <c r="CE28" s="248">
        <v>0</v>
      </c>
      <c r="CF28" s="248">
        <v>0</v>
      </c>
    </row>
    <row r="29" spans="1:84" x14ac:dyDescent="0.25">
      <c r="A29" s="254" t="s">
        <v>681</v>
      </c>
      <c r="B29" s="255" t="s">
        <v>682</v>
      </c>
      <c r="C29" s="255" t="s">
        <v>636</v>
      </c>
      <c r="D29" s="233"/>
      <c r="E29" s="234">
        <v>0</v>
      </c>
      <c r="F29" s="235">
        <v>0</v>
      </c>
      <c r="G29" s="256"/>
      <c r="H29" s="257"/>
      <c r="I29" s="237"/>
      <c r="J29" s="238">
        <v>0</v>
      </c>
      <c r="K29" s="239"/>
      <c r="L29" s="240"/>
      <c r="M29" s="8">
        <v>39136.86</v>
      </c>
      <c r="N29" s="241">
        <v>39136.86</v>
      </c>
      <c r="O29" s="71"/>
      <c r="P29" s="100"/>
      <c r="Q29" s="9"/>
      <c r="R29" s="9"/>
      <c r="S29" s="9"/>
      <c r="T29" s="258">
        <v>45744</v>
      </c>
      <c r="U29" s="10"/>
      <c r="V29" s="23"/>
      <c r="W29" s="11"/>
      <c r="X29" s="8">
        <v>39136.86</v>
      </c>
      <c r="Y29" s="9"/>
      <c r="Z29" s="9"/>
      <c r="AA29" s="9"/>
      <c r="AB29" s="10"/>
      <c r="AC29" s="24">
        <v>0</v>
      </c>
      <c r="AD29" s="11">
        <v>0</v>
      </c>
      <c r="AE29" s="8">
        <v>39136.86</v>
      </c>
      <c r="AF29" s="9"/>
      <c r="AG29" s="10"/>
      <c r="AH29" s="11"/>
      <c r="AI29" s="8">
        <v>0</v>
      </c>
      <c r="AJ29" s="9"/>
      <c r="AK29" s="10"/>
      <c r="AL29" s="25"/>
      <c r="AM29" s="25"/>
      <c r="AN29" s="25"/>
      <c r="AO29" s="10"/>
      <c r="AP29" s="12">
        <v>0</v>
      </c>
      <c r="AQ29" s="12"/>
      <c r="AR29" s="12"/>
      <c r="AS29" s="242"/>
      <c r="AT29" s="243"/>
      <c r="AU29" s="242"/>
      <c r="AV29" s="242"/>
      <c r="AW29" s="244"/>
      <c r="AX29" s="243"/>
      <c r="AY29" s="243"/>
      <c r="AZ29" s="242">
        <v>0</v>
      </c>
      <c r="BA29" s="242">
        <v>0</v>
      </c>
      <c r="BB29" s="242">
        <v>0</v>
      </c>
      <c r="BC29" s="242">
        <v>0</v>
      </c>
      <c r="BD29" s="242">
        <v>0</v>
      </c>
      <c r="BE29" s="242">
        <v>0</v>
      </c>
      <c r="BF29" s="242"/>
      <c r="BG29" s="242">
        <v>2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>
        <v>0</v>
      </c>
      <c r="BX29" s="242">
        <v>39136.86</v>
      </c>
      <c r="BY29" s="242">
        <v>0</v>
      </c>
      <c r="BZ29" s="242">
        <v>39136.86</v>
      </c>
      <c r="CA29" s="242">
        <v>0</v>
      </c>
      <c r="CB29" s="243" t="s">
        <v>633</v>
      </c>
      <c r="CC29" s="248">
        <v>39136.86</v>
      </c>
      <c r="CD29" s="248">
        <v>0</v>
      </c>
      <c r="CE29" s="248">
        <v>0</v>
      </c>
      <c r="CF29" s="248">
        <v>0</v>
      </c>
    </row>
    <row r="30" spans="1:84" x14ac:dyDescent="0.25">
      <c r="A30" s="254" t="s">
        <v>683</v>
      </c>
      <c r="B30" s="255" t="s">
        <v>684</v>
      </c>
      <c r="C30" s="255" t="s">
        <v>636</v>
      </c>
      <c r="D30" s="233"/>
      <c r="E30" s="234">
        <v>0</v>
      </c>
      <c r="F30" s="235">
        <v>0</v>
      </c>
      <c r="G30" s="256"/>
      <c r="H30" s="257"/>
      <c r="I30" s="237"/>
      <c r="J30" s="238">
        <v>0</v>
      </c>
      <c r="K30" s="239"/>
      <c r="L30" s="240"/>
      <c r="M30" s="8">
        <v>25431.95</v>
      </c>
      <c r="N30" s="241">
        <v>25431.95</v>
      </c>
      <c r="O30" s="71"/>
      <c r="P30" s="100"/>
      <c r="Q30" s="9"/>
      <c r="R30" s="9"/>
      <c r="S30" s="9"/>
      <c r="T30" s="258">
        <v>45744</v>
      </c>
      <c r="U30" s="10"/>
      <c r="V30" s="23"/>
      <c r="W30" s="11"/>
      <c r="X30" s="8">
        <v>25431.95</v>
      </c>
      <c r="Y30" s="9"/>
      <c r="Z30" s="9"/>
      <c r="AA30" s="9"/>
      <c r="AB30" s="10"/>
      <c r="AC30" s="24">
        <v>0</v>
      </c>
      <c r="AD30" s="11">
        <v>0</v>
      </c>
      <c r="AE30" s="8">
        <v>25431.95</v>
      </c>
      <c r="AF30" s="9"/>
      <c r="AG30" s="10"/>
      <c r="AH30" s="11"/>
      <c r="AI30" s="8">
        <v>0</v>
      </c>
      <c r="AJ30" s="9"/>
      <c r="AK30" s="10"/>
      <c r="AL30" s="25"/>
      <c r="AM30" s="25"/>
      <c r="AN30" s="25"/>
      <c r="AO30" s="10"/>
      <c r="AP30" s="12">
        <v>0</v>
      </c>
      <c r="AQ30" s="12"/>
      <c r="AR30" s="12"/>
      <c r="AS30" s="242"/>
      <c r="AT30" s="243"/>
      <c r="AU30" s="242"/>
      <c r="AV30" s="242"/>
      <c r="AW30" s="244"/>
      <c r="AX30" s="243"/>
      <c r="AY30" s="243"/>
      <c r="AZ30" s="242">
        <v>0</v>
      </c>
      <c r="BA30" s="242">
        <v>0</v>
      </c>
      <c r="BB30" s="242">
        <v>0</v>
      </c>
      <c r="BC30" s="242">
        <v>0</v>
      </c>
      <c r="BD30" s="242">
        <v>0</v>
      </c>
      <c r="BE30" s="242">
        <v>0</v>
      </c>
      <c r="BF30" s="242"/>
      <c r="BG30" s="242">
        <v>2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>
        <v>0</v>
      </c>
      <c r="BX30" s="242">
        <v>25431.95</v>
      </c>
      <c r="BY30" s="242">
        <v>0</v>
      </c>
      <c r="BZ30" s="242">
        <v>25431.95</v>
      </c>
      <c r="CA30" s="242">
        <v>0</v>
      </c>
      <c r="CB30" s="243" t="s">
        <v>633</v>
      </c>
      <c r="CC30" s="248">
        <v>25431.95</v>
      </c>
      <c r="CD30" s="248">
        <v>0</v>
      </c>
      <c r="CE30" s="248">
        <v>0</v>
      </c>
      <c r="CF30" s="248">
        <v>0</v>
      </c>
    </row>
    <row r="31" spans="1:84" x14ac:dyDescent="0.25">
      <c r="A31" s="254" t="s">
        <v>685</v>
      </c>
      <c r="B31" s="255" t="s">
        <v>686</v>
      </c>
      <c r="C31" s="255" t="s">
        <v>636</v>
      </c>
      <c r="D31" s="233"/>
      <c r="E31" s="234">
        <v>0</v>
      </c>
      <c r="F31" s="235">
        <v>0</v>
      </c>
      <c r="G31" s="256"/>
      <c r="H31" s="257"/>
      <c r="I31" s="237"/>
      <c r="J31" s="238">
        <v>0</v>
      </c>
      <c r="K31" s="239"/>
      <c r="L31" s="240"/>
      <c r="M31" s="8">
        <v>8709.06</v>
      </c>
      <c r="N31" s="241">
        <v>8709.06</v>
      </c>
      <c r="O31" s="71"/>
      <c r="P31" s="100"/>
      <c r="Q31" s="9"/>
      <c r="R31" s="9"/>
      <c r="S31" s="9"/>
      <c r="T31" s="258">
        <v>45744</v>
      </c>
      <c r="U31" s="10"/>
      <c r="V31" s="23"/>
      <c r="W31" s="11"/>
      <c r="X31" s="8">
        <v>8709.06</v>
      </c>
      <c r="Y31" s="9"/>
      <c r="Z31" s="9"/>
      <c r="AA31" s="9"/>
      <c r="AB31" s="10"/>
      <c r="AC31" s="24">
        <v>0</v>
      </c>
      <c r="AD31" s="11">
        <v>0</v>
      </c>
      <c r="AE31" s="8">
        <v>8709.06</v>
      </c>
      <c r="AF31" s="9"/>
      <c r="AG31" s="10"/>
      <c r="AH31" s="11"/>
      <c r="AI31" s="8">
        <v>0</v>
      </c>
      <c r="AJ31" s="9"/>
      <c r="AK31" s="10"/>
      <c r="AL31" s="25"/>
      <c r="AM31" s="25"/>
      <c r="AN31" s="25"/>
      <c r="AO31" s="10"/>
      <c r="AP31" s="12">
        <v>0</v>
      </c>
      <c r="AQ31" s="12"/>
      <c r="AR31" s="12"/>
      <c r="AS31" s="242"/>
      <c r="AT31" s="243"/>
      <c r="AU31" s="242"/>
      <c r="AV31" s="242"/>
      <c r="AW31" s="244"/>
      <c r="AX31" s="243"/>
      <c r="AY31" s="243"/>
      <c r="AZ31" s="242">
        <v>0</v>
      </c>
      <c r="BA31" s="242">
        <v>0</v>
      </c>
      <c r="BB31" s="242">
        <v>0</v>
      </c>
      <c r="BC31" s="242">
        <v>0</v>
      </c>
      <c r="BD31" s="242">
        <v>0</v>
      </c>
      <c r="BE31" s="242">
        <v>0</v>
      </c>
      <c r="BF31" s="242"/>
      <c r="BG31" s="242">
        <v>2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>
        <v>0</v>
      </c>
      <c r="BX31" s="242">
        <v>8709.06</v>
      </c>
      <c r="BY31" s="242">
        <v>0</v>
      </c>
      <c r="BZ31" s="242">
        <v>8709.06</v>
      </c>
      <c r="CA31" s="242">
        <v>0</v>
      </c>
      <c r="CB31" s="243" t="s">
        <v>633</v>
      </c>
      <c r="CC31" s="248">
        <v>8709.06</v>
      </c>
      <c r="CD31" s="248">
        <v>0</v>
      </c>
      <c r="CE31" s="248">
        <v>0</v>
      </c>
      <c r="CF31" s="248">
        <v>0</v>
      </c>
    </row>
    <row r="32" spans="1:84" x14ac:dyDescent="0.25">
      <c r="A32" s="254" t="s">
        <v>687</v>
      </c>
      <c r="B32" s="255" t="s">
        <v>688</v>
      </c>
      <c r="C32" s="255" t="s">
        <v>670</v>
      </c>
      <c r="D32" s="233"/>
      <c r="E32" s="234">
        <v>1229.32</v>
      </c>
      <c r="F32" s="235">
        <v>1229.32</v>
      </c>
      <c r="G32" s="256"/>
      <c r="H32" s="257"/>
      <c r="I32" s="237"/>
      <c r="J32" s="238">
        <v>1229.32</v>
      </c>
      <c r="K32" s="239"/>
      <c r="L32" s="240"/>
      <c r="M32" s="8">
        <v>155.43</v>
      </c>
      <c r="N32" s="241">
        <v>155.43</v>
      </c>
      <c r="O32" s="71"/>
      <c r="P32" s="100"/>
      <c r="Q32" s="9"/>
      <c r="R32" s="9"/>
      <c r="S32" s="9"/>
      <c r="T32" s="258">
        <v>45744</v>
      </c>
      <c r="U32" s="10"/>
      <c r="V32" s="23"/>
      <c r="W32" s="11"/>
      <c r="X32" s="8">
        <v>155.43</v>
      </c>
      <c r="Y32" s="9"/>
      <c r="Z32" s="9"/>
      <c r="AA32" s="9"/>
      <c r="AB32" s="10"/>
      <c r="AC32" s="24">
        <v>0</v>
      </c>
      <c r="AD32" s="11">
        <v>0</v>
      </c>
      <c r="AE32" s="8">
        <v>155.43</v>
      </c>
      <c r="AF32" s="9"/>
      <c r="AG32" s="10"/>
      <c r="AH32" s="11"/>
      <c r="AI32" s="8">
        <v>0</v>
      </c>
      <c r="AJ32" s="9"/>
      <c r="AK32" s="10"/>
      <c r="AL32" s="25"/>
      <c r="AM32" s="25"/>
      <c r="AN32" s="25"/>
      <c r="AO32" s="10"/>
      <c r="AP32" s="12">
        <v>1229.32</v>
      </c>
      <c r="AQ32" s="12"/>
      <c r="AR32" s="12"/>
      <c r="AS32" s="242"/>
      <c r="AT32" s="243"/>
      <c r="AU32" s="242"/>
      <c r="AV32" s="242"/>
      <c r="AW32" s="244"/>
      <c r="AX32" s="243"/>
      <c r="AY32" s="243"/>
      <c r="AZ32" s="242">
        <v>0</v>
      </c>
      <c r="BA32" s="242">
        <v>0</v>
      </c>
      <c r="BB32" s="242">
        <v>0</v>
      </c>
      <c r="BC32" s="242">
        <v>0</v>
      </c>
      <c r="BD32" s="242">
        <v>0</v>
      </c>
      <c r="BE32" s="242">
        <v>0</v>
      </c>
      <c r="BF32" s="242"/>
      <c r="BG32" s="242">
        <v>2</v>
      </c>
      <c r="BH32" s="242">
        <v>0</v>
      </c>
      <c r="BI32" s="242">
        <v>0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>
        <v>0</v>
      </c>
      <c r="BX32" s="242">
        <v>155.43</v>
      </c>
      <c r="BY32" s="242">
        <v>0</v>
      </c>
      <c r="BZ32" s="242">
        <v>155.43</v>
      </c>
      <c r="CA32" s="242">
        <v>0</v>
      </c>
      <c r="CB32" s="243" t="s">
        <v>633</v>
      </c>
      <c r="CC32" s="248">
        <v>155.43</v>
      </c>
      <c r="CD32" s="248">
        <v>0</v>
      </c>
      <c r="CE32" s="248">
        <v>1229.32</v>
      </c>
      <c r="CF32" s="248">
        <v>0</v>
      </c>
    </row>
    <row r="33" spans="1:84" x14ac:dyDescent="0.25">
      <c r="A33" s="254" t="s">
        <v>689</v>
      </c>
      <c r="B33" s="255" t="s">
        <v>690</v>
      </c>
      <c r="C33" s="255" t="s">
        <v>670</v>
      </c>
      <c r="D33" s="233"/>
      <c r="E33" s="234">
        <v>572731.54</v>
      </c>
      <c r="F33" s="235">
        <v>572731.54</v>
      </c>
      <c r="G33" s="256"/>
      <c r="H33" s="257"/>
      <c r="I33" s="237"/>
      <c r="J33" s="238">
        <v>572731.54</v>
      </c>
      <c r="K33" s="239"/>
      <c r="L33" s="240"/>
      <c r="M33" s="8">
        <v>470904.42</v>
      </c>
      <c r="N33" s="241">
        <v>470904.42</v>
      </c>
      <c r="O33" s="71"/>
      <c r="P33" s="100"/>
      <c r="Q33" s="9"/>
      <c r="R33" s="9"/>
      <c r="S33" s="9"/>
      <c r="T33" s="258">
        <v>45772</v>
      </c>
      <c r="U33" s="10"/>
      <c r="V33" s="23"/>
      <c r="W33" s="11"/>
      <c r="X33" s="8">
        <v>470904.42</v>
      </c>
      <c r="Y33" s="9"/>
      <c r="Z33" s="9"/>
      <c r="AA33" s="9"/>
      <c r="AB33" s="10"/>
      <c r="AC33" s="24">
        <v>0</v>
      </c>
      <c r="AD33" s="11">
        <v>0</v>
      </c>
      <c r="AE33" s="8">
        <v>470904.42</v>
      </c>
      <c r="AF33" s="9"/>
      <c r="AG33" s="10"/>
      <c r="AH33" s="11"/>
      <c r="AI33" s="8">
        <v>0</v>
      </c>
      <c r="AJ33" s="9"/>
      <c r="AK33" s="10"/>
      <c r="AL33" s="25"/>
      <c r="AM33" s="25"/>
      <c r="AN33" s="25"/>
      <c r="AO33" s="10"/>
      <c r="AP33" s="12">
        <v>572731.54</v>
      </c>
      <c r="AQ33" s="12"/>
      <c r="AR33" s="12"/>
      <c r="AS33" s="242"/>
      <c r="AT33" s="243"/>
      <c r="AU33" s="242"/>
      <c r="AV33" s="242"/>
      <c r="AW33" s="244"/>
      <c r="AX33" s="243"/>
      <c r="AY33" s="243"/>
      <c r="AZ33" s="242">
        <v>0</v>
      </c>
      <c r="BA33" s="242">
        <v>0</v>
      </c>
      <c r="BB33" s="242">
        <v>0</v>
      </c>
      <c r="BC33" s="242">
        <v>0</v>
      </c>
      <c r="BD33" s="242">
        <v>0</v>
      </c>
      <c r="BE33" s="242">
        <v>0</v>
      </c>
      <c r="BF33" s="242"/>
      <c r="BG33" s="242">
        <v>2</v>
      </c>
      <c r="BH33" s="242">
        <v>0</v>
      </c>
      <c r="BI33" s="242">
        <v>0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>
        <v>0</v>
      </c>
      <c r="BX33" s="242">
        <v>470904.42</v>
      </c>
      <c r="BY33" s="242">
        <v>0</v>
      </c>
      <c r="BZ33" s="242">
        <v>470904.42</v>
      </c>
      <c r="CA33" s="242">
        <v>0</v>
      </c>
      <c r="CB33" s="243" t="s">
        <v>633</v>
      </c>
      <c r="CC33" s="248">
        <v>470904.42</v>
      </c>
      <c r="CD33" s="248">
        <v>0</v>
      </c>
      <c r="CE33" s="248">
        <v>572731.54</v>
      </c>
      <c r="CF33" s="248">
        <v>0</v>
      </c>
    </row>
    <row r="34" spans="1:84" x14ac:dyDescent="0.25">
      <c r="A34" s="254" t="s">
        <v>691</v>
      </c>
      <c r="B34" s="255" t="s">
        <v>692</v>
      </c>
      <c r="C34" s="255" t="s">
        <v>670</v>
      </c>
      <c r="D34" s="233"/>
      <c r="E34" s="234">
        <v>98325.5</v>
      </c>
      <c r="F34" s="235">
        <v>98325.5</v>
      </c>
      <c r="G34" s="256"/>
      <c r="H34" s="257"/>
      <c r="I34" s="237"/>
      <c r="J34" s="238">
        <v>98325.5</v>
      </c>
      <c r="K34" s="239"/>
      <c r="L34" s="240"/>
      <c r="M34" s="8">
        <v>74320.86</v>
      </c>
      <c r="N34" s="241">
        <v>74320.86</v>
      </c>
      <c r="O34" s="71"/>
      <c r="P34" s="100"/>
      <c r="Q34" s="9"/>
      <c r="R34" s="9"/>
      <c r="S34" s="9"/>
      <c r="T34" s="258">
        <v>45744</v>
      </c>
      <c r="U34" s="10"/>
      <c r="V34" s="23"/>
      <c r="W34" s="11"/>
      <c r="X34" s="8">
        <v>74320.86</v>
      </c>
      <c r="Y34" s="9"/>
      <c r="Z34" s="9"/>
      <c r="AA34" s="9"/>
      <c r="AB34" s="10"/>
      <c r="AC34" s="24">
        <v>0</v>
      </c>
      <c r="AD34" s="11">
        <v>0</v>
      </c>
      <c r="AE34" s="8">
        <v>74320.86</v>
      </c>
      <c r="AF34" s="9"/>
      <c r="AG34" s="10"/>
      <c r="AH34" s="11"/>
      <c r="AI34" s="8">
        <v>0</v>
      </c>
      <c r="AJ34" s="9"/>
      <c r="AK34" s="10"/>
      <c r="AL34" s="25"/>
      <c r="AM34" s="25"/>
      <c r="AN34" s="25"/>
      <c r="AO34" s="10"/>
      <c r="AP34" s="12">
        <v>98325.5</v>
      </c>
      <c r="AQ34" s="12"/>
      <c r="AR34" s="12"/>
      <c r="AS34" s="242"/>
      <c r="AT34" s="243"/>
      <c r="AU34" s="242"/>
      <c r="AV34" s="242"/>
      <c r="AW34" s="244"/>
      <c r="AX34" s="243"/>
      <c r="AY34" s="243"/>
      <c r="AZ34" s="242">
        <v>0</v>
      </c>
      <c r="BA34" s="242">
        <v>0</v>
      </c>
      <c r="BB34" s="242">
        <v>0</v>
      </c>
      <c r="BC34" s="242">
        <v>0</v>
      </c>
      <c r="BD34" s="242">
        <v>0</v>
      </c>
      <c r="BE34" s="242">
        <v>0</v>
      </c>
      <c r="BF34" s="242"/>
      <c r="BG34" s="242">
        <v>2</v>
      </c>
      <c r="BH34" s="242">
        <v>0</v>
      </c>
      <c r="BI34" s="242">
        <v>0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>
        <v>0</v>
      </c>
      <c r="BX34" s="242">
        <v>74320.86</v>
      </c>
      <c r="BY34" s="242">
        <v>0</v>
      </c>
      <c r="BZ34" s="242">
        <v>74320.86</v>
      </c>
      <c r="CA34" s="242">
        <v>0</v>
      </c>
      <c r="CB34" s="243" t="s">
        <v>633</v>
      </c>
      <c r="CC34" s="248">
        <v>74320.86</v>
      </c>
      <c r="CD34" s="248">
        <v>0</v>
      </c>
      <c r="CE34" s="248">
        <v>98325.5</v>
      </c>
      <c r="CF34" s="248">
        <v>0</v>
      </c>
    </row>
    <row r="35" spans="1:84" x14ac:dyDescent="0.25">
      <c r="A35" s="254" t="s">
        <v>693</v>
      </c>
      <c r="B35" s="255" t="s">
        <v>694</v>
      </c>
      <c r="C35" s="255" t="s">
        <v>670</v>
      </c>
      <c r="D35" s="233"/>
      <c r="E35" s="234">
        <v>77926.820000000007</v>
      </c>
      <c r="F35" s="235">
        <v>77926.820000000007</v>
      </c>
      <c r="G35" s="256"/>
      <c r="H35" s="257"/>
      <c r="I35" s="237"/>
      <c r="J35" s="238">
        <v>77926.820000000007</v>
      </c>
      <c r="K35" s="239"/>
      <c r="L35" s="240"/>
      <c r="M35" s="8">
        <v>202943.79</v>
      </c>
      <c r="N35" s="241">
        <v>214286.76</v>
      </c>
      <c r="O35" s="71"/>
      <c r="P35" s="100"/>
      <c r="Q35" s="9"/>
      <c r="R35" s="9"/>
      <c r="S35" s="9"/>
      <c r="T35" s="258">
        <v>45744</v>
      </c>
      <c r="U35" s="10"/>
      <c r="V35" s="23"/>
      <c r="W35" s="11"/>
      <c r="X35" s="8">
        <v>214286.76</v>
      </c>
      <c r="Y35" s="9"/>
      <c r="Z35" s="9"/>
      <c r="AA35" s="9"/>
      <c r="AB35" s="10"/>
      <c r="AC35" s="24">
        <v>0</v>
      </c>
      <c r="AD35" s="11">
        <v>0</v>
      </c>
      <c r="AE35" s="8">
        <v>214286.76</v>
      </c>
      <c r="AF35" s="9"/>
      <c r="AG35" s="10"/>
      <c r="AH35" s="11"/>
      <c r="AI35" s="8">
        <v>0</v>
      </c>
      <c r="AJ35" s="9"/>
      <c r="AK35" s="10"/>
      <c r="AL35" s="25"/>
      <c r="AM35" s="25"/>
      <c r="AN35" s="25"/>
      <c r="AO35" s="10"/>
      <c r="AP35" s="12">
        <v>77926.820000000007</v>
      </c>
      <c r="AQ35" s="12"/>
      <c r="AR35" s="12"/>
      <c r="AS35" s="242"/>
      <c r="AT35" s="243"/>
      <c r="AU35" s="242"/>
      <c r="AV35" s="242"/>
      <c r="AW35" s="244"/>
      <c r="AX35" s="243"/>
      <c r="AY35" s="243"/>
      <c r="AZ35" s="242">
        <v>0</v>
      </c>
      <c r="BA35" s="242">
        <v>0</v>
      </c>
      <c r="BB35" s="242">
        <v>0</v>
      </c>
      <c r="BC35" s="242">
        <v>0</v>
      </c>
      <c r="BD35" s="242">
        <v>0</v>
      </c>
      <c r="BE35" s="242">
        <v>0</v>
      </c>
      <c r="BF35" s="242"/>
      <c r="BG35" s="242">
        <v>2</v>
      </c>
      <c r="BH35" s="242">
        <v>0</v>
      </c>
      <c r="BI35" s="242">
        <v>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>
        <v>0</v>
      </c>
      <c r="BX35" s="242">
        <v>214286.76</v>
      </c>
      <c r="BY35" s="242">
        <v>0</v>
      </c>
      <c r="BZ35" s="242">
        <v>214286.76</v>
      </c>
      <c r="CA35" s="242">
        <v>0</v>
      </c>
      <c r="CB35" s="243" t="s">
        <v>633</v>
      </c>
      <c r="CC35" s="248">
        <v>214286.76</v>
      </c>
      <c r="CD35" s="248">
        <v>0</v>
      </c>
      <c r="CE35" s="248">
        <v>77926.820000000007</v>
      </c>
      <c r="CF35" s="248">
        <v>0</v>
      </c>
    </row>
    <row r="36" spans="1:84" x14ac:dyDescent="0.25">
      <c r="A36" s="254" t="s">
        <v>695</v>
      </c>
      <c r="B36" s="255" t="s">
        <v>696</v>
      </c>
      <c r="C36" s="255" t="s">
        <v>670</v>
      </c>
      <c r="D36" s="233"/>
      <c r="E36" s="234">
        <v>0</v>
      </c>
      <c r="F36" s="235">
        <v>0</v>
      </c>
      <c r="G36" s="256"/>
      <c r="H36" s="257"/>
      <c r="I36" s="237"/>
      <c r="J36" s="238">
        <v>88862</v>
      </c>
      <c r="K36" s="239"/>
      <c r="L36" s="240"/>
      <c r="M36" s="8">
        <v>119824.08</v>
      </c>
      <c r="N36" s="241">
        <v>119824.08</v>
      </c>
      <c r="O36" s="71"/>
      <c r="P36" s="100"/>
      <c r="Q36" s="9"/>
      <c r="R36" s="9"/>
      <c r="S36" s="9"/>
      <c r="T36" s="258">
        <v>45744</v>
      </c>
      <c r="U36" s="10"/>
      <c r="V36" s="23"/>
      <c r="W36" s="11"/>
      <c r="X36" s="8">
        <v>119824.08</v>
      </c>
      <c r="Y36" s="9"/>
      <c r="Z36" s="9"/>
      <c r="AA36" s="9"/>
      <c r="AB36" s="10"/>
      <c r="AC36" s="24">
        <v>0</v>
      </c>
      <c r="AD36" s="11">
        <v>0</v>
      </c>
      <c r="AE36" s="8">
        <v>119824.08</v>
      </c>
      <c r="AF36" s="9"/>
      <c r="AG36" s="10"/>
      <c r="AH36" s="11"/>
      <c r="AI36" s="8">
        <v>0</v>
      </c>
      <c r="AJ36" s="9"/>
      <c r="AK36" s="10"/>
      <c r="AL36" s="25"/>
      <c r="AM36" s="25"/>
      <c r="AN36" s="25"/>
      <c r="AO36" s="10"/>
      <c r="AP36" s="12">
        <v>88862</v>
      </c>
      <c r="AQ36" s="12"/>
      <c r="AR36" s="12"/>
      <c r="AS36" s="242"/>
      <c r="AT36" s="243"/>
      <c r="AU36" s="242"/>
      <c r="AV36" s="242"/>
      <c r="AW36" s="244"/>
      <c r="AX36" s="243"/>
      <c r="AY36" s="243"/>
      <c r="AZ36" s="242">
        <v>0</v>
      </c>
      <c r="BA36" s="242">
        <v>0</v>
      </c>
      <c r="BB36" s="242">
        <v>0</v>
      </c>
      <c r="BC36" s="242">
        <v>0</v>
      </c>
      <c r="BD36" s="242">
        <v>0</v>
      </c>
      <c r="BE36" s="242">
        <v>0</v>
      </c>
      <c r="BF36" s="242"/>
      <c r="BG36" s="242">
        <v>2</v>
      </c>
      <c r="BH36" s="242">
        <v>0</v>
      </c>
      <c r="BI36" s="242">
        <v>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>
        <v>0</v>
      </c>
      <c r="BX36" s="242">
        <v>119824.08</v>
      </c>
      <c r="BY36" s="242">
        <v>0</v>
      </c>
      <c r="BZ36" s="242">
        <v>119824.08</v>
      </c>
      <c r="CA36" s="242">
        <v>0</v>
      </c>
      <c r="CB36" s="243" t="s">
        <v>633</v>
      </c>
      <c r="CC36" s="248">
        <v>119824.08</v>
      </c>
      <c r="CD36" s="248">
        <v>0</v>
      </c>
      <c r="CE36" s="248">
        <v>88862</v>
      </c>
      <c r="CF36" s="248">
        <v>0</v>
      </c>
    </row>
    <row r="37" spans="1:84" x14ac:dyDescent="0.25">
      <c r="A37" s="254" t="s">
        <v>697</v>
      </c>
      <c r="B37" s="255" t="s">
        <v>698</v>
      </c>
      <c r="C37" s="255" t="s">
        <v>636</v>
      </c>
      <c r="D37" s="233"/>
      <c r="E37" s="234">
        <v>1017300</v>
      </c>
      <c r="F37" s="235">
        <v>1017300</v>
      </c>
      <c r="G37" s="256"/>
      <c r="H37" s="257"/>
      <c r="I37" s="237"/>
      <c r="J37" s="238">
        <v>1017300</v>
      </c>
      <c r="K37" s="239"/>
      <c r="L37" s="240"/>
      <c r="M37" s="8">
        <v>797250.06</v>
      </c>
      <c r="N37" s="241">
        <v>797250.06</v>
      </c>
      <c r="O37" s="71"/>
      <c r="P37" s="100"/>
      <c r="Q37" s="9"/>
      <c r="R37" s="9"/>
      <c r="S37" s="9"/>
      <c r="T37" s="258">
        <v>45748</v>
      </c>
      <c r="U37" s="10"/>
      <c r="V37" s="23"/>
      <c r="W37" s="11"/>
      <c r="X37" s="8">
        <v>797250.06</v>
      </c>
      <c r="Y37" s="9"/>
      <c r="Z37" s="9"/>
      <c r="AA37" s="9"/>
      <c r="AB37" s="10"/>
      <c r="AC37" s="24">
        <v>0</v>
      </c>
      <c r="AD37" s="11">
        <v>0</v>
      </c>
      <c r="AE37" s="8">
        <v>705074.1</v>
      </c>
      <c r="AF37" s="9"/>
      <c r="AG37" s="10"/>
      <c r="AH37" s="11"/>
      <c r="AI37" s="8">
        <v>92175.96</v>
      </c>
      <c r="AJ37" s="9"/>
      <c r="AK37" s="10"/>
      <c r="AL37" s="25"/>
      <c r="AM37" s="25"/>
      <c r="AN37" s="25"/>
      <c r="AO37" s="10"/>
      <c r="AP37" s="12">
        <v>1017300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1017300</v>
      </c>
      <c r="BA37" s="15">
        <v>797250.06</v>
      </c>
      <c r="BB37" s="15">
        <v>1017300</v>
      </c>
      <c r="BC37" s="15">
        <v>797250.06</v>
      </c>
      <c r="BD37" s="242">
        <v>0</v>
      </c>
      <c r="BE37" s="242">
        <v>0</v>
      </c>
      <c r="BF37" s="242"/>
      <c r="BG37" s="242">
        <v>2</v>
      </c>
      <c r="BH37" s="242">
        <v>0</v>
      </c>
      <c r="BI37" s="242">
        <v>0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 t="s">
        <v>634</v>
      </c>
      <c r="BW37" s="242">
        <v>0</v>
      </c>
      <c r="BX37" s="242">
        <v>705074.1</v>
      </c>
      <c r="BY37" s="242">
        <v>0</v>
      </c>
      <c r="BZ37" s="242">
        <v>705074.1</v>
      </c>
      <c r="CA37" s="242">
        <v>0</v>
      </c>
      <c r="CB37" s="243" t="s">
        <v>633</v>
      </c>
      <c r="CC37" s="248">
        <v>797250.06</v>
      </c>
      <c r="CD37" s="248">
        <v>92175.96</v>
      </c>
      <c r="CE37" s="248">
        <v>1017300</v>
      </c>
      <c r="CF37" s="248">
        <v>0</v>
      </c>
    </row>
    <row r="38" spans="1:84" x14ac:dyDescent="0.25">
      <c r="A38" s="254" t="s">
        <v>699</v>
      </c>
      <c r="B38" s="255" t="s">
        <v>700</v>
      </c>
      <c r="C38" s="255" t="s">
        <v>636</v>
      </c>
      <c r="D38" s="233"/>
      <c r="E38" s="234">
        <v>212000</v>
      </c>
      <c r="F38" s="235">
        <v>179650</v>
      </c>
      <c r="G38" s="256"/>
      <c r="H38" s="257"/>
      <c r="I38" s="237"/>
      <c r="J38" s="238">
        <v>179650</v>
      </c>
      <c r="K38" s="239"/>
      <c r="L38" s="240"/>
      <c r="M38" s="8">
        <v>162037.23000000001</v>
      </c>
      <c r="N38" s="241">
        <v>140567.65</v>
      </c>
      <c r="O38" s="71"/>
      <c r="P38" s="100"/>
      <c r="Q38" s="9"/>
      <c r="R38" s="9"/>
      <c r="S38" s="9"/>
      <c r="T38" s="258">
        <v>45992</v>
      </c>
      <c r="U38" s="10"/>
      <c r="V38" s="23"/>
      <c r="W38" s="11"/>
      <c r="X38" s="8">
        <v>140567.65</v>
      </c>
      <c r="Y38" s="9"/>
      <c r="Z38" s="9"/>
      <c r="AA38" s="9"/>
      <c r="AB38" s="10"/>
      <c r="AC38" s="24">
        <v>0</v>
      </c>
      <c r="AD38" s="11">
        <v>0</v>
      </c>
      <c r="AE38" s="8">
        <v>139380.10999999999</v>
      </c>
      <c r="AF38" s="9"/>
      <c r="AG38" s="10"/>
      <c r="AH38" s="11"/>
      <c r="AI38" s="8">
        <v>1187.54</v>
      </c>
      <c r="AJ38" s="9"/>
      <c r="AK38" s="10"/>
      <c r="AL38" s="25"/>
      <c r="AM38" s="25"/>
      <c r="AN38" s="25"/>
      <c r="AO38" s="10"/>
      <c r="AP38" s="12">
        <v>179650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15">
        <v>179650</v>
      </c>
      <c r="BA38" s="15">
        <v>140567.65</v>
      </c>
      <c r="BB38" s="15">
        <v>179650</v>
      </c>
      <c r="BC38" s="15">
        <v>140567.65</v>
      </c>
      <c r="BD38" s="242">
        <v>0</v>
      </c>
      <c r="BE38" s="242">
        <v>0</v>
      </c>
      <c r="BF38" s="242"/>
      <c r="BG38" s="242">
        <v>2</v>
      </c>
      <c r="BH38" s="242">
        <v>0</v>
      </c>
      <c r="BI38" s="242">
        <v>0</v>
      </c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 t="s">
        <v>634</v>
      </c>
      <c r="BW38" s="242">
        <v>0</v>
      </c>
      <c r="BX38" s="242">
        <v>139380.10999999999</v>
      </c>
      <c r="BY38" s="242">
        <v>0</v>
      </c>
      <c r="BZ38" s="242">
        <v>139380.10999999999</v>
      </c>
      <c r="CA38" s="242">
        <v>0</v>
      </c>
      <c r="CB38" s="243" t="s">
        <v>633</v>
      </c>
      <c r="CC38" s="248">
        <v>140567.65</v>
      </c>
      <c r="CD38" s="248">
        <v>1187.54</v>
      </c>
      <c r="CE38" s="248">
        <v>179650</v>
      </c>
      <c r="CF38" s="248">
        <v>0</v>
      </c>
    </row>
    <row r="39" spans="1:84" x14ac:dyDescent="0.25">
      <c r="A39" s="254" t="s">
        <v>701</v>
      </c>
      <c r="B39" s="255" t="s">
        <v>702</v>
      </c>
      <c r="C39" s="255" t="s">
        <v>636</v>
      </c>
      <c r="D39" s="233"/>
      <c r="E39" s="234">
        <v>2100</v>
      </c>
      <c r="F39" s="235">
        <v>2100</v>
      </c>
      <c r="G39" s="256"/>
      <c r="H39" s="257"/>
      <c r="I39" s="237"/>
      <c r="J39" s="238">
        <v>2100</v>
      </c>
      <c r="K39" s="239"/>
      <c r="L39" s="240"/>
      <c r="M39" s="8">
        <v>2177.56</v>
      </c>
      <c r="N39" s="241">
        <v>2177.56</v>
      </c>
      <c r="O39" s="71"/>
      <c r="P39" s="100"/>
      <c r="Q39" s="9"/>
      <c r="R39" s="9"/>
      <c r="S39" s="9"/>
      <c r="T39" s="258">
        <v>45744</v>
      </c>
      <c r="U39" s="10"/>
      <c r="V39" s="23"/>
      <c r="W39" s="11"/>
      <c r="X39" s="8">
        <v>2177.56</v>
      </c>
      <c r="Y39" s="9"/>
      <c r="Z39" s="9"/>
      <c r="AA39" s="9"/>
      <c r="AB39" s="10"/>
      <c r="AC39" s="24">
        <v>0</v>
      </c>
      <c r="AD39" s="11">
        <v>0</v>
      </c>
      <c r="AE39" s="8">
        <v>2177.56</v>
      </c>
      <c r="AF39" s="9"/>
      <c r="AG39" s="10"/>
      <c r="AH39" s="11"/>
      <c r="AI39" s="8">
        <v>0</v>
      </c>
      <c r="AJ39" s="9"/>
      <c r="AK39" s="10"/>
      <c r="AL39" s="25"/>
      <c r="AM39" s="25"/>
      <c r="AN39" s="25"/>
      <c r="AO39" s="10"/>
      <c r="AP39" s="12">
        <v>2100</v>
      </c>
      <c r="AQ39" s="12"/>
      <c r="AR39" s="12"/>
      <c r="AS39" s="242"/>
      <c r="AT39" s="243"/>
      <c r="AU39" s="242"/>
      <c r="AV39" s="242"/>
      <c r="AW39" s="244"/>
      <c r="AX39" s="243"/>
      <c r="AY39" s="243"/>
      <c r="AZ39" s="242">
        <v>0</v>
      </c>
      <c r="BA39" s="242">
        <v>0</v>
      </c>
      <c r="BB39" s="242">
        <v>0</v>
      </c>
      <c r="BC39" s="242">
        <v>0</v>
      </c>
      <c r="BD39" s="242">
        <v>0</v>
      </c>
      <c r="BE39" s="242">
        <v>0</v>
      </c>
      <c r="BF39" s="242"/>
      <c r="BG39" s="242">
        <v>2</v>
      </c>
      <c r="BH39" s="242">
        <v>0</v>
      </c>
      <c r="BI39" s="242">
        <v>0</v>
      </c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>
        <v>0</v>
      </c>
      <c r="BX39" s="242">
        <v>2177.56</v>
      </c>
      <c r="BY39" s="242">
        <v>0</v>
      </c>
      <c r="BZ39" s="242">
        <v>2177.56</v>
      </c>
      <c r="CA39" s="242">
        <v>0</v>
      </c>
      <c r="CB39" s="243" t="s">
        <v>633</v>
      </c>
      <c r="CC39" s="248">
        <v>2177.56</v>
      </c>
      <c r="CD39" s="248">
        <v>0</v>
      </c>
      <c r="CE39" s="248">
        <v>2100</v>
      </c>
      <c r="CF39" s="248">
        <v>0</v>
      </c>
    </row>
    <row r="40" spans="1:84" x14ac:dyDescent="0.25">
      <c r="A40" s="254" t="s">
        <v>703</v>
      </c>
      <c r="B40" s="255" t="s">
        <v>704</v>
      </c>
      <c r="C40" s="255" t="s">
        <v>636</v>
      </c>
      <c r="D40" s="233"/>
      <c r="E40" s="234">
        <v>1168969</v>
      </c>
      <c r="F40" s="235">
        <v>1168969</v>
      </c>
      <c r="G40" s="256"/>
      <c r="H40" s="257"/>
      <c r="I40" s="237"/>
      <c r="J40" s="238">
        <v>1168969</v>
      </c>
      <c r="K40" s="239"/>
      <c r="L40" s="240"/>
      <c r="M40" s="8">
        <v>925928.56</v>
      </c>
      <c r="N40" s="241">
        <v>905528.56</v>
      </c>
      <c r="O40" s="71"/>
      <c r="P40" s="100"/>
      <c r="Q40" s="9"/>
      <c r="R40" s="9"/>
      <c r="S40" s="9"/>
      <c r="T40" s="258">
        <v>45962</v>
      </c>
      <c r="U40" s="10"/>
      <c r="V40" s="23"/>
      <c r="W40" s="11"/>
      <c r="X40" s="8">
        <v>905528.56</v>
      </c>
      <c r="Y40" s="9"/>
      <c r="Z40" s="9"/>
      <c r="AA40" s="9"/>
      <c r="AB40" s="10"/>
      <c r="AC40" s="24">
        <v>0</v>
      </c>
      <c r="AD40" s="11">
        <v>0</v>
      </c>
      <c r="AE40" s="8">
        <v>760614.81</v>
      </c>
      <c r="AF40" s="9"/>
      <c r="AG40" s="10"/>
      <c r="AH40" s="11"/>
      <c r="AI40" s="8">
        <v>144913.75</v>
      </c>
      <c r="AJ40" s="9"/>
      <c r="AK40" s="10"/>
      <c r="AL40" s="25"/>
      <c r="AM40" s="25"/>
      <c r="AN40" s="25"/>
      <c r="AO40" s="10"/>
      <c r="AP40" s="12">
        <v>1168969</v>
      </c>
      <c r="AQ40" s="12"/>
      <c r="AR40" s="12"/>
      <c r="AS40" s="242"/>
      <c r="AT40" s="243"/>
      <c r="AU40" s="242"/>
      <c r="AV40" s="242"/>
      <c r="AW40" s="244"/>
      <c r="AX40" s="243" t="s">
        <v>630</v>
      </c>
      <c r="AY40" s="243" t="s">
        <v>630</v>
      </c>
      <c r="AZ40" s="15">
        <v>1168969</v>
      </c>
      <c r="BA40" s="15">
        <v>905528.56</v>
      </c>
      <c r="BB40" s="15">
        <v>1168969</v>
      </c>
      <c r="BC40" s="15">
        <v>905528.56</v>
      </c>
      <c r="BD40" s="242">
        <v>0</v>
      </c>
      <c r="BE40" s="242">
        <v>0</v>
      </c>
      <c r="BF40" s="242"/>
      <c r="BG40" s="242">
        <v>2</v>
      </c>
      <c r="BH40" s="242">
        <v>0</v>
      </c>
      <c r="BI40" s="242">
        <v>0</v>
      </c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 t="s">
        <v>634</v>
      </c>
      <c r="BW40" s="242">
        <v>0</v>
      </c>
      <c r="BX40" s="242">
        <v>760614.81</v>
      </c>
      <c r="BY40" s="242">
        <v>0</v>
      </c>
      <c r="BZ40" s="242">
        <v>760614.81</v>
      </c>
      <c r="CA40" s="242">
        <v>0</v>
      </c>
      <c r="CB40" s="243" t="s">
        <v>633</v>
      </c>
      <c r="CC40" s="248">
        <v>905528.56</v>
      </c>
      <c r="CD40" s="248">
        <v>144913.75</v>
      </c>
      <c r="CE40" s="248">
        <v>1168969</v>
      </c>
      <c r="CF40" s="248">
        <v>0</v>
      </c>
    </row>
    <row r="41" spans="1:84" x14ac:dyDescent="0.25">
      <c r="A41" s="254" t="s">
        <v>705</v>
      </c>
      <c r="B41" s="255" t="s">
        <v>706</v>
      </c>
      <c r="C41" s="255" t="s">
        <v>707</v>
      </c>
      <c r="D41" s="233"/>
      <c r="E41" s="234">
        <v>182346</v>
      </c>
      <c r="F41" s="235">
        <v>182346</v>
      </c>
      <c r="G41" s="256"/>
      <c r="H41" s="257"/>
      <c r="I41" s="237"/>
      <c r="J41" s="238">
        <v>182346</v>
      </c>
      <c r="K41" s="239"/>
      <c r="L41" s="240"/>
      <c r="M41" s="8">
        <v>18943.7</v>
      </c>
      <c r="N41" s="241">
        <v>18943.7</v>
      </c>
      <c r="O41" s="71"/>
      <c r="P41" s="100"/>
      <c r="Q41" s="9"/>
      <c r="R41" s="9"/>
      <c r="S41" s="9"/>
      <c r="T41" s="258">
        <v>45744</v>
      </c>
      <c r="U41" s="10"/>
      <c r="V41" s="23"/>
      <c r="W41" s="11"/>
      <c r="X41" s="8">
        <v>18243.7</v>
      </c>
      <c r="Y41" s="9"/>
      <c r="Z41" s="9"/>
      <c r="AA41" s="9"/>
      <c r="AB41" s="10"/>
      <c r="AC41" s="24">
        <v>0</v>
      </c>
      <c r="AD41" s="11">
        <v>0</v>
      </c>
      <c r="AE41" s="8">
        <v>18243.7</v>
      </c>
      <c r="AF41" s="9"/>
      <c r="AG41" s="10"/>
      <c r="AH41" s="11"/>
      <c r="AI41" s="8">
        <v>0</v>
      </c>
      <c r="AJ41" s="9"/>
      <c r="AK41" s="10"/>
      <c r="AL41" s="25"/>
      <c r="AM41" s="25"/>
      <c r="AN41" s="25"/>
      <c r="AO41" s="10"/>
      <c r="AP41" s="12">
        <v>182346</v>
      </c>
      <c r="AQ41" s="12"/>
      <c r="AR41" s="12"/>
      <c r="AS41" s="242"/>
      <c r="AT41" s="243"/>
      <c r="AU41" s="242"/>
      <c r="AV41" s="242"/>
      <c r="AW41" s="244"/>
      <c r="AX41" s="243"/>
      <c r="AY41" s="243"/>
      <c r="AZ41" s="242">
        <v>0</v>
      </c>
      <c r="BA41" s="242">
        <v>0</v>
      </c>
      <c r="BB41" s="242">
        <v>0</v>
      </c>
      <c r="BC41" s="242">
        <v>0</v>
      </c>
      <c r="BD41" s="242">
        <v>0</v>
      </c>
      <c r="BE41" s="242">
        <v>0</v>
      </c>
      <c r="BF41" s="242"/>
      <c r="BG41" s="242">
        <v>2</v>
      </c>
      <c r="BH41" s="242">
        <v>0</v>
      </c>
      <c r="BI41" s="242">
        <v>0</v>
      </c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>
        <v>0</v>
      </c>
      <c r="BX41" s="242">
        <v>18243.7</v>
      </c>
      <c r="BY41" s="242">
        <v>0</v>
      </c>
      <c r="BZ41" s="242">
        <v>18243.7</v>
      </c>
      <c r="CA41" s="242">
        <v>0</v>
      </c>
      <c r="CB41" s="243" t="s">
        <v>633</v>
      </c>
      <c r="CC41" s="248">
        <v>18243.7</v>
      </c>
      <c r="CD41" s="248">
        <v>0</v>
      </c>
      <c r="CE41" s="248">
        <v>182346</v>
      </c>
      <c r="CF41" s="248">
        <v>0</v>
      </c>
    </row>
    <row r="42" spans="1:84" x14ac:dyDescent="0.25">
      <c r="A42" s="254" t="s">
        <v>708</v>
      </c>
      <c r="B42" s="255" t="s">
        <v>709</v>
      </c>
      <c r="C42" s="255" t="s">
        <v>636</v>
      </c>
      <c r="D42" s="233"/>
      <c r="E42" s="234">
        <v>405950</v>
      </c>
      <c r="F42" s="235">
        <v>405950</v>
      </c>
      <c r="G42" s="256"/>
      <c r="H42" s="257"/>
      <c r="I42" s="237"/>
      <c r="J42" s="238">
        <v>405950</v>
      </c>
      <c r="K42" s="239"/>
      <c r="L42" s="240"/>
      <c r="M42" s="8">
        <v>275272.48</v>
      </c>
      <c r="N42" s="241">
        <v>275272.48</v>
      </c>
      <c r="O42" s="71"/>
      <c r="P42" s="100"/>
      <c r="Q42" s="9"/>
      <c r="R42" s="9"/>
      <c r="S42" s="9"/>
      <c r="T42" s="258">
        <v>45992</v>
      </c>
      <c r="U42" s="10"/>
      <c r="V42" s="23"/>
      <c r="W42" s="11"/>
      <c r="X42" s="8">
        <v>275272.48</v>
      </c>
      <c r="Y42" s="9"/>
      <c r="Z42" s="9"/>
      <c r="AA42" s="9"/>
      <c r="AB42" s="10"/>
      <c r="AC42" s="24">
        <v>0</v>
      </c>
      <c r="AD42" s="11">
        <v>0</v>
      </c>
      <c r="AE42" s="8">
        <v>232363.46</v>
      </c>
      <c r="AF42" s="9"/>
      <c r="AG42" s="10"/>
      <c r="AH42" s="11"/>
      <c r="AI42" s="8">
        <v>42909.02</v>
      </c>
      <c r="AJ42" s="9"/>
      <c r="AK42" s="10"/>
      <c r="AL42" s="25"/>
      <c r="AM42" s="25"/>
      <c r="AN42" s="25"/>
      <c r="AO42" s="10"/>
      <c r="AP42" s="12">
        <v>405950</v>
      </c>
      <c r="AQ42" s="12"/>
      <c r="AR42" s="12"/>
      <c r="AS42" s="242"/>
      <c r="AT42" s="243"/>
      <c r="AU42" s="242"/>
      <c r="AV42" s="242"/>
      <c r="AW42" s="244"/>
      <c r="AX42" s="243" t="s">
        <v>630</v>
      </c>
      <c r="AY42" s="243" t="s">
        <v>630</v>
      </c>
      <c r="AZ42" s="15">
        <v>405950</v>
      </c>
      <c r="BA42" s="15">
        <v>275272.48</v>
      </c>
      <c r="BB42" s="15">
        <v>405950</v>
      </c>
      <c r="BC42" s="15">
        <v>275272.48</v>
      </c>
      <c r="BD42" s="242">
        <v>0</v>
      </c>
      <c r="BE42" s="242">
        <v>0</v>
      </c>
      <c r="BF42" s="242"/>
      <c r="BG42" s="242">
        <v>2</v>
      </c>
      <c r="BH42" s="242">
        <v>0</v>
      </c>
      <c r="BI42" s="242">
        <v>0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 t="s">
        <v>634</v>
      </c>
      <c r="BW42" s="242">
        <v>0</v>
      </c>
      <c r="BX42" s="242">
        <v>232363.46</v>
      </c>
      <c r="BY42" s="242">
        <v>0</v>
      </c>
      <c r="BZ42" s="242">
        <v>232363.46</v>
      </c>
      <c r="CA42" s="242">
        <v>0</v>
      </c>
      <c r="CB42" s="243" t="s">
        <v>633</v>
      </c>
      <c r="CC42" s="248">
        <v>275272.48</v>
      </c>
      <c r="CD42" s="248">
        <v>42909.02</v>
      </c>
      <c r="CE42" s="248">
        <v>405950</v>
      </c>
      <c r="CF42" s="248">
        <v>0</v>
      </c>
    </row>
    <row r="43" spans="1:84" x14ac:dyDescent="0.25">
      <c r="A43" s="254" t="s">
        <v>710</v>
      </c>
      <c r="B43" s="255" t="s">
        <v>711</v>
      </c>
      <c r="C43" s="255" t="s">
        <v>712</v>
      </c>
      <c r="D43" s="233"/>
      <c r="E43" s="234">
        <v>38400</v>
      </c>
      <c r="F43" s="235">
        <v>38400</v>
      </c>
      <c r="G43" s="256"/>
      <c r="H43" s="257"/>
      <c r="I43" s="237"/>
      <c r="J43" s="238">
        <v>38400</v>
      </c>
      <c r="K43" s="239"/>
      <c r="L43" s="240"/>
      <c r="M43" s="8">
        <v>24297.09</v>
      </c>
      <c r="N43" s="241">
        <v>24297.09</v>
      </c>
      <c r="O43" s="71"/>
      <c r="P43" s="100"/>
      <c r="Q43" s="9"/>
      <c r="R43" s="9"/>
      <c r="S43" s="9"/>
      <c r="T43" s="258">
        <v>45744</v>
      </c>
      <c r="U43" s="10"/>
      <c r="V43" s="23"/>
      <c r="W43" s="11"/>
      <c r="X43" s="8">
        <v>23060.06</v>
      </c>
      <c r="Y43" s="9"/>
      <c r="Z43" s="9"/>
      <c r="AA43" s="9"/>
      <c r="AB43" s="10"/>
      <c r="AC43" s="24">
        <v>0</v>
      </c>
      <c r="AD43" s="11">
        <v>0</v>
      </c>
      <c r="AE43" s="8">
        <v>23060.06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38400</v>
      </c>
      <c r="AQ43" s="12"/>
      <c r="AR43" s="12"/>
      <c r="AS43" s="242"/>
      <c r="AT43" s="243"/>
      <c r="AU43" s="242"/>
      <c r="AV43" s="242"/>
      <c r="AW43" s="244"/>
      <c r="AX43" s="243"/>
      <c r="AY43" s="243"/>
      <c r="AZ43" s="242">
        <v>0</v>
      </c>
      <c r="BA43" s="242">
        <v>0</v>
      </c>
      <c r="BB43" s="242">
        <v>0</v>
      </c>
      <c r="BC43" s="242">
        <v>0</v>
      </c>
      <c r="BD43" s="242">
        <v>0</v>
      </c>
      <c r="BE43" s="242">
        <v>0</v>
      </c>
      <c r="BF43" s="242"/>
      <c r="BG43" s="242">
        <v>2</v>
      </c>
      <c r="BH43" s="242">
        <v>0</v>
      </c>
      <c r="BI43" s="242">
        <v>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>
        <v>0</v>
      </c>
      <c r="BX43" s="242">
        <v>23060.06</v>
      </c>
      <c r="BY43" s="242">
        <v>0</v>
      </c>
      <c r="BZ43" s="242">
        <v>23060.06</v>
      </c>
      <c r="CA43" s="242">
        <v>0</v>
      </c>
      <c r="CB43" s="243" t="s">
        <v>633</v>
      </c>
      <c r="CC43" s="248">
        <v>23060.06</v>
      </c>
      <c r="CD43" s="248">
        <v>0</v>
      </c>
      <c r="CE43" s="248">
        <v>38400</v>
      </c>
      <c r="CF43" s="248">
        <v>0</v>
      </c>
    </row>
    <row r="44" spans="1:84" x14ac:dyDescent="0.25">
      <c r="A44" s="254" t="s">
        <v>713</v>
      </c>
      <c r="B44" s="255" t="s">
        <v>714</v>
      </c>
      <c r="C44" s="255" t="s">
        <v>657</v>
      </c>
      <c r="D44" s="233"/>
      <c r="E44" s="234">
        <v>360762.82</v>
      </c>
      <c r="F44" s="235">
        <v>360762.82</v>
      </c>
      <c r="G44" s="256"/>
      <c r="H44" s="257"/>
      <c r="I44" s="237"/>
      <c r="J44" s="238">
        <v>360762.82</v>
      </c>
      <c r="K44" s="239"/>
      <c r="L44" s="240"/>
      <c r="M44" s="8">
        <v>215502.73</v>
      </c>
      <c r="N44" s="241">
        <v>215502.73</v>
      </c>
      <c r="O44" s="71"/>
      <c r="P44" s="100"/>
      <c r="Q44" s="9"/>
      <c r="R44" s="9"/>
      <c r="S44" s="9"/>
      <c r="T44" s="258">
        <v>45809</v>
      </c>
      <c r="U44" s="10"/>
      <c r="V44" s="23"/>
      <c r="W44" s="11"/>
      <c r="X44" s="8">
        <v>215502.73</v>
      </c>
      <c r="Y44" s="9"/>
      <c r="Z44" s="9"/>
      <c r="AA44" s="9"/>
      <c r="AB44" s="10"/>
      <c r="AC44" s="24">
        <v>0</v>
      </c>
      <c r="AD44" s="11">
        <v>0</v>
      </c>
      <c r="AE44" s="8">
        <v>143107.13</v>
      </c>
      <c r="AF44" s="9"/>
      <c r="AG44" s="10"/>
      <c r="AH44" s="11"/>
      <c r="AI44" s="8">
        <v>72395.600000000006</v>
      </c>
      <c r="AJ44" s="9"/>
      <c r="AK44" s="10"/>
      <c r="AL44" s="25"/>
      <c r="AM44" s="25"/>
      <c r="AN44" s="25"/>
      <c r="AO44" s="10"/>
      <c r="AP44" s="12">
        <v>360762.82</v>
      </c>
      <c r="AQ44" s="12"/>
      <c r="AR44" s="12"/>
      <c r="AS44" s="242"/>
      <c r="AT44" s="243"/>
      <c r="AU44" s="242"/>
      <c r="AV44" s="242"/>
      <c r="AW44" s="244"/>
      <c r="AX44" s="243" t="s">
        <v>630</v>
      </c>
      <c r="AY44" s="243" t="s">
        <v>630</v>
      </c>
      <c r="AZ44" s="15">
        <v>360762.82</v>
      </c>
      <c r="BA44" s="15">
        <v>215502.73</v>
      </c>
      <c r="BB44" s="15">
        <v>360762.82</v>
      </c>
      <c r="BC44" s="15">
        <v>215502.73</v>
      </c>
      <c r="BD44" s="242">
        <v>0</v>
      </c>
      <c r="BE44" s="242">
        <v>0</v>
      </c>
      <c r="BF44" s="242"/>
      <c r="BG44" s="242">
        <v>2</v>
      </c>
      <c r="BH44" s="242">
        <v>0</v>
      </c>
      <c r="BI44" s="242">
        <v>0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 t="s">
        <v>634</v>
      </c>
      <c r="BW44" s="242">
        <v>0</v>
      </c>
      <c r="BX44" s="242">
        <v>143107.13</v>
      </c>
      <c r="BY44" s="242">
        <v>0</v>
      </c>
      <c r="BZ44" s="242">
        <v>143107.13</v>
      </c>
      <c r="CA44" s="242">
        <v>0</v>
      </c>
      <c r="CB44" s="243" t="s">
        <v>633</v>
      </c>
      <c r="CC44" s="248">
        <v>215502.73</v>
      </c>
      <c r="CD44" s="248">
        <v>72395.600000000006</v>
      </c>
      <c r="CE44" s="248">
        <v>360762.82</v>
      </c>
      <c r="CF44" s="248">
        <v>0</v>
      </c>
    </row>
    <row r="45" spans="1:84" x14ac:dyDescent="0.25">
      <c r="A45" s="254"/>
      <c r="B45" s="304" t="s">
        <v>715</v>
      </c>
      <c r="C45" s="255"/>
      <c r="D45" s="233"/>
      <c r="E45" s="279">
        <f>SUM(E14:E44)</f>
        <v>23706493.91</v>
      </c>
      <c r="F45" s="268">
        <f>SUM(F14:F44)</f>
        <v>23674143.91</v>
      </c>
      <c r="G45" s="256"/>
      <c r="H45" s="257"/>
      <c r="I45" s="237"/>
      <c r="J45" s="280">
        <f>SUM(J14:J44)</f>
        <v>23719289.91</v>
      </c>
      <c r="K45" s="239"/>
      <c r="L45" s="240"/>
      <c r="M45" s="272">
        <f>SUM(M14:M44)</f>
        <v>29578572.339999992</v>
      </c>
      <c r="N45" s="281">
        <f>SUM(N14:N44)</f>
        <v>29528015.079999994</v>
      </c>
      <c r="O45" s="71"/>
      <c r="P45" s="100"/>
      <c r="Q45" s="270">
        <f>SUM(Q14:Q44)</f>
        <v>0</v>
      </c>
      <c r="R45" s="270">
        <f>SUM(R14:R44)</f>
        <v>0</v>
      </c>
      <c r="S45" s="270">
        <f>SUM(S14:S44)</f>
        <v>0</v>
      </c>
      <c r="T45" s="258"/>
      <c r="U45" s="10"/>
      <c r="V45" s="23"/>
      <c r="W45" s="271">
        <f>SUM(W14:W44)</f>
        <v>0</v>
      </c>
      <c r="X45" s="272">
        <f>SUM(X14:X44)</f>
        <v>29431452.239999987</v>
      </c>
      <c r="Y45" s="270">
        <f>SUM(Y14:Y44)</f>
        <v>0</v>
      </c>
      <c r="Z45" s="270">
        <f>SUM(Z14:Z44)</f>
        <v>0</v>
      </c>
      <c r="AA45" s="270">
        <f>SUM(AA14:AA44)</f>
        <v>0</v>
      </c>
      <c r="AB45" s="10"/>
      <c r="AC45" s="24"/>
      <c r="AD45" s="271">
        <f>SUM(AD14:AD44)</f>
        <v>0</v>
      </c>
      <c r="AE45" s="272">
        <f>SUM(AE14:AE44)</f>
        <v>29027313.04999999</v>
      </c>
      <c r="AF45" s="270">
        <f>SUM(AF14:AF44)</f>
        <v>0</v>
      </c>
      <c r="AG45" s="10"/>
      <c r="AH45" s="271">
        <f>SUM(AH14:AH44)</f>
        <v>0</v>
      </c>
      <c r="AI45" s="272">
        <f>SUM(AI14:AI44)</f>
        <v>404139.19000000006</v>
      </c>
      <c r="AJ45" s="270">
        <f>SUM(AJ14:AJ44)</f>
        <v>0</v>
      </c>
      <c r="AK45" s="10"/>
      <c r="AL45" s="283">
        <f>SUM(AL14:AL44)</f>
        <v>0</v>
      </c>
      <c r="AM45" s="283">
        <f>SUM(AM14:AM44)</f>
        <v>0</v>
      </c>
      <c r="AN45" s="283">
        <f>SUM(AN14:AN44)</f>
        <v>0</v>
      </c>
      <c r="AO45" s="10"/>
      <c r="AP45" s="284">
        <f>SUM(AP14:AP44)</f>
        <v>23728036.010000002</v>
      </c>
      <c r="AQ45" s="284">
        <f>SUM(AQ14:AQ44)</f>
        <v>0</v>
      </c>
      <c r="AR45" s="284">
        <f>SUM(AR14:AR44)</f>
        <v>0</v>
      </c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93" t="s">
        <v>716</v>
      </c>
      <c r="C47" s="255"/>
      <c r="D47" s="233"/>
      <c r="E47" s="279">
        <f>SUM(E7:E46)/2</f>
        <v>26026305.300000001</v>
      </c>
      <c r="F47" s="268">
        <f>SUM(F7:F46)/2</f>
        <v>25996561.300000001</v>
      </c>
      <c r="G47" s="256"/>
      <c r="H47" s="257"/>
      <c r="I47" s="237"/>
      <c r="J47" s="280">
        <f>SUM(J7:J46)/2</f>
        <v>26039101.300000001</v>
      </c>
      <c r="K47" s="239"/>
      <c r="L47" s="240"/>
      <c r="M47" s="272">
        <f>SUM(M7:M46)/2</f>
        <v>31493077.849999994</v>
      </c>
      <c r="N47" s="281">
        <f>SUM(N7:N46)/2</f>
        <v>31577826.469999991</v>
      </c>
      <c r="O47" s="71"/>
      <c r="P47" s="100"/>
      <c r="Q47" s="270">
        <f>SUM(Q7:Q46)/2</f>
        <v>0</v>
      </c>
      <c r="R47" s="270">
        <f>SUM(R7:R46)/2</f>
        <v>0</v>
      </c>
      <c r="S47" s="270">
        <f>SUM(S7:S46)/2</f>
        <v>0</v>
      </c>
      <c r="T47" s="258"/>
      <c r="U47" s="10"/>
      <c r="V47" s="23"/>
      <c r="W47" s="271">
        <f>SUM(W7:W46)/2</f>
        <v>0</v>
      </c>
      <c r="X47" s="272">
        <f>SUM(X7:X46)/2</f>
        <v>30397666.79999999</v>
      </c>
      <c r="Y47" s="270">
        <f>SUM(Y7:Y46)/2</f>
        <v>0</v>
      </c>
      <c r="Z47" s="270">
        <f>SUM(Z7:Z46)/2</f>
        <v>0</v>
      </c>
      <c r="AA47" s="270">
        <f>SUM(AA7:AA46)/2</f>
        <v>0</v>
      </c>
      <c r="AB47" s="10"/>
      <c r="AC47" s="24"/>
      <c r="AD47" s="271">
        <f>SUM(AD7:AD46)/2</f>
        <v>0</v>
      </c>
      <c r="AE47" s="272">
        <f>SUM(AE7:AE46)/2</f>
        <v>29120985.179999992</v>
      </c>
      <c r="AF47" s="270">
        <f>SUM(AF7:AF46)/2</f>
        <v>0</v>
      </c>
      <c r="AG47" s="10"/>
      <c r="AH47" s="271">
        <f>SUM(AH7:AH46)/2</f>
        <v>0</v>
      </c>
      <c r="AI47" s="272">
        <f>SUM(AI7:AI46)/2</f>
        <v>1276681.6200000001</v>
      </c>
      <c r="AJ47" s="270">
        <f>SUM(AJ7:AJ46)/2</f>
        <v>0</v>
      </c>
      <c r="AK47" s="10"/>
      <c r="AL47" s="283">
        <f>SUM(AL7:AL46)/2</f>
        <v>0</v>
      </c>
      <c r="AM47" s="283">
        <f>SUM(AM7:AM46)/2</f>
        <v>0</v>
      </c>
      <c r="AN47" s="283">
        <f>SUM(AN7:AN46)/2</f>
        <v>0</v>
      </c>
      <c r="AO47" s="10"/>
      <c r="AP47" s="284">
        <f>SUM(AP7:AP46)/2</f>
        <v>24972582.400000002</v>
      </c>
      <c r="AQ47" s="284">
        <f>SUM(AQ7:AQ46)/2</f>
        <v>0</v>
      </c>
      <c r="AR47" s="284">
        <f>SUM(AR7:AR46)/2</f>
        <v>0</v>
      </c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300"/>
      <c r="B49" s="299" t="s">
        <v>638</v>
      </c>
      <c r="C49" s="93"/>
      <c r="D49" s="267"/>
      <c r="E49" s="279">
        <f>SUMIF(BG8:BG49,1, E8:E49)</f>
        <v>2319811.39</v>
      </c>
      <c r="F49" s="268">
        <f>SUMIF(BG8:BG49,1, F8:F49)</f>
        <v>2322417.39</v>
      </c>
      <c r="G49" s="301"/>
      <c r="H49" s="113"/>
      <c r="I49" s="104"/>
      <c r="J49" s="280">
        <f>SUMIF(BG8:BG49,1, J8:J49)</f>
        <v>2319811.39</v>
      </c>
      <c r="K49" s="288"/>
      <c r="L49" s="98"/>
      <c r="M49" s="272">
        <f>SUMIF(BG8:BG49,1, M8:M49)</f>
        <v>1914505.51</v>
      </c>
      <c r="N49" s="281">
        <f>SUMIF(BG8:BG49,1, N8:N49)</f>
        <v>2049811.3900000001</v>
      </c>
      <c r="O49" s="289"/>
      <c r="P49" s="99"/>
      <c r="Q49" s="270">
        <f>SUMIF(BG8:BG49,1, Q8:Q49)</f>
        <v>0</v>
      </c>
      <c r="R49" s="270">
        <f>SUMIF(BG8:BG49,1, R8:R49)</f>
        <v>0</v>
      </c>
      <c r="S49" s="270">
        <f>SUMIF(BG8:BG49,1, S8:S49)</f>
        <v>0</v>
      </c>
      <c r="T49" s="302"/>
      <c r="U49" s="291"/>
      <c r="V49" s="292"/>
      <c r="W49" s="271">
        <f>SUMIF(BG8:BG49,1, W8:W49)</f>
        <v>0</v>
      </c>
      <c r="X49" s="272">
        <f>SUMIF(BG8:BG49,1, X8:X49)</f>
        <v>966214.56</v>
      </c>
      <c r="Y49" s="270">
        <f>SUMIF(BG8:BG49,1, Y8:Y49)</f>
        <v>0</v>
      </c>
      <c r="Z49" s="270">
        <f>SUMIF(BG8:BG49,1, Z8:Z49)</f>
        <v>0</v>
      </c>
      <c r="AA49" s="270">
        <f>SUMIF(BG8:BG49,1, AA8:AA49)</f>
        <v>0</v>
      </c>
      <c r="AB49" s="291"/>
      <c r="AC49" s="293"/>
      <c r="AD49" s="271">
        <f>SUMIF(BG8:BG49,1, AD8:AD49)</f>
        <v>0</v>
      </c>
      <c r="AE49" s="272">
        <f>SUMIF(BG8:BG49,1, AE8:AE49)</f>
        <v>93672.13</v>
      </c>
      <c r="AF49" s="270">
        <f>SUMIF(BG8:BG49,1, AF8:AF49)</f>
        <v>0</v>
      </c>
      <c r="AG49" s="291"/>
      <c r="AH49" s="271">
        <f>SUMIF(BG8:BG49,1, AH8:AH49)</f>
        <v>0</v>
      </c>
      <c r="AI49" s="272">
        <f>SUMIF(BG8:BG49,1, AI8:AI49)</f>
        <v>872542.43</v>
      </c>
      <c r="AJ49" s="270">
        <f>SUMIF(BG8:BG49,1, AJ8:AJ49)</f>
        <v>0</v>
      </c>
      <c r="AK49" s="291"/>
      <c r="AL49" s="283">
        <f>SUMIF(BG8:BG49,1, AL8:AL49)</f>
        <v>0</v>
      </c>
      <c r="AM49" s="283">
        <f>SUMIF(BG8:BG49,1, AM8:AM49)</f>
        <v>0</v>
      </c>
      <c r="AN49" s="283">
        <f>SUMIF(BG8:BG49,1, AN8:AN49)</f>
        <v>0</v>
      </c>
      <c r="AO49" s="291"/>
      <c r="AP49" s="284">
        <f>SUMIF(BG8:BG49,1, AP8:AP49)</f>
        <v>1244546.3900000001</v>
      </c>
      <c r="AQ49" s="284">
        <f>SUMIF(BG8:BG49,1, AQ8:AQ49)</f>
        <v>0</v>
      </c>
      <c r="AR49" s="284">
        <f>SUMIF(BG8:BG49,1, AR8:AR49)</f>
        <v>0</v>
      </c>
      <c r="AS49" s="15"/>
      <c r="AT49" s="274"/>
      <c r="AU49" s="15"/>
      <c r="AV49" s="15"/>
      <c r="AW49" s="275"/>
      <c r="AX49" s="274"/>
      <c r="AY49" s="274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298"/>
      <c r="BO49" s="298"/>
      <c r="BP49" s="298"/>
      <c r="BQ49" s="298"/>
      <c r="BR49" s="294"/>
      <c r="BS49" s="294"/>
      <c r="BT49" s="15"/>
      <c r="BU49" s="15"/>
      <c r="BV49" s="276"/>
      <c r="BW49" s="15"/>
      <c r="BX49" s="15"/>
      <c r="BY49" s="15"/>
      <c r="BZ49" s="15"/>
      <c r="CA49" s="15"/>
      <c r="CB49" s="274"/>
      <c r="CC49" s="277"/>
      <c r="CD49" s="277"/>
      <c r="CE49" s="277"/>
      <c r="CF49" s="277"/>
    </row>
    <row r="50" spans="1:84" x14ac:dyDescent="0.25">
      <c r="A50" s="300"/>
      <c r="B50" s="299" t="s">
        <v>639</v>
      </c>
      <c r="C50" s="93"/>
      <c r="D50" s="267"/>
      <c r="E50" s="279">
        <f>SUMIF(BG8:BG49,2, E8:E49)</f>
        <v>23706493.91</v>
      </c>
      <c r="F50" s="268">
        <f>SUMIF(BG8:BG49,2, F8:F49)</f>
        <v>23674143.91</v>
      </c>
      <c r="G50" s="301"/>
      <c r="H50" s="113"/>
      <c r="I50" s="104"/>
      <c r="J50" s="280">
        <f>SUMIF(BG8:BG49,2, J8:J49)</f>
        <v>23719289.91</v>
      </c>
      <c r="K50" s="288"/>
      <c r="L50" s="98"/>
      <c r="M50" s="272">
        <f>SUMIF(BG8:BG49,2, M8:M49)</f>
        <v>29578572.339999992</v>
      </c>
      <c r="N50" s="281">
        <f>SUMIF(BG8:BG49,2, N8:N49)</f>
        <v>29528015.079999994</v>
      </c>
      <c r="O50" s="289"/>
      <c r="P50" s="99"/>
      <c r="Q50" s="270">
        <f>SUMIF(BG8:BG49,2, Q8:Q49)</f>
        <v>0</v>
      </c>
      <c r="R50" s="270">
        <f>SUMIF(BG8:BG49,2, R8:R49)</f>
        <v>0</v>
      </c>
      <c r="S50" s="270">
        <f>SUMIF(BG8:BG49,2, S8:S49)</f>
        <v>0</v>
      </c>
      <c r="T50" s="302"/>
      <c r="U50" s="291"/>
      <c r="V50" s="292"/>
      <c r="W50" s="271">
        <f>SUMIF(BG8:BG49,2, W8:W49)</f>
        <v>0</v>
      </c>
      <c r="X50" s="272">
        <f>SUMIF(BG8:BG49,2, X8:X49)</f>
        <v>29431452.239999987</v>
      </c>
      <c r="Y50" s="270">
        <f>SUMIF(BG8:BG49,2, Y8:Y49)</f>
        <v>0</v>
      </c>
      <c r="Z50" s="270">
        <f>SUMIF(BG8:BG49,2, Z8:Z49)</f>
        <v>0</v>
      </c>
      <c r="AA50" s="270">
        <f>SUMIF(BG8:BG49,2, AA8:AA49)</f>
        <v>0</v>
      </c>
      <c r="AB50" s="291"/>
      <c r="AC50" s="293"/>
      <c r="AD50" s="271">
        <f>SUMIF(BG8:BG49,2, AD8:AD49)</f>
        <v>0</v>
      </c>
      <c r="AE50" s="272">
        <f>SUMIF(BG8:BG49,2, AE8:AE49)</f>
        <v>29027313.04999999</v>
      </c>
      <c r="AF50" s="270">
        <f>SUMIF(BG8:BG49,2, AF8:AF49)</f>
        <v>0</v>
      </c>
      <c r="AG50" s="291"/>
      <c r="AH50" s="271">
        <f>SUMIF(BG8:BG49,2, AH8:AH49)</f>
        <v>0</v>
      </c>
      <c r="AI50" s="272">
        <f>SUMIF(BG8:BG49,2, AI8:AI49)</f>
        <v>404139.19000000006</v>
      </c>
      <c r="AJ50" s="270">
        <f>SUMIF(BG8:BG49,2, AJ8:AJ49)</f>
        <v>0</v>
      </c>
      <c r="AK50" s="291"/>
      <c r="AL50" s="283">
        <f>SUMIF(BG8:BG49,2, AL8:AL49)</f>
        <v>0</v>
      </c>
      <c r="AM50" s="283">
        <f>SUMIF(BG8:BG49,2, AM8:AM49)</f>
        <v>0</v>
      </c>
      <c r="AN50" s="283">
        <f>SUMIF(BG8:BG49,2, AN8:AN49)</f>
        <v>0</v>
      </c>
      <c r="AO50" s="291"/>
      <c r="AP50" s="284">
        <f>SUMIF(BG8:BG49,2, AP8:AP49)</f>
        <v>23728036.010000002</v>
      </c>
      <c r="AQ50" s="284">
        <f>SUMIF(BG8:BG49,2, AQ8:AQ49)</f>
        <v>0</v>
      </c>
      <c r="AR50" s="284">
        <f>SUMIF(BG8:BG49,2, AR8:AR49)</f>
        <v>0</v>
      </c>
      <c r="AS50" s="15"/>
      <c r="AT50" s="274"/>
      <c r="AU50" s="15"/>
      <c r="AV50" s="15"/>
      <c r="AW50" s="275"/>
      <c r="AX50" s="274"/>
      <c r="AY50" s="274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298"/>
      <c r="BO50" s="298"/>
      <c r="BP50" s="298"/>
      <c r="BQ50" s="298"/>
      <c r="BR50" s="294"/>
      <c r="BS50" s="294"/>
      <c r="BT50" s="15"/>
      <c r="BU50" s="15"/>
      <c r="BV50" s="276"/>
      <c r="BW50" s="15"/>
      <c r="BX50" s="15"/>
      <c r="BY50" s="15"/>
      <c r="BZ50" s="15"/>
      <c r="CA50" s="15"/>
      <c r="CB50" s="274"/>
      <c r="CC50" s="277"/>
      <c r="CD50" s="277"/>
      <c r="CE50" s="277"/>
      <c r="CF50" s="277"/>
    </row>
    <row r="51" spans="1:84" x14ac:dyDescent="0.25">
      <c r="A51" s="300"/>
      <c r="B51" s="299" t="s">
        <v>637</v>
      </c>
      <c r="C51" s="93"/>
      <c r="D51" s="267"/>
      <c r="E51" s="279">
        <f>SUM(E8:E50)/4</f>
        <v>26026305.300000001</v>
      </c>
      <c r="F51" s="268">
        <f>SUM(F8:F50)/4</f>
        <v>25996561.300000001</v>
      </c>
      <c r="G51" s="301"/>
      <c r="H51" s="113"/>
      <c r="I51" s="104"/>
      <c r="J51" s="280">
        <f>SUM(J8:J50)/4</f>
        <v>26039101.300000001</v>
      </c>
      <c r="K51" s="288"/>
      <c r="L51" s="98"/>
      <c r="M51" s="272">
        <f>SUM(M8:M50)/4</f>
        <v>31493077.849999994</v>
      </c>
      <c r="N51" s="281">
        <f>SUM(N8:N50)/4</f>
        <v>31577826.469999991</v>
      </c>
      <c r="O51" s="289"/>
      <c r="P51" s="99"/>
      <c r="Q51" s="270">
        <f>SUM(Q8:Q50)/4</f>
        <v>0</v>
      </c>
      <c r="R51" s="270">
        <f>SUM(R8:R50)/4</f>
        <v>0</v>
      </c>
      <c r="S51" s="270">
        <f>SUM(S8:S50)/4</f>
        <v>0</v>
      </c>
      <c r="T51" s="302"/>
      <c r="U51" s="291"/>
      <c r="V51" s="292"/>
      <c r="W51" s="271">
        <f>SUM(W8:W50)/4</f>
        <v>0</v>
      </c>
      <c r="X51" s="272">
        <f>SUM(X8:X50)/4</f>
        <v>30397666.79999999</v>
      </c>
      <c r="Y51" s="270">
        <f>SUM(Y8:Y50)/4</f>
        <v>0</v>
      </c>
      <c r="Z51" s="270">
        <f>SUM(Z8:Z50)/4</f>
        <v>0</v>
      </c>
      <c r="AA51" s="270">
        <f>SUM(AA8:AA50)/4</f>
        <v>0</v>
      </c>
      <c r="AB51" s="291"/>
      <c r="AC51" s="293"/>
      <c r="AD51" s="271">
        <f>SUM(AD8:AD50)/4</f>
        <v>0</v>
      </c>
      <c r="AE51" s="272">
        <f>SUM(AE8:AE50)/4</f>
        <v>29120985.179999992</v>
      </c>
      <c r="AF51" s="270">
        <f>SUM(AF8:AF50)/4</f>
        <v>0</v>
      </c>
      <c r="AG51" s="291"/>
      <c r="AH51" s="271">
        <f>SUM(AH8:AH50)/4</f>
        <v>0</v>
      </c>
      <c r="AI51" s="272">
        <f>SUM(AI8:AI50)/4</f>
        <v>1276681.6200000001</v>
      </c>
      <c r="AJ51" s="270">
        <f>SUM(AJ8:AJ50)/4</f>
        <v>0</v>
      </c>
      <c r="AK51" s="291"/>
      <c r="AL51" s="283">
        <f>SUM(AL8:AL50)/4</f>
        <v>0</v>
      </c>
      <c r="AM51" s="283">
        <f>SUM(AM8:AM50)/4</f>
        <v>0</v>
      </c>
      <c r="AN51" s="283">
        <f>SUM(AN8:AN50)/4</f>
        <v>0</v>
      </c>
      <c r="AO51" s="291"/>
      <c r="AP51" s="284">
        <f>SUM(AP8:AP50)/4</f>
        <v>24972582.400000002</v>
      </c>
      <c r="AQ51" s="284">
        <f>SUM(AQ8:AQ50)/4</f>
        <v>0</v>
      </c>
      <c r="AR51" s="284">
        <f>SUM(AR8:AR50)/4</f>
        <v>0</v>
      </c>
      <c r="AS51" s="15"/>
      <c r="AT51" s="274"/>
      <c r="AU51" s="15"/>
      <c r="AV51" s="15"/>
      <c r="AW51" s="275"/>
      <c r="AX51" s="274"/>
      <c r="AY51" s="274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298"/>
      <c r="BO51" s="298"/>
      <c r="BP51" s="298"/>
      <c r="BQ51" s="298"/>
      <c r="BR51" s="294"/>
      <c r="BS51" s="294"/>
      <c r="BT51" s="15"/>
      <c r="BU51" s="15"/>
      <c r="BV51" s="276"/>
      <c r="BW51" s="15"/>
      <c r="BX51" s="15"/>
      <c r="BY51" s="15"/>
      <c r="BZ51" s="15"/>
      <c r="CA51" s="15"/>
      <c r="CB51" s="274"/>
      <c r="CC51" s="277"/>
      <c r="CD51" s="277"/>
      <c r="CE51" s="277"/>
      <c r="CF51" s="277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rYUUagNDN1QBVMVIbtobGMpvLEVOggWlET7u5YJhCPHHVu89uhtcapsWKartYyVzCqC4/M1pm21sad0PovCbeg==" saltValue="6zJ5kqJoN+t+fhxNaOTGp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5"/>
      <c r="B14" s="278"/>
      <c r="C14" s="266"/>
      <c r="D14" s="267"/>
      <c r="E14" s="268"/>
      <c r="F14" s="269"/>
      <c r="G14" s="268"/>
      <c r="H14" s="269"/>
      <c r="I14" s="268"/>
      <c r="J14" s="270"/>
      <c r="K14" s="270"/>
      <c r="L14" s="270"/>
      <c r="M14" s="15"/>
      <c r="N14" s="270"/>
      <c r="O14" s="270"/>
      <c r="P14" s="270"/>
      <c r="Q14" s="15"/>
      <c r="R14" s="271"/>
      <c r="S14" s="271"/>
      <c r="T14" s="271"/>
      <c r="U14" s="272"/>
      <c r="V14" s="272"/>
      <c r="W14" s="272"/>
      <c r="X14" s="270"/>
      <c r="Y14" s="270"/>
      <c r="Z14" s="270"/>
      <c r="AA14" s="273"/>
      <c r="AB14" s="274"/>
      <c r="AC14" s="15"/>
      <c r="AD14" s="15"/>
      <c r="AE14" s="275"/>
      <c r="AF14" s="274"/>
      <c r="AG14" s="274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6"/>
      <c r="BE14" s="15"/>
      <c r="BF14" s="15"/>
      <c r="BG14" s="15"/>
      <c r="BH14" s="15"/>
      <c r="BI14" s="15"/>
      <c r="BJ14" s="274"/>
      <c r="BK14" s="277"/>
      <c r="BL14" s="277"/>
      <c r="BM14" s="277"/>
      <c r="BN14" s="277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5"/>
      <c r="B45" s="278"/>
      <c r="C45" s="266"/>
      <c r="D45" s="267"/>
      <c r="E45" s="268"/>
      <c r="F45" s="269"/>
      <c r="G45" s="268"/>
      <c r="H45" s="269"/>
      <c r="I45" s="268"/>
      <c r="J45" s="270"/>
      <c r="K45" s="270"/>
      <c r="L45" s="270"/>
      <c r="M45" s="15"/>
      <c r="N45" s="270"/>
      <c r="O45" s="270"/>
      <c r="P45" s="270"/>
      <c r="Q45" s="15"/>
      <c r="R45" s="271"/>
      <c r="S45" s="271"/>
      <c r="T45" s="271"/>
      <c r="U45" s="272"/>
      <c r="V45" s="272"/>
      <c r="W45" s="272"/>
      <c r="X45" s="270"/>
      <c r="Y45" s="270"/>
      <c r="Z45" s="270"/>
      <c r="AA45" s="273"/>
      <c r="AB45" s="274"/>
      <c r="AC45" s="15"/>
      <c r="AD45" s="15"/>
      <c r="AE45" s="275"/>
      <c r="AF45" s="274"/>
      <c r="AG45" s="274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276"/>
      <c r="BE45" s="15"/>
      <c r="BF45" s="15"/>
      <c r="BG45" s="15"/>
      <c r="BH45" s="15"/>
      <c r="BI45" s="15"/>
      <c r="BJ45" s="274"/>
      <c r="BK45" s="277"/>
      <c r="BL45" s="277"/>
      <c r="BM45" s="277"/>
      <c r="BN45" s="277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5"/>
      <c r="B47" s="266"/>
      <c r="C47" s="266"/>
      <c r="D47" s="267"/>
      <c r="E47" s="268"/>
      <c r="F47" s="269"/>
      <c r="G47" s="268"/>
      <c r="H47" s="269"/>
      <c r="I47" s="268"/>
      <c r="J47" s="270"/>
      <c r="K47" s="270"/>
      <c r="L47" s="270"/>
      <c r="M47" s="15"/>
      <c r="N47" s="270"/>
      <c r="O47" s="270"/>
      <c r="P47" s="270"/>
      <c r="Q47" s="15"/>
      <c r="R47" s="271"/>
      <c r="S47" s="271"/>
      <c r="T47" s="271"/>
      <c r="U47" s="272"/>
      <c r="V47" s="272"/>
      <c r="W47" s="272"/>
      <c r="X47" s="270"/>
      <c r="Y47" s="270"/>
      <c r="Z47" s="270"/>
      <c r="AA47" s="273"/>
      <c r="AB47" s="274"/>
      <c r="AC47" s="15"/>
      <c r="AD47" s="15"/>
      <c r="AE47" s="275"/>
      <c r="AF47" s="274"/>
      <c r="AG47" s="274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276"/>
      <c r="BE47" s="15"/>
      <c r="BF47" s="15"/>
      <c r="BG47" s="15"/>
      <c r="BH47" s="15"/>
      <c r="BI47" s="15"/>
      <c r="BJ47" s="274"/>
      <c r="BK47" s="277"/>
      <c r="BL47" s="277"/>
      <c r="BM47" s="277"/>
      <c r="BN47" s="277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78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78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78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TJba3DDCacXxr14KcYHjx+Z9KNuGX7kqtlUxFR3d+dRqpkybnVFWUxasNuCkXnki30Iojbvuw5D0i6ps16bhvw==" saltValue="gLj1oUEIptwPmZhGNHGlf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+TFvswrWsNSU7bgbKOjhzuecY+B+V08VOgugFoeCXTL0wpil9DZJ+UfkTMlZGxm2TaTkpTy0jT79ZRuBQIi45g==" saltValue="3a17RuTtzJTaA+wasoHaD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pjXAUPeIl4TWnvayIpmn4mXNnxNICEj4MF2s51hXfeuHvZiCBdmcab8p8Ef/5lxfjuhXjPRCsrVETB5kb4+fdw==" saltValue="iBPd1Fdx+vCZFV9nwSUvc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